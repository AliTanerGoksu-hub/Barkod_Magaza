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firstSheet="4" activeTab="8"/>
  </bookViews>
  <sheets>
    <sheet name="PAKETLEME MONTAJ ANA TASLAK" sheetId="2" r:id="rId1"/>
    <sheet name="15.09.2025" sheetId="3" r:id="rId2"/>
    <sheet name="24.09.2025" sheetId="4" r:id="rId3"/>
    <sheet name="39.Hafta 2025" sheetId="5" r:id="rId4"/>
    <sheet name="40.Hafta 2025" sheetId="6" r:id="rId5"/>
    <sheet name="41.Hafta 2025" sheetId="7" r:id="rId6"/>
    <sheet name="42.Hafta 2025" sheetId="9" r:id="rId7"/>
    <sheet name="43.HAFTA 2025" sheetId="10" r:id="rId8"/>
    <sheet name="44. HAFTA 2025" sheetId="12" r:id="rId9"/>
  </sheets>
  <definedNames>
    <definedName name="_xlnm._FilterDatabase" localSheetId="1" hidden="1">'15.09.2025'!$A$3:$J$38</definedName>
    <definedName name="_xlnm._FilterDatabase" localSheetId="2" hidden="1">'24.09.2025'!$A$3:$J$38</definedName>
    <definedName name="_xlnm._FilterDatabase" localSheetId="3" hidden="1">'39.Hafta 2025'!$A$3:$J$148</definedName>
    <definedName name="_xlnm._FilterDatabase" localSheetId="4" hidden="1">'40.Hafta 2025'!$A$3:$J$118</definedName>
    <definedName name="_xlnm._FilterDatabase" localSheetId="5" hidden="1">'41.Hafta 2025'!$A$3:$J$122</definedName>
    <definedName name="_xlnm._FilterDatabase" localSheetId="6" hidden="1">'42.Hafta 2025'!$A$3:$J$80</definedName>
    <definedName name="_xlnm._FilterDatabase" localSheetId="7" hidden="1">'43.HAFTA 2025'!$A$3:$J$80</definedName>
    <definedName name="_xlnm._FilterDatabase" localSheetId="8" hidden="1">'44. HAFTA 2025'!$A$3:$K$83</definedName>
    <definedName name="_xlnm._FilterDatabase" localSheetId="0" hidden="1">'PAKETLEME MONTAJ ANA TASLAK'!$A$3:$J$38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7" i="12" l="1"/>
  <c r="K62" i="12" l="1"/>
  <c r="K63" i="12"/>
  <c r="K64" i="12"/>
  <c r="K65" i="12"/>
  <c r="K66" i="12"/>
  <c r="K67" i="12"/>
  <c r="K68" i="12"/>
  <c r="K69" i="12"/>
  <c r="K70" i="12"/>
  <c r="K71" i="12"/>
  <c r="K72" i="12"/>
  <c r="K73" i="12"/>
  <c r="J24" i="12" l="1"/>
  <c r="J26" i="12" l="1"/>
  <c r="J25" i="12"/>
  <c r="K56" i="12" l="1"/>
  <c r="K57" i="12"/>
  <c r="K58" i="12"/>
  <c r="K59" i="12"/>
  <c r="K60" i="12"/>
  <c r="K61" i="12"/>
  <c r="K74" i="12"/>
  <c r="K75" i="12"/>
  <c r="K76" i="12"/>
  <c r="K77" i="12"/>
  <c r="K78" i="12"/>
  <c r="K79" i="12"/>
  <c r="K80" i="12"/>
  <c r="K41" i="12" l="1"/>
  <c r="K40" i="12"/>
  <c r="K39" i="12"/>
  <c r="J33" i="12"/>
  <c r="J32" i="12"/>
  <c r="J30" i="12"/>
  <c r="K30" i="12" s="1"/>
  <c r="J29" i="12"/>
  <c r="H83" i="12"/>
  <c r="K82" i="12"/>
  <c r="K81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37" i="12"/>
  <c r="K36" i="12"/>
  <c r="K35" i="12"/>
  <c r="K34" i="12"/>
  <c r="K33" i="12"/>
  <c r="K32" i="12"/>
  <c r="K31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6" i="12"/>
  <c r="K5" i="12"/>
  <c r="K4" i="12"/>
  <c r="I61" i="10"/>
  <c r="I60" i="10"/>
  <c r="I59" i="10"/>
  <c r="I53" i="10"/>
  <c r="I54" i="10"/>
  <c r="J83" i="12" l="1"/>
  <c r="K83" i="12"/>
  <c r="H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I34" i="10"/>
  <c r="J34" i="10" s="1"/>
  <c r="J33" i="10"/>
  <c r="I32" i="10"/>
  <c r="J32" i="10" s="1"/>
  <c r="J31" i="10"/>
  <c r="J30" i="10"/>
  <c r="J29" i="10"/>
  <c r="J28" i="10"/>
  <c r="J27" i="10"/>
  <c r="J26" i="10"/>
  <c r="J25" i="10"/>
  <c r="J24" i="10"/>
  <c r="J23" i="10"/>
  <c r="I22" i="10"/>
  <c r="I80" i="10" s="1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6" i="10"/>
  <c r="J5" i="10"/>
  <c r="J4" i="10"/>
  <c r="J72" i="9"/>
  <c r="J67" i="9"/>
  <c r="J66" i="9"/>
  <c r="J62" i="9"/>
  <c r="J63" i="9"/>
  <c r="J64" i="9"/>
  <c r="J65" i="9"/>
  <c r="J68" i="9"/>
  <c r="J69" i="9"/>
  <c r="J70" i="9"/>
  <c r="J71" i="9"/>
  <c r="J73" i="9"/>
  <c r="J74" i="9"/>
  <c r="J75" i="9"/>
  <c r="J76" i="9"/>
  <c r="J77" i="9"/>
  <c r="J78" i="9"/>
  <c r="J79" i="9"/>
  <c r="I61" i="9"/>
  <c r="I60" i="9"/>
  <c r="I59" i="9"/>
  <c r="I78" i="7"/>
  <c r="I80" i="7"/>
  <c r="I54" i="9"/>
  <c r="J54" i="9" s="1"/>
  <c r="I53" i="9"/>
  <c r="J53" i="9" s="1"/>
  <c r="J51" i="9"/>
  <c r="J55" i="9"/>
  <c r="J56" i="9"/>
  <c r="J57" i="9"/>
  <c r="J22" i="10" l="1"/>
  <c r="J80" i="10" s="1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2" i="9"/>
  <c r="J58" i="9"/>
  <c r="J59" i="9"/>
  <c r="J60" i="9"/>
  <c r="I32" i="9"/>
  <c r="I34" i="9"/>
  <c r="I22" i="9"/>
  <c r="I14" i="5" l="1"/>
  <c r="I15" i="5"/>
  <c r="J18" i="9"/>
  <c r="J24" i="9" l="1"/>
  <c r="J36" i="9"/>
  <c r="J30" i="9"/>
  <c r="H80" i="9" l="1"/>
  <c r="J6" i="9"/>
  <c r="J5" i="9"/>
  <c r="J4" i="9"/>
  <c r="J61" i="9"/>
  <c r="J35" i="9"/>
  <c r="J34" i="9"/>
  <c r="J33" i="9"/>
  <c r="J32" i="9"/>
  <c r="J31" i="9"/>
  <c r="J29" i="9"/>
  <c r="J28" i="9"/>
  <c r="J27" i="9"/>
  <c r="J26" i="9"/>
  <c r="J25" i="9"/>
  <c r="J23" i="9"/>
  <c r="J22" i="9"/>
  <c r="J21" i="9"/>
  <c r="J20" i="9"/>
  <c r="J19" i="9"/>
  <c r="J17" i="9"/>
  <c r="J16" i="9"/>
  <c r="J15" i="9"/>
  <c r="J14" i="9"/>
  <c r="J13" i="9"/>
  <c r="J12" i="9"/>
  <c r="J11" i="9"/>
  <c r="J10" i="9"/>
  <c r="J9" i="9"/>
  <c r="J8" i="9"/>
  <c r="J60" i="7"/>
  <c r="J61" i="7"/>
  <c r="J62" i="7"/>
  <c r="J63" i="7"/>
  <c r="J64" i="7"/>
  <c r="I80" i="9" l="1"/>
  <c r="J80" i="9"/>
  <c r="I82" i="7"/>
  <c r="I79" i="7"/>
  <c r="I76" i="7"/>
  <c r="I73" i="7"/>
  <c r="I72" i="7"/>
  <c r="I40" i="7"/>
  <c r="I39" i="7"/>
  <c r="I38" i="7"/>
  <c r="I37" i="7"/>
  <c r="I36" i="7"/>
  <c r="J125" i="5" l="1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H122" i="7" l="1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I28" i="7"/>
  <c r="J28" i="7" s="1"/>
  <c r="I27" i="7"/>
  <c r="J27" i="7" s="1"/>
  <c r="I26" i="7"/>
  <c r="J26" i="7" s="1"/>
  <c r="I25" i="7"/>
  <c r="J25" i="7" s="1"/>
  <c r="J24" i="7"/>
  <c r="J23" i="7"/>
  <c r="I22" i="7"/>
  <c r="J22" i="7" s="1"/>
  <c r="I21" i="7"/>
  <c r="J21" i="7" s="1"/>
  <c r="I20" i="7"/>
  <c r="J20" i="7" s="1"/>
  <c r="I19" i="7"/>
  <c r="J19" i="7" s="1"/>
  <c r="J18" i="7"/>
  <c r="J17" i="7"/>
  <c r="I15" i="7"/>
  <c r="J15" i="7" s="1"/>
  <c r="I14" i="7"/>
  <c r="J14" i="7" s="1"/>
  <c r="J11" i="7"/>
  <c r="J10" i="7"/>
  <c r="I9" i="7"/>
  <c r="J9" i="7" s="1"/>
  <c r="I8" i="7"/>
  <c r="J8" i="7" s="1"/>
  <c r="I5" i="7"/>
  <c r="J5" i="7" s="1"/>
  <c r="I4" i="7"/>
  <c r="I114" i="6"/>
  <c r="J114" i="6" s="1"/>
  <c r="I108" i="6"/>
  <c r="J108" i="6" s="1"/>
  <c r="I107" i="6"/>
  <c r="J107" i="6" s="1"/>
  <c r="I111" i="6"/>
  <c r="J111" i="6" s="1"/>
  <c r="J115" i="6"/>
  <c r="I5" i="6"/>
  <c r="J5" i="6" s="1"/>
  <c r="I4" i="6"/>
  <c r="I36" i="6"/>
  <c r="J36" i="6" s="1"/>
  <c r="I19" i="6"/>
  <c r="J19" i="6" s="1"/>
  <c r="J29" i="6"/>
  <c r="H118" i="6"/>
  <c r="J117" i="6"/>
  <c r="J116" i="6"/>
  <c r="J113" i="6"/>
  <c r="J112" i="6"/>
  <c r="J109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49" i="6"/>
  <c r="J48" i="6"/>
  <c r="J47" i="6"/>
  <c r="J46" i="6"/>
  <c r="J45" i="6"/>
  <c r="J44" i="6"/>
  <c r="J43" i="6"/>
  <c r="J42" i="6"/>
  <c r="J41" i="6"/>
  <c r="I40" i="6"/>
  <c r="J40" i="6" s="1"/>
  <c r="I39" i="6"/>
  <c r="J39" i="6" s="1"/>
  <c r="I38" i="6"/>
  <c r="J38" i="6" s="1"/>
  <c r="I37" i="6"/>
  <c r="J37" i="6" s="1"/>
  <c r="J35" i="6"/>
  <c r="J34" i="6"/>
  <c r="J33" i="6"/>
  <c r="J32" i="6"/>
  <c r="J31" i="6"/>
  <c r="J30" i="6"/>
  <c r="I28" i="6"/>
  <c r="J28" i="6" s="1"/>
  <c r="I27" i="6"/>
  <c r="J27" i="6" s="1"/>
  <c r="I26" i="6"/>
  <c r="J26" i="6" s="1"/>
  <c r="I25" i="6"/>
  <c r="J25" i="6" s="1"/>
  <c r="J24" i="6"/>
  <c r="J23" i="6"/>
  <c r="I22" i="6"/>
  <c r="J22" i="6" s="1"/>
  <c r="I21" i="6"/>
  <c r="J21" i="6" s="1"/>
  <c r="I20" i="6"/>
  <c r="J20" i="6" s="1"/>
  <c r="J18" i="6"/>
  <c r="J17" i="6"/>
  <c r="I15" i="6"/>
  <c r="J15" i="6" s="1"/>
  <c r="I14" i="6"/>
  <c r="J14" i="6" s="1"/>
  <c r="J11" i="6"/>
  <c r="J10" i="6"/>
  <c r="I9" i="6"/>
  <c r="J9" i="6" s="1"/>
  <c r="I8" i="6"/>
  <c r="J8" i="6" s="1"/>
  <c r="I27" i="5"/>
  <c r="I6" i="5"/>
  <c r="I22" i="5"/>
  <c r="I21" i="5"/>
  <c r="I52" i="5"/>
  <c r="I51" i="5"/>
  <c r="I50" i="5"/>
  <c r="I49" i="5"/>
  <c r="I48" i="5"/>
  <c r="I46" i="5"/>
  <c r="I45" i="5"/>
  <c r="I44" i="5"/>
  <c r="I43" i="5"/>
  <c r="I42" i="5"/>
  <c r="I20" i="5"/>
  <c r="I19" i="5"/>
  <c r="I26" i="5"/>
  <c r="I25" i="5"/>
  <c r="I5" i="5"/>
  <c r="I4" i="5"/>
  <c r="I28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43" i="5"/>
  <c r="J144" i="5"/>
  <c r="J145" i="5"/>
  <c r="J146" i="5"/>
  <c r="J147" i="5"/>
  <c r="I122" i="7" l="1"/>
  <c r="I118" i="6"/>
  <c r="J4" i="7"/>
  <c r="J122" i="7" s="1"/>
  <c r="J4" i="6"/>
  <c r="J118" i="6" s="1"/>
  <c r="I7" i="5"/>
  <c r="I9" i="5"/>
  <c r="I8" i="5"/>
  <c r="J96" i="5"/>
  <c r="J97" i="5"/>
  <c r="J98" i="5"/>
  <c r="J99" i="5"/>
  <c r="J100" i="5"/>
  <c r="J86" i="5"/>
  <c r="J87" i="5"/>
  <c r="J88" i="5"/>
  <c r="J89" i="5"/>
  <c r="J90" i="5"/>
  <c r="J91" i="5"/>
  <c r="J92" i="5"/>
  <c r="J93" i="5"/>
  <c r="J94" i="5"/>
  <c r="J95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64" i="5"/>
  <c r="J63" i="5"/>
  <c r="J62" i="5"/>
  <c r="J53" i="5" l="1"/>
  <c r="J61" i="5"/>
  <c r="J60" i="5"/>
  <c r="J59" i="5"/>
  <c r="J58" i="5"/>
  <c r="J57" i="5"/>
  <c r="J56" i="5"/>
  <c r="J55" i="5"/>
  <c r="J54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I148" i="5" l="1"/>
  <c r="H148" i="5"/>
  <c r="J28" i="5"/>
  <c r="J27" i="5"/>
  <c r="J26" i="5"/>
  <c r="J25" i="5"/>
  <c r="J24" i="5"/>
  <c r="J23" i="5"/>
  <c r="J22" i="5"/>
  <c r="J21" i="5"/>
  <c r="J20" i="5"/>
  <c r="J19" i="5"/>
  <c r="J18" i="5"/>
  <c r="J17" i="5"/>
  <c r="J15" i="5"/>
  <c r="J14" i="5"/>
  <c r="J13" i="5"/>
  <c r="J12" i="5"/>
  <c r="J11" i="5"/>
  <c r="J10" i="5"/>
  <c r="J9" i="5"/>
  <c r="J8" i="5"/>
  <c r="J7" i="5"/>
  <c r="J6" i="5"/>
  <c r="J5" i="5"/>
  <c r="J4" i="5"/>
  <c r="J148" i="5" l="1"/>
  <c r="I38" i="4"/>
  <c r="H38" i="4"/>
  <c r="J35" i="4"/>
  <c r="J34" i="4"/>
  <c r="J33" i="4"/>
  <c r="J32" i="4"/>
  <c r="J31" i="4"/>
  <c r="J30" i="4"/>
  <c r="J28" i="4"/>
  <c r="J27" i="4"/>
  <c r="J26" i="4"/>
  <c r="J25" i="4"/>
  <c r="J24" i="4"/>
  <c r="J23" i="4"/>
  <c r="J22" i="4"/>
  <c r="J21" i="4"/>
  <c r="J20" i="4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5" i="4"/>
  <c r="J4" i="4"/>
  <c r="J38" i="4" l="1"/>
  <c r="J16" i="2"/>
  <c r="J37" i="2"/>
  <c r="J36" i="2"/>
  <c r="J29" i="2"/>
  <c r="I38" i="3"/>
  <c r="H38" i="3"/>
  <c r="J35" i="3"/>
  <c r="J34" i="3"/>
  <c r="J33" i="3"/>
  <c r="J32" i="3"/>
  <c r="J31" i="3"/>
  <c r="J30" i="3"/>
  <c r="J28" i="3"/>
  <c r="J27" i="3"/>
  <c r="J26" i="3"/>
  <c r="J25" i="3"/>
  <c r="J24" i="3"/>
  <c r="J23" i="3"/>
  <c r="J22" i="3"/>
  <c r="J21" i="3"/>
  <c r="J20" i="3"/>
  <c r="J19" i="3"/>
  <c r="J18" i="3"/>
  <c r="J17" i="3"/>
  <c r="J15" i="3"/>
  <c r="J14" i="3"/>
  <c r="J13" i="3"/>
  <c r="J12" i="3"/>
  <c r="J11" i="3"/>
  <c r="J10" i="3"/>
  <c r="J9" i="3"/>
  <c r="J8" i="3"/>
  <c r="J7" i="3"/>
  <c r="J6" i="3"/>
  <c r="J5" i="3"/>
  <c r="J4" i="3"/>
  <c r="J35" i="2"/>
  <c r="J33" i="2"/>
  <c r="J31" i="2"/>
  <c r="J28" i="2"/>
  <c r="J26" i="2"/>
  <c r="J24" i="2"/>
  <c r="J22" i="2"/>
  <c r="J20" i="2"/>
  <c r="J18" i="2"/>
  <c r="J15" i="2"/>
  <c r="J13" i="2"/>
  <c r="J11" i="2"/>
  <c r="J9" i="2"/>
  <c r="J7" i="2"/>
  <c r="J5" i="2"/>
  <c r="I38" i="2"/>
  <c r="H38" i="2"/>
  <c r="J27" i="2"/>
  <c r="J14" i="2"/>
  <c r="J25" i="2"/>
  <c r="J12" i="2"/>
  <c r="J23" i="2"/>
  <c r="J38" i="3" l="1"/>
  <c r="J34" i="2"/>
  <c r="J10" i="2"/>
  <c r="J21" i="2"/>
  <c r="J32" i="2"/>
  <c r="J8" i="2"/>
  <c r="J19" i="2"/>
  <c r="J30" i="2"/>
  <c r="J6" i="2"/>
  <c r="J17" i="2"/>
  <c r="J4" i="2"/>
  <c r="J38" i="2" l="1"/>
</calcChain>
</file>

<file path=xl/sharedStrings.xml><?xml version="1.0" encoding="utf-8"?>
<sst xmlns="http://schemas.openxmlformats.org/spreadsheetml/2006/main" count="1599" uniqueCount="196">
  <si>
    <t>TARİH:</t>
  </si>
  <si>
    <t>TAKİP NO</t>
  </si>
  <si>
    <t>KALİTE</t>
  </si>
  <si>
    <t>GÖVDE KALINLIK</t>
  </si>
  <si>
    <t>TABAN</t>
  </si>
  <si>
    <t>ÜRÜN ADI</t>
  </si>
  <si>
    <t>DUDAK FORMU</t>
  </si>
  <si>
    <t>KAPSÜL KALİTE</t>
  </si>
  <si>
    <t>MİKTAR</t>
  </si>
  <si>
    <t>ÜRETİM</t>
  </si>
  <si>
    <t>KALAN</t>
  </si>
  <si>
    <t>TENCERE-DÜDÜKLÜ MONTAJ PAKETLEME</t>
  </si>
  <si>
    <t>KUSKUS</t>
  </si>
  <si>
    <t>ERESS 20 KUSKUS TENCERE</t>
  </si>
  <si>
    <t>BEST MARK 20 KUSKUS TENCERE</t>
  </si>
  <si>
    <t>ERESS 22 KUSKUS TENCERE</t>
  </si>
  <si>
    <t>HOMY 22 KUSKUS TENCERE</t>
  </si>
  <si>
    <t>BEST MARK 22 KUSKUS TENCERE</t>
  </si>
  <si>
    <t>ERESS 24 KUSKUS TENCERE</t>
  </si>
  <si>
    <t>HOMY 24 KUSKUS TENCERE</t>
  </si>
  <si>
    <t>BEST MARK 24 KUSKUS TENCERE</t>
  </si>
  <si>
    <t>ERESS 26 KUSKUS TENCERE</t>
  </si>
  <si>
    <t>HOMY 26 KUSKUS TENCERE</t>
  </si>
  <si>
    <t>BEST MARK 26 KUSKUS TENCERE</t>
  </si>
  <si>
    <t>ERESS 28 KUSKUS TENCERE</t>
  </si>
  <si>
    <t>BEST MARK 28 KUSKUS TENCERE</t>
  </si>
  <si>
    <t>ERESS 30 KUSKUS TENCERE</t>
  </si>
  <si>
    <t>BEST MARK 30 KUSKUS TENCERE</t>
  </si>
  <si>
    <t>TABANSIZ 20 KUSKUS SÜZEK</t>
  </si>
  <si>
    <t>TABANSIZ 22 KUSKUS SÜZEK</t>
  </si>
  <si>
    <t>TABANSIZ 24 KUSKUS SÜZEK</t>
  </si>
  <si>
    <t>TABANSIZ 26 KUSKUS SÜZEK</t>
  </si>
  <si>
    <t>TABANSIZ 28 KUSKUS SÜZEK</t>
  </si>
  <si>
    <t>TABANSIZ 30 KUSKUS SÜZEK</t>
  </si>
  <si>
    <t>KISA</t>
  </si>
  <si>
    <t>250063-01</t>
  </si>
  <si>
    <t>250063-02</t>
  </si>
  <si>
    <t>HELVANE</t>
  </si>
  <si>
    <t>BEST MARK 20x10 KASEROLLA 5 PCS - BAKALİT ELMA ŞEKERİ</t>
  </si>
  <si>
    <t>BEST MARK 18x10 KASEROLLA 5 PCS - BAKALİT ELMA ŞEKERİ</t>
  </si>
  <si>
    <t>BEST MARK 16x9 KASEROLLA 5 PCS - BAKALİT ELMA ŞEKERİ</t>
  </si>
  <si>
    <t>BEST MARK 20x10 KASEROLLA 5 PCS - 6MM TEL</t>
  </si>
  <si>
    <t>BEST MARK 18x10 KASEROLLA 5 PCS - 6MM TEL</t>
  </si>
  <si>
    <t>BEST MARK 16x9 KASEROLLA 5 PCS - 6MM TEL</t>
  </si>
  <si>
    <t>ERESS 20x10 KASEROLLA 5 PCS - BAKALİT ELMA ŞEKERİ</t>
  </si>
  <si>
    <t>ERESS 18x10 KASEROLLA 5 PCS - BAKALİT ELMA ŞEKERİ</t>
  </si>
  <si>
    <t>ERESS 16x9 KASEROLLA 5 PCS - BAKALİT ELMA ŞEKERİ</t>
  </si>
  <si>
    <t>BEST MARK 14x8 KASEROLLA 5 PCS - BAKALİT ELMA ŞEKERİ</t>
  </si>
  <si>
    <t>BEST MARK 12x7 KASEROLLA 5 PCS - BAKALİT ELMA ŞEKERİ</t>
  </si>
  <si>
    <t>BEST MARK 14x8 KASEROLLA 5 PCS - 6MM TEL</t>
  </si>
  <si>
    <t>BEST MARK 12x7 KASEROLLA 5 PCS - 6MM TEL</t>
  </si>
  <si>
    <t>ERESS 14x8 KASEROLLA 5 PCS - BAKALİT ELMA ŞEKERİ</t>
  </si>
  <si>
    <t>ERESS 12x7 KASEROLLA 5 PCS - BAKALİT ELMA ŞEKERİ</t>
  </si>
  <si>
    <t>ERESS 20x10 KASEROLLA 5 PCS - 6MM TEL</t>
  </si>
  <si>
    <t>ERESS 18x10 KASEROLLA 5 PCS - 6MM TEL</t>
  </si>
  <si>
    <t>ERESS 16x9 KASEROLLA 5 PCS - 6MM TEL</t>
  </si>
  <si>
    <t>ERESS 14x8 KASEROLLA 5 PCS - 6MM TEL</t>
  </si>
  <si>
    <t>ERESS 12x7 KASEROLLA 5 PCS - 6MM TEL</t>
  </si>
  <si>
    <t>LİNES  18x10 OSCAR TEKLİ TENCERE</t>
  </si>
  <si>
    <t>LİNES  20x10 OSCAR TEKLİ TENCERE</t>
  </si>
  <si>
    <t>LİNES  30x19,5 OSCAR TEKLİ TENCERE</t>
  </si>
  <si>
    <t>LİNES  28x18 OSCAR TEKLİ TENCERE</t>
  </si>
  <si>
    <t>LİNES  40x27 OSCAR TEKLİ TENCERE</t>
  </si>
  <si>
    <t>LİNES  36x23 OSCAR TEKLİ TENCERE</t>
  </si>
  <si>
    <t>LİNES  34x21,5 OSCAR TEKLİ TENCERE</t>
  </si>
  <si>
    <t>LİNES  32x20,5 OSCAR TEKLİ TENCERE</t>
  </si>
  <si>
    <t>UZUN</t>
  </si>
  <si>
    <t>39.HAFTA 2025 TENCERE-DÜDÜKLÜ MONTAJ PAKETLEME</t>
  </si>
  <si>
    <t>LİNES  26x16 OSCAR TEKLİ TENCERE</t>
  </si>
  <si>
    <t>LİNES  24x14 OSCAR TEKLİ TENCERE</t>
  </si>
  <si>
    <t>LİNES  22x12 OSCAR TEKLİ TENCERE</t>
  </si>
  <si>
    <t>GENİŞ</t>
  </si>
  <si>
    <t>LİNES Ø24 14 LT MANUEL DÜDÜKLÜ 3 PCS</t>
  </si>
  <si>
    <t>DÜDÜKLÜ</t>
  </si>
  <si>
    <t xml:space="preserve">HELVANE </t>
  </si>
  <si>
    <t xml:space="preserve">LİNES 18x10 GÜVEÇ ÇİZGİ ALTI SATEN 13 PCS - 10 MM METAL KULP </t>
  </si>
  <si>
    <t xml:space="preserve">LİNES 18x10 GÜVEÇ ÇİZGİ ALTI SATEN 13 PCS - 10 MM ALTIN KULP </t>
  </si>
  <si>
    <t xml:space="preserve">LİNES 24x14 GÜVEÇ ÇİZGİ ALTI SATEN 13 PCS - 10 MM METAL KULP </t>
  </si>
  <si>
    <t xml:space="preserve">LİNES 28x18 GÜVEÇ ÇİZGİ ALTI SATEN 13 PCS - 10 MM METAL KULP </t>
  </si>
  <si>
    <t>LİNES 16 KASEROLLA ÇİZGİ ALTI SATEN 13 PCS - UZUN KULP - KAPAKLI</t>
  </si>
  <si>
    <t>YOK</t>
  </si>
  <si>
    <t xml:space="preserve">LİNES 24x14 GÜVEÇ ÇİZGİ ALTI SATEN 13 PCS - 10 MM ALTIN KULP </t>
  </si>
  <si>
    <t xml:space="preserve">LİNES 28x18 GÜVEÇ ÇİZGİ ALTI SATEN 13 PCS - 10 MM ALTIN KULP </t>
  </si>
  <si>
    <t>LİNES 16 KASEROLLA ÇİZGİ ALTI SATEN 13 PCS - UZUN KULP - KAPAKLI - ALTIN</t>
  </si>
  <si>
    <t>LİNES 24x7,5 TAVA 13 PCS - METAL KULP</t>
  </si>
  <si>
    <t>LİNES 24x7,5 TAVA 13 PCS - ALTIN KULP</t>
  </si>
  <si>
    <t>LİNES 1 LT KÜRE ÇİZGİ ALTI SATEN 13 PCS - ALTIN KULP</t>
  </si>
  <si>
    <t>LİNES 18x10 GÜVEÇ ÇİZGİ ALTI SATEN 10 PCS - 10 MM METAL KULP</t>
  </si>
  <si>
    <t xml:space="preserve">LİNES 20x11 GÜVEÇ ÇİZGİ ALTI SATEN 13 PCS - 10 MM METAL KULP </t>
  </si>
  <si>
    <t xml:space="preserve">LİNES 20x11 GÜVEÇ ÇİZGİ ALTI SATEN 13 PCS - 10 MM ALTIN KULP </t>
  </si>
  <si>
    <t>LİNES 20x11 GÜVEÇ ÇİZGİ ALTI SATEN 10 PCS - 10 MM METAL KULP</t>
  </si>
  <si>
    <t>LİNES 22x12 GÜVEÇ ÇİZGİ ALTI SATEN 10 PCS - 10 MM METAL KULP</t>
  </si>
  <si>
    <t xml:space="preserve">LİNES 24x14 GÜVEÇ ÇİZGİ ALTI SATEN 10 PCS - 10 MM METAL KULP </t>
  </si>
  <si>
    <t>LİNES 34x24 GÜVEÇ ÇİZGİ ALTI SATEN 10 PCS - 10 MM METAL KULP</t>
  </si>
  <si>
    <t>LİNES 18x10 GÜVEÇ ÇİZGİ ALTI SATEN 10 PCS - 10 MM ALTIN KULP</t>
  </si>
  <si>
    <t>LİNES 20x11 GÜVEÇ ÇİZGİ ALTI SATEN 10 PCS - 10 MM ALTIN KULP</t>
  </si>
  <si>
    <t>LİNES 22x12 GÜVEÇ ÇİZGİ ALTI SATEN 10 PCS - 10 MM ALTIN KULP</t>
  </si>
  <si>
    <t>LİNES 24x14 GÜVEÇ ÇİZGİ ALTI SATEN 10 PCS - 10 MM ALTIN KULP</t>
  </si>
  <si>
    <t>LİNES 34x24 GÜVEÇ ÇİZGİ ALTI SATEN 10 PCS - 10 MM ALTIN KULP</t>
  </si>
  <si>
    <t>YONCA 18x10 İKİ KORDON ARASI SATENLİ10 PCS - 10 MM KARE KULP</t>
  </si>
  <si>
    <t>YONCA 20x10 İKİ KORDON ARASI SATENLİ10 PCS - 10 MM KARE KULP</t>
  </si>
  <si>
    <t>YONCA 22x12 İKİ KORDON ARASI SATENLİ10 PCS - 10 MM KARE KULP</t>
  </si>
  <si>
    <t>YONCA 24x14 İKİ KORDON ARASI SATENLİ10 PCS - 10 MM KARE KULP</t>
  </si>
  <si>
    <t>YONCA 32x20 İKİ KORDON ARASI SATENLİ10 PCS - 10 MM KARE KULP</t>
  </si>
  <si>
    <t xml:space="preserve"> </t>
  </si>
  <si>
    <t>OSCAR Ø22 10 LT DÜDÜKLÜ 3 KORDONLU SADE 3PCS - ELMA ŞEKERİ NAZAR BAKALİT KULP</t>
  </si>
  <si>
    <t>OSCAR Ø22 8 LT DÜDÜKLÜ 3 KORDONLU SADE 3PCS - ELMA ŞEKERİ NAZAR BAKALİT KULP</t>
  </si>
  <si>
    <t>YONCA (18-21-22-32-26SPAGETTİ-32KUSKUS ÜSTÜ) 20 PCS- 10 MM KARE MODEL METAL KULP</t>
  </si>
  <si>
    <t>YONCA Ø22 10 LT DÜDÜKLÜ 3 KORDONLU SADE 3PCS - ELMA ŞEKERİ NAZAR BAKALİT KULP</t>
  </si>
  <si>
    <t>YONCA Ø22 8 LT DÜDÜKLÜ 3 KORDONLU SADE 3PCS - ELMA ŞEKERİ NAZAR BAKALİT KULP</t>
  </si>
  <si>
    <t>YONCA Ø22 9 LT DÜDÜKLÜ - GÜVEÇ MODEL SADE PARLAK</t>
  </si>
  <si>
    <t>YONCA Ø22 7 LT DÜDÜKLÜ - GÜVEÇ MODEL SADE PARLAK</t>
  </si>
  <si>
    <t>YONCA Ø22 5 LT DÜDÜKLÜ - GÜVEÇ MODEL SADE PARLAK</t>
  </si>
  <si>
    <t>LİNES Ø22 14 LT DÜDÜKLÜ - 3 KORDON KORDON ALTI SATEN - ELMA ŞEKERİ NAZAR BAKALİT</t>
  </si>
  <si>
    <t>LİNES 18x10 TENCERE - GÜVEÇ MODEL - TEK ÇİZGİ ALTI SATEN - METAL KULP VE TEPE</t>
  </si>
  <si>
    <t>LİNES 20x11 TENCERE - GÜVEÇ MODEL - TEK ÇİZGİ ALTI SATEN - METAL KULP VE TEPE</t>
  </si>
  <si>
    <t>LİNES 24x14 TENCERE - GÜVEÇ MODEL - TEK ÇİZGİ ALTI SATEN - METAL KULP VE TEPE</t>
  </si>
  <si>
    <t>LİNES 28x18 TENCERE - GÜVEÇ MODEL - TEK ÇİZGİ ALTI SATEN - METAL KULP VE TEPE</t>
  </si>
  <si>
    <t>LİNES 16 KASEROLLA - GÜVEÇ MODEL - TEK ÇİZGİ ALTI SATEN - METAL KULP VE TEPE</t>
  </si>
  <si>
    <t>LİNES 24x7,5 TENCERE - GÜVEÇ MODEL - TEK ÇİZGİ ALTI SATEN - METAL KULP VE TEPE</t>
  </si>
  <si>
    <t>LİNES 18x10 TENCERE - GÜVEÇ MODEL - TEK ÇİZGİ ALTI SATEN - ALTIN KULP VE TEPE</t>
  </si>
  <si>
    <t>LİNES 20x11 TENCERE - GÜVEÇ MODEL - TEK ÇİZGİ ALTI SATEN - ALTIN KULP VE TEPE</t>
  </si>
  <si>
    <t>LİNES 24x14 TENCERE - GÜVEÇ MODEL - TEK ÇİZGİ ALTI SATEN - ALTIN KULP VE TEPE</t>
  </si>
  <si>
    <t>LİNES 28x18 TENCERE - GÜVEÇ MODEL - TEK ÇİZGİ ALTI SATEN - ALTIN KULP VE TEPE</t>
  </si>
  <si>
    <t>LİNES 16 KASEROLLA - GÜVEÇ MODEL - TEK ÇİZGİ ALTI SATEN - ALTIN KULP VE TEPE</t>
  </si>
  <si>
    <t>LİNES 24x7,5 TENCERE - GÜVEÇ MODEL - TEK ÇİZGİ ALTI SATEN - ALTIN KULP VE TEPE</t>
  </si>
  <si>
    <t>GEMAK 18x10 TENCERE - GÜVEÇ MODEL - 2 KORDON ARASI SATEN - Z TİPİ - 8 MM  EZMESİZ METAL KULP</t>
  </si>
  <si>
    <t>GEMAK 20x11 TENCERE - GÜVEÇ MODEL - 2 KORDON ARASI SATEN - Z TİPİ - 8 MM  EZMESİZ METAL KULP</t>
  </si>
  <si>
    <t>GEMAK 24x14 TENCERE - GÜVEÇ MODEL - 2 KORDON ARASI SATEN - Z TİPİ - 8 MM  EZMESİZ METAL KULP</t>
  </si>
  <si>
    <t>GEMAK 26x16 TENCERE - GÜVEÇ MODEL - 2 KORDON ARASI SATEN - Z TİPİ - 8 MM  EZMESİZ METAL KULP</t>
  </si>
  <si>
    <t>GEMAK 18x10 TENCERE - ZEYCAN MODEL - SADE PARLAK - YILDIZ BORU KULP VE TEPE - METAL KAPAK</t>
  </si>
  <si>
    <t>GEMAK 20x11 TENCERE - ZEYCAN MODEL - SADE PARLAK - YILDIZ BORU KULP VE TEPE - METAL KAPAK</t>
  </si>
  <si>
    <t>GEMAK 24x14 TENCERE - ZEYCAN MODEL - SADE PARLAK - YILDIZ BORU KULP VE TEPE - METAL KAPAK</t>
  </si>
  <si>
    <t>GEMAK 26x16 TENCERE - ZEYCAN MODEL - SADE PARLAK - YILDIZ BORU KULP VE TEPE - METAL KAPAK</t>
  </si>
  <si>
    <t>GEMAK 18x10 TENCERE - DÜZ MODEL - 3 KORDON ALTI SATEN - 8 MM  EZMELİ KULP VE TEPE - METAL KAPAK</t>
  </si>
  <si>
    <t>GEMAK 20x11 TENCERE - DÜZ MODEL - 3 KORDON ALTI SATEN - 8 MM  EZMELİ KULP VE TEPE - METAL KAPAK</t>
  </si>
  <si>
    <t>GEMAK 24x14 TENCERE - DÜZ MODEL - 3 KORDON ALTI SATEN - 8 MM  EZMELİ KULP VE TEPE - METAL KAPAK</t>
  </si>
  <si>
    <t>GEMAK 26x16 TENCERE - DÜZ MODEL - 3 KORDON ALTI SATEN - 8 MM  EZMELİ KULP VE TEPE - METAL KAPAK</t>
  </si>
  <si>
    <t>YONCA 14x8 TENCERE - DÜZ SADE MODEL - GÜLBAK 6 MM KARE KULP - T TİPİ CAM KAPAK</t>
  </si>
  <si>
    <t>YONCA 16x9 TENCERE - DÜZ SADE MODEL - GÜLBAK 6 MM KARE KULP - T TİPİ CAM KAPAK</t>
  </si>
  <si>
    <t>YONCA 18x9 TENCERE - DÜZ SADE MODEL - GÜLBAK 6 MM KARE KULP - T TİPİ CAM KAPAK</t>
  </si>
  <si>
    <t>GEMAK 8 PCS OSCAR MODEL TENCERE LİSTESİ</t>
  </si>
  <si>
    <t>GEMAK 8 PCS ZEYCAN MODEL TENCERE LİSTESİ</t>
  </si>
  <si>
    <t>GEMAK 8 PCS GÜVEÇ 2 KORDON ARASI SATEN- Z TİPİ - 8 MM EZMESİZ METAL KULP</t>
  </si>
  <si>
    <t>42.HAFTA 2025 TENCERE-DÜDÜKLÜ MONTAJ PAKETLEME</t>
  </si>
  <si>
    <t>41.HAFTA 2025 TENCERE-DÜDÜKLÜ MONTAJ PAKETLEME</t>
  </si>
  <si>
    <t>40.HAFTA 2025 TENCERE-DÜDÜKLÜ MONTAJ PAKETLEME</t>
  </si>
  <si>
    <t>29 Eylül - 4 Ekim</t>
  </si>
  <si>
    <t xml:space="preserve">LİNES 18x10 TENCERE - ZEYCAN MODEL - SADE PARLAK - </t>
  </si>
  <si>
    <t xml:space="preserve">LİNES 20x10 TENCERE - ZEYCAN MODEL - SADE PARLAK - </t>
  </si>
  <si>
    <t xml:space="preserve">LİNES 24x14 TENCERE - ZEYCAN MODEL - SADE PARLAK - </t>
  </si>
  <si>
    <t xml:space="preserve">LİNES 24x9 BASIK TENCERE - ZEYCAN MODEL - SADE PARLAK - </t>
  </si>
  <si>
    <t xml:space="preserve">LİNES 22x22,9 8 LT CLİPSO DÜDÜKLÜ - ZEYCAN MODEL - SADE PARLAK - </t>
  </si>
  <si>
    <t>LİNES 3 NO ORTA BOY KÜRE MODEL DEMLİK - SADE PARLAK</t>
  </si>
  <si>
    <t>LİNES 3 NO ORTA BOY KÜRE MODEL ÇAYDANLIK - SADE PARLAK</t>
  </si>
  <si>
    <t>0,70-0,90</t>
  </si>
  <si>
    <t>LİNES 15 PCS ZEYCAN MODEL TENCERE SETİ LİSTESİ</t>
  </si>
  <si>
    <t>MK BICAK</t>
  </si>
  <si>
    <t>KSIA</t>
  </si>
  <si>
    <t>**</t>
  </si>
  <si>
    <t>LİNES 20x10 TENCERE - PIRIL MODEL - GÜVEÇ - SADE PARLAK</t>
  </si>
  <si>
    <t>LİNES 24x14 TENCERE - PIRIL MODEL - GÜVEÇ - SADE PARLAK</t>
  </si>
  <si>
    <t>LİNES 26x16 TENCERE - PIRIL MODEL - GÜVEÇ - SADE PARLAK</t>
  </si>
  <si>
    <t>LİNES 26x10 BASIK TENCERE  PIRILK MODEL - GÜVEÇ - SADE PARLAK</t>
  </si>
  <si>
    <t>HOMY 28 KUSKUS TENCERE</t>
  </si>
  <si>
    <t xml:space="preserve">LİNES PIRIL MODEL 8 PCS </t>
  </si>
  <si>
    <t>HOMY 28 KUSKUS ÜSTÜ SÜZEK</t>
  </si>
  <si>
    <t>DİK</t>
  </si>
  <si>
    <t>HOMY 20 KUSKUS TENCERE</t>
  </si>
  <si>
    <t>HOMY 20 KUSKUS ÜSTÜ SÜZEK</t>
  </si>
  <si>
    <t>LİNES 18x10 TENCERE - DÜZ MODEL - ÇİZGİ ALTI SATENLİ - 10MM KARE YILDIZ KULP VE TEPE - TERS KAPAK +20 GÜMRÜK</t>
  </si>
  <si>
    <t>LİNES 24x14 TENCERE - DÜZ MODEL - ÇİZGİ ALTI SATENLİ - 10MM KARE YILDIZ KULP VE TEPE - TERS KAPAK +20 GÜMRÜK</t>
  </si>
  <si>
    <t>LİNES 20x11 TENCERE - DÜZ MODEL - ÇİZGİ ALTI SATENLİ - 10MM KARE YILDIZ KULP VE TEPE - TERS KAPAK +20 GÜMRÜK</t>
  </si>
  <si>
    <t>LİNES 28x18 TENCERE - DÜZ MODEL - ÇİZGİ ALTI SATENLİ - 10MM KARE YILDIZ KULP VE TEPE - TERS KAPAK +20 GÜMRÜK</t>
  </si>
  <si>
    <t>LİNES 26x8 TAVA - DÜZ MODEL - ÇİZGİ ALTI SATENLİ - 10MM KARE YILDIZ KULP VE TEPE  +20 GÜMRÜK</t>
  </si>
  <si>
    <t>YONCA 18x10 TENCERE - DÜZ MODEL-ÇİZGİ ALTI SATEN-10 MM KARE KULP VE VİDALI TEPE- TERS KAPAK - +15 GÜMRÜK</t>
  </si>
  <si>
    <t>YONCA 20x11 TENCERE - DÜZ MODEL-ÇİZGİ ALTI SATEN-10 MM KARE KULP VE VİDALI TEPE- TERS KAPAK - +15 GÜMRÜK</t>
  </si>
  <si>
    <t>YONCA 24x14 TENCERE - DÜZ MODEL-ÇİZGİ ALTI SATEN-10 MM KARE KULP VE VİDALI TEPE- TERS KAPAK - +15 GÜMRÜK</t>
  </si>
  <si>
    <t>YONCA 28x18 TENCERE - DÜZ MODEL-ÇİZGİ ALTI SATEN-10 MM KARE KULP VE VİDALI TEPE- TERS KAPAK - +15 GÜMRÜK</t>
  </si>
  <si>
    <t>YONCA 16x9 TENCERE - DÜZ MODEL-ÇİZGİ ALTI SATEN-10 MM KARE KULP VE VİDALI TEPE- TERS KAPAK - +15 GÜMRÜK</t>
  </si>
  <si>
    <t>YONCA 26x9 BASIK TENCERE - DÜZ MODEL-ÇİZGİ ALTI SATEN-10 MM KARE KULP VE VİDALI TEPE- TERS KAPAK - +15 GÜMRÜK</t>
  </si>
  <si>
    <t>YONCA 24x8 BASIK TENCERE - DÜZ MODEL-ÇİZGİ ALTI SATEN-10 MM KARE KULP VE VİDALI TEPE- TERS KAPAK - +15 GÜMRÜK</t>
  </si>
  <si>
    <t>SERAG COMP YONCA MARKA 19 PCS DİK TENCERE LİSTESİ</t>
  </si>
  <si>
    <t>AL OMAR LİNES MARKA 9 PCS DİK TENCERE LİSTESİ</t>
  </si>
  <si>
    <t>LİNES Ø22 8 LT DÜDÜKLÜ - TEK ÇİZGİ ALTI SATEN</t>
  </si>
  <si>
    <t>LİNES Ø22 10 LT DÜDÜKLÜ - TEK ÇİZGİ ALTI SATEN</t>
  </si>
  <si>
    <t>LİNES Ø22 12 LT DÜDÜKLÜ - TEK ÇİZGİ ALTI SATEN</t>
  </si>
  <si>
    <t>LİNES Ø22 8 LT DÜDÜKLÜ - ALTIN ÇEMBERLİ</t>
  </si>
  <si>
    <t>LİNES Ø22 10 LT DÜDÜKLÜ - ALTIN ÇEMBERLİ</t>
  </si>
  <si>
    <t>LİNES Ø22 12 LT DÜDÜKLÜ - ALTIN ÇEMBERLİ</t>
  </si>
  <si>
    <t>LİNES Ø22 12 LT CLİPSO DÜDÜKLÜ- GÜVEÇ MODEL -TEK KORDON ALTI SATEN</t>
  </si>
  <si>
    <t>MK BIÇAK</t>
  </si>
  <si>
    <t>LİNES Ø22 10 LT CLİPSO DÜDÜKLÜ- GÜVEÇ MODEL -TEK KORDON ALTI SATEN</t>
  </si>
  <si>
    <t>LİNES Ø22 8 LT CLİPSO DÜDÜKLÜ- GÜVEÇ MODEL -TEK KORDON ALTI SATEN</t>
  </si>
  <si>
    <t>PUNTA</t>
  </si>
  <si>
    <t>LİNES 8 PCS DİK BOYALI TENCERE LİSTESİ SETİ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</si>
</sst>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rgb="FFFFC000"/>
      <name val="Calibri"/>
      <family val="2"/>
      <charset val="162"/>
      <scheme val="minor"/>
    </font>
    <font>
      <b/>
      <sz val="12"/>
      <color theme="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/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3" fontId="1" fillId="2" borderId="4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53468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58387</xdr:colOff>
      <xdr:row>1</xdr:row>
      <xdr:rowOff>106310</xdr:rowOff>
    </xdr:from>
    <xdr:to>
      <xdr:col>1</xdr:col>
      <xdr:colOff>110796</xdr:colOff>
      <xdr:row>1</xdr:row>
      <xdr:rowOff>419514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7" y="487310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zoomScale="85" zoomScaleNormal="85" workbookViewId="0">
      <selection activeCell="E7" sqref="E7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45915</v>
      </c>
      <c r="J1" s="28"/>
    </row>
    <row r="2" spans="1:10" ht="40.049999999999997" customHeight="1" x14ac:dyDescent="0.3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/>
      <c r="B4" s="7"/>
      <c r="C4" s="1"/>
      <c r="D4" s="1"/>
      <c r="E4" s="2"/>
      <c r="F4" s="7"/>
      <c r="G4" s="7"/>
      <c r="H4" s="9"/>
      <c r="I4" s="10"/>
      <c r="J4" s="9">
        <f t="shared" ref="J4:J37" si="0">H4-I4</f>
        <v>0</v>
      </c>
    </row>
    <row r="5" spans="1:10" ht="19.95" customHeight="1" x14ac:dyDescent="0.3">
      <c r="A5" s="7"/>
      <c r="B5" s="7"/>
      <c r="C5" s="1"/>
      <c r="D5" s="1"/>
      <c r="E5" s="2"/>
      <c r="F5" s="7"/>
      <c r="G5" s="7"/>
      <c r="H5" s="9"/>
      <c r="I5" s="10"/>
      <c r="J5" s="9">
        <f t="shared" si="0"/>
        <v>0</v>
      </c>
    </row>
    <row r="6" spans="1:10" ht="19.95" customHeight="1" x14ac:dyDescent="0.3">
      <c r="A6" s="7"/>
      <c r="B6" s="7"/>
      <c r="C6" s="1"/>
      <c r="D6" s="1"/>
      <c r="E6" s="2"/>
      <c r="F6" s="7"/>
      <c r="G6" s="7"/>
      <c r="H6" s="9"/>
      <c r="I6" s="10"/>
      <c r="J6" s="9">
        <f t="shared" si="0"/>
        <v>0</v>
      </c>
    </row>
    <row r="7" spans="1:10" ht="19.95" customHeight="1" x14ac:dyDescent="0.3">
      <c r="A7" s="7"/>
      <c r="B7" s="7"/>
      <c r="C7" s="1"/>
      <c r="D7" s="1"/>
      <c r="E7" s="2"/>
      <c r="F7" s="7"/>
      <c r="G7" s="7"/>
      <c r="H7" s="9"/>
      <c r="I7" s="10"/>
      <c r="J7" s="9">
        <f t="shared" si="0"/>
        <v>0</v>
      </c>
    </row>
    <row r="8" spans="1:10" ht="19.95" customHeight="1" x14ac:dyDescent="0.3">
      <c r="A8" s="7"/>
      <c r="B8" s="7"/>
      <c r="C8" s="1"/>
      <c r="D8" s="1"/>
      <c r="E8" s="2"/>
      <c r="F8" s="7"/>
      <c r="G8" s="7"/>
      <c r="H8" s="9"/>
      <c r="I8" s="10"/>
      <c r="J8" s="9">
        <f t="shared" si="0"/>
        <v>0</v>
      </c>
    </row>
    <row r="9" spans="1:10" ht="19.95" customHeight="1" x14ac:dyDescent="0.3">
      <c r="A9" s="7"/>
      <c r="B9" s="7"/>
      <c r="C9" s="1"/>
      <c r="D9" s="1"/>
      <c r="E9" s="2"/>
      <c r="F9" s="7"/>
      <c r="G9" s="7"/>
      <c r="H9" s="9"/>
      <c r="I9" s="10"/>
      <c r="J9" s="9">
        <f t="shared" si="0"/>
        <v>0</v>
      </c>
    </row>
    <row r="10" spans="1:10" ht="19.95" customHeight="1" x14ac:dyDescent="0.3">
      <c r="A10" s="7"/>
      <c r="B10" s="7"/>
      <c r="C10" s="1"/>
      <c r="D10" s="1"/>
      <c r="E10" s="2"/>
      <c r="F10" s="7"/>
      <c r="G10" s="7"/>
      <c r="H10" s="9"/>
      <c r="I10" s="10"/>
      <c r="J10" s="9">
        <f t="shared" si="0"/>
        <v>0</v>
      </c>
    </row>
    <row r="11" spans="1:10" ht="19.95" customHeight="1" x14ac:dyDescent="0.3">
      <c r="A11" s="7"/>
      <c r="B11" s="7"/>
      <c r="C11" s="1"/>
      <c r="D11" s="1"/>
      <c r="E11" s="2"/>
      <c r="F11" s="7"/>
      <c r="G11" s="7"/>
      <c r="H11" s="9"/>
      <c r="I11" s="10"/>
      <c r="J11" s="9">
        <f t="shared" si="0"/>
        <v>0</v>
      </c>
    </row>
    <row r="12" spans="1:10" ht="19.95" customHeight="1" x14ac:dyDescent="0.3">
      <c r="A12" s="7"/>
      <c r="B12" s="7"/>
      <c r="C12" s="1"/>
      <c r="D12" s="1"/>
      <c r="E12" s="2"/>
      <c r="F12" s="7"/>
      <c r="G12" s="7"/>
      <c r="H12" s="9"/>
      <c r="I12" s="10"/>
      <c r="J12" s="9">
        <f t="shared" si="0"/>
        <v>0</v>
      </c>
    </row>
    <row r="13" spans="1:10" ht="19.95" customHeight="1" x14ac:dyDescent="0.3">
      <c r="A13" s="7"/>
      <c r="B13" s="7"/>
      <c r="C13" s="1"/>
      <c r="D13" s="1"/>
      <c r="E13" s="2"/>
      <c r="F13" s="7"/>
      <c r="G13" s="7"/>
      <c r="H13" s="9"/>
      <c r="I13" s="10"/>
      <c r="J13" s="9">
        <f t="shared" si="0"/>
        <v>0</v>
      </c>
    </row>
    <row r="14" spans="1:10" ht="19.95" customHeight="1" x14ac:dyDescent="0.3">
      <c r="A14" s="7"/>
      <c r="B14" s="7"/>
      <c r="C14" s="1"/>
      <c r="D14" s="1"/>
      <c r="E14" s="2"/>
      <c r="F14" s="7"/>
      <c r="G14" s="7"/>
      <c r="H14" s="9"/>
      <c r="I14" s="10"/>
      <c r="J14" s="9">
        <f t="shared" si="0"/>
        <v>0</v>
      </c>
    </row>
    <row r="15" spans="1:10" ht="19.95" customHeight="1" x14ac:dyDescent="0.3">
      <c r="A15" s="7"/>
      <c r="B15" s="7"/>
      <c r="C15" s="1"/>
      <c r="D15" s="1"/>
      <c r="E15" s="2"/>
      <c r="F15" s="7"/>
      <c r="G15" s="7"/>
      <c r="H15" s="9"/>
      <c r="I15" s="10"/>
      <c r="J15" s="9">
        <f t="shared" si="0"/>
        <v>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>
        <f t="shared" si="0"/>
        <v>0</v>
      </c>
    </row>
    <row r="17" spans="1:10" ht="19.95" customHeight="1" x14ac:dyDescent="0.3">
      <c r="A17" s="7"/>
      <c r="B17" s="7"/>
      <c r="C17" s="1"/>
      <c r="D17" s="1"/>
      <c r="E17" s="2"/>
      <c r="F17" s="7"/>
      <c r="G17" s="7"/>
      <c r="H17" s="9"/>
      <c r="I17" s="10"/>
      <c r="J17" s="9">
        <f t="shared" si="0"/>
        <v>0</v>
      </c>
    </row>
    <row r="18" spans="1:10" ht="19.95" customHeight="1" x14ac:dyDescent="0.3">
      <c r="A18" s="7"/>
      <c r="B18" s="7"/>
      <c r="C18" s="1"/>
      <c r="D18" s="1"/>
      <c r="E18" s="2"/>
      <c r="F18" s="7"/>
      <c r="G18" s="7"/>
      <c r="H18" s="9"/>
      <c r="I18" s="10"/>
      <c r="J18" s="9">
        <f t="shared" si="0"/>
        <v>0</v>
      </c>
    </row>
    <row r="19" spans="1:10" ht="19.95" customHeight="1" x14ac:dyDescent="0.3">
      <c r="A19" s="7"/>
      <c r="B19" s="7"/>
      <c r="C19" s="1"/>
      <c r="D19" s="1"/>
      <c r="E19" s="2"/>
      <c r="F19" s="7"/>
      <c r="G19" s="7"/>
      <c r="H19" s="9"/>
      <c r="I19" s="10"/>
      <c r="J19" s="9">
        <f t="shared" si="0"/>
        <v>0</v>
      </c>
    </row>
    <row r="20" spans="1:10" ht="19.95" customHeight="1" x14ac:dyDescent="0.3">
      <c r="A20" s="7"/>
      <c r="B20" s="7"/>
      <c r="C20" s="1"/>
      <c r="D20" s="1"/>
      <c r="E20" s="2"/>
      <c r="F20" s="7"/>
      <c r="G20" s="7"/>
      <c r="H20" s="9"/>
      <c r="I20" s="10"/>
      <c r="J20" s="9">
        <f t="shared" si="0"/>
        <v>0</v>
      </c>
    </row>
    <row r="21" spans="1:10" ht="19.95" customHeight="1" x14ac:dyDescent="0.3">
      <c r="A21" s="7"/>
      <c r="B21" s="7"/>
      <c r="C21" s="1"/>
      <c r="D21" s="1"/>
      <c r="E21" s="2"/>
      <c r="F21" s="7"/>
      <c r="G21" s="7"/>
      <c r="H21" s="9"/>
      <c r="I21" s="10"/>
      <c r="J21" s="9">
        <f t="shared" si="0"/>
        <v>0</v>
      </c>
    </row>
    <row r="22" spans="1:10" ht="19.95" customHeight="1" x14ac:dyDescent="0.3">
      <c r="A22" s="7"/>
      <c r="B22" s="7"/>
      <c r="C22" s="1"/>
      <c r="D22" s="1"/>
      <c r="E22" s="2"/>
      <c r="F22" s="7"/>
      <c r="G22" s="7"/>
      <c r="H22" s="9"/>
      <c r="I22" s="10"/>
      <c r="J22" s="9">
        <f t="shared" si="0"/>
        <v>0</v>
      </c>
    </row>
    <row r="23" spans="1:10" ht="19.95" customHeight="1" x14ac:dyDescent="0.3">
      <c r="A23" s="7"/>
      <c r="B23" s="7"/>
      <c r="C23" s="1"/>
      <c r="D23" s="1"/>
      <c r="E23" s="2"/>
      <c r="F23" s="7"/>
      <c r="G23" s="7"/>
      <c r="H23" s="9"/>
      <c r="I23" s="10"/>
      <c r="J23" s="9">
        <f t="shared" si="0"/>
        <v>0</v>
      </c>
    </row>
    <row r="24" spans="1:10" ht="19.95" customHeight="1" x14ac:dyDescent="0.3">
      <c r="A24" s="7"/>
      <c r="B24" s="7"/>
      <c r="C24" s="1"/>
      <c r="D24" s="1"/>
      <c r="E24" s="2"/>
      <c r="F24" s="7"/>
      <c r="G24" s="7"/>
      <c r="H24" s="9"/>
      <c r="I24" s="10"/>
      <c r="J24" s="9">
        <f t="shared" si="0"/>
        <v>0</v>
      </c>
    </row>
    <row r="25" spans="1:10" ht="15.6" x14ac:dyDescent="0.3">
      <c r="A25" s="7"/>
      <c r="B25" s="7"/>
      <c r="C25" s="1"/>
      <c r="D25" s="1"/>
      <c r="E25" s="2"/>
      <c r="F25" s="7"/>
      <c r="G25" s="7"/>
      <c r="H25" s="9"/>
      <c r="I25" s="10"/>
      <c r="J25" s="9">
        <f t="shared" si="0"/>
        <v>0</v>
      </c>
    </row>
    <row r="26" spans="1:10" ht="15.6" x14ac:dyDescent="0.3">
      <c r="A26" s="7"/>
      <c r="B26" s="7"/>
      <c r="C26" s="1"/>
      <c r="D26" s="1"/>
      <c r="E26" s="2"/>
      <c r="F26" s="7"/>
      <c r="G26" s="7"/>
      <c r="H26" s="9"/>
      <c r="I26" s="10"/>
      <c r="J26" s="9">
        <f t="shared" si="0"/>
        <v>0</v>
      </c>
    </row>
    <row r="27" spans="1:10" ht="15.6" x14ac:dyDescent="0.3">
      <c r="A27" s="7"/>
      <c r="B27" s="7"/>
      <c r="C27" s="1"/>
      <c r="D27" s="1"/>
      <c r="E27" s="2"/>
      <c r="F27" s="7"/>
      <c r="G27" s="7"/>
      <c r="H27" s="9"/>
      <c r="I27" s="10"/>
      <c r="J27" s="9">
        <f t="shared" si="0"/>
        <v>0</v>
      </c>
    </row>
    <row r="28" spans="1:10" ht="15.6" x14ac:dyDescent="0.3">
      <c r="A28" s="7"/>
      <c r="B28" s="7"/>
      <c r="C28" s="1"/>
      <c r="D28" s="1"/>
      <c r="E28" s="2"/>
      <c r="F28" s="7"/>
      <c r="G28" s="7"/>
      <c r="H28" s="9"/>
      <c r="I28" s="10"/>
      <c r="J28" s="9">
        <f t="shared" si="0"/>
        <v>0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>
        <f t="shared" si="0"/>
        <v>0</v>
      </c>
    </row>
    <row r="30" spans="1:10" ht="15.6" x14ac:dyDescent="0.3">
      <c r="A30" s="7"/>
      <c r="B30" s="7"/>
      <c r="C30" s="1"/>
      <c r="D30" s="1"/>
      <c r="E30" s="2"/>
      <c r="F30" s="7"/>
      <c r="G30" s="7"/>
      <c r="H30" s="9"/>
      <c r="I30" s="10"/>
      <c r="J30" s="9">
        <f t="shared" si="0"/>
        <v>0</v>
      </c>
    </row>
    <row r="31" spans="1:10" ht="15.6" x14ac:dyDescent="0.3">
      <c r="A31" s="7"/>
      <c r="B31" s="7"/>
      <c r="C31" s="1"/>
      <c r="D31" s="1"/>
      <c r="E31" s="2"/>
      <c r="F31" s="7"/>
      <c r="G31" s="7"/>
      <c r="H31" s="9"/>
      <c r="I31" s="10"/>
      <c r="J31" s="9">
        <f t="shared" si="0"/>
        <v>0</v>
      </c>
    </row>
    <row r="32" spans="1:10" ht="15.6" x14ac:dyDescent="0.3">
      <c r="A32" s="7"/>
      <c r="B32" s="7"/>
      <c r="C32" s="1"/>
      <c r="D32" s="1"/>
      <c r="E32" s="2"/>
      <c r="F32" s="7"/>
      <c r="G32" s="7"/>
      <c r="H32" s="9"/>
      <c r="I32" s="10"/>
      <c r="J32" s="9">
        <f t="shared" si="0"/>
        <v>0</v>
      </c>
    </row>
    <row r="33" spans="1:10" ht="15.6" x14ac:dyDescent="0.3">
      <c r="A33" s="7"/>
      <c r="B33" s="7"/>
      <c r="C33" s="1"/>
      <c r="D33" s="1"/>
      <c r="E33" s="2"/>
      <c r="F33" s="7"/>
      <c r="G33" s="7"/>
      <c r="H33" s="9"/>
      <c r="I33" s="10"/>
      <c r="J33" s="9">
        <f t="shared" si="0"/>
        <v>0</v>
      </c>
    </row>
    <row r="34" spans="1:10" ht="15.6" x14ac:dyDescent="0.3">
      <c r="A34" s="7"/>
      <c r="B34" s="7"/>
      <c r="C34" s="1"/>
      <c r="D34" s="1"/>
      <c r="E34" s="2"/>
      <c r="F34" s="7"/>
      <c r="G34" s="7"/>
      <c r="H34" s="9"/>
      <c r="I34" s="10"/>
      <c r="J34" s="9">
        <f t="shared" si="0"/>
        <v>0</v>
      </c>
    </row>
    <row r="35" spans="1:10" ht="15.6" x14ac:dyDescent="0.3">
      <c r="A35" s="7"/>
      <c r="B35" s="7"/>
      <c r="C35" s="1"/>
      <c r="D35" s="1"/>
      <c r="E35" s="2"/>
      <c r="F35" s="7"/>
      <c r="G35" s="7"/>
      <c r="H35" s="9"/>
      <c r="I35" s="10"/>
      <c r="J35" s="9">
        <f t="shared" si="0"/>
        <v>0</v>
      </c>
    </row>
    <row r="36" spans="1:10" ht="15.6" x14ac:dyDescent="0.3">
      <c r="A36" s="7"/>
      <c r="B36" s="7"/>
      <c r="C36" s="1"/>
      <c r="D36" s="1"/>
      <c r="E36" s="2"/>
      <c r="F36" s="7"/>
      <c r="G36" s="7"/>
      <c r="H36" s="9"/>
      <c r="I36" s="10"/>
      <c r="J36" s="9">
        <f t="shared" si="0"/>
        <v>0</v>
      </c>
    </row>
    <row r="37" spans="1:10" ht="15.6" x14ac:dyDescent="0.3">
      <c r="A37" s="7"/>
      <c r="B37" s="7"/>
      <c r="C37" s="1"/>
      <c r="D37" s="1"/>
      <c r="E37" s="2"/>
      <c r="F37" s="7"/>
      <c r="G37" s="7"/>
      <c r="H37" s="9"/>
      <c r="I37" s="10"/>
      <c r="J37" s="9">
        <f t="shared" si="0"/>
        <v>0</v>
      </c>
    </row>
    <row r="38" spans="1:10" ht="15.6" x14ac:dyDescent="0.3">
      <c r="A38" s="11"/>
      <c r="B38" s="11"/>
      <c r="C38" s="12"/>
      <c r="D38" s="12"/>
      <c r="E38" s="13"/>
      <c r="F38" s="11"/>
      <c r="G38" s="14"/>
      <c r="H38" s="9">
        <f>SUM(H4:H37)</f>
        <v>0</v>
      </c>
      <c r="I38" s="10">
        <f>SUM(I4:I37)</f>
        <v>0</v>
      </c>
      <c r="J38" s="9">
        <f>SUM(J4:J37)</f>
        <v>0</v>
      </c>
    </row>
  </sheetData>
  <autoFilter ref="A3:J38"/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zoomScale="85" zoomScaleNormal="85" workbookViewId="0">
      <selection activeCell="E13" sqref="E13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45915</v>
      </c>
      <c r="J1" s="28"/>
    </row>
    <row r="2" spans="1:10" ht="40.049999999999997" customHeight="1" x14ac:dyDescent="0.3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 t="s">
        <v>35</v>
      </c>
      <c r="B4" s="7">
        <v>430</v>
      </c>
      <c r="C4" s="1">
        <v>0.5</v>
      </c>
      <c r="D4" s="1" t="s">
        <v>12</v>
      </c>
      <c r="E4" s="2" t="s">
        <v>13</v>
      </c>
      <c r="F4" s="7" t="s">
        <v>34</v>
      </c>
      <c r="G4" s="7">
        <v>430</v>
      </c>
      <c r="H4" s="9">
        <v>1000</v>
      </c>
      <c r="I4" s="10"/>
      <c r="J4" s="9">
        <f t="shared" ref="J4:J15" si="0">H4-I4</f>
        <v>1000</v>
      </c>
    </row>
    <row r="5" spans="1:10" ht="19.95" customHeight="1" x14ac:dyDescent="0.3">
      <c r="A5" s="7" t="s">
        <v>36</v>
      </c>
      <c r="B5" s="7">
        <v>430</v>
      </c>
      <c r="C5" s="1">
        <v>0.5</v>
      </c>
      <c r="D5" s="1" t="s">
        <v>12</v>
      </c>
      <c r="E5" s="2" t="s">
        <v>28</v>
      </c>
      <c r="F5" s="7" t="s">
        <v>34</v>
      </c>
      <c r="G5" s="7">
        <v>430</v>
      </c>
      <c r="H5" s="9">
        <v>1000</v>
      </c>
      <c r="I5" s="10"/>
      <c r="J5" s="9">
        <f t="shared" si="0"/>
        <v>1000</v>
      </c>
    </row>
    <row r="6" spans="1:10" ht="19.95" customHeight="1" x14ac:dyDescent="0.3">
      <c r="A6" s="7" t="s">
        <v>36</v>
      </c>
      <c r="B6" s="7">
        <v>430</v>
      </c>
      <c r="C6" s="1">
        <v>0.5</v>
      </c>
      <c r="D6" s="1" t="s">
        <v>12</v>
      </c>
      <c r="E6" s="2" t="s">
        <v>15</v>
      </c>
      <c r="F6" s="7" t="s">
        <v>34</v>
      </c>
      <c r="G6" s="7">
        <v>430</v>
      </c>
      <c r="H6" s="9">
        <v>1000</v>
      </c>
      <c r="I6" s="10"/>
      <c r="J6" s="9">
        <f t="shared" si="0"/>
        <v>1000</v>
      </c>
    </row>
    <row r="7" spans="1:10" ht="19.95" customHeight="1" x14ac:dyDescent="0.3">
      <c r="A7" s="7">
        <v>250063</v>
      </c>
      <c r="B7" s="7">
        <v>430</v>
      </c>
      <c r="C7" s="1">
        <v>0.5</v>
      </c>
      <c r="D7" s="1" t="s">
        <v>12</v>
      </c>
      <c r="E7" s="2" t="s">
        <v>29</v>
      </c>
      <c r="F7" s="7" t="s">
        <v>34</v>
      </c>
      <c r="G7" s="7">
        <v>430</v>
      </c>
      <c r="H7" s="9">
        <v>1000</v>
      </c>
      <c r="I7" s="10"/>
      <c r="J7" s="9">
        <f t="shared" si="0"/>
        <v>1000</v>
      </c>
    </row>
    <row r="8" spans="1:10" ht="19.95" customHeight="1" x14ac:dyDescent="0.3">
      <c r="A8" s="7">
        <v>250063</v>
      </c>
      <c r="B8" s="7">
        <v>430</v>
      </c>
      <c r="C8" s="1">
        <v>0.5</v>
      </c>
      <c r="D8" s="1" t="s">
        <v>12</v>
      </c>
      <c r="E8" s="2" t="s">
        <v>18</v>
      </c>
      <c r="F8" s="7" t="s">
        <v>34</v>
      </c>
      <c r="G8" s="7">
        <v>430</v>
      </c>
      <c r="H8" s="9">
        <v>1250</v>
      </c>
      <c r="I8" s="10"/>
      <c r="J8" s="9">
        <f t="shared" si="0"/>
        <v>1250</v>
      </c>
    </row>
    <row r="9" spans="1:10" ht="19.95" customHeight="1" x14ac:dyDescent="0.3">
      <c r="A9" s="7">
        <v>250063</v>
      </c>
      <c r="B9" s="7">
        <v>430</v>
      </c>
      <c r="C9" s="1">
        <v>0.5</v>
      </c>
      <c r="D9" s="1" t="s">
        <v>12</v>
      </c>
      <c r="E9" s="2" t="s">
        <v>30</v>
      </c>
      <c r="F9" s="7" t="s">
        <v>34</v>
      </c>
      <c r="G9" s="7">
        <v>430</v>
      </c>
      <c r="H9" s="9">
        <v>1250</v>
      </c>
      <c r="I9" s="10"/>
      <c r="J9" s="9">
        <f t="shared" si="0"/>
        <v>1250</v>
      </c>
    </row>
    <row r="10" spans="1:10" ht="19.95" customHeight="1" x14ac:dyDescent="0.3">
      <c r="A10" s="7">
        <v>250063</v>
      </c>
      <c r="B10" s="7">
        <v>430</v>
      </c>
      <c r="C10" s="1">
        <v>0.5</v>
      </c>
      <c r="D10" s="1" t="s">
        <v>12</v>
      </c>
      <c r="E10" s="2" t="s">
        <v>21</v>
      </c>
      <c r="F10" s="7" t="s">
        <v>34</v>
      </c>
      <c r="G10" s="7">
        <v>430</v>
      </c>
      <c r="H10" s="9">
        <v>1250</v>
      </c>
      <c r="I10" s="10"/>
      <c r="J10" s="9">
        <f t="shared" si="0"/>
        <v>1250</v>
      </c>
    </row>
    <row r="11" spans="1:10" ht="19.95" customHeight="1" x14ac:dyDescent="0.3">
      <c r="A11" s="7">
        <v>250063</v>
      </c>
      <c r="B11" s="7">
        <v>430</v>
      </c>
      <c r="C11" s="1">
        <v>0.5</v>
      </c>
      <c r="D11" s="1" t="s">
        <v>12</v>
      </c>
      <c r="E11" s="2" t="s">
        <v>31</v>
      </c>
      <c r="F11" s="7" t="s">
        <v>34</v>
      </c>
      <c r="G11" s="7">
        <v>430</v>
      </c>
      <c r="H11" s="9">
        <v>1250</v>
      </c>
      <c r="I11" s="10"/>
      <c r="J11" s="9">
        <f t="shared" si="0"/>
        <v>1250</v>
      </c>
    </row>
    <row r="12" spans="1:10" ht="19.95" customHeight="1" x14ac:dyDescent="0.3">
      <c r="A12" s="7">
        <v>250063</v>
      </c>
      <c r="B12" s="7">
        <v>430</v>
      </c>
      <c r="C12" s="1">
        <v>0.5</v>
      </c>
      <c r="D12" s="1" t="s">
        <v>12</v>
      </c>
      <c r="E12" s="2" t="s">
        <v>24</v>
      </c>
      <c r="F12" s="7" t="s">
        <v>34</v>
      </c>
      <c r="G12" s="7">
        <v>430</v>
      </c>
      <c r="H12" s="9">
        <v>1250</v>
      </c>
      <c r="I12" s="10"/>
      <c r="J12" s="9">
        <f t="shared" si="0"/>
        <v>1250</v>
      </c>
    </row>
    <row r="13" spans="1:10" ht="19.95" customHeight="1" x14ac:dyDescent="0.3">
      <c r="A13" s="7">
        <v>250063</v>
      </c>
      <c r="B13" s="7">
        <v>430</v>
      </c>
      <c r="C13" s="1">
        <v>0.5</v>
      </c>
      <c r="D13" s="1" t="s">
        <v>12</v>
      </c>
      <c r="E13" s="2" t="s">
        <v>32</v>
      </c>
      <c r="F13" s="7" t="s">
        <v>34</v>
      </c>
      <c r="G13" s="7">
        <v>430</v>
      </c>
      <c r="H13" s="9">
        <v>1250</v>
      </c>
      <c r="I13" s="10"/>
      <c r="J13" s="9">
        <f t="shared" si="0"/>
        <v>1250</v>
      </c>
    </row>
    <row r="14" spans="1:10" ht="19.95" customHeight="1" x14ac:dyDescent="0.3">
      <c r="A14" s="7">
        <v>250063</v>
      </c>
      <c r="B14" s="7">
        <v>430</v>
      </c>
      <c r="C14" s="1">
        <v>0.5</v>
      </c>
      <c r="D14" s="1" t="s">
        <v>12</v>
      </c>
      <c r="E14" s="2" t="s">
        <v>26</v>
      </c>
      <c r="F14" s="7" t="s">
        <v>34</v>
      </c>
      <c r="G14" s="7">
        <v>430</v>
      </c>
      <c r="H14" s="9">
        <v>1000</v>
      </c>
      <c r="I14" s="10"/>
      <c r="J14" s="9">
        <f t="shared" si="0"/>
        <v>1000</v>
      </c>
    </row>
    <row r="15" spans="1:10" ht="19.95" customHeight="1" x14ac:dyDescent="0.3">
      <c r="A15" s="7">
        <v>250063</v>
      </c>
      <c r="B15" s="7">
        <v>430</v>
      </c>
      <c r="C15" s="1">
        <v>0.5</v>
      </c>
      <c r="D15" s="1" t="s">
        <v>12</v>
      </c>
      <c r="E15" s="2" t="s">
        <v>33</v>
      </c>
      <c r="F15" s="7" t="s">
        <v>34</v>
      </c>
      <c r="G15" s="7">
        <v>430</v>
      </c>
      <c r="H15" s="9">
        <v>1000</v>
      </c>
      <c r="I15" s="10"/>
      <c r="J15" s="9">
        <f t="shared" si="0"/>
        <v>1000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/>
    </row>
    <row r="17" spans="1:10" ht="19.95" customHeight="1" x14ac:dyDescent="0.3">
      <c r="A17" s="7">
        <v>250064</v>
      </c>
      <c r="B17" s="7">
        <v>430</v>
      </c>
      <c r="C17" s="1">
        <v>0.5</v>
      </c>
      <c r="D17" s="1" t="s">
        <v>12</v>
      </c>
      <c r="E17" s="2" t="s">
        <v>14</v>
      </c>
      <c r="F17" s="7" t="s">
        <v>34</v>
      </c>
      <c r="G17" s="7">
        <v>430</v>
      </c>
      <c r="H17" s="9">
        <v>1000</v>
      </c>
      <c r="I17" s="10"/>
      <c r="J17" s="9">
        <f t="shared" ref="J17:J28" si="1">H17-I17</f>
        <v>1000</v>
      </c>
    </row>
    <row r="18" spans="1:10" ht="19.95" customHeight="1" x14ac:dyDescent="0.3">
      <c r="A18" s="7">
        <v>250064</v>
      </c>
      <c r="B18" s="7">
        <v>430</v>
      </c>
      <c r="C18" s="1">
        <v>0.5</v>
      </c>
      <c r="D18" s="1" t="s">
        <v>12</v>
      </c>
      <c r="E18" s="2" t="s">
        <v>28</v>
      </c>
      <c r="F18" s="7" t="s">
        <v>34</v>
      </c>
      <c r="G18" s="7">
        <v>430</v>
      </c>
      <c r="H18" s="9">
        <v>1000</v>
      </c>
      <c r="I18" s="10"/>
      <c r="J18" s="9">
        <f t="shared" si="1"/>
        <v>1000</v>
      </c>
    </row>
    <row r="19" spans="1:10" ht="19.95" customHeight="1" x14ac:dyDescent="0.3">
      <c r="A19" s="7">
        <v>250064</v>
      </c>
      <c r="B19" s="7">
        <v>430</v>
      </c>
      <c r="C19" s="1">
        <v>0.5</v>
      </c>
      <c r="D19" s="1" t="s">
        <v>12</v>
      </c>
      <c r="E19" s="2" t="s">
        <v>17</v>
      </c>
      <c r="F19" s="7" t="s">
        <v>34</v>
      </c>
      <c r="G19" s="7">
        <v>430</v>
      </c>
      <c r="H19" s="9">
        <v>1000</v>
      </c>
      <c r="I19" s="10"/>
      <c r="J19" s="9">
        <f t="shared" si="1"/>
        <v>1000</v>
      </c>
    </row>
    <row r="20" spans="1:10" ht="19.95" customHeight="1" x14ac:dyDescent="0.3">
      <c r="A20" s="7">
        <v>250064</v>
      </c>
      <c r="B20" s="7">
        <v>430</v>
      </c>
      <c r="C20" s="1">
        <v>0.5</v>
      </c>
      <c r="D20" s="1" t="s">
        <v>12</v>
      </c>
      <c r="E20" s="2" t="s">
        <v>29</v>
      </c>
      <c r="F20" s="7" t="s">
        <v>34</v>
      </c>
      <c r="G20" s="7">
        <v>430</v>
      </c>
      <c r="H20" s="9">
        <v>1000</v>
      </c>
      <c r="I20" s="10"/>
      <c r="J20" s="9">
        <f t="shared" si="1"/>
        <v>1000</v>
      </c>
    </row>
    <row r="21" spans="1:10" ht="19.95" customHeight="1" x14ac:dyDescent="0.3">
      <c r="A21" s="7">
        <v>250064</v>
      </c>
      <c r="B21" s="7">
        <v>430</v>
      </c>
      <c r="C21" s="1">
        <v>0.5</v>
      </c>
      <c r="D21" s="1" t="s">
        <v>12</v>
      </c>
      <c r="E21" s="2" t="s">
        <v>20</v>
      </c>
      <c r="F21" s="7" t="s">
        <v>34</v>
      </c>
      <c r="G21" s="7">
        <v>430</v>
      </c>
      <c r="H21" s="9">
        <v>1250</v>
      </c>
      <c r="I21" s="10"/>
      <c r="J21" s="9">
        <f t="shared" si="1"/>
        <v>1250</v>
      </c>
    </row>
    <row r="22" spans="1:10" ht="19.95" customHeight="1" x14ac:dyDescent="0.3">
      <c r="A22" s="7">
        <v>250064</v>
      </c>
      <c r="B22" s="7">
        <v>430</v>
      </c>
      <c r="C22" s="1">
        <v>0.5</v>
      </c>
      <c r="D22" s="1" t="s">
        <v>12</v>
      </c>
      <c r="E22" s="2" t="s">
        <v>30</v>
      </c>
      <c r="F22" s="7" t="s">
        <v>34</v>
      </c>
      <c r="G22" s="7">
        <v>430</v>
      </c>
      <c r="H22" s="9">
        <v>1250</v>
      </c>
      <c r="I22" s="10"/>
      <c r="J22" s="9">
        <f t="shared" si="1"/>
        <v>1250</v>
      </c>
    </row>
    <row r="23" spans="1:10" ht="19.95" customHeight="1" x14ac:dyDescent="0.3">
      <c r="A23" s="7">
        <v>250064</v>
      </c>
      <c r="B23" s="7">
        <v>430</v>
      </c>
      <c r="C23" s="1">
        <v>0.5</v>
      </c>
      <c r="D23" s="1" t="s">
        <v>12</v>
      </c>
      <c r="E23" s="2" t="s">
        <v>23</v>
      </c>
      <c r="F23" s="7" t="s">
        <v>34</v>
      </c>
      <c r="G23" s="7">
        <v>430</v>
      </c>
      <c r="H23" s="9">
        <v>1250</v>
      </c>
      <c r="I23" s="10"/>
      <c r="J23" s="9">
        <f t="shared" si="1"/>
        <v>1250</v>
      </c>
    </row>
    <row r="24" spans="1:10" ht="19.95" customHeight="1" x14ac:dyDescent="0.3">
      <c r="A24" s="7">
        <v>250064</v>
      </c>
      <c r="B24" s="7">
        <v>430</v>
      </c>
      <c r="C24" s="1">
        <v>0.5</v>
      </c>
      <c r="D24" s="1" t="s">
        <v>12</v>
      </c>
      <c r="E24" s="2" t="s">
        <v>31</v>
      </c>
      <c r="F24" s="7" t="s">
        <v>34</v>
      </c>
      <c r="G24" s="7">
        <v>430</v>
      </c>
      <c r="H24" s="9">
        <v>1250</v>
      </c>
      <c r="I24" s="10"/>
      <c r="J24" s="9">
        <f t="shared" si="1"/>
        <v>1250</v>
      </c>
    </row>
    <row r="25" spans="1:10" ht="15.6" x14ac:dyDescent="0.3">
      <c r="A25" s="7">
        <v>250064</v>
      </c>
      <c r="B25" s="7">
        <v>430</v>
      </c>
      <c r="C25" s="1">
        <v>0.5</v>
      </c>
      <c r="D25" s="1" t="s">
        <v>12</v>
      </c>
      <c r="E25" s="2" t="s">
        <v>25</v>
      </c>
      <c r="F25" s="7" t="s">
        <v>34</v>
      </c>
      <c r="G25" s="7">
        <v>430</v>
      </c>
      <c r="H25" s="9">
        <v>1250</v>
      </c>
      <c r="I25" s="10"/>
      <c r="J25" s="9">
        <f t="shared" si="1"/>
        <v>1250</v>
      </c>
    </row>
    <row r="26" spans="1:10" ht="15.6" x14ac:dyDescent="0.3">
      <c r="A26" s="7">
        <v>250064</v>
      </c>
      <c r="B26" s="7">
        <v>430</v>
      </c>
      <c r="C26" s="1">
        <v>0.5</v>
      </c>
      <c r="D26" s="1" t="s">
        <v>12</v>
      </c>
      <c r="E26" s="2" t="s">
        <v>32</v>
      </c>
      <c r="F26" s="7" t="s">
        <v>34</v>
      </c>
      <c r="G26" s="7">
        <v>430</v>
      </c>
      <c r="H26" s="9">
        <v>1250</v>
      </c>
      <c r="I26" s="10"/>
      <c r="J26" s="9">
        <f t="shared" si="1"/>
        <v>1250</v>
      </c>
    </row>
    <row r="27" spans="1:10" ht="15.6" x14ac:dyDescent="0.3">
      <c r="A27" s="7">
        <v>250064</v>
      </c>
      <c r="B27" s="7">
        <v>430</v>
      </c>
      <c r="C27" s="1">
        <v>0.5</v>
      </c>
      <c r="D27" s="1" t="s">
        <v>12</v>
      </c>
      <c r="E27" s="2" t="s">
        <v>27</v>
      </c>
      <c r="F27" s="7" t="s">
        <v>34</v>
      </c>
      <c r="G27" s="7">
        <v>430</v>
      </c>
      <c r="H27" s="9">
        <v>1000</v>
      </c>
      <c r="I27" s="10"/>
      <c r="J27" s="9">
        <f t="shared" si="1"/>
        <v>1000</v>
      </c>
    </row>
    <row r="28" spans="1:10" ht="15.6" x14ac:dyDescent="0.3">
      <c r="A28" s="7">
        <v>250064</v>
      </c>
      <c r="B28" s="7">
        <v>430</v>
      </c>
      <c r="C28" s="1">
        <v>0.5</v>
      </c>
      <c r="D28" s="1" t="s">
        <v>12</v>
      </c>
      <c r="E28" s="2" t="s">
        <v>33</v>
      </c>
      <c r="F28" s="7" t="s">
        <v>34</v>
      </c>
      <c r="G28" s="7">
        <v>430</v>
      </c>
      <c r="H28" s="9">
        <v>1000</v>
      </c>
      <c r="I28" s="10"/>
      <c r="J28" s="9">
        <f t="shared" si="1"/>
        <v>1000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/>
    </row>
    <row r="30" spans="1:10" ht="15.6" x14ac:dyDescent="0.3">
      <c r="A30" s="7">
        <v>250067</v>
      </c>
      <c r="B30" s="7">
        <v>430</v>
      </c>
      <c r="C30" s="1">
        <v>0.5</v>
      </c>
      <c r="D30" s="1" t="s">
        <v>12</v>
      </c>
      <c r="E30" s="2" t="s">
        <v>16</v>
      </c>
      <c r="F30" s="7" t="s">
        <v>34</v>
      </c>
      <c r="G30" s="7">
        <v>430</v>
      </c>
      <c r="H30" s="9">
        <v>1000</v>
      </c>
      <c r="I30" s="10"/>
      <c r="J30" s="9">
        <f t="shared" ref="J30:J35" si="2">H30-I30</f>
        <v>1000</v>
      </c>
    </row>
    <row r="31" spans="1:10" ht="15.6" x14ac:dyDescent="0.3">
      <c r="A31" s="7">
        <v>250067</v>
      </c>
      <c r="B31" s="7">
        <v>430</v>
      </c>
      <c r="C31" s="1">
        <v>0.5</v>
      </c>
      <c r="D31" s="1" t="s">
        <v>12</v>
      </c>
      <c r="E31" s="2" t="s">
        <v>29</v>
      </c>
      <c r="F31" s="7" t="s">
        <v>34</v>
      </c>
      <c r="G31" s="7">
        <v>430</v>
      </c>
      <c r="H31" s="9">
        <v>1000</v>
      </c>
      <c r="I31" s="10"/>
      <c r="J31" s="9">
        <f t="shared" si="2"/>
        <v>1000</v>
      </c>
    </row>
    <row r="32" spans="1:10" ht="15.6" x14ac:dyDescent="0.3">
      <c r="A32" s="7">
        <v>250067</v>
      </c>
      <c r="B32" s="7">
        <v>430</v>
      </c>
      <c r="C32" s="1">
        <v>0.5</v>
      </c>
      <c r="D32" s="1" t="s">
        <v>12</v>
      </c>
      <c r="E32" s="2" t="s">
        <v>19</v>
      </c>
      <c r="F32" s="7" t="s">
        <v>34</v>
      </c>
      <c r="G32" s="7">
        <v>430</v>
      </c>
      <c r="H32" s="9">
        <v>1000</v>
      </c>
      <c r="I32" s="10"/>
      <c r="J32" s="9">
        <f t="shared" si="2"/>
        <v>1000</v>
      </c>
    </row>
    <row r="33" spans="1:10" ht="15.6" x14ac:dyDescent="0.3">
      <c r="A33" s="7">
        <v>250067</v>
      </c>
      <c r="B33" s="7">
        <v>430</v>
      </c>
      <c r="C33" s="1">
        <v>0.5</v>
      </c>
      <c r="D33" s="1" t="s">
        <v>12</v>
      </c>
      <c r="E33" s="2" t="s">
        <v>30</v>
      </c>
      <c r="F33" s="7" t="s">
        <v>34</v>
      </c>
      <c r="G33" s="7">
        <v>430</v>
      </c>
      <c r="H33" s="9">
        <v>1000</v>
      </c>
      <c r="I33" s="10"/>
      <c r="J33" s="9">
        <f t="shared" si="2"/>
        <v>1000</v>
      </c>
    </row>
    <row r="34" spans="1:10" ht="15.6" x14ac:dyDescent="0.3">
      <c r="A34" s="7">
        <v>250067</v>
      </c>
      <c r="B34" s="7">
        <v>430</v>
      </c>
      <c r="C34" s="1">
        <v>0.5</v>
      </c>
      <c r="D34" s="1" t="s">
        <v>12</v>
      </c>
      <c r="E34" s="2" t="s">
        <v>22</v>
      </c>
      <c r="F34" s="7" t="s">
        <v>34</v>
      </c>
      <c r="G34" s="7">
        <v>430</v>
      </c>
      <c r="H34" s="9">
        <v>1000</v>
      </c>
      <c r="I34" s="10"/>
      <c r="J34" s="9">
        <f t="shared" si="2"/>
        <v>1000</v>
      </c>
    </row>
    <row r="35" spans="1:10" ht="15.6" x14ac:dyDescent="0.3">
      <c r="A35" s="7">
        <v>250067</v>
      </c>
      <c r="B35" s="7">
        <v>430</v>
      </c>
      <c r="C35" s="1">
        <v>0.5</v>
      </c>
      <c r="D35" s="1" t="s">
        <v>12</v>
      </c>
      <c r="E35" s="2" t="s">
        <v>31</v>
      </c>
      <c r="F35" s="7" t="s">
        <v>34</v>
      </c>
      <c r="G35" s="7">
        <v>430</v>
      </c>
      <c r="H35" s="9">
        <v>1000</v>
      </c>
      <c r="I35" s="10"/>
      <c r="J35" s="9">
        <f t="shared" si="2"/>
        <v>1000</v>
      </c>
    </row>
    <row r="36" spans="1:10" ht="15.6" x14ac:dyDescent="0.3">
      <c r="A36" s="7"/>
      <c r="B36" s="7"/>
      <c r="C36" s="1"/>
      <c r="D36" s="1"/>
      <c r="E36" s="2"/>
      <c r="F36" s="7"/>
      <c r="G36" s="7"/>
      <c r="H36" s="9"/>
      <c r="I36" s="10"/>
      <c r="J36" s="9"/>
    </row>
    <row r="37" spans="1:10" ht="15.6" x14ac:dyDescent="0.3">
      <c r="A37" s="7"/>
      <c r="B37" s="7"/>
      <c r="C37" s="1"/>
      <c r="D37" s="1"/>
      <c r="E37" s="2"/>
      <c r="F37" s="7"/>
      <c r="G37" s="7"/>
      <c r="H37" s="9"/>
      <c r="I37" s="10"/>
      <c r="J37" s="9"/>
    </row>
    <row r="38" spans="1:10" ht="15.6" x14ac:dyDescent="0.3">
      <c r="A38" s="11"/>
      <c r="B38" s="11"/>
      <c r="C38" s="12"/>
      <c r="D38" s="12"/>
      <c r="E38" s="13"/>
      <c r="F38" s="11"/>
      <c r="G38" s="14"/>
      <c r="H38" s="9">
        <f>SUM(H4:H37)</f>
        <v>33000</v>
      </c>
      <c r="I38" s="10">
        <f>SUM(I4:I37)</f>
        <v>0</v>
      </c>
      <c r="J38" s="9">
        <f>SUM(J4:J37)</f>
        <v>33000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zoomScale="85" zoomScaleNormal="85" workbookViewId="0">
      <selection activeCell="E6" sqref="E6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71.88671875" style="6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45915</v>
      </c>
      <c r="J1" s="28"/>
    </row>
    <row r="2" spans="1:10" ht="40.049999999999997" customHeight="1" x14ac:dyDescent="0.3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 t="s">
        <v>35</v>
      </c>
      <c r="B4" s="7">
        <v>430</v>
      </c>
      <c r="C4" s="1">
        <v>0.5</v>
      </c>
      <c r="D4" s="1" t="s">
        <v>12</v>
      </c>
      <c r="E4" s="2" t="s">
        <v>13</v>
      </c>
      <c r="F4" s="7" t="s">
        <v>34</v>
      </c>
      <c r="G4" s="7">
        <v>430</v>
      </c>
      <c r="H4" s="9">
        <v>1000</v>
      </c>
      <c r="I4" s="10"/>
      <c r="J4" s="9">
        <f t="shared" ref="J4:J15" si="0">H4-I4</f>
        <v>1000</v>
      </c>
    </row>
    <row r="5" spans="1:10" ht="19.95" customHeight="1" x14ac:dyDescent="0.3">
      <c r="A5" s="7" t="s">
        <v>36</v>
      </c>
      <c r="B5" s="7">
        <v>430</v>
      </c>
      <c r="C5" s="1">
        <v>0.5</v>
      </c>
      <c r="D5" s="1" t="s">
        <v>12</v>
      </c>
      <c r="E5" s="2" t="s">
        <v>28</v>
      </c>
      <c r="F5" s="7" t="s">
        <v>34</v>
      </c>
      <c r="G5" s="7">
        <v>430</v>
      </c>
      <c r="H5" s="9">
        <v>1000</v>
      </c>
      <c r="I5" s="10"/>
      <c r="J5" s="9">
        <f t="shared" si="0"/>
        <v>1000</v>
      </c>
    </row>
    <row r="6" spans="1:10" ht="19.95" customHeight="1" x14ac:dyDescent="0.3">
      <c r="A6" s="7" t="s">
        <v>36</v>
      </c>
      <c r="B6" s="7">
        <v>430</v>
      </c>
      <c r="C6" s="1">
        <v>0.5</v>
      </c>
      <c r="D6" s="1" t="s">
        <v>12</v>
      </c>
      <c r="E6" s="2" t="s">
        <v>15</v>
      </c>
      <c r="F6" s="7" t="s">
        <v>34</v>
      </c>
      <c r="G6" s="7">
        <v>430</v>
      </c>
      <c r="H6" s="9">
        <v>1000</v>
      </c>
      <c r="I6" s="10"/>
      <c r="J6" s="9">
        <f t="shared" si="0"/>
        <v>1000</v>
      </c>
    </row>
    <row r="7" spans="1:10" ht="19.95" customHeight="1" x14ac:dyDescent="0.3">
      <c r="A7" s="7">
        <v>250063</v>
      </c>
      <c r="B7" s="7">
        <v>430</v>
      </c>
      <c r="C7" s="1">
        <v>0.5</v>
      </c>
      <c r="D7" s="1" t="s">
        <v>12</v>
      </c>
      <c r="E7" s="2" t="s">
        <v>29</v>
      </c>
      <c r="F7" s="7" t="s">
        <v>34</v>
      </c>
      <c r="G7" s="7">
        <v>430</v>
      </c>
      <c r="H7" s="9">
        <v>1000</v>
      </c>
      <c r="I7" s="10"/>
      <c r="J7" s="9">
        <f t="shared" si="0"/>
        <v>1000</v>
      </c>
    </row>
    <row r="8" spans="1:10" ht="19.95" customHeight="1" x14ac:dyDescent="0.3">
      <c r="A8" s="7">
        <v>250063</v>
      </c>
      <c r="B8" s="7">
        <v>430</v>
      </c>
      <c r="C8" s="1">
        <v>0.5</v>
      </c>
      <c r="D8" s="1" t="s">
        <v>12</v>
      </c>
      <c r="E8" s="2" t="s">
        <v>18</v>
      </c>
      <c r="F8" s="7" t="s">
        <v>34</v>
      </c>
      <c r="G8" s="7">
        <v>430</v>
      </c>
      <c r="H8" s="9">
        <v>1250</v>
      </c>
      <c r="I8" s="10"/>
      <c r="J8" s="9">
        <f t="shared" si="0"/>
        <v>1250</v>
      </c>
    </row>
    <row r="9" spans="1:10" ht="19.95" customHeight="1" x14ac:dyDescent="0.3">
      <c r="A9" s="7">
        <v>250063</v>
      </c>
      <c r="B9" s="7">
        <v>430</v>
      </c>
      <c r="C9" s="1">
        <v>0.5</v>
      </c>
      <c r="D9" s="1" t="s">
        <v>12</v>
      </c>
      <c r="E9" s="2" t="s">
        <v>30</v>
      </c>
      <c r="F9" s="7" t="s">
        <v>34</v>
      </c>
      <c r="G9" s="7">
        <v>430</v>
      </c>
      <c r="H9" s="9">
        <v>1250</v>
      </c>
      <c r="I9" s="10"/>
      <c r="J9" s="9">
        <f t="shared" si="0"/>
        <v>1250</v>
      </c>
    </row>
    <row r="10" spans="1:10" ht="19.95" customHeight="1" x14ac:dyDescent="0.3">
      <c r="A10" s="7">
        <v>250063</v>
      </c>
      <c r="B10" s="7">
        <v>430</v>
      </c>
      <c r="C10" s="1">
        <v>0.5</v>
      </c>
      <c r="D10" s="1" t="s">
        <v>12</v>
      </c>
      <c r="E10" s="2" t="s">
        <v>21</v>
      </c>
      <c r="F10" s="7" t="s">
        <v>34</v>
      </c>
      <c r="G10" s="7">
        <v>430</v>
      </c>
      <c r="H10" s="9">
        <v>1250</v>
      </c>
      <c r="I10" s="10"/>
      <c r="J10" s="9">
        <f t="shared" si="0"/>
        <v>1250</v>
      </c>
    </row>
    <row r="11" spans="1:10" ht="19.95" customHeight="1" x14ac:dyDescent="0.3">
      <c r="A11" s="7">
        <v>250063</v>
      </c>
      <c r="B11" s="7">
        <v>430</v>
      </c>
      <c r="C11" s="1">
        <v>0.5</v>
      </c>
      <c r="D11" s="1" t="s">
        <v>12</v>
      </c>
      <c r="E11" s="2" t="s">
        <v>31</v>
      </c>
      <c r="F11" s="7" t="s">
        <v>34</v>
      </c>
      <c r="G11" s="7">
        <v>430</v>
      </c>
      <c r="H11" s="9">
        <v>1250</v>
      </c>
      <c r="I11" s="10"/>
      <c r="J11" s="9">
        <f t="shared" si="0"/>
        <v>1250</v>
      </c>
    </row>
    <row r="12" spans="1:10" ht="19.95" customHeight="1" x14ac:dyDescent="0.3">
      <c r="A12" s="7">
        <v>250063</v>
      </c>
      <c r="B12" s="7">
        <v>430</v>
      </c>
      <c r="C12" s="1">
        <v>0.5</v>
      </c>
      <c r="D12" s="1" t="s">
        <v>12</v>
      </c>
      <c r="E12" s="2" t="s">
        <v>24</v>
      </c>
      <c r="F12" s="7" t="s">
        <v>34</v>
      </c>
      <c r="G12" s="7">
        <v>430</v>
      </c>
      <c r="H12" s="9">
        <v>1250</v>
      </c>
      <c r="I12" s="10"/>
      <c r="J12" s="9">
        <f t="shared" si="0"/>
        <v>1250</v>
      </c>
    </row>
    <row r="13" spans="1:10" ht="19.95" customHeight="1" x14ac:dyDescent="0.3">
      <c r="A13" s="7">
        <v>250063</v>
      </c>
      <c r="B13" s="7">
        <v>430</v>
      </c>
      <c r="C13" s="1">
        <v>0.5</v>
      </c>
      <c r="D13" s="1" t="s">
        <v>12</v>
      </c>
      <c r="E13" s="2" t="s">
        <v>32</v>
      </c>
      <c r="F13" s="7" t="s">
        <v>34</v>
      </c>
      <c r="G13" s="7">
        <v>430</v>
      </c>
      <c r="H13" s="9">
        <v>1250</v>
      </c>
      <c r="I13" s="10"/>
      <c r="J13" s="9">
        <f t="shared" si="0"/>
        <v>1250</v>
      </c>
    </row>
    <row r="14" spans="1:10" ht="19.95" customHeight="1" x14ac:dyDescent="0.3">
      <c r="A14" s="7">
        <v>250063</v>
      </c>
      <c r="B14" s="7">
        <v>430</v>
      </c>
      <c r="C14" s="1">
        <v>0.5</v>
      </c>
      <c r="D14" s="1" t="s">
        <v>12</v>
      </c>
      <c r="E14" s="2" t="s">
        <v>26</v>
      </c>
      <c r="F14" s="7" t="s">
        <v>34</v>
      </c>
      <c r="G14" s="7">
        <v>430</v>
      </c>
      <c r="H14" s="9">
        <v>1000</v>
      </c>
      <c r="I14" s="10"/>
      <c r="J14" s="9">
        <f t="shared" si="0"/>
        <v>1000</v>
      </c>
    </row>
    <row r="15" spans="1:10" ht="19.95" customHeight="1" x14ac:dyDescent="0.3">
      <c r="A15" s="7">
        <v>250063</v>
      </c>
      <c r="B15" s="7">
        <v>430</v>
      </c>
      <c r="C15" s="1">
        <v>0.5</v>
      </c>
      <c r="D15" s="1" t="s">
        <v>12</v>
      </c>
      <c r="E15" s="2" t="s">
        <v>33</v>
      </c>
      <c r="F15" s="7" t="s">
        <v>34</v>
      </c>
      <c r="G15" s="7">
        <v>430</v>
      </c>
      <c r="H15" s="9">
        <v>1000</v>
      </c>
      <c r="I15" s="10"/>
      <c r="J15" s="9">
        <f t="shared" si="0"/>
        <v>1000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/>
    </row>
    <row r="17" spans="1:10" ht="19.95" customHeight="1" x14ac:dyDescent="0.3">
      <c r="A17" s="7">
        <v>250064</v>
      </c>
      <c r="B17" s="7">
        <v>430</v>
      </c>
      <c r="C17" s="1">
        <v>0.5</v>
      </c>
      <c r="D17" s="1" t="s">
        <v>12</v>
      </c>
      <c r="E17" s="2" t="s">
        <v>14</v>
      </c>
      <c r="F17" s="7" t="s">
        <v>34</v>
      </c>
      <c r="G17" s="7">
        <v>430</v>
      </c>
      <c r="H17" s="9">
        <v>1000</v>
      </c>
      <c r="I17" s="10"/>
      <c r="J17" s="9">
        <f t="shared" ref="J17:J28" si="1">H17-I17</f>
        <v>1000</v>
      </c>
    </row>
    <row r="18" spans="1:10" ht="19.95" customHeight="1" x14ac:dyDescent="0.3">
      <c r="A18" s="7">
        <v>250064</v>
      </c>
      <c r="B18" s="7">
        <v>430</v>
      </c>
      <c r="C18" s="1">
        <v>0.5</v>
      </c>
      <c r="D18" s="1" t="s">
        <v>12</v>
      </c>
      <c r="E18" s="2" t="s">
        <v>28</v>
      </c>
      <c r="F18" s="7" t="s">
        <v>34</v>
      </c>
      <c r="G18" s="7">
        <v>430</v>
      </c>
      <c r="H18" s="9">
        <v>1000</v>
      </c>
      <c r="I18" s="10"/>
      <c r="J18" s="9">
        <f t="shared" si="1"/>
        <v>1000</v>
      </c>
    </row>
    <row r="19" spans="1:10" ht="19.95" customHeight="1" x14ac:dyDescent="0.3">
      <c r="A19" s="7">
        <v>250064</v>
      </c>
      <c r="B19" s="7">
        <v>430</v>
      </c>
      <c r="C19" s="1">
        <v>0.5</v>
      </c>
      <c r="D19" s="1" t="s">
        <v>12</v>
      </c>
      <c r="E19" s="2" t="s">
        <v>17</v>
      </c>
      <c r="F19" s="7" t="s">
        <v>34</v>
      </c>
      <c r="G19" s="7">
        <v>430</v>
      </c>
      <c r="H19" s="9">
        <v>1000</v>
      </c>
      <c r="I19" s="10"/>
      <c r="J19" s="9">
        <f t="shared" si="1"/>
        <v>1000</v>
      </c>
    </row>
    <row r="20" spans="1:10" ht="19.95" customHeight="1" x14ac:dyDescent="0.3">
      <c r="A20" s="7">
        <v>250064</v>
      </c>
      <c r="B20" s="7">
        <v>430</v>
      </c>
      <c r="C20" s="1">
        <v>0.5</v>
      </c>
      <c r="D20" s="1" t="s">
        <v>12</v>
      </c>
      <c r="E20" s="2" t="s">
        <v>29</v>
      </c>
      <c r="F20" s="7" t="s">
        <v>34</v>
      </c>
      <c r="G20" s="7">
        <v>430</v>
      </c>
      <c r="H20" s="9">
        <v>1000</v>
      </c>
      <c r="I20" s="10"/>
      <c r="J20" s="9">
        <f t="shared" si="1"/>
        <v>1000</v>
      </c>
    </row>
    <row r="21" spans="1:10" ht="19.95" customHeight="1" x14ac:dyDescent="0.3">
      <c r="A21" s="7">
        <v>250064</v>
      </c>
      <c r="B21" s="7">
        <v>430</v>
      </c>
      <c r="C21" s="1">
        <v>0.5</v>
      </c>
      <c r="D21" s="1" t="s">
        <v>12</v>
      </c>
      <c r="E21" s="2" t="s">
        <v>20</v>
      </c>
      <c r="F21" s="7" t="s">
        <v>34</v>
      </c>
      <c r="G21" s="7">
        <v>430</v>
      </c>
      <c r="H21" s="9">
        <v>1250</v>
      </c>
      <c r="I21" s="10"/>
      <c r="J21" s="9">
        <f t="shared" si="1"/>
        <v>1250</v>
      </c>
    </row>
    <row r="22" spans="1:10" ht="19.95" customHeight="1" x14ac:dyDescent="0.3">
      <c r="A22" s="7">
        <v>250064</v>
      </c>
      <c r="B22" s="7">
        <v>430</v>
      </c>
      <c r="C22" s="1">
        <v>0.5</v>
      </c>
      <c r="D22" s="1" t="s">
        <v>12</v>
      </c>
      <c r="E22" s="2" t="s">
        <v>30</v>
      </c>
      <c r="F22" s="7" t="s">
        <v>34</v>
      </c>
      <c r="G22" s="7">
        <v>430</v>
      </c>
      <c r="H22" s="9">
        <v>1250</v>
      </c>
      <c r="I22" s="10"/>
      <c r="J22" s="9">
        <f t="shared" si="1"/>
        <v>1250</v>
      </c>
    </row>
    <row r="23" spans="1:10" ht="19.95" customHeight="1" x14ac:dyDescent="0.3">
      <c r="A23" s="7">
        <v>250064</v>
      </c>
      <c r="B23" s="7">
        <v>430</v>
      </c>
      <c r="C23" s="1">
        <v>0.5</v>
      </c>
      <c r="D23" s="1" t="s">
        <v>12</v>
      </c>
      <c r="E23" s="2" t="s">
        <v>23</v>
      </c>
      <c r="F23" s="7" t="s">
        <v>34</v>
      </c>
      <c r="G23" s="7">
        <v>430</v>
      </c>
      <c r="H23" s="9">
        <v>1250</v>
      </c>
      <c r="I23" s="10"/>
      <c r="J23" s="9">
        <f t="shared" si="1"/>
        <v>1250</v>
      </c>
    </row>
    <row r="24" spans="1:10" ht="19.95" customHeight="1" x14ac:dyDescent="0.3">
      <c r="A24" s="7">
        <v>250064</v>
      </c>
      <c r="B24" s="7">
        <v>430</v>
      </c>
      <c r="C24" s="1">
        <v>0.5</v>
      </c>
      <c r="D24" s="1" t="s">
        <v>12</v>
      </c>
      <c r="E24" s="2" t="s">
        <v>31</v>
      </c>
      <c r="F24" s="7" t="s">
        <v>34</v>
      </c>
      <c r="G24" s="7">
        <v>430</v>
      </c>
      <c r="H24" s="9">
        <v>1250</v>
      </c>
      <c r="I24" s="10"/>
      <c r="J24" s="9">
        <f t="shared" si="1"/>
        <v>1250</v>
      </c>
    </row>
    <row r="25" spans="1:10" ht="15.6" x14ac:dyDescent="0.3">
      <c r="A25" s="7">
        <v>250064</v>
      </c>
      <c r="B25" s="7">
        <v>430</v>
      </c>
      <c r="C25" s="1">
        <v>0.5</v>
      </c>
      <c r="D25" s="1" t="s">
        <v>12</v>
      </c>
      <c r="E25" s="2" t="s">
        <v>25</v>
      </c>
      <c r="F25" s="7" t="s">
        <v>34</v>
      </c>
      <c r="G25" s="7">
        <v>430</v>
      </c>
      <c r="H25" s="9">
        <v>1250</v>
      </c>
      <c r="I25" s="10"/>
      <c r="J25" s="9">
        <f t="shared" si="1"/>
        <v>1250</v>
      </c>
    </row>
    <row r="26" spans="1:10" ht="15.6" x14ac:dyDescent="0.3">
      <c r="A26" s="7">
        <v>250064</v>
      </c>
      <c r="B26" s="7">
        <v>430</v>
      </c>
      <c r="C26" s="1">
        <v>0.5</v>
      </c>
      <c r="D26" s="1" t="s">
        <v>12</v>
      </c>
      <c r="E26" s="2" t="s">
        <v>32</v>
      </c>
      <c r="F26" s="7" t="s">
        <v>34</v>
      </c>
      <c r="G26" s="7">
        <v>430</v>
      </c>
      <c r="H26" s="9">
        <v>1250</v>
      </c>
      <c r="I26" s="10"/>
      <c r="J26" s="9">
        <f t="shared" si="1"/>
        <v>1250</v>
      </c>
    </row>
    <row r="27" spans="1:10" ht="15.6" x14ac:dyDescent="0.3">
      <c r="A27" s="7">
        <v>250064</v>
      </c>
      <c r="B27" s="7">
        <v>430</v>
      </c>
      <c r="C27" s="1">
        <v>0.5</v>
      </c>
      <c r="D27" s="1" t="s">
        <v>12</v>
      </c>
      <c r="E27" s="2" t="s">
        <v>27</v>
      </c>
      <c r="F27" s="7" t="s">
        <v>34</v>
      </c>
      <c r="G27" s="7">
        <v>430</v>
      </c>
      <c r="H27" s="9">
        <v>1000</v>
      </c>
      <c r="I27" s="10"/>
      <c r="J27" s="9">
        <f t="shared" si="1"/>
        <v>1000</v>
      </c>
    </row>
    <row r="28" spans="1:10" ht="15.6" x14ac:dyDescent="0.3">
      <c r="A28" s="7">
        <v>250064</v>
      </c>
      <c r="B28" s="7">
        <v>430</v>
      </c>
      <c r="C28" s="1">
        <v>0.5</v>
      </c>
      <c r="D28" s="1" t="s">
        <v>12</v>
      </c>
      <c r="E28" s="2" t="s">
        <v>33</v>
      </c>
      <c r="F28" s="7" t="s">
        <v>34</v>
      </c>
      <c r="G28" s="7">
        <v>430</v>
      </c>
      <c r="H28" s="9">
        <v>1000</v>
      </c>
      <c r="I28" s="10"/>
      <c r="J28" s="9">
        <f t="shared" si="1"/>
        <v>1000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/>
    </row>
    <row r="30" spans="1:10" ht="15.6" x14ac:dyDescent="0.3">
      <c r="A30" s="7">
        <v>250067</v>
      </c>
      <c r="B30" s="7">
        <v>430</v>
      </c>
      <c r="C30" s="1">
        <v>0.5</v>
      </c>
      <c r="D30" s="1" t="s">
        <v>12</v>
      </c>
      <c r="E30" s="2" t="s">
        <v>16</v>
      </c>
      <c r="F30" s="7" t="s">
        <v>34</v>
      </c>
      <c r="G30" s="7">
        <v>430</v>
      </c>
      <c r="H30" s="9">
        <v>1000</v>
      </c>
      <c r="I30" s="10"/>
      <c r="J30" s="9">
        <f t="shared" ref="J30:J35" si="2">H30-I30</f>
        <v>1000</v>
      </c>
    </row>
    <row r="31" spans="1:10" ht="15.6" x14ac:dyDescent="0.3">
      <c r="A31" s="7">
        <v>250067</v>
      </c>
      <c r="B31" s="7">
        <v>430</v>
      </c>
      <c r="C31" s="1">
        <v>0.5</v>
      </c>
      <c r="D31" s="1" t="s">
        <v>12</v>
      </c>
      <c r="E31" s="2" t="s">
        <v>29</v>
      </c>
      <c r="F31" s="7" t="s">
        <v>34</v>
      </c>
      <c r="G31" s="7">
        <v>430</v>
      </c>
      <c r="H31" s="9">
        <v>1000</v>
      </c>
      <c r="I31" s="10"/>
      <c r="J31" s="9">
        <f t="shared" si="2"/>
        <v>1000</v>
      </c>
    </row>
    <row r="32" spans="1:10" ht="15.6" x14ac:dyDescent="0.3">
      <c r="A32" s="7">
        <v>250067</v>
      </c>
      <c r="B32" s="7">
        <v>430</v>
      </c>
      <c r="C32" s="1">
        <v>0.5</v>
      </c>
      <c r="D32" s="1" t="s">
        <v>12</v>
      </c>
      <c r="E32" s="2" t="s">
        <v>19</v>
      </c>
      <c r="F32" s="7" t="s">
        <v>34</v>
      </c>
      <c r="G32" s="7">
        <v>430</v>
      </c>
      <c r="H32" s="9">
        <v>1000</v>
      </c>
      <c r="I32" s="10"/>
      <c r="J32" s="9">
        <f t="shared" si="2"/>
        <v>1000</v>
      </c>
    </row>
    <row r="33" spans="1:10" ht="15.6" x14ac:dyDescent="0.3">
      <c r="A33" s="7">
        <v>250067</v>
      </c>
      <c r="B33" s="7">
        <v>430</v>
      </c>
      <c r="C33" s="1">
        <v>0.5</v>
      </c>
      <c r="D33" s="1" t="s">
        <v>12</v>
      </c>
      <c r="E33" s="2" t="s">
        <v>30</v>
      </c>
      <c r="F33" s="7" t="s">
        <v>34</v>
      </c>
      <c r="G33" s="7">
        <v>430</v>
      </c>
      <c r="H33" s="9">
        <v>1000</v>
      </c>
      <c r="I33" s="10"/>
      <c r="J33" s="9">
        <f t="shared" si="2"/>
        <v>1000</v>
      </c>
    </row>
    <row r="34" spans="1:10" ht="15.6" x14ac:dyDescent="0.3">
      <c r="A34" s="7">
        <v>250067</v>
      </c>
      <c r="B34" s="7">
        <v>430</v>
      </c>
      <c r="C34" s="1">
        <v>0.5</v>
      </c>
      <c r="D34" s="1" t="s">
        <v>12</v>
      </c>
      <c r="E34" s="2" t="s">
        <v>22</v>
      </c>
      <c r="F34" s="7" t="s">
        <v>34</v>
      </c>
      <c r="G34" s="7">
        <v>430</v>
      </c>
      <c r="H34" s="9">
        <v>1000</v>
      </c>
      <c r="I34" s="10"/>
      <c r="J34" s="9">
        <f t="shared" si="2"/>
        <v>1000</v>
      </c>
    </row>
    <row r="35" spans="1:10" ht="15.6" x14ac:dyDescent="0.3">
      <c r="A35" s="7">
        <v>250067</v>
      </c>
      <c r="B35" s="7">
        <v>430</v>
      </c>
      <c r="C35" s="1">
        <v>0.5</v>
      </c>
      <c r="D35" s="1" t="s">
        <v>12</v>
      </c>
      <c r="E35" s="2" t="s">
        <v>31</v>
      </c>
      <c r="F35" s="7" t="s">
        <v>34</v>
      </c>
      <c r="G35" s="7">
        <v>430</v>
      </c>
      <c r="H35" s="9">
        <v>1000</v>
      </c>
      <c r="I35" s="10"/>
      <c r="J35" s="9">
        <f t="shared" si="2"/>
        <v>1000</v>
      </c>
    </row>
    <row r="36" spans="1:10" ht="15.6" x14ac:dyDescent="0.3">
      <c r="A36" s="7"/>
      <c r="B36" s="7"/>
      <c r="C36" s="1"/>
      <c r="D36" s="1"/>
      <c r="E36" s="2"/>
      <c r="F36" s="7"/>
      <c r="G36" s="7"/>
      <c r="H36" s="9"/>
      <c r="I36" s="10"/>
      <c r="J36" s="9"/>
    </row>
    <row r="37" spans="1:10" ht="15.6" x14ac:dyDescent="0.3">
      <c r="A37" s="7"/>
      <c r="B37" s="7"/>
      <c r="C37" s="1"/>
      <c r="D37" s="1"/>
      <c r="E37" s="2"/>
      <c r="F37" s="7"/>
      <c r="G37" s="7"/>
      <c r="H37" s="9"/>
      <c r="I37" s="10"/>
      <c r="J37" s="9"/>
    </row>
    <row r="38" spans="1:10" ht="15.6" x14ac:dyDescent="0.3">
      <c r="A38" s="11"/>
      <c r="B38" s="11"/>
      <c r="C38" s="12"/>
      <c r="D38" s="12"/>
      <c r="E38" s="13"/>
      <c r="F38" s="11"/>
      <c r="G38" s="14"/>
      <c r="H38" s="9">
        <f>SUM(H4:H37)</f>
        <v>33000</v>
      </c>
      <c r="I38" s="10">
        <f>SUM(I4:I37)</f>
        <v>0</v>
      </c>
      <c r="J38" s="9">
        <f>SUM(J4:J37)</f>
        <v>33000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76" fitToHeight="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8"/>
  <sheetViews>
    <sheetView zoomScale="70" zoomScaleNormal="70" workbookViewId="0">
      <selection activeCell="E15" sqref="E15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87.218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45926</v>
      </c>
      <c r="J1" s="28"/>
    </row>
    <row r="2" spans="1:10" ht="40.049999999999997" customHeight="1" x14ac:dyDescent="0.3">
      <c r="A2" s="29" t="s">
        <v>67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 t="s">
        <v>35</v>
      </c>
      <c r="B4" s="7">
        <v>430</v>
      </c>
      <c r="C4" s="1">
        <v>0.5</v>
      </c>
      <c r="D4" s="1" t="s">
        <v>12</v>
      </c>
      <c r="E4" s="2" t="s">
        <v>13</v>
      </c>
      <c r="F4" s="7" t="s">
        <v>34</v>
      </c>
      <c r="G4" s="7">
        <v>430</v>
      </c>
      <c r="H4" s="9">
        <v>1000</v>
      </c>
      <c r="I4" s="10">
        <f>630+305+24</f>
        <v>959</v>
      </c>
      <c r="J4" s="9">
        <f t="shared" ref="J4:J15" si="0">H4-I4</f>
        <v>41</v>
      </c>
    </row>
    <row r="5" spans="1:10" ht="19.95" customHeight="1" x14ac:dyDescent="0.3">
      <c r="A5" s="7" t="s">
        <v>36</v>
      </c>
      <c r="B5" s="7">
        <v>430</v>
      </c>
      <c r="C5" s="1">
        <v>0.5</v>
      </c>
      <c r="D5" s="1" t="s">
        <v>12</v>
      </c>
      <c r="E5" s="2" t="s">
        <v>28</v>
      </c>
      <c r="F5" s="7" t="s">
        <v>34</v>
      </c>
      <c r="G5" s="7">
        <v>430</v>
      </c>
      <c r="H5" s="9">
        <v>1000</v>
      </c>
      <c r="I5" s="10">
        <f>630+305+24</f>
        <v>959</v>
      </c>
      <c r="J5" s="9">
        <f t="shared" si="0"/>
        <v>41</v>
      </c>
    </row>
    <row r="6" spans="1:10" ht="19.95" customHeight="1" x14ac:dyDescent="0.3">
      <c r="A6" s="7" t="s">
        <v>36</v>
      </c>
      <c r="B6" s="7">
        <v>430</v>
      </c>
      <c r="C6" s="1">
        <v>0.5</v>
      </c>
      <c r="D6" s="1" t="s">
        <v>12</v>
      </c>
      <c r="E6" s="2" t="s">
        <v>15</v>
      </c>
      <c r="F6" s="7" t="s">
        <v>34</v>
      </c>
      <c r="G6" s="7">
        <v>430</v>
      </c>
      <c r="H6" s="9">
        <v>1000</v>
      </c>
      <c r="I6" s="21">
        <f>22+200+734+59</f>
        <v>1015</v>
      </c>
      <c r="J6" s="20">
        <f t="shared" si="0"/>
        <v>-15</v>
      </c>
    </row>
    <row r="7" spans="1:10" ht="19.95" customHeight="1" x14ac:dyDescent="0.3">
      <c r="A7" s="7">
        <v>250063</v>
      </c>
      <c r="B7" s="7">
        <v>430</v>
      </c>
      <c r="C7" s="1">
        <v>0.5</v>
      </c>
      <c r="D7" s="1" t="s">
        <v>12</v>
      </c>
      <c r="E7" s="2" t="s">
        <v>29</v>
      </c>
      <c r="F7" s="7" t="s">
        <v>34</v>
      </c>
      <c r="G7" s="7">
        <v>430</v>
      </c>
      <c r="H7" s="9">
        <v>1000</v>
      </c>
      <c r="I7" s="21">
        <f>22+200+734+59</f>
        <v>1015</v>
      </c>
      <c r="J7" s="20">
        <f t="shared" si="0"/>
        <v>-15</v>
      </c>
    </row>
    <row r="8" spans="1:10" ht="19.95" customHeight="1" x14ac:dyDescent="0.3">
      <c r="A8" s="7">
        <v>250063</v>
      </c>
      <c r="B8" s="7">
        <v>430</v>
      </c>
      <c r="C8" s="1">
        <v>0.5</v>
      </c>
      <c r="D8" s="1" t="s">
        <v>12</v>
      </c>
      <c r="E8" s="2" t="s">
        <v>18</v>
      </c>
      <c r="F8" s="7" t="s">
        <v>34</v>
      </c>
      <c r="G8" s="7">
        <v>430</v>
      </c>
      <c r="H8" s="9">
        <v>1250</v>
      </c>
      <c r="I8" s="10">
        <f>1209</f>
        <v>1209</v>
      </c>
      <c r="J8" s="9">
        <f t="shared" si="0"/>
        <v>41</v>
      </c>
    </row>
    <row r="9" spans="1:10" ht="19.95" customHeight="1" x14ac:dyDescent="0.3">
      <c r="A9" s="7">
        <v>250063</v>
      </c>
      <c r="B9" s="7">
        <v>430</v>
      </c>
      <c r="C9" s="1">
        <v>0.5</v>
      </c>
      <c r="D9" s="1" t="s">
        <v>12</v>
      </c>
      <c r="E9" s="2" t="s">
        <v>30</v>
      </c>
      <c r="F9" s="7" t="s">
        <v>34</v>
      </c>
      <c r="G9" s="7">
        <v>430</v>
      </c>
      <c r="H9" s="9">
        <v>1250</v>
      </c>
      <c r="I9" s="10">
        <f>1209</f>
        <v>1209</v>
      </c>
      <c r="J9" s="9">
        <f t="shared" si="0"/>
        <v>41</v>
      </c>
    </row>
    <row r="10" spans="1:10" ht="19.95" customHeight="1" x14ac:dyDescent="0.3">
      <c r="A10" s="7">
        <v>250063</v>
      </c>
      <c r="B10" s="7">
        <v>430</v>
      </c>
      <c r="C10" s="1">
        <v>0.5</v>
      </c>
      <c r="D10" s="1" t="s">
        <v>12</v>
      </c>
      <c r="E10" s="2" t="s">
        <v>21</v>
      </c>
      <c r="F10" s="7" t="s">
        <v>34</v>
      </c>
      <c r="G10" s="7">
        <v>430</v>
      </c>
      <c r="H10" s="9">
        <v>1250</v>
      </c>
      <c r="I10" s="10">
        <v>1246</v>
      </c>
      <c r="J10" s="9">
        <f t="shared" si="0"/>
        <v>4</v>
      </c>
    </row>
    <row r="11" spans="1:10" ht="19.95" customHeight="1" x14ac:dyDescent="0.3">
      <c r="A11" s="7">
        <v>250063</v>
      </c>
      <c r="B11" s="7">
        <v>430</v>
      </c>
      <c r="C11" s="1">
        <v>0.5</v>
      </c>
      <c r="D11" s="1" t="s">
        <v>12</v>
      </c>
      <c r="E11" s="2" t="s">
        <v>31</v>
      </c>
      <c r="F11" s="7" t="s">
        <v>34</v>
      </c>
      <c r="G11" s="7">
        <v>430</v>
      </c>
      <c r="H11" s="9">
        <v>1250</v>
      </c>
      <c r="I11" s="10">
        <v>1246</v>
      </c>
      <c r="J11" s="9">
        <f t="shared" si="0"/>
        <v>4</v>
      </c>
    </row>
    <row r="12" spans="1:10" ht="19.95" customHeight="1" x14ac:dyDescent="0.3">
      <c r="A12" s="17">
        <v>250063</v>
      </c>
      <c r="B12" s="17">
        <v>430</v>
      </c>
      <c r="C12" s="18">
        <v>0.5</v>
      </c>
      <c r="D12" s="18" t="s">
        <v>12</v>
      </c>
      <c r="E12" s="19" t="s">
        <v>24</v>
      </c>
      <c r="F12" s="17" t="s">
        <v>34</v>
      </c>
      <c r="G12" s="17">
        <v>430</v>
      </c>
      <c r="H12" s="20">
        <v>1250</v>
      </c>
      <c r="I12" s="21">
        <v>1248</v>
      </c>
      <c r="J12" s="20">
        <f t="shared" si="0"/>
        <v>2</v>
      </c>
    </row>
    <row r="13" spans="1:10" ht="19.95" customHeight="1" x14ac:dyDescent="0.3">
      <c r="A13" s="17">
        <v>250063</v>
      </c>
      <c r="B13" s="17">
        <v>430</v>
      </c>
      <c r="C13" s="18">
        <v>0.5</v>
      </c>
      <c r="D13" s="18" t="s">
        <v>12</v>
      </c>
      <c r="E13" s="19" t="s">
        <v>32</v>
      </c>
      <c r="F13" s="17" t="s">
        <v>34</v>
      </c>
      <c r="G13" s="17">
        <v>430</v>
      </c>
      <c r="H13" s="20">
        <v>1250</v>
      </c>
      <c r="I13" s="21">
        <v>1248</v>
      </c>
      <c r="J13" s="20">
        <f t="shared" si="0"/>
        <v>2</v>
      </c>
    </row>
    <row r="14" spans="1:10" ht="19.95" customHeight="1" x14ac:dyDescent="0.3">
      <c r="A14" s="7">
        <v>250063</v>
      </c>
      <c r="B14" s="7">
        <v>430</v>
      </c>
      <c r="C14" s="1">
        <v>0.5</v>
      </c>
      <c r="D14" s="1" t="s">
        <v>12</v>
      </c>
      <c r="E14" s="2" t="s">
        <v>26</v>
      </c>
      <c r="F14" s="7" t="s">
        <v>34</v>
      </c>
      <c r="G14" s="7">
        <v>430</v>
      </c>
      <c r="H14" s="9">
        <v>1000</v>
      </c>
      <c r="I14" s="10">
        <f>599+371</f>
        <v>970</v>
      </c>
      <c r="J14" s="9">
        <f t="shared" si="0"/>
        <v>30</v>
      </c>
    </row>
    <row r="15" spans="1:10" ht="19.95" customHeight="1" x14ac:dyDescent="0.3">
      <c r="A15" s="7">
        <v>250063</v>
      </c>
      <c r="B15" s="7">
        <v>430</v>
      </c>
      <c r="C15" s="1">
        <v>0.5</v>
      </c>
      <c r="D15" s="1" t="s">
        <v>12</v>
      </c>
      <c r="E15" s="2" t="s">
        <v>33</v>
      </c>
      <c r="F15" s="7" t="s">
        <v>34</v>
      </c>
      <c r="G15" s="7">
        <v>430</v>
      </c>
      <c r="H15" s="9">
        <v>1000</v>
      </c>
      <c r="I15" s="10">
        <f>599+371</f>
        <v>970</v>
      </c>
      <c r="J15" s="9">
        <f t="shared" si="0"/>
        <v>30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/>
    </row>
    <row r="17" spans="1:10" ht="19.95" customHeight="1" x14ac:dyDescent="0.3">
      <c r="A17" s="7">
        <v>250064</v>
      </c>
      <c r="B17" s="7">
        <v>430</v>
      </c>
      <c r="C17" s="1">
        <v>0.5</v>
      </c>
      <c r="D17" s="1" t="s">
        <v>12</v>
      </c>
      <c r="E17" s="2" t="s">
        <v>14</v>
      </c>
      <c r="F17" s="7" t="s">
        <v>34</v>
      </c>
      <c r="G17" s="7">
        <v>430</v>
      </c>
      <c r="H17" s="9">
        <v>1000</v>
      </c>
      <c r="I17" s="10">
        <v>995</v>
      </c>
      <c r="J17" s="9">
        <f t="shared" ref="J17:J53" si="1">H17-I17</f>
        <v>5</v>
      </c>
    </row>
    <row r="18" spans="1:10" ht="19.95" customHeight="1" x14ac:dyDescent="0.3">
      <c r="A18" s="7">
        <v>250064</v>
      </c>
      <c r="B18" s="7">
        <v>430</v>
      </c>
      <c r="C18" s="1">
        <v>0.5</v>
      </c>
      <c r="D18" s="1" t="s">
        <v>12</v>
      </c>
      <c r="E18" s="2" t="s">
        <v>28</v>
      </c>
      <c r="F18" s="7" t="s">
        <v>34</v>
      </c>
      <c r="G18" s="7">
        <v>430</v>
      </c>
      <c r="H18" s="9">
        <v>1000</v>
      </c>
      <c r="I18" s="10">
        <v>995</v>
      </c>
      <c r="J18" s="9">
        <f t="shared" si="1"/>
        <v>5</v>
      </c>
    </row>
    <row r="19" spans="1:10" ht="19.95" customHeight="1" x14ac:dyDescent="0.3">
      <c r="A19" s="7">
        <v>250064</v>
      </c>
      <c r="B19" s="7">
        <v>430</v>
      </c>
      <c r="C19" s="1">
        <v>0.5</v>
      </c>
      <c r="D19" s="1" t="s">
        <v>12</v>
      </c>
      <c r="E19" s="2" t="s">
        <v>17</v>
      </c>
      <c r="F19" s="7" t="s">
        <v>34</v>
      </c>
      <c r="G19" s="7">
        <v>430</v>
      </c>
      <c r="H19" s="9">
        <v>1000</v>
      </c>
      <c r="I19" s="10">
        <f>909+79</f>
        <v>988</v>
      </c>
      <c r="J19" s="9">
        <f t="shared" si="1"/>
        <v>12</v>
      </c>
    </row>
    <row r="20" spans="1:10" ht="19.95" customHeight="1" x14ac:dyDescent="0.3">
      <c r="A20" s="7">
        <v>250064</v>
      </c>
      <c r="B20" s="7">
        <v>430</v>
      </c>
      <c r="C20" s="1">
        <v>0.5</v>
      </c>
      <c r="D20" s="1" t="s">
        <v>12</v>
      </c>
      <c r="E20" s="2" t="s">
        <v>29</v>
      </c>
      <c r="F20" s="7" t="s">
        <v>34</v>
      </c>
      <c r="G20" s="7">
        <v>430</v>
      </c>
      <c r="H20" s="9">
        <v>1000</v>
      </c>
      <c r="I20" s="10">
        <f>909+79</f>
        <v>988</v>
      </c>
      <c r="J20" s="9">
        <f t="shared" si="1"/>
        <v>12</v>
      </c>
    </row>
    <row r="21" spans="1:10" ht="19.95" customHeight="1" x14ac:dyDescent="0.3">
      <c r="A21" s="7">
        <v>250064</v>
      </c>
      <c r="B21" s="7">
        <v>430</v>
      </c>
      <c r="C21" s="1">
        <v>0.5</v>
      </c>
      <c r="D21" s="1" t="s">
        <v>12</v>
      </c>
      <c r="E21" s="2" t="s">
        <v>20</v>
      </c>
      <c r="F21" s="7" t="s">
        <v>34</v>
      </c>
      <c r="G21" s="7">
        <v>430</v>
      </c>
      <c r="H21" s="9">
        <v>1250</v>
      </c>
      <c r="I21" s="10">
        <f>719+505</f>
        <v>1224</v>
      </c>
      <c r="J21" s="9">
        <f t="shared" si="1"/>
        <v>26</v>
      </c>
    </row>
    <row r="22" spans="1:10" ht="19.95" customHeight="1" x14ac:dyDescent="0.3">
      <c r="A22" s="7">
        <v>250064</v>
      </c>
      <c r="B22" s="7">
        <v>430</v>
      </c>
      <c r="C22" s="1">
        <v>0.5</v>
      </c>
      <c r="D22" s="1" t="s">
        <v>12</v>
      </c>
      <c r="E22" s="2" t="s">
        <v>30</v>
      </c>
      <c r="F22" s="7" t="s">
        <v>34</v>
      </c>
      <c r="G22" s="7">
        <v>430</v>
      </c>
      <c r="H22" s="9">
        <v>1250</v>
      </c>
      <c r="I22" s="10">
        <f>719+505</f>
        <v>1224</v>
      </c>
      <c r="J22" s="9">
        <f t="shared" si="1"/>
        <v>26</v>
      </c>
    </row>
    <row r="23" spans="1:10" ht="19.95" customHeight="1" x14ac:dyDescent="0.3">
      <c r="A23" s="7">
        <v>250064</v>
      </c>
      <c r="B23" s="7">
        <v>430</v>
      </c>
      <c r="C23" s="1">
        <v>0.5</v>
      </c>
      <c r="D23" s="1" t="s">
        <v>12</v>
      </c>
      <c r="E23" s="2" t="s">
        <v>23</v>
      </c>
      <c r="F23" s="7" t="s">
        <v>34</v>
      </c>
      <c r="G23" s="7">
        <v>430</v>
      </c>
      <c r="H23" s="9">
        <v>1250</v>
      </c>
      <c r="I23" s="10">
        <v>1215</v>
      </c>
      <c r="J23" s="9">
        <f t="shared" si="1"/>
        <v>35</v>
      </c>
    </row>
    <row r="24" spans="1:10" ht="19.95" customHeight="1" x14ac:dyDescent="0.3">
      <c r="A24" s="7">
        <v>250064</v>
      </c>
      <c r="B24" s="7">
        <v>430</v>
      </c>
      <c r="C24" s="1">
        <v>0.5</v>
      </c>
      <c r="D24" s="1" t="s">
        <v>12</v>
      </c>
      <c r="E24" s="2" t="s">
        <v>31</v>
      </c>
      <c r="F24" s="7" t="s">
        <v>34</v>
      </c>
      <c r="G24" s="7">
        <v>430</v>
      </c>
      <c r="H24" s="9">
        <v>1250</v>
      </c>
      <c r="I24" s="10">
        <v>1215</v>
      </c>
      <c r="J24" s="9">
        <f t="shared" si="1"/>
        <v>35</v>
      </c>
    </row>
    <row r="25" spans="1:10" ht="15.6" x14ac:dyDescent="0.3">
      <c r="A25" s="7">
        <v>250064</v>
      </c>
      <c r="B25" s="7">
        <v>430</v>
      </c>
      <c r="C25" s="1">
        <v>0.5</v>
      </c>
      <c r="D25" s="1" t="s">
        <v>12</v>
      </c>
      <c r="E25" s="2" t="s">
        <v>25</v>
      </c>
      <c r="F25" s="7" t="s">
        <v>34</v>
      </c>
      <c r="G25" s="7">
        <v>430</v>
      </c>
      <c r="H25" s="9">
        <v>1250</v>
      </c>
      <c r="I25" s="10">
        <f>294+941</f>
        <v>1235</v>
      </c>
      <c r="J25" s="9">
        <f t="shared" si="1"/>
        <v>15</v>
      </c>
    </row>
    <row r="26" spans="1:10" ht="15.6" x14ac:dyDescent="0.3">
      <c r="A26" s="7">
        <v>250064</v>
      </c>
      <c r="B26" s="7">
        <v>430</v>
      </c>
      <c r="C26" s="1">
        <v>0.5</v>
      </c>
      <c r="D26" s="1" t="s">
        <v>12</v>
      </c>
      <c r="E26" s="2" t="s">
        <v>32</v>
      </c>
      <c r="F26" s="7" t="s">
        <v>34</v>
      </c>
      <c r="G26" s="7">
        <v>430</v>
      </c>
      <c r="H26" s="9">
        <v>1250</v>
      </c>
      <c r="I26" s="10">
        <f>941+294</f>
        <v>1235</v>
      </c>
      <c r="J26" s="9">
        <f t="shared" si="1"/>
        <v>15</v>
      </c>
    </row>
    <row r="27" spans="1:10" ht="15.6" x14ac:dyDescent="0.3">
      <c r="A27" s="7">
        <v>250064</v>
      </c>
      <c r="B27" s="7">
        <v>430</v>
      </c>
      <c r="C27" s="1">
        <v>0.5</v>
      </c>
      <c r="D27" s="1" t="s">
        <v>12</v>
      </c>
      <c r="E27" s="2" t="s">
        <v>27</v>
      </c>
      <c r="F27" s="7" t="s">
        <v>34</v>
      </c>
      <c r="G27" s="7">
        <v>430</v>
      </c>
      <c r="H27" s="9">
        <v>1000</v>
      </c>
      <c r="I27" s="10">
        <f>794+183</f>
        <v>977</v>
      </c>
      <c r="J27" s="9">
        <f t="shared" si="1"/>
        <v>23</v>
      </c>
    </row>
    <row r="28" spans="1:10" ht="15.6" x14ac:dyDescent="0.3">
      <c r="A28" s="7">
        <v>250064</v>
      </c>
      <c r="B28" s="7">
        <v>430</v>
      </c>
      <c r="C28" s="1">
        <v>0.5</v>
      </c>
      <c r="D28" s="1" t="s">
        <v>12</v>
      </c>
      <c r="E28" s="2" t="s">
        <v>33</v>
      </c>
      <c r="F28" s="7" t="s">
        <v>34</v>
      </c>
      <c r="G28" s="7">
        <v>430</v>
      </c>
      <c r="H28" s="9">
        <v>1000</v>
      </c>
      <c r="I28" s="10">
        <f>794+183</f>
        <v>977</v>
      </c>
      <c r="J28" s="9">
        <f t="shared" si="1"/>
        <v>23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>
        <f t="shared" si="1"/>
        <v>0</v>
      </c>
    </row>
    <row r="30" spans="1:10" ht="15.6" x14ac:dyDescent="0.3">
      <c r="A30" s="17">
        <v>225065</v>
      </c>
      <c r="B30" s="17">
        <v>430</v>
      </c>
      <c r="C30" s="18">
        <v>0.5</v>
      </c>
      <c r="D30" s="18" t="s">
        <v>37</v>
      </c>
      <c r="E30" s="19" t="s">
        <v>38</v>
      </c>
      <c r="F30" s="17" t="s">
        <v>34</v>
      </c>
      <c r="G30" s="17">
        <v>430</v>
      </c>
      <c r="H30" s="20">
        <v>750</v>
      </c>
      <c r="I30" s="21">
        <v>751</v>
      </c>
      <c r="J30" s="20">
        <f t="shared" si="1"/>
        <v>-1</v>
      </c>
    </row>
    <row r="31" spans="1:10" ht="15.6" x14ac:dyDescent="0.3">
      <c r="A31" s="17">
        <v>225065</v>
      </c>
      <c r="B31" s="17">
        <v>430</v>
      </c>
      <c r="C31" s="18">
        <v>0.5</v>
      </c>
      <c r="D31" s="18" t="s">
        <v>37</v>
      </c>
      <c r="E31" s="19" t="s">
        <v>39</v>
      </c>
      <c r="F31" s="17" t="s">
        <v>34</v>
      </c>
      <c r="G31" s="17">
        <v>430</v>
      </c>
      <c r="H31" s="20">
        <v>750</v>
      </c>
      <c r="I31" s="21">
        <v>751</v>
      </c>
      <c r="J31" s="20">
        <f t="shared" si="1"/>
        <v>-1</v>
      </c>
    </row>
    <row r="32" spans="1:10" ht="15.6" x14ac:dyDescent="0.3">
      <c r="A32" s="17">
        <v>225065</v>
      </c>
      <c r="B32" s="17">
        <v>430</v>
      </c>
      <c r="C32" s="18">
        <v>0.5</v>
      </c>
      <c r="D32" s="18" t="s">
        <v>37</v>
      </c>
      <c r="E32" s="19" t="s">
        <v>40</v>
      </c>
      <c r="F32" s="17" t="s">
        <v>34</v>
      </c>
      <c r="G32" s="17">
        <v>430</v>
      </c>
      <c r="H32" s="20">
        <v>750</v>
      </c>
      <c r="I32" s="21">
        <v>751</v>
      </c>
      <c r="J32" s="20">
        <f t="shared" si="1"/>
        <v>-1</v>
      </c>
    </row>
    <row r="33" spans="1:10" ht="15.6" x14ac:dyDescent="0.3">
      <c r="A33" s="17">
        <v>225065</v>
      </c>
      <c r="B33" s="17">
        <v>430</v>
      </c>
      <c r="C33" s="18">
        <v>0.5</v>
      </c>
      <c r="D33" s="18" t="s">
        <v>37</v>
      </c>
      <c r="E33" s="19" t="s">
        <v>47</v>
      </c>
      <c r="F33" s="17" t="s">
        <v>34</v>
      </c>
      <c r="G33" s="17">
        <v>430</v>
      </c>
      <c r="H33" s="20">
        <v>750</v>
      </c>
      <c r="I33" s="21">
        <v>751</v>
      </c>
      <c r="J33" s="20">
        <f t="shared" si="1"/>
        <v>-1</v>
      </c>
    </row>
    <row r="34" spans="1:10" ht="15.6" x14ac:dyDescent="0.3">
      <c r="A34" s="17">
        <v>225065</v>
      </c>
      <c r="B34" s="17">
        <v>430</v>
      </c>
      <c r="C34" s="18">
        <v>0.5</v>
      </c>
      <c r="D34" s="18" t="s">
        <v>37</v>
      </c>
      <c r="E34" s="19" t="s">
        <v>48</v>
      </c>
      <c r="F34" s="17" t="s">
        <v>34</v>
      </c>
      <c r="G34" s="17">
        <v>430</v>
      </c>
      <c r="H34" s="20">
        <v>750</v>
      </c>
      <c r="I34" s="21">
        <v>751</v>
      </c>
      <c r="J34" s="20">
        <f t="shared" si="1"/>
        <v>-1</v>
      </c>
    </row>
    <row r="35" spans="1:10" ht="15.6" x14ac:dyDescent="0.3">
      <c r="A35" s="7"/>
      <c r="B35" s="7"/>
      <c r="C35" s="1"/>
      <c r="D35" s="1"/>
      <c r="E35" s="2"/>
      <c r="F35" s="7"/>
      <c r="G35" s="7"/>
      <c r="H35" s="9"/>
      <c r="I35" s="10"/>
      <c r="J35" s="9">
        <f t="shared" si="1"/>
        <v>0</v>
      </c>
    </row>
    <row r="36" spans="1:10" ht="15.6" x14ac:dyDescent="0.3">
      <c r="A36" s="7">
        <v>225065</v>
      </c>
      <c r="B36" s="7">
        <v>430</v>
      </c>
      <c r="C36" s="1">
        <v>0.5</v>
      </c>
      <c r="D36" s="1" t="s">
        <v>37</v>
      </c>
      <c r="E36" s="2" t="s">
        <v>41</v>
      </c>
      <c r="F36" s="7" t="s">
        <v>34</v>
      </c>
      <c r="G36" s="7">
        <v>430</v>
      </c>
      <c r="H36" s="9">
        <v>750</v>
      </c>
      <c r="I36" s="10">
        <v>736</v>
      </c>
      <c r="J36" s="9">
        <f t="shared" si="1"/>
        <v>14</v>
      </c>
    </row>
    <row r="37" spans="1:10" ht="15.6" x14ac:dyDescent="0.3">
      <c r="A37" s="7">
        <v>225065</v>
      </c>
      <c r="B37" s="7">
        <v>430</v>
      </c>
      <c r="C37" s="1">
        <v>0.5</v>
      </c>
      <c r="D37" s="1" t="s">
        <v>37</v>
      </c>
      <c r="E37" s="2" t="s">
        <v>42</v>
      </c>
      <c r="F37" s="7" t="s">
        <v>34</v>
      </c>
      <c r="G37" s="7">
        <v>430</v>
      </c>
      <c r="H37" s="9">
        <v>750</v>
      </c>
      <c r="I37" s="10">
        <v>736</v>
      </c>
      <c r="J37" s="9">
        <f t="shared" si="1"/>
        <v>14</v>
      </c>
    </row>
    <row r="38" spans="1:10" ht="15.6" x14ac:dyDescent="0.3">
      <c r="A38" s="7">
        <v>225065</v>
      </c>
      <c r="B38" s="7">
        <v>430</v>
      </c>
      <c r="C38" s="1">
        <v>0.5</v>
      </c>
      <c r="D38" s="1" t="s">
        <v>37</v>
      </c>
      <c r="E38" s="2" t="s">
        <v>43</v>
      </c>
      <c r="F38" s="7" t="s">
        <v>34</v>
      </c>
      <c r="G38" s="7">
        <v>430</v>
      </c>
      <c r="H38" s="9">
        <v>750</v>
      </c>
      <c r="I38" s="10">
        <v>736</v>
      </c>
      <c r="J38" s="9">
        <f t="shared" si="1"/>
        <v>14</v>
      </c>
    </row>
    <row r="39" spans="1:10" ht="15.6" x14ac:dyDescent="0.3">
      <c r="A39" s="7">
        <v>225065</v>
      </c>
      <c r="B39" s="7">
        <v>430</v>
      </c>
      <c r="C39" s="1">
        <v>0.5</v>
      </c>
      <c r="D39" s="1" t="s">
        <v>37</v>
      </c>
      <c r="E39" s="2" t="s">
        <v>49</v>
      </c>
      <c r="F39" s="7" t="s">
        <v>34</v>
      </c>
      <c r="G39" s="7">
        <v>430</v>
      </c>
      <c r="H39" s="9">
        <v>750</v>
      </c>
      <c r="I39" s="10">
        <v>736</v>
      </c>
      <c r="J39" s="9">
        <f t="shared" si="1"/>
        <v>14</v>
      </c>
    </row>
    <row r="40" spans="1:10" ht="15.6" x14ac:dyDescent="0.3">
      <c r="A40" s="7">
        <v>225065</v>
      </c>
      <c r="B40" s="7">
        <v>430</v>
      </c>
      <c r="C40" s="1">
        <v>0.5</v>
      </c>
      <c r="D40" s="1" t="s">
        <v>37</v>
      </c>
      <c r="E40" s="2" t="s">
        <v>50</v>
      </c>
      <c r="F40" s="7" t="s">
        <v>34</v>
      </c>
      <c r="G40" s="7">
        <v>430</v>
      </c>
      <c r="H40" s="9">
        <v>750</v>
      </c>
      <c r="I40" s="10">
        <v>736</v>
      </c>
      <c r="J40" s="9">
        <f t="shared" si="1"/>
        <v>14</v>
      </c>
    </row>
    <row r="41" spans="1:10" ht="15.6" x14ac:dyDescent="0.3">
      <c r="A41" s="7"/>
      <c r="B41" s="7"/>
      <c r="C41" s="1"/>
      <c r="D41" s="1"/>
      <c r="E41" s="2"/>
      <c r="F41" s="7"/>
      <c r="G41" s="7"/>
      <c r="H41" s="9"/>
      <c r="I41" s="10"/>
      <c r="J41" s="9">
        <f t="shared" si="1"/>
        <v>0</v>
      </c>
    </row>
    <row r="42" spans="1:10" ht="15.6" x14ac:dyDescent="0.3">
      <c r="A42" s="7">
        <v>225066</v>
      </c>
      <c r="B42" s="7">
        <v>430</v>
      </c>
      <c r="C42" s="1">
        <v>0.5</v>
      </c>
      <c r="D42" s="1" t="s">
        <v>37</v>
      </c>
      <c r="E42" s="2" t="s">
        <v>44</v>
      </c>
      <c r="F42" s="7" t="s">
        <v>34</v>
      </c>
      <c r="G42" s="7">
        <v>430</v>
      </c>
      <c r="H42" s="9">
        <v>750</v>
      </c>
      <c r="I42" s="21">
        <f>660+90</f>
        <v>750</v>
      </c>
      <c r="J42" s="20">
        <f t="shared" si="1"/>
        <v>0</v>
      </c>
    </row>
    <row r="43" spans="1:10" ht="15.6" x14ac:dyDescent="0.3">
      <c r="A43" s="7">
        <v>225066</v>
      </c>
      <c r="B43" s="7">
        <v>430</v>
      </c>
      <c r="C43" s="1">
        <v>0.5</v>
      </c>
      <c r="D43" s="1" t="s">
        <v>37</v>
      </c>
      <c r="E43" s="2" t="s">
        <v>45</v>
      </c>
      <c r="F43" s="7" t="s">
        <v>34</v>
      </c>
      <c r="G43" s="7">
        <v>430</v>
      </c>
      <c r="H43" s="9">
        <v>750</v>
      </c>
      <c r="I43" s="21">
        <f>90+660</f>
        <v>750</v>
      </c>
      <c r="J43" s="20">
        <f t="shared" si="1"/>
        <v>0</v>
      </c>
    </row>
    <row r="44" spans="1:10" ht="15.6" x14ac:dyDescent="0.3">
      <c r="A44" s="7">
        <v>225066</v>
      </c>
      <c r="B44" s="7">
        <v>430</v>
      </c>
      <c r="C44" s="1">
        <v>0.5</v>
      </c>
      <c r="D44" s="1" t="s">
        <v>37</v>
      </c>
      <c r="E44" s="2" t="s">
        <v>46</v>
      </c>
      <c r="F44" s="7" t="s">
        <v>34</v>
      </c>
      <c r="G44" s="7">
        <v>430</v>
      </c>
      <c r="H44" s="9">
        <v>750</v>
      </c>
      <c r="I44" s="21">
        <f>660+90</f>
        <v>750</v>
      </c>
      <c r="J44" s="20">
        <f t="shared" si="1"/>
        <v>0</v>
      </c>
    </row>
    <row r="45" spans="1:10" ht="15.6" x14ac:dyDescent="0.3">
      <c r="A45" s="7">
        <v>225066</v>
      </c>
      <c r="B45" s="7">
        <v>430</v>
      </c>
      <c r="C45" s="1">
        <v>0.5</v>
      </c>
      <c r="D45" s="1" t="s">
        <v>37</v>
      </c>
      <c r="E45" s="2" t="s">
        <v>51</v>
      </c>
      <c r="F45" s="7" t="s">
        <v>34</v>
      </c>
      <c r="G45" s="7">
        <v>430</v>
      </c>
      <c r="H45" s="9">
        <v>750</v>
      </c>
      <c r="I45" s="21">
        <f>660+90</f>
        <v>750</v>
      </c>
      <c r="J45" s="20">
        <f t="shared" si="1"/>
        <v>0</v>
      </c>
    </row>
    <row r="46" spans="1:10" ht="15.6" x14ac:dyDescent="0.3">
      <c r="A46" s="7">
        <v>225066</v>
      </c>
      <c r="B46" s="7">
        <v>430</v>
      </c>
      <c r="C46" s="1">
        <v>0.5</v>
      </c>
      <c r="D46" s="1" t="s">
        <v>37</v>
      </c>
      <c r="E46" s="2" t="s">
        <v>52</v>
      </c>
      <c r="F46" s="7" t="s">
        <v>34</v>
      </c>
      <c r="G46" s="7">
        <v>430</v>
      </c>
      <c r="H46" s="9">
        <v>750</v>
      </c>
      <c r="I46" s="21">
        <f>660+90</f>
        <v>750</v>
      </c>
      <c r="J46" s="20">
        <f t="shared" si="1"/>
        <v>0</v>
      </c>
    </row>
    <row r="47" spans="1:10" ht="15.6" x14ac:dyDescent="0.3">
      <c r="A47" s="7"/>
      <c r="B47" s="7"/>
      <c r="C47" s="1"/>
      <c r="D47" s="1"/>
      <c r="E47" s="2"/>
      <c r="F47" s="7"/>
      <c r="G47" s="7"/>
      <c r="H47" s="9"/>
      <c r="I47" s="10"/>
      <c r="J47" s="9">
        <f t="shared" si="1"/>
        <v>0</v>
      </c>
    </row>
    <row r="48" spans="1:10" ht="15.6" x14ac:dyDescent="0.3">
      <c r="A48" s="7">
        <v>225066</v>
      </c>
      <c r="B48" s="7">
        <v>430</v>
      </c>
      <c r="C48" s="1">
        <v>0.5</v>
      </c>
      <c r="D48" s="1" t="s">
        <v>37</v>
      </c>
      <c r="E48" s="2" t="s">
        <v>53</v>
      </c>
      <c r="F48" s="7" t="s">
        <v>34</v>
      </c>
      <c r="G48" s="7">
        <v>430</v>
      </c>
      <c r="H48" s="9">
        <v>750</v>
      </c>
      <c r="I48" s="10">
        <f>726+20</f>
        <v>746</v>
      </c>
      <c r="J48" s="9">
        <f t="shared" si="1"/>
        <v>4</v>
      </c>
    </row>
    <row r="49" spans="1:10" ht="15.6" x14ac:dyDescent="0.3">
      <c r="A49" s="7">
        <v>225066</v>
      </c>
      <c r="B49" s="7">
        <v>430</v>
      </c>
      <c r="C49" s="1">
        <v>0.5</v>
      </c>
      <c r="D49" s="1" t="s">
        <v>37</v>
      </c>
      <c r="E49" s="2" t="s">
        <v>54</v>
      </c>
      <c r="F49" s="7" t="s">
        <v>34</v>
      </c>
      <c r="G49" s="7">
        <v>430</v>
      </c>
      <c r="H49" s="9">
        <v>750</v>
      </c>
      <c r="I49" s="10">
        <f>726+20</f>
        <v>746</v>
      </c>
      <c r="J49" s="9">
        <f t="shared" si="1"/>
        <v>4</v>
      </c>
    </row>
    <row r="50" spans="1:10" ht="15.6" x14ac:dyDescent="0.3">
      <c r="A50" s="7">
        <v>225066</v>
      </c>
      <c r="B50" s="7">
        <v>430</v>
      </c>
      <c r="C50" s="1">
        <v>0.5</v>
      </c>
      <c r="D50" s="1" t="s">
        <v>37</v>
      </c>
      <c r="E50" s="2" t="s">
        <v>55</v>
      </c>
      <c r="F50" s="7" t="s">
        <v>34</v>
      </c>
      <c r="G50" s="7">
        <v>430</v>
      </c>
      <c r="H50" s="9">
        <v>750</v>
      </c>
      <c r="I50" s="10">
        <f>726+20</f>
        <v>746</v>
      </c>
      <c r="J50" s="9">
        <f t="shared" si="1"/>
        <v>4</v>
      </c>
    </row>
    <row r="51" spans="1:10" ht="15.6" x14ac:dyDescent="0.3">
      <c r="A51" s="7">
        <v>225066</v>
      </c>
      <c r="B51" s="7">
        <v>430</v>
      </c>
      <c r="C51" s="1">
        <v>0.5</v>
      </c>
      <c r="D51" s="1" t="s">
        <v>37</v>
      </c>
      <c r="E51" s="2" t="s">
        <v>56</v>
      </c>
      <c r="F51" s="7" t="s">
        <v>34</v>
      </c>
      <c r="G51" s="7">
        <v>430</v>
      </c>
      <c r="H51" s="9">
        <v>750</v>
      </c>
      <c r="I51" s="10">
        <f>726+20</f>
        <v>746</v>
      </c>
      <c r="J51" s="9">
        <f t="shared" si="1"/>
        <v>4</v>
      </c>
    </row>
    <row r="52" spans="1:10" ht="15.6" x14ac:dyDescent="0.3">
      <c r="A52" s="7">
        <v>225066</v>
      </c>
      <c r="B52" s="7">
        <v>430</v>
      </c>
      <c r="C52" s="1">
        <v>0.5</v>
      </c>
      <c r="D52" s="1" t="s">
        <v>37</v>
      </c>
      <c r="E52" s="2" t="s">
        <v>57</v>
      </c>
      <c r="F52" s="7" t="s">
        <v>34</v>
      </c>
      <c r="G52" s="7">
        <v>430</v>
      </c>
      <c r="H52" s="9">
        <v>750</v>
      </c>
      <c r="I52" s="10">
        <f>726+20</f>
        <v>746</v>
      </c>
      <c r="J52" s="9">
        <f t="shared" si="1"/>
        <v>4</v>
      </c>
    </row>
    <row r="53" spans="1:10" ht="15.6" x14ac:dyDescent="0.3">
      <c r="A53" s="7"/>
      <c r="B53" s="7"/>
      <c r="C53" s="1"/>
      <c r="D53" s="1"/>
      <c r="E53" s="2"/>
      <c r="F53" s="7"/>
      <c r="G53" s="7"/>
      <c r="H53" s="9"/>
      <c r="I53" s="10"/>
      <c r="J53" s="9">
        <f t="shared" si="1"/>
        <v>0</v>
      </c>
    </row>
    <row r="54" spans="1:10" ht="15.6" x14ac:dyDescent="0.3">
      <c r="A54" s="7">
        <v>250062</v>
      </c>
      <c r="B54" s="7">
        <v>304</v>
      </c>
      <c r="C54" s="1">
        <v>0.6</v>
      </c>
      <c r="D54" s="1" t="s">
        <v>37</v>
      </c>
      <c r="E54" s="2" t="s">
        <v>62</v>
      </c>
      <c r="F54" s="7" t="s">
        <v>66</v>
      </c>
      <c r="G54" s="7">
        <v>430</v>
      </c>
      <c r="H54" s="9">
        <v>150</v>
      </c>
      <c r="I54" s="10">
        <v>145</v>
      </c>
      <c r="J54" s="9">
        <f t="shared" ref="J54:J147" si="2">H54-I54</f>
        <v>5</v>
      </c>
    </row>
    <row r="55" spans="1:10" ht="15.6" x14ac:dyDescent="0.3">
      <c r="A55" s="7">
        <v>250062</v>
      </c>
      <c r="B55" s="7">
        <v>304</v>
      </c>
      <c r="C55" s="1">
        <v>0.6</v>
      </c>
      <c r="D55" s="1" t="s">
        <v>37</v>
      </c>
      <c r="E55" s="2" t="s">
        <v>63</v>
      </c>
      <c r="F55" s="7" t="s">
        <v>66</v>
      </c>
      <c r="G55" s="7">
        <v>430</v>
      </c>
      <c r="H55" s="9">
        <v>200</v>
      </c>
      <c r="I55" s="10">
        <v>201</v>
      </c>
      <c r="J55" s="9">
        <f t="shared" si="2"/>
        <v>-1</v>
      </c>
    </row>
    <row r="56" spans="1:10" ht="15.6" x14ac:dyDescent="0.3">
      <c r="A56" s="7">
        <v>250062</v>
      </c>
      <c r="B56" s="7">
        <v>304</v>
      </c>
      <c r="C56" s="1">
        <v>0.6</v>
      </c>
      <c r="D56" s="1" t="s">
        <v>37</v>
      </c>
      <c r="E56" s="2" t="s">
        <v>64</v>
      </c>
      <c r="F56" s="7" t="s">
        <v>66</v>
      </c>
      <c r="G56" s="7">
        <v>430</v>
      </c>
      <c r="H56" s="9">
        <v>300</v>
      </c>
      <c r="I56" s="10">
        <v>291</v>
      </c>
      <c r="J56" s="9">
        <f t="shared" si="2"/>
        <v>9</v>
      </c>
    </row>
    <row r="57" spans="1:10" ht="15.6" x14ac:dyDescent="0.3">
      <c r="A57" s="7">
        <v>250062</v>
      </c>
      <c r="B57" s="7">
        <v>304</v>
      </c>
      <c r="C57" s="1">
        <v>0.6</v>
      </c>
      <c r="D57" s="1" t="s">
        <v>37</v>
      </c>
      <c r="E57" s="2" t="s">
        <v>65</v>
      </c>
      <c r="F57" s="7" t="s">
        <v>66</v>
      </c>
      <c r="G57" s="7">
        <v>430</v>
      </c>
      <c r="H57" s="9">
        <v>300</v>
      </c>
      <c r="I57" s="10">
        <v>301</v>
      </c>
      <c r="J57" s="9">
        <f t="shared" si="2"/>
        <v>-1</v>
      </c>
    </row>
    <row r="58" spans="1:10" ht="15.6" x14ac:dyDescent="0.3">
      <c r="A58" s="7">
        <v>250062</v>
      </c>
      <c r="B58" s="7">
        <v>304</v>
      </c>
      <c r="C58" s="1">
        <v>0.6</v>
      </c>
      <c r="D58" s="1" t="s">
        <v>37</v>
      </c>
      <c r="E58" s="2" t="s">
        <v>60</v>
      </c>
      <c r="F58" s="7" t="s">
        <v>66</v>
      </c>
      <c r="G58" s="7">
        <v>430</v>
      </c>
      <c r="H58" s="9">
        <v>300</v>
      </c>
      <c r="I58" s="10">
        <v>296</v>
      </c>
      <c r="J58" s="9">
        <f t="shared" si="2"/>
        <v>4</v>
      </c>
    </row>
    <row r="59" spans="1:10" ht="15.6" x14ac:dyDescent="0.3">
      <c r="A59" s="7">
        <v>250062</v>
      </c>
      <c r="B59" s="7">
        <v>304</v>
      </c>
      <c r="C59" s="1">
        <v>0.6</v>
      </c>
      <c r="D59" s="1" t="s">
        <v>37</v>
      </c>
      <c r="E59" s="2" t="s">
        <v>61</v>
      </c>
      <c r="F59" s="7" t="s">
        <v>66</v>
      </c>
      <c r="G59" s="7">
        <v>430</v>
      </c>
      <c r="H59" s="9">
        <v>300</v>
      </c>
      <c r="I59" s="10">
        <v>296</v>
      </c>
      <c r="J59" s="9">
        <f t="shared" si="2"/>
        <v>4</v>
      </c>
    </row>
    <row r="60" spans="1:10" ht="15.6" x14ac:dyDescent="0.3">
      <c r="A60" s="7">
        <v>250062</v>
      </c>
      <c r="B60" s="7">
        <v>304</v>
      </c>
      <c r="C60" s="1">
        <v>0.6</v>
      </c>
      <c r="D60" s="1" t="s">
        <v>37</v>
      </c>
      <c r="E60" s="2" t="s">
        <v>68</v>
      </c>
      <c r="F60" s="7" t="s">
        <v>66</v>
      </c>
      <c r="G60" s="7">
        <v>430</v>
      </c>
      <c r="H60" s="9">
        <v>300</v>
      </c>
      <c r="I60" s="21">
        <v>304</v>
      </c>
      <c r="J60" s="20">
        <f t="shared" si="2"/>
        <v>-4</v>
      </c>
    </row>
    <row r="61" spans="1:10" ht="15.6" x14ac:dyDescent="0.3">
      <c r="A61" s="7">
        <v>250062</v>
      </c>
      <c r="B61" s="7">
        <v>304</v>
      </c>
      <c r="C61" s="1">
        <v>0.6</v>
      </c>
      <c r="D61" s="1" t="s">
        <v>37</v>
      </c>
      <c r="E61" s="2" t="s">
        <v>69</v>
      </c>
      <c r="F61" s="7" t="s">
        <v>66</v>
      </c>
      <c r="G61" s="7">
        <v>430</v>
      </c>
      <c r="H61" s="9">
        <v>300</v>
      </c>
      <c r="I61" s="10">
        <v>298</v>
      </c>
      <c r="J61" s="9">
        <f t="shared" si="2"/>
        <v>2</v>
      </c>
    </row>
    <row r="62" spans="1:10" ht="15.6" x14ac:dyDescent="0.3">
      <c r="A62" s="7">
        <v>250062</v>
      </c>
      <c r="B62" s="7">
        <v>304</v>
      </c>
      <c r="C62" s="1">
        <v>0.6</v>
      </c>
      <c r="D62" s="1" t="s">
        <v>37</v>
      </c>
      <c r="E62" s="2" t="s">
        <v>70</v>
      </c>
      <c r="F62" s="7" t="s">
        <v>66</v>
      </c>
      <c r="G62" s="7">
        <v>430</v>
      </c>
      <c r="H62" s="9">
        <v>125</v>
      </c>
      <c r="I62" s="10">
        <v>124</v>
      </c>
      <c r="J62" s="9">
        <f t="shared" si="2"/>
        <v>1</v>
      </c>
    </row>
    <row r="63" spans="1:10" ht="15.6" x14ac:dyDescent="0.3">
      <c r="A63" s="7">
        <v>250062</v>
      </c>
      <c r="B63" s="7">
        <v>304</v>
      </c>
      <c r="C63" s="1">
        <v>0.6</v>
      </c>
      <c r="D63" s="1" t="s">
        <v>37</v>
      </c>
      <c r="E63" s="2" t="s">
        <v>59</v>
      </c>
      <c r="F63" s="7" t="s">
        <v>66</v>
      </c>
      <c r="G63" s="7">
        <v>430</v>
      </c>
      <c r="H63" s="9">
        <v>125</v>
      </c>
      <c r="I63" s="21">
        <v>126</v>
      </c>
      <c r="J63" s="20">
        <f t="shared" si="2"/>
        <v>-1</v>
      </c>
    </row>
    <row r="64" spans="1:10" ht="15.6" x14ac:dyDescent="0.3">
      <c r="A64" s="7">
        <v>250062</v>
      </c>
      <c r="B64" s="7">
        <v>304</v>
      </c>
      <c r="C64" s="1">
        <v>0.6</v>
      </c>
      <c r="D64" s="1" t="s">
        <v>37</v>
      </c>
      <c r="E64" s="2" t="s">
        <v>58</v>
      </c>
      <c r="F64" s="7" t="s">
        <v>66</v>
      </c>
      <c r="G64" s="7">
        <v>430</v>
      </c>
      <c r="H64" s="9">
        <v>125</v>
      </c>
      <c r="I64" s="21">
        <v>128</v>
      </c>
      <c r="J64" s="20">
        <f t="shared" si="2"/>
        <v>-3</v>
      </c>
    </row>
    <row r="65" spans="1:10" ht="15.6" x14ac:dyDescent="0.3">
      <c r="A65" s="7"/>
      <c r="B65" s="7"/>
      <c r="C65" s="1"/>
      <c r="D65" s="1"/>
      <c r="E65" s="2"/>
      <c r="F65" s="7"/>
      <c r="G65" s="7"/>
      <c r="H65" s="9"/>
      <c r="I65" s="10"/>
      <c r="J65" s="9">
        <f t="shared" si="2"/>
        <v>0</v>
      </c>
    </row>
    <row r="66" spans="1:10" ht="15.6" x14ac:dyDescent="0.3">
      <c r="A66" s="7">
        <v>250044</v>
      </c>
      <c r="B66" s="7">
        <v>304</v>
      </c>
      <c r="C66" s="1">
        <v>0.6</v>
      </c>
      <c r="D66" s="1" t="s">
        <v>71</v>
      </c>
      <c r="E66" s="2" t="s">
        <v>72</v>
      </c>
      <c r="F66" s="7" t="s">
        <v>73</v>
      </c>
      <c r="G66" s="7">
        <v>430</v>
      </c>
      <c r="H66" s="9">
        <v>600</v>
      </c>
      <c r="I66" s="10"/>
      <c r="J66" s="9">
        <f t="shared" si="2"/>
        <v>600</v>
      </c>
    </row>
    <row r="67" spans="1:10" ht="15.6" x14ac:dyDescent="0.3">
      <c r="A67" s="7"/>
      <c r="B67" s="7"/>
      <c r="C67" s="1"/>
      <c r="D67" s="1"/>
      <c r="E67" s="2"/>
      <c r="F67" s="7"/>
      <c r="G67" s="7"/>
      <c r="H67" s="9"/>
      <c r="I67" s="10"/>
      <c r="J67" s="9">
        <f t="shared" si="2"/>
        <v>0</v>
      </c>
    </row>
    <row r="68" spans="1:10" ht="15.6" x14ac:dyDescent="0.3">
      <c r="A68" s="7">
        <v>250054</v>
      </c>
      <c r="B68" s="7">
        <v>304</v>
      </c>
      <c r="C68" s="1">
        <v>0.7</v>
      </c>
      <c r="D68" s="1" t="s">
        <v>74</v>
      </c>
      <c r="E68" s="2" t="s">
        <v>75</v>
      </c>
      <c r="F68" s="7" t="s">
        <v>66</v>
      </c>
      <c r="G68" s="7">
        <v>304</v>
      </c>
      <c r="H68" s="9">
        <v>535</v>
      </c>
      <c r="I68" s="10"/>
      <c r="J68" s="9">
        <f t="shared" si="2"/>
        <v>535</v>
      </c>
    </row>
    <row r="69" spans="1:10" ht="15.6" x14ac:dyDescent="0.3">
      <c r="A69" s="7">
        <v>250054</v>
      </c>
      <c r="B69" s="7">
        <v>304</v>
      </c>
      <c r="C69" s="1">
        <v>0.7</v>
      </c>
      <c r="D69" s="1" t="s">
        <v>74</v>
      </c>
      <c r="E69" s="2" t="s">
        <v>88</v>
      </c>
      <c r="F69" s="7" t="s">
        <v>66</v>
      </c>
      <c r="G69" s="7">
        <v>304</v>
      </c>
      <c r="H69" s="9">
        <v>535</v>
      </c>
      <c r="I69" s="10"/>
      <c r="J69" s="9">
        <f t="shared" si="2"/>
        <v>535</v>
      </c>
    </row>
    <row r="70" spans="1:10" ht="15.6" x14ac:dyDescent="0.3">
      <c r="A70" s="7">
        <v>250054</v>
      </c>
      <c r="B70" s="7">
        <v>304</v>
      </c>
      <c r="C70" s="1">
        <v>0.7</v>
      </c>
      <c r="D70" s="1" t="s">
        <v>74</v>
      </c>
      <c r="E70" s="2" t="s">
        <v>77</v>
      </c>
      <c r="F70" s="7" t="s">
        <v>66</v>
      </c>
      <c r="G70" s="7">
        <v>304</v>
      </c>
      <c r="H70" s="9">
        <v>535</v>
      </c>
      <c r="I70" s="10"/>
      <c r="J70" s="9">
        <f t="shared" si="2"/>
        <v>535</v>
      </c>
    </row>
    <row r="71" spans="1:10" ht="15.6" x14ac:dyDescent="0.3">
      <c r="A71" s="7">
        <v>250054</v>
      </c>
      <c r="B71" s="7">
        <v>304</v>
      </c>
      <c r="C71" s="1">
        <v>0.7</v>
      </c>
      <c r="D71" s="1" t="s">
        <v>74</v>
      </c>
      <c r="E71" s="2" t="s">
        <v>78</v>
      </c>
      <c r="F71" s="7" t="s">
        <v>66</v>
      </c>
      <c r="G71" s="7">
        <v>304</v>
      </c>
      <c r="H71" s="9">
        <v>535</v>
      </c>
      <c r="I71" s="10"/>
      <c r="J71" s="9">
        <f t="shared" si="2"/>
        <v>535</v>
      </c>
    </row>
    <row r="72" spans="1:10" ht="15.6" x14ac:dyDescent="0.3">
      <c r="A72" s="7">
        <v>250054</v>
      </c>
      <c r="B72" s="7">
        <v>304</v>
      </c>
      <c r="C72" s="1">
        <v>0.7</v>
      </c>
      <c r="D72" s="1" t="s">
        <v>74</v>
      </c>
      <c r="E72" s="2" t="s">
        <v>79</v>
      </c>
      <c r="F72" s="7" t="s">
        <v>66</v>
      </c>
      <c r="G72" s="7">
        <v>304</v>
      </c>
      <c r="H72" s="9">
        <v>535</v>
      </c>
      <c r="I72" s="10"/>
      <c r="J72" s="9">
        <f t="shared" si="2"/>
        <v>535</v>
      </c>
    </row>
    <row r="73" spans="1:10" ht="15.6" x14ac:dyDescent="0.3">
      <c r="A73" s="7">
        <v>250054</v>
      </c>
      <c r="B73" s="7">
        <v>304</v>
      </c>
      <c r="C73" s="1">
        <v>0.7</v>
      </c>
      <c r="D73" s="1" t="s">
        <v>74</v>
      </c>
      <c r="E73" s="2" t="s">
        <v>84</v>
      </c>
      <c r="F73" s="7" t="s">
        <v>66</v>
      </c>
      <c r="G73" s="7">
        <v>304</v>
      </c>
      <c r="H73" s="9">
        <v>535</v>
      </c>
      <c r="I73" s="10"/>
      <c r="J73" s="9">
        <f t="shared" si="2"/>
        <v>535</v>
      </c>
    </row>
    <row r="74" spans="1:10" ht="15.6" x14ac:dyDescent="0.3">
      <c r="A74" s="7">
        <v>250054</v>
      </c>
      <c r="B74" s="7">
        <v>304</v>
      </c>
      <c r="C74" s="1">
        <v>0.7</v>
      </c>
      <c r="D74" s="1" t="s">
        <v>74</v>
      </c>
      <c r="E74" s="2" t="s">
        <v>104</v>
      </c>
      <c r="F74" s="7" t="s">
        <v>80</v>
      </c>
      <c r="G74" s="7">
        <v>304</v>
      </c>
      <c r="H74" s="9">
        <v>535</v>
      </c>
      <c r="I74" s="10"/>
      <c r="J74" s="9">
        <f t="shared" si="2"/>
        <v>535</v>
      </c>
    </row>
    <row r="75" spans="1:10" ht="15.6" x14ac:dyDescent="0.3">
      <c r="A75" s="7"/>
      <c r="B75" s="7"/>
      <c r="C75" s="1"/>
      <c r="D75" s="1"/>
      <c r="E75" s="2"/>
      <c r="F75" s="7"/>
      <c r="G75" s="7"/>
      <c r="H75" s="9"/>
      <c r="I75" s="10"/>
      <c r="J75" s="9">
        <f t="shared" si="2"/>
        <v>0</v>
      </c>
    </row>
    <row r="76" spans="1:10" ht="15.6" x14ac:dyDescent="0.3">
      <c r="A76" s="7">
        <v>250054</v>
      </c>
      <c r="B76" s="7">
        <v>304</v>
      </c>
      <c r="C76" s="1">
        <v>0.7</v>
      </c>
      <c r="D76" s="1" t="s">
        <v>74</v>
      </c>
      <c r="E76" s="2" t="s">
        <v>76</v>
      </c>
      <c r="F76" s="7" t="s">
        <v>66</v>
      </c>
      <c r="G76" s="7">
        <v>304</v>
      </c>
      <c r="H76" s="9">
        <v>290</v>
      </c>
      <c r="I76" s="10"/>
      <c r="J76" s="9">
        <f t="shared" si="2"/>
        <v>290</v>
      </c>
    </row>
    <row r="77" spans="1:10" ht="15.6" x14ac:dyDescent="0.3">
      <c r="A77" s="7">
        <v>250054</v>
      </c>
      <c r="B77" s="7">
        <v>304</v>
      </c>
      <c r="C77" s="1">
        <v>0.7</v>
      </c>
      <c r="D77" s="1" t="s">
        <v>74</v>
      </c>
      <c r="E77" s="2" t="s">
        <v>89</v>
      </c>
      <c r="F77" s="7" t="s">
        <v>66</v>
      </c>
      <c r="G77" s="7">
        <v>304</v>
      </c>
      <c r="H77" s="9">
        <v>290</v>
      </c>
      <c r="I77" s="10"/>
      <c r="J77" s="9">
        <f t="shared" si="2"/>
        <v>290</v>
      </c>
    </row>
    <row r="78" spans="1:10" ht="15.6" x14ac:dyDescent="0.3">
      <c r="A78" s="7">
        <v>250054</v>
      </c>
      <c r="B78" s="7">
        <v>304</v>
      </c>
      <c r="C78" s="1">
        <v>0.7</v>
      </c>
      <c r="D78" s="1" t="s">
        <v>74</v>
      </c>
      <c r="E78" s="2" t="s">
        <v>81</v>
      </c>
      <c r="F78" s="7" t="s">
        <v>66</v>
      </c>
      <c r="G78" s="7">
        <v>304</v>
      </c>
      <c r="H78" s="9">
        <v>290</v>
      </c>
      <c r="I78" s="10"/>
      <c r="J78" s="9">
        <f t="shared" si="2"/>
        <v>290</v>
      </c>
    </row>
    <row r="79" spans="1:10" ht="15.6" x14ac:dyDescent="0.3">
      <c r="A79" s="7">
        <v>250054</v>
      </c>
      <c r="B79" s="7">
        <v>304</v>
      </c>
      <c r="C79" s="1">
        <v>0.7</v>
      </c>
      <c r="D79" s="1" t="s">
        <v>74</v>
      </c>
      <c r="E79" s="2" t="s">
        <v>82</v>
      </c>
      <c r="F79" s="7" t="s">
        <v>66</v>
      </c>
      <c r="G79" s="7">
        <v>304</v>
      </c>
      <c r="H79" s="9">
        <v>290</v>
      </c>
      <c r="I79" s="10"/>
      <c r="J79" s="9">
        <f t="shared" si="2"/>
        <v>290</v>
      </c>
    </row>
    <row r="80" spans="1:10" ht="15.6" x14ac:dyDescent="0.3">
      <c r="A80" s="7">
        <v>250054</v>
      </c>
      <c r="B80" s="7">
        <v>304</v>
      </c>
      <c r="C80" s="1">
        <v>0.7</v>
      </c>
      <c r="D80" s="1" t="s">
        <v>74</v>
      </c>
      <c r="E80" s="2" t="s">
        <v>83</v>
      </c>
      <c r="F80" s="7" t="s">
        <v>66</v>
      </c>
      <c r="G80" s="7">
        <v>304</v>
      </c>
      <c r="H80" s="9">
        <v>290</v>
      </c>
      <c r="I80" s="10"/>
      <c r="J80" s="9">
        <f t="shared" si="2"/>
        <v>290</v>
      </c>
    </row>
    <row r="81" spans="1:10" ht="15.6" x14ac:dyDescent="0.3">
      <c r="A81" s="7">
        <v>250054</v>
      </c>
      <c r="B81" s="7">
        <v>304</v>
      </c>
      <c r="C81" s="1">
        <v>0.7</v>
      </c>
      <c r="D81" s="1" t="s">
        <v>74</v>
      </c>
      <c r="E81" s="2" t="s">
        <v>85</v>
      </c>
      <c r="F81" s="7" t="s">
        <v>66</v>
      </c>
      <c r="G81" s="7">
        <v>304</v>
      </c>
      <c r="H81" s="9">
        <v>290</v>
      </c>
      <c r="I81" s="10"/>
      <c r="J81" s="9">
        <f t="shared" si="2"/>
        <v>290</v>
      </c>
    </row>
    <row r="82" spans="1:10" ht="15.6" x14ac:dyDescent="0.3">
      <c r="A82" s="7">
        <v>250054</v>
      </c>
      <c r="B82" s="7">
        <v>304</v>
      </c>
      <c r="C82" s="1">
        <v>0.7</v>
      </c>
      <c r="D82" s="1" t="s">
        <v>74</v>
      </c>
      <c r="E82" s="2" t="s">
        <v>86</v>
      </c>
      <c r="F82" s="7" t="s">
        <v>80</v>
      </c>
      <c r="G82" s="7">
        <v>304</v>
      </c>
      <c r="H82" s="9">
        <v>290</v>
      </c>
      <c r="I82" s="10"/>
      <c r="J82" s="9">
        <f t="shared" si="2"/>
        <v>290</v>
      </c>
    </row>
    <row r="83" spans="1:10" ht="15.6" x14ac:dyDescent="0.3">
      <c r="A83" s="7"/>
      <c r="B83" s="7"/>
      <c r="C83" s="1"/>
      <c r="D83" s="1"/>
      <c r="E83" s="2"/>
      <c r="F83" s="7"/>
      <c r="G83" s="7"/>
      <c r="H83" s="9"/>
      <c r="I83" s="10"/>
      <c r="J83" s="9">
        <f t="shared" si="2"/>
        <v>0</v>
      </c>
    </row>
    <row r="84" spans="1:10" ht="15.6" x14ac:dyDescent="0.3">
      <c r="A84" s="7">
        <v>250053</v>
      </c>
      <c r="B84" s="7">
        <v>304</v>
      </c>
      <c r="C84" s="1">
        <v>0.7</v>
      </c>
      <c r="D84" s="1" t="s">
        <v>74</v>
      </c>
      <c r="E84" s="2" t="s">
        <v>87</v>
      </c>
      <c r="F84" s="7" t="s">
        <v>66</v>
      </c>
      <c r="G84" s="7">
        <v>304</v>
      </c>
      <c r="H84" s="9">
        <v>470</v>
      </c>
      <c r="I84" s="10"/>
      <c r="J84" s="9">
        <f t="shared" si="2"/>
        <v>470</v>
      </c>
    </row>
    <row r="85" spans="1:10" ht="15.6" x14ac:dyDescent="0.3">
      <c r="A85" s="7">
        <v>250053</v>
      </c>
      <c r="B85" s="7">
        <v>304</v>
      </c>
      <c r="C85" s="1">
        <v>0.7</v>
      </c>
      <c r="D85" s="1" t="s">
        <v>74</v>
      </c>
      <c r="E85" s="2" t="s">
        <v>90</v>
      </c>
      <c r="F85" s="7" t="s">
        <v>66</v>
      </c>
      <c r="G85" s="7">
        <v>304</v>
      </c>
      <c r="H85" s="9">
        <v>470</v>
      </c>
      <c r="I85" s="10"/>
      <c r="J85" s="9">
        <f t="shared" si="2"/>
        <v>470</v>
      </c>
    </row>
    <row r="86" spans="1:10" ht="15.6" x14ac:dyDescent="0.3">
      <c r="A86" s="7">
        <v>250053</v>
      </c>
      <c r="B86" s="7">
        <v>304</v>
      </c>
      <c r="C86" s="1">
        <v>0.7</v>
      </c>
      <c r="D86" s="1" t="s">
        <v>74</v>
      </c>
      <c r="E86" s="2" t="s">
        <v>91</v>
      </c>
      <c r="F86" s="7" t="s">
        <v>66</v>
      </c>
      <c r="G86" s="7">
        <v>304</v>
      </c>
      <c r="H86" s="9">
        <v>470</v>
      </c>
      <c r="I86" s="10"/>
      <c r="J86" s="9">
        <f t="shared" si="2"/>
        <v>470</v>
      </c>
    </row>
    <row r="87" spans="1:10" ht="15.6" x14ac:dyDescent="0.3">
      <c r="A87" s="7">
        <v>250053</v>
      </c>
      <c r="B87" s="7">
        <v>304</v>
      </c>
      <c r="C87" s="1">
        <v>0.7</v>
      </c>
      <c r="D87" s="1" t="s">
        <v>74</v>
      </c>
      <c r="E87" s="2" t="s">
        <v>92</v>
      </c>
      <c r="F87" s="7" t="s">
        <v>66</v>
      </c>
      <c r="G87" s="7">
        <v>304</v>
      </c>
      <c r="H87" s="9">
        <v>470</v>
      </c>
      <c r="I87" s="10"/>
      <c r="J87" s="9">
        <f t="shared" si="2"/>
        <v>470</v>
      </c>
    </row>
    <row r="88" spans="1:10" ht="15.6" x14ac:dyDescent="0.3">
      <c r="A88" s="7">
        <v>250053</v>
      </c>
      <c r="B88" s="7">
        <v>304</v>
      </c>
      <c r="C88" s="1">
        <v>0.7</v>
      </c>
      <c r="D88" s="1" t="s">
        <v>74</v>
      </c>
      <c r="E88" s="2" t="s">
        <v>93</v>
      </c>
      <c r="F88" s="7" t="s">
        <v>66</v>
      </c>
      <c r="G88" s="7">
        <v>304</v>
      </c>
      <c r="H88" s="9">
        <v>470</v>
      </c>
      <c r="I88" s="10"/>
      <c r="J88" s="9">
        <f t="shared" si="2"/>
        <v>470</v>
      </c>
    </row>
    <row r="89" spans="1:10" ht="15.6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2"/>
        <v>0</v>
      </c>
    </row>
    <row r="90" spans="1:10" ht="15.6" x14ac:dyDescent="0.3">
      <c r="A90" s="7">
        <v>250053</v>
      </c>
      <c r="B90" s="7">
        <v>304</v>
      </c>
      <c r="C90" s="1">
        <v>0.7</v>
      </c>
      <c r="D90" s="1" t="s">
        <v>74</v>
      </c>
      <c r="E90" s="2" t="s">
        <v>94</v>
      </c>
      <c r="F90" s="7" t="s">
        <v>66</v>
      </c>
      <c r="G90" s="7">
        <v>304</v>
      </c>
      <c r="H90" s="9">
        <v>250</v>
      </c>
      <c r="I90" s="10"/>
      <c r="J90" s="9">
        <f t="shared" si="2"/>
        <v>250</v>
      </c>
    </row>
    <row r="91" spans="1:10" ht="15.6" x14ac:dyDescent="0.3">
      <c r="A91" s="7">
        <v>250053</v>
      </c>
      <c r="B91" s="7">
        <v>304</v>
      </c>
      <c r="C91" s="1">
        <v>0.7</v>
      </c>
      <c r="D91" s="1" t="s">
        <v>74</v>
      </c>
      <c r="E91" s="2" t="s">
        <v>95</v>
      </c>
      <c r="F91" s="7" t="s">
        <v>66</v>
      </c>
      <c r="G91" s="7">
        <v>304</v>
      </c>
      <c r="H91" s="9">
        <v>250</v>
      </c>
      <c r="I91" s="10"/>
      <c r="J91" s="9">
        <f t="shared" si="2"/>
        <v>250</v>
      </c>
    </row>
    <row r="92" spans="1:10" ht="15.6" x14ac:dyDescent="0.3">
      <c r="A92" s="7">
        <v>250053</v>
      </c>
      <c r="B92" s="7">
        <v>304</v>
      </c>
      <c r="C92" s="1">
        <v>0.7</v>
      </c>
      <c r="D92" s="1" t="s">
        <v>74</v>
      </c>
      <c r="E92" s="2" t="s">
        <v>96</v>
      </c>
      <c r="F92" s="7" t="s">
        <v>66</v>
      </c>
      <c r="G92" s="7">
        <v>304</v>
      </c>
      <c r="H92" s="9">
        <v>250</v>
      </c>
      <c r="I92" s="10"/>
      <c r="J92" s="9">
        <f t="shared" si="2"/>
        <v>250</v>
      </c>
    </row>
    <row r="93" spans="1:10" ht="15.6" x14ac:dyDescent="0.3">
      <c r="A93" s="7">
        <v>250053</v>
      </c>
      <c r="B93" s="7">
        <v>304</v>
      </c>
      <c r="C93" s="1">
        <v>0.7</v>
      </c>
      <c r="D93" s="1" t="s">
        <v>74</v>
      </c>
      <c r="E93" s="2" t="s">
        <v>97</v>
      </c>
      <c r="F93" s="7" t="s">
        <v>66</v>
      </c>
      <c r="G93" s="7">
        <v>304</v>
      </c>
      <c r="H93" s="9">
        <v>250</v>
      </c>
      <c r="I93" s="10"/>
      <c r="J93" s="9">
        <f t="shared" si="2"/>
        <v>250</v>
      </c>
    </row>
    <row r="94" spans="1:10" ht="15.6" x14ac:dyDescent="0.3">
      <c r="A94" s="7">
        <v>250053</v>
      </c>
      <c r="B94" s="7">
        <v>304</v>
      </c>
      <c r="C94" s="1">
        <v>0.7</v>
      </c>
      <c r="D94" s="1" t="s">
        <v>74</v>
      </c>
      <c r="E94" s="2" t="s">
        <v>98</v>
      </c>
      <c r="F94" s="7" t="s">
        <v>66</v>
      </c>
      <c r="G94" s="7">
        <v>304</v>
      </c>
      <c r="H94" s="9">
        <v>250</v>
      </c>
      <c r="I94" s="10"/>
      <c r="J94" s="9">
        <f t="shared" si="2"/>
        <v>250</v>
      </c>
    </row>
    <row r="95" spans="1:10" ht="15.6" x14ac:dyDescent="0.3">
      <c r="A95" s="7"/>
      <c r="B95" s="7"/>
      <c r="C95" s="1"/>
      <c r="D95" s="1"/>
      <c r="E95" s="2"/>
      <c r="F95" s="7"/>
      <c r="G95" s="7"/>
      <c r="H95" s="9"/>
      <c r="I95" s="10"/>
      <c r="J95" s="9">
        <f t="shared" si="2"/>
        <v>0</v>
      </c>
    </row>
    <row r="96" spans="1:10" ht="15.6" x14ac:dyDescent="0.3">
      <c r="A96" s="7">
        <v>250049</v>
      </c>
      <c r="B96" s="7">
        <v>304</v>
      </c>
      <c r="C96" s="1">
        <v>0.7</v>
      </c>
      <c r="D96" s="1" t="s">
        <v>37</v>
      </c>
      <c r="E96" s="2" t="s">
        <v>99</v>
      </c>
      <c r="F96" s="7" t="s">
        <v>34</v>
      </c>
      <c r="G96" s="7">
        <v>304</v>
      </c>
      <c r="H96" s="9">
        <v>790</v>
      </c>
      <c r="I96" s="10"/>
      <c r="J96" s="9">
        <f t="shared" si="2"/>
        <v>790</v>
      </c>
    </row>
    <row r="97" spans="1:10" ht="15.6" x14ac:dyDescent="0.3">
      <c r="A97" s="7">
        <v>250049</v>
      </c>
      <c r="B97" s="7">
        <v>304</v>
      </c>
      <c r="C97" s="1">
        <v>0.7</v>
      </c>
      <c r="D97" s="1" t="s">
        <v>37</v>
      </c>
      <c r="E97" s="2" t="s">
        <v>100</v>
      </c>
      <c r="F97" s="7" t="s">
        <v>34</v>
      </c>
      <c r="G97" s="7">
        <v>304</v>
      </c>
      <c r="H97" s="9">
        <v>790</v>
      </c>
      <c r="I97" s="10"/>
      <c r="J97" s="9">
        <f t="shared" si="2"/>
        <v>790</v>
      </c>
    </row>
    <row r="98" spans="1:10" ht="15.6" x14ac:dyDescent="0.3">
      <c r="A98" s="7">
        <v>250049</v>
      </c>
      <c r="B98" s="7">
        <v>304</v>
      </c>
      <c r="C98" s="1">
        <v>0.7</v>
      </c>
      <c r="D98" s="1" t="s">
        <v>37</v>
      </c>
      <c r="E98" s="2" t="s">
        <v>101</v>
      </c>
      <c r="F98" s="7" t="s">
        <v>34</v>
      </c>
      <c r="G98" s="7">
        <v>304</v>
      </c>
      <c r="H98" s="9">
        <v>790</v>
      </c>
      <c r="I98" s="10"/>
      <c r="J98" s="9">
        <f t="shared" si="2"/>
        <v>790</v>
      </c>
    </row>
    <row r="99" spans="1:10" ht="15.6" x14ac:dyDescent="0.3">
      <c r="A99" s="7">
        <v>250049</v>
      </c>
      <c r="B99" s="7">
        <v>304</v>
      </c>
      <c r="C99" s="1">
        <v>0.7</v>
      </c>
      <c r="D99" s="1" t="s">
        <v>37</v>
      </c>
      <c r="E99" s="2" t="s">
        <v>102</v>
      </c>
      <c r="F99" s="7" t="s">
        <v>34</v>
      </c>
      <c r="G99" s="7">
        <v>304</v>
      </c>
      <c r="H99" s="9">
        <v>790</v>
      </c>
      <c r="I99" s="10"/>
      <c r="J99" s="9">
        <f t="shared" si="2"/>
        <v>790</v>
      </c>
    </row>
    <row r="100" spans="1:10" ht="15.6" x14ac:dyDescent="0.3">
      <c r="A100" s="7">
        <v>250049</v>
      </c>
      <c r="B100" s="7">
        <v>304</v>
      </c>
      <c r="C100" s="1">
        <v>0.7</v>
      </c>
      <c r="D100" s="1" t="s">
        <v>37</v>
      </c>
      <c r="E100" s="2" t="s">
        <v>103</v>
      </c>
      <c r="F100" s="7" t="s">
        <v>34</v>
      </c>
      <c r="G100" s="7">
        <v>304</v>
      </c>
      <c r="H100" s="9">
        <v>790</v>
      </c>
      <c r="I100" s="10"/>
      <c r="J100" s="9">
        <f t="shared" si="2"/>
        <v>790</v>
      </c>
    </row>
    <row r="101" spans="1:10" ht="15.6" hidden="1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2"/>
        <v>0</v>
      </c>
    </row>
    <row r="102" spans="1:10" ht="15.6" hidden="1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2"/>
        <v>0</v>
      </c>
    </row>
    <row r="103" spans="1:10" ht="15.6" hidden="1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2"/>
        <v>0</v>
      </c>
    </row>
    <row r="104" spans="1:10" ht="15.6" hidden="1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2"/>
        <v>0</v>
      </c>
    </row>
    <row r="105" spans="1:10" ht="15.6" hidden="1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2"/>
        <v>0</v>
      </c>
    </row>
    <row r="106" spans="1:10" ht="15.6" hidden="1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2"/>
        <v>0</v>
      </c>
    </row>
    <row r="107" spans="1:10" ht="15.6" hidden="1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2"/>
        <v>0</v>
      </c>
    </row>
    <row r="108" spans="1:10" ht="15.6" hidden="1" x14ac:dyDescent="0.3">
      <c r="A108" s="7"/>
      <c r="B108" s="7"/>
      <c r="C108" s="1"/>
      <c r="D108" s="1"/>
      <c r="E108" s="2"/>
      <c r="F108" s="7"/>
      <c r="G108" s="7"/>
      <c r="H108" s="9"/>
      <c r="I108" s="10"/>
      <c r="J108" s="9">
        <f t="shared" si="2"/>
        <v>0</v>
      </c>
    </row>
    <row r="109" spans="1:10" ht="15.6" hidden="1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2"/>
        <v>0</v>
      </c>
    </row>
    <row r="110" spans="1:10" ht="15.6" hidden="1" x14ac:dyDescent="0.3">
      <c r="A110" s="7"/>
      <c r="B110" s="7"/>
      <c r="C110" s="1"/>
      <c r="D110" s="1"/>
      <c r="E110" s="2"/>
      <c r="F110" s="7"/>
      <c r="G110" s="7"/>
      <c r="H110" s="9"/>
      <c r="I110" s="10"/>
      <c r="J110" s="9">
        <f t="shared" si="2"/>
        <v>0</v>
      </c>
    </row>
    <row r="111" spans="1:10" ht="15.6" hidden="1" x14ac:dyDescent="0.3">
      <c r="A111" s="7"/>
      <c r="B111" s="7"/>
      <c r="C111" s="1"/>
      <c r="D111" s="1"/>
      <c r="E111" s="2"/>
      <c r="F111" s="7"/>
      <c r="G111" s="7"/>
      <c r="H111" s="9"/>
      <c r="I111" s="10"/>
      <c r="J111" s="9">
        <f t="shared" si="2"/>
        <v>0</v>
      </c>
    </row>
    <row r="112" spans="1:10" ht="15.6" hidden="1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2"/>
        <v>0</v>
      </c>
    </row>
    <row r="113" spans="1:10" ht="15.6" hidden="1" x14ac:dyDescent="0.3">
      <c r="A113" s="7"/>
      <c r="B113" s="7"/>
      <c r="C113" s="1"/>
      <c r="D113" s="1"/>
      <c r="E113" s="2"/>
      <c r="F113" s="7"/>
      <c r="G113" s="7"/>
      <c r="H113" s="9"/>
      <c r="I113" s="10"/>
      <c r="J113" s="9">
        <f t="shared" si="2"/>
        <v>0</v>
      </c>
    </row>
    <row r="114" spans="1:10" ht="15.6" hidden="1" x14ac:dyDescent="0.3">
      <c r="A114" s="7"/>
      <c r="B114" s="7"/>
      <c r="C114" s="1"/>
      <c r="D114" s="1"/>
      <c r="E114" s="2"/>
      <c r="F114" s="7"/>
      <c r="G114" s="7"/>
      <c r="H114" s="9"/>
      <c r="I114" s="10"/>
      <c r="J114" s="9">
        <f t="shared" si="2"/>
        <v>0</v>
      </c>
    </row>
    <row r="115" spans="1:10" ht="15.6" hidden="1" x14ac:dyDescent="0.3">
      <c r="A115" s="7"/>
      <c r="B115" s="7"/>
      <c r="C115" s="1"/>
      <c r="D115" s="1"/>
      <c r="E115" s="2"/>
      <c r="F115" s="7"/>
      <c r="G115" s="7"/>
      <c r="H115" s="9"/>
      <c r="I115" s="10"/>
      <c r="J115" s="9">
        <f t="shared" si="2"/>
        <v>0</v>
      </c>
    </row>
    <row r="116" spans="1:10" ht="15.6" hidden="1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2"/>
        <v>0</v>
      </c>
    </row>
    <row r="117" spans="1:10" ht="15.6" hidden="1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2"/>
        <v>0</v>
      </c>
    </row>
    <row r="118" spans="1:10" ht="15.6" hidden="1" x14ac:dyDescent="0.3">
      <c r="A118" s="7"/>
      <c r="B118" s="7"/>
      <c r="C118" s="1"/>
      <c r="D118" s="1"/>
      <c r="E118" s="2"/>
      <c r="F118" s="7"/>
      <c r="G118" s="7"/>
      <c r="H118" s="9"/>
      <c r="I118" s="10"/>
      <c r="J118" s="9">
        <f t="shared" si="2"/>
        <v>0</v>
      </c>
    </row>
    <row r="119" spans="1:10" ht="15.6" x14ac:dyDescent="0.3">
      <c r="A119" s="7"/>
      <c r="B119" s="7"/>
      <c r="C119" s="1"/>
      <c r="D119" s="1"/>
      <c r="E119" s="2"/>
      <c r="F119" s="7"/>
      <c r="G119" s="7"/>
      <c r="H119" s="9"/>
      <c r="I119" s="10"/>
      <c r="J119" s="9">
        <f t="shared" si="2"/>
        <v>0</v>
      </c>
    </row>
    <row r="120" spans="1:10" ht="15.6" x14ac:dyDescent="0.3">
      <c r="A120" s="7">
        <v>250069</v>
      </c>
      <c r="B120" s="7">
        <v>304</v>
      </c>
      <c r="C120" s="1">
        <v>0.6</v>
      </c>
      <c r="D120" s="1" t="s">
        <v>71</v>
      </c>
      <c r="E120" s="2" t="s">
        <v>105</v>
      </c>
      <c r="F120" s="7" t="s">
        <v>73</v>
      </c>
      <c r="G120" s="7">
        <v>430</v>
      </c>
      <c r="H120" s="9">
        <v>1650</v>
      </c>
      <c r="I120" s="10">
        <v>792</v>
      </c>
      <c r="J120" s="9">
        <f t="shared" si="2"/>
        <v>858</v>
      </c>
    </row>
    <row r="121" spans="1:10" ht="15.6" x14ac:dyDescent="0.3">
      <c r="A121" s="7">
        <v>250069</v>
      </c>
      <c r="B121" s="7">
        <v>304</v>
      </c>
      <c r="C121" s="1">
        <v>0.6</v>
      </c>
      <c r="D121" s="1" t="s">
        <v>71</v>
      </c>
      <c r="E121" s="2" t="s">
        <v>106</v>
      </c>
      <c r="F121" s="7" t="s">
        <v>73</v>
      </c>
      <c r="G121" s="7">
        <v>430</v>
      </c>
      <c r="H121" s="9">
        <v>1650</v>
      </c>
      <c r="I121" s="10"/>
      <c r="J121" s="9">
        <f t="shared" si="2"/>
        <v>1650</v>
      </c>
    </row>
    <row r="122" spans="1:10" ht="15.6" x14ac:dyDescent="0.3">
      <c r="A122" s="7"/>
      <c r="B122" s="7"/>
      <c r="C122" s="1"/>
      <c r="D122" s="1"/>
      <c r="E122" s="2"/>
      <c r="F122" s="7"/>
      <c r="G122" s="7"/>
      <c r="H122" s="9"/>
      <c r="I122" s="10"/>
      <c r="J122" s="9">
        <f t="shared" si="2"/>
        <v>0</v>
      </c>
    </row>
    <row r="123" spans="1:10" ht="15.6" x14ac:dyDescent="0.3">
      <c r="A123" s="7">
        <v>250035</v>
      </c>
      <c r="B123" s="7">
        <v>304</v>
      </c>
      <c r="C123" s="1">
        <v>0.7</v>
      </c>
      <c r="D123" s="1" t="s">
        <v>74</v>
      </c>
      <c r="E123" s="2" t="s">
        <v>107</v>
      </c>
      <c r="F123" s="7" t="s">
        <v>34</v>
      </c>
      <c r="G123" s="7">
        <v>304</v>
      </c>
      <c r="H123" s="20">
        <v>44</v>
      </c>
      <c r="I123" s="21">
        <v>44</v>
      </c>
      <c r="J123" s="20">
        <f t="shared" si="2"/>
        <v>0</v>
      </c>
    </row>
    <row r="124" spans="1:10" ht="15.6" x14ac:dyDescent="0.3">
      <c r="A124" s="7"/>
      <c r="B124" s="7"/>
      <c r="C124" s="1"/>
      <c r="D124" s="1"/>
      <c r="E124" s="2"/>
      <c r="F124" s="7"/>
      <c r="G124" s="7"/>
      <c r="H124" s="9"/>
      <c r="I124" s="10"/>
      <c r="J124" s="9">
        <f t="shared" si="2"/>
        <v>0</v>
      </c>
    </row>
    <row r="125" spans="1:10" ht="15.6" x14ac:dyDescent="0.3">
      <c r="A125" s="7"/>
      <c r="B125" s="7"/>
      <c r="C125" s="1"/>
      <c r="D125" s="1"/>
      <c r="E125" s="2"/>
      <c r="F125" s="7"/>
      <c r="G125" s="7"/>
      <c r="H125" s="9"/>
      <c r="I125" s="10"/>
      <c r="J125" s="9">
        <f t="shared" si="2"/>
        <v>0</v>
      </c>
    </row>
    <row r="126" spans="1:10" ht="15.6" x14ac:dyDescent="0.3">
      <c r="A126" s="7"/>
      <c r="B126" s="7"/>
      <c r="C126" s="1"/>
      <c r="D126" s="1"/>
      <c r="E126" s="2"/>
      <c r="F126" s="7"/>
      <c r="G126" s="7"/>
      <c r="H126" s="9"/>
      <c r="I126" s="10"/>
      <c r="J126" s="9">
        <f t="shared" si="2"/>
        <v>0</v>
      </c>
    </row>
    <row r="127" spans="1:10" ht="15.6" x14ac:dyDescent="0.3">
      <c r="A127" s="7"/>
      <c r="B127" s="7"/>
      <c r="C127" s="1"/>
      <c r="D127" s="1"/>
      <c r="E127" s="2"/>
      <c r="F127" s="7"/>
      <c r="G127" s="7"/>
      <c r="H127" s="9"/>
      <c r="I127" s="10"/>
      <c r="J127" s="9">
        <f t="shared" si="2"/>
        <v>0</v>
      </c>
    </row>
    <row r="128" spans="1:10" ht="15.6" x14ac:dyDescent="0.3">
      <c r="A128" s="7"/>
      <c r="B128" s="7"/>
      <c r="C128" s="1"/>
      <c r="D128" s="1"/>
      <c r="E128" s="2"/>
      <c r="F128" s="7"/>
      <c r="G128" s="7"/>
      <c r="H128" s="9"/>
      <c r="I128" s="10"/>
      <c r="J128" s="9">
        <f t="shared" si="2"/>
        <v>0</v>
      </c>
    </row>
    <row r="129" spans="1:10" ht="15.6" x14ac:dyDescent="0.3">
      <c r="A129" s="7"/>
      <c r="B129" s="7"/>
      <c r="C129" s="1"/>
      <c r="D129" s="1"/>
      <c r="E129" s="2"/>
      <c r="F129" s="7"/>
      <c r="G129" s="7"/>
      <c r="H129" s="9"/>
      <c r="I129" s="10"/>
      <c r="J129" s="9">
        <f t="shared" si="2"/>
        <v>0</v>
      </c>
    </row>
    <row r="130" spans="1:10" ht="15.6" x14ac:dyDescent="0.3">
      <c r="A130" s="7"/>
      <c r="B130" s="7"/>
      <c r="C130" s="1"/>
      <c r="D130" s="1"/>
      <c r="E130" s="2"/>
      <c r="F130" s="7"/>
      <c r="G130" s="7"/>
      <c r="H130" s="9"/>
      <c r="I130" s="10"/>
      <c r="J130" s="9">
        <f t="shared" si="2"/>
        <v>0</v>
      </c>
    </row>
    <row r="131" spans="1:10" ht="15.6" x14ac:dyDescent="0.3">
      <c r="A131" s="7"/>
      <c r="B131" s="7"/>
      <c r="C131" s="1"/>
      <c r="D131" s="1"/>
      <c r="E131" s="2"/>
      <c r="F131" s="7"/>
      <c r="G131" s="7"/>
      <c r="H131" s="9"/>
      <c r="I131" s="10"/>
      <c r="J131" s="9">
        <f t="shared" si="2"/>
        <v>0</v>
      </c>
    </row>
    <row r="132" spans="1:10" ht="15.6" x14ac:dyDescent="0.3">
      <c r="A132" s="7"/>
      <c r="B132" s="7"/>
      <c r="C132" s="1"/>
      <c r="D132" s="1"/>
      <c r="E132" s="2"/>
      <c r="F132" s="7"/>
      <c r="G132" s="7"/>
      <c r="H132" s="9"/>
      <c r="I132" s="10"/>
      <c r="J132" s="9">
        <f t="shared" si="2"/>
        <v>0</v>
      </c>
    </row>
    <row r="133" spans="1:10" ht="15.6" x14ac:dyDescent="0.3">
      <c r="A133" s="7"/>
      <c r="B133" s="7"/>
      <c r="C133" s="1"/>
      <c r="D133" s="1"/>
      <c r="E133" s="2"/>
      <c r="F133" s="7"/>
      <c r="G133" s="7"/>
      <c r="H133" s="9"/>
      <c r="I133" s="10"/>
      <c r="J133" s="9">
        <f t="shared" si="2"/>
        <v>0</v>
      </c>
    </row>
    <row r="134" spans="1:10" ht="15.6" x14ac:dyDescent="0.3">
      <c r="A134" s="7"/>
      <c r="B134" s="7"/>
      <c r="C134" s="1"/>
      <c r="D134" s="1"/>
      <c r="E134" s="2"/>
      <c r="F134" s="7"/>
      <c r="G134" s="7"/>
      <c r="H134" s="9"/>
      <c r="I134" s="10"/>
      <c r="J134" s="9">
        <f t="shared" si="2"/>
        <v>0</v>
      </c>
    </row>
    <row r="135" spans="1:10" ht="15.6" x14ac:dyDescent="0.3">
      <c r="A135" s="7"/>
      <c r="B135" s="7"/>
      <c r="C135" s="1"/>
      <c r="D135" s="1"/>
      <c r="E135" s="2"/>
      <c r="F135" s="7"/>
      <c r="G135" s="7"/>
      <c r="H135" s="9"/>
      <c r="I135" s="10"/>
      <c r="J135" s="9">
        <f t="shared" si="2"/>
        <v>0</v>
      </c>
    </row>
    <row r="136" spans="1:10" ht="15.6" x14ac:dyDescent="0.3">
      <c r="A136" s="7"/>
      <c r="B136" s="7"/>
      <c r="C136" s="1"/>
      <c r="D136" s="1"/>
      <c r="E136" s="2"/>
      <c r="F136" s="7"/>
      <c r="G136" s="7"/>
      <c r="H136" s="9"/>
      <c r="I136" s="10"/>
      <c r="J136" s="9">
        <f t="shared" si="2"/>
        <v>0</v>
      </c>
    </row>
    <row r="137" spans="1:10" ht="15.6" x14ac:dyDescent="0.3">
      <c r="A137" s="7"/>
      <c r="B137" s="7"/>
      <c r="C137" s="1"/>
      <c r="D137" s="1"/>
      <c r="E137" s="2"/>
      <c r="F137" s="7"/>
      <c r="G137" s="7"/>
      <c r="H137" s="9"/>
      <c r="I137" s="10"/>
      <c r="J137" s="9">
        <f t="shared" si="2"/>
        <v>0</v>
      </c>
    </row>
    <row r="138" spans="1:10" ht="15.6" x14ac:dyDescent="0.3">
      <c r="A138" s="7"/>
      <c r="B138" s="7"/>
      <c r="C138" s="1"/>
      <c r="D138" s="1"/>
      <c r="E138" s="2"/>
      <c r="F138" s="7"/>
      <c r="G138" s="7"/>
      <c r="H138" s="9"/>
      <c r="I138" s="10"/>
      <c r="J138" s="9">
        <f t="shared" si="2"/>
        <v>0</v>
      </c>
    </row>
    <row r="139" spans="1:10" ht="15.6" x14ac:dyDescent="0.3">
      <c r="A139" s="7"/>
      <c r="B139" s="7"/>
      <c r="C139" s="1"/>
      <c r="D139" s="1"/>
      <c r="E139" s="2"/>
      <c r="F139" s="7"/>
      <c r="G139" s="7"/>
      <c r="H139" s="9"/>
      <c r="I139" s="10"/>
      <c r="J139" s="9">
        <f t="shared" si="2"/>
        <v>0</v>
      </c>
    </row>
    <row r="140" spans="1:10" ht="15.6" x14ac:dyDescent="0.3">
      <c r="A140" s="7"/>
      <c r="B140" s="7"/>
      <c r="C140" s="1"/>
      <c r="D140" s="1"/>
      <c r="E140" s="2"/>
      <c r="F140" s="7"/>
      <c r="G140" s="7"/>
      <c r="H140" s="9"/>
      <c r="I140" s="10"/>
      <c r="J140" s="9">
        <f t="shared" si="2"/>
        <v>0</v>
      </c>
    </row>
    <row r="141" spans="1:10" ht="15.6" x14ac:dyDescent="0.3">
      <c r="A141" s="7"/>
      <c r="B141" s="7"/>
      <c r="C141" s="1"/>
      <c r="D141" s="1"/>
      <c r="E141" s="2"/>
      <c r="F141" s="7"/>
      <c r="G141" s="7"/>
      <c r="H141" s="9"/>
      <c r="I141" s="10"/>
      <c r="J141" s="9">
        <f t="shared" si="2"/>
        <v>0</v>
      </c>
    </row>
    <row r="142" spans="1:10" ht="15.6" x14ac:dyDescent="0.3">
      <c r="A142" s="7"/>
      <c r="B142" s="7"/>
      <c r="C142" s="1"/>
      <c r="D142" s="1"/>
      <c r="E142" s="2"/>
      <c r="F142" s="7"/>
      <c r="G142" s="7"/>
      <c r="H142" s="9"/>
      <c r="I142" s="10"/>
      <c r="J142" s="9">
        <f t="shared" si="2"/>
        <v>0</v>
      </c>
    </row>
    <row r="143" spans="1:10" ht="15.6" x14ac:dyDescent="0.3">
      <c r="A143" s="7"/>
      <c r="B143" s="7"/>
      <c r="C143" s="1"/>
      <c r="D143" s="1"/>
      <c r="E143" s="2"/>
      <c r="F143" s="7"/>
      <c r="G143" s="7"/>
      <c r="H143" s="9"/>
      <c r="I143" s="10"/>
      <c r="J143" s="9">
        <f t="shared" si="2"/>
        <v>0</v>
      </c>
    </row>
    <row r="144" spans="1:10" ht="15.6" x14ac:dyDescent="0.3">
      <c r="A144" s="7"/>
      <c r="B144" s="7"/>
      <c r="C144" s="1"/>
      <c r="D144" s="1"/>
      <c r="E144" s="2"/>
      <c r="F144" s="7"/>
      <c r="G144" s="7"/>
      <c r="H144" s="9"/>
      <c r="I144" s="10"/>
      <c r="J144" s="9">
        <f t="shared" si="2"/>
        <v>0</v>
      </c>
    </row>
    <row r="145" spans="1:10" ht="15.6" x14ac:dyDescent="0.3">
      <c r="A145" s="7"/>
      <c r="B145" s="7"/>
      <c r="C145" s="1"/>
      <c r="D145" s="1"/>
      <c r="E145" s="2"/>
      <c r="F145" s="7"/>
      <c r="G145" s="7"/>
      <c r="H145" s="9"/>
      <c r="I145" s="10"/>
      <c r="J145" s="9">
        <f t="shared" si="2"/>
        <v>0</v>
      </c>
    </row>
    <row r="146" spans="1:10" ht="15.6" x14ac:dyDescent="0.3">
      <c r="A146" s="7"/>
      <c r="B146" s="7"/>
      <c r="C146" s="1"/>
      <c r="D146" s="1"/>
      <c r="E146" s="2"/>
      <c r="F146" s="7"/>
      <c r="G146" s="7"/>
      <c r="H146" s="9"/>
      <c r="I146" s="10"/>
      <c r="J146" s="9">
        <f t="shared" si="2"/>
        <v>0</v>
      </c>
    </row>
    <row r="147" spans="1:10" ht="15.6" x14ac:dyDescent="0.3">
      <c r="A147" s="7"/>
      <c r="B147" s="7"/>
      <c r="C147" s="1"/>
      <c r="D147" s="1"/>
      <c r="E147" s="2"/>
      <c r="F147" s="7"/>
      <c r="G147" s="7"/>
      <c r="H147" s="9"/>
      <c r="I147" s="10"/>
      <c r="J147" s="9">
        <f t="shared" si="2"/>
        <v>0</v>
      </c>
    </row>
    <row r="148" spans="1:10" ht="15.6" x14ac:dyDescent="0.3">
      <c r="A148" s="11"/>
      <c r="B148" s="11"/>
      <c r="C148" s="12"/>
      <c r="D148" s="12"/>
      <c r="E148" s="13"/>
      <c r="F148" s="11"/>
      <c r="G148" s="14"/>
      <c r="H148" s="9">
        <f>SUM(H4:H147)</f>
        <v>61794</v>
      </c>
      <c r="I148" s="10">
        <f>SUM(I4:I147)</f>
        <v>44823</v>
      </c>
      <c r="J148" s="9">
        <f>SUM(J4:J147)</f>
        <v>16971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3" fitToHeight="0" orientation="portrait" horizontalDpi="1200" verticalDpi="1200" r:id="rId1"/>
  <ignoredErrors>
    <ignoredError sqref="I4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8"/>
  <sheetViews>
    <sheetView topLeftCell="A10" zoomScale="70" zoomScaleNormal="70" workbookViewId="0">
      <selection activeCell="B21" sqref="B21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87.218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 t="s">
        <v>147</v>
      </c>
      <c r="J1" s="28"/>
    </row>
    <row r="2" spans="1:10" ht="40.049999999999997" customHeight="1" x14ac:dyDescent="0.3">
      <c r="A2" s="29" t="s">
        <v>146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 t="s">
        <v>35</v>
      </c>
      <c r="B4" s="7">
        <v>430</v>
      </c>
      <c r="C4" s="1">
        <v>0.5</v>
      </c>
      <c r="D4" s="1" t="s">
        <v>12</v>
      </c>
      <c r="E4" s="2" t="s">
        <v>13</v>
      </c>
      <c r="F4" s="7" t="s">
        <v>34</v>
      </c>
      <c r="G4" s="7">
        <v>430</v>
      </c>
      <c r="H4" s="9">
        <v>1000</v>
      </c>
      <c r="I4" s="21">
        <f>630+305+74</f>
        <v>1009</v>
      </c>
      <c r="J4" s="20">
        <f t="shared" ref="J4:J15" si="0">H4-I4</f>
        <v>-9</v>
      </c>
    </row>
    <row r="5" spans="1:10" ht="19.95" customHeight="1" x14ac:dyDescent="0.3">
      <c r="A5" s="7" t="s">
        <v>36</v>
      </c>
      <c r="B5" s="7">
        <v>430</v>
      </c>
      <c r="C5" s="1">
        <v>0.5</v>
      </c>
      <c r="D5" s="1" t="s">
        <v>12</v>
      </c>
      <c r="E5" s="2" t="s">
        <v>28</v>
      </c>
      <c r="F5" s="7" t="s">
        <v>34</v>
      </c>
      <c r="G5" s="7">
        <v>430</v>
      </c>
      <c r="H5" s="9">
        <v>1000</v>
      </c>
      <c r="I5" s="21">
        <f>630+305+74</f>
        <v>1009</v>
      </c>
      <c r="J5" s="20">
        <f t="shared" si="0"/>
        <v>-9</v>
      </c>
    </row>
    <row r="6" spans="1:10" ht="19.95" customHeight="1" x14ac:dyDescent="0.3">
      <c r="A6" s="7"/>
      <c r="B6" s="7"/>
      <c r="C6" s="1"/>
      <c r="D6" s="1"/>
      <c r="E6" s="2"/>
      <c r="F6" s="7"/>
      <c r="G6" s="7"/>
      <c r="H6" s="9"/>
      <c r="I6" s="23"/>
      <c r="J6" s="22"/>
    </row>
    <row r="7" spans="1:10" ht="19.95" customHeight="1" x14ac:dyDescent="0.3">
      <c r="A7" s="7"/>
      <c r="B7" s="7"/>
      <c r="C7" s="1"/>
      <c r="D7" s="1"/>
      <c r="E7" s="2"/>
      <c r="F7" s="7"/>
      <c r="G7" s="7"/>
      <c r="H7" s="9"/>
      <c r="I7" s="23"/>
      <c r="J7" s="22"/>
    </row>
    <row r="8" spans="1:10" ht="19.95" customHeight="1" x14ac:dyDescent="0.3">
      <c r="A8" s="7">
        <v>250063</v>
      </c>
      <c r="B8" s="7">
        <v>430</v>
      </c>
      <c r="C8" s="1">
        <v>0.5</v>
      </c>
      <c r="D8" s="1" t="s">
        <v>12</v>
      </c>
      <c r="E8" s="2" t="s">
        <v>18</v>
      </c>
      <c r="F8" s="7" t="s">
        <v>34</v>
      </c>
      <c r="G8" s="7">
        <v>430</v>
      </c>
      <c r="H8" s="9">
        <v>1250</v>
      </c>
      <c r="I8" s="10">
        <f>1209</f>
        <v>1209</v>
      </c>
      <c r="J8" s="9">
        <f t="shared" si="0"/>
        <v>41</v>
      </c>
    </row>
    <row r="9" spans="1:10" ht="19.95" customHeight="1" x14ac:dyDescent="0.3">
      <c r="A9" s="7">
        <v>250063</v>
      </c>
      <c r="B9" s="7">
        <v>430</v>
      </c>
      <c r="C9" s="1">
        <v>0.5</v>
      </c>
      <c r="D9" s="1" t="s">
        <v>12</v>
      </c>
      <c r="E9" s="2" t="s">
        <v>30</v>
      </c>
      <c r="F9" s="7" t="s">
        <v>34</v>
      </c>
      <c r="G9" s="7">
        <v>430</v>
      </c>
      <c r="H9" s="9">
        <v>1250</v>
      </c>
      <c r="I9" s="10">
        <f>1209</f>
        <v>1209</v>
      </c>
      <c r="J9" s="9">
        <f t="shared" si="0"/>
        <v>41</v>
      </c>
    </row>
    <row r="10" spans="1:10" ht="19.95" customHeight="1" x14ac:dyDescent="0.3">
      <c r="A10" s="7">
        <v>250063</v>
      </c>
      <c r="B10" s="7">
        <v>430</v>
      </c>
      <c r="C10" s="1">
        <v>0.5</v>
      </c>
      <c r="D10" s="1" t="s">
        <v>12</v>
      </c>
      <c r="E10" s="2" t="s">
        <v>21</v>
      </c>
      <c r="F10" s="7" t="s">
        <v>34</v>
      </c>
      <c r="G10" s="7">
        <v>430</v>
      </c>
      <c r="H10" s="9">
        <v>1250</v>
      </c>
      <c r="I10" s="10">
        <v>1246</v>
      </c>
      <c r="J10" s="9">
        <f t="shared" si="0"/>
        <v>4</v>
      </c>
    </row>
    <row r="11" spans="1:10" ht="19.95" customHeight="1" x14ac:dyDescent="0.3">
      <c r="A11" s="7">
        <v>250063</v>
      </c>
      <c r="B11" s="7">
        <v>430</v>
      </c>
      <c r="C11" s="1">
        <v>0.5</v>
      </c>
      <c r="D11" s="1" t="s">
        <v>12</v>
      </c>
      <c r="E11" s="2" t="s">
        <v>31</v>
      </c>
      <c r="F11" s="7" t="s">
        <v>34</v>
      </c>
      <c r="G11" s="7">
        <v>430</v>
      </c>
      <c r="H11" s="9">
        <v>1250</v>
      </c>
      <c r="I11" s="10">
        <v>1246</v>
      </c>
      <c r="J11" s="9">
        <f t="shared" si="0"/>
        <v>4</v>
      </c>
    </row>
    <row r="12" spans="1:10" ht="19.95" customHeight="1" x14ac:dyDescent="0.3">
      <c r="A12" s="24"/>
      <c r="B12" s="24"/>
      <c r="C12" s="25"/>
      <c r="D12" s="25"/>
      <c r="E12" s="26"/>
      <c r="F12" s="24"/>
      <c r="G12" s="24"/>
      <c r="H12" s="22"/>
      <c r="I12" s="23"/>
      <c r="J12" s="22"/>
    </row>
    <row r="13" spans="1:10" ht="19.95" customHeight="1" x14ac:dyDescent="0.3">
      <c r="A13" s="24"/>
      <c r="B13" s="24"/>
      <c r="C13" s="25"/>
      <c r="D13" s="25"/>
      <c r="E13" s="26"/>
      <c r="F13" s="24"/>
      <c r="G13" s="24"/>
      <c r="H13" s="22"/>
      <c r="I13" s="23"/>
      <c r="J13" s="22"/>
    </row>
    <row r="14" spans="1:10" ht="19.95" customHeight="1" x14ac:dyDescent="0.3">
      <c r="A14" s="7">
        <v>250063</v>
      </c>
      <c r="B14" s="7">
        <v>430</v>
      </c>
      <c r="C14" s="1">
        <v>0.5</v>
      </c>
      <c r="D14" s="1" t="s">
        <v>12</v>
      </c>
      <c r="E14" s="2" t="s">
        <v>26</v>
      </c>
      <c r="F14" s="7" t="s">
        <v>34</v>
      </c>
      <c r="G14" s="7">
        <v>430</v>
      </c>
      <c r="H14" s="9">
        <v>1000</v>
      </c>
      <c r="I14" s="10">
        <f>599+371</f>
        <v>970</v>
      </c>
      <c r="J14" s="9">
        <f t="shared" si="0"/>
        <v>30</v>
      </c>
    </row>
    <row r="15" spans="1:10" ht="19.95" customHeight="1" x14ac:dyDescent="0.3">
      <c r="A15" s="7">
        <v>250063</v>
      </c>
      <c r="B15" s="7">
        <v>430</v>
      </c>
      <c r="C15" s="1">
        <v>0.5</v>
      </c>
      <c r="D15" s="1" t="s">
        <v>12</v>
      </c>
      <c r="E15" s="2" t="s">
        <v>33</v>
      </c>
      <c r="F15" s="7" t="s">
        <v>34</v>
      </c>
      <c r="G15" s="7">
        <v>430</v>
      </c>
      <c r="H15" s="9">
        <v>1000</v>
      </c>
      <c r="I15" s="10">
        <f>599+371</f>
        <v>970</v>
      </c>
      <c r="J15" s="9">
        <f t="shared" si="0"/>
        <v>30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/>
    </row>
    <row r="17" spans="1:10" ht="19.95" customHeight="1" x14ac:dyDescent="0.3">
      <c r="A17" s="7">
        <v>250064</v>
      </c>
      <c r="B17" s="7">
        <v>430</v>
      </c>
      <c r="C17" s="1">
        <v>0.5</v>
      </c>
      <c r="D17" s="1" t="s">
        <v>12</v>
      </c>
      <c r="E17" s="2" t="s">
        <v>14</v>
      </c>
      <c r="F17" s="7" t="s">
        <v>34</v>
      </c>
      <c r="G17" s="7">
        <v>430</v>
      </c>
      <c r="H17" s="9">
        <v>1000</v>
      </c>
      <c r="I17" s="10">
        <v>995</v>
      </c>
      <c r="J17" s="9">
        <f t="shared" ref="J17:J67" si="1">H17-I17</f>
        <v>5</v>
      </c>
    </row>
    <row r="18" spans="1:10" ht="19.95" customHeight="1" x14ac:dyDescent="0.3">
      <c r="A18" s="7">
        <v>250064</v>
      </c>
      <c r="B18" s="7">
        <v>430</v>
      </c>
      <c r="C18" s="1">
        <v>0.5</v>
      </c>
      <c r="D18" s="1" t="s">
        <v>12</v>
      </c>
      <c r="E18" s="2" t="s">
        <v>28</v>
      </c>
      <c r="F18" s="7" t="s">
        <v>34</v>
      </c>
      <c r="G18" s="7">
        <v>430</v>
      </c>
      <c r="H18" s="9">
        <v>1000</v>
      </c>
      <c r="I18" s="10">
        <v>995</v>
      </c>
      <c r="J18" s="9">
        <f t="shared" si="1"/>
        <v>5</v>
      </c>
    </row>
    <row r="19" spans="1:10" ht="19.95" customHeight="1" x14ac:dyDescent="0.3">
      <c r="A19" s="7">
        <v>250064</v>
      </c>
      <c r="B19" s="7">
        <v>430</v>
      </c>
      <c r="C19" s="1">
        <v>0.5</v>
      </c>
      <c r="D19" s="1" t="s">
        <v>12</v>
      </c>
      <c r="E19" s="2" t="s">
        <v>17</v>
      </c>
      <c r="F19" s="7" t="s">
        <v>34</v>
      </c>
      <c r="G19" s="7">
        <v>430</v>
      </c>
      <c r="H19" s="9">
        <v>1000</v>
      </c>
      <c r="I19" s="10">
        <f>909+79</f>
        <v>988</v>
      </c>
      <c r="J19" s="9">
        <f t="shared" si="1"/>
        <v>12</v>
      </c>
    </row>
    <row r="20" spans="1:10" ht="19.95" customHeight="1" x14ac:dyDescent="0.3">
      <c r="A20" s="7">
        <v>250064</v>
      </c>
      <c r="B20" s="7">
        <v>430</v>
      </c>
      <c r="C20" s="1">
        <v>0.5</v>
      </c>
      <c r="D20" s="1" t="s">
        <v>12</v>
      </c>
      <c r="E20" s="2" t="s">
        <v>29</v>
      </c>
      <c r="F20" s="7" t="s">
        <v>34</v>
      </c>
      <c r="G20" s="7">
        <v>430</v>
      </c>
      <c r="H20" s="9">
        <v>1000</v>
      </c>
      <c r="I20" s="10">
        <f>909+79</f>
        <v>988</v>
      </c>
      <c r="J20" s="9">
        <f t="shared" si="1"/>
        <v>12</v>
      </c>
    </row>
    <row r="21" spans="1:10" ht="19.95" customHeight="1" x14ac:dyDescent="0.3">
      <c r="A21" s="7">
        <v>250064</v>
      </c>
      <c r="B21" s="7">
        <v>430</v>
      </c>
      <c r="C21" s="1">
        <v>0.5</v>
      </c>
      <c r="D21" s="1" t="s">
        <v>12</v>
      </c>
      <c r="E21" s="2" t="s">
        <v>20</v>
      </c>
      <c r="F21" s="7" t="s">
        <v>34</v>
      </c>
      <c r="G21" s="7">
        <v>430</v>
      </c>
      <c r="H21" s="9">
        <v>1250</v>
      </c>
      <c r="I21" s="10">
        <f>719+505</f>
        <v>1224</v>
      </c>
      <c r="J21" s="9">
        <f t="shared" si="1"/>
        <v>26</v>
      </c>
    </row>
    <row r="22" spans="1:10" ht="19.95" customHeight="1" x14ac:dyDescent="0.3">
      <c r="A22" s="7">
        <v>250064</v>
      </c>
      <c r="B22" s="7">
        <v>430</v>
      </c>
      <c r="C22" s="1">
        <v>0.5</v>
      </c>
      <c r="D22" s="1" t="s">
        <v>12</v>
      </c>
      <c r="E22" s="2" t="s">
        <v>30</v>
      </c>
      <c r="F22" s="7" t="s">
        <v>34</v>
      </c>
      <c r="G22" s="7">
        <v>430</v>
      </c>
      <c r="H22" s="9">
        <v>1250</v>
      </c>
      <c r="I22" s="10">
        <f>719+505</f>
        <v>1224</v>
      </c>
      <c r="J22" s="9">
        <f t="shared" si="1"/>
        <v>26</v>
      </c>
    </row>
    <row r="23" spans="1:10" ht="19.95" customHeight="1" x14ac:dyDescent="0.3">
      <c r="A23" s="7">
        <v>250064</v>
      </c>
      <c r="B23" s="7">
        <v>430</v>
      </c>
      <c r="C23" s="1">
        <v>0.5</v>
      </c>
      <c r="D23" s="1" t="s">
        <v>12</v>
      </c>
      <c r="E23" s="2" t="s">
        <v>23</v>
      </c>
      <c r="F23" s="7" t="s">
        <v>34</v>
      </c>
      <c r="G23" s="7">
        <v>430</v>
      </c>
      <c r="H23" s="9">
        <v>1250</v>
      </c>
      <c r="I23" s="10">
        <v>1215</v>
      </c>
      <c r="J23" s="9">
        <f t="shared" si="1"/>
        <v>35</v>
      </c>
    </row>
    <row r="24" spans="1:10" ht="19.95" customHeight="1" x14ac:dyDescent="0.3">
      <c r="A24" s="7">
        <v>250064</v>
      </c>
      <c r="B24" s="7">
        <v>430</v>
      </c>
      <c r="C24" s="1">
        <v>0.5</v>
      </c>
      <c r="D24" s="1" t="s">
        <v>12</v>
      </c>
      <c r="E24" s="2" t="s">
        <v>31</v>
      </c>
      <c r="F24" s="7" t="s">
        <v>34</v>
      </c>
      <c r="G24" s="7">
        <v>430</v>
      </c>
      <c r="H24" s="9">
        <v>1250</v>
      </c>
      <c r="I24" s="10">
        <v>1215</v>
      </c>
      <c r="J24" s="9">
        <f t="shared" si="1"/>
        <v>35</v>
      </c>
    </row>
    <row r="25" spans="1:10" ht="15.6" x14ac:dyDescent="0.3">
      <c r="A25" s="7">
        <v>250064</v>
      </c>
      <c r="B25" s="7">
        <v>430</v>
      </c>
      <c r="C25" s="1">
        <v>0.5</v>
      </c>
      <c r="D25" s="1" t="s">
        <v>12</v>
      </c>
      <c r="E25" s="2" t="s">
        <v>25</v>
      </c>
      <c r="F25" s="7" t="s">
        <v>34</v>
      </c>
      <c r="G25" s="7">
        <v>430</v>
      </c>
      <c r="H25" s="9">
        <v>1250</v>
      </c>
      <c r="I25" s="10">
        <f>294+941</f>
        <v>1235</v>
      </c>
      <c r="J25" s="9">
        <f t="shared" si="1"/>
        <v>15</v>
      </c>
    </row>
    <row r="26" spans="1:10" ht="15.6" x14ac:dyDescent="0.3">
      <c r="A26" s="7">
        <v>250064</v>
      </c>
      <c r="B26" s="7">
        <v>430</v>
      </c>
      <c r="C26" s="1">
        <v>0.5</v>
      </c>
      <c r="D26" s="1" t="s">
        <v>12</v>
      </c>
      <c r="E26" s="2" t="s">
        <v>32</v>
      </c>
      <c r="F26" s="7" t="s">
        <v>34</v>
      </c>
      <c r="G26" s="7">
        <v>430</v>
      </c>
      <c r="H26" s="9">
        <v>1250</v>
      </c>
      <c r="I26" s="10">
        <f>941+294</f>
        <v>1235</v>
      </c>
      <c r="J26" s="9">
        <f t="shared" si="1"/>
        <v>15</v>
      </c>
    </row>
    <row r="27" spans="1:10" ht="15.6" x14ac:dyDescent="0.3">
      <c r="A27" s="7">
        <v>250064</v>
      </c>
      <c r="B27" s="7">
        <v>430</v>
      </c>
      <c r="C27" s="1">
        <v>0.5</v>
      </c>
      <c r="D27" s="1" t="s">
        <v>12</v>
      </c>
      <c r="E27" s="2" t="s">
        <v>27</v>
      </c>
      <c r="F27" s="7" t="s">
        <v>34</v>
      </c>
      <c r="G27" s="7">
        <v>430</v>
      </c>
      <c r="H27" s="9">
        <v>1000</v>
      </c>
      <c r="I27" s="10">
        <f>794+183</f>
        <v>977</v>
      </c>
      <c r="J27" s="9">
        <f t="shared" si="1"/>
        <v>23</v>
      </c>
    </row>
    <row r="28" spans="1:10" ht="15.6" x14ac:dyDescent="0.3">
      <c r="A28" s="7">
        <v>250064</v>
      </c>
      <c r="B28" s="7">
        <v>430</v>
      </c>
      <c r="C28" s="1">
        <v>0.5</v>
      </c>
      <c r="D28" s="1" t="s">
        <v>12</v>
      </c>
      <c r="E28" s="2" t="s">
        <v>33</v>
      </c>
      <c r="F28" s="7" t="s">
        <v>34</v>
      </c>
      <c r="G28" s="7">
        <v>430</v>
      </c>
      <c r="H28" s="9">
        <v>1000</v>
      </c>
      <c r="I28" s="10">
        <f>794+183</f>
        <v>977</v>
      </c>
      <c r="J28" s="9">
        <f t="shared" si="1"/>
        <v>23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>
        <f t="shared" si="1"/>
        <v>0</v>
      </c>
    </row>
    <row r="30" spans="1:10" ht="15.6" x14ac:dyDescent="0.3">
      <c r="A30" s="7">
        <v>225065</v>
      </c>
      <c r="B30" s="7">
        <v>430</v>
      </c>
      <c r="C30" s="1">
        <v>0.5</v>
      </c>
      <c r="D30" s="1" t="s">
        <v>37</v>
      </c>
      <c r="E30" s="2" t="s">
        <v>41</v>
      </c>
      <c r="F30" s="7" t="s">
        <v>34</v>
      </c>
      <c r="G30" s="7">
        <v>430</v>
      </c>
      <c r="H30" s="9">
        <v>750</v>
      </c>
      <c r="I30" s="10">
        <v>736</v>
      </c>
      <c r="J30" s="9">
        <f t="shared" si="1"/>
        <v>14</v>
      </c>
    </row>
    <row r="31" spans="1:10" ht="15.6" x14ac:dyDescent="0.3">
      <c r="A31" s="7">
        <v>225065</v>
      </c>
      <c r="B31" s="7">
        <v>430</v>
      </c>
      <c r="C31" s="1">
        <v>0.5</v>
      </c>
      <c r="D31" s="1" t="s">
        <v>37</v>
      </c>
      <c r="E31" s="2" t="s">
        <v>42</v>
      </c>
      <c r="F31" s="7" t="s">
        <v>34</v>
      </c>
      <c r="G31" s="7">
        <v>430</v>
      </c>
      <c r="H31" s="9">
        <v>750</v>
      </c>
      <c r="I31" s="10">
        <v>736</v>
      </c>
      <c r="J31" s="9">
        <f t="shared" si="1"/>
        <v>14</v>
      </c>
    </row>
    <row r="32" spans="1:10" ht="15.6" x14ac:dyDescent="0.3">
      <c r="A32" s="7">
        <v>225065</v>
      </c>
      <c r="B32" s="7">
        <v>430</v>
      </c>
      <c r="C32" s="1">
        <v>0.5</v>
      </c>
      <c r="D32" s="1" t="s">
        <v>37</v>
      </c>
      <c r="E32" s="2" t="s">
        <v>43</v>
      </c>
      <c r="F32" s="7" t="s">
        <v>34</v>
      </c>
      <c r="G32" s="7">
        <v>430</v>
      </c>
      <c r="H32" s="9">
        <v>750</v>
      </c>
      <c r="I32" s="10">
        <v>736</v>
      </c>
      <c r="J32" s="9">
        <f t="shared" si="1"/>
        <v>14</v>
      </c>
    </row>
    <row r="33" spans="1:10" ht="15.6" x14ac:dyDescent="0.3">
      <c r="A33" s="7">
        <v>225065</v>
      </c>
      <c r="B33" s="7">
        <v>430</v>
      </c>
      <c r="C33" s="1">
        <v>0.5</v>
      </c>
      <c r="D33" s="1" t="s">
        <v>37</v>
      </c>
      <c r="E33" s="2" t="s">
        <v>49</v>
      </c>
      <c r="F33" s="7" t="s">
        <v>34</v>
      </c>
      <c r="G33" s="7">
        <v>430</v>
      </c>
      <c r="H33" s="9">
        <v>750</v>
      </c>
      <c r="I33" s="10">
        <v>736</v>
      </c>
      <c r="J33" s="9">
        <f t="shared" si="1"/>
        <v>14</v>
      </c>
    </row>
    <row r="34" spans="1:10" ht="15.6" x14ac:dyDescent="0.3">
      <c r="A34" s="7">
        <v>225065</v>
      </c>
      <c r="B34" s="7">
        <v>430</v>
      </c>
      <c r="C34" s="1">
        <v>0.5</v>
      </c>
      <c r="D34" s="1" t="s">
        <v>37</v>
      </c>
      <c r="E34" s="2" t="s">
        <v>50</v>
      </c>
      <c r="F34" s="7" t="s">
        <v>34</v>
      </c>
      <c r="G34" s="7">
        <v>430</v>
      </c>
      <c r="H34" s="9">
        <v>750</v>
      </c>
      <c r="I34" s="10">
        <v>736</v>
      </c>
      <c r="J34" s="9">
        <f t="shared" si="1"/>
        <v>14</v>
      </c>
    </row>
    <row r="35" spans="1:10" ht="15.6" x14ac:dyDescent="0.3">
      <c r="A35" s="7"/>
      <c r="B35" s="7"/>
      <c r="C35" s="1"/>
      <c r="D35" s="1"/>
      <c r="E35" s="2"/>
      <c r="F35" s="7"/>
      <c r="G35" s="7"/>
      <c r="H35" s="9"/>
      <c r="I35" s="10"/>
      <c r="J35" s="9">
        <f t="shared" si="1"/>
        <v>0</v>
      </c>
    </row>
    <row r="36" spans="1:10" ht="15.6" x14ac:dyDescent="0.3">
      <c r="A36" s="7">
        <v>225066</v>
      </c>
      <c r="B36" s="7">
        <v>430</v>
      </c>
      <c r="C36" s="1">
        <v>0.5</v>
      </c>
      <c r="D36" s="1" t="s">
        <v>37</v>
      </c>
      <c r="E36" s="2" t="s">
        <v>53</v>
      </c>
      <c r="F36" s="7" t="s">
        <v>34</v>
      </c>
      <c r="G36" s="7">
        <v>430</v>
      </c>
      <c r="H36" s="9">
        <v>750</v>
      </c>
      <c r="I36" s="10">
        <f>726+20</f>
        <v>746</v>
      </c>
      <c r="J36" s="9">
        <f t="shared" si="1"/>
        <v>4</v>
      </c>
    </row>
    <row r="37" spans="1:10" ht="15.6" x14ac:dyDescent="0.3">
      <c r="A37" s="7">
        <v>225066</v>
      </c>
      <c r="B37" s="7">
        <v>430</v>
      </c>
      <c r="C37" s="1">
        <v>0.5</v>
      </c>
      <c r="D37" s="1" t="s">
        <v>37</v>
      </c>
      <c r="E37" s="2" t="s">
        <v>54</v>
      </c>
      <c r="F37" s="7" t="s">
        <v>34</v>
      </c>
      <c r="G37" s="7">
        <v>430</v>
      </c>
      <c r="H37" s="9">
        <v>750</v>
      </c>
      <c r="I37" s="10">
        <f>726+20</f>
        <v>746</v>
      </c>
      <c r="J37" s="9">
        <f t="shared" si="1"/>
        <v>4</v>
      </c>
    </row>
    <row r="38" spans="1:10" ht="15.6" x14ac:dyDescent="0.3">
      <c r="A38" s="7">
        <v>225066</v>
      </c>
      <c r="B38" s="7">
        <v>430</v>
      </c>
      <c r="C38" s="1">
        <v>0.5</v>
      </c>
      <c r="D38" s="1" t="s">
        <v>37</v>
      </c>
      <c r="E38" s="2" t="s">
        <v>55</v>
      </c>
      <c r="F38" s="7" t="s">
        <v>34</v>
      </c>
      <c r="G38" s="7">
        <v>430</v>
      </c>
      <c r="H38" s="9">
        <v>750</v>
      </c>
      <c r="I38" s="10">
        <f>726+20</f>
        <v>746</v>
      </c>
      <c r="J38" s="9">
        <f t="shared" si="1"/>
        <v>4</v>
      </c>
    </row>
    <row r="39" spans="1:10" ht="15.6" x14ac:dyDescent="0.3">
      <c r="A39" s="7">
        <v>225066</v>
      </c>
      <c r="B39" s="7">
        <v>430</v>
      </c>
      <c r="C39" s="1">
        <v>0.5</v>
      </c>
      <c r="D39" s="1" t="s">
        <v>37</v>
      </c>
      <c r="E39" s="2" t="s">
        <v>56</v>
      </c>
      <c r="F39" s="7" t="s">
        <v>34</v>
      </c>
      <c r="G39" s="7">
        <v>430</v>
      </c>
      <c r="H39" s="9">
        <v>750</v>
      </c>
      <c r="I39" s="10">
        <f>726+20</f>
        <v>746</v>
      </c>
      <c r="J39" s="9">
        <f t="shared" si="1"/>
        <v>4</v>
      </c>
    </row>
    <row r="40" spans="1:10" ht="15.6" x14ac:dyDescent="0.3">
      <c r="A40" s="7">
        <v>225066</v>
      </c>
      <c r="B40" s="7">
        <v>430</v>
      </c>
      <c r="C40" s="1">
        <v>0.5</v>
      </c>
      <c r="D40" s="1" t="s">
        <v>37</v>
      </c>
      <c r="E40" s="2" t="s">
        <v>57</v>
      </c>
      <c r="F40" s="7" t="s">
        <v>34</v>
      </c>
      <c r="G40" s="7">
        <v>430</v>
      </c>
      <c r="H40" s="9">
        <v>750</v>
      </c>
      <c r="I40" s="10">
        <f>726+20</f>
        <v>746</v>
      </c>
      <c r="J40" s="9">
        <f t="shared" si="1"/>
        <v>4</v>
      </c>
    </row>
    <row r="41" spans="1:10" ht="15.6" x14ac:dyDescent="0.3">
      <c r="A41" s="7"/>
      <c r="B41" s="7"/>
      <c r="C41" s="1"/>
      <c r="D41" s="1"/>
      <c r="E41" s="2"/>
      <c r="F41" s="7"/>
      <c r="G41" s="7"/>
      <c r="H41" s="9"/>
      <c r="I41" s="10"/>
      <c r="J41" s="9">
        <f t="shared" si="1"/>
        <v>0</v>
      </c>
    </row>
    <row r="42" spans="1:10" ht="15.6" x14ac:dyDescent="0.3">
      <c r="A42" s="7">
        <v>250062</v>
      </c>
      <c r="B42" s="7">
        <v>304</v>
      </c>
      <c r="C42" s="1">
        <v>0.6</v>
      </c>
      <c r="D42" s="1" t="s">
        <v>37</v>
      </c>
      <c r="E42" s="2" t="s">
        <v>62</v>
      </c>
      <c r="F42" s="7" t="s">
        <v>66</v>
      </c>
      <c r="G42" s="7">
        <v>430</v>
      </c>
      <c r="H42" s="9">
        <v>150</v>
      </c>
      <c r="I42" s="10">
        <v>145</v>
      </c>
      <c r="J42" s="9">
        <f t="shared" si="1"/>
        <v>5</v>
      </c>
    </row>
    <row r="43" spans="1:10" ht="15.6" x14ac:dyDescent="0.3">
      <c r="A43" s="7">
        <v>250062</v>
      </c>
      <c r="B43" s="7">
        <v>304</v>
      </c>
      <c r="C43" s="1">
        <v>0.6</v>
      </c>
      <c r="D43" s="1" t="s">
        <v>37</v>
      </c>
      <c r="E43" s="2" t="s">
        <v>63</v>
      </c>
      <c r="F43" s="7" t="s">
        <v>66</v>
      </c>
      <c r="G43" s="7">
        <v>430</v>
      </c>
      <c r="H43" s="9">
        <v>200</v>
      </c>
      <c r="I43" s="21">
        <v>201</v>
      </c>
      <c r="J43" s="20">
        <f t="shared" si="1"/>
        <v>-1</v>
      </c>
    </row>
    <row r="44" spans="1:10" ht="15.6" x14ac:dyDescent="0.3">
      <c r="A44" s="7">
        <v>250062</v>
      </c>
      <c r="B44" s="7">
        <v>304</v>
      </c>
      <c r="C44" s="1">
        <v>0.6</v>
      </c>
      <c r="D44" s="1" t="s">
        <v>37</v>
      </c>
      <c r="E44" s="2" t="s">
        <v>64</v>
      </c>
      <c r="F44" s="7" t="s">
        <v>66</v>
      </c>
      <c r="G44" s="7">
        <v>430</v>
      </c>
      <c r="H44" s="9">
        <v>300</v>
      </c>
      <c r="I44" s="23">
        <v>291</v>
      </c>
      <c r="J44" s="22">
        <f t="shared" si="1"/>
        <v>9</v>
      </c>
    </row>
    <row r="45" spans="1:10" ht="15.6" x14ac:dyDescent="0.3">
      <c r="A45" s="7">
        <v>250062</v>
      </c>
      <c r="B45" s="7">
        <v>304</v>
      </c>
      <c r="C45" s="1">
        <v>0.6</v>
      </c>
      <c r="D45" s="1" t="s">
        <v>37</v>
      </c>
      <c r="E45" s="2" t="s">
        <v>65</v>
      </c>
      <c r="F45" s="7" t="s">
        <v>66</v>
      </c>
      <c r="G45" s="7">
        <v>430</v>
      </c>
      <c r="H45" s="9">
        <v>300</v>
      </c>
      <c r="I45" s="21">
        <v>301</v>
      </c>
      <c r="J45" s="20">
        <f t="shared" si="1"/>
        <v>-1</v>
      </c>
    </row>
    <row r="46" spans="1:10" ht="15.6" x14ac:dyDescent="0.3">
      <c r="A46" s="7">
        <v>250062</v>
      </c>
      <c r="B46" s="7">
        <v>304</v>
      </c>
      <c r="C46" s="1">
        <v>0.6</v>
      </c>
      <c r="D46" s="1" t="s">
        <v>37</v>
      </c>
      <c r="E46" s="2" t="s">
        <v>60</v>
      </c>
      <c r="F46" s="7" t="s">
        <v>66</v>
      </c>
      <c r="G46" s="7">
        <v>430</v>
      </c>
      <c r="H46" s="9">
        <v>300</v>
      </c>
      <c r="I46" s="21">
        <v>296</v>
      </c>
      <c r="J46" s="20">
        <f t="shared" si="1"/>
        <v>4</v>
      </c>
    </row>
    <row r="47" spans="1:10" ht="15.6" x14ac:dyDescent="0.3">
      <c r="A47" s="7">
        <v>250062</v>
      </c>
      <c r="B47" s="7">
        <v>304</v>
      </c>
      <c r="C47" s="1">
        <v>0.6</v>
      </c>
      <c r="D47" s="1" t="s">
        <v>37</v>
      </c>
      <c r="E47" s="2" t="s">
        <v>61</v>
      </c>
      <c r="F47" s="7" t="s">
        <v>66</v>
      </c>
      <c r="G47" s="7">
        <v>430</v>
      </c>
      <c r="H47" s="9">
        <v>300</v>
      </c>
      <c r="I47" s="21">
        <v>296</v>
      </c>
      <c r="J47" s="20">
        <f t="shared" si="1"/>
        <v>4</v>
      </c>
    </row>
    <row r="48" spans="1:10" ht="15.6" x14ac:dyDescent="0.3">
      <c r="A48" s="7">
        <v>250062</v>
      </c>
      <c r="B48" s="7">
        <v>304</v>
      </c>
      <c r="C48" s="1">
        <v>0.6</v>
      </c>
      <c r="D48" s="1" t="s">
        <v>37</v>
      </c>
      <c r="E48" s="2" t="s">
        <v>69</v>
      </c>
      <c r="F48" s="7" t="s">
        <v>66</v>
      </c>
      <c r="G48" s="7">
        <v>430</v>
      </c>
      <c r="H48" s="9">
        <v>300</v>
      </c>
      <c r="I48" s="21">
        <v>298</v>
      </c>
      <c r="J48" s="20">
        <f t="shared" si="1"/>
        <v>2</v>
      </c>
    </row>
    <row r="49" spans="1:10" ht="15.6" x14ac:dyDescent="0.3">
      <c r="A49" s="7">
        <v>250062</v>
      </c>
      <c r="B49" s="7">
        <v>304</v>
      </c>
      <c r="C49" s="1">
        <v>0.6</v>
      </c>
      <c r="D49" s="1" t="s">
        <v>37</v>
      </c>
      <c r="E49" s="2" t="s">
        <v>70</v>
      </c>
      <c r="F49" s="7" t="s">
        <v>66</v>
      </c>
      <c r="G49" s="7">
        <v>430</v>
      </c>
      <c r="H49" s="9">
        <v>125</v>
      </c>
      <c r="I49" s="10">
        <v>124</v>
      </c>
      <c r="J49" s="9">
        <f t="shared" si="1"/>
        <v>1</v>
      </c>
    </row>
    <row r="50" spans="1:10" ht="15.6" x14ac:dyDescent="0.3">
      <c r="A50" s="7"/>
      <c r="B50" s="7"/>
      <c r="C50" s="1"/>
      <c r="D50" s="1"/>
      <c r="E50" s="2"/>
      <c r="F50" s="7"/>
      <c r="G50" s="7"/>
      <c r="H50" s="9"/>
      <c r="I50" s="23"/>
      <c r="J50" s="22"/>
    </row>
    <row r="51" spans="1:10" ht="15.6" x14ac:dyDescent="0.3">
      <c r="A51" s="7"/>
      <c r="B51" s="7"/>
      <c r="C51" s="1"/>
      <c r="D51" s="1"/>
      <c r="E51" s="2"/>
      <c r="F51" s="7"/>
      <c r="G51" s="7"/>
      <c r="H51" s="9"/>
      <c r="I51" s="23"/>
      <c r="J51" s="22"/>
    </row>
    <row r="52" spans="1:10" ht="15.6" x14ac:dyDescent="0.3">
      <c r="A52" s="7"/>
      <c r="B52" s="7"/>
      <c r="C52" s="1"/>
      <c r="D52" s="1"/>
      <c r="E52" s="2"/>
      <c r="F52" s="7"/>
      <c r="G52" s="7"/>
      <c r="H52" s="9"/>
      <c r="I52" s="10"/>
      <c r="J52" s="9">
        <f t="shared" si="1"/>
        <v>0</v>
      </c>
    </row>
    <row r="53" spans="1:10" ht="15.6" x14ac:dyDescent="0.3">
      <c r="A53" s="7">
        <v>250044</v>
      </c>
      <c r="B53" s="7">
        <v>304</v>
      </c>
      <c r="C53" s="1">
        <v>0.6</v>
      </c>
      <c r="D53" s="1" t="s">
        <v>71</v>
      </c>
      <c r="E53" s="2" t="s">
        <v>72</v>
      </c>
      <c r="F53" s="7" t="s">
        <v>73</v>
      </c>
      <c r="G53" s="7">
        <v>430</v>
      </c>
      <c r="H53" s="9">
        <v>600</v>
      </c>
      <c r="I53" s="10"/>
      <c r="J53" s="9">
        <f t="shared" si="1"/>
        <v>600</v>
      </c>
    </row>
    <row r="54" spans="1:10" ht="15.6" x14ac:dyDescent="0.3">
      <c r="A54" s="7"/>
      <c r="B54" s="7"/>
      <c r="C54" s="1"/>
      <c r="D54" s="1"/>
      <c r="E54" s="2"/>
      <c r="F54" s="7"/>
      <c r="G54" s="7"/>
      <c r="H54" s="9"/>
      <c r="I54" s="10"/>
      <c r="J54" s="9">
        <f t="shared" si="1"/>
        <v>0</v>
      </c>
    </row>
    <row r="55" spans="1:10" ht="15.6" x14ac:dyDescent="0.3">
      <c r="A55" s="7">
        <v>250054</v>
      </c>
      <c r="B55" s="7">
        <v>304</v>
      </c>
      <c r="C55" s="1">
        <v>0.7</v>
      </c>
      <c r="D55" s="1" t="s">
        <v>74</v>
      </c>
      <c r="E55" s="2" t="s">
        <v>75</v>
      </c>
      <c r="F55" s="7" t="s">
        <v>66</v>
      </c>
      <c r="G55" s="7">
        <v>304</v>
      </c>
      <c r="H55" s="9">
        <v>535</v>
      </c>
      <c r="I55" s="10"/>
      <c r="J55" s="9">
        <f t="shared" si="1"/>
        <v>535</v>
      </c>
    </row>
    <row r="56" spans="1:10" ht="15.6" x14ac:dyDescent="0.3">
      <c r="A56" s="7">
        <v>250054</v>
      </c>
      <c r="B56" s="7">
        <v>304</v>
      </c>
      <c r="C56" s="1">
        <v>0.7</v>
      </c>
      <c r="D56" s="1" t="s">
        <v>74</v>
      </c>
      <c r="E56" s="2" t="s">
        <v>88</v>
      </c>
      <c r="F56" s="7" t="s">
        <v>66</v>
      </c>
      <c r="G56" s="7">
        <v>304</v>
      </c>
      <c r="H56" s="9">
        <v>535</v>
      </c>
      <c r="I56" s="10"/>
      <c r="J56" s="9">
        <f t="shared" si="1"/>
        <v>535</v>
      </c>
    </row>
    <row r="57" spans="1:10" ht="15.6" x14ac:dyDescent="0.3">
      <c r="A57" s="7">
        <v>250054</v>
      </c>
      <c r="B57" s="7">
        <v>304</v>
      </c>
      <c r="C57" s="1">
        <v>0.7</v>
      </c>
      <c r="D57" s="1" t="s">
        <v>74</v>
      </c>
      <c r="E57" s="2" t="s">
        <v>77</v>
      </c>
      <c r="F57" s="7" t="s">
        <v>66</v>
      </c>
      <c r="G57" s="7">
        <v>304</v>
      </c>
      <c r="H57" s="9">
        <v>535</v>
      </c>
      <c r="I57" s="10"/>
      <c r="J57" s="9">
        <f t="shared" si="1"/>
        <v>535</v>
      </c>
    </row>
    <row r="58" spans="1:10" ht="15.6" x14ac:dyDescent="0.3">
      <c r="A58" s="7">
        <v>250054</v>
      </c>
      <c r="B58" s="7">
        <v>304</v>
      </c>
      <c r="C58" s="1">
        <v>0.7</v>
      </c>
      <c r="D58" s="1" t="s">
        <v>74</v>
      </c>
      <c r="E58" s="2" t="s">
        <v>78</v>
      </c>
      <c r="F58" s="7" t="s">
        <v>66</v>
      </c>
      <c r="G58" s="7">
        <v>304</v>
      </c>
      <c r="H58" s="9">
        <v>535</v>
      </c>
      <c r="I58" s="10"/>
      <c r="J58" s="9">
        <f t="shared" si="1"/>
        <v>535</v>
      </c>
    </row>
    <row r="59" spans="1:10" ht="15.6" x14ac:dyDescent="0.3">
      <c r="A59" s="7">
        <v>250054</v>
      </c>
      <c r="B59" s="7">
        <v>304</v>
      </c>
      <c r="C59" s="1">
        <v>0.7</v>
      </c>
      <c r="D59" s="1" t="s">
        <v>74</v>
      </c>
      <c r="E59" s="2" t="s">
        <v>79</v>
      </c>
      <c r="F59" s="7" t="s">
        <v>66</v>
      </c>
      <c r="G59" s="7">
        <v>304</v>
      </c>
      <c r="H59" s="9">
        <v>535</v>
      </c>
      <c r="I59" s="10"/>
      <c r="J59" s="9">
        <f t="shared" si="1"/>
        <v>535</v>
      </c>
    </row>
    <row r="60" spans="1:10" ht="15.6" x14ac:dyDescent="0.3">
      <c r="A60" s="7">
        <v>250054</v>
      </c>
      <c r="B60" s="7">
        <v>304</v>
      </c>
      <c r="C60" s="1">
        <v>0.7</v>
      </c>
      <c r="D60" s="1" t="s">
        <v>74</v>
      </c>
      <c r="E60" s="2" t="s">
        <v>84</v>
      </c>
      <c r="F60" s="7" t="s">
        <v>66</v>
      </c>
      <c r="G60" s="7">
        <v>304</v>
      </c>
      <c r="H60" s="9">
        <v>535</v>
      </c>
      <c r="I60" s="10"/>
      <c r="J60" s="9">
        <f t="shared" si="1"/>
        <v>535</v>
      </c>
    </row>
    <row r="61" spans="1:10" ht="15.6" x14ac:dyDescent="0.3">
      <c r="A61" s="7">
        <v>250054</v>
      </c>
      <c r="B61" s="7">
        <v>304</v>
      </c>
      <c r="C61" s="1">
        <v>0.7</v>
      </c>
      <c r="D61" s="1" t="s">
        <v>74</v>
      </c>
      <c r="E61" s="2" t="s">
        <v>104</v>
      </c>
      <c r="F61" s="7" t="s">
        <v>80</v>
      </c>
      <c r="G61" s="7">
        <v>304</v>
      </c>
      <c r="H61" s="9">
        <v>535</v>
      </c>
      <c r="I61" s="10"/>
      <c r="J61" s="9">
        <f t="shared" si="1"/>
        <v>535</v>
      </c>
    </row>
    <row r="62" spans="1:10" ht="15.6" x14ac:dyDescent="0.3">
      <c r="A62" s="7"/>
      <c r="B62" s="7"/>
      <c r="C62" s="1"/>
      <c r="D62" s="1"/>
      <c r="E62" s="2"/>
      <c r="F62" s="7"/>
      <c r="G62" s="7"/>
      <c r="H62" s="9"/>
      <c r="I62" s="10"/>
      <c r="J62" s="9">
        <f t="shared" si="1"/>
        <v>0</v>
      </c>
    </row>
    <row r="63" spans="1:10" ht="15.6" x14ac:dyDescent="0.3">
      <c r="A63" s="7">
        <v>250054</v>
      </c>
      <c r="B63" s="7">
        <v>304</v>
      </c>
      <c r="C63" s="1">
        <v>0.7</v>
      </c>
      <c r="D63" s="1" t="s">
        <v>74</v>
      </c>
      <c r="E63" s="2" t="s">
        <v>76</v>
      </c>
      <c r="F63" s="7" t="s">
        <v>66</v>
      </c>
      <c r="G63" s="7">
        <v>304</v>
      </c>
      <c r="H63" s="9">
        <v>290</v>
      </c>
      <c r="I63" s="10"/>
      <c r="J63" s="9">
        <f t="shared" si="1"/>
        <v>290</v>
      </c>
    </row>
    <row r="64" spans="1:10" ht="15.6" x14ac:dyDescent="0.3">
      <c r="A64" s="7">
        <v>250054</v>
      </c>
      <c r="B64" s="7">
        <v>304</v>
      </c>
      <c r="C64" s="1">
        <v>0.7</v>
      </c>
      <c r="D64" s="1" t="s">
        <v>74</v>
      </c>
      <c r="E64" s="2" t="s">
        <v>89</v>
      </c>
      <c r="F64" s="7" t="s">
        <v>66</v>
      </c>
      <c r="G64" s="7">
        <v>304</v>
      </c>
      <c r="H64" s="9">
        <v>290</v>
      </c>
      <c r="I64" s="10"/>
      <c r="J64" s="9">
        <f t="shared" si="1"/>
        <v>290</v>
      </c>
    </row>
    <row r="65" spans="1:10" ht="15.6" x14ac:dyDescent="0.3">
      <c r="A65" s="7">
        <v>250054</v>
      </c>
      <c r="B65" s="7">
        <v>304</v>
      </c>
      <c r="C65" s="1">
        <v>0.7</v>
      </c>
      <c r="D65" s="1" t="s">
        <v>74</v>
      </c>
      <c r="E65" s="2" t="s">
        <v>81</v>
      </c>
      <c r="F65" s="7" t="s">
        <v>66</v>
      </c>
      <c r="G65" s="7">
        <v>304</v>
      </c>
      <c r="H65" s="9">
        <v>290</v>
      </c>
      <c r="I65" s="10"/>
      <c r="J65" s="9">
        <f t="shared" si="1"/>
        <v>290</v>
      </c>
    </row>
    <row r="66" spans="1:10" ht="15.6" x14ac:dyDescent="0.3">
      <c r="A66" s="7">
        <v>250054</v>
      </c>
      <c r="B66" s="7">
        <v>304</v>
      </c>
      <c r="C66" s="1">
        <v>0.7</v>
      </c>
      <c r="D66" s="1" t="s">
        <v>74</v>
      </c>
      <c r="E66" s="2" t="s">
        <v>82</v>
      </c>
      <c r="F66" s="7" t="s">
        <v>66</v>
      </c>
      <c r="G66" s="7">
        <v>304</v>
      </c>
      <c r="H66" s="9">
        <v>290</v>
      </c>
      <c r="I66" s="10"/>
      <c r="J66" s="9">
        <f t="shared" si="1"/>
        <v>290</v>
      </c>
    </row>
    <row r="67" spans="1:10" ht="15.6" x14ac:dyDescent="0.3">
      <c r="A67" s="7">
        <v>250054</v>
      </c>
      <c r="B67" s="7">
        <v>304</v>
      </c>
      <c r="C67" s="1">
        <v>0.7</v>
      </c>
      <c r="D67" s="1" t="s">
        <v>74</v>
      </c>
      <c r="E67" s="2" t="s">
        <v>83</v>
      </c>
      <c r="F67" s="7" t="s">
        <v>66</v>
      </c>
      <c r="G67" s="7">
        <v>304</v>
      </c>
      <c r="H67" s="9">
        <v>290</v>
      </c>
      <c r="I67" s="10"/>
      <c r="J67" s="9">
        <f t="shared" si="1"/>
        <v>290</v>
      </c>
    </row>
    <row r="68" spans="1:10" ht="15.6" x14ac:dyDescent="0.3">
      <c r="A68" s="7">
        <v>250054</v>
      </c>
      <c r="B68" s="7">
        <v>304</v>
      </c>
      <c r="C68" s="1">
        <v>0.7</v>
      </c>
      <c r="D68" s="1" t="s">
        <v>74</v>
      </c>
      <c r="E68" s="2" t="s">
        <v>85</v>
      </c>
      <c r="F68" s="7" t="s">
        <v>66</v>
      </c>
      <c r="G68" s="7">
        <v>304</v>
      </c>
      <c r="H68" s="9">
        <v>290</v>
      </c>
      <c r="I68" s="10"/>
      <c r="J68" s="9">
        <f t="shared" ref="J68:J117" si="2">H68-I68</f>
        <v>290</v>
      </c>
    </row>
    <row r="69" spans="1:10" ht="15.6" x14ac:dyDescent="0.3">
      <c r="A69" s="7">
        <v>250054</v>
      </c>
      <c r="B69" s="7">
        <v>304</v>
      </c>
      <c r="C69" s="1">
        <v>0.7</v>
      </c>
      <c r="D69" s="1" t="s">
        <v>74</v>
      </c>
      <c r="E69" s="2" t="s">
        <v>86</v>
      </c>
      <c r="F69" s="7" t="s">
        <v>80</v>
      </c>
      <c r="G69" s="7">
        <v>304</v>
      </c>
      <c r="H69" s="9">
        <v>290</v>
      </c>
      <c r="I69" s="10"/>
      <c r="J69" s="9">
        <f t="shared" si="2"/>
        <v>290</v>
      </c>
    </row>
    <row r="70" spans="1:10" ht="15.6" x14ac:dyDescent="0.3">
      <c r="A70" s="7"/>
      <c r="B70" s="7"/>
      <c r="C70" s="1"/>
      <c r="D70" s="1"/>
      <c r="E70" s="2"/>
      <c r="F70" s="7"/>
      <c r="G70" s="7"/>
      <c r="H70" s="9"/>
      <c r="I70" s="10"/>
      <c r="J70" s="9">
        <f t="shared" si="2"/>
        <v>0</v>
      </c>
    </row>
    <row r="71" spans="1:10" ht="15.6" x14ac:dyDescent="0.3">
      <c r="A71" s="7">
        <v>250053</v>
      </c>
      <c r="B71" s="7">
        <v>304</v>
      </c>
      <c r="C71" s="1">
        <v>0.7</v>
      </c>
      <c r="D71" s="1" t="s">
        <v>74</v>
      </c>
      <c r="E71" s="2" t="s">
        <v>87</v>
      </c>
      <c r="F71" s="7" t="s">
        <v>66</v>
      </c>
      <c r="G71" s="7">
        <v>304</v>
      </c>
      <c r="H71" s="9">
        <v>470</v>
      </c>
      <c r="I71" s="10"/>
      <c r="J71" s="9">
        <f t="shared" si="2"/>
        <v>470</v>
      </c>
    </row>
    <row r="72" spans="1:10" ht="15.6" x14ac:dyDescent="0.3">
      <c r="A72" s="7">
        <v>250053</v>
      </c>
      <c r="B72" s="7">
        <v>304</v>
      </c>
      <c r="C72" s="1">
        <v>0.7</v>
      </c>
      <c r="D72" s="1" t="s">
        <v>74</v>
      </c>
      <c r="E72" s="2" t="s">
        <v>90</v>
      </c>
      <c r="F72" s="7" t="s">
        <v>66</v>
      </c>
      <c r="G72" s="7">
        <v>304</v>
      </c>
      <c r="H72" s="9">
        <v>470</v>
      </c>
      <c r="I72" s="10"/>
      <c r="J72" s="9">
        <f t="shared" si="2"/>
        <v>470</v>
      </c>
    </row>
    <row r="73" spans="1:10" ht="15.6" x14ac:dyDescent="0.3">
      <c r="A73" s="7">
        <v>250053</v>
      </c>
      <c r="B73" s="7">
        <v>304</v>
      </c>
      <c r="C73" s="1">
        <v>0.7</v>
      </c>
      <c r="D73" s="1" t="s">
        <v>74</v>
      </c>
      <c r="E73" s="2" t="s">
        <v>91</v>
      </c>
      <c r="F73" s="7" t="s">
        <v>66</v>
      </c>
      <c r="G73" s="7">
        <v>304</v>
      </c>
      <c r="H73" s="9">
        <v>470</v>
      </c>
      <c r="I73" s="10"/>
      <c r="J73" s="9">
        <f t="shared" si="2"/>
        <v>470</v>
      </c>
    </row>
    <row r="74" spans="1:10" ht="15.6" x14ac:dyDescent="0.3">
      <c r="A74" s="7">
        <v>250053</v>
      </c>
      <c r="B74" s="7">
        <v>304</v>
      </c>
      <c r="C74" s="1">
        <v>0.7</v>
      </c>
      <c r="D74" s="1" t="s">
        <v>74</v>
      </c>
      <c r="E74" s="2" t="s">
        <v>92</v>
      </c>
      <c r="F74" s="7" t="s">
        <v>66</v>
      </c>
      <c r="G74" s="7">
        <v>304</v>
      </c>
      <c r="H74" s="9">
        <v>470</v>
      </c>
      <c r="I74" s="10"/>
      <c r="J74" s="9">
        <f t="shared" si="2"/>
        <v>470</v>
      </c>
    </row>
    <row r="75" spans="1:10" ht="15.6" x14ac:dyDescent="0.3">
      <c r="A75" s="7">
        <v>250053</v>
      </c>
      <c r="B75" s="7">
        <v>304</v>
      </c>
      <c r="C75" s="1">
        <v>0.7</v>
      </c>
      <c r="D75" s="1" t="s">
        <v>74</v>
      </c>
      <c r="E75" s="2" t="s">
        <v>93</v>
      </c>
      <c r="F75" s="7" t="s">
        <v>66</v>
      </c>
      <c r="G75" s="7">
        <v>304</v>
      </c>
      <c r="H75" s="9">
        <v>470</v>
      </c>
      <c r="I75" s="10"/>
      <c r="J75" s="9">
        <f t="shared" si="2"/>
        <v>470</v>
      </c>
    </row>
    <row r="76" spans="1:10" ht="15.6" x14ac:dyDescent="0.3">
      <c r="A76" s="7"/>
      <c r="B76" s="7"/>
      <c r="C76" s="1"/>
      <c r="D76" s="1"/>
      <c r="E76" s="2"/>
      <c r="F76" s="7"/>
      <c r="G76" s="7"/>
      <c r="H76" s="9"/>
      <c r="I76" s="10"/>
      <c r="J76" s="9">
        <f t="shared" si="2"/>
        <v>0</v>
      </c>
    </row>
    <row r="77" spans="1:10" ht="15.6" x14ac:dyDescent="0.3">
      <c r="A77" s="7">
        <v>250053</v>
      </c>
      <c r="B77" s="7">
        <v>304</v>
      </c>
      <c r="C77" s="1">
        <v>0.7</v>
      </c>
      <c r="D77" s="1" t="s">
        <v>74</v>
      </c>
      <c r="E77" s="2" t="s">
        <v>94</v>
      </c>
      <c r="F77" s="7" t="s">
        <v>66</v>
      </c>
      <c r="G77" s="7">
        <v>304</v>
      </c>
      <c r="H77" s="9">
        <v>250</v>
      </c>
      <c r="I77" s="10"/>
      <c r="J77" s="9">
        <f t="shared" si="2"/>
        <v>250</v>
      </c>
    </row>
    <row r="78" spans="1:10" ht="15.6" x14ac:dyDescent="0.3">
      <c r="A78" s="7">
        <v>250053</v>
      </c>
      <c r="B78" s="7">
        <v>304</v>
      </c>
      <c r="C78" s="1">
        <v>0.7</v>
      </c>
      <c r="D78" s="1" t="s">
        <v>74</v>
      </c>
      <c r="E78" s="2" t="s">
        <v>95</v>
      </c>
      <c r="F78" s="7" t="s">
        <v>66</v>
      </c>
      <c r="G78" s="7">
        <v>304</v>
      </c>
      <c r="H78" s="9">
        <v>250</v>
      </c>
      <c r="I78" s="10"/>
      <c r="J78" s="9">
        <f t="shared" si="2"/>
        <v>250</v>
      </c>
    </row>
    <row r="79" spans="1:10" ht="15.6" x14ac:dyDescent="0.3">
      <c r="A79" s="7">
        <v>250053</v>
      </c>
      <c r="B79" s="7">
        <v>304</v>
      </c>
      <c r="C79" s="1">
        <v>0.7</v>
      </c>
      <c r="D79" s="1" t="s">
        <v>74</v>
      </c>
      <c r="E79" s="2" t="s">
        <v>96</v>
      </c>
      <c r="F79" s="7" t="s">
        <v>66</v>
      </c>
      <c r="G79" s="7">
        <v>304</v>
      </c>
      <c r="H79" s="9">
        <v>250</v>
      </c>
      <c r="I79" s="10"/>
      <c r="J79" s="9">
        <f t="shared" si="2"/>
        <v>250</v>
      </c>
    </row>
    <row r="80" spans="1:10" ht="15.6" x14ac:dyDescent="0.3">
      <c r="A80" s="7">
        <v>250053</v>
      </c>
      <c r="B80" s="7">
        <v>304</v>
      </c>
      <c r="C80" s="1">
        <v>0.7</v>
      </c>
      <c r="D80" s="1" t="s">
        <v>74</v>
      </c>
      <c r="E80" s="2" t="s">
        <v>97</v>
      </c>
      <c r="F80" s="7" t="s">
        <v>66</v>
      </c>
      <c r="G80" s="7">
        <v>304</v>
      </c>
      <c r="H80" s="9">
        <v>250</v>
      </c>
      <c r="I80" s="10"/>
      <c r="J80" s="9">
        <f t="shared" si="2"/>
        <v>250</v>
      </c>
    </row>
    <row r="81" spans="1:10" ht="15.6" x14ac:dyDescent="0.3">
      <c r="A81" s="7">
        <v>250053</v>
      </c>
      <c r="B81" s="7">
        <v>304</v>
      </c>
      <c r="C81" s="1">
        <v>0.7</v>
      </c>
      <c r="D81" s="1" t="s">
        <v>74</v>
      </c>
      <c r="E81" s="2" t="s">
        <v>98</v>
      </c>
      <c r="F81" s="7" t="s">
        <v>66</v>
      </c>
      <c r="G81" s="7">
        <v>304</v>
      </c>
      <c r="H81" s="9">
        <v>250</v>
      </c>
      <c r="I81" s="10"/>
      <c r="J81" s="9">
        <f t="shared" si="2"/>
        <v>250</v>
      </c>
    </row>
    <row r="82" spans="1:10" ht="15.6" x14ac:dyDescent="0.3">
      <c r="A82" s="7"/>
      <c r="B82" s="7"/>
      <c r="C82" s="1"/>
      <c r="D82" s="1"/>
      <c r="E82" s="2"/>
      <c r="F82" s="7"/>
      <c r="G82" s="7"/>
      <c r="H82" s="9"/>
      <c r="I82" s="10"/>
      <c r="J82" s="9">
        <f t="shared" si="2"/>
        <v>0</v>
      </c>
    </row>
    <row r="83" spans="1:10" ht="15.6" x14ac:dyDescent="0.3">
      <c r="A83" s="7">
        <v>250049</v>
      </c>
      <c r="B83" s="7">
        <v>304</v>
      </c>
      <c r="C83" s="1">
        <v>0.7</v>
      </c>
      <c r="D83" s="1" t="s">
        <v>37</v>
      </c>
      <c r="E83" s="2" t="s">
        <v>99</v>
      </c>
      <c r="F83" s="7" t="s">
        <v>34</v>
      </c>
      <c r="G83" s="7">
        <v>304</v>
      </c>
      <c r="H83" s="9">
        <v>790</v>
      </c>
      <c r="I83" s="10"/>
      <c r="J83" s="9">
        <f t="shared" si="2"/>
        <v>790</v>
      </c>
    </row>
    <row r="84" spans="1:10" ht="15.6" x14ac:dyDescent="0.3">
      <c r="A84" s="7">
        <v>250049</v>
      </c>
      <c r="B84" s="7">
        <v>304</v>
      </c>
      <c r="C84" s="1">
        <v>0.7</v>
      </c>
      <c r="D84" s="1" t="s">
        <v>37</v>
      </c>
      <c r="E84" s="2" t="s">
        <v>100</v>
      </c>
      <c r="F84" s="7" t="s">
        <v>34</v>
      </c>
      <c r="G84" s="7">
        <v>304</v>
      </c>
      <c r="H84" s="9">
        <v>790</v>
      </c>
      <c r="I84" s="10"/>
      <c r="J84" s="9">
        <f t="shared" si="2"/>
        <v>790</v>
      </c>
    </row>
    <row r="85" spans="1:10" ht="15.6" x14ac:dyDescent="0.3">
      <c r="A85" s="7">
        <v>250049</v>
      </c>
      <c r="B85" s="7">
        <v>304</v>
      </c>
      <c r="C85" s="1">
        <v>0.7</v>
      </c>
      <c r="D85" s="1" t="s">
        <v>37</v>
      </c>
      <c r="E85" s="2" t="s">
        <v>101</v>
      </c>
      <c r="F85" s="7" t="s">
        <v>34</v>
      </c>
      <c r="G85" s="7">
        <v>304</v>
      </c>
      <c r="H85" s="9">
        <v>790</v>
      </c>
      <c r="I85" s="10"/>
      <c r="J85" s="9">
        <f t="shared" si="2"/>
        <v>790</v>
      </c>
    </row>
    <row r="86" spans="1:10" ht="15.6" x14ac:dyDescent="0.3">
      <c r="A86" s="7">
        <v>250049</v>
      </c>
      <c r="B86" s="7">
        <v>304</v>
      </c>
      <c r="C86" s="1">
        <v>0.7</v>
      </c>
      <c r="D86" s="1" t="s">
        <v>37</v>
      </c>
      <c r="E86" s="2" t="s">
        <v>102</v>
      </c>
      <c r="F86" s="7" t="s">
        <v>34</v>
      </c>
      <c r="G86" s="7">
        <v>304</v>
      </c>
      <c r="H86" s="9">
        <v>790</v>
      </c>
      <c r="I86" s="10"/>
      <c r="J86" s="9">
        <f t="shared" si="2"/>
        <v>790</v>
      </c>
    </row>
    <row r="87" spans="1:10" ht="15.6" x14ac:dyDescent="0.3">
      <c r="A87" s="7">
        <v>250049</v>
      </c>
      <c r="B87" s="7">
        <v>304</v>
      </c>
      <c r="C87" s="1">
        <v>0.7</v>
      </c>
      <c r="D87" s="1" t="s">
        <v>37</v>
      </c>
      <c r="E87" s="2" t="s">
        <v>103</v>
      </c>
      <c r="F87" s="7" t="s">
        <v>34</v>
      </c>
      <c r="G87" s="7">
        <v>304</v>
      </c>
      <c r="H87" s="9">
        <v>790</v>
      </c>
      <c r="I87" s="10"/>
      <c r="J87" s="9">
        <f t="shared" si="2"/>
        <v>790</v>
      </c>
    </row>
    <row r="88" spans="1:10" ht="15.6" hidden="1" x14ac:dyDescent="0.3">
      <c r="A88" s="7"/>
      <c r="B88" s="7"/>
      <c r="C88" s="1"/>
      <c r="D88" s="1"/>
      <c r="E88" s="2"/>
      <c r="F88" s="7"/>
      <c r="G88" s="7"/>
      <c r="H88" s="9"/>
      <c r="I88" s="10"/>
      <c r="J88" s="9">
        <f t="shared" si="2"/>
        <v>0</v>
      </c>
    </row>
    <row r="89" spans="1:10" ht="15.6" hidden="1" x14ac:dyDescent="0.3">
      <c r="A89" s="7"/>
      <c r="B89" s="7"/>
      <c r="C89" s="1"/>
      <c r="D89" s="1"/>
      <c r="E89" s="2"/>
      <c r="F89" s="7"/>
      <c r="G89" s="7"/>
      <c r="H89" s="9"/>
      <c r="I89" s="10"/>
      <c r="J89" s="9">
        <f t="shared" si="2"/>
        <v>0</v>
      </c>
    </row>
    <row r="90" spans="1:10" ht="15.6" hidden="1" x14ac:dyDescent="0.3">
      <c r="A90" s="7"/>
      <c r="B90" s="7"/>
      <c r="C90" s="1"/>
      <c r="D90" s="1"/>
      <c r="E90" s="2"/>
      <c r="F90" s="7"/>
      <c r="G90" s="7"/>
      <c r="H90" s="9"/>
      <c r="I90" s="10"/>
      <c r="J90" s="9">
        <f t="shared" si="2"/>
        <v>0</v>
      </c>
    </row>
    <row r="91" spans="1:10" ht="15.6" hidden="1" x14ac:dyDescent="0.3">
      <c r="A91" s="7"/>
      <c r="B91" s="7"/>
      <c r="C91" s="1"/>
      <c r="D91" s="1"/>
      <c r="E91" s="2"/>
      <c r="F91" s="7"/>
      <c r="G91" s="7"/>
      <c r="H91" s="9"/>
      <c r="I91" s="10"/>
      <c r="J91" s="9">
        <f t="shared" si="2"/>
        <v>0</v>
      </c>
    </row>
    <row r="92" spans="1:10" ht="15.6" hidden="1" x14ac:dyDescent="0.3">
      <c r="A92" s="7"/>
      <c r="B92" s="7"/>
      <c r="C92" s="1"/>
      <c r="D92" s="1"/>
      <c r="E92" s="2"/>
      <c r="F92" s="7"/>
      <c r="G92" s="7"/>
      <c r="H92" s="9"/>
      <c r="I92" s="10"/>
      <c r="J92" s="9">
        <f t="shared" si="2"/>
        <v>0</v>
      </c>
    </row>
    <row r="93" spans="1:10" ht="15.6" hidden="1" x14ac:dyDescent="0.3">
      <c r="A93" s="7"/>
      <c r="B93" s="7"/>
      <c r="C93" s="1"/>
      <c r="D93" s="1"/>
      <c r="E93" s="2"/>
      <c r="F93" s="7"/>
      <c r="G93" s="7"/>
      <c r="H93" s="9"/>
      <c r="I93" s="10"/>
      <c r="J93" s="9">
        <f t="shared" si="2"/>
        <v>0</v>
      </c>
    </row>
    <row r="94" spans="1:10" ht="15.6" hidden="1" x14ac:dyDescent="0.3">
      <c r="A94" s="7"/>
      <c r="B94" s="7"/>
      <c r="C94" s="1"/>
      <c r="D94" s="1"/>
      <c r="E94" s="2"/>
      <c r="F94" s="7"/>
      <c r="G94" s="7"/>
      <c r="H94" s="9"/>
      <c r="I94" s="10"/>
      <c r="J94" s="9">
        <f t="shared" si="2"/>
        <v>0</v>
      </c>
    </row>
    <row r="95" spans="1:10" ht="15.6" hidden="1" x14ac:dyDescent="0.3">
      <c r="A95" s="7"/>
      <c r="B95" s="7"/>
      <c r="C95" s="1"/>
      <c r="D95" s="1"/>
      <c r="E95" s="2"/>
      <c r="F95" s="7"/>
      <c r="G95" s="7"/>
      <c r="H95" s="9"/>
      <c r="I95" s="10"/>
      <c r="J95" s="9">
        <f t="shared" si="2"/>
        <v>0</v>
      </c>
    </row>
    <row r="96" spans="1:10" ht="15.6" hidden="1" x14ac:dyDescent="0.3">
      <c r="A96" s="7"/>
      <c r="B96" s="7"/>
      <c r="C96" s="1"/>
      <c r="D96" s="1"/>
      <c r="E96" s="2"/>
      <c r="F96" s="7"/>
      <c r="G96" s="7"/>
      <c r="H96" s="9"/>
      <c r="I96" s="10"/>
      <c r="J96" s="9">
        <f t="shared" si="2"/>
        <v>0</v>
      </c>
    </row>
    <row r="97" spans="1:10" ht="15.6" hidden="1" x14ac:dyDescent="0.3">
      <c r="A97" s="7"/>
      <c r="B97" s="7"/>
      <c r="C97" s="1"/>
      <c r="D97" s="1"/>
      <c r="E97" s="2"/>
      <c r="F97" s="7"/>
      <c r="G97" s="7"/>
      <c r="H97" s="9"/>
      <c r="I97" s="10"/>
      <c r="J97" s="9">
        <f t="shared" si="2"/>
        <v>0</v>
      </c>
    </row>
    <row r="98" spans="1:10" ht="15.6" hidden="1" x14ac:dyDescent="0.3">
      <c r="A98" s="7"/>
      <c r="B98" s="7"/>
      <c r="C98" s="1"/>
      <c r="D98" s="1"/>
      <c r="E98" s="2"/>
      <c r="F98" s="7"/>
      <c r="G98" s="7"/>
      <c r="H98" s="9"/>
      <c r="I98" s="10"/>
      <c r="J98" s="9">
        <f t="shared" si="2"/>
        <v>0</v>
      </c>
    </row>
    <row r="99" spans="1:10" ht="15.6" hidden="1" x14ac:dyDescent="0.3">
      <c r="A99" s="7"/>
      <c r="B99" s="7"/>
      <c r="C99" s="1"/>
      <c r="D99" s="1"/>
      <c r="E99" s="2"/>
      <c r="F99" s="7"/>
      <c r="G99" s="7"/>
      <c r="H99" s="9"/>
      <c r="I99" s="10"/>
      <c r="J99" s="9">
        <f t="shared" si="2"/>
        <v>0</v>
      </c>
    </row>
    <row r="100" spans="1:10" ht="15.6" hidden="1" x14ac:dyDescent="0.3">
      <c r="A100" s="7"/>
      <c r="B100" s="7"/>
      <c r="C100" s="1"/>
      <c r="D100" s="1"/>
      <c r="E100" s="2"/>
      <c r="F100" s="7"/>
      <c r="G100" s="7"/>
      <c r="H100" s="9"/>
      <c r="I100" s="10"/>
      <c r="J100" s="9">
        <f t="shared" si="2"/>
        <v>0</v>
      </c>
    </row>
    <row r="101" spans="1:10" ht="15.6" hidden="1" x14ac:dyDescent="0.3">
      <c r="A101" s="7"/>
      <c r="B101" s="7"/>
      <c r="C101" s="1"/>
      <c r="D101" s="1"/>
      <c r="E101" s="2"/>
      <c r="F101" s="7"/>
      <c r="G101" s="7"/>
      <c r="H101" s="9"/>
      <c r="I101" s="10"/>
      <c r="J101" s="9">
        <f t="shared" si="2"/>
        <v>0</v>
      </c>
    </row>
    <row r="102" spans="1:10" ht="15.6" hidden="1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2"/>
        <v>0</v>
      </c>
    </row>
    <row r="103" spans="1:10" ht="15.6" hidden="1" x14ac:dyDescent="0.3">
      <c r="A103" s="7"/>
      <c r="B103" s="7"/>
      <c r="C103" s="1"/>
      <c r="D103" s="1"/>
      <c r="E103" s="2"/>
      <c r="F103" s="7"/>
      <c r="G103" s="7"/>
      <c r="H103" s="9"/>
      <c r="I103" s="10"/>
      <c r="J103" s="9">
        <f t="shared" si="2"/>
        <v>0</v>
      </c>
    </row>
    <row r="104" spans="1:10" ht="15.6" hidden="1" x14ac:dyDescent="0.3">
      <c r="A104" s="7"/>
      <c r="B104" s="7"/>
      <c r="C104" s="1"/>
      <c r="D104" s="1"/>
      <c r="E104" s="2"/>
      <c r="F104" s="7"/>
      <c r="G104" s="7"/>
      <c r="H104" s="9"/>
      <c r="I104" s="10"/>
      <c r="J104" s="9">
        <f t="shared" si="2"/>
        <v>0</v>
      </c>
    </row>
    <row r="105" spans="1:10" ht="15.6" hidden="1" x14ac:dyDescent="0.3">
      <c r="A105" s="7"/>
      <c r="B105" s="7"/>
      <c r="C105" s="1"/>
      <c r="D105" s="1"/>
      <c r="E105" s="2"/>
      <c r="F105" s="7"/>
      <c r="G105" s="7"/>
      <c r="H105" s="9"/>
      <c r="I105" s="10"/>
      <c r="J105" s="9">
        <f t="shared" si="2"/>
        <v>0</v>
      </c>
    </row>
    <row r="106" spans="1:10" ht="15.6" x14ac:dyDescent="0.3">
      <c r="A106" s="7"/>
      <c r="B106" s="7"/>
      <c r="C106" s="1"/>
      <c r="D106" s="1"/>
      <c r="E106" s="2"/>
      <c r="F106" s="7"/>
      <c r="G106" s="7"/>
      <c r="H106" s="9"/>
      <c r="I106" s="10"/>
      <c r="J106" s="9">
        <f t="shared" si="2"/>
        <v>0</v>
      </c>
    </row>
    <row r="107" spans="1:10" ht="15.6" x14ac:dyDescent="0.3">
      <c r="A107" s="7">
        <v>250069</v>
      </c>
      <c r="B107" s="7">
        <v>304</v>
      </c>
      <c r="C107" s="1">
        <v>0.6</v>
      </c>
      <c r="D107" s="1" t="s">
        <v>71</v>
      </c>
      <c r="E107" s="2" t="s">
        <v>105</v>
      </c>
      <c r="F107" s="7" t="s">
        <v>73</v>
      </c>
      <c r="G107" s="7">
        <v>430</v>
      </c>
      <c r="H107" s="9">
        <v>1650</v>
      </c>
      <c r="I107" s="10">
        <f>792+120+133</f>
        <v>1045</v>
      </c>
      <c r="J107" s="9">
        <f t="shared" si="2"/>
        <v>605</v>
      </c>
    </row>
    <row r="108" spans="1:10" ht="15.6" x14ac:dyDescent="0.3">
      <c r="A108" s="7">
        <v>250069</v>
      </c>
      <c r="B108" s="7">
        <v>304</v>
      </c>
      <c r="C108" s="1">
        <v>0.6</v>
      </c>
      <c r="D108" s="1" t="s">
        <v>71</v>
      </c>
      <c r="E108" s="2" t="s">
        <v>106</v>
      </c>
      <c r="F108" s="7" t="s">
        <v>73</v>
      </c>
      <c r="G108" s="7">
        <v>430</v>
      </c>
      <c r="H108" s="9">
        <v>1650</v>
      </c>
      <c r="I108" s="10">
        <f>72+447</f>
        <v>519</v>
      </c>
      <c r="J108" s="9">
        <f t="shared" si="2"/>
        <v>1131</v>
      </c>
    </row>
    <row r="109" spans="1:10" ht="15.6" x14ac:dyDescent="0.3">
      <c r="A109" s="7"/>
      <c r="B109" s="7"/>
      <c r="C109" s="1"/>
      <c r="D109" s="1"/>
      <c r="E109" s="2"/>
      <c r="F109" s="7"/>
      <c r="G109" s="7"/>
      <c r="H109" s="9"/>
      <c r="I109" s="10"/>
      <c r="J109" s="9">
        <f t="shared" si="2"/>
        <v>0</v>
      </c>
    </row>
    <row r="110" spans="1:10" ht="15.6" x14ac:dyDescent="0.3">
      <c r="A110" s="7">
        <v>250068</v>
      </c>
      <c r="B110" s="7">
        <v>304</v>
      </c>
      <c r="C110" s="1">
        <v>0.6</v>
      </c>
      <c r="D110" s="1" t="s">
        <v>71</v>
      </c>
      <c r="E110" s="2" t="s">
        <v>108</v>
      </c>
      <c r="F110" s="7" t="s">
        <v>73</v>
      </c>
      <c r="G110" s="7">
        <v>430</v>
      </c>
      <c r="H110" s="9">
        <v>1650</v>
      </c>
      <c r="I110" s="23"/>
      <c r="J110" s="22"/>
    </row>
    <row r="111" spans="1:10" ht="15.6" x14ac:dyDescent="0.3">
      <c r="A111" s="7">
        <v>250068</v>
      </c>
      <c r="B111" s="7">
        <v>304</v>
      </c>
      <c r="C111" s="1">
        <v>0.6</v>
      </c>
      <c r="D111" s="1" t="s">
        <v>71</v>
      </c>
      <c r="E111" s="2" t="s">
        <v>109</v>
      </c>
      <c r="F111" s="7" t="s">
        <v>73</v>
      </c>
      <c r="G111" s="7">
        <v>430</v>
      </c>
      <c r="H111" s="9">
        <v>1650</v>
      </c>
      <c r="I111" s="10">
        <f>1082+373</f>
        <v>1455</v>
      </c>
      <c r="J111" s="9">
        <f t="shared" si="2"/>
        <v>195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2"/>
        <v>0</v>
      </c>
    </row>
    <row r="113" spans="1:10" ht="15.6" x14ac:dyDescent="0.3">
      <c r="A113" s="7">
        <v>210825</v>
      </c>
      <c r="B113" s="7">
        <v>430</v>
      </c>
      <c r="C113" s="1">
        <v>0.6</v>
      </c>
      <c r="D113" s="1" t="s">
        <v>71</v>
      </c>
      <c r="E113" s="2" t="s">
        <v>110</v>
      </c>
      <c r="F113" s="7" t="s">
        <v>73</v>
      </c>
      <c r="G113" s="7">
        <v>430</v>
      </c>
      <c r="H113" s="9">
        <v>3000</v>
      </c>
      <c r="I113" s="10">
        <v>1895</v>
      </c>
      <c r="J113" s="9">
        <f t="shared" si="2"/>
        <v>1105</v>
      </c>
    </row>
    <row r="114" spans="1:10" ht="15.6" x14ac:dyDescent="0.3">
      <c r="A114" s="7">
        <v>210825</v>
      </c>
      <c r="B114" s="7">
        <v>430</v>
      </c>
      <c r="C114" s="1">
        <v>0.6</v>
      </c>
      <c r="D114" s="1" t="s">
        <v>71</v>
      </c>
      <c r="E114" s="2" t="s">
        <v>111</v>
      </c>
      <c r="F114" s="7" t="s">
        <v>73</v>
      </c>
      <c r="G114" s="7">
        <v>430</v>
      </c>
      <c r="H114" s="9">
        <v>3000</v>
      </c>
      <c r="I114" s="10">
        <f>1533+859</f>
        <v>2392</v>
      </c>
      <c r="J114" s="9">
        <f t="shared" si="2"/>
        <v>608</v>
      </c>
    </row>
    <row r="115" spans="1:10" ht="15.6" x14ac:dyDescent="0.3">
      <c r="A115" s="7">
        <v>210825</v>
      </c>
      <c r="B115" s="7">
        <v>430</v>
      </c>
      <c r="C115" s="1">
        <v>0.6</v>
      </c>
      <c r="D115" s="1" t="s">
        <v>71</v>
      </c>
      <c r="E115" s="2" t="s">
        <v>112</v>
      </c>
      <c r="F115" s="7" t="s">
        <v>73</v>
      </c>
      <c r="G115" s="7">
        <v>430</v>
      </c>
      <c r="H115" s="9">
        <v>2600</v>
      </c>
      <c r="I115" s="10">
        <v>810</v>
      </c>
      <c r="J115" s="9">
        <f t="shared" si="2"/>
        <v>1790</v>
      </c>
    </row>
    <row r="116" spans="1:10" ht="15.6" x14ac:dyDescent="0.3">
      <c r="A116" s="7"/>
      <c r="B116" s="7"/>
      <c r="C116" s="1"/>
      <c r="D116" s="1"/>
      <c r="E116" s="2"/>
      <c r="F116" s="7"/>
      <c r="G116" s="7"/>
      <c r="H116" s="9"/>
      <c r="I116" s="10"/>
      <c r="J116" s="9">
        <f t="shared" si="2"/>
        <v>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2"/>
        <v>0</v>
      </c>
    </row>
    <row r="118" spans="1:10" ht="15.6" x14ac:dyDescent="0.3">
      <c r="A118" s="11"/>
      <c r="B118" s="11"/>
      <c r="C118" s="12"/>
      <c r="D118" s="12"/>
      <c r="E118" s="13"/>
      <c r="F118" s="11"/>
      <c r="G118" s="14"/>
      <c r="H118" s="9">
        <f>SUM(H4:H117)</f>
        <v>61100</v>
      </c>
      <c r="I118" s="10">
        <f>SUM(I4:I117)</f>
        <v>39614</v>
      </c>
      <c r="J118" s="9">
        <f>SUM(J4:J117)</f>
        <v>19836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3" fitToHeight="0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2"/>
  <sheetViews>
    <sheetView topLeftCell="A94" zoomScale="70" zoomScaleNormal="70" workbookViewId="0">
      <selection activeCell="I119" sqref="I119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100.886718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45936</v>
      </c>
      <c r="J1" s="28"/>
    </row>
    <row r="2" spans="1:10" ht="40.049999999999997" customHeight="1" x14ac:dyDescent="0.3">
      <c r="A2" s="29" t="s">
        <v>145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9.95" customHeight="1" x14ac:dyDescent="0.3">
      <c r="A4" s="7" t="s">
        <v>35</v>
      </c>
      <c r="B4" s="7">
        <v>430</v>
      </c>
      <c r="C4" s="1">
        <v>0.5</v>
      </c>
      <c r="D4" s="1" t="s">
        <v>12</v>
      </c>
      <c r="E4" s="2" t="s">
        <v>13</v>
      </c>
      <c r="F4" s="7" t="s">
        <v>34</v>
      </c>
      <c r="G4" s="7">
        <v>430</v>
      </c>
      <c r="H4" s="9">
        <v>1000</v>
      </c>
      <c r="I4" s="21">
        <f>630+305+74</f>
        <v>1009</v>
      </c>
      <c r="J4" s="20">
        <f t="shared" ref="J4:J15" si="0">H4-I4</f>
        <v>-9</v>
      </c>
    </row>
    <row r="5" spans="1:10" ht="19.95" customHeight="1" x14ac:dyDescent="0.3">
      <c r="A5" s="7" t="s">
        <v>36</v>
      </c>
      <c r="B5" s="7">
        <v>430</v>
      </c>
      <c r="C5" s="1">
        <v>0.5</v>
      </c>
      <c r="D5" s="1" t="s">
        <v>12</v>
      </c>
      <c r="E5" s="2" t="s">
        <v>28</v>
      </c>
      <c r="F5" s="7" t="s">
        <v>34</v>
      </c>
      <c r="G5" s="7">
        <v>430</v>
      </c>
      <c r="H5" s="9">
        <v>1000</v>
      </c>
      <c r="I5" s="21">
        <f>630+305+74</f>
        <v>1009</v>
      </c>
      <c r="J5" s="20">
        <f t="shared" si="0"/>
        <v>-9</v>
      </c>
    </row>
    <row r="6" spans="1:10" ht="19.95" customHeight="1" x14ac:dyDescent="0.3">
      <c r="A6" s="7"/>
      <c r="B6" s="7"/>
      <c r="C6" s="1"/>
      <c r="D6" s="1"/>
      <c r="E6" s="2"/>
      <c r="F6" s="7"/>
      <c r="G6" s="7"/>
      <c r="H6" s="9"/>
      <c r="I6" s="23"/>
      <c r="J6" s="22"/>
    </row>
    <row r="7" spans="1:10" ht="19.95" customHeight="1" x14ac:dyDescent="0.3">
      <c r="A7" s="7"/>
      <c r="B7" s="7"/>
      <c r="C7" s="1"/>
      <c r="D7" s="1"/>
      <c r="E7" s="2"/>
      <c r="F7" s="7"/>
      <c r="G7" s="7"/>
      <c r="H7" s="9"/>
      <c r="I7" s="23"/>
      <c r="J7" s="22"/>
    </row>
    <row r="8" spans="1:10" ht="19.95" customHeight="1" x14ac:dyDescent="0.3">
      <c r="A8" s="7">
        <v>250063</v>
      </c>
      <c r="B8" s="7">
        <v>430</v>
      </c>
      <c r="C8" s="1">
        <v>0.5</v>
      </c>
      <c r="D8" s="1" t="s">
        <v>12</v>
      </c>
      <c r="E8" s="2" t="s">
        <v>18</v>
      </c>
      <c r="F8" s="7" t="s">
        <v>34</v>
      </c>
      <c r="G8" s="7">
        <v>430</v>
      </c>
      <c r="H8" s="9">
        <v>1250</v>
      </c>
      <c r="I8" s="10">
        <f>1209</f>
        <v>1209</v>
      </c>
      <c r="J8" s="9">
        <f t="shared" si="0"/>
        <v>41</v>
      </c>
    </row>
    <row r="9" spans="1:10" ht="19.95" customHeight="1" x14ac:dyDescent="0.3">
      <c r="A9" s="7">
        <v>250063</v>
      </c>
      <c r="B9" s="7">
        <v>430</v>
      </c>
      <c r="C9" s="1">
        <v>0.5</v>
      </c>
      <c r="D9" s="1" t="s">
        <v>12</v>
      </c>
      <c r="E9" s="2" t="s">
        <v>30</v>
      </c>
      <c r="F9" s="7" t="s">
        <v>34</v>
      </c>
      <c r="G9" s="7">
        <v>430</v>
      </c>
      <c r="H9" s="9">
        <v>1250</v>
      </c>
      <c r="I9" s="10">
        <f>1209</f>
        <v>1209</v>
      </c>
      <c r="J9" s="9">
        <f t="shared" si="0"/>
        <v>41</v>
      </c>
    </row>
    <row r="10" spans="1:10" ht="19.95" customHeight="1" x14ac:dyDescent="0.3">
      <c r="A10" s="7">
        <v>250063</v>
      </c>
      <c r="B10" s="7">
        <v>430</v>
      </c>
      <c r="C10" s="1">
        <v>0.5</v>
      </c>
      <c r="D10" s="1" t="s">
        <v>12</v>
      </c>
      <c r="E10" s="2" t="s">
        <v>21</v>
      </c>
      <c r="F10" s="7" t="s">
        <v>34</v>
      </c>
      <c r="G10" s="7">
        <v>430</v>
      </c>
      <c r="H10" s="9">
        <v>1250</v>
      </c>
      <c r="I10" s="10">
        <v>1246</v>
      </c>
      <c r="J10" s="9">
        <f t="shared" si="0"/>
        <v>4</v>
      </c>
    </row>
    <row r="11" spans="1:10" ht="19.95" customHeight="1" x14ac:dyDescent="0.3">
      <c r="A11" s="7">
        <v>250063</v>
      </c>
      <c r="B11" s="7">
        <v>430</v>
      </c>
      <c r="C11" s="1">
        <v>0.5</v>
      </c>
      <c r="D11" s="1" t="s">
        <v>12</v>
      </c>
      <c r="E11" s="2" t="s">
        <v>31</v>
      </c>
      <c r="F11" s="7" t="s">
        <v>34</v>
      </c>
      <c r="G11" s="7">
        <v>430</v>
      </c>
      <c r="H11" s="9">
        <v>1250</v>
      </c>
      <c r="I11" s="10">
        <v>1246</v>
      </c>
      <c r="J11" s="9">
        <f t="shared" si="0"/>
        <v>4</v>
      </c>
    </row>
    <row r="12" spans="1:10" ht="19.95" customHeight="1" x14ac:dyDescent="0.3">
      <c r="A12" s="24"/>
      <c r="B12" s="24"/>
      <c r="C12" s="25"/>
      <c r="D12" s="25"/>
      <c r="E12" s="26"/>
      <c r="F12" s="24"/>
      <c r="G12" s="24"/>
      <c r="H12" s="22"/>
      <c r="I12" s="23"/>
      <c r="J12" s="22"/>
    </row>
    <row r="13" spans="1:10" ht="19.95" customHeight="1" x14ac:dyDescent="0.3">
      <c r="A13" s="24"/>
      <c r="B13" s="24"/>
      <c r="C13" s="25"/>
      <c r="D13" s="25"/>
      <c r="E13" s="26"/>
      <c r="F13" s="24"/>
      <c r="G13" s="24"/>
      <c r="H13" s="22"/>
      <c r="I13" s="23"/>
      <c r="J13" s="22"/>
    </row>
    <row r="14" spans="1:10" ht="19.95" customHeight="1" x14ac:dyDescent="0.3">
      <c r="A14" s="7">
        <v>250063</v>
      </c>
      <c r="B14" s="7">
        <v>430</v>
      </c>
      <c r="C14" s="1">
        <v>0.5</v>
      </c>
      <c r="D14" s="1" t="s">
        <v>12</v>
      </c>
      <c r="E14" s="2" t="s">
        <v>26</v>
      </c>
      <c r="F14" s="7" t="s">
        <v>34</v>
      </c>
      <c r="G14" s="7">
        <v>430</v>
      </c>
      <c r="H14" s="9">
        <v>1000</v>
      </c>
      <c r="I14" s="10">
        <f>599+371</f>
        <v>970</v>
      </c>
      <c r="J14" s="9">
        <f t="shared" si="0"/>
        <v>30</v>
      </c>
    </row>
    <row r="15" spans="1:10" ht="19.95" customHeight="1" x14ac:dyDescent="0.3">
      <c r="A15" s="7">
        <v>250063</v>
      </c>
      <c r="B15" s="7">
        <v>430</v>
      </c>
      <c r="C15" s="1">
        <v>0.5</v>
      </c>
      <c r="D15" s="1" t="s">
        <v>12</v>
      </c>
      <c r="E15" s="2" t="s">
        <v>33</v>
      </c>
      <c r="F15" s="7" t="s">
        <v>34</v>
      </c>
      <c r="G15" s="7">
        <v>430</v>
      </c>
      <c r="H15" s="9">
        <v>1000</v>
      </c>
      <c r="I15" s="10">
        <f>599+371</f>
        <v>970</v>
      </c>
      <c r="J15" s="9">
        <f t="shared" si="0"/>
        <v>30</v>
      </c>
    </row>
    <row r="16" spans="1:10" ht="19.95" customHeight="1" x14ac:dyDescent="0.3">
      <c r="A16" s="7"/>
      <c r="B16" s="7"/>
      <c r="C16" s="1"/>
      <c r="D16" s="1"/>
      <c r="E16" s="2"/>
      <c r="F16" s="7"/>
      <c r="G16" s="7"/>
      <c r="H16" s="9"/>
      <c r="I16" s="10"/>
      <c r="J16" s="9"/>
    </row>
    <row r="17" spans="1:10" ht="19.95" customHeight="1" x14ac:dyDescent="0.3">
      <c r="A17" s="7">
        <v>250064</v>
      </c>
      <c r="B17" s="7">
        <v>430</v>
      </c>
      <c r="C17" s="1">
        <v>0.5</v>
      </c>
      <c r="D17" s="1" t="s">
        <v>12</v>
      </c>
      <c r="E17" s="2" t="s">
        <v>14</v>
      </c>
      <c r="F17" s="7" t="s">
        <v>34</v>
      </c>
      <c r="G17" s="7">
        <v>430</v>
      </c>
      <c r="H17" s="9">
        <v>1000</v>
      </c>
      <c r="I17" s="10">
        <v>995</v>
      </c>
      <c r="J17" s="9">
        <f t="shared" ref="J17:J80" si="1">H17-I17</f>
        <v>5</v>
      </c>
    </row>
    <row r="18" spans="1:10" ht="19.95" customHeight="1" x14ac:dyDescent="0.3">
      <c r="A18" s="7">
        <v>250064</v>
      </c>
      <c r="B18" s="7">
        <v>430</v>
      </c>
      <c r="C18" s="1">
        <v>0.5</v>
      </c>
      <c r="D18" s="1" t="s">
        <v>12</v>
      </c>
      <c r="E18" s="2" t="s">
        <v>28</v>
      </c>
      <c r="F18" s="7" t="s">
        <v>34</v>
      </c>
      <c r="G18" s="7">
        <v>430</v>
      </c>
      <c r="H18" s="9">
        <v>1000</v>
      </c>
      <c r="I18" s="10">
        <v>995</v>
      </c>
      <c r="J18" s="9">
        <f t="shared" si="1"/>
        <v>5</v>
      </c>
    </row>
    <row r="19" spans="1:10" ht="19.95" customHeight="1" x14ac:dyDescent="0.3">
      <c r="A19" s="7">
        <v>250064</v>
      </c>
      <c r="B19" s="7">
        <v>430</v>
      </c>
      <c r="C19" s="1">
        <v>0.5</v>
      </c>
      <c r="D19" s="1" t="s">
        <v>12</v>
      </c>
      <c r="E19" s="2" t="s">
        <v>17</v>
      </c>
      <c r="F19" s="7" t="s">
        <v>34</v>
      </c>
      <c r="G19" s="7">
        <v>430</v>
      </c>
      <c r="H19" s="9">
        <v>1000</v>
      </c>
      <c r="I19" s="10">
        <f>909+79</f>
        <v>988</v>
      </c>
      <c r="J19" s="9">
        <f t="shared" si="1"/>
        <v>12</v>
      </c>
    </row>
    <row r="20" spans="1:10" ht="19.95" customHeight="1" x14ac:dyDescent="0.3">
      <c r="A20" s="7">
        <v>250064</v>
      </c>
      <c r="B20" s="7">
        <v>430</v>
      </c>
      <c r="C20" s="1">
        <v>0.5</v>
      </c>
      <c r="D20" s="1" t="s">
        <v>12</v>
      </c>
      <c r="E20" s="2" t="s">
        <v>29</v>
      </c>
      <c r="F20" s="7" t="s">
        <v>34</v>
      </c>
      <c r="G20" s="7">
        <v>430</v>
      </c>
      <c r="H20" s="9">
        <v>1000</v>
      </c>
      <c r="I20" s="10">
        <f>909+79</f>
        <v>988</v>
      </c>
      <c r="J20" s="9">
        <f t="shared" si="1"/>
        <v>12</v>
      </c>
    </row>
    <row r="21" spans="1:10" ht="19.95" customHeight="1" x14ac:dyDescent="0.3">
      <c r="A21" s="7">
        <v>250064</v>
      </c>
      <c r="B21" s="7">
        <v>430</v>
      </c>
      <c r="C21" s="1">
        <v>0.5</v>
      </c>
      <c r="D21" s="1" t="s">
        <v>12</v>
      </c>
      <c r="E21" s="2" t="s">
        <v>20</v>
      </c>
      <c r="F21" s="7" t="s">
        <v>34</v>
      </c>
      <c r="G21" s="7">
        <v>430</v>
      </c>
      <c r="H21" s="9">
        <v>1250</v>
      </c>
      <c r="I21" s="10">
        <f>719+505</f>
        <v>1224</v>
      </c>
      <c r="J21" s="9">
        <f t="shared" si="1"/>
        <v>26</v>
      </c>
    </row>
    <row r="22" spans="1:10" ht="19.95" customHeight="1" x14ac:dyDescent="0.3">
      <c r="A22" s="7">
        <v>250064</v>
      </c>
      <c r="B22" s="7">
        <v>430</v>
      </c>
      <c r="C22" s="1">
        <v>0.5</v>
      </c>
      <c r="D22" s="1" t="s">
        <v>12</v>
      </c>
      <c r="E22" s="2" t="s">
        <v>30</v>
      </c>
      <c r="F22" s="7" t="s">
        <v>34</v>
      </c>
      <c r="G22" s="7">
        <v>430</v>
      </c>
      <c r="H22" s="9">
        <v>1250</v>
      </c>
      <c r="I22" s="10">
        <f>719+505</f>
        <v>1224</v>
      </c>
      <c r="J22" s="9">
        <f t="shared" si="1"/>
        <v>26</v>
      </c>
    </row>
    <row r="23" spans="1:10" ht="19.95" customHeight="1" x14ac:dyDescent="0.3">
      <c r="A23" s="7">
        <v>250064</v>
      </c>
      <c r="B23" s="7">
        <v>430</v>
      </c>
      <c r="C23" s="1">
        <v>0.5</v>
      </c>
      <c r="D23" s="1" t="s">
        <v>12</v>
      </c>
      <c r="E23" s="2" t="s">
        <v>23</v>
      </c>
      <c r="F23" s="7" t="s">
        <v>34</v>
      </c>
      <c r="G23" s="7">
        <v>430</v>
      </c>
      <c r="H23" s="9">
        <v>1250</v>
      </c>
      <c r="I23" s="10">
        <v>1215</v>
      </c>
      <c r="J23" s="9">
        <f t="shared" si="1"/>
        <v>35</v>
      </c>
    </row>
    <row r="24" spans="1:10" ht="19.95" customHeight="1" x14ac:dyDescent="0.3">
      <c r="A24" s="7">
        <v>250064</v>
      </c>
      <c r="B24" s="7">
        <v>430</v>
      </c>
      <c r="C24" s="1">
        <v>0.5</v>
      </c>
      <c r="D24" s="1" t="s">
        <v>12</v>
      </c>
      <c r="E24" s="2" t="s">
        <v>31</v>
      </c>
      <c r="F24" s="7" t="s">
        <v>34</v>
      </c>
      <c r="G24" s="7">
        <v>430</v>
      </c>
      <c r="H24" s="9">
        <v>1250</v>
      </c>
      <c r="I24" s="10">
        <v>1215</v>
      </c>
      <c r="J24" s="9">
        <f t="shared" si="1"/>
        <v>35</v>
      </c>
    </row>
    <row r="25" spans="1:10" ht="15.6" x14ac:dyDescent="0.3">
      <c r="A25" s="7">
        <v>250064</v>
      </c>
      <c r="B25" s="7">
        <v>430</v>
      </c>
      <c r="C25" s="1">
        <v>0.5</v>
      </c>
      <c r="D25" s="1" t="s">
        <v>12</v>
      </c>
      <c r="E25" s="2" t="s">
        <v>25</v>
      </c>
      <c r="F25" s="7" t="s">
        <v>34</v>
      </c>
      <c r="G25" s="7">
        <v>430</v>
      </c>
      <c r="H25" s="9">
        <v>1250</v>
      </c>
      <c r="I25" s="10">
        <f>294+941</f>
        <v>1235</v>
      </c>
      <c r="J25" s="9">
        <f t="shared" si="1"/>
        <v>15</v>
      </c>
    </row>
    <row r="26" spans="1:10" ht="15.6" x14ac:dyDescent="0.3">
      <c r="A26" s="7">
        <v>250064</v>
      </c>
      <c r="B26" s="7">
        <v>430</v>
      </c>
      <c r="C26" s="1">
        <v>0.5</v>
      </c>
      <c r="D26" s="1" t="s">
        <v>12</v>
      </c>
      <c r="E26" s="2" t="s">
        <v>32</v>
      </c>
      <c r="F26" s="7" t="s">
        <v>34</v>
      </c>
      <c r="G26" s="7">
        <v>430</v>
      </c>
      <c r="H26" s="9">
        <v>1250</v>
      </c>
      <c r="I26" s="10">
        <f>941+294</f>
        <v>1235</v>
      </c>
      <c r="J26" s="9">
        <f t="shared" si="1"/>
        <v>15</v>
      </c>
    </row>
    <row r="27" spans="1:10" ht="15.6" x14ac:dyDescent="0.3">
      <c r="A27" s="7">
        <v>250064</v>
      </c>
      <c r="B27" s="7">
        <v>430</v>
      </c>
      <c r="C27" s="1">
        <v>0.5</v>
      </c>
      <c r="D27" s="1" t="s">
        <v>12</v>
      </c>
      <c r="E27" s="2" t="s">
        <v>27</v>
      </c>
      <c r="F27" s="7" t="s">
        <v>34</v>
      </c>
      <c r="G27" s="7">
        <v>430</v>
      </c>
      <c r="H27" s="9">
        <v>1000</v>
      </c>
      <c r="I27" s="10">
        <f>794+183</f>
        <v>977</v>
      </c>
      <c r="J27" s="9">
        <f t="shared" si="1"/>
        <v>23</v>
      </c>
    </row>
    <row r="28" spans="1:10" ht="15.6" x14ac:dyDescent="0.3">
      <c r="A28" s="7">
        <v>250064</v>
      </c>
      <c r="B28" s="7">
        <v>430</v>
      </c>
      <c r="C28" s="1">
        <v>0.5</v>
      </c>
      <c r="D28" s="1" t="s">
        <v>12</v>
      </c>
      <c r="E28" s="2" t="s">
        <v>33</v>
      </c>
      <c r="F28" s="7" t="s">
        <v>34</v>
      </c>
      <c r="G28" s="7">
        <v>430</v>
      </c>
      <c r="H28" s="9">
        <v>1000</v>
      </c>
      <c r="I28" s="10">
        <f>794+183</f>
        <v>977</v>
      </c>
      <c r="J28" s="9">
        <f t="shared" si="1"/>
        <v>23</v>
      </c>
    </row>
    <row r="29" spans="1:10" ht="15.6" x14ac:dyDescent="0.3">
      <c r="A29" s="7"/>
      <c r="B29" s="7"/>
      <c r="C29" s="1"/>
      <c r="D29" s="1"/>
      <c r="E29" s="2"/>
      <c r="F29" s="7"/>
      <c r="G29" s="7"/>
      <c r="H29" s="9"/>
      <c r="I29" s="10"/>
      <c r="J29" s="9">
        <f t="shared" si="1"/>
        <v>0</v>
      </c>
    </row>
    <row r="30" spans="1:10" ht="15.6" x14ac:dyDescent="0.3">
      <c r="A30" s="7">
        <v>225065</v>
      </c>
      <c r="B30" s="7">
        <v>430</v>
      </c>
      <c r="C30" s="1">
        <v>0.5</v>
      </c>
      <c r="D30" s="1" t="s">
        <v>37</v>
      </c>
      <c r="E30" s="2" t="s">
        <v>41</v>
      </c>
      <c r="F30" s="7" t="s">
        <v>34</v>
      </c>
      <c r="G30" s="7">
        <v>430</v>
      </c>
      <c r="H30" s="9">
        <v>750</v>
      </c>
      <c r="I30" s="10">
        <v>736</v>
      </c>
      <c r="J30" s="9">
        <f t="shared" si="1"/>
        <v>14</v>
      </c>
    </row>
    <row r="31" spans="1:10" ht="15.6" x14ac:dyDescent="0.3">
      <c r="A31" s="7">
        <v>225065</v>
      </c>
      <c r="B31" s="7">
        <v>430</v>
      </c>
      <c r="C31" s="1">
        <v>0.5</v>
      </c>
      <c r="D31" s="1" t="s">
        <v>37</v>
      </c>
      <c r="E31" s="2" t="s">
        <v>42</v>
      </c>
      <c r="F31" s="7" t="s">
        <v>34</v>
      </c>
      <c r="G31" s="7">
        <v>430</v>
      </c>
      <c r="H31" s="9">
        <v>750</v>
      </c>
      <c r="I31" s="10">
        <v>736</v>
      </c>
      <c r="J31" s="9">
        <f t="shared" si="1"/>
        <v>14</v>
      </c>
    </row>
    <row r="32" spans="1:10" ht="15.6" x14ac:dyDescent="0.3">
      <c r="A32" s="7">
        <v>225065</v>
      </c>
      <c r="B32" s="7">
        <v>430</v>
      </c>
      <c r="C32" s="1">
        <v>0.5</v>
      </c>
      <c r="D32" s="1" t="s">
        <v>37</v>
      </c>
      <c r="E32" s="2" t="s">
        <v>43</v>
      </c>
      <c r="F32" s="7" t="s">
        <v>34</v>
      </c>
      <c r="G32" s="7">
        <v>430</v>
      </c>
      <c r="H32" s="9">
        <v>750</v>
      </c>
      <c r="I32" s="10">
        <v>736</v>
      </c>
      <c r="J32" s="9">
        <f t="shared" si="1"/>
        <v>14</v>
      </c>
    </row>
    <row r="33" spans="1:10" ht="15.6" x14ac:dyDescent="0.3">
      <c r="A33" s="7">
        <v>225065</v>
      </c>
      <c r="B33" s="7">
        <v>430</v>
      </c>
      <c r="C33" s="1">
        <v>0.5</v>
      </c>
      <c r="D33" s="1" t="s">
        <v>37</v>
      </c>
      <c r="E33" s="2" t="s">
        <v>49</v>
      </c>
      <c r="F33" s="7" t="s">
        <v>34</v>
      </c>
      <c r="G33" s="7">
        <v>430</v>
      </c>
      <c r="H33" s="9">
        <v>750</v>
      </c>
      <c r="I33" s="10">
        <v>736</v>
      </c>
      <c r="J33" s="9">
        <f t="shared" si="1"/>
        <v>14</v>
      </c>
    </row>
    <row r="34" spans="1:10" ht="15.6" x14ac:dyDescent="0.3">
      <c r="A34" s="7">
        <v>225065</v>
      </c>
      <c r="B34" s="7">
        <v>430</v>
      </c>
      <c r="C34" s="1">
        <v>0.5</v>
      </c>
      <c r="D34" s="1" t="s">
        <v>37</v>
      </c>
      <c r="E34" s="2" t="s">
        <v>50</v>
      </c>
      <c r="F34" s="7" t="s">
        <v>34</v>
      </c>
      <c r="G34" s="7">
        <v>430</v>
      </c>
      <c r="H34" s="9">
        <v>750</v>
      </c>
      <c r="I34" s="10">
        <v>736</v>
      </c>
      <c r="J34" s="9">
        <f t="shared" si="1"/>
        <v>14</v>
      </c>
    </row>
    <row r="35" spans="1:10" ht="15.6" x14ac:dyDescent="0.3">
      <c r="A35" s="7"/>
      <c r="B35" s="7"/>
      <c r="C35" s="1"/>
      <c r="D35" s="1"/>
      <c r="E35" s="2"/>
      <c r="F35" s="7"/>
      <c r="G35" s="7"/>
      <c r="H35" s="9"/>
      <c r="I35" s="10"/>
      <c r="J35" s="9">
        <f t="shared" si="1"/>
        <v>0</v>
      </c>
    </row>
    <row r="36" spans="1:10" ht="15.6" x14ac:dyDescent="0.3">
      <c r="A36" s="7">
        <v>225066</v>
      </c>
      <c r="B36" s="7">
        <v>430</v>
      </c>
      <c r="C36" s="1">
        <v>0.5</v>
      </c>
      <c r="D36" s="1" t="s">
        <v>37</v>
      </c>
      <c r="E36" s="2" t="s">
        <v>53</v>
      </c>
      <c r="F36" s="7" t="s">
        <v>34</v>
      </c>
      <c r="G36" s="7">
        <v>430</v>
      </c>
      <c r="H36" s="9">
        <v>750</v>
      </c>
      <c r="I36" s="10">
        <f>726+20</f>
        <v>746</v>
      </c>
      <c r="J36" s="9">
        <f t="shared" si="1"/>
        <v>4</v>
      </c>
    </row>
    <row r="37" spans="1:10" ht="15.6" x14ac:dyDescent="0.3">
      <c r="A37" s="7">
        <v>225066</v>
      </c>
      <c r="B37" s="7">
        <v>430</v>
      </c>
      <c r="C37" s="1">
        <v>0.5</v>
      </c>
      <c r="D37" s="1" t="s">
        <v>37</v>
      </c>
      <c r="E37" s="2" t="s">
        <v>54</v>
      </c>
      <c r="F37" s="7" t="s">
        <v>34</v>
      </c>
      <c r="G37" s="7">
        <v>430</v>
      </c>
      <c r="H37" s="9">
        <v>750</v>
      </c>
      <c r="I37" s="10">
        <f>726+20</f>
        <v>746</v>
      </c>
      <c r="J37" s="9">
        <f t="shared" si="1"/>
        <v>4</v>
      </c>
    </row>
    <row r="38" spans="1:10" ht="15.6" x14ac:dyDescent="0.3">
      <c r="A38" s="7">
        <v>225066</v>
      </c>
      <c r="B38" s="7">
        <v>430</v>
      </c>
      <c r="C38" s="1">
        <v>0.5</v>
      </c>
      <c r="D38" s="1" t="s">
        <v>37</v>
      </c>
      <c r="E38" s="2" t="s">
        <v>55</v>
      </c>
      <c r="F38" s="7" t="s">
        <v>34</v>
      </c>
      <c r="G38" s="7">
        <v>430</v>
      </c>
      <c r="H38" s="9">
        <v>750</v>
      </c>
      <c r="I38" s="10">
        <f>726+20</f>
        <v>746</v>
      </c>
      <c r="J38" s="9">
        <f t="shared" si="1"/>
        <v>4</v>
      </c>
    </row>
    <row r="39" spans="1:10" ht="15.6" x14ac:dyDescent="0.3">
      <c r="A39" s="7">
        <v>225066</v>
      </c>
      <c r="B39" s="7">
        <v>430</v>
      </c>
      <c r="C39" s="1">
        <v>0.5</v>
      </c>
      <c r="D39" s="1" t="s">
        <v>37</v>
      </c>
      <c r="E39" s="2" t="s">
        <v>56</v>
      </c>
      <c r="F39" s="7" t="s">
        <v>34</v>
      </c>
      <c r="G39" s="7">
        <v>430</v>
      </c>
      <c r="H39" s="9">
        <v>750</v>
      </c>
      <c r="I39" s="10">
        <f>726+20</f>
        <v>746</v>
      </c>
      <c r="J39" s="9">
        <f t="shared" si="1"/>
        <v>4</v>
      </c>
    </row>
    <row r="40" spans="1:10" ht="15.6" x14ac:dyDescent="0.3">
      <c r="A40" s="7">
        <v>225066</v>
      </c>
      <c r="B40" s="7">
        <v>430</v>
      </c>
      <c r="C40" s="1">
        <v>0.5</v>
      </c>
      <c r="D40" s="1" t="s">
        <v>37</v>
      </c>
      <c r="E40" s="2" t="s">
        <v>57</v>
      </c>
      <c r="F40" s="7" t="s">
        <v>34</v>
      </c>
      <c r="G40" s="7">
        <v>430</v>
      </c>
      <c r="H40" s="9">
        <v>750</v>
      </c>
      <c r="I40" s="10">
        <f>726+20</f>
        <v>746</v>
      </c>
      <c r="J40" s="9">
        <f t="shared" si="1"/>
        <v>4</v>
      </c>
    </row>
    <row r="41" spans="1:10" ht="15.6" x14ac:dyDescent="0.3">
      <c r="A41" s="7"/>
      <c r="B41" s="7"/>
      <c r="C41" s="1"/>
      <c r="D41" s="1"/>
      <c r="E41" s="2"/>
      <c r="F41" s="7"/>
      <c r="G41" s="7"/>
      <c r="H41" s="9"/>
      <c r="I41" s="10"/>
      <c r="J41" s="9">
        <f t="shared" si="1"/>
        <v>0</v>
      </c>
    </row>
    <row r="42" spans="1:10" ht="15.6" x14ac:dyDescent="0.3">
      <c r="A42" s="7">
        <v>250062</v>
      </c>
      <c r="B42" s="7">
        <v>304</v>
      </c>
      <c r="C42" s="1">
        <v>0.6</v>
      </c>
      <c r="D42" s="1" t="s">
        <v>37</v>
      </c>
      <c r="E42" s="2" t="s">
        <v>62</v>
      </c>
      <c r="F42" s="7" t="s">
        <v>66</v>
      </c>
      <c r="G42" s="7">
        <v>430</v>
      </c>
      <c r="H42" s="9">
        <v>150</v>
      </c>
      <c r="I42" s="23">
        <v>145</v>
      </c>
      <c r="J42" s="9">
        <f t="shared" si="1"/>
        <v>5</v>
      </c>
    </row>
    <row r="43" spans="1:10" ht="15.6" x14ac:dyDescent="0.3">
      <c r="A43" s="7">
        <v>250062</v>
      </c>
      <c r="B43" s="7">
        <v>304</v>
      </c>
      <c r="C43" s="1">
        <v>0.6</v>
      </c>
      <c r="D43" s="1" t="s">
        <v>37</v>
      </c>
      <c r="E43" s="2" t="s">
        <v>63</v>
      </c>
      <c r="F43" s="7" t="s">
        <v>66</v>
      </c>
      <c r="G43" s="7">
        <v>430</v>
      </c>
      <c r="H43" s="9">
        <v>200</v>
      </c>
      <c r="I43" s="23">
        <v>201</v>
      </c>
      <c r="J43" s="9">
        <f t="shared" si="1"/>
        <v>-1</v>
      </c>
    </row>
    <row r="44" spans="1:10" ht="15.6" x14ac:dyDescent="0.3">
      <c r="A44" s="7">
        <v>250062</v>
      </c>
      <c r="B44" s="7">
        <v>304</v>
      </c>
      <c r="C44" s="1">
        <v>0.6</v>
      </c>
      <c r="D44" s="1" t="s">
        <v>37</v>
      </c>
      <c r="E44" s="2" t="s">
        <v>64</v>
      </c>
      <c r="F44" s="7" t="s">
        <v>66</v>
      </c>
      <c r="G44" s="7">
        <v>430</v>
      </c>
      <c r="H44" s="9">
        <v>300</v>
      </c>
      <c r="I44" s="23">
        <v>291</v>
      </c>
      <c r="J44" s="9">
        <f t="shared" si="1"/>
        <v>9</v>
      </c>
    </row>
    <row r="45" spans="1:10" ht="15.6" x14ac:dyDescent="0.3">
      <c r="A45" s="7">
        <v>250062</v>
      </c>
      <c r="B45" s="7">
        <v>304</v>
      </c>
      <c r="C45" s="1">
        <v>0.6</v>
      </c>
      <c r="D45" s="1" t="s">
        <v>37</v>
      </c>
      <c r="E45" s="2" t="s">
        <v>65</v>
      </c>
      <c r="F45" s="7" t="s">
        <v>66</v>
      </c>
      <c r="G45" s="7">
        <v>430</v>
      </c>
      <c r="H45" s="9">
        <v>300</v>
      </c>
      <c r="I45" s="23">
        <v>301</v>
      </c>
      <c r="J45" s="9">
        <f t="shared" si="1"/>
        <v>-1</v>
      </c>
    </row>
    <row r="46" spans="1:10" ht="15.6" x14ac:dyDescent="0.3">
      <c r="A46" s="7">
        <v>250062</v>
      </c>
      <c r="B46" s="7">
        <v>304</v>
      </c>
      <c r="C46" s="1">
        <v>0.6</v>
      </c>
      <c r="D46" s="1" t="s">
        <v>37</v>
      </c>
      <c r="E46" s="2" t="s">
        <v>60</v>
      </c>
      <c r="F46" s="7" t="s">
        <v>66</v>
      </c>
      <c r="G46" s="7">
        <v>430</v>
      </c>
      <c r="H46" s="9">
        <v>300</v>
      </c>
      <c r="I46" s="23">
        <v>296</v>
      </c>
      <c r="J46" s="9">
        <f t="shared" si="1"/>
        <v>4</v>
      </c>
    </row>
    <row r="47" spans="1:10" ht="15.6" x14ac:dyDescent="0.3">
      <c r="A47" s="7">
        <v>250062</v>
      </c>
      <c r="B47" s="7">
        <v>304</v>
      </c>
      <c r="C47" s="1">
        <v>0.6</v>
      </c>
      <c r="D47" s="1" t="s">
        <v>37</v>
      </c>
      <c r="E47" s="2" t="s">
        <v>61</v>
      </c>
      <c r="F47" s="7" t="s">
        <v>66</v>
      </c>
      <c r="G47" s="7">
        <v>430</v>
      </c>
      <c r="H47" s="9">
        <v>300</v>
      </c>
      <c r="I47" s="23">
        <v>296</v>
      </c>
      <c r="J47" s="9">
        <f t="shared" si="1"/>
        <v>4</v>
      </c>
    </row>
    <row r="48" spans="1:10" ht="15.6" x14ac:dyDescent="0.3">
      <c r="A48" s="7"/>
      <c r="B48" s="7"/>
      <c r="C48" s="1"/>
      <c r="D48" s="1"/>
      <c r="E48" s="2"/>
      <c r="F48" s="7"/>
      <c r="G48" s="7"/>
      <c r="H48" s="9"/>
      <c r="I48" s="23"/>
      <c r="J48" s="9">
        <f t="shared" si="1"/>
        <v>0</v>
      </c>
    </row>
    <row r="49" spans="1:10" ht="15.6" x14ac:dyDescent="0.3">
      <c r="A49" s="7">
        <v>250062</v>
      </c>
      <c r="B49" s="7">
        <v>304</v>
      </c>
      <c r="C49" s="1">
        <v>0.6</v>
      </c>
      <c r="D49" s="1" t="s">
        <v>37</v>
      </c>
      <c r="E49" s="2" t="s">
        <v>69</v>
      </c>
      <c r="F49" s="7" t="s">
        <v>66</v>
      </c>
      <c r="G49" s="7">
        <v>430</v>
      </c>
      <c r="H49" s="9">
        <v>300</v>
      </c>
      <c r="I49" s="23">
        <v>298</v>
      </c>
      <c r="J49" s="9">
        <f t="shared" si="1"/>
        <v>2</v>
      </c>
    </row>
    <row r="50" spans="1:10" ht="15.6" x14ac:dyDescent="0.3">
      <c r="A50" s="7">
        <v>250062</v>
      </c>
      <c r="B50" s="7">
        <v>304</v>
      </c>
      <c r="C50" s="1">
        <v>0.6</v>
      </c>
      <c r="D50" s="1" t="s">
        <v>37</v>
      </c>
      <c r="E50" s="2" t="s">
        <v>70</v>
      </c>
      <c r="F50" s="7" t="s">
        <v>66</v>
      </c>
      <c r="G50" s="7">
        <v>430</v>
      </c>
      <c r="H50" s="9">
        <v>125</v>
      </c>
      <c r="I50" s="10">
        <v>124</v>
      </c>
      <c r="J50" s="9">
        <f t="shared" si="1"/>
        <v>1</v>
      </c>
    </row>
    <row r="51" spans="1:10" ht="15.6" x14ac:dyDescent="0.3">
      <c r="A51" s="7"/>
      <c r="B51" s="7"/>
      <c r="C51" s="1"/>
      <c r="D51" s="1"/>
      <c r="E51" s="2"/>
      <c r="F51" s="7"/>
      <c r="G51" s="7"/>
      <c r="H51" s="9"/>
      <c r="I51" s="10"/>
      <c r="J51" s="9">
        <f t="shared" si="1"/>
        <v>0</v>
      </c>
    </row>
    <row r="52" spans="1:10" ht="15.6" x14ac:dyDescent="0.3">
      <c r="A52" s="7">
        <v>250044</v>
      </c>
      <c r="B52" s="7">
        <v>304</v>
      </c>
      <c r="C52" s="1">
        <v>0.6</v>
      </c>
      <c r="D52" s="1" t="s">
        <v>71</v>
      </c>
      <c r="E52" s="2" t="s">
        <v>72</v>
      </c>
      <c r="F52" s="7" t="s">
        <v>73</v>
      </c>
      <c r="G52" s="7">
        <v>430</v>
      </c>
      <c r="H52" s="9">
        <v>600</v>
      </c>
      <c r="I52" s="10">
        <v>600</v>
      </c>
      <c r="J52" s="9">
        <f t="shared" si="1"/>
        <v>0</v>
      </c>
    </row>
    <row r="53" spans="1:10" ht="15.6" x14ac:dyDescent="0.3">
      <c r="A53" s="7"/>
      <c r="B53" s="7"/>
      <c r="C53" s="1"/>
      <c r="D53" s="1"/>
      <c r="E53" s="2"/>
      <c r="F53" s="7"/>
      <c r="G53" s="7"/>
      <c r="H53" s="9"/>
      <c r="I53" s="10"/>
      <c r="J53" s="9">
        <f t="shared" si="1"/>
        <v>0</v>
      </c>
    </row>
    <row r="54" spans="1:10" ht="15.6" x14ac:dyDescent="0.3">
      <c r="A54" s="7">
        <v>250053</v>
      </c>
      <c r="B54" s="7">
        <v>304</v>
      </c>
      <c r="C54" s="1">
        <v>0.7</v>
      </c>
      <c r="D54" s="1" t="s">
        <v>74</v>
      </c>
      <c r="E54" s="2" t="s">
        <v>87</v>
      </c>
      <c r="F54" s="7" t="s">
        <v>66</v>
      </c>
      <c r="G54" s="7">
        <v>304</v>
      </c>
      <c r="H54" s="9">
        <v>470</v>
      </c>
      <c r="I54" s="10">
        <v>470</v>
      </c>
      <c r="J54" s="9">
        <f t="shared" si="1"/>
        <v>0</v>
      </c>
    </row>
    <row r="55" spans="1:10" ht="15.6" x14ac:dyDescent="0.3">
      <c r="A55" s="7">
        <v>250053</v>
      </c>
      <c r="B55" s="7">
        <v>304</v>
      </c>
      <c r="C55" s="1">
        <v>0.7</v>
      </c>
      <c r="D55" s="1" t="s">
        <v>74</v>
      </c>
      <c r="E55" s="2" t="s">
        <v>90</v>
      </c>
      <c r="F55" s="7" t="s">
        <v>66</v>
      </c>
      <c r="G55" s="7">
        <v>304</v>
      </c>
      <c r="H55" s="9">
        <v>470</v>
      </c>
      <c r="I55" s="10">
        <v>470</v>
      </c>
      <c r="J55" s="22">
        <f t="shared" si="1"/>
        <v>0</v>
      </c>
    </row>
    <row r="56" spans="1:10" ht="15.6" x14ac:dyDescent="0.3">
      <c r="A56" s="7">
        <v>250053</v>
      </c>
      <c r="B56" s="7">
        <v>304</v>
      </c>
      <c r="C56" s="1">
        <v>0.7</v>
      </c>
      <c r="D56" s="1" t="s">
        <v>74</v>
      </c>
      <c r="E56" s="2" t="s">
        <v>91</v>
      </c>
      <c r="F56" s="7" t="s">
        <v>66</v>
      </c>
      <c r="G56" s="7">
        <v>304</v>
      </c>
      <c r="H56" s="9">
        <v>470</v>
      </c>
      <c r="I56" s="10">
        <v>470</v>
      </c>
      <c r="J56" s="22">
        <f t="shared" si="1"/>
        <v>0</v>
      </c>
    </row>
    <row r="57" spans="1:10" ht="15.6" x14ac:dyDescent="0.3">
      <c r="A57" s="7">
        <v>250053</v>
      </c>
      <c r="B57" s="7">
        <v>304</v>
      </c>
      <c r="C57" s="1">
        <v>0.7</v>
      </c>
      <c r="D57" s="1" t="s">
        <v>74</v>
      </c>
      <c r="E57" s="2" t="s">
        <v>92</v>
      </c>
      <c r="F57" s="7" t="s">
        <v>66</v>
      </c>
      <c r="G57" s="7">
        <v>304</v>
      </c>
      <c r="H57" s="9">
        <v>470</v>
      </c>
      <c r="I57" s="10">
        <v>470</v>
      </c>
      <c r="J57" s="22">
        <f t="shared" si="1"/>
        <v>0</v>
      </c>
    </row>
    <row r="58" spans="1:10" ht="15.6" x14ac:dyDescent="0.3">
      <c r="A58" s="7">
        <v>250053</v>
      </c>
      <c r="B58" s="7">
        <v>304</v>
      </c>
      <c r="C58" s="1">
        <v>0.7</v>
      </c>
      <c r="D58" s="1" t="s">
        <v>74</v>
      </c>
      <c r="E58" s="2" t="s">
        <v>93</v>
      </c>
      <c r="F58" s="7" t="s">
        <v>66</v>
      </c>
      <c r="G58" s="7">
        <v>304</v>
      </c>
      <c r="H58" s="9">
        <v>470</v>
      </c>
      <c r="I58" s="10">
        <v>470</v>
      </c>
      <c r="J58" s="22">
        <f t="shared" si="1"/>
        <v>0</v>
      </c>
    </row>
    <row r="59" spans="1:10" ht="15.6" x14ac:dyDescent="0.3">
      <c r="A59" s="7"/>
      <c r="B59" s="7"/>
      <c r="C59" s="1"/>
      <c r="D59" s="1"/>
      <c r="E59" s="2"/>
      <c r="F59" s="7"/>
      <c r="G59" s="7"/>
      <c r="H59" s="9"/>
      <c r="I59" s="23"/>
      <c r="J59" s="22">
        <f t="shared" si="1"/>
        <v>0</v>
      </c>
    </row>
    <row r="60" spans="1:10" ht="15.6" x14ac:dyDescent="0.3">
      <c r="A60" s="7">
        <v>250053</v>
      </c>
      <c r="B60" s="7">
        <v>304</v>
      </c>
      <c r="C60" s="1">
        <v>0.7</v>
      </c>
      <c r="D60" s="1" t="s">
        <v>74</v>
      </c>
      <c r="E60" s="2" t="s">
        <v>94</v>
      </c>
      <c r="F60" s="7" t="s">
        <v>66</v>
      </c>
      <c r="G60" s="7">
        <v>304</v>
      </c>
      <c r="H60" s="9">
        <v>250</v>
      </c>
      <c r="I60" s="23">
        <v>250</v>
      </c>
      <c r="J60" s="22">
        <f t="shared" si="1"/>
        <v>0</v>
      </c>
    </row>
    <row r="61" spans="1:10" ht="15.6" x14ac:dyDescent="0.3">
      <c r="A61" s="7">
        <v>250053</v>
      </c>
      <c r="B61" s="7">
        <v>304</v>
      </c>
      <c r="C61" s="1">
        <v>0.7</v>
      </c>
      <c r="D61" s="1" t="s">
        <v>74</v>
      </c>
      <c r="E61" s="2" t="s">
        <v>95</v>
      </c>
      <c r="F61" s="7" t="s">
        <v>66</v>
      </c>
      <c r="G61" s="7">
        <v>304</v>
      </c>
      <c r="H61" s="9">
        <v>250</v>
      </c>
      <c r="I61" s="23">
        <v>250</v>
      </c>
      <c r="J61" s="22">
        <f t="shared" si="1"/>
        <v>0</v>
      </c>
    </row>
    <row r="62" spans="1:10" ht="15.6" x14ac:dyDescent="0.3">
      <c r="A62" s="7">
        <v>250053</v>
      </c>
      <c r="B62" s="7">
        <v>304</v>
      </c>
      <c r="C62" s="1">
        <v>0.7</v>
      </c>
      <c r="D62" s="1" t="s">
        <v>74</v>
      </c>
      <c r="E62" s="2" t="s">
        <v>96</v>
      </c>
      <c r="F62" s="7" t="s">
        <v>66</v>
      </c>
      <c r="G62" s="7">
        <v>304</v>
      </c>
      <c r="H62" s="9">
        <v>250</v>
      </c>
      <c r="I62" s="23">
        <v>250</v>
      </c>
      <c r="J62" s="22">
        <f t="shared" si="1"/>
        <v>0</v>
      </c>
    </row>
    <row r="63" spans="1:10" ht="15.6" x14ac:dyDescent="0.3">
      <c r="A63" s="7">
        <v>250053</v>
      </c>
      <c r="B63" s="7">
        <v>304</v>
      </c>
      <c r="C63" s="1">
        <v>0.7</v>
      </c>
      <c r="D63" s="1" t="s">
        <v>74</v>
      </c>
      <c r="E63" s="2" t="s">
        <v>97</v>
      </c>
      <c r="F63" s="7" t="s">
        <v>66</v>
      </c>
      <c r="G63" s="7">
        <v>304</v>
      </c>
      <c r="H63" s="9">
        <v>250</v>
      </c>
      <c r="I63" s="23">
        <v>250</v>
      </c>
      <c r="J63" s="22">
        <f t="shared" si="1"/>
        <v>0</v>
      </c>
    </row>
    <row r="64" spans="1:10" ht="15.6" x14ac:dyDescent="0.3">
      <c r="A64" s="7">
        <v>250053</v>
      </c>
      <c r="B64" s="7">
        <v>304</v>
      </c>
      <c r="C64" s="1">
        <v>0.7</v>
      </c>
      <c r="D64" s="1" t="s">
        <v>74</v>
      </c>
      <c r="E64" s="2" t="s">
        <v>98</v>
      </c>
      <c r="F64" s="7" t="s">
        <v>66</v>
      </c>
      <c r="G64" s="7">
        <v>304</v>
      </c>
      <c r="H64" s="9">
        <v>250</v>
      </c>
      <c r="I64" s="23">
        <v>250</v>
      </c>
      <c r="J64" s="22">
        <f t="shared" si="1"/>
        <v>0</v>
      </c>
    </row>
    <row r="65" spans="1:10" ht="15.6" x14ac:dyDescent="0.3">
      <c r="A65" s="7"/>
      <c r="B65" s="7"/>
      <c r="C65" s="1"/>
      <c r="D65" s="1"/>
      <c r="E65" s="2"/>
      <c r="F65" s="7"/>
      <c r="G65" s="7"/>
      <c r="H65" s="9"/>
      <c r="I65" s="10"/>
      <c r="J65" s="9">
        <f t="shared" si="1"/>
        <v>0</v>
      </c>
    </row>
    <row r="66" spans="1:10" ht="15.6" x14ac:dyDescent="0.3">
      <c r="A66" s="7">
        <v>250049</v>
      </c>
      <c r="B66" s="7">
        <v>304</v>
      </c>
      <c r="C66" s="1">
        <v>0.7</v>
      </c>
      <c r="D66" s="1" t="s">
        <v>37</v>
      </c>
      <c r="E66" s="2" t="s">
        <v>99</v>
      </c>
      <c r="F66" s="7" t="s">
        <v>34</v>
      </c>
      <c r="G66" s="7">
        <v>304</v>
      </c>
      <c r="H66" s="9">
        <v>790</v>
      </c>
      <c r="I66" s="10"/>
      <c r="J66" s="9">
        <f t="shared" si="1"/>
        <v>790</v>
      </c>
    </row>
    <row r="67" spans="1:10" ht="15.6" x14ac:dyDescent="0.3">
      <c r="A67" s="7">
        <v>250049</v>
      </c>
      <c r="B67" s="7">
        <v>304</v>
      </c>
      <c r="C67" s="1">
        <v>0.7</v>
      </c>
      <c r="D67" s="1" t="s">
        <v>37</v>
      </c>
      <c r="E67" s="2" t="s">
        <v>100</v>
      </c>
      <c r="F67" s="7" t="s">
        <v>34</v>
      </c>
      <c r="G67" s="7">
        <v>304</v>
      </c>
      <c r="H67" s="9">
        <v>790</v>
      </c>
      <c r="I67" s="10"/>
      <c r="J67" s="9">
        <f t="shared" si="1"/>
        <v>790</v>
      </c>
    </row>
    <row r="68" spans="1:10" ht="15.6" x14ac:dyDescent="0.3">
      <c r="A68" s="7">
        <v>250049</v>
      </c>
      <c r="B68" s="7">
        <v>304</v>
      </c>
      <c r="C68" s="1">
        <v>0.7</v>
      </c>
      <c r="D68" s="1" t="s">
        <v>37</v>
      </c>
      <c r="E68" s="2" t="s">
        <v>101</v>
      </c>
      <c r="F68" s="7" t="s">
        <v>34</v>
      </c>
      <c r="G68" s="7">
        <v>304</v>
      </c>
      <c r="H68" s="9">
        <v>790</v>
      </c>
      <c r="I68" s="10"/>
      <c r="J68" s="9">
        <f t="shared" si="1"/>
        <v>790</v>
      </c>
    </row>
    <row r="69" spans="1:10" ht="15.6" x14ac:dyDescent="0.3">
      <c r="A69" s="7">
        <v>250049</v>
      </c>
      <c r="B69" s="7">
        <v>304</v>
      </c>
      <c r="C69" s="1">
        <v>0.7</v>
      </c>
      <c r="D69" s="1" t="s">
        <v>37</v>
      </c>
      <c r="E69" s="2" t="s">
        <v>102</v>
      </c>
      <c r="F69" s="7" t="s">
        <v>34</v>
      </c>
      <c r="G69" s="7">
        <v>304</v>
      </c>
      <c r="H69" s="9">
        <v>790</v>
      </c>
      <c r="I69" s="10"/>
      <c r="J69" s="9">
        <f t="shared" si="1"/>
        <v>790</v>
      </c>
    </row>
    <row r="70" spans="1:10" ht="15.6" x14ac:dyDescent="0.3">
      <c r="A70" s="7">
        <v>250049</v>
      </c>
      <c r="B70" s="7">
        <v>304</v>
      </c>
      <c r="C70" s="1">
        <v>0.7</v>
      </c>
      <c r="D70" s="1" t="s">
        <v>37</v>
      </c>
      <c r="E70" s="2" t="s">
        <v>103</v>
      </c>
      <c r="F70" s="7" t="s">
        <v>34</v>
      </c>
      <c r="G70" s="7">
        <v>304</v>
      </c>
      <c r="H70" s="9">
        <v>790</v>
      </c>
      <c r="I70" s="10"/>
      <c r="J70" s="9">
        <f t="shared" si="1"/>
        <v>790</v>
      </c>
    </row>
    <row r="71" spans="1:10" ht="15.6" x14ac:dyDescent="0.3">
      <c r="A71" s="7"/>
      <c r="B71" s="7"/>
      <c r="C71" s="1"/>
      <c r="D71" s="1"/>
      <c r="E71" s="2"/>
      <c r="F71" s="7"/>
      <c r="G71" s="7"/>
      <c r="H71" s="9"/>
      <c r="I71" s="10"/>
      <c r="J71" s="9">
        <f t="shared" si="1"/>
        <v>0</v>
      </c>
    </row>
    <row r="72" spans="1:10" ht="15.6" x14ac:dyDescent="0.3">
      <c r="A72" s="7">
        <v>250069</v>
      </c>
      <c r="B72" s="7">
        <v>304</v>
      </c>
      <c r="C72" s="1">
        <v>0.6</v>
      </c>
      <c r="D72" s="1" t="s">
        <v>71</v>
      </c>
      <c r="E72" s="2" t="s">
        <v>105</v>
      </c>
      <c r="F72" s="7" t="s">
        <v>73</v>
      </c>
      <c r="G72" s="7">
        <v>430</v>
      </c>
      <c r="H72" s="9">
        <v>1650</v>
      </c>
      <c r="I72" s="10">
        <f>792+120+133+519</f>
        <v>1564</v>
      </c>
      <c r="J72" s="9">
        <f t="shared" si="1"/>
        <v>86</v>
      </c>
    </row>
    <row r="73" spans="1:10" ht="15.6" x14ac:dyDescent="0.3">
      <c r="A73" s="7">
        <v>250069</v>
      </c>
      <c r="B73" s="7">
        <v>304</v>
      </c>
      <c r="C73" s="1">
        <v>0.6</v>
      </c>
      <c r="D73" s="1" t="s">
        <v>71</v>
      </c>
      <c r="E73" s="2" t="s">
        <v>106</v>
      </c>
      <c r="F73" s="7" t="s">
        <v>73</v>
      </c>
      <c r="G73" s="7">
        <v>430</v>
      </c>
      <c r="H73" s="9">
        <v>1650</v>
      </c>
      <c r="I73" s="10">
        <f>72+447+977+136</f>
        <v>1632</v>
      </c>
      <c r="J73" s="9">
        <f t="shared" si="1"/>
        <v>18</v>
      </c>
    </row>
    <row r="74" spans="1:10" ht="15.6" x14ac:dyDescent="0.3">
      <c r="A74" s="7"/>
      <c r="B74" s="7"/>
      <c r="C74" s="1"/>
      <c r="D74" s="1"/>
      <c r="E74" s="2"/>
      <c r="F74" s="7"/>
      <c r="G74" s="7"/>
      <c r="H74" s="9"/>
      <c r="I74" s="10"/>
      <c r="J74" s="9">
        <f t="shared" si="1"/>
        <v>0</v>
      </c>
    </row>
    <row r="75" spans="1:10" ht="15.6" x14ac:dyDescent="0.3">
      <c r="A75" s="7">
        <v>250068</v>
      </c>
      <c r="B75" s="7">
        <v>304</v>
      </c>
      <c r="C75" s="1">
        <v>0.6</v>
      </c>
      <c r="D75" s="1" t="s">
        <v>71</v>
      </c>
      <c r="E75" s="2" t="s">
        <v>108</v>
      </c>
      <c r="F75" s="7" t="s">
        <v>73</v>
      </c>
      <c r="G75" s="7">
        <v>430</v>
      </c>
      <c r="H75" s="9">
        <v>1650</v>
      </c>
      <c r="I75" s="23">
        <v>1631</v>
      </c>
      <c r="J75" s="9">
        <f t="shared" si="1"/>
        <v>19</v>
      </c>
    </row>
    <row r="76" spans="1:10" ht="15.6" x14ac:dyDescent="0.3">
      <c r="A76" s="7">
        <v>250068</v>
      </c>
      <c r="B76" s="7">
        <v>304</v>
      </c>
      <c r="C76" s="1">
        <v>0.6</v>
      </c>
      <c r="D76" s="1" t="s">
        <v>71</v>
      </c>
      <c r="E76" s="2" t="s">
        <v>109</v>
      </c>
      <c r="F76" s="7" t="s">
        <v>73</v>
      </c>
      <c r="G76" s="7">
        <v>430</v>
      </c>
      <c r="H76" s="9">
        <v>1650</v>
      </c>
      <c r="I76" s="10">
        <f>1082+373+243</f>
        <v>1698</v>
      </c>
      <c r="J76" s="9">
        <f t="shared" si="1"/>
        <v>-48</v>
      </c>
    </row>
    <row r="77" spans="1:10" ht="15.6" x14ac:dyDescent="0.3">
      <c r="A77" s="7"/>
      <c r="B77" s="7"/>
      <c r="C77" s="1"/>
      <c r="D77" s="1"/>
      <c r="E77" s="2"/>
      <c r="F77" s="7"/>
      <c r="G77" s="7"/>
      <c r="H77" s="9"/>
      <c r="I77" s="10"/>
      <c r="J77" s="9">
        <f t="shared" si="1"/>
        <v>0</v>
      </c>
    </row>
    <row r="78" spans="1:10" ht="15.6" x14ac:dyDescent="0.3">
      <c r="A78" s="7">
        <v>210825</v>
      </c>
      <c r="B78" s="7">
        <v>430</v>
      </c>
      <c r="C78" s="1">
        <v>0.6</v>
      </c>
      <c r="D78" s="1" t="s">
        <v>71</v>
      </c>
      <c r="E78" s="2" t="s">
        <v>110</v>
      </c>
      <c r="F78" s="7" t="s">
        <v>73</v>
      </c>
      <c r="G78" s="7">
        <v>430</v>
      </c>
      <c r="H78" s="9">
        <v>3000</v>
      </c>
      <c r="I78" s="10">
        <f>1895+200</f>
        <v>2095</v>
      </c>
      <c r="J78" s="9">
        <f t="shared" si="1"/>
        <v>905</v>
      </c>
    </row>
    <row r="79" spans="1:10" ht="15.6" x14ac:dyDescent="0.3">
      <c r="A79" s="7">
        <v>210825</v>
      </c>
      <c r="B79" s="7">
        <v>430</v>
      </c>
      <c r="C79" s="1">
        <v>0.6</v>
      </c>
      <c r="D79" s="1" t="s">
        <v>71</v>
      </c>
      <c r="E79" s="2" t="s">
        <v>111</v>
      </c>
      <c r="F79" s="7" t="s">
        <v>73</v>
      </c>
      <c r="G79" s="7">
        <v>430</v>
      </c>
      <c r="H79" s="9">
        <v>3000</v>
      </c>
      <c r="I79" s="10">
        <f>1533+859</f>
        <v>2392</v>
      </c>
      <c r="J79" s="9">
        <f t="shared" si="1"/>
        <v>608</v>
      </c>
    </row>
    <row r="80" spans="1:10" ht="15.6" x14ac:dyDescent="0.3">
      <c r="A80" s="7">
        <v>210825</v>
      </c>
      <c r="B80" s="7">
        <v>430</v>
      </c>
      <c r="C80" s="1">
        <v>0.6</v>
      </c>
      <c r="D80" s="1" t="s">
        <v>71</v>
      </c>
      <c r="E80" s="2" t="s">
        <v>112</v>
      </c>
      <c r="F80" s="7" t="s">
        <v>73</v>
      </c>
      <c r="G80" s="7">
        <v>430</v>
      </c>
      <c r="H80" s="9">
        <v>2600</v>
      </c>
      <c r="I80" s="10">
        <f>810+467+488+305</f>
        <v>2070</v>
      </c>
      <c r="J80" s="9">
        <f t="shared" si="1"/>
        <v>530</v>
      </c>
    </row>
    <row r="81" spans="1:10" ht="15.6" x14ac:dyDescent="0.3">
      <c r="A81" s="7"/>
      <c r="B81" s="7"/>
      <c r="C81" s="1"/>
      <c r="D81" s="1"/>
      <c r="E81" s="2"/>
      <c r="F81" s="7"/>
      <c r="G81" s="7"/>
      <c r="H81" s="9"/>
      <c r="I81" s="10"/>
      <c r="J81" s="9">
        <f t="shared" ref="J81:J121" si="2">H81-I81</f>
        <v>0</v>
      </c>
    </row>
    <row r="82" spans="1:10" ht="15.6" x14ac:dyDescent="0.3">
      <c r="A82" s="7">
        <v>250044</v>
      </c>
      <c r="B82" s="7">
        <v>304</v>
      </c>
      <c r="C82" s="1">
        <v>0.6</v>
      </c>
      <c r="D82" s="1" t="s">
        <v>71</v>
      </c>
      <c r="E82" s="2" t="s">
        <v>113</v>
      </c>
      <c r="F82" s="7" t="s">
        <v>73</v>
      </c>
      <c r="G82" s="7">
        <v>430</v>
      </c>
      <c r="H82" s="9">
        <v>600</v>
      </c>
      <c r="I82" s="10">
        <f>495+68</f>
        <v>563</v>
      </c>
      <c r="J82" s="9">
        <f t="shared" si="2"/>
        <v>37</v>
      </c>
    </row>
    <row r="83" spans="1:10" ht="15.6" x14ac:dyDescent="0.3">
      <c r="A83" s="7"/>
      <c r="B83" s="7"/>
      <c r="C83" s="1"/>
      <c r="D83" s="1"/>
      <c r="E83" s="2"/>
      <c r="F83" s="7"/>
      <c r="G83" s="7"/>
      <c r="H83" s="9"/>
      <c r="I83" s="10"/>
      <c r="J83" s="9">
        <f t="shared" si="2"/>
        <v>0</v>
      </c>
    </row>
    <row r="84" spans="1:10" ht="15.6" x14ac:dyDescent="0.3">
      <c r="A84" s="7">
        <v>250054</v>
      </c>
      <c r="B84" s="7">
        <v>304</v>
      </c>
      <c r="C84" s="1">
        <v>0.70099999999999996</v>
      </c>
      <c r="D84" s="1" t="s">
        <v>37</v>
      </c>
      <c r="E84" s="2" t="s">
        <v>114</v>
      </c>
      <c r="F84" s="7" t="s">
        <v>66</v>
      </c>
      <c r="G84" s="7">
        <v>304</v>
      </c>
      <c r="H84" s="9">
        <v>536</v>
      </c>
      <c r="I84" s="10">
        <v>445</v>
      </c>
      <c r="J84" s="9">
        <f t="shared" si="2"/>
        <v>91</v>
      </c>
    </row>
    <row r="85" spans="1:10" ht="15.6" x14ac:dyDescent="0.3">
      <c r="A85" s="7">
        <v>250054</v>
      </c>
      <c r="B85" s="7">
        <v>304</v>
      </c>
      <c r="C85" s="1">
        <v>0.70099999999999996</v>
      </c>
      <c r="D85" s="1" t="s">
        <v>37</v>
      </c>
      <c r="E85" s="2" t="s">
        <v>115</v>
      </c>
      <c r="F85" s="7" t="s">
        <v>66</v>
      </c>
      <c r="G85" s="7">
        <v>304</v>
      </c>
      <c r="H85" s="9">
        <v>536</v>
      </c>
      <c r="I85" s="10">
        <v>445</v>
      </c>
      <c r="J85" s="9">
        <f t="shared" si="2"/>
        <v>91</v>
      </c>
    </row>
    <row r="86" spans="1:10" ht="15.6" x14ac:dyDescent="0.3">
      <c r="A86" s="7">
        <v>250054</v>
      </c>
      <c r="B86" s="7">
        <v>304</v>
      </c>
      <c r="C86" s="1">
        <v>0.70099999999999996</v>
      </c>
      <c r="D86" s="1" t="s">
        <v>37</v>
      </c>
      <c r="E86" s="2" t="s">
        <v>116</v>
      </c>
      <c r="F86" s="7" t="s">
        <v>66</v>
      </c>
      <c r="G86" s="7">
        <v>304</v>
      </c>
      <c r="H86" s="9">
        <v>536</v>
      </c>
      <c r="I86" s="10">
        <v>445</v>
      </c>
      <c r="J86" s="9">
        <f t="shared" si="2"/>
        <v>91</v>
      </c>
    </row>
    <row r="87" spans="1:10" ht="15.6" x14ac:dyDescent="0.3">
      <c r="A87" s="7">
        <v>250054</v>
      </c>
      <c r="B87" s="7">
        <v>304</v>
      </c>
      <c r="C87" s="1">
        <v>0.70099999999999996</v>
      </c>
      <c r="D87" s="1" t="s">
        <v>37</v>
      </c>
      <c r="E87" s="2" t="s">
        <v>117</v>
      </c>
      <c r="F87" s="7" t="s">
        <v>66</v>
      </c>
      <c r="G87" s="7">
        <v>304</v>
      </c>
      <c r="H87" s="9">
        <v>536</v>
      </c>
      <c r="I87" s="10">
        <v>445</v>
      </c>
      <c r="J87" s="9">
        <f t="shared" si="2"/>
        <v>91</v>
      </c>
    </row>
    <row r="88" spans="1:10" ht="15.6" x14ac:dyDescent="0.3">
      <c r="A88" s="7">
        <v>250054</v>
      </c>
      <c r="B88" s="7">
        <v>304</v>
      </c>
      <c r="C88" s="1">
        <v>0.70099999999999996</v>
      </c>
      <c r="D88" s="1" t="s">
        <v>37</v>
      </c>
      <c r="E88" s="2" t="s">
        <v>118</v>
      </c>
      <c r="F88" s="7" t="s">
        <v>66</v>
      </c>
      <c r="G88" s="7">
        <v>304</v>
      </c>
      <c r="H88" s="9">
        <v>536</v>
      </c>
      <c r="I88" s="10">
        <v>445</v>
      </c>
      <c r="J88" s="9">
        <f t="shared" si="2"/>
        <v>91</v>
      </c>
    </row>
    <row r="89" spans="1:10" ht="15.6" x14ac:dyDescent="0.3">
      <c r="A89" s="7">
        <v>250054</v>
      </c>
      <c r="B89" s="7">
        <v>304</v>
      </c>
      <c r="C89" s="1">
        <v>0.70099999999999996</v>
      </c>
      <c r="D89" s="1" t="s">
        <v>37</v>
      </c>
      <c r="E89" s="2" t="s">
        <v>119</v>
      </c>
      <c r="F89" s="7" t="s">
        <v>66</v>
      </c>
      <c r="G89" s="7">
        <v>304</v>
      </c>
      <c r="H89" s="9">
        <v>536</v>
      </c>
      <c r="I89" s="10">
        <v>445</v>
      </c>
      <c r="J89" s="9">
        <f t="shared" si="2"/>
        <v>91</v>
      </c>
    </row>
    <row r="90" spans="1:10" ht="15.6" x14ac:dyDescent="0.3">
      <c r="A90" s="7"/>
      <c r="B90" s="7"/>
      <c r="C90" s="1"/>
      <c r="D90" s="1"/>
      <c r="E90" s="2"/>
      <c r="F90" s="7"/>
      <c r="G90" s="7"/>
      <c r="H90" s="9"/>
      <c r="I90" s="10"/>
      <c r="J90" s="9">
        <f t="shared" si="2"/>
        <v>0</v>
      </c>
    </row>
    <row r="91" spans="1:10" ht="15.6" x14ac:dyDescent="0.3">
      <c r="A91" s="7">
        <v>250054</v>
      </c>
      <c r="B91" s="7">
        <v>304</v>
      </c>
      <c r="C91" s="1">
        <v>0.70099999999999996</v>
      </c>
      <c r="D91" s="1" t="s">
        <v>37</v>
      </c>
      <c r="E91" s="2" t="s">
        <v>120</v>
      </c>
      <c r="F91" s="7" t="s">
        <v>66</v>
      </c>
      <c r="G91" s="7">
        <v>304</v>
      </c>
      <c r="H91" s="9">
        <v>289</v>
      </c>
      <c r="I91" s="10">
        <v>289</v>
      </c>
      <c r="J91" s="9">
        <f t="shared" si="2"/>
        <v>0</v>
      </c>
    </row>
    <row r="92" spans="1:10" ht="15.6" x14ac:dyDescent="0.3">
      <c r="A92" s="7">
        <v>250054</v>
      </c>
      <c r="B92" s="7">
        <v>304</v>
      </c>
      <c r="C92" s="1">
        <v>0.70099999999999996</v>
      </c>
      <c r="D92" s="1" t="s">
        <v>37</v>
      </c>
      <c r="E92" s="2" t="s">
        <v>121</v>
      </c>
      <c r="F92" s="7" t="s">
        <v>66</v>
      </c>
      <c r="G92" s="7">
        <v>304</v>
      </c>
      <c r="H92" s="9">
        <v>289</v>
      </c>
      <c r="I92" s="10">
        <v>289</v>
      </c>
      <c r="J92" s="9">
        <f t="shared" si="2"/>
        <v>0</v>
      </c>
    </row>
    <row r="93" spans="1:10" ht="15.6" x14ac:dyDescent="0.3">
      <c r="A93" s="7">
        <v>250054</v>
      </c>
      <c r="B93" s="7">
        <v>304</v>
      </c>
      <c r="C93" s="1">
        <v>0.70099999999999996</v>
      </c>
      <c r="D93" s="1" t="s">
        <v>37</v>
      </c>
      <c r="E93" s="2" t="s">
        <v>122</v>
      </c>
      <c r="F93" s="7" t="s">
        <v>66</v>
      </c>
      <c r="G93" s="7">
        <v>304</v>
      </c>
      <c r="H93" s="9">
        <v>289</v>
      </c>
      <c r="I93" s="10">
        <v>289</v>
      </c>
      <c r="J93" s="9">
        <f t="shared" si="2"/>
        <v>0</v>
      </c>
    </row>
    <row r="94" spans="1:10" ht="15.6" x14ac:dyDescent="0.3">
      <c r="A94" s="7">
        <v>250054</v>
      </c>
      <c r="B94" s="7">
        <v>304</v>
      </c>
      <c r="C94" s="1">
        <v>0.70099999999999996</v>
      </c>
      <c r="D94" s="1" t="s">
        <v>37</v>
      </c>
      <c r="E94" s="2" t="s">
        <v>123</v>
      </c>
      <c r="F94" s="7" t="s">
        <v>66</v>
      </c>
      <c r="G94" s="7">
        <v>304</v>
      </c>
      <c r="H94" s="9">
        <v>289</v>
      </c>
      <c r="I94" s="10">
        <v>289</v>
      </c>
      <c r="J94" s="9">
        <f t="shared" si="2"/>
        <v>0</v>
      </c>
    </row>
    <row r="95" spans="1:10" ht="15.6" x14ac:dyDescent="0.3">
      <c r="A95" s="7">
        <v>250054</v>
      </c>
      <c r="B95" s="7">
        <v>304</v>
      </c>
      <c r="C95" s="1">
        <v>0.70099999999999996</v>
      </c>
      <c r="D95" s="1" t="s">
        <v>37</v>
      </c>
      <c r="E95" s="2" t="s">
        <v>124</v>
      </c>
      <c r="F95" s="7" t="s">
        <v>66</v>
      </c>
      <c r="G95" s="7">
        <v>304</v>
      </c>
      <c r="H95" s="9">
        <v>289</v>
      </c>
      <c r="I95" s="10">
        <v>289</v>
      </c>
      <c r="J95" s="9">
        <f t="shared" si="2"/>
        <v>0</v>
      </c>
    </row>
    <row r="96" spans="1:10" ht="15.6" x14ac:dyDescent="0.3">
      <c r="A96" s="7">
        <v>250054</v>
      </c>
      <c r="B96" s="7">
        <v>304</v>
      </c>
      <c r="C96" s="1">
        <v>0.70099999999999996</v>
      </c>
      <c r="D96" s="1" t="s">
        <v>37</v>
      </c>
      <c r="E96" s="2" t="s">
        <v>125</v>
      </c>
      <c r="F96" s="7" t="s">
        <v>66</v>
      </c>
      <c r="G96" s="7">
        <v>304</v>
      </c>
      <c r="H96" s="9">
        <v>289</v>
      </c>
      <c r="I96" s="10">
        <v>289</v>
      </c>
      <c r="J96" s="9">
        <f t="shared" si="2"/>
        <v>0</v>
      </c>
    </row>
    <row r="97" spans="1:10" ht="15.6" x14ac:dyDescent="0.3">
      <c r="A97" s="7"/>
      <c r="B97" s="7"/>
      <c r="C97" s="1"/>
      <c r="D97" s="1"/>
      <c r="E97" s="2"/>
      <c r="F97" s="7"/>
      <c r="G97" s="7"/>
      <c r="H97" s="9"/>
      <c r="I97" s="10"/>
      <c r="J97" s="9">
        <f t="shared" si="2"/>
        <v>0</v>
      </c>
    </row>
    <row r="98" spans="1:10" ht="15.6" x14ac:dyDescent="0.3">
      <c r="A98" s="7">
        <v>250070</v>
      </c>
      <c r="B98" s="7">
        <v>304</v>
      </c>
      <c r="C98" s="1">
        <v>0.6</v>
      </c>
      <c r="D98" s="1" t="s">
        <v>37</v>
      </c>
      <c r="E98" s="2" t="s">
        <v>126</v>
      </c>
      <c r="F98" s="7" t="s">
        <v>34</v>
      </c>
      <c r="G98" s="7">
        <v>430</v>
      </c>
      <c r="H98" s="9">
        <v>750</v>
      </c>
      <c r="I98" s="10"/>
      <c r="J98" s="9">
        <f t="shared" si="2"/>
        <v>750</v>
      </c>
    </row>
    <row r="99" spans="1:10" ht="15.6" x14ac:dyDescent="0.3">
      <c r="A99" s="7">
        <v>250070</v>
      </c>
      <c r="B99" s="7">
        <v>304</v>
      </c>
      <c r="C99" s="1">
        <v>0.6</v>
      </c>
      <c r="D99" s="1" t="s">
        <v>37</v>
      </c>
      <c r="E99" s="2" t="s">
        <v>127</v>
      </c>
      <c r="F99" s="7" t="s">
        <v>34</v>
      </c>
      <c r="G99" s="7">
        <v>430</v>
      </c>
      <c r="H99" s="9">
        <v>750</v>
      </c>
      <c r="I99" s="10"/>
      <c r="J99" s="9">
        <f t="shared" si="2"/>
        <v>750</v>
      </c>
    </row>
    <row r="100" spans="1:10" ht="15.6" x14ac:dyDescent="0.3">
      <c r="A100" s="7">
        <v>250070</v>
      </c>
      <c r="B100" s="7">
        <v>304</v>
      </c>
      <c r="C100" s="1">
        <v>0.6</v>
      </c>
      <c r="D100" s="1" t="s">
        <v>37</v>
      </c>
      <c r="E100" s="2" t="s">
        <v>128</v>
      </c>
      <c r="F100" s="7" t="s">
        <v>34</v>
      </c>
      <c r="G100" s="7">
        <v>430</v>
      </c>
      <c r="H100" s="9">
        <v>750</v>
      </c>
      <c r="I100" s="10"/>
      <c r="J100" s="9">
        <f t="shared" si="2"/>
        <v>750</v>
      </c>
    </row>
    <row r="101" spans="1:10" ht="15.6" x14ac:dyDescent="0.3">
      <c r="A101" s="7">
        <v>250070</v>
      </c>
      <c r="B101" s="7">
        <v>304</v>
      </c>
      <c r="C101" s="1">
        <v>0.6</v>
      </c>
      <c r="D101" s="1" t="s">
        <v>37</v>
      </c>
      <c r="E101" s="2" t="s">
        <v>129</v>
      </c>
      <c r="F101" s="7" t="s">
        <v>34</v>
      </c>
      <c r="G101" s="7">
        <v>430</v>
      </c>
      <c r="H101" s="9">
        <v>750</v>
      </c>
      <c r="I101" s="10"/>
      <c r="J101" s="9">
        <f t="shared" si="2"/>
        <v>750</v>
      </c>
    </row>
    <row r="102" spans="1:10" ht="15.6" x14ac:dyDescent="0.3">
      <c r="A102" s="7"/>
      <c r="B102" s="7"/>
      <c r="C102" s="1"/>
      <c r="D102" s="1"/>
      <c r="E102" s="2"/>
      <c r="F102" s="7"/>
      <c r="G102" s="7"/>
      <c r="H102" s="9"/>
      <c r="I102" s="10"/>
      <c r="J102" s="9">
        <f t="shared" si="2"/>
        <v>0</v>
      </c>
    </row>
    <row r="103" spans="1:10" ht="15.6" x14ac:dyDescent="0.3">
      <c r="A103" s="7">
        <v>250071</v>
      </c>
      <c r="B103" s="7">
        <v>304</v>
      </c>
      <c r="C103" s="1">
        <v>0.7</v>
      </c>
      <c r="D103" s="1" t="s">
        <v>37</v>
      </c>
      <c r="E103" s="2" t="s">
        <v>130</v>
      </c>
      <c r="F103" s="7" t="s">
        <v>34</v>
      </c>
      <c r="G103" s="7">
        <v>430</v>
      </c>
      <c r="H103" s="9">
        <v>750</v>
      </c>
      <c r="I103" s="10"/>
      <c r="J103" s="9">
        <f t="shared" si="2"/>
        <v>750</v>
      </c>
    </row>
    <row r="104" spans="1:10" ht="15.6" x14ac:dyDescent="0.3">
      <c r="A104" s="7">
        <v>250071</v>
      </c>
      <c r="B104" s="7">
        <v>304</v>
      </c>
      <c r="C104" s="1">
        <v>0.7</v>
      </c>
      <c r="D104" s="1" t="s">
        <v>37</v>
      </c>
      <c r="E104" s="2" t="s">
        <v>131</v>
      </c>
      <c r="F104" s="7" t="s">
        <v>34</v>
      </c>
      <c r="G104" s="7">
        <v>430</v>
      </c>
      <c r="H104" s="9">
        <v>750</v>
      </c>
      <c r="I104" s="10"/>
      <c r="J104" s="9">
        <f t="shared" si="2"/>
        <v>750</v>
      </c>
    </row>
    <row r="105" spans="1:10" ht="15.6" x14ac:dyDescent="0.3">
      <c r="A105" s="7">
        <v>250071</v>
      </c>
      <c r="B105" s="7">
        <v>304</v>
      </c>
      <c r="C105" s="1">
        <v>0.7</v>
      </c>
      <c r="D105" s="1" t="s">
        <v>37</v>
      </c>
      <c r="E105" s="2" t="s">
        <v>132</v>
      </c>
      <c r="F105" s="7" t="s">
        <v>34</v>
      </c>
      <c r="G105" s="7">
        <v>430</v>
      </c>
      <c r="H105" s="9">
        <v>750</v>
      </c>
      <c r="I105" s="10"/>
      <c r="J105" s="9">
        <f t="shared" si="2"/>
        <v>750</v>
      </c>
    </row>
    <row r="106" spans="1:10" ht="15.6" x14ac:dyDescent="0.3">
      <c r="A106" s="7">
        <v>250071</v>
      </c>
      <c r="B106" s="7">
        <v>304</v>
      </c>
      <c r="C106" s="1">
        <v>0.7</v>
      </c>
      <c r="D106" s="1" t="s">
        <v>37</v>
      </c>
      <c r="E106" s="2" t="s">
        <v>133</v>
      </c>
      <c r="F106" s="7" t="s">
        <v>34</v>
      </c>
      <c r="G106" s="7">
        <v>430</v>
      </c>
      <c r="H106" s="9">
        <v>750</v>
      </c>
      <c r="I106" s="10"/>
      <c r="J106" s="9">
        <f t="shared" si="2"/>
        <v>750</v>
      </c>
    </row>
    <row r="107" spans="1:10" ht="15.6" x14ac:dyDescent="0.3">
      <c r="A107" s="7"/>
      <c r="B107" s="7"/>
      <c r="C107" s="1"/>
      <c r="D107" s="1"/>
      <c r="E107" s="2"/>
      <c r="F107" s="7"/>
      <c r="G107" s="7"/>
      <c r="H107" s="9"/>
      <c r="I107" s="10"/>
      <c r="J107" s="9">
        <f t="shared" si="2"/>
        <v>0</v>
      </c>
    </row>
    <row r="108" spans="1:10" ht="15.6" x14ac:dyDescent="0.3">
      <c r="A108" s="7">
        <v>250072</v>
      </c>
      <c r="B108" s="7">
        <v>304</v>
      </c>
      <c r="C108" s="1">
        <v>0.7</v>
      </c>
      <c r="D108" s="1" t="s">
        <v>37</v>
      </c>
      <c r="E108" s="2" t="s">
        <v>134</v>
      </c>
      <c r="F108" s="7" t="s">
        <v>34</v>
      </c>
      <c r="G108" s="7">
        <v>430</v>
      </c>
      <c r="H108" s="9">
        <v>750</v>
      </c>
      <c r="I108" s="10"/>
      <c r="J108" s="9">
        <f t="shared" si="2"/>
        <v>750</v>
      </c>
    </row>
    <row r="109" spans="1:10" ht="15.6" x14ac:dyDescent="0.3">
      <c r="A109" s="7">
        <v>250072</v>
      </c>
      <c r="B109" s="7">
        <v>304</v>
      </c>
      <c r="C109" s="1">
        <v>0.7</v>
      </c>
      <c r="D109" s="1" t="s">
        <v>37</v>
      </c>
      <c r="E109" s="2" t="s">
        <v>135</v>
      </c>
      <c r="F109" s="7" t="s">
        <v>34</v>
      </c>
      <c r="G109" s="7">
        <v>430</v>
      </c>
      <c r="H109" s="9">
        <v>750</v>
      </c>
      <c r="I109" s="10"/>
      <c r="J109" s="9">
        <f t="shared" si="2"/>
        <v>750</v>
      </c>
    </row>
    <row r="110" spans="1:10" ht="15.6" x14ac:dyDescent="0.3">
      <c r="A110" s="7">
        <v>250072</v>
      </c>
      <c r="B110" s="7">
        <v>304</v>
      </c>
      <c r="C110" s="1">
        <v>0.7</v>
      </c>
      <c r="D110" s="1" t="s">
        <v>37</v>
      </c>
      <c r="E110" s="2" t="s">
        <v>136</v>
      </c>
      <c r="F110" s="7" t="s">
        <v>34</v>
      </c>
      <c r="G110" s="7">
        <v>430</v>
      </c>
      <c r="H110" s="9">
        <v>750</v>
      </c>
      <c r="I110" s="10"/>
      <c r="J110" s="9">
        <f t="shared" si="2"/>
        <v>750</v>
      </c>
    </row>
    <row r="111" spans="1:10" ht="15.6" x14ac:dyDescent="0.3">
      <c r="A111" s="7">
        <v>250072</v>
      </c>
      <c r="B111" s="7">
        <v>304</v>
      </c>
      <c r="C111" s="1">
        <v>0.7</v>
      </c>
      <c r="D111" s="1" t="s">
        <v>37</v>
      </c>
      <c r="E111" s="2" t="s">
        <v>137</v>
      </c>
      <c r="F111" s="7" t="s">
        <v>34</v>
      </c>
      <c r="G111" s="7">
        <v>430</v>
      </c>
      <c r="H111" s="9">
        <v>750</v>
      </c>
      <c r="I111" s="10"/>
      <c r="J111" s="9">
        <f t="shared" si="2"/>
        <v>750</v>
      </c>
    </row>
    <row r="112" spans="1:10" ht="15.6" x14ac:dyDescent="0.3">
      <c r="A112" s="7"/>
      <c r="B112" s="7"/>
      <c r="C112" s="1"/>
      <c r="D112" s="1"/>
      <c r="E112" s="2"/>
      <c r="F112" s="7"/>
      <c r="G112" s="7"/>
      <c r="H112" s="9"/>
      <c r="I112" s="10"/>
      <c r="J112" s="9">
        <f t="shared" si="2"/>
        <v>0</v>
      </c>
    </row>
    <row r="113" spans="1:10" ht="15.6" x14ac:dyDescent="0.3">
      <c r="A113" s="7">
        <v>250073</v>
      </c>
      <c r="B113" s="7">
        <v>304</v>
      </c>
      <c r="C113" s="1">
        <v>0.6</v>
      </c>
      <c r="D113" s="1" t="s">
        <v>37</v>
      </c>
      <c r="E113" s="2" t="s">
        <v>134</v>
      </c>
      <c r="F113" s="7" t="s">
        <v>34</v>
      </c>
      <c r="G113" s="7">
        <v>430</v>
      </c>
      <c r="H113" s="9">
        <v>750</v>
      </c>
      <c r="I113" s="10"/>
      <c r="J113" s="9">
        <f t="shared" si="2"/>
        <v>750</v>
      </c>
    </row>
    <row r="114" spans="1:10" ht="15.6" x14ac:dyDescent="0.3">
      <c r="A114" s="7">
        <v>250073</v>
      </c>
      <c r="B114" s="7">
        <v>304</v>
      </c>
      <c r="C114" s="1">
        <v>0.6</v>
      </c>
      <c r="D114" s="1" t="s">
        <v>37</v>
      </c>
      <c r="E114" s="2" t="s">
        <v>135</v>
      </c>
      <c r="F114" s="7" t="s">
        <v>34</v>
      </c>
      <c r="G114" s="7">
        <v>430</v>
      </c>
      <c r="H114" s="9">
        <v>750</v>
      </c>
      <c r="I114" s="10"/>
      <c r="J114" s="9">
        <f t="shared" si="2"/>
        <v>750</v>
      </c>
    </row>
    <row r="115" spans="1:10" ht="15.6" x14ac:dyDescent="0.3">
      <c r="A115" s="7">
        <v>250073</v>
      </c>
      <c r="B115" s="7">
        <v>304</v>
      </c>
      <c r="C115" s="1">
        <v>0.6</v>
      </c>
      <c r="D115" s="1" t="s">
        <v>37</v>
      </c>
      <c r="E115" s="2" t="s">
        <v>136</v>
      </c>
      <c r="F115" s="7" t="s">
        <v>34</v>
      </c>
      <c r="G115" s="7">
        <v>430</v>
      </c>
      <c r="H115" s="9">
        <v>750</v>
      </c>
      <c r="I115" s="10"/>
      <c r="J115" s="9">
        <f t="shared" si="2"/>
        <v>750</v>
      </c>
    </row>
    <row r="116" spans="1:10" ht="15.6" x14ac:dyDescent="0.3">
      <c r="A116" s="7">
        <v>250073</v>
      </c>
      <c r="B116" s="7">
        <v>304</v>
      </c>
      <c r="C116" s="1">
        <v>0.6</v>
      </c>
      <c r="D116" s="1" t="s">
        <v>37</v>
      </c>
      <c r="E116" s="2" t="s">
        <v>137</v>
      </c>
      <c r="F116" s="7" t="s">
        <v>34</v>
      </c>
      <c r="G116" s="7">
        <v>430</v>
      </c>
      <c r="H116" s="9">
        <v>750</v>
      </c>
      <c r="I116" s="10"/>
      <c r="J116" s="9">
        <f t="shared" si="2"/>
        <v>750</v>
      </c>
    </row>
    <row r="117" spans="1:10" ht="15.6" x14ac:dyDescent="0.3">
      <c r="A117" s="7"/>
      <c r="B117" s="7"/>
      <c r="C117" s="1"/>
      <c r="D117" s="1"/>
      <c r="E117" s="2"/>
      <c r="F117" s="7"/>
      <c r="G117" s="7"/>
      <c r="H117" s="9"/>
      <c r="I117" s="10"/>
      <c r="J117" s="9">
        <f t="shared" si="2"/>
        <v>0</v>
      </c>
    </row>
    <row r="118" spans="1:10" ht="15.6" x14ac:dyDescent="0.3">
      <c r="A118" s="7">
        <v>270825</v>
      </c>
      <c r="B118" s="7">
        <v>430</v>
      </c>
      <c r="C118" s="1">
        <v>0.5</v>
      </c>
      <c r="D118" s="1" t="s">
        <v>37</v>
      </c>
      <c r="E118" s="2" t="s">
        <v>138</v>
      </c>
      <c r="F118" s="7" t="s">
        <v>34</v>
      </c>
      <c r="G118" s="7">
        <v>430</v>
      </c>
      <c r="H118" s="9">
        <v>2000</v>
      </c>
      <c r="I118" s="10"/>
      <c r="J118" s="9">
        <f t="shared" si="2"/>
        <v>2000</v>
      </c>
    </row>
    <row r="119" spans="1:10" ht="15.6" x14ac:dyDescent="0.3">
      <c r="A119" s="7">
        <v>270825</v>
      </c>
      <c r="B119" s="7">
        <v>430</v>
      </c>
      <c r="C119" s="1">
        <v>0.5</v>
      </c>
      <c r="D119" s="1" t="s">
        <v>37</v>
      </c>
      <c r="E119" s="2" t="s">
        <v>139</v>
      </c>
      <c r="F119" s="7" t="s">
        <v>34</v>
      </c>
      <c r="G119" s="7">
        <v>430</v>
      </c>
      <c r="H119" s="9">
        <v>2000</v>
      </c>
      <c r="I119" s="10"/>
      <c r="J119" s="9">
        <f t="shared" si="2"/>
        <v>2000</v>
      </c>
    </row>
    <row r="120" spans="1:10" ht="15.6" x14ac:dyDescent="0.3">
      <c r="A120" s="7">
        <v>270825</v>
      </c>
      <c r="B120" s="7">
        <v>430</v>
      </c>
      <c r="C120" s="1">
        <v>0.5</v>
      </c>
      <c r="D120" s="1" t="s">
        <v>37</v>
      </c>
      <c r="E120" s="2" t="s">
        <v>140</v>
      </c>
      <c r="F120" s="7" t="s">
        <v>34</v>
      </c>
      <c r="G120" s="7">
        <v>430</v>
      </c>
      <c r="H120" s="9">
        <v>2000</v>
      </c>
      <c r="I120" s="10"/>
      <c r="J120" s="9">
        <f t="shared" si="2"/>
        <v>2000</v>
      </c>
    </row>
    <row r="121" spans="1:10" ht="15.6" x14ac:dyDescent="0.3">
      <c r="A121" s="7"/>
      <c r="B121" s="7"/>
      <c r="C121" s="1"/>
      <c r="D121" s="1"/>
      <c r="E121" s="2"/>
      <c r="F121" s="7"/>
      <c r="G121" s="7"/>
      <c r="H121" s="9"/>
      <c r="I121" s="10"/>
      <c r="J121" s="9">
        <f t="shared" si="2"/>
        <v>0</v>
      </c>
    </row>
    <row r="122" spans="1:10" ht="15.6" x14ac:dyDescent="0.3">
      <c r="A122" s="11"/>
      <c r="B122" s="11"/>
      <c r="C122" s="12"/>
      <c r="D122" s="12"/>
      <c r="E122" s="13"/>
      <c r="F122" s="11"/>
      <c r="G122" s="14"/>
      <c r="H122" s="9">
        <f>SUM(H4:H121)</f>
        <v>78875</v>
      </c>
      <c r="I122" s="10">
        <f>SUM(I4:I121)</f>
        <v>53747</v>
      </c>
      <c r="J122" s="9">
        <f>SUM(J4:J121)</f>
        <v>25128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3" fitToHeight="0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0"/>
  <sheetViews>
    <sheetView zoomScale="70" zoomScaleNormal="70" workbookViewId="0">
      <selection activeCell="E69" sqref="E69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115.1093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45943</v>
      </c>
      <c r="J1" s="28"/>
    </row>
    <row r="2" spans="1:10" ht="40.049999999999997" customHeight="1" x14ac:dyDescent="0.3">
      <c r="A2" s="29" t="s">
        <v>144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5.6" x14ac:dyDescent="0.3">
      <c r="A4" s="7">
        <v>270825</v>
      </c>
      <c r="B4" s="7">
        <v>430</v>
      </c>
      <c r="C4" s="1">
        <v>0.5</v>
      </c>
      <c r="D4" s="1" t="s">
        <v>37</v>
      </c>
      <c r="E4" s="2" t="s">
        <v>138</v>
      </c>
      <c r="F4" s="7" t="s">
        <v>34</v>
      </c>
      <c r="G4" s="7">
        <v>430</v>
      </c>
      <c r="H4" s="9">
        <v>2000</v>
      </c>
      <c r="I4" s="10"/>
      <c r="J4" s="9">
        <f>H4-I4</f>
        <v>2000</v>
      </c>
    </row>
    <row r="5" spans="1:10" ht="15.6" x14ac:dyDescent="0.3">
      <c r="A5" s="7">
        <v>270825</v>
      </c>
      <c r="B5" s="7">
        <v>430</v>
      </c>
      <c r="C5" s="1">
        <v>0.5</v>
      </c>
      <c r="D5" s="1" t="s">
        <v>37</v>
      </c>
      <c r="E5" s="2" t="s">
        <v>139</v>
      </c>
      <c r="F5" s="7" t="s">
        <v>34</v>
      </c>
      <c r="G5" s="7">
        <v>430</v>
      </c>
      <c r="H5" s="9">
        <v>2000</v>
      </c>
      <c r="I5" s="10"/>
      <c r="J5" s="9">
        <f>H5-I5</f>
        <v>2000</v>
      </c>
    </row>
    <row r="6" spans="1:10" ht="15.6" x14ac:dyDescent="0.3">
      <c r="A6" s="7">
        <v>270825</v>
      </c>
      <c r="B6" s="7">
        <v>430</v>
      </c>
      <c r="C6" s="1">
        <v>0.5</v>
      </c>
      <c r="D6" s="1" t="s">
        <v>37</v>
      </c>
      <c r="E6" s="2" t="s">
        <v>140</v>
      </c>
      <c r="F6" s="7" t="s">
        <v>34</v>
      </c>
      <c r="G6" s="7">
        <v>430</v>
      </c>
      <c r="H6" s="9">
        <v>2000</v>
      </c>
      <c r="I6" s="10"/>
      <c r="J6" s="9">
        <f>H6-I6</f>
        <v>2000</v>
      </c>
    </row>
    <row r="7" spans="1:10" ht="15.6" x14ac:dyDescent="0.3">
      <c r="A7" s="7"/>
      <c r="B7" s="7"/>
      <c r="C7" s="1"/>
      <c r="D7" s="1"/>
      <c r="E7" s="2"/>
      <c r="F7" s="7"/>
      <c r="G7" s="7"/>
      <c r="H7" s="9"/>
      <c r="I7" s="10"/>
      <c r="J7" s="9"/>
    </row>
    <row r="8" spans="1:10" ht="15.6" x14ac:dyDescent="0.3">
      <c r="A8" s="7">
        <v>250049</v>
      </c>
      <c r="B8" s="7">
        <v>304</v>
      </c>
      <c r="C8" s="1">
        <v>0.7</v>
      </c>
      <c r="D8" s="1" t="s">
        <v>37</v>
      </c>
      <c r="E8" s="2" t="s">
        <v>99</v>
      </c>
      <c r="F8" s="7" t="s">
        <v>34</v>
      </c>
      <c r="G8" s="7">
        <v>304</v>
      </c>
      <c r="H8" s="9">
        <v>790</v>
      </c>
      <c r="I8" s="10"/>
      <c r="J8" s="9">
        <f t="shared" ref="J8:J12" si="0">H8-I8</f>
        <v>790</v>
      </c>
    </row>
    <row r="9" spans="1:10" ht="15.6" x14ac:dyDescent="0.3">
      <c r="A9" s="7">
        <v>250049</v>
      </c>
      <c r="B9" s="7">
        <v>304</v>
      </c>
      <c r="C9" s="1">
        <v>0.7</v>
      </c>
      <c r="D9" s="1" t="s">
        <v>37</v>
      </c>
      <c r="E9" s="2" t="s">
        <v>100</v>
      </c>
      <c r="F9" s="7" t="s">
        <v>34</v>
      </c>
      <c r="G9" s="7">
        <v>304</v>
      </c>
      <c r="H9" s="9">
        <v>790</v>
      </c>
      <c r="I9" s="10"/>
      <c r="J9" s="9">
        <f t="shared" si="0"/>
        <v>790</v>
      </c>
    </row>
    <row r="10" spans="1:10" ht="15.6" x14ac:dyDescent="0.3">
      <c r="A10" s="7">
        <v>250049</v>
      </c>
      <c r="B10" s="7">
        <v>304</v>
      </c>
      <c r="C10" s="1">
        <v>0.7</v>
      </c>
      <c r="D10" s="1" t="s">
        <v>37</v>
      </c>
      <c r="E10" s="2" t="s">
        <v>101</v>
      </c>
      <c r="F10" s="7" t="s">
        <v>34</v>
      </c>
      <c r="G10" s="7">
        <v>304</v>
      </c>
      <c r="H10" s="9">
        <v>790</v>
      </c>
      <c r="I10" s="10"/>
      <c r="J10" s="9">
        <f t="shared" si="0"/>
        <v>790</v>
      </c>
    </row>
    <row r="11" spans="1:10" ht="15.6" x14ac:dyDescent="0.3">
      <c r="A11" s="7">
        <v>250049</v>
      </c>
      <c r="B11" s="7">
        <v>304</v>
      </c>
      <c r="C11" s="1">
        <v>0.7</v>
      </c>
      <c r="D11" s="1" t="s">
        <v>37</v>
      </c>
      <c r="E11" s="2" t="s">
        <v>102</v>
      </c>
      <c r="F11" s="7" t="s">
        <v>34</v>
      </c>
      <c r="G11" s="7">
        <v>304</v>
      </c>
      <c r="H11" s="9">
        <v>790</v>
      </c>
      <c r="I11" s="10"/>
      <c r="J11" s="9">
        <f t="shared" si="0"/>
        <v>790</v>
      </c>
    </row>
    <row r="12" spans="1:10" ht="15.6" x14ac:dyDescent="0.3">
      <c r="A12" s="7">
        <v>250049</v>
      </c>
      <c r="B12" s="7">
        <v>304</v>
      </c>
      <c r="C12" s="1">
        <v>0.7</v>
      </c>
      <c r="D12" s="1" t="s">
        <v>37</v>
      </c>
      <c r="E12" s="2" t="s">
        <v>103</v>
      </c>
      <c r="F12" s="7" t="s">
        <v>34</v>
      </c>
      <c r="G12" s="7">
        <v>304</v>
      </c>
      <c r="H12" s="9">
        <v>790</v>
      </c>
      <c r="I12" s="10"/>
      <c r="J12" s="9">
        <f t="shared" si="0"/>
        <v>790</v>
      </c>
    </row>
    <row r="13" spans="1:10" ht="15.6" x14ac:dyDescent="0.3">
      <c r="A13" s="7"/>
      <c r="B13" s="7"/>
      <c r="C13" s="1"/>
      <c r="D13" s="1"/>
      <c r="E13" s="2"/>
      <c r="F13" s="7"/>
      <c r="G13" s="7"/>
      <c r="H13" s="9"/>
      <c r="I13" s="10"/>
      <c r="J13" s="9">
        <f t="shared" ref="J13:J79" si="1">H13-I13</f>
        <v>0</v>
      </c>
    </row>
    <row r="14" spans="1:10" ht="15.6" x14ac:dyDescent="0.3">
      <c r="A14" s="17">
        <v>250070</v>
      </c>
      <c r="B14" s="17">
        <v>304</v>
      </c>
      <c r="C14" s="18">
        <v>0.6</v>
      </c>
      <c r="D14" s="18" t="s">
        <v>37</v>
      </c>
      <c r="E14" s="19" t="s">
        <v>126</v>
      </c>
      <c r="F14" s="17" t="s">
        <v>34</v>
      </c>
      <c r="G14" s="17">
        <v>430</v>
      </c>
      <c r="H14" s="20">
        <v>750</v>
      </c>
      <c r="I14" s="21">
        <v>747</v>
      </c>
      <c r="J14" s="20">
        <f t="shared" si="1"/>
        <v>3</v>
      </c>
    </row>
    <row r="15" spans="1:10" ht="15.6" x14ac:dyDescent="0.3">
      <c r="A15" s="17">
        <v>250070</v>
      </c>
      <c r="B15" s="17">
        <v>304</v>
      </c>
      <c r="C15" s="18">
        <v>0.6</v>
      </c>
      <c r="D15" s="18" t="s">
        <v>37</v>
      </c>
      <c r="E15" s="19" t="s">
        <v>127</v>
      </c>
      <c r="F15" s="17" t="s">
        <v>34</v>
      </c>
      <c r="G15" s="17">
        <v>430</v>
      </c>
      <c r="H15" s="20">
        <v>750</v>
      </c>
      <c r="I15" s="21">
        <v>698</v>
      </c>
      <c r="J15" s="20">
        <f t="shared" si="1"/>
        <v>52</v>
      </c>
    </row>
    <row r="16" spans="1:10" ht="15.6" x14ac:dyDescent="0.3">
      <c r="A16" s="17">
        <v>250070</v>
      </c>
      <c r="B16" s="17">
        <v>304</v>
      </c>
      <c r="C16" s="18">
        <v>0.6</v>
      </c>
      <c r="D16" s="18" t="s">
        <v>37</v>
      </c>
      <c r="E16" s="19" t="s">
        <v>128</v>
      </c>
      <c r="F16" s="17" t="s">
        <v>34</v>
      </c>
      <c r="G16" s="17">
        <v>430</v>
      </c>
      <c r="H16" s="20">
        <v>750</v>
      </c>
      <c r="I16" s="21">
        <v>698</v>
      </c>
      <c r="J16" s="20">
        <f t="shared" si="1"/>
        <v>52</v>
      </c>
    </row>
    <row r="17" spans="1:10" ht="15.6" x14ac:dyDescent="0.3">
      <c r="A17" s="17">
        <v>250070</v>
      </c>
      <c r="B17" s="17">
        <v>304</v>
      </c>
      <c r="C17" s="18">
        <v>0.6</v>
      </c>
      <c r="D17" s="18" t="s">
        <v>37</v>
      </c>
      <c r="E17" s="19" t="s">
        <v>129</v>
      </c>
      <c r="F17" s="17" t="s">
        <v>34</v>
      </c>
      <c r="G17" s="17">
        <v>430</v>
      </c>
      <c r="H17" s="20">
        <v>750</v>
      </c>
      <c r="I17" s="21">
        <v>698</v>
      </c>
      <c r="J17" s="20">
        <f t="shared" si="1"/>
        <v>52</v>
      </c>
    </row>
    <row r="18" spans="1:10" ht="15.6" x14ac:dyDescent="0.3">
      <c r="A18" s="17">
        <v>250070</v>
      </c>
      <c r="B18" s="17">
        <v>304</v>
      </c>
      <c r="C18" s="18">
        <v>0.6</v>
      </c>
      <c r="D18" s="18" t="s">
        <v>37</v>
      </c>
      <c r="E18" s="19" t="s">
        <v>143</v>
      </c>
      <c r="F18" s="17" t="s">
        <v>34</v>
      </c>
      <c r="G18" s="17">
        <v>430</v>
      </c>
      <c r="H18" s="20">
        <v>750</v>
      </c>
      <c r="I18" s="21">
        <v>698</v>
      </c>
      <c r="J18" s="20">
        <f t="shared" ref="J18" si="2">H18-I18</f>
        <v>52</v>
      </c>
    </row>
    <row r="19" spans="1:10" ht="15.6" x14ac:dyDescent="0.3">
      <c r="A19" s="7"/>
      <c r="B19" s="7"/>
      <c r="C19" s="1"/>
      <c r="D19" s="1"/>
      <c r="E19" s="2"/>
      <c r="F19" s="7"/>
      <c r="G19" s="7"/>
      <c r="H19" s="9"/>
      <c r="I19" s="10"/>
      <c r="J19" s="9">
        <f t="shared" si="1"/>
        <v>0</v>
      </c>
    </row>
    <row r="20" spans="1:10" ht="15.6" x14ac:dyDescent="0.3">
      <c r="A20" s="17">
        <v>250071</v>
      </c>
      <c r="B20" s="17">
        <v>304</v>
      </c>
      <c r="C20" s="18">
        <v>0.7</v>
      </c>
      <c r="D20" s="18" t="s">
        <v>37</v>
      </c>
      <c r="E20" s="19" t="s">
        <v>130</v>
      </c>
      <c r="F20" s="17" t="s">
        <v>34</v>
      </c>
      <c r="G20" s="17">
        <v>430</v>
      </c>
      <c r="H20" s="20">
        <v>750</v>
      </c>
      <c r="I20" s="21">
        <v>735</v>
      </c>
      <c r="J20" s="20">
        <f t="shared" si="1"/>
        <v>15</v>
      </c>
    </row>
    <row r="21" spans="1:10" ht="15.6" x14ac:dyDescent="0.3">
      <c r="A21" s="17">
        <v>250071</v>
      </c>
      <c r="B21" s="17">
        <v>304</v>
      </c>
      <c r="C21" s="18">
        <v>0.7</v>
      </c>
      <c r="D21" s="18" t="s">
        <v>37</v>
      </c>
      <c r="E21" s="19" t="s">
        <v>131</v>
      </c>
      <c r="F21" s="17" t="s">
        <v>34</v>
      </c>
      <c r="G21" s="17">
        <v>430</v>
      </c>
      <c r="H21" s="20">
        <v>750</v>
      </c>
      <c r="I21" s="21">
        <v>749</v>
      </c>
      <c r="J21" s="20">
        <f t="shared" si="1"/>
        <v>1</v>
      </c>
    </row>
    <row r="22" spans="1:10" ht="15.6" x14ac:dyDescent="0.3">
      <c r="A22" s="17">
        <v>250071</v>
      </c>
      <c r="B22" s="17">
        <v>304</v>
      </c>
      <c r="C22" s="18">
        <v>0.7</v>
      </c>
      <c r="D22" s="18" t="s">
        <v>37</v>
      </c>
      <c r="E22" s="19" t="s">
        <v>132</v>
      </c>
      <c r="F22" s="17" t="s">
        <v>34</v>
      </c>
      <c r="G22" s="17">
        <v>430</v>
      </c>
      <c r="H22" s="20">
        <v>750</v>
      </c>
      <c r="I22" s="21">
        <f>363+347</f>
        <v>710</v>
      </c>
      <c r="J22" s="20">
        <f t="shared" si="1"/>
        <v>40</v>
      </c>
    </row>
    <row r="23" spans="1:10" ht="15.6" x14ac:dyDescent="0.3">
      <c r="A23" s="17">
        <v>250071</v>
      </c>
      <c r="B23" s="17">
        <v>304</v>
      </c>
      <c r="C23" s="18">
        <v>0.7</v>
      </c>
      <c r="D23" s="18" t="s">
        <v>37</v>
      </c>
      <c r="E23" s="19" t="s">
        <v>133</v>
      </c>
      <c r="F23" s="17" t="s">
        <v>34</v>
      </c>
      <c r="G23" s="17">
        <v>430</v>
      </c>
      <c r="H23" s="20">
        <v>750</v>
      </c>
      <c r="I23" s="21">
        <v>710</v>
      </c>
      <c r="J23" s="20">
        <f t="shared" si="1"/>
        <v>40</v>
      </c>
    </row>
    <row r="24" spans="1:10" ht="15.6" x14ac:dyDescent="0.3">
      <c r="A24" s="17">
        <v>250071</v>
      </c>
      <c r="B24" s="17">
        <v>304</v>
      </c>
      <c r="C24" s="18">
        <v>0.7</v>
      </c>
      <c r="D24" s="18" t="s">
        <v>37</v>
      </c>
      <c r="E24" s="19" t="s">
        <v>142</v>
      </c>
      <c r="F24" s="17" t="s">
        <v>34</v>
      </c>
      <c r="G24" s="17">
        <v>430</v>
      </c>
      <c r="H24" s="20">
        <v>750</v>
      </c>
      <c r="I24" s="21">
        <v>710</v>
      </c>
      <c r="J24" s="20">
        <f t="shared" si="1"/>
        <v>40</v>
      </c>
    </row>
    <row r="25" spans="1:10" ht="15.6" x14ac:dyDescent="0.3">
      <c r="A25" s="7"/>
      <c r="B25" s="7"/>
      <c r="C25" s="1"/>
      <c r="D25" s="1"/>
      <c r="E25" s="2"/>
      <c r="F25" s="7"/>
      <c r="G25" s="7"/>
      <c r="H25" s="9"/>
      <c r="I25" s="10"/>
      <c r="J25" s="9">
        <f t="shared" si="1"/>
        <v>0</v>
      </c>
    </row>
    <row r="26" spans="1:10" ht="15.6" x14ac:dyDescent="0.3">
      <c r="A26" s="17">
        <v>250072</v>
      </c>
      <c r="B26" s="17">
        <v>304</v>
      </c>
      <c r="C26" s="18">
        <v>0.7</v>
      </c>
      <c r="D26" s="18" t="s">
        <v>37</v>
      </c>
      <c r="E26" s="19" t="s">
        <v>134</v>
      </c>
      <c r="F26" s="17" t="s">
        <v>34</v>
      </c>
      <c r="G26" s="17">
        <v>430</v>
      </c>
      <c r="H26" s="20">
        <v>750</v>
      </c>
      <c r="I26" s="21">
        <v>751</v>
      </c>
      <c r="J26" s="20">
        <f t="shared" si="1"/>
        <v>-1</v>
      </c>
    </row>
    <row r="27" spans="1:10" ht="15.6" x14ac:dyDescent="0.3">
      <c r="A27" s="17">
        <v>250072</v>
      </c>
      <c r="B27" s="17">
        <v>304</v>
      </c>
      <c r="C27" s="18">
        <v>0.7</v>
      </c>
      <c r="D27" s="18" t="s">
        <v>37</v>
      </c>
      <c r="E27" s="19" t="s">
        <v>135</v>
      </c>
      <c r="F27" s="17" t="s">
        <v>34</v>
      </c>
      <c r="G27" s="17">
        <v>430</v>
      </c>
      <c r="H27" s="20">
        <v>750</v>
      </c>
      <c r="I27" s="21">
        <v>751</v>
      </c>
      <c r="J27" s="20">
        <f t="shared" si="1"/>
        <v>-1</v>
      </c>
    </row>
    <row r="28" spans="1:10" ht="15.6" x14ac:dyDescent="0.3">
      <c r="A28" s="17">
        <v>250072</v>
      </c>
      <c r="B28" s="17">
        <v>304</v>
      </c>
      <c r="C28" s="18">
        <v>0.7</v>
      </c>
      <c r="D28" s="18" t="s">
        <v>37</v>
      </c>
      <c r="E28" s="19" t="s">
        <v>136</v>
      </c>
      <c r="F28" s="17" t="s">
        <v>34</v>
      </c>
      <c r="G28" s="17">
        <v>430</v>
      </c>
      <c r="H28" s="20">
        <v>750</v>
      </c>
      <c r="I28" s="21">
        <v>751</v>
      </c>
      <c r="J28" s="20">
        <f t="shared" si="1"/>
        <v>-1</v>
      </c>
    </row>
    <row r="29" spans="1:10" ht="15.6" x14ac:dyDescent="0.3">
      <c r="A29" s="17">
        <v>250072</v>
      </c>
      <c r="B29" s="17">
        <v>304</v>
      </c>
      <c r="C29" s="18">
        <v>0.7</v>
      </c>
      <c r="D29" s="18" t="s">
        <v>37</v>
      </c>
      <c r="E29" s="19" t="s">
        <v>137</v>
      </c>
      <c r="F29" s="17" t="s">
        <v>34</v>
      </c>
      <c r="G29" s="17">
        <v>430</v>
      </c>
      <c r="H29" s="20">
        <v>750</v>
      </c>
      <c r="I29" s="21">
        <v>751</v>
      </c>
      <c r="J29" s="20">
        <f t="shared" si="1"/>
        <v>-1</v>
      </c>
    </row>
    <row r="30" spans="1:10" ht="15.6" x14ac:dyDescent="0.3">
      <c r="A30" s="17">
        <v>250072</v>
      </c>
      <c r="B30" s="17">
        <v>304</v>
      </c>
      <c r="C30" s="18">
        <v>0.7</v>
      </c>
      <c r="D30" s="18" t="s">
        <v>37</v>
      </c>
      <c r="E30" s="19" t="s">
        <v>141</v>
      </c>
      <c r="F30" s="17" t="s">
        <v>34</v>
      </c>
      <c r="G30" s="17">
        <v>430</v>
      </c>
      <c r="H30" s="20">
        <v>750</v>
      </c>
      <c r="I30" s="21">
        <v>751</v>
      </c>
      <c r="J30" s="20">
        <f t="shared" si="1"/>
        <v>-1</v>
      </c>
    </row>
    <row r="31" spans="1:10" ht="15.6" x14ac:dyDescent="0.3">
      <c r="A31" s="7"/>
      <c r="B31" s="7"/>
      <c r="C31" s="1"/>
      <c r="D31" s="1"/>
      <c r="E31" s="2"/>
      <c r="F31" s="7"/>
      <c r="G31" s="7"/>
      <c r="H31" s="9"/>
      <c r="I31" s="10"/>
      <c r="J31" s="9">
        <f t="shared" si="1"/>
        <v>0</v>
      </c>
    </row>
    <row r="32" spans="1:10" ht="15.6" x14ac:dyDescent="0.3">
      <c r="A32" s="17">
        <v>250073</v>
      </c>
      <c r="B32" s="17">
        <v>304</v>
      </c>
      <c r="C32" s="18">
        <v>0.6</v>
      </c>
      <c r="D32" s="18" t="s">
        <v>37</v>
      </c>
      <c r="E32" s="19" t="s">
        <v>134</v>
      </c>
      <c r="F32" s="17" t="s">
        <v>34</v>
      </c>
      <c r="G32" s="17">
        <v>430</v>
      </c>
      <c r="H32" s="20">
        <v>750</v>
      </c>
      <c r="I32" s="21">
        <f>706+39</f>
        <v>745</v>
      </c>
      <c r="J32" s="20">
        <f t="shared" si="1"/>
        <v>5</v>
      </c>
    </row>
    <row r="33" spans="1:10" ht="15.6" x14ac:dyDescent="0.3">
      <c r="A33" s="17">
        <v>250073</v>
      </c>
      <c r="B33" s="17">
        <v>304</v>
      </c>
      <c r="C33" s="18">
        <v>0.6</v>
      </c>
      <c r="D33" s="18" t="s">
        <v>37</v>
      </c>
      <c r="E33" s="19" t="s">
        <v>135</v>
      </c>
      <c r="F33" s="17" t="s">
        <v>34</v>
      </c>
      <c r="G33" s="17">
        <v>430</v>
      </c>
      <c r="H33" s="20">
        <v>750</v>
      </c>
      <c r="I33" s="21">
        <v>793</v>
      </c>
      <c r="J33" s="20">
        <f t="shared" si="1"/>
        <v>-43</v>
      </c>
    </row>
    <row r="34" spans="1:10" ht="15.6" x14ac:dyDescent="0.3">
      <c r="A34" s="17">
        <v>250073</v>
      </c>
      <c r="B34" s="17">
        <v>304</v>
      </c>
      <c r="C34" s="18">
        <v>0.6</v>
      </c>
      <c r="D34" s="18" t="s">
        <v>37</v>
      </c>
      <c r="E34" s="19" t="s">
        <v>136</v>
      </c>
      <c r="F34" s="17" t="s">
        <v>34</v>
      </c>
      <c r="G34" s="17">
        <v>430</v>
      </c>
      <c r="H34" s="20">
        <v>750</v>
      </c>
      <c r="I34" s="21">
        <f>400+362</f>
        <v>762</v>
      </c>
      <c r="J34" s="20">
        <f t="shared" si="1"/>
        <v>-12</v>
      </c>
    </row>
    <row r="35" spans="1:10" ht="15.6" x14ac:dyDescent="0.3">
      <c r="A35" s="17">
        <v>250073</v>
      </c>
      <c r="B35" s="17">
        <v>304</v>
      </c>
      <c r="C35" s="18">
        <v>0.6</v>
      </c>
      <c r="D35" s="18" t="s">
        <v>37</v>
      </c>
      <c r="E35" s="19" t="s">
        <v>137</v>
      </c>
      <c r="F35" s="17" t="s">
        <v>34</v>
      </c>
      <c r="G35" s="17">
        <v>430</v>
      </c>
      <c r="H35" s="20">
        <v>750</v>
      </c>
      <c r="I35" s="21">
        <v>740</v>
      </c>
      <c r="J35" s="20">
        <f t="shared" si="1"/>
        <v>10</v>
      </c>
    </row>
    <row r="36" spans="1:10" ht="15.6" x14ac:dyDescent="0.3">
      <c r="A36" s="17">
        <v>250073</v>
      </c>
      <c r="B36" s="17">
        <v>304</v>
      </c>
      <c r="C36" s="18">
        <v>0.6</v>
      </c>
      <c r="D36" s="18" t="s">
        <v>37</v>
      </c>
      <c r="E36" s="19" t="s">
        <v>141</v>
      </c>
      <c r="F36" s="17" t="s">
        <v>34</v>
      </c>
      <c r="G36" s="17">
        <v>430</v>
      </c>
      <c r="H36" s="20">
        <v>750</v>
      </c>
      <c r="I36" s="21">
        <v>722</v>
      </c>
      <c r="J36" s="20">
        <f t="shared" si="1"/>
        <v>28</v>
      </c>
    </row>
    <row r="37" spans="1:10" ht="15.6" x14ac:dyDescent="0.3">
      <c r="A37" s="7"/>
      <c r="B37" s="7"/>
      <c r="C37" s="1"/>
      <c r="D37" s="1"/>
      <c r="E37" s="2"/>
      <c r="F37" s="7"/>
      <c r="G37" s="7"/>
      <c r="H37" s="9"/>
      <c r="I37" s="10"/>
      <c r="J37" s="9">
        <f t="shared" si="1"/>
        <v>0</v>
      </c>
    </row>
    <row r="38" spans="1:10" ht="15.6" x14ac:dyDescent="0.3">
      <c r="A38" s="7">
        <v>160925</v>
      </c>
      <c r="B38" s="7">
        <v>304</v>
      </c>
      <c r="C38" s="1">
        <v>0.7</v>
      </c>
      <c r="D38" s="1" t="s">
        <v>71</v>
      </c>
      <c r="E38" s="2" t="s">
        <v>148</v>
      </c>
      <c r="F38" s="7" t="s">
        <v>34</v>
      </c>
      <c r="G38" s="7">
        <v>430</v>
      </c>
      <c r="H38" s="9">
        <v>1100</v>
      </c>
      <c r="I38" s="10"/>
      <c r="J38" s="9">
        <f t="shared" si="1"/>
        <v>1100</v>
      </c>
    </row>
    <row r="39" spans="1:10" ht="15.6" x14ac:dyDescent="0.3">
      <c r="A39" s="7">
        <v>160925</v>
      </c>
      <c r="B39" s="7">
        <v>304</v>
      </c>
      <c r="C39" s="1">
        <v>0.7</v>
      </c>
      <c r="D39" s="1" t="s">
        <v>71</v>
      </c>
      <c r="E39" s="2" t="s">
        <v>149</v>
      </c>
      <c r="F39" s="7" t="s">
        <v>34</v>
      </c>
      <c r="G39" s="7">
        <v>430</v>
      </c>
      <c r="H39" s="9">
        <v>1100</v>
      </c>
      <c r="I39" s="10"/>
      <c r="J39" s="9">
        <f t="shared" si="1"/>
        <v>1100</v>
      </c>
    </row>
    <row r="40" spans="1:10" ht="15.6" x14ac:dyDescent="0.3">
      <c r="A40" s="7">
        <v>160925</v>
      </c>
      <c r="B40" s="7">
        <v>304</v>
      </c>
      <c r="C40" s="1">
        <v>0.7</v>
      </c>
      <c r="D40" s="1" t="s">
        <v>71</v>
      </c>
      <c r="E40" s="2" t="s">
        <v>150</v>
      </c>
      <c r="F40" s="7" t="s">
        <v>34</v>
      </c>
      <c r="G40" s="7">
        <v>430</v>
      </c>
      <c r="H40" s="9">
        <v>1100</v>
      </c>
      <c r="I40" s="10"/>
      <c r="J40" s="9">
        <f t="shared" si="1"/>
        <v>1100</v>
      </c>
    </row>
    <row r="41" spans="1:10" ht="15.6" x14ac:dyDescent="0.3">
      <c r="A41" s="7">
        <v>160925</v>
      </c>
      <c r="B41" s="7">
        <v>304</v>
      </c>
      <c r="C41" s="1">
        <v>0.7</v>
      </c>
      <c r="D41" s="1" t="s">
        <v>71</v>
      </c>
      <c r="E41" s="2" t="s">
        <v>151</v>
      </c>
      <c r="F41" s="7" t="s">
        <v>34</v>
      </c>
      <c r="G41" s="7">
        <v>430</v>
      </c>
      <c r="H41" s="9">
        <v>1100</v>
      </c>
      <c r="I41" s="10"/>
      <c r="J41" s="9">
        <f t="shared" si="1"/>
        <v>1100</v>
      </c>
    </row>
    <row r="42" spans="1:10" ht="15.6" x14ac:dyDescent="0.3">
      <c r="A42" s="7">
        <v>160925</v>
      </c>
      <c r="B42" s="7">
        <v>304</v>
      </c>
      <c r="C42" s="1">
        <v>0.9</v>
      </c>
      <c r="D42" s="1" t="s">
        <v>71</v>
      </c>
      <c r="E42" s="2" t="s">
        <v>152</v>
      </c>
      <c r="F42" s="7" t="s">
        <v>157</v>
      </c>
      <c r="G42" s="7">
        <v>430</v>
      </c>
      <c r="H42" s="9">
        <v>1100</v>
      </c>
      <c r="I42" s="10"/>
      <c r="J42" s="9">
        <f t="shared" si="1"/>
        <v>1100</v>
      </c>
    </row>
    <row r="43" spans="1:10" ht="15.6" x14ac:dyDescent="0.3">
      <c r="A43" s="7">
        <v>160925</v>
      </c>
      <c r="B43" s="7">
        <v>304</v>
      </c>
      <c r="C43" s="1">
        <v>0.9</v>
      </c>
      <c r="D43" s="1" t="s">
        <v>37</v>
      </c>
      <c r="E43" s="2" t="s">
        <v>154</v>
      </c>
      <c r="F43" s="7" t="s">
        <v>80</v>
      </c>
      <c r="G43" s="7">
        <v>430</v>
      </c>
      <c r="H43" s="9">
        <v>1100</v>
      </c>
      <c r="I43" s="10"/>
      <c r="J43" s="9">
        <f t="shared" si="1"/>
        <v>1100</v>
      </c>
    </row>
    <row r="44" spans="1:10" ht="15.6" x14ac:dyDescent="0.3">
      <c r="A44" s="7">
        <v>160925</v>
      </c>
      <c r="B44" s="7">
        <v>304</v>
      </c>
      <c r="C44" s="1">
        <v>0.9</v>
      </c>
      <c r="D44" s="1" t="s">
        <v>37</v>
      </c>
      <c r="E44" s="2" t="s">
        <v>153</v>
      </c>
      <c r="F44" s="7" t="s">
        <v>80</v>
      </c>
      <c r="G44" s="7" t="s">
        <v>159</v>
      </c>
      <c r="H44" s="9">
        <v>1100</v>
      </c>
      <c r="I44" s="10"/>
      <c r="J44" s="9">
        <f t="shared" si="1"/>
        <v>1100</v>
      </c>
    </row>
    <row r="45" spans="1:10" ht="15.6" x14ac:dyDescent="0.3">
      <c r="A45" s="7">
        <v>160925</v>
      </c>
      <c r="B45" s="7">
        <v>304</v>
      </c>
      <c r="C45" s="1" t="s">
        <v>155</v>
      </c>
      <c r="D45" s="1" t="s">
        <v>71</v>
      </c>
      <c r="E45" s="2" t="s">
        <v>156</v>
      </c>
      <c r="F45" s="7" t="s">
        <v>158</v>
      </c>
      <c r="G45" s="7" t="s">
        <v>159</v>
      </c>
      <c r="H45" s="9">
        <v>1100</v>
      </c>
      <c r="I45" s="10"/>
      <c r="J45" s="9">
        <f t="shared" si="1"/>
        <v>1100</v>
      </c>
    </row>
    <row r="46" spans="1:10" ht="15.6" x14ac:dyDescent="0.3">
      <c r="A46" s="7"/>
      <c r="B46" s="7"/>
      <c r="C46" s="1"/>
      <c r="D46" s="1"/>
      <c r="E46" s="2"/>
      <c r="F46" s="7"/>
      <c r="G46" s="7"/>
      <c r="H46" s="9"/>
      <c r="I46" s="10"/>
      <c r="J46" s="9">
        <f t="shared" si="1"/>
        <v>0</v>
      </c>
    </row>
    <row r="47" spans="1:10" ht="15.6" x14ac:dyDescent="0.3">
      <c r="A47" s="7">
        <v>180925</v>
      </c>
      <c r="B47" s="7">
        <v>304</v>
      </c>
      <c r="C47" s="1">
        <v>0.7</v>
      </c>
      <c r="D47" s="1" t="s">
        <v>71</v>
      </c>
      <c r="E47" s="2" t="s">
        <v>160</v>
      </c>
      <c r="F47" s="7" t="s">
        <v>34</v>
      </c>
      <c r="G47" s="7">
        <v>430</v>
      </c>
      <c r="H47" s="9">
        <v>2100</v>
      </c>
      <c r="I47" s="10"/>
      <c r="J47" s="9">
        <f t="shared" si="1"/>
        <v>2100</v>
      </c>
    </row>
    <row r="48" spans="1:10" ht="15.6" x14ac:dyDescent="0.3">
      <c r="A48" s="7">
        <v>180925</v>
      </c>
      <c r="B48" s="7">
        <v>304</v>
      </c>
      <c r="C48" s="1">
        <v>0.7</v>
      </c>
      <c r="D48" s="1" t="s">
        <v>71</v>
      </c>
      <c r="E48" s="2" t="s">
        <v>161</v>
      </c>
      <c r="F48" s="7" t="s">
        <v>34</v>
      </c>
      <c r="G48" s="7">
        <v>430</v>
      </c>
      <c r="H48" s="9">
        <v>2100</v>
      </c>
      <c r="I48" s="10"/>
      <c r="J48" s="9">
        <f t="shared" si="1"/>
        <v>2100</v>
      </c>
    </row>
    <row r="49" spans="1:10" ht="15.6" x14ac:dyDescent="0.3">
      <c r="A49" s="7">
        <v>180925</v>
      </c>
      <c r="B49" s="7">
        <v>304</v>
      </c>
      <c r="C49" s="1">
        <v>0.7</v>
      </c>
      <c r="D49" s="1" t="s">
        <v>71</v>
      </c>
      <c r="E49" s="2" t="s">
        <v>162</v>
      </c>
      <c r="F49" s="7" t="s">
        <v>34</v>
      </c>
      <c r="G49" s="7">
        <v>430</v>
      </c>
      <c r="H49" s="9">
        <v>2100</v>
      </c>
      <c r="I49" s="10"/>
      <c r="J49" s="9">
        <f t="shared" si="1"/>
        <v>2100</v>
      </c>
    </row>
    <row r="50" spans="1:10" ht="15.6" x14ac:dyDescent="0.3">
      <c r="A50" s="7">
        <v>180925</v>
      </c>
      <c r="B50" s="7">
        <v>304</v>
      </c>
      <c r="C50" s="1">
        <v>0.7</v>
      </c>
      <c r="D50" s="1" t="s">
        <v>71</v>
      </c>
      <c r="E50" s="2" t="s">
        <v>163</v>
      </c>
      <c r="F50" s="7" t="s">
        <v>34</v>
      </c>
      <c r="G50" s="7">
        <v>430</v>
      </c>
      <c r="H50" s="9">
        <v>2100</v>
      </c>
      <c r="I50" s="10"/>
      <c r="J50" s="9">
        <f t="shared" si="1"/>
        <v>2100</v>
      </c>
    </row>
    <row r="51" spans="1:10" ht="15.6" x14ac:dyDescent="0.3">
      <c r="A51" s="7">
        <v>180925</v>
      </c>
      <c r="B51" s="7">
        <v>304</v>
      </c>
      <c r="C51" s="1">
        <v>0.7</v>
      </c>
      <c r="D51" s="1" t="s">
        <v>71</v>
      </c>
      <c r="E51" s="2" t="s">
        <v>165</v>
      </c>
      <c r="F51" s="7" t="s">
        <v>34</v>
      </c>
      <c r="G51" s="7">
        <v>430</v>
      </c>
      <c r="H51" s="9">
        <v>2100</v>
      </c>
      <c r="I51" s="10"/>
      <c r="J51" s="9">
        <f t="shared" si="1"/>
        <v>2100</v>
      </c>
    </row>
    <row r="52" spans="1:10" ht="15.6" x14ac:dyDescent="0.3">
      <c r="A52" s="7"/>
      <c r="B52" s="7"/>
      <c r="C52" s="1"/>
      <c r="D52" s="1"/>
      <c r="E52" s="2"/>
      <c r="F52" s="7"/>
      <c r="G52" s="7"/>
      <c r="H52" s="9"/>
      <c r="I52" s="10"/>
      <c r="J52" s="9">
        <f t="shared" si="1"/>
        <v>0</v>
      </c>
    </row>
    <row r="53" spans="1:10" ht="15.6" x14ac:dyDescent="0.3">
      <c r="A53" s="7">
        <v>250077</v>
      </c>
      <c r="B53" s="7">
        <v>430</v>
      </c>
      <c r="C53" s="1">
        <v>0.5</v>
      </c>
      <c r="D53" s="1" t="s">
        <v>12</v>
      </c>
      <c r="E53" s="2" t="s">
        <v>164</v>
      </c>
      <c r="F53" s="7" t="s">
        <v>34</v>
      </c>
      <c r="G53" s="7">
        <v>430</v>
      </c>
      <c r="H53" s="9">
        <v>1400</v>
      </c>
      <c r="I53" s="10">
        <f>937+400</f>
        <v>1337</v>
      </c>
      <c r="J53" s="9">
        <f t="shared" si="1"/>
        <v>63</v>
      </c>
    </row>
    <row r="54" spans="1:10" ht="15.6" x14ac:dyDescent="0.3">
      <c r="A54" s="7">
        <v>250077</v>
      </c>
      <c r="B54" s="7">
        <v>430</v>
      </c>
      <c r="C54" s="1">
        <v>0.5</v>
      </c>
      <c r="D54" s="1" t="s">
        <v>167</v>
      </c>
      <c r="E54" s="2" t="s">
        <v>166</v>
      </c>
      <c r="F54" s="7" t="s">
        <v>158</v>
      </c>
      <c r="G54" s="7" t="s">
        <v>159</v>
      </c>
      <c r="H54" s="9">
        <v>1400</v>
      </c>
      <c r="I54" s="10">
        <f>937+400</f>
        <v>1337</v>
      </c>
      <c r="J54" s="9">
        <f t="shared" si="1"/>
        <v>63</v>
      </c>
    </row>
    <row r="55" spans="1:10" ht="15.6" x14ac:dyDescent="0.3">
      <c r="A55" s="7"/>
      <c r="B55" s="7"/>
      <c r="C55" s="1"/>
      <c r="D55" s="1"/>
      <c r="E55" s="2"/>
      <c r="F55" s="7"/>
      <c r="G55" s="7"/>
      <c r="H55" s="9"/>
      <c r="I55" s="10"/>
      <c r="J55" s="9">
        <f t="shared" si="1"/>
        <v>0</v>
      </c>
    </row>
    <row r="56" spans="1:10" ht="15.6" x14ac:dyDescent="0.3">
      <c r="A56" s="7">
        <v>250077</v>
      </c>
      <c r="B56" s="7">
        <v>430</v>
      </c>
      <c r="C56" s="1">
        <v>0.5</v>
      </c>
      <c r="D56" s="1" t="s">
        <v>12</v>
      </c>
      <c r="E56" s="2" t="s">
        <v>168</v>
      </c>
      <c r="F56" s="7" t="s">
        <v>34</v>
      </c>
      <c r="G56" s="7">
        <v>430</v>
      </c>
      <c r="H56" s="9">
        <v>1400</v>
      </c>
      <c r="I56" s="10">
        <v>655</v>
      </c>
      <c r="J56" s="9">
        <f t="shared" si="1"/>
        <v>745</v>
      </c>
    </row>
    <row r="57" spans="1:10" ht="15.6" x14ac:dyDescent="0.3">
      <c r="A57" s="7">
        <v>250077</v>
      </c>
      <c r="B57" s="7">
        <v>430</v>
      </c>
      <c r="C57" s="1">
        <v>0.5</v>
      </c>
      <c r="D57" s="1" t="s">
        <v>167</v>
      </c>
      <c r="E57" s="2" t="s">
        <v>169</v>
      </c>
      <c r="F57" s="7" t="s">
        <v>34</v>
      </c>
      <c r="G57" s="7" t="s">
        <v>159</v>
      </c>
      <c r="H57" s="9">
        <v>1400</v>
      </c>
      <c r="I57" s="10">
        <v>655</v>
      </c>
      <c r="J57" s="9">
        <f t="shared" si="1"/>
        <v>745</v>
      </c>
    </row>
    <row r="58" spans="1:10" ht="15.6" x14ac:dyDescent="0.3">
      <c r="A58" s="7"/>
      <c r="B58" s="7"/>
      <c r="C58" s="1"/>
      <c r="D58" s="1"/>
      <c r="E58" s="2"/>
      <c r="F58" s="7"/>
      <c r="G58" s="7"/>
      <c r="H58" s="9"/>
      <c r="I58" s="10"/>
      <c r="J58" s="9">
        <f t="shared" si="1"/>
        <v>0</v>
      </c>
    </row>
    <row r="59" spans="1:10" ht="15.6" x14ac:dyDescent="0.3">
      <c r="A59" s="7">
        <v>210825</v>
      </c>
      <c r="B59" s="7">
        <v>430</v>
      </c>
      <c r="C59" s="1">
        <v>0.6</v>
      </c>
      <c r="D59" s="1" t="s">
        <v>71</v>
      </c>
      <c r="E59" s="2" t="s">
        <v>110</v>
      </c>
      <c r="F59" s="7" t="s">
        <v>73</v>
      </c>
      <c r="G59" s="7">
        <v>430</v>
      </c>
      <c r="H59" s="9">
        <v>3000</v>
      </c>
      <c r="I59" s="10">
        <f>1895+200+86</f>
        <v>2181</v>
      </c>
      <c r="J59" s="9">
        <f t="shared" si="1"/>
        <v>819</v>
      </c>
    </row>
    <row r="60" spans="1:10" ht="15.6" x14ac:dyDescent="0.3">
      <c r="A60" s="7">
        <v>210825</v>
      </c>
      <c r="B60" s="7">
        <v>430</v>
      </c>
      <c r="C60" s="1">
        <v>0.6</v>
      </c>
      <c r="D60" s="1" t="s">
        <v>71</v>
      </c>
      <c r="E60" s="2" t="s">
        <v>111</v>
      </c>
      <c r="F60" s="7" t="s">
        <v>73</v>
      </c>
      <c r="G60" s="7">
        <v>430</v>
      </c>
      <c r="H60" s="9">
        <v>3000</v>
      </c>
      <c r="I60" s="10">
        <f>1533+859+13</f>
        <v>2405</v>
      </c>
      <c r="J60" s="9">
        <f t="shared" si="1"/>
        <v>595</v>
      </c>
    </row>
    <row r="61" spans="1:10" ht="15.6" x14ac:dyDescent="0.3">
      <c r="A61" s="7">
        <v>210825</v>
      </c>
      <c r="B61" s="7">
        <v>430</v>
      </c>
      <c r="C61" s="1">
        <v>0.6</v>
      </c>
      <c r="D61" s="1" t="s">
        <v>71</v>
      </c>
      <c r="E61" s="2" t="s">
        <v>112</v>
      </c>
      <c r="F61" s="7" t="s">
        <v>73</v>
      </c>
      <c r="G61" s="7">
        <v>430</v>
      </c>
      <c r="H61" s="9">
        <v>2600</v>
      </c>
      <c r="I61" s="10">
        <f>810+467+488+305+152</f>
        <v>2222</v>
      </c>
      <c r="J61" s="9">
        <f t="shared" si="1"/>
        <v>378</v>
      </c>
    </row>
    <row r="62" spans="1:10" ht="15.6" x14ac:dyDescent="0.3">
      <c r="A62" s="7"/>
      <c r="B62" s="7"/>
      <c r="C62" s="1"/>
      <c r="D62" s="1"/>
      <c r="E62" s="2"/>
      <c r="F62" s="7"/>
      <c r="G62" s="7"/>
      <c r="H62" s="9"/>
      <c r="I62" s="10"/>
      <c r="J62" s="9">
        <f t="shared" si="1"/>
        <v>0</v>
      </c>
    </row>
    <row r="63" spans="1:10" ht="15.6" x14ac:dyDescent="0.3">
      <c r="A63" s="7">
        <v>250046</v>
      </c>
      <c r="B63" s="7">
        <v>304</v>
      </c>
      <c r="C63" s="1">
        <v>0.7</v>
      </c>
      <c r="D63" s="1" t="s">
        <v>167</v>
      </c>
      <c r="E63" s="2" t="s">
        <v>170</v>
      </c>
      <c r="F63" s="7" t="s">
        <v>34</v>
      </c>
      <c r="G63" s="7">
        <v>304</v>
      </c>
      <c r="H63" s="9">
        <v>950</v>
      </c>
      <c r="I63" s="10"/>
      <c r="J63" s="9">
        <f t="shared" si="1"/>
        <v>950</v>
      </c>
    </row>
    <row r="64" spans="1:10" ht="15.6" x14ac:dyDescent="0.3">
      <c r="A64" s="7">
        <v>250046</v>
      </c>
      <c r="B64" s="7">
        <v>304</v>
      </c>
      <c r="C64" s="1">
        <v>0.7</v>
      </c>
      <c r="D64" s="1" t="s">
        <v>167</v>
      </c>
      <c r="E64" s="2" t="s">
        <v>172</v>
      </c>
      <c r="F64" s="7" t="s">
        <v>34</v>
      </c>
      <c r="G64" s="7">
        <v>304</v>
      </c>
      <c r="H64" s="9">
        <v>950</v>
      </c>
      <c r="I64" s="10"/>
      <c r="J64" s="9">
        <f t="shared" si="1"/>
        <v>950</v>
      </c>
    </row>
    <row r="65" spans="1:10" ht="15.6" x14ac:dyDescent="0.3">
      <c r="A65" s="7">
        <v>250046</v>
      </c>
      <c r="B65" s="7">
        <v>304</v>
      </c>
      <c r="C65" s="1">
        <v>0.7</v>
      </c>
      <c r="D65" s="1" t="s">
        <v>167</v>
      </c>
      <c r="E65" s="2" t="s">
        <v>171</v>
      </c>
      <c r="F65" s="7" t="s">
        <v>34</v>
      </c>
      <c r="G65" s="7">
        <v>304</v>
      </c>
      <c r="H65" s="9">
        <v>950</v>
      </c>
      <c r="I65" s="10"/>
      <c r="J65" s="9">
        <f t="shared" si="1"/>
        <v>950</v>
      </c>
    </row>
    <row r="66" spans="1:10" ht="15.6" x14ac:dyDescent="0.3">
      <c r="A66" s="7">
        <v>250046</v>
      </c>
      <c r="B66" s="7">
        <v>304</v>
      </c>
      <c r="C66" s="1">
        <v>0.7</v>
      </c>
      <c r="D66" s="1" t="s">
        <v>167</v>
      </c>
      <c r="E66" s="2" t="s">
        <v>173</v>
      </c>
      <c r="F66" s="7" t="s">
        <v>34</v>
      </c>
      <c r="G66" s="7">
        <v>304</v>
      </c>
      <c r="H66" s="9">
        <v>950</v>
      </c>
      <c r="I66" s="10"/>
      <c r="J66" s="9">
        <f t="shared" si="1"/>
        <v>950</v>
      </c>
    </row>
    <row r="67" spans="1:10" ht="15.6" x14ac:dyDescent="0.3">
      <c r="A67" s="7">
        <v>250046</v>
      </c>
      <c r="B67" s="7">
        <v>304</v>
      </c>
      <c r="C67" s="1">
        <v>0.7</v>
      </c>
      <c r="D67" s="1" t="s">
        <v>167</v>
      </c>
      <c r="E67" s="2" t="s">
        <v>174</v>
      </c>
      <c r="F67" s="7" t="s">
        <v>34</v>
      </c>
      <c r="G67" s="7">
        <v>304</v>
      </c>
      <c r="H67" s="9">
        <v>950</v>
      </c>
      <c r="I67" s="10"/>
      <c r="J67" s="9">
        <f t="shared" si="1"/>
        <v>950</v>
      </c>
    </row>
    <row r="68" spans="1:10" ht="15.6" x14ac:dyDescent="0.3">
      <c r="A68" s="7">
        <v>250046</v>
      </c>
      <c r="B68" s="7">
        <v>304</v>
      </c>
      <c r="C68" s="1">
        <v>0.7</v>
      </c>
      <c r="D68" s="1" t="s">
        <v>167</v>
      </c>
      <c r="E68" s="2" t="s">
        <v>183</v>
      </c>
      <c r="F68" s="7" t="s">
        <v>34</v>
      </c>
      <c r="G68" s="7">
        <v>304</v>
      </c>
      <c r="H68" s="9">
        <v>950</v>
      </c>
      <c r="I68" s="10"/>
      <c r="J68" s="9">
        <f t="shared" si="1"/>
        <v>950</v>
      </c>
    </row>
    <row r="69" spans="1:10" ht="15.6" x14ac:dyDescent="0.3">
      <c r="A69" s="7"/>
      <c r="B69" s="7"/>
      <c r="C69" s="1"/>
      <c r="D69" s="1"/>
      <c r="E69" s="2"/>
      <c r="F69" s="7"/>
      <c r="G69" s="7"/>
      <c r="H69" s="9"/>
      <c r="I69" s="10"/>
      <c r="J69" s="9">
        <f t="shared" si="1"/>
        <v>0</v>
      </c>
    </row>
    <row r="70" spans="1:10" ht="15.6" x14ac:dyDescent="0.3">
      <c r="A70" s="7">
        <v>250048</v>
      </c>
      <c r="B70" s="7">
        <v>304</v>
      </c>
      <c r="C70" s="1">
        <v>0.7</v>
      </c>
      <c r="D70" s="1" t="s">
        <v>167</v>
      </c>
      <c r="E70" s="2" t="s">
        <v>175</v>
      </c>
      <c r="F70" s="7" t="s">
        <v>34</v>
      </c>
      <c r="G70" s="7">
        <v>304</v>
      </c>
      <c r="H70" s="9">
        <v>570</v>
      </c>
      <c r="I70" s="10"/>
      <c r="J70" s="9">
        <f t="shared" si="1"/>
        <v>570</v>
      </c>
    </row>
    <row r="71" spans="1:10" ht="15.6" x14ac:dyDescent="0.3">
      <c r="A71" s="7">
        <v>250048</v>
      </c>
      <c r="B71" s="7">
        <v>304</v>
      </c>
      <c r="C71" s="1">
        <v>0.7</v>
      </c>
      <c r="D71" s="1" t="s">
        <v>167</v>
      </c>
      <c r="E71" s="2" t="s">
        <v>176</v>
      </c>
      <c r="F71" s="7" t="s">
        <v>34</v>
      </c>
      <c r="G71" s="7">
        <v>304</v>
      </c>
      <c r="H71" s="9">
        <v>570</v>
      </c>
      <c r="I71" s="10"/>
      <c r="J71" s="9">
        <f t="shared" si="1"/>
        <v>570</v>
      </c>
    </row>
    <row r="72" spans="1:10" ht="15.6" x14ac:dyDescent="0.3">
      <c r="A72" s="7">
        <v>250048</v>
      </c>
      <c r="B72" s="7">
        <v>304</v>
      </c>
      <c r="C72" s="1">
        <v>0.7</v>
      </c>
      <c r="D72" s="1" t="s">
        <v>167</v>
      </c>
      <c r="E72" s="2" t="s">
        <v>177</v>
      </c>
      <c r="F72" s="7" t="s">
        <v>34</v>
      </c>
      <c r="G72" s="7">
        <v>304</v>
      </c>
      <c r="H72" s="9">
        <v>570</v>
      </c>
      <c r="I72" s="10"/>
      <c r="J72" s="9">
        <f t="shared" si="1"/>
        <v>570</v>
      </c>
    </row>
    <row r="73" spans="1:10" ht="15.6" x14ac:dyDescent="0.3">
      <c r="A73" s="7">
        <v>250048</v>
      </c>
      <c r="B73" s="7">
        <v>304</v>
      </c>
      <c r="C73" s="1">
        <v>0.7</v>
      </c>
      <c r="D73" s="1" t="s">
        <v>167</v>
      </c>
      <c r="E73" s="2" t="s">
        <v>178</v>
      </c>
      <c r="F73" s="7" t="s">
        <v>34</v>
      </c>
      <c r="G73" s="7">
        <v>304</v>
      </c>
      <c r="H73" s="9">
        <v>570</v>
      </c>
      <c r="I73" s="10"/>
      <c r="J73" s="9">
        <f t="shared" si="1"/>
        <v>570</v>
      </c>
    </row>
    <row r="74" spans="1:10" ht="15.6" x14ac:dyDescent="0.3">
      <c r="A74" s="7">
        <v>250048</v>
      </c>
      <c r="B74" s="7">
        <v>304</v>
      </c>
      <c r="C74" s="1">
        <v>0.7</v>
      </c>
      <c r="D74" s="1" t="s">
        <v>167</v>
      </c>
      <c r="E74" s="2" t="s">
        <v>179</v>
      </c>
      <c r="F74" s="7" t="s">
        <v>34</v>
      </c>
      <c r="G74" s="7">
        <v>304</v>
      </c>
      <c r="H74" s="9">
        <v>570</v>
      </c>
      <c r="I74" s="10"/>
      <c r="J74" s="9">
        <f t="shared" si="1"/>
        <v>570</v>
      </c>
    </row>
    <row r="75" spans="1:10" ht="15.6" x14ac:dyDescent="0.3">
      <c r="A75" s="7">
        <v>250048</v>
      </c>
      <c r="B75" s="7">
        <v>304</v>
      </c>
      <c r="C75" s="1">
        <v>0.7</v>
      </c>
      <c r="D75" s="1" t="s">
        <v>167</v>
      </c>
      <c r="E75" s="2" t="s">
        <v>180</v>
      </c>
      <c r="F75" s="7" t="s">
        <v>34</v>
      </c>
      <c r="G75" s="7">
        <v>304</v>
      </c>
      <c r="H75" s="9">
        <v>570</v>
      </c>
      <c r="I75" s="10"/>
      <c r="J75" s="9">
        <f t="shared" si="1"/>
        <v>570</v>
      </c>
    </row>
    <row r="76" spans="1:10" ht="15.6" x14ac:dyDescent="0.3">
      <c r="A76" s="7">
        <v>250048</v>
      </c>
      <c r="B76" s="7">
        <v>304</v>
      </c>
      <c r="C76" s="1">
        <v>0.7</v>
      </c>
      <c r="D76" s="1" t="s">
        <v>167</v>
      </c>
      <c r="E76" s="2" t="s">
        <v>181</v>
      </c>
      <c r="F76" s="7" t="s">
        <v>34</v>
      </c>
      <c r="G76" s="7">
        <v>304</v>
      </c>
      <c r="H76" s="9">
        <v>570</v>
      </c>
      <c r="I76" s="10"/>
      <c r="J76" s="9">
        <f t="shared" si="1"/>
        <v>570</v>
      </c>
    </row>
    <row r="77" spans="1:10" ht="15.6" x14ac:dyDescent="0.3">
      <c r="A77" s="7">
        <v>250048</v>
      </c>
      <c r="B77" s="7">
        <v>304</v>
      </c>
      <c r="C77" s="1">
        <v>0.7</v>
      </c>
      <c r="D77" s="1" t="s">
        <v>167</v>
      </c>
      <c r="E77" s="2" t="s">
        <v>182</v>
      </c>
      <c r="F77" s="7" t="s">
        <v>34</v>
      </c>
      <c r="G77" s="7">
        <v>304</v>
      </c>
      <c r="H77" s="9">
        <v>570</v>
      </c>
      <c r="I77" s="10"/>
      <c r="J77" s="9">
        <f t="shared" si="1"/>
        <v>570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1"/>
        <v>0</v>
      </c>
    </row>
    <row r="79" spans="1:10" ht="15.6" x14ac:dyDescent="0.3">
      <c r="A79" s="7"/>
      <c r="B79" s="7"/>
      <c r="C79" s="1"/>
      <c r="D79" s="1"/>
      <c r="E79" s="2"/>
      <c r="F79" s="7"/>
      <c r="G79" s="7"/>
      <c r="H79" s="9"/>
      <c r="I79" s="10"/>
      <c r="J79" s="9">
        <f t="shared" si="1"/>
        <v>0</v>
      </c>
    </row>
    <row r="80" spans="1:10" ht="15.6" x14ac:dyDescent="0.3">
      <c r="A80" s="11"/>
      <c r="B80" s="11"/>
      <c r="C80" s="12"/>
      <c r="D80" s="12"/>
      <c r="E80" s="13"/>
      <c r="F80" s="11"/>
      <c r="G80" s="14"/>
      <c r="H80" s="9">
        <f>SUM(H4:H79)</f>
        <v>68710</v>
      </c>
      <c r="I80" s="10">
        <f>SUM(I4:I79)</f>
        <v>25462</v>
      </c>
      <c r="J80" s="9">
        <f>SUM(J4:J79)</f>
        <v>43248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3" fitToHeight="0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0"/>
  <sheetViews>
    <sheetView topLeftCell="A46" zoomScale="70" zoomScaleNormal="70" workbookViewId="0">
      <selection activeCell="I62" sqref="I62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115.1093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9" width="10.77734375" style="6" customWidth="1"/>
    <col min="10" max="10" width="18.6640625" style="6" customWidth="1"/>
    <col min="11" max="16384" width="8.77734375" style="6"/>
  </cols>
  <sheetData>
    <row r="1" spans="1:10" s="3" customFormat="1" ht="30" customHeight="1" x14ac:dyDescent="0.3">
      <c r="F1" s="16"/>
      <c r="G1" s="4"/>
      <c r="H1" s="5" t="s">
        <v>0</v>
      </c>
      <c r="I1" s="28">
        <v>45943</v>
      </c>
      <c r="J1" s="28"/>
    </row>
    <row r="2" spans="1:10" ht="40.049999999999997" customHeight="1" x14ac:dyDescent="0.3">
      <c r="A2" s="29" t="s">
        <v>144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</row>
    <row r="4" spans="1:10" ht="15.6" x14ac:dyDescent="0.3">
      <c r="A4" s="7">
        <v>270825</v>
      </c>
      <c r="B4" s="7">
        <v>430</v>
      </c>
      <c r="C4" s="1">
        <v>0.5</v>
      </c>
      <c r="D4" s="1" t="s">
        <v>37</v>
      </c>
      <c r="E4" s="2" t="s">
        <v>138</v>
      </c>
      <c r="F4" s="7" t="s">
        <v>34</v>
      </c>
      <c r="G4" s="7">
        <v>430</v>
      </c>
      <c r="H4" s="9">
        <v>2000</v>
      </c>
      <c r="I4" s="10"/>
      <c r="J4" s="9">
        <f>H4-I4</f>
        <v>2000</v>
      </c>
    </row>
    <row r="5" spans="1:10" ht="15.6" x14ac:dyDescent="0.3">
      <c r="A5" s="7">
        <v>270825</v>
      </c>
      <c r="B5" s="7">
        <v>430</v>
      </c>
      <c r="C5" s="1">
        <v>0.5</v>
      </c>
      <c r="D5" s="1" t="s">
        <v>37</v>
      </c>
      <c r="E5" s="2" t="s">
        <v>139</v>
      </c>
      <c r="F5" s="7" t="s">
        <v>34</v>
      </c>
      <c r="G5" s="7">
        <v>430</v>
      </c>
      <c r="H5" s="9">
        <v>2000</v>
      </c>
      <c r="I5" s="10"/>
      <c r="J5" s="9">
        <f>H5-I5</f>
        <v>2000</v>
      </c>
    </row>
    <row r="6" spans="1:10" ht="15.6" x14ac:dyDescent="0.3">
      <c r="A6" s="7">
        <v>270825</v>
      </c>
      <c r="B6" s="7">
        <v>430</v>
      </c>
      <c r="C6" s="1">
        <v>0.5</v>
      </c>
      <c r="D6" s="1" t="s">
        <v>37</v>
      </c>
      <c r="E6" s="2" t="s">
        <v>140</v>
      </c>
      <c r="F6" s="7" t="s">
        <v>34</v>
      </c>
      <c r="G6" s="7">
        <v>430</v>
      </c>
      <c r="H6" s="9">
        <v>2000</v>
      </c>
      <c r="I6" s="10"/>
      <c r="J6" s="9">
        <f>H6-I6</f>
        <v>2000</v>
      </c>
    </row>
    <row r="7" spans="1:10" ht="15.6" x14ac:dyDescent="0.3">
      <c r="A7" s="7"/>
      <c r="B7" s="7"/>
      <c r="C7" s="1"/>
      <c r="D7" s="1"/>
      <c r="E7" s="2"/>
      <c r="F7" s="7"/>
      <c r="G7" s="7"/>
      <c r="H7" s="9"/>
      <c r="I7" s="10"/>
      <c r="J7" s="9"/>
    </row>
    <row r="8" spans="1:10" ht="15.6" x14ac:dyDescent="0.3">
      <c r="A8" s="7">
        <v>250049</v>
      </c>
      <c r="B8" s="7">
        <v>304</v>
      </c>
      <c r="C8" s="1">
        <v>0.7</v>
      </c>
      <c r="D8" s="1" t="s">
        <v>37</v>
      </c>
      <c r="E8" s="2" t="s">
        <v>99</v>
      </c>
      <c r="F8" s="7" t="s">
        <v>34</v>
      </c>
      <c r="G8" s="7">
        <v>304</v>
      </c>
      <c r="H8" s="9">
        <v>790</v>
      </c>
      <c r="I8" s="10"/>
      <c r="J8" s="9">
        <f t="shared" ref="J8:J71" si="0">H8-I8</f>
        <v>790</v>
      </c>
    </row>
    <row r="9" spans="1:10" ht="15.6" x14ac:dyDescent="0.3">
      <c r="A9" s="7">
        <v>250049</v>
      </c>
      <c r="B9" s="7">
        <v>304</v>
      </c>
      <c r="C9" s="1">
        <v>0.7</v>
      </c>
      <c r="D9" s="1" t="s">
        <v>37</v>
      </c>
      <c r="E9" s="2" t="s">
        <v>100</v>
      </c>
      <c r="F9" s="7" t="s">
        <v>34</v>
      </c>
      <c r="G9" s="7">
        <v>304</v>
      </c>
      <c r="H9" s="9">
        <v>790</v>
      </c>
      <c r="I9" s="10"/>
      <c r="J9" s="9">
        <f t="shared" si="0"/>
        <v>790</v>
      </c>
    </row>
    <row r="10" spans="1:10" ht="15.6" x14ac:dyDescent="0.3">
      <c r="A10" s="7">
        <v>250049</v>
      </c>
      <c r="B10" s="7">
        <v>304</v>
      </c>
      <c r="C10" s="1">
        <v>0.7</v>
      </c>
      <c r="D10" s="1" t="s">
        <v>37</v>
      </c>
      <c r="E10" s="2" t="s">
        <v>101</v>
      </c>
      <c r="F10" s="7" t="s">
        <v>34</v>
      </c>
      <c r="G10" s="7">
        <v>304</v>
      </c>
      <c r="H10" s="9">
        <v>790</v>
      </c>
      <c r="I10" s="10"/>
      <c r="J10" s="9">
        <f t="shared" si="0"/>
        <v>790</v>
      </c>
    </row>
    <row r="11" spans="1:10" ht="15.6" x14ac:dyDescent="0.3">
      <c r="A11" s="7">
        <v>250049</v>
      </c>
      <c r="B11" s="7">
        <v>304</v>
      </c>
      <c r="C11" s="1">
        <v>0.7</v>
      </c>
      <c r="D11" s="1" t="s">
        <v>37</v>
      </c>
      <c r="E11" s="2" t="s">
        <v>102</v>
      </c>
      <c r="F11" s="7" t="s">
        <v>34</v>
      </c>
      <c r="G11" s="7">
        <v>304</v>
      </c>
      <c r="H11" s="9">
        <v>790</v>
      </c>
      <c r="I11" s="10"/>
      <c r="J11" s="9">
        <f t="shared" si="0"/>
        <v>790</v>
      </c>
    </row>
    <row r="12" spans="1:10" ht="15.6" x14ac:dyDescent="0.3">
      <c r="A12" s="7">
        <v>250049</v>
      </c>
      <c r="B12" s="7">
        <v>304</v>
      </c>
      <c r="C12" s="1">
        <v>0.7</v>
      </c>
      <c r="D12" s="1" t="s">
        <v>37</v>
      </c>
      <c r="E12" s="2" t="s">
        <v>103</v>
      </c>
      <c r="F12" s="7" t="s">
        <v>34</v>
      </c>
      <c r="G12" s="7">
        <v>304</v>
      </c>
      <c r="H12" s="9">
        <v>790</v>
      </c>
      <c r="I12" s="10"/>
      <c r="J12" s="9">
        <f t="shared" si="0"/>
        <v>790</v>
      </c>
    </row>
    <row r="13" spans="1:10" ht="15.6" x14ac:dyDescent="0.3">
      <c r="A13" s="7"/>
      <c r="B13" s="7"/>
      <c r="C13" s="1"/>
      <c r="D13" s="1"/>
      <c r="E13" s="2"/>
      <c r="F13" s="7"/>
      <c r="G13" s="7"/>
      <c r="H13" s="9"/>
      <c r="I13" s="10"/>
      <c r="J13" s="9">
        <f t="shared" si="0"/>
        <v>0</v>
      </c>
    </row>
    <row r="14" spans="1:10" ht="15.6" x14ac:dyDescent="0.3">
      <c r="A14" s="17">
        <v>250070</v>
      </c>
      <c r="B14" s="17">
        <v>304</v>
      </c>
      <c r="C14" s="18">
        <v>0.6</v>
      </c>
      <c r="D14" s="18" t="s">
        <v>37</v>
      </c>
      <c r="E14" s="19" t="s">
        <v>126</v>
      </c>
      <c r="F14" s="17" t="s">
        <v>34</v>
      </c>
      <c r="G14" s="17">
        <v>430</v>
      </c>
      <c r="H14" s="20">
        <v>750</v>
      </c>
      <c r="I14" s="21">
        <v>747</v>
      </c>
      <c r="J14" s="20">
        <f t="shared" si="0"/>
        <v>3</v>
      </c>
    </row>
    <row r="15" spans="1:10" ht="15.6" x14ac:dyDescent="0.3">
      <c r="A15" s="17">
        <v>250070</v>
      </c>
      <c r="B15" s="17">
        <v>304</v>
      </c>
      <c r="C15" s="18">
        <v>0.6</v>
      </c>
      <c r="D15" s="18" t="s">
        <v>37</v>
      </c>
      <c r="E15" s="19" t="s">
        <v>127</v>
      </c>
      <c r="F15" s="17" t="s">
        <v>34</v>
      </c>
      <c r="G15" s="17">
        <v>430</v>
      </c>
      <c r="H15" s="20">
        <v>750</v>
      </c>
      <c r="I15" s="21">
        <v>698</v>
      </c>
      <c r="J15" s="20">
        <f t="shared" si="0"/>
        <v>52</v>
      </c>
    </row>
    <row r="16" spans="1:10" ht="15.6" x14ac:dyDescent="0.3">
      <c r="A16" s="17">
        <v>250070</v>
      </c>
      <c r="B16" s="17">
        <v>304</v>
      </c>
      <c r="C16" s="18">
        <v>0.6</v>
      </c>
      <c r="D16" s="18" t="s">
        <v>37</v>
      </c>
      <c r="E16" s="19" t="s">
        <v>128</v>
      </c>
      <c r="F16" s="17" t="s">
        <v>34</v>
      </c>
      <c r="G16" s="17">
        <v>430</v>
      </c>
      <c r="H16" s="20">
        <v>750</v>
      </c>
      <c r="I16" s="21">
        <v>698</v>
      </c>
      <c r="J16" s="20">
        <f t="shared" si="0"/>
        <v>52</v>
      </c>
    </row>
    <row r="17" spans="1:10" ht="15.6" x14ac:dyDescent="0.3">
      <c r="A17" s="17">
        <v>250070</v>
      </c>
      <c r="B17" s="17">
        <v>304</v>
      </c>
      <c r="C17" s="18">
        <v>0.6</v>
      </c>
      <c r="D17" s="18" t="s">
        <v>37</v>
      </c>
      <c r="E17" s="19" t="s">
        <v>129</v>
      </c>
      <c r="F17" s="17" t="s">
        <v>34</v>
      </c>
      <c r="G17" s="17">
        <v>430</v>
      </c>
      <c r="H17" s="20">
        <v>750</v>
      </c>
      <c r="I17" s="21">
        <v>698</v>
      </c>
      <c r="J17" s="20">
        <f t="shared" si="0"/>
        <v>52</v>
      </c>
    </row>
    <row r="18" spans="1:10" ht="15.6" x14ac:dyDescent="0.3">
      <c r="A18" s="17">
        <v>250070</v>
      </c>
      <c r="B18" s="17">
        <v>304</v>
      </c>
      <c r="C18" s="18">
        <v>0.6</v>
      </c>
      <c r="D18" s="18" t="s">
        <v>37</v>
      </c>
      <c r="E18" s="19" t="s">
        <v>143</v>
      </c>
      <c r="F18" s="17" t="s">
        <v>34</v>
      </c>
      <c r="G18" s="17">
        <v>430</v>
      </c>
      <c r="H18" s="20">
        <v>750</v>
      </c>
      <c r="I18" s="21">
        <v>698</v>
      </c>
      <c r="J18" s="20">
        <f t="shared" si="0"/>
        <v>52</v>
      </c>
    </row>
    <row r="19" spans="1:10" ht="15.6" x14ac:dyDescent="0.3">
      <c r="A19" s="7"/>
      <c r="B19" s="7"/>
      <c r="C19" s="1"/>
      <c r="D19" s="1"/>
      <c r="E19" s="2"/>
      <c r="F19" s="7"/>
      <c r="G19" s="7"/>
      <c r="H19" s="9"/>
      <c r="I19" s="10"/>
      <c r="J19" s="9">
        <f t="shared" si="0"/>
        <v>0</v>
      </c>
    </row>
    <row r="20" spans="1:10" ht="15.6" x14ac:dyDescent="0.3">
      <c r="A20" s="17">
        <v>250071</v>
      </c>
      <c r="B20" s="17">
        <v>304</v>
      </c>
      <c r="C20" s="18">
        <v>0.7</v>
      </c>
      <c r="D20" s="18" t="s">
        <v>37</v>
      </c>
      <c r="E20" s="19" t="s">
        <v>130</v>
      </c>
      <c r="F20" s="17" t="s">
        <v>34</v>
      </c>
      <c r="G20" s="17">
        <v>430</v>
      </c>
      <c r="H20" s="20">
        <v>750</v>
      </c>
      <c r="I20" s="21">
        <v>735</v>
      </c>
      <c r="J20" s="20">
        <f t="shared" si="0"/>
        <v>15</v>
      </c>
    </row>
    <row r="21" spans="1:10" ht="15.6" x14ac:dyDescent="0.3">
      <c r="A21" s="17">
        <v>250071</v>
      </c>
      <c r="B21" s="17">
        <v>304</v>
      </c>
      <c r="C21" s="18">
        <v>0.7</v>
      </c>
      <c r="D21" s="18" t="s">
        <v>37</v>
      </c>
      <c r="E21" s="19" t="s">
        <v>131</v>
      </c>
      <c r="F21" s="17" t="s">
        <v>34</v>
      </c>
      <c r="G21" s="17">
        <v>430</v>
      </c>
      <c r="H21" s="20">
        <v>750</v>
      </c>
      <c r="I21" s="21">
        <v>749</v>
      </c>
      <c r="J21" s="20">
        <f t="shared" si="0"/>
        <v>1</v>
      </c>
    </row>
    <row r="22" spans="1:10" ht="15.6" x14ac:dyDescent="0.3">
      <c r="A22" s="17">
        <v>250071</v>
      </c>
      <c r="B22" s="17">
        <v>304</v>
      </c>
      <c r="C22" s="18">
        <v>0.7</v>
      </c>
      <c r="D22" s="18" t="s">
        <v>37</v>
      </c>
      <c r="E22" s="19" t="s">
        <v>132</v>
      </c>
      <c r="F22" s="17" t="s">
        <v>34</v>
      </c>
      <c r="G22" s="17">
        <v>430</v>
      </c>
      <c r="H22" s="20">
        <v>750</v>
      </c>
      <c r="I22" s="21">
        <f>363+347</f>
        <v>710</v>
      </c>
      <c r="J22" s="20">
        <f t="shared" si="0"/>
        <v>40</v>
      </c>
    </row>
    <row r="23" spans="1:10" ht="15.6" x14ac:dyDescent="0.3">
      <c r="A23" s="17">
        <v>250071</v>
      </c>
      <c r="B23" s="17">
        <v>304</v>
      </c>
      <c r="C23" s="18">
        <v>0.7</v>
      </c>
      <c r="D23" s="18" t="s">
        <v>37</v>
      </c>
      <c r="E23" s="19" t="s">
        <v>133</v>
      </c>
      <c r="F23" s="17" t="s">
        <v>34</v>
      </c>
      <c r="G23" s="17">
        <v>430</v>
      </c>
      <c r="H23" s="20">
        <v>750</v>
      </c>
      <c r="I23" s="21">
        <v>710</v>
      </c>
      <c r="J23" s="20">
        <f t="shared" si="0"/>
        <v>40</v>
      </c>
    </row>
    <row r="24" spans="1:10" ht="15.6" x14ac:dyDescent="0.3">
      <c r="A24" s="17">
        <v>250071</v>
      </c>
      <c r="B24" s="17">
        <v>304</v>
      </c>
      <c r="C24" s="18">
        <v>0.7</v>
      </c>
      <c r="D24" s="18" t="s">
        <v>37</v>
      </c>
      <c r="E24" s="19" t="s">
        <v>142</v>
      </c>
      <c r="F24" s="17" t="s">
        <v>34</v>
      </c>
      <c r="G24" s="17">
        <v>430</v>
      </c>
      <c r="H24" s="20">
        <v>750</v>
      </c>
      <c r="I24" s="21">
        <v>710</v>
      </c>
      <c r="J24" s="20">
        <f t="shared" si="0"/>
        <v>40</v>
      </c>
    </row>
    <row r="25" spans="1:10" ht="15.6" x14ac:dyDescent="0.3">
      <c r="A25" s="7"/>
      <c r="B25" s="7"/>
      <c r="C25" s="1"/>
      <c r="D25" s="1"/>
      <c r="E25" s="2"/>
      <c r="F25" s="7"/>
      <c r="G25" s="7"/>
      <c r="H25" s="9"/>
      <c r="I25" s="10"/>
      <c r="J25" s="9">
        <f t="shared" si="0"/>
        <v>0</v>
      </c>
    </row>
    <row r="26" spans="1:10" ht="15.6" x14ac:dyDescent="0.3">
      <c r="A26" s="17">
        <v>250072</v>
      </c>
      <c r="B26" s="17">
        <v>304</v>
      </c>
      <c r="C26" s="18">
        <v>0.7</v>
      </c>
      <c r="D26" s="18" t="s">
        <v>37</v>
      </c>
      <c r="E26" s="19" t="s">
        <v>134</v>
      </c>
      <c r="F26" s="17" t="s">
        <v>34</v>
      </c>
      <c r="G26" s="17">
        <v>430</v>
      </c>
      <c r="H26" s="20">
        <v>750</v>
      </c>
      <c r="I26" s="21">
        <v>751</v>
      </c>
      <c r="J26" s="20">
        <f t="shared" si="0"/>
        <v>-1</v>
      </c>
    </row>
    <row r="27" spans="1:10" ht="15.6" x14ac:dyDescent="0.3">
      <c r="A27" s="17">
        <v>250072</v>
      </c>
      <c r="B27" s="17">
        <v>304</v>
      </c>
      <c r="C27" s="18">
        <v>0.7</v>
      </c>
      <c r="D27" s="18" t="s">
        <v>37</v>
      </c>
      <c r="E27" s="19" t="s">
        <v>135</v>
      </c>
      <c r="F27" s="17" t="s">
        <v>34</v>
      </c>
      <c r="G27" s="17">
        <v>430</v>
      </c>
      <c r="H27" s="20">
        <v>750</v>
      </c>
      <c r="I27" s="21">
        <v>751</v>
      </c>
      <c r="J27" s="20">
        <f t="shared" si="0"/>
        <v>-1</v>
      </c>
    </row>
    <row r="28" spans="1:10" ht="15.6" x14ac:dyDescent="0.3">
      <c r="A28" s="17">
        <v>250072</v>
      </c>
      <c r="B28" s="17">
        <v>304</v>
      </c>
      <c r="C28" s="18">
        <v>0.7</v>
      </c>
      <c r="D28" s="18" t="s">
        <v>37</v>
      </c>
      <c r="E28" s="19" t="s">
        <v>136</v>
      </c>
      <c r="F28" s="17" t="s">
        <v>34</v>
      </c>
      <c r="G28" s="17">
        <v>430</v>
      </c>
      <c r="H28" s="20">
        <v>750</v>
      </c>
      <c r="I28" s="21">
        <v>751</v>
      </c>
      <c r="J28" s="20">
        <f t="shared" si="0"/>
        <v>-1</v>
      </c>
    </row>
    <row r="29" spans="1:10" ht="15.6" x14ac:dyDescent="0.3">
      <c r="A29" s="17">
        <v>250072</v>
      </c>
      <c r="B29" s="17">
        <v>304</v>
      </c>
      <c r="C29" s="18">
        <v>0.7</v>
      </c>
      <c r="D29" s="18" t="s">
        <v>37</v>
      </c>
      <c r="E29" s="19" t="s">
        <v>137</v>
      </c>
      <c r="F29" s="17" t="s">
        <v>34</v>
      </c>
      <c r="G29" s="17">
        <v>430</v>
      </c>
      <c r="H29" s="20">
        <v>750</v>
      </c>
      <c r="I29" s="21">
        <v>751</v>
      </c>
      <c r="J29" s="20">
        <f t="shared" si="0"/>
        <v>-1</v>
      </c>
    </row>
    <row r="30" spans="1:10" ht="15.6" x14ac:dyDescent="0.3">
      <c r="A30" s="17">
        <v>250072</v>
      </c>
      <c r="B30" s="17">
        <v>304</v>
      </c>
      <c r="C30" s="18">
        <v>0.7</v>
      </c>
      <c r="D30" s="18" t="s">
        <v>37</v>
      </c>
      <c r="E30" s="19" t="s">
        <v>141</v>
      </c>
      <c r="F30" s="17" t="s">
        <v>34</v>
      </c>
      <c r="G30" s="17">
        <v>430</v>
      </c>
      <c r="H30" s="20">
        <v>750</v>
      </c>
      <c r="I30" s="21">
        <v>751</v>
      </c>
      <c r="J30" s="20">
        <f t="shared" si="0"/>
        <v>-1</v>
      </c>
    </row>
    <row r="31" spans="1:10" ht="15.6" x14ac:dyDescent="0.3">
      <c r="A31" s="7"/>
      <c r="B31" s="7"/>
      <c r="C31" s="1"/>
      <c r="D31" s="1"/>
      <c r="E31" s="2"/>
      <c r="F31" s="7"/>
      <c r="G31" s="7"/>
      <c r="H31" s="9"/>
      <c r="I31" s="10"/>
      <c r="J31" s="9">
        <f t="shared" si="0"/>
        <v>0</v>
      </c>
    </row>
    <row r="32" spans="1:10" ht="15.6" x14ac:dyDescent="0.3">
      <c r="A32" s="17">
        <v>250073</v>
      </c>
      <c r="B32" s="17">
        <v>304</v>
      </c>
      <c r="C32" s="18">
        <v>0.6</v>
      </c>
      <c r="D32" s="18" t="s">
        <v>37</v>
      </c>
      <c r="E32" s="19" t="s">
        <v>134</v>
      </c>
      <c r="F32" s="17" t="s">
        <v>34</v>
      </c>
      <c r="G32" s="17">
        <v>430</v>
      </c>
      <c r="H32" s="20">
        <v>750</v>
      </c>
      <c r="I32" s="21">
        <f>706+39</f>
        <v>745</v>
      </c>
      <c r="J32" s="20">
        <f t="shared" si="0"/>
        <v>5</v>
      </c>
    </row>
    <row r="33" spans="1:10" ht="15.6" x14ac:dyDescent="0.3">
      <c r="A33" s="17">
        <v>250073</v>
      </c>
      <c r="B33" s="17">
        <v>304</v>
      </c>
      <c r="C33" s="18">
        <v>0.6</v>
      </c>
      <c r="D33" s="18" t="s">
        <v>37</v>
      </c>
      <c r="E33" s="19" t="s">
        <v>135</v>
      </c>
      <c r="F33" s="17" t="s">
        <v>34</v>
      </c>
      <c r="G33" s="17">
        <v>430</v>
      </c>
      <c r="H33" s="20">
        <v>750</v>
      </c>
      <c r="I33" s="21">
        <v>793</v>
      </c>
      <c r="J33" s="20">
        <f t="shared" si="0"/>
        <v>-43</v>
      </c>
    </row>
    <row r="34" spans="1:10" ht="15.6" x14ac:dyDescent="0.3">
      <c r="A34" s="17">
        <v>250073</v>
      </c>
      <c r="B34" s="17">
        <v>304</v>
      </c>
      <c r="C34" s="18">
        <v>0.6</v>
      </c>
      <c r="D34" s="18" t="s">
        <v>37</v>
      </c>
      <c r="E34" s="19" t="s">
        <v>136</v>
      </c>
      <c r="F34" s="17" t="s">
        <v>34</v>
      </c>
      <c r="G34" s="17">
        <v>430</v>
      </c>
      <c r="H34" s="20">
        <v>750</v>
      </c>
      <c r="I34" s="21">
        <f>400+362</f>
        <v>762</v>
      </c>
      <c r="J34" s="20">
        <f t="shared" si="0"/>
        <v>-12</v>
      </c>
    </row>
    <row r="35" spans="1:10" ht="15.6" x14ac:dyDescent="0.3">
      <c r="A35" s="17">
        <v>250073</v>
      </c>
      <c r="B35" s="17">
        <v>304</v>
      </c>
      <c r="C35" s="18">
        <v>0.6</v>
      </c>
      <c r="D35" s="18" t="s">
        <v>37</v>
      </c>
      <c r="E35" s="19" t="s">
        <v>137</v>
      </c>
      <c r="F35" s="17" t="s">
        <v>34</v>
      </c>
      <c r="G35" s="17">
        <v>430</v>
      </c>
      <c r="H35" s="20">
        <v>750</v>
      </c>
      <c r="I35" s="21">
        <v>740</v>
      </c>
      <c r="J35" s="20">
        <f t="shared" si="0"/>
        <v>10</v>
      </c>
    </row>
    <row r="36" spans="1:10" ht="15.6" x14ac:dyDescent="0.3">
      <c r="A36" s="17">
        <v>250073</v>
      </c>
      <c r="B36" s="17">
        <v>304</v>
      </c>
      <c r="C36" s="18">
        <v>0.6</v>
      </c>
      <c r="D36" s="18" t="s">
        <v>37</v>
      </c>
      <c r="E36" s="19" t="s">
        <v>141</v>
      </c>
      <c r="F36" s="17" t="s">
        <v>34</v>
      </c>
      <c r="G36" s="17">
        <v>430</v>
      </c>
      <c r="H36" s="20">
        <v>750</v>
      </c>
      <c r="I36" s="21">
        <v>722</v>
      </c>
      <c r="J36" s="20">
        <f t="shared" si="0"/>
        <v>28</v>
      </c>
    </row>
    <row r="37" spans="1:10" ht="15.6" x14ac:dyDescent="0.3">
      <c r="A37" s="7"/>
      <c r="B37" s="7"/>
      <c r="C37" s="1"/>
      <c r="D37" s="1"/>
      <c r="E37" s="2"/>
      <c r="F37" s="7"/>
      <c r="G37" s="7"/>
      <c r="H37" s="9"/>
      <c r="I37" s="10"/>
      <c r="J37" s="9">
        <f t="shared" si="0"/>
        <v>0</v>
      </c>
    </row>
    <row r="38" spans="1:10" ht="15.6" x14ac:dyDescent="0.3">
      <c r="A38" s="7">
        <v>160925</v>
      </c>
      <c r="B38" s="7">
        <v>304</v>
      </c>
      <c r="C38" s="1">
        <v>0.7</v>
      </c>
      <c r="D38" s="1" t="s">
        <v>71</v>
      </c>
      <c r="E38" s="2" t="s">
        <v>148</v>
      </c>
      <c r="F38" s="7" t="s">
        <v>34</v>
      </c>
      <c r="G38" s="7">
        <v>430</v>
      </c>
      <c r="H38" s="9">
        <v>1100</v>
      </c>
      <c r="I38" s="10"/>
      <c r="J38" s="9">
        <f t="shared" si="0"/>
        <v>1100</v>
      </c>
    </row>
    <row r="39" spans="1:10" ht="15.6" x14ac:dyDescent="0.3">
      <c r="A39" s="7">
        <v>160925</v>
      </c>
      <c r="B39" s="7">
        <v>304</v>
      </c>
      <c r="C39" s="1">
        <v>0.7</v>
      </c>
      <c r="D39" s="1" t="s">
        <v>71</v>
      </c>
      <c r="E39" s="2" t="s">
        <v>149</v>
      </c>
      <c r="F39" s="7" t="s">
        <v>34</v>
      </c>
      <c r="G39" s="7">
        <v>430</v>
      </c>
      <c r="H39" s="9">
        <v>1100</v>
      </c>
      <c r="I39" s="10"/>
      <c r="J39" s="9">
        <f t="shared" si="0"/>
        <v>1100</v>
      </c>
    </row>
    <row r="40" spans="1:10" ht="15.6" x14ac:dyDescent="0.3">
      <c r="A40" s="7">
        <v>160925</v>
      </c>
      <c r="B40" s="7">
        <v>304</v>
      </c>
      <c r="C40" s="1">
        <v>0.7</v>
      </c>
      <c r="D40" s="1" t="s">
        <v>71</v>
      </c>
      <c r="E40" s="2" t="s">
        <v>150</v>
      </c>
      <c r="F40" s="7" t="s">
        <v>34</v>
      </c>
      <c r="G40" s="7">
        <v>430</v>
      </c>
      <c r="H40" s="9">
        <v>1100</v>
      </c>
      <c r="I40" s="10"/>
      <c r="J40" s="9">
        <f t="shared" si="0"/>
        <v>1100</v>
      </c>
    </row>
    <row r="41" spans="1:10" ht="15.6" x14ac:dyDescent="0.3">
      <c r="A41" s="7">
        <v>160925</v>
      </c>
      <c r="B41" s="7">
        <v>304</v>
      </c>
      <c r="C41" s="1">
        <v>0.7</v>
      </c>
      <c r="D41" s="1" t="s">
        <v>71</v>
      </c>
      <c r="E41" s="2" t="s">
        <v>151</v>
      </c>
      <c r="F41" s="7" t="s">
        <v>34</v>
      </c>
      <c r="G41" s="7">
        <v>430</v>
      </c>
      <c r="H41" s="9">
        <v>1100</v>
      </c>
      <c r="I41" s="10"/>
      <c r="J41" s="9">
        <f t="shared" si="0"/>
        <v>1100</v>
      </c>
    </row>
    <row r="42" spans="1:10" ht="15.6" x14ac:dyDescent="0.3">
      <c r="A42" s="7">
        <v>160925</v>
      </c>
      <c r="B42" s="7">
        <v>304</v>
      </c>
      <c r="C42" s="1">
        <v>0.9</v>
      </c>
      <c r="D42" s="1" t="s">
        <v>71</v>
      </c>
      <c r="E42" s="2" t="s">
        <v>152</v>
      </c>
      <c r="F42" s="7" t="s">
        <v>157</v>
      </c>
      <c r="G42" s="7">
        <v>430</v>
      </c>
      <c r="H42" s="9">
        <v>1100</v>
      </c>
      <c r="I42" s="10"/>
      <c r="J42" s="9">
        <f t="shared" si="0"/>
        <v>1100</v>
      </c>
    </row>
    <row r="43" spans="1:10" ht="15.6" x14ac:dyDescent="0.3">
      <c r="A43" s="7">
        <v>160925</v>
      </c>
      <c r="B43" s="7">
        <v>304</v>
      </c>
      <c r="C43" s="1">
        <v>0.9</v>
      </c>
      <c r="D43" s="1" t="s">
        <v>37</v>
      </c>
      <c r="E43" s="2" t="s">
        <v>154</v>
      </c>
      <c r="F43" s="7" t="s">
        <v>80</v>
      </c>
      <c r="G43" s="7">
        <v>430</v>
      </c>
      <c r="H43" s="9">
        <v>1100</v>
      </c>
      <c r="I43" s="10"/>
      <c r="J43" s="9">
        <f t="shared" si="0"/>
        <v>1100</v>
      </c>
    </row>
    <row r="44" spans="1:10" ht="15.6" x14ac:dyDescent="0.3">
      <c r="A44" s="7">
        <v>160925</v>
      </c>
      <c r="B44" s="7">
        <v>304</v>
      </c>
      <c r="C44" s="1">
        <v>0.9</v>
      </c>
      <c r="D44" s="1" t="s">
        <v>37</v>
      </c>
      <c r="E44" s="2" t="s">
        <v>153</v>
      </c>
      <c r="F44" s="7" t="s">
        <v>80</v>
      </c>
      <c r="G44" s="7" t="s">
        <v>159</v>
      </c>
      <c r="H44" s="9">
        <v>1100</v>
      </c>
      <c r="I44" s="10"/>
      <c r="J44" s="9">
        <f t="shared" si="0"/>
        <v>1100</v>
      </c>
    </row>
    <row r="45" spans="1:10" ht="15.6" x14ac:dyDescent="0.3">
      <c r="A45" s="7">
        <v>160925</v>
      </c>
      <c r="B45" s="7">
        <v>304</v>
      </c>
      <c r="C45" s="1" t="s">
        <v>155</v>
      </c>
      <c r="D45" s="1" t="s">
        <v>71</v>
      </c>
      <c r="E45" s="2" t="s">
        <v>156</v>
      </c>
      <c r="F45" s="7" t="s">
        <v>158</v>
      </c>
      <c r="G45" s="7" t="s">
        <v>159</v>
      </c>
      <c r="H45" s="9">
        <v>1100</v>
      </c>
      <c r="I45" s="10"/>
      <c r="J45" s="9">
        <f t="shared" si="0"/>
        <v>1100</v>
      </c>
    </row>
    <row r="46" spans="1:10" ht="15.6" x14ac:dyDescent="0.3">
      <c r="A46" s="7"/>
      <c r="B46" s="7"/>
      <c r="C46" s="1"/>
      <c r="D46" s="1"/>
      <c r="E46" s="2"/>
      <c r="F46" s="7"/>
      <c r="G46" s="7"/>
      <c r="H46" s="9"/>
      <c r="I46" s="10"/>
      <c r="J46" s="9">
        <f t="shared" si="0"/>
        <v>0</v>
      </c>
    </row>
    <row r="47" spans="1:10" ht="15.6" x14ac:dyDescent="0.3">
      <c r="A47" s="7">
        <v>180925</v>
      </c>
      <c r="B47" s="7">
        <v>304</v>
      </c>
      <c r="C47" s="1">
        <v>0.7</v>
      </c>
      <c r="D47" s="1" t="s">
        <v>71</v>
      </c>
      <c r="E47" s="2" t="s">
        <v>160</v>
      </c>
      <c r="F47" s="7" t="s">
        <v>34</v>
      </c>
      <c r="G47" s="7">
        <v>430</v>
      </c>
      <c r="H47" s="9">
        <v>2100</v>
      </c>
      <c r="I47" s="10"/>
      <c r="J47" s="9">
        <f t="shared" si="0"/>
        <v>2100</v>
      </c>
    </row>
    <row r="48" spans="1:10" ht="15.6" x14ac:dyDescent="0.3">
      <c r="A48" s="7">
        <v>180925</v>
      </c>
      <c r="B48" s="7">
        <v>304</v>
      </c>
      <c r="C48" s="1">
        <v>0.7</v>
      </c>
      <c r="D48" s="1" t="s">
        <v>71</v>
      </c>
      <c r="E48" s="2" t="s">
        <v>161</v>
      </c>
      <c r="F48" s="7" t="s">
        <v>34</v>
      </c>
      <c r="G48" s="7">
        <v>430</v>
      </c>
      <c r="H48" s="9">
        <v>2100</v>
      </c>
      <c r="I48" s="10"/>
      <c r="J48" s="9">
        <f t="shared" si="0"/>
        <v>2100</v>
      </c>
    </row>
    <row r="49" spans="1:10" ht="15.6" x14ac:dyDescent="0.3">
      <c r="A49" s="7">
        <v>180925</v>
      </c>
      <c r="B49" s="7">
        <v>304</v>
      </c>
      <c r="C49" s="1">
        <v>0.7</v>
      </c>
      <c r="D49" s="1" t="s">
        <v>71</v>
      </c>
      <c r="E49" s="2" t="s">
        <v>162</v>
      </c>
      <c r="F49" s="7" t="s">
        <v>34</v>
      </c>
      <c r="G49" s="7">
        <v>430</v>
      </c>
      <c r="H49" s="9">
        <v>2100</v>
      </c>
      <c r="I49" s="10"/>
      <c r="J49" s="9">
        <f t="shared" si="0"/>
        <v>2100</v>
      </c>
    </row>
    <row r="50" spans="1:10" ht="15.6" x14ac:dyDescent="0.3">
      <c r="A50" s="7">
        <v>180925</v>
      </c>
      <c r="B50" s="7">
        <v>304</v>
      </c>
      <c r="C50" s="1">
        <v>0.7</v>
      </c>
      <c r="D50" s="1" t="s">
        <v>71</v>
      </c>
      <c r="E50" s="2" t="s">
        <v>163</v>
      </c>
      <c r="F50" s="7" t="s">
        <v>34</v>
      </c>
      <c r="G50" s="7">
        <v>430</v>
      </c>
      <c r="H50" s="9">
        <v>2100</v>
      </c>
      <c r="I50" s="10"/>
      <c r="J50" s="9">
        <f t="shared" si="0"/>
        <v>2100</v>
      </c>
    </row>
    <row r="51" spans="1:10" ht="15.6" x14ac:dyDescent="0.3">
      <c r="A51" s="7">
        <v>180925</v>
      </c>
      <c r="B51" s="7">
        <v>304</v>
      </c>
      <c r="C51" s="1">
        <v>0.7</v>
      </c>
      <c r="D51" s="1" t="s">
        <v>71</v>
      </c>
      <c r="E51" s="2" t="s">
        <v>165</v>
      </c>
      <c r="F51" s="7" t="s">
        <v>34</v>
      </c>
      <c r="G51" s="7">
        <v>430</v>
      </c>
      <c r="H51" s="9">
        <v>2100</v>
      </c>
      <c r="I51" s="10"/>
      <c r="J51" s="9">
        <f t="shared" si="0"/>
        <v>2100</v>
      </c>
    </row>
    <row r="52" spans="1:10" ht="15.6" x14ac:dyDescent="0.3">
      <c r="A52" s="7"/>
      <c r="B52" s="7"/>
      <c r="C52" s="1"/>
      <c r="D52" s="1"/>
      <c r="E52" s="2"/>
      <c r="F52" s="7"/>
      <c r="G52" s="7"/>
      <c r="H52" s="9"/>
      <c r="I52" s="10"/>
      <c r="J52" s="9">
        <f t="shared" si="0"/>
        <v>0</v>
      </c>
    </row>
    <row r="53" spans="1:10" ht="15.6" x14ac:dyDescent="0.3">
      <c r="A53" s="7">
        <v>250077</v>
      </c>
      <c r="B53" s="7">
        <v>430</v>
      </c>
      <c r="C53" s="1">
        <v>0.5</v>
      </c>
      <c r="D53" s="1" t="s">
        <v>12</v>
      </c>
      <c r="E53" s="2" t="s">
        <v>164</v>
      </c>
      <c r="F53" s="7" t="s">
        <v>34</v>
      </c>
      <c r="G53" s="7">
        <v>430</v>
      </c>
      <c r="H53" s="9">
        <v>1400</v>
      </c>
      <c r="I53" s="10">
        <f>937+400</f>
        <v>1337</v>
      </c>
      <c r="J53" s="9">
        <f t="shared" si="0"/>
        <v>63</v>
      </c>
    </row>
    <row r="54" spans="1:10" ht="15.6" x14ac:dyDescent="0.3">
      <c r="A54" s="7">
        <v>250077</v>
      </c>
      <c r="B54" s="7">
        <v>430</v>
      </c>
      <c r="C54" s="1">
        <v>0.5</v>
      </c>
      <c r="D54" s="1" t="s">
        <v>167</v>
      </c>
      <c r="E54" s="2" t="s">
        <v>166</v>
      </c>
      <c r="F54" s="7" t="s">
        <v>158</v>
      </c>
      <c r="G54" s="7" t="s">
        <v>159</v>
      </c>
      <c r="H54" s="9">
        <v>1400</v>
      </c>
      <c r="I54" s="10">
        <f>937+400</f>
        <v>1337</v>
      </c>
      <c r="J54" s="9">
        <f t="shared" si="0"/>
        <v>63</v>
      </c>
    </row>
    <row r="55" spans="1:10" ht="15.6" x14ac:dyDescent="0.3">
      <c r="A55" s="7"/>
      <c r="B55" s="7"/>
      <c r="C55" s="1"/>
      <c r="D55" s="1"/>
      <c r="E55" s="2"/>
      <c r="F55" s="7"/>
      <c r="G55" s="7"/>
      <c r="H55" s="9"/>
      <c r="I55" s="10"/>
      <c r="J55" s="9">
        <f t="shared" si="0"/>
        <v>0</v>
      </c>
    </row>
    <row r="56" spans="1:10" ht="15.6" x14ac:dyDescent="0.3">
      <c r="A56" s="7">
        <v>250077</v>
      </c>
      <c r="B56" s="7">
        <v>430</v>
      </c>
      <c r="C56" s="1">
        <v>0.5</v>
      </c>
      <c r="D56" s="1" t="s">
        <v>12</v>
      </c>
      <c r="E56" s="2" t="s">
        <v>168</v>
      </c>
      <c r="F56" s="7" t="s">
        <v>34</v>
      </c>
      <c r="G56" s="7">
        <v>430</v>
      </c>
      <c r="H56" s="9">
        <v>1400</v>
      </c>
      <c r="I56" s="10">
        <v>655</v>
      </c>
      <c r="J56" s="9">
        <f t="shared" si="0"/>
        <v>745</v>
      </c>
    </row>
    <row r="57" spans="1:10" ht="15.6" x14ac:dyDescent="0.3">
      <c r="A57" s="7">
        <v>250077</v>
      </c>
      <c r="B57" s="7">
        <v>430</v>
      </c>
      <c r="C57" s="1">
        <v>0.5</v>
      </c>
      <c r="D57" s="1" t="s">
        <v>167</v>
      </c>
      <c r="E57" s="2" t="s">
        <v>169</v>
      </c>
      <c r="F57" s="7" t="s">
        <v>34</v>
      </c>
      <c r="G57" s="7" t="s">
        <v>159</v>
      </c>
      <c r="H57" s="9">
        <v>1400</v>
      </c>
      <c r="I57" s="10">
        <v>655</v>
      </c>
      <c r="J57" s="9">
        <f t="shared" si="0"/>
        <v>745</v>
      </c>
    </row>
    <row r="58" spans="1:10" ht="15.6" x14ac:dyDescent="0.3">
      <c r="A58" s="7"/>
      <c r="B58" s="7"/>
      <c r="C58" s="1"/>
      <c r="D58" s="1"/>
      <c r="E58" s="2"/>
      <c r="F58" s="7"/>
      <c r="G58" s="7"/>
      <c r="H58" s="9"/>
      <c r="I58" s="10"/>
      <c r="J58" s="9">
        <f t="shared" si="0"/>
        <v>0</v>
      </c>
    </row>
    <row r="59" spans="1:10" ht="15.6" x14ac:dyDescent="0.3">
      <c r="A59" s="7">
        <v>210825</v>
      </c>
      <c r="B59" s="7">
        <v>430</v>
      </c>
      <c r="C59" s="1">
        <v>0.6</v>
      </c>
      <c r="D59" s="1" t="s">
        <v>71</v>
      </c>
      <c r="E59" s="2" t="s">
        <v>110</v>
      </c>
      <c r="F59" s="7" t="s">
        <v>73</v>
      </c>
      <c r="G59" s="7">
        <v>430</v>
      </c>
      <c r="H59" s="9">
        <v>3000</v>
      </c>
      <c r="I59" s="10">
        <f>1895+200+86+819</f>
        <v>3000</v>
      </c>
      <c r="J59" s="9">
        <f t="shared" si="0"/>
        <v>0</v>
      </c>
    </row>
    <row r="60" spans="1:10" ht="15.6" x14ac:dyDescent="0.3">
      <c r="A60" s="7">
        <v>210825</v>
      </c>
      <c r="B60" s="7">
        <v>430</v>
      </c>
      <c r="C60" s="1">
        <v>0.6</v>
      </c>
      <c r="D60" s="1" t="s">
        <v>71</v>
      </c>
      <c r="E60" s="2" t="s">
        <v>111</v>
      </c>
      <c r="F60" s="7" t="s">
        <v>73</v>
      </c>
      <c r="G60" s="7">
        <v>430</v>
      </c>
      <c r="H60" s="9">
        <v>3000</v>
      </c>
      <c r="I60" s="10">
        <f>1533+859+13+595</f>
        <v>3000</v>
      </c>
      <c r="J60" s="9">
        <f t="shared" si="0"/>
        <v>0</v>
      </c>
    </row>
    <row r="61" spans="1:10" ht="15.6" x14ac:dyDescent="0.3">
      <c r="A61" s="7">
        <v>210825</v>
      </c>
      <c r="B61" s="7">
        <v>430</v>
      </c>
      <c r="C61" s="1">
        <v>0.6</v>
      </c>
      <c r="D61" s="1" t="s">
        <v>71</v>
      </c>
      <c r="E61" s="2" t="s">
        <v>112</v>
      </c>
      <c r="F61" s="7" t="s">
        <v>73</v>
      </c>
      <c r="G61" s="7">
        <v>430</v>
      </c>
      <c r="H61" s="9">
        <v>2600</v>
      </c>
      <c r="I61" s="10">
        <f>810+467+488+305+152+378</f>
        <v>2600</v>
      </c>
      <c r="J61" s="9">
        <f t="shared" si="0"/>
        <v>0</v>
      </c>
    </row>
    <row r="62" spans="1:10" ht="15.6" x14ac:dyDescent="0.3">
      <c r="A62" s="7"/>
      <c r="B62" s="7"/>
      <c r="C62" s="1"/>
      <c r="D62" s="1"/>
      <c r="E62" s="2"/>
      <c r="F62" s="7"/>
      <c r="G62" s="7"/>
      <c r="H62" s="9"/>
      <c r="I62" s="10"/>
      <c r="J62" s="9">
        <f t="shared" si="0"/>
        <v>0</v>
      </c>
    </row>
    <row r="63" spans="1:10" ht="15.6" x14ac:dyDescent="0.3">
      <c r="A63" s="7">
        <v>250046</v>
      </c>
      <c r="B63" s="7">
        <v>304</v>
      </c>
      <c r="C63" s="1">
        <v>0.7</v>
      </c>
      <c r="D63" s="1" t="s">
        <v>167</v>
      </c>
      <c r="E63" s="2" t="s">
        <v>170</v>
      </c>
      <c r="F63" s="7" t="s">
        <v>34</v>
      </c>
      <c r="G63" s="7">
        <v>304</v>
      </c>
      <c r="H63" s="9">
        <v>950</v>
      </c>
      <c r="I63" s="10"/>
      <c r="J63" s="9">
        <f t="shared" si="0"/>
        <v>950</v>
      </c>
    </row>
    <row r="64" spans="1:10" ht="15.6" x14ac:dyDescent="0.3">
      <c r="A64" s="7">
        <v>250046</v>
      </c>
      <c r="B64" s="7">
        <v>304</v>
      </c>
      <c r="C64" s="1">
        <v>0.7</v>
      </c>
      <c r="D64" s="1" t="s">
        <v>167</v>
      </c>
      <c r="E64" s="2" t="s">
        <v>172</v>
      </c>
      <c r="F64" s="7" t="s">
        <v>34</v>
      </c>
      <c r="G64" s="7">
        <v>304</v>
      </c>
      <c r="H64" s="9">
        <v>950</v>
      </c>
      <c r="I64" s="10"/>
      <c r="J64" s="9">
        <f t="shared" si="0"/>
        <v>950</v>
      </c>
    </row>
    <row r="65" spans="1:10" ht="15.6" x14ac:dyDescent="0.3">
      <c r="A65" s="7">
        <v>250046</v>
      </c>
      <c r="B65" s="7">
        <v>304</v>
      </c>
      <c r="C65" s="1">
        <v>0.7</v>
      </c>
      <c r="D65" s="1" t="s">
        <v>167</v>
      </c>
      <c r="E65" s="2" t="s">
        <v>171</v>
      </c>
      <c r="F65" s="7" t="s">
        <v>34</v>
      </c>
      <c r="G65" s="7">
        <v>304</v>
      </c>
      <c r="H65" s="9">
        <v>950</v>
      </c>
      <c r="I65" s="10"/>
      <c r="J65" s="9">
        <f t="shared" si="0"/>
        <v>950</v>
      </c>
    </row>
    <row r="66" spans="1:10" ht="15.6" x14ac:dyDescent="0.3">
      <c r="A66" s="7">
        <v>250046</v>
      </c>
      <c r="B66" s="7">
        <v>304</v>
      </c>
      <c r="C66" s="1">
        <v>0.7</v>
      </c>
      <c r="D66" s="1" t="s">
        <v>167</v>
      </c>
      <c r="E66" s="2" t="s">
        <v>173</v>
      </c>
      <c r="F66" s="7" t="s">
        <v>34</v>
      </c>
      <c r="G66" s="7">
        <v>304</v>
      </c>
      <c r="H66" s="9">
        <v>950</v>
      </c>
      <c r="I66" s="10"/>
      <c r="J66" s="9">
        <f t="shared" si="0"/>
        <v>950</v>
      </c>
    </row>
    <row r="67" spans="1:10" ht="15.6" x14ac:dyDescent="0.3">
      <c r="A67" s="7">
        <v>250046</v>
      </c>
      <c r="B67" s="7">
        <v>304</v>
      </c>
      <c r="C67" s="1">
        <v>0.7</v>
      </c>
      <c r="D67" s="1" t="s">
        <v>167</v>
      </c>
      <c r="E67" s="2" t="s">
        <v>174</v>
      </c>
      <c r="F67" s="7" t="s">
        <v>34</v>
      </c>
      <c r="G67" s="7">
        <v>304</v>
      </c>
      <c r="H67" s="9">
        <v>950</v>
      </c>
      <c r="I67" s="10"/>
      <c r="J67" s="9">
        <f t="shared" si="0"/>
        <v>950</v>
      </c>
    </row>
    <row r="68" spans="1:10" ht="15.6" x14ac:dyDescent="0.3">
      <c r="A68" s="7">
        <v>250046</v>
      </c>
      <c r="B68" s="7">
        <v>304</v>
      </c>
      <c r="C68" s="1">
        <v>0.7</v>
      </c>
      <c r="D68" s="1" t="s">
        <v>167</v>
      </c>
      <c r="E68" s="2" t="s">
        <v>183</v>
      </c>
      <c r="F68" s="7" t="s">
        <v>34</v>
      </c>
      <c r="G68" s="7">
        <v>304</v>
      </c>
      <c r="H68" s="9">
        <v>950</v>
      </c>
      <c r="I68" s="10"/>
      <c r="J68" s="9">
        <f t="shared" si="0"/>
        <v>950</v>
      </c>
    </row>
    <row r="69" spans="1:10" ht="15.6" x14ac:dyDescent="0.3">
      <c r="A69" s="7"/>
      <c r="B69" s="7"/>
      <c r="C69" s="1"/>
      <c r="D69" s="1"/>
      <c r="E69" s="2"/>
      <c r="F69" s="7"/>
      <c r="G69" s="7"/>
      <c r="H69" s="9"/>
      <c r="I69" s="10"/>
      <c r="J69" s="9">
        <f t="shared" si="0"/>
        <v>0</v>
      </c>
    </row>
    <row r="70" spans="1:10" ht="15.6" x14ac:dyDescent="0.3">
      <c r="A70" s="7">
        <v>250048</v>
      </c>
      <c r="B70" s="7">
        <v>304</v>
      </c>
      <c r="C70" s="1">
        <v>0.7</v>
      </c>
      <c r="D70" s="1" t="s">
        <v>167</v>
      </c>
      <c r="E70" s="2" t="s">
        <v>175</v>
      </c>
      <c r="F70" s="7" t="s">
        <v>34</v>
      </c>
      <c r="G70" s="7">
        <v>304</v>
      </c>
      <c r="H70" s="9">
        <v>570</v>
      </c>
      <c r="I70" s="10"/>
      <c r="J70" s="9">
        <f t="shared" si="0"/>
        <v>570</v>
      </c>
    </row>
    <row r="71" spans="1:10" ht="15.6" x14ac:dyDescent="0.3">
      <c r="A71" s="7">
        <v>250048</v>
      </c>
      <c r="B71" s="7">
        <v>304</v>
      </c>
      <c r="C71" s="1">
        <v>0.7</v>
      </c>
      <c r="D71" s="1" t="s">
        <v>167</v>
      </c>
      <c r="E71" s="2" t="s">
        <v>176</v>
      </c>
      <c r="F71" s="7" t="s">
        <v>34</v>
      </c>
      <c r="G71" s="7">
        <v>304</v>
      </c>
      <c r="H71" s="9">
        <v>570</v>
      </c>
      <c r="I71" s="10"/>
      <c r="J71" s="9">
        <f t="shared" si="0"/>
        <v>570</v>
      </c>
    </row>
    <row r="72" spans="1:10" ht="15.6" x14ac:dyDescent="0.3">
      <c r="A72" s="7">
        <v>250048</v>
      </c>
      <c r="B72" s="7">
        <v>304</v>
      </c>
      <c r="C72" s="1">
        <v>0.7</v>
      </c>
      <c r="D72" s="1" t="s">
        <v>167</v>
      </c>
      <c r="E72" s="2" t="s">
        <v>177</v>
      </c>
      <c r="F72" s="7" t="s">
        <v>34</v>
      </c>
      <c r="G72" s="7">
        <v>304</v>
      </c>
      <c r="H72" s="9">
        <v>570</v>
      </c>
      <c r="I72" s="10"/>
      <c r="J72" s="9">
        <f t="shared" ref="J72:J79" si="1">H72-I72</f>
        <v>570</v>
      </c>
    </row>
    <row r="73" spans="1:10" ht="15.6" x14ac:dyDescent="0.3">
      <c r="A73" s="7">
        <v>250048</v>
      </c>
      <c r="B73" s="7">
        <v>304</v>
      </c>
      <c r="C73" s="1">
        <v>0.7</v>
      </c>
      <c r="D73" s="1" t="s">
        <v>167</v>
      </c>
      <c r="E73" s="2" t="s">
        <v>178</v>
      </c>
      <c r="F73" s="7" t="s">
        <v>34</v>
      </c>
      <c r="G73" s="7">
        <v>304</v>
      </c>
      <c r="H73" s="9">
        <v>570</v>
      </c>
      <c r="I73" s="10"/>
      <c r="J73" s="9">
        <f t="shared" si="1"/>
        <v>570</v>
      </c>
    </row>
    <row r="74" spans="1:10" ht="15.6" x14ac:dyDescent="0.3">
      <c r="A74" s="7">
        <v>250048</v>
      </c>
      <c r="B74" s="7">
        <v>304</v>
      </c>
      <c r="C74" s="1">
        <v>0.7</v>
      </c>
      <c r="D74" s="1" t="s">
        <v>167</v>
      </c>
      <c r="E74" s="2" t="s">
        <v>179</v>
      </c>
      <c r="F74" s="7" t="s">
        <v>34</v>
      </c>
      <c r="G74" s="7">
        <v>304</v>
      </c>
      <c r="H74" s="9">
        <v>570</v>
      </c>
      <c r="I74" s="10"/>
      <c r="J74" s="9">
        <f t="shared" si="1"/>
        <v>570</v>
      </c>
    </row>
    <row r="75" spans="1:10" ht="15.6" x14ac:dyDescent="0.3">
      <c r="A75" s="7">
        <v>250048</v>
      </c>
      <c r="B75" s="7">
        <v>304</v>
      </c>
      <c r="C75" s="1">
        <v>0.7</v>
      </c>
      <c r="D75" s="1" t="s">
        <v>167</v>
      </c>
      <c r="E75" s="2" t="s">
        <v>180</v>
      </c>
      <c r="F75" s="7" t="s">
        <v>34</v>
      </c>
      <c r="G75" s="7">
        <v>304</v>
      </c>
      <c r="H75" s="9">
        <v>570</v>
      </c>
      <c r="I75" s="10"/>
      <c r="J75" s="9">
        <f t="shared" si="1"/>
        <v>570</v>
      </c>
    </row>
    <row r="76" spans="1:10" ht="15.6" x14ac:dyDescent="0.3">
      <c r="A76" s="7">
        <v>250048</v>
      </c>
      <c r="B76" s="7">
        <v>304</v>
      </c>
      <c r="C76" s="1">
        <v>0.7</v>
      </c>
      <c r="D76" s="1" t="s">
        <v>167</v>
      </c>
      <c r="E76" s="2" t="s">
        <v>181</v>
      </c>
      <c r="F76" s="7" t="s">
        <v>34</v>
      </c>
      <c r="G76" s="7">
        <v>304</v>
      </c>
      <c r="H76" s="9">
        <v>570</v>
      </c>
      <c r="I76" s="10"/>
      <c r="J76" s="9">
        <f t="shared" si="1"/>
        <v>570</v>
      </c>
    </row>
    <row r="77" spans="1:10" ht="15.6" x14ac:dyDescent="0.3">
      <c r="A77" s="7">
        <v>250048</v>
      </c>
      <c r="B77" s="7">
        <v>304</v>
      </c>
      <c r="C77" s="1">
        <v>0.7</v>
      </c>
      <c r="D77" s="1" t="s">
        <v>167</v>
      </c>
      <c r="E77" s="2" t="s">
        <v>182</v>
      </c>
      <c r="F77" s="7" t="s">
        <v>34</v>
      </c>
      <c r="G77" s="7">
        <v>304</v>
      </c>
      <c r="H77" s="9">
        <v>570</v>
      </c>
      <c r="I77" s="10"/>
      <c r="J77" s="9">
        <f t="shared" si="1"/>
        <v>570</v>
      </c>
    </row>
    <row r="78" spans="1:10" ht="15.6" x14ac:dyDescent="0.3">
      <c r="A78" s="7"/>
      <c r="B78" s="7"/>
      <c r="C78" s="1"/>
      <c r="D78" s="1"/>
      <c r="E78" s="2"/>
      <c r="F78" s="7"/>
      <c r="G78" s="7"/>
      <c r="H78" s="9"/>
      <c r="I78" s="10"/>
      <c r="J78" s="9">
        <f t="shared" si="1"/>
        <v>0</v>
      </c>
    </row>
    <row r="79" spans="1:10" ht="15.6" x14ac:dyDescent="0.3">
      <c r="A79" s="7"/>
      <c r="B79" s="7"/>
      <c r="C79" s="1"/>
      <c r="D79" s="1"/>
      <c r="E79" s="2"/>
      <c r="F79" s="7"/>
      <c r="G79" s="7"/>
      <c r="H79" s="9"/>
      <c r="I79" s="10"/>
      <c r="J79" s="9">
        <f t="shared" si="1"/>
        <v>0</v>
      </c>
    </row>
    <row r="80" spans="1:10" ht="15.6" x14ac:dyDescent="0.3">
      <c r="A80" s="11"/>
      <c r="B80" s="11"/>
      <c r="C80" s="12"/>
      <c r="D80" s="12"/>
      <c r="E80" s="13"/>
      <c r="F80" s="11"/>
      <c r="G80" s="14"/>
      <c r="H80" s="9">
        <f>SUM(H4:H79)</f>
        <v>68710</v>
      </c>
      <c r="I80" s="10">
        <f>SUM(I4:I79)</f>
        <v>27254</v>
      </c>
      <c r="J80" s="9">
        <f>SUM(J4:J79)</f>
        <v>41456</v>
      </c>
    </row>
  </sheetData>
  <mergeCells count="2">
    <mergeCell ref="I1:J1"/>
    <mergeCell ref="A2:J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3" fitToHeight="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zoomScale="70" zoomScaleNormal="70" workbookViewId="0">
      <selection activeCell="J13" sqref="J13"/>
    </sheetView>
  </sheetViews>
  <sheetFormatPr defaultColWidth="8.77734375" defaultRowHeight="14.4" x14ac:dyDescent="0.3"/>
  <cols>
    <col min="1" max="1" width="14.33203125" style="6" customWidth="1"/>
    <col min="2" max="2" width="10.6640625" style="6" customWidth="1"/>
    <col min="3" max="3" width="11.44140625" style="6" customWidth="1"/>
    <col min="4" max="4" width="15.5546875" style="6" customWidth="1"/>
    <col min="5" max="5" width="115.109375" style="6" bestFit="1" customWidth="1"/>
    <col min="6" max="6" width="10.77734375" style="15" customWidth="1"/>
    <col min="7" max="7" width="12.33203125" style="6" customWidth="1"/>
    <col min="8" max="8" width="13.44140625" style="6" customWidth="1"/>
    <col min="9" max="10" width="10.77734375" style="6" customWidth="1"/>
    <col min="11" max="11" width="18.6640625" style="6" customWidth="1"/>
    <col min="12" max="16384" width="8.77734375" style="6"/>
  </cols>
  <sheetData>
    <row r="1" spans="1:11" s="3" customFormat="1" ht="30" customHeight="1" x14ac:dyDescent="0.3">
      <c r="F1" s="16"/>
      <c r="G1" s="4"/>
      <c r="H1" s="5"/>
      <c r="I1" s="5" t="s">
        <v>0</v>
      </c>
      <c r="J1" s="28">
        <v>45964</v>
      </c>
      <c r="K1" s="28"/>
    </row>
    <row r="2" spans="1:11" ht="40.049999999999997" customHeight="1" x14ac:dyDescent="0.3">
      <c r="A2" s="29" t="s">
        <v>144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30" customHeight="1" x14ac:dyDescent="0.3">
      <c r="A3" s="7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194</v>
      </c>
      <c r="J3" s="7" t="s">
        <v>9</v>
      </c>
      <c r="K3" s="7" t="s">
        <v>10</v>
      </c>
    </row>
    <row r="4" spans="1:11" ht="15.6" x14ac:dyDescent="0.3">
      <c r="A4" s="7">
        <v>270825</v>
      </c>
      <c r="B4" s="7">
        <v>430</v>
      </c>
      <c r="C4" s="1">
        <v>0.5</v>
      </c>
      <c r="D4" s="1" t="s">
        <v>37</v>
      </c>
      <c r="E4" s="2" t="s">
        <v>138</v>
      </c>
      <c r="F4" s="7" t="s">
        <v>34</v>
      </c>
      <c r="G4" s="7">
        <v>430</v>
      </c>
      <c r="H4" s="9">
        <v>2000</v>
      </c>
      <c r="I4" s="32">
        <v>1440</v>
      </c>
      <c r="J4" s="10"/>
      <c r="K4" s="9">
        <f>H4-J4</f>
        <v>2000</v>
      </c>
    </row>
    <row r="5" spans="1:11" ht="15.6" x14ac:dyDescent="0.3">
      <c r="A5" s="7">
        <v>270825</v>
      </c>
      <c r="B5" s="7">
        <v>430</v>
      </c>
      <c r="C5" s="1">
        <v>0.5</v>
      </c>
      <c r="D5" s="1" t="s">
        <v>37</v>
      </c>
      <c r="E5" s="2" t="s">
        <v>139</v>
      </c>
      <c r="F5" s="7" t="s">
        <v>34</v>
      </c>
      <c r="G5" s="7">
        <v>430</v>
      </c>
      <c r="H5" s="9">
        <v>2000</v>
      </c>
      <c r="I5" s="32"/>
      <c r="J5" s="10"/>
      <c r="K5" s="9">
        <f>H5-J5</f>
        <v>2000</v>
      </c>
    </row>
    <row r="6" spans="1:11" ht="15.6" x14ac:dyDescent="0.3">
      <c r="A6" s="7">
        <v>270825</v>
      </c>
      <c r="B6" s="7">
        <v>430</v>
      </c>
      <c r="C6" s="1">
        <v>0.5</v>
      </c>
      <c r="D6" s="1" t="s">
        <v>37</v>
      </c>
      <c r="E6" s="2" t="s">
        <v>140</v>
      </c>
      <c r="F6" s="7" t="s">
        <v>34</v>
      </c>
      <c r="G6" s="7">
        <v>430</v>
      </c>
      <c r="H6" s="9">
        <v>2000</v>
      </c>
      <c r="I6" s="32"/>
      <c r="J6" s="10"/>
      <c r="K6" s="9">
        <f>H6-J6</f>
        <v>2000</v>
      </c>
    </row>
    <row r="7" spans="1:11" ht="15.6" x14ac:dyDescent="0.3">
      <c r="A7" s="7"/>
      <c r="B7" s="7"/>
      <c r="C7" s="1"/>
      <c r="D7" s="1"/>
      <c r="E7" s="2"/>
      <c r="F7" s="7"/>
      <c r="G7" s="7"/>
      <c r="H7" s="9"/>
      <c r="I7" s="32"/>
      <c r="J7" s="10"/>
      <c r="K7" s="9"/>
    </row>
    <row r="8" spans="1:11" ht="15.6" x14ac:dyDescent="0.3">
      <c r="A8" s="7">
        <v>250049</v>
      </c>
      <c r="B8" s="7">
        <v>304</v>
      </c>
      <c r="C8" s="1">
        <v>0.7</v>
      </c>
      <c r="D8" s="1" t="s">
        <v>37</v>
      </c>
      <c r="E8" s="2" t="s">
        <v>99</v>
      </c>
      <c r="F8" s="7" t="s">
        <v>34</v>
      </c>
      <c r="G8" s="7">
        <v>304</v>
      </c>
      <c r="H8" s="9">
        <v>790</v>
      </c>
      <c r="I8" s="32"/>
      <c r="J8" s="10">
        <v>767</v>
      </c>
      <c r="K8" s="9">
        <f t="shared" ref="K8:K49" si="0">H8-J8</f>
        <v>23</v>
      </c>
    </row>
    <row r="9" spans="1:11" ht="15.6" x14ac:dyDescent="0.3">
      <c r="A9" s="7">
        <v>250049</v>
      </c>
      <c r="B9" s="7">
        <v>304</v>
      </c>
      <c r="C9" s="1">
        <v>0.7</v>
      </c>
      <c r="D9" s="1" t="s">
        <v>37</v>
      </c>
      <c r="E9" s="2" t="s">
        <v>100</v>
      </c>
      <c r="F9" s="7" t="s">
        <v>34</v>
      </c>
      <c r="G9" s="7">
        <v>304</v>
      </c>
      <c r="H9" s="9">
        <v>790</v>
      </c>
      <c r="I9" s="32"/>
      <c r="J9" s="10">
        <v>757</v>
      </c>
      <c r="K9" s="9">
        <f t="shared" si="0"/>
        <v>33</v>
      </c>
    </row>
    <row r="10" spans="1:11" ht="15.6" x14ac:dyDescent="0.3">
      <c r="A10" s="7">
        <v>250049</v>
      </c>
      <c r="B10" s="7">
        <v>304</v>
      </c>
      <c r="C10" s="1">
        <v>0.7</v>
      </c>
      <c r="D10" s="1" t="s">
        <v>37</v>
      </c>
      <c r="E10" s="2" t="s">
        <v>101</v>
      </c>
      <c r="F10" s="7" t="s">
        <v>34</v>
      </c>
      <c r="G10" s="7">
        <v>304</v>
      </c>
      <c r="H10" s="9">
        <v>790</v>
      </c>
      <c r="I10" s="32"/>
      <c r="J10" s="10"/>
      <c r="K10" s="9">
        <f t="shared" si="0"/>
        <v>790</v>
      </c>
    </row>
    <row r="11" spans="1:11" ht="15.6" x14ac:dyDescent="0.3">
      <c r="A11" s="7">
        <v>250049</v>
      </c>
      <c r="B11" s="7">
        <v>304</v>
      </c>
      <c r="C11" s="1">
        <v>0.7</v>
      </c>
      <c r="D11" s="1" t="s">
        <v>37</v>
      </c>
      <c r="E11" s="2" t="s">
        <v>102</v>
      </c>
      <c r="F11" s="7" t="s">
        <v>34</v>
      </c>
      <c r="G11" s="7">
        <v>304</v>
      </c>
      <c r="H11" s="9">
        <v>790</v>
      </c>
      <c r="I11" s="32"/>
      <c r="J11" s="10"/>
      <c r="K11" s="9">
        <f t="shared" si="0"/>
        <v>790</v>
      </c>
    </row>
    <row r="12" spans="1:11" ht="15.6" x14ac:dyDescent="0.3">
      <c r="A12" s="7">
        <v>250049</v>
      </c>
      <c r="B12" s="7">
        <v>304</v>
      </c>
      <c r="C12" s="1">
        <v>0.7</v>
      </c>
      <c r="D12" s="1" t="s">
        <v>37</v>
      </c>
      <c r="E12" s="2" t="s">
        <v>103</v>
      </c>
      <c r="F12" s="7" t="s">
        <v>34</v>
      </c>
      <c r="G12" s="7">
        <v>304</v>
      </c>
      <c r="H12" s="9">
        <v>790</v>
      </c>
      <c r="I12" s="32"/>
      <c r="J12" s="10">
        <v>225</v>
      </c>
      <c r="K12" s="9">
        <f t="shared" si="0"/>
        <v>565</v>
      </c>
    </row>
    <row r="13" spans="1:11" ht="15.6" x14ac:dyDescent="0.3">
      <c r="A13" s="7"/>
      <c r="B13" s="7"/>
      <c r="C13" s="1"/>
      <c r="D13" s="1"/>
      <c r="E13" s="2"/>
      <c r="F13" s="7"/>
      <c r="G13" s="7"/>
      <c r="H13" s="9"/>
      <c r="I13" s="32"/>
      <c r="J13" s="10"/>
      <c r="K13" s="9">
        <f t="shared" si="0"/>
        <v>0</v>
      </c>
    </row>
    <row r="14" spans="1:11" ht="15.6" x14ac:dyDescent="0.3">
      <c r="A14" s="7">
        <v>160925</v>
      </c>
      <c r="B14" s="7">
        <v>304</v>
      </c>
      <c r="C14" s="1">
        <v>0.7</v>
      </c>
      <c r="D14" s="1" t="s">
        <v>71</v>
      </c>
      <c r="E14" s="2" t="s">
        <v>148</v>
      </c>
      <c r="F14" s="7" t="s">
        <v>34</v>
      </c>
      <c r="G14" s="7">
        <v>430</v>
      </c>
      <c r="H14" s="9">
        <v>1100</v>
      </c>
      <c r="I14" s="32"/>
      <c r="J14" s="10">
        <v>100</v>
      </c>
      <c r="K14" s="9">
        <f t="shared" si="0"/>
        <v>1000</v>
      </c>
    </row>
    <row r="15" spans="1:11" ht="15.6" x14ac:dyDescent="0.3">
      <c r="A15" s="7">
        <v>160925</v>
      </c>
      <c r="B15" s="7">
        <v>304</v>
      </c>
      <c r="C15" s="1">
        <v>0.7</v>
      </c>
      <c r="D15" s="1" t="s">
        <v>71</v>
      </c>
      <c r="E15" s="2" t="s">
        <v>149</v>
      </c>
      <c r="F15" s="7" t="s">
        <v>34</v>
      </c>
      <c r="G15" s="7">
        <v>430</v>
      </c>
      <c r="H15" s="9">
        <v>1100</v>
      </c>
      <c r="I15" s="32"/>
      <c r="J15" s="10">
        <v>100</v>
      </c>
      <c r="K15" s="9">
        <f t="shared" si="0"/>
        <v>1000</v>
      </c>
    </row>
    <row r="16" spans="1:11" ht="15.6" x14ac:dyDescent="0.3">
      <c r="A16" s="7">
        <v>160925</v>
      </c>
      <c r="B16" s="7">
        <v>304</v>
      </c>
      <c r="C16" s="1">
        <v>0.7</v>
      </c>
      <c r="D16" s="1" t="s">
        <v>71</v>
      </c>
      <c r="E16" s="2" t="s">
        <v>150</v>
      </c>
      <c r="F16" s="7" t="s">
        <v>34</v>
      </c>
      <c r="G16" s="7">
        <v>430</v>
      </c>
      <c r="H16" s="9">
        <v>1100</v>
      </c>
      <c r="I16" s="32"/>
      <c r="J16" s="10">
        <v>100</v>
      </c>
      <c r="K16" s="9">
        <f t="shared" si="0"/>
        <v>1000</v>
      </c>
    </row>
    <row r="17" spans="1:11" ht="15.6" x14ac:dyDescent="0.3">
      <c r="A17" s="7">
        <v>160925</v>
      </c>
      <c r="B17" s="7">
        <v>304</v>
      </c>
      <c r="C17" s="1">
        <v>0.7</v>
      </c>
      <c r="D17" s="1" t="s">
        <v>71</v>
      </c>
      <c r="E17" s="2" t="s">
        <v>151</v>
      </c>
      <c r="F17" s="7" t="s">
        <v>34</v>
      </c>
      <c r="G17" s="7">
        <v>430</v>
      </c>
      <c r="H17" s="9">
        <v>1100</v>
      </c>
      <c r="I17" s="32"/>
      <c r="J17" s="10">
        <v>100</v>
      </c>
      <c r="K17" s="9">
        <f t="shared" si="0"/>
        <v>1000</v>
      </c>
    </row>
    <row r="18" spans="1:11" ht="15.6" x14ac:dyDescent="0.3">
      <c r="A18" s="7">
        <v>160925</v>
      </c>
      <c r="B18" s="7">
        <v>304</v>
      </c>
      <c r="C18" s="1">
        <v>0.9</v>
      </c>
      <c r="D18" s="1" t="s">
        <v>71</v>
      </c>
      <c r="E18" s="2" t="s">
        <v>152</v>
      </c>
      <c r="F18" s="7" t="s">
        <v>157</v>
      </c>
      <c r="G18" s="7">
        <v>430</v>
      </c>
      <c r="H18" s="9">
        <v>1100</v>
      </c>
      <c r="I18" s="32"/>
      <c r="J18" s="10">
        <v>200</v>
      </c>
      <c r="K18" s="9">
        <f t="shared" si="0"/>
        <v>900</v>
      </c>
    </row>
    <row r="19" spans="1:11" ht="15.6" x14ac:dyDescent="0.3">
      <c r="A19" s="7">
        <v>160925</v>
      </c>
      <c r="B19" s="7">
        <v>304</v>
      </c>
      <c r="C19" s="1">
        <v>0.9</v>
      </c>
      <c r="D19" s="1" t="s">
        <v>37</v>
      </c>
      <c r="E19" s="2" t="s">
        <v>154</v>
      </c>
      <c r="F19" s="7" t="s">
        <v>80</v>
      </c>
      <c r="G19" s="7">
        <v>430</v>
      </c>
      <c r="H19" s="9">
        <v>1100</v>
      </c>
      <c r="I19" s="32"/>
      <c r="J19" s="10">
        <v>100</v>
      </c>
      <c r="K19" s="9">
        <f t="shared" si="0"/>
        <v>1000</v>
      </c>
    </row>
    <row r="20" spans="1:11" ht="15.6" x14ac:dyDescent="0.3">
      <c r="A20" s="7">
        <v>160925</v>
      </c>
      <c r="B20" s="7">
        <v>304</v>
      </c>
      <c r="C20" s="1">
        <v>0.9</v>
      </c>
      <c r="D20" s="1" t="s">
        <v>37</v>
      </c>
      <c r="E20" s="2" t="s">
        <v>153</v>
      </c>
      <c r="F20" s="7" t="s">
        <v>80</v>
      </c>
      <c r="G20" s="7" t="s">
        <v>159</v>
      </c>
      <c r="H20" s="9">
        <v>1100</v>
      </c>
      <c r="I20" s="32"/>
      <c r="J20" s="10">
        <v>100</v>
      </c>
      <c r="K20" s="9">
        <f t="shared" si="0"/>
        <v>1000</v>
      </c>
    </row>
    <row r="21" spans="1:11" ht="15.6" x14ac:dyDescent="0.3">
      <c r="A21" s="7">
        <v>160925</v>
      </c>
      <c r="B21" s="7">
        <v>304</v>
      </c>
      <c r="C21" s="1" t="s">
        <v>155</v>
      </c>
      <c r="D21" s="1" t="s">
        <v>71</v>
      </c>
      <c r="E21" s="2" t="s">
        <v>156</v>
      </c>
      <c r="F21" s="7" t="s">
        <v>158</v>
      </c>
      <c r="G21" s="7" t="s">
        <v>159</v>
      </c>
      <c r="H21" s="9">
        <v>1100</v>
      </c>
      <c r="I21" s="32"/>
      <c r="J21" s="10">
        <v>100</v>
      </c>
      <c r="K21" s="9">
        <f t="shared" si="0"/>
        <v>1000</v>
      </c>
    </row>
    <row r="22" spans="1:11" ht="15.6" x14ac:dyDescent="0.3">
      <c r="A22" s="7"/>
      <c r="B22" s="7"/>
      <c r="C22" s="1"/>
      <c r="D22" s="1"/>
      <c r="E22" s="2"/>
      <c r="F22" s="7"/>
      <c r="G22" s="7"/>
      <c r="H22" s="9"/>
      <c r="I22" s="32"/>
      <c r="J22" s="10"/>
      <c r="K22" s="9">
        <f t="shared" si="0"/>
        <v>0</v>
      </c>
    </row>
    <row r="23" spans="1:11" ht="15.6" x14ac:dyDescent="0.3">
      <c r="A23" s="7">
        <v>180925</v>
      </c>
      <c r="B23" s="7">
        <v>304</v>
      </c>
      <c r="C23" s="1">
        <v>0.7</v>
      </c>
      <c r="D23" s="1" t="s">
        <v>71</v>
      </c>
      <c r="E23" s="2" t="s">
        <v>160</v>
      </c>
      <c r="F23" s="7" t="s">
        <v>34</v>
      </c>
      <c r="G23" s="7">
        <v>430</v>
      </c>
      <c r="H23" s="9">
        <v>2100</v>
      </c>
      <c r="I23" s="32"/>
      <c r="J23" s="10">
        <v>1300</v>
      </c>
      <c r="K23" s="9">
        <f t="shared" si="0"/>
        <v>800</v>
      </c>
    </row>
    <row r="24" spans="1:11" ht="15.6" x14ac:dyDescent="0.3">
      <c r="A24" s="7">
        <v>180925</v>
      </c>
      <c r="B24" s="7">
        <v>304</v>
      </c>
      <c r="C24" s="1">
        <v>0.7</v>
      </c>
      <c r="D24" s="1" t="s">
        <v>71</v>
      </c>
      <c r="E24" s="2" t="s">
        <v>161</v>
      </c>
      <c r="F24" s="7" t="s">
        <v>34</v>
      </c>
      <c r="G24" s="7">
        <v>430</v>
      </c>
      <c r="H24" s="9">
        <v>2100</v>
      </c>
      <c r="I24" s="32"/>
      <c r="J24" s="10">
        <f>660+640</f>
        <v>1300</v>
      </c>
      <c r="K24" s="9">
        <f t="shared" si="0"/>
        <v>800</v>
      </c>
    </row>
    <row r="25" spans="1:11" ht="15.6" x14ac:dyDescent="0.3">
      <c r="A25" s="7">
        <v>180925</v>
      </c>
      <c r="B25" s="7">
        <v>304</v>
      </c>
      <c r="C25" s="1">
        <v>0.7</v>
      </c>
      <c r="D25" s="1" t="s">
        <v>71</v>
      </c>
      <c r="E25" s="2" t="s">
        <v>162</v>
      </c>
      <c r="F25" s="7" t="s">
        <v>34</v>
      </c>
      <c r="G25" s="7">
        <v>430</v>
      </c>
      <c r="H25" s="9">
        <v>2100</v>
      </c>
      <c r="I25" s="32"/>
      <c r="J25" s="10">
        <f>780+519+783</f>
        <v>2082</v>
      </c>
      <c r="K25" s="9">
        <f t="shared" si="0"/>
        <v>18</v>
      </c>
    </row>
    <row r="26" spans="1:11" ht="15.6" x14ac:dyDescent="0.3">
      <c r="A26" s="7">
        <v>180925</v>
      </c>
      <c r="B26" s="7">
        <v>304</v>
      </c>
      <c r="C26" s="1">
        <v>0.7</v>
      </c>
      <c r="D26" s="1" t="s">
        <v>71</v>
      </c>
      <c r="E26" s="2" t="s">
        <v>163</v>
      </c>
      <c r="F26" s="7" t="s">
        <v>34</v>
      </c>
      <c r="G26" s="7">
        <v>430</v>
      </c>
      <c r="H26" s="9">
        <v>2100</v>
      </c>
      <c r="I26" s="32"/>
      <c r="J26" s="10">
        <f>1300+826</f>
        <v>2126</v>
      </c>
      <c r="K26" s="9">
        <f t="shared" si="0"/>
        <v>-26</v>
      </c>
    </row>
    <row r="27" spans="1:11" ht="15.6" x14ac:dyDescent="0.3">
      <c r="A27" s="7">
        <v>180925</v>
      </c>
      <c r="B27" s="7">
        <v>304</v>
      </c>
      <c r="C27" s="1">
        <v>0.7</v>
      </c>
      <c r="D27" s="1" t="s">
        <v>71</v>
      </c>
      <c r="E27" s="2" t="s">
        <v>165</v>
      </c>
      <c r="F27" s="7" t="s">
        <v>34</v>
      </c>
      <c r="G27" s="7">
        <v>430</v>
      </c>
      <c r="H27" s="9">
        <v>2100</v>
      </c>
      <c r="I27" s="32"/>
      <c r="J27" s="10">
        <f>60+1000+240</f>
        <v>1300</v>
      </c>
      <c r="K27" s="9">
        <f t="shared" si="0"/>
        <v>800</v>
      </c>
    </row>
    <row r="28" spans="1:11" ht="15.6" x14ac:dyDescent="0.3">
      <c r="A28" s="7"/>
      <c r="B28" s="7"/>
      <c r="C28" s="1"/>
      <c r="D28" s="1"/>
      <c r="E28" s="2"/>
      <c r="F28" s="7"/>
      <c r="G28" s="7"/>
      <c r="H28" s="9"/>
      <c r="I28" s="32"/>
      <c r="J28" s="10"/>
      <c r="K28" s="9">
        <f t="shared" si="0"/>
        <v>0</v>
      </c>
    </row>
    <row r="29" spans="1:11" ht="15.6" x14ac:dyDescent="0.3">
      <c r="A29" s="7">
        <v>250077</v>
      </c>
      <c r="B29" s="7">
        <v>430</v>
      </c>
      <c r="C29" s="1">
        <v>0.5</v>
      </c>
      <c r="D29" s="1" t="s">
        <v>12</v>
      </c>
      <c r="E29" s="2" t="s">
        <v>164</v>
      </c>
      <c r="F29" s="7" t="s">
        <v>34</v>
      </c>
      <c r="G29" s="7">
        <v>430</v>
      </c>
      <c r="H29" s="9">
        <v>1400</v>
      </c>
      <c r="I29" s="32"/>
      <c r="J29" s="10">
        <f>937+400+63</f>
        <v>1400</v>
      </c>
      <c r="K29" s="9">
        <f t="shared" si="0"/>
        <v>0</v>
      </c>
    </row>
    <row r="30" spans="1:11" ht="15.6" x14ac:dyDescent="0.3">
      <c r="A30" s="7">
        <v>250077</v>
      </c>
      <c r="B30" s="7">
        <v>430</v>
      </c>
      <c r="C30" s="1">
        <v>0.5</v>
      </c>
      <c r="D30" s="1" t="s">
        <v>167</v>
      </c>
      <c r="E30" s="2" t="s">
        <v>166</v>
      </c>
      <c r="F30" s="7" t="s">
        <v>158</v>
      </c>
      <c r="G30" s="7" t="s">
        <v>159</v>
      </c>
      <c r="H30" s="9">
        <v>1400</v>
      </c>
      <c r="I30" s="32"/>
      <c r="J30" s="10">
        <f>937+400+63</f>
        <v>1400</v>
      </c>
      <c r="K30" s="9">
        <f t="shared" si="0"/>
        <v>0</v>
      </c>
    </row>
    <row r="31" spans="1:11" ht="15.6" x14ac:dyDescent="0.3">
      <c r="A31" s="7"/>
      <c r="B31" s="7"/>
      <c r="C31" s="1"/>
      <c r="D31" s="1"/>
      <c r="E31" s="2"/>
      <c r="F31" s="7"/>
      <c r="G31" s="7"/>
      <c r="H31" s="9"/>
      <c r="I31" s="32"/>
      <c r="J31" s="10"/>
      <c r="K31" s="9">
        <f t="shared" si="0"/>
        <v>0</v>
      </c>
    </row>
    <row r="32" spans="1:11" ht="15.6" x14ac:dyDescent="0.3">
      <c r="A32" s="7">
        <v>250077</v>
      </c>
      <c r="B32" s="7">
        <v>430</v>
      </c>
      <c r="C32" s="1">
        <v>0.5</v>
      </c>
      <c r="D32" s="1" t="s">
        <v>12</v>
      </c>
      <c r="E32" s="2" t="s">
        <v>168</v>
      </c>
      <c r="F32" s="7" t="s">
        <v>34</v>
      </c>
      <c r="G32" s="7">
        <v>430</v>
      </c>
      <c r="H32" s="9">
        <v>1400</v>
      </c>
      <c r="I32" s="32"/>
      <c r="J32" s="10">
        <f>655+745</f>
        <v>1400</v>
      </c>
      <c r="K32" s="9">
        <f t="shared" si="0"/>
        <v>0</v>
      </c>
    </row>
    <row r="33" spans="1:11" ht="15.6" x14ac:dyDescent="0.3">
      <c r="A33" s="7">
        <v>250077</v>
      </c>
      <c r="B33" s="7">
        <v>430</v>
      </c>
      <c r="C33" s="1">
        <v>0.5</v>
      </c>
      <c r="D33" s="1" t="s">
        <v>167</v>
      </c>
      <c r="E33" s="2" t="s">
        <v>169</v>
      </c>
      <c r="F33" s="7" t="s">
        <v>34</v>
      </c>
      <c r="G33" s="7" t="s">
        <v>159</v>
      </c>
      <c r="H33" s="9">
        <v>1400</v>
      </c>
      <c r="I33" s="32"/>
      <c r="J33" s="10">
        <f>655+745</f>
        <v>1400</v>
      </c>
      <c r="K33" s="9">
        <f t="shared" si="0"/>
        <v>0</v>
      </c>
    </row>
    <row r="34" spans="1:11" ht="15.6" x14ac:dyDescent="0.3">
      <c r="A34" s="7"/>
      <c r="B34" s="7"/>
      <c r="C34" s="1"/>
      <c r="D34" s="1"/>
      <c r="E34" s="2"/>
      <c r="F34" s="7"/>
      <c r="G34" s="7"/>
      <c r="H34" s="9"/>
      <c r="I34" s="32"/>
      <c r="J34" s="10"/>
      <c r="K34" s="9">
        <f t="shared" si="0"/>
        <v>0</v>
      </c>
    </row>
    <row r="35" spans="1:11" ht="15.6" x14ac:dyDescent="0.3">
      <c r="A35" s="7">
        <v>250043</v>
      </c>
      <c r="B35" s="7">
        <v>304</v>
      </c>
      <c r="C35" s="1">
        <v>0.6</v>
      </c>
      <c r="D35" s="1" t="s">
        <v>71</v>
      </c>
      <c r="E35" s="2" t="s">
        <v>184</v>
      </c>
      <c r="F35" s="7" t="s">
        <v>73</v>
      </c>
      <c r="G35" s="7">
        <v>304</v>
      </c>
      <c r="H35" s="9">
        <v>750</v>
      </c>
      <c r="I35" s="32"/>
      <c r="J35" s="10"/>
      <c r="K35" s="9">
        <f t="shared" si="0"/>
        <v>750</v>
      </c>
    </row>
    <row r="36" spans="1:11" ht="15.6" x14ac:dyDescent="0.3">
      <c r="A36" s="7">
        <v>250043</v>
      </c>
      <c r="B36" s="7">
        <v>304</v>
      </c>
      <c r="C36" s="1">
        <v>0.6</v>
      </c>
      <c r="D36" s="1" t="s">
        <v>71</v>
      </c>
      <c r="E36" s="2" t="s">
        <v>185</v>
      </c>
      <c r="F36" s="7" t="s">
        <v>73</v>
      </c>
      <c r="G36" s="7">
        <v>304</v>
      </c>
      <c r="H36" s="9">
        <v>750</v>
      </c>
      <c r="I36" s="32"/>
      <c r="J36" s="10"/>
      <c r="K36" s="9">
        <f t="shared" si="0"/>
        <v>750</v>
      </c>
    </row>
    <row r="37" spans="1:11" ht="15.6" x14ac:dyDescent="0.3">
      <c r="A37" s="7">
        <v>250043</v>
      </c>
      <c r="B37" s="7">
        <v>304</v>
      </c>
      <c r="C37" s="1">
        <v>0.6</v>
      </c>
      <c r="D37" s="1" t="s">
        <v>71</v>
      </c>
      <c r="E37" s="2" t="s">
        <v>186</v>
      </c>
      <c r="F37" s="7" t="s">
        <v>73</v>
      </c>
      <c r="G37" s="7">
        <v>304</v>
      </c>
      <c r="H37" s="9">
        <v>750</v>
      </c>
      <c r="I37" s="32"/>
      <c r="J37" s="10"/>
      <c r="K37" s="9">
        <f t="shared" si="0"/>
        <v>750</v>
      </c>
    </row>
    <row r="38" spans="1:11" ht="15.6" x14ac:dyDescent="0.3">
      <c r="A38" s="7"/>
      <c r="B38" s="7"/>
      <c r="C38" s="1"/>
      <c r="D38" s="1"/>
      <c r="E38" s="2"/>
      <c r="F38" s="7"/>
      <c r="G38" s="7"/>
      <c r="H38" s="9"/>
      <c r="I38" s="32"/>
      <c r="J38" s="10"/>
      <c r="K38" s="9"/>
    </row>
    <row r="39" spans="1:11" ht="15.6" x14ac:dyDescent="0.3">
      <c r="A39" s="7">
        <v>250043</v>
      </c>
      <c r="B39" s="7">
        <v>304</v>
      </c>
      <c r="C39" s="1">
        <v>0.6</v>
      </c>
      <c r="D39" s="1" t="s">
        <v>71</v>
      </c>
      <c r="E39" s="2" t="s">
        <v>187</v>
      </c>
      <c r="F39" s="7" t="s">
        <v>73</v>
      </c>
      <c r="G39" s="7">
        <v>304</v>
      </c>
      <c r="H39" s="9">
        <v>300</v>
      </c>
      <c r="I39" s="32"/>
      <c r="J39" s="10"/>
      <c r="K39" s="9">
        <f t="shared" ref="K39:K41" si="1">H39-J39</f>
        <v>300</v>
      </c>
    </row>
    <row r="40" spans="1:11" ht="15.6" x14ac:dyDescent="0.3">
      <c r="A40" s="7">
        <v>250043</v>
      </c>
      <c r="B40" s="7">
        <v>304</v>
      </c>
      <c r="C40" s="1">
        <v>0.6</v>
      </c>
      <c r="D40" s="1" t="s">
        <v>71</v>
      </c>
      <c r="E40" s="2" t="s">
        <v>188</v>
      </c>
      <c r="F40" s="7" t="s">
        <v>73</v>
      </c>
      <c r="G40" s="7">
        <v>304</v>
      </c>
      <c r="H40" s="9">
        <v>300</v>
      </c>
      <c r="I40" s="32"/>
      <c r="J40" s="10"/>
      <c r="K40" s="9">
        <f t="shared" si="1"/>
        <v>300</v>
      </c>
    </row>
    <row r="41" spans="1:11" ht="15.6" x14ac:dyDescent="0.3">
      <c r="A41" s="7">
        <v>250043</v>
      </c>
      <c r="B41" s="7">
        <v>304</v>
      </c>
      <c r="C41" s="1">
        <v>0.6</v>
      </c>
      <c r="D41" s="1" t="s">
        <v>71</v>
      </c>
      <c r="E41" s="2" t="s">
        <v>189</v>
      </c>
      <c r="F41" s="7" t="s">
        <v>73</v>
      </c>
      <c r="G41" s="7">
        <v>304</v>
      </c>
      <c r="H41" s="9">
        <v>300</v>
      </c>
      <c r="I41" s="32"/>
      <c r="J41" s="10"/>
      <c r="K41" s="9">
        <f t="shared" si="1"/>
        <v>300</v>
      </c>
    </row>
    <row r="42" spans="1:11" ht="15.6" x14ac:dyDescent="0.3">
      <c r="A42" s="7"/>
      <c r="B42" s="7"/>
      <c r="C42" s="1"/>
      <c r="D42" s="1"/>
      <c r="E42" s="2"/>
      <c r="F42" s="7"/>
      <c r="G42" s="7"/>
      <c r="H42" s="9"/>
      <c r="I42" s="32"/>
      <c r="J42" s="10"/>
      <c r="K42" s="9"/>
    </row>
    <row r="43" spans="1:11" ht="15.6" x14ac:dyDescent="0.3">
      <c r="A43" s="7">
        <v>250046</v>
      </c>
      <c r="B43" s="7">
        <v>304</v>
      </c>
      <c r="C43" s="1">
        <v>0.7</v>
      </c>
      <c r="D43" s="1" t="s">
        <v>167</v>
      </c>
      <c r="E43" s="2" t="s">
        <v>171</v>
      </c>
      <c r="F43" s="7" t="s">
        <v>34</v>
      </c>
      <c r="G43" s="7">
        <v>304</v>
      </c>
      <c r="H43" s="9">
        <v>950</v>
      </c>
      <c r="I43" s="32"/>
      <c r="J43" s="10"/>
      <c r="K43" s="9">
        <f t="shared" si="0"/>
        <v>950</v>
      </c>
    </row>
    <row r="44" spans="1:11" ht="15.6" x14ac:dyDescent="0.3">
      <c r="A44" s="7">
        <v>250046</v>
      </c>
      <c r="B44" s="7">
        <v>304</v>
      </c>
      <c r="C44" s="1">
        <v>0.7</v>
      </c>
      <c r="D44" s="1" t="s">
        <v>167</v>
      </c>
      <c r="E44" s="2" t="s">
        <v>173</v>
      </c>
      <c r="F44" s="7" t="s">
        <v>34</v>
      </c>
      <c r="G44" s="7">
        <v>304</v>
      </c>
      <c r="H44" s="9">
        <v>950</v>
      </c>
      <c r="I44" s="32">
        <v>45</v>
      </c>
      <c r="J44" s="10"/>
      <c r="K44" s="9">
        <f t="shared" si="0"/>
        <v>950</v>
      </c>
    </row>
    <row r="45" spans="1:11" ht="15.6" x14ac:dyDescent="0.3">
      <c r="A45" s="7">
        <v>250046</v>
      </c>
      <c r="B45" s="7">
        <v>304</v>
      </c>
      <c r="C45" s="1">
        <v>0.7</v>
      </c>
      <c r="D45" s="1" t="s">
        <v>167</v>
      </c>
      <c r="E45" s="2" t="s">
        <v>174</v>
      </c>
      <c r="F45" s="7" t="s">
        <v>34</v>
      </c>
      <c r="G45" s="7">
        <v>304</v>
      </c>
      <c r="H45" s="9">
        <v>950</v>
      </c>
      <c r="I45" s="32"/>
      <c r="J45" s="10"/>
      <c r="K45" s="9">
        <f t="shared" si="0"/>
        <v>950</v>
      </c>
    </row>
    <row r="46" spans="1:11" ht="15.6" x14ac:dyDescent="0.3">
      <c r="A46" s="7">
        <v>250046</v>
      </c>
      <c r="B46" s="7">
        <v>304</v>
      </c>
      <c r="C46" s="1">
        <v>0.7</v>
      </c>
      <c r="D46" s="1" t="s">
        <v>167</v>
      </c>
      <c r="E46" s="2" t="s">
        <v>183</v>
      </c>
      <c r="F46" s="7" t="s">
        <v>34</v>
      </c>
      <c r="G46" s="7">
        <v>304</v>
      </c>
      <c r="H46" s="9">
        <v>950</v>
      </c>
      <c r="I46" s="32"/>
      <c r="J46" s="10"/>
      <c r="K46" s="9">
        <f t="shared" si="0"/>
        <v>950</v>
      </c>
    </row>
    <row r="47" spans="1:11" ht="15.6" x14ac:dyDescent="0.3">
      <c r="A47" s="7"/>
      <c r="B47" s="7"/>
      <c r="C47" s="1"/>
      <c r="D47" s="1"/>
      <c r="E47" s="2"/>
      <c r="F47" s="7"/>
      <c r="G47" s="7"/>
      <c r="H47" s="9"/>
      <c r="I47" s="32"/>
      <c r="J47" s="10"/>
      <c r="K47" s="9">
        <f t="shared" si="0"/>
        <v>0</v>
      </c>
    </row>
    <row r="48" spans="1:11" ht="15.6" x14ac:dyDescent="0.3">
      <c r="A48" s="7">
        <v>250048</v>
      </c>
      <c r="B48" s="7">
        <v>304</v>
      </c>
      <c r="C48" s="1">
        <v>0.7</v>
      </c>
      <c r="D48" s="1" t="s">
        <v>167</v>
      </c>
      <c r="E48" s="2" t="s">
        <v>175</v>
      </c>
      <c r="F48" s="7" t="s">
        <v>34</v>
      </c>
      <c r="G48" s="7">
        <v>304</v>
      </c>
      <c r="H48" s="9">
        <v>570</v>
      </c>
      <c r="I48" s="32">
        <v>21</v>
      </c>
      <c r="J48" s="10"/>
      <c r="K48" s="9">
        <f t="shared" si="0"/>
        <v>570</v>
      </c>
    </row>
    <row r="49" spans="1:11" ht="15.6" x14ac:dyDescent="0.3">
      <c r="A49" s="7">
        <v>250048</v>
      </c>
      <c r="B49" s="7">
        <v>304</v>
      </c>
      <c r="C49" s="1">
        <v>0.7</v>
      </c>
      <c r="D49" s="1" t="s">
        <v>167</v>
      </c>
      <c r="E49" s="2" t="s">
        <v>176</v>
      </c>
      <c r="F49" s="7" t="s">
        <v>34</v>
      </c>
      <c r="G49" s="7">
        <v>304</v>
      </c>
      <c r="H49" s="9">
        <v>570</v>
      </c>
      <c r="I49" s="32">
        <v>19</v>
      </c>
      <c r="J49" s="10"/>
      <c r="K49" s="9">
        <f t="shared" si="0"/>
        <v>570</v>
      </c>
    </row>
    <row r="50" spans="1:11" ht="15.6" x14ac:dyDescent="0.3">
      <c r="A50" s="7">
        <v>250048</v>
      </c>
      <c r="B50" s="7">
        <v>304</v>
      </c>
      <c r="C50" s="1">
        <v>0.7</v>
      </c>
      <c r="D50" s="1" t="s">
        <v>167</v>
      </c>
      <c r="E50" s="2" t="s">
        <v>177</v>
      </c>
      <c r="F50" s="7" t="s">
        <v>34</v>
      </c>
      <c r="G50" s="7">
        <v>304</v>
      </c>
      <c r="H50" s="9">
        <v>570</v>
      </c>
      <c r="I50" s="32">
        <v>100</v>
      </c>
      <c r="J50" s="10"/>
      <c r="K50" s="9">
        <f t="shared" ref="K50:K82" si="2">H50-J50</f>
        <v>570</v>
      </c>
    </row>
    <row r="51" spans="1:11" ht="15.6" x14ac:dyDescent="0.3">
      <c r="A51" s="7">
        <v>250048</v>
      </c>
      <c r="B51" s="7">
        <v>304</v>
      </c>
      <c r="C51" s="1">
        <v>0.7</v>
      </c>
      <c r="D51" s="1" t="s">
        <v>167</v>
      </c>
      <c r="E51" s="2" t="s">
        <v>178</v>
      </c>
      <c r="F51" s="7" t="s">
        <v>34</v>
      </c>
      <c r="G51" s="7">
        <v>304</v>
      </c>
      <c r="H51" s="9">
        <v>570</v>
      </c>
      <c r="I51" s="32">
        <v>328</v>
      </c>
      <c r="J51" s="10"/>
      <c r="K51" s="9">
        <f t="shared" si="2"/>
        <v>570</v>
      </c>
    </row>
    <row r="52" spans="1:11" ht="15.6" x14ac:dyDescent="0.3">
      <c r="A52" s="7">
        <v>250048</v>
      </c>
      <c r="B52" s="7">
        <v>304</v>
      </c>
      <c r="C52" s="1">
        <v>0.7</v>
      </c>
      <c r="D52" s="1" t="s">
        <v>167</v>
      </c>
      <c r="E52" s="2" t="s">
        <v>179</v>
      </c>
      <c r="F52" s="7" t="s">
        <v>34</v>
      </c>
      <c r="G52" s="7">
        <v>304</v>
      </c>
      <c r="H52" s="9">
        <v>570</v>
      </c>
      <c r="I52" s="32"/>
      <c r="J52" s="10"/>
      <c r="K52" s="9">
        <f t="shared" si="2"/>
        <v>570</v>
      </c>
    </row>
    <row r="53" spans="1:11" ht="15.6" x14ac:dyDescent="0.3">
      <c r="A53" s="7">
        <v>250048</v>
      </c>
      <c r="B53" s="7">
        <v>304</v>
      </c>
      <c r="C53" s="1">
        <v>0.7</v>
      </c>
      <c r="D53" s="1" t="s">
        <v>167</v>
      </c>
      <c r="E53" s="2" t="s">
        <v>180</v>
      </c>
      <c r="F53" s="7" t="s">
        <v>34</v>
      </c>
      <c r="G53" s="7">
        <v>304</v>
      </c>
      <c r="H53" s="9">
        <v>570</v>
      </c>
      <c r="I53" s="32"/>
      <c r="J53" s="10"/>
      <c r="K53" s="9">
        <f t="shared" si="2"/>
        <v>570</v>
      </c>
    </row>
    <row r="54" spans="1:11" ht="15.6" x14ac:dyDescent="0.3">
      <c r="A54" s="7">
        <v>250048</v>
      </c>
      <c r="B54" s="7">
        <v>304</v>
      </c>
      <c r="C54" s="1">
        <v>0.7</v>
      </c>
      <c r="D54" s="1" t="s">
        <v>167</v>
      </c>
      <c r="E54" s="2" t="s">
        <v>181</v>
      </c>
      <c r="F54" s="7" t="s">
        <v>34</v>
      </c>
      <c r="G54" s="7">
        <v>304</v>
      </c>
      <c r="H54" s="9">
        <v>570</v>
      </c>
      <c r="I54" s="32"/>
      <c r="J54" s="10"/>
      <c r="K54" s="9">
        <f t="shared" si="2"/>
        <v>570</v>
      </c>
    </row>
    <row r="55" spans="1:11" ht="15.6" x14ac:dyDescent="0.3">
      <c r="A55" s="7">
        <v>250048</v>
      </c>
      <c r="B55" s="7">
        <v>304</v>
      </c>
      <c r="C55" s="1">
        <v>0.7</v>
      </c>
      <c r="D55" s="1" t="s">
        <v>167</v>
      </c>
      <c r="E55" s="2" t="s">
        <v>182</v>
      </c>
      <c r="F55" s="7" t="s">
        <v>34</v>
      </c>
      <c r="G55" s="7">
        <v>304</v>
      </c>
      <c r="H55" s="9">
        <v>570</v>
      </c>
      <c r="I55" s="32"/>
      <c r="J55" s="10"/>
      <c r="K55" s="9">
        <f t="shared" si="2"/>
        <v>570</v>
      </c>
    </row>
    <row r="56" spans="1:11" ht="15.6" x14ac:dyDescent="0.3">
      <c r="A56" s="7"/>
      <c r="B56" s="7"/>
      <c r="C56" s="1"/>
      <c r="D56" s="1"/>
      <c r="E56" s="2"/>
      <c r="F56" s="7"/>
      <c r="G56" s="7"/>
      <c r="H56" s="9"/>
      <c r="I56" s="32"/>
      <c r="J56" s="10"/>
      <c r="K56" s="9">
        <f t="shared" si="2"/>
        <v>0</v>
      </c>
    </row>
    <row r="57" spans="1:11" ht="15.6" x14ac:dyDescent="0.3">
      <c r="A57" s="7">
        <v>250042</v>
      </c>
      <c r="B57" s="7">
        <v>304</v>
      </c>
      <c r="C57" s="1">
        <v>0.9</v>
      </c>
      <c r="D57" s="1" t="s">
        <v>71</v>
      </c>
      <c r="E57" s="2" t="s">
        <v>190</v>
      </c>
      <c r="F57" s="7" t="s">
        <v>191</v>
      </c>
      <c r="G57" s="7">
        <v>304</v>
      </c>
      <c r="H57" s="9">
        <v>750</v>
      </c>
      <c r="I57" s="32"/>
      <c r="J57" s="10"/>
      <c r="K57" s="9">
        <f t="shared" si="2"/>
        <v>750</v>
      </c>
    </row>
    <row r="58" spans="1:11" ht="15.6" x14ac:dyDescent="0.3">
      <c r="A58" s="7">
        <v>250042</v>
      </c>
      <c r="B58" s="7">
        <v>304</v>
      </c>
      <c r="C58" s="1">
        <v>0.9</v>
      </c>
      <c r="D58" s="1" t="s">
        <v>71</v>
      </c>
      <c r="E58" s="2" t="s">
        <v>192</v>
      </c>
      <c r="F58" s="7" t="s">
        <v>191</v>
      </c>
      <c r="G58" s="7">
        <v>304</v>
      </c>
      <c r="H58" s="9">
        <v>750</v>
      </c>
      <c r="I58" s="32"/>
      <c r="J58" s="10"/>
      <c r="K58" s="9">
        <f t="shared" si="2"/>
        <v>750</v>
      </c>
    </row>
    <row r="59" spans="1:11" ht="15.6" x14ac:dyDescent="0.3">
      <c r="A59" s="7">
        <v>250042</v>
      </c>
      <c r="B59" s="7">
        <v>304</v>
      </c>
      <c r="C59" s="1">
        <v>0.9</v>
      </c>
      <c r="D59" s="1" t="s">
        <v>71</v>
      </c>
      <c r="E59" s="2" t="s">
        <v>193</v>
      </c>
      <c r="F59" s="7" t="s">
        <v>191</v>
      </c>
      <c r="G59" s="7">
        <v>304</v>
      </c>
      <c r="H59" s="9">
        <v>750</v>
      </c>
      <c r="I59" s="32"/>
      <c r="J59" s="10"/>
      <c r="K59" s="9">
        <f t="shared" si="2"/>
        <v>750</v>
      </c>
    </row>
    <row r="60" spans="1:11" ht="15.6" x14ac:dyDescent="0.3">
      <c r="A60" s="7"/>
      <c r="B60" s="7"/>
      <c r="C60" s="1"/>
      <c r="D60" s="1"/>
      <c r="E60" s="2"/>
      <c r="F60" s="7"/>
      <c r="G60" s="7"/>
      <c r="H60" s="9"/>
      <c r="I60" s="32"/>
      <c r="J60" s="10"/>
      <c r="K60" s="9">
        <f t="shared" si="2"/>
        <v>0</v>
      </c>
    </row>
    <row r="61" spans="1:11" ht="15.6" x14ac:dyDescent="0.3">
      <c r="A61" s="7">
        <v>240625</v>
      </c>
      <c r="B61" s="7">
        <v>304</v>
      </c>
      <c r="C61" s="1">
        <v>0.7</v>
      </c>
      <c r="D61" s="1" t="s">
        <v>167</v>
      </c>
      <c r="E61" s="2" t="s">
        <v>195</v>
      </c>
      <c r="F61" s="7" t="s">
        <v>34</v>
      </c>
      <c r="G61" s="7">
        <v>304</v>
      </c>
      <c r="H61" s="9">
        <v>1000</v>
      </c>
      <c r="I61" s="32"/>
      <c r="J61" s="10">
        <v>270</v>
      </c>
      <c r="K61" s="9">
        <f t="shared" si="2"/>
        <v>730</v>
      </c>
    </row>
    <row r="62" spans="1:11" ht="15.6" x14ac:dyDescent="0.3">
      <c r="A62" s="7"/>
      <c r="B62" s="7"/>
      <c r="C62" s="1"/>
      <c r="D62" s="1"/>
      <c r="E62" s="2"/>
      <c r="F62" s="7"/>
      <c r="G62" s="7"/>
      <c r="H62" s="9"/>
      <c r="I62" s="32"/>
      <c r="J62" s="10"/>
      <c r="K62" s="9">
        <f t="shared" si="2"/>
        <v>0</v>
      </c>
    </row>
    <row r="63" spans="1:11" ht="15.6" x14ac:dyDescent="0.3">
      <c r="A63" s="7"/>
      <c r="B63" s="7"/>
      <c r="C63" s="1"/>
      <c r="D63" s="1"/>
      <c r="E63" s="2"/>
      <c r="F63" s="7"/>
      <c r="G63" s="7"/>
      <c r="H63" s="9"/>
      <c r="I63" s="32"/>
      <c r="J63" s="10"/>
      <c r="K63" s="9">
        <f t="shared" si="2"/>
        <v>0</v>
      </c>
    </row>
    <row r="64" spans="1:11" ht="15.6" x14ac:dyDescent="0.3">
      <c r="A64" s="7"/>
      <c r="B64" s="7"/>
      <c r="C64" s="1"/>
      <c r="D64" s="1"/>
      <c r="E64" s="2"/>
      <c r="F64" s="7"/>
      <c r="G64" s="7"/>
      <c r="H64" s="9"/>
      <c r="I64" s="32"/>
      <c r="J64" s="10"/>
      <c r="K64" s="9">
        <f t="shared" si="2"/>
        <v>0</v>
      </c>
    </row>
    <row r="65" spans="1:11" ht="15.6" x14ac:dyDescent="0.3">
      <c r="A65" s="7"/>
      <c r="B65" s="7"/>
      <c r="C65" s="1"/>
      <c r="D65" s="1"/>
      <c r="E65" s="2"/>
      <c r="F65" s="7"/>
      <c r="G65" s="7"/>
      <c r="H65" s="9"/>
      <c r="I65" s="32"/>
      <c r="J65" s="10"/>
      <c r="K65" s="9">
        <f t="shared" si="2"/>
        <v>0</v>
      </c>
    </row>
    <row r="66" spans="1:11" ht="15.6" x14ac:dyDescent="0.3">
      <c r="A66" s="7"/>
      <c r="B66" s="7"/>
      <c r="C66" s="1"/>
      <c r="D66" s="1"/>
      <c r="E66" s="2"/>
      <c r="F66" s="7"/>
      <c r="G66" s="7"/>
      <c r="H66" s="9"/>
      <c r="I66" s="32"/>
      <c r="J66" s="10"/>
      <c r="K66" s="9">
        <f t="shared" si="2"/>
        <v>0</v>
      </c>
    </row>
    <row r="67" spans="1:11" ht="15.6" x14ac:dyDescent="0.3">
      <c r="A67" s="7"/>
      <c r="B67" s="7"/>
      <c r="C67" s="1"/>
      <c r="D67" s="1"/>
      <c r="E67" s="2"/>
      <c r="F67" s="7"/>
      <c r="G67" s="7"/>
      <c r="H67" s="9"/>
      <c r="I67" s="32"/>
      <c r="J67" s="10"/>
      <c r="K67" s="9">
        <f t="shared" si="2"/>
        <v>0</v>
      </c>
    </row>
    <row r="68" spans="1:11" ht="15.6" x14ac:dyDescent="0.3">
      <c r="A68" s="7"/>
      <c r="B68" s="7"/>
      <c r="C68" s="1"/>
      <c r="D68" s="1"/>
      <c r="E68" s="2"/>
      <c r="F68" s="7"/>
      <c r="G68" s="7"/>
      <c r="H68" s="9"/>
      <c r="I68" s="32"/>
      <c r="J68" s="10"/>
      <c r="K68" s="9">
        <f t="shared" si="2"/>
        <v>0</v>
      </c>
    </row>
    <row r="69" spans="1:11" ht="15.6" x14ac:dyDescent="0.3">
      <c r="A69" s="7"/>
      <c r="B69" s="7"/>
      <c r="C69" s="1"/>
      <c r="D69" s="1"/>
      <c r="E69" s="2"/>
      <c r="F69" s="7"/>
      <c r="G69" s="7"/>
      <c r="H69" s="9"/>
      <c r="I69" s="32"/>
      <c r="J69" s="10"/>
      <c r="K69" s="9">
        <f t="shared" si="2"/>
        <v>0</v>
      </c>
    </row>
    <row r="70" spans="1:11" ht="15.6" x14ac:dyDescent="0.3">
      <c r="A70" s="7"/>
      <c r="B70" s="7"/>
      <c r="C70" s="1"/>
      <c r="D70" s="1"/>
      <c r="E70" s="2"/>
      <c r="F70" s="7"/>
      <c r="G70" s="7"/>
      <c r="H70" s="9"/>
      <c r="I70" s="32"/>
      <c r="J70" s="10"/>
      <c r="K70" s="9">
        <f t="shared" si="2"/>
        <v>0</v>
      </c>
    </row>
    <row r="71" spans="1:11" ht="15.6" x14ac:dyDescent="0.3">
      <c r="A71" s="7"/>
      <c r="B71" s="7"/>
      <c r="C71" s="1"/>
      <c r="D71" s="1"/>
      <c r="E71" s="2"/>
      <c r="F71" s="7"/>
      <c r="G71" s="7"/>
      <c r="H71" s="9"/>
      <c r="I71" s="32"/>
      <c r="J71" s="10"/>
      <c r="K71" s="9">
        <f t="shared" si="2"/>
        <v>0</v>
      </c>
    </row>
    <row r="72" spans="1:11" ht="15.6" x14ac:dyDescent="0.3">
      <c r="A72" s="7"/>
      <c r="B72" s="7"/>
      <c r="C72" s="1"/>
      <c r="D72" s="1"/>
      <c r="E72" s="2"/>
      <c r="F72" s="7"/>
      <c r="G72" s="7"/>
      <c r="H72" s="9"/>
      <c r="I72" s="32"/>
      <c r="J72" s="10"/>
      <c r="K72" s="9">
        <f t="shared" si="2"/>
        <v>0</v>
      </c>
    </row>
    <row r="73" spans="1:11" ht="15.6" x14ac:dyDescent="0.3">
      <c r="A73" s="7"/>
      <c r="B73" s="7"/>
      <c r="C73" s="1"/>
      <c r="D73" s="1"/>
      <c r="E73" s="2"/>
      <c r="F73" s="7"/>
      <c r="G73" s="7"/>
      <c r="H73" s="9"/>
      <c r="I73" s="32"/>
      <c r="J73" s="10"/>
      <c r="K73" s="9">
        <f t="shared" si="2"/>
        <v>0</v>
      </c>
    </row>
    <row r="74" spans="1:11" ht="15.6" x14ac:dyDescent="0.3">
      <c r="A74" s="7"/>
      <c r="B74" s="7"/>
      <c r="C74" s="1"/>
      <c r="D74" s="1"/>
      <c r="E74" s="2"/>
      <c r="F74" s="7"/>
      <c r="G74" s="7"/>
      <c r="H74" s="9"/>
      <c r="I74" s="32"/>
      <c r="J74" s="10"/>
      <c r="K74" s="9">
        <f t="shared" si="2"/>
        <v>0</v>
      </c>
    </row>
    <row r="75" spans="1:11" ht="15.6" x14ac:dyDescent="0.3">
      <c r="A75" s="7"/>
      <c r="B75" s="7"/>
      <c r="C75" s="1"/>
      <c r="D75" s="1"/>
      <c r="E75" s="2"/>
      <c r="F75" s="7"/>
      <c r="G75" s="7"/>
      <c r="H75" s="9"/>
      <c r="I75" s="32"/>
      <c r="J75" s="10"/>
      <c r="K75" s="9">
        <f t="shared" si="2"/>
        <v>0</v>
      </c>
    </row>
    <row r="76" spans="1:11" ht="15.6" x14ac:dyDescent="0.3">
      <c r="A76" s="7"/>
      <c r="B76" s="7"/>
      <c r="C76" s="1"/>
      <c r="D76" s="1"/>
      <c r="E76" s="2"/>
      <c r="F76" s="7"/>
      <c r="G76" s="7"/>
      <c r="H76" s="9"/>
      <c r="I76" s="32"/>
      <c r="J76" s="10"/>
      <c r="K76" s="9">
        <f t="shared" si="2"/>
        <v>0</v>
      </c>
    </row>
    <row r="77" spans="1:11" ht="15.6" x14ac:dyDescent="0.3">
      <c r="A77" s="7"/>
      <c r="B77" s="7"/>
      <c r="C77" s="1"/>
      <c r="D77" s="1"/>
      <c r="E77" s="2"/>
      <c r="F77" s="7"/>
      <c r="G77" s="7"/>
      <c r="H77" s="9"/>
      <c r="I77" s="32"/>
      <c r="J77" s="10"/>
      <c r="K77" s="9">
        <f t="shared" si="2"/>
        <v>0</v>
      </c>
    </row>
    <row r="78" spans="1:11" ht="15.6" x14ac:dyDescent="0.3">
      <c r="A78" s="7"/>
      <c r="B78" s="7"/>
      <c r="C78" s="1"/>
      <c r="D78" s="1"/>
      <c r="E78" s="2"/>
      <c r="F78" s="7"/>
      <c r="G78" s="7"/>
      <c r="H78" s="9"/>
      <c r="I78" s="32"/>
      <c r="J78" s="10"/>
      <c r="K78" s="9">
        <f t="shared" si="2"/>
        <v>0</v>
      </c>
    </row>
    <row r="79" spans="1:11" ht="15.6" x14ac:dyDescent="0.3">
      <c r="A79" s="7"/>
      <c r="B79" s="7"/>
      <c r="C79" s="1"/>
      <c r="D79" s="1"/>
      <c r="E79" s="2"/>
      <c r="F79" s="7"/>
      <c r="G79" s="7"/>
      <c r="H79" s="9"/>
      <c r="I79" s="32"/>
      <c r="J79" s="10"/>
      <c r="K79" s="9">
        <f t="shared" si="2"/>
        <v>0</v>
      </c>
    </row>
    <row r="80" spans="1:11" ht="15.6" x14ac:dyDescent="0.3">
      <c r="A80" s="7"/>
      <c r="B80" s="7"/>
      <c r="C80" s="1"/>
      <c r="D80" s="1"/>
      <c r="E80" s="2"/>
      <c r="F80" s="7"/>
      <c r="G80" s="7"/>
      <c r="H80" s="9"/>
      <c r="I80" s="32"/>
      <c r="J80" s="10"/>
      <c r="K80" s="9">
        <f t="shared" si="2"/>
        <v>0</v>
      </c>
    </row>
    <row r="81" spans="1:11" ht="15.6" x14ac:dyDescent="0.3">
      <c r="A81" s="7"/>
      <c r="B81" s="7"/>
      <c r="C81" s="1"/>
      <c r="D81" s="1"/>
      <c r="E81" s="2"/>
      <c r="F81" s="7"/>
      <c r="G81" s="7"/>
      <c r="H81" s="9"/>
      <c r="I81" s="32"/>
      <c r="J81" s="10"/>
      <c r="K81" s="9">
        <f t="shared" si="2"/>
        <v>0</v>
      </c>
    </row>
    <row r="82" spans="1:11" ht="15.6" x14ac:dyDescent="0.3">
      <c r="A82" s="7"/>
      <c r="B82" s="7"/>
      <c r="C82" s="1"/>
      <c r="D82" s="1"/>
      <c r="E82" s="2"/>
      <c r="F82" s="7"/>
      <c r="G82" s="7"/>
      <c r="H82" s="9"/>
      <c r="I82" s="32"/>
      <c r="J82" s="10"/>
      <c r="K82" s="9">
        <f t="shared" si="2"/>
        <v>0</v>
      </c>
    </row>
    <row r="83" spans="1:11" ht="15.6" x14ac:dyDescent="0.3">
      <c r="A83" s="11"/>
      <c r="B83" s="11"/>
      <c r="C83" s="12"/>
      <c r="D83" s="12"/>
      <c r="E83" s="13"/>
      <c r="F83" s="11"/>
      <c r="G83" s="14"/>
      <c r="H83" s="9">
        <f>SUM(H4:H82)</f>
        <v>49610</v>
      </c>
      <c r="I83" s="27"/>
      <c r="J83" s="10">
        <f>SUM(J4:J82)</f>
        <v>16627</v>
      </c>
      <c r="K83" s="9">
        <f>SUM(K4:K82)</f>
        <v>32983</v>
      </c>
    </row>
  </sheetData>
  <mergeCells count="2">
    <mergeCell ref="J1:K1"/>
    <mergeCell ref="A2:K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9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PAKETLEME MONTAJ ANA TASLAK</vt:lpstr>
      <vt:lpstr>15.09.2025</vt:lpstr>
      <vt:lpstr>24.09.2025</vt:lpstr>
      <vt:lpstr>39.Hafta 2025</vt:lpstr>
      <vt:lpstr>40.Hafta 2025</vt:lpstr>
      <vt:lpstr>41.Hafta 2025</vt:lpstr>
      <vt:lpstr>42.Hafta 2025</vt:lpstr>
      <vt:lpstr>43.HAFTA 2025</vt:lpstr>
      <vt:lpstr>44. HAFTA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2025-11-04T15:47:24Z</dcterms:modified>
</cp:coreProperties>
</file>