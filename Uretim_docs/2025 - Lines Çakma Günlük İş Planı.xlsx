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7256" windowHeight="5772" firstSheet="30" activeTab="37"/>
  </bookViews>
  <sheets>
    <sheet name="ÇAKMA ANA TASLAK" sheetId="4" r:id="rId1"/>
    <sheet name="15.09.2025" sheetId="3" r:id="rId2"/>
    <sheet name="16.09.2025" sheetId="6" r:id="rId3"/>
    <sheet name="17.09.2025" sheetId="7" r:id="rId4"/>
    <sheet name="18.09.2025" sheetId="9" r:id="rId5"/>
    <sheet name="19.09.2025" sheetId="11" r:id="rId6"/>
    <sheet name="20.09.2025" sheetId="13" r:id="rId7"/>
    <sheet name="22.09.2025" sheetId="14" r:id="rId8"/>
    <sheet name="23.09.2025" sheetId="15" r:id="rId9"/>
    <sheet name="24.09.2025" sheetId="16" r:id="rId10"/>
    <sheet name="25.09.2025" sheetId="17" r:id="rId11"/>
    <sheet name="26.09.2025" sheetId="18" r:id="rId12"/>
    <sheet name="29.09.2025" sheetId="19" r:id="rId13"/>
    <sheet name="06.10.2025" sheetId="20" r:id="rId14"/>
    <sheet name="07.10.2025" sheetId="21" r:id="rId15"/>
    <sheet name="08.10.2025" sheetId="22" r:id="rId16"/>
    <sheet name="09.10.2025" sheetId="23" r:id="rId17"/>
    <sheet name="10.10.2025" sheetId="24" r:id="rId18"/>
    <sheet name="11.10.2025" sheetId="25" r:id="rId19"/>
    <sheet name="13.10.2025" sheetId="26" r:id="rId20"/>
    <sheet name="14.10.2025" sheetId="27" r:id="rId21"/>
    <sheet name="15.10.2025" sheetId="28" r:id="rId22"/>
    <sheet name="16.10.2025" sheetId="29" r:id="rId23"/>
    <sheet name="17.10.2025" sheetId="30" r:id="rId24"/>
    <sheet name="18.10.2025" sheetId="31" r:id="rId25"/>
    <sheet name="20.10.2025" sheetId="32" r:id="rId26"/>
    <sheet name="21.10.2025" sheetId="33" r:id="rId27"/>
    <sheet name="22.10.2025" sheetId="34" r:id="rId28"/>
    <sheet name="23.10.2025" sheetId="35" r:id="rId29"/>
    <sheet name="24.10.2025" sheetId="36" r:id="rId30"/>
    <sheet name="27.10.2025" sheetId="38" r:id="rId31"/>
    <sheet name="28.10.2025" sheetId="39" r:id="rId32"/>
    <sheet name="30.10.2025" sheetId="40" r:id="rId33"/>
    <sheet name="31.10.2025" sheetId="41" r:id="rId34"/>
    <sheet name="01.11.2025" sheetId="42" r:id="rId35"/>
    <sheet name="03.11.2025" sheetId="43" r:id="rId36"/>
    <sheet name="04.10.2025" sheetId="44" r:id="rId37"/>
    <sheet name="05.10.2025" sheetId="45" r:id="rId38"/>
  </sheets>
  <definedNames>
    <definedName name="_xlnm.Print_Area" localSheetId="34">'01.11.2025'!$A$38:$J$88</definedName>
    <definedName name="_xlnm.Print_Area" localSheetId="35">'03.11.2025'!$A$41:$J$77</definedName>
    <definedName name="_xlnm.Print_Area" localSheetId="36">'04.10.2025'!$A$41:$J$77</definedName>
    <definedName name="_xlnm.Print_Area" localSheetId="37">'05.10.2025'!$A$41:$J$78</definedName>
    <definedName name="_xlnm.Print_Area" localSheetId="4">'18.09.2025'!$A$1:$J$32</definedName>
    <definedName name="_xlnm.Print_Area" localSheetId="5">'19.09.2025'!$A$1:$J$32</definedName>
    <definedName name="_xlnm.Print_Area" localSheetId="6">'20.09.2025'!$A$1:$J$32</definedName>
    <definedName name="_xlnm.Print_Area" localSheetId="25">'20.10.2025'!$A$1:$J$39</definedName>
    <definedName name="_xlnm.Print_Area" localSheetId="26">'21.10.2025'!$A$41:$J$83</definedName>
    <definedName name="_xlnm.Print_Area" localSheetId="7">'22.09.2025'!$A$1:$J$32</definedName>
    <definedName name="_xlnm.Print_Area" localSheetId="27">'22.10.2025'!$A$41:$J$83</definedName>
    <definedName name="_xlnm.Print_Area" localSheetId="8">'23.09.2025'!$A$1:$J$40</definedName>
    <definedName name="_xlnm.Print_Area" localSheetId="28">'23.10.2025'!$A$41:$J$83</definedName>
    <definedName name="_xlnm.Print_Area" localSheetId="9">'24.09.2025'!$A$1:$J$40</definedName>
    <definedName name="_xlnm.Print_Area" localSheetId="29">'24.10.2025'!$A$41:$J$83</definedName>
    <definedName name="_xlnm.Print_Area" localSheetId="10">'25.09.2025'!$A$1:$J$40</definedName>
    <definedName name="_xlnm.Print_Area" localSheetId="11">'26.09.2025'!$A$1:$J$40</definedName>
    <definedName name="_xlnm.Print_Area" localSheetId="30">'27.10.2025'!$A$38:$J$74</definedName>
    <definedName name="_xlnm.Print_Area" localSheetId="31">'28.10.2025'!$A$38:$J$74</definedName>
    <definedName name="_xlnm.Print_Area" localSheetId="32">'30.10.2025'!$A$38:$J$87</definedName>
    <definedName name="_xlnm.Print_Area" localSheetId="33">'31.10.2025'!$A$38:$J$88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3" i="45" l="1"/>
  <c r="J72" i="45"/>
  <c r="I31" i="45"/>
  <c r="I74" i="45" l="1"/>
  <c r="H74" i="45"/>
  <c r="H76" i="45" s="1"/>
  <c r="J71" i="45"/>
  <c r="J70" i="45"/>
  <c r="J69" i="45"/>
  <c r="J74" i="45" s="1"/>
  <c r="I65" i="45"/>
  <c r="H65" i="45"/>
  <c r="J64" i="45"/>
  <c r="J63" i="45"/>
  <c r="J62" i="45"/>
  <c r="J61" i="45"/>
  <c r="J60" i="45"/>
  <c r="J59" i="45"/>
  <c r="J58" i="45"/>
  <c r="J57" i="45"/>
  <c r="J56" i="45"/>
  <c r="J55" i="45"/>
  <c r="J54" i="45"/>
  <c r="J65" i="45" s="1"/>
  <c r="I50" i="45"/>
  <c r="H50" i="45"/>
  <c r="J49" i="45"/>
  <c r="J48" i="45"/>
  <c r="J47" i="45"/>
  <c r="J46" i="45"/>
  <c r="J45" i="45"/>
  <c r="J44" i="45"/>
  <c r="J43" i="45"/>
  <c r="J50" i="45" s="1"/>
  <c r="J39" i="45"/>
  <c r="I39" i="45"/>
  <c r="H39" i="45"/>
  <c r="J38" i="45"/>
  <c r="J37" i="45"/>
  <c r="J36" i="45"/>
  <c r="J35" i="45"/>
  <c r="J34" i="45"/>
  <c r="J33" i="45"/>
  <c r="J32" i="45"/>
  <c r="J31" i="45"/>
  <c r="J27" i="45"/>
  <c r="I27" i="45"/>
  <c r="H27" i="45"/>
  <c r="J26" i="45"/>
  <c r="J25" i="45"/>
  <c r="J24" i="45"/>
  <c r="J23" i="45"/>
  <c r="J22" i="45"/>
  <c r="J21" i="45"/>
  <c r="J20" i="45"/>
  <c r="J19" i="45"/>
  <c r="J18" i="45"/>
  <c r="I14" i="45"/>
  <c r="H14" i="45"/>
  <c r="J13" i="45"/>
  <c r="J12" i="45"/>
  <c r="J11" i="45"/>
  <c r="I10" i="45"/>
  <c r="J10" i="45" s="1"/>
  <c r="J9" i="45"/>
  <c r="J8" i="45"/>
  <c r="J7" i="45"/>
  <c r="J6" i="45"/>
  <c r="J5" i="45"/>
  <c r="I73" i="44"/>
  <c r="I75" i="44" s="1"/>
  <c r="H73" i="44"/>
  <c r="H75" i="44" s="1"/>
  <c r="J72" i="44"/>
  <c r="J71" i="44"/>
  <c r="J70" i="44"/>
  <c r="J69" i="44"/>
  <c r="J73" i="44" s="1"/>
  <c r="I65" i="44"/>
  <c r="H65" i="44"/>
  <c r="J64" i="44"/>
  <c r="J63" i="44"/>
  <c r="J62" i="44"/>
  <c r="J61" i="44"/>
  <c r="J60" i="44"/>
  <c r="J59" i="44"/>
  <c r="J58" i="44"/>
  <c r="J57" i="44"/>
  <c r="J56" i="44"/>
  <c r="J55" i="44"/>
  <c r="J54" i="44"/>
  <c r="J65" i="44" s="1"/>
  <c r="I50" i="44"/>
  <c r="H50" i="44"/>
  <c r="J49" i="44"/>
  <c r="J48" i="44"/>
  <c r="J47" i="44"/>
  <c r="J46" i="44"/>
  <c r="J45" i="44"/>
  <c r="J44" i="44"/>
  <c r="J43" i="44"/>
  <c r="J50" i="44" s="1"/>
  <c r="J39" i="44"/>
  <c r="I39" i="44"/>
  <c r="H39" i="44"/>
  <c r="J38" i="44"/>
  <c r="J37" i="44"/>
  <c r="J36" i="44"/>
  <c r="J35" i="44"/>
  <c r="J34" i="44"/>
  <c r="J33" i="44"/>
  <c r="J32" i="44"/>
  <c r="J31" i="44"/>
  <c r="J27" i="44"/>
  <c r="I27" i="44"/>
  <c r="H27" i="44"/>
  <c r="J26" i="44"/>
  <c r="J25" i="44"/>
  <c r="J24" i="44"/>
  <c r="J23" i="44"/>
  <c r="J22" i="44"/>
  <c r="J21" i="44"/>
  <c r="J20" i="44"/>
  <c r="J19" i="44"/>
  <c r="J18" i="44"/>
  <c r="I14" i="44"/>
  <c r="H14" i="44"/>
  <c r="J13" i="44"/>
  <c r="J12" i="44"/>
  <c r="J11" i="44"/>
  <c r="I10" i="44"/>
  <c r="J10" i="44" s="1"/>
  <c r="J9" i="44"/>
  <c r="J8" i="44"/>
  <c r="J7" i="44"/>
  <c r="J6" i="44"/>
  <c r="J5" i="44"/>
  <c r="I10" i="43"/>
  <c r="I76" i="45" l="1"/>
  <c r="J14" i="45"/>
  <c r="J76" i="45" s="1"/>
  <c r="J14" i="44"/>
  <c r="J75" i="44" s="1"/>
  <c r="J71" i="43"/>
  <c r="J72" i="43"/>
  <c r="J56" i="43"/>
  <c r="J57" i="43"/>
  <c r="J58" i="43"/>
  <c r="J59" i="43"/>
  <c r="J26" i="43"/>
  <c r="J25" i="43"/>
  <c r="J24" i="43"/>
  <c r="J23" i="43"/>
  <c r="J22" i="43"/>
  <c r="J21" i="43"/>
  <c r="J20" i="43"/>
  <c r="J19" i="43"/>
  <c r="J18" i="43"/>
  <c r="J31" i="43"/>
  <c r="J32" i="43"/>
  <c r="J33" i="43"/>
  <c r="J34" i="43"/>
  <c r="J27" i="43" l="1"/>
  <c r="J6" i="43"/>
  <c r="J7" i="43"/>
  <c r="J8" i="43"/>
  <c r="J9" i="43"/>
  <c r="J10" i="43"/>
  <c r="J11" i="43"/>
  <c r="J12" i="43"/>
  <c r="I73" i="43"/>
  <c r="H73" i="43"/>
  <c r="J70" i="43"/>
  <c r="J69" i="43"/>
  <c r="H65" i="43"/>
  <c r="J64" i="43"/>
  <c r="J63" i="43"/>
  <c r="J62" i="43"/>
  <c r="J61" i="43"/>
  <c r="J60" i="43"/>
  <c r="J55" i="43"/>
  <c r="J54" i="43"/>
  <c r="I50" i="43"/>
  <c r="H50" i="43"/>
  <c r="J49" i="43"/>
  <c r="J48" i="43"/>
  <c r="J47" i="43"/>
  <c r="J46" i="43"/>
  <c r="J45" i="43"/>
  <c r="J44" i="43"/>
  <c r="J43" i="43"/>
  <c r="H39" i="43"/>
  <c r="J38" i="43"/>
  <c r="J37" i="43"/>
  <c r="J36" i="43"/>
  <c r="J35" i="43"/>
  <c r="I39" i="43"/>
  <c r="H27" i="43"/>
  <c r="I27" i="43"/>
  <c r="I14" i="43"/>
  <c r="H14" i="43"/>
  <c r="J13" i="43"/>
  <c r="J5" i="43"/>
  <c r="I84" i="42"/>
  <c r="H84" i="42"/>
  <c r="H86" i="42" s="1"/>
  <c r="J83" i="42"/>
  <c r="J82" i="42"/>
  <c r="J81" i="42"/>
  <c r="J80" i="42"/>
  <c r="J79" i="42"/>
  <c r="J78" i="42"/>
  <c r="J84" i="42" s="1"/>
  <c r="J77" i="42"/>
  <c r="H73" i="42"/>
  <c r="J72" i="42"/>
  <c r="J71" i="42"/>
  <c r="J70" i="42"/>
  <c r="J69" i="42"/>
  <c r="J68" i="42"/>
  <c r="J67" i="42"/>
  <c r="J66" i="42"/>
  <c r="J65" i="42"/>
  <c r="I64" i="42"/>
  <c r="J64" i="42" s="1"/>
  <c r="J63" i="42"/>
  <c r="J62" i="42"/>
  <c r="J61" i="42"/>
  <c r="J73" i="42" s="1"/>
  <c r="I57" i="42"/>
  <c r="H57" i="42"/>
  <c r="J56" i="42"/>
  <c r="J55" i="42"/>
  <c r="J54" i="42"/>
  <c r="J53" i="42"/>
  <c r="J52" i="42"/>
  <c r="J51" i="42"/>
  <c r="J50" i="42"/>
  <c r="J49" i="42"/>
  <c r="J48" i="42"/>
  <c r="J47" i="42"/>
  <c r="J46" i="42"/>
  <c r="J45" i="42"/>
  <c r="J44" i="42"/>
  <c r="J43" i="42"/>
  <c r="J42" i="42"/>
  <c r="J41" i="42"/>
  <c r="J57" i="42" s="1"/>
  <c r="J40" i="42"/>
  <c r="H36" i="42"/>
  <c r="J35" i="42"/>
  <c r="J34" i="42"/>
  <c r="J33" i="42"/>
  <c r="J32" i="42"/>
  <c r="I31" i="42"/>
  <c r="J31" i="42" s="1"/>
  <c r="J30" i="42"/>
  <c r="J29" i="42"/>
  <c r="J28" i="42"/>
  <c r="H24" i="42"/>
  <c r="J23" i="42"/>
  <c r="J22" i="42"/>
  <c r="J21" i="42"/>
  <c r="J20" i="42"/>
  <c r="J19" i="42"/>
  <c r="J18" i="42"/>
  <c r="J17" i="42"/>
  <c r="J16" i="42"/>
  <c r="J15" i="42"/>
  <c r="J14" i="42"/>
  <c r="J13" i="42"/>
  <c r="I12" i="42"/>
  <c r="J12" i="42" s="1"/>
  <c r="J24" i="42" s="1"/>
  <c r="I8" i="42"/>
  <c r="H8" i="42"/>
  <c r="J7" i="42"/>
  <c r="J6" i="42"/>
  <c r="J5" i="42"/>
  <c r="J8" i="42" s="1"/>
  <c r="J82" i="41"/>
  <c r="J14" i="43" l="1"/>
  <c r="J73" i="43"/>
  <c r="J65" i="43"/>
  <c r="J50" i="43"/>
  <c r="H75" i="43"/>
  <c r="J39" i="43"/>
  <c r="I65" i="43"/>
  <c r="I75" i="43" s="1"/>
  <c r="J36" i="42"/>
  <c r="J86" i="42" s="1"/>
  <c r="I24" i="42"/>
  <c r="I36" i="42"/>
  <c r="I73" i="42"/>
  <c r="I86" i="42" s="1"/>
  <c r="I64" i="41"/>
  <c r="J75" i="43" l="1"/>
  <c r="I84" i="41"/>
  <c r="H84" i="41"/>
  <c r="H86" i="41" s="1"/>
  <c r="J83" i="41"/>
  <c r="J81" i="41"/>
  <c r="J80" i="41"/>
  <c r="J79" i="41"/>
  <c r="J78" i="41"/>
  <c r="J77" i="41"/>
  <c r="J84" i="41" s="1"/>
  <c r="I73" i="41"/>
  <c r="H73" i="41"/>
  <c r="J72" i="41"/>
  <c r="J71" i="41"/>
  <c r="J70" i="41"/>
  <c r="J69" i="41"/>
  <c r="J68" i="41"/>
  <c r="J67" i="41"/>
  <c r="J66" i="41"/>
  <c r="J65" i="41"/>
  <c r="J64" i="41"/>
  <c r="J63" i="41"/>
  <c r="J62" i="41"/>
  <c r="J61" i="41"/>
  <c r="I57" i="41"/>
  <c r="H57" i="41"/>
  <c r="J56" i="41"/>
  <c r="J55" i="41"/>
  <c r="J54" i="41"/>
  <c r="J53" i="41"/>
  <c r="J52" i="41"/>
  <c r="J51" i="41"/>
  <c r="J50" i="41"/>
  <c r="J49" i="41"/>
  <c r="J48" i="41"/>
  <c r="J47" i="41"/>
  <c r="J46" i="41"/>
  <c r="J45" i="41"/>
  <c r="J44" i="41"/>
  <c r="J43" i="41"/>
  <c r="J42" i="41"/>
  <c r="J41" i="41"/>
  <c r="J40" i="41"/>
  <c r="J57" i="41" s="1"/>
  <c r="H36" i="41"/>
  <c r="J35" i="41"/>
  <c r="J34" i="41"/>
  <c r="J33" i="41"/>
  <c r="J32" i="41"/>
  <c r="I31" i="41"/>
  <c r="I36" i="41" s="1"/>
  <c r="J30" i="41"/>
  <c r="J29" i="41"/>
  <c r="J28" i="41"/>
  <c r="H24" i="41"/>
  <c r="J23" i="41"/>
  <c r="J22" i="41"/>
  <c r="J21" i="41"/>
  <c r="J20" i="41"/>
  <c r="J19" i="41"/>
  <c r="J18" i="41"/>
  <c r="J17" i="41"/>
  <c r="J16" i="41"/>
  <c r="J15" i="41"/>
  <c r="J14" i="41"/>
  <c r="J13" i="41"/>
  <c r="I12" i="41"/>
  <c r="I24" i="41" s="1"/>
  <c r="I8" i="41"/>
  <c r="H8" i="41"/>
  <c r="J7" i="41"/>
  <c r="J6" i="41"/>
  <c r="J5" i="41"/>
  <c r="J8" i="41" s="1"/>
  <c r="I31" i="40"/>
  <c r="J73" i="41" l="1"/>
  <c r="I86" i="41"/>
  <c r="J31" i="41"/>
  <c r="J36" i="41" s="1"/>
  <c r="J12" i="41"/>
  <c r="J24" i="41" s="1"/>
  <c r="J67" i="40"/>
  <c r="J68" i="40"/>
  <c r="J69" i="40"/>
  <c r="J70" i="40"/>
  <c r="J71" i="40"/>
  <c r="J48" i="40"/>
  <c r="J49" i="40"/>
  <c r="J50" i="40"/>
  <c r="J51" i="40"/>
  <c r="J52" i="40"/>
  <c r="J53" i="40"/>
  <c r="J54" i="40"/>
  <c r="J55" i="40"/>
  <c r="J86" i="41" l="1"/>
  <c r="I83" i="40"/>
  <c r="H83" i="40"/>
  <c r="J82" i="40"/>
  <c r="J81" i="40"/>
  <c r="J80" i="40"/>
  <c r="J79" i="40"/>
  <c r="J78" i="40"/>
  <c r="J77" i="40"/>
  <c r="I73" i="40"/>
  <c r="H73" i="40"/>
  <c r="J72" i="40"/>
  <c r="J66" i="40"/>
  <c r="J65" i="40"/>
  <c r="J64" i="40"/>
  <c r="J63" i="40"/>
  <c r="J62" i="40"/>
  <c r="J61" i="40"/>
  <c r="I57" i="40"/>
  <c r="H57" i="40"/>
  <c r="J56" i="40"/>
  <c r="J47" i="40"/>
  <c r="J46" i="40"/>
  <c r="J45" i="40"/>
  <c r="J44" i="40"/>
  <c r="J43" i="40"/>
  <c r="J42" i="40"/>
  <c r="J41" i="40"/>
  <c r="J40" i="40"/>
  <c r="J57" i="40" s="1"/>
  <c r="I36" i="40"/>
  <c r="H36" i="40"/>
  <c r="J35" i="40"/>
  <c r="J34" i="40"/>
  <c r="J33" i="40"/>
  <c r="J32" i="40"/>
  <c r="J31" i="40"/>
  <c r="J30" i="40"/>
  <c r="J29" i="40"/>
  <c r="J28" i="40"/>
  <c r="H24" i="40"/>
  <c r="J23" i="40"/>
  <c r="J22" i="40"/>
  <c r="J21" i="40"/>
  <c r="J20" i="40"/>
  <c r="J19" i="40"/>
  <c r="J18" i="40"/>
  <c r="J17" i="40"/>
  <c r="J16" i="40"/>
  <c r="J15" i="40"/>
  <c r="J14" i="40"/>
  <c r="J13" i="40"/>
  <c r="I12" i="40"/>
  <c r="J12" i="40" s="1"/>
  <c r="I8" i="40"/>
  <c r="H8" i="40"/>
  <c r="J7" i="40"/>
  <c r="J6" i="40"/>
  <c r="J5" i="40"/>
  <c r="J8" i="40" s="1"/>
  <c r="I12" i="39"/>
  <c r="J24" i="40" l="1"/>
  <c r="J36" i="40"/>
  <c r="J83" i="40"/>
  <c r="I24" i="40"/>
  <c r="I85" i="40" s="1"/>
  <c r="J73" i="40"/>
  <c r="H85" i="40"/>
  <c r="I70" i="39"/>
  <c r="H70" i="39"/>
  <c r="H72" i="39" s="1"/>
  <c r="J69" i="39"/>
  <c r="J68" i="39"/>
  <c r="J67" i="39"/>
  <c r="J66" i="39"/>
  <c r="J65" i="39"/>
  <c r="J64" i="39"/>
  <c r="J70" i="39" s="1"/>
  <c r="I60" i="39"/>
  <c r="H60" i="39"/>
  <c r="J59" i="39"/>
  <c r="J58" i="39"/>
  <c r="J57" i="39"/>
  <c r="J56" i="39"/>
  <c r="J55" i="39"/>
  <c r="J54" i="39"/>
  <c r="J53" i="39"/>
  <c r="J60" i="39" s="1"/>
  <c r="J49" i="39"/>
  <c r="I49" i="39"/>
  <c r="H49" i="39"/>
  <c r="J48" i="39"/>
  <c r="J47" i="39"/>
  <c r="J46" i="39"/>
  <c r="J45" i="39"/>
  <c r="J44" i="39"/>
  <c r="J43" i="39"/>
  <c r="J42" i="39"/>
  <c r="J41" i="39"/>
  <c r="J40" i="39"/>
  <c r="J36" i="39"/>
  <c r="I36" i="39"/>
  <c r="H36" i="39"/>
  <c r="J35" i="39"/>
  <c r="J34" i="39"/>
  <c r="J33" i="39"/>
  <c r="J32" i="39"/>
  <c r="J31" i="39"/>
  <c r="J30" i="39"/>
  <c r="J29" i="39"/>
  <c r="J28" i="39"/>
  <c r="I24" i="39"/>
  <c r="H24" i="39"/>
  <c r="J23" i="39"/>
  <c r="J22" i="39"/>
  <c r="J21" i="39"/>
  <c r="J20" i="39"/>
  <c r="J19" i="39"/>
  <c r="J18" i="39"/>
  <c r="J17" i="39"/>
  <c r="J16" i="39"/>
  <c r="J15" i="39"/>
  <c r="J14" i="39"/>
  <c r="J13" i="39"/>
  <c r="J12" i="39"/>
  <c r="I8" i="39"/>
  <c r="H8" i="39"/>
  <c r="J7" i="39"/>
  <c r="J6" i="39"/>
  <c r="J5" i="39"/>
  <c r="J8" i="39" s="1"/>
  <c r="J85" i="40" l="1"/>
  <c r="J24" i="39"/>
  <c r="J72" i="39"/>
  <c r="I72" i="39"/>
  <c r="J45" i="38"/>
  <c r="J46" i="38"/>
  <c r="J32" i="38"/>
  <c r="J33" i="38"/>
  <c r="J34" i="38"/>
  <c r="J20" i="38" l="1"/>
  <c r="J14" i="38"/>
  <c r="J15" i="38"/>
  <c r="J16" i="38"/>
  <c r="J17" i="38"/>
  <c r="J18" i="38"/>
  <c r="J19" i="38"/>
  <c r="H70" i="38"/>
  <c r="J69" i="38"/>
  <c r="J68" i="38"/>
  <c r="J67" i="38"/>
  <c r="J66" i="38"/>
  <c r="J65" i="38"/>
  <c r="J64" i="38"/>
  <c r="I60" i="38"/>
  <c r="H60" i="38"/>
  <c r="J59" i="38"/>
  <c r="J58" i="38"/>
  <c r="J57" i="38"/>
  <c r="J56" i="38"/>
  <c r="J55" i="38"/>
  <c r="J54" i="38"/>
  <c r="J53" i="38"/>
  <c r="I49" i="38"/>
  <c r="H49" i="38"/>
  <c r="J48" i="38"/>
  <c r="J47" i="38"/>
  <c r="J44" i="38"/>
  <c r="J43" i="38"/>
  <c r="J42" i="38"/>
  <c r="J41" i="38"/>
  <c r="J40" i="38"/>
  <c r="I36" i="38"/>
  <c r="H36" i="38"/>
  <c r="J35" i="38"/>
  <c r="J31" i="38"/>
  <c r="J30" i="38"/>
  <c r="J29" i="38"/>
  <c r="J28" i="38"/>
  <c r="I24" i="38"/>
  <c r="H24" i="38"/>
  <c r="J23" i="38"/>
  <c r="J22" i="38"/>
  <c r="J21" i="38"/>
  <c r="J13" i="38"/>
  <c r="J12" i="38"/>
  <c r="I8" i="38"/>
  <c r="H8" i="38"/>
  <c r="J7" i="38"/>
  <c r="J6" i="38"/>
  <c r="J5" i="38"/>
  <c r="J60" i="38" l="1"/>
  <c r="J70" i="38"/>
  <c r="J36" i="38"/>
  <c r="J49" i="38"/>
  <c r="J24" i="38"/>
  <c r="H72" i="38"/>
  <c r="J8" i="38"/>
  <c r="I70" i="38"/>
  <c r="I72" i="38" s="1"/>
  <c r="I75" i="36"/>
  <c r="J72" i="38" l="1"/>
  <c r="I79" i="36"/>
  <c r="H79" i="36"/>
  <c r="H81" i="36" s="1"/>
  <c r="J78" i="36"/>
  <c r="J77" i="36"/>
  <c r="J76" i="36"/>
  <c r="J75" i="36"/>
  <c r="J74" i="36"/>
  <c r="J73" i="36"/>
  <c r="J72" i="36"/>
  <c r="J71" i="36"/>
  <c r="J70" i="36"/>
  <c r="I66" i="36"/>
  <c r="H66" i="36"/>
  <c r="J65" i="36"/>
  <c r="J64" i="36"/>
  <c r="J63" i="36"/>
  <c r="J62" i="36"/>
  <c r="J61" i="36"/>
  <c r="J60" i="36"/>
  <c r="J59" i="36"/>
  <c r="J58" i="36"/>
  <c r="J57" i="36"/>
  <c r="J56" i="36"/>
  <c r="J55" i="36"/>
  <c r="J54" i="36"/>
  <c r="I50" i="36"/>
  <c r="H50" i="36"/>
  <c r="J49" i="36"/>
  <c r="J48" i="36"/>
  <c r="J47" i="36"/>
  <c r="J46" i="36"/>
  <c r="J45" i="36"/>
  <c r="J44" i="36"/>
  <c r="J43" i="36"/>
  <c r="I39" i="36"/>
  <c r="H39" i="36"/>
  <c r="J38" i="36"/>
  <c r="J37" i="36"/>
  <c r="J36" i="36"/>
  <c r="J35" i="36"/>
  <c r="J34" i="36"/>
  <c r="J33" i="36"/>
  <c r="I32" i="36"/>
  <c r="J32" i="36" s="1"/>
  <c r="J39" i="36" s="1"/>
  <c r="I28" i="36"/>
  <c r="H28" i="36"/>
  <c r="J27" i="36"/>
  <c r="J26" i="36"/>
  <c r="J25" i="36"/>
  <c r="J24" i="36"/>
  <c r="J23" i="36"/>
  <c r="J22" i="36"/>
  <c r="J28" i="36" s="1"/>
  <c r="I22" i="36"/>
  <c r="I18" i="36"/>
  <c r="H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J5" i="36"/>
  <c r="J18" i="36" s="1"/>
  <c r="I32" i="35"/>
  <c r="J50" i="36" l="1"/>
  <c r="J66" i="36"/>
  <c r="I81" i="36"/>
  <c r="J79" i="36"/>
  <c r="I79" i="35"/>
  <c r="H79" i="35"/>
  <c r="H81" i="35" s="1"/>
  <c r="J78" i="35"/>
  <c r="J77" i="35"/>
  <c r="J76" i="35"/>
  <c r="J75" i="35"/>
  <c r="J74" i="35"/>
  <c r="J73" i="35"/>
  <c r="J72" i="35"/>
  <c r="J71" i="35"/>
  <c r="J79" i="35" s="1"/>
  <c r="J70" i="35"/>
  <c r="I66" i="35"/>
  <c r="H66" i="35"/>
  <c r="J65" i="35"/>
  <c r="J64" i="35"/>
  <c r="J63" i="35"/>
  <c r="J62" i="35"/>
  <c r="J61" i="35"/>
  <c r="J60" i="35"/>
  <c r="J59" i="35"/>
  <c r="J58" i="35"/>
  <c r="J57" i="35"/>
  <c r="J56" i="35"/>
  <c r="J55" i="35"/>
  <c r="J54" i="35"/>
  <c r="I50" i="35"/>
  <c r="H50" i="35"/>
  <c r="J49" i="35"/>
  <c r="J48" i="35"/>
  <c r="J47" i="35"/>
  <c r="J50" i="35" s="1"/>
  <c r="J46" i="35"/>
  <c r="J45" i="35"/>
  <c r="J44" i="35"/>
  <c r="J43" i="35"/>
  <c r="I39" i="35"/>
  <c r="H39" i="35"/>
  <c r="J38" i="35"/>
  <c r="J37" i="35"/>
  <c r="J36" i="35"/>
  <c r="J35" i="35"/>
  <c r="J34" i="35"/>
  <c r="J33" i="35"/>
  <c r="J32" i="35"/>
  <c r="H28" i="35"/>
  <c r="J27" i="35"/>
  <c r="J26" i="35"/>
  <c r="J25" i="35"/>
  <c r="J24" i="35"/>
  <c r="J23" i="35"/>
  <c r="I22" i="35"/>
  <c r="I28" i="35" s="1"/>
  <c r="I18" i="35"/>
  <c r="H18" i="35"/>
  <c r="J17" i="35"/>
  <c r="J16" i="35"/>
  <c r="J15" i="35"/>
  <c r="J14" i="35"/>
  <c r="J13" i="35"/>
  <c r="J12" i="35"/>
  <c r="J11" i="35"/>
  <c r="J10" i="35"/>
  <c r="J9" i="35"/>
  <c r="J8" i="35"/>
  <c r="J7" i="35"/>
  <c r="J6" i="35"/>
  <c r="J5" i="35"/>
  <c r="J18" i="35" s="1"/>
  <c r="I22" i="34"/>
  <c r="J81" i="36" l="1"/>
  <c r="J66" i="35"/>
  <c r="J39" i="35"/>
  <c r="I81" i="35"/>
  <c r="J22" i="35"/>
  <c r="J28" i="35" s="1"/>
  <c r="I79" i="34"/>
  <c r="H79" i="34"/>
  <c r="H81" i="34" s="1"/>
  <c r="J78" i="34"/>
  <c r="J77" i="34"/>
  <c r="J76" i="34"/>
  <c r="J75" i="34"/>
  <c r="J74" i="34"/>
  <c r="J73" i="34"/>
  <c r="J72" i="34"/>
  <c r="J71" i="34"/>
  <c r="J70" i="34"/>
  <c r="J79" i="34" s="1"/>
  <c r="I66" i="34"/>
  <c r="H66" i="34"/>
  <c r="J65" i="34"/>
  <c r="J64" i="34"/>
  <c r="J63" i="34"/>
  <c r="J62" i="34"/>
  <c r="J61" i="34"/>
  <c r="J60" i="34"/>
  <c r="J59" i="34"/>
  <c r="J58" i="34"/>
  <c r="J57" i="34"/>
  <c r="J56" i="34"/>
  <c r="J55" i="34"/>
  <c r="J54" i="34"/>
  <c r="J66" i="34" s="1"/>
  <c r="I50" i="34"/>
  <c r="H50" i="34"/>
  <c r="J49" i="34"/>
  <c r="J48" i="34"/>
  <c r="J47" i="34"/>
  <c r="J46" i="34"/>
  <c r="J45" i="34"/>
  <c r="J44" i="34"/>
  <c r="J43" i="34"/>
  <c r="J50" i="34" s="1"/>
  <c r="I39" i="34"/>
  <c r="H39" i="34"/>
  <c r="J38" i="34"/>
  <c r="J37" i="34"/>
  <c r="J36" i="34"/>
  <c r="J35" i="34"/>
  <c r="J34" i="34"/>
  <c r="J33" i="34"/>
  <c r="J32" i="34"/>
  <c r="J39" i="34" s="1"/>
  <c r="I28" i="34"/>
  <c r="H28" i="34"/>
  <c r="J27" i="34"/>
  <c r="J26" i="34"/>
  <c r="J25" i="34"/>
  <c r="J24" i="34"/>
  <c r="J23" i="34"/>
  <c r="J22" i="34"/>
  <c r="I18" i="34"/>
  <c r="H18" i="34"/>
  <c r="J17" i="34"/>
  <c r="J16" i="34"/>
  <c r="J15" i="34"/>
  <c r="J14" i="34"/>
  <c r="J13" i="34"/>
  <c r="J12" i="34"/>
  <c r="J11" i="34"/>
  <c r="J10" i="34"/>
  <c r="J9" i="34"/>
  <c r="J8" i="34"/>
  <c r="J7" i="34"/>
  <c r="J6" i="34"/>
  <c r="J5" i="34"/>
  <c r="J59" i="33"/>
  <c r="J81" i="35" l="1"/>
  <c r="J28" i="34"/>
  <c r="I81" i="34"/>
  <c r="J18" i="34"/>
  <c r="J81" i="34" s="1"/>
  <c r="I79" i="33"/>
  <c r="H79" i="33"/>
  <c r="J78" i="33"/>
  <c r="J77" i="33"/>
  <c r="J76" i="33"/>
  <c r="J75" i="33"/>
  <c r="J74" i="33"/>
  <c r="J73" i="33"/>
  <c r="J72" i="33"/>
  <c r="J71" i="33"/>
  <c r="J70" i="33"/>
  <c r="I66" i="33"/>
  <c r="H66" i="33"/>
  <c r="J65" i="33"/>
  <c r="J64" i="33"/>
  <c r="J63" i="33"/>
  <c r="J62" i="33"/>
  <c r="J61" i="33"/>
  <c r="J60" i="33"/>
  <c r="J58" i="33"/>
  <c r="J57" i="33"/>
  <c r="J56" i="33"/>
  <c r="J55" i="33"/>
  <c r="J54" i="33"/>
  <c r="I50" i="33"/>
  <c r="H50" i="33"/>
  <c r="J49" i="33"/>
  <c r="J48" i="33"/>
  <c r="J47" i="33"/>
  <c r="J46" i="33"/>
  <c r="J45" i="33"/>
  <c r="J44" i="33"/>
  <c r="J43" i="33"/>
  <c r="I39" i="33"/>
  <c r="H39" i="33"/>
  <c r="J38" i="33"/>
  <c r="J37" i="33"/>
  <c r="J36" i="33"/>
  <c r="J35" i="33"/>
  <c r="J34" i="33"/>
  <c r="J33" i="33"/>
  <c r="J32" i="33"/>
  <c r="I28" i="33"/>
  <c r="H28" i="33"/>
  <c r="J27" i="33"/>
  <c r="J26" i="33"/>
  <c r="J25" i="33"/>
  <c r="J24" i="33"/>
  <c r="J23" i="33"/>
  <c r="J22" i="33"/>
  <c r="I18" i="33"/>
  <c r="H18" i="33"/>
  <c r="J17" i="33"/>
  <c r="J16" i="33"/>
  <c r="J15" i="33"/>
  <c r="J14" i="33"/>
  <c r="J13" i="33"/>
  <c r="J12" i="33"/>
  <c r="J11" i="33"/>
  <c r="J10" i="33"/>
  <c r="J9" i="33"/>
  <c r="J8" i="33"/>
  <c r="J7" i="33"/>
  <c r="J6" i="33"/>
  <c r="J5" i="33"/>
  <c r="J28" i="33" l="1"/>
  <c r="J66" i="33"/>
  <c r="H81" i="33"/>
  <c r="J50" i="33"/>
  <c r="J18" i="33"/>
  <c r="J39" i="33"/>
  <c r="J79" i="33"/>
  <c r="I81" i="33"/>
  <c r="J33" i="32"/>
  <c r="J24" i="32"/>
  <c r="J81" i="33" l="1"/>
  <c r="J46" i="32"/>
  <c r="J47" i="32"/>
  <c r="J48" i="32"/>
  <c r="J49" i="32"/>
  <c r="J50" i="32"/>
  <c r="J44" i="32"/>
  <c r="J45" i="32"/>
  <c r="J51" i="32"/>
  <c r="J43" i="32"/>
  <c r="J37" i="32"/>
  <c r="J35" i="32"/>
  <c r="J36" i="32"/>
  <c r="J38" i="32"/>
  <c r="J9" i="32" l="1"/>
  <c r="J10" i="32"/>
  <c r="J11" i="32"/>
  <c r="J12" i="32"/>
  <c r="J13" i="32"/>
  <c r="J14" i="32"/>
  <c r="J15" i="32"/>
  <c r="J16" i="32"/>
  <c r="J23" i="32"/>
  <c r="J25" i="32"/>
  <c r="J26" i="32"/>
  <c r="J22" i="32"/>
  <c r="J6" i="32"/>
  <c r="J7" i="32"/>
  <c r="J8" i="32"/>
  <c r="J17" i="32"/>
  <c r="J5" i="32"/>
  <c r="I87" i="32"/>
  <c r="H87" i="32"/>
  <c r="J86" i="32"/>
  <c r="J85" i="32"/>
  <c r="J84" i="32"/>
  <c r="J83" i="32"/>
  <c r="J82" i="32"/>
  <c r="J81" i="32"/>
  <c r="J80" i="32"/>
  <c r="J79" i="32"/>
  <c r="J78" i="32"/>
  <c r="J77" i="32"/>
  <c r="J76" i="32"/>
  <c r="J75" i="32"/>
  <c r="J74" i="32"/>
  <c r="J73" i="32"/>
  <c r="J72" i="32"/>
  <c r="I68" i="32"/>
  <c r="H68" i="32"/>
  <c r="J67" i="32"/>
  <c r="J66" i="32"/>
  <c r="J65" i="32"/>
  <c r="J64" i="32"/>
  <c r="J63" i="32"/>
  <c r="J62" i="32"/>
  <c r="J61" i="32"/>
  <c r="J60" i="32"/>
  <c r="J59" i="32"/>
  <c r="J58" i="32"/>
  <c r="J57" i="32"/>
  <c r="J56" i="32"/>
  <c r="I52" i="32"/>
  <c r="H52" i="32"/>
  <c r="J52" i="32"/>
  <c r="H39" i="32"/>
  <c r="I39" i="32"/>
  <c r="J34" i="32"/>
  <c r="J32" i="32"/>
  <c r="H28" i="32"/>
  <c r="J27" i="32"/>
  <c r="I28" i="32"/>
  <c r="I18" i="32"/>
  <c r="H18" i="32"/>
  <c r="J87" i="32" l="1"/>
  <c r="J18" i="32"/>
  <c r="J68" i="32"/>
  <c r="H89" i="32"/>
  <c r="I89" i="32"/>
  <c r="J39" i="32"/>
  <c r="J28" i="32"/>
  <c r="I91" i="31"/>
  <c r="H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91" i="31" s="1"/>
  <c r="I72" i="31"/>
  <c r="H72" i="31"/>
  <c r="H93" i="31" s="1"/>
  <c r="J71" i="31"/>
  <c r="J70" i="31"/>
  <c r="J69" i="31"/>
  <c r="J68" i="31"/>
  <c r="J67" i="31"/>
  <c r="J66" i="31"/>
  <c r="J65" i="31"/>
  <c r="J64" i="31"/>
  <c r="J63" i="31"/>
  <c r="J62" i="31"/>
  <c r="J61" i="31"/>
  <c r="J60" i="31"/>
  <c r="J72" i="31" s="1"/>
  <c r="H56" i="31"/>
  <c r="J55" i="31"/>
  <c r="I54" i="31"/>
  <c r="I56" i="31" s="1"/>
  <c r="H50" i="31"/>
  <c r="J49" i="31"/>
  <c r="I48" i="31"/>
  <c r="I50" i="31" s="1"/>
  <c r="J47" i="31"/>
  <c r="J46" i="31"/>
  <c r="J45" i="31"/>
  <c r="I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H29" i="31"/>
  <c r="J28" i="31"/>
  <c r="J27" i="31"/>
  <c r="J26" i="31"/>
  <c r="J25" i="31"/>
  <c r="J24" i="31"/>
  <c r="J23" i="31"/>
  <c r="I22" i="31"/>
  <c r="J22" i="31" s="1"/>
  <c r="J21" i="31"/>
  <c r="J20" i="31"/>
  <c r="J19" i="31"/>
  <c r="J18" i="31"/>
  <c r="J17" i="31"/>
  <c r="I16" i="31"/>
  <c r="J16" i="31" s="1"/>
  <c r="J15" i="31"/>
  <c r="J29" i="31" s="1"/>
  <c r="J11" i="31"/>
  <c r="I11" i="31"/>
  <c r="H11" i="31"/>
  <c r="J10" i="31"/>
  <c r="J9" i="31"/>
  <c r="J8" i="31"/>
  <c r="J7" i="31"/>
  <c r="J6" i="31"/>
  <c r="J5" i="31"/>
  <c r="I22" i="30"/>
  <c r="J89" i="32" l="1"/>
  <c r="J48" i="31"/>
  <c r="J50" i="31" s="1"/>
  <c r="J54" i="31"/>
  <c r="J56" i="31" s="1"/>
  <c r="J93" i="31" s="1"/>
  <c r="I29" i="31"/>
  <c r="I93" i="31" s="1"/>
  <c r="I91" i="30"/>
  <c r="H91" i="30"/>
  <c r="H93" i="30" s="1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J77" i="30"/>
  <c r="J76" i="30"/>
  <c r="J91" i="30" s="1"/>
  <c r="I72" i="30"/>
  <c r="H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I56" i="30"/>
  <c r="H56" i="30"/>
  <c r="J55" i="30"/>
  <c r="I54" i="30"/>
  <c r="J54" i="30" s="1"/>
  <c r="J56" i="30" s="1"/>
  <c r="H50" i="30"/>
  <c r="J49" i="30"/>
  <c r="I48" i="30"/>
  <c r="I50" i="30" s="1"/>
  <c r="J47" i="30"/>
  <c r="J46" i="30"/>
  <c r="I45" i="30"/>
  <c r="J45" i="30" s="1"/>
  <c r="J44" i="30"/>
  <c r="J43" i="30"/>
  <c r="J42" i="30"/>
  <c r="J41" i="30"/>
  <c r="J40" i="30"/>
  <c r="J39" i="30"/>
  <c r="J38" i="30"/>
  <c r="J37" i="30"/>
  <c r="J36" i="30"/>
  <c r="J35" i="30"/>
  <c r="J34" i="30"/>
  <c r="J33" i="30"/>
  <c r="H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I16" i="30"/>
  <c r="I29" i="30" s="1"/>
  <c r="J15" i="30"/>
  <c r="J11" i="30"/>
  <c r="I11" i="30"/>
  <c r="H11" i="30"/>
  <c r="J10" i="30"/>
  <c r="J9" i="30"/>
  <c r="J8" i="30"/>
  <c r="J7" i="30"/>
  <c r="J6" i="30"/>
  <c r="J5" i="30"/>
  <c r="I45" i="29"/>
  <c r="J72" i="30" l="1"/>
  <c r="I93" i="30"/>
  <c r="J48" i="30"/>
  <c r="J50" i="30" s="1"/>
  <c r="J16" i="30"/>
  <c r="J29" i="30" s="1"/>
  <c r="I91" i="29"/>
  <c r="H91" i="29"/>
  <c r="H93" i="29" s="1"/>
  <c r="J90" i="29"/>
  <c r="J89" i="29"/>
  <c r="J88" i="29"/>
  <c r="J87" i="29"/>
  <c r="J86" i="29"/>
  <c r="J85" i="29"/>
  <c r="J84" i="29"/>
  <c r="J83" i="29"/>
  <c r="J82" i="29"/>
  <c r="J81" i="29"/>
  <c r="J80" i="29"/>
  <c r="J79" i="29"/>
  <c r="J78" i="29"/>
  <c r="J77" i="29"/>
  <c r="J76" i="29"/>
  <c r="J91" i="29" s="1"/>
  <c r="I72" i="29"/>
  <c r="H72" i="29"/>
  <c r="J71" i="29"/>
  <c r="J70" i="29"/>
  <c r="J69" i="29"/>
  <c r="J68" i="29"/>
  <c r="J67" i="29"/>
  <c r="J66" i="29"/>
  <c r="J65" i="29"/>
  <c r="J64" i="29"/>
  <c r="J63" i="29"/>
  <c r="J62" i="29"/>
  <c r="J61" i="29"/>
  <c r="J60" i="29"/>
  <c r="J72" i="29" s="1"/>
  <c r="H56" i="29"/>
  <c r="J55" i="29"/>
  <c r="J54" i="29"/>
  <c r="J56" i="29" s="1"/>
  <c r="I54" i="29"/>
  <c r="I56" i="29" s="1"/>
  <c r="H50" i="29"/>
  <c r="J49" i="29"/>
  <c r="I48" i="29"/>
  <c r="I50" i="29" s="1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H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I16" i="29"/>
  <c r="J16" i="29" s="1"/>
  <c r="J15" i="29"/>
  <c r="J11" i="29"/>
  <c r="I11" i="29"/>
  <c r="H11" i="29"/>
  <c r="J10" i="29"/>
  <c r="J9" i="29"/>
  <c r="J8" i="29"/>
  <c r="J7" i="29"/>
  <c r="J6" i="29"/>
  <c r="J5" i="29"/>
  <c r="I48" i="28"/>
  <c r="I54" i="28"/>
  <c r="J93" i="30" l="1"/>
  <c r="J29" i="29"/>
  <c r="J48" i="29"/>
  <c r="J50" i="29" s="1"/>
  <c r="J93" i="29" s="1"/>
  <c r="I29" i="29"/>
  <c r="I93" i="29" s="1"/>
  <c r="I91" i="28"/>
  <c r="H91" i="28"/>
  <c r="H93" i="28" s="1"/>
  <c r="J90" i="28"/>
  <c r="J89" i="28"/>
  <c r="J88" i="28"/>
  <c r="J87" i="28"/>
  <c r="J86" i="28"/>
  <c r="J85" i="28"/>
  <c r="J84" i="28"/>
  <c r="J83" i="28"/>
  <c r="J82" i="28"/>
  <c r="J81" i="28"/>
  <c r="J80" i="28"/>
  <c r="J79" i="28"/>
  <c r="J78" i="28"/>
  <c r="J77" i="28"/>
  <c r="J76" i="28"/>
  <c r="J91" i="28" s="1"/>
  <c r="I72" i="28"/>
  <c r="H72" i="28"/>
  <c r="J71" i="28"/>
  <c r="J70" i="28"/>
  <c r="J69" i="28"/>
  <c r="J68" i="28"/>
  <c r="J67" i="28"/>
  <c r="J66" i="28"/>
  <c r="J65" i="28"/>
  <c r="J64" i="28"/>
  <c r="J63" i="28"/>
  <c r="J62" i="28"/>
  <c r="J61" i="28"/>
  <c r="J60" i="28"/>
  <c r="J72" i="28" s="1"/>
  <c r="I56" i="28"/>
  <c r="H56" i="28"/>
  <c r="J55" i="28"/>
  <c r="J54" i="28"/>
  <c r="J56" i="28" s="1"/>
  <c r="I50" i="28"/>
  <c r="H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H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I16" i="28"/>
  <c r="J16" i="28" s="1"/>
  <c r="J15" i="28"/>
  <c r="J29" i="28" s="1"/>
  <c r="I11" i="28"/>
  <c r="H11" i="28"/>
  <c r="J10" i="28"/>
  <c r="J9" i="28"/>
  <c r="J11" i="28" s="1"/>
  <c r="J8" i="28"/>
  <c r="J7" i="28"/>
  <c r="J6" i="28"/>
  <c r="J5" i="28"/>
  <c r="I16" i="27"/>
  <c r="J50" i="28" l="1"/>
  <c r="J93" i="28" s="1"/>
  <c r="I29" i="28"/>
  <c r="I93" i="28" s="1"/>
  <c r="I91" i="27"/>
  <c r="H91" i="27"/>
  <c r="H93" i="27" s="1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91" i="27" s="1"/>
  <c r="I72" i="27"/>
  <c r="H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72" i="27" s="1"/>
  <c r="I56" i="27"/>
  <c r="H56" i="27"/>
  <c r="J55" i="27"/>
  <c r="J54" i="27"/>
  <c r="J56" i="27" s="1"/>
  <c r="I50" i="27"/>
  <c r="H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50" i="27" s="1"/>
  <c r="J33" i="27"/>
  <c r="I29" i="27"/>
  <c r="H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I11" i="27"/>
  <c r="H11" i="27"/>
  <c r="J10" i="27"/>
  <c r="J9" i="27"/>
  <c r="J8" i="27"/>
  <c r="J7" i="27"/>
  <c r="J6" i="27"/>
  <c r="J5" i="27"/>
  <c r="J29" i="27" l="1"/>
  <c r="J93" i="27" s="1"/>
  <c r="J11" i="27"/>
  <c r="I93" i="27"/>
  <c r="J86" i="26"/>
  <c r="J87" i="26"/>
  <c r="J88" i="26"/>
  <c r="J89" i="26"/>
  <c r="J80" i="26"/>
  <c r="J81" i="26"/>
  <c r="J82" i="26"/>
  <c r="J83" i="26"/>
  <c r="J84" i="26"/>
  <c r="J69" i="26"/>
  <c r="J70" i="26"/>
  <c r="J64" i="26"/>
  <c r="J65" i="26"/>
  <c r="J66" i="26"/>
  <c r="J67" i="26"/>
  <c r="J68" i="26"/>
  <c r="J46" i="26"/>
  <c r="J47" i="26"/>
  <c r="J44" i="26"/>
  <c r="J43" i="26"/>
  <c r="J40" i="26"/>
  <c r="J41" i="26"/>
  <c r="J39" i="26"/>
  <c r="J42" i="26"/>
  <c r="J35" i="26"/>
  <c r="J36" i="26"/>
  <c r="J37" i="26"/>
  <c r="J38" i="26"/>
  <c r="J27" i="26"/>
  <c r="J26" i="26"/>
  <c r="J19" i="26"/>
  <c r="J20" i="26"/>
  <c r="J21" i="26"/>
  <c r="J22" i="26"/>
  <c r="J23" i="26"/>
  <c r="J24" i="26"/>
  <c r="I91" i="26" l="1"/>
  <c r="H91" i="26"/>
  <c r="J90" i="26"/>
  <c r="J85" i="26"/>
  <c r="J79" i="26"/>
  <c r="J78" i="26"/>
  <c r="J77" i="26"/>
  <c r="J76" i="26"/>
  <c r="I72" i="26"/>
  <c r="H72" i="26"/>
  <c r="J71" i="26"/>
  <c r="J63" i="26"/>
  <c r="J62" i="26"/>
  <c r="J61" i="26"/>
  <c r="J60" i="26"/>
  <c r="I56" i="26"/>
  <c r="H56" i="26"/>
  <c r="J55" i="26"/>
  <c r="J54" i="26"/>
  <c r="J56" i="26" s="1"/>
  <c r="I50" i="26"/>
  <c r="H50" i="26"/>
  <c r="J49" i="26"/>
  <c r="J48" i="26"/>
  <c r="J45" i="26"/>
  <c r="J34" i="26"/>
  <c r="J33" i="26"/>
  <c r="I29" i="26"/>
  <c r="H29" i="26"/>
  <c r="J28" i="26"/>
  <c r="J25" i="26"/>
  <c r="J18" i="26"/>
  <c r="J17" i="26"/>
  <c r="J16" i="26"/>
  <c r="J15" i="26"/>
  <c r="I11" i="26"/>
  <c r="H11" i="26"/>
  <c r="J10" i="26"/>
  <c r="J9" i="26"/>
  <c r="J8" i="26"/>
  <c r="J7" i="26"/>
  <c r="J6" i="26"/>
  <c r="J5" i="26"/>
  <c r="I44" i="25"/>
  <c r="J91" i="26" l="1"/>
  <c r="J72" i="26"/>
  <c r="J50" i="26"/>
  <c r="I93" i="26"/>
  <c r="J29" i="26"/>
  <c r="J11" i="26"/>
  <c r="H93" i="26"/>
  <c r="I96" i="25"/>
  <c r="H96" i="25"/>
  <c r="H98" i="25" s="1"/>
  <c r="J95" i="25"/>
  <c r="J94" i="25"/>
  <c r="J93" i="25"/>
  <c r="J92" i="25"/>
  <c r="J91" i="25"/>
  <c r="J90" i="25"/>
  <c r="J89" i="25"/>
  <c r="J88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96" i="25" s="1"/>
  <c r="H70" i="25"/>
  <c r="J69" i="25"/>
  <c r="J68" i="25"/>
  <c r="J67" i="25"/>
  <c r="J66" i="25"/>
  <c r="J65" i="25"/>
  <c r="J64" i="25"/>
  <c r="J63" i="25"/>
  <c r="J62" i="25"/>
  <c r="J61" i="25"/>
  <c r="J60" i="25"/>
  <c r="I59" i="25"/>
  <c r="J59" i="25" s="1"/>
  <c r="I58" i="25"/>
  <c r="J58" i="25" s="1"/>
  <c r="I54" i="25"/>
  <c r="H54" i="25"/>
  <c r="J51" i="25"/>
  <c r="J50" i="25"/>
  <c r="J49" i="25"/>
  <c r="J48" i="25"/>
  <c r="J47" i="25"/>
  <c r="J46" i="25"/>
  <c r="J45" i="25"/>
  <c r="J44" i="25"/>
  <c r="J54" i="25" s="1"/>
  <c r="J43" i="25"/>
  <c r="H39" i="25"/>
  <c r="J38" i="25"/>
  <c r="J37" i="25"/>
  <c r="J36" i="25"/>
  <c r="J35" i="25"/>
  <c r="J34" i="25"/>
  <c r="J33" i="25"/>
  <c r="J32" i="25"/>
  <c r="J31" i="25"/>
  <c r="J30" i="25"/>
  <c r="J29" i="25"/>
  <c r="I28" i="25"/>
  <c r="J28" i="25" s="1"/>
  <c r="J39" i="25" s="1"/>
  <c r="I24" i="25"/>
  <c r="H24" i="25"/>
  <c r="J23" i="25"/>
  <c r="J22" i="25"/>
  <c r="J21" i="25"/>
  <c r="J20" i="25"/>
  <c r="J19" i="25"/>
  <c r="J24" i="25" s="1"/>
  <c r="I15" i="25"/>
  <c r="H15" i="25"/>
  <c r="J14" i="25"/>
  <c r="J13" i="25"/>
  <c r="J12" i="25"/>
  <c r="J11" i="25"/>
  <c r="J10" i="25"/>
  <c r="J9" i="25"/>
  <c r="I8" i="25"/>
  <c r="J8" i="25" s="1"/>
  <c r="J7" i="25"/>
  <c r="J6" i="25"/>
  <c r="I5" i="25"/>
  <c r="J5" i="25" s="1"/>
  <c r="J15" i="25" s="1"/>
  <c r="I28" i="24"/>
  <c r="J93" i="26" l="1"/>
  <c r="J70" i="25"/>
  <c r="J98" i="25" s="1"/>
  <c r="I70" i="25"/>
  <c r="I98" i="25" s="1"/>
  <c r="I39" i="25"/>
  <c r="J63" i="4"/>
  <c r="I63" i="4"/>
  <c r="H63" i="4"/>
  <c r="I96" i="24" l="1"/>
  <c r="H96" i="24"/>
  <c r="H98" i="24" s="1"/>
  <c r="J95" i="24"/>
  <c r="J94" i="24"/>
  <c r="J93" i="24"/>
  <c r="J92" i="24"/>
  <c r="J91" i="24"/>
  <c r="J90" i="24"/>
  <c r="J89" i="24"/>
  <c r="J88" i="24"/>
  <c r="J87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96" i="24" s="1"/>
  <c r="H70" i="24"/>
  <c r="J69" i="24"/>
  <c r="J68" i="24"/>
  <c r="J67" i="24"/>
  <c r="J66" i="24"/>
  <c r="J65" i="24"/>
  <c r="J64" i="24"/>
  <c r="J63" i="24"/>
  <c r="J62" i="24"/>
  <c r="J61" i="24"/>
  <c r="J60" i="24"/>
  <c r="I59" i="24"/>
  <c r="J59" i="24" s="1"/>
  <c r="J58" i="24"/>
  <c r="I58" i="24"/>
  <c r="I70" i="24" s="1"/>
  <c r="I54" i="24"/>
  <c r="H54" i="24"/>
  <c r="J51" i="24"/>
  <c r="J50" i="24"/>
  <c r="J49" i="24"/>
  <c r="J48" i="24"/>
  <c r="J47" i="24"/>
  <c r="J46" i="24"/>
  <c r="J45" i="24"/>
  <c r="J44" i="24"/>
  <c r="J43" i="24"/>
  <c r="I39" i="24"/>
  <c r="H39" i="24"/>
  <c r="J38" i="24"/>
  <c r="J37" i="24"/>
  <c r="J36" i="24"/>
  <c r="J35" i="24"/>
  <c r="J34" i="24"/>
  <c r="J33" i="24"/>
  <c r="J32" i="24"/>
  <c r="J31" i="24"/>
  <c r="J30" i="24"/>
  <c r="J29" i="24"/>
  <c r="J28" i="24"/>
  <c r="J39" i="24" s="1"/>
  <c r="I24" i="24"/>
  <c r="H24" i="24"/>
  <c r="J23" i="24"/>
  <c r="J24" i="24" s="1"/>
  <c r="J22" i="24"/>
  <c r="J21" i="24"/>
  <c r="J20" i="24"/>
  <c r="J19" i="24"/>
  <c r="H15" i="24"/>
  <c r="J14" i="24"/>
  <c r="J13" i="24"/>
  <c r="J12" i="24"/>
  <c r="J11" i="24"/>
  <c r="J10" i="24"/>
  <c r="J9" i="24"/>
  <c r="J8" i="24"/>
  <c r="I8" i="24"/>
  <c r="J7" i="24"/>
  <c r="J6" i="24"/>
  <c r="I5" i="24"/>
  <c r="I15" i="24" s="1"/>
  <c r="I58" i="23"/>
  <c r="J54" i="24" l="1"/>
  <c r="J98" i="24"/>
  <c r="I98" i="24"/>
  <c r="J70" i="24"/>
  <c r="J5" i="24"/>
  <c r="J15" i="24" s="1"/>
  <c r="I96" i="23"/>
  <c r="H96" i="23"/>
  <c r="J95" i="23"/>
  <c r="J94" i="23"/>
  <c r="J93" i="23"/>
  <c r="J92" i="23"/>
  <c r="J91" i="23"/>
  <c r="J90" i="23"/>
  <c r="J89" i="23"/>
  <c r="J88" i="23"/>
  <c r="J87" i="23"/>
  <c r="J86" i="23"/>
  <c r="J85" i="23"/>
  <c r="J84" i="23"/>
  <c r="J83" i="23"/>
  <c r="J82" i="23"/>
  <c r="J81" i="23"/>
  <c r="J80" i="23"/>
  <c r="J79" i="23"/>
  <c r="J78" i="23"/>
  <c r="J77" i="23"/>
  <c r="J76" i="23"/>
  <c r="J75" i="23"/>
  <c r="J74" i="23"/>
  <c r="H70" i="23"/>
  <c r="J69" i="23"/>
  <c r="J68" i="23"/>
  <c r="J67" i="23"/>
  <c r="J66" i="23"/>
  <c r="J65" i="23"/>
  <c r="J64" i="23"/>
  <c r="J63" i="23"/>
  <c r="J62" i="23"/>
  <c r="J61" i="23"/>
  <c r="J60" i="23"/>
  <c r="I59" i="23"/>
  <c r="I70" i="23" s="1"/>
  <c r="J58" i="23"/>
  <c r="I54" i="23"/>
  <c r="H54" i="23"/>
  <c r="J51" i="23"/>
  <c r="J50" i="23"/>
  <c r="J49" i="23"/>
  <c r="J48" i="23"/>
  <c r="J47" i="23"/>
  <c r="J46" i="23"/>
  <c r="J45" i="23"/>
  <c r="J44" i="23"/>
  <c r="J43" i="23"/>
  <c r="J54" i="23" s="1"/>
  <c r="I39" i="23"/>
  <c r="H39" i="23"/>
  <c r="J38" i="23"/>
  <c r="J37" i="23"/>
  <c r="J36" i="23"/>
  <c r="J35" i="23"/>
  <c r="J34" i="23"/>
  <c r="J33" i="23"/>
  <c r="J32" i="23"/>
  <c r="J31" i="23"/>
  <c r="J30" i="23"/>
  <c r="J29" i="23"/>
  <c r="J28" i="23"/>
  <c r="I24" i="23"/>
  <c r="H24" i="23"/>
  <c r="J23" i="23"/>
  <c r="J22" i="23"/>
  <c r="J24" i="23" s="1"/>
  <c r="J21" i="23"/>
  <c r="J20" i="23"/>
  <c r="J19" i="23"/>
  <c r="H15" i="23"/>
  <c r="J14" i="23"/>
  <c r="J13" i="23"/>
  <c r="J12" i="23"/>
  <c r="J11" i="23"/>
  <c r="J10" i="23"/>
  <c r="J9" i="23"/>
  <c r="I8" i="23"/>
  <c r="J8" i="23" s="1"/>
  <c r="J7" i="23"/>
  <c r="J6" i="23"/>
  <c r="J5" i="23"/>
  <c r="J15" i="23" s="1"/>
  <c r="I5" i="23"/>
  <c r="I15" i="23" s="1"/>
  <c r="I59" i="22"/>
  <c r="J39" i="23" l="1"/>
  <c r="J96" i="23"/>
  <c r="J59" i="23"/>
  <c r="J70" i="23" s="1"/>
  <c r="I96" i="22"/>
  <c r="H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96" i="22" s="1"/>
  <c r="I70" i="22"/>
  <c r="H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I54" i="22"/>
  <c r="H54" i="22"/>
  <c r="J51" i="22"/>
  <c r="J50" i="22"/>
  <c r="J49" i="22"/>
  <c r="J48" i="22"/>
  <c r="J47" i="22"/>
  <c r="J54" i="22" s="1"/>
  <c r="J46" i="22"/>
  <c r="J45" i="22"/>
  <c r="J44" i="22"/>
  <c r="J43" i="22"/>
  <c r="I39" i="22"/>
  <c r="H39" i="22"/>
  <c r="J38" i="22"/>
  <c r="J37" i="22"/>
  <c r="J36" i="22"/>
  <c r="J35" i="22"/>
  <c r="J34" i="22"/>
  <c r="J33" i="22"/>
  <c r="J32" i="22"/>
  <c r="J31" i="22"/>
  <c r="J30" i="22"/>
  <c r="J29" i="22"/>
  <c r="J28" i="22"/>
  <c r="J39" i="22" s="1"/>
  <c r="I24" i="22"/>
  <c r="H24" i="22"/>
  <c r="J23" i="22"/>
  <c r="J22" i="22"/>
  <c r="J21" i="22"/>
  <c r="J24" i="22" s="1"/>
  <c r="J20" i="22"/>
  <c r="J19" i="22"/>
  <c r="H15" i="22"/>
  <c r="J14" i="22"/>
  <c r="J13" i="22"/>
  <c r="J12" i="22"/>
  <c r="J11" i="22"/>
  <c r="J10" i="22"/>
  <c r="J9" i="22"/>
  <c r="J8" i="22"/>
  <c r="I8" i="22"/>
  <c r="J7" i="22"/>
  <c r="J6" i="22"/>
  <c r="I5" i="22"/>
  <c r="I15" i="22" s="1"/>
  <c r="I8" i="21"/>
  <c r="J70" i="22" l="1"/>
  <c r="J5" i="22"/>
  <c r="J15" i="22" s="1"/>
  <c r="I96" i="21"/>
  <c r="H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96" i="21" s="1"/>
  <c r="I70" i="21"/>
  <c r="H70" i="21"/>
  <c r="J69" i="21"/>
  <c r="J68" i="21"/>
  <c r="J67" i="21"/>
  <c r="J66" i="21"/>
  <c r="J65" i="21"/>
  <c r="J64" i="21"/>
  <c r="J63" i="21"/>
  <c r="J62" i="21"/>
  <c r="J61" i="21"/>
  <c r="J60" i="21"/>
  <c r="J59" i="21"/>
  <c r="J58" i="21"/>
  <c r="I54" i="21"/>
  <c r="H54" i="21"/>
  <c r="J51" i="21"/>
  <c r="J54" i="21" s="1"/>
  <c r="J50" i="21"/>
  <c r="J49" i="21"/>
  <c r="J48" i="21"/>
  <c r="J47" i="21"/>
  <c r="J46" i="21"/>
  <c r="J45" i="21"/>
  <c r="J44" i="21"/>
  <c r="J43" i="21"/>
  <c r="I39" i="21"/>
  <c r="H39" i="21"/>
  <c r="J38" i="21"/>
  <c r="J37" i="21"/>
  <c r="J36" i="21"/>
  <c r="J35" i="21"/>
  <c r="J34" i="21"/>
  <c r="J33" i="21"/>
  <c r="J32" i="21"/>
  <c r="J31" i="21"/>
  <c r="J30" i="21"/>
  <c r="J29" i="21"/>
  <c r="J28" i="21"/>
  <c r="J39" i="21" s="1"/>
  <c r="I24" i="21"/>
  <c r="H24" i="21"/>
  <c r="J23" i="21"/>
  <c r="J22" i="21"/>
  <c r="J21" i="21"/>
  <c r="J20" i="21"/>
  <c r="J19" i="21"/>
  <c r="H15" i="21"/>
  <c r="J14" i="21"/>
  <c r="J13" i="21"/>
  <c r="J12" i="21"/>
  <c r="J11" i="21"/>
  <c r="J10" i="21"/>
  <c r="J9" i="21"/>
  <c r="J8" i="21"/>
  <c r="J7" i="21"/>
  <c r="J6" i="21"/>
  <c r="I5" i="21"/>
  <c r="I15" i="21" s="1"/>
  <c r="J70" i="21" l="1"/>
  <c r="J24" i="21"/>
  <c r="J5" i="21"/>
  <c r="J15" i="21" s="1"/>
  <c r="I5" i="20"/>
  <c r="J54" i="20" l="1"/>
  <c r="J43" i="20"/>
  <c r="J44" i="20"/>
  <c r="J45" i="20"/>
  <c r="J46" i="20"/>
  <c r="J47" i="20"/>
  <c r="J48" i="20"/>
  <c r="J49" i="20"/>
  <c r="J50" i="20"/>
  <c r="J51" i="20"/>
  <c r="I96" i="20" l="1"/>
  <c r="H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96" i="20" s="1"/>
  <c r="I70" i="20"/>
  <c r="H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I54" i="20"/>
  <c r="H54" i="20"/>
  <c r="H39" i="20"/>
  <c r="J38" i="20"/>
  <c r="J37" i="20"/>
  <c r="J36" i="20"/>
  <c r="J35" i="20"/>
  <c r="J34" i="20"/>
  <c r="J33" i="20"/>
  <c r="J32" i="20"/>
  <c r="J31" i="20"/>
  <c r="J30" i="20"/>
  <c r="J29" i="20"/>
  <c r="I39" i="20"/>
  <c r="I24" i="20"/>
  <c r="H24" i="20"/>
  <c r="J23" i="20"/>
  <c r="J22" i="20"/>
  <c r="J21" i="20"/>
  <c r="J20" i="20"/>
  <c r="J19" i="20"/>
  <c r="H15" i="20"/>
  <c r="J14" i="20"/>
  <c r="J13" i="20"/>
  <c r="I15" i="20"/>
  <c r="J11" i="20"/>
  <c r="J10" i="20"/>
  <c r="J9" i="20"/>
  <c r="J8" i="20"/>
  <c r="J7" i="20"/>
  <c r="J6" i="20"/>
  <c r="J5" i="20"/>
  <c r="I12" i="19"/>
  <c r="J70" i="20" l="1"/>
  <c r="J24" i="20"/>
  <c r="J12" i="20"/>
  <c r="J15" i="20" s="1"/>
  <c r="J28" i="20"/>
  <c r="J39" i="20" s="1"/>
  <c r="J13" i="19"/>
  <c r="I21" i="19"/>
  <c r="I28" i="19"/>
  <c r="J44" i="19" l="1"/>
  <c r="J45" i="19"/>
  <c r="J46" i="19"/>
  <c r="J47" i="19"/>
  <c r="J48" i="19"/>
  <c r="J49" i="19"/>
  <c r="J50" i="19"/>
  <c r="J51" i="19"/>
  <c r="J43" i="19"/>
  <c r="J77" i="19" l="1"/>
  <c r="J78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I96" i="19"/>
  <c r="H96" i="19"/>
  <c r="J95" i="19"/>
  <c r="J81" i="19"/>
  <c r="J80" i="19"/>
  <c r="J79" i="19"/>
  <c r="J76" i="19"/>
  <c r="J75" i="19"/>
  <c r="J74" i="19"/>
  <c r="I70" i="19"/>
  <c r="H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I54" i="19"/>
  <c r="H54" i="19"/>
  <c r="H39" i="19"/>
  <c r="J38" i="19"/>
  <c r="J37" i="19"/>
  <c r="J36" i="19"/>
  <c r="J35" i="19"/>
  <c r="J34" i="19"/>
  <c r="J33" i="19"/>
  <c r="J32" i="19"/>
  <c r="J31" i="19"/>
  <c r="J30" i="19"/>
  <c r="J29" i="19"/>
  <c r="I39" i="19"/>
  <c r="I24" i="19"/>
  <c r="H24" i="19"/>
  <c r="J23" i="19"/>
  <c r="J22" i="19"/>
  <c r="J21" i="19"/>
  <c r="J20" i="19"/>
  <c r="J19" i="19"/>
  <c r="I15" i="19"/>
  <c r="H15" i="19"/>
  <c r="J14" i="19"/>
  <c r="J12" i="19"/>
  <c r="J11" i="19"/>
  <c r="J10" i="19"/>
  <c r="J9" i="19"/>
  <c r="J8" i="19"/>
  <c r="J7" i="19"/>
  <c r="J6" i="19"/>
  <c r="J5" i="19"/>
  <c r="J15" i="19" l="1"/>
  <c r="J96" i="19"/>
  <c r="J24" i="19"/>
  <c r="J70" i="19"/>
  <c r="J28" i="19"/>
  <c r="J39" i="19" s="1"/>
  <c r="I97" i="18" l="1"/>
  <c r="H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97" i="18" s="1"/>
  <c r="I71" i="18"/>
  <c r="H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I55" i="18"/>
  <c r="H55" i="18"/>
  <c r="J54" i="18"/>
  <c r="J53" i="18"/>
  <c r="J52" i="18"/>
  <c r="J51" i="18"/>
  <c r="J50" i="18"/>
  <c r="J49" i="18"/>
  <c r="J48" i="18"/>
  <c r="J47" i="18"/>
  <c r="J46" i="18"/>
  <c r="J45" i="18"/>
  <c r="J44" i="18"/>
  <c r="J55" i="18" s="1"/>
  <c r="H40" i="18"/>
  <c r="J39" i="18"/>
  <c r="J38" i="18"/>
  <c r="J37" i="18"/>
  <c r="J36" i="18"/>
  <c r="J35" i="18"/>
  <c r="J34" i="18"/>
  <c r="J33" i="18"/>
  <c r="J32" i="18"/>
  <c r="J31" i="18"/>
  <c r="J30" i="18"/>
  <c r="I29" i="18"/>
  <c r="J29" i="18" s="1"/>
  <c r="J40" i="18" s="1"/>
  <c r="I25" i="18"/>
  <c r="H25" i="18"/>
  <c r="J24" i="18"/>
  <c r="J23" i="18"/>
  <c r="J22" i="18"/>
  <c r="J21" i="18"/>
  <c r="J20" i="18"/>
  <c r="I19" i="18"/>
  <c r="J19" i="18" s="1"/>
  <c r="J25" i="18" s="1"/>
  <c r="J18" i="18"/>
  <c r="I14" i="18"/>
  <c r="H14" i="18"/>
  <c r="J13" i="18"/>
  <c r="J12" i="18"/>
  <c r="J11" i="18"/>
  <c r="J10" i="18"/>
  <c r="J9" i="18"/>
  <c r="J8" i="18"/>
  <c r="J7" i="18"/>
  <c r="J6" i="18"/>
  <c r="I5" i="18"/>
  <c r="J5" i="18" s="1"/>
  <c r="J14" i="18" s="1"/>
  <c r="J47" i="17"/>
  <c r="J46" i="17"/>
  <c r="I97" i="17"/>
  <c r="H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I71" i="17"/>
  <c r="H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71" i="17" s="1"/>
  <c r="I55" i="17"/>
  <c r="H55" i="17"/>
  <c r="J54" i="17"/>
  <c r="J53" i="17"/>
  <c r="J52" i="17"/>
  <c r="J51" i="17"/>
  <c r="J50" i="17"/>
  <c r="J49" i="17"/>
  <c r="J48" i="17"/>
  <c r="J45" i="17"/>
  <c r="J44" i="17"/>
  <c r="H40" i="17"/>
  <c r="J39" i="17"/>
  <c r="J38" i="17"/>
  <c r="J37" i="17"/>
  <c r="J36" i="17"/>
  <c r="J35" i="17"/>
  <c r="J34" i="17"/>
  <c r="J33" i="17"/>
  <c r="J32" i="17"/>
  <c r="J31" i="17"/>
  <c r="J30" i="17"/>
  <c r="I29" i="17"/>
  <c r="J29" i="17" s="1"/>
  <c r="J40" i="17" s="1"/>
  <c r="I25" i="17"/>
  <c r="H25" i="17"/>
  <c r="J24" i="17"/>
  <c r="J23" i="17"/>
  <c r="J22" i="17"/>
  <c r="J21" i="17"/>
  <c r="J20" i="17"/>
  <c r="I19" i="17"/>
  <c r="J19" i="17" s="1"/>
  <c r="J25" i="17" s="1"/>
  <c r="J18" i="17"/>
  <c r="I14" i="17"/>
  <c r="H14" i="17"/>
  <c r="J13" i="17"/>
  <c r="J12" i="17"/>
  <c r="J11" i="17"/>
  <c r="J10" i="17"/>
  <c r="J9" i="17"/>
  <c r="J8" i="17"/>
  <c r="J7" i="17"/>
  <c r="J6" i="17"/>
  <c r="I5" i="17"/>
  <c r="J5" i="17" s="1"/>
  <c r="J14" i="17" s="1"/>
  <c r="H89" i="16"/>
  <c r="J71" i="18" l="1"/>
  <c r="I40" i="18"/>
  <c r="J97" i="17"/>
  <c r="J55" i="17"/>
  <c r="I40" i="17"/>
  <c r="I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I63" i="16"/>
  <c r="H63" i="16"/>
  <c r="J62" i="16"/>
  <c r="J61" i="16"/>
  <c r="J60" i="16"/>
  <c r="J59" i="16"/>
  <c r="J58" i="16"/>
  <c r="J57" i="16"/>
  <c r="I53" i="16"/>
  <c r="H53" i="16"/>
  <c r="J52" i="16"/>
  <c r="J51" i="16"/>
  <c r="J50" i="16"/>
  <c r="J49" i="16"/>
  <c r="J48" i="16"/>
  <c r="J47" i="16"/>
  <c r="J46" i="16"/>
  <c r="J45" i="16"/>
  <c r="J44" i="16"/>
  <c r="H40" i="16"/>
  <c r="J39" i="16"/>
  <c r="J38" i="16"/>
  <c r="J37" i="16"/>
  <c r="J36" i="16"/>
  <c r="J35" i="16"/>
  <c r="J34" i="16"/>
  <c r="J33" i="16"/>
  <c r="J32" i="16"/>
  <c r="J31" i="16"/>
  <c r="J30" i="16"/>
  <c r="I29" i="16"/>
  <c r="J29" i="16" s="1"/>
  <c r="H25" i="16"/>
  <c r="J24" i="16"/>
  <c r="J23" i="16"/>
  <c r="J22" i="16"/>
  <c r="J21" i="16"/>
  <c r="J20" i="16"/>
  <c r="I19" i="16"/>
  <c r="I25" i="16" s="1"/>
  <c r="J18" i="16"/>
  <c r="H14" i="16"/>
  <c r="J13" i="16"/>
  <c r="J12" i="16"/>
  <c r="J11" i="16"/>
  <c r="J10" i="16"/>
  <c r="J9" i="16"/>
  <c r="J8" i="16"/>
  <c r="J7" i="16"/>
  <c r="J6" i="16"/>
  <c r="I5" i="16"/>
  <c r="I14" i="16" s="1"/>
  <c r="J50" i="15"/>
  <c r="J33" i="15"/>
  <c r="J34" i="15"/>
  <c r="J35" i="15"/>
  <c r="J36" i="15"/>
  <c r="J37" i="15"/>
  <c r="J38" i="15"/>
  <c r="J39" i="15"/>
  <c r="J32" i="15"/>
  <c r="J31" i="15"/>
  <c r="I29" i="15"/>
  <c r="I19" i="15"/>
  <c r="J40" i="16" l="1"/>
  <c r="I40" i="16"/>
  <c r="J53" i="16"/>
  <c r="J5" i="16"/>
  <c r="J14" i="16" s="1"/>
  <c r="J63" i="16"/>
  <c r="J89" i="16"/>
  <c r="J19" i="16"/>
  <c r="J25" i="16" s="1"/>
  <c r="J19" i="15"/>
  <c r="I88" i="15"/>
  <c r="H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I62" i="15"/>
  <c r="H62" i="15"/>
  <c r="J61" i="15"/>
  <c r="J60" i="15"/>
  <c r="J59" i="15"/>
  <c r="J58" i="15"/>
  <c r="J57" i="15"/>
  <c r="J56" i="15"/>
  <c r="I52" i="15"/>
  <c r="H52" i="15"/>
  <c r="J51" i="15"/>
  <c r="J49" i="15"/>
  <c r="J48" i="15"/>
  <c r="J47" i="15"/>
  <c r="J46" i="15"/>
  <c r="J45" i="15"/>
  <c r="J44" i="15"/>
  <c r="I40" i="15"/>
  <c r="H40" i="15"/>
  <c r="J30" i="15"/>
  <c r="J29" i="15"/>
  <c r="H25" i="15"/>
  <c r="J24" i="15"/>
  <c r="J23" i="15"/>
  <c r="J22" i="15"/>
  <c r="J21" i="15"/>
  <c r="J20" i="15"/>
  <c r="J18" i="15"/>
  <c r="I14" i="15"/>
  <c r="H14" i="15"/>
  <c r="J13" i="15"/>
  <c r="J12" i="15"/>
  <c r="J11" i="15"/>
  <c r="J10" i="15"/>
  <c r="J9" i="15"/>
  <c r="J8" i="15"/>
  <c r="J7" i="15"/>
  <c r="J6" i="15"/>
  <c r="J5" i="15"/>
  <c r="J14" i="15" s="1"/>
  <c r="I5" i="15"/>
  <c r="J88" i="15" l="1"/>
  <c r="J62" i="15"/>
  <c r="J52" i="15"/>
  <c r="J40" i="15"/>
  <c r="I25" i="15"/>
  <c r="J25" i="15"/>
  <c r="I5" i="14"/>
  <c r="J39" i="14" l="1"/>
  <c r="J40" i="14"/>
  <c r="J41" i="14"/>
  <c r="I79" i="14" l="1"/>
  <c r="H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I53" i="14"/>
  <c r="H53" i="14"/>
  <c r="J52" i="14"/>
  <c r="J51" i="14"/>
  <c r="J50" i="14"/>
  <c r="J49" i="14"/>
  <c r="J48" i="14"/>
  <c r="J47" i="14"/>
  <c r="H43" i="14"/>
  <c r="J42" i="14"/>
  <c r="J38" i="14"/>
  <c r="I43" i="14"/>
  <c r="J36" i="14"/>
  <c r="I32" i="14"/>
  <c r="H32" i="14"/>
  <c r="J31" i="14"/>
  <c r="J30" i="14"/>
  <c r="J29" i="14"/>
  <c r="I25" i="14"/>
  <c r="H25" i="14"/>
  <c r="J24" i="14"/>
  <c r="J23" i="14"/>
  <c r="J22" i="14"/>
  <c r="J21" i="14"/>
  <c r="J20" i="14"/>
  <c r="J19" i="14"/>
  <c r="J18" i="14"/>
  <c r="H14" i="14"/>
  <c r="J13" i="14"/>
  <c r="J12" i="14"/>
  <c r="J11" i="14"/>
  <c r="J10" i="14"/>
  <c r="J9" i="14"/>
  <c r="J8" i="14"/>
  <c r="J7" i="14"/>
  <c r="J6" i="14"/>
  <c r="I14" i="14"/>
  <c r="J5" i="14"/>
  <c r="I45" i="13"/>
  <c r="I50" i="13" s="1"/>
  <c r="I76" i="13"/>
  <c r="H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76" i="13" s="1"/>
  <c r="H50" i="13"/>
  <c r="J49" i="13"/>
  <c r="J48" i="13"/>
  <c r="J47" i="13"/>
  <c r="J46" i="13"/>
  <c r="J44" i="13"/>
  <c r="J40" i="13"/>
  <c r="I40" i="13"/>
  <c r="H40" i="13"/>
  <c r="J39" i="13"/>
  <c r="J38" i="13"/>
  <c r="J37" i="13"/>
  <c r="I37" i="13"/>
  <c r="J36" i="13"/>
  <c r="H32" i="13"/>
  <c r="J31" i="13"/>
  <c r="I30" i="13"/>
  <c r="J30" i="13" s="1"/>
  <c r="J32" i="13" s="1"/>
  <c r="J29" i="13"/>
  <c r="I25" i="13"/>
  <c r="H25" i="13"/>
  <c r="J24" i="13"/>
  <c r="J23" i="13"/>
  <c r="J22" i="13"/>
  <c r="J21" i="13"/>
  <c r="J20" i="13"/>
  <c r="J19" i="13"/>
  <c r="J18" i="13"/>
  <c r="J25" i="13" s="1"/>
  <c r="H14" i="13"/>
  <c r="J13" i="13"/>
  <c r="J12" i="13"/>
  <c r="J11" i="13"/>
  <c r="J10" i="13"/>
  <c r="J9" i="13"/>
  <c r="J8" i="13"/>
  <c r="I7" i="13"/>
  <c r="J7" i="13" s="1"/>
  <c r="I6" i="13"/>
  <c r="I14" i="13" s="1"/>
  <c r="J5" i="13"/>
  <c r="I37" i="11"/>
  <c r="J37" i="11" s="1"/>
  <c r="I76" i="11"/>
  <c r="H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76" i="11" s="1"/>
  <c r="I50" i="11"/>
  <c r="H50" i="11"/>
  <c r="J49" i="11"/>
  <c r="J48" i="11"/>
  <c r="J47" i="11"/>
  <c r="J46" i="11"/>
  <c r="J45" i="11"/>
  <c r="J44" i="11"/>
  <c r="J50" i="11" s="1"/>
  <c r="H40" i="11"/>
  <c r="J39" i="11"/>
  <c r="J38" i="11"/>
  <c r="J36" i="11"/>
  <c r="H32" i="11"/>
  <c r="J31" i="11"/>
  <c r="I30" i="11"/>
  <c r="J30" i="11" s="1"/>
  <c r="J32" i="11" s="1"/>
  <c r="J29" i="11"/>
  <c r="I25" i="11"/>
  <c r="H25" i="11"/>
  <c r="J24" i="11"/>
  <c r="J23" i="11"/>
  <c r="J22" i="11"/>
  <c r="J21" i="11"/>
  <c r="J20" i="11"/>
  <c r="J19" i="11"/>
  <c r="J18" i="11"/>
  <c r="J25" i="11" s="1"/>
  <c r="H14" i="11"/>
  <c r="J13" i="11"/>
  <c r="J12" i="11"/>
  <c r="J11" i="11"/>
  <c r="J10" i="11"/>
  <c r="J9" i="11"/>
  <c r="J8" i="11"/>
  <c r="I7" i="11"/>
  <c r="J7" i="11" s="1"/>
  <c r="I6" i="11"/>
  <c r="I14" i="11" s="1"/>
  <c r="J5" i="11"/>
  <c r="I37" i="9"/>
  <c r="I30" i="9"/>
  <c r="J25" i="14" l="1"/>
  <c r="J79" i="14"/>
  <c r="J53" i="14"/>
  <c r="J32" i="14"/>
  <c r="J14" i="14"/>
  <c r="J37" i="14"/>
  <c r="J43" i="14" s="1"/>
  <c r="J45" i="13"/>
  <c r="J50" i="13" s="1"/>
  <c r="I32" i="13"/>
  <c r="J6" i="13"/>
  <c r="J14" i="13" s="1"/>
  <c r="J40" i="11"/>
  <c r="I40" i="11"/>
  <c r="J6" i="11"/>
  <c r="J14" i="11" s="1"/>
  <c r="I32" i="11"/>
  <c r="I76" i="9" l="1"/>
  <c r="H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76" i="9" s="1"/>
  <c r="I50" i="9"/>
  <c r="H50" i="9"/>
  <c r="J49" i="9"/>
  <c r="J48" i="9"/>
  <c r="J47" i="9"/>
  <c r="J46" i="9"/>
  <c r="J45" i="9"/>
  <c r="J44" i="9"/>
  <c r="I40" i="9"/>
  <c r="H40" i="9"/>
  <c r="J39" i="9"/>
  <c r="J38" i="9"/>
  <c r="J37" i="9"/>
  <c r="J36" i="9"/>
  <c r="I32" i="9"/>
  <c r="H32" i="9"/>
  <c r="J31" i="9"/>
  <c r="J30" i="9"/>
  <c r="J32" i="9" s="1"/>
  <c r="J29" i="9"/>
  <c r="I25" i="9"/>
  <c r="H25" i="9"/>
  <c r="J24" i="9"/>
  <c r="J23" i="9"/>
  <c r="J22" i="9"/>
  <c r="J21" i="9"/>
  <c r="J20" i="9"/>
  <c r="J19" i="9"/>
  <c r="J18" i="9"/>
  <c r="J25" i="9" s="1"/>
  <c r="H14" i="9"/>
  <c r="J13" i="9"/>
  <c r="J12" i="9"/>
  <c r="J11" i="9"/>
  <c r="J10" i="9"/>
  <c r="J9" i="9"/>
  <c r="J8" i="9"/>
  <c r="I7" i="9"/>
  <c r="J7" i="9" s="1"/>
  <c r="J6" i="9"/>
  <c r="I6" i="9"/>
  <c r="J5" i="9"/>
  <c r="J71" i="7"/>
  <c r="J70" i="7"/>
  <c r="J69" i="7"/>
  <c r="J68" i="7"/>
  <c r="J67" i="7"/>
  <c r="J66" i="7"/>
  <c r="J65" i="7"/>
  <c r="J74" i="7"/>
  <c r="J73" i="7"/>
  <c r="J72" i="7"/>
  <c r="J64" i="7"/>
  <c r="J63" i="7"/>
  <c r="J62" i="7"/>
  <c r="J61" i="7"/>
  <c r="J60" i="7"/>
  <c r="J59" i="7"/>
  <c r="J40" i="9" l="1"/>
  <c r="J50" i="9"/>
  <c r="J14" i="9"/>
  <c r="I14" i="9"/>
  <c r="I30" i="7" l="1"/>
  <c r="J30" i="7" s="1"/>
  <c r="J31" i="7"/>
  <c r="J36" i="7"/>
  <c r="J5" i="7"/>
  <c r="I6" i="7"/>
  <c r="J6" i="7"/>
  <c r="I7" i="7"/>
  <c r="I14" i="7" s="1"/>
  <c r="J7" i="7"/>
  <c r="J14" i="7" s="1"/>
  <c r="J8" i="7"/>
  <c r="I76" i="7"/>
  <c r="H76" i="7"/>
  <c r="J75" i="7"/>
  <c r="J58" i="7"/>
  <c r="J57" i="7"/>
  <c r="J56" i="7"/>
  <c r="J55" i="7"/>
  <c r="J54" i="7"/>
  <c r="I50" i="7"/>
  <c r="H50" i="7"/>
  <c r="J49" i="7"/>
  <c r="J50" i="7" s="1"/>
  <c r="J48" i="7"/>
  <c r="J47" i="7"/>
  <c r="J46" i="7"/>
  <c r="J45" i="7"/>
  <c r="J44" i="7"/>
  <c r="H40" i="7"/>
  <c r="J39" i="7"/>
  <c r="J38" i="7"/>
  <c r="J37" i="7"/>
  <c r="H32" i="7"/>
  <c r="J29" i="7"/>
  <c r="J25" i="7"/>
  <c r="I25" i="7"/>
  <c r="H25" i="7"/>
  <c r="J24" i="7"/>
  <c r="J23" i="7"/>
  <c r="J22" i="7"/>
  <c r="J21" i="7"/>
  <c r="J20" i="7"/>
  <c r="J19" i="7"/>
  <c r="J18" i="7"/>
  <c r="H14" i="7"/>
  <c r="J13" i="7"/>
  <c r="J12" i="7"/>
  <c r="J11" i="7"/>
  <c r="J10" i="7"/>
  <c r="J9" i="7"/>
  <c r="I7" i="6"/>
  <c r="I6" i="6"/>
  <c r="J76" i="7" l="1"/>
  <c r="J40" i="7"/>
  <c r="I32" i="7"/>
  <c r="I40" i="7"/>
  <c r="J32" i="7"/>
  <c r="I60" i="6"/>
  <c r="H60" i="6"/>
  <c r="J59" i="6"/>
  <c r="J58" i="6"/>
  <c r="J57" i="6"/>
  <c r="J56" i="6"/>
  <c r="J55" i="6"/>
  <c r="J54" i="6"/>
  <c r="J60" i="6" s="1"/>
  <c r="I50" i="6"/>
  <c r="H50" i="6"/>
  <c r="J49" i="6"/>
  <c r="J48" i="6"/>
  <c r="J47" i="6"/>
  <c r="J46" i="6"/>
  <c r="J45" i="6"/>
  <c r="J44" i="6"/>
  <c r="I40" i="6"/>
  <c r="H40" i="6"/>
  <c r="J39" i="6"/>
  <c r="J38" i="6"/>
  <c r="J37" i="6"/>
  <c r="J40" i="6" s="1"/>
  <c r="J36" i="6"/>
  <c r="I32" i="6"/>
  <c r="H32" i="6"/>
  <c r="J31" i="6"/>
  <c r="J30" i="6"/>
  <c r="J29" i="6"/>
  <c r="J32" i="6" s="1"/>
  <c r="I25" i="6"/>
  <c r="H25" i="6"/>
  <c r="J24" i="6"/>
  <c r="J23" i="6"/>
  <c r="J22" i="6"/>
  <c r="J21" i="6"/>
  <c r="J20" i="6"/>
  <c r="J19" i="6"/>
  <c r="J18" i="6"/>
  <c r="I14" i="6"/>
  <c r="H14" i="6"/>
  <c r="J13" i="6"/>
  <c r="J12" i="6"/>
  <c r="J11" i="6"/>
  <c r="J10" i="6"/>
  <c r="J9" i="6"/>
  <c r="J8" i="6"/>
  <c r="J7" i="6"/>
  <c r="J6" i="6"/>
  <c r="J5" i="6"/>
  <c r="I5" i="3"/>
  <c r="J50" i="6" l="1"/>
  <c r="J14" i="6"/>
  <c r="J25" i="6"/>
  <c r="J23" i="3"/>
  <c r="J22" i="3"/>
  <c r="J12" i="3"/>
  <c r="J11" i="3"/>
  <c r="J10" i="3"/>
  <c r="J18" i="3" l="1"/>
  <c r="J19" i="3"/>
  <c r="J20" i="3"/>
  <c r="J7" i="3" l="1"/>
  <c r="I61" i="4" l="1"/>
  <c r="H61" i="4"/>
  <c r="J60" i="4"/>
  <c r="J59" i="4"/>
  <c r="J58" i="4"/>
  <c r="J57" i="4"/>
  <c r="J56" i="4"/>
  <c r="J55" i="4"/>
  <c r="J61" i="4" s="1"/>
  <c r="J51" i="4"/>
  <c r="I51" i="4"/>
  <c r="H51" i="4"/>
  <c r="J50" i="4"/>
  <c r="J49" i="4"/>
  <c r="J48" i="4"/>
  <c r="J47" i="4"/>
  <c r="J46" i="4"/>
  <c r="J45" i="4"/>
  <c r="I41" i="4"/>
  <c r="H41" i="4"/>
  <c r="J40" i="4"/>
  <c r="J39" i="4"/>
  <c r="J38" i="4"/>
  <c r="J41" i="4" s="1"/>
  <c r="J37" i="4"/>
  <c r="J36" i="4"/>
  <c r="J35" i="4"/>
  <c r="I31" i="4"/>
  <c r="H31" i="4"/>
  <c r="J30" i="4"/>
  <c r="J29" i="4"/>
  <c r="J28" i="4"/>
  <c r="J27" i="4"/>
  <c r="J26" i="4"/>
  <c r="J25" i="4"/>
  <c r="J31" i="4" s="1"/>
  <c r="I21" i="4"/>
  <c r="H21" i="4"/>
  <c r="J20" i="4"/>
  <c r="J19" i="4"/>
  <c r="J18" i="4"/>
  <c r="J17" i="4"/>
  <c r="J16" i="4"/>
  <c r="J15" i="4"/>
  <c r="J21" i="4" s="1"/>
  <c r="J11" i="4"/>
  <c r="I11" i="4"/>
  <c r="H11" i="4"/>
  <c r="J10" i="4"/>
  <c r="J9" i="4"/>
  <c r="J8" i="4"/>
  <c r="J7" i="4"/>
  <c r="J6" i="4"/>
  <c r="J5" i="4"/>
  <c r="J55" i="3"/>
  <c r="I60" i="3" l="1"/>
  <c r="H60" i="3"/>
  <c r="J59" i="3"/>
  <c r="J58" i="3"/>
  <c r="J57" i="3"/>
  <c r="J56" i="3"/>
  <c r="J54" i="3"/>
  <c r="I50" i="3"/>
  <c r="H50" i="3"/>
  <c r="J49" i="3"/>
  <c r="J48" i="3"/>
  <c r="J47" i="3"/>
  <c r="J46" i="3"/>
  <c r="J45" i="3"/>
  <c r="J44" i="3"/>
  <c r="I40" i="3"/>
  <c r="H40" i="3"/>
  <c r="J39" i="3"/>
  <c r="J38" i="3"/>
  <c r="J37" i="3"/>
  <c r="J36" i="3"/>
  <c r="I32" i="3"/>
  <c r="H32" i="3"/>
  <c r="J31" i="3"/>
  <c r="J30" i="3"/>
  <c r="J29" i="3"/>
  <c r="I25" i="3"/>
  <c r="H25" i="3"/>
  <c r="J24" i="3"/>
  <c r="J21" i="3"/>
  <c r="I14" i="3"/>
  <c r="H14" i="3"/>
  <c r="J13" i="3"/>
  <c r="J9" i="3"/>
  <c r="J8" i="3"/>
  <c r="J6" i="3"/>
  <c r="J5" i="3"/>
  <c r="J60" i="3" l="1"/>
  <c r="J32" i="3"/>
  <c r="J40" i="3"/>
  <c r="J14" i="3"/>
  <c r="J25" i="3"/>
  <c r="J50" i="3"/>
</calcChain>
</file>

<file path=xl/comments1.xml><?xml version="1.0" encoding="utf-8"?>
<comments xmlns="http://schemas.openxmlformats.org/spreadsheetml/2006/main">
  <authors>
    <author>Author</author>
  </authors>
  <commentList>
    <comment ref="E69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ELİMİZDE BASILI ÜRÜNLER VAR ÖNCEDEN TAVA. BU LİSTEDE KULLANILACAK</t>
        </r>
      </text>
    </comment>
    <comment ref="I69" authorId="0" shapeId="0">
      <text>
        <r>
          <rPr>
            <b/>
            <sz val="9"/>
            <color indexed="81"/>
            <rFont val="Tahoma"/>
            <family val="2"/>
            <charset val="162"/>
          </rPr>
          <t>FERHAT AKSU:
Paketlemede 900 adet önceden basılan ürün vardır eksiği tamamlandı.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69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ELİMİZDE BASILI ÜRÜNLER VAR ÖNCEDEN TAVA. BU LİSTEDE KULLANILACAK</t>
        </r>
      </text>
    </comment>
    <comment ref="I69" authorId="0" shapeId="0">
      <text>
        <r>
          <rPr>
            <b/>
            <sz val="9"/>
            <color indexed="81"/>
            <rFont val="Tahoma"/>
            <family val="2"/>
            <charset val="162"/>
          </rPr>
          <t>FERHAT AKSU:
Paketlemede 900 adet önceden basılan ürün vardır eksiği tamamlandı.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69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ELİMİZDE BASILI ÜRÜNLER VAR ÖNCEDEN TAVA. BU LİSTEDE KULLANILACAK</t>
        </r>
      </text>
    </comment>
    <comment ref="I69" authorId="0" shapeId="0">
      <text>
        <r>
          <rPr>
            <b/>
            <sz val="9"/>
            <color indexed="81"/>
            <rFont val="Tahoma"/>
            <family val="2"/>
            <charset val="162"/>
          </rPr>
          <t>FERHAT AKSU:
Paketlemede 900 adet önceden basılan ürün vardır eksiği tamamlandı.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E69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ELİMİZDE BASILI ÜRÜNLER VAR ÖNCEDEN TAVA. BU LİSTEDE KULLANILACAK</t>
        </r>
      </text>
    </comment>
    <comment ref="I69" authorId="0" shapeId="0">
      <text>
        <r>
          <rPr>
            <b/>
            <sz val="9"/>
            <color indexed="81"/>
            <rFont val="Tahoma"/>
            <family val="2"/>
            <charset val="162"/>
          </rPr>
          <t>FERHAT AKSU:
Paketlemede 900 adet önceden basılan ürün vardır eksiği tamamlandı.</t>
        </r>
      </text>
    </comment>
  </commentList>
</comments>
</file>

<file path=xl/sharedStrings.xml><?xml version="1.0" encoding="utf-8"?>
<sst xmlns="http://schemas.openxmlformats.org/spreadsheetml/2006/main" count="6810" uniqueCount="281">
  <si>
    <t>TARİH:</t>
  </si>
  <si>
    <t>TAKİP NO</t>
  </si>
  <si>
    <t>KALİTE</t>
  </si>
  <si>
    <t>GÖVDE KALINLIK</t>
  </si>
  <si>
    <t>TABAN</t>
  </si>
  <si>
    <t>ÜRÜN ADI</t>
  </si>
  <si>
    <t>DUDAK FORMU</t>
  </si>
  <si>
    <t>KAPSÜL KALİTE</t>
  </si>
  <si>
    <t>MİKTAR</t>
  </si>
  <si>
    <t>ÜRETİM</t>
  </si>
  <si>
    <t>KALAN</t>
  </si>
  <si>
    <t>HELVANE</t>
  </si>
  <si>
    <t>LİNES  40x27 OSCAR TEKLİ TENCERE</t>
  </si>
  <si>
    <t>UZUN</t>
  </si>
  <si>
    <t>Not: Liste dışı ürün yapılmayacak. Listelere adetler ve ürün tanımı düzgün yazılacaktır.</t>
  </si>
  <si>
    <t>FRİKSİYON ÇAKMA İŞ PLANI</t>
  </si>
  <si>
    <t>PAZARTESİ</t>
  </si>
  <si>
    <t>SALI</t>
  </si>
  <si>
    <t>ÇARŞAMBA</t>
  </si>
  <si>
    <t>CUMA</t>
  </si>
  <si>
    <t>PERŞEMEBE</t>
  </si>
  <si>
    <t>38.HAFTA</t>
  </si>
  <si>
    <t>15 EYLÜL - 21 EYLÜL 2025</t>
  </si>
  <si>
    <t>CUMARTESİ</t>
  </si>
  <si>
    <t>LİNES 40x27 OSCAR TEKLİ TENCERE</t>
  </si>
  <si>
    <t>LİNES 40x27 OSCAR TEKLİ TENCERE // GÜMRÜK</t>
  </si>
  <si>
    <t>LİNES 40x27 TEKLİ TENCERE</t>
  </si>
  <si>
    <t>KUSKUS</t>
  </si>
  <si>
    <t>ERESS 30 KUSKUS TENCERE</t>
  </si>
  <si>
    <t>BEST MARK 30 KUSKUS TENCERE</t>
  </si>
  <si>
    <t>LİNES  36x23 OSCAR TEKLİ TENCERE</t>
  </si>
  <si>
    <t>LİNES  30x19,5 OSCAR TEKLİ TENCERE</t>
  </si>
  <si>
    <t>LİNES  26x16 OSCAR TEKLİ TENCERE</t>
  </si>
  <si>
    <t>LİNES  24x14 OSCAR TEKLİ TENCERE</t>
  </si>
  <si>
    <t>BEST MARK 20x10 KASEROLLA</t>
  </si>
  <si>
    <t>ERESS 20x10 KASEROLLA</t>
  </si>
  <si>
    <t>BEST MARK 12x7 KASEROLLA</t>
  </si>
  <si>
    <t>ERESS 12x7 KASEROLLA</t>
  </si>
  <si>
    <t>LİNES  22x12 OSCAR TEKLİ TENCERE</t>
  </si>
  <si>
    <t>LİNES  20x10 OSCAR TEKLİ TENCERE</t>
  </si>
  <si>
    <t>GEMAK 1 LT KÜRE TEK DEMLİK</t>
  </si>
  <si>
    <t>YOK</t>
  </si>
  <si>
    <t>GEMAK 1,5 LT KÜRE TEK DEMLİK</t>
  </si>
  <si>
    <t>DİK</t>
  </si>
  <si>
    <t>GEMAK 2 LT KÜRE TEK DEMLİK</t>
  </si>
  <si>
    <t>KISA</t>
  </si>
  <si>
    <t>YONCA AİLE 3.5 NO BELİNDA ÇAYDANLIK</t>
  </si>
  <si>
    <t>LİNES 7 NO AYPERİ ÇAYDANLIK</t>
  </si>
  <si>
    <t>YONCA MEGA 7 NO BELİNDA ÇAYDANLIK</t>
  </si>
  <si>
    <t>DUDAKSIZ</t>
  </si>
  <si>
    <t>OSCAR 22 ÇAP 10 LT DÜDÜKLÜ (ANGOLA BOY)</t>
  </si>
  <si>
    <t>YONCA 22 ÇAP 10 LT DÜDÜKLÜ (ANGOLA BOY)</t>
  </si>
  <si>
    <t>DÜDÜKLÜ</t>
  </si>
  <si>
    <t>OSCAR 22 ÇAP 8 LT DÜDÜKLÜ (ANGOLA BOY)</t>
  </si>
  <si>
    <t>YONCA 22 ÇAP 8 LT DÜDÜKLÜ (ANGOLA BOY)</t>
  </si>
  <si>
    <t>GENİŞ</t>
  </si>
  <si>
    <t>YONCA 16x9   TEK ÇİZGİ SATEN 19 PCS</t>
  </si>
  <si>
    <t>YONCA 18x10  TENCERE TEK ÇİZGİ SATEN 19 PCS</t>
  </si>
  <si>
    <t>YONCA 20x11 TENCERE TEK ÇİZGİ SATEN 19 PCS</t>
  </si>
  <si>
    <t>YONCA 24x14  TENCERE TEK ÇİZGİ SATEN 19 PCS</t>
  </si>
  <si>
    <t>YONCA 26x BASIK  TEK ÇİZGİ SATEN 19 PCS</t>
  </si>
  <si>
    <t>YONCA 28x18 TENCERE TEK ÇİZGİ SATEN 19 PCS</t>
  </si>
  <si>
    <t>LİNES 18x10 TENCERE 9 PCS</t>
  </si>
  <si>
    <t>LİNES 20x11 TENCERE 9 PCS</t>
  </si>
  <si>
    <t>LİNES 24x14 TENCERE 9 PCS</t>
  </si>
  <si>
    <t>LİNES 28x18 TENCERE 9 PCS</t>
  </si>
  <si>
    <t>LİNES 26x8  TENCERE 9 PCS</t>
  </si>
  <si>
    <t>LİNES 1,5 LT SÜTLÜK KORDONLU</t>
  </si>
  <si>
    <t>LİNES 2 LT SÜTLÜK KORDONLU</t>
  </si>
  <si>
    <t>LİNES 1,5 LT SÜTLÜK ALTIN KEMERLİ</t>
  </si>
  <si>
    <t>LİNES 2LT SÜTLÜK ALTIN KEMERLİ</t>
  </si>
  <si>
    <t xml:space="preserve">YONCA Ø22 9 LT DÜDÜKLÜ </t>
  </si>
  <si>
    <t>22 EYLÜL - 28 EYLÜL 2025</t>
  </si>
  <si>
    <t>YONCA 7 NO MEGA BELİNDA ÇAYDANLIK</t>
  </si>
  <si>
    <t>10925-1</t>
  </si>
  <si>
    <t>LİNES 7 NO AYPERİ</t>
  </si>
  <si>
    <t xml:space="preserve">YONCA Ø22 5 LT DÜDÜKLÜ </t>
  </si>
  <si>
    <t>LİNES Ø22 10 LT DÜDÜKLÜ(KORDON ALTI ZIMPARA GÜVEÇ)</t>
  </si>
  <si>
    <t>LİNES Ø22 10 LT DÜDÜKLÜ(ALTIN KEMERLİ)</t>
  </si>
  <si>
    <t>LİNES Ø22 10 LT DÜDÜKLÜ İÇİN GÜMRÜKLER</t>
  </si>
  <si>
    <t>LİNES Ø22 8 LT DÜDÜKLÜ (KORDON ALTI ZIMPARA GÜVEÇ)</t>
  </si>
  <si>
    <t>LİNES Ø22 8 LT DÜDÜKLÜ (ALTIN KEMERLİ)</t>
  </si>
  <si>
    <t>LİNES Ø22 8 LT DÜDÜKLÜ İÇİN GÜMRÜK</t>
  </si>
  <si>
    <t>**</t>
  </si>
  <si>
    <t>YONCA Ø26 SPAGETTİ TENCERE</t>
  </si>
  <si>
    <t>YONCA Ø22 7 LT DÜDÜKLÜ</t>
  </si>
  <si>
    <t>LİNES Ø24 12 LT DÜDÜKLÜ (KORDON ALTI ZIMPARA GÜVEÇ)</t>
  </si>
  <si>
    <t>LİNES Ø24 12 LT DÜDÜKLÜ (ALTIN KEMERLİ)</t>
  </si>
  <si>
    <t>LİNES Ø24 12 LT DÜDÜKLÜ İÇİN GÜMRÜK</t>
  </si>
  <si>
    <t>100925-1</t>
  </si>
  <si>
    <t>COOKER 7 NO AİLE YILDIZ ÇAYDANLIK</t>
  </si>
  <si>
    <t>dik</t>
  </si>
  <si>
    <t>COOKER 10 NO AİLE AYCANÇAYDANLIK</t>
  </si>
  <si>
    <t>LİNES 10 NO AİLE AYCAN ÇAYDANLIK</t>
  </si>
  <si>
    <t>COOKER 10 NO MEGA YILDIZ ÇAYDANLIK</t>
  </si>
  <si>
    <t xml:space="preserve">NUMUNE </t>
  </si>
  <si>
    <t xml:space="preserve">HELVANE </t>
  </si>
  <si>
    <t>YONCA DAMLA ÇAYDANLIK</t>
  </si>
  <si>
    <t>LİNES ŞAHMERAN ÇAYDANLIK</t>
  </si>
  <si>
    <t xml:space="preserve">LİNES Ø24 DİK TENCERE </t>
  </si>
  <si>
    <t>YONCA 26x5 TAVA</t>
  </si>
  <si>
    <t>YONCA 28x5,5 TAVA</t>
  </si>
  <si>
    <t>YONCA 24x4,5 TAVA</t>
  </si>
  <si>
    <t>NUMUNE</t>
  </si>
  <si>
    <t xml:space="preserve">YONCA 28x5,5 TAVA </t>
  </si>
  <si>
    <t xml:space="preserve">YONCA 24x4,7 TAVA </t>
  </si>
  <si>
    <t>LİNES Ø22 DİK TENCERE</t>
  </si>
  <si>
    <t xml:space="preserve">KISA </t>
  </si>
  <si>
    <t xml:space="preserve">LİNES Ø20 DİK TENCERE </t>
  </si>
  <si>
    <t>COOKER 10 NO AİLE AYCAN ÇAYDANLIK</t>
  </si>
  <si>
    <t>COOKER 7 NO ORTA AYCAN ÇAYDANLIK</t>
  </si>
  <si>
    <t>COOKER 10 NO AİLE AYCAN MODEL ÇAYDANLIK</t>
  </si>
  <si>
    <t>LİNES 10 NO AİLE AYCAN MODEL ÇAYDANLIK</t>
  </si>
  <si>
    <t>COOKER 10 NO MEGA YILDIZ MODEL ÇAYDANLIK</t>
  </si>
  <si>
    <t>100925-2</t>
  </si>
  <si>
    <t>COOKER 3 NO ORTA YILDIZ MODEL ÇAYDANLIK</t>
  </si>
  <si>
    <t>COOKER 7 NO AİLE YILDIZ MODEL ÇAYDANLIK</t>
  </si>
  <si>
    <t>GEMAK 26x16 GÜVEÇ MODEL ÇİFT KORDON ARASI SATEN</t>
  </si>
  <si>
    <t xml:space="preserve">GEMAK 26x16 OSCAR MODEL TENCERE </t>
  </si>
  <si>
    <t xml:space="preserve">GEMAK 26x16 ZEYCAN MODEL TENCERE </t>
  </si>
  <si>
    <t>GEMAK 24x14 GÜVEÇ MODEL ÇİFT KORDON ARASI SATEN</t>
  </si>
  <si>
    <t xml:space="preserve">GEMAK 24x14 OSCAR MODEL TENCERE </t>
  </si>
  <si>
    <t xml:space="preserve">GEMAK 24x14 ZEYCAN MODEL TENCERE </t>
  </si>
  <si>
    <t>GEMAK 20x11 GÜVEÇ MODEL ÇİFT KORDON ARASI SATEN</t>
  </si>
  <si>
    <t xml:space="preserve">GEMAK 20x11 OSCAR MODEL TENCERE </t>
  </si>
  <si>
    <t xml:space="preserve">GEMAK 20x11 ZEYCAN MODEL TENCERE </t>
  </si>
  <si>
    <t>GEMAK 18x10 GÜVEÇ MODEL ÇİFT KORDON ARASI SATEN</t>
  </si>
  <si>
    <t xml:space="preserve">GEMAK 18x10 OSCAR MODEL TENCERE </t>
  </si>
  <si>
    <t xml:space="preserve">GEMAK 18x10 ZEYCAN MODEL TENCERE </t>
  </si>
  <si>
    <t xml:space="preserve">                                                              </t>
  </si>
  <si>
    <t>29 EYLÜL - 5 EKİM 2025</t>
  </si>
  <si>
    <t>HOMY 28 KUSKUS ALTI TENCERE</t>
  </si>
  <si>
    <t>LİNES 3 NO ORTA KÜRE ZEYCAN ÇAYDANLIK</t>
  </si>
  <si>
    <t>LİNES 20x10 ZEYCAN KÜRE MODEL TENCERE</t>
  </si>
  <si>
    <t xml:space="preserve">LİNES 18x10 ZEYCAN KÜRE MODEL TENCERE </t>
  </si>
  <si>
    <t>LİNES 24x14 PIRIL GÜVEÇ MODEL TENCERE (HALKALI TABAN)</t>
  </si>
  <si>
    <t>LİNES 20x10 PIRIL GÜVEÇ MODEL TENCERE (HALKALI TABAN)</t>
  </si>
  <si>
    <t>LİNES 24x14 ZEYCAN KÜRE MODEL TENCERE</t>
  </si>
  <si>
    <t>LİNES Ø24 BASIK ZEYCAN KÜRE MODEL TENCERE</t>
  </si>
  <si>
    <t>LİNES 26x16 PIRIL GÜVEÇ MODEL TENCERE (HALKALI TABAN)</t>
  </si>
  <si>
    <t>LİNES Ø26 BASIK PIRIL GÜVEÇ MODEL TENCERE(HALKALI TABAN)</t>
  </si>
  <si>
    <t>HOMY Ø20 KUSKUS ALTI DÜZ SADE MODEL PARLAK TENCERE</t>
  </si>
  <si>
    <t>LİNES 5 NO AİLE NAZ ÇAYDANLIK ÇİZGİLİ SADE</t>
  </si>
  <si>
    <t>LİNES 3 NO ORTA AYPERİ MODEL ÇAYDANLIK ÇİZGİLİ SADE</t>
  </si>
  <si>
    <t>KÜÇÜK ÇAKMA ÇALIŞTIRILACAK</t>
  </si>
  <si>
    <t>41.HAFTA</t>
  </si>
  <si>
    <t>06 EKİM - 12 EKİM 2025</t>
  </si>
  <si>
    <t>LİNES Ø24 14 LT DÜDÜKLÜ 3 KORDON ALTI SATEN GÜVEÇ MODEL</t>
  </si>
  <si>
    <t>42.HAFTA</t>
  </si>
  <si>
    <t>13 EKİM - 19 EKİM 2025</t>
  </si>
  <si>
    <t xml:space="preserve">LİNES 24x7,5 TAVA GÜVEÇ MODEL </t>
  </si>
  <si>
    <t>LİNES 24x14 TENCERE GÜVEÇ MODEL</t>
  </si>
  <si>
    <t>LİNES 24x14 TENCERE GÜVEÇ MODEL GÜMRÜK</t>
  </si>
  <si>
    <t>LİNES 22x12 TENCERE GÜVEÇ MODEL</t>
  </si>
  <si>
    <t>LİNES 22x12 TENCERE GÜVEÇ MODEL GÜMRÜK</t>
  </si>
  <si>
    <t>1,5 LT KÜRE ÇAYDANLIK</t>
  </si>
  <si>
    <t>1,5 LT KÜRE ÇAYDANLIK GÜMRÜK</t>
  </si>
  <si>
    <t xml:space="preserve">LİNES 1 LT KÜRE ÇAYDANLIK </t>
  </si>
  <si>
    <t>LİNES 1 LT KÜRE ÇAYDANLIK  GÜMRÜK</t>
  </si>
  <si>
    <t>LİNES 20x11 TENCERE GÜVEÇ MODEL</t>
  </si>
  <si>
    <t>LİNES 20x11 TENCERE GÜVEÇ MODEL GÜMRÜK</t>
  </si>
  <si>
    <t xml:space="preserve">LİNES 28x18 TENCERE GÜVEÇ MODEL </t>
  </si>
  <si>
    <t>LİNES 28x18 TENCERE GÜVEÇ MODEL GÜMRÜK</t>
  </si>
  <si>
    <t>YONCA JUMBO DAMLA MODEL ÇAYDANLIK</t>
  </si>
  <si>
    <t>LİNES 18x10 TENCERE GÜVEÇ MODEL</t>
  </si>
  <si>
    <t>LİNES 18x10 TENCERE GÜVEÇ MODEL GÜMRÜK</t>
  </si>
  <si>
    <t>LİNES 16x9 KASEROLLA GÜVEÇ MODEL</t>
  </si>
  <si>
    <t>LİNES 16x9 KASEROLLA GÜVEÇ MODEL GÜMRÜK</t>
  </si>
  <si>
    <t>LİNES 32x21 TENCERE GÜVEÇ MODEL</t>
  </si>
  <si>
    <t>LİNES 2 LT SÜTLÜK GÜVEÇ MODEL</t>
  </si>
  <si>
    <t>UZUN V</t>
  </si>
  <si>
    <t xml:space="preserve">UZUN V </t>
  </si>
  <si>
    <t>LİNES 26x8 BASIK TENCERE GÜVEÇ MODEL</t>
  </si>
  <si>
    <t>LİNES 26x8 BASIK TENCERE GÜVEÇ MODEL GÜMRÜK</t>
  </si>
  <si>
    <t>UZU</t>
  </si>
  <si>
    <t xml:space="preserve">LİNES Ø22 10LT MANUEL DÜDÜKLÜ </t>
  </si>
  <si>
    <t>LİNES Ø22 8 LT CLİPSO DÜDÜKLÜ (ANGOLA BOY)</t>
  </si>
  <si>
    <t>CLİPSO</t>
  </si>
  <si>
    <t xml:space="preserve">LİNES Ø22 8 LT CLİPSO DÜDÜKLÜ </t>
  </si>
  <si>
    <t xml:space="preserve">LİNES Ø22 10 LT CLİPSO DÜDÜKLÜ </t>
  </si>
  <si>
    <t xml:space="preserve">LİNES Ø22 12 LT CLİPSO DÜDÜKLÜ </t>
  </si>
  <si>
    <t>20 EKİM - 25 EKİM 2025</t>
  </si>
  <si>
    <t>LİNES 28x5,5 TAVA - SADE PARLAK</t>
  </si>
  <si>
    <t>LİNES 26x5,5 TAVA - SADE PARLAK</t>
  </si>
  <si>
    <t>LİNES 22x4,8 TAVA - SADE PARLAK</t>
  </si>
  <si>
    <t>LİNES 22x3,8 SAHAN - SADE PARLAK</t>
  </si>
  <si>
    <t>LİNES 18x3,8 SAHAN - SADE PARLAK</t>
  </si>
  <si>
    <t>LİNES 16x3,8 SAHAN - SADE PARLAK</t>
  </si>
  <si>
    <t>LİNES 20x3,8 SAHAN - SADE PARLAK</t>
  </si>
  <si>
    <t>LİNES 24x5 TAVA - SADE PARLAK</t>
  </si>
  <si>
    <t>LİNES 2 LT SÜTLÜK GÜVEÇ MODEL GÜMRÜK</t>
  </si>
  <si>
    <t>ABM Ø22 6 LT CLİPSO DÜDÜKLÜ - ADIYAMAN KAPAK</t>
  </si>
  <si>
    <t>YONCA 2 LT SÜTLÜK - DÜZ - GÖVDE ORTASI ÇİZGİ ALTI SATEN</t>
  </si>
  <si>
    <t>ABM Ø22 6 LT CLİPSO DÜDÜKLÜ TEFLONUN</t>
  </si>
  <si>
    <t xml:space="preserve">LİNES Ø24 12 LT CLİPSO DÜDÜKLÜ </t>
  </si>
  <si>
    <t>YONCA 2 LT SÜTLÜK - DÜZ - GÖVDE ORTASI ÇİZGİ ALTI SATEN
GÜMRÜK</t>
  </si>
  <si>
    <t>LİNES Ø24 KUSKUS TENCERE</t>
  </si>
  <si>
    <t>LİNES 24x14 TENCERE</t>
  </si>
  <si>
    <t>LİNES 24x14 TENCERE GÜMRÜK</t>
  </si>
  <si>
    <t>LİNES 18x10 TENCEREE</t>
  </si>
  <si>
    <t>LİNES 18x10 TENCEREE GÜMRÜK</t>
  </si>
  <si>
    <t>LİNES 22x12 TENCERE</t>
  </si>
  <si>
    <t>LİNES 22x12 TENCERE GÜMRÜK</t>
  </si>
  <si>
    <t xml:space="preserve">LİNES 20x11 TENCERE </t>
  </si>
  <si>
    <t>LİNES 20x11 TENCERE GÜMRÜK</t>
  </si>
  <si>
    <t>LİNES 20x11 TENCERE</t>
  </si>
  <si>
    <t>LİNES Ø20 KUSKUS TENCERE</t>
  </si>
  <si>
    <t>LİNES Ø28 KUSKUS TENCERE</t>
  </si>
  <si>
    <t>LİNES 28x18 TENCERE</t>
  </si>
  <si>
    <t>YONCA 28x18 TENCERE</t>
  </si>
  <si>
    <t>YONCA 28x18 TENCERE GÜMRÜK</t>
  </si>
  <si>
    <t>LİNES Ø24 12 LT CLİPSO DÜDÜKLÜ (ANGOLA BOY)</t>
  </si>
  <si>
    <t>LİNES Ø22 10 LT ANGOLA DÜDÜKLÜ</t>
  </si>
  <si>
    <t>LİNES Ø22 10 LT ANGOLA DÜDÜKLÜ GÜMRÜK</t>
  </si>
  <si>
    <t>YONCA 24x14 TENCERE</t>
  </si>
  <si>
    <t>YONCA 24x14 TENCERE GÜMRÜK</t>
  </si>
  <si>
    <t>YONCA 18x10 TENCEREE</t>
  </si>
  <si>
    <t>YONCA 18x10 TENCEREE GÜMRÜK</t>
  </si>
  <si>
    <t>YONCA 20x11 TENCERE GÜMRÜK</t>
  </si>
  <si>
    <t xml:space="preserve">YONCA 20x11 TENCERE </t>
  </si>
  <si>
    <t>YONCA 22x12 TENCERE</t>
  </si>
  <si>
    <t>YONCA 22x12 TENCERE GÜMRÜK</t>
  </si>
  <si>
    <t>27 EKİM - 1 EYLÜL 2025</t>
  </si>
  <si>
    <t>FIRIN YANMAYACAK</t>
  </si>
  <si>
    <t>YONCA 20x11 TENCERE (EKSİK KALAN)</t>
  </si>
  <si>
    <t>151025-1</t>
  </si>
  <si>
    <t>LİNES 18x10 TENCERE - SADE PARLAK ZEYCAN MODEL</t>
  </si>
  <si>
    <t>LİNES 22x12 TENCERE - SADE PARLAK ZEYCAN MODEL</t>
  </si>
  <si>
    <t>YONCA 2 LT KÜRE MODEL ÇAYDANLIK - SADE PARLAK</t>
  </si>
  <si>
    <t>YONCA 2 LT KÜRE MODEL ÇAYDANLIK - SADE PARLAK GÜMRÜK</t>
  </si>
  <si>
    <t>YONCA 1,5 LT KÜRE MODEL ÇAYDANLIK - SADE PARLAK GÜMRÜK</t>
  </si>
  <si>
    <t xml:space="preserve">YONCA 1,5 LT KÜRE MODEL ÇAYDANLIK - SADE PARLAK </t>
  </si>
  <si>
    <t>LİNES 1,5 LT KÜRE MODEL ÇAYDANLIK - YARI SATENLİ</t>
  </si>
  <si>
    <t>YONCA 1 LT KÜRE MODEL ÇAYDANLIK - SADE PARLAK</t>
  </si>
  <si>
    <t>YONCA 1 LT KÜRE MODEL ÇAYDANLIK - SADE PARLAK GÜMRÜK</t>
  </si>
  <si>
    <t>LİNES 1 LT KÜRE MODEL ÇAYDANLIK - YARI SATENLİ</t>
  </si>
  <si>
    <t>LİNES 16x9 TENCERE - ZEYCAN MODEL SADE PARLAK</t>
  </si>
  <si>
    <t>LİNES 14x8 TENCERE - ZEYCAN MODEL SADE PARLAK</t>
  </si>
  <si>
    <t>LİNES 24x14 TENCERE - ZEYCAN MODEL SADE PARLAK</t>
  </si>
  <si>
    <t>LİNES 24x14 TENCERE - İNCİ MODEL</t>
  </si>
  <si>
    <t>YONCA 32x21 TENCERE - TEK ÇİZGİ ALTI SATEN GÜVEÇ</t>
  </si>
  <si>
    <t>YONCA 32x21 TENCERE - TEK ÇİZGİ ALTI SATEN GÜVEÇ GÜMRÜK</t>
  </si>
  <si>
    <t>LİNES 32x21 TENCERE - İNCİ MODEL- TEK ÇİZGİ ALTI SATEN</t>
  </si>
  <si>
    <t>YONCA 32x21 TENCERE - DÜZ MODEL -İNCE KALIN İNCE SATEN</t>
  </si>
  <si>
    <t>LİNES 26x9 BASIK TENCERE - ZEYCAN MODEL</t>
  </si>
  <si>
    <t>LİNES 26x16 TENCERE - İNCİ MODEL - TEK ÇİZGİ ALTI SATEN</t>
  </si>
  <si>
    <t>YONCA 22x12 TENCERE - DÜZ MODEL - ÇİFT KORDON ARASI SATEN</t>
  </si>
  <si>
    <t>YONCA 22x12 TENCERE - DÜZ MODEL - ÇİFT KORDON ARASI SATEN GÜMRÜK</t>
  </si>
  <si>
    <t xml:space="preserve">1 MM </t>
  </si>
  <si>
    <t>YONCA 20x11 TENCERE - DÜZ MODEL - ÇİFT KORDON ARASI SATEN</t>
  </si>
  <si>
    <t>YONCA 20x11 TENCERE - DÜZ MODEL - ÇİFT KORDON ARASI SATEN
GÜMRÜK</t>
  </si>
  <si>
    <t xml:space="preserve">YONCA 18x10 TENCERE - DÜZ MODEL - ÇİFT KORDON ARASI SATEN </t>
  </si>
  <si>
    <t>YONCA 18x10 TENCERE - DÜZ MODEL - ÇİFT KORDON ARASI SATEN 
GÜMRÜK</t>
  </si>
  <si>
    <t>YONCA 40x28 TENCERE - DÜZ MODEL -İNCE KALIN İNCE SATEN</t>
  </si>
  <si>
    <t>YONCA 36x24 TENCERE - DÜZ MODEL -İNCE KALIN İNCE SATEN</t>
  </si>
  <si>
    <t>LİNES 30x20 TENCERE - DÜZ MODEL - TEK ÇİZGİ ALTI SATEN İNCİ MODEL</t>
  </si>
  <si>
    <t>YONCA 34x23 TENCERE - DÜZ MODEL - ÇİFT KORDON ARASI SATEN</t>
  </si>
  <si>
    <t>YONCA 34x23 TENCERE - DÜZ MODEL - ÇİFT KORDON ARASI SATEN GÜMRÜK</t>
  </si>
  <si>
    <t>YONCA 24x14 TENCERE - DÜZ MODEL - ÇİFT KORDON ARASI SATEN</t>
  </si>
  <si>
    <t>YONCA 24x14 TENCERE - DÜZ MODEL - ÇİFT KORDON ARASI SATEN GÜMRÜK</t>
  </si>
  <si>
    <t>ABM Ø22 6 LT CLİPSO DÜDÜKLÜ</t>
  </si>
  <si>
    <t>27 EKİM - 1 KASIM 2025</t>
  </si>
  <si>
    <t>3 KASIM - 8 KASIM 2025</t>
  </si>
  <si>
    <t xml:space="preserve">LİNES 16x9 KASEROLLA - KORKMAZ MODEL - TEK ÇİZGİ ALTI SATEN RADÜSE KADAR </t>
  </si>
  <si>
    <t>LİNES 16x9 KASEROLLA - KORKMAZ MODEL - TEK ÇİZGİ ALTI SATEN RADÜSE KADAR GÜMRÜK</t>
  </si>
  <si>
    <t xml:space="preserve">LİNES 28x18 TENCERE - WELDONE MODEL - 15 PCS </t>
  </si>
  <si>
    <t>1MM</t>
  </si>
  <si>
    <t>LİNES 28x18 TENCERE - WELDONE MODEL - 15 PCS  - GÜMRÜK</t>
  </si>
  <si>
    <t>LİNES 24x14 TENCERE - WELDONE MODEL - 15 PCS - GÜMRÜK</t>
  </si>
  <si>
    <t xml:space="preserve">LİNES 24x14 TENCERE - WELDONE MODEL - 15 PCS </t>
  </si>
  <si>
    <t>LİNES 24x7 TAVA - WELDONE MODEL - 15 PCS</t>
  </si>
  <si>
    <t>LİNES 24x7 TAVA - WELDONE MODEL - 15 PCS - GÜMRÜK</t>
  </si>
  <si>
    <t>LİNES 20x11 TENCERE - WELDONE MODEL - 15 PCS</t>
  </si>
  <si>
    <t>LİNES 20x11 TENCERE - WELDONE MODEL - 15 PCS - GÜMRÜK</t>
  </si>
  <si>
    <t>LİNES 18x10 TENCERE - WELDONE MODEL - 15 PCS</t>
  </si>
  <si>
    <t>LİNES 18x10 TENCERE - WELDONE MODEL - 15 PCS - GÜMRÜK</t>
  </si>
  <si>
    <t xml:space="preserve">LİNES 2 NO AYPERİ ÇAYDANLIK - ÇİZGİLİ SADE </t>
  </si>
  <si>
    <t>LİNES 3 NO ORTA BOY NAZ ÇAYDANLIK - ÇİZGİLİ SADE</t>
  </si>
  <si>
    <t>LİNES 5 NO AİLE BOY NAZ ÇAYDANLIK - ALTIN KEMERLİ</t>
  </si>
  <si>
    <t>LİNES 1 LT NAZ ÇAYDANLIK - ALTIN KEMERLİ</t>
  </si>
  <si>
    <t>LİNES 1 LT NAZ ÇAYDANLIK - ALTIN KEMERLİ - GÜMRÜK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</si>
</sst>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2"/>
      <color theme="1"/>
      <name val="Calibri"/>
      <family val="2"/>
      <charset val="162"/>
      <scheme val="minor"/>
    </font>
    <font>
      <sz val="12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3" fontId="2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3" fontId="2" fillId="0" borderId="4" xfId="0" applyNumberFormat="1" applyFont="1" applyFill="1" applyBorder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0" fontId="1" fillId="0" borderId="0" xfId="0" applyFont="1"/>
    <xf numFmtId="3" fontId="2" fillId="3" borderId="4" xfId="0" applyNumberFormat="1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3" fontId="7" fillId="0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4" fontId="2" fillId="3" borderId="4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3" fontId="2" fillId="5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" fontId="2" fillId="5" borderId="4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3" fontId="2" fillId="5" borderId="0" xfId="0" applyNumberFormat="1" applyFont="1" applyFill="1" applyBorder="1" applyAlignment="1">
      <alignment horizontal="center" vertical="center"/>
    </xf>
    <xf numFmtId="3" fontId="4" fillId="5" borderId="0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3" fontId="2" fillId="6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4" fontId="2" fillId="7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3" fontId="2" fillId="7" borderId="4" xfId="0" applyNumberFormat="1" applyFont="1" applyFill="1" applyBorder="1" applyAlignment="1">
      <alignment horizontal="center" vertical="center"/>
    </xf>
    <xf numFmtId="3" fontId="4" fillId="7" borderId="4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164" fontId="2" fillId="0" borderId="7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125737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538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65"/>
  <sheetViews>
    <sheetView zoomScale="85" zoomScaleNormal="85" workbookViewId="0">
      <selection activeCell="I63" sqref="I63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0.6640625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21</v>
      </c>
      <c r="H1" s="96" t="s">
        <v>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250062</v>
      </c>
      <c r="B5" s="4">
        <v>304</v>
      </c>
      <c r="C5" s="6">
        <v>0.6</v>
      </c>
      <c r="D5" s="6" t="s">
        <v>11</v>
      </c>
      <c r="E5" s="7" t="s">
        <v>26</v>
      </c>
      <c r="F5" s="4" t="s">
        <v>13</v>
      </c>
      <c r="G5" s="4">
        <v>430</v>
      </c>
      <c r="H5" s="8">
        <v>150</v>
      </c>
      <c r="I5" s="9"/>
      <c r="J5" s="8">
        <f t="shared" ref="J5:J10" si="0">H5-I5</f>
        <v>150</v>
      </c>
    </row>
    <row r="6" spans="1:10" ht="19.95" customHeight="1" x14ac:dyDescent="0.3">
      <c r="A6" s="4"/>
      <c r="B6" s="4"/>
      <c r="C6" s="6"/>
      <c r="D6" s="6"/>
      <c r="E6" s="7"/>
      <c r="F6" s="4"/>
      <c r="G6" s="8"/>
      <c r="H6" s="8"/>
      <c r="I6" s="9"/>
      <c r="J6" s="8">
        <f t="shared" si="0"/>
        <v>0</v>
      </c>
    </row>
    <row r="7" spans="1:10" ht="19.95" customHeight="1" x14ac:dyDescent="0.3">
      <c r="A7" s="4"/>
      <c r="B7" s="4"/>
      <c r="C7" s="6"/>
      <c r="D7" s="6"/>
      <c r="E7" s="7"/>
      <c r="F7" s="4"/>
      <c r="G7" s="8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8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150</v>
      </c>
      <c r="I11" s="14">
        <f>SUM(I5:I10)</f>
        <v>0</v>
      </c>
      <c r="J11" s="8">
        <f>SUM(J5:J10)</f>
        <v>150</v>
      </c>
    </row>
    <row r="13" spans="1:10" ht="30" customHeight="1" x14ac:dyDescent="0.3">
      <c r="A13" s="94" t="s">
        <v>17</v>
      </c>
      <c r="B13" s="94"/>
      <c r="C13" s="94"/>
      <c r="D13" s="94"/>
      <c r="E13" s="94"/>
      <c r="F13" s="94"/>
      <c r="G13" s="94"/>
      <c r="H13" s="94"/>
      <c r="I13" s="94"/>
      <c r="J13" s="94"/>
    </row>
    <row r="14" spans="1:10" ht="30" customHeight="1" x14ac:dyDescent="0.3">
      <c r="A14" s="4" t="s">
        <v>1</v>
      </c>
      <c r="B14" s="4" t="s">
        <v>2</v>
      </c>
      <c r="C14" s="5" t="s">
        <v>3</v>
      </c>
      <c r="D14" s="5" t="s">
        <v>4</v>
      </c>
      <c r="E14" s="4" t="s">
        <v>5</v>
      </c>
      <c r="F14" s="5" t="s">
        <v>6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250062</v>
      </c>
      <c r="B15" s="4">
        <v>304</v>
      </c>
      <c r="C15" s="6">
        <v>0.6</v>
      </c>
      <c r="D15" s="6" t="s">
        <v>11</v>
      </c>
      <c r="E15" s="7" t="s">
        <v>12</v>
      </c>
      <c r="F15" s="4" t="s">
        <v>13</v>
      </c>
      <c r="G15" s="4">
        <v>430</v>
      </c>
      <c r="H15" s="8">
        <v>150</v>
      </c>
      <c r="I15" s="9"/>
      <c r="J15" s="8">
        <f t="shared" ref="J15:J20" si="1">H15-I15</f>
        <v>150</v>
      </c>
    </row>
    <row r="16" spans="1:10" ht="19.95" customHeight="1" x14ac:dyDescent="0.3">
      <c r="A16" s="4"/>
      <c r="B16" s="4"/>
      <c r="C16" s="6"/>
      <c r="D16" s="6"/>
      <c r="E16" s="7"/>
      <c r="F16" s="4"/>
      <c r="G16" s="4"/>
      <c r="H16" s="8"/>
      <c r="I16" s="9"/>
      <c r="J16" s="8">
        <f t="shared" si="1"/>
        <v>0</v>
      </c>
    </row>
    <row r="17" spans="1:10" ht="19.95" customHeight="1" x14ac:dyDescent="0.3">
      <c r="A17" s="4"/>
      <c r="B17" s="4"/>
      <c r="C17" s="6"/>
      <c r="D17" s="6"/>
      <c r="E17" s="7"/>
      <c r="F17" s="4"/>
      <c r="G17" s="4"/>
      <c r="H17" s="8"/>
      <c r="I17" s="9"/>
      <c r="J17" s="8">
        <f t="shared" si="1"/>
        <v>0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150</v>
      </c>
      <c r="I21" s="9">
        <f>SUM(I15:I20)</f>
        <v>0</v>
      </c>
      <c r="J21" s="8">
        <f>SUM(J15:J20)</f>
        <v>150</v>
      </c>
    </row>
    <row r="23" spans="1:10" ht="30" customHeight="1" x14ac:dyDescent="0.3">
      <c r="A23" s="94" t="s">
        <v>18</v>
      </c>
      <c r="B23" s="94"/>
      <c r="C23" s="94"/>
      <c r="D23" s="94"/>
      <c r="E23" s="94"/>
      <c r="F23" s="94"/>
      <c r="G23" s="94"/>
      <c r="H23" s="94"/>
      <c r="I23" s="94"/>
      <c r="J23" s="94"/>
    </row>
    <row r="24" spans="1:10" ht="30" customHeight="1" x14ac:dyDescent="0.3">
      <c r="A24" s="4" t="s">
        <v>1</v>
      </c>
      <c r="B24" s="4" t="s">
        <v>2</v>
      </c>
      <c r="C24" s="5" t="s">
        <v>3</v>
      </c>
      <c r="D24" s="5" t="s">
        <v>4</v>
      </c>
      <c r="E24" s="4" t="s">
        <v>5</v>
      </c>
      <c r="F24" s="5" t="s">
        <v>6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>
        <v>250062</v>
      </c>
      <c r="B25" s="4">
        <v>304</v>
      </c>
      <c r="C25" s="6">
        <v>0.6</v>
      </c>
      <c r="D25" s="6" t="s">
        <v>11</v>
      </c>
      <c r="E25" s="7" t="s">
        <v>12</v>
      </c>
      <c r="F25" s="4" t="s">
        <v>13</v>
      </c>
      <c r="G25" s="4">
        <v>430</v>
      </c>
      <c r="H25" s="8">
        <v>150</v>
      </c>
      <c r="I25" s="9"/>
      <c r="J25" s="8">
        <f t="shared" ref="J25:J30" si="2">H25-I25</f>
        <v>150</v>
      </c>
    </row>
    <row r="26" spans="1:10" ht="19.95" customHeight="1" x14ac:dyDescent="0.3">
      <c r="A26" s="4"/>
      <c r="B26" s="4"/>
      <c r="C26" s="6"/>
      <c r="D26" s="6"/>
      <c r="E26" s="7"/>
      <c r="F26" s="4"/>
      <c r="G26" s="4"/>
      <c r="H26" s="8"/>
      <c r="I26" s="9"/>
      <c r="J26" s="8">
        <f t="shared" si="2"/>
        <v>0</v>
      </c>
    </row>
    <row r="27" spans="1:10" ht="19.95" customHeight="1" x14ac:dyDescent="0.3">
      <c r="A27" s="4"/>
      <c r="B27" s="4"/>
      <c r="C27" s="6"/>
      <c r="D27" s="6"/>
      <c r="E27" s="7"/>
      <c r="F27" s="4"/>
      <c r="G27" s="4"/>
      <c r="H27" s="8"/>
      <c r="I27" s="9"/>
      <c r="J27" s="8">
        <f t="shared" si="2"/>
        <v>0</v>
      </c>
    </row>
    <row r="28" spans="1:10" ht="19.95" customHeight="1" x14ac:dyDescent="0.3">
      <c r="A28" s="4"/>
      <c r="B28" s="4"/>
      <c r="C28" s="6"/>
      <c r="D28" s="6"/>
      <c r="E28" s="7"/>
      <c r="F28" s="4"/>
      <c r="G28" s="8"/>
      <c r="H28" s="8"/>
      <c r="I28" s="9"/>
      <c r="J28" s="8">
        <f t="shared" si="2"/>
        <v>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4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SUM(H25:H30)</f>
        <v>150</v>
      </c>
      <c r="I31" s="9">
        <f>SUM(I25:I30)</f>
        <v>0</v>
      </c>
      <c r="J31" s="8">
        <f>SUM(J25:J30)</f>
        <v>150</v>
      </c>
    </row>
    <row r="33" spans="1:10" ht="30" customHeight="1" x14ac:dyDescent="0.3">
      <c r="A33" s="94" t="s">
        <v>20</v>
      </c>
      <c r="B33" s="94"/>
      <c r="C33" s="94"/>
      <c r="D33" s="94"/>
      <c r="E33" s="94"/>
      <c r="F33" s="94"/>
      <c r="G33" s="94"/>
      <c r="H33" s="94"/>
      <c r="I33" s="94"/>
      <c r="J33" s="94"/>
    </row>
    <row r="34" spans="1:10" ht="30" customHeight="1" x14ac:dyDescent="0.3">
      <c r="A34" s="4" t="s">
        <v>1</v>
      </c>
      <c r="B34" s="4" t="s">
        <v>2</v>
      </c>
      <c r="C34" s="5" t="s">
        <v>3</v>
      </c>
      <c r="D34" s="5" t="s">
        <v>4</v>
      </c>
      <c r="E34" s="4" t="s">
        <v>5</v>
      </c>
      <c r="F34" s="5" t="s">
        <v>6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250062</v>
      </c>
      <c r="B35" s="4">
        <v>304</v>
      </c>
      <c r="C35" s="6">
        <v>0.6</v>
      </c>
      <c r="D35" s="6" t="s">
        <v>11</v>
      </c>
      <c r="E35" s="7" t="s">
        <v>12</v>
      </c>
      <c r="F35" s="4" t="s">
        <v>13</v>
      </c>
      <c r="G35" s="4">
        <v>430</v>
      </c>
      <c r="H35" s="8">
        <v>150</v>
      </c>
      <c r="I35" s="9"/>
      <c r="J35" s="8">
        <f t="shared" ref="J35:J40" si="3">H35-I35</f>
        <v>150</v>
      </c>
    </row>
    <row r="36" spans="1:10" ht="19.95" customHeight="1" x14ac:dyDescent="0.3">
      <c r="A36" s="4"/>
      <c r="B36" s="4"/>
      <c r="C36" s="6"/>
      <c r="D36" s="6"/>
      <c r="E36" s="7"/>
      <c r="F36" s="4"/>
      <c r="G36" s="4"/>
      <c r="H36" s="8"/>
      <c r="I36" s="9"/>
      <c r="J36" s="8">
        <f t="shared" si="3"/>
        <v>0</v>
      </c>
    </row>
    <row r="37" spans="1:10" ht="19.95" customHeight="1" x14ac:dyDescent="0.3">
      <c r="A37" s="4"/>
      <c r="B37" s="4"/>
      <c r="C37" s="6"/>
      <c r="D37" s="6"/>
      <c r="E37" s="7"/>
      <c r="F37" s="4"/>
      <c r="G37" s="4"/>
      <c r="H37" s="8"/>
      <c r="I37" s="9"/>
      <c r="J37" s="8">
        <f t="shared" si="3"/>
        <v>0</v>
      </c>
    </row>
    <row r="38" spans="1:10" ht="19.95" customHeight="1" x14ac:dyDescent="0.3">
      <c r="A38" s="4"/>
      <c r="B38" s="4"/>
      <c r="C38" s="6"/>
      <c r="D38" s="6"/>
      <c r="E38" s="7"/>
      <c r="F38" s="4"/>
      <c r="G38" s="8"/>
      <c r="H38" s="8"/>
      <c r="I38" s="9"/>
      <c r="J38" s="8">
        <f t="shared" si="3"/>
        <v>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si="3"/>
        <v>0</v>
      </c>
    </row>
    <row r="40" spans="1:10" ht="19.95" customHeight="1" x14ac:dyDescent="0.3">
      <c r="A40" s="4"/>
      <c r="B40" s="4"/>
      <c r="C40" s="6"/>
      <c r="D40" s="6"/>
      <c r="E40" s="7"/>
      <c r="F40" s="4"/>
      <c r="G40" s="4"/>
      <c r="H40" s="8"/>
      <c r="I40" s="9"/>
      <c r="J40" s="8">
        <f t="shared" si="3"/>
        <v>0</v>
      </c>
    </row>
    <row r="41" spans="1:10" ht="19.95" customHeight="1" x14ac:dyDescent="0.3">
      <c r="A41" s="10"/>
      <c r="B41" s="10"/>
      <c r="C41" s="10"/>
      <c r="D41" s="10"/>
      <c r="E41" s="11"/>
      <c r="F41" s="10"/>
      <c r="G41" s="12"/>
      <c r="H41" s="8">
        <f>SUM(H35:H40)</f>
        <v>150</v>
      </c>
      <c r="I41" s="9">
        <f>SUM(I35:I40)</f>
        <v>0</v>
      </c>
      <c r="J41" s="8">
        <f>SUM(J35:J40)</f>
        <v>150</v>
      </c>
    </row>
    <row r="42" spans="1:10" ht="19.95" customHeight="1" x14ac:dyDescent="0.3">
      <c r="A42" s="15"/>
      <c r="B42" s="15"/>
      <c r="C42" s="15"/>
      <c r="D42" s="15"/>
      <c r="E42" s="16"/>
      <c r="F42" s="15"/>
      <c r="G42" s="15"/>
      <c r="H42" s="17"/>
      <c r="I42" s="18"/>
      <c r="J42" s="17"/>
    </row>
    <row r="43" spans="1:10" ht="30" customHeight="1" x14ac:dyDescent="0.3">
      <c r="A43" s="94" t="s">
        <v>19</v>
      </c>
      <c r="B43" s="94"/>
      <c r="C43" s="94"/>
      <c r="D43" s="94"/>
      <c r="E43" s="94"/>
      <c r="F43" s="94"/>
      <c r="G43" s="94"/>
      <c r="H43" s="94"/>
      <c r="I43" s="94"/>
      <c r="J43" s="94"/>
    </row>
    <row r="44" spans="1:10" ht="30" customHeight="1" x14ac:dyDescent="0.3">
      <c r="A44" s="4" t="s">
        <v>1</v>
      </c>
      <c r="B44" s="4" t="s">
        <v>2</v>
      </c>
      <c r="C44" s="5" t="s">
        <v>3</v>
      </c>
      <c r="D44" s="5" t="s">
        <v>4</v>
      </c>
      <c r="E44" s="4" t="s">
        <v>5</v>
      </c>
      <c r="F44" s="5" t="s">
        <v>6</v>
      </c>
      <c r="G44" s="5" t="s">
        <v>7</v>
      </c>
      <c r="H44" s="4" t="s">
        <v>8</v>
      </c>
      <c r="I44" s="4" t="s">
        <v>9</v>
      </c>
      <c r="J44" s="4" t="s">
        <v>10</v>
      </c>
    </row>
    <row r="45" spans="1:10" ht="19.95" customHeight="1" x14ac:dyDescent="0.3">
      <c r="A45" s="4">
        <v>250062</v>
      </c>
      <c r="B45" s="4">
        <v>304</v>
      </c>
      <c r="C45" s="6">
        <v>0.6</v>
      </c>
      <c r="D45" s="6" t="s">
        <v>11</v>
      </c>
      <c r="E45" s="7" t="s">
        <v>12</v>
      </c>
      <c r="F45" s="4" t="s">
        <v>13</v>
      </c>
      <c r="G45" s="4">
        <v>430</v>
      </c>
      <c r="H45" s="8">
        <v>150</v>
      </c>
      <c r="I45" s="9"/>
      <c r="J45" s="8">
        <f t="shared" ref="J45:J50" si="4">H45-I45</f>
        <v>150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8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10"/>
      <c r="B51" s="10"/>
      <c r="C51" s="10"/>
      <c r="D51" s="10"/>
      <c r="E51" s="11"/>
      <c r="F51" s="10"/>
      <c r="G51" s="12"/>
      <c r="H51" s="8">
        <f>SUM(H45:H50)</f>
        <v>150</v>
      </c>
      <c r="I51" s="9">
        <f>SUM(I45:I50)</f>
        <v>0</v>
      </c>
      <c r="J51" s="8">
        <f>SUM(J45:J50)</f>
        <v>150</v>
      </c>
    </row>
    <row r="52" spans="1:10" ht="19.95" customHeight="1" x14ac:dyDescent="0.3">
      <c r="A52" s="15"/>
      <c r="B52" s="15"/>
      <c r="C52" s="15"/>
      <c r="D52" s="15"/>
      <c r="E52" s="16"/>
      <c r="F52" s="15"/>
      <c r="G52" s="15"/>
      <c r="H52" s="17"/>
      <c r="I52" s="18"/>
      <c r="J52" s="17"/>
    </row>
    <row r="53" spans="1:10" ht="30" customHeight="1" x14ac:dyDescent="0.3">
      <c r="A53" s="94" t="s">
        <v>23</v>
      </c>
      <c r="B53" s="94"/>
      <c r="C53" s="94"/>
      <c r="D53" s="94"/>
      <c r="E53" s="94"/>
      <c r="F53" s="94"/>
      <c r="G53" s="94"/>
      <c r="H53" s="94"/>
      <c r="I53" s="94"/>
      <c r="J53" s="94"/>
    </row>
    <row r="54" spans="1:10" ht="30" customHeight="1" x14ac:dyDescent="0.3">
      <c r="A54" s="4" t="s">
        <v>1</v>
      </c>
      <c r="B54" s="4" t="s">
        <v>2</v>
      </c>
      <c r="C54" s="5" t="s">
        <v>3</v>
      </c>
      <c r="D54" s="5" t="s">
        <v>4</v>
      </c>
      <c r="E54" s="4" t="s">
        <v>5</v>
      </c>
      <c r="F54" s="5" t="s">
        <v>6</v>
      </c>
      <c r="G54" s="5" t="s">
        <v>7</v>
      </c>
      <c r="H54" s="4" t="s">
        <v>8</v>
      </c>
      <c r="I54" s="4" t="s">
        <v>9</v>
      </c>
      <c r="J54" s="4" t="s">
        <v>10</v>
      </c>
    </row>
    <row r="55" spans="1:10" ht="19.95" customHeight="1" x14ac:dyDescent="0.3">
      <c r="A55" s="4">
        <v>250062</v>
      </c>
      <c r="B55" s="4">
        <v>304</v>
      </c>
      <c r="C55" s="6">
        <v>0.6</v>
      </c>
      <c r="D55" s="6" t="s">
        <v>11</v>
      </c>
      <c r="E55" s="7" t="s">
        <v>24</v>
      </c>
      <c r="F55" s="4" t="s">
        <v>13</v>
      </c>
      <c r="G55" s="4">
        <v>430</v>
      </c>
      <c r="H55" s="8">
        <v>150</v>
      </c>
      <c r="I55" s="9"/>
      <c r="J55" s="8">
        <f t="shared" ref="J55:J60" si="5">H55-I55</f>
        <v>150</v>
      </c>
    </row>
    <row r="56" spans="1:10" ht="19.95" customHeight="1" x14ac:dyDescent="0.3">
      <c r="A56" s="4">
        <v>250062</v>
      </c>
      <c r="B56" s="4">
        <v>304</v>
      </c>
      <c r="C56" s="6">
        <v>1</v>
      </c>
      <c r="D56" s="6" t="s">
        <v>11</v>
      </c>
      <c r="E56" s="7" t="s">
        <v>25</v>
      </c>
      <c r="F56" s="4" t="s">
        <v>13</v>
      </c>
      <c r="G56" s="4">
        <v>304</v>
      </c>
      <c r="H56" s="8">
        <v>15</v>
      </c>
      <c r="I56" s="9"/>
      <c r="J56" s="8">
        <f t="shared" si="5"/>
        <v>15</v>
      </c>
    </row>
    <row r="57" spans="1:10" ht="19.95" customHeight="1" x14ac:dyDescent="0.3">
      <c r="A57" s="4"/>
      <c r="B57" s="4"/>
      <c r="C57" s="6"/>
      <c r="D57" s="6"/>
      <c r="E57" s="7"/>
      <c r="F57" s="4"/>
      <c r="G57" s="4"/>
      <c r="H57" s="8"/>
      <c r="I57" s="9"/>
      <c r="J57" s="8">
        <f t="shared" si="5"/>
        <v>0</v>
      </c>
    </row>
    <row r="58" spans="1:10" ht="19.95" customHeight="1" x14ac:dyDescent="0.3">
      <c r="A58" s="4"/>
      <c r="B58" s="4"/>
      <c r="C58" s="6"/>
      <c r="D58" s="6"/>
      <c r="E58" s="7"/>
      <c r="F58" s="4"/>
      <c r="G58" s="8"/>
      <c r="H58" s="8"/>
      <c r="I58" s="9"/>
      <c r="J58" s="8">
        <f t="shared" si="5"/>
        <v>0</v>
      </c>
    </row>
    <row r="59" spans="1:10" ht="19.95" customHeight="1" x14ac:dyDescent="0.3">
      <c r="A59" s="4"/>
      <c r="B59" s="4"/>
      <c r="C59" s="6"/>
      <c r="D59" s="6"/>
      <c r="E59" s="7"/>
      <c r="F59" s="4"/>
      <c r="G59" s="4"/>
      <c r="H59" s="8"/>
      <c r="I59" s="9"/>
      <c r="J59" s="8">
        <f t="shared" si="5"/>
        <v>0</v>
      </c>
    </row>
    <row r="60" spans="1:10" ht="19.95" customHeight="1" x14ac:dyDescent="0.3">
      <c r="A60" s="4"/>
      <c r="B60" s="4"/>
      <c r="C60" s="6"/>
      <c r="D60" s="6"/>
      <c r="E60" s="7"/>
      <c r="F60" s="4"/>
      <c r="G60" s="4"/>
      <c r="H60" s="8"/>
      <c r="I60" s="9"/>
      <c r="J60" s="8">
        <f t="shared" si="5"/>
        <v>0</v>
      </c>
    </row>
    <row r="61" spans="1:10" ht="19.95" customHeight="1" x14ac:dyDescent="0.3">
      <c r="A61" s="10"/>
      <c r="B61" s="10"/>
      <c r="C61" s="10"/>
      <c r="D61" s="10"/>
      <c r="E61" s="11"/>
      <c r="F61" s="10"/>
      <c r="G61" s="12"/>
      <c r="H61" s="8">
        <f>SUM(H55:H60)</f>
        <v>165</v>
      </c>
      <c r="I61" s="9">
        <f>SUM(I55:I60)</f>
        <v>0</v>
      </c>
      <c r="J61" s="8">
        <f>SUM(J55:J60)</f>
        <v>165</v>
      </c>
    </row>
    <row r="63" spans="1:10" ht="15.6" x14ac:dyDescent="0.3">
      <c r="H63" s="8">
        <f>H61+H51+H41+H31+H21+H11</f>
        <v>915</v>
      </c>
      <c r="I63" s="8">
        <f>I61+I51+I41+I31+I21+I11</f>
        <v>0</v>
      </c>
      <c r="J63" s="8">
        <f>J61+J51+J41+J31+J21+J11</f>
        <v>915</v>
      </c>
    </row>
    <row r="65" spans="1:10" ht="23.4" x14ac:dyDescent="0.3">
      <c r="A65" s="95" t="s">
        <v>14</v>
      </c>
      <c r="B65" s="95"/>
      <c r="C65" s="95"/>
      <c r="D65" s="95"/>
      <c r="E65" s="95"/>
      <c r="F65" s="95"/>
      <c r="G65" s="95"/>
      <c r="H65" s="95"/>
      <c r="I65" s="95"/>
      <c r="J65" s="95"/>
    </row>
  </sheetData>
  <mergeCells count="9">
    <mergeCell ref="A43:J43"/>
    <mergeCell ref="A53:J53"/>
    <mergeCell ref="A65:J65"/>
    <mergeCell ref="H1:J1"/>
    <mergeCell ref="A2:J2"/>
    <mergeCell ref="A3:J3"/>
    <mergeCell ref="A13:J13"/>
    <mergeCell ref="A23:J23"/>
    <mergeCell ref="A33:J3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J62"/>
  <sheetViews>
    <sheetView topLeftCell="A35" zoomScale="85" zoomScaleNormal="85" workbookViewId="0">
      <selection activeCell="L48" sqref="L4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0.6640625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250063</v>
      </c>
      <c r="B5" s="4">
        <v>430</v>
      </c>
      <c r="C5" s="6">
        <v>0.5</v>
      </c>
      <c r="D5" s="6" t="s">
        <v>27</v>
      </c>
      <c r="E5" s="7" t="s">
        <v>28</v>
      </c>
      <c r="F5" s="4" t="s">
        <v>45</v>
      </c>
      <c r="G5" s="4">
        <v>430</v>
      </c>
      <c r="H5" s="8">
        <v>1000</v>
      </c>
      <c r="I5" s="9">
        <f>566+439</f>
        <v>1005</v>
      </c>
      <c r="J5" s="8">
        <f t="shared" ref="J5:J13" si="0">H5-I5</f>
        <v>-5</v>
      </c>
    </row>
    <row r="6" spans="1:10" ht="19.95" customHeight="1" x14ac:dyDescent="0.3">
      <c r="A6" s="4">
        <v>250064</v>
      </c>
      <c r="B6" s="4">
        <v>430</v>
      </c>
      <c r="C6" s="6">
        <v>0.5</v>
      </c>
      <c r="D6" s="6" t="s">
        <v>27</v>
      </c>
      <c r="E6" s="7" t="s">
        <v>29</v>
      </c>
      <c r="F6" s="4" t="s">
        <v>45</v>
      </c>
      <c r="G6" s="4">
        <v>430</v>
      </c>
      <c r="H6" s="8">
        <v>1000</v>
      </c>
      <c r="I6" s="9">
        <v>1005</v>
      </c>
      <c r="J6" s="8">
        <f t="shared" si="0"/>
        <v>-5</v>
      </c>
    </row>
    <row r="7" spans="1:10" ht="19.95" customHeight="1" x14ac:dyDescent="0.3">
      <c r="A7" s="4">
        <v>250062</v>
      </c>
      <c r="B7" s="4">
        <v>304</v>
      </c>
      <c r="C7" s="6">
        <v>0.6</v>
      </c>
      <c r="D7" s="6" t="s">
        <v>11</v>
      </c>
      <c r="E7" s="7" t="s">
        <v>31</v>
      </c>
      <c r="F7" s="4" t="s">
        <v>13</v>
      </c>
      <c r="G7" s="4">
        <v>430</v>
      </c>
      <c r="H7" s="8">
        <v>300</v>
      </c>
      <c r="I7" s="9">
        <v>301</v>
      </c>
      <c r="J7" s="8">
        <f t="shared" ref="J7" si="1">H7-I7</f>
        <v>-1</v>
      </c>
    </row>
    <row r="8" spans="1:10" ht="19.95" customHeight="1" x14ac:dyDescent="0.3">
      <c r="A8" s="4">
        <v>250062</v>
      </c>
      <c r="B8" s="4">
        <v>304</v>
      </c>
      <c r="C8" s="6">
        <v>0.6</v>
      </c>
      <c r="D8" s="6" t="s">
        <v>11</v>
      </c>
      <c r="E8" s="7" t="s">
        <v>12</v>
      </c>
      <c r="F8" s="4" t="s">
        <v>13</v>
      </c>
      <c r="G8" s="4">
        <v>430</v>
      </c>
      <c r="H8" s="8">
        <v>150</v>
      </c>
      <c r="I8" s="9"/>
      <c r="J8" s="8">
        <f t="shared" si="0"/>
        <v>150</v>
      </c>
    </row>
    <row r="9" spans="1:10" ht="19.95" customHeight="1" x14ac:dyDescent="0.3">
      <c r="A9" s="4">
        <v>250062</v>
      </c>
      <c r="B9" s="4">
        <v>304</v>
      </c>
      <c r="C9" s="6">
        <v>0.6</v>
      </c>
      <c r="D9" s="6" t="s">
        <v>11</v>
      </c>
      <c r="E9" s="7" t="s">
        <v>30</v>
      </c>
      <c r="F9" s="4" t="s">
        <v>13</v>
      </c>
      <c r="G9" s="4">
        <v>430</v>
      </c>
      <c r="H9" s="8">
        <v>200</v>
      </c>
      <c r="I9" s="9">
        <v>90</v>
      </c>
      <c r="J9" s="8">
        <f t="shared" si="0"/>
        <v>110</v>
      </c>
    </row>
    <row r="10" spans="1:10" ht="19.95" customHeight="1" x14ac:dyDescent="0.3">
      <c r="A10" s="4">
        <v>225065</v>
      </c>
      <c r="B10" s="4">
        <v>430</v>
      </c>
      <c r="C10" s="6">
        <v>0.5</v>
      </c>
      <c r="D10" s="6" t="s">
        <v>11</v>
      </c>
      <c r="E10" s="7" t="s">
        <v>34</v>
      </c>
      <c r="F10" s="4" t="s">
        <v>45</v>
      </c>
      <c r="G10" s="4">
        <v>430</v>
      </c>
      <c r="H10" s="8">
        <v>1500</v>
      </c>
      <c r="I10" s="9">
        <v>1505</v>
      </c>
      <c r="J10" s="8">
        <f t="shared" si="0"/>
        <v>-5</v>
      </c>
    </row>
    <row r="11" spans="1:10" ht="19.95" customHeight="1" x14ac:dyDescent="0.3">
      <c r="A11" s="4">
        <v>225066</v>
      </c>
      <c r="B11" s="4">
        <v>430</v>
      </c>
      <c r="C11" s="6">
        <v>0.5</v>
      </c>
      <c r="D11" s="6" t="s">
        <v>11</v>
      </c>
      <c r="E11" s="7" t="s">
        <v>35</v>
      </c>
      <c r="F11" s="4" t="s">
        <v>45</v>
      </c>
      <c r="G11" s="4">
        <v>430</v>
      </c>
      <c r="H11" s="8">
        <v>1500</v>
      </c>
      <c r="I11" s="9">
        <v>841</v>
      </c>
      <c r="J11" s="8">
        <f t="shared" si="0"/>
        <v>659</v>
      </c>
    </row>
    <row r="12" spans="1:10" ht="19.95" customHeight="1" x14ac:dyDescent="0.3">
      <c r="A12" s="4">
        <v>250062</v>
      </c>
      <c r="B12" s="4">
        <v>304</v>
      </c>
      <c r="C12" s="6">
        <v>0.6</v>
      </c>
      <c r="D12" s="6" t="s">
        <v>11</v>
      </c>
      <c r="E12" s="7" t="s">
        <v>39</v>
      </c>
      <c r="F12" s="4" t="s">
        <v>13</v>
      </c>
      <c r="G12" s="4">
        <v>430</v>
      </c>
      <c r="H12" s="8">
        <v>125</v>
      </c>
      <c r="I12" s="9"/>
      <c r="J12" s="8">
        <f t="shared" si="0"/>
        <v>125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5775</v>
      </c>
      <c r="I14" s="14">
        <f>SUM(I5:I13)</f>
        <v>4747</v>
      </c>
      <c r="J14" s="8">
        <f>SUM(J5:J13)</f>
        <v>1028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250062</v>
      </c>
      <c r="B18" s="4">
        <v>304</v>
      </c>
      <c r="C18" s="6">
        <v>0.6</v>
      </c>
      <c r="D18" s="6" t="s">
        <v>11</v>
      </c>
      <c r="E18" s="7" t="s">
        <v>32</v>
      </c>
      <c r="F18" s="4" t="s">
        <v>13</v>
      </c>
      <c r="G18" s="4">
        <v>430</v>
      </c>
      <c r="H18" s="8">
        <v>300</v>
      </c>
      <c r="I18" s="9">
        <v>307</v>
      </c>
      <c r="J18" s="8">
        <f t="shared" ref="J18:J24" si="2">H18-I18</f>
        <v>-7</v>
      </c>
    </row>
    <row r="19" spans="1:10" ht="19.95" customHeight="1" x14ac:dyDescent="0.3">
      <c r="A19" s="4">
        <v>250062</v>
      </c>
      <c r="B19" s="4">
        <v>304</v>
      </c>
      <c r="C19" s="6">
        <v>0.6</v>
      </c>
      <c r="D19" s="6" t="s">
        <v>11</v>
      </c>
      <c r="E19" s="7" t="s">
        <v>33</v>
      </c>
      <c r="F19" s="4" t="s">
        <v>13</v>
      </c>
      <c r="G19" s="4">
        <v>430</v>
      </c>
      <c r="H19" s="8">
        <v>300</v>
      </c>
      <c r="I19" s="9">
        <v>307</v>
      </c>
      <c r="J19" s="8">
        <f t="shared" si="2"/>
        <v>-7</v>
      </c>
    </row>
    <row r="20" spans="1:10" ht="19.95" customHeight="1" x14ac:dyDescent="0.3">
      <c r="A20" s="4">
        <v>250062</v>
      </c>
      <c r="B20" s="4">
        <v>304</v>
      </c>
      <c r="C20" s="6">
        <v>0.6</v>
      </c>
      <c r="D20" s="6" t="s">
        <v>11</v>
      </c>
      <c r="E20" s="7" t="s">
        <v>38</v>
      </c>
      <c r="F20" s="4" t="s">
        <v>13</v>
      </c>
      <c r="G20" s="4">
        <v>430</v>
      </c>
      <c r="H20" s="8">
        <v>300</v>
      </c>
      <c r="I20" s="9">
        <v>305</v>
      </c>
      <c r="J20" s="8">
        <f t="shared" si="2"/>
        <v>-5</v>
      </c>
    </row>
    <row r="21" spans="1:10" ht="19.95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2"/>
        <v>0</v>
      </c>
    </row>
    <row r="22" spans="1:10" ht="19.95" customHeight="1" x14ac:dyDescent="0.3">
      <c r="A22" s="4">
        <v>225065</v>
      </c>
      <c r="B22" s="4">
        <v>430</v>
      </c>
      <c r="C22" s="6">
        <v>0.5</v>
      </c>
      <c r="D22" s="6" t="s">
        <v>11</v>
      </c>
      <c r="E22" s="7" t="s">
        <v>36</v>
      </c>
      <c r="F22" s="4" t="s">
        <v>45</v>
      </c>
      <c r="G22" s="4">
        <v>430</v>
      </c>
      <c r="H22" s="8">
        <v>1500</v>
      </c>
      <c r="I22" s="9"/>
      <c r="J22" s="8">
        <f t="shared" si="2"/>
        <v>1500</v>
      </c>
    </row>
    <row r="23" spans="1:10" ht="19.95" customHeight="1" x14ac:dyDescent="0.3">
      <c r="A23" s="4">
        <v>225066</v>
      </c>
      <c r="B23" s="4">
        <v>430</v>
      </c>
      <c r="C23" s="6">
        <v>0.5</v>
      </c>
      <c r="D23" s="6" t="s">
        <v>11</v>
      </c>
      <c r="E23" s="7" t="s">
        <v>37</v>
      </c>
      <c r="F23" s="4" t="s">
        <v>45</v>
      </c>
      <c r="G23" s="4">
        <v>430</v>
      </c>
      <c r="H23" s="8">
        <v>1500</v>
      </c>
      <c r="I23" s="9"/>
      <c r="J23" s="8">
        <f t="shared" si="2"/>
        <v>1500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2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3900</v>
      </c>
      <c r="I25" s="9">
        <f>SUM(I18:I24)</f>
        <v>919</v>
      </c>
      <c r="J25" s="8">
        <f>SUM(J18:J24)</f>
        <v>2981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10925</v>
      </c>
      <c r="B29" s="4">
        <v>430</v>
      </c>
      <c r="C29" s="6">
        <v>0.8</v>
      </c>
      <c r="D29" s="6" t="s">
        <v>43</v>
      </c>
      <c r="E29" s="7" t="s">
        <v>46</v>
      </c>
      <c r="F29" s="21" t="s">
        <v>49</v>
      </c>
      <c r="G29" s="4">
        <v>430</v>
      </c>
      <c r="H29" s="8">
        <v>3100</v>
      </c>
      <c r="I29" s="9"/>
      <c r="J29" s="8">
        <f t="shared" ref="J29:J31" si="3">H29-I29</f>
        <v>3100</v>
      </c>
    </row>
    <row r="30" spans="1:10" ht="19.95" customHeight="1" x14ac:dyDescent="0.3">
      <c r="A30" s="4">
        <v>250069</v>
      </c>
      <c r="B30" s="4">
        <v>304</v>
      </c>
      <c r="C30" s="6">
        <v>0.6</v>
      </c>
      <c r="D30" s="6" t="s">
        <v>55</v>
      </c>
      <c r="E30" s="7" t="s">
        <v>50</v>
      </c>
      <c r="F30" s="21" t="s">
        <v>52</v>
      </c>
      <c r="G30" s="4">
        <v>430</v>
      </c>
      <c r="H30" s="8">
        <v>1650</v>
      </c>
      <c r="I30" s="9"/>
      <c r="J30" s="8">
        <f t="shared" si="3"/>
        <v>1650</v>
      </c>
    </row>
    <row r="31" spans="1:10" ht="19.95" customHeight="1" x14ac:dyDescent="0.3">
      <c r="A31" s="4"/>
      <c r="B31" s="4"/>
      <c r="C31" s="6"/>
      <c r="D31" s="6"/>
      <c r="E31" s="7"/>
      <c r="F31" s="4"/>
      <c r="G31" s="4"/>
      <c r="H31" s="8"/>
      <c r="I31" s="9"/>
      <c r="J31" s="8">
        <f t="shared" si="3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SUM(H29:H31)</f>
        <v>4750</v>
      </c>
      <c r="I32" s="9">
        <f>SUM(I29:I31)</f>
        <v>0</v>
      </c>
      <c r="J32" s="8">
        <f>SUM(J29:J31)</f>
        <v>4750</v>
      </c>
    </row>
    <row r="34" spans="1:10" ht="30" customHeight="1" x14ac:dyDescent="0.3">
      <c r="A34" s="94" t="s">
        <v>20</v>
      </c>
      <c r="B34" s="94"/>
      <c r="C34" s="94"/>
      <c r="D34" s="94"/>
      <c r="E34" s="94"/>
      <c r="F34" s="94"/>
      <c r="G34" s="94"/>
      <c r="H34" s="94"/>
      <c r="I34" s="94"/>
      <c r="J34" s="94"/>
    </row>
    <row r="35" spans="1:10" ht="30" customHeight="1" x14ac:dyDescent="0.3">
      <c r="A35" s="4" t="s">
        <v>1</v>
      </c>
      <c r="B35" s="4" t="s">
        <v>2</v>
      </c>
      <c r="C35" s="5" t="s">
        <v>3</v>
      </c>
      <c r="D35" s="5" t="s">
        <v>4</v>
      </c>
      <c r="E35" s="4" t="s">
        <v>5</v>
      </c>
      <c r="F35" s="5" t="s">
        <v>6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250069</v>
      </c>
      <c r="B36" s="4">
        <v>304</v>
      </c>
      <c r="C36" s="6">
        <v>0.6</v>
      </c>
      <c r="D36" s="6" t="s">
        <v>55</v>
      </c>
      <c r="E36" s="7" t="s">
        <v>53</v>
      </c>
      <c r="F36" s="21" t="s">
        <v>52</v>
      </c>
      <c r="G36" s="4">
        <v>430</v>
      </c>
      <c r="H36" s="8">
        <v>1650</v>
      </c>
      <c r="I36" s="9"/>
      <c r="J36" s="8">
        <f t="shared" ref="J36:J39" si="4">H36-I36</f>
        <v>1650</v>
      </c>
    </row>
    <row r="37" spans="1:10" ht="19.95" customHeight="1" x14ac:dyDescent="0.3">
      <c r="A37" s="4">
        <v>250068</v>
      </c>
      <c r="B37" s="4">
        <v>304</v>
      </c>
      <c r="C37" s="6">
        <v>0.6</v>
      </c>
      <c r="D37" s="6" t="s">
        <v>55</v>
      </c>
      <c r="E37" s="7" t="s">
        <v>51</v>
      </c>
      <c r="F37" s="21" t="s">
        <v>52</v>
      </c>
      <c r="G37" s="4">
        <v>430</v>
      </c>
      <c r="H37" s="8">
        <v>1650</v>
      </c>
      <c r="I37" s="9"/>
      <c r="J37" s="8">
        <f t="shared" si="4"/>
        <v>1650</v>
      </c>
    </row>
    <row r="38" spans="1:10" ht="19.95" customHeight="1" x14ac:dyDescent="0.3">
      <c r="A38" s="4">
        <v>250068</v>
      </c>
      <c r="B38" s="4">
        <v>304</v>
      </c>
      <c r="C38" s="6">
        <v>0.6</v>
      </c>
      <c r="D38" s="6" t="s">
        <v>55</v>
      </c>
      <c r="E38" s="7" t="s">
        <v>54</v>
      </c>
      <c r="F38" s="21" t="s">
        <v>52</v>
      </c>
      <c r="G38" s="4">
        <v>430</v>
      </c>
      <c r="H38" s="8">
        <v>1650</v>
      </c>
      <c r="I38" s="9"/>
      <c r="J38" s="8">
        <f t="shared" si="4"/>
        <v>1650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si="4"/>
        <v>0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SUM(H36:H39)</f>
        <v>4950</v>
      </c>
      <c r="I40" s="9">
        <f>SUM(I36:I39)</f>
        <v>0</v>
      </c>
      <c r="J40" s="8">
        <f>SUM(J36:J39)</f>
        <v>4950</v>
      </c>
    </row>
    <row r="41" spans="1:10" ht="19.95" customHeight="1" x14ac:dyDescent="0.3">
      <c r="A41" s="15"/>
      <c r="B41" s="15"/>
      <c r="C41" s="15"/>
      <c r="D41" s="15"/>
      <c r="E41" s="16"/>
      <c r="F41" s="15"/>
      <c r="G41" s="15"/>
      <c r="H41" s="17"/>
      <c r="I41" s="18"/>
      <c r="J41" s="17"/>
    </row>
    <row r="42" spans="1:10" ht="30" customHeight="1" x14ac:dyDescent="0.3">
      <c r="A42" s="94" t="s">
        <v>19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10925</v>
      </c>
      <c r="B44" s="4">
        <v>430</v>
      </c>
      <c r="C44" s="6">
        <v>0.8</v>
      </c>
      <c r="D44" s="6" t="s">
        <v>43</v>
      </c>
      <c r="E44" s="7" t="s">
        <v>48</v>
      </c>
      <c r="F44" s="21" t="s">
        <v>49</v>
      </c>
      <c r="G44" s="4">
        <v>430</v>
      </c>
      <c r="H44" s="8">
        <v>3300</v>
      </c>
      <c r="I44" s="9"/>
      <c r="J44" s="8">
        <f t="shared" ref="J44:J49" si="5">H44-I44</f>
        <v>3300</v>
      </c>
    </row>
    <row r="45" spans="1:10" ht="19.95" customHeight="1" x14ac:dyDescent="0.3">
      <c r="A45" s="21">
        <v>250074</v>
      </c>
      <c r="B45" s="21">
        <v>304</v>
      </c>
      <c r="C45" s="22">
        <v>0.7</v>
      </c>
      <c r="D45" s="22" t="s">
        <v>43</v>
      </c>
      <c r="E45" s="20" t="s">
        <v>40</v>
      </c>
      <c r="F45" s="21" t="s">
        <v>41</v>
      </c>
      <c r="G45" s="21">
        <v>430</v>
      </c>
      <c r="H45" s="23">
        <v>708</v>
      </c>
      <c r="I45" s="9"/>
      <c r="J45" s="8">
        <f t="shared" si="5"/>
        <v>708</v>
      </c>
    </row>
    <row r="46" spans="1:10" ht="19.95" customHeight="1" x14ac:dyDescent="0.3">
      <c r="A46" s="21">
        <v>250074</v>
      </c>
      <c r="B46" s="21">
        <v>304</v>
      </c>
      <c r="C46" s="22">
        <v>0.7</v>
      </c>
      <c r="D46" s="22" t="s">
        <v>43</v>
      </c>
      <c r="E46" s="20" t="s">
        <v>42</v>
      </c>
      <c r="F46" s="21" t="s">
        <v>41</v>
      </c>
      <c r="G46" s="21">
        <v>430</v>
      </c>
      <c r="H46" s="23">
        <v>708</v>
      </c>
      <c r="I46" s="9">
        <v>779</v>
      </c>
      <c r="J46" s="8">
        <f t="shared" si="5"/>
        <v>-71</v>
      </c>
    </row>
    <row r="47" spans="1:10" ht="19.95" customHeight="1" x14ac:dyDescent="0.3">
      <c r="A47" s="21">
        <v>250074</v>
      </c>
      <c r="B47" s="21">
        <v>304</v>
      </c>
      <c r="C47" s="22">
        <v>0.7</v>
      </c>
      <c r="D47" s="22" t="s">
        <v>43</v>
      </c>
      <c r="E47" s="20" t="s">
        <v>44</v>
      </c>
      <c r="F47" s="21" t="s">
        <v>41</v>
      </c>
      <c r="G47" s="21">
        <v>430</v>
      </c>
      <c r="H47" s="23">
        <v>708</v>
      </c>
      <c r="I47" s="9">
        <v>790</v>
      </c>
      <c r="J47" s="8">
        <f t="shared" si="5"/>
        <v>-82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5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5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SUM(H44:H49)</f>
        <v>5424</v>
      </c>
      <c r="I50" s="9">
        <f>SUM(I44:I49)</f>
        <v>1569</v>
      </c>
      <c r="J50" s="8">
        <f>SUM(J44:J49)</f>
        <v>3855</v>
      </c>
    </row>
    <row r="51" spans="1:10" ht="19.95" customHeight="1" x14ac:dyDescent="0.3">
      <c r="A51" s="15"/>
      <c r="B51" s="15"/>
      <c r="C51" s="15"/>
      <c r="D51" s="15"/>
      <c r="E51" s="16"/>
      <c r="F51" s="15"/>
      <c r="G51" s="15"/>
      <c r="H51" s="17"/>
      <c r="I51" s="18"/>
      <c r="J51" s="17"/>
    </row>
    <row r="52" spans="1:10" ht="30" customHeight="1" x14ac:dyDescent="0.3">
      <c r="A52" s="94" t="s">
        <v>23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10925</v>
      </c>
      <c r="B54" s="4">
        <v>304</v>
      </c>
      <c r="C54" s="6">
        <v>0.8</v>
      </c>
      <c r="D54" s="6" t="s">
        <v>43</v>
      </c>
      <c r="E54" s="7" t="s">
        <v>47</v>
      </c>
      <c r="F54" s="21" t="s">
        <v>49</v>
      </c>
      <c r="G54" s="4">
        <v>430</v>
      </c>
      <c r="H54" s="8">
        <v>3200</v>
      </c>
      <c r="I54" s="9"/>
      <c r="J54" s="8">
        <f t="shared" ref="J54:J59" si="6">H54-I54</f>
        <v>3200</v>
      </c>
    </row>
    <row r="55" spans="1:10" ht="19.95" hidden="1" customHeight="1" x14ac:dyDescent="0.3">
      <c r="A55" s="21"/>
      <c r="B55" s="21"/>
      <c r="C55" s="22"/>
      <c r="D55" s="22"/>
      <c r="E55" s="20"/>
      <c r="F55" s="21"/>
      <c r="G55" s="21"/>
      <c r="H55" s="23"/>
      <c r="I55" s="9"/>
      <c r="J55" s="8">
        <f t="shared" ref="J55" si="7">H55-I55</f>
        <v>0</v>
      </c>
    </row>
    <row r="56" spans="1:10" ht="19.95" hidden="1" customHeight="1" x14ac:dyDescent="0.3">
      <c r="A56" s="21"/>
      <c r="B56" s="21"/>
      <c r="C56" s="22"/>
      <c r="D56" s="22"/>
      <c r="E56" s="20"/>
      <c r="F56" s="21"/>
      <c r="G56" s="21"/>
      <c r="H56" s="23"/>
      <c r="I56" s="9"/>
      <c r="J56" s="8">
        <f t="shared" si="6"/>
        <v>0</v>
      </c>
    </row>
    <row r="57" spans="1:10" ht="19.95" hidden="1" customHeight="1" x14ac:dyDescent="0.3">
      <c r="A57" s="4"/>
      <c r="B57" s="4"/>
      <c r="C57" s="6"/>
      <c r="D57" s="6"/>
      <c r="E57" s="7"/>
      <c r="F57" s="21"/>
      <c r="G57" s="4"/>
      <c r="H57" s="8"/>
      <c r="I57" s="9"/>
      <c r="J57" s="8">
        <f t="shared" si="6"/>
        <v>0</v>
      </c>
    </row>
    <row r="58" spans="1:10" ht="19.95" hidden="1" customHeight="1" x14ac:dyDescent="0.3">
      <c r="A58" s="4"/>
      <c r="B58" s="4"/>
      <c r="C58" s="6"/>
      <c r="D58" s="6"/>
      <c r="E58" s="7"/>
      <c r="F58" s="4"/>
      <c r="G58" s="4"/>
      <c r="H58" s="8"/>
      <c r="I58" s="9"/>
      <c r="J58" s="8">
        <f t="shared" si="6"/>
        <v>0</v>
      </c>
    </row>
    <row r="59" spans="1:10" ht="19.95" customHeight="1" x14ac:dyDescent="0.3">
      <c r="A59" s="4"/>
      <c r="B59" s="4"/>
      <c r="C59" s="6"/>
      <c r="D59" s="6"/>
      <c r="E59" s="7"/>
      <c r="F59" s="4"/>
      <c r="G59" s="4"/>
      <c r="H59" s="8"/>
      <c r="I59" s="9"/>
      <c r="J59" s="8">
        <f t="shared" si="6"/>
        <v>0</v>
      </c>
    </row>
    <row r="60" spans="1:10" ht="19.95" customHeight="1" x14ac:dyDescent="0.3">
      <c r="A60" s="10"/>
      <c r="B60" s="10"/>
      <c r="C60" s="10"/>
      <c r="D60" s="10"/>
      <c r="E60" s="11"/>
      <c r="F60" s="10"/>
      <c r="G60" s="12"/>
      <c r="H60" s="8">
        <f>SUM(H54:H59)</f>
        <v>3200</v>
      </c>
      <c r="I60" s="9">
        <f>SUM(I54:I59)</f>
        <v>0</v>
      </c>
      <c r="J60" s="8">
        <f>SUM(J54:J59)</f>
        <v>3200</v>
      </c>
    </row>
    <row r="62" spans="1:10" ht="23.4" x14ac:dyDescent="0.3">
      <c r="A62" s="95" t="s">
        <v>14</v>
      </c>
      <c r="B62" s="95"/>
      <c r="C62" s="95"/>
      <c r="D62" s="95"/>
      <c r="E62" s="95"/>
      <c r="F62" s="95"/>
      <c r="G62" s="95"/>
      <c r="H62" s="95"/>
      <c r="I62" s="95"/>
      <c r="J62" s="95"/>
    </row>
  </sheetData>
  <mergeCells count="9">
    <mergeCell ref="H1:J1"/>
    <mergeCell ref="A2:J2"/>
    <mergeCell ref="A3:J3"/>
    <mergeCell ref="A16:J16"/>
    <mergeCell ref="A62:J62"/>
    <mergeCell ref="A27:J27"/>
    <mergeCell ref="A34:J34"/>
    <mergeCell ref="A42:J42"/>
    <mergeCell ref="A52:J5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62"/>
  <sheetViews>
    <sheetView topLeftCell="A40" zoomScale="85" zoomScaleNormal="85" workbookViewId="0">
      <selection activeCell="I46" sqref="I46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0.6640625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250062</v>
      </c>
      <c r="B5" s="4">
        <v>304</v>
      </c>
      <c r="C5" s="6">
        <v>0.6</v>
      </c>
      <c r="D5" s="6" t="s">
        <v>11</v>
      </c>
      <c r="E5" s="7" t="s">
        <v>12</v>
      </c>
      <c r="F5" s="4" t="s">
        <v>13</v>
      </c>
      <c r="G5" s="4">
        <v>430</v>
      </c>
      <c r="H5" s="8">
        <v>150</v>
      </c>
      <c r="I5" s="9">
        <v>152</v>
      </c>
      <c r="J5" s="8">
        <f t="shared" ref="J5:J13" si="0">H5-I5</f>
        <v>-2</v>
      </c>
    </row>
    <row r="6" spans="1:10" ht="19.95" customHeight="1" x14ac:dyDescent="0.3">
      <c r="A6" s="4">
        <v>250062</v>
      </c>
      <c r="B6" s="4">
        <v>304</v>
      </c>
      <c r="C6" s="6">
        <v>0.6</v>
      </c>
      <c r="D6" s="6" t="s">
        <v>11</v>
      </c>
      <c r="E6" s="7" t="s">
        <v>30</v>
      </c>
      <c r="F6" s="4" t="s">
        <v>13</v>
      </c>
      <c r="G6" s="4">
        <v>430</v>
      </c>
      <c r="H6" s="8">
        <v>200</v>
      </c>
      <c r="I6" s="9">
        <f>90+120</f>
        <v>210</v>
      </c>
      <c r="J6" s="8">
        <f t="shared" si="0"/>
        <v>-10</v>
      </c>
    </row>
    <row r="7" spans="1:10" ht="19.95" customHeight="1" x14ac:dyDescent="0.3">
      <c r="A7" s="4">
        <v>225066</v>
      </c>
      <c r="B7" s="4">
        <v>430</v>
      </c>
      <c r="C7" s="6">
        <v>0.5</v>
      </c>
      <c r="D7" s="6" t="s">
        <v>11</v>
      </c>
      <c r="E7" s="7" t="s">
        <v>35</v>
      </c>
      <c r="F7" s="4" t="s">
        <v>45</v>
      </c>
      <c r="G7" s="4">
        <v>430</v>
      </c>
      <c r="H7" s="8">
        <v>1500</v>
      </c>
      <c r="I7" s="9">
        <f>841+780</f>
        <v>1621</v>
      </c>
      <c r="J7" s="8">
        <f t="shared" si="0"/>
        <v>-121</v>
      </c>
    </row>
    <row r="8" spans="1:10" ht="19.95" customHeight="1" x14ac:dyDescent="0.3">
      <c r="A8" s="4">
        <v>250062</v>
      </c>
      <c r="B8" s="4">
        <v>304</v>
      </c>
      <c r="C8" s="6">
        <v>0.6</v>
      </c>
      <c r="D8" s="6" t="s">
        <v>11</v>
      </c>
      <c r="E8" s="7" t="s">
        <v>39</v>
      </c>
      <c r="F8" s="4" t="s">
        <v>13</v>
      </c>
      <c r="G8" s="4">
        <v>430</v>
      </c>
      <c r="H8" s="8">
        <v>125</v>
      </c>
      <c r="I8" s="9">
        <v>131</v>
      </c>
      <c r="J8" s="8">
        <f t="shared" si="0"/>
        <v>-6</v>
      </c>
    </row>
    <row r="9" spans="1:10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0" ht="19.95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8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1975</v>
      </c>
      <c r="I14" s="14">
        <f>SUM(I5:I13)</f>
        <v>2114</v>
      </c>
      <c r="J14" s="8">
        <f>SUM(J5:J13)</f>
        <v>-139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225065</v>
      </c>
      <c r="B18" s="4">
        <v>430</v>
      </c>
      <c r="C18" s="6">
        <v>0.5</v>
      </c>
      <c r="D18" s="6" t="s">
        <v>11</v>
      </c>
      <c r="E18" s="7" t="s">
        <v>36</v>
      </c>
      <c r="F18" s="4" t="s">
        <v>45</v>
      </c>
      <c r="G18" s="4">
        <v>430</v>
      </c>
      <c r="H18" s="8">
        <v>1500</v>
      </c>
      <c r="I18" s="9">
        <v>1550</v>
      </c>
      <c r="J18" s="8">
        <f t="shared" ref="J18:J24" si="1">H18-I18</f>
        <v>-50</v>
      </c>
    </row>
    <row r="19" spans="1:10" ht="19.95" customHeight="1" x14ac:dyDescent="0.3">
      <c r="A19" s="4">
        <v>225066</v>
      </c>
      <c r="B19" s="4">
        <v>430</v>
      </c>
      <c r="C19" s="6">
        <v>0.5</v>
      </c>
      <c r="D19" s="6" t="s">
        <v>11</v>
      </c>
      <c r="E19" s="7" t="s">
        <v>37</v>
      </c>
      <c r="F19" s="4" t="s">
        <v>45</v>
      </c>
      <c r="G19" s="4">
        <v>430</v>
      </c>
      <c r="H19" s="8">
        <v>1500</v>
      </c>
      <c r="I19" s="9">
        <v>1557</v>
      </c>
      <c r="J19" s="8">
        <f t="shared" si="1"/>
        <v>-57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1"/>
        <v>0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8">
        <f t="shared" si="1"/>
        <v>0</v>
      </c>
    </row>
    <row r="23" spans="1:10" ht="19.95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8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3000</v>
      </c>
      <c r="I25" s="9">
        <f>SUM(I18:I24)</f>
        <v>3107</v>
      </c>
      <c r="J25" s="8">
        <f>SUM(J18:J24)</f>
        <v>-107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10925</v>
      </c>
      <c r="B29" s="4">
        <v>430</v>
      </c>
      <c r="C29" s="6">
        <v>0.8</v>
      </c>
      <c r="D29" s="6" t="s">
        <v>43</v>
      </c>
      <c r="E29" s="7" t="s">
        <v>46</v>
      </c>
      <c r="F29" s="21" t="s">
        <v>49</v>
      </c>
      <c r="G29" s="4">
        <v>430</v>
      </c>
      <c r="H29" s="8">
        <v>3100</v>
      </c>
      <c r="I29" s="9"/>
      <c r="J29" s="8">
        <f t="shared" ref="J29:J31" si="2">H29-I29</f>
        <v>3100</v>
      </c>
    </row>
    <row r="30" spans="1:10" ht="19.95" customHeight="1" x14ac:dyDescent="0.3">
      <c r="A30" s="4">
        <v>250069</v>
      </c>
      <c r="B30" s="4">
        <v>304</v>
      </c>
      <c r="C30" s="6">
        <v>0.6</v>
      </c>
      <c r="D30" s="6" t="s">
        <v>55</v>
      </c>
      <c r="E30" s="7" t="s">
        <v>50</v>
      </c>
      <c r="F30" s="21" t="s">
        <v>52</v>
      </c>
      <c r="G30" s="4">
        <v>430</v>
      </c>
      <c r="H30" s="8">
        <v>1650</v>
      </c>
      <c r="I30" s="9"/>
      <c r="J30" s="8">
        <f t="shared" si="2"/>
        <v>1650</v>
      </c>
    </row>
    <row r="31" spans="1:10" ht="19.95" customHeight="1" x14ac:dyDescent="0.3">
      <c r="A31" s="4"/>
      <c r="B31" s="4"/>
      <c r="C31" s="6"/>
      <c r="D31" s="6"/>
      <c r="E31" s="7"/>
      <c r="F31" s="4"/>
      <c r="G31" s="4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SUM(H29:H31)</f>
        <v>4750</v>
      </c>
      <c r="I32" s="9">
        <f>SUM(I29:I31)</f>
        <v>0</v>
      </c>
      <c r="J32" s="8">
        <f>SUM(J29:J31)</f>
        <v>4750</v>
      </c>
    </row>
    <row r="34" spans="1:10" ht="30" customHeight="1" x14ac:dyDescent="0.3">
      <c r="A34" s="94" t="s">
        <v>20</v>
      </c>
      <c r="B34" s="94"/>
      <c r="C34" s="94"/>
      <c r="D34" s="94"/>
      <c r="E34" s="94"/>
      <c r="F34" s="94"/>
      <c r="G34" s="94"/>
      <c r="H34" s="94"/>
      <c r="I34" s="94"/>
      <c r="J34" s="94"/>
    </row>
    <row r="35" spans="1:10" ht="30" customHeight="1" x14ac:dyDescent="0.3">
      <c r="A35" s="4" t="s">
        <v>1</v>
      </c>
      <c r="B35" s="4" t="s">
        <v>2</v>
      </c>
      <c r="C35" s="5" t="s">
        <v>3</v>
      </c>
      <c r="D35" s="5" t="s">
        <v>4</v>
      </c>
      <c r="E35" s="4" t="s">
        <v>5</v>
      </c>
      <c r="F35" s="5" t="s">
        <v>6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250069</v>
      </c>
      <c r="B36" s="4">
        <v>304</v>
      </c>
      <c r="C36" s="6">
        <v>0.6</v>
      </c>
      <c r="D36" s="6" t="s">
        <v>55</v>
      </c>
      <c r="E36" s="7" t="s">
        <v>53</v>
      </c>
      <c r="F36" s="21" t="s">
        <v>52</v>
      </c>
      <c r="G36" s="4">
        <v>430</v>
      </c>
      <c r="H36" s="8">
        <v>1650</v>
      </c>
      <c r="I36" s="9"/>
      <c r="J36" s="8">
        <f t="shared" ref="J36:J39" si="3">H36-I36</f>
        <v>1650</v>
      </c>
    </row>
    <row r="37" spans="1:10" ht="19.95" customHeight="1" x14ac:dyDescent="0.3">
      <c r="A37" s="4">
        <v>250068</v>
      </c>
      <c r="B37" s="4">
        <v>304</v>
      </c>
      <c r="C37" s="6">
        <v>0.6</v>
      </c>
      <c r="D37" s="6" t="s">
        <v>55</v>
      </c>
      <c r="E37" s="7" t="s">
        <v>51</v>
      </c>
      <c r="F37" s="21" t="s">
        <v>52</v>
      </c>
      <c r="G37" s="4">
        <v>430</v>
      </c>
      <c r="H37" s="8">
        <v>1650</v>
      </c>
      <c r="I37" s="9"/>
      <c r="J37" s="8">
        <f t="shared" si="3"/>
        <v>1650</v>
      </c>
    </row>
    <row r="38" spans="1:10" ht="19.95" customHeight="1" x14ac:dyDescent="0.3">
      <c r="A38" s="4">
        <v>250068</v>
      </c>
      <c r="B38" s="4">
        <v>304</v>
      </c>
      <c r="C38" s="6">
        <v>0.6</v>
      </c>
      <c r="D38" s="6" t="s">
        <v>55</v>
      </c>
      <c r="E38" s="7" t="s">
        <v>54</v>
      </c>
      <c r="F38" s="21" t="s">
        <v>52</v>
      </c>
      <c r="G38" s="4">
        <v>430</v>
      </c>
      <c r="H38" s="8">
        <v>1650</v>
      </c>
      <c r="I38" s="9"/>
      <c r="J38" s="8">
        <f t="shared" si="3"/>
        <v>1650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si="3"/>
        <v>0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SUM(H36:H39)</f>
        <v>4950</v>
      </c>
      <c r="I40" s="9">
        <f>SUM(I36:I39)</f>
        <v>0</v>
      </c>
      <c r="J40" s="8">
        <f>SUM(J36:J39)</f>
        <v>4950</v>
      </c>
    </row>
    <row r="41" spans="1:10" ht="19.95" customHeight="1" x14ac:dyDescent="0.3">
      <c r="A41" s="15"/>
      <c r="B41" s="15"/>
      <c r="C41" s="15"/>
      <c r="D41" s="15"/>
      <c r="E41" s="16"/>
      <c r="F41" s="15"/>
      <c r="G41" s="15"/>
      <c r="H41" s="17"/>
      <c r="I41" s="18"/>
      <c r="J41" s="17"/>
    </row>
    <row r="42" spans="1:10" ht="30" customHeight="1" x14ac:dyDescent="0.3">
      <c r="A42" s="94" t="s">
        <v>19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10925</v>
      </c>
      <c r="B44" s="4">
        <v>430</v>
      </c>
      <c r="C44" s="6">
        <v>0.8</v>
      </c>
      <c r="D44" s="6" t="s">
        <v>43</v>
      </c>
      <c r="E44" s="7" t="s">
        <v>48</v>
      </c>
      <c r="F44" s="21" t="s">
        <v>49</v>
      </c>
      <c r="G44" s="4">
        <v>430</v>
      </c>
      <c r="H44" s="8">
        <v>3300</v>
      </c>
      <c r="I44" s="9"/>
      <c r="J44" s="8">
        <f t="shared" ref="J44:J49" si="4">H44-I44</f>
        <v>3300</v>
      </c>
    </row>
    <row r="45" spans="1:10" ht="19.95" customHeight="1" x14ac:dyDescent="0.3">
      <c r="A45" s="21">
        <v>250074</v>
      </c>
      <c r="B45" s="21">
        <v>304</v>
      </c>
      <c r="C45" s="22">
        <v>0.7</v>
      </c>
      <c r="D45" s="22" t="s">
        <v>43</v>
      </c>
      <c r="E45" s="20" t="s">
        <v>40</v>
      </c>
      <c r="F45" s="21" t="s">
        <v>41</v>
      </c>
      <c r="G45" s="21">
        <v>430</v>
      </c>
      <c r="H45" s="23">
        <v>708</v>
      </c>
      <c r="I45" s="9">
        <v>276</v>
      </c>
      <c r="J45" s="8">
        <f t="shared" si="4"/>
        <v>432</v>
      </c>
    </row>
    <row r="46" spans="1:10" ht="19.95" customHeight="1" x14ac:dyDescent="0.3">
      <c r="A46" s="21"/>
      <c r="B46" s="21"/>
      <c r="C46" s="22"/>
      <c r="D46" s="22"/>
      <c r="E46" s="20"/>
      <c r="F46" s="21"/>
      <c r="G46" s="21"/>
      <c r="H46" s="23"/>
      <c r="I46" s="9"/>
      <c r="J46" s="8">
        <f t="shared" si="4"/>
        <v>0</v>
      </c>
    </row>
    <row r="47" spans="1:10" ht="19.95" customHeight="1" x14ac:dyDescent="0.3">
      <c r="A47" s="21"/>
      <c r="B47" s="21"/>
      <c r="C47" s="22"/>
      <c r="D47" s="22"/>
      <c r="E47" s="20"/>
      <c r="F47" s="21"/>
      <c r="G47" s="21"/>
      <c r="H47" s="23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SUM(H44:H49)</f>
        <v>4008</v>
      </c>
      <c r="I50" s="9">
        <f>SUM(I44:I49)</f>
        <v>276</v>
      </c>
      <c r="J50" s="8">
        <f>SUM(J44:J49)</f>
        <v>3732</v>
      </c>
    </row>
    <row r="51" spans="1:10" ht="19.95" customHeight="1" x14ac:dyDescent="0.3">
      <c r="A51" s="15"/>
      <c r="B51" s="15"/>
      <c r="C51" s="15"/>
      <c r="D51" s="15"/>
      <c r="E51" s="16"/>
      <c r="F51" s="15"/>
      <c r="G51" s="15"/>
      <c r="H51" s="17"/>
      <c r="I51" s="18"/>
      <c r="J51" s="17"/>
    </row>
    <row r="52" spans="1:10" ht="30" customHeight="1" x14ac:dyDescent="0.3">
      <c r="A52" s="94" t="s">
        <v>23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10925</v>
      </c>
      <c r="B54" s="4">
        <v>304</v>
      </c>
      <c r="C54" s="6">
        <v>0.8</v>
      </c>
      <c r="D54" s="6" t="s">
        <v>43</v>
      </c>
      <c r="E54" s="7" t="s">
        <v>47</v>
      </c>
      <c r="F54" s="21" t="s">
        <v>49</v>
      </c>
      <c r="G54" s="4">
        <v>430</v>
      </c>
      <c r="H54" s="8">
        <v>3200</v>
      </c>
      <c r="I54" s="9"/>
      <c r="J54" s="8">
        <f t="shared" ref="J54:J59" si="5">H54-I54</f>
        <v>3200</v>
      </c>
    </row>
    <row r="55" spans="1:10" ht="19.95" hidden="1" customHeight="1" x14ac:dyDescent="0.3">
      <c r="A55" s="21"/>
      <c r="B55" s="21"/>
      <c r="C55" s="22"/>
      <c r="D55" s="22"/>
      <c r="E55" s="20"/>
      <c r="F55" s="21"/>
      <c r="G55" s="21"/>
      <c r="H55" s="23"/>
      <c r="I55" s="9"/>
      <c r="J55" s="8">
        <f t="shared" si="5"/>
        <v>0</v>
      </c>
    </row>
    <row r="56" spans="1:10" ht="19.95" hidden="1" customHeight="1" x14ac:dyDescent="0.3">
      <c r="A56" s="21"/>
      <c r="B56" s="21"/>
      <c r="C56" s="22"/>
      <c r="D56" s="22"/>
      <c r="E56" s="20"/>
      <c r="F56" s="21"/>
      <c r="G56" s="21"/>
      <c r="H56" s="23"/>
      <c r="I56" s="9"/>
      <c r="J56" s="8">
        <f t="shared" si="5"/>
        <v>0</v>
      </c>
    </row>
    <row r="57" spans="1:10" ht="19.95" hidden="1" customHeight="1" x14ac:dyDescent="0.3">
      <c r="A57" s="4"/>
      <c r="B57" s="4"/>
      <c r="C57" s="6"/>
      <c r="D57" s="6"/>
      <c r="E57" s="7"/>
      <c r="F57" s="21"/>
      <c r="G57" s="4"/>
      <c r="H57" s="8"/>
      <c r="I57" s="9"/>
      <c r="J57" s="8">
        <f t="shared" si="5"/>
        <v>0</v>
      </c>
    </row>
    <row r="58" spans="1:10" ht="19.95" hidden="1" customHeight="1" x14ac:dyDescent="0.3">
      <c r="A58" s="4"/>
      <c r="B58" s="4"/>
      <c r="C58" s="6"/>
      <c r="D58" s="6"/>
      <c r="E58" s="7"/>
      <c r="F58" s="4"/>
      <c r="G58" s="4"/>
      <c r="H58" s="8"/>
      <c r="I58" s="9"/>
      <c r="J58" s="8">
        <f t="shared" si="5"/>
        <v>0</v>
      </c>
    </row>
    <row r="59" spans="1:10" ht="19.95" customHeight="1" x14ac:dyDescent="0.3">
      <c r="A59" s="4"/>
      <c r="B59" s="4"/>
      <c r="C59" s="6"/>
      <c r="D59" s="6"/>
      <c r="E59" s="7"/>
      <c r="F59" s="4"/>
      <c r="G59" s="4"/>
      <c r="H59" s="8"/>
      <c r="I59" s="9"/>
      <c r="J59" s="8">
        <f t="shared" si="5"/>
        <v>0</v>
      </c>
    </row>
    <row r="60" spans="1:10" ht="19.95" customHeight="1" x14ac:dyDescent="0.3">
      <c r="A60" s="10"/>
      <c r="B60" s="10"/>
      <c r="C60" s="10"/>
      <c r="D60" s="10"/>
      <c r="E60" s="11"/>
      <c r="F60" s="10"/>
      <c r="G60" s="12"/>
      <c r="H60" s="8">
        <f>SUM(H54:H59)</f>
        <v>3200</v>
      </c>
      <c r="I60" s="9">
        <f>SUM(I54:I59)</f>
        <v>0</v>
      </c>
      <c r="J60" s="8">
        <f>SUM(J54:J59)</f>
        <v>3200</v>
      </c>
    </row>
    <row r="62" spans="1:10" ht="23.4" x14ac:dyDescent="0.3">
      <c r="A62" s="95" t="s">
        <v>14</v>
      </c>
      <c r="B62" s="95"/>
      <c r="C62" s="95"/>
      <c r="D62" s="95"/>
      <c r="E62" s="95"/>
      <c r="F62" s="95"/>
      <c r="G62" s="95"/>
      <c r="H62" s="95"/>
      <c r="I62" s="95"/>
      <c r="J62" s="95"/>
    </row>
  </sheetData>
  <mergeCells count="9">
    <mergeCell ref="A42:J42"/>
    <mergeCell ref="A52:J52"/>
    <mergeCell ref="A62:J62"/>
    <mergeCell ref="H1:J1"/>
    <mergeCell ref="A2:J2"/>
    <mergeCell ref="A3:J3"/>
    <mergeCell ref="A16:J16"/>
    <mergeCell ref="A27:J27"/>
    <mergeCell ref="A34:J34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J78"/>
  <sheetViews>
    <sheetView topLeftCell="A52" zoomScale="85" zoomScaleNormal="85" workbookViewId="0">
      <selection activeCell="K69" sqref="K6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0.6640625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250062</v>
      </c>
      <c r="B5" s="4">
        <v>304</v>
      </c>
      <c r="C5" s="6">
        <v>0.6</v>
      </c>
      <c r="D5" s="6" t="s">
        <v>11</v>
      </c>
      <c r="E5" s="7" t="s">
        <v>12</v>
      </c>
      <c r="F5" s="4" t="s">
        <v>13</v>
      </c>
      <c r="G5" s="4">
        <v>430</v>
      </c>
      <c r="H5" s="8">
        <v>150</v>
      </c>
      <c r="I5" s="9">
        <v>152</v>
      </c>
      <c r="J5" s="8">
        <f t="shared" ref="J5:J13" si="0">H5-I5</f>
        <v>-2</v>
      </c>
    </row>
    <row r="6" spans="1:10" ht="19.95" customHeight="1" x14ac:dyDescent="0.3">
      <c r="A6" s="4">
        <v>250062</v>
      </c>
      <c r="B6" s="4">
        <v>304</v>
      </c>
      <c r="C6" s="6">
        <v>0.6</v>
      </c>
      <c r="D6" s="6" t="s">
        <v>11</v>
      </c>
      <c r="E6" s="7" t="s">
        <v>30</v>
      </c>
      <c r="F6" s="4" t="s">
        <v>13</v>
      </c>
      <c r="G6" s="4">
        <v>430</v>
      </c>
      <c r="H6" s="8">
        <v>200</v>
      </c>
      <c r="I6" s="9">
        <f>90+120</f>
        <v>210</v>
      </c>
      <c r="J6" s="8">
        <f t="shared" si="0"/>
        <v>-10</v>
      </c>
    </row>
    <row r="7" spans="1:10" ht="19.95" customHeight="1" x14ac:dyDescent="0.3">
      <c r="A7" s="4">
        <v>225066</v>
      </c>
      <c r="B7" s="4">
        <v>430</v>
      </c>
      <c r="C7" s="6">
        <v>0.5</v>
      </c>
      <c r="D7" s="6" t="s">
        <v>11</v>
      </c>
      <c r="E7" s="7" t="s">
        <v>35</v>
      </c>
      <c r="F7" s="4" t="s">
        <v>45</v>
      </c>
      <c r="G7" s="4">
        <v>430</v>
      </c>
      <c r="H7" s="8">
        <v>1500</v>
      </c>
      <c r="I7" s="9">
        <f>841+780</f>
        <v>1621</v>
      </c>
      <c r="J7" s="8">
        <f t="shared" si="0"/>
        <v>-121</v>
      </c>
    </row>
    <row r="8" spans="1:10" ht="19.95" customHeight="1" x14ac:dyDescent="0.3">
      <c r="A8" s="4">
        <v>250062</v>
      </c>
      <c r="B8" s="4">
        <v>304</v>
      </c>
      <c r="C8" s="6">
        <v>0.6</v>
      </c>
      <c r="D8" s="6" t="s">
        <v>11</v>
      </c>
      <c r="E8" s="7" t="s">
        <v>39</v>
      </c>
      <c r="F8" s="4" t="s">
        <v>13</v>
      </c>
      <c r="G8" s="4">
        <v>430</v>
      </c>
      <c r="H8" s="8">
        <v>125</v>
      </c>
      <c r="I8" s="9">
        <v>131</v>
      </c>
      <c r="J8" s="8">
        <f t="shared" si="0"/>
        <v>-6</v>
      </c>
    </row>
    <row r="9" spans="1:10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0" ht="19.95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8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1975</v>
      </c>
      <c r="I14" s="14">
        <f>SUM(I5:I13)</f>
        <v>2114</v>
      </c>
      <c r="J14" s="8">
        <f>SUM(J5:J13)</f>
        <v>-139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225065</v>
      </c>
      <c r="B18" s="4">
        <v>430</v>
      </c>
      <c r="C18" s="6">
        <v>0.5</v>
      </c>
      <c r="D18" s="6" t="s">
        <v>11</v>
      </c>
      <c r="E18" s="7" t="s">
        <v>36</v>
      </c>
      <c r="F18" s="4" t="s">
        <v>45</v>
      </c>
      <c r="G18" s="4">
        <v>430</v>
      </c>
      <c r="H18" s="8">
        <v>1500</v>
      </c>
      <c r="I18" s="9">
        <v>1550</v>
      </c>
      <c r="J18" s="8">
        <f t="shared" ref="J18:J24" si="1">H18-I18</f>
        <v>-50</v>
      </c>
    </row>
    <row r="19" spans="1:10" ht="19.95" customHeight="1" x14ac:dyDescent="0.3">
      <c r="A19" s="4">
        <v>225066</v>
      </c>
      <c r="B19" s="4">
        <v>430</v>
      </c>
      <c r="C19" s="6">
        <v>0.5</v>
      </c>
      <c r="D19" s="6" t="s">
        <v>11</v>
      </c>
      <c r="E19" s="7" t="s">
        <v>37</v>
      </c>
      <c r="F19" s="4" t="s">
        <v>45</v>
      </c>
      <c r="G19" s="4">
        <v>430</v>
      </c>
      <c r="H19" s="8">
        <v>1500</v>
      </c>
      <c r="I19" s="9">
        <v>1557</v>
      </c>
      <c r="J19" s="8">
        <f t="shared" si="1"/>
        <v>-57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1"/>
        <v>0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8">
        <f t="shared" si="1"/>
        <v>0</v>
      </c>
    </row>
    <row r="23" spans="1:10" ht="19.95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8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3000</v>
      </c>
      <c r="I25" s="9">
        <f>SUM(I18:I24)</f>
        <v>3107</v>
      </c>
      <c r="J25" s="8">
        <f>SUM(J18:J24)</f>
        <v>-107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250069</v>
      </c>
      <c r="B29" s="4">
        <v>304</v>
      </c>
      <c r="C29" s="6">
        <v>0.6</v>
      </c>
      <c r="D29" s="6" t="s">
        <v>55</v>
      </c>
      <c r="E29" s="7" t="s">
        <v>50</v>
      </c>
      <c r="F29" s="21" t="s">
        <v>52</v>
      </c>
      <c r="G29" s="4">
        <v>430</v>
      </c>
      <c r="H29" s="8">
        <v>1650</v>
      </c>
      <c r="I29" s="9">
        <v>1653</v>
      </c>
      <c r="J29" s="8">
        <f t="shared" ref="J29:J31" si="2">H29-I29</f>
        <v>-3</v>
      </c>
    </row>
    <row r="30" spans="1:10" ht="19.95" customHeight="1" x14ac:dyDescent="0.3">
      <c r="A30" s="4">
        <v>250069</v>
      </c>
      <c r="B30" s="4">
        <v>304</v>
      </c>
      <c r="C30" s="6">
        <v>0.6</v>
      </c>
      <c r="D30" s="6" t="s">
        <v>55</v>
      </c>
      <c r="E30" s="7" t="s">
        <v>53</v>
      </c>
      <c r="F30" s="21" t="s">
        <v>52</v>
      </c>
      <c r="G30" s="4">
        <v>430</v>
      </c>
      <c r="H30" s="8">
        <v>1650</v>
      </c>
      <c r="I30" s="9">
        <f>1500</f>
        <v>1500</v>
      </c>
      <c r="J30" s="8">
        <f t="shared" si="2"/>
        <v>150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SUM(H29:H31)</f>
        <v>3300</v>
      </c>
      <c r="I32" s="9">
        <f>SUM(I29:I31)</f>
        <v>3153</v>
      </c>
      <c r="J32" s="8">
        <f>SUM(J29:J31)</f>
        <v>147</v>
      </c>
    </row>
    <row r="34" spans="1:10" ht="30" customHeight="1" x14ac:dyDescent="0.3">
      <c r="A34" s="94" t="s">
        <v>20</v>
      </c>
      <c r="B34" s="94"/>
      <c r="C34" s="94"/>
      <c r="D34" s="94"/>
      <c r="E34" s="94"/>
      <c r="F34" s="94"/>
      <c r="G34" s="94"/>
      <c r="H34" s="94"/>
      <c r="I34" s="94"/>
      <c r="J34" s="94"/>
    </row>
    <row r="35" spans="1:10" ht="30" customHeight="1" x14ac:dyDescent="0.3">
      <c r="A35" s="4" t="s">
        <v>1</v>
      </c>
      <c r="B35" s="4" t="s">
        <v>2</v>
      </c>
      <c r="C35" s="5" t="s">
        <v>3</v>
      </c>
      <c r="D35" s="5" t="s">
        <v>4</v>
      </c>
      <c r="E35" s="4" t="s">
        <v>5</v>
      </c>
      <c r="F35" s="5" t="s">
        <v>6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10925</v>
      </c>
      <c r="B36" s="4">
        <v>430</v>
      </c>
      <c r="C36" s="6">
        <v>0.8</v>
      </c>
      <c r="D36" s="6" t="s">
        <v>43</v>
      </c>
      <c r="E36" s="7" t="s">
        <v>46</v>
      </c>
      <c r="F36" s="21" t="s">
        <v>49</v>
      </c>
      <c r="G36" s="4">
        <v>430</v>
      </c>
      <c r="H36" s="8">
        <v>3100</v>
      </c>
      <c r="I36" s="9"/>
      <c r="J36" s="8">
        <f t="shared" ref="J36:J39" si="3">H36-I36</f>
        <v>3100</v>
      </c>
    </row>
    <row r="37" spans="1:10" ht="19.95" customHeight="1" x14ac:dyDescent="0.3">
      <c r="A37" s="4">
        <v>250068</v>
      </c>
      <c r="B37" s="4">
        <v>304</v>
      </c>
      <c r="C37" s="6">
        <v>0.6</v>
      </c>
      <c r="D37" s="6" t="s">
        <v>55</v>
      </c>
      <c r="E37" s="7" t="s">
        <v>51</v>
      </c>
      <c r="F37" s="21" t="s">
        <v>52</v>
      </c>
      <c r="G37" s="4">
        <v>430</v>
      </c>
      <c r="H37" s="8">
        <v>1650</v>
      </c>
      <c r="I37" s="9"/>
      <c r="J37" s="8">
        <f t="shared" si="3"/>
        <v>1650</v>
      </c>
    </row>
    <row r="38" spans="1:10" ht="19.95" customHeight="1" x14ac:dyDescent="0.3">
      <c r="A38" s="4">
        <v>250068</v>
      </c>
      <c r="B38" s="4">
        <v>304</v>
      </c>
      <c r="C38" s="6">
        <v>0.6</v>
      </c>
      <c r="D38" s="6" t="s">
        <v>55</v>
      </c>
      <c r="E38" s="7" t="s">
        <v>54</v>
      </c>
      <c r="F38" s="21" t="s">
        <v>52</v>
      </c>
      <c r="G38" s="4">
        <v>430</v>
      </c>
      <c r="H38" s="8">
        <v>1650</v>
      </c>
      <c r="I38" s="9"/>
      <c r="J38" s="8">
        <f t="shared" si="3"/>
        <v>1650</v>
      </c>
    </row>
    <row r="39" spans="1:10" ht="19.95" customHeight="1" x14ac:dyDescent="0.3">
      <c r="A39" s="4"/>
      <c r="B39" s="4"/>
      <c r="C39" s="6"/>
      <c r="D39" s="6"/>
      <c r="E39" s="7"/>
      <c r="F39" s="21"/>
      <c r="G39" s="4"/>
      <c r="H39" s="8"/>
      <c r="I39" s="9"/>
      <c r="J39" s="8">
        <f t="shared" si="3"/>
        <v>0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SUM(H36:H39)</f>
        <v>6400</v>
      </c>
      <c r="I40" s="9">
        <f>SUM(I36:I39)</f>
        <v>0</v>
      </c>
      <c r="J40" s="8">
        <f>SUM(J36:J39)</f>
        <v>6400</v>
      </c>
    </row>
    <row r="41" spans="1:10" ht="19.95" customHeight="1" x14ac:dyDescent="0.3">
      <c r="A41" s="15"/>
      <c r="B41" s="15"/>
      <c r="C41" s="15"/>
      <c r="D41" s="15"/>
      <c r="E41" s="16"/>
      <c r="F41" s="15"/>
      <c r="G41" s="15"/>
      <c r="H41" s="17"/>
      <c r="I41" s="18"/>
      <c r="J41" s="17"/>
    </row>
    <row r="42" spans="1:10" ht="30" customHeight="1" x14ac:dyDescent="0.3">
      <c r="A42" s="94" t="s">
        <v>19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10925</v>
      </c>
      <c r="B44" s="4">
        <v>430</v>
      </c>
      <c r="C44" s="6">
        <v>0.8</v>
      </c>
      <c r="D44" s="6" t="s">
        <v>43</v>
      </c>
      <c r="E44" s="7" t="s">
        <v>48</v>
      </c>
      <c r="F44" s="21" t="s">
        <v>49</v>
      </c>
      <c r="G44" s="4">
        <v>430</v>
      </c>
      <c r="H44" s="8">
        <v>3300</v>
      </c>
      <c r="I44" s="9"/>
      <c r="J44" s="8">
        <f t="shared" ref="J44:J49" si="4">H44-I44</f>
        <v>3300</v>
      </c>
    </row>
    <row r="45" spans="1:10" ht="19.95" customHeight="1" x14ac:dyDescent="0.3">
      <c r="A45" s="21">
        <v>250074</v>
      </c>
      <c r="B45" s="21">
        <v>304</v>
      </c>
      <c r="C45" s="22">
        <v>0.7</v>
      </c>
      <c r="D45" s="22" t="s">
        <v>43</v>
      </c>
      <c r="E45" s="20" t="s">
        <v>40</v>
      </c>
      <c r="F45" s="21" t="s">
        <v>41</v>
      </c>
      <c r="G45" s="21">
        <v>430</v>
      </c>
      <c r="H45" s="23">
        <v>708</v>
      </c>
      <c r="I45" s="9">
        <v>276</v>
      </c>
      <c r="J45" s="8">
        <f t="shared" si="4"/>
        <v>432</v>
      </c>
    </row>
    <row r="46" spans="1:10" ht="19.95" customHeight="1" x14ac:dyDescent="0.3">
      <c r="A46" s="21"/>
      <c r="B46" s="21"/>
      <c r="C46" s="22"/>
      <c r="D46" s="22"/>
      <c r="E46" s="20"/>
      <c r="F46" s="21"/>
      <c r="G46" s="21"/>
      <c r="H46" s="23"/>
      <c r="I46" s="9"/>
      <c r="J46" s="8">
        <f t="shared" si="4"/>
        <v>0</v>
      </c>
    </row>
    <row r="47" spans="1:10" ht="19.95" customHeight="1" x14ac:dyDescent="0.3">
      <c r="A47" s="21"/>
      <c r="B47" s="21"/>
      <c r="C47" s="22"/>
      <c r="D47" s="22"/>
      <c r="E47" s="20"/>
      <c r="F47" s="21"/>
      <c r="G47" s="21"/>
      <c r="H47" s="23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SUM(H44:H49)</f>
        <v>4008</v>
      </c>
      <c r="I50" s="9">
        <f>SUM(I44:I49)</f>
        <v>276</v>
      </c>
      <c r="J50" s="8">
        <f>SUM(J44:J49)</f>
        <v>3732</v>
      </c>
    </row>
    <row r="51" spans="1:10" ht="19.95" customHeight="1" x14ac:dyDescent="0.3">
      <c r="A51" s="15"/>
      <c r="B51" s="15"/>
      <c r="C51" s="15"/>
      <c r="D51" s="15"/>
      <c r="E51" s="16"/>
      <c r="F51" s="15"/>
      <c r="G51" s="15"/>
      <c r="H51" s="17"/>
      <c r="I51" s="18"/>
      <c r="J51" s="17"/>
    </row>
    <row r="52" spans="1:10" ht="30" customHeight="1" x14ac:dyDescent="0.3">
      <c r="A52" s="94" t="s">
        <v>23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10925</v>
      </c>
      <c r="B54" s="4">
        <v>304</v>
      </c>
      <c r="C54" s="6">
        <v>0.8</v>
      </c>
      <c r="D54" s="6" t="s">
        <v>43</v>
      </c>
      <c r="E54" s="7" t="s">
        <v>47</v>
      </c>
      <c r="F54" s="21" t="s">
        <v>49</v>
      </c>
      <c r="G54" s="4">
        <v>430</v>
      </c>
      <c r="H54" s="8">
        <v>3200</v>
      </c>
      <c r="I54" s="9"/>
      <c r="J54" s="8">
        <f t="shared" ref="J54:J75" si="5">H54-I54</f>
        <v>3200</v>
      </c>
    </row>
    <row r="55" spans="1:10" ht="19.95" hidden="1" customHeight="1" x14ac:dyDescent="0.3">
      <c r="A55" s="21"/>
      <c r="B55" s="21"/>
      <c r="C55" s="22"/>
      <c r="D55" s="22"/>
      <c r="E55" s="20"/>
      <c r="F55" s="21"/>
      <c r="G55" s="21"/>
      <c r="H55" s="23"/>
      <c r="I55" s="9"/>
      <c r="J55" s="8">
        <f t="shared" si="5"/>
        <v>0</v>
      </c>
    </row>
    <row r="56" spans="1:10" ht="19.95" hidden="1" customHeight="1" x14ac:dyDescent="0.3">
      <c r="A56" s="21"/>
      <c r="B56" s="21"/>
      <c r="C56" s="22"/>
      <c r="D56" s="22"/>
      <c r="E56" s="20"/>
      <c r="F56" s="21"/>
      <c r="G56" s="21"/>
      <c r="H56" s="23"/>
      <c r="I56" s="9"/>
      <c r="J56" s="8">
        <f t="shared" si="5"/>
        <v>0</v>
      </c>
    </row>
    <row r="57" spans="1:10" ht="19.95" hidden="1" customHeight="1" x14ac:dyDescent="0.3">
      <c r="A57" s="4"/>
      <c r="B57" s="4"/>
      <c r="C57" s="6"/>
      <c r="D57" s="6"/>
      <c r="E57" s="7"/>
      <c r="F57" s="21"/>
      <c r="G57" s="4"/>
      <c r="H57" s="8"/>
      <c r="I57" s="9"/>
      <c r="J57" s="8">
        <f t="shared" si="5"/>
        <v>0</v>
      </c>
    </row>
    <row r="58" spans="1:10" ht="19.95" hidden="1" customHeight="1" x14ac:dyDescent="0.3">
      <c r="A58" s="4"/>
      <c r="B58" s="4"/>
      <c r="C58" s="6"/>
      <c r="D58" s="6"/>
      <c r="E58" s="7"/>
      <c r="F58" s="4"/>
      <c r="G58" s="4"/>
      <c r="H58" s="8"/>
      <c r="I58" s="9"/>
      <c r="J58" s="8">
        <f t="shared" si="5"/>
        <v>0</v>
      </c>
    </row>
    <row r="59" spans="1:10" ht="19.95" customHeight="1" x14ac:dyDescent="0.3">
      <c r="A59" s="4">
        <v>250048</v>
      </c>
      <c r="B59" s="4">
        <v>304</v>
      </c>
      <c r="C59" s="6">
        <v>0.7</v>
      </c>
      <c r="D59" s="6" t="s">
        <v>43</v>
      </c>
      <c r="E59" s="7" t="s">
        <v>56</v>
      </c>
      <c r="F59" s="7"/>
      <c r="G59" s="4">
        <v>304</v>
      </c>
      <c r="H59" s="8">
        <v>570</v>
      </c>
      <c r="I59" s="9">
        <v>570</v>
      </c>
      <c r="J59" s="8">
        <f t="shared" si="5"/>
        <v>0</v>
      </c>
    </row>
    <row r="60" spans="1:10" ht="19.95" customHeight="1" x14ac:dyDescent="0.3">
      <c r="A60" s="4">
        <v>250048</v>
      </c>
      <c r="B60" s="4">
        <v>304</v>
      </c>
      <c r="C60" s="6">
        <v>0.7</v>
      </c>
      <c r="D60" s="6" t="s">
        <v>43</v>
      </c>
      <c r="E60" s="7" t="s">
        <v>57</v>
      </c>
      <c r="F60" s="7"/>
      <c r="G60" s="4">
        <v>304</v>
      </c>
      <c r="H60" s="8">
        <v>570</v>
      </c>
      <c r="I60" s="9">
        <v>570</v>
      </c>
      <c r="J60" s="8">
        <f t="shared" si="5"/>
        <v>0</v>
      </c>
    </row>
    <row r="61" spans="1:10" ht="19.95" customHeight="1" x14ac:dyDescent="0.3">
      <c r="A61" s="4">
        <v>250048</v>
      </c>
      <c r="B61" s="4">
        <v>304</v>
      </c>
      <c r="C61" s="6">
        <v>0.7</v>
      </c>
      <c r="D61" s="6" t="s">
        <v>43</v>
      </c>
      <c r="E61" s="7" t="s">
        <v>58</v>
      </c>
      <c r="F61" s="7"/>
      <c r="G61" s="4">
        <v>304</v>
      </c>
      <c r="H61" s="8">
        <v>570</v>
      </c>
      <c r="I61" s="9">
        <v>570</v>
      </c>
      <c r="J61" s="8">
        <f t="shared" si="5"/>
        <v>0</v>
      </c>
    </row>
    <row r="62" spans="1:10" ht="19.95" customHeight="1" x14ac:dyDescent="0.3">
      <c r="A62" s="4">
        <v>250048</v>
      </c>
      <c r="B62" s="4">
        <v>304</v>
      </c>
      <c r="C62" s="6">
        <v>0.7</v>
      </c>
      <c r="D62" s="6" t="s">
        <v>43</v>
      </c>
      <c r="E62" s="7" t="s">
        <v>59</v>
      </c>
      <c r="F62" s="7"/>
      <c r="G62" s="4">
        <v>304</v>
      </c>
      <c r="H62" s="8">
        <v>570</v>
      </c>
      <c r="I62" s="9">
        <v>570</v>
      </c>
      <c r="J62" s="8">
        <f t="shared" si="5"/>
        <v>0</v>
      </c>
    </row>
    <row r="63" spans="1:10" ht="19.95" customHeight="1" x14ac:dyDescent="0.3">
      <c r="A63" s="4">
        <v>250048</v>
      </c>
      <c r="B63" s="4">
        <v>304</v>
      </c>
      <c r="C63" s="6">
        <v>0.7</v>
      </c>
      <c r="D63" s="6" t="s">
        <v>43</v>
      </c>
      <c r="E63" s="7" t="s">
        <v>60</v>
      </c>
      <c r="F63" s="7"/>
      <c r="G63" s="4">
        <v>304</v>
      </c>
      <c r="H63" s="8">
        <v>570</v>
      </c>
      <c r="I63" s="9">
        <v>570</v>
      </c>
      <c r="J63" s="8">
        <f t="shared" si="5"/>
        <v>0</v>
      </c>
    </row>
    <row r="64" spans="1:10" ht="19.95" customHeight="1" x14ac:dyDescent="0.3">
      <c r="A64" s="4">
        <v>250048</v>
      </c>
      <c r="B64" s="4">
        <v>304</v>
      </c>
      <c r="C64" s="6">
        <v>0.7</v>
      </c>
      <c r="D64" s="6" t="s">
        <v>43</v>
      </c>
      <c r="E64" s="7" t="s">
        <v>61</v>
      </c>
      <c r="F64" s="7"/>
      <c r="G64" s="4">
        <v>304</v>
      </c>
      <c r="H64" s="8">
        <v>570</v>
      </c>
      <c r="I64" s="9">
        <v>570</v>
      </c>
      <c r="J64" s="8">
        <f t="shared" si="5"/>
        <v>0</v>
      </c>
    </row>
    <row r="65" spans="1:10" ht="19.95" customHeight="1" x14ac:dyDescent="0.3">
      <c r="A65" s="4">
        <v>250046</v>
      </c>
      <c r="B65" s="4">
        <v>304</v>
      </c>
      <c r="C65" s="6">
        <v>0.7</v>
      </c>
      <c r="D65" s="6" t="s">
        <v>43</v>
      </c>
      <c r="E65" s="7" t="s">
        <v>62</v>
      </c>
      <c r="F65" s="7"/>
      <c r="G65" s="4">
        <v>304</v>
      </c>
      <c r="H65" s="8">
        <v>950</v>
      </c>
      <c r="I65" s="9">
        <v>950</v>
      </c>
      <c r="J65" s="8">
        <f t="shared" si="5"/>
        <v>0</v>
      </c>
    </row>
    <row r="66" spans="1:10" ht="19.95" customHeight="1" x14ac:dyDescent="0.3">
      <c r="A66" s="4">
        <v>250046</v>
      </c>
      <c r="B66" s="4">
        <v>304</v>
      </c>
      <c r="C66" s="6">
        <v>0.7</v>
      </c>
      <c r="D66" s="6" t="s">
        <v>43</v>
      </c>
      <c r="E66" s="7" t="s">
        <v>63</v>
      </c>
      <c r="F66" s="7"/>
      <c r="G66" s="4">
        <v>304</v>
      </c>
      <c r="H66" s="8">
        <v>950</v>
      </c>
      <c r="I66" s="9">
        <v>950</v>
      </c>
      <c r="J66" s="8">
        <f t="shared" si="5"/>
        <v>0</v>
      </c>
    </row>
    <row r="67" spans="1:10" ht="19.95" customHeight="1" x14ac:dyDescent="0.3">
      <c r="A67" s="4">
        <v>250046</v>
      </c>
      <c r="B67" s="4">
        <v>304</v>
      </c>
      <c r="C67" s="6">
        <v>0.7</v>
      </c>
      <c r="D67" s="6" t="s">
        <v>43</v>
      </c>
      <c r="E67" s="7" t="s">
        <v>64</v>
      </c>
      <c r="F67" s="7"/>
      <c r="G67" s="4">
        <v>304</v>
      </c>
      <c r="H67" s="8">
        <v>950</v>
      </c>
      <c r="I67" s="9">
        <v>950</v>
      </c>
      <c r="J67" s="8">
        <f t="shared" si="5"/>
        <v>0</v>
      </c>
    </row>
    <row r="68" spans="1:10" ht="19.95" customHeight="1" x14ac:dyDescent="0.3">
      <c r="A68" s="4">
        <v>250046</v>
      </c>
      <c r="B68" s="4">
        <v>304</v>
      </c>
      <c r="C68" s="6">
        <v>0.7</v>
      </c>
      <c r="D68" s="6" t="s">
        <v>43</v>
      </c>
      <c r="E68" s="7" t="s">
        <v>65</v>
      </c>
      <c r="F68" s="7"/>
      <c r="G68" s="4">
        <v>304</v>
      </c>
      <c r="H68" s="8">
        <v>950</v>
      </c>
      <c r="I68" s="9">
        <v>950</v>
      </c>
      <c r="J68" s="8">
        <f t="shared" si="5"/>
        <v>0</v>
      </c>
    </row>
    <row r="69" spans="1:10" ht="19.95" customHeight="1" x14ac:dyDescent="0.3">
      <c r="A69" s="4">
        <v>250046</v>
      </c>
      <c r="B69" s="4">
        <v>304</v>
      </c>
      <c r="C69" s="6">
        <v>0.7</v>
      </c>
      <c r="D69" s="6" t="s">
        <v>43</v>
      </c>
      <c r="E69" s="7" t="s">
        <v>66</v>
      </c>
      <c r="F69" s="7"/>
      <c r="G69" s="4">
        <v>304</v>
      </c>
      <c r="H69" s="8">
        <v>950</v>
      </c>
      <c r="I69" s="9">
        <v>50</v>
      </c>
      <c r="J69" s="8">
        <f t="shared" si="5"/>
        <v>900</v>
      </c>
    </row>
    <row r="70" spans="1:10" ht="19.95" customHeight="1" x14ac:dyDescent="0.3">
      <c r="A70" s="4"/>
      <c r="B70" s="4"/>
      <c r="C70" s="6"/>
      <c r="D70" s="6"/>
      <c r="E70" s="7"/>
      <c r="F70" s="7"/>
      <c r="G70" s="4"/>
      <c r="H70" s="8"/>
      <c r="I70" s="9"/>
      <c r="J70" s="8">
        <f t="shared" si="5"/>
        <v>0</v>
      </c>
    </row>
    <row r="71" spans="1:10" ht="19.95" customHeight="1" x14ac:dyDescent="0.3">
      <c r="A71" s="4"/>
      <c r="B71" s="4"/>
      <c r="C71" s="6"/>
      <c r="D71" s="6"/>
      <c r="E71" s="7"/>
      <c r="F71" s="7"/>
      <c r="G71" s="4"/>
      <c r="H71" s="8"/>
      <c r="I71" s="9"/>
      <c r="J71" s="8">
        <f t="shared" si="5"/>
        <v>0</v>
      </c>
    </row>
    <row r="72" spans="1:10" ht="19.95" customHeight="1" x14ac:dyDescent="0.3">
      <c r="A72" s="4"/>
      <c r="B72" s="4"/>
      <c r="C72" s="6"/>
      <c r="D72" s="6"/>
      <c r="E72" s="7"/>
      <c r="F72" s="4"/>
      <c r="G72" s="4"/>
      <c r="H72" s="8"/>
      <c r="I72" s="9"/>
      <c r="J72" s="8">
        <f t="shared" si="5"/>
        <v>0</v>
      </c>
    </row>
    <row r="73" spans="1:10" ht="19.95" customHeight="1" x14ac:dyDescent="0.3">
      <c r="A73" s="4"/>
      <c r="B73" s="4"/>
      <c r="C73" s="6"/>
      <c r="D73" s="6"/>
      <c r="E73" s="7"/>
      <c r="F73" s="4"/>
      <c r="G73" s="4"/>
      <c r="H73" s="8"/>
      <c r="I73" s="9"/>
      <c r="J73" s="8">
        <f t="shared" si="5"/>
        <v>0</v>
      </c>
    </row>
    <row r="74" spans="1:10" ht="19.95" customHeight="1" x14ac:dyDescent="0.3">
      <c r="A74" s="4"/>
      <c r="B74" s="4"/>
      <c r="C74" s="6"/>
      <c r="D74" s="6"/>
      <c r="E74" s="7"/>
      <c r="F74" s="4"/>
      <c r="G74" s="4"/>
      <c r="H74" s="8"/>
      <c r="I74" s="9"/>
      <c r="J74" s="8">
        <f t="shared" si="5"/>
        <v>0</v>
      </c>
    </row>
    <row r="75" spans="1:10" ht="19.95" customHeight="1" x14ac:dyDescent="0.3">
      <c r="A75" s="4"/>
      <c r="B75" s="4"/>
      <c r="C75" s="6"/>
      <c r="D75" s="6"/>
      <c r="E75" s="7"/>
      <c r="F75" s="4"/>
      <c r="G75" s="4"/>
      <c r="H75" s="8"/>
      <c r="I75" s="9"/>
      <c r="J75" s="8">
        <f t="shared" si="5"/>
        <v>0</v>
      </c>
    </row>
    <row r="76" spans="1:10" ht="19.95" customHeight="1" x14ac:dyDescent="0.3">
      <c r="A76" s="10"/>
      <c r="B76" s="10"/>
      <c r="C76" s="10"/>
      <c r="D76" s="10"/>
      <c r="E76" s="11"/>
      <c r="F76" s="10"/>
      <c r="G76" s="12"/>
      <c r="H76" s="8">
        <f>SUM(H54:H75)</f>
        <v>11370</v>
      </c>
      <c r="I76" s="9">
        <f>SUM(I54:I75)</f>
        <v>7270</v>
      </c>
      <c r="J76" s="8">
        <f>SUM(J54:J75)</f>
        <v>4100</v>
      </c>
    </row>
    <row r="78" spans="1:10" ht="23.4" x14ac:dyDescent="0.3">
      <c r="A78" s="95" t="s">
        <v>14</v>
      </c>
      <c r="B78" s="95"/>
      <c r="C78" s="95"/>
      <c r="D78" s="95"/>
      <c r="E78" s="95"/>
      <c r="F78" s="95"/>
      <c r="G78" s="95"/>
      <c r="H78" s="95"/>
      <c r="I78" s="95"/>
      <c r="J78" s="95"/>
    </row>
  </sheetData>
  <mergeCells count="9">
    <mergeCell ref="A42:J42"/>
    <mergeCell ref="A52:J52"/>
    <mergeCell ref="A78:J78"/>
    <mergeCell ref="H1:J1"/>
    <mergeCell ref="A2:J2"/>
    <mergeCell ref="A3:J3"/>
    <mergeCell ref="A16:J16"/>
    <mergeCell ref="A27:J27"/>
    <mergeCell ref="A34:J34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J78"/>
  <sheetViews>
    <sheetView topLeftCell="A31" zoomScale="85" zoomScaleNormal="85" workbookViewId="0">
      <selection activeCell="I38" sqref="I3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0.6640625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250062</v>
      </c>
      <c r="B5" s="4">
        <v>304</v>
      </c>
      <c r="C5" s="6">
        <v>0.6</v>
      </c>
      <c r="D5" s="6" t="s">
        <v>11</v>
      </c>
      <c r="E5" s="7" t="s">
        <v>12</v>
      </c>
      <c r="F5" s="4" t="s">
        <v>13</v>
      </c>
      <c r="G5" s="4">
        <v>430</v>
      </c>
      <c r="H5" s="8">
        <v>150</v>
      </c>
      <c r="I5" s="9">
        <v>152</v>
      </c>
      <c r="J5" s="8">
        <f t="shared" ref="J5:J13" si="0">H5-I5</f>
        <v>-2</v>
      </c>
    </row>
    <row r="6" spans="1:10" ht="19.95" customHeight="1" x14ac:dyDescent="0.3">
      <c r="A6" s="4">
        <v>250062</v>
      </c>
      <c r="B6" s="4">
        <v>304</v>
      </c>
      <c r="C6" s="6">
        <v>0.6</v>
      </c>
      <c r="D6" s="6" t="s">
        <v>11</v>
      </c>
      <c r="E6" s="7" t="s">
        <v>30</v>
      </c>
      <c r="F6" s="4" t="s">
        <v>13</v>
      </c>
      <c r="G6" s="4">
        <v>430</v>
      </c>
      <c r="H6" s="8">
        <v>200</v>
      </c>
      <c r="I6" s="9">
        <f>90+120</f>
        <v>210</v>
      </c>
      <c r="J6" s="8">
        <f t="shared" si="0"/>
        <v>-10</v>
      </c>
    </row>
    <row r="7" spans="1:10" ht="19.95" customHeight="1" x14ac:dyDescent="0.3">
      <c r="A7" s="4">
        <v>225066</v>
      </c>
      <c r="B7" s="4">
        <v>430</v>
      </c>
      <c r="C7" s="6">
        <v>0.5</v>
      </c>
      <c r="D7" s="6" t="s">
        <v>11</v>
      </c>
      <c r="E7" s="7" t="s">
        <v>35</v>
      </c>
      <c r="F7" s="4" t="s">
        <v>45</v>
      </c>
      <c r="G7" s="4">
        <v>430</v>
      </c>
      <c r="H7" s="8">
        <v>1500</v>
      </c>
      <c r="I7" s="9">
        <f>841+780</f>
        <v>1621</v>
      </c>
      <c r="J7" s="8">
        <f t="shared" si="0"/>
        <v>-121</v>
      </c>
    </row>
    <row r="8" spans="1:10" ht="19.95" customHeight="1" x14ac:dyDescent="0.3">
      <c r="A8" s="4">
        <v>250062</v>
      </c>
      <c r="B8" s="4">
        <v>304</v>
      </c>
      <c r="C8" s="6">
        <v>0.6</v>
      </c>
      <c r="D8" s="6" t="s">
        <v>11</v>
      </c>
      <c r="E8" s="7" t="s">
        <v>39</v>
      </c>
      <c r="F8" s="4" t="s">
        <v>13</v>
      </c>
      <c r="G8" s="4">
        <v>430</v>
      </c>
      <c r="H8" s="8">
        <v>125</v>
      </c>
      <c r="I8" s="9">
        <v>131</v>
      </c>
      <c r="J8" s="8">
        <f t="shared" si="0"/>
        <v>-6</v>
      </c>
    </row>
    <row r="9" spans="1:10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0" ht="19.95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8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1975</v>
      </c>
      <c r="I14" s="14">
        <f>SUM(I5:I13)</f>
        <v>2114</v>
      </c>
      <c r="J14" s="8">
        <f>SUM(J5:J13)</f>
        <v>-139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225065</v>
      </c>
      <c r="B18" s="4">
        <v>430</v>
      </c>
      <c r="C18" s="6">
        <v>0.5</v>
      </c>
      <c r="D18" s="6" t="s">
        <v>11</v>
      </c>
      <c r="E18" s="7" t="s">
        <v>36</v>
      </c>
      <c r="F18" s="4" t="s">
        <v>45</v>
      </c>
      <c r="G18" s="4">
        <v>430</v>
      </c>
      <c r="H18" s="8">
        <v>1500</v>
      </c>
      <c r="I18" s="9">
        <v>1550</v>
      </c>
      <c r="J18" s="8">
        <f t="shared" ref="J18:J24" si="1">H18-I18</f>
        <v>-50</v>
      </c>
    </row>
    <row r="19" spans="1:10" ht="19.95" customHeight="1" x14ac:dyDescent="0.3">
      <c r="A19" s="4">
        <v>225066</v>
      </c>
      <c r="B19" s="4">
        <v>430</v>
      </c>
      <c r="C19" s="6">
        <v>0.5</v>
      </c>
      <c r="D19" s="6" t="s">
        <v>11</v>
      </c>
      <c r="E19" s="7" t="s">
        <v>37</v>
      </c>
      <c r="F19" s="4" t="s">
        <v>45</v>
      </c>
      <c r="G19" s="4">
        <v>430</v>
      </c>
      <c r="H19" s="8">
        <v>1500</v>
      </c>
      <c r="I19" s="9">
        <v>1557</v>
      </c>
      <c r="J19" s="8">
        <f t="shared" si="1"/>
        <v>-57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1"/>
        <v>0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8">
        <f t="shared" si="1"/>
        <v>0</v>
      </c>
    </row>
    <row r="23" spans="1:10" ht="19.95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8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3000</v>
      </c>
      <c r="I25" s="9">
        <f>SUM(I18:I24)</f>
        <v>3107</v>
      </c>
      <c r="J25" s="8">
        <f>SUM(J18:J24)</f>
        <v>-107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250069</v>
      </c>
      <c r="B29" s="4">
        <v>304</v>
      </c>
      <c r="C29" s="6">
        <v>0.6</v>
      </c>
      <c r="D29" s="6" t="s">
        <v>55</v>
      </c>
      <c r="E29" s="7" t="s">
        <v>50</v>
      </c>
      <c r="F29" s="21" t="s">
        <v>52</v>
      </c>
      <c r="G29" s="4">
        <v>430</v>
      </c>
      <c r="H29" s="8">
        <v>1650</v>
      </c>
      <c r="I29" s="9">
        <v>1653</v>
      </c>
      <c r="J29" s="8">
        <f t="shared" ref="J29:J31" si="2">H29-I29</f>
        <v>-3</v>
      </c>
    </row>
    <row r="30" spans="1:10" ht="19.95" customHeight="1" x14ac:dyDescent="0.3">
      <c r="A30" s="4">
        <v>250069</v>
      </c>
      <c r="B30" s="4">
        <v>304</v>
      </c>
      <c r="C30" s="6">
        <v>0.6</v>
      </c>
      <c r="D30" s="6" t="s">
        <v>55</v>
      </c>
      <c r="E30" s="7" t="s">
        <v>53</v>
      </c>
      <c r="F30" s="21" t="s">
        <v>52</v>
      </c>
      <c r="G30" s="4">
        <v>430</v>
      </c>
      <c r="H30" s="8">
        <v>1650</v>
      </c>
      <c r="I30" s="9">
        <f>1500+208</f>
        <v>1708</v>
      </c>
      <c r="J30" s="8">
        <f t="shared" si="2"/>
        <v>-58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SUM(H29:H31)</f>
        <v>3300</v>
      </c>
      <c r="I32" s="9">
        <f>SUM(I29:I31)</f>
        <v>3361</v>
      </c>
      <c r="J32" s="8">
        <f>SUM(J29:J31)</f>
        <v>-61</v>
      </c>
    </row>
    <row r="34" spans="1:10" ht="30" customHeight="1" x14ac:dyDescent="0.3">
      <c r="A34" s="94" t="s">
        <v>20</v>
      </c>
      <c r="B34" s="94"/>
      <c r="C34" s="94"/>
      <c r="D34" s="94"/>
      <c r="E34" s="94"/>
      <c r="F34" s="94"/>
      <c r="G34" s="94"/>
      <c r="H34" s="94"/>
      <c r="I34" s="94"/>
      <c r="J34" s="94"/>
    </row>
    <row r="35" spans="1:10" ht="30" customHeight="1" x14ac:dyDescent="0.3">
      <c r="A35" s="4" t="s">
        <v>1</v>
      </c>
      <c r="B35" s="4" t="s">
        <v>2</v>
      </c>
      <c r="C35" s="5" t="s">
        <v>3</v>
      </c>
      <c r="D35" s="5" t="s">
        <v>4</v>
      </c>
      <c r="E35" s="4" t="s">
        <v>5</v>
      </c>
      <c r="F35" s="5" t="s">
        <v>6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10925</v>
      </c>
      <c r="B36" s="4">
        <v>430</v>
      </c>
      <c r="C36" s="6">
        <v>0.8</v>
      </c>
      <c r="D36" s="6" t="s">
        <v>43</v>
      </c>
      <c r="E36" s="7" t="s">
        <v>46</v>
      </c>
      <c r="F36" s="21" t="s">
        <v>49</v>
      </c>
      <c r="G36" s="4">
        <v>430</v>
      </c>
      <c r="H36" s="8">
        <v>3100</v>
      </c>
      <c r="I36" s="9">
        <v>3272</v>
      </c>
      <c r="J36" s="8">
        <f t="shared" ref="J36:J39" si="3">H36-I36</f>
        <v>-172</v>
      </c>
    </row>
    <row r="37" spans="1:10" ht="19.95" customHeight="1" x14ac:dyDescent="0.3">
      <c r="A37" s="4">
        <v>250068</v>
      </c>
      <c r="B37" s="4">
        <v>304</v>
      </c>
      <c r="C37" s="6">
        <v>0.6</v>
      </c>
      <c r="D37" s="6" t="s">
        <v>55</v>
      </c>
      <c r="E37" s="7" t="s">
        <v>51</v>
      </c>
      <c r="F37" s="21" t="s">
        <v>52</v>
      </c>
      <c r="G37" s="4">
        <v>430</v>
      </c>
      <c r="H37" s="8">
        <v>1650</v>
      </c>
      <c r="I37" s="9">
        <f>670</f>
        <v>670</v>
      </c>
      <c r="J37" s="8">
        <f t="shared" si="3"/>
        <v>980</v>
      </c>
    </row>
    <row r="38" spans="1:10" ht="19.95" customHeight="1" x14ac:dyDescent="0.3">
      <c r="A38" s="4">
        <v>250068</v>
      </c>
      <c r="B38" s="4">
        <v>304</v>
      </c>
      <c r="C38" s="6">
        <v>0.6</v>
      </c>
      <c r="D38" s="6" t="s">
        <v>55</v>
      </c>
      <c r="E38" s="7" t="s">
        <v>54</v>
      </c>
      <c r="F38" s="21" t="s">
        <v>52</v>
      </c>
      <c r="G38" s="4">
        <v>430</v>
      </c>
      <c r="H38" s="8">
        <v>1650</v>
      </c>
      <c r="I38" s="9"/>
      <c r="J38" s="8">
        <f t="shared" si="3"/>
        <v>1650</v>
      </c>
    </row>
    <row r="39" spans="1:10" ht="19.95" customHeight="1" x14ac:dyDescent="0.3">
      <c r="A39" s="4"/>
      <c r="B39" s="4"/>
      <c r="C39" s="6"/>
      <c r="D39" s="6"/>
      <c r="E39" s="7"/>
      <c r="F39" s="21"/>
      <c r="G39" s="4"/>
      <c r="H39" s="8"/>
      <c r="I39" s="9"/>
      <c r="J39" s="8">
        <f t="shared" si="3"/>
        <v>0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SUM(H36:H39)</f>
        <v>6400</v>
      </c>
      <c r="I40" s="9">
        <f>SUM(I36:I39)</f>
        <v>3942</v>
      </c>
      <c r="J40" s="8">
        <f>SUM(J36:J39)</f>
        <v>2458</v>
      </c>
    </row>
    <row r="41" spans="1:10" ht="19.95" customHeight="1" x14ac:dyDescent="0.3">
      <c r="A41" s="15"/>
      <c r="B41" s="15"/>
      <c r="C41" s="15"/>
      <c r="D41" s="15"/>
      <c r="E41" s="16"/>
      <c r="F41" s="15"/>
      <c r="G41" s="15"/>
      <c r="H41" s="17"/>
      <c r="I41" s="18"/>
      <c r="J41" s="17"/>
    </row>
    <row r="42" spans="1:10" ht="30" customHeight="1" x14ac:dyDescent="0.3">
      <c r="A42" s="94" t="s">
        <v>19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10925</v>
      </c>
      <c r="B44" s="4">
        <v>430</v>
      </c>
      <c r="C44" s="6">
        <v>0.8</v>
      </c>
      <c r="D44" s="6" t="s">
        <v>43</v>
      </c>
      <c r="E44" s="7" t="s">
        <v>48</v>
      </c>
      <c r="F44" s="21" t="s">
        <v>49</v>
      </c>
      <c r="G44" s="4">
        <v>430</v>
      </c>
      <c r="H44" s="8">
        <v>3300</v>
      </c>
      <c r="I44" s="9"/>
      <c r="J44" s="8">
        <f t="shared" ref="J44:J49" si="4">H44-I44</f>
        <v>3300</v>
      </c>
    </row>
    <row r="45" spans="1:10" ht="19.95" customHeight="1" x14ac:dyDescent="0.3">
      <c r="A45" s="21">
        <v>250074</v>
      </c>
      <c r="B45" s="21">
        <v>304</v>
      </c>
      <c r="C45" s="22">
        <v>0.7</v>
      </c>
      <c r="D45" s="22" t="s">
        <v>43</v>
      </c>
      <c r="E45" s="20" t="s">
        <v>40</v>
      </c>
      <c r="F45" s="21" t="s">
        <v>41</v>
      </c>
      <c r="G45" s="21">
        <v>430</v>
      </c>
      <c r="H45" s="23">
        <v>708</v>
      </c>
      <c r="I45" s="9">
        <v>276</v>
      </c>
      <c r="J45" s="8">
        <f t="shared" si="4"/>
        <v>432</v>
      </c>
    </row>
    <row r="46" spans="1:10" ht="19.95" customHeight="1" x14ac:dyDescent="0.3">
      <c r="A46" s="4">
        <v>250041</v>
      </c>
      <c r="B46" s="4">
        <v>304</v>
      </c>
      <c r="C46" s="6">
        <v>0.7</v>
      </c>
      <c r="D46" s="6" t="s">
        <v>55</v>
      </c>
      <c r="E46" s="7" t="s">
        <v>67</v>
      </c>
      <c r="F46" s="7"/>
      <c r="G46" s="4">
        <v>304</v>
      </c>
      <c r="H46" s="8">
        <v>500</v>
      </c>
      <c r="I46" s="9"/>
      <c r="J46" s="8">
        <f t="shared" si="4"/>
        <v>500</v>
      </c>
    </row>
    <row r="47" spans="1:10" ht="19.95" customHeight="1" x14ac:dyDescent="0.3">
      <c r="A47" s="4">
        <v>250041</v>
      </c>
      <c r="B47" s="4">
        <v>304</v>
      </c>
      <c r="C47" s="6">
        <v>0.7</v>
      </c>
      <c r="D47" s="6" t="s">
        <v>55</v>
      </c>
      <c r="E47" s="7" t="s">
        <v>68</v>
      </c>
      <c r="F47" s="7"/>
      <c r="G47" s="4">
        <v>304</v>
      </c>
      <c r="H47" s="8">
        <v>500</v>
      </c>
      <c r="I47" s="9"/>
      <c r="J47" s="8">
        <f t="shared" si="4"/>
        <v>500</v>
      </c>
    </row>
    <row r="48" spans="1:10" ht="19.95" customHeight="1" x14ac:dyDescent="0.3">
      <c r="A48" s="4">
        <v>250041</v>
      </c>
      <c r="B48" s="4">
        <v>304</v>
      </c>
      <c r="C48" s="6">
        <v>0.7</v>
      </c>
      <c r="D48" s="6" t="s">
        <v>55</v>
      </c>
      <c r="E48" s="7" t="s">
        <v>69</v>
      </c>
      <c r="F48" s="7"/>
      <c r="G48" s="4">
        <v>304</v>
      </c>
      <c r="H48" s="8">
        <v>500</v>
      </c>
      <c r="I48" s="9"/>
      <c r="J48" s="8">
        <f t="shared" si="4"/>
        <v>500</v>
      </c>
    </row>
    <row r="49" spans="1:10" ht="19.95" customHeight="1" x14ac:dyDescent="0.3">
      <c r="A49" s="4">
        <v>250041</v>
      </c>
      <c r="B49" s="4">
        <v>304</v>
      </c>
      <c r="C49" s="6">
        <v>0.7</v>
      </c>
      <c r="D49" s="6" t="s">
        <v>55</v>
      </c>
      <c r="E49" s="7" t="s">
        <v>70</v>
      </c>
      <c r="F49" s="7"/>
      <c r="G49" s="4">
        <v>304</v>
      </c>
      <c r="H49" s="8">
        <v>500</v>
      </c>
      <c r="I49" s="24"/>
      <c r="J49" s="8">
        <f t="shared" si="4"/>
        <v>500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SUM(H44:H49)</f>
        <v>6008</v>
      </c>
      <c r="I50" s="9">
        <f>SUM(I44:I49)</f>
        <v>276</v>
      </c>
      <c r="J50" s="8">
        <f>SUM(J44:J49)</f>
        <v>5732</v>
      </c>
    </row>
    <row r="51" spans="1:10" ht="19.95" customHeight="1" x14ac:dyDescent="0.3">
      <c r="A51" s="15"/>
      <c r="B51" s="15"/>
      <c r="C51" s="15"/>
      <c r="D51" s="15"/>
      <c r="E51" s="16"/>
      <c r="F51" s="15"/>
      <c r="G51" s="15"/>
      <c r="H51" s="17"/>
      <c r="I51" s="18"/>
      <c r="J51" s="17"/>
    </row>
    <row r="52" spans="1:10" ht="30" customHeight="1" x14ac:dyDescent="0.3">
      <c r="A52" s="94" t="s">
        <v>23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10925</v>
      </c>
      <c r="B54" s="4">
        <v>304</v>
      </c>
      <c r="C54" s="6">
        <v>0.8</v>
      </c>
      <c r="D54" s="6" t="s">
        <v>43</v>
      </c>
      <c r="E54" s="7" t="s">
        <v>47</v>
      </c>
      <c r="F54" s="21" t="s">
        <v>49</v>
      </c>
      <c r="G54" s="4">
        <v>430</v>
      </c>
      <c r="H54" s="8">
        <v>3200</v>
      </c>
      <c r="I54" s="9"/>
      <c r="J54" s="8">
        <f t="shared" ref="J54:J75" si="5">H54-I54</f>
        <v>3200</v>
      </c>
    </row>
    <row r="55" spans="1:10" ht="19.95" hidden="1" customHeight="1" x14ac:dyDescent="0.3">
      <c r="A55" s="21"/>
      <c r="B55" s="21"/>
      <c r="C55" s="22"/>
      <c r="D55" s="22"/>
      <c r="E55" s="20"/>
      <c r="F55" s="21"/>
      <c r="G55" s="21"/>
      <c r="H55" s="23"/>
      <c r="I55" s="9"/>
      <c r="J55" s="8">
        <f t="shared" si="5"/>
        <v>0</v>
      </c>
    </row>
    <row r="56" spans="1:10" ht="19.95" hidden="1" customHeight="1" x14ac:dyDescent="0.3">
      <c r="A56" s="21"/>
      <c r="B56" s="21"/>
      <c r="C56" s="22"/>
      <c r="D56" s="22"/>
      <c r="E56" s="20"/>
      <c r="F56" s="21"/>
      <c r="G56" s="21"/>
      <c r="H56" s="23"/>
      <c r="I56" s="9"/>
      <c r="J56" s="8">
        <f t="shared" si="5"/>
        <v>0</v>
      </c>
    </row>
    <row r="57" spans="1:10" ht="19.95" hidden="1" customHeight="1" x14ac:dyDescent="0.3">
      <c r="A57" s="4"/>
      <c r="B57" s="4"/>
      <c r="C57" s="6"/>
      <c r="D57" s="6"/>
      <c r="E57" s="7"/>
      <c r="F57" s="21"/>
      <c r="G57" s="4"/>
      <c r="H57" s="8"/>
      <c r="I57" s="9"/>
      <c r="J57" s="8">
        <f t="shared" si="5"/>
        <v>0</v>
      </c>
    </row>
    <row r="58" spans="1:10" ht="19.95" hidden="1" customHeight="1" x14ac:dyDescent="0.3">
      <c r="A58" s="4"/>
      <c r="B58" s="4"/>
      <c r="C58" s="6"/>
      <c r="D58" s="6"/>
      <c r="E58" s="7"/>
      <c r="F58" s="4"/>
      <c r="G58" s="4"/>
      <c r="H58" s="8"/>
      <c r="I58" s="9"/>
      <c r="J58" s="8">
        <f t="shared" si="5"/>
        <v>0</v>
      </c>
    </row>
    <row r="59" spans="1:10" ht="19.95" customHeight="1" x14ac:dyDescent="0.3">
      <c r="A59" s="4">
        <v>250048</v>
      </c>
      <c r="B59" s="4">
        <v>304</v>
      </c>
      <c r="C59" s="6">
        <v>0.7</v>
      </c>
      <c r="D59" s="6" t="s">
        <v>43</v>
      </c>
      <c r="E59" s="7" t="s">
        <v>56</v>
      </c>
      <c r="F59" s="7"/>
      <c r="G59" s="4">
        <v>304</v>
      </c>
      <c r="H59" s="8">
        <v>570</v>
      </c>
      <c r="I59" s="9">
        <v>570</v>
      </c>
      <c r="J59" s="8">
        <f t="shared" si="5"/>
        <v>0</v>
      </c>
    </row>
    <row r="60" spans="1:10" ht="19.95" customHeight="1" x14ac:dyDescent="0.3">
      <c r="A60" s="4">
        <v>250048</v>
      </c>
      <c r="B60" s="4">
        <v>304</v>
      </c>
      <c r="C60" s="6">
        <v>0.7</v>
      </c>
      <c r="D60" s="6" t="s">
        <v>43</v>
      </c>
      <c r="E60" s="7" t="s">
        <v>57</v>
      </c>
      <c r="F60" s="7"/>
      <c r="G60" s="4">
        <v>304</v>
      </c>
      <c r="H60" s="8">
        <v>570</v>
      </c>
      <c r="I60" s="9">
        <v>570</v>
      </c>
      <c r="J60" s="8">
        <f t="shared" si="5"/>
        <v>0</v>
      </c>
    </row>
    <row r="61" spans="1:10" ht="19.95" customHeight="1" x14ac:dyDescent="0.3">
      <c r="A61" s="4">
        <v>250048</v>
      </c>
      <c r="B61" s="4">
        <v>304</v>
      </c>
      <c r="C61" s="6">
        <v>0.7</v>
      </c>
      <c r="D61" s="6" t="s">
        <v>43</v>
      </c>
      <c r="E61" s="7" t="s">
        <v>58</v>
      </c>
      <c r="F61" s="7"/>
      <c r="G61" s="4">
        <v>304</v>
      </c>
      <c r="H61" s="8">
        <v>570</v>
      </c>
      <c r="I61" s="9">
        <v>570</v>
      </c>
      <c r="J61" s="8">
        <f t="shared" si="5"/>
        <v>0</v>
      </c>
    </row>
    <row r="62" spans="1:10" ht="19.95" customHeight="1" x14ac:dyDescent="0.3">
      <c r="A62" s="4">
        <v>250048</v>
      </c>
      <c r="B62" s="4">
        <v>304</v>
      </c>
      <c r="C62" s="6">
        <v>0.7</v>
      </c>
      <c r="D62" s="6" t="s">
        <v>43</v>
      </c>
      <c r="E62" s="7" t="s">
        <v>59</v>
      </c>
      <c r="F62" s="7"/>
      <c r="G62" s="4">
        <v>304</v>
      </c>
      <c r="H62" s="8">
        <v>570</v>
      </c>
      <c r="I62" s="9">
        <v>570</v>
      </c>
      <c r="J62" s="8">
        <f t="shared" si="5"/>
        <v>0</v>
      </c>
    </row>
    <row r="63" spans="1:10" ht="19.95" customHeight="1" x14ac:dyDescent="0.3">
      <c r="A63" s="4">
        <v>250048</v>
      </c>
      <c r="B63" s="4">
        <v>304</v>
      </c>
      <c r="C63" s="6">
        <v>0.7</v>
      </c>
      <c r="D63" s="6" t="s">
        <v>43</v>
      </c>
      <c r="E63" s="7" t="s">
        <v>60</v>
      </c>
      <c r="F63" s="7"/>
      <c r="G63" s="4">
        <v>304</v>
      </c>
      <c r="H63" s="8">
        <v>570</v>
      </c>
      <c r="I63" s="9">
        <v>570</v>
      </c>
      <c r="J63" s="8">
        <f t="shared" si="5"/>
        <v>0</v>
      </c>
    </row>
    <row r="64" spans="1:10" ht="19.95" customHeight="1" x14ac:dyDescent="0.3">
      <c r="A64" s="4">
        <v>250048</v>
      </c>
      <c r="B64" s="4">
        <v>304</v>
      </c>
      <c r="C64" s="6">
        <v>0.7</v>
      </c>
      <c r="D64" s="6" t="s">
        <v>43</v>
      </c>
      <c r="E64" s="7" t="s">
        <v>61</v>
      </c>
      <c r="F64" s="7"/>
      <c r="G64" s="4">
        <v>304</v>
      </c>
      <c r="H64" s="8">
        <v>570</v>
      </c>
      <c r="I64" s="9">
        <v>570</v>
      </c>
      <c r="J64" s="8">
        <f t="shared" si="5"/>
        <v>0</v>
      </c>
    </row>
    <row r="65" spans="1:10" ht="19.95" customHeight="1" x14ac:dyDescent="0.3">
      <c r="A65" s="4">
        <v>250046</v>
      </c>
      <c r="B65" s="4">
        <v>304</v>
      </c>
      <c r="C65" s="6">
        <v>0.7</v>
      </c>
      <c r="D65" s="6" t="s">
        <v>43</v>
      </c>
      <c r="E65" s="7" t="s">
        <v>62</v>
      </c>
      <c r="F65" s="7"/>
      <c r="G65" s="4">
        <v>304</v>
      </c>
      <c r="H65" s="8">
        <v>950</v>
      </c>
      <c r="I65" s="9">
        <v>950</v>
      </c>
      <c r="J65" s="8">
        <f t="shared" si="5"/>
        <v>0</v>
      </c>
    </row>
    <row r="66" spans="1:10" ht="19.95" customHeight="1" x14ac:dyDescent="0.3">
      <c r="A66" s="4">
        <v>250046</v>
      </c>
      <c r="B66" s="4">
        <v>304</v>
      </c>
      <c r="C66" s="6">
        <v>0.7</v>
      </c>
      <c r="D66" s="6" t="s">
        <v>43</v>
      </c>
      <c r="E66" s="7" t="s">
        <v>63</v>
      </c>
      <c r="F66" s="7"/>
      <c r="G66" s="4">
        <v>304</v>
      </c>
      <c r="H66" s="8">
        <v>950</v>
      </c>
      <c r="I66" s="9">
        <v>950</v>
      </c>
      <c r="J66" s="8">
        <f t="shared" si="5"/>
        <v>0</v>
      </c>
    </row>
    <row r="67" spans="1:10" ht="19.95" customHeight="1" x14ac:dyDescent="0.3">
      <c r="A67" s="4">
        <v>250046</v>
      </c>
      <c r="B67" s="4">
        <v>304</v>
      </c>
      <c r="C67" s="6">
        <v>0.7</v>
      </c>
      <c r="D67" s="6" t="s">
        <v>43</v>
      </c>
      <c r="E67" s="7" t="s">
        <v>64</v>
      </c>
      <c r="F67" s="7"/>
      <c r="G67" s="4">
        <v>304</v>
      </c>
      <c r="H67" s="8">
        <v>950</v>
      </c>
      <c r="I67" s="9">
        <v>950</v>
      </c>
      <c r="J67" s="8">
        <f t="shared" si="5"/>
        <v>0</v>
      </c>
    </row>
    <row r="68" spans="1:10" ht="19.95" customHeight="1" x14ac:dyDescent="0.3">
      <c r="A68" s="4">
        <v>250046</v>
      </c>
      <c r="B68" s="4">
        <v>304</v>
      </c>
      <c r="C68" s="6">
        <v>0.7</v>
      </c>
      <c r="D68" s="6" t="s">
        <v>43</v>
      </c>
      <c r="E68" s="7" t="s">
        <v>65</v>
      </c>
      <c r="F68" s="7"/>
      <c r="G68" s="4">
        <v>304</v>
      </c>
      <c r="H68" s="8">
        <v>950</v>
      </c>
      <c r="I68" s="9">
        <v>950</v>
      </c>
      <c r="J68" s="8">
        <f t="shared" si="5"/>
        <v>0</v>
      </c>
    </row>
    <row r="69" spans="1:10" ht="19.95" customHeight="1" x14ac:dyDescent="0.3">
      <c r="A69" s="4">
        <v>250046</v>
      </c>
      <c r="B69" s="4">
        <v>304</v>
      </c>
      <c r="C69" s="6">
        <v>0.7</v>
      </c>
      <c r="D69" s="6" t="s">
        <v>43</v>
      </c>
      <c r="E69" s="7" t="s">
        <v>66</v>
      </c>
      <c r="F69" s="7"/>
      <c r="G69" s="4">
        <v>304</v>
      </c>
      <c r="H69" s="8">
        <v>950</v>
      </c>
      <c r="I69" s="9">
        <v>50</v>
      </c>
      <c r="J69" s="8">
        <f t="shared" si="5"/>
        <v>900</v>
      </c>
    </row>
    <row r="70" spans="1:10" ht="19.95" customHeight="1" x14ac:dyDescent="0.3">
      <c r="A70" s="4"/>
      <c r="B70" s="4"/>
      <c r="C70" s="6"/>
      <c r="D70" s="6"/>
      <c r="E70" s="7"/>
      <c r="F70" s="7"/>
      <c r="G70" s="4"/>
      <c r="H70" s="8"/>
      <c r="I70" s="9"/>
      <c r="J70" s="8">
        <f t="shared" si="5"/>
        <v>0</v>
      </c>
    </row>
    <row r="71" spans="1:10" ht="19.95" customHeight="1" x14ac:dyDescent="0.3">
      <c r="A71" s="4"/>
      <c r="B71" s="4"/>
      <c r="C71" s="6"/>
      <c r="D71" s="6"/>
      <c r="E71" s="7"/>
      <c r="F71" s="7"/>
      <c r="G71" s="4"/>
      <c r="H71" s="8"/>
      <c r="I71" s="9"/>
      <c r="J71" s="8">
        <f t="shared" si="5"/>
        <v>0</v>
      </c>
    </row>
    <row r="72" spans="1:10" ht="19.95" customHeight="1" x14ac:dyDescent="0.3">
      <c r="A72" s="4"/>
      <c r="B72" s="4"/>
      <c r="C72" s="6"/>
      <c r="D72" s="6"/>
      <c r="E72" s="7"/>
      <c r="F72" s="4"/>
      <c r="G72" s="4"/>
      <c r="H72" s="8"/>
      <c r="I72" s="9"/>
      <c r="J72" s="8">
        <f t="shared" si="5"/>
        <v>0</v>
      </c>
    </row>
    <row r="73" spans="1:10" ht="19.95" customHeight="1" x14ac:dyDescent="0.3">
      <c r="A73" s="4"/>
      <c r="B73" s="4"/>
      <c r="C73" s="6"/>
      <c r="D73" s="6"/>
      <c r="E73" s="7"/>
      <c r="F73" s="4"/>
      <c r="G73" s="4"/>
      <c r="H73" s="8"/>
      <c r="I73" s="9"/>
      <c r="J73" s="8">
        <f t="shared" si="5"/>
        <v>0</v>
      </c>
    </row>
    <row r="74" spans="1:10" ht="19.95" customHeight="1" x14ac:dyDescent="0.3">
      <c r="A74" s="4"/>
      <c r="B74" s="4"/>
      <c r="C74" s="6"/>
      <c r="D74" s="6"/>
      <c r="E74" s="7"/>
      <c r="F74" s="4"/>
      <c r="G74" s="4"/>
      <c r="H74" s="8"/>
      <c r="I74" s="9"/>
      <c r="J74" s="8">
        <f t="shared" si="5"/>
        <v>0</v>
      </c>
    </row>
    <row r="75" spans="1:10" ht="19.95" customHeight="1" x14ac:dyDescent="0.3">
      <c r="A75" s="4"/>
      <c r="B75" s="4"/>
      <c r="C75" s="6"/>
      <c r="D75" s="6"/>
      <c r="E75" s="7"/>
      <c r="F75" s="4"/>
      <c r="G75" s="4"/>
      <c r="H75" s="8"/>
      <c r="I75" s="9"/>
      <c r="J75" s="8">
        <f t="shared" si="5"/>
        <v>0</v>
      </c>
    </row>
    <row r="76" spans="1:10" ht="19.95" customHeight="1" x14ac:dyDescent="0.3">
      <c r="A76" s="10"/>
      <c r="B76" s="10"/>
      <c r="C76" s="10"/>
      <c r="D76" s="10"/>
      <c r="E76" s="11"/>
      <c r="F76" s="10"/>
      <c r="G76" s="12"/>
      <c r="H76" s="8">
        <f>SUM(H54:H75)</f>
        <v>11370</v>
      </c>
      <c r="I76" s="9">
        <f>SUM(I54:I75)</f>
        <v>7270</v>
      </c>
      <c r="J76" s="8">
        <f>SUM(J54:J75)</f>
        <v>4100</v>
      </c>
    </row>
    <row r="78" spans="1:10" ht="23.4" x14ac:dyDescent="0.3">
      <c r="A78" s="95" t="s">
        <v>14</v>
      </c>
      <c r="B78" s="95"/>
      <c r="C78" s="95"/>
      <c r="D78" s="95"/>
      <c r="E78" s="95"/>
      <c r="F78" s="95"/>
      <c r="G78" s="95"/>
      <c r="H78" s="95"/>
      <c r="I78" s="95"/>
      <c r="J78" s="95"/>
    </row>
  </sheetData>
  <mergeCells count="9">
    <mergeCell ref="A42:J42"/>
    <mergeCell ref="A52:J52"/>
    <mergeCell ref="A78:J78"/>
    <mergeCell ref="H1:J1"/>
    <mergeCell ref="A2:J2"/>
    <mergeCell ref="A3:J3"/>
    <mergeCell ref="A16:J16"/>
    <mergeCell ref="A27:J27"/>
    <mergeCell ref="A34:J34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0" fitToHeight="0"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78"/>
  <sheetViews>
    <sheetView topLeftCell="A46" zoomScale="85" zoomScaleNormal="85" workbookViewId="0">
      <selection activeCell="K41" sqref="K4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0.6640625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250062</v>
      </c>
      <c r="B5" s="4">
        <v>304</v>
      </c>
      <c r="C5" s="6">
        <v>0.6</v>
      </c>
      <c r="D5" s="6" t="s">
        <v>11</v>
      </c>
      <c r="E5" s="7" t="s">
        <v>12</v>
      </c>
      <c r="F5" s="4" t="s">
        <v>13</v>
      </c>
      <c r="G5" s="4">
        <v>430</v>
      </c>
      <c r="H5" s="8">
        <v>150</v>
      </c>
      <c r="I5" s="9">
        <v>152</v>
      </c>
      <c r="J5" s="8">
        <f t="shared" ref="J5:J13" si="0">H5-I5</f>
        <v>-2</v>
      </c>
    </row>
    <row r="6" spans="1:10" ht="19.95" customHeight="1" x14ac:dyDescent="0.3">
      <c r="A6" s="4">
        <v>250062</v>
      </c>
      <c r="B6" s="4">
        <v>304</v>
      </c>
      <c r="C6" s="6">
        <v>0.6</v>
      </c>
      <c r="D6" s="6" t="s">
        <v>11</v>
      </c>
      <c r="E6" s="7" t="s">
        <v>30</v>
      </c>
      <c r="F6" s="4" t="s">
        <v>13</v>
      </c>
      <c r="G6" s="4">
        <v>430</v>
      </c>
      <c r="H6" s="8">
        <v>200</v>
      </c>
      <c r="I6" s="9">
        <f>90+120</f>
        <v>210</v>
      </c>
      <c r="J6" s="8">
        <f t="shared" si="0"/>
        <v>-10</v>
      </c>
    </row>
    <row r="7" spans="1:10" ht="19.95" customHeight="1" x14ac:dyDescent="0.3">
      <c r="A7" s="4">
        <v>225066</v>
      </c>
      <c r="B7" s="4">
        <v>430</v>
      </c>
      <c r="C7" s="6">
        <v>0.5</v>
      </c>
      <c r="D7" s="6" t="s">
        <v>11</v>
      </c>
      <c r="E7" s="7" t="s">
        <v>35</v>
      </c>
      <c r="F7" s="4" t="s">
        <v>45</v>
      </c>
      <c r="G7" s="4">
        <v>430</v>
      </c>
      <c r="H7" s="8">
        <v>1500</v>
      </c>
      <c r="I7" s="9">
        <f>841+780</f>
        <v>1621</v>
      </c>
      <c r="J7" s="8">
        <f t="shared" si="0"/>
        <v>-121</v>
      </c>
    </row>
    <row r="8" spans="1:10" ht="19.95" customHeight="1" x14ac:dyDescent="0.3">
      <c r="A8" s="4">
        <v>250062</v>
      </c>
      <c r="B8" s="4">
        <v>304</v>
      </c>
      <c r="C8" s="6">
        <v>0.6</v>
      </c>
      <c r="D8" s="6" t="s">
        <v>11</v>
      </c>
      <c r="E8" s="7" t="s">
        <v>39</v>
      </c>
      <c r="F8" s="4" t="s">
        <v>13</v>
      </c>
      <c r="G8" s="4">
        <v>430</v>
      </c>
      <c r="H8" s="8">
        <v>125</v>
      </c>
      <c r="I8" s="9">
        <v>131</v>
      </c>
      <c r="J8" s="8">
        <f t="shared" si="0"/>
        <v>-6</v>
      </c>
    </row>
    <row r="9" spans="1:10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0" ht="19.95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8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1975</v>
      </c>
      <c r="I14" s="14">
        <f>SUM(I5:I13)</f>
        <v>2114</v>
      </c>
      <c r="J14" s="8">
        <f>SUM(J5:J13)</f>
        <v>-139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225065</v>
      </c>
      <c r="B18" s="4">
        <v>430</v>
      </c>
      <c r="C18" s="6">
        <v>0.5</v>
      </c>
      <c r="D18" s="6" t="s">
        <v>11</v>
      </c>
      <c r="E18" s="7" t="s">
        <v>36</v>
      </c>
      <c r="F18" s="4" t="s">
        <v>45</v>
      </c>
      <c r="G18" s="4">
        <v>430</v>
      </c>
      <c r="H18" s="8">
        <v>1500</v>
      </c>
      <c r="I18" s="9">
        <v>1550</v>
      </c>
      <c r="J18" s="8">
        <f t="shared" ref="J18:J24" si="1">H18-I18</f>
        <v>-50</v>
      </c>
    </row>
    <row r="19" spans="1:10" ht="19.95" customHeight="1" x14ac:dyDescent="0.3">
      <c r="A19" s="4">
        <v>225066</v>
      </c>
      <c r="B19" s="4">
        <v>430</v>
      </c>
      <c r="C19" s="6">
        <v>0.5</v>
      </c>
      <c r="D19" s="6" t="s">
        <v>11</v>
      </c>
      <c r="E19" s="7" t="s">
        <v>37</v>
      </c>
      <c r="F19" s="4" t="s">
        <v>45</v>
      </c>
      <c r="G19" s="4">
        <v>430</v>
      </c>
      <c r="H19" s="8">
        <v>1500</v>
      </c>
      <c r="I19" s="9">
        <v>1557</v>
      </c>
      <c r="J19" s="8">
        <f t="shared" si="1"/>
        <v>-57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1"/>
        <v>0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8">
        <f t="shared" si="1"/>
        <v>0</v>
      </c>
    </row>
    <row r="23" spans="1:10" ht="19.95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8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3000</v>
      </c>
      <c r="I25" s="9">
        <f>SUM(I18:I24)</f>
        <v>3107</v>
      </c>
      <c r="J25" s="8">
        <f>SUM(J18:J24)</f>
        <v>-107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250069</v>
      </c>
      <c r="B29" s="4">
        <v>304</v>
      </c>
      <c r="C29" s="6">
        <v>0.6</v>
      </c>
      <c r="D29" s="6" t="s">
        <v>55</v>
      </c>
      <c r="E29" s="7" t="s">
        <v>50</v>
      </c>
      <c r="F29" s="21" t="s">
        <v>52</v>
      </c>
      <c r="G29" s="4">
        <v>430</v>
      </c>
      <c r="H29" s="8">
        <v>1650</v>
      </c>
      <c r="I29" s="9">
        <v>1653</v>
      </c>
      <c r="J29" s="8">
        <f t="shared" ref="J29:J31" si="2">H29-I29</f>
        <v>-3</v>
      </c>
    </row>
    <row r="30" spans="1:10" ht="19.95" customHeight="1" x14ac:dyDescent="0.3">
      <c r="A30" s="4">
        <v>250069</v>
      </c>
      <c r="B30" s="4">
        <v>304</v>
      </c>
      <c r="C30" s="6">
        <v>0.6</v>
      </c>
      <c r="D30" s="6" t="s">
        <v>55</v>
      </c>
      <c r="E30" s="7" t="s">
        <v>53</v>
      </c>
      <c r="F30" s="21" t="s">
        <v>52</v>
      </c>
      <c r="G30" s="4">
        <v>430</v>
      </c>
      <c r="H30" s="8">
        <v>1650</v>
      </c>
      <c r="I30" s="9">
        <f>1500+208</f>
        <v>1708</v>
      </c>
      <c r="J30" s="8">
        <f t="shared" si="2"/>
        <v>-58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SUM(H29:H31)</f>
        <v>3300</v>
      </c>
      <c r="I32" s="9">
        <f>SUM(I29:I31)</f>
        <v>3361</v>
      </c>
      <c r="J32" s="8">
        <f>SUM(J29:J31)</f>
        <v>-61</v>
      </c>
    </row>
    <row r="34" spans="1:10" ht="30" customHeight="1" x14ac:dyDescent="0.3">
      <c r="A34" s="94" t="s">
        <v>20</v>
      </c>
      <c r="B34" s="94"/>
      <c r="C34" s="94"/>
      <c r="D34" s="94"/>
      <c r="E34" s="94"/>
      <c r="F34" s="94"/>
      <c r="G34" s="94"/>
      <c r="H34" s="94"/>
      <c r="I34" s="94"/>
      <c r="J34" s="94"/>
    </row>
    <row r="35" spans="1:10" ht="30" customHeight="1" x14ac:dyDescent="0.3">
      <c r="A35" s="4" t="s">
        <v>1</v>
      </c>
      <c r="B35" s="4" t="s">
        <v>2</v>
      </c>
      <c r="C35" s="5" t="s">
        <v>3</v>
      </c>
      <c r="D35" s="5" t="s">
        <v>4</v>
      </c>
      <c r="E35" s="4" t="s">
        <v>5</v>
      </c>
      <c r="F35" s="5" t="s">
        <v>6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10925</v>
      </c>
      <c r="B36" s="4">
        <v>430</v>
      </c>
      <c r="C36" s="6">
        <v>0.8</v>
      </c>
      <c r="D36" s="6" t="s">
        <v>43</v>
      </c>
      <c r="E36" s="7" t="s">
        <v>46</v>
      </c>
      <c r="F36" s="21" t="s">
        <v>49</v>
      </c>
      <c r="G36" s="4">
        <v>430</v>
      </c>
      <c r="H36" s="8">
        <v>3100</v>
      </c>
      <c r="I36" s="9">
        <v>3272</v>
      </c>
      <c r="J36" s="8">
        <f t="shared" ref="J36:J39" si="3">H36-I36</f>
        <v>-172</v>
      </c>
    </row>
    <row r="37" spans="1:10" ht="19.95" customHeight="1" x14ac:dyDescent="0.3">
      <c r="A37" s="4">
        <v>250068</v>
      </c>
      <c r="B37" s="4">
        <v>304</v>
      </c>
      <c r="C37" s="6">
        <v>0.6</v>
      </c>
      <c r="D37" s="6" t="s">
        <v>55</v>
      </c>
      <c r="E37" s="7" t="s">
        <v>51</v>
      </c>
      <c r="F37" s="21" t="s">
        <v>52</v>
      </c>
      <c r="G37" s="4">
        <v>430</v>
      </c>
      <c r="H37" s="8">
        <v>1650</v>
      </c>
      <c r="I37" s="9">
        <f>670+1021</f>
        <v>1691</v>
      </c>
      <c r="J37" s="8">
        <f t="shared" si="3"/>
        <v>-41</v>
      </c>
    </row>
    <row r="38" spans="1:10" ht="19.95" customHeight="1" x14ac:dyDescent="0.3">
      <c r="A38" s="4">
        <v>250068</v>
      </c>
      <c r="B38" s="4">
        <v>304</v>
      </c>
      <c r="C38" s="6">
        <v>0.6</v>
      </c>
      <c r="D38" s="6" t="s">
        <v>55</v>
      </c>
      <c r="E38" s="7" t="s">
        <v>54</v>
      </c>
      <c r="F38" s="21" t="s">
        <v>52</v>
      </c>
      <c r="G38" s="4">
        <v>430</v>
      </c>
      <c r="H38" s="8">
        <v>1650</v>
      </c>
      <c r="I38" s="9">
        <v>1700</v>
      </c>
      <c r="J38" s="8">
        <f t="shared" si="3"/>
        <v>-50</v>
      </c>
    </row>
    <row r="39" spans="1:10" ht="19.95" customHeight="1" x14ac:dyDescent="0.3">
      <c r="A39" s="4">
        <v>210825</v>
      </c>
      <c r="B39" s="4">
        <v>430</v>
      </c>
      <c r="C39" s="6">
        <v>0.6</v>
      </c>
      <c r="D39" s="6" t="s">
        <v>55</v>
      </c>
      <c r="E39" s="7" t="s">
        <v>71</v>
      </c>
      <c r="F39" s="21" t="s">
        <v>52</v>
      </c>
      <c r="G39" s="4">
        <v>430</v>
      </c>
      <c r="H39" s="8">
        <v>3000</v>
      </c>
      <c r="I39" s="9">
        <v>904</v>
      </c>
      <c r="J39" s="8">
        <f t="shared" si="3"/>
        <v>2096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SUM(H36:H39)</f>
        <v>9400</v>
      </c>
      <c r="I40" s="9">
        <f>SUM(I36:I39)</f>
        <v>7567</v>
      </c>
      <c r="J40" s="8">
        <f>SUM(J36:J39)</f>
        <v>1833</v>
      </c>
    </row>
    <row r="41" spans="1:10" ht="19.95" customHeight="1" x14ac:dyDescent="0.3">
      <c r="A41" s="15"/>
      <c r="B41" s="15"/>
      <c r="C41" s="15"/>
      <c r="D41" s="15"/>
      <c r="E41" s="16"/>
      <c r="F41" s="15"/>
      <c r="G41" s="15"/>
      <c r="H41" s="17"/>
      <c r="I41" s="18"/>
      <c r="J41" s="17"/>
    </row>
    <row r="42" spans="1:10" ht="30" customHeight="1" x14ac:dyDescent="0.3">
      <c r="A42" s="94" t="s">
        <v>19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10925</v>
      </c>
      <c r="B44" s="4">
        <v>430</v>
      </c>
      <c r="C44" s="6">
        <v>0.8</v>
      </c>
      <c r="D44" s="6" t="s">
        <v>43</v>
      </c>
      <c r="E44" s="7" t="s">
        <v>48</v>
      </c>
      <c r="F44" s="21" t="s">
        <v>49</v>
      </c>
      <c r="G44" s="4">
        <v>430</v>
      </c>
      <c r="H44" s="8">
        <v>3300</v>
      </c>
      <c r="I44" s="9"/>
      <c r="J44" s="8">
        <f t="shared" ref="J44:J49" si="4">H44-I44</f>
        <v>3300</v>
      </c>
    </row>
    <row r="45" spans="1:10" ht="19.95" customHeight="1" x14ac:dyDescent="0.3">
      <c r="A45" s="21">
        <v>250074</v>
      </c>
      <c r="B45" s="21">
        <v>304</v>
      </c>
      <c r="C45" s="22">
        <v>0.7</v>
      </c>
      <c r="D45" s="22" t="s">
        <v>43</v>
      </c>
      <c r="E45" s="20" t="s">
        <v>40</v>
      </c>
      <c r="F45" s="21" t="s">
        <v>41</v>
      </c>
      <c r="G45" s="21">
        <v>430</v>
      </c>
      <c r="H45" s="23">
        <v>708</v>
      </c>
      <c r="I45" s="9">
        <v>276</v>
      </c>
      <c r="J45" s="8">
        <f t="shared" si="4"/>
        <v>432</v>
      </c>
    </row>
    <row r="46" spans="1:10" ht="19.95" customHeight="1" x14ac:dyDescent="0.3">
      <c r="A46" s="4">
        <v>250041</v>
      </c>
      <c r="B46" s="4">
        <v>304</v>
      </c>
      <c r="C46" s="6">
        <v>0.7</v>
      </c>
      <c r="D46" s="6" t="s">
        <v>55</v>
      </c>
      <c r="E46" s="7" t="s">
        <v>67</v>
      </c>
      <c r="F46" s="7"/>
      <c r="G46" s="4">
        <v>304</v>
      </c>
      <c r="H46" s="8">
        <v>500</v>
      </c>
      <c r="I46" s="9"/>
      <c r="J46" s="8">
        <f t="shared" si="4"/>
        <v>500</v>
      </c>
    </row>
    <row r="47" spans="1:10" ht="19.95" customHeight="1" x14ac:dyDescent="0.3">
      <c r="A47" s="4">
        <v>250041</v>
      </c>
      <c r="B47" s="4">
        <v>304</v>
      </c>
      <c r="C47" s="6">
        <v>0.7</v>
      </c>
      <c r="D47" s="6" t="s">
        <v>55</v>
      </c>
      <c r="E47" s="7" t="s">
        <v>68</v>
      </c>
      <c r="F47" s="7"/>
      <c r="G47" s="4">
        <v>304</v>
      </c>
      <c r="H47" s="8">
        <v>500</v>
      </c>
      <c r="I47" s="9"/>
      <c r="J47" s="8">
        <f t="shared" si="4"/>
        <v>500</v>
      </c>
    </row>
    <row r="48" spans="1:10" ht="19.95" customHeight="1" x14ac:dyDescent="0.3">
      <c r="A48" s="4">
        <v>250041</v>
      </c>
      <c r="B48" s="4">
        <v>304</v>
      </c>
      <c r="C48" s="6">
        <v>0.7</v>
      </c>
      <c r="D48" s="6" t="s">
        <v>55</v>
      </c>
      <c r="E48" s="7" t="s">
        <v>69</v>
      </c>
      <c r="F48" s="7"/>
      <c r="G48" s="4">
        <v>304</v>
      </c>
      <c r="H48" s="8">
        <v>500</v>
      </c>
      <c r="I48" s="9"/>
      <c r="J48" s="8">
        <f t="shared" si="4"/>
        <v>500</v>
      </c>
    </row>
    <row r="49" spans="1:10" ht="19.95" customHeight="1" x14ac:dyDescent="0.3">
      <c r="A49" s="4">
        <v>250041</v>
      </c>
      <c r="B49" s="4">
        <v>304</v>
      </c>
      <c r="C49" s="6">
        <v>0.7</v>
      </c>
      <c r="D49" s="6" t="s">
        <v>55</v>
      </c>
      <c r="E49" s="7" t="s">
        <v>70</v>
      </c>
      <c r="F49" s="7"/>
      <c r="G49" s="4">
        <v>304</v>
      </c>
      <c r="H49" s="8">
        <v>500</v>
      </c>
      <c r="I49" s="24"/>
      <c r="J49" s="8">
        <f t="shared" si="4"/>
        <v>500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SUM(H44:H49)</f>
        <v>6008</v>
      </c>
      <c r="I50" s="9">
        <f>SUM(I44:I49)</f>
        <v>276</v>
      </c>
      <c r="J50" s="8">
        <f>SUM(J44:J49)</f>
        <v>5732</v>
      </c>
    </row>
    <row r="51" spans="1:10" ht="19.95" customHeight="1" x14ac:dyDescent="0.3">
      <c r="A51" s="15"/>
      <c r="B51" s="15"/>
      <c r="C51" s="15"/>
      <c r="D51" s="15"/>
      <c r="E51" s="16"/>
      <c r="F51" s="15"/>
      <c r="G51" s="15"/>
      <c r="H51" s="17"/>
      <c r="I51" s="18"/>
      <c r="J51" s="17"/>
    </row>
    <row r="52" spans="1:10" ht="30" customHeight="1" x14ac:dyDescent="0.3">
      <c r="A52" s="94" t="s">
        <v>23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10925</v>
      </c>
      <c r="B54" s="4">
        <v>304</v>
      </c>
      <c r="C54" s="6">
        <v>0.8</v>
      </c>
      <c r="D54" s="6" t="s">
        <v>43</v>
      </c>
      <c r="E54" s="7" t="s">
        <v>47</v>
      </c>
      <c r="F54" s="21" t="s">
        <v>49</v>
      </c>
      <c r="G54" s="4">
        <v>430</v>
      </c>
      <c r="H54" s="8">
        <v>3200</v>
      </c>
      <c r="I54" s="9"/>
      <c r="J54" s="8">
        <f t="shared" ref="J54:J75" si="5">H54-I54</f>
        <v>3200</v>
      </c>
    </row>
    <row r="55" spans="1:10" ht="19.95" hidden="1" customHeight="1" x14ac:dyDescent="0.3">
      <c r="A55" s="21"/>
      <c r="B55" s="21"/>
      <c r="C55" s="22"/>
      <c r="D55" s="22"/>
      <c r="E55" s="20"/>
      <c r="F55" s="21"/>
      <c r="G55" s="21"/>
      <c r="H55" s="23"/>
      <c r="I55" s="9"/>
      <c r="J55" s="8">
        <f t="shared" si="5"/>
        <v>0</v>
      </c>
    </row>
    <row r="56" spans="1:10" ht="19.95" hidden="1" customHeight="1" x14ac:dyDescent="0.3">
      <c r="A56" s="21"/>
      <c r="B56" s="21"/>
      <c r="C56" s="22"/>
      <c r="D56" s="22"/>
      <c r="E56" s="20"/>
      <c r="F56" s="21"/>
      <c r="G56" s="21"/>
      <c r="H56" s="23"/>
      <c r="I56" s="9"/>
      <c r="J56" s="8">
        <f t="shared" si="5"/>
        <v>0</v>
      </c>
    </row>
    <row r="57" spans="1:10" ht="19.95" hidden="1" customHeight="1" x14ac:dyDescent="0.3">
      <c r="A57" s="4"/>
      <c r="B57" s="4"/>
      <c r="C57" s="6"/>
      <c r="D57" s="6"/>
      <c r="E57" s="7"/>
      <c r="F57" s="21"/>
      <c r="G57" s="4"/>
      <c r="H57" s="8"/>
      <c r="I57" s="9"/>
      <c r="J57" s="8">
        <f t="shared" si="5"/>
        <v>0</v>
      </c>
    </row>
    <row r="58" spans="1:10" ht="19.95" hidden="1" customHeight="1" x14ac:dyDescent="0.3">
      <c r="A58" s="4"/>
      <c r="B58" s="4"/>
      <c r="C58" s="6"/>
      <c r="D58" s="6"/>
      <c r="E58" s="7"/>
      <c r="F58" s="4"/>
      <c r="G58" s="4"/>
      <c r="H58" s="8"/>
      <c r="I58" s="9"/>
      <c r="J58" s="8">
        <f t="shared" si="5"/>
        <v>0</v>
      </c>
    </row>
    <row r="59" spans="1:10" ht="19.95" customHeight="1" x14ac:dyDescent="0.3">
      <c r="A59" s="4">
        <v>250048</v>
      </c>
      <c r="B59" s="4">
        <v>304</v>
      </c>
      <c r="C59" s="6">
        <v>0.7</v>
      </c>
      <c r="D59" s="6" t="s">
        <v>43</v>
      </c>
      <c r="E59" s="7" t="s">
        <v>56</v>
      </c>
      <c r="F59" s="7"/>
      <c r="G59" s="4">
        <v>304</v>
      </c>
      <c r="H59" s="8">
        <v>570</v>
      </c>
      <c r="I59" s="9">
        <v>570</v>
      </c>
      <c r="J59" s="8">
        <f t="shared" si="5"/>
        <v>0</v>
      </c>
    </row>
    <row r="60" spans="1:10" ht="19.95" customHeight="1" x14ac:dyDescent="0.3">
      <c r="A60" s="4">
        <v>250048</v>
      </c>
      <c r="B60" s="4">
        <v>304</v>
      </c>
      <c r="C60" s="6">
        <v>0.7</v>
      </c>
      <c r="D60" s="6" t="s">
        <v>43</v>
      </c>
      <c r="E60" s="7" t="s">
        <v>57</v>
      </c>
      <c r="F60" s="7"/>
      <c r="G60" s="4">
        <v>304</v>
      </c>
      <c r="H60" s="8">
        <v>570</v>
      </c>
      <c r="I60" s="9">
        <v>570</v>
      </c>
      <c r="J60" s="8">
        <f t="shared" si="5"/>
        <v>0</v>
      </c>
    </row>
    <row r="61" spans="1:10" ht="19.95" customHeight="1" x14ac:dyDescent="0.3">
      <c r="A61" s="4">
        <v>250048</v>
      </c>
      <c r="B61" s="4">
        <v>304</v>
      </c>
      <c r="C61" s="6">
        <v>0.7</v>
      </c>
      <c r="D61" s="6" t="s">
        <v>43</v>
      </c>
      <c r="E61" s="7" t="s">
        <v>58</v>
      </c>
      <c r="F61" s="7"/>
      <c r="G61" s="4">
        <v>304</v>
      </c>
      <c r="H61" s="8">
        <v>570</v>
      </c>
      <c r="I61" s="9">
        <v>570</v>
      </c>
      <c r="J61" s="8">
        <f t="shared" si="5"/>
        <v>0</v>
      </c>
    </row>
    <row r="62" spans="1:10" ht="19.95" customHeight="1" x14ac:dyDescent="0.3">
      <c r="A62" s="4">
        <v>250048</v>
      </c>
      <c r="B62" s="4">
        <v>304</v>
      </c>
      <c r="C62" s="6">
        <v>0.7</v>
      </c>
      <c r="D62" s="6" t="s">
        <v>43</v>
      </c>
      <c r="E62" s="7" t="s">
        <v>59</v>
      </c>
      <c r="F62" s="7"/>
      <c r="G62" s="4">
        <v>304</v>
      </c>
      <c r="H62" s="8">
        <v>570</v>
      </c>
      <c r="I62" s="9">
        <v>570</v>
      </c>
      <c r="J62" s="8">
        <f t="shared" si="5"/>
        <v>0</v>
      </c>
    </row>
    <row r="63" spans="1:10" ht="19.95" customHeight="1" x14ac:dyDescent="0.3">
      <c r="A63" s="4">
        <v>250048</v>
      </c>
      <c r="B63" s="4">
        <v>304</v>
      </c>
      <c r="C63" s="6">
        <v>0.7</v>
      </c>
      <c r="D63" s="6" t="s">
        <v>43</v>
      </c>
      <c r="E63" s="7" t="s">
        <v>60</v>
      </c>
      <c r="F63" s="7"/>
      <c r="G63" s="4">
        <v>304</v>
      </c>
      <c r="H63" s="8">
        <v>570</v>
      </c>
      <c r="I63" s="9">
        <v>570</v>
      </c>
      <c r="J63" s="8">
        <f t="shared" si="5"/>
        <v>0</v>
      </c>
    </row>
    <row r="64" spans="1:10" ht="19.95" customHeight="1" x14ac:dyDescent="0.3">
      <c r="A64" s="4">
        <v>250048</v>
      </c>
      <c r="B64" s="4">
        <v>304</v>
      </c>
      <c r="C64" s="6">
        <v>0.7</v>
      </c>
      <c r="D64" s="6" t="s">
        <v>43</v>
      </c>
      <c r="E64" s="7" t="s">
        <v>61</v>
      </c>
      <c r="F64" s="7"/>
      <c r="G64" s="4">
        <v>304</v>
      </c>
      <c r="H64" s="8">
        <v>570</v>
      </c>
      <c r="I64" s="9">
        <v>570</v>
      </c>
      <c r="J64" s="8">
        <f t="shared" si="5"/>
        <v>0</v>
      </c>
    </row>
    <row r="65" spans="1:10" ht="19.95" customHeight="1" x14ac:dyDescent="0.3">
      <c r="A65" s="4">
        <v>250046</v>
      </c>
      <c r="B65" s="4">
        <v>304</v>
      </c>
      <c r="C65" s="6">
        <v>0.7</v>
      </c>
      <c r="D65" s="6" t="s">
        <v>43</v>
      </c>
      <c r="E65" s="7" t="s">
        <v>62</v>
      </c>
      <c r="F65" s="7"/>
      <c r="G65" s="4">
        <v>304</v>
      </c>
      <c r="H65" s="8">
        <v>950</v>
      </c>
      <c r="I65" s="9">
        <v>950</v>
      </c>
      <c r="J65" s="8">
        <f t="shared" si="5"/>
        <v>0</v>
      </c>
    </row>
    <row r="66" spans="1:10" ht="19.95" customHeight="1" x14ac:dyDescent="0.3">
      <c r="A66" s="4">
        <v>250046</v>
      </c>
      <c r="B66" s="4">
        <v>304</v>
      </c>
      <c r="C66" s="6">
        <v>0.7</v>
      </c>
      <c r="D66" s="6" t="s">
        <v>43</v>
      </c>
      <c r="E66" s="7" t="s">
        <v>63</v>
      </c>
      <c r="F66" s="7"/>
      <c r="G66" s="4">
        <v>304</v>
      </c>
      <c r="H66" s="8">
        <v>950</v>
      </c>
      <c r="I66" s="9">
        <v>950</v>
      </c>
      <c r="J66" s="8">
        <f t="shared" si="5"/>
        <v>0</v>
      </c>
    </row>
    <row r="67" spans="1:10" ht="19.95" customHeight="1" x14ac:dyDescent="0.3">
      <c r="A67" s="4">
        <v>250046</v>
      </c>
      <c r="B67" s="4">
        <v>304</v>
      </c>
      <c r="C67" s="6">
        <v>0.7</v>
      </c>
      <c r="D67" s="6" t="s">
        <v>43</v>
      </c>
      <c r="E67" s="7" t="s">
        <v>64</v>
      </c>
      <c r="F67" s="7"/>
      <c r="G67" s="4">
        <v>304</v>
      </c>
      <c r="H67" s="8">
        <v>950</v>
      </c>
      <c r="I67" s="9">
        <v>950</v>
      </c>
      <c r="J67" s="8">
        <f t="shared" si="5"/>
        <v>0</v>
      </c>
    </row>
    <row r="68" spans="1:10" ht="19.95" customHeight="1" x14ac:dyDescent="0.3">
      <c r="A68" s="4">
        <v>250046</v>
      </c>
      <c r="B68" s="4">
        <v>304</v>
      </c>
      <c r="C68" s="6">
        <v>0.7</v>
      </c>
      <c r="D68" s="6" t="s">
        <v>43</v>
      </c>
      <c r="E68" s="7" t="s">
        <v>65</v>
      </c>
      <c r="F68" s="7"/>
      <c r="G68" s="4">
        <v>304</v>
      </c>
      <c r="H68" s="8">
        <v>950</v>
      </c>
      <c r="I68" s="9">
        <v>950</v>
      </c>
      <c r="J68" s="8">
        <f t="shared" si="5"/>
        <v>0</v>
      </c>
    </row>
    <row r="69" spans="1:10" ht="19.95" customHeight="1" x14ac:dyDescent="0.3">
      <c r="A69" s="4">
        <v>250046</v>
      </c>
      <c r="B69" s="4">
        <v>304</v>
      </c>
      <c r="C69" s="6">
        <v>0.7</v>
      </c>
      <c r="D69" s="6" t="s">
        <v>43</v>
      </c>
      <c r="E69" s="7" t="s">
        <v>66</v>
      </c>
      <c r="F69" s="7"/>
      <c r="G69" s="4">
        <v>304</v>
      </c>
      <c r="H69" s="8">
        <v>950</v>
      </c>
      <c r="I69" s="9">
        <v>50</v>
      </c>
      <c r="J69" s="8">
        <f t="shared" si="5"/>
        <v>900</v>
      </c>
    </row>
    <row r="70" spans="1:10" ht="19.95" customHeight="1" x14ac:dyDescent="0.3">
      <c r="A70" s="4"/>
      <c r="B70" s="4"/>
      <c r="C70" s="6"/>
      <c r="D70" s="6"/>
      <c r="E70" s="7"/>
      <c r="F70" s="7"/>
      <c r="G70" s="4"/>
      <c r="H70" s="8"/>
      <c r="I70" s="9"/>
      <c r="J70" s="8">
        <f t="shared" si="5"/>
        <v>0</v>
      </c>
    </row>
    <row r="71" spans="1:10" ht="19.95" customHeight="1" x14ac:dyDescent="0.3">
      <c r="A71" s="4"/>
      <c r="B71" s="4"/>
      <c r="C71" s="6"/>
      <c r="D71" s="6"/>
      <c r="E71" s="7"/>
      <c r="F71" s="7"/>
      <c r="G71" s="4"/>
      <c r="H71" s="8"/>
      <c r="I71" s="9"/>
      <c r="J71" s="8">
        <f t="shared" si="5"/>
        <v>0</v>
      </c>
    </row>
    <row r="72" spans="1:10" ht="19.95" customHeight="1" x14ac:dyDescent="0.3">
      <c r="A72" s="4"/>
      <c r="B72" s="4"/>
      <c r="C72" s="6"/>
      <c r="D72" s="6"/>
      <c r="E72" s="7"/>
      <c r="F72" s="4"/>
      <c r="G72" s="4"/>
      <c r="H72" s="8"/>
      <c r="I72" s="9"/>
      <c r="J72" s="8">
        <f t="shared" si="5"/>
        <v>0</v>
      </c>
    </row>
    <row r="73" spans="1:10" ht="19.95" customHeight="1" x14ac:dyDescent="0.3">
      <c r="A73" s="4"/>
      <c r="B73" s="4"/>
      <c r="C73" s="6"/>
      <c r="D73" s="6"/>
      <c r="E73" s="7"/>
      <c r="F73" s="4"/>
      <c r="G73" s="4"/>
      <c r="H73" s="8"/>
      <c r="I73" s="9"/>
      <c r="J73" s="8">
        <f t="shared" si="5"/>
        <v>0</v>
      </c>
    </row>
    <row r="74" spans="1:10" ht="19.95" customHeight="1" x14ac:dyDescent="0.3">
      <c r="A74" s="4"/>
      <c r="B74" s="4"/>
      <c r="C74" s="6"/>
      <c r="D74" s="6"/>
      <c r="E74" s="7"/>
      <c r="F74" s="4"/>
      <c r="G74" s="4"/>
      <c r="H74" s="8"/>
      <c r="I74" s="9"/>
      <c r="J74" s="8">
        <f t="shared" si="5"/>
        <v>0</v>
      </c>
    </row>
    <row r="75" spans="1:10" ht="19.95" customHeight="1" x14ac:dyDescent="0.3">
      <c r="A75" s="4"/>
      <c r="B75" s="4"/>
      <c r="C75" s="6"/>
      <c r="D75" s="6"/>
      <c r="E75" s="7"/>
      <c r="F75" s="4"/>
      <c r="G75" s="4"/>
      <c r="H75" s="8"/>
      <c r="I75" s="9"/>
      <c r="J75" s="8">
        <f t="shared" si="5"/>
        <v>0</v>
      </c>
    </row>
    <row r="76" spans="1:10" ht="19.95" customHeight="1" x14ac:dyDescent="0.3">
      <c r="A76" s="10"/>
      <c r="B76" s="10"/>
      <c r="C76" s="10"/>
      <c r="D76" s="10"/>
      <c r="E76" s="11"/>
      <c r="F76" s="10"/>
      <c r="G76" s="12"/>
      <c r="H76" s="8">
        <f>SUM(H54:H75)</f>
        <v>11370</v>
      </c>
      <c r="I76" s="9">
        <f>SUM(I54:I75)</f>
        <v>7270</v>
      </c>
      <c r="J76" s="8">
        <f>SUM(J54:J75)</f>
        <v>4100</v>
      </c>
    </row>
    <row r="78" spans="1:10" ht="23.4" x14ac:dyDescent="0.3">
      <c r="A78" s="95" t="s">
        <v>14</v>
      </c>
      <c r="B78" s="95"/>
      <c r="C78" s="95"/>
      <c r="D78" s="95"/>
      <c r="E78" s="95"/>
      <c r="F78" s="95"/>
      <c r="G78" s="95"/>
      <c r="H78" s="95"/>
      <c r="I78" s="95"/>
      <c r="J78" s="95"/>
    </row>
  </sheetData>
  <mergeCells count="9">
    <mergeCell ref="A42:J42"/>
    <mergeCell ref="A52:J52"/>
    <mergeCell ref="A78:J78"/>
    <mergeCell ref="H1:J1"/>
    <mergeCell ref="A2:J2"/>
    <mergeCell ref="A3:J3"/>
    <mergeCell ref="A16:J16"/>
    <mergeCell ref="A27:J27"/>
    <mergeCell ref="A34:J34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0" fitToHeight="0"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78"/>
  <sheetViews>
    <sheetView topLeftCell="A40" zoomScale="85" zoomScaleNormal="85" workbookViewId="0">
      <selection activeCell="L46" sqref="L46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0.6640625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250062</v>
      </c>
      <c r="B5" s="4">
        <v>304</v>
      </c>
      <c r="C5" s="6">
        <v>0.6</v>
      </c>
      <c r="D5" s="6" t="s">
        <v>11</v>
      </c>
      <c r="E5" s="7" t="s">
        <v>12</v>
      </c>
      <c r="F5" s="4" t="s">
        <v>13</v>
      </c>
      <c r="G5" s="4">
        <v>430</v>
      </c>
      <c r="H5" s="8">
        <v>150</v>
      </c>
      <c r="I5" s="9">
        <v>152</v>
      </c>
      <c r="J5" s="8">
        <f t="shared" ref="J5:J13" si="0">H5-I5</f>
        <v>-2</v>
      </c>
    </row>
    <row r="6" spans="1:10" ht="19.95" customHeight="1" x14ac:dyDescent="0.3">
      <c r="A6" s="4">
        <v>250062</v>
      </c>
      <c r="B6" s="4">
        <v>304</v>
      </c>
      <c r="C6" s="6">
        <v>0.6</v>
      </c>
      <c r="D6" s="6" t="s">
        <v>11</v>
      </c>
      <c r="E6" s="7" t="s">
        <v>30</v>
      </c>
      <c r="F6" s="4" t="s">
        <v>13</v>
      </c>
      <c r="G6" s="4">
        <v>430</v>
      </c>
      <c r="H6" s="8">
        <v>200</v>
      </c>
      <c r="I6" s="9">
        <f>90+120</f>
        <v>210</v>
      </c>
      <c r="J6" s="8">
        <f t="shared" si="0"/>
        <v>-10</v>
      </c>
    </row>
    <row r="7" spans="1:10" ht="19.95" customHeight="1" x14ac:dyDescent="0.3">
      <c r="A7" s="4">
        <v>225066</v>
      </c>
      <c r="B7" s="4">
        <v>430</v>
      </c>
      <c r="C7" s="6">
        <v>0.5</v>
      </c>
      <c r="D7" s="6" t="s">
        <v>11</v>
      </c>
      <c r="E7" s="7" t="s">
        <v>35</v>
      </c>
      <c r="F7" s="4" t="s">
        <v>45</v>
      </c>
      <c r="G7" s="4">
        <v>430</v>
      </c>
      <c r="H7" s="8">
        <v>1500</v>
      </c>
      <c r="I7" s="9">
        <f>841+780</f>
        <v>1621</v>
      </c>
      <c r="J7" s="8">
        <f t="shared" si="0"/>
        <v>-121</v>
      </c>
    </row>
    <row r="8" spans="1:10" ht="19.95" customHeight="1" x14ac:dyDescent="0.3">
      <c r="A8" s="4">
        <v>250062</v>
      </c>
      <c r="B8" s="4">
        <v>304</v>
      </c>
      <c r="C8" s="6">
        <v>0.6</v>
      </c>
      <c r="D8" s="6" t="s">
        <v>11</v>
      </c>
      <c r="E8" s="7" t="s">
        <v>39</v>
      </c>
      <c r="F8" s="4" t="s">
        <v>13</v>
      </c>
      <c r="G8" s="4">
        <v>430</v>
      </c>
      <c r="H8" s="8">
        <v>125</v>
      </c>
      <c r="I8" s="9">
        <v>131</v>
      </c>
      <c r="J8" s="8">
        <f t="shared" si="0"/>
        <v>-6</v>
      </c>
    </row>
    <row r="9" spans="1:10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0" ht="19.95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8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1975</v>
      </c>
      <c r="I14" s="14">
        <f>SUM(I5:I13)</f>
        <v>2114</v>
      </c>
      <c r="J14" s="8">
        <f>SUM(J5:J13)</f>
        <v>-139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225065</v>
      </c>
      <c r="B18" s="4">
        <v>430</v>
      </c>
      <c r="C18" s="6">
        <v>0.5</v>
      </c>
      <c r="D18" s="6" t="s">
        <v>11</v>
      </c>
      <c r="E18" s="7" t="s">
        <v>36</v>
      </c>
      <c r="F18" s="4" t="s">
        <v>45</v>
      </c>
      <c r="G18" s="4">
        <v>430</v>
      </c>
      <c r="H18" s="8">
        <v>1500</v>
      </c>
      <c r="I18" s="9">
        <v>1550</v>
      </c>
      <c r="J18" s="8">
        <f t="shared" ref="J18:J24" si="1">H18-I18</f>
        <v>-50</v>
      </c>
    </row>
    <row r="19" spans="1:10" ht="19.95" customHeight="1" x14ac:dyDescent="0.3">
      <c r="A19" s="4">
        <v>225066</v>
      </c>
      <c r="B19" s="4">
        <v>430</v>
      </c>
      <c r="C19" s="6">
        <v>0.5</v>
      </c>
      <c r="D19" s="6" t="s">
        <v>11</v>
      </c>
      <c r="E19" s="7" t="s">
        <v>37</v>
      </c>
      <c r="F19" s="4" t="s">
        <v>45</v>
      </c>
      <c r="G19" s="4">
        <v>430</v>
      </c>
      <c r="H19" s="8">
        <v>1500</v>
      </c>
      <c r="I19" s="9">
        <v>1557</v>
      </c>
      <c r="J19" s="8">
        <f t="shared" si="1"/>
        <v>-57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1"/>
        <v>0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8">
        <f t="shared" si="1"/>
        <v>0</v>
      </c>
    </row>
    <row r="23" spans="1:10" ht="19.95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8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3000</v>
      </c>
      <c r="I25" s="9">
        <f>SUM(I18:I24)</f>
        <v>3107</v>
      </c>
      <c r="J25" s="8">
        <f>SUM(J18:J24)</f>
        <v>-107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250069</v>
      </c>
      <c r="B29" s="4">
        <v>304</v>
      </c>
      <c r="C29" s="6">
        <v>0.6</v>
      </c>
      <c r="D29" s="6" t="s">
        <v>55</v>
      </c>
      <c r="E29" s="7" t="s">
        <v>50</v>
      </c>
      <c r="F29" s="21" t="s">
        <v>52</v>
      </c>
      <c r="G29" s="4">
        <v>430</v>
      </c>
      <c r="H29" s="8">
        <v>1650</v>
      </c>
      <c r="I29" s="9">
        <v>1653</v>
      </c>
      <c r="J29" s="8">
        <f t="shared" ref="J29:J31" si="2">H29-I29</f>
        <v>-3</v>
      </c>
    </row>
    <row r="30" spans="1:10" ht="19.95" customHeight="1" x14ac:dyDescent="0.3">
      <c r="A30" s="4">
        <v>250069</v>
      </c>
      <c r="B30" s="4">
        <v>304</v>
      </c>
      <c r="C30" s="6">
        <v>0.6</v>
      </c>
      <c r="D30" s="6" t="s">
        <v>55</v>
      </c>
      <c r="E30" s="7" t="s">
        <v>53</v>
      </c>
      <c r="F30" s="21" t="s">
        <v>52</v>
      </c>
      <c r="G30" s="4">
        <v>430</v>
      </c>
      <c r="H30" s="8">
        <v>1650</v>
      </c>
      <c r="I30" s="9">
        <f>1500+208</f>
        <v>1708</v>
      </c>
      <c r="J30" s="8">
        <f t="shared" si="2"/>
        <v>-58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SUM(H29:H31)</f>
        <v>3300</v>
      </c>
      <c r="I32" s="9">
        <f>SUM(I29:I31)</f>
        <v>3361</v>
      </c>
      <c r="J32" s="8">
        <f>SUM(J29:J31)</f>
        <v>-61</v>
      </c>
    </row>
    <row r="34" spans="1:10" ht="30" customHeight="1" x14ac:dyDescent="0.3">
      <c r="A34" s="94" t="s">
        <v>20</v>
      </c>
      <c r="B34" s="94"/>
      <c r="C34" s="94"/>
      <c r="D34" s="94"/>
      <c r="E34" s="94"/>
      <c r="F34" s="94"/>
      <c r="G34" s="94"/>
      <c r="H34" s="94"/>
      <c r="I34" s="94"/>
      <c r="J34" s="94"/>
    </row>
    <row r="35" spans="1:10" ht="30" customHeight="1" x14ac:dyDescent="0.3">
      <c r="A35" s="4" t="s">
        <v>1</v>
      </c>
      <c r="B35" s="4" t="s">
        <v>2</v>
      </c>
      <c r="C35" s="5" t="s">
        <v>3</v>
      </c>
      <c r="D35" s="5" t="s">
        <v>4</v>
      </c>
      <c r="E35" s="4" t="s">
        <v>5</v>
      </c>
      <c r="F35" s="5" t="s">
        <v>6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10925</v>
      </c>
      <c r="B36" s="4">
        <v>430</v>
      </c>
      <c r="C36" s="6">
        <v>0.8</v>
      </c>
      <c r="D36" s="6" t="s">
        <v>43</v>
      </c>
      <c r="E36" s="7" t="s">
        <v>46</v>
      </c>
      <c r="F36" s="21" t="s">
        <v>49</v>
      </c>
      <c r="G36" s="4">
        <v>430</v>
      </c>
      <c r="H36" s="8">
        <v>3100</v>
      </c>
      <c r="I36" s="9">
        <v>3272</v>
      </c>
      <c r="J36" s="8">
        <f t="shared" ref="J36:J39" si="3">H36-I36</f>
        <v>-172</v>
      </c>
    </row>
    <row r="37" spans="1:10" ht="19.95" customHeight="1" x14ac:dyDescent="0.3">
      <c r="A37" s="4">
        <v>250068</v>
      </c>
      <c r="B37" s="4">
        <v>304</v>
      </c>
      <c r="C37" s="6">
        <v>0.6</v>
      </c>
      <c r="D37" s="6" t="s">
        <v>55</v>
      </c>
      <c r="E37" s="7" t="s">
        <v>51</v>
      </c>
      <c r="F37" s="21" t="s">
        <v>52</v>
      </c>
      <c r="G37" s="4">
        <v>430</v>
      </c>
      <c r="H37" s="8">
        <v>1650</v>
      </c>
      <c r="I37" s="9">
        <f>670+1021</f>
        <v>1691</v>
      </c>
      <c r="J37" s="8">
        <f t="shared" si="3"/>
        <v>-41</v>
      </c>
    </row>
    <row r="38" spans="1:10" ht="19.95" customHeight="1" x14ac:dyDescent="0.3">
      <c r="A38" s="4">
        <v>250068</v>
      </c>
      <c r="B38" s="4">
        <v>304</v>
      </c>
      <c r="C38" s="6">
        <v>0.6</v>
      </c>
      <c r="D38" s="6" t="s">
        <v>55</v>
      </c>
      <c r="E38" s="7" t="s">
        <v>54</v>
      </c>
      <c r="F38" s="21" t="s">
        <v>52</v>
      </c>
      <c r="G38" s="4">
        <v>430</v>
      </c>
      <c r="H38" s="8">
        <v>1650</v>
      </c>
      <c r="I38" s="9">
        <v>1700</v>
      </c>
      <c r="J38" s="8">
        <f t="shared" si="3"/>
        <v>-50</v>
      </c>
    </row>
    <row r="39" spans="1:10" ht="19.95" customHeight="1" x14ac:dyDescent="0.3">
      <c r="A39" s="4">
        <v>210825</v>
      </c>
      <c r="B39" s="4">
        <v>430</v>
      </c>
      <c r="C39" s="6">
        <v>0.6</v>
      </c>
      <c r="D39" s="6" t="s">
        <v>55</v>
      </c>
      <c r="E39" s="7" t="s">
        <v>71</v>
      </c>
      <c r="F39" s="21" t="s">
        <v>52</v>
      </c>
      <c r="G39" s="4">
        <v>430</v>
      </c>
      <c r="H39" s="8">
        <v>3000</v>
      </c>
      <c r="I39" s="9">
        <v>904</v>
      </c>
      <c r="J39" s="8">
        <f t="shared" si="3"/>
        <v>2096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SUM(H36:H39)</f>
        <v>9400</v>
      </c>
      <c r="I40" s="9">
        <f>SUM(I36:I39)</f>
        <v>7567</v>
      </c>
      <c r="J40" s="8">
        <f>SUM(J36:J39)</f>
        <v>1833</v>
      </c>
    </row>
    <row r="41" spans="1:10" ht="19.95" customHeight="1" x14ac:dyDescent="0.3">
      <c r="A41" s="15"/>
      <c r="B41" s="15"/>
      <c r="C41" s="15"/>
      <c r="D41" s="15"/>
      <c r="E41" s="16"/>
      <c r="F41" s="15"/>
      <c r="G41" s="15"/>
      <c r="H41" s="17"/>
      <c r="I41" s="18"/>
      <c r="J41" s="17"/>
    </row>
    <row r="42" spans="1:10" ht="30" customHeight="1" x14ac:dyDescent="0.3">
      <c r="A42" s="94" t="s">
        <v>19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10925</v>
      </c>
      <c r="B44" s="4">
        <v>430</v>
      </c>
      <c r="C44" s="6">
        <v>0.8</v>
      </c>
      <c r="D44" s="6" t="s">
        <v>43</v>
      </c>
      <c r="E44" s="7" t="s">
        <v>48</v>
      </c>
      <c r="F44" s="21" t="s">
        <v>49</v>
      </c>
      <c r="G44" s="4">
        <v>430</v>
      </c>
      <c r="H44" s="8">
        <v>3300</v>
      </c>
      <c r="I44" s="9"/>
      <c r="J44" s="8">
        <f t="shared" ref="J44:J49" si="4">H44-I44</f>
        <v>3300</v>
      </c>
    </row>
    <row r="45" spans="1:10" ht="19.95" customHeight="1" x14ac:dyDescent="0.3">
      <c r="A45" s="21">
        <v>250074</v>
      </c>
      <c r="B45" s="21">
        <v>304</v>
      </c>
      <c r="C45" s="22">
        <v>0.7</v>
      </c>
      <c r="D45" s="22" t="s">
        <v>43</v>
      </c>
      <c r="E45" s="20" t="s">
        <v>40</v>
      </c>
      <c r="F45" s="21" t="s">
        <v>41</v>
      </c>
      <c r="G45" s="21">
        <v>430</v>
      </c>
      <c r="H45" s="23">
        <v>708</v>
      </c>
      <c r="I45" s="9">
        <f>276+505</f>
        <v>781</v>
      </c>
      <c r="J45" s="8">
        <f t="shared" si="4"/>
        <v>-73</v>
      </c>
    </row>
    <row r="46" spans="1:10" ht="19.95" customHeight="1" x14ac:dyDescent="0.3">
      <c r="A46" s="4">
        <v>250041</v>
      </c>
      <c r="B46" s="4">
        <v>304</v>
      </c>
      <c r="C46" s="6">
        <v>0.7</v>
      </c>
      <c r="D46" s="6" t="s">
        <v>55</v>
      </c>
      <c r="E46" s="7" t="s">
        <v>67</v>
      </c>
      <c r="F46" s="7"/>
      <c r="G46" s="4">
        <v>304</v>
      </c>
      <c r="H46" s="8">
        <v>500</v>
      </c>
      <c r="I46" s="9">
        <v>507</v>
      </c>
      <c r="J46" s="8">
        <f t="shared" si="4"/>
        <v>-7</v>
      </c>
    </row>
    <row r="47" spans="1:10" ht="19.95" customHeight="1" x14ac:dyDescent="0.3">
      <c r="A47" s="4">
        <v>250041</v>
      </c>
      <c r="B47" s="4">
        <v>304</v>
      </c>
      <c r="C47" s="6">
        <v>0.7</v>
      </c>
      <c r="D47" s="6" t="s">
        <v>55</v>
      </c>
      <c r="E47" s="7" t="s">
        <v>68</v>
      </c>
      <c r="F47" s="7"/>
      <c r="G47" s="4">
        <v>304</v>
      </c>
      <c r="H47" s="8">
        <v>500</v>
      </c>
      <c r="I47" s="9">
        <v>508</v>
      </c>
      <c r="J47" s="8">
        <f t="shared" si="4"/>
        <v>-8</v>
      </c>
    </row>
    <row r="48" spans="1:10" ht="19.95" customHeight="1" x14ac:dyDescent="0.3">
      <c r="A48" s="4">
        <v>250041</v>
      </c>
      <c r="B48" s="4">
        <v>304</v>
      </c>
      <c r="C48" s="6">
        <v>0.7</v>
      </c>
      <c r="D48" s="6" t="s">
        <v>55</v>
      </c>
      <c r="E48" s="7" t="s">
        <v>69</v>
      </c>
      <c r="F48" s="7"/>
      <c r="G48" s="4">
        <v>304</v>
      </c>
      <c r="H48" s="8">
        <v>500</v>
      </c>
      <c r="I48" s="9">
        <v>515</v>
      </c>
      <c r="J48" s="8">
        <f t="shared" si="4"/>
        <v>-15</v>
      </c>
    </row>
    <row r="49" spans="1:10" ht="19.95" customHeight="1" x14ac:dyDescent="0.3">
      <c r="A49" s="4">
        <v>250041</v>
      </c>
      <c r="B49" s="4">
        <v>304</v>
      </c>
      <c r="C49" s="6">
        <v>0.7</v>
      </c>
      <c r="D49" s="6" t="s">
        <v>55</v>
      </c>
      <c r="E49" s="7" t="s">
        <v>70</v>
      </c>
      <c r="F49" s="7"/>
      <c r="G49" s="4">
        <v>304</v>
      </c>
      <c r="H49" s="8">
        <v>500</v>
      </c>
      <c r="I49" s="24">
        <v>515</v>
      </c>
      <c r="J49" s="8">
        <f t="shared" si="4"/>
        <v>-15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SUM(H44:H49)</f>
        <v>6008</v>
      </c>
      <c r="I50" s="9">
        <f>SUM(I44:I49)</f>
        <v>2826</v>
      </c>
      <c r="J50" s="8">
        <f>SUM(J44:J49)</f>
        <v>3182</v>
      </c>
    </row>
    <row r="51" spans="1:10" ht="19.95" customHeight="1" x14ac:dyDescent="0.3">
      <c r="A51" s="15"/>
      <c r="B51" s="15"/>
      <c r="C51" s="15"/>
      <c r="D51" s="15"/>
      <c r="E51" s="16"/>
      <c r="F51" s="15"/>
      <c r="G51" s="15"/>
      <c r="H51" s="17"/>
      <c r="I51" s="18"/>
      <c r="J51" s="17"/>
    </row>
    <row r="52" spans="1:10" ht="30" customHeight="1" x14ac:dyDescent="0.3">
      <c r="A52" s="94" t="s">
        <v>23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10925</v>
      </c>
      <c r="B54" s="4">
        <v>304</v>
      </c>
      <c r="C54" s="6">
        <v>0.8</v>
      </c>
      <c r="D54" s="6" t="s">
        <v>43</v>
      </c>
      <c r="E54" s="7" t="s">
        <v>47</v>
      </c>
      <c r="F54" s="21" t="s">
        <v>49</v>
      </c>
      <c r="G54" s="4">
        <v>430</v>
      </c>
      <c r="H54" s="8">
        <v>3200</v>
      </c>
      <c r="I54" s="9"/>
      <c r="J54" s="8">
        <f t="shared" ref="J54:J75" si="5">H54-I54</f>
        <v>3200</v>
      </c>
    </row>
    <row r="55" spans="1:10" ht="19.95" hidden="1" customHeight="1" x14ac:dyDescent="0.3">
      <c r="A55" s="21"/>
      <c r="B55" s="21"/>
      <c r="C55" s="22"/>
      <c r="D55" s="22"/>
      <c r="E55" s="20"/>
      <c r="F55" s="21"/>
      <c r="G55" s="21"/>
      <c r="H55" s="23"/>
      <c r="I55" s="9"/>
      <c r="J55" s="8">
        <f t="shared" si="5"/>
        <v>0</v>
      </c>
    </row>
    <row r="56" spans="1:10" ht="19.95" hidden="1" customHeight="1" x14ac:dyDescent="0.3">
      <c r="A56" s="21"/>
      <c r="B56" s="21"/>
      <c r="C56" s="22"/>
      <c r="D56" s="22"/>
      <c r="E56" s="20"/>
      <c r="F56" s="21"/>
      <c r="G56" s="21"/>
      <c r="H56" s="23"/>
      <c r="I56" s="9"/>
      <c r="J56" s="8">
        <f t="shared" si="5"/>
        <v>0</v>
      </c>
    </row>
    <row r="57" spans="1:10" ht="19.95" hidden="1" customHeight="1" x14ac:dyDescent="0.3">
      <c r="A57" s="4"/>
      <c r="B57" s="4"/>
      <c r="C57" s="6"/>
      <c r="D57" s="6"/>
      <c r="E57" s="7"/>
      <c r="F57" s="21"/>
      <c r="G57" s="4"/>
      <c r="H57" s="8"/>
      <c r="I57" s="9"/>
      <c r="J57" s="8">
        <f t="shared" si="5"/>
        <v>0</v>
      </c>
    </row>
    <row r="58" spans="1:10" ht="19.95" hidden="1" customHeight="1" x14ac:dyDescent="0.3">
      <c r="A58" s="4"/>
      <c r="B58" s="4"/>
      <c r="C58" s="6"/>
      <c r="D58" s="6"/>
      <c r="E58" s="7"/>
      <c r="F58" s="4"/>
      <c r="G58" s="4"/>
      <c r="H58" s="8"/>
      <c r="I58" s="9"/>
      <c r="J58" s="8">
        <f t="shared" si="5"/>
        <v>0</v>
      </c>
    </row>
    <row r="59" spans="1:10" ht="19.95" customHeight="1" x14ac:dyDescent="0.3">
      <c r="A59" s="4">
        <v>250048</v>
      </c>
      <c r="B59" s="4">
        <v>304</v>
      </c>
      <c r="C59" s="6">
        <v>0.7</v>
      </c>
      <c r="D59" s="6" t="s">
        <v>43</v>
      </c>
      <c r="E59" s="7" t="s">
        <v>56</v>
      </c>
      <c r="F59" s="7"/>
      <c r="G59" s="4">
        <v>304</v>
      </c>
      <c r="H59" s="8">
        <v>570</v>
      </c>
      <c r="I59" s="9">
        <v>570</v>
      </c>
      <c r="J59" s="8">
        <f t="shared" si="5"/>
        <v>0</v>
      </c>
    </row>
    <row r="60" spans="1:10" ht="19.95" customHeight="1" x14ac:dyDescent="0.3">
      <c r="A60" s="4">
        <v>250048</v>
      </c>
      <c r="B60" s="4">
        <v>304</v>
      </c>
      <c r="C60" s="6">
        <v>0.7</v>
      </c>
      <c r="D60" s="6" t="s">
        <v>43</v>
      </c>
      <c r="E60" s="7" t="s">
        <v>57</v>
      </c>
      <c r="F60" s="7"/>
      <c r="G60" s="4">
        <v>304</v>
      </c>
      <c r="H60" s="8">
        <v>570</v>
      </c>
      <c r="I60" s="9">
        <v>570</v>
      </c>
      <c r="J60" s="8">
        <f t="shared" si="5"/>
        <v>0</v>
      </c>
    </row>
    <row r="61" spans="1:10" ht="19.95" customHeight="1" x14ac:dyDescent="0.3">
      <c r="A61" s="4">
        <v>250048</v>
      </c>
      <c r="B61" s="4">
        <v>304</v>
      </c>
      <c r="C61" s="6">
        <v>0.7</v>
      </c>
      <c r="D61" s="6" t="s">
        <v>43</v>
      </c>
      <c r="E61" s="7" t="s">
        <v>58</v>
      </c>
      <c r="F61" s="7"/>
      <c r="G61" s="4">
        <v>304</v>
      </c>
      <c r="H61" s="8">
        <v>570</v>
      </c>
      <c r="I61" s="9">
        <v>570</v>
      </c>
      <c r="J61" s="8">
        <f t="shared" si="5"/>
        <v>0</v>
      </c>
    </row>
    <row r="62" spans="1:10" ht="19.95" customHeight="1" x14ac:dyDescent="0.3">
      <c r="A62" s="4">
        <v>250048</v>
      </c>
      <c r="B62" s="4">
        <v>304</v>
      </c>
      <c r="C62" s="6">
        <v>0.7</v>
      </c>
      <c r="D62" s="6" t="s">
        <v>43</v>
      </c>
      <c r="E62" s="7" t="s">
        <v>59</v>
      </c>
      <c r="F62" s="7"/>
      <c r="G62" s="4">
        <v>304</v>
      </c>
      <c r="H62" s="8">
        <v>570</v>
      </c>
      <c r="I62" s="9">
        <v>570</v>
      </c>
      <c r="J62" s="8">
        <f t="shared" si="5"/>
        <v>0</v>
      </c>
    </row>
    <row r="63" spans="1:10" ht="19.95" customHeight="1" x14ac:dyDescent="0.3">
      <c r="A63" s="4">
        <v>250048</v>
      </c>
      <c r="B63" s="4">
        <v>304</v>
      </c>
      <c r="C63" s="6">
        <v>0.7</v>
      </c>
      <c r="D63" s="6" t="s">
        <v>43</v>
      </c>
      <c r="E63" s="7" t="s">
        <v>60</v>
      </c>
      <c r="F63" s="7"/>
      <c r="G63" s="4">
        <v>304</v>
      </c>
      <c r="H63" s="8">
        <v>570</v>
      </c>
      <c r="I63" s="9">
        <v>570</v>
      </c>
      <c r="J63" s="8">
        <f t="shared" si="5"/>
        <v>0</v>
      </c>
    </row>
    <row r="64" spans="1:10" ht="19.95" customHeight="1" x14ac:dyDescent="0.3">
      <c r="A64" s="4">
        <v>250048</v>
      </c>
      <c r="B64" s="4">
        <v>304</v>
      </c>
      <c r="C64" s="6">
        <v>0.7</v>
      </c>
      <c r="D64" s="6" t="s">
        <v>43</v>
      </c>
      <c r="E64" s="7" t="s">
        <v>61</v>
      </c>
      <c r="F64" s="7"/>
      <c r="G64" s="4">
        <v>304</v>
      </c>
      <c r="H64" s="8">
        <v>570</v>
      </c>
      <c r="I64" s="9">
        <v>570</v>
      </c>
      <c r="J64" s="8">
        <f t="shared" si="5"/>
        <v>0</v>
      </c>
    </row>
    <row r="65" spans="1:10" ht="19.95" customHeight="1" x14ac:dyDescent="0.3">
      <c r="A65" s="4">
        <v>250046</v>
      </c>
      <c r="B65" s="4">
        <v>304</v>
      </c>
      <c r="C65" s="6">
        <v>0.7</v>
      </c>
      <c r="D65" s="6" t="s">
        <v>43</v>
      </c>
      <c r="E65" s="7" t="s">
        <v>62</v>
      </c>
      <c r="F65" s="7"/>
      <c r="G65" s="4">
        <v>304</v>
      </c>
      <c r="H65" s="8">
        <v>950</v>
      </c>
      <c r="I65" s="9">
        <v>950</v>
      </c>
      <c r="J65" s="8">
        <f t="shared" si="5"/>
        <v>0</v>
      </c>
    </row>
    <row r="66" spans="1:10" ht="19.95" customHeight="1" x14ac:dyDescent="0.3">
      <c r="A66" s="4">
        <v>250046</v>
      </c>
      <c r="B66" s="4">
        <v>304</v>
      </c>
      <c r="C66" s="6">
        <v>0.7</v>
      </c>
      <c r="D66" s="6" t="s">
        <v>43</v>
      </c>
      <c r="E66" s="7" t="s">
        <v>63</v>
      </c>
      <c r="F66" s="7"/>
      <c r="G66" s="4">
        <v>304</v>
      </c>
      <c r="H66" s="8">
        <v>950</v>
      </c>
      <c r="I66" s="9">
        <v>950</v>
      </c>
      <c r="J66" s="8">
        <f t="shared" si="5"/>
        <v>0</v>
      </c>
    </row>
    <row r="67" spans="1:10" ht="19.95" customHeight="1" x14ac:dyDescent="0.3">
      <c r="A67" s="4">
        <v>250046</v>
      </c>
      <c r="B67" s="4">
        <v>304</v>
      </c>
      <c r="C67" s="6">
        <v>0.7</v>
      </c>
      <c r="D67" s="6" t="s">
        <v>43</v>
      </c>
      <c r="E67" s="7" t="s">
        <v>64</v>
      </c>
      <c r="F67" s="7"/>
      <c r="G67" s="4">
        <v>304</v>
      </c>
      <c r="H67" s="8">
        <v>950</v>
      </c>
      <c r="I67" s="9">
        <v>950</v>
      </c>
      <c r="J67" s="8">
        <f t="shared" si="5"/>
        <v>0</v>
      </c>
    </row>
    <row r="68" spans="1:10" ht="19.95" customHeight="1" x14ac:dyDescent="0.3">
      <c r="A68" s="4">
        <v>250046</v>
      </c>
      <c r="B68" s="4">
        <v>304</v>
      </c>
      <c r="C68" s="6">
        <v>0.7</v>
      </c>
      <c r="D68" s="6" t="s">
        <v>43</v>
      </c>
      <c r="E68" s="7" t="s">
        <v>65</v>
      </c>
      <c r="F68" s="7"/>
      <c r="G68" s="4">
        <v>304</v>
      </c>
      <c r="H68" s="8">
        <v>950</v>
      </c>
      <c r="I68" s="9">
        <v>950</v>
      </c>
      <c r="J68" s="8">
        <f t="shared" si="5"/>
        <v>0</v>
      </c>
    </row>
    <row r="69" spans="1:10" ht="19.95" customHeight="1" x14ac:dyDescent="0.3">
      <c r="A69" s="4">
        <v>250046</v>
      </c>
      <c r="B69" s="4">
        <v>304</v>
      </c>
      <c r="C69" s="6">
        <v>0.7</v>
      </c>
      <c r="D69" s="6" t="s">
        <v>43</v>
      </c>
      <c r="E69" s="7" t="s">
        <v>66</v>
      </c>
      <c r="F69" s="7"/>
      <c r="G69" s="4">
        <v>304</v>
      </c>
      <c r="H69" s="8">
        <v>950</v>
      </c>
      <c r="I69" s="9">
        <v>50</v>
      </c>
      <c r="J69" s="8">
        <f t="shared" si="5"/>
        <v>900</v>
      </c>
    </row>
    <row r="70" spans="1:10" ht="19.95" customHeight="1" x14ac:dyDescent="0.3">
      <c r="A70" s="4"/>
      <c r="B70" s="4"/>
      <c r="C70" s="6"/>
      <c r="D70" s="6"/>
      <c r="E70" s="7"/>
      <c r="F70" s="7"/>
      <c r="G70" s="4"/>
      <c r="H70" s="8"/>
      <c r="I70" s="9"/>
      <c r="J70" s="8">
        <f t="shared" si="5"/>
        <v>0</v>
      </c>
    </row>
    <row r="71" spans="1:10" ht="19.95" customHeight="1" x14ac:dyDescent="0.3">
      <c r="A71" s="4"/>
      <c r="B71" s="4"/>
      <c r="C71" s="6"/>
      <c r="D71" s="6"/>
      <c r="E71" s="7"/>
      <c r="F71" s="7"/>
      <c r="G71" s="4"/>
      <c r="H71" s="8"/>
      <c r="I71" s="9"/>
      <c r="J71" s="8">
        <f t="shared" si="5"/>
        <v>0</v>
      </c>
    </row>
    <row r="72" spans="1:10" ht="19.95" customHeight="1" x14ac:dyDescent="0.3">
      <c r="A72" s="4"/>
      <c r="B72" s="4"/>
      <c r="C72" s="6"/>
      <c r="D72" s="6"/>
      <c r="E72" s="7"/>
      <c r="F72" s="4"/>
      <c r="G72" s="4"/>
      <c r="H72" s="8"/>
      <c r="I72" s="9"/>
      <c r="J72" s="8">
        <f t="shared" si="5"/>
        <v>0</v>
      </c>
    </row>
    <row r="73" spans="1:10" ht="19.95" customHeight="1" x14ac:dyDescent="0.3">
      <c r="A73" s="4"/>
      <c r="B73" s="4"/>
      <c r="C73" s="6"/>
      <c r="D73" s="6"/>
      <c r="E73" s="7"/>
      <c r="F73" s="4"/>
      <c r="G73" s="4"/>
      <c r="H73" s="8"/>
      <c r="I73" s="9"/>
      <c r="J73" s="8">
        <f t="shared" si="5"/>
        <v>0</v>
      </c>
    </row>
    <row r="74" spans="1:10" ht="19.95" customHeight="1" x14ac:dyDescent="0.3">
      <c r="A74" s="4"/>
      <c r="B74" s="4"/>
      <c r="C74" s="6"/>
      <c r="D74" s="6"/>
      <c r="E74" s="7"/>
      <c r="F74" s="4"/>
      <c r="G74" s="4"/>
      <c r="H74" s="8"/>
      <c r="I74" s="9"/>
      <c r="J74" s="8">
        <f t="shared" si="5"/>
        <v>0</v>
      </c>
    </row>
    <row r="75" spans="1:10" ht="19.95" customHeight="1" x14ac:dyDescent="0.3">
      <c r="A75" s="4"/>
      <c r="B75" s="4"/>
      <c r="C75" s="6"/>
      <c r="D75" s="6"/>
      <c r="E75" s="7"/>
      <c r="F75" s="4"/>
      <c r="G75" s="4"/>
      <c r="H75" s="8"/>
      <c r="I75" s="9"/>
      <c r="J75" s="8">
        <f t="shared" si="5"/>
        <v>0</v>
      </c>
    </row>
    <row r="76" spans="1:10" ht="19.95" customHeight="1" x14ac:dyDescent="0.3">
      <c r="A76" s="10"/>
      <c r="B76" s="10"/>
      <c r="C76" s="10"/>
      <c r="D76" s="10"/>
      <c r="E76" s="11"/>
      <c r="F76" s="10"/>
      <c r="G76" s="12"/>
      <c r="H76" s="8">
        <f>SUM(H54:H75)</f>
        <v>11370</v>
      </c>
      <c r="I76" s="9">
        <f>SUM(I54:I75)</f>
        <v>7270</v>
      </c>
      <c r="J76" s="8">
        <f>SUM(J54:J75)</f>
        <v>4100</v>
      </c>
    </row>
    <row r="78" spans="1:10" ht="23.4" x14ac:dyDescent="0.3">
      <c r="A78" s="95" t="s">
        <v>14</v>
      </c>
      <c r="B78" s="95"/>
      <c r="C78" s="95"/>
      <c r="D78" s="95"/>
      <c r="E78" s="95"/>
      <c r="F78" s="95"/>
      <c r="G78" s="95"/>
      <c r="H78" s="95"/>
      <c r="I78" s="95"/>
      <c r="J78" s="95"/>
    </row>
  </sheetData>
  <mergeCells count="9">
    <mergeCell ref="A42:J42"/>
    <mergeCell ref="A52:J52"/>
    <mergeCell ref="A78:J78"/>
    <mergeCell ref="H1:J1"/>
    <mergeCell ref="A2:J2"/>
    <mergeCell ref="A3:J3"/>
    <mergeCell ref="A16:J16"/>
    <mergeCell ref="A27:J27"/>
    <mergeCell ref="A34:J34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0" fitToHeight="0"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1"/>
  <sheetViews>
    <sheetView zoomScale="85" zoomScaleNormal="85" workbookViewId="0">
      <selection activeCell="D90" sqref="D90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7.77734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72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210825</v>
      </c>
      <c r="B5" s="4">
        <v>430</v>
      </c>
      <c r="C5" s="6">
        <v>0.6</v>
      </c>
      <c r="D5" s="6" t="s">
        <v>55</v>
      </c>
      <c r="E5" s="7" t="s">
        <v>71</v>
      </c>
      <c r="F5" s="21" t="s">
        <v>52</v>
      </c>
      <c r="G5" s="4">
        <v>430</v>
      </c>
      <c r="H5" s="8">
        <v>3000</v>
      </c>
      <c r="I5" s="9">
        <f>904+2125</f>
        <v>3029</v>
      </c>
      <c r="J5" s="8">
        <f t="shared" ref="J5:J13" si="0">H5-I5</f>
        <v>-29</v>
      </c>
    </row>
    <row r="6" spans="1:10" ht="19.95" customHeight="1" x14ac:dyDescent="0.3">
      <c r="A6" s="4">
        <v>10925</v>
      </c>
      <c r="B6" s="4">
        <v>430</v>
      </c>
      <c r="C6" s="6">
        <v>0.8</v>
      </c>
      <c r="D6" s="6" t="s">
        <v>43</v>
      </c>
      <c r="E6" s="7" t="s">
        <v>73</v>
      </c>
      <c r="F6" s="4" t="s">
        <v>41</v>
      </c>
      <c r="G6" s="4">
        <v>430</v>
      </c>
      <c r="H6" s="8">
        <v>874</v>
      </c>
      <c r="I6" s="9">
        <v>874</v>
      </c>
      <c r="J6" s="8">
        <f t="shared" si="0"/>
        <v>0</v>
      </c>
    </row>
    <row r="7" spans="1:10" ht="19.95" customHeight="1" x14ac:dyDescent="0.3">
      <c r="A7" s="4"/>
      <c r="B7" s="4"/>
      <c r="C7" s="6"/>
      <c r="D7" s="6"/>
      <c r="E7" s="7"/>
      <c r="F7" s="4"/>
      <c r="G7" s="4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4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0" ht="19.95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8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3874</v>
      </c>
      <c r="I14" s="14">
        <f>SUM(I5:I13)</f>
        <v>3903</v>
      </c>
      <c r="J14" s="8">
        <f>SUM(J5:J13)</f>
        <v>-29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10925</v>
      </c>
      <c r="B18" s="4">
        <v>430</v>
      </c>
      <c r="C18" s="6">
        <v>0.8</v>
      </c>
      <c r="D18" s="6" t="s">
        <v>43</v>
      </c>
      <c r="E18" s="7" t="s">
        <v>73</v>
      </c>
      <c r="F18" s="4" t="s">
        <v>41</v>
      </c>
      <c r="G18" s="4">
        <v>430</v>
      </c>
      <c r="H18" s="8">
        <v>2476</v>
      </c>
      <c r="I18" s="9"/>
      <c r="J18" s="8">
        <f t="shared" ref="J18:J24" si="1">H18-I18</f>
        <v>2476</v>
      </c>
    </row>
    <row r="19" spans="1:10" ht="19.95" customHeight="1" x14ac:dyDescent="0.3">
      <c r="A19" s="4" t="s">
        <v>74</v>
      </c>
      <c r="B19" s="4">
        <v>304</v>
      </c>
      <c r="C19" s="6">
        <v>0.8</v>
      </c>
      <c r="D19" s="6" t="s">
        <v>43</v>
      </c>
      <c r="E19" s="7" t="s">
        <v>75</v>
      </c>
      <c r="F19" s="4" t="s">
        <v>41</v>
      </c>
      <c r="G19" s="4">
        <v>430</v>
      </c>
      <c r="H19" s="8">
        <v>3200</v>
      </c>
      <c r="I19" s="9"/>
      <c r="J19" s="8">
        <f t="shared" si="1"/>
        <v>3200</v>
      </c>
    </row>
    <row r="20" spans="1:10" ht="19.95" customHeight="1" x14ac:dyDescent="0.3">
      <c r="A20" s="4" t="s">
        <v>83</v>
      </c>
      <c r="B20" s="4">
        <v>304</v>
      </c>
      <c r="C20" s="6">
        <v>0.6</v>
      </c>
      <c r="D20" s="6" t="s">
        <v>55</v>
      </c>
      <c r="E20" s="7" t="s">
        <v>84</v>
      </c>
      <c r="F20" s="4" t="s">
        <v>45</v>
      </c>
      <c r="G20" s="4">
        <v>304</v>
      </c>
      <c r="H20" s="8">
        <v>38</v>
      </c>
      <c r="I20" s="9">
        <v>38</v>
      </c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1"/>
        <v>0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8">
        <f t="shared" si="1"/>
        <v>0</v>
      </c>
    </row>
    <row r="23" spans="1:10" ht="19.95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8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5714</v>
      </c>
      <c r="I25" s="9">
        <f>SUM(I18:I24)</f>
        <v>38</v>
      </c>
      <c r="J25" s="8">
        <f>SUM(J18:J24)</f>
        <v>5676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210825</v>
      </c>
      <c r="B29" s="4">
        <v>430</v>
      </c>
      <c r="C29" s="6">
        <v>0.6</v>
      </c>
      <c r="D29" s="6" t="s">
        <v>55</v>
      </c>
      <c r="E29" s="7" t="s">
        <v>85</v>
      </c>
      <c r="F29" s="4" t="s">
        <v>52</v>
      </c>
      <c r="G29" s="4">
        <v>430</v>
      </c>
      <c r="H29" s="8">
        <v>3000</v>
      </c>
      <c r="I29" s="9"/>
      <c r="J29" s="8">
        <f t="shared" ref="J29:J31" si="2">H29-I29</f>
        <v>3000</v>
      </c>
    </row>
    <row r="30" spans="1:10" ht="19.95" customHeight="1" x14ac:dyDescent="0.3">
      <c r="A30" s="4">
        <v>210825</v>
      </c>
      <c r="B30" s="4">
        <v>430</v>
      </c>
      <c r="C30" s="6">
        <v>0.6</v>
      </c>
      <c r="D30" s="6" t="s">
        <v>55</v>
      </c>
      <c r="E30" s="7" t="s">
        <v>76</v>
      </c>
      <c r="F30" s="21" t="s">
        <v>52</v>
      </c>
      <c r="G30" s="4">
        <v>430</v>
      </c>
      <c r="H30" s="8">
        <v>2600</v>
      </c>
      <c r="I30" s="9"/>
      <c r="J30" s="8">
        <f t="shared" si="2"/>
        <v>2600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SUM(H29:H31)</f>
        <v>5600</v>
      </c>
      <c r="I32" s="9">
        <f>SUM(I29:I31)</f>
        <v>0</v>
      </c>
      <c r="J32" s="8">
        <f>SUM(J29:J31)</f>
        <v>5600</v>
      </c>
    </row>
    <row r="34" spans="1:10" ht="30" customHeight="1" x14ac:dyDescent="0.3">
      <c r="A34" s="94" t="s">
        <v>20</v>
      </c>
      <c r="B34" s="94"/>
      <c r="C34" s="94"/>
      <c r="D34" s="94"/>
      <c r="E34" s="94"/>
      <c r="F34" s="94"/>
      <c r="G34" s="94"/>
      <c r="H34" s="94"/>
      <c r="I34" s="94"/>
      <c r="J34" s="94"/>
    </row>
    <row r="35" spans="1:10" ht="30" customHeight="1" x14ac:dyDescent="0.3">
      <c r="A35" s="4" t="s">
        <v>1</v>
      </c>
      <c r="B35" s="4" t="s">
        <v>2</v>
      </c>
      <c r="C35" s="5" t="s">
        <v>3</v>
      </c>
      <c r="D35" s="5" t="s">
        <v>4</v>
      </c>
      <c r="E35" s="4" t="s">
        <v>5</v>
      </c>
      <c r="F35" s="5" t="s">
        <v>6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250048</v>
      </c>
      <c r="B36" s="4">
        <v>304</v>
      </c>
      <c r="C36" s="6">
        <v>0.6</v>
      </c>
      <c r="D36" s="6" t="s">
        <v>55</v>
      </c>
      <c r="E36" s="7" t="s">
        <v>77</v>
      </c>
      <c r="F36" s="21" t="s">
        <v>52</v>
      </c>
      <c r="G36" s="4">
        <v>304</v>
      </c>
      <c r="H36" s="8">
        <v>690</v>
      </c>
      <c r="I36" s="9"/>
      <c r="J36" s="8">
        <f t="shared" ref="J36:J42" si="3">H36-I36</f>
        <v>690</v>
      </c>
    </row>
    <row r="37" spans="1:10" ht="19.95" customHeight="1" x14ac:dyDescent="0.3">
      <c r="A37" s="4">
        <v>250048</v>
      </c>
      <c r="B37" s="4">
        <v>304</v>
      </c>
      <c r="C37" s="6">
        <v>0.6</v>
      </c>
      <c r="D37" s="6" t="s">
        <v>55</v>
      </c>
      <c r="E37" s="7" t="s">
        <v>78</v>
      </c>
      <c r="F37" s="21" t="s">
        <v>52</v>
      </c>
      <c r="G37" s="4">
        <v>304</v>
      </c>
      <c r="H37" s="8">
        <v>240</v>
      </c>
      <c r="I37" s="9"/>
      <c r="J37" s="8">
        <f t="shared" si="3"/>
        <v>240</v>
      </c>
    </row>
    <row r="38" spans="1:10" ht="19.95" customHeight="1" x14ac:dyDescent="0.3">
      <c r="A38" s="4">
        <v>250048</v>
      </c>
      <c r="B38" s="4">
        <v>304</v>
      </c>
      <c r="C38" s="6">
        <v>0.6</v>
      </c>
      <c r="D38" s="6" t="s">
        <v>55</v>
      </c>
      <c r="E38" s="7" t="s">
        <v>79</v>
      </c>
      <c r="F38" s="21" t="s">
        <v>52</v>
      </c>
      <c r="G38" s="4">
        <v>304</v>
      </c>
      <c r="H38" s="8">
        <v>120</v>
      </c>
      <c r="I38" s="9"/>
      <c r="J38" s="8">
        <f t="shared" si="3"/>
        <v>120</v>
      </c>
    </row>
    <row r="39" spans="1:10" ht="19.95" customHeight="1" x14ac:dyDescent="0.3">
      <c r="A39" s="4">
        <v>250048</v>
      </c>
      <c r="B39" s="4">
        <v>304</v>
      </c>
      <c r="C39" s="6">
        <v>0.6</v>
      </c>
      <c r="D39" s="6" t="s">
        <v>55</v>
      </c>
      <c r="E39" s="7" t="s">
        <v>80</v>
      </c>
      <c r="F39" s="21" t="s">
        <v>52</v>
      </c>
      <c r="G39" s="4">
        <v>304</v>
      </c>
      <c r="H39" s="8">
        <v>690</v>
      </c>
      <c r="I39" s="9"/>
      <c r="J39" s="8">
        <f t="shared" si="3"/>
        <v>690</v>
      </c>
    </row>
    <row r="40" spans="1:10" ht="19.95" customHeight="1" x14ac:dyDescent="0.3">
      <c r="A40" s="4">
        <v>250048</v>
      </c>
      <c r="B40" s="4">
        <v>304</v>
      </c>
      <c r="C40" s="6">
        <v>0.6</v>
      </c>
      <c r="D40" s="6" t="s">
        <v>55</v>
      </c>
      <c r="E40" s="7" t="s">
        <v>81</v>
      </c>
      <c r="F40" s="21" t="s">
        <v>52</v>
      </c>
      <c r="G40" s="4">
        <v>304</v>
      </c>
      <c r="H40" s="8">
        <v>240</v>
      </c>
      <c r="I40" s="9"/>
      <c r="J40" s="8">
        <f t="shared" si="3"/>
        <v>240</v>
      </c>
    </row>
    <row r="41" spans="1:10" ht="19.95" customHeight="1" x14ac:dyDescent="0.3">
      <c r="A41" s="4">
        <v>250048</v>
      </c>
      <c r="B41" s="4">
        <v>304</v>
      </c>
      <c r="C41" s="6">
        <v>0.6</v>
      </c>
      <c r="D41" s="6" t="s">
        <v>55</v>
      </c>
      <c r="E41" s="7" t="s">
        <v>82</v>
      </c>
      <c r="F41" s="21" t="s">
        <v>52</v>
      </c>
      <c r="G41" s="4">
        <v>304</v>
      </c>
      <c r="H41" s="8">
        <v>120</v>
      </c>
      <c r="I41" s="9"/>
      <c r="J41" s="8">
        <f t="shared" si="3"/>
        <v>120</v>
      </c>
    </row>
    <row r="42" spans="1:10" ht="19.95" customHeight="1" x14ac:dyDescent="0.3">
      <c r="A42" s="4"/>
      <c r="B42" s="4"/>
      <c r="C42" s="6"/>
      <c r="D42" s="6"/>
      <c r="E42" s="7"/>
      <c r="F42" s="21"/>
      <c r="G42" s="4"/>
      <c r="H42" s="8"/>
      <c r="I42" s="9"/>
      <c r="J42" s="8">
        <f t="shared" si="3"/>
        <v>0</v>
      </c>
    </row>
    <row r="43" spans="1:10" ht="19.95" customHeight="1" x14ac:dyDescent="0.3">
      <c r="A43" s="10"/>
      <c r="B43" s="10"/>
      <c r="C43" s="10"/>
      <c r="D43" s="10"/>
      <c r="E43" s="11"/>
      <c r="F43" s="10"/>
      <c r="G43" s="12"/>
      <c r="H43" s="8">
        <f>SUM(H36:H42)</f>
        <v>2100</v>
      </c>
      <c r="I43" s="9">
        <f>SUM(I36:I42)</f>
        <v>0</v>
      </c>
      <c r="J43" s="8">
        <f>SUM(J36:J42)</f>
        <v>2100</v>
      </c>
    </row>
    <row r="44" spans="1:10" ht="19.95" customHeight="1" x14ac:dyDescent="0.3">
      <c r="A44" s="15"/>
      <c r="B44" s="15"/>
      <c r="C44" s="15"/>
      <c r="D44" s="15"/>
      <c r="E44" s="16"/>
      <c r="F44" s="15"/>
      <c r="G44" s="15"/>
      <c r="H44" s="17"/>
      <c r="I44" s="18"/>
      <c r="J44" s="17"/>
    </row>
    <row r="45" spans="1:10" ht="30" customHeight="1" x14ac:dyDescent="0.3">
      <c r="A45" s="94" t="s">
        <v>19</v>
      </c>
      <c r="B45" s="94"/>
      <c r="C45" s="94"/>
      <c r="D45" s="94"/>
      <c r="E45" s="94"/>
      <c r="F45" s="94"/>
      <c r="G45" s="94"/>
      <c r="H45" s="94"/>
      <c r="I45" s="94"/>
      <c r="J45" s="94"/>
    </row>
    <row r="46" spans="1:10" ht="30" customHeight="1" x14ac:dyDescent="0.3">
      <c r="A46" s="4" t="s">
        <v>1</v>
      </c>
      <c r="B46" s="4" t="s">
        <v>2</v>
      </c>
      <c r="C46" s="5" t="s">
        <v>3</v>
      </c>
      <c r="D46" s="5" t="s">
        <v>4</v>
      </c>
      <c r="E46" s="4" t="s">
        <v>5</v>
      </c>
      <c r="F46" s="5" t="s">
        <v>6</v>
      </c>
      <c r="G46" s="5" t="s">
        <v>7</v>
      </c>
      <c r="H46" s="4" t="s">
        <v>8</v>
      </c>
      <c r="I46" s="4" t="s">
        <v>9</v>
      </c>
      <c r="J46" s="4" t="s">
        <v>10</v>
      </c>
    </row>
    <row r="47" spans="1:10" ht="19.95" customHeight="1" x14ac:dyDescent="0.3">
      <c r="A47" s="4">
        <v>250048</v>
      </c>
      <c r="B47" s="4">
        <v>304</v>
      </c>
      <c r="C47" s="6">
        <v>0.6</v>
      </c>
      <c r="D47" s="6" t="s">
        <v>55</v>
      </c>
      <c r="E47" s="7" t="s">
        <v>86</v>
      </c>
      <c r="F47" s="21" t="s">
        <v>52</v>
      </c>
      <c r="G47" s="4">
        <v>304</v>
      </c>
      <c r="H47" s="8">
        <v>690</v>
      </c>
      <c r="I47" s="9"/>
      <c r="J47" s="8">
        <f t="shared" ref="J47:J52" si="4">H47-I47</f>
        <v>690</v>
      </c>
    </row>
    <row r="48" spans="1:10" ht="19.95" customHeight="1" x14ac:dyDescent="0.3">
      <c r="A48" s="4">
        <v>250048</v>
      </c>
      <c r="B48" s="4">
        <v>304</v>
      </c>
      <c r="C48" s="6">
        <v>0.6</v>
      </c>
      <c r="D48" s="6" t="s">
        <v>55</v>
      </c>
      <c r="E48" s="7" t="s">
        <v>87</v>
      </c>
      <c r="F48" s="21" t="s">
        <v>52</v>
      </c>
      <c r="G48" s="4">
        <v>304</v>
      </c>
      <c r="H48" s="8">
        <v>240</v>
      </c>
      <c r="I48" s="9"/>
      <c r="J48" s="8">
        <f t="shared" si="4"/>
        <v>240</v>
      </c>
    </row>
    <row r="49" spans="1:10" ht="19.95" customHeight="1" x14ac:dyDescent="0.3">
      <c r="A49" s="4">
        <v>250048</v>
      </c>
      <c r="B49" s="4">
        <v>304</v>
      </c>
      <c r="C49" s="6">
        <v>0.6</v>
      </c>
      <c r="D49" s="6" t="s">
        <v>55</v>
      </c>
      <c r="E49" s="7" t="s">
        <v>88</v>
      </c>
      <c r="F49" s="21" t="s">
        <v>52</v>
      </c>
      <c r="G49" s="4">
        <v>304</v>
      </c>
      <c r="H49" s="8">
        <v>120</v>
      </c>
      <c r="I49" s="9"/>
      <c r="J49" s="8">
        <f t="shared" si="4"/>
        <v>120</v>
      </c>
    </row>
    <row r="50" spans="1:10" ht="19.95" customHeight="1" x14ac:dyDescent="0.3">
      <c r="A50" s="4" t="s">
        <v>89</v>
      </c>
      <c r="B50" s="4">
        <v>304</v>
      </c>
      <c r="C50" s="6">
        <v>0.9</v>
      </c>
      <c r="D50" s="6" t="s">
        <v>43</v>
      </c>
      <c r="E50" s="7" t="s">
        <v>90</v>
      </c>
      <c r="F50" s="7" t="s">
        <v>41</v>
      </c>
      <c r="G50" s="4">
        <v>430</v>
      </c>
      <c r="H50" s="8">
        <v>1500</v>
      </c>
      <c r="I50" s="9"/>
      <c r="J50" s="8">
        <f t="shared" si="4"/>
        <v>1500</v>
      </c>
    </row>
    <row r="51" spans="1:10" ht="19.95" customHeight="1" x14ac:dyDescent="0.3">
      <c r="A51" s="4">
        <v>100925</v>
      </c>
      <c r="B51" s="4">
        <v>304</v>
      </c>
      <c r="C51" s="6">
        <v>0.9</v>
      </c>
      <c r="D51" s="6" t="s">
        <v>91</v>
      </c>
      <c r="E51" s="7" t="s">
        <v>92</v>
      </c>
      <c r="F51" s="7" t="s">
        <v>41</v>
      </c>
      <c r="G51" s="4">
        <v>430</v>
      </c>
      <c r="H51" s="8">
        <v>1500</v>
      </c>
      <c r="I51" s="9"/>
      <c r="J51" s="8">
        <f t="shared" si="4"/>
        <v>1500</v>
      </c>
    </row>
    <row r="52" spans="1:10" ht="19.95" customHeight="1" x14ac:dyDescent="0.3">
      <c r="A52" s="4"/>
      <c r="B52" s="4"/>
      <c r="C52" s="6"/>
      <c r="D52" s="6"/>
      <c r="E52" s="7"/>
      <c r="F52" s="7"/>
      <c r="G52" s="4"/>
      <c r="H52" s="8"/>
      <c r="I52" s="24"/>
      <c r="J52" s="8">
        <f t="shared" si="4"/>
        <v>0</v>
      </c>
    </row>
    <row r="53" spans="1:10" ht="19.95" customHeight="1" x14ac:dyDescent="0.3">
      <c r="A53" s="10"/>
      <c r="B53" s="10"/>
      <c r="C53" s="10"/>
      <c r="D53" s="10"/>
      <c r="E53" s="11"/>
      <c r="F53" s="10"/>
      <c r="G53" s="12"/>
      <c r="H53" s="8">
        <f>SUM(H47:H52)</f>
        <v>4050</v>
      </c>
      <c r="I53" s="9">
        <f>SUM(I47:I52)</f>
        <v>0</v>
      </c>
      <c r="J53" s="8">
        <f>SUM(J47:J52)</f>
        <v>4050</v>
      </c>
    </row>
    <row r="54" spans="1:10" ht="19.95" customHeight="1" x14ac:dyDescent="0.3">
      <c r="A54" s="15"/>
      <c r="B54" s="15"/>
      <c r="C54" s="15"/>
      <c r="D54" s="15"/>
      <c r="E54" s="16"/>
      <c r="F54" s="15"/>
      <c r="G54" s="15"/>
      <c r="H54" s="17"/>
      <c r="I54" s="18"/>
      <c r="J54" s="17"/>
    </row>
    <row r="55" spans="1:10" ht="30" customHeight="1" x14ac:dyDescent="0.3">
      <c r="A55" s="94" t="s">
        <v>23</v>
      </c>
      <c r="B55" s="94"/>
      <c r="C55" s="94"/>
      <c r="D55" s="94"/>
      <c r="E55" s="94"/>
      <c r="F55" s="94"/>
      <c r="G55" s="94"/>
      <c r="H55" s="94"/>
      <c r="I55" s="94"/>
      <c r="J55" s="94"/>
    </row>
    <row r="56" spans="1:10" ht="30" customHeight="1" x14ac:dyDescent="0.3">
      <c r="A56" s="4" t="s">
        <v>1</v>
      </c>
      <c r="B56" s="4" t="s">
        <v>2</v>
      </c>
      <c r="C56" s="5" t="s">
        <v>3</v>
      </c>
      <c r="D56" s="5" t="s">
        <v>4</v>
      </c>
      <c r="E56" s="4" t="s">
        <v>5</v>
      </c>
      <c r="F56" s="5" t="s">
        <v>6</v>
      </c>
      <c r="G56" s="5" t="s">
        <v>7</v>
      </c>
      <c r="H56" s="4" t="s">
        <v>8</v>
      </c>
      <c r="I56" s="4" t="s">
        <v>9</v>
      </c>
      <c r="J56" s="4" t="s">
        <v>10</v>
      </c>
    </row>
    <row r="57" spans="1:10" ht="19.95" customHeight="1" x14ac:dyDescent="0.3">
      <c r="A57" s="4">
        <v>100925</v>
      </c>
      <c r="B57" s="4">
        <v>304</v>
      </c>
      <c r="C57" s="6">
        <v>0.9</v>
      </c>
      <c r="D57" s="6" t="s">
        <v>43</v>
      </c>
      <c r="E57" s="7" t="s">
        <v>93</v>
      </c>
      <c r="F57" s="21" t="s">
        <v>41</v>
      </c>
      <c r="G57" s="4">
        <v>430</v>
      </c>
      <c r="H57" s="8">
        <v>600</v>
      </c>
      <c r="I57" s="9"/>
      <c r="J57" s="8">
        <f t="shared" ref="J57:J78" si="5">H57-I57</f>
        <v>600</v>
      </c>
    </row>
    <row r="58" spans="1:10" ht="19.95" hidden="1" customHeight="1" x14ac:dyDescent="0.3">
      <c r="A58" s="21"/>
      <c r="B58" s="21"/>
      <c r="C58" s="22"/>
      <c r="D58" s="22"/>
      <c r="E58" s="20"/>
      <c r="F58" s="21"/>
      <c r="G58" s="21"/>
      <c r="H58" s="23"/>
      <c r="I58" s="9"/>
      <c r="J58" s="8">
        <f t="shared" si="5"/>
        <v>0</v>
      </c>
    </row>
    <row r="59" spans="1:10" ht="19.95" hidden="1" customHeight="1" x14ac:dyDescent="0.3">
      <c r="A59" s="21"/>
      <c r="B59" s="21"/>
      <c r="C59" s="22"/>
      <c r="D59" s="22"/>
      <c r="E59" s="20"/>
      <c r="F59" s="21"/>
      <c r="G59" s="21"/>
      <c r="H59" s="23"/>
      <c r="I59" s="9"/>
      <c r="J59" s="8">
        <f t="shared" si="5"/>
        <v>0</v>
      </c>
    </row>
    <row r="60" spans="1:10" ht="19.95" hidden="1" customHeight="1" x14ac:dyDescent="0.3">
      <c r="A60" s="4"/>
      <c r="B60" s="4"/>
      <c r="C60" s="6"/>
      <c r="D60" s="6"/>
      <c r="E60" s="7"/>
      <c r="F60" s="21"/>
      <c r="G60" s="4"/>
      <c r="H60" s="8"/>
      <c r="I60" s="9"/>
      <c r="J60" s="8">
        <f t="shared" si="5"/>
        <v>0</v>
      </c>
    </row>
    <row r="61" spans="1:10" ht="19.95" hidden="1" customHeight="1" x14ac:dyDescent="0.3">
      <c r="A61" s="4"/>
      <c r="B61" s="4"/>
      <c r="C61" s="6"/>
      <c r="D61" s="6"/>
      <c r="E61" s="7"/>
      <c r="F61" s="4"/>
      <c r="G61" s="4"/>
      <c r="H61" s="8"/>
      <c r="I61" s="9"/>
      <c r="J61" s="8">
        <f t="shared" si="5"/>
        <v>0</v>
      </c>
    </row>
    <row r="62" spans="1:10" ht="19.95" customHeight="1" x14ac:dyDescent="0.3">
      <c r="A62" s="4" t="s">
        <v>89</v>
      </c>
      <c r="B62" s="4">
        <v>304</v>
      </c>
      <c r="C62" s="6">
        <v>0.9</v>
      </c>
      <c r="D62" s="6" t="s">
        <v>43</v>
      </c>
      <c r="E62" s="7" t="s">
        <v>94</v>
      </c>
      <c r="F62" s="4" t="s">
        <v>41</v>
      </c>
      <c r="G62" s="4">
        <v>430</v>
      </c>
      <c r="H62" s="8">
        <v>1500</v>
      </c>
      <c r="I62" s="9"/>
      <c r="J62" s="8">
        <f t="shared" si="5"/>
        <v>1500</v>
      </c>
    </row>
    <row r="63" spans="1:10" ht="19.95" customHeight="1" x14ac:dyDescent="0.3">
      <c r="A63" s="4"/>
      <c r="B63" s="4"/>
      <c r="C63" s="6"/>
      <c r="D63" s="6"/>
      <c r="E63" s="7"/>
      <c r="F63" s="7"/>
      <c r="G63" s="4"/>
      <c r="H63" s="8"/>
      <c r="I63" s="9"/>
      <c r="J63" s="8">
        <f t="shared" si="5"/>
        <v>0</v>
      </c>
    </row>
    <row r="64" spans="1:10" ht="19.95" hidden="1" customHeight="1" x14ac:dyDescent="0.3">
      <c r="A64" s="4"/>
      <c r="B64" s="4"/>
      <c r="C64" s="6"/>
      <c r="D64" s="6"/>
      <c r="E64" s="7"/>
      <c r="F64" s="7"/>
      <c r="G64" s="4"/>
      <c r="H64" s="8"/>
      <c r="I64" s="9"/>
      <c r="J64" s="8">
        <f t="shared" si="5"/>
        <v>0</v>
      </c>
    </row>
    <row r="65" spans="1:10" ht="19.95" hidden="1" customHeight="1" x14ac:dyDescent="0.3">
      <c r="A65" s="4"/>
      <c r="B65" s="4"/>
      <c r="C65" s="6"/>
      <c r="D65" s="6"/>
      <c r="E65" s="7"/>
      <c r="F65" s="7"/>
      <c r="G65" s="4"/>
      <c r="H65" s="8"/>
      <c r="I65" s="9"/>
      <c r="J65" s="8">
        <f t="shared" si="5"/>
        <v>0</v>
      </c>
    </row>
    <row r="66" spans="1:10" ht="19.95" hidden="1" customHeight="1" x14ac:dyDescent="0.3">
      <c r="A66" s="4"/>
      <c r="B66" s="4"/>
      <c r="C66" s="6"/>
      <c r="D66" s="6"/>
      <c r="E66" s="7"/>
      <c r="F66" s="7"/>
      <c r="G66" s="4"/>
      <c r="H66" s="8"/>
      <c r="I66" s="9"/>
      <c r="J66" s="8">
        <f t="shared" si="5"/>
        <v>0</v>
      </c>
    </row>
    <row r="67" spans="1:10" ht="19.95" hidden="1" customHeight="1" x14ac:dyDescent="0.3">
      <c r="A67" s="4"/>
      <c r="B67" s="4"/>
      <c r="C67" s="6"/>
      <c r="D67" s="6"/>
      <c r="E67" s="7"/>
      <c r="F67" s="7"/>
      <c r="G67" s="4"/>
      <c r="H67" s="8"/>
      <c r="I67" s="9"/>
      <c r="J67" s="8">
        <f t="shared" si="5"/>
        <v>0</v>
      </c>
    </row>
    <row r="68" spans="1:10" ht="19.95" hidden="1" customHeight="1" x14ac:dyDescent="0.3">
      <c r="A68" s="4"/>
      <c r="B68" s="4"/>
      <c r="C68" s="6"/>
      <c r="D68" s="6"/>
      <c r="E68" s="7"/>
      <c r="F68" s="7"/>
      <c r="G68" s="4"/>
      <c r="H68" s="8"/>
      <c r="I68" s="9"/>
      <c r="J68" s="8">
        <f t="shared" si="5"/>
        <v>0</v>
      </c>
    </row>
    <row r="69" spans="1:10" ht="19.95" hidden="1" customHeight="1" x14ac:dyDescent="0.3">
      <c r="A69" s="4"/>
      <c r="B69" s="4"/>
      <c r="C69" s="6"/>
      <c r="D69" s="6"/>
      <c r="E69" s="7"/>
      <c r="F69" s="7"/>
      <c r="G69" s="4"/>
      <c r="H69" s="8"/>
      <c r="I69" s="9"/>
      <c r="J69" s="8">
        <f t="shared" si="5"/>
        <v>0</v>
      </c>
    </row>
    <row r="70" spans="1:10" ht="19.95" hidden="1" customHeight="1" x14ac:dyDescent="0.3">
      <c r="A70" s="4"/>
      <c r="B70" s="4"/>
      <c r="C70" s="6"/>
      <c r="D70" s="6"/>
      <c r="E70" s="7"/>
      <c r="F70" s="7"/>
      <c r="G70" s="4"/>
      <c r="H70" s="8"/>
      <c r="I70" s="9"/>
      <c r="J70" s="8">
        <f t="shared" si="5"/>
        <v>0</v>
      </c>
    </row>
    <row r="71" spans="1:10" ht="19.95" hidden="1" customHeight="1" x14ac:dyDescent="0.3">
      <c r="A71" s="4"/>
      <c r="B71" s="4"/>
      <c r="C71" s="6"/>
      <c r="D71" s="6"/>
      <c r="E71" s="7"/>
      <c r="F71" s="7"/>
      <c r="G71" s="4"/>
      <c r="H71" s="8"/>
      <c r="I71" s="9"/>
      <c r="J71" s="8">
        <f t="shared" si="5"/>
        <v>0</v>
      </c>
    </row>
    <row r="72" spans="1:10" ht="19.95" hidden="1" customHeight="1" x14ac:dyDescent="0.3">
      <c r="A72" s="4"/>
      <c r="B72" s="4"/>
      <c r="C72" s="6"/>
      <c r="D72" s="6"/>
      <c r="E72" s="7"/>
      <c r="F72" s="7"/>
      <c r="G72" s="4"/>
      <c r="H72" s="8"/>
      <c r="I72" s="9"/>
      <c r="J72" s="8">
        <f t="shared" si="5"/>
        <v>0</v>
      </c>
    </row>
    <row r="73" spans="1:10" ht="19.95" hidden="1" customHeight="1" x14ac:dyDescent="0.3">
      <c r="A73" s="4"/>
      <c r="B73" s="4"/>
      <c r="C73" s="6"/>
      <c r="D73" s="6"/>
      <c r="E73" s="7"/>
      <c r="F73" s="7"/>
      <c r="G73" s="4"/>
      <c r="H73" s="8"/>
      <c r="I73" s="9"/>
      <c r="J73" s="8">
        <f t="shared" si="5"/>
        <v>0</v>
      </c>
    </row>
    <row r="74" spans="1:10" ht="19.95" hidden="1" customHeight="1" x14ac:dyDescent="0.3">
      <c r="A74" s="4"/>
      <c r="B74" s="4"/>
      <c r="C74" s="6"/>
      <c r="D74" s="6"/>
      <c r="E74" s="7"/>
      <c r="F74" s="7"/>
      <c r="G74" s="4"/>
      <c r="H74" s="8"/>
      <c r="I74" s="9"/>
      <c r="J74" s="8">
        <f t="shared" si="5"/>
        <v>0</v>
      </c>
    </row>
    <row r="75" spans="1:10" ht="19.95" customHeight="1" x14ac:dyDescent="0.3">
      <c r="A75" s="4"/>
      <c r="B75" s="4"/>
      <c r="C75" s="6"/>
      <c r="D75" s="6"/>
      <c r="E75" s="7"/>
      <c r="F75" s="4"/>
      <c r="G75" s="4"/>
      <c r="H75" s="8"/>
      <c r="I75" s="9"/>
      <c r="J75" s="8">
        <f t="shared" si="5"/>
        <v>0</v>
      </c>
    </row>
    <row r="76" spans="1:10" ht="19.95" customHeight="1" x14ac:dyDescent="0.3">
      <c r="A76" s="4"/>
      <c r="B76" s="4"/>
      <c r="C76" s="6"/>
      <c r="D76" s="6"/>
      <c r="E76" s="7"/>
      <c r="F76" s="4"/>
      <c r="G76" s="4"/>
      <c r="H76" s="8"/>
      <c r="I76" s="9"/>
      <c r="J76" s="8">
        <f t="shared" si="5"/>
        <v>0</v>
      </c>
    </row>
    <row r="77" spans="1:10" ht="19.95" customHeight="1" x14ac:dyDescent="0.3">
      <c r="A77" s="4"/>
      <c r="B77" s="4"/>
      <c r="C77" s="6"/>
      <c r="D77" s="6"/>
      <c r="E77" s="7"/>
      <c r="F77" s="4"/>
      <c r="G77" s="4"/>
      <c r="H77" s="8"/>
      <c r="I77" s="9"/>
      <c r="J77" s="8">
        <f t="shared" si="5"/>
        <v>0</v>
      </c>
    </row>
    <row r="78" spans="1:10" ht="19.95" customHeight="1" x14ac:dyDescent="0.3">
      <c r="A78" s="4"/>
      <c r="B78" s="4"/>
      <c r="C78" s="6"/>
      <c r="D78" s="6"/>
      <c r="E78" s="7"/>
      <c r="F78" s="4"/>
      <c r="G78" s="4"/>
      <c r="H78" s="8"/>
      <c r="I78" s="9"/>
      <c r="J78" s="8">
        <f t="shared" si="5"/>
        <v>0</v>
      </c>
    </row>
    <row r="79" spans="1:10" ht="19.95" customHeight="1" x14ac:dyDescent="0.3">
      <c r="A79" s="10"/>
      <c r="B79" s="10"/>
      <c r="C79" s="10"/>
      <c r="D79" s="10"/>
      <c r="E79" s="11"/>
      <c r="F79" s="10"/>
      <c r="G79" s="12"/>
      <c r="H79" s="8">
        <f>SUM(H57:H78)</f>
        <v>2100</v>
      </c>
      <c r="I79" s="9">
        <f>SUM(I57:I78)</f>
        <v>0</v>
      </c>
      <c r="J79" s="8">
        <f>SUM(J57:J78)</f>
        <v>2100</v>
      </c>
    </row>
    <row r="81" spans="1:10" ht="23.4" x14ac:dyDescent="0.3">
      <c r="A81" s="95" t="s">
        <v>14</v>
      </c>
      <c r="B81" s="95"/>
      <c r="C81" s="95"/>
      <c r="D81" s="95"/>
      <c r="E81" s="95"/>
      <c r="F81" s="95"/>
      <c r="G81" s="95"/>
      <c r="H81" s="95"/>
      <c r="I81" s="95"/>
      <c r="J81" s="95"/>
    </row>
  </sheetData>
  <mergeCells count="9">
    <mergeCell ref="A45:J45"/>
    <mergeCell ref="A55:J55"/>
    <mergeCell ref="A81:J81"/>
    <mergeCell ref="H1:J1"/>
    <mergeCell ref="A2:J2"/>
    <mergeCell ref="A3:J3"/>
    <mergeCell ref="A16:J16"/>
    <mergeCell ref="A27:J27"/>
    <mergeCell ref="A34:J34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0" fitToHeight="0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0"/>
  <sheetViews>
    <sheetView topLeftCell="A13" zoomScale="85" zoomScaleNormal="85" workbookViewId="0">
      <selection activeCell="K29" sqref="K2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7.77734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72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210825</v>
      </c>
      <c r="B5" s="4">
        <v>430</v>
      </c>
      <c r="C5" s="6">
        <v>0.6</v>
      </c>
      <c r="D5" s="6" t="s">
        <v>55</v>
      </c>
      <c r="E5" s="7" t="s">
        <v>71</v>
      </c>
      <c r="F5" s="21" t="s">
        <v>52</v>
      </c>
      <c r="G5" s="4">
        <v>430</v>
      </c>
      <c r="H5" s="8">
        <v>3000</v>
      </c>
      <c r="I5" s="9">
        <f>904+2125</f>
        <v>3029</v>
      </c>
      <c r="J5" s="8">
        <f t="shared" ref="J5:J13" si="0">H5-I5</f>
        <v>-29</v>
      </c>
    </row>
    <row r="6" spans="1:10" ht="19.95" customHeight="1" x14ac:dyDescent="0.3">
      <c r="A6" s="4">
        <v>10925</v>
      </c>
      <c r="B6" s="4">
        <v>430</v>
      </c>
      <c r="C6" s="6">
        <v>0.8</v>
      </c>
      <c r="D6" s="6" t="s">
        <v>43</v>
      </c>
      <c r="E6" s="7" t="s">
        <v>73</v>
      </c>
      <c r="F6" s="4" t="s">
        <v>41</v>
      </c>
      <c r="G6" s="4">
        <v>430</v>
      </c>
      <c r="H6" s="8">
        <v>874</v>
      </c>
      <c r="I6" s="9">
        <v>874</v>
      </c>
      <c r="J6" s="8">
        <f t="shared" si="0"/>
        <v>0</v>
      </c>
    </row>
    <row r="7" spans="1:10" ht="19.95" customHeight="1" x14ac:dyDescent="0.3">
      <c r="A7" s="4"/>
      <c r="B7" s="4"/>
      <c r="C7" s="6"/>
      <c r="D7" s="6"/>
      <c r="E7" s="7"/>
      <c r="F7" s="4"/>
      <c r="G7" s="4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4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0" ht="19.95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8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3874</v>
      </c>
      <c r="I14" s="14">
        <f>SUM(I5:I13)</f>
        <v>3903</v>
      </c>
      <c r="J14" s="8">
        <f>SUM(J5:J13)</f>
        <v>-29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10925</v>
      </c>
      <c r="B18" s="4">
        <v>430</v>
      </c>
      <c r="C18" s="6">
        <v>0.8</v>
      </c>
      <c r="D18" s="6" t="s">
        <v>43</v>
      </c>
      <c r="E18" s="7" t="s">
        <v>73</v>
      </c>
      <c r="F18" s="4" t="s">
        <v>41</v>
      </c>
      <c r="G18" s="4">
        <v>430</v>
      </c>
      <c r="H18" s="8">
        <v>2476</v>
      </c>
      <c r="I18" s="9">
        <v>2547</v>
      </c>
      <c r="J18" s="8">
        <f t="shared" ref="J18:J24" si="1">H18-I18</f>
        <v>-71</v>
      </c>
    </row>
    <row r="19" spans="1:10" ht="19.95" customHeight="1" x14ac:dyDescent="0.3">
      <c r="A19" s="4" t="s">
        <v>74</v>
      </c>
      <c r="B19" s="4">
        <v>304</v>
      </c>
      <c r="C19" s="6">
        <v>0.8</v>
      </c>
      <c r="D19" s="6" t="s">
        <v>43</v>
      </c>
      <c r="E19" s="7" t="s">
        <v>75</v>
      </c>
      <c r="F19" s="4" t="s">
        <v>41</v>
      </c>
      <c r="G19" s="4">
        <v>430</v>
      </c>
      <c r="H19" s="8">
        <v>3200</v>
      </c>
      <c r="I19" s="9">
        <f>1968+1346</f>
        <v>3314</v>
      </c>
      <c r="J19" s="8">
        <f t="shared" si="1"/>
        <v>-114</v>
      </c>
    </row>
    <row r="20" spans="1:10" ht="19.95" customHeight="1" x14ac:dyDescent="0.3">
      <c r="A20" s="4" t="s">
        <v>83</v>
      </c>
      <c r="B20" s="4">
        <v>304</v>
      </c>
      <c r="C20" s="6">
        <v>0.6</v>
      </c>
      <c r="D20" s="6" t="s">
        <v>55</v>
      </c>
      <c r="E20" s="7" t="s">
        <v>84</v>
      </c>
      <c r="F20" s="4" t="s">
        <v>45</v>
      </c>
      <c r="G20" s="4">
        <v>304</v>
      </c>
      <c r="H20" s="8">
        <v>38</v>
      </c>
      <c r="I20" s="9">
        <v>38</v>
      </c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1"/>
        <v>0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8">
        <f t="shared" si="1"/>
        <v>0</v>
      </c>
    </row>
    <row r="23" spans="1:10" ht="19.95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8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5714</v>
      </c>
      <c r="I25" s="9">
        <f>SUM(I18:I24)</f>
        <v>5899</v>
      </c>
      <c r="J25" s="8">
        <f>SUM(J18:J24)</f>
        <v>-185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210825</v>
      </c>
      <c r="B29" s="4">
        <v>430</v>
      </c>
      <c r="C29" s="6">
        <v>0.6</v>
      </c>
      <c r="D29" s="6" t="s">
        <v>55</v>
      </c>
      <c r="E29" s="7" t="s">
        <v>85</v>
      </c>
      <c r="F29" s="4" t="s">
        <v>52</v>
      </c>
      <c r="G29" s="4">
        <v>430</v>
      </c>
      <c r="H29" s="8">
        <v>3000</v>
      </c>
      <c r="I29" s="9">
        <f>1733</f>
        <v>1733</v>
      </c>
      <c r="J29" s="8">
        <f t="shared" ref="J29:J39" si="2">H29-I29</f>
        <v>1267</v>
      </c>
    </row>
    <row r="30" spans="1:10" ht="19.95" customHeight="1" x14ac:dyDescent="0.3">
      <c r="A30" s="4">
        <v>210825</v>
      </c>
      <c r="B30" s="4">
        <v>430</v>
      </c>
      <c r="C30" s="6">
        <v>0.6</v>
      </c>
      <c r="D30" s="6" t="s">
        <v>55</v>
      </c>
      <c r="E30" s="7" t="s">
        <v>76</v>
      </c>
      <c r="F30" s="21" t="s">
        <v>52</v>
      </c>
      <c r="G30" s="4">
        <v>430</v>
      </c>
      <c r="H30" s="8">
        <v>2600</v>
      </c>
      <c r="I30" s="9"/>
      <c r="J30" s="8">
        <f t="shared" si="2"/>
        <v>2600</v>
      </c>
    </row>
    <row r="31" spans="1:10" ht="19.95" customHeight="1" x14ac:dyDescent="0.3">
      <c r="A31" s="4" t="s">
        <v>95</v>
      </c>
      <c r="B31" s="4">
        <v>430</v>
      </c>
      <c r="C31" s="6">
        <v>0.8</v>
      </c>
      <c r="D31" s="6" t="s">
        <v>96</v>
      </c>
      <c r="E31" s="7" t="s">
        <v>97</v>
      </c>
      <c r="F31" s="21" t="s">
        <v>41</v>
      </c>
      <c r="G31" s="4">
        <v>430</v>
      </c>
      <c r="H31" s="8">
        <v>359</v>
      </c>
      <c r="I31" s="9">
        <v>359</v>
      </c>
      <c r="J31" s="8">
        <f t="shared" si="2"/>
        <v>0</v>
      </c>
    </row>
    <row r="32" spans="1:10" ht="19.95" customHeight="1" x14ac:dyDescent="0.3">
      <c r="A32" s="4" t="s">
        <v>95</v>
      </c>
      <c r="B32" s="4">
        <v>304</v>
      </c>
      <c r="C32" s="6">
        <v>0.9</v>
      </c>
      <c r="D32" s="6" t="s">
        <v>96</v>
      </c>
      <c r="E32" s="7" t="s">
        <v>98</v>
      </c>
      <c r="F32" s="21" t="s">
        <v>41</v>
      </c>
      <c r="G32" s="4">
        <v>430</v>
      </c>
      <c r="H32" s="8">
        <v>109</v>
      </c>
      <c r="I32" s="9">
        <v>109</v>
      </c>
      <c r="J32" s="8">
        <f t="shared" si="2"/>
        <v>0</v>
      </c>
    </row>
    <row r="33" spans="1:10" ht="19.95" customHeight="1" x14ac:dyDescent="0.3">
      <c r="A33" s="4" t="s">
        <v>95</v>
      </c>
      <c r="B33" s="4">
        <v>304</v>
      </c>
      <c r="C33" s="6">
        <v>1</v>
      </c>
      <c r="D33" s="6" t="s">
        <v>43</v>
      </c>
      <c r="E33" s="7" t="s">
        <v>99</v>
      </c>
      <c r="F33" s="21" t="s">
        <v>45</v>
      </c>
      <c r="G33" s="4">
        <v>304</v>
      </c>
      <c r="H33" s="8">
        <v>4</v>
      </c>
      <c r="I33" s="9">
        <v>4</v>
      </c>
      <c r="J33" s="8">
        <f t="shared" si="2"/>
        <v>0</v>
      </c>
    </row>
    <row r="34" spans="1:10" ht="19.95" customHeight="1" x14ac:dyDescent="0.3">
      <c r="A34" s="4" t="s">
        <v>95</v>
      </c>
      <c r="B34" s="4">
        <v>304</v>
      </c>
      <c r="C34" s="6">
        <v>0.9</v>
      </c>
      <c r="D34" s="6" t="s">
        <v>96</v>
      </c>
      <c r="E34" s="7" t="s">
        <v>101</v>
      </c>
      <c r="F34" s="21" t="s">
        <v>13</v>
      </c>
      <c r="G34" s="4">
        <v>430</v>
      </c>
      <c r="H34" s="8">
        <v>12</v>
      </c>
      <c r="I34" s="9">
        <v>12</v>
      </c>
      <c r="J34" s="8">
        <f t="shared" si="2"/>
        <v>0</v>
      </c>
    </row>
    <row r="35" spans="1:10" ht="19.95" customHeight="1" x14ac:dyDescent="0.3">
      <c r="A35" s="4" t="s">
        <v>95</v>
      </c>
      <c r="B35" s="4">
        <v>304</v>
      </c>
      <c r="C35" s="6">
        <v>0.9</v>
      </c>
      <c r="D35" s="6" t="s">
        <v>96</v>
      </c>
      <c r="E35" s="7" t="s">
        <v>100</v>
      </c>
      <c r="F35" s="21" t="s">
        <v>13</v>
      </c>
      <c r="G35" s="4">
        <v>430</v>
      </c>
      <c r="H35" s="8">
        <v>12</v>
      </c>
      <c r="I35" s="9">
        <v>12</v>
      </c>
      <c r="J35" s="8">
        <f t="shared" si="2"/>
        <v>0</v>
      </c>
    </row>
    <row r="36" spans="1:10" ht="19.95" customHeight="1" x14ac:dyDescent="0.3">
      <c r="A36" s="4" t="s">
        <v>95</v>
      </c>
      <c r="B36" s="4">
        <v>304</v>
      </c>
      <c r="C36" s="6">
        <v>0.9</v>
      </c>
      <c r="D36" s="6" t="s">
        <v>96</v>
      </c>
      <c r="E36" s="7" t="s">
        <v>102</v>
      </c>
      <c r="F36" s="21" t="s">
        <v>13</v>
      </c>
      <c r="G36" s="4">
        <v>430</v>
      </c>
      <c r="H36" s="8">
        <v>13</v>
      </c>
      <c r="I36" s="9">
        <v>13</v>
      </c>
      <c r="J36" s="8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/>
      <c r="J37" s="8">
        <f t="shared" si="2"/>
        <v>0</v>
      </c>
    </row>
    <row r="38" spans="1:10" ht="19.95" hidden="1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8">
        <f t="shared" si="2"/>
        <v>0</v>
      </c>
    </row>
    <row r="39" spans="1:10" ht="19.95" customHeight="1" x14ac:dyDescent="0.3">
      <c r="A39" s="4"/>
      <c r="B39" s="4"/>
      <c r="C39" s="6"/>
      <c r="D39" s="6"/>
      <c r="E39" s="7"/>
      <c r="F39" s="21"/>
      <c r="G39" s="4"/>
      <c r="H39" s="8"/>
      <c r="I39" s="9"/>
      <c r="J39" s="8">
        <f t="shared" si="2"/>
        <v>0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SUM(H29:H39)</f>
        <v>6109</v>
      </c>
      <c r="I40" s="9">
        <f>SUM(I29:I39)</f>
        <v>2242</v>
      </c>
      <c r="J40" s="8">
        <f>SUM(J29:J39)</f>
        <v>3867</v>
      </c>
    </row>
    <row r="42" spans="1:10" ht="30" customHeight="1" x14ac:dyDescent="0.3">
      <c r="A42" s="94" t="s">
        <v>20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250048</v>
      </c>
      <c r="B44" s="4">
        <v>304</v>
      </c>
      <c r="C44" s="6">
        <v>0.6</v>
      </c>
      <c r="D44" s="6" t="s">
        <v>55</v>
      </c>
      <c r="E44" s="7" t="s">
        <v>77</v>
      </c>
      <c r="F44" s="21" t="s">
        <v>52</v>
      </c>
      <c r="G44" s="4">
        <v>304</v>
      </c>
      <c r="H44" s="8">
        <v>690</v>
      </c>
      <c r="I44" s="9"/>
      <c r="J44" s="8">
        <f t="shared" ref="J44:J51" si="3">H44-I44</f>
        <v>690</v>
      </c>
    </row>
    <row r="45" spans="1:10" ht="19.95" customHeight="1" x14ac:dyDescent="0.3">
      <c r="A45" s="4">
        <v>250048</v>
      </c>
      <c r="B45" s="4">
        <v>304</v>
      </c>
      <c r="C45" s="6">
        <v>0.6</v>
      </c>
      <c r="D45" s="6" t="s">
        <v>55</v>
      </c>
      <c r="E45" s="7" t="s">
        <v>78</v>
      </c>
      <c r="F45" s="21" t="s">
        <v>52</v>
      </c>
      <c r="G45" s="4">
        <v>304</v>
      </c>
      <c r="H45" s="8">
        <v>240</v>
      </c>
      <c r="I45" s="9"/>
      <c r="J45" s="8">
        <f t="shared" si="3"/>
        <v>240</v>
      </c>
    </row>
    <row r="46" spans="1:10" ht="19.95" customHeight="1" x14ac:dyDescent="0.3">
      <c r="A46" s="4">
        <v>250048</v>
      </c>
      <c r="B46" s="4">
        <v>304</v>
      </c>
      <c r="C46" s="6">
        <v>0.6</v>
      </c>
      <c r="D46" s="6" t="s">
        <v>55</v>
      </c>
      <c r="E46" s="7" t="s">
        <v>79</v>
      </c>
      <c r="F46" s="21" t="s">
        <v>52</v>
      </c>
      <c r="G46" s="4">
        <v>304</v>
      </c>
      <c r="H46" s="8">
        <v>120</v>
      </c>
      <c r="I46" s="9"/>
      <c r="J46" s="8">
        <f t="shared" si="3"/>
        <v>120</v>
      </c>
    </row>
    <row r="47" spans="1:10" ht="19.95" customHeight="1" x14ac:dyDescent="0.3">
      <c r="A47" s="4">
        <v>250048</v>
      </c>
      <c r="B47" s="4">
        <v>304</v>
      </c>
      <c r="C47" s="6">
        <v>0.6</v>
      </c>
      <c r="D47" s="6" t="s">
        <v>55</v>
      </c>
      <c r="E47" s="7" t="s">
        <v>80</v>
      </c>
      <c r="F47" s="21" t="s">
        <v>52</v>
      </c>
      <c r="G47" s="4">
        <v>304</v>
      </c>
      <c r="H47" s="8">
        <v>690</v>
      </c>
      <c r="I47" s="9"/>
      <c r="J47" s="8">
        <f t="shared" si="3"/>
        <v>690</v>
      </c>
    </row>
    <row r="48" spans="1:10" ht="19.95" customHeight="1" x14ac:dyDescent="0.3">
      <c r="A48" s="4">
        <v>250048</v>
      </c>
      <c r="B48" s="4">
        <v>304</v>
      </c>
      <c r="C48" s="6">
        <v>0.6</v>
      </c>
      <c r="D48" s="6" t="s">
        <v>55</v>
      </c>
      <c r="E48" s="7" t="s">
        <v>81</v>
      </c>
      <c r="F48" s="21" t="s">
        <v>52</v>
      </c>
      <c r="G48" s="4">
        <v>304</v>
      </c>
      <c r="H48" s="8">
        <v>240</v>
      </c>
      <c r="I48" s="9"/>
      <c r="J48" s="8">
        <f t="shared" si="3"/>
        <v>240</v>
      </c>
    </row>
    <row r="49" spans="1:10" ht="19.95" customHeight="1" x14ac:dyDescent="0.3">
      <c r="A49" s="4">
        <v>250048</v>
      </c>
      <c r="B49" s="4">
        <v>304</v>
      </c>
      <c r="C49" s="6">
        <v>0.6</v>
      </c>
      <c r="D49" s="6" t="s">
        <v>55</v>
      </c>
      <c r="E49" s="7" t="s">
        <v>82</v>
      </c>
      <c r="F49" s="21" t="s">
        <v>52</v>
      </c>
      <c r="G49" s="4">
        <v>304</v>
      </c>
      <c r="H49" s="8">
        <v>120</v>
      </c>
      <c r="I49" s="9"/>
      <c r="J49" s="8">
        <f t="shared" si="3"/>
        <v>120</v>
      </c>
    </row>
    <row r="50" spans="1:10" ht="19.95" customHeight="1" x14ac:dyDescent="0.3">
      <c r="A50" s="4"/>
      <c r="B50" s="4"/>
      <c r="C50" s="6"/>
      <c r="D50" s="6"/>
      <c r="E50" s="7"/>
      <c r="F50" s="21"/>
      <c r="G50" s="4"/>
      <c r="H50" s="8"/>
      <c r="I50" s="9"/>
      <c r="J50" s="8">
        <f t="shared" si="3"/>
        <v>0</v>
      </c>
    </row>
    <row r="51" spans="1:10" ht="19.95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8">
        <f t="shared" si="3"/>
        <v>0</v>
      </c>
    </row>
    <row r="52" spans="1:10" ht="19.95" customHeight="1" x14ac:dyDescent="0.3">
      <c r="A52" s="10"/>
      <c r="B52" s="10"/>
      <c r="C52" s="10"/>
      <c r="D52" s="10"/>
      <c r="E52" s="11"/>
      <c r="F52" s="10"/>
      <c r="G52" s="12"/>
      <c r="H52" s="8">
        <f>SUM(H44:H51)</f>
        <v>2100</v>
      </c>
      <c r="I52" s="9">
        <f>SUM(I44:I51)</f>
        <v>0</v>
      </c>
      <c r="J52" s="8">
        <f>SUM(J44:J51)</f>
        <v>2100</v>
      </c>
    </row>
    <row r="53" spans="1:10" ht="19.95" customHeight="1" x14ac:dyDescent="0.3">
      <c r="A53" s="15"/>
      <c r="B53" s="15"/>
      <c r="C53" s="15"/>
      <c r="D53" s="15"/>
      <c r="E53" s="16"/>
      <c r="F53" s="15"/>
      <c r="G53" s="15"/>
      <c r="H53" s="17"/>
      <c r="I53" s="18"/>
      <c r="J53" s="17"/>
    </row>
    <row r="54" spans="1:10" ht="30" customHeight="1" x14ac:dyDescent="0.3">
      <c r="A54" s="94" t="s">
        <v>19</v>
      </c>
      <c r="B54" s="94"/>
      <c r="C54" s="94"/>
      <c r="D54" s="94"/>
      <c r="E54" s="94"/>
      <c r="F54" s="94"/>
      <c r="G54" s="94"/>
      <c r="H54" s="94"/>
      <c r="I54" s="94"/>
      <c r="J54" s="94"/>
    </row>
    <row r="55" spans="1:10" ht="30" customHeight="1" x14ac:dyDescent="0.3">
      <c r="A55" s="4" t="s">
        <v>1</v>
      </c>
      <c r="B55" s="4" t="s">
        <v>2</v>
      </c>
      <c r="C55" s="5" t="s">
        <v>3</v>
      </c>
      <c r="D55" s="5" t="s">
        <v>4</v>
      </c>
      <c r="E55" s="4" t="s">
        <v>5</v>
      </c>
      <c r="F55" s="5" t="s">
        <v>6</v>
      </c>
      <c r="G55" s="5" t="s">
        <v>7</v>
      </c>
      <c r="H55" s="4" t="s">
        <v>8</v>
      </c>
      <c r="I55" s="4" t="s">
        <v>9</v>
      </c>
      <c r="J55" s="4" t="s">
        <v>10</v>
      </c>
    </row>
    <row r="56" spans="1:10" ht="19.95" customHeight="1" x14ac:dyDescent="0.3">
      <c r="A56" s="4">
        <v>250048</v>
      </c>
      <c r="B56" s="4">
        <v>304</v>
      </c>
      <c r="C56" s="6">
        <v>0.6</v>
      </c>
      <c r="D56" s="6" t="s">
        <v>55</v>
      </c>
      <c r="E56" s="7" t="s">
        <v>86</v>
      </c>
      <c r="F56" s="21" t="s">
        <v>52</v>
      </c>
      <c r="G56" s="4">
        <v>304</v>
      </c>
      <c r="H56" s="8">
        <v>690</v>
      </c>
      <c r="I56" s="9"/>
      <c r="J56" s="8">
        <f t="shared" ref="J56:J61" si="4">H56-I56</f>
        <v>690</v>
      </c>
    </row>
    <row r="57" spans="1:10" ht="19.95" customHeight="1" x14ac:dyDescent="0.3">
      <c r="A57" s="4">
        <v>250048</v>
      </c>
      <c r="B57" s="4">
        <v>304</v>
      </c>
      <c r="C57" s="6">
        <v>0.6</v>
      </c>
      <c r="D57" s="6" t="s">
        <v>55</v>
      </c>
      <c r="E57" s="7" t="s">
        <v>87</v>
      </c>
      <c r="F57" s="21" t="s">
        <v>52</v>
      </c>
      <c r="G57" s="4">
        <v>304</v>
      </c>
      <c r="H57" s="8">
        <v>240</v>
      </c>
      <c r="I57" s="9"/>
      <c r="J57" s="8">
        <f t="shared" si="4"/>
        <v>240</v>
      </c>
    </row>
    <row r="58" spans="1:10" ht="19.95" customHeight="1" x14ac:dyDescent="0.3">
      <c r="A58" s="4">
        <v>250048</v>
      </c>
      <c r="B58" s="4">
        <v>304</v>
      </c>
      <c r="C58" s="6">
        <v>0.6</v>
      </c>
      <c r="D58" s="6" t="s">
        <v>55</v>
      </c>
      <c r="E58" s="7" t="s">
        <v>88</v>
      </c>
      <c r="F58" s="21" t="s">
        <v>52</v>
      </c>
      <c r="G58" s="4">
        <v>304</v>
      </c>
      <c r="H58" s="8">
        <v>120</v>
      </c>
      <c r="I58" s="9"/>
      <c r="J58" s="8">
        <f t="shared" si="4"/>
        <v>120</v>
      </c>
    </row>
    <row r="59" spans="1:10" ht="19.95" customHeight="1" x14ac:dyDescent="0.3">
      <c r="A59" s="4" t="s">
        <v>89</v>
      </c>
      <c r="B59" s="4">
        <v>304</v>
      </c>
      <c r="C59" s="6">
        <v>0.9</v>
      </c>
      <c r="D59" s="6" t="s">
        <v>43</v>
      </c>
      <c r="E59" s="7" t="s">
        <v>90</v>
      </c>
      <c r="F59" s="7" t="s">
        <v>41</v>
      </c>
      <c r="G59" s="4">
        <v>430</v>
      </c>
      <c r="H59" s="8">
        <v>1500</v>
      </c>
      <c r="I59" s="9"/>
      <c r="J59" s="8">
        <f t="shared" si="4"/>
        <v>1500</v>
      </c>
    </row>
    <row r="60" spans="1:10" ht="19.95" customHeight="1" x14ac:dyDescent="0.3">
      <c r="A60" s="4">
        <v>100925</v>
      </c>
      <c r="B60" s="4">
        <v>304</v>
      </c>
      <c r="C60" s="6">
        <v>0.9</v>
      </c>
      <c r="D60" s="6" t="s">
        <v>91</v>
      </c>
      <c r="E60" s="7" t="s">
        <v>92</v>
      </c>
      <c r="F60" s="7" t="s">
        <v>41</v>
      </c>
      <c r="G60" s="4">
        <v>430</v>
      </c>
      <c r="H60" s="8">
        <v>1500</v>
      </c>
      <c r="I60" s="9"/>
      <c r="J60" s="8">
        <f t="shared" si="4"/>
        <v>1500</v>
      </c>
    </row>
    <row r="61" spans="1:10" ht="19.95" customHeight="1" x14ac:dyDescent="0.3">
      <c r="A61" s="4"/>
      <c r="B61" s="4"/>
      <c r="C61" s="6"/>
      <c r="D61" s="6"/>
      <c r="E61" s="7"/>
      <c r="F61" s="7"/>
      <c r="G61" s="4"/>
      <c r="H61" s="8"/>
      <c r="I61" s="24"/>
      <c r="J61" s="8">
        <f t="shared" si="4"/>
        <v>0</v>
      </c>
    </row>
    <row r="62" spans="1:10" ht="19.95" customHeight="1" x14ac:dyDescent="0.3">
      <c r="A62" s="10"/>
      <c r="B62" s="10"/>
      <c r="C62" s="10"/>
      <c r="D62" s="10"/>
      <c r="E62" s="11"/>
      <c r="F62" s="10"/>
      <c r="G62" s="12"/>
      <c r="H62" s="8">
        <f>SUM(H56:H61)</f>
        <v>4050</v>
      </c>
      <c r="I62" s="9">
        <f>SUM(I56:I61)</f>
        <v>0</v>
      </c>
      <c r="J62" s="8">
        <f>SUM(J56:J61)</f>
        <v>4050</v>
      </c>
    </row>
    <row r="63" spans="1:10" ht="19.95" customHeight="1" x14ac:dyDescent="0.3">
      <c r="A63" s="15"/>
      <c r="B63" s="15"/>
      <c r="C63" s="15"/>
      <c r="D63" s="15"/>
      <c r="E63" s="16"/>
      <c r="F63" s="15"/>
      <c r="G63" s="15"/>
      <c r="H63" s="17"/>
      <c r="I63" s="18"/>
      <c r="J63" s="17"/>
    </row>
    <row r="64" spans="1:10" ht="30" customHeight="1" x14ac:dyDescent="0.3">
      <c r="A64" s="94" t="s">
        <v>23</v>
      </c>
      <c r="B64" s="94"/>
      <c r="C64" s="94"/>
      <c r="D64" s="94"/>
      <c r="E64" s="94"/>
      <c r="F64" s="94"/>
      <c r="G64" s="94"/>
      <c r="H64" s="94"/>
      <c r="I64" s="94"/>
      <c r="J64" s="94"/>
    </row>
    <row r="65" spans="1:10" ht="30" customHeight="1" x14ac:dyDescent="0.3">
      <c r="A65" s="4" t="s">
        <v>1</v>
      </c>
      <c r="B65" s="4" t="s">
        <v>2</v>
      </c>
      <c r="C65" s="5" t="s">
        <v>3</v>
      </c>
      <c r="D65" s="5" t="s">
        <v>4</v>
      </c>
      <c r="E65" s="4" t="s">
        <v>5</v>
      </c>
      <c r="F65" s="5" t="s">
        <v>6</v>
      </c>
      <c r="G65" s="5" t="s">
        <v>7</v>
      </c>
      <c r="H65" s="4" t="s">
        <v>8</v>
      </c>
      <c r="I65" s="4" t="s">
        <v>9</v>
      </c>
      <c r="J65" s="4" t="s">
        <v>10</v>
      </c>
    </row>
    <row r="66" spans="1:10" ht="19.95" customHeight="1" x14ac:dyDescent="0.3">
      <c r="A66" s="4">
        <v>100925</v>
      </c>
      <c r="B66" s="4">
        <v>304</v>
      </c>
      <c r="C66" s="6">
        <v>0.9</v>
      </c>
      <c r="D66" s="6" t="s">
        <v>43</v>
      </c>
      <c r="E66" s="7" t="s">
        <v>93</v>
      </c>
      <c r="F66" s="21" t="s">
        <v>41</v>
      </c>
      <c r="G66" s="4">
        <v>430</v>
      </c>
      <c r="H66" s="8">
        <v>600</v>
      </c>
      <c r="I66" s="9"/>
      <c r="J66" s="8">
        <f t="shared" ref="J66:J87" si="5">H66-I66</f>
        <v>600</v>
      </c>
    </row>
    <row r="67" spans="1:10" ht="19.95" hidden="1" customHeight="1" x14ac:dyDescent="0.3">
      <c r="A67" s="21"/>
      <c r="B67" s="21"/>
      <c r="C67" s="22"/>
      <c r="D67" s="22"/>
      <c r="E67" s="20"/>
      <c r="F67" s="21"/>
      <c r="G67" s="21"/>
      <c r="H67" s="23"/>
      <c r="I67" s="9"/>
      <c r="J67" s="8">
        <f t="shared" si="5"/>
        <v>0</v>
      </c>
    </row>
    <row r="68" spans="1:10" ht="19.95" hidden="1" customHeight="1" x14ac:dyDescent="0.3">
      <c r="A68" s="21"/>
      <c r="B68" s="21"/>
      <c r="C68" s="22"/>
      <c r="D68" s="22"/>
      <c r="E68" s="20"/>
      <c r="F68" s="21"/>
      <c r="G68" s="21"/>
      <c r="H68" s="23"/>
      <c r="I68" s="9"/>
      <c r="J68" s="8">
        <f t="shared" si="5"/>
        <v>0</v>
      </c>
    </row>
    <row r="69" spans="1:10" ht="19.95" hidden="1" customHeight="1" x14ac:dyDescent="0.3">
      <c r="A69" s="4"/>
      <c r="B69" s="4"/>
      <c r="C69" s="6"/>
      <c r="D69" s="6"/>
      <c r="E69" s="7"/>
      <c r="F69" s="21"/>
      <c r="G69" s="4"/>
      <c r="H69" s="8"/>
      <c r="I69" s="9"/>
      <c r="J69" s="8">
        <f t="shared" si="5"/>
        <v>0</v>
      </c>
    </row>
    <row r="70" spans="1:10" ht="19.95" hidden="1" customHeight="1" x14ac:dyDescent="0.3">
      <c r="A70" s="4"/>
      <c r="B70" s="4"/>
      <c r="C70" s="6"/>
      <c r="D70" s="6"/>
      <c r="E70" s="7"/>
      <c r="F70" s="4"/>
      <c r="G70" s="4"/>
      <c r="H70" s="8"/>
      <c r="I70" s="9"/>
      <c r="J70" s="8">
        <f t="shared" si="5"/>
        <v>0</v>
      </c>
    </row>
    <row r="71" spans="1:10" ht="19.95" customHeight="1" x14ac:dyDescent="0.3">
      <c r="A71" s="4" t="s">
        <v>89</v>
      </c>
      <c r="B71" s="4">
        <v>304</v>
      </c>
      <c r="C71" s="6">
        <v>0.9</v>
      </c>
      <c r="D71" s="6" t="s">
        <v>43</v>
      </c>
      <c r="E71" s="7" t="s">
        <v>94</v>
      </c>
      <c r="F71" s="4" t="s">
        <v>41</v>
      </c>
      <c r="G71" s="4">
        <v>430</v>
      </c>
      <c r="H71" s="8">
        <v>1500</v>
      </c>
      <c r="I71" s="9"/>
      <c r="J71" s="8">
        <f t="shared" si="5"/>
        <v>1500</v>
      </c>
    </row>
    <row r="72" spans="1:10" ht="19.95" customHeight="1" x14ac:dyDescent="0.3">
      <c r="A72" s="4"/>
      <c r="B72" s="4"/>
      <c r="C72" s="6"/>
      <c r="D72" s="6"/>
      <c r="E72" s="7"/>
      <c r="F72" s="7"/>
      <c r="G72" s="4"/>
      <c r="H72" s="8"/>
      <c r="I72" s="9"/>
      <c r="J72" s="8">
        <f t="shared" si="5"/>
        <v>0</v>
      </c>
    </row>
    <row r="73" spans="1:10" ht="19.95" hidden="1" customHeight="1" x14ac:dyDescent="0.3">
      <c r="A73" s="4"/>
      <c r="B73" s="4"/>
      <c r="C73" s="6"/>
      <c r="D73" s="6"/>
      <c r="E73" s="7"/>
      <c r="F73" s="7"/>
      <c r="G73" s="4"/>
      <c r="H73" s="8"/>
      <c r="I73" s="9"/>
      <c r="J73" s="8">
        <f t="shared" si="5"/>
        <v>0</v>
      </c>
    </row>
    <row r="74" spans="1:10" ht="19.95" hidden="1" customHeight="1" x14ac:dyDescent="0.3">
      <c r="A74" s="4"/>
      <c r="B74" s="4"/>
      <c r="C74" s="6"/>
      <c r="D74" s="6"/>
      <c r="E74" s="7"/>
      <c r="F74" s="7"/>
      <c r="G74" s="4"/>
      <c r="H74" s="8"/>
      <c r="I74" s="9"/>
      <c r="J74" s="8">
        <f t="shared" si="5"/>
        <v>0</v>
      </c>
    </row>
    <row r="75" spans="1:10" ht="19.95" hidden="1" customHeight="1" x14ac:dyDescent="0.3">
      <c r="A75" s="4"/>
      <c r="B75" s="4"/>
      <c r="C75" s="6"/>
      <c r="D75" s="6"/>
      <c r="E75" s="7"/>
      <c r="F75" s="7"/>
      <c r="G75" s="4"/>
      <c r="H75" s="8"/>
      <c r="I75" s="9"/>
      <c r="J75" s="8">
        <f t="shared" si="5"/>
        <v>0</v>
      </c>
    </row>
    <row r="76" spans="1:10" ht="19.95" hidden="1" customHeight="1" x14ac:dyDescent="0.3">
      <c r="A76" s="4"/>
      <c r="B76" s="4"/>
      <c r="C76" s="6"/>
      <c r="D76" s="6"/>
      <c r="E76" s="7"/>
      <c r="F76" s="7"/>
      <c r="G76" s="4"/>
      <c r="H76" s="8"/>
      <c r="I76" s="9"/>
      <c r="J76" s="8">
        <f t="shared" si="5"/>
        <v>0</v>
      </c>
    </row>
    <row r="77" spans="1:10" ht="19.95" hidden="1" customHeight="1" x14ac:dyDescent="0.3">
      <c r="A77" s="4"/>
      <c r="B77" s="4"/>
      <c r="C77" s="6"/>
      <c r="D77" s="6"/>
      <c r="E77" s="7"/>
      <c r="F77" s="7"/>
      <c r="G77" s="4"/>
      <c r="H77" s="8"/>
      <c r="I77" s="9"/>
      <c r="J77" s="8">
        <f t="shared" si="5"/>
        <v>0</v>
      </c>
    </row>
    <row r="78" spans="1:10" ht="19.95" hidden="1" customHeight="1" x14ac:dyDescent="0.3">
      <c r="A78" s="4"/>
      <c r="B78" s="4"/>
      <c r="C78" s="6"/>
      <c r="D78" s="6"/>
      <c r="E78" s="7"/>
      <c r="F78" s="7"/>
      <c r="G78" s="4"/>
      <c r="H78" s="8"/>
      <c r="I78" s="9"/>
      <c r="J78" s="8">
        <f t="shared" si="5"/>
        <v>0</v>
      </c>
    </row>
    <row r="79" spans="1:10" ht="19.95" hidden="1" customHeight="1" x14ac:dyDescent="0.3">
      <c r="A79" s="4"/>
      <c r="B79" s="4"/>
      <c r="C79" s="6"/>
      <c r="D79" s="6"/>
      <c r="E79" s="7"/>
      <c r="F79" s="7"/>
      <c r="G79" s="4"/>
      <c r="H79" s="8"/>
      <c r="I79" s="9"/>
      <c r="J79" s="8">
        <f t="shared" si="5"/>
        <v>0</v>
      </c>
    </row>
    <row r="80" spans="1:10" ht="19.95" hidden="1" customHeight="1" x14ac:dyDescent="0.3">
      <c r="A80" s="4"/>
      <c r="B80" s="4"/>
      <c r="C80" s="6"/>
      <c r="D80" s="6"/>
      <c r="E80" s="7"/>
      <c r="F80" s="7"/>
      <c r="G80" s="4"/>
      <c r="H80" s="8"/>
      <c r="I80" s="9"/>
      <c r="J80" s="8">
        <f t="shared" si="5"/>
        <v>0</v>
      </c>
    </row>
    <row r="81" spans="1:10" ht="19.95" hidden="1" customHeight="1" x14ac:dyDescent="0.3">
      <c r="A81" s="4"/>
      <c r="B81" s="4"/>
      <c r="C81" s="6"/>
      <c r="D81" s="6"/>
      <c r="E81" s="7"/>
      <c r="F81" s="7"/>
      <c r="G81" s="4"/>
      <c r="H81" s="8"/>
      <c r="I81" s="9"/>
      <c r="J81" s="8">
        <f t="shared" si="5"/>
        <v>0</v>
      </c>
    </row>
    <row r="82" spans="1:10" ht="19.95" hidden="1" customHeight="1" x14ac:dyDescent="0.3">
      <c r="A82" s="4"/>
      <c r="B82" s="4"/>
      <c r="C82" s="6"/>
      <c r="D82" s="6"/>
      <c r="E82" s="7"/>
      <c r="F82" s="7"/>
      <c r="G82" s="4"/>
      <c r="H82" s="8"/>
      <c r="I82" s="9"/>
      <c r="J82" s="8">
        <f t="shared" si="5"/>
        <v>0</v>
      </c>
    </row>
    <row r="83" spans="1:10" ht="19.95" hidden="1" customHeight="1" x14ac:dyDescent="0.3">
      <c r="A83" s="4"/>
      <c r="B83" s="4"/>
      <c r="C83" s="6"/>
      <c r="D83" s="6"/>
      <c r="E83" s="7"/>
      <c r="F83" s="7"/>
      <c r="G83" s="4"/>
      <c r="H83" s="8"/>
      <c r="I83" s="9"/>
      <c r="J83" s="8">
        <f t="shared" si="5"/>
        <v>0</v>
      </c>
    </row>
    <row r="84" spans="1:10" ht="19.95" customHeight="1" x14ac:dyDescent="0.3">
      <c r="A84" s="4"/>
      <c r="B84" s="4"/>
      <c r="C84" s="6"/>
      <c r="D84" s="6"/>
      <c r="E84" s="7"/>
      <c r="F84" s="4"/>
      <c r="G84" s="4"/>
      <c r="H84" s="8"/>
      <c r="I84" s="9"/>
      <c r="J84" s="8">
        <f t="shared" si="5"/>
        <v>0</v>
      </c>
    </row>
    <row r="85" spans="1:10" ht="19.95" customHeight="1" x14ac:dyDescent="0.3">
      <c r="A85" s="4"/>
      <c r="B85" s="4"/>
      <c r="C85" s="6"/>
      <c r="D85" s="6"/>
      <c r="E85" s="7"/>
      <c r="F85" s="4"/>
      <c r="G85" s="4"/>
      <c r="H85" s="8"/>
      <c r="I85" s="9"/>
      <c r="J85" s="8">
        <f t="shared" si="5"/>
        <v>0</v>
      </c>
    </row>
    <row r="86" spans="1:10" ht="19.95" customHeight="1" x14ac:dyDescent="0.3">
      <c r="A86" s="4"/>
      <c r="B86" s="4"/>
      <c r="C86" s="6"/>
      <c r="D86" s="6"/>
      <c r="E86" s="7"/>
      <c r="F86" s="4"/>
      <c r="G86" s="4"/>
      <c r="H86" s="8"/>
      <c r="I86" s="9"/>
      <c r="J86" s="8">
        <f t="shared" si="5"/>
        <v>0</v>
      </c>
    </row>
    <row r="87" spans="1:10" ht="19.95" customHeight="1" x14ac:dyDescent="0.3">
      <c r="A87" s="4"/>
      <c r="B87" s="4"/>
      <c r="C87" s="6"/>
      <c r="D87" s="6"/>
      <c r="E87" s="7"/>
      <c r="F87" s="4"/>
      <c r="G87" s="4"/>
      <c r="H87" s="8"/>
      <c r="I87" s="9"/>
      <c r="J87" s="8">
        <f t="shared" si="5"/>
        <v>0</v>
      </c>
    </row>
    <row r="88" spans="1:10" ht="19.95" customHeight="1" x14ac:dyDescent="0.3">
      <c r="A88" s="10"/>
      <c r="B88" s="10"/>
      <c r="C88" s="10"/>
      <c r="D88" s="10"/>
      <c r="E88" s="11"/>
      <c r="F88" s="10"/>
      <c r="G88" s="12"/>
      <c r="H88" s="8">
        <f>SUM(H66:H87)</f>
        <v>2100</v>
      </c>
      <c r="I88" s="9">
        <f>SUM(I66:I87)</f>
        <v>0</v>
      </c>
      <c r="J88" s="8">
        <f>SUM(J66:J87)</f>
        <v>2100</v>
      </c>
    </row>
    <row r="90" spans="1:10" ht="23.4" x14ac:dyDescent="0.3">
      <c r="A90" s="95" t="s">
        <v>14</v>
      </c>
      <c r="B90" s="95"/>
      <c r="C90" s="95"/>
      <c r="D90" s="95"/>
      <c r="E90" s="95"/>
      <c r="F90" s="95"/>
      <c r="G90" s="95"/>
      <c r="H90" s="95"/>
      <c r="I90" s="95"/>
      <c r="J90" s="95"/>
    </row>
  </sheetData>
  <mergeCells count="9">
    <mergeCell ref="A54:J54"/>
    <mergeCell ref="A64:J64"/>
    <mergeCell ref="A90:J90"/>
    <mergeCell ref="H1:J1"/>
    <mergeCell ref="A2:J2"/>
    <mergeCell ref="A3:J3"/>
    <mergeCell ref="A16:J16"/>
    <mergeCell ref="A27:J27"/>
    <mergeCell ref="A42:J4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0" fitToHeight="0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1"/>
  <sheetViews>
    <sheetView zoomScale="85" zoomScaleNormal="85" workbookViewId="0">
      <selection activeCell="E61" sqref="E6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7.77734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72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210825</v>
      </c>
      <c r="B5" s="4">
        <v>430</v>
      </c>
      <c r="C5" s="6">
        <v>0.6</v>
      </c>
      <c r="D5" s="6" t="s">
        <v>55</v>
      </c>
      <c r="E5" s="7" t="s">
        <v>71</v>
      </c>
      <c r="F5" s="21" t="s">
        <v>52</v>
      </c>
      <c r="G5" s="4">
        <v>430</v>
      </c>
      <c r="H5" s="8">
        <v>3000</v>
      </c>
      <c r="I5" s="9">
        <f>904+2125</f>
        <v>3029</v>
      </c>
      <c r="J5" s="8">
        <f t="shared" ref="J5:J13" si="0">H5-I5</f>
        <v>-29</v>
      </c>
    </row>
    <row r="6" spans="1:10" ht="19.95" customHeight="1" x14ac:dyDescent="0.3">
      <c r="A6" s="4">
        <v>10925</v>
      </c>
      <c r="B6" s="4">
        <v>430</v>
      </c>
      <c r="C6" s="6">
        <v>0.8</v>
      </c>
      <c r="D6" s="6" t="s">
        <v>43</v>
      </c>
      <c r="E6" s="7" t="s">
        <v>73</v>
      </c>
      <c r="F6" s="4" t="s">
        <v>41</v>
      </c>
      <c r="G6" s="4">
        <v>430</v>
      </c>
      <c r="H6" s="8">
        <v>874</v>
      </c>
      <c r="I6" s="9">
        <v>874</v>
      </c>
      <c r="J6" s="8">
        <f t="shared" si="0"/>
        <v>0</v>
      </c>
    </row>
    <row r="7" spans="1:10" ht="19.95" customHeight="1" x14ac:dyDescent="0.3">
      <c r="A7" s="4"/>
      <c r="B7" s="4"/>
      <c r="C7" s="6"/>
      <c r="D7" s="6"/>
      <c r="E7" s="7"/>
      <c r="F7" s="4"/>
      <c r="G7" s="4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4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0" ht="19.95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8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3874</v>
      </c>
      <c r="I14" s="14">
        <f>SUM(I5:I13)</f>
        <v>3903</v>
      </c>
      <c r="J14" s="8">
        <f>SUM(J5:J13)</f>
        <v>-29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10925</v>
      </c>
      <c r="B18" s="4">
        <v>430</v>
      </c>
      <c r="C18" s="6">
        <v>0.8</v>
      </c>
      <c r="D18" s="6" t="s">
        <v>43</v>
      </c>
      <c r="E18" s="7" t="s">
        <v>73</v>
      </c>
      <c r="F18" s="4" t="s">
        <v>41</v>
      </c>
      <c r="G18" s="4">
        <v>430</v>
      </c>
      <c r="H18" s="8">
        <v>2476</v>
      </c>
      <c r="I18" s="9">
        <v>2547</v>
      </c>
      <c r="J18" s="8">
        <f t="shared" ref="J18:J24" si="1">H18-I18</f>
        <v>-71</v>
      </c>
    </row>
    <row r="19" spans="1:10" ht="19.95" customHeight="1" x14ac:dyDescent="0.3">
      <c r="A19" s="4" t="s">
        <v>74</v>
      </c>
      <c r="B19" s="4">
        <v>304</v>
      </c>
      <c r="C19" s="6">
        <v>0.8</v>
      </c>
      <c r="D19" s="6" t="s">
        <v>43</v>
      </c>
      <c r="E19" s="7" t="s">
        <v>75</v>
      </c>
      <c r="F19" s="4" t="s">
        <v>41</v>
      </c>
      <c r="G19" s="4">
        <v>430</v>
      </c>
      <c r="H19" s="8">
        <v>3200</v>
      </c>
      <c r="I19" s="9">
        <f>1968+1346</f>
        <v>3314</v>
      </c>
      <c r="J19" s="8">
        <f t="shared" si="1"/>
        <v>-114</v>
      </c>
    </row>
    <row r="20" spans="1:10" ht="19.95" customHeight="1" x14ac:dyDescent="0.3">
      <c r="A20" s="4" t="s">
        <v>83</v>
      </c>
      <c r="B20" s="4">
        <v>304</v>
      </c>
      <c r="C20" s="6">
        <v>0.6</v>
      </c>
      <c r="D20" s="6" t="s">
        <v>55</v>
      </c>
      <c r="E20" s="7" t="s">
        <v>84</v>
      </c>
      <c r="F20" s="4" t="s">
        <v>45</v>
      </c>
      <c r="G20" s="4">
        <v>304</v>
      </c>
      <c r="H20" s="8">
        <v>38</v>
      </c>
      <c r="I20" s="9">
        <v>38</v>
      </c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1"/>
        <v>0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8">
        <f t="shared" si="1"/>
        <v>0</v>
      </c>
    </row>
    <row r="23" spans="1:10" ht="19.95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8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5714</v>
      </c>
      <c r="I25" s="9">
        <f>SUM(I18:I24)</f>
        <v>5899</v>
      </c>
      <c r="J25" s="8">
        <f>SUM(J18:J24)</f>
        <v>-185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210825</v>
      </c>
      <c r="B29" s="4">
        <v>430</v>
      </c>
      <c r="C29" s="6">
        <v>0.6</v>
      </c>
      <c r="D29" s="6" t="s">
        <v>55</v>
      </c>
      <c r="E29" s="7" t="s">
        <v>85</v>
      </c>
      <c r="F29" s="4" t="s">
        <v>52</v>
      </c>
      <c r="G29" s="4">
        <v>430</v>
      </c>
      <c r="H29" s="8">
        <v>1733</v>
      </c>
      <c r="I29" s="9">
        <f>1733</f>
        <v>1733</v>
      </c>
      <c r="J29" s="8">
        <f t="shared" ref="J29:J39" si="2">H29-I29</f>
        <v>0</v>
      </c>
    </row>
    <row r="30" spans="1:10" ht="19.95" customHeight="1" x14ac:dyDescent="0.3">
      <c r="A30" s="4" t="s">
        <v>95</v>
      </c>
      <c r="B30" s="4">
        <v>430</v>
      </c>
      <c r="C30" s="6">
        <v>0.8</v>
      </c>
      <c r="D30" s="6" t="s">
        <v>96</v>
      </c>
      <c r="E30" s="7" t="s">
        <v>97</v>
      </c>
      <c r="F30" s="21" t="s">
        <v>41</v>
      </c>
      <c r="G30" s="4">
        <v>430</v>
      </c>
      <c r="H30" s="8">
        <v>359</v>
      </c>
      <c r="I30" s="9">
        <v>359</v>
      </c>
      <c r="J30" s="8">
        <f t="shared" si="2"/>
        <v>0</v>
      </c>
    </row>
    <row r="31" spans="1:10" ht="19.95" customHeight="1" x14ac:dyDescent="0.3">
      <c r="A31" s="4" t="s">
        <v>95</v>
      </c>
      <c r="B31" s="4">
        <v>304</v>
      </c>
      <c r="C31" s="6">
        <v>0.9</v>
      </c>
      <c r="D31" s="6" t="s">
        <v>96</v>
      </c>
      <c r="E31" s="7" t="s">
        <v>98</v>
      </c>
      <c r="F31" s="21" t="s">
        <v>41</v>
      </c>
      <c r="G31" s="4">
        <v>430</v>
      </c>
      <c r="H31" s="8">
        <v>109</v>
      </c>
      <c r="I31" s="9">
        <v>109</v>
      </c>
      <c r="J31" s="8">
        <f t="shared" si="2"/>
        <v>0</v>
      </c>
    </row>
    <row r="32" spans="1:10" ht="19.95" customHeight="1" x14ac:dyDescent="0.3">
      <c r="A32" s="4" t="s">
        <v>95</v>
      </c>
      <c r="B32" s="4">
        <v>304</v>
      </c>
      <c r="C32" s="6">
        <v>1</v>
      </c>
      <c r="D32" s="6" t="s">
        <v>43</v>
      </c>
      <c r="E32" s="7" t="s">
        <v>99</v>
      </c>
      <c r="F32" s="21" t="s">
        <v>45</v>
      </c>
      <c r="G32" s="4">
        <v>304</v>
      </c>
      <c r="H32" s="8">
        <v>4</v>
      </c>
      <c r="I32" s="9">
        <v>4</v>
      </c>
      <c r="J32" s="8">
        <f t="shared" si="2"/>
        <v>0</v>
      </c>
    </row>
    <row r="33" spans="1:10" ht="19.95" customHeight="1" x14ac:dyDescent="0.3">
      <c r="A33" s="4" t="s">
        <v>95</v>
      </c>
      <c r="B33" s="4">
        <v>304</v>
      </c>
      <c r="C33" s="6">
        <v>0.9</v>
      </c>
      <c r="D33" s="6" t="s">
        <v>96</v>
      </c>
      <c r="E33" s="7" t="s">
        <v>101</v>
      </c>
      <c r="F33" s="21" t="s">
        <v>13</v>
      </c>
      <c r="G33" s="4">
        <v>430</v>
      </c>
      <c r="H33" s="8">
        <v>12</v>
      </c>
      <c r="I33" s="9">
        <v>12</v>
      </c>
      <c r="J33" s="8">
        <f t="shared" si="2"/>
        <v>0</v>
      </c>
    </row>
    <row r="34" spans="1:10" ht="19.95" customHeight="1" x14ac:dyDescent="0.3">
      <c r="A34" s="4" t="s">
        <v>95</v>
      </c>
      <c r="B34" s="4">
        <v>304</v>
      </c>
      <c r="C34" s="6">
        <v>0.9</v>
      </c>
      <c r="D34" s="6" t="s">
        <v>96</v>
      </c>
      <c r="E34" s="7" t="s">
        <v>100</v>
      </c>
      <c r="F34" s="21" t="s">
        <v>13</v>
      </c>
      <c r="G34" s="4">
        <v>430</v>
      </c>
      <c r="H34" s="8">
        <v>12</v>
      </c>
      <c r="I34" s="9">
        <v>12</v>
      </c>
      <c r="J34" s="8">
        <f t="shared" si="2"/>
        <v>0</v>
      </c>
    </row>
    <row r="35" spans="1:10" ht="19.95" customHeight="1" x14ac:dyDescent="0.3">
      <c r="A35" s="4" t="s">
        <v>95</v>
      </c>
      <c r="B35" s="4">
        <v>304</v>
      </c>
      <c r="C35" s="6">
        <v>0.9</v>
      </c>
      <c r="D35" s="6" t="s">
        <v>96</v>
      </c>
      <c r="E35" s="7" t="s">
        <v>102</v>
      </c>
      <c r="F35" s="21" t="s">
        <v>13</v>
      </c>
      <c r="G35" s="4">
        <v>430</v>
      </c>
      <c r="H35" s="8">
        <v>13</v>
      </c>
      <c r="I35" s="9">
        <v>13</v>
      </c>
      <c r="J35" s="8">
        <f t="shared" si="2"/>
        <v>0</v>
      </c>
    </row>
    <row r="36" spans="1:10" ht="19.95" customHeight="1" x14ac:dyDescent="0.3">
      <c r="A36" s="4"/>
      <c r="B36" s="4"/>
      <c r="C36" s="6"/>
      <c r="D36" s="6"/>
      <c r="E36" s="7"/>
      <c r="F36" s="21"/>
      <c r="G36" s="4"/>
      <c r="H36" s="8"/>
      <c r="I36" s="9"/>
      <c r="J36" s="8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/>
      <c r="J37" s="8">
        <f t="shared" si="2"/>
        <v>0</v>
      </c>
    </row>
    <row r="38" spans="1:10" ht="19.95" hidden="1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8">
        <f t="shared" si="2"/>
        <v>0</v>
      </c>
    </row>
    <row r="39" spans="1:10" ht="19.95" customHeight="1" x14ac:dyDescent="0.3">
      <c r="A39" s="4"/>
      <c r="B39" s="4"/>
      <c r="C39" s="6"/>
      <c r="D39" s="6"/>
      <c r="E39" s="7"/>
      <c r="F39" s="21"/>
      <c r="G39" s="4"/>
      <c r="H39" s="8"/>
      <c r="I39" s="9"/>
      <c r="J39" s="8">
        <f t="shared" si="2"/>
        <v>0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SUM(H29:H39)</f>
        <v>2242</v>
      </c>
      <c r="I40" s="9">
        <f>SUM(I29:I39)</f>
        <v>2242</v>
      </c>
      <c r="J40" s="8">
        <f>SUM(J29:J39)</f>
        <v>0</v>
      </c>
    </row>
    <row r="42" spans="1:10" ht="30" customHeight="1" x14ac:dyDescent="0.3">
      <c r="A42" s="94" t="s">
        <v>20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210825</v>
      </c>
      <c r="B44" s="4">
        <v>430</v>
      </c>
      <c r="C44" s="6">
        <v>0.6</v>
      </c>
      <c r="D44" s="6" t="s">
        <v>55</v>
      </c>
      <c r="E44" s="7" t="s">
        <v>85</v>
      </c>
      <c r="F44" s="4" t="s">
        <v>52</v>
      </c>
      <c r="G44" s="4">
        <v>430</v>
      </c>
      <c r="H44" s="8">
        <v>1267</v>
      </c>
      <c r="I44" s="9"/>
      <c r="J44" s="8">
        <f t="shared" ref="J44:J52" si="3">H44-I44</f>
        <v>1267</v>
      </c>
    </row>
    <row r="45" spans="1:10" ht="19.95" customHeight="1" x14ac:dyDescent="0.3">
      <c r="A45" s="4">
        <v>210825</v>
      </c>
      <c r="B45" s="4">
        <v>430</v>
      </c>
      <c r="C45" s="6">
        <v>0.6</v>
      </c>
      <c r="D45" s="6" t="s">
        <v>55</v>
      </c>
      <c r="E45" s="7" t="s">
        <v>76</v>
      </c>
      <c r="F45" s="21" t="s">
        <v>52</v>
      </c>
      <c r="G45" s="4">
        <v>430</v>
      </c>
      <c r="H45" s="8">
        <v>2600</v>
      </c>
      <c r="I45" s="9"/>
      <c r="J45" s="8">
        <f t="shared" si="3"/>
        <v>2600</v>
      </c>
    </row>
    <row r="46" spans="1:10" ht="19.95" customHeight="1" x14ac:dyDescent="0.3">
      <c r="A46" s="4">
        <v>250048</v>
      </c>
      <c r="B46" s="4">
        <v>304</v>
      </c>
      <c r="C46" s="6">
        <v>0.6</v>
      </c>
      <c r="D46" s="6" t="s">
        <v>55</v>
      </c>
      <c r="E46" s="7" t="s">
        <v>77</v>
      </c>
      <c r="F46" s="21" t="s">
        <v>52</v>
      </c>
      <c r="G46" s="4">
        <v>304</v>
      </c>
      <c r="H46" s="8">
        <v>690</v>
      </c>
      <c r="I46" s="9"/>
      <c r="J46" s="8">
        <f t="shared" si="3"/>
        <v>690</v>
      </c>
    </row>
    <row r="47" spans="1:10" ht="19.95" customHeight="1" x14ac:dyDescent="0.3">
      <c r="A47" s="4">
        <v>250048</v>
      </c>
      <c r="B47" s="4">
        <v>304</v>
      </c>
      <c r="C47" s="6">
        <v>0.6</v>
      </c>
      <c r="D47" s="6" t="s">
        <v>55</v>
      </c>
      <c r="E47" s="7" t="s">
        <v>78</v>
      </c>
      <c r="F47" s="21" t="s">
        <v>52</v>
      </c>
      <c r="G47" s="4">
        <v>304</v>
      </c>
      <c r="H47" s="8">
        <v>240</v>
      </c>
      <c r="I47" s="9"/>
      <c r="J47" s="8">
        <f t="shared" si="3"/>
        <v>240</v>
      </c>
    </row>
    <row r="48" spans="1:10" ht="19.95" customHeight="1" x14ac:dyDescent="0.3">
      <c r="A48" s="4">
        <v>250048</v>
      </c>
      <c r="B48" s="4">
        <v>304</v>
      </c>
      <c r="C48" s="6">
        <v>0.6</v>
      </c>
      <c r="D48" s="6" t="s">
        <v>55</v>
      </c>
      <c r="E48" s="7" t="s">
        <v>79</v>
      </c>
      <c r="F48" s="21" t="s">
        <v>52</v>
      </c>
      <c r="G48" s="4">
        <v>304</v>
      </c>
      <c r="H48" s="8">
        <v>120</v>
      </c>
      <c r="I48" s="9"/>
      <c r="J48" s="8">
        <f t="shared" si="3"/>
        <v>120</v>
      </c>
    </row>
    <row r="49" spans="1:10" ht="19.95" customHeight="1" x14ac:dyDescent="0.3">
      <c r="A49" s="4">
        <v>250048</v>
      </c>
      <c r="B49" s="4">
        <v>304</v>
      </c>
      <c r="C49" s="6">
        <v>0.6</v>
      </c>
      <c r="D49" s="6" t="s">
        <v>55</v>
      </c>
      <c r="E49" s="7" t="s">
        <v>80</v>
      </c>
      <c r="F49" s="21" t="s">
        <v>52</v>
      </c>
      <c r="G49" s="4">
        <v>304</v>
      </c>
      <c r="H49" s="8">
        <v>690</v>
      </c>
      <c r="I49" s="9"/>
      <c r="J49" s="8">
        <f t="shared" si="3"/>
        <v>690</v>
      </c>
    </row>
    <row r="50" spans="1:10" ht="19.95" customHeight="1" x14ac:dyDescent="0.3">
      <c r="A50" s="4">
        <v>250048</v>
      </c>
      <c r="B50" s="4">
        <v>304</v>
      </c>
      <c r="C50" s="6">
        <v>0.6</v>
      </c>
      <c r="D50" s="6" t="s">
        <v>55</v>
      </c>
      <c r="E50" s="7" t="s">
        <v>81</v>
      </c>
      <c r="F50" s="21" t="s">
        <v>52</v>
      </c>
      <c r="G50" s="4">
        <v>304</v>
      </c>
      <c r="H50" s="8">
        <v>240</v>
      </c>
      <c r="I50" s="9"/>
      <c r="J50" s="8">
        <f t="shared" si="3"/>
        <v>240</v>
      </c>
    </row>
    <row r="51" spans="1:10" ht="19.95" customHeight="1" x14ac:dyDescent="0.3">
      <c r="A51" s="4">
        <v>250048</v>
      </c>
      <c r="B51" s="4">
        <v>304</v>
      </c>
      <c r="C51" s="6">
        <v>0.6</v>
      </c>
      <c r="D51" s="6" t="s">
        <v>55</v>
      </c>
      <c r="E51" s="7" t="s">
        <v>82</v>
      </c>
      <c r="F51" s="21" t="s">
        <v>52</v>
      </c>
      <c r="G51" s="4">
        <v>304</v>
      </c>
      <c r="H51" s="8">
        <v>120</v>
      </c>
      <c r="I51" s="9"/>
      <c r="J51" s="8">
        <f t="shared" si="3"/>
        <v>120</v>
      </c>
    </row>
    <row r="52" spans="1:10" ht="19.95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8">
        <f t="shared" si="3"/>
        <v>0</v>
      </c>
    </row>
    <row r="53" spans="1:10" ht="19.95" customHeight="1" x14ac:dyDescent="0.3">
      <c r="A53" s="10"/>
      <c r="B53" s="10"/>
      <c r="C53" s="10"/>
      <c r="D53" s="10"/>
      <c r="E53" s="11"/>
      <c r="F53" s="10"/>
      <c r="G53" s="12"/>
      <c r="H53" s="8">
        <f>SUM(H44:H52)</f>
        <v>5967</v>
      </c>
      <c r="I53" s="9">
        <f>SUM(I44:I52)</f>
        <v>0</v>
      </c>
      <c r="J53" s="8">
        <f>SUM(J44:J52)</f>
        <v>5967</v>
      </c>
    </row>
    <row r="54" spans="1:10" ht="19.95" customHeight="1" x14ac:dyDescent="0.3">
      <c r="A54" s="15"/>
      <c r="B54" s="15"/>
      <c r="C54" s="15"/>
      <c r="D54" s="15"/>
      <c r="E54" s="16"/>
      <c r="F54" s="15"/>
      <c r="G54" s="15"/>
      <c r="H54" s="17"/>
      <c r="I54" s="18"/>
      <c r="J54" s="17"/>
    </row>
    <row r="55" spans="1:10" ht="30" customHeight="1" x14ac:dyDescent="0.3">
      <c r="A55" s="94" t="s">
        <v>19</v>
      </c>
      <c r="B55" s="94"/>
      <c r="C55" s="94"/>
      <c r="D55" s="94"/>
      <c r="E55" s="94"/>
      <c r="F55" s="94"/>
      <c r="G55" s="94"/>
      <c r="H55" s="94"/>
      <c r="I55" s="94"/>
      <c r="J55" s="94"/>
    </row>
    <row r="56" spans="1:10" ht="30" customHeight="1" x14ac:dyDescent="0.3">
      <c r="A56" s="4" t="s">
        <v>1</v>
      </c>
      <c r="B56" s="4" t="s">
        <v>2</v>
      </c>
      <c r="C56" s="5" t="s">
        <v>3</v>
      </c>
      <c r="D56" s="5" t="s">
        <v>4</v>
      </c>
      <c r="E56" s="4" t="s">
        <v>5</v>
      </c>
      <c r="F56" s="5" t="s">
        <v>6</v>
      </c>
      <c r="G56" s="5" t="s">
        <v>7</v>
      </c>
      <c r="H56" s="4" t="s">
        <v>8</v>
      </c>
      <c r="I56" s="4" t="s">
        <v>9</v>
      </c>
      <c r="J56" s="4" t="s">
        <v>10</v>
      </c>
    </row>
    <row r="57" spans="1:10" ht="19.95" customHeight="1" x14ac:dyDescent="0.3">
      <c r="A57" s="4">
        <v>250048</v>
      </c>
      <c r="B57" s="4">
        <v>304</v>
      </c>
      <c r="C57" s="6">
        <v>0.6</v>
      </c>
      <c r="D57" s="6" t="s">
        <v>55</v>
      </c>
      <c r="E57" s="7" t="s">
        <v>86</v>
      </c>
      <c r="F57" s="21" t="s">
        <v>52</v>
      </c>
      <c r="G57" s="4">
        <v>304</v>
      </c>
      <c r="H57" s="8">
        <v>690</v>
      </c>
      <c r="I57" s="9"/>
      <c r="J57" s="8">
        <f t="shared" ref="J57:J62" si="4">H57-I57</f>
        <v>690</v>
      </c>
    </row>
    <row r="58" spans="1:10" ht="19.95" customHeight="1" x14ac:dyDescent="0.3">
      <c r="A58" s="4">
        <v>250048</v>
      </c>
      <c r="B58" s="4">
        <v>304</v>
      </c>
      <c r="C58" s="6">
        <v>0.6</v>
      </c>
      <c r="D58" s="6" t="s">
        <v>55</v>
      </c>
      <c r="E58" s="7" t="s">
        <v>87</v>
      </c>
      <c r="F58" s="21" t="s">
        <v>52</v>
      </c>
      <c r="G58" s="4">
        <v>304</v>
      </c>
      <c r="H58" s="8">
        <v>240</v>
      </c>
      <c r="I58" s="9"/>
      <c r="J58" s="8">
        <f t="shared" si="4"/>
        <v>240</v>
      </c>
    </row>
    <row r="59" spans="1:10" ht="19.95" customHeight="1" x14ac:dyDescent="0.3">
      <c r="A59" s="4">
        <v>250048</v>
      </c>
      <c r="B59" s="4">
        <v>304</v>
      </c>
      <c r="C59" s="6">
        <v>0.6</v>
      </c>
      <c r="D59" s="6" t="s">
        <v>55</v>
      </c>
      <c r="E59" s="7" t="s">
        <v>88</v>
      </c>
      <c r="F59" s="21" t="s">
        <v>52</v>
      </c>
      <c r="G59" s="4">
        <v>304</v>
      </c>
      <c r="H59" s="8">
        <v>120</v>
      </c>
      <c r="I59" s="9"/>
      <c r="J59" s="8">
        <f t="shared" si="4"/>
        <v>120</v>
      </c>
    </row>
    <row r="60" spans="1:10" ht="19.95" customHeight="1" x14ac:dyDescent="0.3">
      <c r="A60" s="4" t="s">
        <v>89</v>
      </c>
      <c r="B60" s="4">
        <v>304</v>
      </c>
      <c r="C60" s="6">
        <v>0.9</v>
      </c>
      <c r="D60" s="6" t="s">
        <v>43</v>
      </c>
      <c r="E60" s="7" t="s">
        <v>90</v>
      </c>
      <c r="F60" s="7" t="s">
        <v>41</v>
      </c>
      <c r="G60" s="4">
        <v>430</v>
      </c>
      <c r="H60" s="8">
        <v>1500</v>
      </c>
      <c r="I60" s="9"/>
      <c r="J60" s="8">
        <f t="shared" si="4"/>
        <v>1500</v>
      </c>
    </row>
    <row r="61" spans="1:10" ht="19.95" customHeight="1" x14ac:dyDescent="0.3">
      <c r="A61" s="4">
        <v>100925</v>
      </c>
      <c r="B61" s="4">
        <v>304</v>
      </c>
      <c r="C61" s="6">
        <v>0.9</v>
      </c>
      <c r="D61" s="6" t="s">
        <v>91</v>
      </c>
      <c r="E61" s="7" t="s">
        <v>109</v>
      </c>
      <c r="F61" s="7" t="s">
        <v>41</v>
      </c>
      <c r="G61" s="4">
        <v>430</v>
      </c>
      <c r="H61" s="8">
        <v>1500</v>
      </c>
      <c r="I61" s="9"/>
      <c r="J61" s="8">
        <f t="shared" si="4"/>
        <v>1500</v>
      </c>
    </row>
    <row r="62" spans="1:10" ht="19.95" customHeight="1" x14ac:dyDescent="0.3">
      <c r="A62" s="4"/>
      <c r="B62" s="4"/>
      <c r="C62" s="6"/>
      <c r="D62" s="6"/>
      <c r="E62" s="7"/>
      <c r="F62" s="7"/>
      <c r="G62" s="4"/>
      <c r="H62" s="8"/>
      <c r="I62" s="24"/>
      <c r="J62" s="8">
        <f t="shared" si="4"/>
        <v>0</v>
      </c>
    </row>
    <row r="63" spans="1:10" ht="19.95" customHeight="1" x14ac:dyDescent="0.3">
      <c r="A63" s="10"/>
      <c r="B63" s="10"/>
      <c r="C63" s="10"/>
      <c r="D63" s="10"/>
      <c r="E63" s="11"/>
      <c r="F63" s="10"/>
      <c r="G63" s="12"/>
      <c r="H63" s="8">
        <f>SUM(H57:H62)</f>
        <v>4050</v>
      </c>
      <c r="I63" s="9">
        <f>SUM(I57:I62)</f>
        <v>0</v>
      </c>
      <c r="J63" s="8">
        <f>SUM(J57:J62)</f>
        <v>4050</v>
      </c>
    </row>
    <row r="64" spans="1:10" ht="19.95" customHeight="1" x14ac:dyDescent="0.3">
      <c r="A64" s="15"/>
      <c r="B64" s="15"/>
      <c r="C64" s="15"/>
      <c r="D64" s="15"/>
      <c r="E64" s="16"/>
      <c r="F64" s="15"/>
      <c r="G64" s="15"/>
      <c r="H64" s="17"/>
      <c r="I64" s="18"/>
      <c r="J64" s="17"/>
    </row>
    <row r="65" spans="1:10" ht="30" customHeight="1" x14ac:dyDescent="0.3">
      <c r="A65" s="94" t="s">
        <v>23</v>
      </c>
      <c r="B65" s="94"/>
      <c r="C65" s="94"/>
      <c r="D65" s="94"/>
      <c r="E65" s="94"/>
      <c r="F65" s="94"/>
      <c r="G65" s="94"/>
      <c r="H65" s="94"/>
      <c r="I65" s="94"/>
      <c r="J65" s="94"/>
    </row>
    <row r="66" spans="1:10" ht="30" customHeight="1" x14ac:dyDescent="0.3">
      <c r="A66" s="4" t="s">
        <v>1</v>
      </c>
      <c r="B66" s="4" t="s">
        <v>2</v>
      </c>
      <c r="C66" s="5" t="s">
        <v>3</v>
      </c>
      <c r="D66" s="5" t="s">
        <v>4</v>
      </c>
      <c r="E66" s="4" t="s">
        <v>5</v>
      </c>
      <c r="F66" s="5" t="s">
        <v>6</v>
      </c>
      <c r="G66" s="5" t="s">
        <v>7</v>
      </c>
      <c r="H66" s="4" t="s">
        <v>8</v>
      </c>
      <c r="I66" s="4" t="s">
        <v>9</v>
      </c>
      <c r="J66" s="4" t="s">
        <v>10</v>
      </c>
    </row>
    <row r="67" spans="1:10" ht="19.95" customHeight="1" x14ac:dyDescent="0.3">
      <c r="A67" s="4">
        <v>100925</v>
      </c>
      <c r="B67" s="4">
        <v>304</v>
      </c>
      <c r="C67" s="6">
        <v>0.9</v>
      </c>
      <c r="D67" s="6" t="s">
        <v>43</v>
      </c>
      <c r="E67" s="7" t="s">
        <v>93</v>
      </c>
      <c r="F67" s="21" t="s">
        <v>41</v>
      </c>
      <c r="G67" s="4">
        <v>430</v>
      </c>
      <c r="H67" s="8">
        <v>600</v>
      </c>
      <c r="I67" s="9"/>
      <c r="J67" s="8">
        <f t="shared" ref="J67:J88" si="5">H67-I67</f>
        <v>600</v>
      </c>
    </row>
    <row r="68" spans="1:10" ht="19.95" hidden="1" customHeight="1" x14ac:dyDescent="0.3">
      <c r="A68" s="21"/>
      <c r="B68" s="21"/>
      <c r="C68" s="22"/>
      <c r="D68" s="22"/>
      <c r="E68" s="20"/>
      <c r="F68" s="21"/>
      <c r="G68" s="21"/>
      <c r="H68" s="23"/>
      <c r="I68" s="9"/>
      <c r="J68" s="8">
        <f t="shared" si="5"/>
        <v>0</v>
      </c>
    </row>
    <row r="69" spans="1:10" ht="19.95" hidden="1" customHeight="1" x14ac:dyDescent="0.3">
      <c r="A69" s="21"/>
      <c r="B69" s="21"/>
      <c r="C69" s="22"/>
      <c r="D69" s="22"/>
      <c r="E69" s="20"/>
      <c r="F69" s="21"/>
      <c r="G69" s="21"/>
      <c r="H69" s="23"/>
      <c r="I69" s="9"/>
      <c r="J69" s="8">
        <f t="shared" si="5"/>
        <v>0</v>
      </c>
    </row>
    <row r="70" spans="1:10" ht="19.95" hidden="1" customHeight="1" x14ac:dyDescent="0.3">
      <c r="A70" s="4"/>
      <c r="B70" s="4"/>
      <c r="C70" s="6"/>
      <c r="D70" s="6"/>
      <c r="E70" s="7"/>
      <c r="F70" s="21"/>
      <c r="G70" s="4"/>
      <c r="H70" s="8"/>
      <c r="I70" s="9"/>
      <c r="J70" s="8">
        <f t="shared" si="5"/>
        <v>0</v>
      </c>
    </row>
    <row r="71" spans="1:10" ht="19.95" hidden="1" customHeight="1" x14ac:dyDescent="0.3">
      <c r="A71" s="4"/>
      <c r="B71" s="4"/>
      <c r="C71" s="6"/>
      <c r="D71" s="6"/>
      <c r="E71" s="7"/>
      <c r="F71" s="4"/>
      <c r="G71" s="4"/>
      <c r="H71" s="8"/>
      <c r="I71" s="9"/>
      <c r="J71" s="8">
        <f t="shared" si="5"/>
        <v>0</v>
      </c>
    </row>
    <row r="72" spans="1:10" ht="19.95" customHeight="1" x14ac:dyDescent="0.3">
      <c r="A72" s="4" t="s">
        <v>89</v>
      </c>
      <c r="B72" s="4">
        <v>304</v>
      </c>
      <c r="C72" s="6">
        <v>0.9</v>
      </c>
      <c r="D72" s="6" t="s">
        <v>43</v>
      </c>
      <c r="E72" s="7" t="s">
        <v>94</v>
      </c>
      <c r="F72" s="4" t="s">
        <v>41</v>
      </c>
      <c r="G72" s="4">
        <v>430</v>
      </c>
      <c r="H72" s="8">
        <v>1500</v>
      </c>
      <c r="I72" s="9"/>
      <c r="J72" s="8">
        <f t="shared" si="5"/>
        <v>1500</v>
      </c>
    </row>
    <row r="73" spans="1:10" ht="19.95" customHeight="1" x14ac:dyDescent="0.3">
      <c r="A73" s="4"/>
      <c r="B73" s="4"/>
      <c r="C73" s="6"/>
      <c r="D73" s="6"/>
      <c r="E73" s="7"/>
      <c r="F73" s="7"/>
      <c r="G73" s="4"/>
      <c r="H73" s="8"/>
      <c r="I73" s="9"/>
      <c r="J73" s="8">
        <f t="shared" si="5"/>
        <v>0</v>
      </c>
    </row>
    <row r="74" spans="1:10" ht="19.95" hidden="1" customHeight="1" x14ac:dyDescent="0.3">
      <c r="A74" s="4"/>
      <c r="B74" s="4"/>
      <c r="C74" s="6"/>
      <c r="D74" s="6"/>
      <c r="E74" s="7"/>
      <c r="F74" s="7"/>
      <c r="G74" s="4"/>
      <c r="H74" s="8"/>
      <c r="I74" s="9"/>
      <c r="J74" s="8">
        <f t="shared" si="5"/>
        <v>0</v>
      </c>
    </row>
    <row r="75" spans="1:10" ht="19.95" hidden="1" customHeight="1" x14ac:dyDescent="0.3">
      <c r="A75" s="4"/>
      <c r="B75" s="4"/>
      <c r="C75" s="6"/>
      <c r="D75" s="6"/>
      <c r="E75" s="7"/>
      <c r="F75" s="7"/>
      <c r="G75" s="4"/>
      <c r="H75" s="8"/>
      <c r="I75" s="9"/>
      <c r="J75" s="8">
        <f t="shared" si="5"/>
        <v>0</v>
      </c>
    </row>
    <row r="76" spans="1:10" ht="19.95" hidden="1" customHeight="1" x14ac:dyDescent="0.3">
      <c r="A76" s="4"/>
      <c r="B76" s="4"/>
      <c r="C76" s="6"/>
      <c r="D76" s="6"/>
      <c r="E76" s="7"/>
      <c r="F76" s="7"/>
      <c r="G76" s="4"/>
      <c r="H76" s="8"/>
      <c r="I76" s="9"/>
      <c r="J76" s="8">
        <f t="shared" si="5"/>
        <v>0</v>
      </c>
    </row>
    <row r="77" spans="1:10" ht="19.95" hidden="1" customHeight="1" x14ac:dyDescent="0.3">
      <c r="A77" s="4"/>
      <c r="B77" s="4"/>
      <c r="C77" s="6"/>
      <c r="D77" s="6"/>
      <c r="E77" s="7"/>
      <c r="F77" s="7"/>
      <c r="G77" s="4"/>
      <c r="H77" s="8"/>
      <c r="I77" s="9"/>
      <c r="J77" s="8">
        <f t="shared" si="5"/>
        <v>0</v>
      </c>
    </row>
    <row r="78" spans="1:10" ht="19.95" hidden="1" customHeight="1" x14ac:dyDescent="0.3">
      <c r="A78" s="4"/>
      <c r="B78" s="4"/>
      <c r="C78" s="6"/>
      <c r="D78" s="6"/>
      <c r="E78" s="7"/>
      <c r="F78" s="7"/>
      <c r="G78" s="4"/>
      <c r="H78" s="8"/>
      <c r="I78" s="9"/>
      <c r="J78" s="8">
        <f t="shared" si="5"/>
        <v>0</v>
      </c>
    </row>
    <row r="79" spans="1:10" ht="19.95" hidden="1" customHeight="1" x14ac:dyDescent="0.3">
      <c r="A79" s="4"/>
      <c r="B79" s="4"/>
      <c r="C79" s="6"/>
      <c r="D79" s="6"/>
      <c r="E79" s="7"/>
      <c r="F79" s="7"/>
      <c r="G79" s="4"/>
      <c r="H79" s="8"/>
      <c r="I79" s="9"/>
      <c r="J79" s="8">
        <f t="shared" si="5"/>
        <v>0</v>
      </c>
    </row>
    <row r="80" spans="1:10" ht="19.95" hidden="1" customHeight="1" x14ac:dyDescent="0.3">
      <c r="A80" s="4"/>
      <c r="B80" s="4"/>
      <c r="C80" s="6"/>
      <c r="D80" s="6"/>
      <c r="E80" s="7"/>
      <c r="F80" s="7"/>
      <c r="G80" s="4"/>
      <c r="H80" s="8"/>
      <c r="I80" s="9"/>
      <c r="J80" s="8">
        <f t="shared" si="5"/>
        <v>0</v>
      </c>
    </row>
    <row r="81" spans="1:10" ht="19.95" hidden="1" customHeight="1" x14ac:dyDescent="0.3">
      <c r="A81" s="4"/>
      <c r="B81" s="4"/>
      <c r="C81" s="6"/>
      <c r="D81" s="6"/>
      <c r="E81" s="7"/>
      <c r="F81" s="7"/>
      <c r="G81" s="4"/>
      <c r="H81" s="8"/>
      <c r="I81" s="9"/>
      <c r="J81" s="8">
        <f t="shared" si="5"/>
        <v>0</v>
      </c>
    </row>
    <row r="82" spans="1:10" ht="19.95" hidden="1" customHeight="1" x14ac:dyDescent="0.3">
      <c r="A82" s="4"/>
      <c r="B82" s="4"/>
      <c r="C82" s="6"/>
      <c r="D82" s="6"/>
      <c r="E82" s="7"/>
      <c r="F82" s="7"/>
      <c r="G82" s="4"/>
      <c r="H82" s="8"/>
      <c r="I82" s="9"/>
      <c r="J82" s="8">
        <f t="shared" si="5"/>
        <v>0</v>
      </c>
    </row>
    <row r="83" spans="1:10" ht="19.95" hidden="1" customHeight="1" x14ac:dyDescent="0.3">
      <c r="A83" s="4"/>
      <c r="B83" s="4"/>
      <c r="C83" s="6"/>
      <c r="D83" s="6"/>
      <c r="E83" s="7"/>
      <c r="F83" s="7"/>
      <c r="G83" s="4"/>
      <c r="H83" s="8"/>
      <c r="I83" s="9"/>
      <c r="J83" s="8">
        <f t="shared" si="5"/>
        <v>0</v>
      </c>
    </row>
    <row r="84" spans="1:10" ht="19.95" hidden="1" customHeight="1" x14ac:dyDescent="0.3">
      <c r="A84" s="4"/>
      <c r="B84" s="4"/>
      <c r="C84" s="6"/>
      <c r="D84" s="6"/>
      <c r="E84" s="7"/>
      <c r="F84" s="7"/>
      <c r="G84" s="4"/>
      <c r="H84" s="8"/>
      <c r="I84" s="9"/>
      <c r="J84" s="8">
        <f t="shared" si="5"/>
        <v>0</v>
      </c>
    </row>
    <row r="85" spans="1:10" ht="19.95" customHeight="1" x14ac:dyDescent="0.3">
      <c r="A85" s="4"/>
      <c r="B85" s="4"/>
      <c r="C85" s="6"/>
      <c r="D85" s="6"/>
      <c r="E85" s="7"/>
      <c r="F85" s="4"/>
      <c r="G85" s="4"/>
      <c r="H85" s="8"/>
      <c r="I85" s="9"/>
      <c r="J85" s="8">
        <f t="shared" si="5"/>
        <v>0</v>
      </c>
    </row>
    <row r="86" spans="1:10" ht="19.95" customHeight="1" x14ac:dyDescent="0.3">
      <c r="A86" s="4"/>
      <c r="B86" s="4"/>
      <c r="C86" s="6"/>
      <c r="D86" s="6"/>
      <c r="E86" s="7"/>
      <c r="F86" s="4"/>
      <c r="G86" s="4"/>
      <c r="H86" s="8"/>
      <c r="I86" s="9"/>
      <c r="J86" s="8">
        <f t="shared" si="5"/>
        <v>0</v>
      </c>
    </row>
    <row r="87" spans="1:10" ht="19.95" customHeight="1" x14ac:dyDescent="0.3">
      <c r="A87" s="4"/>
      <c r="B87" s="4"/>
      <c r="C87" s="6"/>
      <c r="D87" s="6"/>
      <c r="E87" s="7"/>
      <c r="F87" s="4"/>
      <c r="G87" s="4"/>
      <c r="H87" s="8"/>
      <c r="I87" s="9"/>
      <c r="J87" s="8">
        <f t="shared" si="5"/>
        <v>0</v>
      </c>
    </row>
    <row r="88" spans="1:10" ht="19.95" customHeight="1" x14ac:dyDescent="0.3">
      <c r="A88" s="4"/>
      <c r="B88" s="4"/>
      <c r="C88" s="6"/>
      <c r="D88" s="6"/>
      <c r="E88" s="7"/>
      <c r="F88" s="4"/>
      <c r="G88" s="4"/>
      <c r="H88" s="8"/>
      <c r="I88" s="9"/>
      <c r="J88" s="8">
        <f t="shared" si="5"/>
        <v>0</v>
      </c>
    </row>
    <row r="89" spans="1:10" ht="19.95" customHeight="1" x14ac:dyDescent="0.3">
      <c r="A89" s="10"/>
      <c r="B89" s="10"/>
      <c r="C89" s="10"/>
      <c r="D89" s="10"/>
      <c r="E89" s="11"/>
      <c r="F89" s="10"/>
      <c r="G89" s="12"/>
      <c r="H89" s="8">
        <f>SUM(H67:H88)</f>
        <v>2100</v>
      </c>
      <c r="I89" s="9">
        <f>SUM(I67:I88)</f>
        <v>0</v>
      </c>
      <c r="J89" s="8">
        <f>SUM(J67:J88)</f>
        <v>2100</v>
      </c>
    </row>
    <row r="91" spans="1:10" ht="23.4" x14ac:dyDescent="0.3">
      <c r="A91" s="95" t="s">
        <v>14</v>
      </c>
      <c r="B91" s="95"/>
      <c r="C91" s="95"/>
      <c r="D91" s="95"/>
      <c r="E91" s="95"/>
      <c r="F91" s="95"/>
      <c r="G91" s="95"/>
      <c r="H91" s="95"/>
      <c r="I91" s="95"/>
      <c r="J91" s="95"/>
    </row>
  </sheetData>
  <mergeCells count="9">
    <mergeCell ref="A55:J55"/>
    <mergeCell ref="A65:J65"/>
    <mergeCell ref="A91:J91"/>
    <mergeCell ref="H1:J1"/>
    <mergeCell ref="A2:J2"/>
    <mergeCell ref="A3:J3"/>
    <mergeCell ref="A16:J16"/>
    <mergeCell ref="A27:J27"/>
    <mergeCell ref="A42:J4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0" fitToHeight="0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9"/>
  <sheetViews>
    <sheetView zoomScale="85" zoomScaleNormal="85" workbookViewId="0">
      <selection activeCell="E90" sqref="E90:E9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7.77734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72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210825</v>
      </c>
      <c r="B5" s="4">
        <v>430</v>
      </c>
      <c r="C5" s="6">
        <v>0.6</v>
      </c>
      <c r="D5" s="6" t="s">
        <v>55</v>
      </c>
      <c r="E5" s="7" t="s">
        <v>71</v>
      </c>
      <c r="F5" s="21" t="s">
        <v>52</v>
      </c>
      <c r="G5" s="4">
        <v>430</v>
      </c>
      <c r="H5" s="8">
        <v>3000</v>
      </c>
      <c r="I5" s="9">
        <f>904+2125</f>
        <v>3029</v>
      </c>
      <c r="J5" s="8">
        <f t="shared" ref="J5:J13" si="0">H5-I5</f>
        <v>-29</v>
      </c>
    </row>
    <row r="6" spans="1:10" ht="19.95" customHeight="1" x14ac:dyDescent="0.3">
      <c r="A6" s="4">
        <v>10925</v>
      </c>
      <c r="B6" s="4">
        <v>430</v>
      </c>
      <c r="C6" s="6">
        <v>0.8</v>
      </c>
      <c r="D6" s="6" t="s">
        <v>43</v>
      </c>
      <c r="E6" s="7" t="s">
        <v>73</v>
      </c>
      <c r="F6" s="4" t="s">
        <v>41</v>
      </c>
      <c r="G6" s="4">
        <v>430</v>
      </c>
      <c r="H6" s="8">
        <v>874</v>
      </c>
      <c r="I6" s="9">
        <v>874</v>
      </c>
      <c r="J6" s="8">
        <f t="shared" si="0"/>
        <v>0</v>
      </c>
    </row>
    <row r="7" spans="1:10" ht="19.95" hidden="1" customHeight="1" x14ac:dyDescent="0.3">
      <c r="A7" s="4"/>
      <c r="B7" s="4"/>
      <c r="C7" s="6"/>
      <c r="D7" s="6"/>
      <c r="E7" s="7"/>
      <c r="F7" s="4"/>
      <c r="G7" s="4"/>
      <c r="H7" s="8"/>
      <c r="I7" s="9"/>
      <c r="J7" s="8">
        <f t="shared" si="0"/>
        <v>0</v>
      </c>
    </row>
    <row r="8" spans="1:10" ht="19.95" hidden="1" customHeight="1" x14ac:dyDescent="0.3">
      <c r="A8" s="4"/>
      <c r="B8" s="4"/>
      <c r="C8" s="6"/>
      <c r="D8" s="6"/>
      <c r="E8" s="7"/>
      <c r="F8" s="4"/>
      <c r="G8" s="4"/>
      <c r="H8" s="8"/>
      <c r="I8" s="9"/>
      <c r="J8" s="8">
        <f t="shared" si="0"/>
        <v>0</v>
      </c>
    </row>
    <row r="9" spans="1:10" ht="19.95" hidden="1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0" ht="19.95" hidden="1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hidden="1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0" ht="19.95" hidden="1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8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8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3874</v>
      </c>
      <c r="I14" s="14">
        <f>SUM(I5:I13)</f>
        <v>3903</v>
      </c>
      <c r="J14" s="8">
        <f>SUM(J5:J13)</f>
        <v>-29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10925</v>
      </c>
      <c r="B18" s="4">
        <v>430</v>
      </c>
      <c r="C18" s="6">
        <v>0.8</v>
      </c>
      <c r="D18" s="6" t="s">
        <v>43</v>
      </c>
      <c r="E18" s="7" t="s">
        <v>73</v>
      </c>
      <c r="F18" s="4" t="s">
        <v>41</v>
      </c>
      <c r="G18" s="4">
        <v>430</v>
      </c>
      <c r="H18" s="8">
        <v>2476</v>
      </c>
      <c r="I18" s="9">
        <v>2547</v>
      </c>
      <c r="J18" s="8">
        <f t="shared" ref="J18:J24" si="1">H18-I18</f>
        <v>-71</v>
      </c>
    </row>
    <row r="19" spans="1:10" ht="19.95" customHeight="1" x14ac:dyDescent="0.3">
      <c r="A19" s="4" t="s">
        <v>74</v>
      </c>
      <c r="B19" s="4">
        <v>304</v>
      </c>
      <c r="C19" s="6">
        <v>0.8</v>
      </c>
      <c r="D19" s="6" t="s">
        <v>43</v>
      </c>
      <c r="E19" s="7" t="s">
        <v>75</v>
      </c>
      <c r="F19" s="4" t="s">
        <v>41</v>
      </c>
      <c r="G19" s="4">
        <v>430</v>
      </c>
      <c r="H19" s="8">
        <v>3200</v>
      </c>
      <c r="I19" s="9">
        <f>1968+1346</f>
        <v>3314</v>
      </c>
      <c r="J19" s="8">
        <f t="shared" si="1"/>
        <v>-114</v>
      </c>
    </row>
    <row r="20" spans="1:10" ht="19.95" customHeight="1" x14ac:dyDescent="0.3">
      <c r="A20" s="4" t="s">
        <v>83</v>
      </c>
      <c r="B20" s="4">
        <v>304</v>
      </c>
      <c r="C20" s="6">
        <v>0.6</v>
      </c>
      <c r="D20" s="6" t="s">
        <v>55</v>
      </c>
      <c r="E20" s="7" t="s">
        <v>84</v>
      </c>
      <c r="F20" s="4" t="s">
        <v>45</v>
      </c>
      <c r="G20" s="4">
        <v>304</v>
      </c>
      <c r="H20" s="8">
        <v>38</v>
      </c>
      <c r="I20" s="9">
        <v>38</v>
      </c>
      <c r="J20" s="8">
        <f t="shared" si="1"/>
        <v>0</v>
      </c>
    </row>
    <row r="21" spans="1:10" ht="19.95" hidden="1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8">
        <f t="shared" si="1"/>
        <v>0</v>
      </c>
    </row>
    <row r="22" spans="1:10" ht="19.95" hidden="1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8">
        <f t="shared" si="1"/>
        <v>0</v>
      </c>
    </row>
    <row r="23" spans="1:10" ht="19.95" hidden="1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8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8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5714</v>
      </c>
      <c r="I25" s="9">
        <f>SUM(I18:I24)</f>
        <v>5899</v>
      </c>
      <c r="J25" s="8">
        <f>SUM(J18:J24)</f>
        <v>-185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210825</v>
      </c>
      <c r="B29" s="4">
        <v>430</v>
      </c>
      <c r="C29" s="6">
        <v>0.6</v>
      </c>
      <c r="D29" s="6" t="s">
        <v>55</v>
      </c>
      <c r="E29" s="7" t="s">
        <v>85</v>
      </c>
      <c r="F29" s="4" t="s">
        <v>52</v>
      </c>
      <c r="G29" s="4">
        <v>430</v>
      </c>
      <c r="H29" s="8">
        <v>1733</v>
      </c>
      <c r="I29" s="9">
        <f>1733</f>
        <v>1733</v>
      </c>
      <c r="J29" s="8">
        <f t="shared" ref="J29:J39" si="2">H29-I29</f>
        <v>0</v>
      </c>
    </row>
    <row r="30" spans="1:10" ht="19.95" customHeight="1" x14ac:dyDescent="0.3">
      <c r="A30" s="4" t="s">
        <v>95</v>
      </c>
      <c r="B30" s="4">
        <v>430</v>
      </c>
      <c r="C30" s="6">
        <v>0.8</v>
      </c>
      <c r="D30" s="6" t="s">
        <v>96</v>
      </c>
      <c r="E30" s="7" t="s">
        <v>97</v>
      </c>
      <c r="F30" s="21" t="s">
        <v>41</v>
      </c>
      <c r="G30" s="4">
        <v>430</v>
      </c>
      <c r="H30" s="8">
        <v>359</v>
      </c>
      <c r="I30" s="9">
        <v>359</v>
      </c>
      <c r="J30" s="8">
        <f t="shared" si="2"/>
        <v>0</v>
      </c>
    </row>
    <row r="31" spans="1:10" ht="19.95" customHeight="1" x14ac:dyDescent="0.3">
      <c r="A31" s="4" t="s">
        <v>95</v>
      </c>
      <c r="B31" s="4">
        <v>304</v>
      </c>
      <c r="C31" s="6">
        <v>0.9</v>
      </c>
      <c r="D31" s="6" t="s">
        <v>96</v>
      </c>
      <c r="E31" s="7" t="s">
        <v>98</v>
      </c>
      <c r="F31" s="21" t="s">
        <v>41</v>
      </c>
      <c r="G31" s="4">
        <v>430</v>
      </c>
      <c r="H31" s="8">
        <v>109</v>
      </c>
      <c r="I31" s="9">
        <v>109</v>
      </c>
      <c r="J31" s="8">
        <f t="shared" si="2"/>
        <v>0</v>
      </c>
    </row>
    <row r="32" spans="1:10" ht="19.95" customHeight="1" x14ac:dyDescent="0.3">
      <c r="A32" s="4" t="s">
        <v>95</v>
      </c>
      <c r="B32" s="4">
        <v>304</v>
      </c>
      <c r="C32" s="6">
        <v>1</v>
      </c>
      <c r="D32" s="6" t="s">
        <v>43</v>
      </c>
      <c r="E32" s="7" t="s">
        <v>99</v>
      </c>
      <c r="F32" s="21" t="s">
        <v>45</v>
      </c>
      <c r="G32" s="4">
        <v>304</v>
      </c>
      <c r="H32" s="8">
        <v>4</v>
      </c>
      <c r="I32" s="9">
        <v>4</v>
      </c>
      <c r="J32" s="8">
        <f t="shared" si="2"/>
        <v>0</v>
      </c>
    </row>
    <row r="33" spans="1:10" ht="19.95" customHeight="1" x14ac:dyDescent="0.3">
      <c r="A33" s="4" t="s">
        <v>95</v>
      </c>
      <c r="B33" s="4">
        <v>304</v>
      </c>
      <c r="C33" s="6">
        <v>0.9</v>
      </c>
      <c r="D33" s="6" t="s">
        <v>96</v>
      </c>
      <c r="E33" s="7" t="s">
        <v>101</v>
      </c>
      <c r="F33" s="21" t="s">
        <v>13</v>
      </c>
      <c r="G33" s="4">
        <v>430</v>
      </c>
      <c r="H33" s="8">
        <v>12</v>
      </c>
      <c r="I33" s="9">
        <v>12</v>
      </c>
      <c r="J33" s="8">
        <f t="shared" si="2"/>
        <v>0</v>
      </c>
    </row>
    <row r="34" spans="1:10" ht="19.95" customHeight="1" x14ac:dyDescent="0.3">
      <c r="A34" s="4" t="s">
        <v>95</v>
      </c>
      <c r="B34" s="4">
        <v>304</v>
      </c>
      <c r="C34" s="6">
        <v>0.9</v>
      </c>
      <c r="D34" s="6" t="s">
        <v>96</v>
      </c>
      <c r="E34" s="7" t="s">
        <v>100</v>
      </c>
      <c r="F34" s="21" t="s">
        <v>13</v>
      </c>
      <c r="G34" s="4">
        <v>430</v>
      </c>
      <c r="H34" s="8">
        <v>12</v>
      </c>
      <c r="I34" s="9">
        <v>12</v>
      </c>
      <c r="J34" s="8">
        <f t="shared" si="2"/>
        <v>0</v>
      </c>
    </row>
    <row r="35" spans="1:10" ht="19.95" customHeight="1" x14ac:dyDescent="0.3">
      <c r="A35" s="4" t="s">
        <v>95</v>
      </c>
      <c r="B35" s="4">
        <v>304</v>
      </c>
      <c r="C35" s="6">
        <v>0.9</v>
      </c>
      <c r="D35" s="6" t="s">
        <v>96</v>
      </c>
      <c r="E35" s="7" t="s">
        <v>102</v>
      </c>
      <c r="F35" s="21" t="s">
        <v>13</v>
      </c>
      <c r="G35" s="4">
        <v>430</v>
      </c>
      <c r="H35" s="8">
        <v>13</v>
      </c>
      <c r="I35" s="9">
        <v>13</v>
      </c>
      <c r="J35" s="8">
        <f t="shared" si="2"/>
        <v>0</v>
      </c>
    </row>
    <row r="36" spans="1:10" ht="19.95" customHeight="1" x14ac:dyDescent="0.3">
      <c r="A36" s="4"/>
      <c r="B36" s="4"/>
      <c r="C36" s="6"/>
      <c r="D36" s="6"/>
      <c r="E36" s="7"/>
      <c r="F36" s="21"/>
      <c r="G36" s="4"/>
      <c r="H36" s="8"/>
      <c r="I36" s="9"/>
      <c r="J36" s="8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/>
      <c r="J37" s="8">
        <f t="shared" si="2"/>
        <v>0</v>
      </c>
    </row>
    <row r="38" spans="1:10" ht="19.95" hidden="1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8">
        <f t="shared" si="2"/>
        <v>0</v>
      </c>
    </row>
    <row r="39" spans="1:10" ht="19.95" customHeight="1" x14ac:dyDescent="0.3">
      <c r="A39" s="4"/>
      <c r="B39" s="4"/>
      <c r="C39" s="6"/>
      <c r="D39" s="6"/>
      <c r="E39" s="7"/>
      <c r="F39" s="21"/>
      <c r="G39" s="4"/>
      <c r="H39" s="8"/>
      <c r="I39" s="9"/>
      <c r="J39" s="8">
        <f t="shared" si="2"/>
        <v>0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SUM(H29:H39)</f>
        <v>2242</v>
      </c>
      <c r="I40" s="9">
        <f>SUM(I29:I39)</f>
        <v>2242</v>
      </c>
      <c r="J40" s="8">
        <f>SUM(J29:J39)</f>
        <v>0</v>
      </c>
    </row>
    <row r="42" spans="1:10" ht="30" customHeight="1" x14ac:dyDescent="0.3">
      <c r="A42" s="94" t="s">
        <v>20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210825</v>
      </c>
      <c r="B44" s="4">
        <v>430</v>
      </c>
      <c r="C44" s="6">
        <v>0.6</v>
      </c>
      <c r="D44" s="6" t="s">
        <v>55</v>
      </c>
      <c r="E44" s="7" t="s">
        <v>85</v>
      </c>
      <c r="F44" s="4" t="s">
        <v>52</v>
      </c>
      <c r="G44" s="4">
        <v>430</v>
      </c>
      <c r="H44" s="8">
        <v>1267</v>
      </c>
      <c r="I44" s="9">
        <v>1324</v>
      </c>
      <c r="J44" s="8">
        <f t="shared" ref="J44:J54" si="3">H44-I44</f>
        <v>-57</v>
      </c>
    </row>
    <row r="45" spans="1:10" ht="19.95" customHeight="1" x14ac:dyDescent="0.3">
      <c r="A45" s="4">
        <v>210825</v>
      </c>
      <c r="B45" s="4">
        <v>430</v>
      </c>
      <c r="C45" s="6">
        <v>0.6</v>
      </c>
      <c r="D45" s="6" t="s">
        <v>55</v>
      </c>
      <c r="E45" s="7" t="s">
        <v>76</v>
      </c>
      <c r="F45" s="21" t="s">
        <v>52</v>
      </c>
      <c r="G45" s="4">
        <v>430</v>
      </c>
      <c r="H45" s="8">
        <v>2137</v>
      </c>
      <c r="I45" s="9">
        <v>2137</v>
      </c>
      <c r="J45" s="8">
        <f t="shared" si="3"/>
        <v>0</v>
      </c>
    </row>
    <row r="46" spans="1:10" ht="19.95" customHeight="1" x14ac:dyDescent="0.3">
      <c r="A46" s="4" t="s">
        <v>103</v>
      </c>
      <c r="B46" s="4">
        <v>304</v>
      </c>
      <c r="C46" s="6">
        <v>0.9</v>
      </c>
      <c r="D46" s="6" t="s">
        <v>55</v>
      </c>
      <c r="E46" s="7" t="s">
        <v>104</v>
      </c>
      <c r="F46" s="21" t="s">
        <v>45</v>
      </c>
      <c r="G46" s="4">
        <v>430</v>
      </c>
      <c r="H46" s="8">
        <v>10</v>
      </c>
      <c r="I46" s="9">
        <v>10</v>
      </c>
      <c r="J46" s="8">
        <f t="shared" si="3"/>
        <v>0</v>
      </c>
    </row>
    <row r="47" spans="1:10" ht="19.95" customHeight="1" x14ac:dyDescent="0.3">
      <c r="A47" s="4" t="s">
        <v>103</v>
      </c>
      <c r="B47" s="4">
        <v>304</v>
      </c>
      <c r="C47" s="6">
        <v>0.9</v>
      </c>
      <c r="D47" s="6" t="s">
        <v>55</v>
      </c>
      <c r="E47" s="7" t="s">
        <v>100</v>
      </c>
      <c r="F47" s="21" t="s">
        <v>45</v>
      </c>
      <c r="G47" s="4">
        <v>430</v>
      </c>
      <c r="H47" s="8">
        <v>10</v>
      </c>
      <c r="I47" s="9">
        <v>10</v>
      </c>
      <c r="J47" s="8">
        <f t="shared" si="3"/>
        <v>0</v>
      </c>
    </row>
    <row r="48" spans="1:10" ht="19.95" customHeight="1" x14ac:dyDescent="0.3">
      <c r="A48" s="4" t="s">
        <v>103</v>
      </c>
      <c r="B48" s="4">
        <v>304</v>
      </c>
      <c r="C48" s="6">
        <v>0.9</v>
      </c>
      <c r="D48" s="6" t="s">
        <v>55</v>
      </c>
      <c r="E48" s="7" t="s">
        <v>105</v>
      </c>
      <c r="F48" s="21" t="s">
        <v>45</v>
      </c>
      <c r="G48" s="4">
        <v>430</v>
      </c>
      <c r="H48" s="8">
        <v>10</v>
      </c>
      <c r="I48" s="9">
        <v>10</v>
      </c>
      <c r="J48" s="8">
        <f t="shared" si="3"/>
        <v>0</v>
      </c>
    </row>
    <row r="49" spans="1:10" ht="19.95" customHeight="1" x14ac:dyDescent="0.3">
      <c r="A49" s="4" t="s">
        <v>103</v>
      </c>
      <c r="B49" s="4">
        <v>304</v>
      </c>
      <c r="C49" s="6">
        <v>0.6</v>
      </c>
      <c r="D49" s="6" t="s">
        <v>43</v>
      </c>
      <c r="E49" s="7" t="s">
        <v>106</v>
      </c>
      <c r="F49" s="21" t="s">
        <v>107</v>
      </c>
      <c r="G49" s="4">
        <v>304</v>
      </c>
      <c r="H49" s="8">
        <v>14</v>
      </c>
      <c r="I49" s="9">
        <v>14</v>
      </c>
      <c r="J49" s="8">
        <f t="shared" si="3"/>
        <v>0</v>
      </c>
    </row>
    <row r="50" spans="1:10" ht="19.95" customHeight="1" x14ac:dyDescent="0.3">
      <c r="A50" s="4" t="s">
        <v>103</v>
      </c>
      <c r="B50" s="4">
        <v>304</v>
      </c>
      <c r="C50" s="6">
        <v>0.6</v>
      </c>
      <c r="D50" s="6" t="s">
        <v>43</v>
      </c>
      <c r="E50" s="7" t="s">
        <v>108</v>
      </c>
      <c r="F50" s="21" t="s">
        <v>107</v>
      </c>
      <c r="G50" s="4">
        <v>304</v>
      </c>
      <c r="H50" s="8">
        <v>20</v>
      </c>
      <c r="I50" s="9">
        <v>20</v>
      </c>
      <c r="J50" s="8">
        <f t="shared" si="3"/>
        <v>0</v>
      </c>
    </row>
    <row r="51" spans="1:10" ht="19.95" hidden="1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8">
        <f t="shared" si="3"/>
        <v>0</v>
      </c>
    </row>
    <row r="52" spans="1:10" ht="19.95" hidden="1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8">
        <f t="shared" si="3"/>
        <v>0</v>
      </c>
    </row>
    <row r="53" spans="1:10" ht="19.95" hidden="1" customHeight="1" x14ac:dyDescent="0.3">
      <c r="A53" s="4"/>
      <c r="B53" s="4"/>
      <c r="C53" s="6"/>
      <c r="D53" s="6"/>
      <c r="E53" s="7"/>
      <c r="F53" s="21"/>
      <c r="G53" s="4"/>
      <c r="H53" s="8"/>
      <c r="I53" s="9"/>
      <c r="J53" s="8">
        <f t="shared" si="3"/>
        <v>0</v>
      </c>
    </row>
    <row r="54" spans="1:10" ht="19.95" customHeight="1" x14ac:dyDescent="0.3">
      <c r="A54" s="4"/>
      <c r="B54" s="4"/>
      <c r="C54" s="6"/>
      <c r="D54" s="6"/>
      <c r="E54" s="7"/>
      <c r="F54" s="21"/>
      <c r="G54" s="4"/>
      <c r="H54" s="8"/>
      <c r="I54" s="9"/>
      <c r="J54" s="8">
        <f t="shared" si="3"/>
        <v>0</v>
      </c>
    </row>
    <row r="55" spans="1:10" ht="19.95" customHeight="1" x14ac:dyDescent="0.3">
      <c r="A55" s="10"/>
      <c r="B55" s="10"/>
      <c r="C55" s="10"/>
      <c r="D55" s="10"/>
      <c r="E55" s="11"/>
      <c r="F55" s="10"/>
      <c r="G55" s="12"/>
      <c r="H55" s="8">
        <f>SUM(H44:H54)</f>
        <v>3468</v>
      </c>
      <c r="I55" s="9">
        <f>SUM(I44:I54)</f>
        <v>3525</v>
      </c>
      <c r="J55" s="8">
        <f>SUM(J44:J54)</f>
        <v>-57</v>
      </c>
    </row>
    <row r="56" spans="1:10" ht="19.95" customHeight="1" x14ac:dyDescent="0.3">
      <c r="A56" s="15"/>
      <c r="B56" s="15"/>
      <c r="C56" s="15"/>
      <c r="D56" s="15"/>
      <c r="E56" s="16"/>
      <c r="F56" s="15"/>
      <c r="G56" s="15"/>
      <c r="H56" s="17"/>
      <c r="I56" s="18"/>
      <c r="J56" s="17"/>
    </row>
    <row r="57" spans="1:10" ht="30" customHeight="1" x14ac:dyDescent="0.3">
      <c r="A57" s="94" t="s">
        <v>19</v>
      </c>
      <c r="B57" s="94"/>
      <c r="C57" s="94"/>
      <c r="D57" s="94"/>
      <c r="E57" s="94"/>
      <c r="F57" s="94"/>
      <c r="G57" s="94"/>
      <c r="H57" s="94"/>
      <c r="I57" s="94"/>
      <c r="J57" s="94"/>
    </row>
    <row r="58" spans="1:10" ht="30" customHeight="1" x14ac:dyDescent="0.3">
      <c r="A58" s="4" t="s">
        <v>1</v>
      </c>
      <c r="B58" s="4" t="s">
        <v>2</v>
      </c>
      <c r="C58" s="5" t="s">
        <v>3</v>
      </c>
      <c r="D58" s="5" t="s">
        <v>4</v>
      </c>
      <c r="E58" s="4" t="s">
        <v>5</v>
      </c>
      <c r="F58" s="5" t="s">
        <v>6</v>
      </c>
      <c r="G58" s="5" t="s">
        <v>7</v>
      </c>
      <c r="H58" s="4" t="s">
        <v>8</v>
      </c>
      <c r="I58" s="4" t="s">
        <v>9</v>
      </c>
      <c r="J58" s="4" t="s">
        <v>10</v>
      </c>
    </row>
    <row r="59" spans="1:10" ht="19.95" customHeight="1" x14ac:dyDescent="0.3">
      <c r="A59" s="4">
        <v>210825</v>
      </c>
      <c r="B59" s="4">
        <v>430</v>
      </c>
      <c r="C59" s="6">
        <v>0.6</v>
      </c>
      <c r="D59" s="6" t="s">
        <v>55</v>
      </c>
      <c r="E59" s="7" t="s">
        <v>76</v>
      </c>
      <c r="F59" s="21" t="s">
        <v>52</v>
      </c>
      <c r="G59" s="4">
        <v>430</v>
      </c>
      <c r="H59" s="8">
        <v>463</v>
      </c>
      <c r="I59" s="9"/>
      <c r="J59" s="8">
        <f t="shared" ref="J59:J70" si="4">H59-I59</f>
        <v>463</v>
      </c>
    </row>
    <row r="60" spans="1:10" ht="19.95" customHeight="1" x14ac:dyDescent="0.3">
      <c r="A60" s="4">
        <v>250048</v>
      </c>
      <c r="B60" s="4">
        <v>304</v>
      </c>
      <c r="C60" s="6">
        <v>0.6</v>
      </c>
      <c r="D60" s="6" t="s">
        <v>55</v>
      </c>
      <c r="E60" s="7" t="s">
        <v>77</v>
      </c>
      <c r="F60" s="21" t="s">
        <v>52</v>
      </c>
      <c r="G60" s="4">
        <v>304</v>
      </c>
      <c r="H60" s="8">
        <v>690</v>
      </c>
      <c r="I60" s="9"/>
      <c r="J60" s="8">
        <f t="shared" si="4"/>
        <v>690</v>
      </c>
    </row>
    <row r="61" spans="1:10" ht="19.95" customHeight="1" x14ac:dyDescent="0.3">
      <c r="A61" s="4">
        <v>250048</v>
      </c>
      <c r="B61" s="4">
        <v>304</v>
      </c>
      <c r="C61" s="6">
        <v>0.6</v>
      </c>
      <c r="D61" s="6" t="s">
        <v>55</v>
      </c>
      <c r="E61" s="7" t="s">
        <v>78</v>
      </c>
      <c r="F61" s="21" t="s">
        <v>52</v>
      </c>
      <c r="G61" s="4">
        <v>304</v>
      </c>
      <c r="H61" s="8">
        <v>240</v>
      </c>
      <c r="I61" s="9"/>
      <c r="J61" s="8">
        <f t="shared" si="4"/>
        <v>240</v>
      </c>
    </row>
    <row r="62" spans="1:10" ht="19.95" customHeight="1" x14ac:dyDescent="0.3">
      <c r="A62" s="4">
        <v>250048</v>
      </c>
      <c r="B62" s="4">
        <v>304</v>
      </c>
      <c r="C62" s="6">
        <v>0.6</v>
      </c>
      <c r="D62" s="6" t="s">
        <v>55</v>
      </c>
      <c r="E62" s="7" t="s">
        <v>79</v>
      </c>
      <c r="F62" s="21" t="s">
        <v>52</v>
      </c>
      <c r="G62" s="4">
        <v>304</v>
      </c>
      <c r="H62" s="8">
        <v>120</v>
      </c>
      <c r="I62" s="9"/>
      <c r="J62" s="8">
        <f t="shared" si="4"/>
        <v>120</v>
      </c>
    </row>
    <row r="63" spans="1:10" ht="19.95" customHeight="1" x14ac:dyDescent="0.3">
      <c r="A63" s="4">
        <v>250048</v>
      </c>
      <c r="B63" s="4">
        <v>304</v>
      </c>
      <c r="C63" s="6">
        <v>0.6</v>
      </c>
      <c r="D63" s="6" t="s">
        <v>55</v>
      </c>
      <c r="E63" s="7" t="s">
        <v>80</v>
      </c>
      <c r="F63" s="21" t="s">
        <v>52</v>
      </c>
      <c r="G63" s="4">
        <v>304</v>
      </c>
      <c r="H63" s="8">
        <v>690</v>
      </c>
      <c r="I63" s="9"/>
      <c r="J63" s="8">
        <f t="shared" si="4"/>
        <v>690</v>
      </c>
    </row>
    <row r="64" spans="1:10" ht="19.95" customHeight="1" x14ac:dyDescent="0.3">
      <c r="A64" s="4">
        <v>250048</v>
      </c>
      <c r="B64" s="4">
        <v>304</v>
      </c>
      <c r="C64" s="6">
        <v>0.6</v>
      </c>
      <c r="D64" s="6" t="s">
        <v>55</v>
      </c>
      <c r="E64" s="7" t="s">
        <v>81</v>
      </c>
      <c r="F64" s="21" t="s">
        <v>52</v>
      </c>
      <c r="G64" s="4">
        <v>304</v>
      </c>
      <c r="H64" s="8">
        <v>240</v>
      </c>
      <c r="I64" s="9"/>
      <c r="J64" s="8">
        <f t="shared" si="4"/>
        <v>240</v>
      </c>
    </row>
    <row r="65" spans="1:10" ht="19.95" customHeight="1" x14ac:dyDescent="0.3">
      <c r="A65" s="4">
        <v>250048</v>
      </c>
      <c r="B65" s="4">
        <v>304</v>
      </c>
      <c r="C65" s="6">
        <v>0.6</v>
      </c>
      <c r="D65" s="6" t="s">
        <v>55</v>
      </c>
      <c r="E65" s="7" t="s">
        <v>82</v>
      </c>
      <c r="F65" s="21" t="s">
        <v>52</v>
      </c>
      <c r="G65" s="4">
        <v>304</v>
      </c>
      <c r="H65" s="8">
        <v>120</v>
      </c>
      <c r="I65" s="9"/>
      <c r="J65" s="8">
        <f t="shared" si="4"/>
        <v>120</v>
      </c>
    </row>
    <row r="66" spans="1:10" ht="19.95" customHeight="1" x14ac:dyDescent="0.3">
      <c r="A66" s="4"/>
      <c r="B66" s="4"/>
      <c r="C66" s="6"/>
      <c r="D66" s="6"/>
      <c r="E66" s="7"/>
      <c r="F66" s="21"/>
      <c r="G66" s="4"/>
      <c r="H66" s="8"/>
      <c r="I66" s="9"/>
      <c r="J66" s="8">
        <f t="shared" si="4"/>
        <v>0</v>
      </c>
    </row>
    <row r="67" spans="1:10" s="31" customFormat="1" ht="19.95" customHeight="1" x14ac:dyDescent="0.3">
      <c r="A67" s="25"/>
      <c r="B67" s="25"/>
      <c r="C67" s="26"/>
      <c r="D67" s="26"/>
      <c r="E67" s="27"/>
      <c r="F67" s="28"/>
      <c r="G67" s="25"/>
      <c r="H67" s="29"/>
      <c r="I67" s="30"/>
      <c r="J67" s="29">
        <f t="shared" si="4"/>
        <v>0</v>
      </c>
    </row>
    <row r="68" spans="1:10" ht="19.95" customHeight="1" x14ac:dyDescent="0.3">
      <c r="A68" s="4"/>
      <c r="B68" s="4"/>
      <c r="C68" s="6"/>
      <c r="D68" s="6"/>
      <c r="E68" s="7"/>
      <c r="F68" s="7"/>
      <c r="G68" s="4"/>
      <c r="H68" s="8"/>
      <c r="I68" s="9"/>
      <c r="J68" s="8">
        <f t="shared" si="4"/>
        <v>0</v>
      </c>
    </row>
    <row r="69" spans="1:10" ht="19.95" customHeight="1" x14ac:dyDescent="0.3">
      <c r="A69" s="4"/>
      <c r="B69" s="4"/>
      <c r="C69" s="6"/>
      <c r="D69" s="6"/>
      <c r="E69" s="7"/>
      <c r="F69" s="7"/>
      <c r="G69" s="4"/>
      <c r="H69" s="8"/>
      <c r="I69" s="9"/>
      <c r="J69" s="8">
        <f t="shared" si="4"/>
        <v>0</v>
      </c>
    </row>
    <row r="70" spans="1:10" ht="19.95" customHeight="1" x14ac:dyDescent="0.3">
      <c r="A70" s="4"/>
      <c r="B70" s="4"/>
      <c r="C70" s="6"/>
      <c r="D70" s="6"/>
      <c r="E70" s="7"/>
      <c r="F70" s="7"/>
      <c r="G70" s="4"/>
      <c r="H70" s="8"/>
      <c r="I70" s="24"/>
      <c r="J70" s="8">
        <f t="shared" si="4"/>
        <v>0</v>
      </c>
    </row>
    <row r="71" spans="1:10" ht="19.95" customHeight="1" x14ac:dyDescent="0.3">
      <c r="A71" s="10"/>
      <c r="B71" s="10"/>
      <c r="C71" s="10"/>
      <c r="D71" s="10"/>
      <c r="E71" s="11"/>
      <c r="F71" s="10"/>
      <c r="G71" s="12"/>
      <c r="H71" s="8">
        <f>SUM(H59:H70)</f>
        <v>2563</v>
      </c>
      <c r="I71" s="9">
        <f>SUM(I59:I70)</f>
        <v>0</v>
      </c>
      <c r="J71" s="8">
        <f>SUM(J59:J70)</f>
        <v>2563</v>
      </c>
    </row>
    <row r="72" spans="1:10" ht="19.95" customHeight="1" x14ac:dyDescent="0.3">
      <c r="A72" s="15"/>
      <c r="B72" s="15"/>
      <c r="C72" s="15"/>
      <c r="D72" s="15"/>
      <c r="E72" s="16"/>
      <c r="F72" s="15"/>
      <c r="G72" s="15"/>
      <c r="H72" s="17"/>
      <c r="I72" s="18"/>
      <c r="J72" s="17"/>
    </row>
    <row r="73" spans="1:10" ht="30" customHeight="1" x14ac:dyDescent="0.3">
      <c r="A73" s="94" t="s">
        <v>23</v>
      </c>
      <c r="B73" s="94"/>
      <c r="C73" s="94"/>
      <c r="D73" s="94"/>
      <c r="E73" s="94"/>
      <c r="F73" s="94"/>
      <c r="G73" s="94"/>
      <c r="H73" s="94"/>
      <c r="I73" s="94"/>
      <c r="J73" s="94"/>
    </row>
    <row r="74" spans="1:10" ht="30" customHeight="1" x14ac:dyDescent="0.3">
      <c r="A74" s="4" t="s">
        <v>1</v>
      </c>
      <c r="B74" s="4" t="s">
        <v>2</v>
      </c>
      <c r="C74" s="5" t="s">
        <v>3</v>
      </c>
      <c r="D74" s="5" t="s">
        <v>4</v>
      </c>
      <c r="E74" s="4" t="s">
        <v>5</v>
      </c>
      <c r="F74" s="5" t="s">
        <v>6</v>
      </c>
      <c r="G74" s="5" t="s">
        <v>7</v>
      </c>
      <c r="H74" s="4" t="s">
        <v>8</v>
      </c>
      <c r="I74" s="4" t="s">
        <v>9</v>
      </c>
      <c r="J74" s="4" t="s">
        <v>10</v>
      </c>
    </row>
    <row r="75" spans="1:10" ht="19.95" customHeight="1" x14ac:dyDescent="0.3">
      <c r="A75" s="4">
        <v>250048</v>
      </c>
      <c r="B75" s="4">
        <v>304</v>
      </c>
      <c r="C75" s="6">
        <v>0.6</v>
      </c>
      <c r="D75" s="6" t="s">
        <v>55</v>
      </c>
      <c r="E75" s="7" t="s">
        <v>86</v>
      </c>
      <c r="F75" s="21" t="s">
        <v>52</v>
      </c>
      <c r="G75" s="4">
        <v>304</v>
      </c>
      <c r="H75" s="8">
        <v>690</v>
      </c>
      <c r="I75" s="9"/>
      <c r="J75" s="8">
        <f t="shared" ref="J75:J96" si="5">H75-I75</f>
        <v>690</v>
      </c>
    </row>
    <row r="76" spans="1:10" ht="19.95" customHeight="1" x14ac:dyDescent="0.3">
      <c r="A76" s="4">
        <v>250048</v>
      </c>
      <c r="B76" s="4">
        <v>304</v>
      </c>
      <c r="C76" s="6">
        <v>0.6</v>
      </c>
      <c r="D76" s="6" t="s">
        <v>55</v>
      </c>
      <c r="E76" s="7" t="s">
        <v>87</v>
      </c>
      <c r="F76" s="21" t="s">
        <v>52</v>
      </c>
      <c r="G76" s="4">
        <v>304</v>
      </c>
      <c r="H76" s="8">
        <v>240</v>
      </c>
      <c r="I76" s="9"/>
      <c r="J76" s="8">
        <f t="shared" si="5"/>
        <v>240</v>
      </c>
    </row>
    <row r="77" spans="1:10" ht="19.95" customHeight="1" x14ac:dyDescent="0.3">
      <c r="A77" s="4">
        <v>250048</v>
      </c>
      <c r="B77" s="4">
        <v>304</v>
      </c>
      <c r="C77" s="6">
        <v>0.6</v>
      </c>
      <c r="D77" s="6" t="s">
        <v>55</v>
      </c>
      <c r="E77" s="7" t="s">
        <v>88</v>
      </c>
      <c r="F77" s="21" t="s">
        <v>52</v>
      </c>
      <c r="G77" s="4">
        <v>304</v>
      </c>
      <c r="H77" s="8">
        <v>120</v>
      </c>
      <c r="I77" s="9"/>
      <c r="J77" s="8">
        <f t="shared" si="5"/>
        <v>120</v>
      </c>
    </row>
    <row r="78" spans="1:10" ht="19.95" customHeight="1" x14ac:dyDescent="0.3">
      <c r="A78" s="4" t="s">
        <v>89</v>
      </c>
      <c r="B78" s="4">
        <v>304</v>
      </c>
      <c r="C78" s="6">
        <v>0.9</v>
      </c>
      <c r="D78" s="6" t="s">
        <v>43</v>
      </c>
      <c r="E78" s="7" t="s">
        <v>90</v>
      </c>
      <c r="F78" s="7" t="s">
        <v>41</v>
      </c>
      <c r="G78" s="4">
        <v>430</v>
      </c>
      <c r="H78" s="8">
        <v>1500</v>
      </c>
      <c r="I78" s="9"/>
      <c r="J78" s="8">
        <f t="shared" si="5"/>
        <v>1500</v>
      </c>
    </row>
    <row r="79" spans="1:10" ht="19.95" customHeight="1" x14ac:dyDescent="0.3">
      <c r="A79" s="4">
        <v>100925</v>
      </c>
      <c r="B79" s="4">
        <v>304</v>
      </c>
      <c r="C79" s="6">
        <v>0.9</v>
      </c>
      <c r="D79" s="6" t="s">
        <v>91</v>
      </c>
      <c r="E79" s="7" t="s">
        <v>92</v>
      </c>
      <c r="F79" s="7" t="s">
        <v>41</v>
      </c>
      <c r="G79" s="4">
        <v>430</v>
      </c>
      <c r="H79" s="8">
        <v>1500</v>
      </c>
      <c r="I79" s="9"/>
      <c r="J79" s="8">
        <f t="shared" si="5"/>
        <v>1500</v>
      </c>
    </row>
    <row r="80" spans="1:10" ht="19.95" customHeight="1" x14ac:dyDescent="0.3">
      <c r="A80" s="4">
        <v>100925</v>
      </c>
      <c r="B80" s="4">
        <v>304</v>
      </c>
      <c r="C80" s="6">
        <v>0.9</v>
      </c>
      <c r="D80" s="6" t="s">
        <v>43</v>
      </c>
      <c r="E80" s="7" t="s">
        <v>93</v>
      </c>
      <c r="F80" s="21" t="s">
        <v>41</v>
      </c>
      <c r="G80" s="4">
        <v>430</v>
      </c>
      <c r="H80" s="8">
        <v>600</v>
      </c>
      <c r="I80" s="9"/>
      <c r="J80" s="8">
        <f t="shared" si="5"/>
        <v>600</v>
      </c>
    </row>
    <row r="81" spans="1:10" ht="19.95" customHeight="1" x14ac:dyDescent="0.3">
      <c r="A81" s="4" t="s">
        <v>89</v>
      </c>
      <c r="B81" s="4">
        <v>304</v>
      </c>
      <c r="C81" s="6">
        <v>0.9</v>
      </c>
      <c r="D81" s="6" t="s">
        <v>43</v>
      </c>
      <c r="E81" s="7" t="s">
        <v>94</v>
      </c>
      <c r="F81" s="4" t="s">
        <v>41</v>
      </c>
      <c r="G81" s="4">
        <v>430</v>
      </c>
      <c r="H81" s="8">
        <v>1500</v>
      </c>
      <c r="I81" s="9"/>
      <c r="J81" s="8">
        <f t="shared" si="5"/>
        <v>1500</v>
      </c>
    </row>
    <row r="82" spans="1:10" ht="19.95" customHeight="1" x14ac:dyDescent="0.3">
      <c r="A82" s="4"/>
      <c r="B82" s="4"/>
      <c r="C82" s="6"/>
      <c r="D82" s="6"/>
      <c r="E82" s="7"/>
      <c r="F82" s="7"/>
      <c r="G82" s="4"/>
      <c r="H82" s="8"/>
      <c r="I82" s="9"/>
      <c r="J82" s="8">
        <f t="shared" si="5"/>
        <v>0</v>
      </c>
    </row>
    <row r="83" spans="1:10" ht="19.95" customHeight="1" x14ac:dyDescent="0.3">
      <c r="A83" s="4"/>
      <c r="B83" s="4"/>
      <c r="C83" s="6"/>
      <c r="D83" s="6"/>
      <c r="E83" s="7"/>
      <c r="F83" s="7"/>
      <c r="G83" s="4"/>
      <c r="H83" s="8"/>
      <c r="I83" s="9"/>
      <c r="J83" s="8">
        <f t="shared" si="5"/>
        <v>0</v>
      </c>
    </row>
    <row r="84" spans="1:10" ht="19.95" customHeight="1" x14ac:dyDescent="0.3">
      <c r="A84" s="4"/>
      <c r="B84" s="4"/>
      <c r="C84" s="6"/>
      <c r="D84" s="6"/>
      <c r="E84" s="7"/>
      <c r="F84" s="7"/>
      <c r="G84" s="4"/>
      <c r="H84" s="8"/>
      <c r="I84" s="9"/>
      <c r="J84" s="8">
        <f t="shared" si="5"/>
        <v>0</v>
      </c>
    </row>
    <row r="85" spans="1:10" ht="19.95" customHeight="1" x14ac:dyDescent="0.3">
      <c r="A85" s="4"/>
      <c r="B85" s="4"/>
      <c r="C85" s="6"/>
      <c r="D85" s="6"/>
      <c r="E85" s="7"/>
      <c r="F85" s="7"/>
      <c r="G85" s="4"/>
      <c r="H85" s="8"/>
      <c r="I85" s="9"/>
      <c r="J85" s="8">
        <f t="shared" si="5"/>
        <v>0</v>
      </c>
    </row>
    <row r="86" spans="1:10" ht="19.95" customHeight="1" x14ac:dyDescent="0.3">
      <c r="A86" s="4"/>
      <c r="B86" s="4"/>
      <c r="C86" s="6"/>
      <c r="D86" s="6"/>
      <c r="E86" s="7"/>
      <c r="F86" s="7"/>
      <c r="G86" s="4"/>
      <c r="H86" s="8"/>
      <c r="I86" s="9"/>
      <c r="J86" s="8">
        <f t="shared" si="5"/>
        <v>0</v>
      </c>
    </row>
    <row r="87" spans="1:10" ht="19.95" customHeight="1" x14ac:dyDescent="0.3">
      <c r="A87" s="4"/>
      <c r="B87" s="4"/>
      <c r="C87" s="6"/>
      <c r="D87" s="6"/>
      <c r="E87" s="7"/>
      <c r="F87" s="21"/>
      <c r="G87" s="4"/>
      <c r="H87" s="8"/>
      <c r="I87" s="9"/>
      <c r="J87" s="8">
        <f t="shared" si="5"/>
        <v>0</v>
      </c>
    </row>
    <row r="88" spans="1:10" ht="19.95" customHeight="1" x14ac:dyDescent="0.3">
      <c r="A88" s="21"/>
      <c r="B88" s="21"/>
      <c r="C88" s="22"/>
      <c r="D88" s="22"/>
      <c r="E88" s="20"/>
      <c r="F88" s="21"/>
      <c r="G88" s="21"/>
      <c r="H88" s="23"/>
      <c r="I88" s="9"/>
      <c r="J88" s="8">
        <f t="shared" si="5"/>
        <v>0</v>
      </c>
    </row>
    <row r="89" spans="1:10" ht="19.95" customHeight="1" x14ac:dyDescent="0.3">
      <c r="A89" s="21"/>
      <c r="B89" s="21"/>
      <c r="C89" s="22"/>
      <c r="D89" s="22"/>
      <c r="E89" s="20"/>
      <c r="F89" s="21"/>
      <c r="G89" s="21"/>
      <c r="H89" s="23"/>
      <c r="I89" s="9"/>
      <c r="J89" s="8">
        <f t="shared" si="5"/>
        <v>0</v>
      </c>
    </row>
    <row r="90" spans="1:10" ht="19.95" customHeight="1" x14ac:dyDescent="0.3">
      <c r="A90" s="4"/>
      <c r="B90" s="4"/>
      <c r="C90" s="6"/>
      <c r="D90" s="6"/>
      <c r="E90" s="7"/>
      <c r="F90" s="21"/>
      <c r="G90" s="4"/>
      <c r="H90" s="8"/>
      <c r="I90" s="9"/>
      <c r="J90" s="8">
        <f t="shared" si="5"/>
        <v>0</v>
      </c>
    </row>
    <row r="91" spans="1:10" ht="19.95" customHeight="1" x14ac:dyDescent="0.3">
      <c r="A91" s="4"/>
      <c r="B91" s="4"/>
      <c r="C91" s="6"/>
      <c r="D91" s="6"/>
      <c r="E91" s="7"/>
      <c r="F91" s="4"/>
      <c r="G91" s="4"/>
      <c r="H91" s="8"/>
      <c r="I91" s="9"/>
      <c r="J91" s="8">
        <f t="shared" si="5"/>
        <v>0</v>
      </c>
    </row>
    <row r="92" spans="1:10" ht="19.95" customHeight="1" x14ac:dyDescent="0.3">
      <c r="A92" s="4"/>
      <c r="B92" s="4"/>
      <c r="C92" s="6"/>
      <c r="D92" s="6"/>
      <c r="E92" s="7"/>
      <c r="F92" s="4"/>
      <c r="G92" s="4"/>
      <c r="H92" s="8"/>
      <c r="I92" s="9"/>
      <c r="J92" s="8">
        <f t="shared" si="5"/>
        <v>0</v>
      </c>
    </row>
    <row r="93" spans="1:10" ht="19.95" customHeight="1" x14ac:dyDescent="0.3">
      <c r="A93" s="4"/>
      <c r="B93" s="4"/>
      <c r="C93" s="6"/>
      <c r="D93" s="6"/>
      <c r="E93" s="7"/>
      <c r="F93" s="4"/>
      <c r="G93" s="4"/>
      <c r="H93" s="8"/>
      <c r="I93" s="9"/>
      <c r="J93" s="8">
        <f t="shared" si="5"/>
        <v>0</v>
      </c>
    </row>
    <row r="94" spans="1:10" ht="19.95" customHeight="1" x14ac:dyDescent="0.3">
      <c r="A94" s="4"/>
      <c r="B94" s="4"/>
      <c r="C94" s="6"/>
      <c r="D94" s="6"/>
      <c r="E94" s="7"/>
      <c r="F94" s="4"/>
      <c r="G94" s="4"/>
      <c r="H94" s="8"/>
      <c r="I94" s="9"/>
      <c r="J94" s="8">
        <f t="shared" si="5"/>
        <v>0</v>
      </c>
    </row>
    <row r="95" spans="1:10" ht="19.95" customHeight="1" x14ac:dyDescent="0.3">
      <c r="A95" s="4"/>
      <c r="B95" s="4"/>
      <c r="C95" s="6"/>
      <c r="D95" s="6"/>
      <c r="E95" s="7"/>
      <c r="F95" s="4"/>
      <c r="G95" s="4"/>
      <c r="H95" s="8"/>
      <c r="I95" s="9"/>
      <c r="J95" s="8">
        <f t="shared" si="5"/>
        <v>0</v>
      </c>
    </row>
    <row r="96" spans="1:10" ht="19.95" customHeight="1" x14ac:dyDescent="0.3">
      <c r="A96" s="4"/>
      <c r="B96" s="4"/>
      <c r="C96" s="6"/>
      <c r="D96" s="6"/>
      <c r="E96" s="7"/>
      <c r="F96" s="4"/>
      <c r="G96" s="4"/>
      <c r="H96" s="8"/>
      <c r="I96" s="9"/>
      <c r="J96" s="8">
        <f t="shared" si="5"/>
        <v>0</v>
      </c>
    </row>
    <row r="97" spans="1:10" ht="19.95" customHeight="1" x14ac:dyDescent="0.3">
      <c r="A97" s="10"/>
      <c r="B97" s="10"/>
      <c r="C97" s="10"/>
      <c r="D97" s="10"/>
      <c r="E97" s="11"/>
      <c r="F97" s="10"/>
      <c r="G97" s="12"/>
      <c r="H97" s="8">
        <f>SUM(H75:H96)</f>
        <v>6150</v>
      </c>
      <c r="I97" s="9">
        <f>SUM(I75:I96)</f>
        <v>0</v>
      </c>
      <c r="J97" s="8">
        <f>SUM(J75:J96)</f>
        <v>6150</v>
      </c>
    </row>
    <row r="99" spans="1:10" ht="23.4" x14ac:dyDescent="0.3">
      <c r="A99" s="95" t="s">
        <v>14</v>
      </c>
      <c r="B99" s="95"/>
      <c r="C99" s="95"/>
      <c r="D99" s="95"/>
      <c r="E99" s="95"/>
      <c r="F99" s="95"/>
      <c r="G99" s="95"/>
      <c r="H99" s="95"/>
      <c r="I99" s="95"/>
      <c r="J99" s="95"/>
    </row>
  </sheetData>
  <mergeCells count="9">
    <mergeCell ref="A57:J57"/>
    <mergeCell ref="A73:J73"/>
    <mergeCell ref="A99:J99"/>
    <mergeCell ref="H1:J1"/>
    <mergeCell ref="A2:J2"/>
    <mergeCell ref="A3:J3"/>
    <mergeCell ref="A16:J16"/>
    <mergeCell ref="A27:J27"/>
    <mergeCell ref="A42:J4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0" fitToHeight="0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9"/>
  <sheetViews>
    <sheetView zoomScale="85" zoomScaleNormal="85" workbookViewId="0">
      <selection activeCell="I69" sqref="I6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7.77734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15" t="s">
        <v>0</v>
      </c>
      <c r="G1" s="19" t="s">
        <v>21</v>
      </c>
      <c r="H1" s="96" t="s">
        <v>72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210825</v>
      </c>
      <c r="B5" s="4">
        <v>430</v>
      </c>
      <c r="C5" s="6">
        <v>0.6</v>
      </c>
      <c r="D5" s="6" t="s">
        <v>55</v>
      </c>
      <c r="E5" s="7" t="s">
        <v>71</v>
      </c>
      <c r="F5" s="21" t="s">
        <v>52</v>
      </c>
      <c r="G5" s="4">
        <v>430</v>
      </c>
      <c r="H5" s="8">
        <v>3000</v>
      </c>
      <c r="I5" s="9">
        <f>904+2125</f>
        <v>3029</v>
      </c>
      <c r="J5" s="32">
        <f t="shared" ref="J5:J13" si="0">H5-I5</f>
        <v>-29</v>
      </c>
    </row>
    <row r="6" spans="1:10" ht="19.95" customHeight="1" x14ac:dyDescent="0.3">
      <c r="A6" s="4">
        <v>10925</v>
      </c>
      <c r="B6" s="4">
        <v>430</v>
      </c>
      <c r="C6" s="6">
        <v>0.8</v>
      </c>
      <c r="D6" s="6" t="s">
        <v>43</v>
      </c>
      <c r="E6" s="7" t="s">
        <v>73</v>
      </c>
      <c r="F6" s="4" t="s">
        <v>41</v>
      </c>
      <c r="G6" s="4">
        <v>430</v>
      </c>
      <c r="H6" s="8">
        <v>874</v>
      </c>
      <c r="I6" s="9">
        <v>874</v>
      </c>
      <c r="J6" s="32">
        <f t="shared" si="0"/>
        <v>0</v>
      </c>
    </row>
    <row r="7" spans="1:10" ht="19.95" hidden="1" customHeight="1" x14ac:dyDescent="0.3">
      <c r="A7" s="4"/>
      <c r="B7" s="4"/>
      <c r="C7" s="6"/>
      <c r="D7" s="6"/>
      <c r="E7" s="7"/>
      <c r="F7" s="4"/>
      <c r="G7" s="4"/>
      <c r="H7" s="8"/>
      <c r="I7" s="9"/>
      <c r="J7" s="32">
        <f t="shared" si="0"/>
        <v>0</v>
      </c>
    </row>
    <row r="8" spans="1:10" ht="19.95" hidden="1" customHeight="1" x14ac:dyDescent="0.3">
      <c r="A8" s="4"/>
      <c r="B8" s="4"/>
      <c r="C8" s="6"/>
      <c r="D8" s="6"/>
      <c r="E8" s="7"/>
      <c r="F8" s="4"/>
      <c r="G8" s="4"/>
      <c r="H8" s="8"/>
      <c r="I8" s="9"/>
      <c r="J8" s="32">
        <f t="shared" si="0"/>
        <v>0</v>
      </c>
    </row>
    <row r="9" spans="1:10" ht="19.95" hidden="1" customHeight="1" x14ac:dyDescent="0.3">
      <c r="A9" s="4"/>
      <c r="B9" s="4"/>
      <c r="C9" s="6"/>
      <c r="D9" s="6"/>
      <c r="E9" s="7"/>
      <c r="F9" s="4"/>
      <c r="G9" s="4"/>
      <c r="H9" s="8"/>
      <c r="I9" s="9"/>
      <c r="J9" s="32">
        <f t="shared" si="0"/>
        <v>0</v>
      </c>
    </row>
    <row r="10" spans="1:10" ht="19.95" hidden="1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32">
        <f t="shared" si="0"/>
        <v>0</v>
      </c>
    </row>
    <row r="11" spans="1:10" ht="19.95" hidden="1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32">
        <f t="shared" si="0"/>
        <v>0</v>
      </c>
    </row>
    <row r="12" spans="1:10" ht="19.95" hidden="1" customHeight="1" x14ac:dyDescent="0.3">
      <c r="A12" s="4"/>
      <c r="B12" s="4"/>
      <c r="C12" s="6"/>
      <c r="D12" s="6"/>
      <c r="E12" s="7"/>
      <c r="F12" s="4"/>
      <c r="G12" s="4"/>
      <c r="H12" s="8"/>
      <c r="I12" s="9"/>
      <c r="J12" s="32">
        <f t="shared" si="0"/>
        <v>0</v>
      </c>
    </row>
    <row r="13" spans="1:10" ht="19.95" customHeight="1" x14ac:dyDescent="0.3">
      <c r="A13" s="4"/>
      <c r="B13" s="4"/>
      <c r="C13" s="6"/>
      <c r="D13" s="6"/>
      <c r="E13" s="7"/>
      <c r="F13" s="4"/>
      <c r="G13" s="4"/>
      <c r="H13" s="8"/>
      <c r="I13" s="9"/>
      <c r="J13" s="32">
        <f t="shared" si="0"/>
        <v>0</v>
      </c>
    </row>
    <row r="14" spans="1:10" ht="19.95" customHeight="1" x14ac:dyDescent="0.3">
      <c r="A14" s="10"/>
      <c r="B14" s="10"/>
      <c r="C14" s="10"/>
      <c r="D14" s="10"/>
      <c r="E14" s="11"/>
      <c r="F14" s="10"/>
      <c r="G14" s="12"/>
      <c r="H14" s="13">
        <f>SUM(H5:H13)</f>
        <v>3874</v>
      </c>
      <c r="I14" s="14">
        <f>SUM(I5:I13)</f>
        <v>3903</v>
      </c>
      <c r="J14" s="32">
        <f>SUM(J5:J13)</f>
        <v>-29</v>
      </c>
    </row>
    <row r="16" spans="1:10" ht="30" customHeight="1" x14ac:dyDescent="0.3">
      <c r="A16" s="94" t="s">
        <v>17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 ht="30" customHeight="1" x14ac:dyDescent="0.3">
      <c r="A17" s="4" t="s">
        <v>1</v>
      </c>
      <c r="B17" s="4" t="s">
        <v>2</v>
      </c>
      <c r="C17" s="5" t="s">
        <v>3</v>
      </c>
      <c r="D17" s="5" t="s">
        <v>4</v>
      </c>
      <c r="E17" s="4" t="s">
        <v>5</v>
      </c>
      <c r="F17" s="5" t="s">
        <v>6</v>
      </c>
      <c r="G17" s="5" t="s">
        <v>7</v>
      </c>
      <c r="H17" s="4" t="s">
        <v>8</v>
      </c>
      <c r="I17" s="4" t="s">
        <v>9</v>
      </c>
      <c r="J17" s="4" t="s">
        <v>10</v>
      </c>
    </row>
    <row r="18" spans="1:10" ht="19.95" customHeight="1" x14ac:dyDescent="0.3">
      <c r="A18" s="4">
        <v>10925</v>
      </c>
      <c r="B18" s="4">
        <v>430</v>
      </c>
      <c r="C18" s="6">
        <v>0.8</v>
      </c>
      <c r="D18" s="6" t="s">
        <v>43</v>
      </c>
      <c r="E18" s="7" t="s">
        <v>73</v>
      </c>
      <c r="F18" s="4" t="s">
        <v>41</v>
      </c>
      <c r="G18" s="4">
        <v>430</v>
      </c>
      <c r="H18" s="8">
        <v>2476</v>
      </c>
      <c r="I18" s="9">
        <v>2547</v>
      </c>
      <c r="J18" s="32">
        <f t="shared" ref="J18:J24" si="1">H18-I18</f>
        <v>-71</v>
      </c>
    </row>
    <row r="19" spans="1:10" ht="19.95" customHeight="1" x14ac:dyDescent="0.3">
      <c r="A19" s="4" t="s">
        <v>74</v>
      </c>
      <c r="B19" s="4">
        <v>304</v>
      </c>
      <c r="C19" s="6">
        <v>0.8</v>
      </c>
      <c r="D19" s="6" t="s">
        <v>43</v>
      </c>
      <c r="E19" s="7" t="s">
        <v>75</v>
      </c>
      <c r="F19" s="4" t="s">
        <v>41</v>
      </c>
      <c r="G19" s="4">
        <v>430</v>
      </c>
      <c r="H19" s="8">
        <v>3200</v>
      </c>
      <c r="I19" s="9">
        <f>1968+1346</f>
        <v>3314</v>
      </c>
      <c r="J19" s="32">
        <f t="shared" si="1"/>
        <v>-114</v>
      </c>
    </row>
    <row r="20" spans="1:10" ht="19.95" customHeight="1" x14ac:dyDescent="0.3">
      <c r="A20" s="4" t="s">
        <v>83</v>
      </c>
      <c r="B20" s="4">
        <v>304</v>
      </c>
      <c r="C20" s="6">
        <v>0.6</v>
      </c>
      <c r="D20" s="6" t="s">
        <v>55</v>
      </c>
      <c r="E20" s="7" t="s">
        <v>84</v>
      </c>
      <c r="F20" s="4" t="s">
        <v>45</v>
      </c>
      <c r="G20" s="4">
        <v>304</v>
      </c>
      <c r="H20" s="8">
        <v>38</v>
      </c>
      <c r="I20" s="9">
        <v>38</v>
      </c>
      <c r="J20" s="32">
        <f t="shared" si="1"/>
        <v>0</v>
      </c>
    </row>
    <row r="21" spans="1:10" ht="19.95" hidden="1" customHeight="1" x14ac:dyDescent="0.3">
      <c r="A21" s="4"/>
      <c r="B21" s="4"/>
      <c r="C21" s="6"/>
      <c r="D21" s="6"/>
      <c r="E21" s="7"/>
      <c r="F21" s="4"/>
      <c r="G21" s="4"/>
      <c r="H21" s="8"/>
      <c r="I21" s="9"/>
      <c r="J21" s="32">
        <f t="shared" si="1"/>
        <v>0</v>
      </c>
    </row>
    <row r="22" spans="1:10" ht="19.95" hidden="1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32">
        <f t="shared" si="1"/>
        <v>0</v>
      </c>
    </row>
    <row r="23" spans="1:10" ht="19.95" hidden="1" customHeight="1" x14ac:dyDescent="0.3">
      <c r="A23" s="4"/>
      <c r="B23" s="4"/>
      <c r="C23" s="6"/>
      <c r="D23" s="6"/>
      <c r="E23" s="7"/>
      <c r="F23" s="4"/>
      <c r="G23" s="4"/>
      <c r="H23" s="8"/>
      <c r="I23" s="9"/>
      <c r="J23" s="32">
        <f t="shared" si="1"/>
        <v>0</v>
      </c>
    </row>
    <row r="24" spans="1:10" ht="19.95" customHeight="1" x14ac:dyDescent="0.3">
      <c r="A24" s="4"/>
      <c r="B24" s="4"/>
      <c r="C24" s="4"/>
      <c r="D24" s="4"/>
      <c r="E24" s="7"/>
      <c r="F24" s="4"/>
      <c r="G24" s="4"/>
      <c r="H24" s="8"/>
      <c r="I24" s="9"/>
      <c r="J24" s="32">
        <f t="shared" si="1"/>
        <v>0</v>
      </c>
    </row>
    <row r="25" spans="1:10" ht="19.95" customHeight="1" x14ac:dyDescent="0.3">
      <c r="A25" s="10"/>
      <c r="B25" s="10"/>
      <c r="C25" s="10"/>
      <c r="D25" s="10"/>
      <c r="E25" s="11"/>
      <c r="F25" s="10"/>
      <c r="G25" s="12"/>
      <c r="H25" s="8">
        <f>SUM(H18:H24)</f>
        <v>5714</v>
      </c>
      <c r="I25" s="9">
        <f>SUM(I18:I24)</f>
        <v>5899</v>
      </c>
      <c r="J25" s="32">
        <f>SUM(J18:J24)</f>
        <v>-185</v>
      </c>
    </row>
    <row r="27" spans="1:10" ht="30" customHeight="1" x14ac:dyDescent="0.3">
      <c r="A27" s="94" t="s">
        <v>18</v>
      </c>
      <c r="B27" s="94"/>
      <c r="C27" s="94"/>
      <c r="D27" s="94"/>
      <c r="E27" s="94"/>
      <c r="F27" s="94"/>
      <c r="G27" s="94"/>
      <c r="H27" s="94"/>
      <c r="I27" s="94"/>
      <c r="J27" s="94"/>
    </row>
    <row r="28" spans="1:10" ht="30" customHeight="1" x14ac:dyDescent="0.3">
      <c r="A28" s="4" t="s">
        <v>1</v>
      </c>
      <c r="B28" s="4" t="s">
        <v>2</v>
      </c>
      <c r="C28" s="5" t="s">
        <v>3</v>
      </c>
      <c r="D28" s="5" t="s">
        <v>4</v>
      </c>
      <c r="E28" s="4" t="s">
        <v>5</v>
      </c>
      <c r="F28" s="5" t="s">
        <v>6</v>
      </c>
      <c r="G28" s="5" t="s">
        <v>7</v>
      </c>
      <c r="H28" s="4" t="s">
        <v>8</v>
      </c>
      <c r="I28" s="4" t="s">
        <v>9</v>
      </c>
      <c r="J28" s="4" t="s">
        <v>10</v>
      </c>
    </row>
    <row r="29" spans="1:10" ht="19.95" customHeight="1" x14ac:dyDescent="0.3">
      <c r="A29" s="4">
        <v>210825</v>
      </c>
      <c r="B29" s="4">
        <v>430</v>
      </c>
      <c r="C29" s="6">
        <v>0.6</v>
      </c>
      <c r="D29" s="6" t="s">
        <v>55</v>
      </c>
      <c r="E29" s="7" t="s">
        <v>85</v>
      </c>
      <c r="F29" s="4" t="s">
        <v>52</v>
      </c>
      <c r="G29" s="4">
        <v>430</v>
      </c>
      <c r="H29" s="8">
        <v>1733</v>
      </c>
      <c r="I29" s="9">
        <f>1733</f>
        <v>1733</v>
      </c>
      <c r="J29" s="32">
        <f t="shared" ref="J29:J39" si="2">H29-I29</f>
        <v>0</v>
      </c>
    </row>
    <row r="30" spans="1:10" ht="19.95" customHeight="1" x14ac:dyDescent="0.3">
      <c r="A30" s="4" t="s">
        <v>95</v>
      </c>
      <c r="B30" s="4">
        <v>430</v>
      </c>
      <c r="C30" s="6">
        <v>0.8</v>
      </c>
      <c r="D30" s="6" t="s">
        <v>96</v>
      </c>
      <c r="E30" s="7" t="s">
        <v>97</v>
      </c>
      <c r="F30" s="21" t="s">
        <v>41</v>
      </c>
      <c r="G30" s="4">
        <v>430</v>
      </c>
      <c r="H30" s="8">
        <v>359</v>
      </c>
      <c r="I30" s="9">
        <v>359</v>
      </c>
      <c r="J30" s="32">
        <f t="shared" si="2"/>
        <v>0</v>
      </c>
    </row>
    <row r="31" spans="1:10" ht="19.95" customHeight="1" x14ac:dyDescent="0.3">
      <c r="A31" s="4" t="s">
        <v>95</v>
      </c>
      <c r="B31" s="4">
        <v>304</v>
      </c>
      <c r="C31" s="6">
        <v>0.9</v>
      </c>
      <c r="D31" s="6" t="s">
        <v>96</v>
      </c>
      <c r="E31" s="7" t="s">
        <v>98</v>
      </c>
      <c r="F31" s="21" t="s">
        <v>41</v>
      </c>
      <c r="G31" s="4">
        <v>430</v>
      </c>
      <c r="H31" s="8">
        <v>109</v>
      </c>
      <c r="I31" s="9">
        <v>109</v>
      </c>
      <c r="J31" s="32">
        <f t="shared" si="2"/>
        <v>0</v>
      </c>
    </row>
    <row r="32" spans="1:10" ht="19.95" customHeight="1" x14ac:dyDescent="0.3">
      <c r="A32" s="4" t="s">
        <v>95</v>
      </c>
      <c r="B32" s="4">
        <v>304</v>
      </c>
      <c r="C32" s="6">
        <v>1</v>
      </c>
      <c r="D32" s="6" t="s">
        <v>43</v>
      </c>
      <c r="E32" s="7" t="s">
        <v>99</v>
      </c>
      <c r="F32" s="21" t="s">
        <v>45</v>
      </c>
      <c r="G32" s="4">
        <v>304</v>
      </c>
      <c r="H32" s="8">
        <v>4</v>
      </c>
      <c r="I32" s="9">
        <v>4</v>
      </c>
      <c r="J32" s="32">
        <f t="shared" si="2"/>
        <v>0</v>
      </c>
    </row>
    <row r="33" spans="1:10" ht="19.95" customHeight="1" x14ac:dyDescent="0.3">
      <c r="A33" s="4" t="s">
        <v>95</v>
      </c>
      <c r="B33" s="4">
        <v>304</v>
      </c>
      <c r="C33" s="6">
        <v>0.9</v>
      </c>
      <c r="D33" s="6" t="s">
        <v>96</v>
      </c>
      <c r="E33" s="7" t="s">
        <v>101</v>
      </c>
      <c r="F33" s="21" t="s">
        <v>13</v>
      </c>
      <c r="G33" s="4">
        <v>430</v>
      </c>
      <c r="H33" s="8">
        <v>12</v>
      </c>
      <c r="I33" s="9">
        <v>12</v>
      </c>
      <c r="J33" s="32">
        <f t="shared" si="2"/>
        <v>0</v>
      </c>
    </row>
    <row r="34" spans="1:10" ht="19.95" customHeight="1" x14ac:dyDescent="0.3">
      <c r="A34" s="4" t="s">
        <v>95</v>
      </c>
      <c r="B34" s="4">
        <v>304</v>
      </c>
      <c r="C34" s="6">
        <v>0.9</v>
      </c>
      <c r="D34" s="6" t="s">
        <v>96</v>
      </c>
      <c r="E34" s="7" t="s">
        <v>100</v>
      </c>
      <c r="F34" s="21" t="s">
        <v>13</v>
      </c>
      <c r="G34" s="4">
        <v>430</v>
      </c>
      <c r="H34" s="8">
        <v>12</v>
      </c>
      <c r="I34" s="9">
        <v>12</v>
      </c>
      <c r="J34" s="32">
        <f t="shared" si="2"/>
        <v>0</v>
      </c>
    </row>
    <row r="35" spans="1:10" ht="19.95" customHeight="1" x14ac:dyDescent="0.3">
      <c r="A35" s="4" t="s">
        <v>95</v>
      </c>
      <c r="B35" s="4">
        <v>304</v>
      </c>
      <c r="C35" s="6">
        <v>0.9</v>
      </c>
      <c r="D35" s="6" t="s">
        <v>96</v>
      </c>
      <c r="E35" s="7" t="s">
        <v>102</v>
      </c>
      <c r="F35" s="21" t="s">
        <v>13</v>
      </c>
      <c r="G35" s="4">
        <v>430</v>
      </c>
      <c r="H35" s="8">
        <v>13</v>
      </c>
      <c r="I35" s="9">
        <v>13</v>
      </c>
      <c r="J35" s="32">
        <f t="shared" si="2"/>
        <v>0</v>
      </c>
    </row>
    <row r="36" spans="1:10" ht="19.95" customHeight="1" x14ac:dyDescent="0.3">
      <c r="A36" s="4"/>
      <c r="B36" s="4"/>
      <c r="C36" s="6"/>
      <c r="D36" s="6"/>
      <c r="E36" s="7"/>
      <c r="F36" s="21"/>
      <c r="G36" s="4"/>
      <c r="H36" s="8"/>
      <c r="I36" s="9"/>
      <c r="J36" s="32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/>
      <c r="J37" s="32">
        <f t="shared" si="2"/>
        <v>0</v>
      </c>
    </row>
    <row r="38" spans="1:10" ht="19.95" hidden="1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32">
        <f t="shared" si="2"/>
        <v>0</v>
      </c>
    </row>
    <row r="39" spans="1:10" ht="19.95" customHeight="1" x14ac:dyDescent="0.3">
      <c r="A39" s="4"/>
      <c r="B39" s="4"/>
      <c r="C39" s="6"/>
      <c r="D39" s="6"/>
      <c r="E39" s="7"/>
      <c r="F39" s="21"/>
      <c r="G39" s="4"/>
      <c r="H39" s="8"/>
      <c r="I39" s="9"/>
      <c r="J39" s="32">
        <f t="shared" si="2"/>
        <v>0</v>
      </c>
    </row>
    <row r="40" spans="1:10" ht="19.95" customHeight="1" x14ac:dyDescent="0.3">
      <c r="A40" s="10"/>
      <c r="B40" s="10"/>
      <c r="C40" s="10"/>
      <c r="D40" s="10"/>
      <c r="E40" s="11"/>
      <c r="F40" s="10"/>
      <c r="G40" s="12"/>
      <c r="H40" s="8">
        <f>SUM(H29:H39)</f>
        <v>2242</v>
      </c>
      <c r="I40" s="9">
        <f>SUM(I29:I39)</f>
        <v>2242</v>
      </c>
      <c r="J40" s="32">
        <f>SUM(J29:J39)</f>
        <v>0</v>
      </c>
    </row>
    <row r="42" spans="1:10" ht="30" customHeight="1" x14ac:dyDescent="0.3">
      <c r="A42" s="94" t="s">
        <v>20</v>
      </c>
      <c r="B42" s="94"/>
      <c r="C42" s="94"/>
      <c r="D42" s="94"/>
      <c r="E42" s="94"/>
      <c r="F42" s="94"/>
      <c r="G42" s="94"/>
      <c r="H42" s="94"/>
      <c r="I42" s="94"/>
      <c r="J42" s="94"/>
    </row>
    <row r="43" spans="1:10" ht="30" customHeight="1" x14ac:dyDescent="0.3">
      <c r="A43" s="4" t="s">
        <v>1</v>
      </c>
      <c r="B43" s="4" t="s">
        <v>2</v>
      </c>
      <c r="C43" s="5" t="s">
        <v>3</v>
      </c>
      <c r="D43" s="5" t="s">
        <v>4</v>
      </c>
      <c r="E43" s="4" t="s">
        <v>5</v>
      </c>
      <c r="F43" s="5" t="s">
        <v>6</v>
      </c>
      <c r="G43" s="5" t="s">
        <v>7</v>
      </c>
      <c r="H43" s="4" t="s">
        <v>8</v>
      </c>
      <c r="I43" s="4" t="s">
        <v>9</v>
      </c>
      <c r="J43" s="4" t="s">
        <v>10</v>
      </c>
    </row>
    <row r="44" spans="1:10" ht="19.95" customHeight="1" x14ac:dyDescent="0.3">
      <c r="A44" s="4">
        <v>210825</v>
      </c>
      <c r="B44" s="4">
        <v>430</v>
      </c>
      <c r="C44" s="6">
        <v>0.6</v>
      </c>
      <c r="D44" s="6" t="s">
        <v>55</v>
      </c>
      <c r="E44" s="7" t="s">
        <v>85</v>
      </c>
      <c r="F44" s="4" t="s">
        <v>52</v>
      </c>
      <c r="G44" s="4">
        <v>430</v>
      </c>
      <c r="H44" s="8">
        <v>1267</v>
      </c>
      <c r="I44" s="9">
        <v>1324</v>
      </c>
      <c r="J44" s="32">
        <f t="shared" ref="J44:J54" si="3">H44-I44</f>
        <v>-57</v>
      </c>
    </row>
    <row r="45" spans="1:10" ht="19.95" customHeight="1" x14ac:dyDescent="0.3">
      <c r="A45" s="4">
        <v>210825</v>
      </c>
      <c r="B45" s="4">
        <v>430</v>
      </c>
      <c r="C45" s="6">
        <v>0.6</v>
      </c>
      <c r="D45" s="6" t="s">
        <v>55</v>
      </c>
      <c r="E45" s="7" t="s">
        <v>76</v>
      </c>
      <c r="F45" s="21" t="s">
        <v>52</v>
      </c>
      <c r="G45" s="4">
        <v>430</v>
      </c>
      <c r="H45" s="8">
        <v>2137</v>
      </c>
      <c r="I45" s="9">
        <v>2137</v>
      </c>
      <c r="J45" s="32">
        <f t="shared" si="3"/>
        <v>0</v>
      </c>
    </row>
    <row r="46" spans="1:10" ht="19.95" customHeight="1" x14ac:dyDescent="0.3">
      <c r="A46" s="4" t="s">
        <v>103</v>
      </c>
      <c r="B46" s="4">
        <v>304</v>
      </c>
      <c r="C46" s="6">
        <v>0.9</v>
      </c>
      <c r="D46" s="6" t="s">
        <v>55</v>
      </c>
      <c r="E46" s="7" t="s">
        <v>104</v>
      </c>
      <c r="F46" s="21" t="s">
        <v>45</v>
      </c>
      <c r="G46" s="4">
        <v>430</v>
      </c>
      <c r="H46" s="8">
        <v>10</v>
      </c>
      <c r="I46" s="9">
        <v>10</v>
      </c>
      <c r="J46" s="32">
        <f t="shared" si="3"/>
        <v>0</v>
      </c>
    </row>
    <row r="47" spans="1:10" ht="19.95" customHeight="1" x14ac:dyDescent="0.3">
      <c r="A47" s="4" t="s">
        <v>103</v>
      </c>
      <c r="B47" s="4">
        <v>304</v>
      </c>
      <c r="C47" s="6">
        <v>0.9</v>
      </c>
      <c r="D47" s="6" t="s">
        <v>55</v>
      </c>
      <c r="E47" s="7" t="s">
        <v>100</v>
      </c>
      <c r="F47" s="21" t="s">
        <v>45</v>
      </c>
      <c r="G47" s="4">
        <v>430</v>
      </c>
      <c r="H47" s="8">
        <v>10</v>
      </c>
      <c r="I47" s="9">
        <v>10</v>
      </c>
      <c r="J47" s="32">
        <f t="shared" si="3"/>
        <v>0</v>
      </c>
    </row>
    <row r="48" spans="1:10" ht="19.95" customHeight="1" x14ac:dyDescent="0.3">
      <c r="A48" s="4" t="s">
        <v>103</v>
      </c>
      <c r="B48" s="4">
        <v>304</v>
      </c>
      <c r="C48" s="6">
        <v>0.9</v>
      </c>
      <c r="D48" s="6" t="s">
        <v>55</v>
      </c>
      <c r="E48" s="7" t="s">
        <v>105</v>
      </c>
      <c r="F48" s="21" t="s">
        <v>45</v>
      </c>
      <c r="G48" s="4">
        <v>430</v>
      </c>
      <c r="H48" s="8">
        <v>10</v>
      </c>
      <c r="I48" s="9">
        <v>10</v>
      </c>
      <c r="J48" s="32">
        <f t="shared" si="3"/>
        <v>0</v>
      </c>
    </row>
    <row r="49" spans="1:10" ht="19.95" customHeight="1" x14ac:dyDescent="0.3">
      <c r="A49" s="4" t="s">
        <v>103</v>
      </c>
      <c r="B49" s="4">
        <v>304</v>
      </c>
      <c r="C49" s="6">
        <v>0.6</v>
      </c>
      <c r="D49" s="6" t="s">
        <v>43</v>
      </c>
      <c r="E49" s="7" t="s">
        <v>106</v>
      </c>
      <c r="F49" s="21" t="s">
        <v>107</v>
      </c>
      <c r="G49" s="4">
        <v>304</v>
      </c>
      <c r="H49" s="8">
        <v>14</v>
      </c>
      <c r="I49" s="9">
        <v>14</v>
      </c>
      <c r="J49" s="32">
        <f t="shared" si="3"/>
        <v>0</v>
      </c>
    </row>
    <row r="50" spans="1:10" ht="19.95" customHeight="1" x14ac:dyDescent="0.3">
      <c r="A50" s="4" t="s">
        <v>103</v>
      </c>
      <c r="B50" s="4">
        <v>304</v>
      </c>
      <c r="C50" s="6">
        <v>0.6</v>
      </c>
      <c r="D50" s="6" t="s">
        <v>43</v>
      </c>
      <c r="E50" s="7" t="s">
        <v>108</v>
      </c>
      <c r="F50" s="21" t="s">
        <v>107</v>
      </c>
      <c r="G50" s="4">
        <v>304</v>
      </c>
      <c r="H50" s="8">
        <v>20</v>
      </c>
      <c r="I50" s="9">
        <v>20</v>
      </c>
      <c r="J50" s="32">
        <f t="shared" si="3"/>
        <v>0</v>
      </c>
    </row>
    <row r="51" spans="1:10" ht="19.95" hidden="1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32">
        <f t="shared" si="3"/>
        <v>0</v>
      </c>
    </row>
    <row r="52" spans="1:10" ht="19.95" hidden="1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32">
        <f t="shared" si="3"/>
        <v>0</v>
      </c>
    </row>
    <row r="53" spans="1:10" ht="19.95" hidden="1" customHeight="1" x14ac:dyDescent="0.3">
      <c r="A53" s="4"/>
      <c r="B53" s="4"/>
      <c r="C53" s="6"/>
      <c r="D53" s="6"/>
      <c r="E53" s="7"/>
      <c r="F53" s="21"/>
      <c r="G53" s="4"/>
      <c r="H53" s="8"/>
      <c r="I53" s="9"/>
      <c r="J53" s="32">
        <f t="shared" si="3"/>
        <v>0</v>
      </c>
    </row>
    <row r="54" spans="1:10" ht="19.95" customHeight="1" x14ac:dyDescent="0.3">
      <c r="A54" s="4"/>
      <c r="B54" s="4"/>
      <c r="C54" s="6"/>
      <c r="D54" s="6"/>
      <c r="E54" s="7"/>
      <c r="F54" s="21"/>
      <c r="G54" s="4"/>
      <c r="H54" s="8"/>
      <c r="I54" s="9"/>
      <c r="J54" s="32">
        <f t="shared" si="3"/>
        <v>0</v>
      </c>
    </row>
    <row r="55" spans="1:10" ht="19.95" customHeight="1" x14ac:dyDescent="0.3">
      <c r="A55" s="10"/>
      <c r="B55" s="10"/>
      <c r="C55" s="10"/>
      <c r="D55" s="10"/>
      <c r="E55" s="11"/>
      <c r="F55" s="10"/>
      <c r="G55" s="12"/>
      <c r="H55" s="8">
        <f>SUM(H44:H54)</f>
        <v>3468</v>
      </c>
      <c r="I55" s="9">
        <f>SUM(I44:I54)</f>
        <v>3525</v>
      </c>
      <c r="J55" s="32">
        <f>SUM(J44:J54)</f>
        <v>-57</v>
      </c>
    </row>
    <row r="56" spans="1:10" ht="19.95" customHeight="1" x14ac:dyDescent="0.3">
      <c r="A56" s="15"/>
      <c r="B56" s="15"/>
      <c r="C56" s="15"/>
      <c r="D56" s="15"/>
      <c r="E56" s="16"/>
      <c r="F56" s="15"/>
      <c r="G56" s="15"/>
      <c r="H56" s="17"/>
      <c r="I56" s="18"/>
      <c r="J56" s="17"/>
    </row>
    <row r="57" spans="1:10" ht="30" customHeight="1" x14ac:dyDescent="0.3">
      <c r="A57" s="94" t="s">
        <v>19</v>
      </c>
      <c r="B57" s="94"/>
      <c r="C57" s="94"/>
      <c r="D57" s="94"/>
      <c r="E57" s="94"/>
      <c r="F57" s="94"/>
      <c r="G57" s="94"/>
      <c r="H57" s="94"/>
      <c r="I57" s="94"/>
      <c r="J57" s="94"/>
    </row>
    <row r="58" spans="1:10" ht="30" customHeight="1" x14ac:dyDescent="0.3">
      <c r="A58" s="4" t="s">
        <v>1</v>
      </c>
      <c r="B58" s="4" t="s">
        <v>2</v>
      </c>
      <c r="C58" s="5" t="s">
        <v>3</v>
      </c>
      <c r="D58" s="5" t="s">
        <v>4</v>
      </c>
      <c r="E58" s="4" t="s">
        <v>5</v>
      </c>
      <c r="F58" s="5" t="s">
        <v>6</v>
      </c>
      <c r="G58" s="5" t="s">
        <v>7</v>
      </c>
      <c r="H58" s="4" t="s">
        <v>8</v>
      </c>
      <c r="I58" s="4" t="s">
        <v>9</v>
      </c>
      <c r="J58" s="4" t="s">
        <v>10</v>
      </c>
    </row>
    <row r="59" spans="1:10" ht="19.95" customHeight="1" x14ac:dyDescent="0.3">
      <c r="A59" s="4">
        <v>210825</v>
      </c>
      <c r="B59" s="4">
        <v>430</v>
      </c>
      <c r="C59" s="6">
        <v>0.6</v>
      </c>
      <c r="D59" s="6" t="s">
        <v>55</v>
      </c>
      <c r="E59" s="7" t="s">
        <v>76</v>
      </c>
      <c r="F59" s="21" t="s">
        <v>52</v>
      </c>
      <c r="G59" s="4">
        <v>430</v>
      </c>
      <c r="H59" s="8">
        <v>463</v>
      </c>
      <c r="I59" s="9">
        <v>528</v>
      </c>
      <c r="J59" s="32">
        <f t="shared" ref="J59:J70" si="4">H59-I59</f>
        <v>-65</v>
      </c>
    </row>
    <row r="60" spans="1:10" ht="19.95" customHeight="1" x14ac:dyDescent="0.3">
      <c r="A60" s="4">
        <v>250048</v>
      </c>
      <c r="B60" s="4">
        <v>304</v>
      </c>
      <c r="C60" s="6">
        <v>0.6</v>
      </c>
      <c r="D60" s="6" t="s">
        <v>55</v>
      </c>
      <c r="E60" s="7" t="s">
        <v>77</v>
      </c>
      <c r="F60" s="21" t="s">
        <v>52</v>
      </c>
      <c r="G60" s="4">
        <v>304</v>
      </c>
      <c r="H60" s="8">
        <v>690</v>
      </c>
      <c r="I60" s="9">
        <v>496</v>
      </c>
      <c r="J60" s="8">
        <f t="shared" si="4"/>
        <v>194</v>
      </c>
    </row>
    <row r="61" spans="1:10" ht="19.95" customHeight="1" x14ac:dyDescent="0.3">
      <c r="A61" s="4">
        <v>250048</v>
      </c>
      <c r="B61" s="4">
        <v>304</v>
      </c>
      <c r="C61" s="6">
        <v>0.6</v>
      </c>
      <c r="D61" s="6" t="s">
        <v>55</v>
      </c>
      <c r="E61" s="7" t="s">
        <v>78</v>
      </c>
      <c r="F61" s="21" t="s">
        <v>52</v>
      </c>
      <c r="G61" s="4">
        <v>304</v>
      </c>
      <c r="H61" s="8">
        <v>240</v>
      </c>
      <c r="I61" s="9"/>
      <c r="J61" s="8">
        <f t="shared" si="4"/>
        <v>240</v>
      </c>
    </row>
    <row r="62" spans="1:10" ht="19.95" customHeight="1" x14ac:dyDescent="0.3">
      <c r="A62" s="4">
        <v>250048</v>
      </c>
      <c r="B62" s="4">
        <v>304</v>
      </c>
      <c r="C62" s="6">
        <v>0.6</v>
      </c>
      <c r="D62" s="6" t="s">
        <v>55</v>
      </c>
      <c r="E62" s="7" t="s">
        <v>79</v>
      </c>
      <c r="F62" s="21" t="s">
        <v>52</v>
      </c>
      <c r="G62" s="4">
        <v>304</v>
      </c>
      <c r="H62" s="8">
        <v>120</v>
      </c>
      <c r="I62" s="9"/>
      <c r="J62" s="8">
        <f t="shared" si="4"/>
        <v>120</v>
      </c>
    </row>
    <row r="63" spans="1:10" ht="19.95" customHeight="1" x14ac:dyDescent="0.3">
      <c r="A63" s="4">
        <v>250048</v>
      </c>
      <c r="B63" s="4">
        <v>304</v>
      </c>
      <c r="C63" s="6">
        <v>0.6</v>
      </c>
      <c r="D63" s="6" t="s">
        <v>55</v>
      </c>
      <c r="E63" s="7" t="s">
        <v>80</v>
      </c>
      <c r="F63" s="21" t="s">
        <v>52</v>
      </c>
      <c r="G63" s="4">
        <v>304</v>
      </c>
      <c r="H63" s="8">
        <v>690</v>
      </c>
      <c r="I63" s="9"/>
      <c r="J63" s="8">
        <f t="shared" si="4"/>
        <v>690</v>
      </c>
    </row>
    <row r="64" spans="1:10" ht="19.95" customHeight="1" x14ac:dyDescent="0.3">
      <c r="A64" s="4">
        <v>250048</v>
      </c>
      <c r="B64" s="4">
        <v>304</v>
      </c>
      <c r="C64" s="6">
        <v>0.6</v>
      </c>
      <c r="D64" s="6" t="s">
        <v>55</v>
      </c>
      <c r="E64" s="7" t="s">
        <v>81</v>
      </c>
      <c r="F64" s="21" t="s">
        <v>52</v>
      </c>
      <c r="G64" s="4">
        <v>304</v>
      </c>
      <c r="H64" s="8">
        <v>240</v>
      </c>
      <c r="I64" s="9"/>
      <c r="J64" s="8">
        <f t="shared" si="4"/>
        <v>240</v>
      </c>
    </row>
    <row r="65" spans="1:10" ht="19.95" customHeight="1" x14ac:dyDescent="0.3">
      <c r="A65" s="4">
        <v>250048</v>
      </c>
      <c r="B65" s="4">
        <v>304</v>
      </c>
      <c r="C65" s="6">
        <v>0.6</v>
      </c>
      <c r="D65" s="6" t="s">
        <v>55</v>
      </c>
      <c r="E65" s="7" t="s">
        <v>82</v>
      </c>
      <c r="F65" s="21" t="s">
        <v>52</v>
      </c>
      <c r="G65" s="4">
        <v>304</v>
      </c>
      <c r="H65" s="8">
        <v>120</v>
      </c>
      <c r="I65" s="9"/>
      <c r="J65" s="8">
        <f t="shared" si="4"/>
        <v>120</v>
      </c>
    </row>
    <row r="66" spans="1:10" ht="19.95" customHeight="1" x14ac:dyDescent="0.3">
      <c r="A66" s="4" t="s">
        <v>89</v>
      </c>
      <c r="B66" s="4">
        <v>304</v>
      </c>
      <c r="C66" s="6">
        <v>0.9</v>
      </c>
      <c r="D66" s="6" t="s">
        <v>43</v>
      </c>
      <c r="E66" s="7" t="s">
        <v>116</v>
      </c>
      <c r="F66" s="21" t="s">
        <v>41</v>
      </c>
      <c r="G66" s="4">
        <v>430</v>
      </c>
      <c r="H66" s="8">
        <v>1500</v>
      </c>
      <c r="I66" s="9">
        <v>1604</v>
      </c>
      <c r="J66" s="32">
        <f t="shared" si="4"/>
        <v>-104</v>
      </c>
    </row>
    <row r="67" spans="1:10" s="31" customFormat="1" ht="19.95" customHeight="1" x14ac:dyDescent="0.3">
      <c r="A67" s="25"/>
      <c r="B67" s="25"/>
      <c r="C67" s="26"/>
      <c r="D67" s="26"/>
      <c r="E67" s="27"/>
      <c r="F67" s="28"/>
      <c r="G67" s="25"/>
      <c r="H67" s="29"/>
      <c r="I67" s="30"/>
      <c r="J67" s="29">
        <f t="shared" si="4"/>
        <v>0</v>
      </c>
    </row>
    <row r="68" spans="1:10" ht="19.95" customHeight="1" x14ac:dyDescent="0.3">
      <c r="A68" s="4"/>
      <c r="B68" s="4"/>
      <c r="C68" s="6"/>
      <c r="D68" s="6"/>
      <c r="E68" s="7"/>
      <c r="F68" s="7"/>
      <c r="G68" s="4"/>
      <c r="H68" s="8"/>
      <c r="I68" s="9"/>
      <c r="J68" s="8">
        <f t="shared" si="4"/>
        <v>0</v>
      </c>
    </row>
    <row r="69" spans="1:10" ht="19.95" customHeight="1" x14ac:dyDescent="0.3">
      <c r="A69" s="4"/>
      <c r="B69" s="4"/>
      <c r="C69" s="6"/>
      <c r="D69" s="6"/>
      <c r="E69" s="7"/>
      <c r="F69" s="7"/>
      <c r="G69" s="4"/>
      <c r="H69" s="8"/>
      <c r="I69" s="9"/>
      <c r="J69" s="8">
        <f t="shared" si="4"/>
        <v>0</v>
      </c>
    </row>
    <row r="70" spans="1:10" ht="19.95" customHeight="1" x14ac:dyDescent="0.3">
      <c r="A70" s="4"/>
      <c r="B70" s="4"/>
      <c r="C70" s="6"/>
      <c r="D70" s="6"/>
      <c r="E70" s="7"/>
      <c r="F70" s="7"/>
      <c r="G70" s="4"/>
      <c r="H70" s="8"/>
      <c r="I70" s="24"/>
      <c r="J70" s="8">
        <f t="shared" si="4"/>
        <v>0</v>
      </c>
    </row>
    <row r="71" spans="1:10" ht="19.95" customHeight="1" x14ac:dyDescent="0.3">
      <c r="A71" s="10"/>
      <c r="B71" s="10"/>
      <c r="C71" s="10"/>
      <c r="D71" s="10"/>
      <c r="E71" s="11"/>
      <c r="F71" s="10"/>
      <c r="G71" s="12"/>
      <c r="H71" s="8">
        <f>SUM(H59:H70)</f>
        <v>4063</v>
      </c>
      <c r="I71" s="9">
        <f>SUM(I59:I70)</f>
        <v>2628</v>
      </c>
      <c r="J71" s="8">
        <f>SUM(J59:J70)</f>
        <v>1435</v>
      </c>
    </row>
    <row r="72" spans="1:10" ht="19.95" customHeight="1" x14ac:dyDescent="0.3">
      <c r="A72" s="15"/>
      <c r="B72" s="15"/>
      <c r="C72" s="15"/>
      <c r="D72" s="15"/>
      <c r="E72" s="16"/>
      <c r="F72" s="15"/>
      <c r="G72" s="15"/>
      <c r="H72" s="17"/>
      <c r="I72" s="18"/>
      <c r="J72" s="17"/>
    </row>
    <row r="73" spans="1:10" ht="30" customHeight="1" x14ac:dyDescent="0.3">
      <c r="A73" s="94" t="s">
        <v>23</v>
      </c>
      <c r="B73" s="94"/>
      <c r="C73" s="94"/>
      <c r="D73" s="94"/>
      <c r="E73" s="94"/>
      <c r="F73" s="94"/>
      <c r="G73" s="94"/>
      <c r="H73" s="94"/>
      <c r="I73" s="94"/>
      <c r="J73" s="94"/>
    </row>
    <row r="74" spans="1:10" ht="30" customHeight="1" x14ac:dyDescent="0.3">
      <c r="A74" s="4" t="s">
        <v>1</v>
      </c>
      <c r="B74" s="4" t="s">
        <v>2</v>
      </c>
      <c r="C74" s="5" t="s">
        <v>3</v>
      </c>
      <c r="D74" s="5" t="s">
        <v>4</v>
      </c>
      <c r="E74" s="4" t="s">
        <v>5</v>
      </c>
      <c r="F74" s="5" t="s">
        <v>6</v>
      </c>
      <c r="G74" s="5" t="s">
        <v>7</v>
      </c>
      <c r="H74" s="4" t="s">
        <v>8</v>
      </c>
      <c r="I74" s="4" t="s">
        <v>9</v>
      </c>
      <c r="J74" s="4" t="s">
        <v>10</v>
      </c>
    </row>
    <row r="75" spans="1:10" ht="19.95" customHeight="1" x14ac:dyDescent="0.3">
      <c r="A75" s="4">
        <v>250048</v>
      </c>
      <c r="B75" s="4">
        <v>304</v>
      </c>
      <c r="C75" s="6">
        <v>0.6</v>
      </c>
      <c r="D75" s="6" t="s">
        <v>55</v>
      </c>
      <c r="E75" s="7" t="s">
        <v>86</v>
      </c>
      <c r="F75" s="21" t="s">
        <v>52</v>
      </c>
      <c r="G75" s="4">
        <v>304</v>
      </c>
      <c r="H75" s="8">
        <v>690</v>
      </c>
      <c r="I75" s="9"/>
      <c r="J75" s="8">
        <f t="shared" ref="J75:J96" si="5">H75-I75</f>
        <v>690</v>
      </c>
    </row>
    <row r="76" spans="1:10" ht="19.95" customHeight="1" x14ac:dyDescent="0.3">
      <c r="A76" s="4">
        <v>250048</v>
      </c>
      <c r="B76" s="4">
        <v>304</v>
      </c>
      <c r="C76" s="6">
        <v>0.6</v>
      </c>
      <c r="D76" s="6" t="s">
        <v>55</v>
      </c>
      <c r="E76" s="7" t="s">
        <v>87</v>
      </c>
      <c r="F76" s="21" t="s">
        <v>52</v>
      </c>
      <c r="G76" s="4">
        <v>304</v>
      </c>
      <c r="H76" s="8">
        <v>240</v>
      </c>
      <c r="I76" s="9"/>
      <c r="J76" s="8">
        <f t="shared" si="5"/>
        <v>240</v>
      </c>
    </row>
    <row r="77" spans="1:10" ht="19.95" customHeight="1" x14ac:dyDescent="0.3">
      <c r="A77" s="4">
        <v>250048</v>
      </c>
      <c r="B77" s="4">
        <v>304</v>
      </c>
      <c r="C77" s="6">
        <v>0.6</v>
      </c>
      <c r="D77" s="6" t="s">
        <v>55</v>
      </c>
      <c r="E77" s="7" t="s">
        <v>88</v>
      </c>
      <c r="F77" s="21" t="s">
        <v>52</v>
      </c>
      <c r="G77" s="4">
        <v>304</v>
      </c>
      <c r="H77" s="8">
        <v>120</v>
      </c>
      <c r="I77" s="9"/>
      <c r="J77" s="8">
        <f t="shared" si="5"/>
        <v>120</v>
      </c>
    </row>
    <row r="78" spans="1:10" ht="19.95" customHeight="1" x14ac:dyDescent="0.3">
      <c r="A78" s="4" t="s">
        <v>89</v>
      </c>
      <c r="B78" s="4">
        <v>304</v>
      </c>
      <c r="C78" s="6">
        <v>0.9</v>
      </c>
      <c r="D78" s="6" t="s">
        <v>43</v>
      </c>
      <c r="E78" s="7" t="s">
        <v>90</v>
      </c>
      <c r="F78" s="4" t="s">
        <v>41</v>
      </c>
      <c r="G78" s="4">
        <v>430</v>
      </c>
      <c r="H78" s="8">
        <v>1500</v>
      </c>
      <c r="I78" s="9">
        <v>1604</v>
      </c>
      <c r="J78" s="32">
        <f t="shared" si="5"/>
        <v>-104</v>
      </c>
    </row>
    <row r="79" spans="1:10" ht="19.95" customHeight="1" x14ac:dyDescent="0.3">
      <c r="A79" s="4">
        <v>100925</v>
      </c>
      <c r="B79" s="4">
        <v>304</v>
      </c>
      <c r="C79" s="6">
        <v>0.9</v>
      </c>
      <c r="D79" s="6" t="s">
        <v>91</v>
      </c>
      <c r="E79" s="7" t="s">
        <v>110</v>
      </c>
      <c r="F79" s="4" t="s">
        <v>41</v>
      </c>
      <c r="G79" s="4">
        <v>430</v>
      </c>
      <c r="H79" s="8">
        <v>1200</v>
      </c>
      <c r="I79" s="9">
        <v>1281</v>
      </c>
      <c r="J79" s="32">
        <f t="shared" si="5"/>
        <v>-81</v>
      </c>
    </row>
    <row r="80" spans="1:10" ht="19.95" customHeight="1" x14ac:dyDescent="0.3">
      <c r="A80" s="4"/>
      <c r="B80" s="4"/>
      <c r="C80" s="6"/>
      <c r="D80" s="6"/>
      <c r="E80" s="7"/>
      <c r="F80" s="21"/>
      <c r="G80" s="4"/>
      <c r="H80" s="8"/>
      <c r="I80" s="9"/>
      <c r="J80" s="8">
        <f t="shared" si="5"/>
        <v>0</v>
      </c>
    </row>
    <row r="81" spans="1:10" ht="19.95" customHeight="1" x14ac:dyDescent="0.3">
      <c r="A81" s="4"/>
      <c r="B81" s="4"/>
      <c r="C81" s="6"/>
      <c r="D81" s="6"/>
      <c r="E81" s="7"/>
      <c r="F81" s="4"/>
      <c r="G81" s="4"/>
      <c r="H81" s="8"/>
      <c r="I81" s="9"/>
      <c r="J81" s="8">
        <f t="shared" si="5"/>
        <v>0</v>
      </c>
    </row>
    <row r="82" spans="1:10" ht="19.95" customHeight="1" x14ac:dyDescent="0.3">
      <c r="A82" s="4"/>
      <c r="B82" s="4"/>
      <c r="C82" s="6"/>
      <c r="D82" s="6"/>
      <c r="E82" s="7"/>
      <c r="F82" s="7"/>
      <c r="G82" s="4"/>
      <c r="H82" s="8"/>
      <c r="I82" s="9"/>
      <c r="J82" s="8">
        <f t="shared" si="5"/>
        <v>0</v>
      </c>
    </row>
    <row r="83" spans="1:10" ht="19.95" customHeight="1" x14ac:dyDescent="0.3">
      <c r="A83" s="4"/>
      <c r="B83" s="4"/>
      <c r="C83" s="6"/>
      <c r="D83" s="6"/>
      <c r="E83" s="7"/>
      <c r="F83" s="7"/>
      <c r="G83" s="4"/>
      <c r="H83" s="8"/>
      <c r="I83" s="9"/>
      <c r="J83" s="8">
        <f t="shared" si="5"/>
        <v>0</v>
      </c>
    </row>
    <row r="84" spans="1:10" ht="19.95" customHeight="1" x14ac:dyDescent="0.3">
      <c r="A84" s="4"/>
      <c r="B84" s="4"/>
      <c r="C84" s="6"/>
      <c r="D84" s="6"/>
      <c r="E84" s="7"/>
      <c r="F84" s="7"/>
      <c r="G84" s="4"/>
      <c r="H84" s="8"/>
      <c r="I84" s="9"/>
      <c r="J84" s="8">
        <f t="shared" si="5"/>
        <v>0</v>
      </c>
    </row>
    <row r="85" spans="1:10" ht="19.95" customHeight="1" x14ac:dyDescent="0.3">
      <c r="A85" s="4"/>
      <c r="B85" s="4"/>
      <c r="C85" s="6"/>
      <c r="D85" s="6"/>
      <c r="E85" s="7"/>
      <c r="F85" s="7"/>
      <c r="G85" s="4"/>
      <c r="H85" s="8"/>
      <c r="I85" s="9"/>
      <c r="J85" s="8">
        <f t="shared" si="5"/>
        <v>0</v>
      </c>
    </row>
    <row r="86" spans="1:10" ht="19.95" customHeight="1" x14ac:dyDescent="0.3">
      <c r="A86" s="4"/>
      <c r="B86" s="4"/>
      <c r="C86" s="6"/>
      <c r="D86" s="6"/>
      <c r="E86" s="7"/>
      <c r="F86" s="7"/>
      <c r="G86" s="4"/>
      <c r="H86" s="8"/>
      <c r="I86" s="9"/>
      <c r="J86" s="8">
        <f t="shared" si="5"/>
        <v>0</v>
      </c>
    </row>
    <row r="87" spans="1:10" ht="19.95" customHeight="1" x14ac:dyDescent="0.3">
      <c r="A87" s="4"/>
      <c r="B87" s="4"/>
      <c r="C87" s="6"/>
      <c r="D87" s="6"/>
      <c r="E87" s="7"/>
      <c r="F87" s="21"/>
      <c r="G87" s="4"/>
      <c r="H87" s="8"/>
      <c r="I87" s="9"/>
      <c r="J87" s="8">
        <f t="shared" si="5"/>
        <v>0</v>
      </c>
    </row>
    <row r="88" spans="1:10" ht="19.95" customHeight="1" x14ac:dyDescent="0.3">
      <c r="A88" s="21"/>
      <c r="B88" s="21"/>
      <c r="C88" s="22"/>
      <c r="D88" s="22"/>
      <c r="E88" s="20"/>
      <c r="F88" s="21"/>
      <c r="G88" s="21"/>
      <c r="H88" s="23"/>
      <c r="I88" s="9"/>
      <c r="J88" s="8">
        <f t="shared" si="5"/>
        <v>0</v>
      </c>
    </row>
    <row r="89" spans="1:10" ht="19.95" customHeight="1" x14ac:dyDescent="0.3">
      <c r="A89" s="21"/>
      <c r="B89" s="21"/>
      <c r="C89" s="22"/>
      <c r="D89" s="22"/>
      <c r="E89" s="20"/>
      <c r="F89" s="21"/>
      <c r="G89" s="21"/>
      <c r="H89" s="23"/>
      <c r="I89" s="9"/>
      <c r="J89" s="8">
        <f t="shared" si="5"/>
        <v>0</v>
      </c>
    </row>
    <row r="90" spans="1:10" ht="19.95" customHeight="1" x14ac:dyDescent="0.3">
      <c r="A90" s="4"/>
      <c r="B90" s="4"/>
      <c r="C90" s="6"/>
      <c r="D90" s="6"/>
      <c r="E90" s="7"/>
      <c r="F90" s="21"/>
      <c r="G90" s="4"/>
      <c r="H90" s="8"/>
      <c r="I90" s="9"/>
      <c r="J90" s="8">
        <f t="shared" si="5"/>
        <v>0</v>
      </c>
    </row>
    <row r="91" spans="1:10" ht="19.95" customHeight="1" x14ac:dyDescent="0.3">
      <c r="A91" s="4"/>
      <c r="B91" s="4"/>
      <c r="C91" s="6"/>
      <c r="D91" s="6"/>
      <c r="E91" s="7"/>
      <c r="F91" s="4"/>
      <c r="G91" s="4"/>
      <c r="H91" s="8"/>
      <c r="I91" s="9"/>
      <c r="J91" s="8">
        <f t="shared" si="5"/>
        <v>0</v>
      </c>
    </row>
    <row r="92" spans="1:10" ht="19.95" customHeight="1" x14ac:dyDescent="0.3">
      <c r="A92" s="4"/>
      <c r="B92" s="4"/>
      <c r="C92" s="6"/>
      <c r="D92" s="6"/>
      <c r="E92" s="7"/>
      <c r="F92" s="4"/>
      <c r="G92" s="4"/>
      <c r="H92" s="8"/>
      <c r="I92" s="9"/>
      <c r="J92" s="8">
        <f t="shared" si="5"/>
        <v>0</v>
      </c>
    </row>
    <row r="93" spans="1:10" ht="19.95" customHeight="1" x14ac:dyDescent="0.3">
      <c r="A93" s="4"/>
      <c r="B93" s="4"/>
      <c r="C93" s="6"/>
      <c r="D93" s="6"/>
      <c r="E93" s="7"/>
      <c r="F93" s="4"/>
      <c r="G93" s="4"/>
      <c r="H93" s="8"/>
      <c r="I93" s="9"/>
      <c r="J93" s="8">
        <f t="shared" si="5"/>
        <v>0</v>
      </c>
    </row>
    <row r="94" spans="1:10" ht="19.95" customHeight="1" x14ac:dyDescent="0.3">
      <c r="A94" s="4"/>
      <c r="B94" s="4"/>
      <c r="C94" s="6"/>
      <c r="D94" s="6"/>
      <c r="E94" s="7"/>
      <c r="F94" s="4"/>
      <c r="G94" s="4"/>
      <c r="H94" s="8"/>
      <c r="I94" s="9"/>
      <c r="J94" s="8">
        <f t="shared" si="5"/>
        <v>0</v>
      </c>
    </row>
    <row r="95" spans="1:10" ht="19.95" customHeight="1" x14ac:dyDescent="0.3">
      <c r="A95" s="4"/>
      <c r="B95" s="4"/>
      <c r="C95" s="6"/>
      <c r="D95" s="6"/>
      <c r="E95" s="7"/>
      <c r="F95" s="4"/>
      <c r="G95" s="4"/>
      <c r="H95" s="8"/>
      <c r="I95" s="9"/>
      <c r="J95" s="8">
        <f t="shared" si="5"/>
        <v>0</v>
      </c>
    </row>
    <row r="96" spans="1:10" ht="19.95" customHeight="1" x14ac:dyDescent="0.3">
      <c r="A96" s="4"/>
      <c r="B96" s="4"/>
      <c r="C96" s="6"/>
      <c r="D96" s="6"/>
      <c r="E96" s="7"/>
      <c r="F96" s="4"/>
      <c r="G96" s="4"/>
      <c r="H96" s="8"/>
      <c r="I96" s="9"/>
      <c r="J96" s="8">
        <f t="shared" si="5"/>
        <v>0</v>
      </c>
    </row>
    <row r="97" spans="1:10" ht="19.95" customHeight="1" x14ac:dyDescent="0.3">
      <c r="A97" s="10"/>
      <c r="B97" s="10"/>
      <c r="C97" s="10"/>
      <c r="D97" s="10"/>
      <c r="E97" s="11"/>
      <c r="F97" s="10"/>
      <c r="G97" s="12"/>
      <c r="H97" s="8">
        <f>SUM(H75:H96)</f>
        <v>3750</v>
      </c>
      <c r="I97" s="9">
        <f>SUM(I75:I96)</f>
        <v>2885</v>
      </c>
      <c r="J97" s="8">
        <f>SUM(J75:J96)</f>
        <v>865</v>
      </c>
    </row>
    <row r="99" spans="1:10" ht="23.4" x14ac:dyDescent="0.3">
      <c r="A99" s="95" t="s">
        <v>14</v>
      </c>
      <c r="B99" s="95"/>
      <c r="C99" s="95"/>
      <c r="D99" s="95"/>
      <c r="E99" s="95"/>
      <c r="F99" s="95"/>
      <c r="G99" s="95"/>
      <c r="H99" s="95"/>
      <c r="I99" s="95"/>
      <c r="J99" s="95"/>
    </row>
  </sheetData>
  <mergeCells count="9">
    <mergeCell ref="A57:J57"/>
    <mergeCell ref="A73:J73"/>
    <mergeCell ref="A99:J99"/>
    <mergeCell ref="H1:J1"/>
    <mergeCell ref="A2:J2"/>
    <mergeCell ref="A3:J3"/>
    <mergeCell ref="A16:J16"/>
    <mergeCell ref="A27:J27"/>
    <mergeCell ref="A42:J4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0" fitToHeight="0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8"/>
  <sheetViews>
    <sheetView zoomScale="85" zoomScaleNormal="85" workbookViewId="0">
      <selection activeCell="K76" sqref="J76:K7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7.77734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A1" s="2" t="s">
        <v>129</v>
      </c>
      <c r="F1" s="15" t="s">
        <v>0</v>
      </c>
      <c r="G1" s="19" t="s">
        <v>21</v>
      </c>
      <c r="H1" s="96" t="s">
        <v>130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250048</v>
      </c>
      <c r="B5" s="4">
        <v>304</v>
      </c>
      <c r="C5" s="6">
        <v>0.6</v>
      </c>
      <c r="D5" s="6" t="s">
        <v>55</v>
      </c>
      <c r="E5" s="7" t="s">
        <v>77</v>
      </c>
      <c r="F5" s="21" t="s">
        <v>52</v>
      </c>
      <c r="G5" s="4">
        <v>304</v>
      </c>
      <c r="H5" s="8">
        <v>194</v>
      </c>
      <c r="I5" s="9">
        <v>230</v>
      </c>
      <c r="J5" s="33">
        <f t="shared" ref="J5:J14" si="0">H5-I5</f>
        <v>-36</v>
      </c>
    </row>
    <row r="6" spans="1:10" ht="19.95" customHeight="1" x14ac:dyDescent="0.3">
      <c r="A6" s="4">
        <v>250048</v>
      </c>
      <c r="B6" s="4">
        <v>304</v>
      </c>
      <c r="C6" s="6">
        <v>0.6</v>
      </c>
      <c r="D6" s="6" t="s">
        <v>55</v>
      </c>
      <c r="E6" s="7" t="s">
        <v>78</v>
      </c>
      <c r="F6" s="21" t="s">
        <v>52</v>
      </c>
      <c r="G6" s="4">
        <v>304</v>
      </c>
      <c r="H6" s="8">
        <v>240</v>
      </c>
      <c r="I6" s="9">
        <v>270</v>
      </c>
      <c r="J6" s="33">
        <f t="shared" si="0"/>
        <v>-30</v>
      </c>
    </row>
    <row r="7" spans="1:10" ht="19.95" customHeight="1" x14ac:dyDescent="0.3">
      <c r="A7" s="4">
        <v>250048</v>
      </c>
      <c r="B7" s="4">
        <v>304</v>
      </c>
      <c r="C7" s="6">
        <v>0.6</v>
      </c>
      <c r="D7" s="6" t="s">
        <v>55</v>
      </c>
      <c r="E7" s="7" t="s">
        <v>79</v>
      </c>
      <c r="F7" s="21" t="s">
        <v>52</v>
      </c>
      <c r="G7" s="4">
        <v>304</v>
      </c>
      <c r="H7" s="8">
        <v>120</v>
      </c>
      <c r="I7" s="9">
        <v>130</v>
      </c>
      <c r="J7" s="33">
        <f t="shared" si="0"/>
        <v>-10</v>
      </c>
    </row>
    <row r="8" spans="1:10" ht="19.95" customHeight="1" x14ac:dyDescent="0.3">
      <c r="A8" s="4">
        <v>250048</v>
      </c>
      <c r="B8" s="4">
        <v>304</v>
      </c>
      <c r="C8" s="6">
        <v>0.6</v>
      </c>
      <c r="D8" s="6" t="s">
        <v>55</v>
      </c>
      <c r="E8" s="7" t="s">
        <v>80</v>
      </c>
      <c r="F8" s="21" t="s">
        <v>52</v>
      </c>
      <c r="G8" s="4">
        <v>304</v>
      </c>
      <c r="H8" s="8">
        <v>690</v>
      </c>
      <c r="I8" s="9">
        <v>700</v>
      </c>
      <c r="J8" s="33">
        <f t="shared" si="0"/>
        <v>-10</v>
      </c>
    </row>
    <row r="9" spans="1:10" ht="19.95" customHeight="1" x14ac:dyDescent="0.3">
      <c r="A9" s="4">
        <v>250048</v>
      </c>
      <c r="B9" s="4">
        <v>304</v>
      </c>
      <c r="C9" s="6">
        <v>0.6</v>
      </c>
      <c r="D9" s="6" t="s">
        <v>55</v>
      </c>
      <c r="E9" s="7" t="s">
        <v>81</v>
      </c>
      <c r="F9" s="21" t="s">
        <v>52</v>
      </c>
      <c r="G9" s="4">
        <v>304</v>
      </c>
      <c r="H9" s="8">
        <v>240</v>
      </c>
      <c r="I9" s="9">
        <v>250</v>
      </c>
      <c r="J9" s="33">
        <f t="shared" si="0"/>
        <v>-10</v>
      </c>
    </row>
    <row r="10" spans="1:10" ht="19.95" customHeight="1" x14ac:dyDescent="0.3">
      <c r="A10" s="4">
        <v>250048</v>
      </c>
      <c r="B10" s="4">
        <v>304</v>
      </c>
      <c r="C10" s="6">
        <v>0.6</v>
      </c>
      <c r="D10" s="6" t="s">
        <v>55</v>
      </c>
      <c r="E10" s="7" t="s">
        <v>82</v>
      </c>
      <c r="F10" s="21" t="s">
        <v>52</v>
      </c>
      <c r="G10" s="4">
        <v>304</v>
      </c>
      <c r="H10" s="8">
        <v>120</v>
      </c>
      <c r="I10" s="9">
        <v>125</v>
      </c>
      <c r="J10" s="33">
        <f t="shared" si="0"/>
        <v>-5</v>
      </c>
    </row>
    <row r="11" spans="1:10" ht="19.95" customHeight="1" x14ac:dyDescent="0.3">
      <c r="A11" s="4">
        <v>250048</v>
      </c>
      <c r="B11" s="4">
        <v>304</v>
      </c>
      <c r="C11" s="6">
        <v>0.6</v>
      </c>
      <c r="D11" s="6" t="s">
        <v>55</v>
      </c>
      <c r="E11" s="7" t="s">
        <v>86</v>
      </c>
      <c r="F11" s="21" t="s">
        <v>52</v>
      </c>
      <c r="G11" s="4">
        <v>304</v>
      </c>
      <c r="H11" s="8">
        <v>690</v>
      </c>
      <c r="I11" s="9">
        <v>690</v>
      </c>
      <c r="J11" s="33">
        <f t="shared" si="0"/>
        <v>0</v>
      </c>
    </row>
    <row r="12" spans="1:10" ht="19.95" customHeight="1" x14ac:dyDescent="0.3">
      <c r="A12" s="4">
        <v>250048</v>
      </c>
      <c r="B12" s="4">
        <v>304</v>
      </c>
      <c r="C12" s="6">
        <v>0.6</v>
      </c>
      <c r="D12" s="6" t="s">
        <v>55</v>
      </c>
      <c r="E12" s="7" t="s">
        <v>87</v>
      </c>
      <c r="F12" s="21" t="s">
        <v>52</v>
      </c>
      <c r="G12" s="4">
        <v>304</v>
      </c>
      <c r="H12" s="8">
        <v>240</v>
      </c>
      <c r="I12" s="9">
        <f>200+40</f>
        <v>240</v>
      </c>
      <c r="J12" s="33">
        <f t="shared" si="0"/>
        <v>0</v>
      </c>
    </row>
    <row r="13" spans="1:10" ht="19.95" customHeight="1" x14ac:dyDescent="0.3">
      <c r="A13" s="4">
        <v>250048</v>
      </c>
      <c r="B13" s="4">
        <v>304</v>
      </c>
      <c r="C13" s="6">
        <v>0.6</v>
      </c>
      <c r="D13" s="6" t="s">
        <v>55</v>
      </c>
      <c r="E13" s="7" t="s">
        <v>88</v>
      </c>
      <c r="F13" s="21" t="s">
        <v>52</v>
      </c>
      <c r="G13" s="4">
        <v>304</v>
      </c>
      <c r="H13" s="8">
        <v>120</v>
      </c>
      <c r="I13" s="9">
        <v>120</v>
      </c>
      <c r="J13" s="33">
        <f t="shared" si="0"/>
        <v>0</v>
      </c>
    </row>
    <row r="14" spans="1:10" ht="19.95" customHeight="1" x14ac:dyDescent="0.3">
      <c r="A14" s="4"/>
      <c r="B14" s="4"/>
      <c r="C14" s="6"/>
      <c r="D14" s="6"/>
      <c r="E14" s="7"/>
      <c r="F14" s="21"/>
      <c r="G14" s="4"/>
      <c r="H14" s="8"/>
      <c r="I14" s="9"/>
      <c r="J14" s="23">
        <f t="shared" si="0"/>
        <v>0</v>
      </c>
    </row>
    <row r="15" spans="1:10" ht="19.95" customHeight="1" x14ac:dyDescent="0.3">
      <c r="A15" s="10"/>
      <c r="B15" s="10"/>
      <c r="C15" s="10"/>
      <c r="D15" s="10"/>
      <c r="E15" s="11"/>
      <c r="F15" s="10"/>
      <c r="G15" s="12"/>
      <c r="H15" s="13">
        <f>SUM(H5:H14)</f>
        <v>2654</v>
      </c>
      <c r="I15" s="14">
        <f>SUM(I5:I14)</f>
        <v>2755</v>
      </c>
      <c r="J15" s="23">
        <f>SUM(J5:J14)</f>
        <v>-101</v>
      </c>
    </row>
    <row r="17" spans="1:10" ht="30" customHeight="1" x14ac:dyDescent="0.3">
      <c r="A17" s="94" t="s">
        <v>17</v>
      </c>
      <c r="B17" s="94"/>
      <c r="C17" s="94"/>
      <c r="D17" s="94"/>
      <c r="E17" s="94"/>
      <c r="F17" s="94"/>
      <c r="G17" s="94"/>
      <c r="H17" s="94"/>
      <c r="I17" s="94"/>
      <c r="J17" s="94"/>
    </row>
    <row r="18" spans="1:10" ht="30" customHeight="1" x14ac:dyDescent="0.3">
      <c r="A18" s="4" t="s">
        <v>1</v>
      </c>
      <c r="B18" s="4" t="s">
        <v>2</v>
      </c>
      <c r="C18" s="5" t="s">
        <v>3</v>
      </c>
      <c r="D18" s="5" t="s">
        <v>4</v>
      </c>
      <c r="E18" s="4" t="s">
        <v>5</v>
      </c>
      <c r="F18" s="5" t="s">
        <v>6</v>
      </c>
      <c r="G18" s="5" t="s">
        <v>7</v>
      </c>
      <c r="H18" s="4" t="s">
        <v>8</v>
      </c>
      <c r="I18" s="4" t="s">
        <v>9</v>
      </c>
      <c r="J18" s="4" t="s">
        <v>10</v>
      </c>
    </row>
    <row r="19" spans="1:10" ht="19.95" customHeight="1" x14ac:dyDescent="0.3">
      <c r="A19" s="4">
        <v>100925</v>
      </c>
      <c r="B19" s="4">
        <v>304</v>
      </c>
      <c r="C19" s="6">
        <v>0.9</v>
      </c>
      <c r="D19" s="6" t="s">
        <v>43</v>
      </c>
      <c r="E19" s="7" t="s">
        <v>111</v>
      </c>
      <c r="F19" s="4" t="s">
        <v>41</v>
      </c>
      <c r="G19" s="4">
        <v>430</v>
      </c>
      <c r="H19" s="8">
        <v>1500</v>
      </c>
      <c r="I19" s="9">
        <v>1606</v>
      </c>
      <c r="J19" s="33">
        <f t="shared" ref="J19:J23" si="1">H19-I19</f>
        <v>-106</v>
      </c>
    </row>
    <row r="20" spans="1:10" ht="19.95" customHeight="1" x14ac:dyDescent="0.3">
      <c r="A20" s="4">
        <v>100925</v>
      </c>
      <c r="B20" s="4">
        <v>304</v>
      </c>
      <c r="C20" s="6">
        <v>0.9</v>
      </c>
      <c r="D20" s="6" t="s">
        <v>43</v>
      </c>
      <c r="E20" s="7" t="s">
        <v>112</v>
      </c>
      <c r="F20" s="4" t="s">
        <v>41</v>
      </c>
      <c r="G20" s="4">
        <v>430</v>
      </c>
      <c r="H20" s="8">
        <v>600</v>
      </c>
      <c r="I20" s="9">
        <v>650</v>
      </c>
      <c r="J20" s="33">
        <f t="shared" si="1"/>
        <v>-50</v>
      </c>
    </row>
    <row r="21" spans="1:10" ht="19.95" customHeight="1" x14ac:dyDescent="0.3">
      <c r="A21" s="4" t="s">
        <v>89</v>
      </c>
      <c r="B21" s="4">
        <v>304</v>
      </c>
      <c r="C21" s="6">
        <v>0.9</v>
      </c>
      <c r="D21" s="6" t="s">
        <v>43</v>
      </c>
      <c r="E21" s="7" t="s">
        <v>113</v>
      </c>
      <c r="F21" s="4" t="s">
        <v>41</v>
      </c>
      <c r="G21" s="4">
        <v>430</v>
      </c>
      <c r="H21" s="8">
        <v>1500</v>
      </c>
      <c r="I21" s="9">
        <f>1167+360</f>
        <v>1527</v>
      </c>
      <c r="J21" s="33">
        <f t="shared" si="1"/>
        <v>-27</v>
      </c>
    </row>
    <row r="22" spans="1:10" ht="19.95" customHeight="1" x14ac:dyDescent="0.3">
      <c r="A22" s="4" t="s">
        <v>114</v>
      </c>
      <c r="B22" s="4">
        <v>304</v>
      </c>
      <c r="C22" s="6">
        <v>0.9</v>
      </c>
      <c r="D22" s="6" t="s">
        <v>43</v>
      </c>
      <c r="E22" s="7" t="s">
        <v>115</v>
      </c>
      <c r="F22" s="4" t="s">
        <v>41</v>
      </c>
      <c r="G22" s="4">
        <v>430</v>
      </c>
      <c r="H22" s="8">
        <v>1200</v>
      </c>
      <c r="I22" s="9">
        <v>1319</v>
      </c>
      <c r="J22" s="33">
        <f t="shared" si="1"/>
        <v>-119</v>
      </c>
    </row>
    <row r="23" spans="1:10" ht="19.95" customHeight="1" x14ac:dyDescent="0.3">
      <c r="A23" s="4"/>
      <c r="B23" s="4"/>
      <c r="C23" s="4"/>
      <c r="D23" s="4"/>
      <c r="E23" s="7"/>
      <c r="F23" s="4"/>
      <c r="G23" s="4"/>
      <c r="H23" s="8"/>
      <c r="I23" s="9">
        <v>0</v>
      </c>
      <c r="J23" s="23">
        <f t="shared" si="1"/>
        <v>0</v>
      </c>
    </row>
    <row r="24" spans="1:10" ht="19.95" customHeight="1" x14ac:dyDescent="0.3">
      <c r="A24" s="10"/>
      <c r="B24" s="10"/>
      <c r="C24" s="10"/>
      <c r="D24" s="10"/>
      <c r="E24" s="11"/>
      <c r="F24" s="10"/>
      <c r="G24" s="12"/>
      <c r="H24" s="8">
        <f>SUM(H19:H23)</f>
        <v>4800</v>
      </c>
      <c r="I24" s="9">
        <f>SUM(I19:I23)</f>
        <v>5102</v>
      </c>
      <c r="J24" s="23">
        <f>SUM(J19:J23)</f>
        <v>-302</v>
      </c>
    </row>
    <row r="26" spans="1:10" ht="30" customHeight="1" x14ac:dyDescent="0.3">
      <c r="A26" s="94" t="s">
        <v>18</v>
      </c>
      <c r="B26" s="94"/>
      <c r="C26" s="94"/>
      <c r="D26" s="94"/>
      <c r="E26" s="94"/>
      <c r="F26" s="94"/>
      <c r="G26" s="94"/>
      <c r="H26" s="94"/>
      <c r="I26" s="94"/>
      <c r="J26" s="94"/>
    </row>
    <row r="27" spans="1:10" ht="30" customHeight="1" x14ac:dyDescent="0.3">
      <c r="A27" s="4" t="s">
        <v>1</v>
      </c>
      <c r="B27" s="4" t="s">
        <v>2</v>
      </c>
      <c r="C27" s="5" t="s">
        <v>3</v>
      </c>
      <c r="D27" s="5" t="s">
        <v>4</v>
      </c>
      <c r="E27" s="4" t="s">
        <v>5</v>
      </c>
      <c r="F27" s="5" t="s">
        <v>6</v>
      </c>
      <c r="G27" s="5" t="s">
        <v>7</v>
      </c>
      <c r="H27" s="4" t="s">
        <v>8</v>
      </c>
      <c r="I27" s="4" t="s">
        <v>9</v>
      </c>
      <c r="J27" s="4" t="s">
        <v>10</v>
      </c>
    </row>
    <row r="28" spans="1:10" ht="19.95" customHeight="1" x14ac:dyDescent="0.3">
      <c r="A28" s="4">
        <v>250070</v>
      </c>
      <c r="B28" s="4">
        <v>304</v>
      </c>
      <c r="C28" s="6">
        <v>0.6</v>
      </c>
      <c r="D28" s="6" t="s">
        <v>11</v>
      </c>
      <c r="E28" s="7" t="s">
        <v>117</v>
      </c>
      <c r="F28" s="4" t="s">
        <v>45</v>
      </c>
      <c r="G28" s="4">
        <v>430</v>
      </c>
      <c r="H28" s="8">
        <v>750</v>
      </c>
      <c r="I28" s="9">
        <f>191+560</f>
        <v>751</v>
      </c>
      <c r="J28" s="33">
        <f t="shared" ref="J28:J38" si="2">H28-I28</f>
        <v>-1</v>
      </c>
    </row>
    <row r="29" spans="1:10" ht="19.95" customHeight="1" x14ac:dyDescent="0.3">
      <c r="A29" s="4">
        <v>250073</v>
      </c>
      <c r="B29" s="4">
        <v>304</v>
      </c>
      <c r="C29" s="6">
        <v>0.6</v>
      </c>
      <c r="D29" s="6" t="s">
        <v>11</v>
      </c>
      <c r="E29" s="7" t="s">
        <v>118</v>
      </c>
      <c r="F29" s="21" t="s">
        <v>45</v>
      </c>
      <c r="G29" s="4">
        <v>430</v>
      </c>
      <c r="H29" s="8">
        <v>750</v>
      </c>
      <c r="I29" s="9">
        <v>751</v>
      </c>
      <c r="J29" s="33">
        <f t="shared" si="2"/>
        <v>-1</v>
      </c>
    </row>
    <row r="30" spans="1:10" ht="19.95" customHeight="1" x14ac:dyDescent="0.3">
      <c r="A30" s="4">
        <v>250072</v>
      </c>
      <c r="B30" s="4">
        <v>304</v>
      </c>
      <c r="C30" s="6">
        <v>0.7</v>
      </c>
      <c r="D30" s="6" t="s">
        <v>11</v>
      </c>
      <c r="E30" s="7" t="s">
        <v>118</v>
      </c>
      <c r="F30" s="21" t="s">
        <v>45</v>
      </c>
      <c r="G30" s="4">
        <v>430</v>
      </c>
      <c r="H30" s="8">
        <v>750</v>
      </c>
      <c r="I30" s="9">
        <v>751</v>
      </c>
      <c r="J30" s="33">
        <f t="shared" si="2"/>
        <v>-1</v>
      </c>
    </row>
    <row r="31" spans="1:10" ht="19.95" customHeight="1" x14ac:dyDescent="0.3">
      <c r="A31" s="4">
        <v>250071</v>
      </c>
      <c r="B31" s="4">
        <v>304</v>
      </c>
      <c r="C31" s="6">
        <v>0.7</v>
      </c>
      <c r="D31" s="6" t="s">
        <v>11</v>
      </c>
      <c r="E31" s="7" t="s">
        <v>119</v>
      </c>
      <c r="F31" s="21" t="s">
        <v>107</v>
      </c>
      <c r="G31" s="4">
        <v>430</v>
      </c>
      <c r="H31" s="8">
        <v>750</v>
      </c>
      <c r="I31" s="9">
        <v>753</v>
      </c>
      <c r="J31" s="33">
        <f t="shared" si="2"/>
        <v>-3</v>
      </c>
    </row>
    <row r="32" spans="1:10" ht="19.95" hidden="1" customHeight="1" x14ac:dyDescent="0.3">
      <c r="A32" s="4"/>
      <c r="B32" s="4"/>
      <c r="C32" s="6"/>
      <c r="D32" s="6"/>
      <c r="E32" s="7"/>
      <c r="F32" s="21"/>
      <c r="G32" s="4"/>
      <c r="H32" s="8"/>
      <c r="I32" s="9">
        <v>0</v>
      </c>
      <c r="J32" s="23">
        <f t="shared" si="2"/>
        <v>0</v>
      </c>
    </row>
    <row r="33" spans="1:10" ht="19.95" hidden="1" customHeight="1" x14ac:dyDescent="0.3">
      <c r="A33" s="4"/>
      <c r="B33" s="4"/>
      <c r="C33" s="6"/>
      <c r="D33" s="6"/>
      <c r="E33" s="7"/>
      <c r="F33" s="21"/>
      <c r="G33" s="4"/>
      <c r="H33" s="8"/>
      <c r="I33" s="9">
        <v>0</v>
      </c>
      <c r="J33" s="23">
        <f t="shared" si="2"/>
        <v>0</v>
      </c>
    </row>
    <row r="34" spans="1:10" ht="19.95" hidden="1" customHeight="1" x14ac:dyDescent="0.3">
      <c r="A34" s="4"/>
      <c r="B34" s="4"/>
      <c r="C34" s="6"/>
      <c r="D34" s="6"/>
      <c r="E34" s="7"/>
      <c r="F34" s="21"/>
      <c r="G34" s="4"/>
      <c r="H34" s="8"/>
      <c r="I34" s="9">
        <v>0</v>
      </c>
      <c r="J34" s="23">
        <f t="shared" si="2"/>
        <v>0</v>
      </c>
    </row>
    <row r="35" spans="1:10" ht="19.95" hidden="1" customHeight="1" x14ac:dyDescent="0.3">
      <c r="A35" s="4"/>
      <c r="B35" s="4"/>
      <c r="C35" s="6"/>
      <c r="D35" s="6"/>
      <c r="E35" s="7"/>
      <c r="F35" s="21"/>
      <c r="G35" s="4"/>
      <c r="H35" s="8"/>
      <c r="I35" s="9">
        <v>0</v>
      </c>
      <c r="J35" s="23">
        <f t="shared" si="2"/>
        <v>0</v>
      </c>
    </row>
    <row r="36" spans="1:10" ht="19.95" hidden="1" customHeight="1" x14ac:dyDescent="0.3">
      <c r="A36" s="4"/>
      <c r="B36" s="4"/>
      <c r="C36" s="6"/>
      <c r="D36" s="6"/>
      <c r="E36" s="7"/>
      <c r="F36" s="21"/>
      <c r="G36" s="4"/>
      <c r="H36" s="8"/>
      <c r="I36" s="9">
        <v>0</v>
      </c>
      <c r="J36" s="23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>
        <v>0</v>
      </c>
      <c r="J37" s="23">
        <f t="shared" si="2"/>
        <v>0</v>
      </c>
    </row>
    <row r="38" spans="1:10" ht="19.95" customHeight="1" x14ac:dyDescent="0.3">
      <c r="A38" s="4"/>
      <c r="B38" s="4"/>
      <c r="C38" s="6"/>
      <c r="D38" s="6"/>
      <c r="E38" s="7"/>
      <c r="F38" s="21"/>
      <c r="G38" s="4"/>
      <c r="H38" s="8"/>
      <c r="I38" s="9">
        <v>0</v>
      </c>
      <c r="J38" s="23">
        <f t="shared" si="2"/>
        <v>0</v>
      </c>
    </row>
    <row r="39" spans="1:10" ht="19.95" customHeight="1" x14ac:dyDescent="0.3">
      <c r="A39" s="10"/>
      <c r="B39" s="10"/>
      <c r="C39" s="10"/>
      <c r="D39" s="10"/>
      <c r="E39" s="11"/>
      <c r="F39" s="10"/>
      <c r="G39" s="12"/>
      <c r="H39" s="8">
        <f>SUM(H28:H38)</f>
        <v>3000</v>
      </c>
      <c r="I39" s="9">
        <f>SUM(I28:I38)</f>
        <v>3006</v>
      </c>
      <c r="J39" s="23">
        <f>SUM(J28:J38)</f>
        <v>-6</v>
      </c>
    </row>
    <row r="41" spans="1:10" ht="30" customHeight="1" x14ac:dyDescent="0.3">
      <c r="A41" s="94" t="s">
        <v>20</v>
      </c>
      <c r="B41" s="94"/>
      <c r="C41" s="94"/>
      <c r="D41" s="94"/>
      <c r="E41" s="94"/>
      <c r="F41" s="94"/>
      <c r="G41" s="94"/>
      <c r="H41" s="94"/>
      <c r="I41" s="94"/>
      <c r="J41" s="94"/>
    </row>
    <row r="42" spans="1:10" ht="30" customHeight="1" x14ac:dyDescent="0.3">
      <c r="A42" s="4" t="s">
        <v>1</v>
      </c>
      <c r="B42" s="4" t="s">
        <v>2</v>
      </c>
      <c r="C42" s="5" t="s">
        <v>3</v>
      </c>
      <c r="D42" s="5" t="s">
        <v>4</v>
      </c>
      <c r="E42" s="4" t="s">
        <v>5</v>
      </c>
      <c r="F42" s="5" t="s">
        <v>6</v>
      </c>
      <c r="G42" s="5" t="s">
        <v>7</v>
      </c>
      <c r="H42" s="4" t="s">
        <v>8</v>
      </c>
      <c r="I42" s="4" t="s">
        <v>9</v>
      </c>
      <c r="J42" s="4" t="s">
        <v>10</v>
      </c>
    </row>
    <row r="43" spans="1:10" ht="19.95" customHeight="1" x14ac:dyDescent="0.3">
      <c r="A43" s="4">
        <v>250070</v>
      </c>
      <c r="B43" s="4">
        <v>304</v>
      </c>
      <c r="C43" s="6">
        <v>0.6</v>
      </c>
      <c r="D43" s="6" t="s">
        <v>11</v>
      </c>
      <c r="E43" s="7" t="s">
        <v>120</v>
      </c>
      <c r="F43" s="4" t="s">
        <v>45</v>
      </c>
      <c r="G43" s="4">
        <v>430</v>
      </c>
      <c r="H43" s="8">
        <v>750</v>
      </c>
      <c r="I43" s="9">
        <v>750</v>
      </c>
      <c r="J43" s="33">
        <f t="shared" ref="J43:J51" si="3">H43-I43</f>
        <v>0</v>
      </c>
    </row>
    <row r="44" spans="1:10" ht="19.95" customHeight="1" x14ac:dyDescent="0.3">
      <c r="A44" s="4">
        <v>250073</v>
      </c>
      <c r="B44" s="4">
        <v>304</v>
      </c>
      <c r="C44" s="6">
        <v>0.6</v>
      </c>
      <c r="D44" s="6" t="s">
        <v>11</v>
      </c>
      <c r="E44" s="7" t="s">
        <v>121</v>
      </c>
      <c r="F44" s="21" t="s">
        <v>45</v>
      </c>
      <c r="G44" s="4">
        <v>430</v>
      </c>
      <c r="H44" s="8">
        <v>750</v>
      </c>
      <c r="I44" s="9">
        <v>750</v>
      </c>
      <c r="J44" s="33">
        <f t="shared" si="3"/>
        <v>0</v>
      </c>
    </row>
    <row r="45" spans="1:10" ht="19.95" customHeight="1" x14ac:dyDescent="0.3">
      <c r="A45" s="4">
        <v>250072</v>
      </c>
      <c r="B45" s="4">
        <v>304</v>
      </c>
      <c r="C45" s="6">
        <v>0.7</v>
      </c>
      <c r="D45" s="6" t="s">
        <v>11</v>
      </c>
      <c r="E45" s="7" t="s">
        <v>121</v>
      </c>
      <c r="F45" s="21" t="s">
        <v>45</v>
      </c>
      <c r="G45" s="4">
        <v>430</v>
      </c>
      <c r="H45" s="8">
        <v>750</v>
      </c>
      <c r="I45" s="9">
        <v>750</v>
      </c>
      <c r="J45" s="33">
        <f t="shared" si="3"/>
        <v>0</v>
      </c>
    </row>
    <row r="46" spans="1:10" ht="19.95" customHeight="1" x14ac:dyDescent="0.3">
      <c r="A46" s="4">
        <v>250071</v>
      </c>
      <c r="B46" s="4">
        <v>304</v>
      </c>
      <c r="C46" s="6">
        <v>0.7</v>
      </c>
      <c r="D46" s="6" t="s">
        <v>11</v>
      </c>
      <c r="E46" s="7" t="s">
        <v>122</v>
      </c>
      <c r="F46" s="21" t="s">
        <v>107</v>
      </c>
      <c r="G46" s="4">
        <v>430</v>
      </c>
      <c r="H46" s="8">
        <v>750</v>
      </c>
      <c r="I46" s="9">
        <v>750</v>
      </c>
      <c r="J46" s="33">
        <f t="shared" si="3"/>
        <v>0</v>
      </c>
    </row>
    <row r="47" spans="1:10" ht="19.95" hidden="1" customHeight="1" x14ac:dyDescent="0.3">
      <c r="A47" s="4"/>
      <c r="B47" s="4"/>
      <c r="C47" s="6"/>
      <c r="D47" s="6"/>
      <c r="E47" s="7"/>
      <c r="F47" s="21"/>
      <c r="G47" s="4"/>
      <c r="H47" s="8"/>
      <c r="I47" s="9"/>
      <c r="J47" s="33">
        <f t="shared" si="3"/>
        <v>0</v>
      </c>
    </row>
    <row r="48" spans="1:10" ht="19.95" hidden="1" customHeight="1" x14ac:dyDescent="0.3">
      <c r="A48" s="4"/>
      <c r="B48" s="4"/>
      <c r="C48" s="6"/>
      <c r="D48" s="6"/>
      <c r="E48" s="7"/>
      <c r="F48" s="21"/>
      <c r="G48" s="4"/>
      <c r="H48" s="8"/>
      <c r="I48" s="9"/>
      <c r="J48" s="33">
        <f t="shared" si="3"/>
        <v>0</v>
      </c>
    </row>
    <row r="49" spans="1:10" ht="19.95" hidden="1" customHeight="1" x14ac:dyDescent="0.3">
      <c r="A49" s="4"/>
      <c r="B49" s="4"/>
      <c r="C49" s="6"/>
      <c r="D49" s="6"/>
      <c r="E49" s="7"/>
      <c r="F49" s="21"/>
      <c r="G49" s="4"/>
      <c r="H49" s="8"/>
      <c r="I49" s="9"/>
      <c r="J49" s="33">
        <f t="shared" si="3"/>
        <v>0</v>
      </c>
    </row>
    <row r="50" spans="1:10" ht="19.95" hidden="1" customHeight="1" x14ac:dyDescent="0.3">
      <c r="A50" s="4"/>
      <c r="B50" s="4"/>
      <c r="C50" s="6"/>
      <c r="D50" s="6"/>
      <c r="E50" s="7"/>
      <c r="F50" s="21"/>
      <c r="G50" s="4"/>
      <c r="H50" s="8"/>
      <c r="I50" s="9"/>
      <c r="J50" s="33">
        <f t="shared" si="3"/>
        <v>0</v>
      </c>
    </row>
    <row r="51" spans="1:10" ht="19.95" hidden="1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33">
        <f t="shared" si="3"/>
        <v>0</v>
      </c>
    </row>
    <row r="52" spans="1:10" ht="19.95" hidden="1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33">
        <v>0</v>
      </c>
    </row>
    <row r="53" spans="1:10" ht="19.95" customHeight="1" x14ac:dyDescent="0.3">
      <c r="A53" s="4"/>
      <c r="B53" s="4"/>
      <c r="C53" s="6"/>
      <c r="D53" s="6"/>
      <c r="E53" s="7"/>
      <c r="F53" s="21"/>
      <c r="G53" s="4"/>
      <c r="H53" s="8"/>
      <c r="I53" s="9">
        <v>0</v>
      </c>
      <c r="J53" s="33">
        <v>0</v>
      </c>
    </row>
    <row r="54" spans="1:10" ht="19.95" customHeight="1" x14ac:dyDescent="0.3">
      <c r="A54" s="10"/>
      <c r="B54" s="10"/>
      <c r="C54" s="10"/>
      <c r="D54" s="10"/>
      <c r="E54" s="11"/>
      <c r="F54" s="10"/>
      <c r="G54" s="12"/>
      <c r="H54" s="8">
        <f>SUM(H43:H53)</f>
        <v>3000</v>
      </c>
      <c r="I54" s="9">
        <f>SUM(I43:I53)</f>
        <v>3000</v>
      </c>
      <c r="J54" s="23">
        <v>0</v>
      </c>
    </row>
    <row r="55" spans="1:10" ht="19.95" customHeight="1" x14ac:dyDescent="0.3">
      <c r="A55" s="15"/>
      <c r="B55" s="15"/>
      <c r="C55" s="15"/>
      <c r="D55" s="15"/>
      <c r="E55" s="16"/>
      <c r="F55" s="15"/>
      <c r="G55" s="15"/>
      <c r="H55" s="17"/>
      <c r="I55" s="18"/>
      <c r="J55" s="17"/>
    </row>
    <row r="56" spans="1:10" ht="30" customHeight="1" x14ac:dyDescent="0.3">
      <c r="A56" s="94" t="s">
        <v>19</v>
      </c>
      <c r="B56" s="94"/>
      <c r="C56" s="94"/>
      <c r="D56" s="94"/>
      <c r="E56" s="94"/>
      <c r="F56" s="94"/>
      <c r="G56" s="94"/>
      <c r="H56" s="94"/>
      <c r="I56" s="94"/>
      <c r="J56" s="94"/>
    </row>
    <row r="57" spans="1:10" ht="30" customHeight="1" x14ac:dyDescent="0.3">
      <c r="A57" s="4" t="s">
        <v>1</v>
      </c>
      <c r="B57" s="4" t="s">
        <v>2</v>
      </c>
      <c r="C57" s="5" t="s">
        <v>3</v>
      </c>
      <c r="D57" s="5" t="s">
        <v>4</v>
      </c>
      <c r="E57" s="4" t="s">
        <v>5</v>
      </c>
      <c r="F57" s="5" t="s">
        <v>6</v>
      </c>
      <c r="G57" s="5" t="s">
        <v>7</v>
      </c>
      <c r="H57" s="4" t="s">
        <v>8</v>
      </c>
      <c r="I57" s="4" t="s">
        <v>9</v>
      </c>
      <c r="J57" s="4" t="s">
        <v>10</v>
      </c>
    </row>
    <row r="58" spans="1:10" ht="19.95" customHeight="1" x14ac:dyDescent="0.3">
      <c r="A58" s="4">
        <v>250070</v>
      </c>
      <c r="B58" s="4">
        <v>304</v>
      </c>
      <c r="C58" s="6">
        <v>0.6</v>
      </c>
      <c r="D58" s="6" t="s">
        <v>11</v>
      </c>
      <c r="E58" s="7" t="s">
        <v>123</v>
      </c>
      <c r="F58" s="4" t="s">
        <v>45</v>
      </c>
      <c r="G58" s="4">
        <v>430</v>
      </c>
      <c r="H58" s="8">
        <v>750</v>
      </c>
      <c r="I58" s="9">
        <v>750</v>
      </c>
      <c r="J58" s="33">
        <f t="shared" ref="J58:J69" si="4">H58-I58</f>
        <v>0</v>
      </c>
    </row>
    <row r="59" spans="1:10" ht="19.95" customHeight="1" x14ac:dyDescent="0.3">
      <c r="A59" s="4">
        <v>250073</v>
      </c>
      <c r="B59" s="4">
        <v>304</v>
      </c>
      <c r="C59" s="6">
        <v>0.6</v>
      </c>
      <c r="D59" s="6" t="s">
        <v>11</v>
      </c>
      <c r="E59" s="7" t="s">
        <v>124</v>
      </c>
      <c r="F59" s="21" t="s">
        <v>45</v>
      </c>
      <c r="G59" s="4">
        <v>430</v>
      </c>
      <c r="H59" s="8">
        <v>750</v>
      </c>
      <c r="I59" s="9">
        <v>750</v>
      </c>
      <c r="J59" s="33">
        <f t="shared" si="4"/>
        <v>0</v>
      </c>
    </row>
    <row r="60" spans="1:10" ht="19.95" customHeight="1" x14ac:dyDescent="0.3">
      <c r="A60" s="4">
        <v>250072</v>
      </c>
      <c r="B60" s="4">
        <v>304</v>
      </c>
      <c r="C60" s="6">
        <v>0.7</v>
      </c>
      <c r="D60" s="6" t="s">
        <v>11</v>
      </c>
      <c r="E60" s="7" t="s">
        <v>124</v>
      </c>
      <c r="F60" s="21" t="s">
        <v>45</v>
      </c>
      <c r="G60" s="4">
        <v>430</v>
      </c>
      <c r="H60" s="8">
        <v>750</v>
      </c>
      <c r="I60" s="9">
        <v>750</v>
      </c>
      <c r="J60" s="33">
        <f t="shared" si="4"/>
        <v>0</v>
      </c>
    </row>
    <row r="61" spans="1:10" ht="19.95" customHeight="1" x14ac:dyDescent="0.3">
      <c r="A61" s="4">
        <v>250071</v>
      </c>
      <c r="B61" s="4">
        <v>304</v>
      </c>
      <c r="C61" s="6">
        <v>0.7</v>
      </c>
      <c r="D61" s="6" t="s">
        <v>11</v>
      </c>
      <c r="E61" s="7" t="s">
        <v>125</v>
      </c>
      <c r="F61" s="21" t="s">
        <v>107</v>
      </c>
      <c r="G61" s="4">
        <v>430</v>
      </c>
      <c r="H61" s="8">
        <v>750</v>
      </c>
      <c r="I61" s="9">
        <v>750</v>
      </c>
      <c r="J61" s="33">
        <f t="shared" si="4"/>
        <v>0</v>
      </c>
    </row>
    <row r="62" spans="1:10" ht="19.95" hidden="1" customHeight="1" x14ac:dyDescent="0.3">
      <c r="A62" s="4"/>
      <c r="B62" s="4"/>
      <c r="C62" s="6"/>
      <c r="D62" s="6"/>
      <c r="E62" s="7"/>
      <c r="F62" s="21"/>
      <c r="G62" s="4"/>
      <c r="H62" s="8"/>
      <c r="I62" s="9">
        <v>0</v>
      </c>
      <c r="J62" s="33">
        <f t="shared" si="4"/>
        <v>0</v>
      </c>
    </row>
    <row r="63" spans="1:10" ht="19.95" hidden="1" customHeight="1" x14ac:dyDescent="0.3">
      <c r="A63" s="4"/>
      <c r="B63" s="4"/>
      <c r="C63" s="6"/>
      <c r="D63" s="6"/>
      <c r="E63" s="7"/>
      <c r="F63" s="21"/>
      <c r="G63" s="4"/>
      <c r="H63" s="8"/>
      <c r="I63" s="9">
        <v>0</v>
      </c>
      <c r="J63" s="33">
        <f t="shared" si="4"/>
        <v>0</v>
      </c>
    </row>
    <row r="64" spans="1:10" ht="19.95" hidden="1" customHeight="1" x14ac:dyDescent="0.3">
      <c r="A64" s="4"/>
      <c r="B64" s="4"/>
      <c r="C64" s="6"/>
      <c r="D64" s="6"/>
      <c r="E64" s="7"/>
      <c r="F64" s="21"/>
      <c r="G64" s="4"/>
      <c r="H64" s="8"/>
      <c r="I64" s="9">
        <v>0</v>
      </c>
      <c r="J64" s="33">
        <f t="shared" si="4"/>
        <v>0</v>
      </c>
    </row>
    <row r="65" spans="1:10" ht="19.95" hidden="1" customHeight="1" x14ac:dyDescent="0.3">
      <c r="A65" s="4"/>
      <c r="B65" s="4"/>
      <c r="C65" s="6"/>
      <c r="D65" s="6"/>
      <c r="E65" s="7"/>
      <c r="F65" s="21"/>
      <c r="G65" s="4"/>
      <c r="H65" s="8"/>
      <c r="I65" s="9">
        <v>0</v>
      </c>
      <c r="J65" s="33">
        <f t="shared" si="4"/>
        <v>0</v>
      </c>
    </row>
    <row r="66" spans="1:10" s="31" customFormat="1" ht="19.95" hidden="1" customHeight="1" x14ac:dyDescent="0.3">
      <c r="A66" s="25"/>
      <c r="B66" s="25"/>
      <c r="C66" s="26"/>
      <c r="D66" s="26"/>
      <c r="E66" s="27"/>
      <c r="F66" s="28"/>
      <c r="G66" s="25"/>
      <c r="H66" s="29"/>
      <c r="I66" s="9">
        <v>0</v>
      </c>
      <c r="J66" s="34">
        <f t="shared" si="4"/>
        <v>0</v>
      </c>
    </row>
    <row r="67" spans="1:10" ht="19.95" hidden="1" customHeight="1" x14ac:dyDescent="0.3">
      <c r="A67" s="4"/>
      <c r="B67" s="4"/>
      <c r="C67" s="6"/>
      <c r="D67" s="6"/>
      <c r="E67" s="7"/>
      <c r="F67" s="7"/>
      <c r="G67" s="4"/>
      <c r="H67" s="8"/>
      <c r="I67" s="9">
        <v>0</v>
      </c>
      <c r="J67" s="33">
        <f t="shared" si="4"/>
        <v>0</v>
      </c>
    </row>
    <row r="68" spans="1:10" ht="19.95" hidden="1" customHeight="1" x14ac:dyDescent="0.3">
      <c r="A68" s="4"/>
      <c r="B68" s="4"/>
      <c r="C68" s="6"/>
      <c r="D68" s="6"/>
      <c r="E68" s="7"/>
      <c r="F68" s="7"/>
      <c r="G68" s="4"/>
      <c r="H68" s="8"/>
      <c r="I68" s="9">
        <v>0</v>
      </c>
      <c r="J68" s="33">
        <f t="shared" si="4"/>
        <v>0</v>
      </c>
    </row>
    <row r="69" spans="1:10" ht="19.95" customHeight="1" x14ac:dyDescent="0.3">
      <c r="A69" s="4"/>
      <c r="B69" s="4"/>
      <c r="C69" s="6"/>
      <c r="D69" s="6"/>
      <c r="E69" s="7"/>
      <c r="F69" s="7"/>
      <c r="G69" s="4"/>
      <c r="H69" s="8"/>
      <c r="I69" s="9">
        <v>0</v>
      </c>
      <c r="J69" s="33">
        <f t="shared" si="4"/>
        <v>0</v>
      </c>
    </row>
    <row r="70" spans="1:10" ht="19.95" customHeight="1" x14ac:dyDescent="0.3">
      <c r="A70" s="10"/>
      <c r="B70" s="10"/>
      <c r="C70" s="10"/>
      <c r="D70" s="10"/>
      <c r="E70" s="11"/>
      <c r="F70" s="10"/>
      <c r="G70" s="12"/>
      <c r="H70" s="8">
        <f>SUM(H58:H69)</f>
        <v>3000</v>
      </c>
      <c r="I70" s="9">
        <f>SUM(I58:I69)</f>
        <v>3000</v>
      </c>
      <c r="J70" s="8">
        <f>SUM(J58:J69)</f>
        <v>0</v>
      </c>
    </row>
    <row r="71" spans="1:10" ht="19.95" customHeight="1" x14ac:dyDescent="0.3">
      <c r="A71" s="15"/>
      <c r="B71" s="15"/>
      <c r="C71" s="15"/>
      <c r="D71" s="15"/>
      <c r="E71" s="16"/>
      <c r="F71" s="15"/>
      <c r="G71" s="15"/>
      <c r="H71" s="17"/>
      <c r="I71" s="18"/>
      <c r="J71" s="17"/>
    </row>
    <row r="72" spans="1:10" ht="30" customHeight="1" x14ac:dyDescent="0.3">
      <c r="A72" s="94" t="s">
        <v>23</v>
      </c>
      <c r="B72" s="94"/>
      <c r="C72" s="94"/>
      <c r="D72" s="94"/>
      <c r="E72" s="94"/>
      <c r="F72" s="94"/>
      <c r="G72" s="94"/>
      <c r="H72" s="94"/>
      <c r="I72" s="94"/>
      <c r="J72" s="94"/>
    </row>
    <row r="73" spans="1:10" ht="30" customHeight="1" x14ac:dyDescent="0.3">
      <c r="A73" s="4" t="s">
        <v>1</v>
      </c>
      <c r="B73" s="4" t="s">
        <v>2</v>
      </c>
      <c r="C73" s="5" t="s">
        <v>3</v>
      </c>
      <c r="D73" s="5" t="s">
        <v>4</v>
      </c>
      <c r="E73" s="4" t="s">
        <v>5</v>
      </c>
      <c r="F73" s="5" t="s">
        <v>6</v>
      </c>
      <c r="G73" s="5" t="s">
        <v>7</v>
      </c>
      <c r="H73" s="4" t="s">
        <v>8</v>
      </c>
      <c r="I73" s="4" t="s">
        <v>9</v>
      </c>
      <c r="J73" s="4" t="s">
        <v>10</v>
      </c>
    </row>
    <row r="74" spans="1:10" ht="19.95" customHeight="1" x14ac:dyDescent="0.3">
      <c r="A74" s="4">
        <v>250070</v>
      </c>
      <c r="B74" s="4">
        <v>304</v>
      </c>
      <c r="C74" s="6">
        <v>0.6</v>
      </c>
      <c r="D74" s="6" t="s">
        <v>11</v>
      </c>
      <c r="E74" s="7" t="s">
        <v>126</v>
      </c>
      <c r="F74" s="4" t="s">
        <v>45</v>
      </c>
      <c r="G74" s="4">
        <v>430</v>
      </c>
      <c r="H74" s="8">
        <v>750</v>
      </c>
      <c r="I74" s="9">
        <v>750</v>
      </c>
      <c r="J74" s="33">
        <f t="shared" ref="J74:J95" si="5">H74-I74</f>
        <v>0</v>
      </c>
    </row>
    <row r="75" spans="1:10" ht="19.95" customHeight="1" x14ac:dyDescent="0.3">
      <c r="A75" s="4">
        <v>250073</v>
      </c>
      <c r="B75" s="4">
        <v>304</v>
      </c>
      <c r="C75" s="6">
        <v>0.6</v>
      </c>
      <c r="D75" s="6" t="s">
        <v>11</v>
      </c>
      <c r="E75" s="7" t="s">
        <v>127</v>
      </c>
      <c r="F75" s="21" t="s">
        <v>45</v>
      </c>
      <c r="G75" s="4">
        <v>430</v>
      </c>
      <c r="H75" s="8">
        <v>750</v>
      </c>
      <c r="I75" s="9">
        <v>750</v>
      </c>
      <c r="J75" s="33">
        <f t="shared" si="5"/>
        <v>0</v>
      </c>
    </row>
    <row r="76" spans="1:10" ht="19.95" customHeight="1" x14ac:dyDescent="0.3">
      <c r="A76" s="4">
        <v>250072</v>
      </c>
      <c r="B76" s="4">
        <v>304</v>
      </c>
      <c r="C76" s="6">
        <v>0.7</v>
      </c>
      <c r="D76" s="6" t="s">
        <v>11</v>
      </c>
      <c r="E76" s="7" t="s">
        <v>127</v>
      </c>
      <c r="F76" s="21" t="s">
        <v>45</v>
      </c>
      <c r="G76" s="4">
        <v>430</v>
      </c>
      <c r="H76" s="8">
        <v>750</v>
      </c>
      <c r="I76" s="9">
        <v>0</v>
      </c>
      <c r="J76" s="8">
        <f t="shared" si="5"/>
        <v>750</v>
      </c>
    </row>
    <row r="77" spans="1:10" ht="19.95" customHeight="1" x14ac:dyDescent="0.3">
      <c r="A77" s="4">
        <v>250071</v>
      </c>
      <c r="B77" s="4">
        <v>304</v>
      </c>
      <c r="C77" s="6">
        <v>0.7</v>
      </c>
      <c r="D77" s="6" t="s">
        <v>11</v>
      </c>
      <c r="E77" s="7" t="s">
        <v>128</v>
      </c>
      <c r="F77" s="21" t="s">
        <v>107</v>
      </c>
      <c r="G77" s="4">
        <v>430</v>
      </c>
      <c r="H77" s="8">
        <v>750</v>
      </c>
      <c r="I77" s="9">
        <v>0</v>
      </c>
      <c r="J77" s="23">
        <f t="shared" si="5"/>
        <v>750</v>
      </c>
    </row>
    <row r="78" spans="1:10" ht="19.95" customHeight="1" x14ac:dyDescent="0.3">
      <c r="A78" s="4">
        <v>250077</v>
      </c>
      <c r="B78" s="4">
        <v>430</v>
      </c>
      <c r="C78" s="6">
        <v>0.5</v>
      </c>
      <c r="D78" s="6" t="s">
        <v>27</v>
      </c>
      <c r="E78" s="7" t="s">
        <v>131</v>
      </c>
      <c r="F78" s="4" t="s">
        <v>45</v>
      </c>
      <c r="G78" s="4">
        <v>430</v>
      </c>
      <c r="H78" s="8">
        <v>1400</v>
      </c>
      <c r="I78" s="9">
        <v>660</v>
      </c>
      <c r="J78" s="23">
        <f t="shared" si="5"/>
        <v>740</v>
      </c>
    </row>
    <row r="79" spans="1:10" ht="19.95" hidden="1" customHeight="1" x14ac:dyDescent="0.3">
      <c r="A79" s="4"/>
      <c r="B79" s="4"/>
      <c r="C79" s="6"/>
      <c r="D79" s="6"/>
      <c r="E79" s="7"/>
      <c r="F79" s="21"/>
      <c r="G79" s="4"/>
      <c r="H79" s="8"/>
      <c r="I79" s="9">
        <v>0</v>
      </c>
      <c r="J79" s="8">
        <f t="shared" si="5"/>
        <v>0</v>
      </c>
    </row>
    <row r="80" spans="1:10" ht="19.95" hidden="1" customHeight="1" x14ac:dyDescent="0.3">
      <c r="A80" s="4"/>
      <c r="B80" s="4"/>
      <c r="C80" s="6"/>
      <c r="D80" s="6"/>
      <c r="E80" s="7"/>
      <c r="F80" s="4"/>
      <c r="G80" s="4"/>
      <c r="H80" s="8"/>
      <c r="I80" s="9">
        <v>0</v>
      </c>
      <c r="J80" s="8">
        <f t="shared" si="5"/>
        <v>0</v>
      </c>
    </row>
    <row r="81" spans="1:10" ht="19.95" hidden="1" customHeight="1" x14ac:dyDescent="0.3">
      <c r="A81" s="4"/>
      <c r="B81" s="4"/>
      <c r="C81" s="6"/>
      <c r="D81" s="6"/>
      <c r="E81" s="7"/>
      <c r="F81" s="7"/>
      <c r="G81" s="4"/>
      <c r="H81" s="8"/>
      <c r="I81" s="9">
        <v>0</v>
      </c>
      <c r="J81" s="8">
        <f t="shared" si="5"/>
        <v>0</v>
      </c>
    </row>
    <row r="82" spans="1:10" ht="19.95" hidden="1" customHeight="1" x14ac:dyDescent="0.3">
      <c r="A82" s="4"/>
      <c r="B82" s="4"/>
      <c r="C82" s="6"/>
      <c r="D82" s="6"/>
      <c r="E82" s="7"/>
      <c r="F82" s="7"/>
      <c r="G82" s="4"/>
      <c r="H82" s="8"/>
      <c r="I82" s="9">
        <v>0</v>
      </c>
      <c r="J82" s="8">
        <f t="shared" si="5"/>
        <v>0</v>
      </c>
    </row>
    <row r="83" spans="1:10" ht="19.95" hidden="1" customHeight="1" x14ac:dyDescent="0.3">
      <c r="A83" s="4"/>
      <c r="B83" s="4"/>
      <c r="C83" s="6"/>
      <c r="D83" s="6"/>
      <c r="E83" s="7"/>
      <c r="F83" s="7"/>
      <c r="G83" s="4"/>
      <c r="H83" s="8"/>
      <c r="I83" s="9">
        <v>0</v>
      </c>
      <c r="J83" s="8">
        <f t="shared" si="5"/>
        <v>0</v>
      </c>
    </row>
    <row r="84" spans="1:10" ht="19.95" hidden="1" customHeight="1" x14ac:dyDescent="0.3">
      <c r="A84" s="4"/>
      <c r="B84" s="4"/>
      <c r="C84" s="6"/>
      <c r="D84" s="6"/>
      <c r="E84" s="7"/>
      <c r="F84" s="7"/>
      <c r="G84" s="4"/>
      <c r="H84" s="8"/>
      <c r="I84" s="9">
        <v>0</v>
      </c>
      <c r="J84" s="8">
        <f t="shared" si="5"/>
        <v>0</v>
      </c>
    </row>
    <row r="85" spans="1:10" ht="19.95" hidden="1" customHeight="1" x14ac:dyDescent="0.3">
      <c r="A85" s="4"/>
      <c r="B85" s="4"/>
      <c r="C85" s="6"/>
      <c r="D85" s="6"/>
      <c r="E85" s="7"/>
      <c r="F85" s="7"/>
      <c r="G85" s="4"/>
      <c r="H85" s="8"/>
      <c r="I85" s="9">
        <v>0</v>
      </c>
      <c r="J85" s="8">
        <f t="shared" si="5"/>
        <v>0</v>
      </c>
    </row>
    <row r="86" spans="1:10" ht="19.95" hidden="1" customHeight="1" x14ac:dyDescent="0.3">
      <c r="A86" s="4"/>
      <c r="B86" s="4"/>
      <c r="C86" s="6"/>
      <c r="D86" s="6"/>
      <c r="E86" s="7"/>
      <c r="F86" s="21"/>
      <c r="G86" s="4"/>
      <c r="H86" s="8"/>
      <c r="I86" s="9">
        <v>0</v>
      </c>
      <c r="J86" s="8">
        <f t="shared" si="5"/>
        <v>0</v>
      </c>
    </row>
    <row r="87" spans="1:10" ht="19.95" hidden="1" customHeight="1" x14ac:dyDescent="0.3">
      <c r="A87" s="21"/>
      <c r="B87" s="21"/>
      <c r="C87" s="22"/>
      <c r="D87" s="22"/>
      <c r="E87" s="20"/>
      <c r="F87" s="21"/>
      <c r="G87" s="21"/>
      <c r="H87" s="23"/>
      <c r="I87" s="9">
        <v>0</v>
      </c>
      <c r="J87" s="8">
        <f t="shared" si="5"/>
        <v>0</v>
      </c>
    </row>
    <row r="88" spans="1:10" ht="19.95" hidden="1" customHeight="1" x14ac:dyDescent="0.3">
      <c r="A88" s="21"/>
      <c r="B88" s="21"/>
      <c r="C88" s="22"/>
      <c r="D88" s="22"/>
      <c r="E88" s="20"/>
      <c r="F88" s="21"/>
      <c r="G88" s="21"/>
      <c r="H88" s="23"/>
      <c r="I88" s="9">
        <v>0</v>
      </c>
      <c r="J88" s="8">
        <f t="shared" si="5"/>
        <v>0</v>
      </c>
    </row>
    <row r="89" spans="1:10" ht="19.95" hidden="1" customHeight="1" x14ac:dyDescent="0.3">
      <c r="A89" s="4"/>
      <c r="B89" s="4"/>
      <c r="C89" s="6"/>
      <c r="D89" s="6"/>
      <c r="E89" s="7"/>
      <c r="F89" s="21"/>
      <c r="G89" s="4"/>
      <c r="H89" s="8"/>
      <c r="I89" s="9">
        <v>0</v>
      </c>
      <c r="J89" s="8">
        <f t="shared" si="5"/>
        <v>0</v>
      </c>
    </row>
    <row r="90" spans="1:10" ht="19.95" hidden="1" customHeight="1" x14ac:dyDescent="0.3">
      <c r="A90" s="4"/>
      <c r="B90" s="4"/>
      <c r="C90" s="6"/>
      <c r="D90" s="6"/>
      <c r="E90" s="7"/>
      <c r="F90" s="4"/>
      <c r="G90" s="4"/>
      <c r="H90" s="8"/>
      <c r="I90" s="9">
        <v>0</v>
      </c>
      <c r="J90" s="8">
        <f t="shared" si="5"/>
        <v>0</v>
      </c>
    </row>
    <row r="91" spans="1:10" ht="19.95" hidden="1" customHeight="1" x14ac:dyDescent="0.3">
      <c r="A91" s="4"/>
      <c r="B91" s="4"/>
      <c r="C91" s="6"/>
      <c r="D91" s="6"/>
      <c r="E91" s="7"/>
      <c r="F91" s="4"/>
      <c r="G91" s="4"/>
      <c r="H91" s="8"/>
      <c r="I91" s="9">
        <v>0</v>
      </c>
      <c r="J91" s="8">
        <f t="shared" si="5"/>
        <v>0</v>
      </c>
    </row>
    <row r="92" spans="1:10" ht="19.95" hidden="1" customHeight="1" x14ac:dyDescent="0.3">
      <c r="A92" s="4"/>
      <c r="B92" s="4"/>
      <c r="C92" s="6"/>
      <c r="D92" s="6"/>
      <c r="E92" s="7"/>
      <c r="F92" s="4"/>
      <c r="G92" s="4"/>
      <c r="H92" s="8"/>
      <c r="I92" s="9">
        <v>0</v>
      </c>
      <c r="J92" s="8">
        <f t="shared" si="5"/>
        <v>0</v>
      </c>
    </row>
    <row r="93" spans="1:10" ht="19.95" hidden="1" customHeight="1" x14ac:dyDescent="0.3">
      <c r="A93" s="4"/>
      <c r="B93" s="4"/>
      <c r="C93" s="6"/>
      <c r="D93" s="6"/>
      <c r="E93" s="7"/>
      <c r="F93" s="4"/>
      <c r="G93" s="4"/>
      <c r="H93" s="8"/>
      <c r="I93" s="9">
        <v>0</v>
      </c>
      <c r="J93" s="8">
        <f t="shared" si="5"/>
        <v>0</v>
      </c>
    </row>
    <row r="94" spans="1:10" ht="19.95" hidden="1" customHeight="1" x14ac:dyDescent="0.3">
      <c r="A94" s="4"/>
      <c r="B94" s="4"/>
      <c r="C94" s="6"/>
      <c r="D94" s="6"/>
      <c r="E94" s="7"/>
      <c r="F94" s="4"/>
      <c r="G94" s="4"/>
      <c r="H94" s="8"/>
      <c r="I94" s="9">
        <v>0</v>
      </c>
      <c r="J94" s="8">
        <f t="shared" si="5"/>
        <v>0</v>
      </c>
    </row>
    <row r="95" spans="1:10" ht="19.95" customHeight="1" x14ac:dyDescent="0.3">
      <c r="A95" s="4"/>
      <c r="B95" s="4"/>
      <c r="C95" s="6"/>
      <c r="D95" s="6"/>
      <c r="E95" s="7"/>
      <c r="F95" s="4"/>
      <c r="G95" s="4"/>
      <c r="H95" s="8"/>
      <c r="I95" s="9">
        <v>0</v>
      </c>
      <c r="J95" s="8">
        <f t="shared" si="5"/>
        <v>0</v>
      </c>
    </row>
    <row r="96" spans="1:10" ht="19.95" customHeight="1" x14ac:dyDescent="0.3">
      <c r="A96" s="10"/>
      <c r="B96" s="10"/>
      <c r="C96" s="10"/>
      <c r="D96" s="10"/>
      <c r="E96" s="11"/>
      <c r="F96" s="10"/>
      <c r="G96" s="12"/>
      <c r="H96" s="8">
        <f>SUM(H74:H95)</f>
        <v>4400</v>
      </c>
      <c r="I96" s="9">
        <f>SUM(I74:I95)</f>
        <v>2160</v>
      </c>
      <c r="J96" s="8">
        <f>SUM(J74:J95)</f>
        <v>2240</v>
      </c>
    </row>
    <row r="98" spans="1:10" ht="23.4" x14ac:dyDescent="0.3">
      <c r="A98" s="95" t="s">
        <v>14</v>
      </c>
      <c r="B98" s="95"/>
      <c r="C98" s="95"/>
      <c r="D98" s="95"/>
      <c r="E98" s="95"/>
      <c r="F98" s="95"/>
      <c r="G98" s="95"/>
      <c r="H98" s="95"/>
      <c r="I98" s="95"/>
      <c r="J98" s="95"/>
    </row>
  </sheetData>
  <mergeCells count="9">
    <mergeCell ref="A56:J56"/>
    <mergeCell ref="A72:J72"/>
    <mergeCell ref="A98:J98"/>
    <mergeCell ref="H1:J1"/>
    <mergeCell ref="A2:J2"/>
    <mergeCell ref="A3:J3"/>
    <mergeCell ref="A17:J17"/>
    <mergeCell ref="A26:J26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8" fitToHeight="0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8"/>
  <sheetViews>
    <sheetView zoomScale="85" zoomScaleNormal="85" workbookViewId="0">
      <selection activeCell="A98" sqref="A1:J9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7.77734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A1" s="2" t="s">
        <v>129</v>
      </c>
      <c r="F1" s="15" t="s">
        <v>0</v>
      </c>
      <c r="G1" s="19" t="s">
        <v>145</v>
      </c>
      <c r="H1" s="96" t="s">
        <v>146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250077</v>
      </c>
      <c r="B5" s="4">
        <v>430</v>
      </c>
      <c r="C5" s="6">
        <v>0.5</v>
      </c>
      <c r="D5" s="6" t="s">
        <v>27</v>
      </c>
      <c r="E5" s="7" t="s">
        <v>131</v>
      </c>
      <c r="F5" s="4" t="s">
        <v>45</v>
      </c>
      <c r="G5" s="4">
        <v>430</v>
      </c>
      <c r="H5" s="8">
        <v>1400</v>
      </c>
      <c r="I5" s="9">
        <f>660+748</f>
        <v>1408</v>
      </c>
      <c r="J5" s="33">
        <f t="shared" ref="J5:J14" si="0">H5-I5</f>
        <v>-8</v>
      </c>
    </row>
    <row r="6" spans="1:10" ht="19.95" customHeight="1" x14ac:dyDescent="0.3">
      <c r="A6" s="4">
        <v>250072</v>
      </c>
      <c r="B6" s="4">
        <v>304</v>
      </c>
      <c r="C6" s="6">
        <v>0.7</v>
      </c>
      <c r="D6" s="6" t="s">
        <v>11</v>
      </c>
      <c r="E6" s="7" t="s">
        <v>127</v>
      </c>
      <c r="F6" s="21" t="s">
        <v>45</v>
      </c>
      <c r="G6" s="4">
        <v>430</v>
      </c>
      <c r="H6" s="8">
        <v>750</v>
      </c>
      <c r="I6" s="9">
        <v>751</v>
      </c>
      <c r="J6" s="33">
        <f t="shared" si="0"/>
        <v>-1</v>
      </c>
    </row>
    <row r="7" spans="1:10" ht="19.95" customHeight="1" x14ac:dyDescent="0.3">
      <c r="A7" s="4">
        <v>250071</v>
      </c>
      <c r="B7" s="4">
        <v>304</v>
      </c>
      <c r="C7" s="6">
        <v>0.7</v>
      </c>
      <c r="D7" s="6" t="s">
        <v>11</v>
      </c>
      <c r="E7" s="7" t="s">
        <v>128</v>
      </c>
      <c r="F7" s="21" t="s">
        <v>107</v>
      </c>
      <c r="G7" s="4">
        <v>430</v>
      </c>
      <c r="H7" s="8">
        <v>750</v>
      </c>
      <c r="I7" s="9">
        <v>751</v>
      </c>
      <c r="J7" s="33">
        <f t="shared" si="0"/>
        <v>-1</v>
      </c>
    </row>
    <row r="8" spans="1:10" ht="19.95" customHeight="1" x14ac:dyDescent="0.3">
      <c r="A8" s="4">
        <v>160925</v>
      </c>
      <c r="B8" s="4">
        <v>304</v>
      </c>
      <c r="C8" s="6">
        <v>0.9</v>
      </c>
      <c r="D8" s="6" t="s">
        <v>43</v>
      </c>
      <c r="E8" s="7" t="s">
        <v>132</v>
      </c>
      <c r="F8" s="21" t="s">
        <v>41</v>
      </c>
      <c r="G8" s="4">
        <v>430</v>
      </c>
      <c r="H8" s="8">
        <v>1100</v>
      </c>
      <c r="I8" s="9">
        <v>523</v>
      </c>
      <c r="J8" s="23">
        <f t="shared" si="0"/>
        <v>577</v>
      </c>
    </row>
    <row r="9" spans="1:10" ht="19.95" hidden="1" customHeight="1" x14ac:dyDescent="0.3">
      <c r="A9" s="4"/>
      <c r="B9" s="4"/>
      <c r="C9" s="6"/>
      <c r="D9" s="6"/>
      <c r="E9" s="7"/>
      <c r="F9" s="21"/>
      <c r="G9" s="4"/>
      <c r="H9" s="8"/>
      <c r="I9" s="9"/>
      <c r="J9" s="23">
        <f t="shared" si="0"/>
        <v>0</v>
      </c>
    </row>
    <row r="10" spans="1:10" ht="19.95" hidden="1" customHeight="1" x14ac:dyDescent="0.3">
      <c r="A10" s="4"/>
      <c r="B10" s="4"/>
      <c r="C10" s="6"/>
      <c r="D10" s="6"/>
      <c r="E10" s="7"/>
      <c r="F10" s="21"/>
      <c r="G10" s="4"/>
      <c r="H10" s="8"/>
      <c r="I10" s="9"/>
      <c r="J10" s="23">
        <f t="shared" si="0"/>
        <v>0</v>
      </c>
    </row>
    <row r="11" spans="1:10" ht="19.95" hidden="1" customHeight="1" x14ac:dyDescent="0.3">
      <c r="A11" s="4"/>
      <c r="B11" s="4"/>
      <c r="C11" s="6"/>
      <c r="D11" s="6"/>
      <c r="E11" s="7"/>
      <c r="F11" s="21"/>
      <c r="G11" s="4"/>
      <c r="H11" s="8"/>
      <c r="I11" s="9"/>
      <c r="J11" s="23">
        <f t="shared" si="0"/>
        <v>0</v>
      </c>
    </row>
    <row r="12" spans="1:10" ht="19.95" hidden="1" customHeight="1" x14ac:dyDescent="0.3">
      <c r="A12" s="4"/>
      <c r="B12" s="4"/>
      <c r="C12" s="6"/>
      <c r="D12" s="6"/>
      <c r="E12" s="7"/>
      <c r="F12" s="21"/>
      <c r="G12" s="4"/>
      <c r="H12" s="8"/>
      <c r="I12" s="9"/>
      <c r="J12" s="23">
        <f t="shared" si="0"/>
        <v>0</v>
      </c>
    </row>
    <row r="13" spans="1:10" ht="19.95" hidden="1" customHeight="1" x14ac:dyDescent="0.3">
      <c r="A13" s="4"/>
      <c r="B13" s="4"/>
      <c r="C13" s="6"/>
      <c r="D13" s="6"/>
      <c r="E13" s="7"/>
      <c r="F13" s="21"/>
      <c r="G13" s="4"/>
      <c r="H13" s="8"/>
      <c r="I13" s="9"/>
      <c r="J13" s="23">
        <f t="shared" si="0"/>
        <v>0</v>
      </c>
    </row>
    <row r="14" spans="1:10" ht="19.95" customHeight="1" x14ac:dyDescent="0.3">
      <c r="A14" s="4"/>
      <c r="B14" s="4"/>
      <c r="C14" s="6"/>
      <c r="D14" s="6"/>
      <c r="E14" s="7"/>
      <c r="F14" s="21"/>
      <c r="G14" s="4"/>
      <c r="H14" s="8"/>
      <c r="I14" s="9"/>
      <c r="J14" s="23">
        <f t="shared" si="0"/>
        <v>0</v>
      </c>
    </row>
    <row r="15" spans="1:10" ht="19.95" customHeight="1" x14ac:dyDescent="0.3">
      <c r="A15" s="10"/>
      <c r="B15" s="10"/>
      <c r="C15" s="10"/>
      <c r="D15" s="10"/>
      <c r="E15" s="11"/>
      <c r="F15" s="10"/>
      <c r="G15" s="12"/>
      <c r="H15" s="13">
        <f>SUM(H5:H14)</f>
        <v>4000</v>
      </c>
      <c r="I15" s="14">
        <f>SUM(I5:I14)</f>
        <v>3433</v>
      </c>
      <c r="J15" s="23">
        <f>SUM(J5:J14)</f>
        <v>567</v>
      </c>
    </row>
    <row r="17" spans="1:10" ht="30" customHeight="1" x14ac:dyDescent="0.3">
      <c r="A17" s="94" t="s">
        <v>17</v>
      </c>
      <c r="B17" s="94"/>
      <c r="C17" s="94"/>
      <c r="D17" s="94"/>
      <c r="E17" s="94"/>
      <c r="F17" s="94"/>
      <c r="G17" s="94"/>
      <c r="H17" s="94"/>
      <c r="I17" s="94"/>
      <c r="J17" s="94"/>
    </row>
    <row r="18" spans="1:10" ht="30" customHeight="1" x14ac:dyDescent="0.3">
      <c r="A18" s="4" t="s">
        <v>1</v>
      </c>
      <c r="B18" s="4" t="s">
        <v>2</v>
      </c>
      <c r="C18" s="5" t="s">
        <v>3</v>
      </c>
      <c r="D18" s="5" t="s">
        <v>4</v>
      </c>
      <c r="E18" s="4" t="s">
        <v>5</v>
      </c>
      <c r="F18" s="5" t="s">
        <v>6</v>
      </c>
      <c r="G18" s="5" t="s">
        <v>7</v>
      </c>
      <c r="H18" s="4" t="s">
        <v>8</v>
      </c>
      <c r="I18" s="4" t="s">
        <v>9</v>
      </c>
      <c r="J18" s="4" t="s">
        <v>10</v>
      </c>
    </row>
    <row r="19" spans="1:10" ht="19.95" customHeight="1" x14ac:dyDescent="0.3">
      <c r="A19" s="4">
        <v>160925</v>
      </c>
      <c r="B19" s="4">
        <v>304</v>
      </c>
      <c r="C19" s="6">
        <v>0.7</v>
      </c>
      <c r="D19" s="5" t="s">
        <v>55</v>
      </c>
      <c r="E19" s="7" t="s">
        <v>133</v>
      </c>
      <c r="F19" s="4" t="s">
        <v>45</v>
      </c>
      <c r="G19" s="4">
        <v>430</v>
      </c>
      <c r="H19" s="8">
        <v>1100</v>
      </c>
      <c r="I19" s="9">
        <v>1107</v>
      </c>
      <c r="J19" s="33">
        <f t="shared" ref="J19:J23" si="1">H19-I19</f>
        <v>-7</v>
      </c>
    </row>
    <row r="20" spans="1:10" ht="19.95" customHeight="1" x14ac:dyDescent="0.3">
      <c r="A20" s="4">
        <v>180925</v>
      </c>
      <c r="B20" s="4">
        <v>304</v>
      </c>
      <c r="C20" s="6">
        <v>0.7</v>
      </c>
      <c r="D20" s="6" t="s">
        <v>55</v>
      </c>
      <c r="E20" s="7" t="s">
        <v>136</v>
      </c>
      <c r="F20" s="4" t="s">
        <v>45</v>
      </c>
      <c r="G20" s="4">
        <v>430</v>
      </c>
      <c r="H20" s="8">
        <v>2100</v>
      </c>
      <c r="I20" s="9"/>
      <c r="J20" s="23">
        <f t="shared" si="1"/>
        <v>2100</v>
      </c>
    </row>
    <row r="21" spans="1:10" ht="19.95" customHeight="1" x14ac:dyDescent="0.3">
      <c r="A21" s="4">
        <v>160925</v>
      </c>
      <c r="B21" s="4">
        <v>304</v>
      </c>
      <c r="C21" s="6">
        <v>0.7</v>
      </c>
      <c r="D21" s="6" t="s">
        <v>55</v>
      </c>
      <c r="E21" s="7" t="s">
        <v>134</v>
      </c>
      <c r="F21" s="4" t="s">
        <v>45</v>
      </c>
      <c r="G21" s="4">
        <v>430</v>
      </c>
      <c r="H21" s="8">
        <v>1100</v>
      </c>
      <c r="I21" s="9"/>
      <c r="J21" s="23">
        <f t="shared" si="1"/>
        <v>1100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23">
        <f t="shared" si="1"/>
        <v>0</v>
      </c>
    </row>
    <row r="23" spans="1:10" ht="19.95" customHeight="1" x14ac:dyDescent="0.3">
      <c r="A23" s="4"/>
      <c r="B23" s="4"/>
      <c r="C23" s="4"/>
      <c r="D23" s="4"/>
      <c r="E23" s="7"/>
      <c r="F23" s="4"/>
      <c r="G23" s="4"/>
      <c r="H23" s="8"/>
      <c r="I23" s="9"/>
      <c r="J23" s="23">
        <f t="shared" si="1"/>
        <v>0</v>
      </c>
    </row>
    <row r="24" spans="1:10" ht="19.95" customHeight="1" x14ac:dyDescent="0.3">
      <c r="A24" s="10"/>
      <c r="B24" s="10"/>
      <c r="C24" s="10"/>
      <c r="D24" s="10"/>
      <c r="E24" s="11"/>
      <c r="F24" s="10"/>
      <c r="G24" s="12"/>
      <c r="H24" s="8">
        <f>SUM(H19:H23)</f>
        <v>4300</v>
      </c>
      <c r="I24" s="9">
        <f>SUM(I19:I23)</f>
        <v>1107</v>
      </c>
      <c r="J24" s="23">
        <f>SUM(J19:J23)</f>
        <v>3193</v>
      </c>
    </row>
    <row r="26" spans="1:10" ht="30" customHeight="1" x14ac:dyDescent="0.3">
      <c r="A26" s="94" t="s">
        <v>18</v>
      </c>
      <c r="B26" s="94"/>
      <c r="C26" s="94"/>
      <c r="D26" s="94"/>
      <c r="E26" s="94"/>
      <c r="F26" s="94"/>
      <c r="G26" s="94"/>
      <c r="H26" s="94"/>
      <c r="I26" s="94"/>
      <c r="J26" s="94"/>
    </row>
    <row r="27" spans="1:10" ht="30" customHeight="1" x14ac:dyDescent="0.3">
      <c r="A27" s="4" t="s">
        <v>1</v>
      </c>
      <c r="B27" s="4" t="s">
        <v>2</v>
      </c>
      <c r="C27" s="5" t="s">
        <v>3</v>
      </c>
      <c r="D27" s="5" t="s">
        <v>4</v>
      </c>
      <c r="E27" s="4" t="s">
        <v>5</v>
      </c>
      <c r="F27" s="5" t="s">
        <v>6</v>
      </c>
      <c r="G27" s="5" t="s">
        <v>7</v>
      </c>
      <c r="H27" s="4" t="s">
        <v>8</v>
      </c>
      <c r="I27" s="4" t="s">
        <v>9</v>
      </c>
      <c r="J27" s="4" t="s">
        <v>10</v>
      </c>
    </row>
    <row r="28" spans="1:10" ht="19.95" customHeight="1" x14ac:dyDescent="0.3">
      <c r="A28" s="4">
        <v>180925</v>
      </c>
      <c r="B28" s="4">
        <v>304</v>
      </c>
      <c r="C28" s="6">
        <v>0.7</v>
      </c>
      <c r="D28" s="6" t="s">
        <v>55</v>
      </c>
      <c r="E28" s="7" t="s">
        <v>135</v>
      </c>
      <c r="F28" s="4" t="s">
        <v>45</v>
      </c>
      <c r="G28" s="4">
        <v>430</v>
      </c>
      <c r="H28" s="8">
        <v>2100</v>
      </c>
      <c r="I28" s="9"/>
      <c r="J28" s="23">
        <f t="shared" ref="J28:J38" si="2">H28-I28</f>
        <v>2100</v>
      </c>
    </row>
    <row r="29" spans="1:10" ht="19.95" customHeight="1" x14ac:dyDescent="0.3">
      <c r="A29" s="4">
        <v>160925</v>
      </c>
      <c r="B29" s="4">
        <v>304</v>
      </c>
      <c r="C29" s="6">
        <v>0.7</v>
      </c>
      <c r="D29" s="6" t="s">
        <v>55</v>
      </c>
      <c r="E29" s="7" t="s">
        <v>137</v>
      </c>
      <c r="F29" s="21" t="s">
        <v>45</v>
      </c>
      <c r="G29" s="4">
        <v>430</v>
      </c>
      <c r="H29" s="8">
        <v>1100</v>
      </c>
      <c r="I29" s="9"/>
      <c r="J29" s="23">
        <f t="shared" si="2"/>
        <v>1100</v>
      </c>
    </row>
    <row r="30" spans="1:10" ht="19.95" customHeight="1" x14ac:dyDescent="0.3">
      <c r="A30" s="4">
        <v>160925</v>
      </c>
      <c r="B30" s="4">
        <v>304</v>
      </c>
      <c r="C30" s="6">
        <v>0.7</v>
      </c>
      <c r="D30" s="6" t="s">
        <v>55</v>
      </c>
      <c r="E30" s="7" t="s">
        <v>138</v>
      </c>
      <c r="F30" s="21" t="s">
        <v>45</v>
      </c>
      <c r="G30" s="4">
        <v>430</v>
      </c>
      <c r="H30" s="8">
        <v>1100</v>
      </c>
      <c r="I30" s="9"/>
      <c r="J30" s="23">
        <f t="shared" si="2"/>
        <v>1100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23">
        <f t="shared" si="2"/>
        <v>0</v>
      </c>
    </row>
    <row r="32" spans="1:10" ht="19.95" hidden="1" customHeight="1" x14ac:dyDescent="0.3">
      <c r="A32" s="4"/>
      <c r="B32" s="4"/>
      <c r="C32" s="6"/>
      <c r="D32" s="6"/>
      <c r="E32" s="7"/>
      <c r="F32" s="21"/>
      <c r="G32" s="4"/>
      <c r="H32" s="8"/>
      <c r="I32" s="9">
        <v>0</v>
      </c>
      <c r="J32" s="23">
        <f t="shared" si="2"/>
        <v>0</v>
      </c>
    </row>
    <row r="33" spans="1:10" ht="19.95" hidden="1" customHeight="1" x14ac:dyDescent="0.3">
      <c r="A33" s="4"/>
      <c r="B33" s="4"/>
      <c r="C33" s="6"/>
      <c r="D33" s="6"/>
      <c r="E33" s="7"/>
      <c r="F33" s="21"/>
      <c r="G33" s="4"/>
      <c r="H33" s="8"/>
      <c r="I33" s="9">
        <v>0</v>
      </c>
      <c r="J33" s="23">
        <f t="shared" si="2"/>
        <v>0</v>
      </c>
    </row>
    <row r="34" spans="1:10" ht="19.95" hidden="1" customHeight="1" x14ac:dyDescent="0.3">
      <c r="A34" s="4"/>
      <c r="B34" s="4"/>
      <c r="C34" s="6"/>
      <c r="D34" s="6"/>
      <c r="E34" s="7"/>
      <c r="F34" s="21"/>
      <c r="G34" s="4"/>
      <c r="H34" s="8"/>
      <c r="I34" s="9">
        <v>0</v>
      </c>
      <c r="J34" s="23">
        <f t="shared" si="2"/>
        <v>0</v>
      </c>
    </row>
    <row r="35" spans="1:10" ht="19.95" hidden="1" customHeight="1" x14ac:dyDescent="0.3">
      <c r="A35" s="4"/>
      <c r="B35" s="4"/>
      <c r="C35" s="6"/>
      <c r="D35" s="6"/>
      <c r="E35" s="7"/>
      <c r="F35" s="21"/>
      <c r="G35" s="4"/>
      <c r="H35" s="8"/>
      <c r="I35" s="9">
        <v>0</v>
      </c>
      <c r="J35" s="23">
        <f t="shared" si="2"/>
        <v>0</v>
      </c>
    </row>
    <row r="36" spans="1:10" ht="19.95" hidden="1" customHeight="1" x14ac:dyDescent="0.3">
      <c r="A36" s="4"/>
      <c r="B36" s="4"/>
      <c r="C36" s="6"/>
      <c r="D36" s="6"/>
      <c r="E36" s="7"/>
      <c r="F36" s="21"/>
      <c r="G36" s="4"/>
      <c r="H36" s="8"/>
      <c r="I36" s="9">
        <v>0</v>
      </c>
      <c r="J36" s="23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>
        <v>0</v>
      </c>
      <c r="J37" s="23">
        <f t="shared" si="2"/>
        <v>0</v>
      </c>
    </row>
    <row r="38" spans="1:10" ht="19.95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23">
        <f t="shared" si="2"/>
        <v>0</v>
      </c>
    </row>
    <row r="39" spans="1:10" ht="19.95" customHeight="1" x14ac:dyDescent="0.3">
      <c r="A39" s="10"/>
      <c r="B39" s="10"/>
      <c r="C39" s="10"/>
      <c r="D39" s="10"/>
      <c r="E39" s="11"/>
      <c r="F39" s="10"/>
      <c r="G39" s="12"/>
      <c r="H39" s="8">
        <f>SUM(H28:H38)</f>
        <v>4300</v>
      </c>
      <c r="I39" s="9">
        <f>SUM(I28:I38)</f>
        <v>0</v>
      </c>
      <c r="J39" s="23">
        <f>SUM(J28:J38)</f>
        <v>4300</v>
      </c>
    </row>
    <row r="41" spans="1:10" ht="30" customHeight="1" x14ac:dyDescent="0.3">
      <c r="A41" s="94" t="s">
        <v>20</v>
      </c>
      <c r="B41" s="94"/>
      <c r="C41" s="94"/>
      <c r="D41" s="94"/>
      <c r="E41" s="94"/>
      <c r="F41" s="94"/>
      <c r="G41" s="94"/>
      <c r="H41" s="94"/>
      <c r="I41" s="94"/>
      <c r="J41" s="94"/>
    </row>
    <row r="42" spans="1:10" ht="30" customHeight="1" x14ac:dyDescent="0.3">
      <c r="A42" s="4" t="s">
        <v>1</v>
      </c>
      <c r="B42" s="4" t="s">
        <v>2</v>
      </c>
      <c r="C42" s="5" t="s">
        <v>3</v>
      </c>
      <c r="D42" s="5" t="s">
        <v>4</v>
      </c>
      <c r="E42" s="4" t="s">
        <v>5</v>
      </c>
      <c r="F42" s="5" t="s">
        <v>6</v>
      </c>
      <c r="G42" s="5" t="s">
        <v>7</v>
      </c>
      <c r="H42" s="4" t="s">
        <v>8</v>
      </c>
      <c r="I42" s="4" t="s">
        <v>9</v>
      </c>
      <c r="J42" s="4" t="s">
        <v>10</v>
      </c>
    </row>
    <row r="43" spans="1:10" ht="19.95" customHeight="1" x14ac:dyDescent="0.3">
      <c r="A43" s="4">
        <v>180925</v>
      </c>
      <c r="B43" s="4">
        <v>304</v>
      </c>
      <c r="C43" s="6">
        <v>0.7</v>
      </c>
      <c r="D43" s="6" t="s">
        <v>55</v>
      </c>
      <c r="E43" s="7" t="s">
        <v>139</v>
      </c>
      <c r="F43" s="4" t="s">
        <v>45</v>
      </c>
      <c r="G43" s="4">
        <v>430</v>
      </c>
      <c r="H43" s="8">
        <v>2100</v>
      </c>
      <c r="I43" s="9"/>
      <c r="J43" s="23">
        <f t="shared" ref="J43:J51" si="3">H43-I43</f>
        <v>2100</v>
      </c>
    </row>
    <row r="44" spans="1:10" ht="19.95" customHeight="1" x14ac:dyDescent="0.3">
      <c r="A44" s="4">
        <v>180925</v>
      </c>
      <c r="B44" s="4">
        <v>304</v>
      </c>
      <c r="C44" s="6">
        <v>0.7</v>
      </c>
      <c r="D44" s="6" t="s">
        <v>55</v>
      </c>
      <c r="E44" s="7" t="s">
        <v>140</v>
      </c>
      <c r="F44" s="21" t="s">
        <v>45</v>
      </c>
      <c r="G44" s="4">
        <v>430</v>
      </c>
      <c r="H44" s="8">
        <v>2100</v>
      </c>
      <c r="I44" s="9"/>
      <c r="J44" s="23">
        <f t="shared" si="3"/>
        <v>2100</v>
      </c>
    </row>
    <row r="45" spans="1:10" ht="19.95" customHeight="1" x14ac:dyDescent="0.3">
      <c r="A45" s="4"/>
      <c r="B45" s="4"/>
      <c r="C45" s="6"/>
      <c r="D45" s="6"/>
      <c r="E45" s="7"/>
      <c r="F45" s="21"/>
      <c r="G45" s="4"/>
      <c r="H45" s="8"/>
      <c r="I45" s="9"/>
      <c r="J45" s="23">
        <f t="shared" si="3"/>
        <v>0</v>
      </c>
    </row>
    <row r="46" spans="1:10" ht="19.95" customHeight="1" x14ac:dyDescent="0.3">
      <c r="A46" s="4"/>
      <c r="B46" s="4"/>
      <c r="C46" s="6"/>
      <c r="D46" s="6"/>
      <c r="E46" s="7"/>
      <c r="F46" s="21"/>
      <c r="G46" s="4"/>
      <c r="H46" s="8"/>
      <c r="I46" s="9"/>
      <c r="J46" s="23">
        <f t="shared" si="3"/>
        <v>0</v>
      </c>
    </row>
    <row r="47" spans="1:10" ht="19.95" hidden="1" customHeight="1" x14ac:dyDescent="0.3">
      <c r="A47" s="4"/>
      <c r="B47" s="4"/>
      <c r="C47" s="6"/>
      <c r="D47" s="6"/>
      <c r="E47" s="7"/>
      <c r="F47" s="21"/>
      <c r="G47" s="4"/>
      <c r="H47" s="8"/>
      <c r="I47" s="9"/>
      <c r="J47" s="23">
        <f t="shared" si="3"/>
        <v>0</v>
      </c>
    </row>
    <row r="48" spans="1:10" ht="19.95" hidden="1" customHeight="1" x14ac:dyDescent="0.3">
      <c r="A48" s="4"/>
      <c r="B48" s="4"/>
      <c r="C48" s="6"/>
      <c r="D48" s="6"/>
      <c r="E48" s="7"/>
      <c r="F48" s="21"/>
      <c r="G48" s="4"/>
      <c r="H48" s="8"/>
      <c r="I48" s="9"/>
      <c r="J48" s="23">
        <f t="shared" si="3"/>
        <v>0</v>
      </c>
    </row>
    <row r="49" spans="1:10" ht="19.95" hidden="1" customHeight="1" x14ac:dyDescent="0.3">
      <c r="A49" s="4"/>
      <c r="B49" s="4"/>
      <c r="C49" s="6"/>
      <c r="D49" s="6"/>
      <c r="E49" s="7"/>
      <c r="F49" s="21"/>
      <c r="G49" s="4"/>
      <c r="H49" s="8"/>
      <c r="I49" s="9"/>
      <c r="J49" s="23">
        <f t="shared" si="3"/>
        <v>0</v>
      </c>
    </row>
    <row r="50" spans="1:10" ht="19.95" hidden="1" customHeight="1" x14ac:dyDescent="0.3">
      <c r="A50" s="4"/>
      <c r="B50" s="4"/>
      <c r="C50" s="6"/>
      <c r="D50" s="6"/>
      <c r="E50" s="7"/>
      <c r="F50" s="21"/>
      <c r="G50" s="4"/>
      <c r="H50" s="8"/>
      <c r="I50" s="9"/>
      <c r="J50" s="23">
        <f t="shared" si="3"/>
        <v>0</v>
      </c>
    </row>
    <row r="51" spans="1:10" ht="19.95" hidden="1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23">
        <f t="shared" si="3"/>
        <v>0</v>
      </c>
    </row>
    <row r="52" spans="1:10" ht="19.95" hidden="1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23">
        <v>0</v>
      </c>
    </row>
    <row r="53" spans="1:10" ht="19.95" customHeight="1" x14ac:dyDescent="0.3">
      <c r="A53" s="4"/>
      <c r="B53" s="4"/>
      <c r="C53" s="6"/>
      <c r="D53" s="6"/>
      <c r="E53" s="7"/>
      <c r="F53" s="21"/>
      <c r="G53" s="4"/>
      <c r="H53" s="8"/>
      <c r="I53" s="9"/>
      <c r="J53" s="23">
        <v>0</v>
      </c>
    </row>
    <row r="54" spans="1:10" ht="19.95" customHeight="1" x14ac:dyDescent="0.3">
      <c r="A54" s="10"/>
      <c r="B54" s="10"/>
      <c r="C54" s="10"/>
      <c r="D54" s="10"/>
      <c r="E54" s="11"/>
      <c r="F54" s="10"/>
      <c r="G54" s="12"/>
      <c r="H54" s="8">
        <f>SUM(H43:H53)</f>
        <v>4200</v>
      </c>
      <c r="I54" s="9">
        <f>SUM(I43:I53)</f>
        <v>0</v>
      </c>
      <c r="J54" s="23">
        <f>SUM(J43:J53)</f>
        <v>4200</v>
      </c>
    </row>
    <row r="55" spans="1:10" ht="19.95" customHeight="1" x14ac:dyDescent="0.3">
      <c r="A55" s="15"/>
      <c r="B55" s="15"/>
      <c r="C55" s="15"/>
      <c r="D55" s="15"/>
      <c r="E55" s="16"/>
      <c r="F55" s="15"/>
      <c r="G55" s="15"/>
      <c r="H55" s="17"/>
      <c r="I55" s="18"/>
      <c r="J55" s="17"/>
    </row>
    <row r="56" spans="1:10" ht="30" customHeight="1" x14ac:dyDescent="0.3">
      <c r="A56" s="94" t="s">
        <v>19</v>
      </c>
      <c r="B56" s="94"/>
      <c r="C56" s="94"/>
      <c r="D56" s="94"/>
      <c r="E56" s="94"/>
      <c r="F56" s="94"/>
      <c r="G56" s="94"/>
      <c r="H56" s="94"/>
      <c r="I56" s="94"/>
      <c r="J56" s="94"/>
    </row>
    <row r="57" spans="1:10" ht="30" customHeight="1" x14ac:dyDescent="0.3">
      <c r="A57" s="4" t="s">
        <v>1</v>
      </c>
      <c r="B57" s="4" t="s">
        <v>2</v>
      </c>
      <c r="C57" s="5" t="s">
        <v>3</v>
      </c>
      <c r="D57" s="5" t="s">
        <v>4</v>
      </c>
      <c r="E57" s="4" t="s">
        <v>5</v>
      </c>
      <c r="F57" s="5" t="s">
        <v>6</v>
      </c>
      <c r="G57" s="5" t="s">
        <v>7</v>
      </c>
      <c r="H57" s="4" t="s">
        <v>8</v>
      </c>
      <c r="I57" s="4" t="s">
        <v>9</v>
      </c>
      <c r="J57" s="4" t="s">
        <v>10</v>
      </c>
    </row>
    <row r="58" spans="1:10" ht="19.95" customHeight="1" x14ac:dyDescent="0.3">
      <c r="A58" s="4">
        <v>250077</v>
      </c>
      <c r="B58" s="4">
        <v>430</v>
      </c>
      <c r="C58" s="6">
        <v>0.5</v>
      </c>
      <c r="D58" s="6" t="s">
        <v>27</v>
      </c>
      <c r="E58" s="7" t="s">
        <v>141</v>
      </c>
      <c r="F58" s="4" t="s">
        <v>45</v>
      </c>
      <c r="G58" s="4">
        <v>430</v>
      </c>
      <c r="H58" s="8">
        <v>1400</v>
      </c>
      <c r="I58" s="9"/>
      <c r="J58" s="23">
        <f t="shared" ref="J58:J69" si="4">H58-I58</f>
        <v>1400</v>
      </c>
    </row>
    <row r="59" spans="1:10" ht="19.95" customHeight="1" x14ac:dyDescent="0.3">
      <c r="A59" s="4">
        <v>290925</v>
      </c>
      <c r="B59" s="4">
        <v>304</v>
      </c>
      <c r="C59" s="6">
        <v>0.8</v>
      </c>
      <c r="D59" s="6" t="s">
        <v>43</v>
      </c>
      <c r="E59" s="7" t="s">
        <v>142</v>
      </c>
      <c r="F59" s="21" t="s">
        <v>41</v>
      </c>
      <c r="G59" s="4">
        <v>430</v>
      </c>
      <c r="H59" s="8">
        <v>4000</v>
      </c>
      <c r="I59" s="9"/>
      <c r="J59" s="23">
        <f t="shared" si="4"/>
        <v>4000</v>
      </c>
    </row>
    <row r="60" spans="1:10" ht="19.95" customHeight="1" x14ac:dyDescent="0.3">
      <c r="A60" s="4"/>
      <c r="B60" s="4"/>
      <c r="C60" s="6"/>
      <c r="D60" s="6"/>
      <c r="E60" s="7"/>
      <c r="F60" s="21"/>
      <c r="G60" s="4"/>
      <c r="H60" s="8"/>
      <c r="I60" s="9"/>
      <c r="J60" s="23">
        <f t="shared" si="4"/>
        <v>0</v>
      </c>
    </row>
    <row r="61" spans="1:10" ht="19.95" customHeight="1" x14ac:dyDescent="0.3">
      <c r="A61" s="4"/>
      <c r="B61" s="4"/>
      <c r="C61" s="6"/>
      <c r="D61" s="6"/>
      <c r="E61" s="36" t="s">
        <v>144</v>
      </c>
      <c r="F61" s="21"/>
      <c r="G61" s="4"/>
      <c r="H61" s="8"/>
      <c r="I61" s="9"/>
      <c r="J61" s="23">
        <f t="shared" si="4"/>
        <v>0</v>
      </c>
    </row>
    <row r="62" spans="1:10" ht="19.95" hidden="1" customHeight="1" x14ac:dyDescent="0.3">
      <c r="A62" s="4"/>
      <c r="B62" s="4"/>
      <c r="C62" s="6"/>
      <c r="D62" s="6"/>
      <c r="E62" s="7"/>
      <c r="F62" s="21"/>
      <c r="G62" s="4"/>
      <c r="H62" s="8"/>
      <c r="I62" s="9"/>
      <c r="J62" s="23">
        <f t="shared" si="4"/>
        <v>0</v>
      </c>
    </row>
    <row r="63" spans="1:10" ht="19.95" hidden="1" customHeight="1" x14ac:dyDescent="0.3">
      <c r="A63" s="4"/>
      <c r="B63" s="4"/>
      <c r="C63" s="6"/>
      <c r="D63" s="6"/>
      <c r="E63" s="7"/>
      <c r="F63" s="21"/>
      <c r="G63" s="4"/>
      <c r="H63" s="8"/>
      <c r="I63" s="9"/>
      <c r="J63" s="23">
        <f t="shared" si="4"/>
        <v>0</v>
      </c>
    </row>
    <row r="64" spans="1:10" ht="19.95" hidden="1" customHeight="1" x14ac:dyDescent="0.3">
      <c r="A64" s="4"/>
      <c r="B64" s="4"/>
      <c r="C64" s="6"/>
      <c r="D64" s="6"/>
      <c r="E64" s="7"/>
      <c r="F64" s="21"/>
      <c r="G64" s="4"/>
      <c r="H64" s="8"/>
      <c r="I64" s="9"/>
      <c r="J64" s="23">
        <f t="shared" si="4"/>
        <v>0</v>
      </c>
    </row>
    <row r="65" spans="1:10" ht="19.95" hidden="1" customHeight="1" x14ac:dyDescent="0.3">
      <c r="A65" s="4"/>
      <c r="B65" s="4"/>
      <c r="C65" s="6"/>
      <c r="D65" s="6"/>
      <c r="E65" s="7"/>
      <c r="F65" s="21"/>
      <c r="G65" s="4"/>
      <c r="H65" s="8"/>
      <c r="I65" s="9"/>
      <c r="J65" s="23">
        <f t="shared" si="4"/>
        <v>0</v>
      </c>
    </row>
    <row r="66" spans="1:10" s="31" customFormat="1" ht="19.95" hidden="1" customHeight="1" x14ac:dyDescent="0.3">
      <c r="A66" s="25"/>
      <c r="B66" s="25"/>
      <c r="C66" s="26"/>
      <c r="D66" s="26"/>
      <c r="E66" s="27"/>
      <c r="F66" s="28"/>
      <c r="G66" s="25"/>
      <c r="H66" s="29"/>
      <c r="I66" s="9"/>
      <c r="J66" s="35">
        <f t="shared" si="4"/>
        <v>0</v>
      </c>
    </row>
    <row r="67" spans="1:10" ht="19.95" hidden="1" customHeight="1" x14ac:dyDescent="0.3">
      <c r="A67" s="4"/>
      <c r="B67" s="4"/>
      <c r="C67" s="6"/>
      <c r="D67" s="6"/>
      <c r="E67" s="7"/>
      <c r="F67" s="7"/>
      <c r="G67" s="4"/>
      <c r="H67" s="8"/>
      <c r="I67" s="9"/>
      <c r="J67" s="23">
        <f t="shared" si="4"/>
        <v>0</v>
      </c>
    </row>
    <row r="68" spans="1:10" ht="19.95" hidden="1" customHeight="1" x14ac:dyDescent="0.3">
      <c r="A68" s="4"/>
      <c r="B68" s="4"/>
      <c r="C68" s="6"/>
      <c r="D68" s="6"/>
      <c r="E68" s="7"/>
      <c r="F68" s="7"/>
      <c r="G68" s="4"/>
      <c r="H68" s="8"/>
      <c r="I68" s="9"/>
      <c r="J68" s="23">
        <f t="shared" si="4"/>
        <v>0</v>
      </c>
    </row>
    <row r="69" spans="1:10" ht="19.95" customHeight="1" x14ac:dyDescent="0.3">
      <c r="A69" s="4"/>
      <c r="B69" s="4"/>
      <c r="C69" s="6"/>
      <c r="D69" s="6"/>
      <c r="E69" s="7"/>
      <c r="F69" s="7"/>
      <c r="G69" s="4"/>
      <c r="H69" s="8"/>
      <c r="I69" s="9"/>
      <c r="J69" s="23">
        <f t="shared" si="4"/>
        <v>0</v>
      </c>
    </row>
    <row r="70" spans="1:10" ht="19.95" customHeight="1" x14ac:dyDescent="0.3">
      <c r="A70" s="10"/>
      <c r="B70" s="10"/>
      <c r="C70" s="10"/>
      <c r="D70" s="10"/>
      <c r="E70" s="11"/>
      <c r="F70" s="10"/>
      <c r="G70" s="12"/>
      <c r="H70" s="8">
        <f>SUM(H58:H69)</f>
        <v>5400</v>
      </c>
      <c r="I70" s="9">
        <f>SUM(I58:I69)</f>
        <v>0</v>
      </c>
      <c r="J70" s="23">
        <f>SUM(J58:J69)</f>
        <v>5400</v>
      </c>
    </row>
    <row r="71" spans="1:10" ht="19.95" customHeight="1" x14ac:dyDescent="0.3">
      <c r="A71" s="15"/>
      <c r="B71" s="15"/>
      <c r="C71" s="15"/>
      <c r="D71" s="15"/>
      <c r="E71" s="16"/>
      <c r="F71" s="15"/>
      <c r="G71" s="15"/>
      <c r="H71" s="17"/>
      <c r="I71" s="18"/>
      <c r="J71" s="17"/>
    </row>
    <row r="72" spans="1:10" ht="30" customHeight="1" x14ac:dyDescent="0.3">
      <c r="A72" s="94" t="s">
        <v>23</v>
      </c>
      <c r="B72" s="94"/>
      <c r="C72" s="94"/>
      <c r="D72" s="94"/>
      <c r="E72" s="94"/>
      <c r="F72" s="94"/>
      <c r="G72" s="94"/>
      <c r="H72" s="94"/>
      <c r="I72" s="94"/>
      <c r="J72" s="94"/>
    </row>
    <row r="73" spans="1:10" ht="30" customHeight="1" x14ac:dyDescent="0.3">
      <c r="A73" s="4" t="s">
        <v>1</v>
      </c>
      <c r="B73" s="4" t="s">
        <v>2</v>
      </c>
      <c r="C73" s="5" t="s">
        <v>3</v>
      </c>
      <c r="D73" s="5" t="s">
        <v>4</v>
      </c>
      <c r="E73" s="4" t="s">
        <v>5</v>
      </c>
      <c r="F73" s="5" t="s">
        <v>6</v>
      </c>
      <c r="G73" s="5" t="s">
        <v>7</v>
      </c>
      <c r="H73" s="4" t="s">
        <v>8</v>
      </c>
      <c r="I73" s="4" t="s">
        <v>9</v>
      </c>
      <c r="J73" s="4" t="s">
        <v>10</v>
      </c>
    </row>
    <row r="74" spans="1:10" ht="19.95" customHeight="1" x14ac:dyDescent="0.3">
      <c r="A74" s="4">
        <v>290925</v>
      </c>
      <c r="B74" s="4">
        <v>304</v>
      </c>
      <c r="C74" s="6">
        <v>0.8</v>
      </c>
      <c r="D74" s="6" t="s">
        <v>43</v>
      </c>
      <c r="E74" s="7" t="s">
        <v>143</v>
      </c>
      <c r="F74" s="4" t="s">
        <v>41</v>
      </c>
      <c r="G74" s="4">
        <v>430</v>
      </c>
      <c r="H74" s="8">
        <v>3000</v>
      </c>
      <c r="I74" s="9"/>
      <c r="J74" s="23">
        <f t="shared" ref="J74:J95" si="5">H74-I74</f>
        <v>3000</v>
      </c>
    </row>
    <row r="75" spans="1:10" ht="19.95" customHeight="1" x14ac:dyDescent="0.3">
      <c r="A75" s="4"/>
      <c r="B75" s="4"/>
      <c r="C75" s="6"/>
      <c r="D75" s="6"/>
      <c r="E75" s="7"/>
      <c r="F75" s="21"/>
      <c r="G75" s="4"/>
      <c r="H75" s="8"/>
      <c r="I75" s="9"/>
      <c r="J75" s="23">
        <f t="shared" si="5"/>
        <v>0</v>
      </c>
    </row>
    <row r="76" spans="1:10" ht="19.95" customHeight="1" x14ac:dyDescent="0.3">
      <c r="A76" s="4"/>
      <c r="B76" s="4"/>
      <c r="C76" s="6"/>
      <c r="D76" s="6"/>
      <c r="E76" s="7"/>
      <c r="F76" s="21"/>
      <c r="G76" s="4"/>
      <c r="H76" s="8"/>
      <c r="I76" s="9"/>
      <c r="J76" s="8">
        <f t="shared" si="5"/>
        <v>0</v>
      </c>
    </row>
    <row r="77" spans="1:10" ht="19.95" customHeight="1" x14ac:dyDescent="0.3">
      <c r="A77" s="4"/>
      <c r="B77" s="4"/>
      <c r="C77" s="6"/>
      <c r="D77" s="6"/>
      <c r="E77" s="7"/>
      <c r="F77" s="21"/>
      <c r="G77" s="4"/>
      <c r="H77" s="8"/>
      <c r="I77" s="9"/>
      <c r="J77" s="23">
        <f t="shared" si="5"/>
        <v>0</v>
      </c>
    </row>
    <row r="78" spans="1:10" ht="19.95" customHeight="1" x14ac:dyDescent="0.3">
      <c r="A78" s="4"/>
      <c r="B78" s="4"/>
      <c r="C78" s="6"/>
      <c r="D78" s="6"/>
      <c r="E78" s="7"/>
      <c r="F78" s="4"/>
      <c r="G78" s="4"/>
      <c r="H78" s="8"/>
      <c r="I78" s="9"/>
      <c r="J78" s="23">
        <f t="shared" si="5"/>
        <v>0</v>
      </c>
    </row>
    <row r="79" spans="1:10" ht="19.95" hidden="1" customHeight="1" x14ac:dyDescent="0.3">
      <c r="A79" s="4"/>
      <c r="B79" s="4"/>
      <c r="C79" s="6"/>
      <c r="D79" s="6"/>
      <c r="E79" s="7"/>
      <c r="F79" s="21"/>
      <c r="G79" s="4"/>
      <c r="H79" s="8"/>
      <c r="I79" s="9"/>
      <c r="J79" s="8">
        <f t="shared" si="5"/>
        <v>0</v>
      </c>
    </row>
    <row r="80" spans="1:10" ht="19.95" hidden="1" customHeight="1" x14ac:dyDescent="0.3">
      <c r="A80" s="4"/>
      <c r="B80" s="4"/>
      <c r="C80" s="6"/>
      <c r="D80" s="6"/>
      <c r="E80" s="7"/>
      <c r="F80" s="4"/>
      <c r="G80" s="4"/>
      <c r="H80" s="8"/>
      <c r="I80" s="9"/>
      <c r="J80" s="8">
        <f t="shared" si="5"/>
        <v>0</v>
      </c>
    </row>
    <row r="81" spans="1:10" ht="19.95" hidden="1" customHeight="1" x14ac:dyDescent="0.3">
      <c r="A81" s="4"/>
      <c r="B81" s="4"/>
      <c r="C81" s="6"/>
      <c r="D81" s="6"/>
      <c r="E81" s="7"/>
      <c r="F81" s="7"/>
      <c r="G81" s="4"/>
      <c r="H81" s="8"/>
      <c r="I81" s="9"/>
      <c r="J81" s="8">
        <f t="shared" si="5"/>
        <v>0</v>
      </c>
    </row>
    <row r="82" spans="1:10" ht="19.95" hidden="1" customHeight="1" x14ac:dyDescent="0.3">
      <c r="A82" s="4"/>
      <c r="B82" s="4"/>
      <c r="C82" s="6"/>
      <c r="D82" s="6"/>
      <c r="E82" s="7"/>
      <c r="F82" s="7"/>
      <c r="G82" s="4"/>
      <c r="H82" s="8"/>
      <c r="I82" s="9"/>
      <c r="J82" s="8">
        <f t="shared" si="5"/>
        <v>0</v>
      </c>
    </row>
    <row r="83" spans="1:10" ht="19.95" hidden="1" customHeight="1" x14ac:dyDescent="0.3">
      <c r="A83" s="4"/>
      <c r="B83" s="4"/>
      <c r="C83" s="6"/>
      <c r="D83" s="6"/>
      <c r="E83" s="7"/>
      <c r="F83" s="7"/>
      <c r="G83" s="4"/>
      <c r="H83" s="8"/>
      <c r="I83" s="9"/>
      <c r="J83" s="8">
        <f t="shared" si="5"/>
        <v>0</v>
      </c>
    </row>
    <row r="84" spans="1:10" ht="19.95" hidden="1" customHeight="1" x14ac:dyDescent="0.3">
      <c r="A84" s="4"/>
      <c r="B84" s="4"/>
      <c r="C84" s="6"/>
      <c r="D84" s="6"/>
      <c r="E84" s="7"/>
      <c r="F84" s="7"/>
      <c r="G84" s="4"/>
      <c r="H84" s="8"/>
      <c r="I84" s="9"/>
      <c r="J84" s="8">
        <f t="shared" si="5"/>
        <v>0</v>
      </c>
    </row>
    <row r="85" spans="1:10" ht="19.95" hidden="1" customHeight="1" x14ac:dyDescent="0.3">
      <c r="A85" s="4"/>
      <c r="B85" s="4"/>
      <c r="C85" s="6"/>
      <c r="D85" s="6"/>
      <c r="E85" s="7"/>
      <c r="F85" s="7"/>
      <c r="G85" s="4"/>
      <c r="H85" s="8"/>
      <c r="I85" s="9"/>
      <c r="J85" s="8">
        <f t="shared" si="5"/>
        <v>0</v>
      </c>
    </row>
    <row r="86" spans="1:10" ht="19.95" hidden="1" customHeight="1" x14ac:dyDescent="0.3">
      <c r="A86" s="4"/>
      <c r="B86" s="4"/>
      <c r="C86" s="6"/>
      <c r="D86" s="6"/>
      <c r="E86" s="7"/>
      <c r="F86" s="21"/>
      <c r="G86" s="4"/>
      <c r="H86" s="8"/>
      <c r="I86" s="9"/>
      <c r="J86" s="8">
        <f t="shared" si="5"/>
        <v>0</v>
      </c>
    </row>
    <row r="87" spans="1:10" ht="19.95" hidden="1" customHeight="1" x14ac:dyDescent="0.3">
      <c r="A87" s="21"/>
      <c r="B87" s="21"/>
      <c r="C87" s="22"/>
      <c r="D87" s="22"/>
      <c r="E87" s="20"/>
      <c r="F87" s="21"/>
      <c r="G87" s="21"/>
      <c r="H87" s="23"/>
      <c r="I87" s="9"/>
      <c r="J87" s="8">
        <f t="shared" si="5"/>
        <v>0</v>
      </c>
    </row>
    <row r="88" spans="1:10" ht="19.95" hidden="1" customHeight="1" x14ac:dyDescent="0.3">
      <c r="A88" s="21"/>
      <c r="B88" s="21"/>
      <c r="C88" s="22"/>
      <c r="D88" s="22"/>
      <c r="E88" s="20"/>
      <c r="F88" s="21"/>
      <c r="G88" s="21"/>
      <c r="H88" s="23"/>
      <c r="I88" s="9"/>
      <c r="J88" s="8">
        <f t="shared" si="5"/>
        <v>0</v>
      </c>
    </row>
    <row r="89" spans="1:10" ht="19.95" hidden="1" customHeight="1" x14ac:dyDescent="0.3">
      <c r="A89" s="4"/>
      <c r="B89" s="4"/>
      <c r="C89" s="6"/>
      <c r="D89" s="6"/>
      <c r="E89" s="7"/>
      <c r="F89" s="21"/>
      <c r="G89" s="4"/>
      <c r="H89" s="8"/>
      <c r="I89" s="9"/>
      <c r="J89" s="8">
        <f t="shared" si="5"/>
        <v>0</v>
      </c>
    </row>
    <row r="90" spans="1:10" ht="19.95" hidden="1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hidden="1" customHeight="1" x14ac:dyDescent="0.3">
      <c r="A91" s="4"/>
      <c r="B91" s="4"/>
      <c r="C91" s="6"/>
      <c r="D91" s="6"/>
      <c r="E91" s="7"/>
      <c r="F91" s="4"/>
      <c r="G91" s="4"/>
      <c r="H91" s="8"/>
      <c r="I91" s="9"/>
      <c r="J91" s="8">
        <f t="shared" si="5"/>
        <v>0</v>
      </c>
    </row>
    <row r="92" spans="1:10" ht="19.95" hidden="1" customHeight="1" x14ac:dyDescent="0.3">
      <c r="A92" s="4"/>
      <c r="B92" s="4"/>
      <c r="C92" s="6"/>
      <c r="D92" s="6"/>
      <c r="E92" s="7"/>
      <c r="F92" s="4"/>
      <c r="G92" s="4"/>
      <c r="H92" s="8"/>
      <c r="I92" s="9"/>
      <c r="J92" s="8">
        <f t="shared" si="5"/>
        <v>0</v>
      </c>
    </row>
    <row r="93" spans="1:10" ht="19.95" hidden="1" customHeight="1" x14ac:dyDescent="0.3">
      <c r="A93" s="4"/>
      <c r="B93" s="4"/>
      <c r="C93" s="6"/>
      <c r="D93" s="6"/>
      <c r="E93" s="7"/>
      <c r="F93" s="4"/>
      <c r="G93" s="4"/>
      <c r="H93" s="8"/>
      <c r="I93" s="9"/>
      <c r="J93" s="8">
        <f t="shared" si="5"/>
        <v>0</v>
      </c>
    </row>
    <row r="94" spans="1:10" ht="19.95" hidden="1" customHeight="1" x14ac:dyDescent="0.3">
      <c r="A94" s="4"/>
      <c r="B94" s="4"/>
      <c r="C94" s="6"/>
      <c r="D94" s="6"/>
      <c r="E94" s="7"/>
      <c r="F94" s="4"/>
      <c r="G94" s="4"/>
      <c r="H94" s="8"/>
      <c r="I94" s="9"/>
      <c r="J94" s="8">
        <f t="shared" si="5"/>
        <v>0</v>
      </c>
    </row>
    <row r="95" spans="1:10" ht="19.95" customHeight="1" x14ac:dyDescent="0.3">
      <c r="A95" s="4"/>
      <c r="B95" s="4"/>
      <c r="C95" s="6"/>
      <c r="D95" s="6"/>
      <c r="E95" s="7"/>
      <c r="F95" s="4"/>
      <c r="G95" s="4"/>
      <c r="H95" s="8"/>
      <c r="I95" s="9"/>
      <c r="J95" s="8">
        <f t="shared" si="5"/>
        <v>0</v>
      </c>
    </row>
    <row r="96" spans="1:10" ht="19.95" customHeight="1" x14ac:dyDescent="0.3">
      <c r="A96" s="10"/>
      <c r="B96" s="10"/>
      <c r="C96" s="10"/>
      <c r="D96" s="10"/>
      <c r="E96" s="11"/>
      <c r="F96" s="10"/>
      <c r="G96" s="12"/>
      <c r="H96" s="8">
        <f>SUM(H74:H95)</f>
        <v>3000</v>
      </c>
      <c r="I96" s="9">
        <f>SUM(I74:I95)</f>
        <v>0</v>
      </c>
      <c r="J96" s="8">
        <f>SUM(J74:J95)</f>
        <v>3000</v>
      </c>
    </row>
    <row r="98" spans="1:10" ht="23.4" x14ac:dyDescent="0.3">
      <c r="A98" s="95" t="s">
        <v>14</v>
      </c>
      <c r="B98" s="95"/>
      <c r="C98" s="95"/>
      <c r="D98" s="95"/>
      <c r="E98" s="95"/>
      <c r="F98" s="95"/>
      <c r="G98" s="95"/>
      <c r="H98" s="95"/>
      <c r="I98" s="95"/>
      <c r="J98" s="95"/>
    </row>
  </sheetData>
  <mergeCells count="9">
    <mergeCell ref="A56:J56"/>
    <mergeCell ref="A72:J72"/>
    <mergeCell ref="A98:J98"/>
    <mergeCell ref="H1:J1"/>
    <mergeCell ref="A2:J2"/>
    <mergeCell ref="A3:J3"/>
    <mergeCell ref="A17:J17"/>
    <mergeCell ref="A26:J26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8" fitToHeight="0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8"/>
  <sheetViews>
    <sheetView topLeftCell="A25" zoomScale="85" zoomScaleNormal="85" workbookViewId="0">
      <selection activeCell="L57" sqref="L57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7.77734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A1" s="2" t="s">
        <v>129</v>
      </c>
      <c r="F1" s="15" t="s">
        <v>0</v>
      </c>
      <c r="G1" s="19" t="s">
        <v>145</v>
      </c>
      <c r="H1" s="96" t="s">
        <v>146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250077</v>
      </c>
      <c r="B5" s="4">
        <v>430</v>
      </c>
      <c r="C5" s="6">
        <v>0.5</v>
      </c>
      <c r="D5" s="6" t="s">
        <v>27</v>
      </c>
      <c r="E5" s="7" t="s">
        <v>131</v>
      </c>
      <c r="F5" s="4" t="s">
        <v>45</v>
      </c>
      <c r="G5" s="4">
        <v>430</v>
      </c>
      <c r="H5" s="8">
        <v>1400</v>
      </c>
      <c r="I5" s="9">
        <f>660+748</f>
        <v>1408</v>
      </c>
      <c r="J5" s="33">
        <f t="shared" ref="J5:J14" si="0">H5-I5</f>
        <v>-8</v>
      </c>
    </row>
    <row r="6" spans="1:10" ht="19.95" customHeight="1" x14ac:dyDescent="0.3">
      <c r="A6" s="4">
        <v>250072</v>
      </c>
      <c r="B6" s="4">
        <v>304</v>
      </c>
      <c r="C6" s="6">
        <v>0.7</v>
      </c>
      <c r="D6" s="6" t="s">
        <v>11</v>
      </c>
      <c r="E6" s="7" t="s">
        <v>127</v>
      </c>
      <c r="F6" s="21" t="s">
        <v>45</v>
      </c>
      <c r="G6" s="4">
        <v>430</v>
      </c>
      <c r="H6" s="8">
        <v>750</v>
      </c>
      <c r="I6" s="9">
        <v>751</v>
      </c>
      <c r="J6" s="33">
        <f t="shared" si="0"/>
        <v>-1</v>
      </c>
    </row>
    <row r="7" spans="1:10" ht="19.95" customHeight="1" x14ac:dyDescent="0.3">
      <c r="A7" s="4">
        <v>250071</v>
      </c>
      <c r="B7" s="4">
        <v>304</v>
      </c>
      <c r="C7" s="6">
        <v>0.7</v>
      </c>
      <c r="D7" s="6" t="s">
        <v>11</v>
      </c>
      <c r="E7" s="7" t="s">
        <v>128</v>
      </c>
      <c r="F7" s="21" t="s">
        <v>107</v>
      </c>
      <c r="G7" s="4">
        <v>430</v>
      </c>
      <c r="H7" s="8">
        <v>750</v>
      </c>
      <c r="I7" s="9">
        <v>751</v>
      </c>
      <c r="J7" s="33">
        <f t="shared" si="0"/>
        <v>-1</v>
      </c>
    </row>
    <row r="8" spans="1:10" ht="19.95" customHeight="1" x14ac:dyDescent="0.3">
      <c r="A8" s="4">
        <v>160925</v>
      </c>
      <c r="B8" s="4">
        <v>304</v>
      </c>
      <c r="C8" s="6">
        <v>0.9</v>
      </c>
      <c r="D8" s="6" t="s">
        <v>43</v>
      </c>
      <c r="E8" s="7" t="s">
        <v>132</v>
      </c>
      <c r="F8" s="21" t="s">
        <v>41</v>
      </c>
      <c r="G8" s="4">
        <v>430</v>
      </c>
      <c r="H8" s="8">
        <v>1100</v>
      </c>
      <c r="I8" s="9">
        <f>523+622</f>
        <v>1145</v>
      </c>
      <c r="J8" s="33">
        <f t="shared" si="0"/>
        <v>-45</v>
      </c>
    </row>
    <row r="9" spans="1:10" ht="19.95" hidden="1" customHeight="1" x14ac:dyDescent="0.3">
      <c r="A9" s="4"/>
      <c r="B9" s="4"/>
      <c r="C9" s="6"/>
      <c r="D9" s="6"/>
      <c r="E9" s="7"/>
      <c r="F9" s="21"/>
      <c r="G9" s="4"/>
      <c r="H9" s="8"/>
      <c r="I9" s="9"/>
      <c r="J9" s="23">
        <f t="shared" si="0"/>
        <v>0</v>
      </c>
    </row>
    <row r="10" spans="1:10" ht="19.95" hidden="1" customHeight="1" x14ac:dyDescent="0.3">
      <c r="A10" s="4"/>
      <c r="B10" s="4"/>
      <c r="C10" s="6"/>
      <c r="D10" s="6"/>
      <c r="E10" s="7"/>
      <c r="F10" s="21"/>
      <c r="G10" s="4"/>
      <c r="H10" s="8"/>
      <c r="I10" s="9"/>
      <c r="J10" s="23">
        <f t="shared" si="0"/>
        <v>0</v>
      </c>
    </row>
    <row r="11" spans="1:10" ht="19.95" hidden="1" customHeight="1" x14ac:dyDescent="0.3">
      <c r="A11" s="4"/>
      <c r="B11" s="4"/>
      <c r="C11" s="6"/>
      <c r="D11" s="6"/>
      <c r="E11" s="7"/>
      <c r="F11" s="21"/>
      <c r="G11" s="4"/>
      <c r="H11" s="8"/>
      <c r="I11" s="9"/>
      <c r="J11" s="23">
        <f t="shared" si="0"/>
        <v>0</v>
      </c>
    </row>
    <row r="12" spans="1:10" ht="19.95" hidden="1" customHeight="1" x14ac:dyDescent="0.3">
      <c r="A12" s="4"/>
      <c r="B12" s="4"/>
      <c r="C12" s="6"/>
      <c r="D12" s="6"/>
      <c r="E12" s="7"/>
      <c r="F12" s="21"/>
      <c r="G12" s="4"/>
      <c r="H12" s="8"/>
      <c r="I12" s="9"/>
      <c r="J12" s="23">
        <f t="shared" si="0"/>
        <v>0</v>
      </c>
    </row>
    <row r="13" spans="1:10" ht="19.95" hidden="1" customHeight="1" x14ac:dyDescent="0.3">
      <c r="A13" s="4"/>
      <c r="B13" s="4"/>
      <c r="C13" s="6"/>
      <c r="D13" s="6"/>
      <c r="E13" s="7"/>
      <c r="F13" s="21"/>
      <c r="G13" s="4"/>
      <c r="H13" s="8"/>
      <c r="I13" s="9"/>
      <c r="J13" s="23">
        <f t="shared" si="0"/>
        <v>0</v>
      </c>
    </row>
    <row r="14" spans="1:10" ht="19.95" customHeight="1" x14ac:dyDescent="0.3">
      <c r="A14" s="4"/>
      <c r="B14" s="4"/>
      <c r="C14" s="6"/>
      <c r="D14" s="6"/>
      <c r="E14" s="7"/>
      <c r="F14" s="21"/>
      <c r="G14" s="4"/>
      <c r="H14" s="8"/>
      <c r="I14" s="9"/>
      <c r="J14" s="23">
        <f t="shared" si="0"/>
        <v>0</v>
      </c>
    </row>
    <row r="15" spans="1:10" ht="19.95" customHeight="1" x14ac:dyDescent="0.3">
      <c r="A15" s="10"/>
      <c r="B15" s="10"/>
      <c r="C15" s="10"/>
      <c r="D15" s="10"/>
      <c r="E15" s="11"/>
      <c r="F15" s="10"/>
      <c r="G15" s="12"/>
      <c r="H15" s="13">
        <f>SUM(H5:H14)</f>
        <v>4000</v>
      </c>
      <c r="I15" s="14">
        <f>SUM(I5:I14)</f>
        <v>4055</v>
      </c>
      <c r="J15" s="23">
        <f>SUM(J5:J14)</f>
        <v>-55</v>
      </c>
    </row>
    <row r="17" spans="1:10" ht="30" customHeight="1" x14ac:dyDescent="0.3">
      <c r="A17" s="94" t="s">
        <v>17</v>
      </c>
      <c r="B17" s="94"/>
      <c r="C17" s="94"/>
      <c r="D17" s="94"/>
      <c r="E17" s="94"/>
      <c r="F17" s="94"/>
      <c r="G17" s="94"/>
      <c r="H17" s="94"/>
      <c r="I17" s="94"/>
      <c r="J17" s="94"/>
    </row>
    <row r="18" spans="1:10" ht="30" customHeight="1" x14ac:dyDescent="0.3">
      <c r="A18" s="4" t="s">
        <v>1</v>
      </c>
      <c r="B18" s="4" t="s">
        <v>2</v>
      </c>
      <c r="C18" s="5" t="s">
        <v>3</v>
      </c>
      <c r="D18" s="5" t="s">
        <v>4</v>
      </c>
      <c r="E18" s="4" t="s">
        <v>5</v>
      </c>
      <c r="F18" s="5" t="s">
        <v>6</v>
      </c>
      <c r="G18" s="5" t="s">
        <v>7</v>
      </c>
      <c r="H18" s="4" t="s">
        <v>8</v>
      </c>
      <c r="I18" s="4" t="s">
        <v>9</v>
      </c>
      <c r="J18" s="4" t="s">
        <v>10</v>
      </c>
    </row>
    <row r="19" spans="1:10" ht="19.95" customHeight="1" x14ac:dyDescent="0.3">
      <c r="A19" s="4">
        <v>160925</v>
      </c>
      <c r="B19" s="4">
        <v>304</v>
      </c>
      <c r="C19" s="6">
        <v>0.7</v>
      </c>
      <c r="D19" s="5" t="s">
        <v>55</v>
      </c>
      <c r="E19" s="7" t="s">
        <v>133</v>
      </c>
      <c r="F19" s="4" t="s">
        <v>45</v>
      </c>
      <c r="G19" s="4">
        <v>430</v>
      </c>
      <c r="H19" s="8">
        <v>1100</v>
      </c>
      <c r="I19" s="9">
        <v>1107</v>
      </c>
      <c r="J19" s="33">
        <f t="shared" ref="J19:J23" si="1">H19-I19</f>
        <v>-7</v>
      </c>
    </row>
    <row r="20" spans="1:10" ht="19.95" customHeight="1" x14ac:dyDescent="0.3">
      <c r="A20" s="4">
        <v>180925</v>
      </c>
      <c r="B20" s="4">
        <v>304</v>
      </c>
      <c r="C20" s="6">
        <v>0.7</v>
      </c>
      <c r="D20" s="6" t="s">
        <v>55</v>
      </c>
      <c r="E20" s="7" t="s">
        <v>136</v>
      </c>
      <c r="F20" s="4" t="s">
        <v>45</v>
      </c>
      <c r="G20" s="4">
        <v>430</v>
      </c>
      <c r="H20" s="8">
        <v>2100</v>
      </c>
      <c r="I20" s="9">
        <v>2108</v>
      </c>
      <c r="J20" s="33">
        <f t="shared" si="1"/>
        <v>-8</v>
      </c>
    </row>
    <row r="21" spans="1:10" ht="19.95" customHeight="1" x14ac:dyDescent="0.3">
      <c r="A21" s="4">
        <v>160925</v>
      </c>
      <c r="B21" s="4">
        <v>304</v>
      </c>
      <c r="C21" s="6">
        <v>0.7</v>
      </c>
      <c r="D21" s="6" t="s">
        <v>55</v>
      </c>
      <c r="E21" s="7" t="s">
        <v>134</v>
      </c>
      <c r="F21" s="4" t="s">
        <v>45</v>
      </c>
      <c r="G21" s="4">
        <v>430</v>
      </c>
      <c r="H21" s="8">
        <v>1100</v>
      </c>
      <c r="I21" s="9">
        <v>1105</v>
      </c>
      <c r="J21" s="33">
        <f t="shared" si="1"/>
        <v>-5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33">
        <f t="shared" si="1"/>
        <v>0</v>
      </c>
    </row>
    <row r="23" spans="1:10" ht="19.95" customHeight="1" x14ac:dyDescent="0.3">
      <c r="A23" s="4"/>
      <c r="B23" s="4"/>
      <c r="C23" s="4"/>
      <c r="D23" s="4"/>
      <c r="E23" s="7"/>
      <c r="F23" s="4"/>
      <c r="G23" s="4"/>
      <c r="H23" s="8"/>
      <c r="I23" s="9"/>
      <c r="J23" s="23">
        <f t="shared" si="1"/>
        <v>0</v>
      </c>
    </row>
    <row r="24" spans="1:10" ht="19.95" customHeight="1" x14ac:dyDescent="0.3">
      <c r="A24" s="10"/>
      <c r="B24" s="10"/>
      <c r="C24" s="10"/>
      <c r="D24" s="10"/>
      <c r="E24" s="11"/>
      <c r="F24" s="10"/>
      <c r="G24" s="12"/>
      <c r="H24" s="8">
        <f>SUM(H19:H23)</f>
        <v>4300</v>
      </c>
      <c r="I24" s="9">
        <f>SUM(I19:I23)</f>
        <v>4320</v>
      </c>
      <c r="J24" s="23">
        <f>SUM(J19:J23)</f>
        <v>-20</v>
      </c>
    </row>
    <row r="26" spans="1:10" ht="30" customHeight="1" x14ac:dyDescent="0.3">
      <c r="A26" s="94" t="s">
        <v>18</v>
      </c>
      <c r="B26" s="94"/>
      <c r="C26" s="94"/>
      <c r="D26" s="94"/>
      <c r="E26" s="94"/>
      <c r="F26" s="94"/>
      <c r="G26" s="94"/>
      <c r="H26" s="94"/>
      <c r="I26" s="94"/>
      <c r="J26" s="94"/>
    </row>
    <row r="27" spans="1:10" ht="30" customHeight="1" x14ac:dyDescent="0.3">
      <c r="A27" s="4" t="s">
        <v>1</v>
      </c>
      <c r="B27" s="4" t="s">
        <v>2</v>
      </c>
      <c r="C27" s="5" t="s">
        <v>3</v>
      </c>
      <c r="D27" s="5" t="s">
        <v>4</v>
      </c>
      <c r="E27" s="4" t="s">
        <v>5</v>
      </c>
      <c r="F27" s="5" t="s">
        <v>6</v>
      </c>
      <c r="G27" s="5" t="s">
        <v>7</v>
      </c>
      <c r="H27" s="4" t="s">
        <v>8</v>
      </c>
      <c r="I27" s="4" t="s">
        <v>9</v>
      </c>
      <c r="J27" s="4" t="s">
        <v>10</v>
      </c>
    </row>
    <row r="28" spans="1:10" ht="19.95" customHeight="1" x14ac:dyDescent="0.3">
      <c r="A28" s="4">
        <v>180925</v>
      </c>
      <c r="B28" s="4">
        <v>304</v>
      </c>
      <c r="C28" s="6">
        <v>0.7</v>
      </c>
      <c r="D28" s="6" t="s">
        <v>55</v>
      </c>
      <c r="E28" s="7" t="s">
        <v>135</v>
      </c>
      <c r="F28" s="4" t="s">
        <v>45</v>
      </c>
      <c r="G28" s="4">
        <v>430</v>
      </c>
      <c r="H28" s="8">
        <v>2100</v>
      </c>
      <c r="I28" s="9"/>
      <c r="J28" s="23">
        <f t="shared" ref="J28:J38" si="2">H28-I28</f>
        <v>2100</v>
      </c>
    </row>
    <row r="29" spans="1:10" ht="19.95" customHeight="1" x14ac:dyDescent="0.3">
      <c r="A29" s="4">
        <v>160925</v>
      </c>
      <c r="B29" s="4">
        <v>304</v>
      </c>
      <c r="C29" s="6">
        <v>0.7</v>
      </c>
      <c r="D29" s="6" t="s">
        <v>55</v>
      </c>
      <c r="E29" s="7" t="s">
        <v>137</v>
      </c>
      <c r="F29" s="21" t="s">
        <v>45</v>
      </c>
      <c r="G29" s="4">
        <v>430</v>
      </c>
      <c r="H29" s="8">
        <v>1100</v>
      </c>
      <c r="I29" s="9"/>
      <c r="J29" s="23">
        <f t="shared" si="2"/>
        <v>1100</v>
      </c>
    </row>
    <row r="30" spans="1:10" ht="19.95" customHeight="1" x14ac:dyDescent="0.3">
      <c r="A30" s="4">
        <v>160925</v>
      </c>
      <c r="B30" s="4">
        <v>304</v>
      </c>
      <c r="C30" s="6">
        <v>0.7</v>
      </c>
      <c r="D30" s="6" t="s">
        <v>55</v>
      </c>
      <c r="E30" s="7" t="s">
        <v>138</v>
      </c>
      <c r="F30" s="21" t="s">
        <v>45</v>
      </c>
      <c r="G30" s="4">
        <v>430</v>
      </c>
      <c r="H30" s="8">
        <v>1100</v>
      </c>
      <c r="I30" s="9"/>
      <c r="J30" s="23">
        <f t="shared" si="2"/>
        <v>1100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23">
        <f t="shared" si="2"/>
        <v>0</v>
      </c>
    </row>
    <row r="32" spans="1:10" ht="19.95" hidden="1" customHeight="1" x14ac:dyDescent="0.3">
      <c r="A32" s="4"/>
      <c r="B32" s="4"/>
      <c r="C32" s="6"/>
      <c r="D32" s="6"/>
      <c r="E32" s="7"/>
      <c r="F32" s="21"/>
      <c r="G32" s="4"/>
      <c r="H32" s="8"/>
      <c r="I32" s="9">
        <v>0</v>
      </c>
      <c r="J32" s="23">
        <f t="shared" si="2"/>
        <v>0</v>
      </c>
    </row>
    <row r="33" spans="1:10" ht="19.95" hidden="1" customHeight="1" x14ac:dyDescent="0.3">
      <c r="A33" s="4"/>
      <c r="B33" s="4"/>
      <c r="C33" s="6"/>
      <c r="D33" s="6"/>
      <c r="E33" s="7"/>
      <c r="F33" s="21"/>
      <c r="G33" s="4"/>
      <c r="H33" s="8"/>
      <c r="I33" s="9">
        <v>0</v>
      </c>
      <c r="J33" s="23">
        <f t="shared" si="2"/>
        <v>0</v>
      </c>
    </row>
    <row r="34" spans="1:10" ht="19.95" hidden="1" customHeight="1" x14ac:dyDescent="0.3">
      <c r="A34" s="4"/>
      <c r="B34" s="4"/>
      <c r="C34" s="6"/>
      <c r="D34" s="6"/>
      <c r="E34" s="7"/>
      <c r="F34" s="21"/>
      <c r="G34" s="4"/>
      <c r="H34" s="8"/>
      <c r="I34" s="9">
        <v>0</v>
      </c>
      <c r="J34" s="23">
        <f t="shared" si="2"/>
        <v>0</v>
      </c>
    </row>
    <row r="35" spans="1:10" ht="19.95" hidden="1" customHeight="1" x14ac:dyDescent="0.3">
      <c r="A35" s="4"/>
      <c r="B35" s="4"/>
      <c r="C35" s="6"/>
      <c r="D35" s="6"/>
      <c r="E35" s="7"/>
      <c r="F35" s="21"/>
      <c r="G35" s="4"/>
      <c r="H35" s="8"/>
      <c r="I35" s="9">
        <v>0</v>
      </c>
      <c r="J35" s="23">
        <f t="shared" si="2"/>
        <v>0</v>
      </c>
    </row>
    <row r="36" spans="1:10" ht="19.95" hidden="1" customHeight="1" x14ac:dyDescent="0.3">
      <c r="A36" s="4"/>
      <c r="B36" s="4"/>
      <c r="C36" s="6"/>
      <c r="D36" s="6"/>
      <c r="E36" s="7"/>
      <c r="F36" s="21"/>
      <c r="G36" s="4"/>
      <c r="H36" s="8"/>
      <c r="I36" s="9">
        <v>0</v>
      </c>
      <c r="J36" s="23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>
        <v>0</v>
      </c>
      <c r="J37" s="23">
        <f t="shared" si="2"/>
        <v>0</v>
      </c>
    </row>
    <row r="38" spans="1:10" ht="19.95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23">
        <f t="shared" si="2"/>
        <v>0</v>
      </c>
    </row>
    <row r="39" spans="1:10" ht="19.95" customHeight="1" x14ac:dyDescent="0.3">
      <c r="A39" s="10"/>
      <c r="B39" s="10"/>
      <c r="C39" s="10"/>
      <c r="D39" s="10"/>
      <c r="E39" s="11"/>
      <c r="F39" s="10"/>
      <c r="G39" s="12"/>
      <c r="H39" s="8">
        <f>SUM(H28:H38)</f>
        <v>4300</v>
      </c>
      <c r="I39" s="9">
        <f>SUM(I28:I38)</f>
        <v>0</v>
      </c>
      <c r="J39" s="23">
        <f>SUM(J28:J38)</f>
        <v>4300</v>
      </c>
    </row>
    <row r="41" spans="1:10" ht="30" customHeight="1" x14ac:dyDescent="0.3">
      <c r="A41" s="94" t="s">
        <v>20</v>
      </c>
      <c r="B41" s="94"/>
      <c r="C41" s="94"/>
      <c r="D41" s="94"/>
      <c r="E41" s="94"/>
      <c r="F41" s="94"/>
      <c r="G41" s="94"/>
      <c r="H41" s="94"/>
      <c r="I41" s="94"/>
      <c r="J41" s="94"/>
    </row>
    <row r="42" spans="1:10" ht="30" customHeight="1" x14ac:dyDescent="0.3">
      <c r="A42" s="4" t="s">
        <v>1</v>
      </c>
      <c r="B42" s="4" t="s">
        <v>2</v>
      </c>
      <c r="C42" s="5" t="s">
        <v>3</v>
      </c>
      <c r="D42" s="5" t="s">
        <v>4</v>
      </c>
      <c r="E42" s="4" t="s">
        <v>5</v>
      </c>
      <c r="F42" s="5" t="s">
        <v>6</v>
      </c>
      <c r="G42" s="5" t="s">
        <v>7</v>
      </c>
      <c r="H42" s="4" t="s">
        <v>8</v>
      </c>
      <c r="I42" s="4" t="s">
        <v>9</v>
      </c>
      <c r="J42" s="4" t="s">
        <v>10</v>
      </c>
    </row>
    <row r="43" spans="1:10" ht="19.95" customHeight="1" x14ac:dyDescent="0.3">
      <c r="A43" s="4">
        <v>180925</v>
      </c>
      <c r="B43" s="4">
        <v>304</v>
      </c>
      <c r="C43" s="6">
        <v>0.7</v>
      </c>
      <c r="D43" s="6" t="s">
        <v>55</v>
      </c>
      <c r="E43" s="7" t="s">
        <v>139</v>
      </c>
      <c r="F43" s="4" t="s">
        <v>45</v>
      </c>
      <c r="G43" s="4">
        <v>430</v>
      </c>
      <c r="H43" s="8">
        <v>2100</v>
      </c>
      <c r="I43" s="9"/>
      <c r="J43" s="23">
        <f t="shared" ref="J43:J51" si="3">H43-I43</f>
        <v>2100</v>
      </c>
    </row>
    <row r="44" spans="1:10" ht="19.95" customHeight="1" x14ac:dyDescent="0.3">
      <c r="A44" s="4">
        <v>180925</v>
      </c>
      <c r="B44" s="4">
        <v>304</v>
      </c>
      <c r="C44" s="6">
        <v>0.7</v>
      </c>
      <c r="D44" s="6" t="s">
        <v>55</v>
      </c>
      <c r="E44" s="7" t="s">
        <v>140</v>
      </c>
      <c r="F44" s="21" t="s">
        <v>45</v>
      </c>
      <c r="G44" s="4">
        <v>430</v>
      </c>
      <c r="H44" s="8">
        <v>2100</v>
      </c>
      <c r="I44" s="9"/>
      <c r="J44" s="23">
        <f t="shared" si="3"/>
        <v>2100</v>
      </c>
    </row>
    <row r="45" spans="1:10" ht="19.95" customHeight="1" x14ac:dyDescent="0.3">
      <c r="A45" s="4"/>
      <c r="B45" s="4"/>
      <c r="C45" s="6"/>
      <c r="D45" s="6"/>
      <c r="E45" s="7"/>
      <c r="F45" s="21"/>
      <c r="G45" s="4"/>
      <c r="H45" s="8"/>
      <c r="I45" s="9"/>
      <c r="J45" s="23">
        <f t="shared" si="3"/>
        <v>0</v>
      </c>
    </row>
    <row r="46" spans="1:10" ht="19.95" customHeight="1" x14ac:dyDescent="0.3">
      <c r="A46" s="4"/>
      <c r="B46" s="4"/>
      <c r="C46" s="6"/>
      <c r="D46" s="6"/>
      <c r="E46" s="7"/>
      <c r="F46" s="21"/>
      <c r="G46" s="4"/>
      <c r="H46" s="8"/>
      <c r="I46" s="9"/>
      <c r="J46" s="23">
        <f t="shared" si="3"/>
        <v>0</v>
      </c>
    </row>
    <row r="47" spans="1:10" ht="19.95" hidden="1" customHeight="1" x14ac:dyDescent="0.3">
      <c r="A47" s="4"/>
      <c r="B47" s="4"/>
      <c r="C47" s="6"/>
      <c r="D47" s="6"/>
      <c r="E47" s="7"/>
      <c r="F47" s="21"/>
      <c r="G47" s="4"/>
      <c r="H47" s="8"/>
      <c r="I47" s="9"/>
      <c r="J47" s="23">
        <f t="shared" si="3"/>
        <v>0</v>
      </c>
    </row>
    <row r="48" spans="1:10" ht="19.95" hidden="1" customHeight="1" x14ac:dyDescent="0.3">
      <c r="A48" s="4"/>
      <c r="B48" s="4"/>
      <c r="C48" s="6"/>
      <c r="D48" s="6"/>
      <c r="E48" s="7"/>
      <c r="F48" s="21"/>
      <c r="G48" s="4"/>
      <c r="H48" s="8"/>
      <c r="I48" s="9"/>
      <c r="J48" s="23">
        <f t="shared" si="3"/>
        <v>0</v>
      </c>
    </row>
    <row r="49" spans="1:10" ht="19.95" hidden="1" customHeight="1" x14ac:dyDescent="0.3">
      <c r="A49" s="4"/>
      <c r="B49" s="4"/>
      <c r="C49" s="6"/>
      <c r="D49" s="6"/>
      <c r="E49" s="7"/>
      <c r="F49" s="21"/>
      <c r="G49" s="4"/>
      <c r="H49" s="8"/>
      <c r="I49" s="9"/>
      <c r="J49" s="23">
        <f t="shared" si="3"/>
        <v>0</v>
      </c>
    </row>
    <row r="50" spans="1:10" ht="19.95" hidden="1" customHeight="1" x14ac:dyDescent="0.3">
      <c r="A50" s="4"/>
      <c r="B50" s="4"/>
      <c r="C50" s="6"/>
      <c r="D50" s="6"/>
      <c r="E50" s="7"/>
      <c r="F50" s="21"/>
      <c r="G50" s="4"/>
      <c r="H50" s="8"/>
      <c r="I50" s="9"/>
      <c r="J50" s="23">
        <f t="shared" si="3"/>
        <v>0</v>
      </c>
    </row>
    <row r="51" spans="1:10" ht="19.95" hidden="1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23">
        <f t="shared" si="3"/>
        <v>0</v>
      </c>
    </row>
    <row r="52" spans="1:10" ht="19.95" hidden="1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23">
        <v>0</v>
      </c>
    </row>
    <row r="53" spans="1:10" ht="19.95" customHeight="1" x14ac:dyDescent="0.3">
      <c r="A53" s="4"/>
      <c r="B53" s="4"/>
      <c r="C53" s="6"/>
      <c r="D53" s="6"/>
      <c r="E53" s="7"/>
      <c r="F53" s="21"/>
      <c r="G53" s="4"/>
      <c r="H53" s="8"/>
      <c r="I53" s="9"/>
      <c r="J53" s="23">
        <v>0</v>
      </c>
    </row>
    <row r="54" spans="1:10" ht="19.95" customHeight="1" x14ac:dyDescent="0.3">
      <c r="A54" s="10"/>
      <c r="B54" s="10"/>
      <c r="C54" s="10"/>
      <c r="D54" s="10"/>
      <c r="E54" s="11"/>
      <c r="F54" s="10"/>
      <c r="G54" s="12"/>
      <c r="H54" s="8">
        <f>SUM(H43:H53)</f>
        <v>4200</v>
      </c>
      <c r="I54" s="9">
        <f>SUM(I43:I53)</f>
        <v>0</v>
      </c>
      <c r="J54" s="23">
        <f>SUM(J43:J53)</f>
        <v>4200</v>
      </c>
    </row>
    <row r="55" spans="1:10" ht="19.95" customHeight="1" x14ac:dyDescent="0.3">
      <c r="A55" s="15"/>
      <c r="B55" s="15"/>
      <c r="C55" s="15"/>
      <c r="D55" s="15"/>
      <c r="E55" s="16"/>
      <c r="F55" s="15"/>
      <c r="G55" s="15"/>
      <c r="H55" s="17"/>
      <c r="I55" s="18"/>
      <c r="J55" s="17"/>
    </row>
    <row r="56" spans="1:10" ht="30" customHeight="1" x14ac:dyDescent="0.3">
      <c r="A56" s="94" t="s">
        <v>19</v>
      </c>
      <c r="B56" s="94"/>
      <c r="C56" s="94"/>
      <c r="D56" s="94"/>
      <c r="E56" s="94"/>
      <c r="F56" s="94"/>
      <c r="G56" s="94"/>
      <c r="H56" s="94"/>
      <c r="I56" s="94"/>
      <c r="J56" s="94"/>
    </row>
    <row r="57" spans="1:10" ht="30" customHeight="1" x14ac:dyDescent="0.3">
      <c r="A57" s="4" t="s">
        <v>1</v>
      </c>
      <c r="B57" s="4" t="s">
        <v>2</v>
      </c>
      <c r="C57" s="5" t="s">
        <v>3</v>
      </c>
      <c r="D57" s="5" t="s">
        <v>4</v>
      </c>
      <c r="E57" s="4" t="s">
        <v>5</v>
      </c>
      <c r="F57" s="5" t="s">
        <v>6</v>
      </c>
      <c r="G57" s="5" t="s">
        <v>7</v>
      </c>
      <c r="H57" s="4" t="s">
        <v>8</v>
      </c>
      <c r="I57" s="4" t="s">
        <v>9</v>
      </c>
      <c r="J57" s="4" t="s">
        <v>10</v>
      </c>
    </row>
    <row r="58" spans="1:10" ht="19.95" customHeight="1" x14ac:dyDescent="0.3">
      <c r="A58" s="4">
        <v>250077</v>
      </c>
      <c r="B58" s="4">
        <v>430</v>
      </c>
      <c r="C58" s="6">
        <v>0.5</v>
      </c>
      <c r="D58" s="6" t="s">
        <v>27</v>
      </c>
      <c r="E58" s="7" t="s">
        <v>141</v>
      </c>
      <c r="F58" s="4" t="s">
        <v>45</v>
      </c>
      <c r="G58" s="4">
        <v>430</v>
      </c>
      <c r="H58" s="8">
        <v>1400</v>
      </c>
      <c r="I58" s="9"/>
      <c r="J58" s="23">
        <f t="shared" ref="J58:J69" si="4">H58-I58</f>
        <v>1400</v>
      </c>
    </row>
    <row r="59" spans="1:10" ht="19.95" customHeight="1" x14ac:dyDescent="0.3">
      <c r="A59" s="4">
        <v>290925</v>
      </c>
      <c r="B59" s="4">
        <v>304</v>
      </c>
      <c r="C59" s="6">
        <v>0.8</v>
      </c>
      <c r="D59" s="6" t="s">
        <v>43</v>
      </c>
      <c r="E59" s="7" t="s">
        <v>142</v>
      </c>
      <c r="F59" s="21" t="s">
        <v>41</v>
      </c>
      <c r="G59" s="4">
        <v>430</v>
      </c>
      <c r="H59" s="8">
        <v>4000</v>
      </c>
      <c r="I59" s="9">
        <v>411</v>
      </c>
      <c r="J59" s="23">
        <f t="shared" si="4"/>
        <v>3589</v>
      </c>
    </row>
    <row r="60" spans="1:10" ht="19.95" customHeight="1" x14ac:dyDescent="0.3">
      <c r="A60" s="4"/>
      <c r="B60" s="4"/>
      <c r="C60" s="6"/>
      <c r="D60" s="6"/>
      <c r="E60" s="7"/>
      <c r="F60" s="21"/>
      <c r="G60" s="4"/>
      <c r="H60" s="8"/>
      <c r="I60" s="9"/>
      <c r="J60" s="23">
        <f t="shared" si="4"/>
        <v>0</v>
      </c>
    </row>
    <row r="61" spans="1:10" ht="19.95" customHeight="1" x14ac:dyDescent="0.3">
      <c r="A61" s="4"/>
      <c r="B61" s="4"/>
      <c r="C61" s="6"/>
      <c r="D61" s="6"/>
      <c r="E61" s="36" t="s">
        <v>144</v>
      </c>
      <c r="F61" s="21"/>
      <c r="G61" s="4"/>
      <c r="H61" s="8"/>
      <c r="I61" s="9"/>
      <c r="J61" s="23">
        <f t="shared" si="4"/>
        <v>0</v>
      </c>
    </row>
    <row r="62" spans="1:10" ht="19.95" hidden="1" customHeight="1" x14ac:dyDescent="0.3">
      <c r="A62" s="4"/>
      <c r="B62" s="4"/>
      <c r="C62" s="6"/>
      <c r="D62" s="6"/>
      <c r="E62" s="7"/>
      <c r="F62" s="21"/>
      <c r="G62" s="4"/>
      <c r="H62" s="8"/>
      <c r="I62" s="9"/>
      <c r="J62" s="23">
        <f t="shared" si="4"/>
        <v>0</v>
      </c>
    </row>
    <row r="63" spans="1:10" ht="19.95" hidden="1" customHeight="1" x14ac:dyDescent="0.3">
      <c r="A63" s="4"/>
      <c r="B63" s="4"/>
      <c r="C63" s="6"/>
      <c r="D63" s="6"/>
      <c r="E63" s="7"/>
      <c r="F63" s="21"/>
      <c r="G63" s="4"/>
      <c r="H63" s="8"/>
      <c r="I63" s="9"/>
      <c r="J63" s="23">
        <f t="shared" si="4"/>
        <v>0</v>
      </c>
    </row>
    <row r="64" spans="1:10" ht="19.95" hidden="1" customHeight="1" x14ac:dyDescent="0.3">
      <c r="A64" s="4"/>
      <c r="B64" s="4"/>
      <c r="C64" s="6"/>
      <c r="D64" s="6"/>
      <c r="E64" s="7"/>
      <c r="F64" s="21"/>
      <c r="G64" s="4"/>
      <c r="H64" s="8"/>
      <c r="I64" s="9"/>
      <c r="J64" s="23">
        <f t="shared" si="4"/>
        <v>0</v>
      </c>
    </row>
    <row r="65" spans="1:10" ht="19.95" hidden="1" customHeight="1" x14ac:dyDescent="0.3">
      <c r="A65" s="4"/>
      <c r="B65" s="4"/>
      <c r="C65" s="6"/>
      <c r="D65" s="6"/>
      <c r="E65" s="7"/>
      <c r="F65" s="21"/>
      <c r="G65" s="4"/>
      <c r="H65" s="8"/>
      <c r="I65" s="9"/>
      <c r="J65" s="23">
        <f t="shared" si="4"/>
        <v>0</v>
      </c>
    </row>
    <row r="66" spans="1:10" s="31" customFormat="1" ht="19.95" hidden="1" customHeight="1" x14ac:dyDescent="0.3">
      <c r="A66" s="25"/>
      <c r="B66" s="25"/>
      <c r="C66" s="26"/>
      <c r="D66" s="26"/>
      <c r="E66" s="27"/>
      <c r="F66" s="28"/>
      <c r="G66" s="25"/>
      <c r="H66" s="29"/>
      <c r="I66" s="9"/>
      <c r="J66" s="35">
        <f t="shared" si="4"/>
        <v>0</v>
      </c>
    </row>
    <row r="67" spans="1:10" ht="19.95" hidden="1" customHeight="1" x14ac:dyDescent="0.3">
      <c r="A67" s="4"/>
      <c r="B67" s="4"/>
      <c r="C67" s="6"/>
      <c r="D67" s="6"/>
      <c r="E67" s="7"/>
      <c r="F67" s="7"/>
      <c r="G67" s="4"/>
      <c r="H67" s="8"/>
      <c r="I67" s="9"/>
      <c r="J67" s="23">
        <f t="shared" si="4"/>
        <v>0</v>
      </c>
    </row>
    <row r="68" spans="1:10" ht="19.95" hidden="1" customHeight="1" x14ac:dyDescent="0.3">
      <c r="A68" s="4"/>
      <c r="B68" s="4"/>
      <c r="C68" s="6"/>
      <c r="D68" s="6"/>
      <c r="E68" s="7"/>
      <c r="F68" s="7"/>
      <c r="G68" s="4"/>
      <c r="H68" s="8"/>
      <c r="I68" s="9"/>
      <c r="J68" s="23">
        <f t="shared" si="4"/>
        <v>0</v>
      </c>
    </row>
    <row r="69" spans="1:10" ht="19.95" customHeight="1" x14ac:dyDescent="0.3">
      <c r="A69" s="4"/>
      <c r="B69" s="4"/>
      <c r="C69" s="6"/>
      <c r="D69" s="6"/>
      <c r="E69" s="7"/>
      <c r="F69" s="7"/>
      <c r="G69" s="4"/>
      <c r="H69" s="8"/>
      <c r="I69" s="9"/>
      <c r="J69" s="23">
        <f t="shared" si="4"/>
        <v>0</v>
      </c>
    </row>
    <row r="70" spans="1:10" ht="19.95" customHeight="1" x14ac:dyDescent="0.3">
      <c r="A70" s="10"/>
      <c r="B70" s="10"/>
      <c r="C70" s="10"/>
      <c r="D70" s="10"/>
      <c r="E70" s="11"/>
      <c r="F70" s="10"/>
      <c r="G70" s="12"/>
      <c r="H70" s="8">
        <f>SUM(H58:H69)</f>
        <v>5400</v>
      </c>
      <c r="I70" s="9">
        <f>SUM(I58:I69)</f>
        <v>411</v>
      </c>
      <c r="J70" s="23">
        <f>SUM(J58:J69)</f>
        <v>4989</v>
      </c>
    </row>
    <row r="71" spans="1:10" ht="19.95" customHeight="1" x14ac:dyDescent="0.3">
      <c r="A71" s="15"/>
      <c r="B71" s="15"/>
      <c r="C71" s="15"/>
      <c r="D71" s="15"/>
      <c r="E71" s="16"/>
      <c r="F71" s="15"/>
      <c r="G71" s="15"/>
      <c r="H71" s="17"/>
      <c r="I71" s="18"/>
      <c r="J71" s="17"/>
    </row>
    <row r="72" spans="1:10" ht="30" customHeight="1" x14ac:dyDescent="0.3">
      <c r="A72" s="94" t="s">
        <v>23</v>
      </c>
      <c r="B72" s="94"/>
      <c r="C72" s="94"/>
      <c r="D72" s="94"/>
      <c r="E72" s="94"/>
      <c r="F72" s="94"/>
      <c r="G72" s="94"/>
      <c r="H72" s="94"/>
      <c r="I72" s="94"/>
      <c r="J72" s="94"/>
    </row>
    <row r="73" spans="1:10" ht="30" customHeight="1" x14ac:dyDescent="0.3">
      <c r="A73" s="4" t="s">
        <v>1</v>
      </c>
      <c r="B73" s="4" t="s">
        <v>2</v>
      </c>
      <c r="C73" s="5" t="s">
        <v>3</v>
      </c>
      <c r="D73" s="5" t="s">
        <v>4</v>
      </c>
      <c r="E73" s="4" t="s">
        <v>5</v>
      </c>
      <c r="F73" s="5" t="s">
        <v>6</v>
      </c>
      <c r="G73" s="5" t="s">
        <v>7</v>
      </c>
      <c r="H73" s="4" t="s">
        <v>8</v>
      </c>
      <c r="I73" s="4" t="s">
        <v>9</v>
      </c>
      <c r="J73" s="4" t="s">
        <v>10</v>
      </c>
    </row>
    <row r="74" spans="1:10" ht="19.95" customHeight="1" x14ac:dyDescent="0.3">
      <c r="A74" s="4">
        <v>290925</v>
      </c>
      <c r="B74" s="4">
        <v>304</v>
      </c>
      <c r="C74" s="6">
        <v>0.8</v>
      </c>
      <c r="D74" s="6" t="s">
        <v>43</v>
      </c>
      <c r="E74" s="7" t="s">
        <v>143</v>
      </c>
      <c r="F74" s="4" t="s">
        <v>41</v>
      </c>
      <c r="G74" s="4">
        <v>430</v>
      </c>
      <c r="H74" s="8">
        <v>3000</v>
      </c>
      <c r="I74" s="9"/>
      <c r="J74" s="23">
        <f t="shared" ref="J74:J95" si="5">H74-I74</f>
        <v>3000</v>
      </c>
    </row>
    <row r="75" spans="1:10" ht="19.95" customHeight="1" x14ac:dyDescent="0.3">
      <c r="A75" s="4"/>
      <c r="B75" s="4"/>
      <c r="C75" s="6"/>
      <c r="D75" s="6"/>
      <c r="E75" s="7"/>
      <c r="F75" s="21"/>
      <c r="G75" s="4"/>
      <c r="H75" s="8"/>
      <c r="I75" s="9"/>
      <c r="J75" s="23">
        <f t="shared" si="5"/>
        <v>0</v>
      </c>
    </row>
    <row r="76" spans="1:10" ht="19.95" customHeight="1" x14ac:dyDescent="0.3">
      <c r="A76" s="4"/>
      <c r="B76" s="4"/>
      <c r="C76" s="6"/>
      <c r="D76" s="6"/>
      <c r="E76" s="7"/>
      <c r="F76" s="21"/>
      <c r="G76" s="4"/>
      <c r="H76" s="8"/>
      <c r="I76" s="9"/>
      <c r="J76" s="8">
        <f t="shared" si="5"/>
        <v>0</v>
      </c>
    </row>
    <row r="77" spans="1:10" ht="19.95" customHeight="1" x14ac:dyDescent="0.3">
      <c r="A77" s="4"/>
      <c r="B77" s="4"/>
      <c r="C77" s="6"/>
      <c r="D77" s="6"/>
      <c r="E77" s="7"/>
      <c r="F77" s="21"/>
      <c r="G77" s="4"/>
      <c r="H77" s="8"/>
      <c r="I77" s="9"/>
      <c r="J77" s="23">
        <f t="shared" si="5"/>
        <v>0</v>
      </c>
    </row>
    <row r="78" spans="1:10" ht="19.95" customHeight="1" x14ac:dyDescent="0.3">
      <c r="A78" s="4"/>
      <c r="B78" s="4"/>
      <c r="C78" s="6"/>
      <c r="D78" s="6"/>
      <c r="E78" s="7"/>
      <c r="F78" s="4"/>
      <c r="G78" s="4"/>
      <c r="H78" s="8"/>
      <c r="I78" s="9"/>
      <c r="J78" s="23">
        <f t="shared" si="5"/>
        <v>0</v>
      </c>
    </row>
    <row r="79" spans="1:10" ht="19.95" hidden="1" customHeight="1" x14ac:dyDescent="0.3">
      <c r="A79" s="4"/>
      <c r="B79" s="4"/>
      <c r="C79" s="6"/>
      <c r="D79" s="6"/>
      <c r="E79" s="7"/>
      <c r="F79" s="21"/>
      <c r="G79" s="4"/>
      <c r="H79" s="8"/>
      <c r="I79" s="9"/>
      <c r="J79" s="8">
        <f t="shared" si="5"/>
        <v>0</v>
      </c>
    </row>
    <row r="80" spans="1:10" ht="19.95" hidden="1" customHeight="1" x14ac:dyDescent="0.3">
      <c r="A80" s="4"/>
      <c r="B80" s="4"/>
      <c r="C80" s="6"/>
      <c r="D80" s="6"/>
      <c r="E80" s="7"/>
      <c r="F80" s="4"/>
      <c r="G80" s="4"/>
      <c r="H80" s="8"/>
      <c r="I80" s="9"/>
      <c r="J80" s="8">
        <f t="shared" si="5"/>
        <v>0</v>
      </c>
    </row>
    <row r="81" spans="1:10" ht="19.95" hidden="1" customHeight="1" x14ac:dyDescent="0.3">
      <c r="A81" s="4"/>
      <c r="B81" s="4"/>
      <c r="C81" s="6"/>
      <c r="D81" s="6"/>
      <c r="E81" s="7"/>
      <c r="F81" s="7"/>
      <c r="G81" s="4"/>
      <c r="H81" s="8"/>
      <c r="I81" s="9"/>
      <c r="J81" s="8">
        <f t="shared" si="5"/>
        <v>0</v>
      </c>
    </row>
    <row r="82" spans="1:10" ht="19.95" hidden="1" customHeight="1" x14ac:dyDescent="0.3">
      <c r="A82" s="4"/>
      <c r="B82" s="4"/>
      <c r="C82" s="6"/>
      <c r="D82" s="6"/>
      <c r="E82" s="7"/>
      <c r="F82" s="7"/>
      <c r="G82" s="4"/>
      <c r="H82" s="8"/>
      <c r="I82" s="9"/>
      <c r="J82" s="8">
        <f t="shared" si="5"/>
        <v>0</v>
      </c>
    </row>
    <row r="83" spans="1:10" ht="19.95" hidden="1" customHeight="1" x14ac:dyDescent="0.3">
      <c r="A83" s="4"/>
      <c r="B83" s="4"/>
      <c r="C83" s="6"/>
      <c r="D83" s="6"/>
      <c r="E83" s="7"/>
      <c r="F83" s="7"/>
      <c r="G83" s="4"/>
      <c r="H83" s="8"/>
      <c r="I83" s="9"/>
      <c r="J83" s="8">
        <f t="shared" si="5"/>
        <v>0</v>
      </c>
    </row>
    <row r="84" spans="1:10" ht="19.95" hidden="1" customHeight="1" x14ac:dyDescent="0.3">
      <c r="A84" s="4"/>
      <c r="B84" s="4"/>
      <c r="C84" s="6"/>
      <c r="D84" s="6"/>
      <c r="E84" s="7"/>
      <c r="F84" s="7"/>
      <c r="G84" s="4"/>
      <c r="H84" s="8"/>
      <c r="I84" s="9"/>
      <c r="J84" s="8">
        <f t="shared" si="5"/>
        <v>0</v>
      </c>
    </row>
    <row r="85" spans="1:10" ht="19.95" hidden="1" customHeight="1" x14ac:dyDescent="0.3">
      <c r="A85" s="4"/>
      <c r="B85" s="4"/>
      <c r="C85" s="6"/>
      <c r="D85" s="6"/>
      <c r="E85" s="7"/>
      <c r="F85" s="7"/>
      <c r="G85" s="4"/>
      <c r="H85" s="8"/>
      <c r="I85" s="9"/>
      <c r="J85" s="8">
        <f t="shared" si="5"/>
        <v>0</v>
      </c>
    </row>
    <row r="86" spans="1:10" ht="19.95" hidden="1" customHeight="1" x14ac:dyDescent="0.3">
      <c r="A86" s="4"/>
      <c r="B86" s="4"/>
      <c r="C86" s="6"/>
      <c r="D86" s="6"/>
      <c r="E86" s="7"/>
      <c r="F86" s="21"/>
      <c r="G86" s="4"/>
      <c r="H86" s="8"/>
      <c r="I86" s="9"/>
      <c r="J86" s="8">
        <f t="shared" si="5"/>
        <v>0</v>
      </c>
    </row>
    <row r="87" spans="1:10" ht="19.95" hidden="1" customHeight="1" x14ac:dyDescent="0.3">
      <c r="A87" s="21"/>
      <c r="B87" s="21"/>
      <c r="C87" s="22"/>
      <c r="D87" s="22"/>
      <c r="E87" s="20"/>
      <c r="F87" s="21"/>
      <c r="G87" s="21"/>
      <c r="H87" s="23"/>
      <c r="I87" s="9"/>
      <c r="J87" s="8">
        <f t="shared" si="5"/>
        <v>0</v>
      </c>
    </row>
    <row r="88" spans="1:10" ht="19.95" hidden="1" customHeight="1" x14ac:dyDescent="0.3">
      <c r="A88" s="21"/>
      <c r="B88" s="21"/>
      <c r="C88" s="22"/>
      <c r="D88" s="22"/>
      <c r="E88" s="20"/>
      <c r="F88" s="21"/>
      <c r="G88" s="21"/>
      <c r="H88" s="23"/>
      <c r="I88" s="9"/>
      <c r="J88" s="8">
        <f t="shared" si="5"/>
        <v>0</v>
      </c>
    </row>
    <row r="89" spans="1:10" ht="19.95" hidden="1" customHeight="1" x14ac:dyDescent="0.3">
      <c r="A89" s="4"/>
      <c r="B89" s="4"/>
      <c r="C89" s="6"/>
      <c r="D89" s="6"/>
      <c r="E89" s="7"/>
      <c r="F89" s="21"/>
      <c r="G89" s="4"/>
      <c r="H89" s="8"/>
      <c r="I89" s="9"/>
      <c r="J89" s="8">
        <f t="shared" si="5"/>
        <v>0</v>
      </c>
    </row>
    <row r="90" spans="1:10" ht="19.95" hidden="1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hidden="1" customHeight="1" x14ac:dyDescent="0.3">
      <c r="A91" s="4"/>
      <c r="B91" s="4"/>
      <c r="C91" s="6"/>
      <c r="D91" s="6"/>
      <c r="E91" s="7"/>
      <c r="F91" s="4"/>
      <c r="G91" s="4"/>
      <c r="H91" s="8"/>
      <c r="I91" s="9"/>
      <c r="J91" s="8">
        <f t="shared" si="5"/>
        <v>0</v>
      </c>
    </row>
    <row r="92" spans="1:10" ht="19.95" hidden="1" customHeight="1" x14ac:dyDescent="0.3">
      <c r="A92" s="4"/>
      <c r="B92" s="4"/>
      <c r="C92" s="6"/>
      <c r="D92" s="6"/>
      <c r="E92" s="7"/>
      <c r="F92" s="4"/>
      <c r="G92" s="4"/>
      <c r="H92" s="8"/>
      <c r="I92" s="9"/>
      <c r="J92" s="8">
        <f t="shared" si="5"/>
        <v>0</v>
      </c>
    </row>
    <row r="93" spans="1:10" ht="19.95" hidden="1" customHeight="1" x14ac:dyDescent="0.3">
      <c r="A93" s="4"/>
      <c r="B93" s="4"/>
      <c r="C93" s="6"/>
      <c r="D93" s="6"/>
      <c r="E93" s="7"/>
      <c r="F93" s="4"/>
      <c r="G93" s="4"/>
      <c r="H93" s="8"/>
      <c r="I93" s="9"/>
      <c r="J93" s="8">
        <f t="shared" si="5"/>
        <v>0</v>
      </c>
    </row>
    <row r="94" spans="1:10" ht="19.95" hidden="1" customHeight="1" x14ac:dyDescent="0.3">
      <c r="A94" s="4"/>
      <c r="B94" s="4"/>
      <c r="C94" s="6"/>
      <c r="D94" s="6"/>
      <c r="E94" s="7"/>
      <c r="F94" s="4"/>
      <c r="G94" s="4"/>
      <c r="H94" s="8"/>
      <c r="I94" s="9"/>
      <c r="J94" s="8">
        <f t="shared" si="5"/>
        <v>0</v>
      </c>
    </row>
    <row r="95" spans="1:10" ht="19.95" customHeight="1" x14ac:dyDescent="0.3">
      <c r="A95" s="4"/>
      <c r="B95" s="4"/>
      <c r="C95" s="6"/>
      <c r="D95" s="6"/>
      <c r="E95" s="7"/>
      <c r="F95" s="4"/>
      <c r="G95" s="4"/>
      <c r="H95" s="8"/>
      <c r="I95" s="9"/>
      <c r="J95" s="8">
        <f t="shared" si="5"/>
        <v>0</v>
      </c>
    </row>
    <row r="96" spans="1:10" ht="19.95" customHeight="1" x14ac:dyDescent="0.3">
      <c r="A96" s="10"/>
      <c r="B96" s="10"/>
      <c r="C96" s="10"/>
      <c r="D96" s="10"/>
      <c r="E96" s="11"/>
      <c r="F96" s="10"/>
      <c r="G96" s="12"/>
      <c r="H96" s="8">
        <f>SUM(H74:H95)</f>
        <v>3000</v>
      </c>
      <c r="I96" s="9">
        <f>SUM(I74:I95)</f>
        <v>0</v>
      </c>
      <c r="J96" s="8">
        <f>SUM(J74:J95)</f>
        <v>3000</v>
      </c>
    </row>
    <row r="98" spans="1:10" ht="23.4" x14ac:dyDescent="0.3">
      <c r="A98" s="95" t="s">
        <v>14</v>
      </c>
      <c r="B98" s="95"/>
      <c r="C98" s="95"/>
      <c r="D98" s="95"/>
      <c r="E98" s="95"/>
      <c r="F98" s="95"/>
      <c r="G98" s="95"/>
      <c r="H98" s="95"/>
      <c r="I98" s="95"/>
      <c r="J98" s="95"/>
    </row>
  </sheetData>
  <mergeCells count="9">
    <mergeCell ref="A56:J56"/>
    <mergeCell ref="A72:J72"/>
    <mergeCell ref="A98:J98"/>
    <mergeCell ref="H1:J1"/>
    <mergeCell ref="A2:J2"/>
    <mergeCell ref="A3:J3"/>
    <mergeCell ref="A17:J17"/>
    <mergeCell ref="A26:J26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8" fitToHeight="0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8"/>
  <sheetViews>
    <sheetView zoomScale="85" zoomScaleNormal="85" workbookViewId="0">
      <selection activeCell="J74" sqref="J74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7.77734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A1" s="2" t="s">
        <v>129</v>
      </c>
      <c r="F1" s="15" t="s">
        <v>0</v>
      </c>
      <c r="G1" s="19" t="s">
        <v>145</v>
      </c>
      <c r="H1" s="96" t="s">
        <v>146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250077</v>
      </c>
      <c r="B5" s="4">
        <v>430</v>
      </c>
      <c r="C5" s="6">
        <v>0.5</v>
      </c>
      <c r="D5" s="6" t="s">
        <v>27</v>
      </c>
      <c r="E5" s="7" t="s">
        <v>131</v>
      </c>
      <c r="F5" s="4" t="s">
        <v>45</v>
      </c>
      <c r="G5" s="4">
        <v>430</v>
      </c>
      <c r="H5" s="8">
        <v>1400</v>
      </c>
      <c r="I5" s="9">
        <f>660+748</f>
        <v>1408</v>
      </c>
      <c r="J5" s="33">
        <f t="shared" ref="J5:J14" si="0">H5-I5</f>
        <v>-8</v>
      </c>
    </row>
    <row r="6" spans="1:10" ht="19.95" customHeight="1" x14ac:dyDescent="0.3">
      <c r="A6" s="4">
        <v>250072</v>
      </c>
      <c r="B6" s="4">
        <v>304</v>
      </c>
      <c r="C6" s="6">
        <v>0.7</v>
      </c>
      <c r="D6" s="6" t="s">
        <v>11</v>
      </c>
      <c r="E6" s="7" t="s">
        <v>127</v>
      </c>
      <c r="F6" s="21" t="s">
        <v>45</v>
      </c>
      <c r="G6" s="4">
        <v>430</v>
      </c>
      <c r="H6" s="8">
        <v>750</v>
      </c>
      <c r="I6" s="9">
        <v>751</v>
      </c>
      <c r="J6" s="33">
        <f t="shared" si="0"/>
        <v>-1</v>
      </c>
    </row>
    <row r="7" spans="1:10" ht="19.95" customHeight="1" x14ac:dyDescent="0.3">
      <c r="A7" s="4">
        <v>250071</v>
      </c>
      <c r="B7" s="4">
        <v>304</v>
      </c>
      <c r="C7" s="6">
        <v>0.7</v>
      </c>
      <c r="D7" s="6" t="s">
        <v>11</v>
      </c>
      <c r="E7" s="7" t="s">
        <v>128</v>
      </c>
      <c r="F7" s="21" t="s">
        <v>107</v>
      </c>
      <c r="G7" s="4">
        <v>430</v>
      </c>
      <c r="H7" s="8">
        <v>750</v>
      </c>
      <c r="I7" s="9">
        <v>751</v>
      </c>
      <c r="J7" s="33">
        <f t="shared" si="0"/>
        <v>-1</v>
      </c>
    </row>
    <row r="8" spans="1:10" ht="19.95" customHeight="1" x14ac:dyDescent="0.3">
      <c r="A8" s="4">
        <v>160925</v>
      </c>
      <c r="B8" s="4">
        <v>304</v>
      </c>
      <c r="C8" s="6">
        <v>0.9</v>
      </c>
      <c r="D8" s="6" t="s">
        <v>43</v>
      </c>
      <c r="E8" s="7" t="s">
        <v>132</v>
      </c>
      <c r="F8" s="21" t="s">
        <v>41</v>
      </c>
      <c r="G8" s="4">
        <v>430</v>
      </c>
      <c r="H8" s="8">
        <v>1100</v>
      </c>
      <c r="I8" s="9">
        <f>523+622</f>
        <v>1145</v>
      </c>
      <c r="J8" s="33">
        <f t="shared" si="0"/>
        <v>-45</v>
      </c>
    </row>
    <row r="9" spans="1:10" ht="19.95" hidden="1" customHeight="1" x14ac:dyDescent="0.3">
      <c r="A9" s="4"/>
      <c r="B9" s="4"/>
      <c r="C9" s="6"/>
      <c r="D9" s="6"/>
      <c r="E9" s="7"/>
      <c r="F9" s="21"/>
      <c r="G9" s="4"/>
      <c r="H9" s="8"/>
      <c r="I9" s="9"/>
      <c r="J9" s="23">
        <f t="shared" si="0"/>
        <v>0</v>
      </c>
    </row>
    <row r="10" spans="1:10" ht="19.95" hidden="1" customHeight="1" x14ac:dyDescent="0.3">
      <c r="A10" s="4"/>
      <c r="B10" s="4"/>
      <c r="C10" s="6"/>
      <c r="D10" s="6"/>
      <c r="E10" s="7"/>
      <c r="F10" s="21"/>
      <c r="G10" s="4"/>
      <c r="H10" s="8"/>
      <c r="I10" s="9"/>
      <c r="J10" s="23">
        <f t="shared" si="0"/>
        <v>0</v>
      </c>
    </row>
    <row r="11" spans="1:10" ht="19.95" hidden="1" customHeight="1" x14ac:dyDescent="0.3">
      <c r="A11" s="4"/>
      <c r="B11" s="4"/>
      <c r="C11" s="6"/>
      <c r="D11" s="6"/>
      <c r="E11" s="7"/>
      <c r="F11" s="21"/>
      <c r="G11" s="4"/>
      <c r="H11" s="8"/>
      <c r="I11" s="9"/>
      <c r="J11" s="23">
        <f t="shared" si="0"/>
        <v>0</v>
      </c>
    </row>
    <row r="12" spans="1:10" ht="19.95" hidden="1" customHeight="1" x14ac:dyDescent="0.3">
      <c r="A12" s="4"/>
      <c r="B12" s="4"/>
      <c r="C12" s="6"/>
      <c r="D12" s="6"/>
      <c r="E12" s="7"/>
      <c r="F12" s="21"/>
      <c r="G12" s="4"/>
      <c r="H12" s="8"/>
      <c r="I12" s="9"/>
      <c r="J12" s="23">
        <f t="shared" si="0"/>
        <v>0</v>
      </c>
    </row>
    <row r="13" spans="1:10" ht="19.95" hidden="1" customHeight="1" x14ac:dyDescent="0.3">
      <c r="A13" s="4"/>
      <c r="B13" s="4"/>
      <c r="C13" s="6"/>
      <c r="D13" s="6"/>
      <c r="E13" s="7"/>
      <c r="F13" s="21"/>
      <c r="G13" s="4"/>
      <c r="H13" s="8"/>
      <c r="I13" s="9"/>
      <c r="J13" s="23">
        <f t="shared" si="0"/>
        <v>0</v>
      </c>
    </row>
    <row r="14" spans="1:10" ht="19.95" customHeight="1" x14ac:dyDescent="0.3">
      <c r="A14" s="4"/>
      <c r="B14" s="4"/>
      <c r="C14" s="6"/>
      <c r="D14" s="6"/>
      <c r="E14" s="7"/>
      <c r="F14" s="21"/>
      <c r="G14" s="4"/>
      <c r="H14" s="8"/>
      <c r="I14" s="9"/>
      <c r="J14" s="23">
        <f t="shared" si="0"/>
        <v>0</v>
      </c>
    </row>
    <row r="15" spans="1:10" ht="19.95" customHeight="1" x14ac:dyDescent="0.3">
      <c r="A15" s="10"/>
      <c r="B15" s="10"/>
      <c r="C15" s="10"/>
      <c r="D15" s="10"/>
      <c r="E15" s="11"/>
      <c r="F15" s="10"/>
      <c r="G15" s="12"/>
      <c r="H15" s="13">
        <f>SUM(H5:H14)</f>
        <v>4000</v>
      </c>
      <c r="I15" s="14">
        <f>SUM(I5:I14)</f>
        <v>4055</v>
      </c>
      <c r="J15" s="23">
        <f>SUM(J5:J14)</f>
        <v>-55</v>
      </c>
    </row>
    <row r="17" spans="1:10" ht="30" customHeight="1" x14ac:dyDescent="0.3">
      <c r="A17" s="94" t="s">
        <v>17</v>
      </c>
      <c r="B17" s="94"/>
      <c r="C17" s="94"/>
      <c r="D17" s="94"/>
      <c r="E17" s="94"/>
      <c r="F17" s="94"/>
      <c r="G17" s="94"/>
      <c r="H17" s="94"/>
      <c r="I17" s="94"/>
      <c r="J17" s="94"/>
    </row>
    <row r="18" spans="1:10" ht="30" customHeight="1" x14ac:dyDescent="0.3">
      <c r="A18" s="4" t="s">
        <v>1</v>
      </c>
      <c r="B18" s="4" t="s">
        <v>2</v>
      </c>
      <c r="C18" s="5" t="s">
        <v>3</v>
      </c>
      <c r="D18" s="5" t="s">
        <v>4</v>
      </c>
      <c r="E18" s="4" t="s">
        <v>5</v>
      </c>
      <c r="F18" s="5" t="s">
        <v>6</v>
      </c>
      <c r="G18" s="5" t="s">
        <v>7</v>
      </c>
      <c r="H18" s="4" t="s">
        <v>8</v>
      </c>
      <c r="I18" s="4" t="s">
        <v>9</v>
      </c>
      <c r="J18" s="4" t="s">
        <v>10</v>
      </c>
    </row>
    <row r="19" spans="1:10" ht="19.95" customHeight="1" x14ac:dyDescent="0.3">
      <c r="A19" s="4">
        <v>160925</v>
      </c>
      <c r="B19" s="4">
        <v>304</v>
      </c>
      <c r="C19" s="6">
        <v>0.7</v>
      </c>
      <c r="D19" s="5" t="s">
        <v>55</v>
      </c>
      <c r="E19" s="7" t="s">
        <v>133</v>
      </c>
      <c r="F19" s="4" t="s">
        <v>45</v>
      </c>
      <c r="G19" s="4">
        <v>430</v>
      </c>
      <c r="H19" s="8">
        <v>1100</v>
      </c>
      <c r="I19" s="9">
        <v>1107</v>
      </c>
      <c r="J19" s="33">
        <f t="shared" ref="J19:J23" si="1">H19-I19</f>
        <v>-7</v>
      </c>
    </row>
    <row r="20" spans="1:10" ht="19.95" customHeight="1" x14ac:dyDescent="0.3">
      <c r="A20" s="4">
        <v>180925</v>
      </c>
      <c r="B20" s="4">
        <v>304</v>
      </c>
      <c r="C20" s="6">
        <v>0.7</v>
      </c>
      <c r="D20" s="6" t="s">
        <v>55</v>
      </c>
      <c r="E20" s="7" t="s">
        <v>136</v>
      </c>
      <c r="F20" s="4" t="s">
        <v>45</v>
      </c>
      <c r="G20" s="4">
        <v>430</v>
      </c>
      <c r="H20" s="8">
        <v>2100</v>
      </c>
      <c r="I20" s="9">
        <v>2108</v>
      </c>
      <c r="J20" s="33">
        <f t="shared" si="1"/>
        <v>-8</v>
      </c>
    </row>
    <row r="21" spans="1:10" ht="19.95" customHeight="1" x14ac:dyDescent="0.3">
      <c r="A21" s="4">
        <v>160925</v>
      </c>
      <c r="B21" s="4">
        <v>304</v>
      </c>
      <c r="C21" s="6">
        <v>0.7</v>
      </c>
      <c r="D21" s="6" t="s">
        <v>55</v>
      </c>
      <c r="E21" s="7" t="s">
        <v>134</v>
      </c>
      <c r="F21" s="4" t="s">
        <v>45</v>
      </c>
      <c r="G21" s="4">
        <v>430</v>
      </c>
      <c r="H21" s="8">
        <v>1100</v>
      </c>
      <c r="I21" s="9">
        <v>1105</v>
      </c>
      <c r="J21" s="33">
        <f t="shared" si="1"/>
        <v>-5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33">
        <f t="shared" si="1"/>
        <v>0</v>
      </c>
    </row>
    <row r="23" spans="1:10" ht="19.95" customHeight="1" x14ac:dyDescent="0.3">
      <c r="A23" s="4"/>
      <c r="B23" s="4"/>
      <c r="C23" s="4"/>
      <c r="D23" s="4"/>
      <c r="E23" s="7"/>
      <c r="F23" s="4"/>
      <c r="G23" s="4"/>
      <c r="H23" s="8"/>
      <c r="I23" s="9"/>
      <c r="J23" s="23">
        <f t="shared" si="1"/>
        <v>0</v>
      </c>
    </row>
    <row r="24" spans="1:10" ht="19.95" customHeight="1" x14ac:dyDescent="0.3">
      <c r="A24" s="10"/>
      <c r="B24" s="10"/>
      <c r="C24" s="10"/>
      <c r="D24" s="10"/>
      <c r="E24" s="11"/>
      <c r="F24" s="10"/>
      <c r="G24" s="12"/>
      <c r="H24" s="8">
        <f>SUM(H19:H23)</f>
        <v>4300</v>
      </c>
      <c r="I24" s="9">
        <f>SUM(I19:I23)</f>
        <v>4320</v>
      </c>
      <c r="J24" s="23">
        <f>SUM(J19:J23)</f>
        <v>-20</v>
      </c>
    </row>
    <row r="26" spans="1:10" ht="30" customHeight="1" x14ac:dyDescent="0.3">
      <c r="A26" s="94" t="s">
        <v>18</v>
      </c>
      <c r="B26" s="94"/>
      <c r="C26" s="94"/>
      <c r="D26" s="94"/>
      <c r="E26" s="94"/>
      <c r="F26" s="94"/>
      <c r="G26" s="94"/>
      <c r="H26" s="94"/>
      <c r="I26" s="94"/>
      <c r="J26" s="94"/>
    </row>
    <row r="27" spans="1:10" ht="30" customHeight="1" x14ac:dyDescent="0.3">
      <c r="A27" s="4" t="s">
        <v>1</v>
      </c>
      <c r="B27" s="4" t="s">
        <v>2</v>
      </c>
      <c r="C27" s="5" t="s">
        <v>3</v>
      </c>
      <c r="D27" s="5" t="s">
        <v>4</v>
      </c>
      <c r="E27" s="4" t="s">
        <v>5</v>
      </c>
      <c r="F27" s="5" t="s">
        <v>6</v>
      </c>
      <c r="G27" s="5" t="s">
        <v>7</v>
      </c>
      <c r="H27" s="4" t="s">
        <v>8</v>
      </c>
      <c r="I27" s="4" t="s">
        <v>9</v>
      </c>
      <c r="J27" s="4" t="s">
        <v>10</v>
      </c>
    </row>
    <row r="28" spans="1:10" ht="19.95" customHeight="1" x14ac:dyDescent="0.3">
      <c r="A28" s="4">
        <v>180925</v>
      </c>
      <c r="B28" s="4">
        <v>304</v>
      </c>
      <c r="C28" s="6">
        <v>0.7</v>
      </c>
      <c r="D28" s="6" t="s">
        <v>55</v>
      </c>
      <c r="E28" s="7" t="s">
        <v>135</v>
      </c>
      <c r="F28" s="4" t="s">
        <v>45</v>
      </c>
      <c r="G28" s="4">
        <v>430</v>
      </c>
      <c r="H28" s="8">
        <v>2100</v>
      </c>
      <c r="I28" s="9"/>
      <c r="J28" s="23">
        <f t="shared" ref="J28:J38" si="2">H28-I28</f>
        <v>2100</v>
      </c>
    </row>
    <row r="29" spans="1:10" ht="19.95" customHeight="1" x14ac:dyDescent="0.3">
      <c r="A29" s="4">
        <v>160925</v>
      </c>
      <c r="B29" s="4">
        <v>304</v>
      </c>
      <c r="C29" s="6">
        <v>0.7</v>
      </c>
      <c r="D29" s="6" t="s">
        <v>55</v>
      </c>
      <c r="E29" s="7" t="s">
        <v>137</v>
      </c>
      <c r="F29" s="21" t="s">
        <v>45</v>
      </c>
      <c r="G29" s="4">
        <v>430</v>
      </c>
      <c r="H29" s="8">
        <v>1100</v>
      </c>
      <c r="I29" s="9"/>
      <c r="J29" s="23">
        <f t="shared" si="2"/>
        <v>1100</v>
      </c>
    </row>
    <row r="30" spans="1:10" ht="19.95" customHeight="1" x14ac:dyDescent="0.3">
      <c r="A30" s="4">
        <v>160925</v>
      </c>
      <c r="B30" s="4">
        <v>304</v>
      </c>
      <c r="C30" s="6">
        <v>0.7</v>
      </c>
      <c r="D30" s="6" t="s">
        <v>55</v>
      </c>
      <c r="E30" s="7" t="s">
        <v>138</v>
      </c>
      <c r="F30" s="21" t="s">
        <v>45</v>
      </c>
      <c r="G30" s="4">
        <v>430</v>
      </c>
      <c r="H30" s="8">
        <v>1100</v>
      </c>
      <c r="I30" s="9"/>
      <c r="J30" s="23">
        <f t="shared" si="2"/>
        <v>1100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23">
        <f t="shared" si="2"/>
        <v>0</v>
      </c>
    </row>
    <row r="32" spans="1:10" ht="19.95" hidden="1" customHeight="1" x14ac:dyDescent="0.3">
      <c r="A32" s="4"/>
      <c r="B32" s="4"/>
      <c r="C32" s="6"/>
      <c r="D32" s="6"/>
      <c r="E32" s="7"/>
      <c r="F32" s="21"/>
      <c r="G32" s="4"/>
      <c r="H32" s="8"/>
      <c r="I32" s="9">
        <v>0</v>
      </c>
      <c r="J32" s="23">
        <f t="shared" si="2"/>
        <v>0</v>
      </c>
    </row>
    <row r="33" spans="1:10" ht="19.95" hidden="1" customHeight="1" x14ac:dyDescent="0.3">
      <c r="A33" s="4"/>
      <c r="B33" s="4"/>
      <c r="C33" s="6"/>
      <c r="D33" s="6"/>
      <c r="E33" s="7"/>
      <c r="F33" s="21"/>
      <c r="G33" s="4"/>
      <c r="H33" s="8"/>
      <c r="I33" s="9">
        <v>0</v>
      </c>
      <c r="J33" s="23">
        <f t="shared" si="2"/>
        <v>0</v>
      </c>
    </row>
    <row r="34" spans="1:10" ht="19.95" hidden="1" customHeight="1" x14ac:dyDescent="0.3">
      <c r="A34" s="4"/>
      <c r="B34" s="4"/>
      <c r="C34" s="6"/>
      <c r="D34" s="6"/>
      <c r="E34" s="7"/>
      <c r="F34" s="21"/>
      <c r="G34" s="4"/>
      <c r="H34" s="8"/>
      <c r="I34" s="9">
        <v>0</v>
      </c>
      <c r="J34" s="23">
        <f t="shared" si="2"/>
        <v>0</v>
      </c>
    </row>
    <row r="35" spans="1:10" ht="19.95" hidden="1" customHeight="1" x14ac:dyDescent="0.3">
      <c r="A35" s="4"/>
      <c r="B35" s="4"/>
      <c r="C35" s="6"/>
      <c r="D35" s="6"/>
      <c r="E35" s="7"/>
      <c r="F35" s="21"/>
      <c r="G35" s="4"/>
      <c r="H35" s="8"/>
      <c r="I35" s="9">
        <v>0</v>
      </c>
      <c r="J35" s="23">
        <f t="shared" si="2"/>
        <v>0</v>
      </c>
    </row>
    <row r="36" spans="1:10" ht="19.95" hidden="1" customHeight="1" x14ac:dyDescent="0.3">
      <c r="A36" s="4"/>
      <c r="B36" s="4"/>
      <c r="C36" s="6"/>
      <c r="D36" s="6"/>
      <c r="E36" s="7"/>
      <c r="F36" s="21"/>
      <c r="G36" s="4"/>
      <c r="H36" s="8"/>
      <c r="I36" s="9">
        <v>0</v>
      </c>
      <c r="J36" s="23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>
        <v>0</v>
      </c>
      <c r="J37" s="23">
        <f t="shared" si="2"/>
        <v>0</v>
      </c>
    </row>
    <row r="38" spans="1:10" ht="19.95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23">
        <f t="shared" si="2"/>
        <v>0</v>
      </c>
    </row>
    <row r="39" spans="1:10" ht="19.95" customHeight="1" x14ac:dyDescent="0.3">
      <c r="A39" s="10"/>
      <c r="B39" s="10"/>
      <c r="C39" s="10"/>
      <c r="D39" s="10"/>
      <c r="E39" s="11"/>
      <c r="F39" s="10"/>
      <c r="G39" s="12"/>
      <c r="H39" s="8">
        <f>SUM(H28:H38)</f>
        <v>4300</v>
      </c>
      <c r="I39" s="9">
        <f>SUM(I28:I38)</f>
        <v>0</v>
      </c>
      <c r="J39" s="23">
        <f>SUM(J28:J38)</f>
        <v>4300</v>
      </c>
    </row>
    <row r="41" spans="1:10" ht="30" customHeight="1" x14ac:dyDescent="0.3">
      <c r="A41" s="94" t="s">
        <v>20</v>
      </c>
      <c r="B41" s="94"/>
      <c r="C41" s="94"/>
      <c r="D41" s="94"/>
      <c r="E41" s="94"/>
      <c r="F41" s="94"/>
      <c r="G41" s="94"/>
      <c r="H41" s="94"/>
      <c r="I41" s="94"/>
      <c r="J41" s="94"/>
    </row>
    <row r="42" spans="1:10" ht="30" customHeight="1" x14ac:dyDescent="0.3">
      <c r="A42" s="4" t="s">
        <v>1</v>
      </c>
      <c r="B42" s="4" t="s">
        <v>2</v>
      </c>
      <c r="C42" s="5" t="s">
        <v>3</v>
      </c>
      <c r="D42" s="5" t="s">
        <v>4</v>
      </c>
      <c r="E42" s="4" t="s">
        <v>5</v>
      </c>
      <c r="F42" s="5" t="s">
        <v>6</v>
      </c>
      <c r="G42" s="5" t="s">
        <v>7</v>
      </c>
      <c r="H42" s="4" t="s">
        <v>8</v>
      </c>
      <c r="I42" s="4" t="s">
        <v>9</v>
      </c>
      <c r="J42" s="4" t="s">
        <v>10</v>
      </c>
    </row>
    <row r="43" spans="1:10" ht="19.95" customHeight="1" x14ac:dyDescent="0.3">
      <c r="A43" s="4">
        <v>180925</v>
      </c>
      <c r="B43" s="4">
        <v>304</v>
      </c>
      <c r="C43" s="6">
        <v>0.7</v>
      </c>
      <c r="D43" s="6" t="s">
        <v>55</v>
      </c>
      <c r="E43" s="7" t="s">
        <v>139</v>
      </c>
      <c r="F43" s="4" t="s">
        <v>45</v>
      </c>
      <c r="G43" s="4">
        <v>430</v>
      </c>
      <c r="H43" s="8">
        <v>2100</v>
      </c>
      <c r="I43" s="9"/>
      <c r="J43" s="23">
        <f t="shared" ref="J43:J51" si="3">H43-I43</f>
        <v>2100</v>
      </c>
    </row>
    <row r="44" spans="1:10" ht="19.95" customHeight="1" x14ac:dyDescent="0.3">
      <c r="A44" s="4">
        <v>180925</v>
      </c>
      <c r="B44" s="4">
        <v>304</v>
      </c>
      <c r="C44" s="6">
        <v>0.7</v>
      </c>
      <c r="D44" s="6" t="s">
        <v>55</v>
      </c>
      <c r="E44" s="7" t="s">
        <v>140</v>
      </c>
      <c r="F44" s="21" t="s">
        <v>45</v>
      </c>
      <c r="G44" s="4">
        <v>430</v>
      </c>
      <c r="H44" s="8">
        <v>2100</v>
      </c>
      <c r="I44" s="9"/>
      <c r="J44" s="23">
        <f t="shared" si="3"/>
        <v>2100</v>
      </c>
    </row>
    <row r="45" spans="1:10" ht="19.95" customHeight="1" x14ac:dyDescent="0.3">
      <c r="A45" s="4"/>
      <c r="B45" s="4"/>
      <c r="C45" s="6"/>
      <c r="D45" s="6"/>
      <c r="E45" s="7"/>
      <c r="F45" s="21"/>
      <c r="G45" s="4"/>
      <c r="H45" s="8"/>
      <c r="I45" s="9"/>
      <c r="J45" s="23">
        <f t="shared" si="3"/>
        <v>0</v>
      </c>
    </row>
    <row r="46" spans="1:10" ht="19.95" customHeight="1" x14ac:dyDescent="0.3">
      <c r="A46" s="4"/>
      <c r="B46" s="4"/>
      <c r="C46" s="6"/>
      <c r="D46" s="6"/>
      <c r="E46" s="7"/>
      <c r="F46" s="21"/>
      <c r="G46" s="4"/>
      <c r="H46" s="8"/>
      <c r="I46" s="9"/>
      <c r="J46" s="23">
        <f t="shared" si="3"/>
        <v>0</v>
      </c>
    </row>
    <row r="47" spans="1:10" ht="19.95" hidden="1" customHeight="1" x14ac:dyDescent="0.3">
      <c r="A47" s="4"/>
      <c r="B47" s="4"/>
      <c r="C47" s="6"/>
      <c r="D47" s="6"/>
      <c r="E47" s="7"/>
      <c r="F47" s="21"/>
      <c r="G47" s="4"/>
      <c r="H47" s="8"/>
      <c r="I47" s="9"/>
      <c r="J47" s="23">
        <f t="shared" si="3"/>
        <v>0</v>
      </c>
    </row>
    <row r="48" spans="1:10" ht="19.95" hidden="1" customHeight="1" x14ac:dyDescent="0.3">
      <c r="A48" s="4"/>
      <c r="B48" s="4"/>
      <c r="C48" s="6"/>
      <c r="D48" s="6"/>
      <c r="E48" s="7"/>
      <c r="F48" s="21"/>
      <c r="G48" s="4"/>
      <c r="H48" s="8"/>
      <c r="I48" s="9"/>
      <c r="J48" s="23">
        <f t="shared" si="3"/>
        <v>0</v>
      </c>
    </row>
    <row r="49" spans="1:10" ht="19.95" hidden="1" customHeight="1" x14ac:dyDescent="0.3">
      <c r="A49" s="4"/>
      <c r="B49" s="4"/>
      <c r="C49" s="6"/>
      <c r="D49" s="6"/>
      <c r="E49" s="7"/>
      <c r="F49" s="21"/>
      <c r="G49" s="4"/>
      <c r="H49" s="8"/>
      <c r="I49" s="9"/>
      <c r="J49" s="23">
        <f t="shared" si="3"/>
        <v>0</v>
      </c>
    </row>
    <row r="50" spans="1:10" ht="19.95" hidden="1" customHeight="1" x14ac:dyDescent="0.3">
      <c r="A50" s="4"/>
      <c r="B50" s="4"/>
      <c r="C50" s="6"/>
      <c r="D50" s="6"/>
      <c r="E50" s="7"/>
      <c r="F50" s="21"/>
      <c r="G50" s="4"/>
      <c r="H50" s="8"/>
      <c r="I50" s="9"/>
      <c r="J50" s="23">
        <f t="shared" si="3"/>
        <v>0</v>
      </c>
    </row>
    <row r="51" spans="1:10" ht="19.95" hidden="1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23">
        <f t="shared" si="3"/>
        <v>0</v>
      </c>
    </row>
    <row r="52" spans="1:10" ht="19.95" hidden="1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23">
        <v>0</v>
      </c>
    </row>
    <row r="53" spans="1:10" ht="19.95" customHeight="1" x14ac:dyDescent="0.3">
      <c r="A53" s="4"/>
      <c r="B53" s="4"/>
      <c r="C53" s="6"/>
      <c r="D53" s="6"/>
      <c r="E53" s="7"/>
      <c r="F53" s="21"/>
      <c r="G53" s="4"/>
      <c r="H53" s="8"/>
      <c r="I53" s="9"/>
      <c r="J53" s="23">
        <v>0</v>
      </c>
    </row>
    <row r="54" spans="1:10" ht="19.95" customHeight="1" x14ac:dyDescent="0.3">
      <c r="A54" s="10"/>
      <c r="B54" s="10"/>
      <c r="C54" s="10"/>
      <c r="D54" s="10"/>
      <c r="E54" s="11"/>
      <c r="F54" s="10"/>
      <c r="G54" s="12"/>
      <c r="H54" s="8">
        <f>SUM(H43:H53)</f>
        <v>4200</v>
      </c>
      <c r="I54" s="9">
        <f>SUM(I43:I53)</f>
        <v>0</v>
      </c>
      <c r="J54" s="23">
        <f>SUM(J43:J53)</f>
        <v>4200</v>
      </c>
    </row>
    <row r="55" spans="1:10" ht="19.95" customHeight="1" x14ac:dyDescent="0.3">
      <c r="A55" s="15"/>
      <c r="B55" s="15"/>
      <c r="C55" s="15"/>
      <c r="D55" s="15"/>
      <c r="E55" s="16"/>
      <c r="F55" s="15"/>
      <c r="G55" s="15"/>
      <c r="H55" s="17"/>
      <c r="I55" s="18"/>
      <c r="J55" s="17"/>
    </row>
    <row r="56" spans="1:10" ht="30" customHeight="1" x14ac:dyDescent="0.3">
      <c r="A56" s="94" t="s">
        <v>19</v>
      </c>
      <c r="B56" s="94"/>
      <c r="C56" s="94"/>
      <c r="D56" s="94"/>
      <c r="E56" s="94"/>
      <c r="F56" s="94"/>
      <c r="G56" s="94"/>
      <c r="H56" s="94"/>
      <c r="I56" s="94"/>
      <c r="J56" s="94"/>
    </row>
    <row r="57" spans="1:10" ht="30" customHeight="1" x14ac:dyDescent="0.3">
      <c r="A57" s="4" t="s">
        <v>1</v>
      </c>
      <c r="B57" s="4" t="s">
        <v>2</v>
      </c>
      <c r="C57" s="5" t="s">
        <v>3</v>
      </c>
      <c r="D57" s="5" t="s">
        <v>4</v>
      </c>
      <c r="E57" s="4" t="s">
        <v>5</v>
      </c>
      <c r="F57" s="5" t="s">
        <v>6</v>
      </c>
      <c r="G57" s="5" t="s">
        <v>7</v>
      </c>
      <c r="H57" s="4" t="s">
        <v>8</v>
      </c>
      <c r="I57" s="4" t="s">
        <v>9</v>
      </c>
      <c r="J57" s="4" t="s">
        <v>10</v>
      </c>
    </row>
    <row r="58" spans="1:10" ht="19.95" customHeight="1" x14ac:dyDescent="0.3">
      <c r="A58" s="4">
        <v>250077</v>
      </c>
      <c r="B58" s="4">
        <v>430</v>
      </c>
      <c r="C58" s="6">
        <v>0.5</v>
      </c>
      <c r="D58" s="6" t="s">
        <v>27</v>
      </c>
      <c r="E58" s="7" t="s">
        <v>141</v>
      </c>
      <c r="F58" s="4" t="s">
        <v>45</v>
      </c>
      <c r="G58" s="4">
        <v>430</v>
      </c>
      <c r="H58" s="8">
        <v>1400</v>
      </c>
      <c r="I58" s="9">
        <v>1119</v>
      </c>
      <c r="J58" s="23">
        <f t="shared" ref="J58:J69" si="4">H58-I58</f>
        <v>281</v>
      </c>
    </row>
    <row r="59" spans="1:10" ht="19.95" customHeight="1" x14ac:dyDescent="0.3">
      <c r="A59" s="4">
        <v>290925</v>
      </c>
      <c r="B59" s="4">
        <v>304</v>
      </c>
      <c r="C59" s="6">
        <v>0.8</v>
      </c>
      <c r="D59" s="6" t="s">
        <v>43</v>
      </c>
      <c r="E59" s="7" t="s">
        <v>142</v>
      </c>
      <c r="F59" s="21" t="s">
        <v>41</v>
      </c>
      <c r="G59" s="4">
        <v>430</v>
      </c>
      <c r="H59" s="8">
        <v>4000</v>
      </c>
      <c r="I59" s="9">
        <f>411+3696</f>
        <v>4107</v>
      </c>
      <c r="J59" s="33">
        <f t="shared" si="4"/>
        <v>-107</v>
      </c>
    </row>
    <row r="60" spans="1:10" ht="19.95" customHeight="1" x14ac:dyDescent="0.3">
      <c r="A60" s="4"/>
      <c r="B60" s="4"/>
      <c r="C60" s="6"/>
      <c r="D60" s="6"/>
      <c r="E60" s="7"/>
      <c r="F60" s="21"/>
      <c r="G60" s="4"/>
      <c r="H60" s="8"/>
      <c r="I60" s="9"/>
      <c r="J60" s="23">
        <f t="shared" si="4"/>
        <v>0</v>
      </c>
    </row>
    <row r="61" spans="1:10" ht="19.95" customHeight="1" x14ac:dyDescent="0.3">
      <c r="A61" s="4"/>
      <c r="B61" s="4"/>
      <c r="C61" s="6"/>
      <c r="D61" s="6"/>
      <c r="E61" s="37"/>
      <c r="F61" s="21"/>
      <c r="G61" s="4"/>
      <c r="H61" s="8"/>
      <c r="I61" s="9"/>
      <c r="J61" s="23">
        <f t="shared" si="4"/>
        <v>0</v>
      </c>
    </row>
    <row r="62" spans="1:10" ht="19.95" hidden="1" customHeight="1" x14ac:dyDescent="0.3">
      <c r="A62" s="4"/>
      <c r="B62" s="4"/>
      <c r="C62" s="6"/>
      <c r="D62" s="6"/>
      <c r="E62" s="7"/>
      <c r="F62" s="21"/>
      <c r="G62" s="4"/>
      <c r="H62" s="8"/>
      <c r="I62" s="9"/>
      <c r="J62" s="23">
        <f t="shared" si="4"/>
        <v>0</v>
      </c>
    </row>
    <row r="63" spans="1:10" ht="19.95" hidden="1" customHeight="1" x14ac:dyDescent="0.3">
      <c r="A63" s="4"/>
      <c r="B63" s="4"/>
      <c r="C63" s="6"/>
      <c r="D63" s="6"/>
      <c r="E63" s="7"/>
      <c r="F63" s="21"/>
      <c r="G63" s="4"/>
      <c r="H63" s="8"/>
      <c r="I63" s="9"/>
      <c r="J63" s="23">
        <f t="shared" si="4"/>
        <v>0</v>
      </c>
    </row>
    <row r="64" spans="1:10" ht="19.95" hidden="1" customHeight="1" x14ac:dyDescent="0.3">
      <c r="A64" s="4"/>
      <c r="B64" s="4"/>
      <c r="C64" s="6"/>
      <c r="D64" s="6"/>
      <c r="E64" s="7"/>
      <c r="F64" s="21"/>
      <c r="G64" s="4"/>
      <c r="H64" s="8"/>
      <c r="I64" s="9"/>
      <c r="J64" s="23">
        <f t="shared" si="4"/>
        <v>0</v>
      </c>
    </row>
    <row r="65" spans="1:10" ht="19.95" hidden="1" customHeight="1" x14ac:dyDescent="0.3">
      <c r="A65" s="4"/>
      <c r="B65" s="4"/>
      <c r="C65" s="6"/>
      <c r="D65" s="6"/>
      <c r="E65" s="7"/>
      <c r="F65" s="21"/>
      <c r="G65" s="4"/>
      <c r="H65" s="8"/>
      <c r="I65" s="9"/>
      <c r="J65" s="23">
        <f t="shared" si="4"/>
        <v>0</v>
      </c>
    </row>
    <row r="66" spans="1:10" s="31" customFormat="1" ht="19.95" hidden="1" customHeight="1" x14ac:dyDescent="0.3">
      <c r="A66" s="25"/>
      <c r="B66" s="25"/>
      <c r="C66" s="26"/>
      <c r="D66" s="26"/>
      <c r="E66" s="27"/>
      <c r="F66" s="28"/>
      <c r="G66" s="25"/>
      <c r="H66" s="29"/>
      <c r="I66" s="9"/>
      <c r="J66" s="35">
        <f t="shared" si="4"/>
        <v>0</v>
      </c>
    </row>
    <row r="67" spans="1:10" ht="19.95" hidden="1" customHeight="1" x14ac:dyDescent="0.3">
      <c r="A67" s="4"/>
      <c r="B67" s="4"/>
      <c r="C67" s="6"/>
      <c r="D67" s="6"/>
      <c r="E67" s="7"/>
      <c r="F67" s="7"/>
      <c r="G67" s="4"/>
      <c r="H67" s="8"/>
      <c r="I67" s="9"/>
      <c r="J67" s="23">
        <f t="shared" si="4"/>
        <v>0</v>
      </c>
    </row>
    <row r="68" spans="1:10" ht="19.95" hidden="1" customHeight="1" x14ac:dyDescent="0.3">
      <c r="A68" s="4"/>
      <c r="B68" s="4"/>
      <c r="C68" s="6"/>
      <c r="D68" s="6"/>
      <c r="E68" s="7"/>
      <c r="F68" s="7"/>
      <c r="G68" s="4"/>
      <c r="H68" s="8"/>
      <c r="I68" s="9"/>
      <c r="J68" s="23">
        <f t="shared" si="4"/>
        <v>0</v>
      </c>
    </row>
    <row r="69" spans="1:10" ht="19.95" customHeight="1" x14ac:dyDescent="0.3">
      <c r="A69" s="4"/>
      <c r="B69" s="4"/>
      <c r="C69" s="6"/>
      <c r="D69" s="6"/>
      <c r="E69" s="7"/>
      <c r="F69" s="7"/>
      <c r="G69" s="4"/>
      <c r="H69" s="8"/>
      <c r="I69" s="9"/>
      <c r="J69" s="23">
        <f t="shared" si="4"/>
        <v>0</v>
      </c>
    </row>
    <row r="70" spans="1:10" ht="19.95" customHeight="1" x14ac:dyDescent="0.3">
      <c r="A70" s="10"/>
      <c r="B70" s="10"/>
      <c r="C70" s="10"/>
      <c r="D70" s="10"/>
      <c r="E70" s="11"/>
      <c r="F70" s="10"/>
      <c r="G70" s="12"/>
      <c r="H70" s="8">
        <f>SUM(H58:H69)</f>
        <v>5400</v>
      </c>
      <c r="I70" s="9">
        <f>SUM(I58:I69)</f>
        <v>5226</v>
      </c>
      <c r="J70" s="23">
        <f>SUM(J58:J69)</f>
        <v>174</v>
      </c>
    </row>
    <row r="71" spans="1:10" ht="19.95" customHeight="1" x14ac:dyDescent="0.3">
      <c r="A71" s="15"/>
      <c r="B71" s="15"/>
      <c r="C71" s="15"/>
      <c r="D71" s="15"/>
      <c r="E71" s="16"/>
      <c r="F71" s="15"/>
      <c r="G71" s="15"/>
      <c r="H71" s="17"/>
      <c r="I71" s="18"/>
      <c r="J71" s="17"/>
    </row>
    <row r="72" spans="1:10" ht="30" customHeight="1" x14ac:dyDescent="0.3">
      <c r="A72" s="94" t="s">
        <v>23</v>
      </c>
      <c r="B72" s="94"/>
      <c r="C72" s="94"/>
      <c r="D72" s="94"/>
      <c r="E72" s="94"/>
      <c r="F72" s="94"/>
      <c r="G72" s="94"/>
      <c r="H72" s="94"/>
      <c r="I72" s="94"/>
      <c r="J72" s="94"/>
    </row>
    <row r="73" spans="1:10" ht="30" customHeight="1" x14ac:dyDescent="0.3">
      <c r="A73" s="4" t="s">
        <v>1</v>
      </c>
      <c r="B73" s="4" t="s">
        <v>2</v>
      </c>
      <c r="C73" s="5" t="s">
        <v>3</v>
      </c>
      <c r="D73" s="5" t="s">
        <v>4</v>
      </c>
      <c r="E73" s="4" t="s">
        <v>5</v>
      </c>
      <c r="F73" s="5" t="s">
        <v>6</v>
      </c>
      <c r="G73" s="5" t="s">
        <v>7</v>
      </c>
      <c r="H73" s="4" t="s">
        <v>8</v>
      </c>
      <c r="I73" s="4" t="s">
        <v>9</v>
      </c>
      <c r="J73" s="4" t="s">
        <v>10</v>
      </c>
    </row>
    <row r="74" spans="1:10" ht="19.95" customHeight="1" x14ac:dyDescent="0.3">
      <c r="A74" s="4">
        <v>290925</v>
      </c>
      <c r="B74" s="4">
        <v>304</v>
      </c>
      <c r="C74" s="6">
        <v>0.8</v>
      </c>
      <c r="D74" s="6" t="s">
        <v>43</v>
      </c>
      <c r="E74" s="7" t="s">
        <v>143</v>
      </c>
      <c r="F74" s="4" t="s">
        <v>41</v>
      </c>
      <c r="G74" s="4">
        <v>430</v>
      </c>
      <c r="H74" s="8">
        <v>3000</v>
      </c>
      <c r="I74" s="9"/>
      <c r="J74" s="23">
        <f t="shared" ref="J74:J95" si="5">H74-I74</f>
        <v>3000</v>
      </c>
    </row>
    <row r="75" spans="1:10" ht="19.95" customHeight="1" x14ac:dyDescent="0.3">
      <c r="A75" s="4"/>
      <c r="B75" s="4"/>
      <c r="C75" s="6"/>
      <c r="D75" s="6"/>
      <c r="E75" s="7"/>
      <c r="F75" s="21"/>
      <c r="G75" s="4"/>
      <c r="H75" s="8"/>
      <c r="I75" s="9"/>
      <c r="J75" s="23">
        <f t="shared" si="5"/>
        <v>0</v>
      </c>
    </row>
    <row r="76" spans="1:10" ht="19.95" customHeight="1" x14ac:dyDescent="0.3">
      <c r="A76" s="4"/>
      <c r="B76" s="4"/>
      <c r="C76" s="6"/>
      <c r="D76" s="6"/>
      <c r="E76" s="7"/>
      <c r="F76" s="21"/>
      <c r="G76" s="4"/>
      <c r="H76" s="8"/>
      <c r="I76" s="9"/>
      <c r="J76" s="8">
        <f t="shared" si="5"/>
        <v>0</v>
      </c>
    </row>
    <row r="77" spans="1:10" ht="19.95" customHeight="1" x14ac:dyDescent="0.3">
      <c r="A77" s="4"/>
      <c r="B77" s="4"/>
      <c r="C77" s="6"/>
      <c r="D77" s="6"/>
      <c r="E77" s="7"/>
      <c r="F77" s="21"/>
      <c r="G77" s="4"/>
      <c r="H77" s="8"/>
      <c r="I77" s="9"/>
      <c r="J77" s="23">
        <f t="shared" si="5"/>
        <v>0</v>
      </c>
    </row>
    <row r="78" spans="1:10" ht="19.95" customHeight="1" x14ac:dyDescent="0.3">
      <c r="A78" s="4"/>
      <c r="B78" s="4"/>
      <c r="C78" s="6"/>
      <c r="D78" s="6"/>
      <c r="E78" s="7"/>
      <c r="F78" s="4"/>
      <c r="G78" s="4"/>
      <c r="H78" s="8"/>
      <c r="I78" s="9"/>
      <c r="J78" s="23">
        <f t="shared" si="5"/>
        <v>0</v>
      </c>
    </row>
    <row r="79" spans="1:10" ht="19.95" hidden="1" customHeight="1" x14ac:dyDescent="0.3">
      <c r="A79" s="4"/>
      <c r="B79" s="4"/>
      <c r="C79" s="6"/>
      <c r="D79" s="6"/>
      <c r="E79" s="7"/>
      <c r="F79" s="21"/>
      <c r="G79" s="4"/>
      <c r="H79" s="8"/>
      <c r="I79" s="9"/>
      <c r="J79" s="8">
        <f t="shared" si="5"/>
        <v>0</v>
      </c>
    </row>
    <row r="80" spans="1:10" ht="19.95" hidden="1" customHeight="1" x14ac:dyDescent="0.3">
      <c r="A80" s="4"/>
      <c r="B80" s="4"/>
      <c r="C80" s="6"/>
      <c r="D80" s="6"/>
      <c r="E80" s="7"/>
      <c r="F80" s="4"/>
      <c r="G80" s="4"/>
      <c r="H80" s="8"/>
      <c r="I80" s="9"/>
      <c r="J80" s="8">
        <f t="shared" si="5"/>
        <v>0</v>
      </c>
    </row>
    <row r="81" spans="1:10" ht="19.95" hidden="1" customHeight="1" x14ac:dyDescent="0.3">
      <c r="A81" s="4"/>
      <c r="B81" s="4"/>
      <c r="C81" s="6"/>
      <c r="D81" s="6"/>
      <c r="E81" s="7"/>
      <c r="F81" s="7"/>
      <c r="G81" s="4"/>
      <c r="H81" s="8"/>
      <c r="I81" s="9"/>
      <c r="J81" s="8">
        <f t="shared" si="5"/>
        <v>0</v>
      </c>
    </row>
    <row r="82" spans="1:10" ht="19.95" hidden="1" customHeight="1" x14ac:dyDescent="0.3">
      <c r="A82" s="4"/>
      <c r="B82" s="4"/>
      <c r="C82" s="6"/>
      <c r="D82" s="6"/>
      <c r="E82" s="7"/>
      <c r="F82" s="7"/>
      <c r="G82" s="4"/>
      <c r="H82" s="8"/>
      <c r="I82" s="9"/>
      <c r="J82" s="8">
        <f t="shared" si="5"/>
        <v>0</v>
      </c>
    </row>
    <row r="83" spans="1:10" ht="19.95" hidden="1" customHeight="1" x14ac:dyDescent="0.3">
      <c r="A83" s="4"/>
      <c r="B83" s="4"/>
      <c r="C83" s="6"/>
      <c r="D83" s="6"/>
      <c r="E83" s="7"/>
      <c r="F83" s="7"/>
      <c r="G83" s="4"/>
      <c r="H83" s="8"/>
      <c r="I83" s="9"/>
      <c r="J83" s="8">
        <f t="shared" si="5"/>
        <v>0</v>
      </c>
    </row>
    <row r="84" spans="1:10" ht="19.95" hidden="1" customHeight="1" x14ac:dyDescent="0.3">
      <c r="A84" s="4"/>
      <c r="B84" s="4"/>
      <c r="C84" s="6"/>
      <c r="D84" s="6"/>
      <c r="E84" s="7"/>
      <c r="F84" s="7"/>
      <c r="G84" s="4"/>
      <c r="H84" s="8"/>
      <c r="I84" s="9"/>
      <c r="J84" s="8">
        <f t="shared" si="5"/>
        <v>0</v>
      </c>
    </row>
    <row r="85" spans="1:10" ht="19.95" hidden="1" customHeight="1" x14ac:dyDescent="0.3">
      <c r="A85" s="4"/>
      <c r="B85" s="4"/>
      <c r="C85" s="6"/>
      <c r="D85" s="6"/>
      <c r="E85" s="7"/>
      <c r="F85" s="7"/>
      <c r="G85" s="4"/>
      <c r="H85" s="8"/>
      <c r="I85" s="9"/>
      <c r="J85" s="8">
        <f t="shared" si="5"/>
        <v>0</v>
      </c>
    </row>
    <row r="86" spans="1:10" ht="19.95" hidden="1" customHeight="1" x14ac:dyDescent="0.3">
      <c r="A86" s="4"/>
      <c r="B86" s="4"/>
      <c r="C86" s="6"/>
      <c r="D86" s="6"/>
      <c r="E86" s="7"/>
      <c r="F86" s="21"/>
      <c r="G86" s="4"/>
      <c r="H86" s="8"/>
      <c r="I86" s="9"/>
      <c r="J86" s="8">
        <f t="shared" si="5"/>
        <v>0</v>
      </c>
    </row>
    <row r="87" spans="1:10" ht="19.95" hidden="1" customHeight="1" x14ac:dyDescent="0.3">
      <c r="A87" s="21"/>
      <c r="B87" s="21"/>
      <c r="C87" s="22"/>
      <c r="D87" s="22"/>
      <c r="E87" s="20"/>
      <c r="F87" s="21"/>
      <c r="G87" s="21"/>
      <c r="H87" s="23"/>
      <c r="I87" s="9"/>
      <c r="J87" s="8">
        <f t="shared" si="5"/>
        <v>0</v>
      </c>
    </row>
    <row r="88" spans="1:10" ht="19.95" hidden="1" customHeight="1" x14ac:dyDescent="0.3">
      <c r="A88" s="21"/>
      <c r="B88" s="21"/>
      <c r="C88" s="22"/>
      <c r="D88" s="22"/>
      <c r="E88" s="20"/>
      <c r="F88" s="21"/>
      <c r="G88" s="21"/>
      <c r="H88" s="23"/>
      <c r="I88" s="9"/>
      <c r="J88" s="8">
        <f t="shared" si="5"/>
        <v>0</v>
      </c>
    </row>
    <row r="89" spans="1:10" ht="19.95" hidden="1" customHeight="1" x14ac:dyDescent="0.3">
      <c r="A89" s="4"/>
      <c r="B89" s="4"/>
      <c r="C89" s="6"/>
      <c r="D89" s="6"/>
      <c r="E89" s="7"/>
      <c r="F89" s="21"/>
      <c r="G89" s="4"/>
      <c r="H89" s="8"/>
      <c r="I89" s="9"/>
      <c r="J89" s="8">
        <f t="shared" si="5"/>
        <v>0</v>
      </c>
    </row>
    <row r="90" spans="1:10" ht="19.95" hidden="1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hidden="1" customHeight="1" x14ac:dyDescent="0.3">
      <c r="A91" s="4"/>
      <c r="B91" s="4"/>
      <c r="C91" s="6"/>
      <c r="D91" s="6"/>
      <c r="E91" s="7"/>
      <c r="F91" s="4"/>
      <c r="G91" s="4"/>
      <c r="H91" s="8"/>
      <c r="I91" s="9"/>
      <c r="J91" s="8">
        <f t="shared" si="5"/>
        <v>0</v>
      </c>
    </row>
    <row r="92" spans="1:10" ht="19.95" hidden="1" customHeight="1" x14ac:dyDescent="0.3">
      <c r="A92" s="4"/>
      <c r="B92" s="4"/>
      <c r="C92" s="6"/>
      <c r="D92" s="6"/>
      <c r="E92" s="7"/>
      <c r="F92" s="4"/>
      <c r="G92" s="4"/>
      <c r="H92" s="8"/>
      <c r="I92" s="9"/>
      <c r="J92" s="8">
        <f t="shared" si="5"/>
        <v>0</v>
      </c>
    </row>
    <row r="93" spans="1:10" ht="19.95" hidden="1" customHeight="1" x14ac:dyDescent="0.3">
      <c r="A93" s="4"/>
      <c r="B93" s="4"/>
      <c r="C93" s="6"/>
      <c r="D93" s="6"/>
      <c r="E93" s="7"/>
      <c r="F93" s="4"/>
      <c r="G93" s="4"/>
      <c r="H93" s="8"/>
      <c r="I93" s="9"/>
      <c r="J93" s="8">
        <f t="shared" si="5"/>
        <v>0</v>
      </c>
    </row>
    <row r="94" spans="1:10" ht="19.95" hidden="1" customHeight="1" x14ac:dyDescent="0.3">
      <c r="A94" s="4"/>
      <c r="B94" s="4"/>
      <c r="C94" s="6"/>
      <c r="D94" s="6"/>
      <c r="E94" s="7"/>
      <c r="F94" s="4"/>
      <c r="G94" s="4"/>
      <c r="H94" s="8"/>
      <c r="I94" s="9"/>
      <c r="J94" s="8">
        <f t="shared" si="5"/>
        <v>0</v>
      </c>
    </row>
    <row r="95" spans="1:10" ht="19.95" customHeight="1" x14ac:dyDescent="0.3">
      <c r="A95" s="4"/>
      <c r="B95" s="4"/>
      <c r="C95" s="6"/>
      <c r="D95" s="6"/>
      <c r="E95" s="7"/>
      <c r="F95" s="4"/>
      <c r="G95" s="4"/>
      <c r="H95" s="8"/>
      <c r="I95" s="9"/>
      <c r="J95" s="8">
        <f t="shared" si="5"/>
        <v>0</v>
      </c>
    </row>
    <row r="96" spans="1:10" ht="19.95" customHeight="1" x14ac:dyDescent="0.3">
      <c r="A96" s="10"/>
      <c r="B96" s="10"/>
      <c r="C96" s="10"/>
      <c r="D96" s="10"/>
      <c r="E96" s="11"/>
      <c r="F96" s="10"/>
      <c r="G96" s="12"/>
      <c r="H96" s="8">
        <f>SUM(H74:H95)</f>
        <v>3000</v>
      </c>
      <c r="I96" s="9">
        <f>SUM(I74:I95)</f>
        <v>0</v>
      </c>
      <c r="J96" s="8">
        <f>SUM(J74:J95)</f>
        <v>3000</v>
      </c>
    </row>
    <row r="98" spans="1:10" ht="23.4" x14ac:dyDescent="0.3">
      <c r="A98" s="95" t="s">
        <v>14</v>
      </c>
      <c r="B98" s="95"/>
      <c r="C98" s="95"/>
      <c r="D98" s="95"/>
      <c r="E98" s="95"/>
      <c r="F98" s="95"/>
      <c r="G98" s="95"/>
      <c r="H98" s="95"/>
      <c r="I98" s="95"/>
      <c r="J98" s="95"/>
    </row>
  </sheetData>
  <mergeCells count="9">
    <mergeCell ref="A56:J56"/>
    <mergeCell ref="A72:J72"/>
    <mergeCell ref="A98:J98"/>
    <mergeCell ref="H1:J1"/>
    <mergeCell ref="A2:J2"/>
    <mergeCell ref="A3:J3"/>
    <mergeCell ref="A17:J17"/>
    <mergeCell ref="A26:J26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8" fitToHeight="0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8"/>
  <sheetViews>
    <sheetView topLeftCell="A56" zoomScale="85" zoomScaleNormal="85" workbookViewId="0">
      <selection activeCell="J30" sqref="J30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3.3320312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A1" s="2" t="s">
        <v>129</v>
      </c>
      <c r="F1" s="15" t="s">
        <v>0</v>
      </c>
      <c r="G1" s="19" t="s">
        <v>145</v>
      </c>
      <c r="H1" s="96" t="s">
        <v>146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250077</v>
      </c>
      <c r="B5" s="4">
        <v>430</v>
      </c>
      <c r="C5" s="6">
        <v>0.5</v>
      </c>
      <c r="D5" s="6" t="s">
        <v>27</v>
      </c>
      <c r="E5" s="7" t="s">
        <v>131</v>
      </c>
      <c r="F5" s="4" t="s">
        <v>45</v>
      </c>
      <c r="G5" s="4">
        <v>430</v>
      </c>
      <c r="H5" s="8">
        <v>1400</v>
      </c>
      <c r="I5" s="9">
        <f>660+748</f>
        <v>1408</v>
      </c>
      <c r="J5" s="33">
        <f t="shared" ref="J5:J14" si="0">H5-I5</f>
        <v>-8</v>
      </c>
    </row>
    <row r="6" spans="1:10" ht="19.95" customHeight="1" x14ac:dyDescent="0.3">
      <c r="A6" s="4">
        <v>250072</v>
      </c>
      <c r="B6" s="4">
        <v>304</v>
      </c>
      <c r="C6" s="6">
        <v>0.7</v>
      </c>
      <c r="D6" s="6" t="s">
        <v>11</v>
      </c>
      <c r="E6" s="7" t="s">
        <v>127</v>
      </c>
      <c r="F6" s="21" t="s">
        <v>45</v>
      </c>
      <c r="G6" s="4">
        <v>430</v>
      </c>
      <c r="H6" s="8">
        <v>750</v>
      </c>
      <c r="I6" s="9">
        <v>751</v>
      </c>
      <c r="J6" s="33">
        <f t="shared" si="0"/>
        <v>-1</v>
      </c>
    </row>
    <row r="7" spans="1:10" ht="19.95" customHeight="1" x14ac:dyDescent="0.3">
      <c r="A7" s="4">
        <v>250071</v>
      </c>
      <c r="B7" s="4">
        <v>304</v>
      </c>
      <c r="C7" s="6">
        <v>0.7</v>
      </c>
      <c r="D7" s="6" t="s">
        <v>11</v>
      </c>
      <c r="E7" s="7" t="s">
        <v>128</v>
      </c>
      <c r="F7" s="21" t="s">
        <v>107</v>
      </c>
      <c r="G7" s="4">
        <v>430</v>
      </c>
      <c r="H7" s="8">
        <v>750</v>
      </c>
      <c r="I7" s="9">
        <v>751</v>
      </c>
      <c r="J7" s="33">
        <f t="shared" si="0"/>
        <v>-1</v>
      </c>
    </row>
    <row r="8" spans="1:10" ht="19.95" customHeight="1" x14ac:dyDescent="0.3">
      <c r="A8" s="4">
        <v>160925</v>
      </c>
      <c r="B8" s="4">
        <v>304</v>
      </c>
      <c r="C8" s="6">
        <v>0.9</v>
      </c>
      <c r="D8" s="6" t="s">
        <v>43</v>
      </c>
      <c r="E8" s="7" t="s">
        <v>132</v>
      </c>
      <c r="F8" s="21" t="s">
        <v>41</v>
      </c>
      <c r="G8" s="4">
        <v>430</v>
      </c>
      <c r="H8" s="8">
        <v>1100</v>
      </c>
      <c r="I8" s="9">
        <f>523+622</f>
        <v>1145</v>
      </c>
      <c r="J8" s="33">
        <f t="shared" si="0"/>
        <v>-45</v>
      </c>
    </row>
    <row r="9" spans="1:10" ht="19.95" hidden="1" customHeight="1" x14ac:dyDescent="0.3">
      <c r="A9" s="4"/>
      <c r="B9" s="4"/>
      <c r="C9" s="6"/>
      <c r="D9" s="6"/>
      <c r="E9" s="7"/>
      <c r="F9" s="21"/>
      <c r="G9" s="4"/>
      <c r="H9" s="8"/>
      <c r="I9" s="9"/>
      <c r="J9" s="23">
        <f t="shared" si="0"/>
        <v>0</v>
      </c>
    </row>
    <row r="10" spans="1:10" ht="19.95" hidden="1" customHeight="1" x14ac:dyDescent="0.3">
      <c r="A10" s="4"/>
      <c r="B10" s="4"/>
      <c r="C10" s="6"/>
      <c r="D10" s="6"/>
      <c r="E10" s="7"/>
      <c r="F10" s="21"/>
      <c r="G10" s="4"/>
      <c r="H10" s="8"/>
      <c r="I10" s="9"/>
      <c r="J10" s="23">
        <f t="shared" si="0"/>
        <v>0</v>
      </c>
    </row>
    <row r="11" spans="1:10" ht="19.95" hidden="1" customHeight="1" x14ac:dyDescent="0.3">
      <c r="A11" s="4"/>
      <c r="B11" s="4"/>
      <c r="C11" s="6"/>
      <c r="D11" s="6"/>
      <c r="E11" s="7"/>
      <c r="F11" s="21"/>
      <c r="G11" s="4"/>
      <c r="H11" s="8"/>
      <c r="I11" s="9"/>
      <c r="J11" s="23">
        <f t="shared" si="0"/>
        <v>0</v>
      </c>
    </row>
    <row r="12" spans="1:10" ht="19.95" hidden="1" customHeight="1" x14ac:dyDescent="0.3">
      <c r="A12" s="4"/>
      <c r="B12" s="4"/>
      <c r="C12" s="6"/>
      <c r="D12" s="6"/>
      <c r="E12" s="7"/>
      <c r="F12" s="21"/>
      <c r="G12" s="4"/>
      <c r="H12" s="8"/>
      <c r="I12" s="9"/>
      <c r="J12" s="23">
        <f t="shared" si="0"/>
        <v>0</v>
      </c>
    </row>
    <row r="13" spans="1:10" ht="19.95" hidden="1" customHeight="1" x14ac:dyDescent="0.3">
      <c r="A13" s="4"/>
      <c r="B13" s="4"/>
      <c r="C13" s="6"/>
      <c r="D13" s="6"/>
      <c r="E13" s="7"/>
      <c r="F13" s="21"/>
      <c r="G13" s="4"/>
      <c r="H13" s="8"/>
      <c r="I13" s="9"/>
      <c r="J13" s="23">
        <f t="shared" si="0"/>
        <v>0</v>
      </c>
    </row>
    <row r="14" spans="1:10" ht="19.95" customHeight="1" x14ac:dyDescent="0.3">
      <c r="A14" s="4"/>
      <c r="B14" s="4"/>
      <c r="C14" s="6"/>
      <c r="D14" s="6"/>
      <c r="E14" s="7"/>
      <c r="F14" s="21"/>
      <c r="G14" s="4"/>
      <c r="H14" s="8"/>
      <c r="I14" s="9"/>
      <c r="J14" s="23">
        <f t="shared" si="0"/>
        <v>0</v>
      </c>
    </row>
    <row r="15" spans="1:10" ht="19.95" customHeight="1" x14ac:dyDescent="0.3">
      <c r="A15" s="10"/>
      <c r="B15" s="10"/>
      <c r="C15" s="10"/>
      <c r="D15" s="10"/>
      <c r="E15" s="11"/>
      <c r="F15" s="10"/>
      <c r="G15" s="12"/>
      <c r="H15" s="13">
        <f>SUM(H5:H14)</f>
        <v>4000</v>
      </c>
      <c r="I15" s="14">
        <f>SUM(I5:I14)</f>
        <v>4055</v>
      </c>
      <c r="J15" s="23">
        <f>SUM(J5:J14)</f>
        <v>-55</v>
      </c>
    </row>
    <row r="17" spans="1:10" ht="30" customHeight="1" x14ac:dyDescent="0.3">
      <c r="A17" s="94" t="s">
        <v>17</v>
      </c>
      <c r="B17" s="94"/>
      <c r="C17" s="94"/>
      <c r="D17" s="94"/>
      <c r="E17" s="94"/>
      <c r="F17" s="94"/>
      <c r="G17" s="94"/>
      <c r="H17" s="94"/>
      <c r="I17" s="94"/>
      <c r="J17" s="94"/>
    </row>
    <row r="18" spans="1:10" ht="30" customHeight="1" x14ac:dyDescent="0.3">
      <c r="A18" s="4" t="s">
        <v>1</v>
      </c>
      <c r="B18" s="4" t="s">
        <v>2</v>
      </c>
      <c r="C18" s="5" t="s">
        <v>3</v>
      </c>
      <c r="D18" s="5" t="s">
        <v>4</v>
      </c>
      <c r="E18" s="4" t="s">
        <v>5</v>
      </c>
      <c r="F18" s="5" t="s">
        <v>6</v>
      </c>
      <c r="G18" s="5" t="s">
        <v>7</v>
      </c>
      <c r="H18" s="4" t="s">
        <v>8</v>
      </c>
      <c r="I18" s="4" t="s">
        <v>9</v>
      </c>
      <c r="J18" s="4" t="s">
        <v>10</v>
      </c>
    </row>
    <row r="19" spans="1:10" ht="19.95" customHeight="1" x14ac:dyDescent="0.3">
      <c r="A19" s="4">
        <v>160925</v>
      </c>
      <c r="B19" s="4">
        <v>304</v>
      </c>
      <c r="C19" s="6">
        <v>0.7</v>
      </c>
      <c r="D19" s="5" t="s">
        <v>55</v>
      </c>
      <c r="E19" s="7" t="s">
        <v>133</v>
      </c>
      <c r="F19" s="4" t="s">
        <v>45</v>
      </c>
      <c r="G19" s="4">
        <v>430</v>
      </c>
      <c r="H19" s="8">
        <v>1100</v>
      </c>
      <c r="I19" s="9">
        <v>1107</v>
      </c>
      <c r="J19" s="33">
        <f t="shared" ref="J19:J23" si="1">H19-I19</f>
        <v>-7</v>
      </c>
    </row>
    <row r="20" spans="1:10" ht="19.95" customHeight="1" x14ac:dyDescent="0.3">
      <c r="A20" s="4">
        <v>180925</v>
      </c>
      <c r="B20" s="4">
        <v>304</v>
      </c>
      <c r="C20" s="6">
        <v>0.7</v>
      </c>
      <c r="D20" s="6" t="s">
        <v>55</v>
      </c>
      <c r="E20" s="7" t="s">
        <v>136</v>
      </c>
      <c r="F20" s="4" t="s">
        <v>45</v>
      </c>
      <c r="G20" s="4">
        <v>430</v>
      </c>
      <c r="H20" s="8">
        <v>2100</v>
      </c>
      <c r="I20" s="9">
        <v>2108</v>
      </c>
      <c r="J20" s="33">
        <f t="shared" si="1"/>
        <v>-8</v>
      </c>
    </row>
    <row r="21" spans="1:10" ht="19.95" customHeight="1" x14ac:dyDescent="0.3">
      <c r="A21" s="4">
        <v>160925</v>
      </c>
      <c r="B21" s="4">
        <v>304</v>
      </c>
      <c r="C21" s="6">
        <v>0.7</v>
      </c>
      <c r="D21" s="6" t="s">
        <v>55</v>
      </c>
      <c r="E21" s="7" t="s">
        <v>134</v>
      </c>
      <c r="F21" s="4" t="s">
        <v>45</v>
      </c>
      <c r="G21" s="4">
        <v>430</v>
      </c>
      <c r="H21" s="8">
        <v>1100</v>
      </c>
      <c r="I21" s="9">
        <v>1105</v>
      </c>
      <c r="J21" s="33">
        <f t="shared" si="1"/>
        <v>-5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33">
        <f t="shared" si="1"/>
        <v>0</v>
      </c>
    </row>
    <row r="23" spans="1:10" ht="19.95" customHeight="1" x14ac:dyDescent="0.3">
      <c r="A23" s="4"/>
      <c r="B23" s="4"/>
      <c r="C23" s="4"/>
      <c r="D23" s="4"/>
      <c r="E23" s="7"/>
      <c r="F23" s="4"/>
      <c r="G23" s="4"/>
      <c r="H23" s="8"/>
      <c r="I23" s="9"/>
      <c r="J23" s="23">
        <f t="shared" si="1"/>
        <v>0</v>
      </c>
    </row>
    <row r="24" spans="1:10" ht="19.95" customHeight="1" x14ac:dyDescent="0.3">
      <c r="A24" s="10"/>
      <c r="B24" s="10"/>
      <c r="C24" s="10"/>
      <c r="D24" s="10"/>
      <c r="E24" s="11"/>
      <c r="F24" s="10"/>
      <c r="G24" s="12"/>
      <c r="H24" s="8">
        <f>SUM(H19:H23)</f>
        <v>4300</v>
      </c>
      <c r="I24" s="9">
        <f>SUM(I19:I23)</f>
        <v>4320</v>
      </c>
      <c r="J24" s="23">
        <f>SUM(J19:J23)</f>
        <v>-20</v>
      </c>
    </row>
    <row r="26" spans="1:10" ht="30" customHeight="1" x14ac:dyDescent="0.3">
      <c r="A26" s="94" t="s">
        <v>18</v>
      </c>
      <c r="B26" s="94"/>
      <c r="C26" s="94"/>
      <c r="D26" s="94"/>
      <c r="E26" s="94"/>
      <c r="F26" s="94"/>
      <c r="G26" s="94"/>
      <c r="H26" s="94"/>
      <c r="I26" s="94"/>
      <c r="J26" s="94"/>
    </row>
    <row r="27" spans="1:10" ht="30" customHeight="1" x14ac:dyDescent="0.3">
      <c r="A27" s="4" t="s">
        <v>1</v>
      </c>
      <c r="B27" s="4" t="s">
        <v>2</v>
      </c>
      <c r="C27" s="5" t="s">
        <v>3</v>
      </c>
      <c r="D27" s="5" t="s">
        <v>4</v>
      </c>
      <c r="E27" s="4" t="s">
        <v>5</v>
      </c>
      <c r="F27" s="5" t="s">
        <v>6</v>
      </c>
      <c r="G27" s="5" t="s">
        <v>7</v>
      </c>
      <c r="H27" s="4" t="s">
        <v>8</v>
      </c>
      <c r="I27" s="4" t="s">
        <v>9</v>
      </c>
      <c r="J27" s="4" t="s">
        <v>10</v>
      </c>
    </row>
    <row r="28" spans="1:10" ht="19.95" customHeight="1" x14ac:dyDescent="0.3">
      <c r="A28" s="4">
        <v>180925</v>
      </c>
      <c r="B28" s="4">
        <v>304</v>
      </c>
      <c r="C28" s="6">
        <v>0.7</v>
      </c>
      <c r="D28" s="6" t="s">
        <v>55</v>
      </c>
      <c r="E28" s="7" t="s">
        <v>135</v>
      </c>
      <c r="F28" s="4" t="s">
        <v>45</v>
      </c>
      <c r="G28" s="4">
        <v>430</v>
      </c>
      <c r="H28" s="8">
        <v>2100</v>
      </c>
      <c r="I28" s="9">
        <v>1030</v>
      </c>
      <c r="J28" s="23">
        <f t="shared" ref="J28:J38" si="2">H28-I28</f>
        <v>1070</v>
      </c>
    </row>
    <row r="29" spans="1:10" ht="19.95" customHeight="1" x14ac:dyDescent="0.3">
      <c r="A29" s="4">
        <v>160925</v>
      </c>
      <c r="B29" s="4">
        <v>304</v>
      </c>
      <c r="C29" s="6">
        <v>0.7</v>
      </c>
      <c r="D29" s="6" t="s">
        <v>55</v>
      </c>
      <c r="E29" s="7" t="s">
        <v>137</v>
      </c>
      <c r="F29" s="21" t="s">
        <v>45</v>
      </c>
      <c r="G29" s="4">
        <v>430</v>
      </c>
      <c r="H29" s="8">
        <v>1100</v>
      </c>
      <c r="I29" s="9">
        <v>1107</v>
      </c>
      <c r="J29" s="33">
        <f t="shared" si="2"/>
        <v>-7</v>
      </c>
    </row>
    <row r="30" spans="1:10" ht="19.95" customHeight="1" x14ac:dyDescent="0.3">
      <c r="A30" s="4">
        <v>160925</v>
      </c>
      <c r="B30" s="4">
        <v>304</v>
      </c>
      <c r="C30" s="6">
        <v>0.7</v>
      </c>
      <c r="D30" s="6" t="s">
        <v>55</v>
      </c>
      <c r="E30" s="7" t="s">
        <v>138</v>
      </c>
      <c r="F30" s="21" t="s">
        <v>45</v>
      </c>
      <c r="G30" s="4">
        <v>430</v>
      </c>
      <c r="H30" s="8">
        <v>1100</v>
      </c>
      <c r="I30" s="9">
        <v>1103</v>
      </c>
      <c r="J30" s="33">
        <f t="shared" si="2"/>
        <v>-3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23">
        <f t="shared" si="2"/>
        <v>0</v>
      </c>
    </row>
    <row r="32" spans="1:10" ht="19.95" hidden="1" customHeight="1" x14ac:dyDescent="0.3">
      <c r="A32" s="4"/>
      <c r="B32" s="4"/>
      <c r="C32" s="6"/>
      <c r="D32" s="6"/>
      <c r="E32" s="7"/>
      <c r="F32" s="21"/>
      <c r="G32" s="4"/>
      <c r="H32" s="8"/>
      <c r="I32" s="9">
        <v>0</v>
      </c>
      <c r="J32" s="23">
        <f t="shared" si="2"/>
        <v>0</v>
      </c>
    </row>
    <row r="33" spans="1:10" ht="19.95" hidden="1" customHeight="1" x14ac:dyDescent="0.3">
      <c r="A33" s="4"/>
      <c r="B33" s="4"/>
      <c r="C33" s="6"/>
      <c r="D33" s="6"/>
      <c r="E33" s="7"/>
      <c r="F33" s="21"/>
      <c r="G33" s="4"/>
      <c r="H33" s="8"/>
      <c r="I33" s="9">
        <v>0</v>
      </c>
      <c r="J33" s="23">
        <f t="shared" si="2"/>
        <v>0</v>
      </c>
    </row>
    <row r="34" spans="1:10" ht="19.95" hidden="1" customHeight="1" x14ac:dyDescent="0.3">
      <c r="A34" s="4"/>
      <c r="B34" s="4"/>
      <c r="C34" s="6"/>
      <c r="D34" s="6"/>
      <c r="E34" s="7"/>
      <c r="F34" s="21"/>
      <c r="G34" s="4"/>
      <c r="H34" s="8"/>
      <c r="I34" s="9">
        <v>0</v>
      </c>
      <c r="J34" s="23">
        <f t="shared" si="2"/>
        <v>0</v>
      </c>
    </row>
    <row r="35" spans="1:10" ht="19.95" hidden="1" customHeight="1" x14ac:dyDescent="0.3">
      <c r="A35" s="4"/>
      <c r="B35" s="4"/>
      <c r="C35" s="6"/>
      <c r="D35" s="6"/>
      <c r="E35" s="7"/>
      <c r="F35" s="21"/>
      <c r="G35" s="4"/>
      <c r="H35" s="8"/>
      <c r="I35" s="9">
        <v>0</v>
      </c>
      <c r="J35" s="23">
        <f t="shared" si="2"/>
        <v>0</v>
      </c>
    </row>
    <row r="36" spans="1:10" ht="19.95" hidden="1" customHeight="1" x14ac:dyDescent="0.3">
      <c r="A36" s="4"/>
      <c r="B36" s="4"/>
      <c r="C36" s="6"/>
      <c r="D36" s="6"/>
      <c r="E36" s="7"/>
      <c r="F36" s="21"/>
      <c r="G36" s="4"/>
      <c r="H36" s="8"/>
      <c r="I36" s="9">
        <v>0</v>
      </c>
      <c r="J36" s="23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>
        <v>0</v>
      </c>
      <c r="J37" s="23">
        <f t="shared" si="2"/>
        <v>0</v>
      </c>
    </row>
    <row r="38" spans="1:10" ht="19.95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23">
        <f t="shared" si="2"/>
        <v>0</v>
      </c>
    </row>
    <row r="39" spans="1:10" ht="19.95" customHeight="1" x14ac:dyDescent="0.3">
      <c r="A39" s="10"/>
      <c r="B39" s="10"/>
      <c r="C39" s="10"/>
      <c r="D39" s="10"/>
      <c r="E39" s="11"/>
      <c r="F39" s="10"/>
      <c r="G39" s="12"/>
      <c r="H39" s="8">
        <f>SUM(H28:H38)</f>
        <v>4300</v>
      </c>
      <c r="I39" s="9">
        <f>SUM(I28:I38)</f>
        <v>3240</v>
      </c>
      <c r="J39" s="23">
        <f>SUM(J28:J38)</f>
        <v>1060</v>
      </c>
    </row>
    <row r="41" spans="1:10" ht="30" customHeight="1" x14ac:dyDescent="0.3">
      <c r="A41" s="94" t="s">
        <v>20</v>
      </c>
      <c r="B41" s="94"/>
      <c r="C41" s="94"/>
      <c r="D41" s="94"/>
      <c r="E41" s="94"/>
      <c r="F41" s="94"/>
      <c r="G41" s="94"/>
      <c r="H41" s="94"/>
      <c r="I41" s="94"/>
      <c r="J41" s="94"/>
    </row>
    <row r="42" spans="1:10" ht="30" customHeight="1" x14ac:dyDescent="0.3">
      <c r="A42" s="4" t="s">
        <v>1</v>
      </c>
      <c r="B42" s="4" t="s">
        <v>2</v>
      </c>
      <c r="C42" s="5" t="s">
        <v>3</v>
      </c>
      <c r="D42" s="5" t="s">
        <v>4</v>
      </c>
      <c r="E42" s="4" t="s">
        <v>5</v>
      </c>
      <c r="F42" s="5" t="s">
        <v>6</v>
      </c>
      <c r="G42" s="5" t="s">
        <v>7</v>
      </c>
      <c r="H42" s="4" t="s">
        <v>8</v>
      </c>
      <c r="I42" s="4" t="s">
        <v>9</v>
      </c>
      <c r="J42" s="4" t="s">
        <v>10</v>
      </c>
    </row>
    <row r="43" spans="1:10" ht="19.95" customHeight="1" x14ac:dyDescent="0.3">
      <c r="A43" s="4">
        <v>180925</v>
      </c>
      <c r="B43" s="4">
        <v>304</v>
      </c>
      <c r="C43" s="6">
        <v>0.7</v>
      </c>
      <c r="D43" s="6" t="s">
        <v>55</v>
      </c>
      <c r="E43" s="7" t="s">
        <v>139</v>
      </c>
      <c r="F43" s="4" t="s">
        <v>45</v>
      </c>
      <c r="G43" s="4">
        <v>430</v>
      </c>
      <c r="H43" s="8">
        <v>2100</v>
      </c>
      <c r="I43" s="9"/>
      <c r="J43" s="23">
        <f t="shared" ref="J43:J51" si="3">H43-I43</f>
        <v>2100</v>
      </c>
    </row>
    <row r="44" spans="1:10" ht="19.95" customHeight="1" x14ac:dyDescent="0.3">
      <c r="A44" s="4">
        <v>180925</v>
      </c>
      <c r="B44" s="4">
        <v>304</v>
      </c>
      <c r="C44" s="6">
        <v>0.7</v>
      </c>
      <c r="D44" s="6" t="s">
        <v>55</v>
      </c>
      <c r="E44" s="7" t="s">
        <v>140</v>
      </c>
      <c r="F44" s="21" t="s">
        <v>45</v>
      </c>
      <c r="G44" s="4">
        <v>430</v>
      </c>
      <c r="H44" s="8">
        <v>2100</v>
      </c>
      <c r="I44" s="9"/>
      <c r="J44" s="23">
        <f t="shared" si="3"/>
        <v>2100</v>
      </c>
    </row>
    <row r="45" spans="1:10" ht="19.95" customHeight="1" x14ac:dyDescent="0.3">
      <c r="A45" s="4"/>
      <c r="B45" s="4"/>
      <c r="C45" s="6"/>
      <c r="D45" s="6"/>
      <c r="E45" s="7"/>
      <c r="F45" s="21"/>
      <c r="G45" s="4"/>
      <c r="H45" s="8"/>
      <c r="I45" s="9"/>
      <c r="J45" s="23">
        <f t="shared" si="3"/>
        <v>0</v>
      </c>
    </row>
    <row r="46" spans="1:10" ht="19.95" customHeight="1" x14ac:dyDescent="0.3">
      <c r="A46" s="4"/>
      <c r="B46" s="4"/>
      <c r="C46" s="6"/>
      <c r="D46" s="6"/>
      <c r="E46" s="7"/>
      <c r="F46" s="21"/>
      <c r="G46" s="4"/>
      <c r="H46" s="8"/>
      <c r="I46" s="9"/>
      <c r="J46" s="23">
        <f t="shared" si="3"/>
        <v>0</v>
      </c>
    </row>
    <row r="47" spans="1:10" ht="19.95" hidden="1" customHeight="1" x14ac:dyDescent="0.3">
      <c r="A47" s="4"/>
      <c r="B47" s="4"/>
      <c r="C47" s="6"/>
      <c r="D47" s="6"/>
      <c r="E47" s="7"/>
      <c r="F47" s="21"/>
      <c r="G47" s="4"/>
      <c r="H47" s="8"/>
      <c r="I47" s="9"/>
      <c r="J47" s="23">
        <f t="shared" si="3"/>
        <v>0</v>
      </c>
    </row>
    <row r="48" spans="1:10" ht="19.95" hidden="1" customHeight="1" x14ac:dyDescent="0.3">
      <c r="A48" s="4"/>
      <c r="B48" s="4"/>
      <c r="C48" s="6"/>
      <c r="D48" s="6"/>
      <c r="E48" s="7"/>
      <c r="F48" s="21"/>
      <c r="G48" s="4"/>
      <c r="H48" s="8"/>
      <c r="I48" s="9"/>
      <c r="J48" s="23">
        <f t="shared" si="3"/>
        <v>0</v>
      </c>
    </row>
    <row r="49" spans="1:10" ht="19.95" hidden="1" customHeight="1" x14ac:dyDescent="0.3">
      <c r="A49" s="4"/>
      <c r="B49" s="4"/>
      <c r="C49" s="6"/>
      <c r="D49" s="6"/>
      <c r="E49" s="7"/>
      <c r="F49" s="21"/>
      <c r="G49" s="4"/>
      <c r="H49" s="8"/>
      <c r="I49" s="9"/>
      <c r="J49" s="23">
        <f t="shared" si="3"/>
        <v>0</v>
      </c>
    </row>
    <row r="50" spans="1:10" ht="19.95" hidden="1" customHeight="1" x14ac:dyDescent="0.3">
      <c r="A50" s="4"/>
      <c r="B50" s="4"/>
      <c r="C50" s="6"/>
      <c r="D50" s="6"/>
      <c r="E50" s="7"/>
      <c r="F50" s="21"/>
      <c r="G50" s="4"/>
      <c r="H50" s="8"/>
      <c r="I50" s="9"/>
      <c r="J50" s="23">
        <f t="shared" si="3"/>
        <v>0</v>
      </c>
    </row>
    <row r="51" spans="1:10" ht="19.95" hidden="1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23">
        <f t="shared" si="3"/>
        <v>0</v>
      </c>
    </row>
    <row r="52" spans="1:10" ht="19.95" hidden="1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23">
        <v>0</v>
      </c>
    </row>
    <row r="53" spans="1:10" ht="19.95" customHeight="1" x14ac:dyDescent="0.3">
      <c r="A53" s="4"/>
      <c r="B53" s="4"/>
      <c r="C53" s="6"/>
      <c r="D53" s="6"/>
      <c r="E53" s="7"/>
      <c r="F53" s="21"/>
      <c r="G53" s="4"/>
      <c r="H53" s="8"/>
      <c r="I53" s="9"/>
      <c r="J53" s="23">
        <v>0</v>
      </c>
    </row>
    <row r="54" spans="1:10" ht="19.95" customHeight="1" x14ac:dyDescent="0.3">
      <c r="A54" s="10"/>
      <c r="B54" s="10"/>
      <c r="C54" s="10"/>
      <c r="D54" s="10"/>
      <c r="E54" s="11"/>
      <c r="F54" s="10"/>
      <c r="G54" s="12"/>
      <c r="H54" s="8">
        <f>SUM(H43:H53)</f>
        <v>4200</v>
      </c>
      <c r="I54" s="9">
        <f>SUM(I43:I53)</f>
        <v>0</v>
      </c>
      <c r="J54" s="23">
        <f>SUM(J43:J53)</f>
        <v>4200</v>
      </c>
    </row>
    <row r="55" spans="1:10" ht="19.95" customHeight="1" x14ac:dyDescent="0.3">
      <c r="A55" s="15"/>
      <c r="B55" s="15"/>
      <c r="C55" s="15"/>
      <c r="D55" s="15"/>
      <c r="E55" s="16"/>
      <c r="F55" s="15"/>
      <c r="G55" s="15"/>
      <c r="H55" s="17"/>
      <c r="I55" s="18"/>
      <c r="J55" s="17"/>
    </row>
    <row r="56" spans="1:10" ht="30" customHeight="1" x14ac:dyDescent="0.3">
      <c r="A56" s="94" t="s">
        <v>19</v>
      </c>
      <c r="B56" s="94"/>
      <c r="C56" s="94"/>
      <c r="D56" s="94"/>
      <c r="E56" s="94"/>
      <c r="F56" s="94"/>
      <c r="G56" s="94"/>
      <c r="H56" s="94"/>
      <c r="I56" s="94"/>
      <c r="J56" s="94"/>
    </row>
    <row r="57" spans="1:10" ht="30" customHeight="1" x14ac:dyDescent="0.3">
      <c r="A57" s="4" t="s">
        <v>1</v>
      </c>
      <c r="B57" s="4" t="s">
        <v>2</v>
      </c>
      <c r="C57" s="5" t="s">
        <v>3</v>
      </c>
      <c r="D57" s="5" t="s">
        <v>4</v>
      </c>
      <c r="E57" s="4" t="s">
        <v>5</v>
      </c>
      <c r="F57" s="5" t="s">
        <v>6</v>
      </c>
      <c r="G57" s="5" t="s">
        <v>7</v>
      </c>
      <c r="H57" s="4" t="s">
        <v>8</v>
      </c>
      <c r="I57" s="4" t="s">
        <v>9</v>
      </c>
      <c r="J57" s="4" t="s">
        <v>10</v>
      </c>
    </row>
    <row r="58" spans="1:10" ht="19.95" customHeight="1" x14ac:dyDescent="0.3">
      <c r="A58" s="4">
        <v>250077</v>
      </c>
      <c r="B58" s="4">
        <v>430</v>
      </c>
      <c r="C58" s="6">
        <v>0.5</v>
      </c>
      <c r="D58" s="6" t="s">
        <v>27</v>
      </c>
      <c r="E58" s="7" t="s">
        <v>141</v>
      </c>
      <c r="F58" s="4" t="s">
        <v>45</v>
      </c>
      <c r="G58" s="4">
        <v>430</v>
      </c>
      <c r="H58" s="8">
        <v>1400</v>
      </c>
      <c r="I58" s="9">
        <f>1119+311</f>
        <v>1430</v>
      </c>
      <c r="J58" s="33">
        <f t="shared" ref="J58:J69" si="4">H58-I58</f>
        <v>-30</v>
      </c>
    </row>
    <row r="59" spans="1:10" ht="19.95" customHeight="1" x14ac:dyDescent="0.3">
      <c r="A59" s="4">
        <v>290925</v>
      </c>
      <c r="B59" s="4">
        <v>304</v>
      </c>
      <c r="C59" s="6">
        <v>0.8</v>
      </c>
      <c r="D59" s="6" t="s">
        <v>43</v>
      </c>
      <c r="E59" s="7" t="s">
        <v>142</v>
      </c>
      <c r="F59" s="21" t="s">
        <v>41</v>
      </c>
      <c r="G59" s="4">
        <v>430</v>
      </c>
      <c r="H59" s="8">
        <v>4000</v>
      </c>
      <c r="I59" s="9">
        <f>411+3696</f>
        <v>4107</v>
      </c>
      <c r="J59" s="33">
        <f t="shared" si="4"/>
        <v>-107</v>
      </c>
    </row>
    <row r="60" spans="1:10" ht="19.95" customHeight="1" x14ac:dyDescent="0.3">
      <c r="A60" s="4"/>
      <c r="B60" s="4"/>
      <c r="C60" s="6"/>
      <c r="D60" s="6"/>
      <c r="E60" s="7"/>
      <c r="F60" s="21"/>
      <c r="G60" s="4"/>
      <c r="H60" s="8"/>
      <c r="I60" s="9"/>
      <c r="J60" s="23">
        <f t="shared" si="4"/>
        <v>0</v>
      </c>
    </row>
    <row r="61" spans="1:10" ht="19.95" customHeight="1" x14ac:dyDescent="0.3">
      <c r="A61" s="4"/>
      <c r="B61" s="4"/>
      <c r="C61" s="6"/>
      <c r="D61" s="6"/>
      <c r="E61" s="37"/>
      <c r="F61" s="21"/>
      <c r="G61" s="4"/>
      <c r="H61" s="8"/>
      <c r="I61" s="9"/>
      <c r="J61" s="23">
        <f t="shared" si="4"/>
        <v>0</v>
      </c>
    </row>
    <row r="62" spans="1:10" ht="19.95" hidden="1" customHeight="1" x14ac:dyDescent="0.3">
      <c r="A62" s="4"/>
      <c r="B62" s="4"/>
      <c r="C62" s="6"/>
      <c r="D62" s="6"/>
      <c r="E62" s="7"/>
      <c r="F62" s="21"/>
      <c r="G62" s="4"/>
      <c r="H62" s="8"/>
      <c r="I62" s="9"/>
      <c r="J62" s="23">
        <f t="shared" si="4"/>
        <v>0</v>
      </c>
    </row>
    <row r="63" spans="1:10" ht="19.95" hidden="1" customHeight="1" x14ac:dyDescent="0.3">
      <c r="A63" s="4"/>
      <c r="B63" s="4"/>
      <c r="C63" s="6"/>
      <c r="D63" s="6"/>
      <c r="E63" s="7"/>
      <c r="F63" s="21"/>
      <c r="G63" s="4"/>
      <c r="H63" s="8"/>
      <c r="I63" s="9"/>
      <c r="J63" s="23">
        <f t="shared" si="4"/>
        <v>0</v>
      </c>
    </row>
    <row r="64" spans="1:10" ht="19.95" hidden="1" customHeight="1" x14ac:dyDescent="0.3">
      <c r="A64" s="4"/>
      <c r="B64" s="4"/>
      <c r="C64" s="6"/>
      <c r="D64" s="6"/>
      <c r="E64" s="7"/>
      <c r="F64" s="21"/>
      <c r="G64" s="4"/>
      <c r="H64" s="8"/>
      <c r="I64" s="9"/>
      <c r="J64" s="23">
        <f t="shared" si="4"/>
        <v>0</v>
      </c>
    </row>
    <row r="65" spans="1:10" ht="19.95" hidden="1" customHeight="1" x14ac:dyDescent="0.3">
      <c r="A65" s="4"/>
      <c r="B65" s="4"/>
      <c r="C65" s="6"/>
      <c r="D65" s="6"/>
      <c r="E65" s="7"/>
      <c r="F65" s="21"/>
      <c r="G65" s="4"/>
      <c r="H65" s="8"/>
      <c r="I65" s="9"/>
      <c r="J65" s="23">
        <f t="shared" si="4"/>
        <v>0</v>
      </c>
    </row>
    <row r="66" spans="1:10" s="31" customFormat="1" ht="19.95" hidden="1" customHeight="1" x14ac:dyDescent="0.3">
      <c r="A66" s="25"/>
      <c r="B66" s="25"/>
      <c r="C66" s="26"/>
      <c r="D66" s="26"/>
      <c r="E66" s="27"/>
      <c r="F66" s="28"/>
      <c r="G66" s="25"/>
      <c r="H66" s="29"/>
      <c r="I66" s="9"/>
      <c r="J66" s="35">
        <f t="shared" si="4"/>
        <v>0</v>
      </c>
    </row>
    <row r="67" spans="1:10" ht="19.95" hidden="1" customHeight="1" x14ac:dyDescent="0.3">
      <c r="A67" s="4"/>
      <c r="B67" s="4"/>
      <c r="C67" s="6"/>
      <c r="D67" s="6"/>
      <c r="E67" s="7"/>
      <c r="F67" s="7"/>
      <c r="G67" s="4"/>
      <c r="H67" s="8"/>
      <c r="I67" s="9"/>
      <c r="J67" s="23">
        <f t="shared" si="4"/>
        <v>0</v>
      </c>
    </row>
    <row r="68" spans="1:10" ht="19.95" hidden="1" customHeight="1" x14ac:dyDescent="0.3">
      <c r="A68" s="4"/>
      <c r="B68" s="4"/>
      <c r="C68" s="6"/>
      <c r="D68" s="6"/>
      <c r="E68" s="7"/>
      <c r="F68" s="7"/>
      <c r="G68" s="4"/>
      <c r="H68" s="8"/>
      <c r="I68" s="9"/>
      <c r="J68" s="23">
        <f t="shared" si="4"/>
        <v>0</v>
      </c>
    </row>
    <row r="69" spans="1:10" ht="19.95" customHeight="1" x14ac:dyDescent="0.3">
      <c r="A69" s="4"/>
      <c r="B69" s="4"/>
      <c r="C69" s="6"/>
      <c r="D69" s="6"/>
      <c r="E69" s="7"/>
      <c r="F69" s="7"/>
      <c r="G69" s="4"/>
      <c r="H69" s="8"/>
      <c r="I69" s="9"/>
      <c r="J69" s="23">
        <f t="shared" si="4"/>
        <v>0</v>
      </c>
    </row>
    <row r="70" spans="1:10" ht="19.95" customHeight="1" x14ac:dyDescent="0.3">
      <c r="A70" s="10"/>
      <c r="B70" s="10"/>
      <c r="C70" s="10"/>
      <c r="D70" s="10"/>
      <c r="E70" s="11"/>
      <c r="F70" s="10"/>
      <c r="G70" s="12"/>
      <c r="H70" s="8">
        <f>SUM(H58:H69)</f>
        <v>5400</v>
      </c>
      <c r="I70" s="9">
        <f>SUM(I58:I69)</f>
        <v>5537</v>
      </c>
      <c r="J70" s="23">
        <f>SUM(J58:J69)</f>
        <v>-137</v>
      </c>
    </row>
    <row r="71" spans="1:10" ht="19.95" customHeight="1" x14ac:dyDescent="0.3">
      <c r="A71" s="15"/>
      <c r="B71" s="15"/>
      <c r="C71" s="15"/>
      <c r="D71" s="15"/>
      <c r="E71" s="16"/>
      <c r="F71" s="15"/>
      <c r="G71" s="15"/>
      <c r="H71" s="17"/>
      <c r="I71" s="18"/>
      <c r="J71" s="17"/>
    </row>
    <row r="72" spans="1:10" ht="30" customHeight="1" x14ac:dyDescent="0.3">
      <c r="A72" s="94" t="s">
        <v>23</v>
      </c>
      <c r="B72" s="94"/>
      <c r="C72" s="94"/>
      <c r="D72" s="94"/>
      <c r="E72" s="94"/>
      <c r="F72" s="94"/>
      <c r="G72" s="94"/>
      <c r="H72" s="94"/>
      <c r="I72" s="94"/>
      <c r="J72" s="94"/>
    </row>
    <row r="73" spans="1:10" ht="30" customHeight="1" x14ac:dyDescent="0.3">
      <c r="A73" s="4" t="s">
        <v>1</v>
      </c>
      <c r="B73" s="4" t="s">
        <v>2</v>
      </c>
      <c r="C73" s="5" t="s">
        <v>3</v>
      </c>
      <c r="D73" s="5" t="s">
        <v>4</v>
      </c>
      <c r="E73" s="4" t="s">
        <v>5</v>
      </c>
      <c r="F73" s="5" t="s">
        <v>6</v>
      </c>
      <c r="G73" s="5" t="s">
        <v>7</v>
      </c>
      <c r="H73" s="4" t="s">
        <v>8</v>
      </c>
      <c r="I73" s="4" t="s">
        <v>9</v>
      </c>
      <c r="J73" s="4" t="s">
        <v>10</v>
      </c>
    </row>
    <row r="74" spans="1:10" ht="19.95" customHeight="1" x14ac:dyDescent="0.3">
      <c r="A74" s="4">
        <v>290925</v>
      </c>
      <c r="B74" s="4">
        <v>304</v>
      </c>
      <c r="C74" s="6">
        <v>0.8</v>
      </c>
      <c r="D74" s="6" t="s">
        <v>43</v>
      </c>
      <c r="E74" s="7" t="s">
        <v>143</v>
      </c>
      <c r="F74" s="4" t="s">
        <v>41</v>
      </c>
      <c r="G74" s="4">
        <v>430</v>
      </c>
      <c r="H74" s="8">
        <v>3000</v>
      </c>
      <c r="I74" s="9"/>
      <c r="J74" s="23">
        <f t="shared" ref="J74:J95" si="5">H74-I74</f>
        <v>3000</v>
      </c>
    </row>
    <row r="75" spans="1:10" ht="19.95" customHeight="1" x14ac:dyDescent="0.3">
      <c r="A75" s="4">
        <v>250048</v>
      </c>
      <c r="B75" s="4">
        <v>304</v>
      </c>
      <c r="C75" s="6">
        <v>1</v>
      </c>
      <c r="D75" s="6" t="s">
        <v>55</v>
      </c>
      <c r="E75" s="7" t="s">
        <v>147</v>
      </c>
      <c r="F75" s="21" t="s">
        <v>52</v>
      </c>
      <c r="G75" s="4">
        <v>430</v>
      </c>
      <c r="H75" s="8">
        <v>120</v>
      </c>
      <c r="I75" s="9">
        <v>123</v>
      </c>
      <c r="J75" s="33">
        <f t="shared" si="5"/>
        <v>-3</v>
      </c>
    </row>
    <row r="76" spans="1:10" ht="19.95" customHeight="1" x14ac:dyDescent="0.3">
      <c r="A76" s="4"/>
      <c r="B76" s="4"/>
      <c r="C76" s="6"/>
      <c r="D76" s="6"/>
      <c r="E76" s="7"/>
      <c r="F76" s="21"/>
      <c r="G76" s="4"/>
      <c r="H76" s="8"/>
      <c r="I76" s="9"/>
      <c r="J76" s="8">
        <f t="shared" si="5"/>
        <v>0</v>
      </c>
    </row>
    <row r="77" spans="1:10" ht="19.95" customHeight="1" x14ac:dyDescent="0.3">
      <c r="A77" s="4"/>
      <c r="B77" s="4"/>
      <c r="C77" s="6"/>
      <c r="D77" s="6"/>
      <c r="E77" s="7"/>
      <c r="F77" s="21"/>
      <c r="G77" s="4"/>
      <c r="H77" s="8"/>
      <c r="I77" s="9"/>
      <c r="J77" s="23">
        <f t="shared" si="5"/>
        <v>0</v>
      </c>
    </row>
    <row r="78" spans="1:10" ht="19.95" customHeight="1" x14ac:dyDescent="0.3">
      <c r="A78" s="4"/>
      <c r="B78" s="4"/>
      <c r="C78" s="6"/>
      <c r="D78" s="6"/>
      <c r="E78" s="7"/>
      <c r="F78" s="4"/>
      <c r="G78" s="4"/>
      <c r="H78" s="8"/>
      <c r="I78" s="9"/>
      <c r="J78" s="23">
        <f t="shared" si="5"/>
        <v>0</v>
      </c>
    </row>
    <row r="79" spans="1:10" ht="19.95" hidden="1" customHeight="1" x14ac:dyDescent="0.3">
      <c r="A79" s="4"/>
      <c r="B79" s="4"/>
      <c r="C79" s="6"/>
      <c r="D79" s="6"/>
      <c r="E79" s="7"/>
      <c r="F79" s="21"/>
      <c r="G79" s="4"/>
      <c r="H79" s="8"/>
      <c r="I79" s="9"/>
      <c r="J79" s="8">
        <f t="shared" si="5"/>
        <v>0</v>
      </c>
    </row>
    <row r="80" spans="1:10" ht="19.95" hidden="1" customHeight="1" x14ac:dyDescent="0.3">
      <c r="A80" s="4"/>
      <c r="B80" s="4"/>
      <c r="C80" s="6"/>
      <c r="D80" s="6"/>
      <c r="E80" s="7"/>
      <c r="F80" s="4"/>
      <c r="G80" s="4"/>
      <c r="H80" s="8"/>
      <c r="I80" s="9"/>
      <c r="J80" s="8">
        <f t="shared" si="5"/>
        <v>0</v>
      </c>
    </row>
    <row r="81" spans="1:10" ht="19.95" hidden="1" customHeight="1" x14ac:dyDescent="0.3">
      <c r="A81" s="4"/>
      <c r="B81" s="4"/>
      <c r="C81" s="6"/>
      <c r="D81" s="6"/>
      <c r="E81" s="7"/>
      <c r="F81" s="7"/>
      <c r="G81" s="4"/>
      <c r="H81" s="8"/>
      <c r="I81" s="9"/>
      <c r="J81" s="8">
        <f t="shared" si="5"/>
        <v>0</v>
      </c>
    </row>
    <row r="82" spans="1:10" ht="19.95" hidden="1" customHeight="1" x14ac:dyDescent="0.3">
      <c r="A82" s="4"/>
      <c r="B82" s="4"/>
      <c r="C82" s="6"/>
      <c r="D82" s="6"/>
      <c r="E82" s="7"/>
      <c r="F82" s="7"/>
      <c r="G82" s="4"/>
      <c r="H82" s="8"/>
      <c r="I82" s="9"/>
      <c r="J82" s="8">
        <f t="shared" si="5"/>
        <v>0</v>
      </c>
    </row>
    <row r="83" spans="1:10" ht="19.95" hidden="1" customHeight="1" x14ac:dyDescent="0.3">
      <c r="A83" s="4"/>
      <c r="B83" s="4"/>
      <c r="C83" s="6"/>
      <c r="D83" s="6"/>
      <c r="E83" s="7"/>
      <c r="F83" s="7"/>
      <c r="G83" s="4"/>
      <c r="H83" s="8"/>
      <c r="I83" s="9"/>
      <c r="J83" s="8">
        <f t="shared" si="5"/>
        <v>0</v>
      </c>
    </row>
    <row r="84" spans="1:10" ht="19.95" hidden="1" customHeight="1" x14ac:dyDescent="0.3">
      <c r="A84" s="4"/>
      <c r="B84" s="4"/>
      <c r="C84" s="6"/>
      <c r="D84" s="6"/>
      <c r="E84" s="7"/>
      <c r="F84" s="7"/>
      <c r="G84" s="4"/>
      <c r="H84" s="8"/>
      <c r="I84" s="9"/>
      <c r="J84" s="8">
        <f t="shared" si="5"/>
        <v>0</v>
      </c>
    </row>
    <row r="85" spans="1:10" ht="19.95" hidden="1" customHeight="1" x14ac:dyDescent="0.3">
      <c r="A85" s="4"/>
      <c r="B85" s="4"/>
      <c r="C85" s="6"/>
      <c r="D85" s="6"/>
      <c r="E85" s="7"/>
      <c r="F85" s="7"/>
      <c r="G85" s="4"/>
      <c r="H85" s="8"/>
      <c r="I85" s="9"/>
      <c r="J85" s="8">
        <f t="shared" si="5"/>
        <v>0</v>
      </c>
    </row>
    <row r="86" spans="1:10" ht="19.95" hidden="1" customHeight="1" x14ac:dyDescent="0.3">
      <c r="A86" s="4"/>
      <c r="B86" s="4"/>
      <c r="C86" s="6"/>
      <c r="D86" s="6"/>
      <c r="E86" s="7"/>
      <c r="F86" s="21"/>
      <c r="G86" s="4"/>
      <c r="H86" s="8"/>
      <c r="I86" s="9"/>
      <c r="J86" s="8">
        <f t="shared" si="5"/>
        <v>0</v>
      </c>
    </row>
    <row r="87" spans="1:10" ht="19.95" hidden="1" customHeight="1" x14ac:dyDescent="0.3">
      <c r="A87" s="21"/>
      <c r="B87" s="21"/>
      <c r="C87" s="22"/>
      <c r="D87" s="22"/>
      <c r="E87" s="20"/>
      <c r="F87" s="21"/>
      <c r="G87" s="21"/>
      <c r="H87" s="23"/>
      <c r="I87" s="9"/>
      <c r="J87" s="8">
        <f t="shared" si="5"/>
        <v>0</v>
      </c>
    </row>
    <row r="88" spans="1:10" ht="19.95" hidden="1" customHeight="1" x14ac:dyDescent="0.3">
      <c r="A88" s="21"/>
      <c r="B88" s="21"/>
      <c r="C88" s="22"/>
      <c r="D88" s="22"/>
      <c r="E88" s="20"/>
      <c r="F88" s="21"/>
      <c r="G88" s="21"/>
      <c r="H88" s="23"/>
      <c r="I88" s="9"/>
      <c r="J88" s="8">
        <f t="shared" si="5"/>
        <v>0</v>
      </c>
    </row>
    <row r="89" spans="1:10" ht="19.95" hidden="1" customHeight="1" x14ac:dyDescent="0.3">
      <c r="A89" s="4"/>
      <c r="B89" s="4"/>
      <c r="C89" s="6"/>
      <c r="D89" s="6"/>
      <c r="E89" s="7"/>
      <c r="F89" s="21"/>
      <c r="G89" s="4"/>
      <c r="H89" s="8"/>
      <c r="I89" s="9"/>
      <c r="J89" s="8">
        <f t="shared" si="5"/>
        <v>0</v>
      </c>
    </row>
    <row r="90" spans="1:10" ht="19.95" hidden="1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hidden="1" customHeight="1" x14ac:dyDescent="0.3">
      <c r="A91" s="4"/>
      <c r="B91" s="4"/>
      <c r="C91" s="6"/>
      <c r="D91" s="6"/>
      <c r="E91" s="7"/>
      <c r="F91" s="4"/>
      <c r="G91" s="4"/>
      <c r="H91" s="8"/>
      <c r="I91" s="9"/>
      <c r="J91" s="8">
        <f t="shared" si="5"/>
        <v>0</v>
      </c>
    </row>
    <row r="92" spans="1:10" ht="19.95" hidden="1" customHeight="1" x14ac:dyDescent="0.3">
      <c r="A92" s="4"/>
      <c r="B92" s="4"/>
      <c r="C92" s="6"/>
      <c r="D92" s="6"/>
      <c r="E92" s="7"/>
      <c r="F92" s="4"/>
      <c r="G92" s="4"/>
      <c r="H92" s="8"/>
      <c r="I92" s="9"/>
      <c r="J92" s="8">
        <f t="shared" si="5"/>
        <v>0</v>
      </c>
    </row>
    <row r="93" spans="1:10" ht="19.95" hidden="1" customHeight="1" x14ac:dyDescent="0.3">
      <c r="A93" s="4"/>
      <c r="B93" s="4"/>
      <c r="C93" s="6"/>
      <c r="D93" s="6"/>
      <c r="E93" s="7"/>
      <c r="F93" s="4"/>
      <c r="G93" s="4"/>
      <c r="H93" s="8"/>
      <c r="I93" s="9"/>
      <c r="J93" s="8">
        <f t="shared" si="5"/>
        <v>0</v>
      </c>
    </row>
    <row r="94" spans="1:10" ht="19.95" hidden="1" customHeight="1" x14ac:dyDescent="0.3">
      <c r="A94" s="4"/>
      <c r="B94" s="4"/>
      <c r="C94" s="6"/>
      <c r="D94" s="6"/>
      <c r="E94" s="7"/>
      <c r="F94" s="4"/>
      <c r="G94" s="4"/>
      <c r="H94" s="8"/>
      <c r="I94" s="9"/>
      <c r="J94" s="8">
        <f t="shared" si="5"/>
        <v>0</v>
      </c>
    </row>
    <row r="95" spans="1:10" ht="19.95" customHeight="1" x14ac:dyDescent="0.3">
      <c r="A95" s="4"/>
      <c r="B95" s="4"/>
      <c r="C95" s="6"/>
      <c r="D95" s="6"/>
      <c r="E95" s="7"/>
      <c r="F95" s="4"/>
      <c r="G95" s="4"/>
      <c r="H95" s="8"/>
      <c r="I95" s="9"/>
      <c r="J95" s="8">
        <f t="shared" si="5"/>
        <v>0</v>
      </c>
    </row>
    <row r="96" spans="1:10" ht="19.95" customHeight="1" x14ac:dyDescent="0.3">
      <c r="A96" s="10"/>
      <c r="B96" s="10"/>
      <c r="C96" s="10"/>
      <c r="D96" s="10"/>
      <c r="E96" s="11"/>
      <c r="F96" s="10"/>
      <c r="G96" s="12"/>
      <c r="H96" s="8">
        <f>SUM(H74:H95)</f>
        <v>3120</v>
      </c>
      <c r="I96" s="9">
        <f>SUM(I74:I95)</f>
        <v>123</v>
      </c>
      <c r="J96" s="8">
        <f>SUM(J74:J95)</f>
        <v>2997</v>
      </c>
    </row>
    <row r="98" spans="1:10" ht="23.4" x14ac:dyDescent="0.3">
      <c r="A98" s="95" t="s">
        <v>14</v>
      </c>
      <c r="B98" s="95"/>
      <c r="C98" s="95"/>
      <c r="D98" s="95"/>
      <c r="E98" s="95"/>
      <c r="F98" s="95"/>
      <c r="G98" s="95"/>
      <c r="H98" s="95"/>
      <c r="I98" s="95"/>
      <c r="J98" s="95"/>
    </row>
  </sheetData>
  <mergeCells count="9">
    <mergeCell ref="A56:J56"/>
    <mergeCell ref="A72:J72"/>
    <mergeCell ref="A98:J98"/>
    <mergeCell ref="H1:J1"/>
    <mergeCell ref="A2:J2"/>
    <mergeCell ref="A3:J3"/>
    <mergeCell ref="A17:J17"/>
    <mergeCell ref="A26:J26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8" fitToHeight="0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0"/>
  <sheetViews>
    <sheetView zoomScale="85" zoomScaleNormal="85" workbookViewId="0">
      <selection activeCell="N53" sqref="N53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3.3320312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A1" s="2" t="s">
        <v>129</v>
      </c>
      <c r="F1" s="15" t="s">
        <v>0</v>
      </c>
      <c r="G1" s="19" t="s">
        <v>145</v>
      </c>
      <c r="H1" s="96" t="s">
        <v>146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250077</v>
      </c>
      <c r="B5" s="4">
        <v>430</v>
      </c>
      <c r="C5" s="6">
        <v>0.5</v>
      </c>
      <c r="D5" s="6" t="s">
        <v>27</v>
      </c>
      <c r="E5" s="7" t="s">
        <v>131</v>
      </c>
      <c r="F5" s="4" t="s">
        <v>45</v>
      </c>
      <c r="G5" s="4">
        <v>430</v>
      </c>
      <c r="H5" s="8">
        <v>1400</v>
      </c>
      <c r="I5" s="9">
        <f>660+748</f>
        <v>1408</v>
      </c>
      <c r="J5" s="23">
        <f t="shared" ref="J5:J14" si="0">H5-I5</f>
        <v>-8</v>
      </c>
    </row>
    <row r="6" spans="1:10" ht="19.95" customHeight="1" x14ac:dyDescent="0.3">
      <c r="A6" s="4">
        <v>250072</v>
      </c>
      <c r="B6" s="4">
        <v>304</v>
      </c>
      <c r="C6" s="6">
        <v>0.7</v>
      </c>
      <c r="D6" s="6" t="s">
        <v>11</v>
      </c>
      <c r="E6" s="7" t="s">
        <v>127</v>
      </c>
      <c r="F6" s="21" t="s">
        <v>45</v>
      </c>
      <c r="G6" s="4">
        <v>430</v>
      </c>
      <c r="H6" s="8">
        <v>750</v>
      </c>
      <c r="I6" s="9">
        <v>751</v>
      </c>
      <c r="J6" s="23">
        <f t="shared" si="0"/>
        <v>-1</v>
      </c>
    </row>
    <row r="7" spans="1:10" ht="19.95" customHeight="1" x14ac:dyDescent="0.3">
      <c r="A7" s="4">
        <v>250071</v>
      </c>
      <c r="B7" s="4">
        <v>304</v>
      </c>
      <c r="C7" s="6">
        <v>0.7</v>
      </c>
      <c r="D7" s="6" t="s">
        <v>11</v>
      </c>
      <c r="E7" s="7" t="s">
        <v>128</v>
      </c>
      <c r="F7" s="21" t="s">
        <v>45</v>
      </c>
      <c r="G7" s="4">
        <v>430</v>
      </c>
      <c r="H7" s="8">
        <v>750</v>
      </c>
      <c r="I7" s="9">
        <v>751</v>
      </c>
      <c r="J7" s="23">
        <f t="shared" si="0"/>
        <v>-1</v>
      </c>
    </row>
    <row r="8" spans="1:10" ht="19.95" customHeight="1" x14ac:dyDescent="0.3">
      <c r="A8" s="4">
        <v>160925</v>
      </c>
      <c r="B8" s="4">
        <v>304</v>
      </c>
      <c r="C8" s="6">
        <v>0.9</v>
      </c>
      <c r="D8" s="6" t="s">
        <v>43</v>
      </c>
      <c r="E8" s="7" t="s">
        <v>132</v>
      </c>
      <c r="F8" s="21" t="s">
        <v>41</v>
      </c>
      <c r="G8" s="4">
        <v>430</v>
      </c>
      <c r="H8" s="8">
        <v>1100</v>
      </c>
      <c r="I8" s="9">
        <f>523+622</f>
        <v>1145</v>
      </c>
      <c r="J8" s="23">
        <f t="shared" si="0"/>
        <v>-45</v>
      </c>
    </row>
    <row r="9" spans="1:10" ht="19.95" hidden="1" customHeight="1" x14ac:dyDescent="0.3">
      <c r="A9" s="4"/>
      <c r="B9" s="4"/>
      <c r="C9" s="6"/>
      <c r="D9" s="6"/>
      <c r="E9" s="7"/>
      <c r="F9" s="21"/>
      <c r="G9" s="4"/>
      <c r="H9" s="8"/>
      <c r="I9" s="9"/>
      <c r="J9" s="23">
        <f t="shared" si="0"/>
        <v>0</v>
      </c>
    </row>
    <row r="10" spans="1:10" ht="19.95" hidden="1" customHeight="1" x14ac:dyDescent="0.3">
      <c r="A10" s="4"/>
      <c r="B10" s="4"/>
      <c r="C10" s="6"/>
      <c r="D10" s="6"/>
      <c r="E10" s="7"/>
      <c r="F10" s="21"/>
      <c r="G10" s="4"/>
      <c r="H10" s="8"/>
      <c r="I10" s="9"/>
      <c r="J10" s="23">
        <f t="shared" si="0"/>
        <v>0</v>
      </c>
    </row>
    <row r="11" spans="1:10" ht="19.95" hidden="1" customHeight="1" x14ac:dyDescent="0.3">
      <c r="A11" s="4"/>
      <c r="B11" s="4"/>
      <c r="C11" s="6"/>
      <c r="D11" s="6"/>
      <c r="E11" s="7"/>
      <c r="F11" s="21"/>
      <c r="G11" s="4"/>
      <c r="H11" s="8"/>
      <c r="I11" s="9"/>
      <c r="J11" s="23">
        <f t="shared" si="0"/>
        <v>0</v>
      </c>
    </row>
    <row r="12" spans="1:10" ht="19.95" hidden="1" customHeight="1" x14ac:dyDescent="0.3">
      <c r="A12" s="4"/>
      <c r="B12" s="4"/>
      <c r="C12" s="6"/>
      <c r="D12" s="6"/>
      <c r="E12" s="7"/>
      <c r="F12" s="21"/>
      <c r="G12" s="4"/>
      <c r="H12" s="8"/>
      <c r="I12" s="9"/>
      <c r="J12" s="23">
        <f t="shared" si="0"/>
        <v>0</v>
      </c>
    </row>
    <row r="13" spans="1:10" ht="19.95" hidden="1" customHeight="1" x14ac:dyDescent="0.3">
      <c r="A13" s="4"/>
      <c r="B13" s="4"/>
      <c r="C13" s="6"/>
      <c r="D13" s="6"/>
      <c r="E13" s="7"/>
      <c r="F13" s="21"/>
      <c r="G13" s="4"/>
      <c r="H13" s="8"/>
      <c r="I13" s="9"/>
      <c r="J13" s="23">
        <f t="shared" si="0"/>
        <v>0</v>
      </c>
    </row>
    <row r="14" spans="1:10" ht="19.95" customHeight="1" x14ac:dyDescent="0.3">
      <c r="A14" s="4"/>
      <c r="B14" s="4"/>
      <c r="C14" s="6"/>
      <c r="D14" s="6"/>
      <c r="E14" s="7"/>
      <c r="F14" s="21"/>
      <c r="G14" s="4"/>
      <c r="H14" s="8"/>
      <c r="I14" s="9"/>
      <c r="J14" s="23">
        <f t="shared" si="0"/>
        <v>0</v>
      </c>
    </row>
    <row r="15" spans="1:10" ht="19.95" customHeight="1" x14ac:dyDescent="0.3">
      <c r="A15" s="10"/>
      <c r="B15" s="10"/>
      <c r="C15" s="10"/>
      <c r="D15" s="10"/>
      <c r="E15" s="11"/>
      <c r="F15" s="10"/>
      <c r="G15" s="12"/>
      <c r="H15" s="13">
        <f>SUM(H5:H14)</f>
        <v>4000</v>
      </c>
      <c r="I15" s="14">
        <f>SUM(I5:I14)</f>
        <v>4055</v>
      </c>
      <c r="J15" s="23">
        <f>SUM(J5:J14)</f>
        <v>-55</v>
      </c>
    </row>
    <row r="17" spans="1:10" ht="30" customHeight="1" x14ac:dyDescent="0.3">
      <c r="A17" s="94" t="s">
        <v>17</v>
      </c>
      <c r="B17" s="94"/>
      <c r="C17" s="94"/>
      <c r="D17" s="94"/>
      <c r="E17" s="94"/>
      <c r="F17" s="94"/>
      <c r="G17" s="94"/>
      <c r="H17" s="94"/>
      <c r="I17" s="94"/>
      <c r="J17" s="94"/>
    </row>
    <row r="18" spans="1:10" ht="30" customHeight="1" x14ac:dyDescent="0.3">
      <c r="A18" s="4" t="s">
        <v>1</v>
      </c>
      <c r="B18" s="4" t="s">
        <v>2</v>
      </c>
      <c r="C18" s="5" t="s">
        <v>3</v>
      </c>
      <c r="D18" s="5" t="s">
        <v>4</v>
      </c>
      <c r="E18" s="4" t="s">
        <v>5</v>
      </c>
      <c r="F18" s="5" t="s">
        <v>6</v>
      </c>
      <c r="G18" s="5" t="s">
        <v>7</v>
      </c>
      <c r="H18" s="4" t="s">
        <v>8</v>
      </c>
      <c r="I18" s="4" t="s">
        <v>9</v>
      </c>
      <c r="J18" s="4" t="s">
        <v>10</v>
      </c>
    </row>
    <row r="19" spans="1:10" ht="19.95" customHeight="1" x14ac:dyDescent="0.3">
      <c r="A19" s="4">
        <v>160925</v>
      </c>
      <c r="B19" s="4">
        <v>304</v>
      </c>
      <c r="C19" s="6">
        <v>0.7</v>
      </c>
      <c r="D19" s="5" t="s">
        <v>55</v>
      </c>
      <c r="E19" s="7" t="s">
        <v>133</v>
      </c>
      <c r="F19" s="4" t="s">
        <v>45</v>
      </c>
      <c r="G19" s="4">
        <v>430</v>
      </c>
      <c r="H19" s="8">
        <v>1100</v>
      </c>
      <c r="I19" s="9">
        <v>1107</v>
      </c>
      <c r="J19" s="23">
        <f t="shared" ref="J19:J23" si="1">H19-I19</f>
        <v>-7</v>
      </c>
    </row>
    <row r="20" spans="1:10" ht="19.95" customHeight="1" x14ac:dyDescent="0.3">
      <c r="A20" s="4">
        <v>180925</v>
      </c>
      <c r="B20" s="4">
        <v>304</v>
      </c>
      <c r="C20" s="6">
        <v>0.7</v>
      </c>
      <c r="D20" s="6" t="s">
        <v>55</v>
      </c>
      <c r="E20" s="7" t="s">
        <v>136</v>
      </c>
      <c r="F20" s="4" t="s">
        <v>45</v>
      </c>
      <c r="G20" s="4">
        <v>430</v>
      </c>
      <c r="H20" s="8">
        <v>2100</v>
      </c>
      <c r="I20" s="9">
        <v>2108</v>
      </c>
      <c r="J20" s="23">
        <f t="shared" si="1"/>
        <v>-8</v>
      </c>
    </row>
    <row r="21" spans="1:10" ht="19.95" customHeight="1" x14ac:dyDescent="0.3">
      <c r="A21" s="4">
        <v>160925</v>
      </c>
      <c r="B21" s="4">
        <v>304</v>
      </c>
      <c r="C21" s="6">
        <v>0.7</v>
      </c>
      <c r="D21" s="6" t="s">
        <v>55</v>
      </c>
      <c r="E21" s="7" t="s">
        <v>134</v>
      </c>
      <c r="F21" s="4" t="s">
        <v>45</v>
      </c>
      <c r="G21" s="4">
        <v>430</v>
      </c>
      <c r="H21" s="8">
        <v>1100</v>
      </c>
      <c r="I21" s="9">
        <v>1105</v>
      </c>
      <c r="J21" s="23">
        <f t="shared" si="1"/>
        <v>-5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23">
        <f t="shared" si="1"/>
        <v>0</v>
      </c>
    </row>
    <row r="23" spans="1:10" ht="19.95" customHeight="1" x14ac:dyDescent="0.3">
      <c r="A23" s="4"/>
      <c r="B23" s="4"/>
      <c r="C23" s="4"/>
      <c r="D23" s="4"/>
      <c r="E23" s="7"/>
      <c r="F23" s="4"/>
      <c r="G23" s="4"/>
      <c r="H23" s="8"/>
      <c r="I23" s="9"/>
      <c r="J23" s="23">
        <f t="shared" si="1"/>
        <v>0</v>
      </c>
    </row>
    <row r="24" spans="1:10" ht="19.95" customHeight="1" x14ac:dyDescent="0.3">
      <c r="A24" s="10"/>
      <c r="B24" s="10"/>
      <c r="C24" s="10"/>
      <c r="D24" s="10"/>
      <c r="E24" s="11"/>
      <c r="F24" s="10"/>
      <c r="G24" s="12"/>
      <c r="H24" s="8">
        <f>SUM(H19:H23)</f>
        <v>4300</v>
      </c>
      <c r="I24" s="9">
        <f>SUM(I19:I23)</f>
        <v>4320</v>
      </c>
      <c r="J24" s="23">
        <f>SUM(J19:J23)</f>
        <v>-20</v>
      </c>
    </row>
    <row r="26" spans="1:10" ht="30" customHeight="1" x14ac:dyDescent="0.3">
      <c r="A26" s="94" t="s">
        <v>18</v>
      </c>
      <c r="B26" s="94"/>
      <c r="C26" s="94"/>
      <c r="D26" s="94"/>
      <c r="E26" s="94"/>
      <c r="F26" s="94"/>
      <c r="G26" s="94"/>
      <c r="H26" s="94"/>
      <c r="I26" s="94"/>
      <c r="J26" s="94"/>
    </row>
    <row r="27" spans="1:10" ht="30" customHeight="1" x14ac:dyDescent="0.3">
      <c r="A27" s="4" t="s">
        <v>1</v>
      </c>
      <c r="B27" s="4" t="s">
        <v>2</v>
      </c>
      <c r="C27" s="5" t="s">
        <v>3</v>
      </c>
      <c r="D27" s="5" t="s">
        <v>4</v>
      </c>
      <c r="E27" s="4" t="s">
        <v>5</v>
      </c>
      <c r="F27" s="5" t="s">
        <v>6</v>
      </c>
      <c r="G27" s="5" t="s">
        <v>7</v>
      </c>
      <c r="H27" s="4" t="s">
        <v>8</v>
      </c>
      <c r="I27" s="4" t="s">
        <v>9</v>
      </c>
      <c r="J27" s="4" t="s">
        <v>10</v>
      </c>
    </row>
    <row r="28" spans="1:10" ht="19.95" customHeight="1" x14ac:dyDescent="0.3">
      <c r="A28" s="21">
        <v>180925</v>
      </c>
      <c r="B28" s="21">
        <v>304</v>
      </c>
      <c r="C28" s="22">
        <v>0.7</v>
      </c>
      <c r="D28" s="22" t="s">
        <v>55</v>
      </c>
      <c r="E28" s="20" t="s">
        <v>135</v>
      </c>
      <c r="F28" s="21" t="s">
        <v>45</v>
      </c>
      <c r="G28" s="21">
        <v>430</v>
      </c>
      <c r="H28" s="23">
        <v>2100</v>
      </c>
      <c r="I28" s="24">
        <f>1030+1076</f>
        <v>2106</v>
      </c>
      <c r="J28" s="23">
        <f t="shared" ref="J28:J38" si="2">H28-I28</f>
        <v>-6</v>
      </c>
    </row>
    <row r="29" spans="1:10" ht="19.95" customHeight="1" x14ac:dyDescent="0.3">
      <c r="A29" s="4">
        <v>160925</v>
      </c>
      <c r="B29" s="4">
        <v>304</v>
      </c>
      <c r="C29" s="6">
        <v>0.7</v>
      </c>
      <c r="D29" s="6" t="s">
        <v>55</v>
      </c>
      <c r="E29" s="7" t="s">
        <v>137</v>
      </c>
      <c r="F29" s="21" t="s">
        <v>45</v>
      </c>
      <c r="G29" s="4">
        <v>430</v>
      </c>
      <c r="H29" s="8">
        <v>1100</v>
      </c>
      <c r="I29" s="9">
        <v>1107</v>
      </c>
      <c r="J29" s="23">
        <f t="shared" si="2"/>
        <v>-7</v>
      </c>
    </row>
    <row r="30" spans="1:10" ht="19.95" customHeight="1" x14ac:dyDescent="0.3">
      <c r="A30" s="4">
        <v>160925</v>
      </c>
      <c r="B30" s="4">
        <v>304</v>
      </c>
      <c r="C30" s="6">
        <v>0.7</v>
      </c>
      <c r="D30" s="6" t="s">
        <v>55</v>
      </c>
      <c r="E30" s="7" t="s">
        <v>138</v>
      </c>
      <c r="F30" s="21" t="s">
        <v>45</v>
      </c>
      <c r="G30" s="4">
        <v>430</v>
      </c>
      <c r="H30" s="8">
        <v>1100</v>
      </c>
      <c r="I30" s="9">
        <v>1103</v>
      </c>
      <c r="J30" s="23">
        <f t="shared" si="2"/>
        <v>-3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23">
        <f t="shared" si="2"/>
        <v>0</v>
      </c>
    </row>
    <row r="32" spans="1:10" ht="19.95" hidden="1" customHeight="1" x14ac:dyDescent="0.3">
      <c r="A32" s="4"/>
      <c r="B32" s="4"/>
      <c r="C32" s="6"/>
      <c r="D32" s="6"/>
      <c r="E32" s="7"/>
      <c r="F32" s="21"/>
      <c r="G32" s="4"/>
      <c r="H32" s="8"/>
      <c r="I32" s="9">
        <v>0</v>
      </c>
      <c r="J32" s="23">
        <f t="shared" si="2"/>
        <v>0</v>
      </c>
    </row>
    <row r="33" spans="1:10" ht="19.95" hidden="1" customHeight="1" x14ac:dyDescent="0.3">
      <c r="A33" s="4"/>
      <c r="B33" s="4"/>
      <c r="C33" s="6"/>
      <c r="D33" s="6"/>
      <c r="E33" s="7"/>
      <c r="F33" s="21"/>
      <c r="G33" s="4"/>
      <c r="H33" s="8"/>
      <c r="I33" s="9">
        <v>0</v>
      </c>
      <c r="J33" s="23">
        <f t="shared" si="2"/>
        <v>0</v>
      </c>
    </row>
    <row r="34" spans="1:10" ht="19.95" hidden="1" customHeight="1" x14ac:dyDescent="0.3">
      <c r="A34" s="4"/>
      <c r="B34" s="4"/>
      <c r="C34" s="6"/>
      <c r="D34" s="6"/>
      <c r="E34" s="7"/>
      <c r="F34" s="21"/>
      <c r="G34" s="4"/>
      <c r="H34" s="8"/>
      <c r="I34" s="9">
        <v>0</v>
      </c>
      <c r="J34" s="23">
        <f t="shared" si="2"/>
        <v>0</v>
      </c>
    </row>
    <row r="35" spans="1:10" ht="19.95" hidden="1" customHeight="1" x14ac:dyDescent="0.3">
      <c r="A35" s="4"/>
      <c r="B35" s="4"/>
      <c r="C35" s="6"/>
      <c r="D35" s="6"/>
      <c r="E35" s="7"/>
      <c r="F35" s="21"/>
      <c r="G35" s="4"/>
      <c r="H35" s="8"/>
      <c r="I35" s="9">
        <v>0</v>
      </c>
      <c r="J35" s="23">
        <f t="shared" si="2"/>
        <v>0</v>
      </c>
    </row>
    <row r="36" spans="1:10" ht="19.95" hidden="1" customHeight="1" x14ac:dyDescent="0.3">
      <c r="A36" s="4"/>
      <c r="B36" s="4"/>
      <c r="C36" s="6"/>
      <c r="D36" s="6"/>
      <c r="E36" s="7"/>
      <c r="F36" s="21"/>
      <c r="G36" s="4"/>
      <c r="H36" s="8"/>
      <c r="I36" s="9">
        <v>0</v>
      </c>
      <c r="J36" s="23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>
        <v>0</v>
      </c>
      <c r="J37" s="23">
        <f t="shared" si="2"/>
        <v>0</v>
      </c>
    </row>
    <row r="38" spans="1:10" ht="19.95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23">
        <f t="shared" si="2"/>
        <v>0</v>
      </c>
    </row>
    <row r="39" spans="1:10" ht="19.95" customHeight="1" x14ac:dyDescent="0.3">
      <c r="A39" s="10"/>
      <c r="B39" s="10"/>
      <c r="C39" s="10"/>
      <c r="D39" s="10"/>
      <c r="E39" s="11"/>
      <c r="F39" s="10"/>
      <c r="G39" s="12"/>
      <c r="H39" s="8">
        <f>SUM(H28:H38)</f>
        <v>4300</v>
      </c>
      <c r="I39" s="9">
        <f>SUM(I28:I38)</f>
        <v>4316</v>
      </c>
      <c r="J39" s="23">
        <f>SUM(J28:J38)</f>
        <v>-16</v>
      </c>
    </row>
    <row r="41" spans="1:10" ht="30" customHeight="1" x14ac:dyDescent="0.3">
      <c r="A41" s="94" t="s">
        <v>20</v>
      </c>
      <c r="B41" s="94"/>
      <c r="C41" s="94"/>
      <c r="D41" s="94"/>
      <c r="E41" s="94"/>
      <c r="F41" s="94"/>
      <c r="G41" s="94"/>
      <c r="H41" s="94"/>
      <c r="I41" s="94"/>
      <c r="J41" s="94"/>
    </row>
    <row r="42" spans="1:10" ht="30" customHeight="1" x14ac:dyDescent="0.3">
      <c r="A42" s="4" t="s">
        <v>1</v>
      </c>
      <c r="B42" s="4" t="s">
        <v>2</v>
      </c>
      <c r="C42" s="5" t="s">
        <v>3</v>
      </c>
      <c r="D42" s="5" t="s">
        <v>4</v>
      </c>
      <c r="E42" s="4" t="s">
        <v>5</v>
      </c>
      <c r="F42" s="5" t="s">
        <v>6</v>
      </c>
      <c r="G42" s="5" t="s">
        <v>7</v>
      </c>
      <c r="H42" s="4" t="s">
        <v>8</v>
      </c>
      <c r="I42" s="4" t="s">
        <v>9</v>
      </c>
      <c r="J42" s="4" t="s">
        <v>10</v>
      </c>
    </row>
    <row r="43" spans="1:10" ht="19.95" customHeight="1" x14ac:dyDescent="0.3">
      <c r="A43" s="21">
        <v>180925</v>
      </c>
      <c r="B43" s="21">
        <v>304</v>
      </c>
      <c r="C43" s="22">
        <v>0.7</v>
      </c>
      <c r="D43" s="22" t="s">
        <v>55</v>
      </c>
      <c r="E43" s="20" t="s">
        <v>139</v>
      </c>
      <c r="F43" s="21" t="s">
        <v>45</v>
      </c>
      <c r="G43" s="21">
        <v>430</v>
      </c>
      <c r="H43" s="23">
        <v>2100</v>
      </c>
      <c r="I43" s="24">
        <v>2113</v>
      </c>
      <c r="J43" s="23">
        <f t="shared" ref="J43:J51" si="3">H43-I43</f>
        <v>-13</v>
      </c>
    </row>
    <row r="44" spans="1:10" ht="19.95" customHeight="1" x14ac:dyDescent="0.3">
      <c r="A44" s="21">
        <v>180925</v>
      </c>
      <c r="B44" s="21">
        <v>304</v>
      </c>
      <c r="C44" s="22">
        <v>0.7</v>
      </c>
      <c r="D44" s="22" t="s">
        <v>55</v>
      </c>
      <c r="E44" s="20" t="s">
        <v>140</v>
      </c>
      <c r="F44" s="21" t="s">
        <v>45</v>
      </c>
      <c r="G44" s="21">
        <v>430</v>
      </c>
      <c r="H44" s="23">
        <v>2100</v>
      </c>
      <c r="I44" s="24">
        <v>1000</v>
      </c>
      <c r="J44" s="32">
        <f t="shared" si="3"/>
        <v>1100</v>
      </c>
    </row>
    <row r="45" spans="1:10" ht="19.95" customHeight="1" x14ac:dyDescent="0.3">
      <c r="A45" s="4"/>
      <c r="B45" s="4"/>
      <c r="C45" s="6"/>
      <c r="D45" s="6"/>
      <c r="E45" s="7"/>
      <c r="F45" s="21"/>
      <c r="G45" s="4"/>
      <c r="H45" s="8"/>
      <c r="I45" s="9"/>
      <c r="J45" s="23">
        <f t="shared" si="3"/>
        <v>0</v>
      </c>
    </row>
    <row r="46" spans="1:10" ht="19.95" customHeight="1" x14ac:dyDescent="0.3">
      <c r="A46" s="4"/>
      <c r="B46" s="4"/>
      <c r="C46" s="6"/>
      <c r="D46" s="6"/>
      <c r="E46" s="7"/>
      <c r="F46" s="21"/>
      <c r="G46" s="4"/>
      <c r="H46" s="8"/>
      <c r="I46" s="9"/>
      <c r="J46" s="23">
        <f t="shared" si="3"/>
        <v>0</v>
      </c>
    </row>
    <row r="47" spans="1:10" ht="19.95" hidden="1" customHeight="1" x14ac:dyDescent="0.3">
      <c r="A47" s="4"/>
      <c r="B47" s="4"/>
      <c r="C47" s="6"/>
      <c r="D47" s="6"/>
      <c r="E47" s="7"/>
      <c r="F47" s="21"/>
      <c r="G47" s="4"/>
      <c r="H47" s="8"/>
      <c r="I47" s="9"/>
      <c r="J47" s="23">
        <f t="shared" si="3"/>
        <v>0</v>
      </c>
    </row>
    <row r="48" spans="1:10" ht="19.95" hidden="1" customHeight="1" x14ac:dyDescent="0.3">
      <c r="A48" s="4"/>
      <c r="B48" s="4"/>
      <c r="C48" s="6"/>
      <c r="D48" s="6"/>
      <c r="E48" s="7"/>
      <c r="F48" s="21"/>
      <c r="G48" s="4"/>
      <c r="H48" s="8"/>
      <c r="I48" s="9"/>
      <c r="J48" s="23">
        <f t="shared" si="3"/>
        <v>0</v>
      </c>
    </row>
    <row r="49" spans="1:10" ht="19.95" hidden="1" customHeight="1" x14ac:dyDescent="0.3">
      <c r="A49" s="4"/>
      <c r="B49" s="4"/>
      <c r="C49" s="6"/>
      <c r="D49" s="6"/>
      <c r="E49" s="7"/>
      <c r="F49" s="21"/>
      <c r="G49" s="4"/>
      <c r="H49" s="8"/>
      <c r="I49" s="9"/>
      <c r="J49" s="23">
        <f t="shared" si="3"/>
        <v>0</v>
      </c>
    </row>
    <row r="50" spans="1:10" ht="19.95" hidden="1" customHeight="1" x14ac:dyDescent="0.3">
      <c r="A50" s="4"/>
      <c r="B50" s="4"/>
      <c r="C50" s="6"/>
      <c r="D50" s="6"/>
      <c r="E50" s="7"/>
      <c r="F50" s="21"/>
      <c r="G50" s="4"/>
      <c r="H50" s="8"/>
      <c r="I50" s="9"/>
      <c r="J50" s="23">
        <f t="shared" si="3"/>
        <v>0</v>
      </c>
    </row>
    <row r="51" spans="1:10" ht="19.95" hidden="1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23">
        <f t="shared" si="3"/>
        <v>0</v>
      </c>
    </row>
    <row r="52" spans="1:10" ht="19.95" hidden="1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23">
        <v>0</v>
      </c>
    </row>
    <row r="53" spans="1:10" ht="19.95" customHeight="1" x14ac:dyDescent="0.3">
      <c r="A53" s="4"/>
      <c r="B53" s="4"/>
      <c r="C53" s="6"/>
      <c r="D53" s="6"/>
      <c r="E53" s="7"/>
      <c r="F53" s="21"/>
      <c r="G53" s="4"/>
      <c r="H53" s="8"/>
      <c r="I53" s="9"/>
      <c r="J53" s="23">
        <v>0</v>
      </c>
    </row>
    <row r="54" spans="1:10" ht="19.95" customHeight="1" x14ac:dyDescent="0.3">
      <c r="A54" s="10"/>
      <c r="B54" s="10"/>
      <c r="C54" s="10"/>
      <c r="D54" s="10"/>
      <c r="E54" s="11"/>
      <c r="F54" s="10"/>
      <c r="G54" s="12"/>
      <c r="H54" s="8">
        <f>SUM(H43:H53)</f>
        <v>4200</v>
      </c>
      <c r="I54" s="9">
        <f>SUM(I43:I53)</f>
        <v>3113</v>
      </c>
      <c r="J54" s="23">
        <f>SUM(J43:J53)</f>
        <v>1087</v>
      </c>
    </row>
    <row r="55" spans="1:10" ht="19.95" customHeight="1" x14ac:dyDescent="0.3">
      <c r="A55" s="15"/>
      <c r="B55" s="15"/>
      <c r="C55" s="15"/>
      <c r="D55" s="15"/>
      <c r="E55" s="16"/>
      <c r="F55" s="15"/>
      <c r="G55" s="15"/>
      <c r="H55" s="17"/>
      <c r="I55" s="18"/>
      <c r="J55" s="17"/>
    </row>
    <row r="56" spans="1:10" ht="30" customHeight="1" x14ac:dyDescent="0.3">
      <c r="A56" s="94" t="s">
        <v>19</v>
      </c>
      <c r="B56" s="94"/>
      <c r="C56" s="94"/>
      <c r="D56" s="94"/>
      <c r="E56" s="94"/>
      <c r="F56" s="94"/>
      <c r="G56" s="94"/>
      <c r="H56" s="94"/>
      <c r="I56" s="94"/>
      <c r="J56" s="94"/>
    </row>
    <row r="57" spans="1:10" ht="30" customHeight="1" x14ac:dyDescent="0.3">
      <c r="A57" s="4" t="s">
        <v>1</v>
      </c>
      <c r="B57" s="4" t="s">
        <v>2</v>
      </c>
      <c r="C57" s="5" t="s">
        <v>3</v>
      </c>
      <c r="D57" s="5" t="s">
        <v>4</v>
      </c>
      <c r="E57" s="4" t="s">
        <v>5</v>
      </c>
      <c r="F57" s="5" t="s">
        <v>6</v>
      </c>
      <c r="G57" s="5" t="s">
        <v>7</v>
      </c>
      <c r="H57" s="4" t="s">
        <v>8</v>
      </c>
      <c r="I57" s="4" t="s">
        <v>9</v>
      </c>
      <c r="J57" s="4" t="s">
        <v>10</v>
      </c>
    </row>
    <row r="58" spans="1:10" ht="19.95" customHeight="1" x14ac:dyDescent="0.3">
      <c r="A58" s="4">
        <v>250077</v>
      </c>
      <c r="B58" s="4">
        <v>430</v>
      </c>
      <c r="C58" s="6">
        <v>0.5</v>
      </c>
      <c r="D58" s="6" t="s">
        <v>27</v>
      </c>
      <c r="E58" s="7" t="s">
        <v>141</v>
      </c>
      <c r="F58" s="4" t="s">
        <v>45</v>
      </c>
      <c r="G58" s="4">
        <v>430</v>
      </c>
      <c r="H58" s="8">
        <v>1400</v>
      </c>
      <c r="I58" s="9">
        <f>1119+311</f>
        <v>1430</v>
      </c>
      <c r="J58" s="23">
        <f t="shared" ref="J58:J69" si="4">H58-I58</f>
        <v>-30</v>
      </c>
    </row>
    <row r="59" spans="1:10" ht="19.95" customHeight="1" x14ac:dyDescent="0.3">
      <c r="A59" s="4">
        <v>290925</v>
      </c>
      <c r="B59" s="4">
        <v>304</v>
      </c>
      <c r="C59" s="6">
        <v>0.8</v>
      </c>
      <c r="D59" s="6" t="s">
        <v>43</v>
      </c>
      <c r="E59" s="7" t="s">
        <v>142</v>
      </c>
      <c r="F59" s="21" t="s">
        <v>41</v>
      </c>
      <c r="G59" s="4">
        <v>430</v>
      </c>
      <c r="H59" s="8">
        <v>4000</v>
      </c>
      <c r="I59" s="9">
        <f>411+3696</f>
        <v>4107</v>
      </c>
      <c r="J59" s="23">
        <f t="shared" si="4"/>
        <v>-107</v>
      </c>
    </row>
    <row r="60" spans="1:10" ht="19.95" customHeight="1" x14ac:dyDescent="0.3">
      <c r="A60" s="4"/>
      <c r="B60" s="4"/>
      <c r="C60" s="6"/>
      <c r="D60" s="6"/>
      <c r="E60" s="7"/>
      <c r="F60" s="21"/>
      <c r="G60" s="4"/>
      <c r="H60" s="8"/>
      <c r="I60" s="9"/>
      <c r="J60" s="23">
        <f t="shared" si="4"/>
        <v>0</v>
      </c>
    </row>
    <row r="61" spans="1:10" ht="19.95" customHeight="1" x14ac:dyDescent="0.3">
      <c r="A61" s="4"/>
      <c r="B61" s="4"/>
      <c r="C61" s="6"/>
      <c r="D61" s="6"/>
      <c r="E61" s="37"/>
      <c r="F61" s="21"/>
      <c r="G61" s="4"/>
      <c r="H61" s="8"/>
      <c r="I61" s="9"/>
      <c r="J61" s="23">
        <f t="shared" si="4"/>
        <v>0</v>
      </c>
    </row>
    <row r="62" spans="1:10" ht="19.95" hidden="1" customHeight="1" x14ac:dyDescent="0.3">
      <c r="A62" s="4"/>
      <c r="B62" s="4"/>
      <c r="C62" s="6"/>
      <c r="D62" s="6"/>
      <c r="E62" s="7"/>
      <c r="F62" s="21"/>
      <c r="G62" s="4"/>
      <c r="H62" s="8"/>
      <c r="I62" s="9"/>
      <c r="J62" s="23">
        <f t="shared" si="4"/>
        <v>0</v>
      </c>
    </row>
    <row r="63" spans="1:10" ht="19.95" hidden="1" customHeight="1" x14ac:dyDescent="0.3">
      <c r="A63" s="4"/>
      <c r="B63" s="4"/>
      <c r="C63" s="6"/>
      <c r="D63" s="6"/>
      <c r="E63" s="7"/>
      <c r="F63" s="21"/>
      <c r="G63" s="4"/>
      <c r="H63" s="8"/>
      <c r="I63" s="9"/>
      <c r="J63" s="23">
        <f t="shared" si="4"/>
        <v>0</v>
      </c>
    </row>
    <row r="64" spans="1:10" ht="19.95" hidden="1" customHeight="1" x14ac:dyDescent="0.3">
      <c r="A64" s="4"/>
      <c r="B64" s="4"/>
      <c r="C64" s="6"/>
      <c r="D64" s="6"/>
      <c r="E64" s="7"/>
      <c r="F64" s="21"/>
      <c r="G64" s="4"/>
      <c r="H64" s="8"/>
      <c r="I64" s="9"/>
      <c r="J64" s="23">
        <f t="shared" si="4"/>
        <v>0</v>
      </c>
    </row>
    <row r="65" spans="1:10" ht="19.95" hidden="1" customHeight="1" x14ac:dyDescent="0.3">
      <c r="A65" s="4"/>
      <c r="B65" s="4"/>
      <c r="C65" s="6"/>
      <c r="D65" s="6"/>
      <c r="E65" s="7"/>
      <c r="F65" s="21"/>
      <c r="G65" s="4"/>
      <c r="H65" s="8"/>
      <c r="I65" s="9"/>
      <c r="J65" s="23">
        <f t="shared" si="4"/>
        <v>0</v>
      </c>
    </row>
    <row r="66" spans="1:10" s="31" customFormat="1" ht="19.95" hidden="1" customHeight="1" x14ac:dyDescent="0.3">
      <c r="A66" s="25"/>
      <c r="B66" s="25"/>
      <c r="C66" s="26"/>
      <c r="D66" s="26"/>
      <c r="E66" s="27"/>
      <c r="F66" s="28"/>
      <c r="G66" s="25"/>
      <c r="H66" s="29"/>
      <c r="I66" s="9"/>
      <c r="J66" s="35">
        <f t="shared" si="4"/>
        <v>0</v>
      </c>
    </row>
    <row r="67" spans="1:10" ht="19.95" hidden="1" customHeight="1" x14ac:dyDescent="0.3">
      <c r="A67" s="4"/>
      <c r="B67" s="4"/>
      <c r="C67" s="6"/>
      <c r="D67" s="6"/>
      <c r="E67" s="7"/>
      <c r="F67" s="4"/>
      <c r="G67" s="4"/>
      <c r="H67" s="8"/>
      <c r="I67" s="9"/>
      <c r="J67" s="23">
        <f t="shared" si="4"/>
        <v>0</v>
      </c>
    </row>
    <row r="68" spans="1:10" ht="19.95" hidden="1" customHeight="1" x14ac:dyDescent="0.3">
      <c r="A68" s="4"/>
      <c r="B68" s="4"/>
      <c r="C68" s="6"/>
      <c r="D68" s="6"/>
      <c r="E68" s="7"/>
      <c r="F68" s="4"/>
      <c r="G68" s="4"/>
      <c r="H68" s="8"/>
      <c r="I68" s="9"/>
      <c r="J68" s="23">
        <f t="shared" si="4"/>
        <v>0</v>
      </c>
    </row>
    <row r="69" spans="1:10" ht="19.95" customHeight="1" x14ac:dyDescent="0.3">
      <c r="A69" s="4"/>
      <c r="B69" s="4"/>
      <c r="C69" s="6"/>
      <c r="D69" s="6"/>
      <c r="E69" s="7"/>
      <c r="F69" s="4"/>
      <c r="G69" s="4"/>
      <c r="H69" s="8"/>
      <c r="I69" s="9"/>
      <c r="J69" s="23">
        <f t="shared" si="4"/>
        <v>0</v>
      </c>
    </row>
    <row r="70" spans="1:10" ht="19.95" customHeight="1" x14ac:dyDescent="0.3">
      <c r="A70" s="10"/>
      <c r="B70" s="10"/>
      <c r="C70" s="10"/>
      <c r="D70" s="10"/>
      <c r="E70" s="11"/>
      <c r="F70" s="10"/>
      <c r="G70" s="12"/>
      <c r="H70" s="8">
        <f>SUM(H58:H69)</f>
        <v>5400</v>
      </c>
      <c r="I70" s="9">
        <f>SUM(I58:I69)</f>
        <v>5537</v>
      </c>
      <c r="J70" s="23">
        <f>SUM(J58:J69)</f>
        <v>-137</v>
      </c>
    </row>
    <row r="71" spans="1:10" ht="19.95" customHeight="1" x14ac:dyDescent="0.3">
      <c r="A71" s="15"/>
      <c r="B71" s="15"/>
      <c r="C71" s="15"/>
      <c r="D71" s="15"/>
      <c r="E71" s="16"/>
      <c r="F71" s="15"/>
      <c r="G71" s="15"/>
      <c r="H71" s="17"/>
      <c r="I71" s="18"/>
      <c r="J71" s="17"/>
    </row>
    <row r="72" spans="1:10" ht="30" customHeight="1" x14ac:dyDescent="0.3">
      <c r="A72" s="94" t="s">
        <v>23</v>
      </c>
      <c r="B72" s="94"/>
      <c r="C72" s="94"/>
      <c r="D72" s="94"/>
      <c r="E72" s="94"/>
      <c r="F72" s="94"/>
      <c r="G72" s="94"/>
      <c r="H72" s="94"/>
      <c r="I72" s="94"/>
      <c r="J72" s="94"/>
    </row>
    <row r="73" spans="1:10" ht="30" customHeight="1" x14ac:dyDescent="0.3">
      <c r="A73" s="4" t="s">
        <v>1</v>
      </c>
      <c r="B73" s="4" t="s">
        <v>2</v>
      </c>
      <c r="C73" s="5" t="s">
        <v>3</v>
      </c>
      <c r="D73" s="5" t="s">
        <v>4</v>
      </c>
      <c r="E73" s="4" t="s">
        <v>5</v>
      </c>
      <c r="F73" s="5" t="s">
        <v>6</v>
      </c>
      <c r="G73" s="5" t="s">
        <v>7</v>
      </c>
      <c r="H73" s="4" t="s">
        <v>8</v>
      </c>
      <c r="I73" s="4" t="s">
        <v>9</v>
      </c>
      <c r="J73" s="4" t="s">
        <v>10</v>
      </c>
    </row>
    <row r="74" spans="1:10" ht="19.95" customHeight="1" x14ac:dyDescent="0.3">
      <c r="A74" s="38">
        <v>290925</v>
      </c>
      <c r="B74" s="38">
        <v>304</v>
      </c>
      <c r="C74" s="39">
        <v>0.8</v>
      </c>
      <c r="D74" s="39" t="s">
        <v>43</v>
      </c>
      <c r="E74" s="36" t="s">
        <v>143</v>
      </c>
      <c r="F74" s="38" t="s">
        <v>41</v>
      </c>
      <c r="G74" s="38">
        <v>430</v>
      </c>
      <c r="H74" s="32">
        <v>3000</v>
      </c>
      <c r="I74" s="40"/>
      <c r="J74" s="32">
        <f t="shared" ref="J74:J95" si="5">H74-I74</f>
        <v>3000</v>
      </c>
    </row>
    <row r="75" spans="1:10" ht="19.95" customHeight="1" x14ac:dyDescent="0.3">
      <c r="A75" s="4">
        <v>250048</v>
      </c>
      <c r="B75" s="4">
        <v>304</v>
      </c>
      <c r="C75" s="6">
        <v>1</v>
      </c>
      <c r="D75" s="6" t="s">
        <v>55</v>
      </c>
      <c r="E75" s="7" t="s">
        <v>147</v>
      </c>
      <c r="F75" s="21" t="s">
        <v>52</v>
      </c>
      <c r="G75" s="4">
        <v>430</v>
      </c>
      <c r="H75" s="8">
        <v>120</v>
      </c>
      <c r="I75" s="9">
        <v>123</v>
      </c>
      <c r="J75" s="23">
        <f t="shared" si="5"/>
        <v>-3</v>
      </c>
    </row>
    <row r="76" spans="1:10" ht="19.95" customHeight="1" x14ac:dyDescent="0.3">
      <c r="A76" s="4"/>
      <c r="B76" s="4"/>
      <c r="C76" s="6"/>
      <c r="D76" s="6"/>
      <c r="E76" s="7"/>
      <c r="F76" s="21"/>
      <c r="G76" s="4"/>
      <c r="H76" s="8"/>
      <c r="I76" s="9"/>
      <c r="J76" s="8">
        <f t="shared" si="5"/>
        <v>0</v>
      </c>
    </row>
    <row r="77" spans="1:10" ht="19.95" customHeight="1" x14ac:dyDescent="0.3">
      <c r="A77" s="4"/>
      <c r="B77" s="4"/>
      <c r="C77" s="6"/>
      <c r="D77" s="6"/>
      <c r="E77" s="7"/>
      <c r="F77" s="21"/>
      <c r="G77" s="4"/>
      <c r="H77" s="8"/>
      <c r="I77" s="9"/>
      <c r="J77" s="23">
        <f t="shared" si="5"/>
        <v>0</v>
      </c>
    </row>
    <row r="78" spans="1:10" ht="19.95" customHeight="1" x14ac:dyDescent="0.3">
      <c r="A78" s="4"/>
      <c r="B78" s="4"/>
      <c r="C78" s="6"/>
      <c r="D78" s="6"/>
      <c r="E78" s="7"/>
      <c r="F78" s="4"/>
      <c r="G78" s="4"/>
      <c r="H78" s="8"/>
      <c r="I78" s="9"/>
      <c r="J78" s="23">
        <f t="shared" si="5"/>
        <v>0</v>
      </c>
    </row>
    <row r="79" spans="1:10" ht="19.95" hidden="1" customHeight="1" x14ac:dyDescent="0.3">
      <c r="A79" s="4"/>
      <c r="B79" s="4"/>
      <c r="C79" s="6"/>
      <c r="D79" s="6"/>
      <c r="E79" s="7"/>
      <c r="F79" s="21"/>
      <c r="G79" s="4"/>
      <c r="H79" s="8"/>
      <c r="I79" s="9"/>
      <c r="J79" s="8">
        <f t="shared" si="5"/>
        <v>0</v>
      </c>
    </row>
    <row r="80" spans="1:10" ht="19.95" hidden="1" customHeight="1" x14ac:dyDescent="0.3">
      <c r="A80" s="4"/>
      <c r="B80" s="4"/>
      <c r="C80" s="6"/>
      <c r="D80" s="6"/>
      <c r="E80" s="7"/>
      <c r="F80" s="4"/>
      <c r="G80" s="4"/>
      <c r="H80" s="8"/>
      <c r="I80" s="9"/>
      <c r="J80" s="8">
        <f t="shared" si="5"/>
        <v>0</v>
      </c>
    </row>
    <row r="81" spans="1:10" ht="19.95" hidden="1" customHeight="1" x14ac:dyDescent="0.3">
      <c r="A81" s="4"/>
      <c r="B81" s="4"/>
      <c r="C81" s="6"/>
      <c r="D81" s="6"/>
      <c r="E81" s="7"/>
      <c r="F81" s="4"/>
      <c r="G81" s="4"/>
      <c r="H81" s="8"/>
      <c r="I81" s="9"/>
      <c r="J81" s="8">
        <f t="shared" si="5"/>
        <v>0</v>
      </c>
    </row>
    <row r="82" spans="1:10" ht="19.95" hidden="1" customHeight="1" x14ac:dyDescent="0.3">
      <c r="A82" s="4"/>
      <c r="B82" s="4"/>
      <c r="C82" s="6"/>
      <c r="D82" s="6"/>
      <c r="E82" s="7"/>
      <c r="F82" s="4"/>
      <c r="G82" s="4"/>
      <c r="H82" s="8"/>
      <c r="I82" s="9"/>
      <c r="J82" s="8">
        <f t="shared" si="5"/>
        <v>0</v>
      </c>
    </row>
    <row r="83" spans="1:10" ht="19.95" hidden="1" customHeight="1" x14ac:dyDescent="0.3">
      <c r="A83" s="4"/>
      <c r="B83" s="4"/>
      <c r="C83" s="6"/>
      <c r="D83" s="6"/>
      <c r="E83" s="7"/>
      <c r="F83" s="4"/>
      <c r="G83" s="4"/>
      <c r="H83" s="8"/>
      <c r="I83" s="9"/>
      <c r="J83" s="8">
        <f t="shared" si="5"/>
        <v>0</v>
      </c>
    </row>
    <row r="84" spans="1:10" ht="19.95" hidden="1" customHeight="1" x14ac:dyDescent="0.3">
      <c r="A84" s="4"/>
      <c r="B84" s="4"/>
      <c r="C84" s="6"/>
      <c r="D84" s="6"/>
      <c r="E84" s="7"/>
      <c r="F84" s="4"/>
      <c r="G84" s="4"/>
      <c r="H84" s="8"/>
      <c r="I84" s="9"/>
      <c r="J84" s="8">
        <f t="shared" si="5"/>
        <v>0</v>
      </c>
    </row>
    <row r="85" spans="1:10" ht="19.95" hidden="1" customHeight="1" x14ac:dyDescent="0.3">
      <c r="A85" s="4"/>
      <c r="B85" s="4"/>
      <c r="C85" s="6"/>
      <c r="D85" s="6"/>
      <c r="E85" s="7"/>
      <c r="F85" s="4"/>
      <c r="G85" s="4"/>
      <c r="H85" s="8"/>
      <c r="I85" s="9"/>
      <c r="J85" s="8">
        <f t="shared" si="5"/>
        <v>0</v>
      </c>
    </row>
    <row r="86" spans="1:10" ht="19.95" hidden="1" customHeight="1" x14ac:dyDescent="0.3">
      <c r="A86" s="4"/>
      <c r="B86" s="4"/>
      <c r="C86" s="6"/>
      <c r="D86" s="6"/>
      <c r="E86" s="7"/>
      <c r="F86" s="21"/>
      <c r="G86" s="4"/>
      <c r="H86" s="8"/>
      <c r="I86" s="9"/>
      <c r="J86" s="8">
        <f t="shared" si="5"/>
        <v>0</v>
      </c>
    </row>
    <row r="87" spans="1:10" ht="19.95" hidden="1" customHeight="1" x14ac:dyDescent="0.3">
      <c r="A87" s="21"/>
      <c r="B87" s="21"/>
      <c r="C87" s="22"/>
      <c r="D87" s="22"/>
      <c r="E87" s="20"/>
      <c r="F87" s="21"/>
      <c r="G87" s="21"/>
      <c r="H87" s="23"/>
      <c r="I87" s="9"/>
      <c r="J87" s="8">
        <f t="shared" si="5"/>
        <v>0</v>
      </c>
    </row>
    <row r="88" spans="1:10" ht="19.95" hidden="1" customHeight="1" x14ac:dyDescent="0.3">
      <c r="A88" s="21"/>
      <c r="B88" s="21"/>
      <c r="C88" s="22"/>
      <c r="D88" s="22"/>
      <c r="E88" s="20"/>
      <c r="F88" s="21"/>
      <c r="G88" s="21"/>
      <c r="H88" s="23"/>
      <c r="I88" s="9"/>
      <c r="J88" s="8">
        <f t="shared" si="5"/>
        <v>0</v>
      </c>
    </row>
    <row r="89" spans="1:10" ht="19.95" hidden="1" customHeight="1" x14ac:dyDescent="0.3">
      <c r="A89" s="4"/>
      <c r="B89" s="4"/>
      <c r="C89" s="6"/>
      <c r="D89" s="6"/>
      <c r="E89" s="7"/>
      <c r="F89" s="21"/>
      <c r="G89" s="4"/>
      <c r="H89" s="8"/>
      <c r="I89" s="9"/>
      <c r="J89" s="8">
        <f t="shared" si="5"/>
        <v>0</v>
      </c>
    </row>
    <row r="90" spans="1:10" ht="19.95" hidden="1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hidden="1" customHeight="1" x14ac:dyDescent="0.3">
      <c r="A91" s="4"/>
      <c r="B91" s="4"/>
      <c r="C91" s="6"/>
      <c r="D91" s="6"/>
      <c r="E91" s="7"/>
      <c r="F91" s="4"/>
      <c r="G91" s="4"/>
      <c r="H91" s="8"/>
      <c r="I91" s="9"/>
      <c r="J91" s="8">
        <f t="shared" si="5"/>
        <v>0</v>
      </c>
    </row>
    <row r="92" spans="1:10" ht="19.95" hidden="1" customHeight="1" x14ac:dyDescent="0.3">
      <c r="A92" s="4"/>
      <c r="B92" s="4"/>
      <c r="C92" s="6"/>
      <c r="D92" s="6"/>
      <c r="E92" s="7"/>
      <c r="F92" s="4"/>
      <c r="G92" s="4"/>
      <c r="H92" s="8"/>
      <c r="I92" s="9"/>
      <c r="J92" s="8">
        <f t="shared" si="5"/>
        <v>0</v>
      </c>
    </row>
    <row r="93" spans="1:10" ht="19.95" hidden="1" customHeight="1" x14ac:dyDescent="0.3">
      <c r="A93" s="4"/>
      <c r="B93" s="4"/>
      <c r="C93" s="6"/>
      <c r="D93" s="6"/>
      <c r="E93" s="7"/>
      <c r="F93" s="4"/>
      <c r="G93" s="4"/>
      <c r="H93" s="8"/>
      <c r="I93" s="9"/>
      <c r="J93" s="8">
        <f t="shared" si="5"/>
        <v>0</v>
      </c>
    </row>
    <row r="94" spans="1:10" ht="19.95" hidden="1" customHeight="1" x14ac:dyDescent="0.3">
      <c r="A94" s="4"/>
      <c r="B94" s="4"/>
      <c r="C94" s="6"/>
      <c r="D94" s="6"/>
      <c r="E94" s="7"/>
      <c r="F94" s="4"/>
      <c r="G94" s="4"/>
      <c r="H94" s="8"/>
      <c r="I94" s="9"/>
      <c r="J94" s="8">
        <f t="shared" si="5"/>
        <v>0</v>
      </c>
    </row>
    <row r="95" spans="1:10" ht="19.95" customHeight="1" x14ac:dyDescent="0.3">
      <c r="A95" s="4"/>
      <c r="B95" s="4"/>
      <c r="C95" s="6"/>
      <c r="D95" s="6"/>
      <c r="E95" s="7"/>
      <c r="F95" s="4"/>
      <c r="G95" s="4"/>
      <c r="H95" s="8"/>
      <c r="I95" s="9"/>
      <c r="J95" s="8">
        <f t="shared" si="5"/>
        <v>0</v>
      </c>
    </row>
    <row r="96" spans="1:10" ht="19.95" customHeight="1" x14ac:dyDescent="0.3">
      <c r="A96" s="10"/>
      <c r="B96" s="10"/>
      <c r="C96" s="10"/>
      <c r="D96" s="10"/>
      <c r="E96" s="11"/>
      <c r="F96" s="10"/>
      <c r="G96" s="12"/>
      <c r="H96" s="8">
        <f>SUM(H74:H95)</f>
        <v>3120</v>
      </c>
      <c r="I96" s="9">
        <f>SUM(I74:I95)</f>
        <v>123</v>
      </c>
      <c r="J96" s="8">
        <f>SUM(J74:J95)</f>
        <v>2997</v>
      </c>
    </row>
    <row r="98" spans="1:10" ht="15.6" x14ac:dyDescent="0.3">
      <c r="H98" s="8">
        <f>H96+H70+H54+H39+H24+H15</f>
        <v>25320</v>
      </c>
      <c r="I98" s="9">
        <f>I96+I70+I54+I39+I24+I15</f>
        <v>21464</v>
      </c>
      <c r="J98" s="8">
        <f>J96+J70+J54+J39+J24+J15</f>
        <v>3856</v>
      </c>
    </row>
    <row r="100" spans="1:10" ht="23.4" x14ac:dyDescent="0.3">
      <c r="A100" s="95" t="s">
        <v>14</v>
      </c>
      <c r="B100" s="95"/>
      <c r="C100" s="95"/>
      <c r="D100" s="95"/>
      <c r="E100" s="95"/>
      <c r="F100" s="95"/>
      <c r="G100" s="95"/>
      <c r="H100" s="95"/>
      <c r="I100" s="95"/>
      <c r="J100" s="95"/>
    </row>
  </sheetData>
  <mergeCells count="9">
    <mergeCell ref="A56:J56"/>
    <mergeCell ref="A72:J72"/>
    <mergeCell ref="A100:J100"/>
    <mergeCell ref="H1:J1"/>
    <mergeCell ref="A2:J2"/>
    <mergeCell ref="A3:J3"/>
    <mergeCell ref="A17:J17"/>
    <mergeCell ref="A26:J26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0"/>
  <sheetViews>
    <sheetView zoomScale="85" zoomScaleNormal="85" workbookViewId="0">
      <selection activeCell="E96" sqref="E96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3.3320312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A1" s="2" t="s">
        <v>129</v>
      </c>
      <c r="F1" s="15" t="s">
        <v>0</v>
      </c>
      <c r="G1" s="19" t="s">
        <v>145</v>
      </c>
      <c r="H1" s="96" t="s">
        <v>146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250077</v>
      </c>
      <c r="B5" s="4">
        <v>430</v>
      </c>
      <c r="C5" s="6">
        <v>0.5</v>
      </c>
      <c r="D5" s="6" t="s">
        <v>27</v>
      </c>
      <c r="E5" s="7" t="s">
        <v>131</v>
      </c>
      <c r="F5" s="4" t="s">
        <v>45</v>
      </c>
      <c r="G5" s="4">
        <v>430</v>
      </c>
      <c r="H5" s="8">
        <v>1400</v>
      </c>
      <c r="I5" s="9">
        <f>660+748</f>
        <v>1408</v>
      </c>
      <c r="J5" s="23">
        <f t="shared" ref="J5:J14" si="0">H5-I5</f>
        <v>-8</v>
      </c>
    </row>
    <row r="6" spans="1:10" ht="19.95" customHeight="1" x14ac:dyDescent="0.3">
      <c r="A6" s="4">
        <v>250072</v>
      </c>
      <c r="B6" s="4">
        <v>304</v>
      </c>
      <c r="C6" s="6">
        <v>0.7</v>
      </c>
      <c r="D6" s="6" t="s">
        <v>11</v>
      </c>
      <c r="E6" s="7" t="s">
        <v>127</v>
      </c>
      <c r="F6" s="21" t="s">
        <v>45</v>
      </c>
      <c r="G6" s="4">
        <v>430</v>
      </c>
      <c r="H6" s="8">
        <v>750</v>
      </c>
      <c r="I6" s="9">
        <v>751</v>
      </c>
      <c r="J6" s="23">
        <f t="shared" si="0"/>
        <v>-1</v>
      </c>
    </row>
    <row r="7" spans="1:10" ht="19.95" customHeight="1" x14ac:dyDescent="0.3">
      <c r="A7" s="4">
        <v>250071</v>
      </c>
      <c r="B7" s="4">
        <v>304</v>
      </c>
      <c r="C7" s="6">
        <v>0.7</v>
      </c>
      <c r="D7" s="6" t="s">
        <v>11</v>
      </c>
      <c r="E7" s="7" t="s">
        <v>128</v>
      </c>
      <c r="F7" s="21" t="s">
        <v>45</v>
      </c>
      <c r="G7" s="4">
        <v>430</v>
      </c>
      <c r="H7" s="8">
        <v>750</v>
      </c>
      <c r="I7" s="9">
        <v>751</v>
      </c>
      <c r="J7" s="23">
        <f t="shared" si="0"/>
        <v>-1</v>
      </c>
    </row>
    <row r="8" spans="1:10" ht="19.95" customHeight="1" x14ac:dyDescent="0.3">
      <c r="A8" s="4">
        <v>160925</v>
      </c>
      <c r="B8" s="4">
        <v>304</v>
      </c>
      <c r="C8" s="6">
        <v>0.9</v>
      </c>
      <c r="D8" s="6" t="s">
        <v>43</v>
      </c>
      <c r="E8" s="7" t="s">
        <v>132</v>
      </c>
      <c r="F8" s="21" t="s">
        <v>41</v>
      </c>
      <c r="G8" s="4">
        <v>430</v>
      </c>
      <c r="H8" s="8">
        <v>1100</v>
      </c>
      <c r="I8" s="9">
        <f>523+622</f>
        <v>1145</v>
      </c>
      <c r="J8" s="23">
        <f t="shared" si="0"/>
        <v>-45</v>
      </c>
    </row>
    <row r="9" spans="1:10" ht="19.95" hidden="1" customHeight="1" x14ac:dyDescent="0.3">
      <c r="A9" s="4"/>
      <c r="B9" s="4"/>
      <c r="C9" s="6"/>
      <c r="D9" s="6"/>
      <c r="E9" s="7"/>
      <c r="F9" s="21"/>
      <c r="G9" s="4"/>
      <c r="H9" s="8"/>
      <c r="I9" s="9"/>
      <c r="J9" s="23">
        <f t="shared" si="0"/>
        <v>0</v>
      </c>
    </row>
    <row r="10" spans="1:10" ht="19.95" hidden="1" customHeight="1" x14ac:dyDescent="0.3">
      <c r="A10" s="4"/>
      <c r="B10" s="4"/>
      <c r="C10" s="6"/>
      <c r="D10" s="6"/>
      <c r="E10" s="7"/>
      <c r="F10" s="21"/>
      <c r="G10" s="4"/>
      <c r="H10" s="8"/>
      <c r="I10" s="9"/>
      <c r="J10" s="23">
        <f t="shared" si="0"/>
        <v>0</v>
      </c>
    </row>
    <row r="11" spans="1:10" ht="19.95" hidden="1" customHeight="1" x14ac:dyDescent="0.3">
      <c r="A11" s="4"/>
      <c r="B11" s="4"/>
      <c r="C11" s="6"/>
      <c r="D11" s="6"/>
      <c r="E11" s="7"/>
      <c r="F11" s="21"/>
      <c r="G11" s="4"/>
      <c r="H11" s="8"/>
      <c r="I11" s="9"/>
      <c r="J11" s="23">
        <f t="shared" si="0"/>
        <v>0</v>
      </c>
    </row>
    <row r="12" spans="1:10" ht="19.95" hidden="1" customHeight="1" x14ac:dyDescent="0.3">
      <c r="A12" s="4"/>
      <c r="B12" s="4"/>
      <c r="C12" s="6"/>
      <c r="D12" s="6"/>
      <c r="E12" s="7"/>
      <c r="F12" s="21"/>
      <c r="G12" s="4"/>
      <c r="H12" s="8"/>
      <c r="I12" s="9"/>
      <c r="J12" s="23">
        <f t="shared" si="0"/>
        <v>0</v>
      </c>
    </row>
    <row r="13" spans="1:10" ht="19.95" hidden="1" customHeight="1" x14ac:dyDescent="0.3">
      <c r="A13" s="4"/>
      <c r="B13" s="4"/>
      <c r="C13" s="6"/>
      <c r="D13" s="6"/>
      <c r="E13" s="7"/>
      <c r="F13" s="21"/>
      <c r="G13" s="4"/>
      <c r="H13" s="8"/>
      <c r="I13" s="9"/>
      <c r="J13" s="23">
        <f t="shared" si="0"/>
        <v>0</v>
      </c>
    </row>
    <row r="14" spans="1:10" ht="19.95" customHeight="1" x14ac:dyDescent="0.3">
      <c r="A14" s="4"/>
      <c r="B14" s="4"/>
      <c r="C14" s="6"/>
      <c r="D14" s="6"/>
      <c r="E14" s="7"/>
      <c r="F14" s="21"/>
      <c r="G14" s="4"/>
      <c r="H14" s="8"/>
      <c r="I14" s="9"/>
      <c r="J14" s="23">
        <f t="shared" si="0"/>
        <v>0</v>
      </c>
    </row>
    <row r="15" spans="1:10" ht="19.95" customHeight="1" x14ac:dyDescent="0.3">
      <c r="A15" s="10"/>
      <c r="B15" s="10"/>
      <c r="C15" s="10"/>
      <c r="D15" s="10"/>
      <c r="E15" s="11"/>
      <c r="F15" s="10"/>
      <c r="G15" s="12"/>
      <c r="H15" s="13">
        <f>SUM(H5:H14)</f>
        <v>4000</v>
      </c>
      <c r="I15" s="14">
        <f>SUM(I5:I14)</f>
        <v>4055</v>
      </c>
      <c r="J15" s="23">
        <f>SUM(J5:J14)</f>
        <v>-55</v>
      </c>
    </row>
    <row r="17" spans="1:10" ht="30" customHeight="1" x14ac:dyDescent="0.3">
      <c r="A17" s="94" t="s">
        <v>17</v>
      </c>
      <c r="B17" s="94"/>
      <c r="C17" s="94"/>
      <c r="D17" s="94"/>
      <c r="E17" s="94"/>
      <c r="F17" s="94"/>
      <c r="G17" s="94"/>
      <c r="H17" s="94"/>
      <c r="I17" s="94"/>
      <c r="J17" s="94"/>
    </row>
    <row r="18" spans="1:10" ht="30" customHeight="1" x14ac:dyDescent="0.3">
      <c r="A18" s="4" t="s">
        <v>1</v>
      </c>
      <c r="B18" s="4" t="s">
        <v>2</v>
      </c>
      <c r="C18" s="5" t="s">
        <v>3</v>
      </c>
      <c r="D18" s="5" t="s">
        <v>4</v>
      </c>
      <c r="E18" s="4" t="s">
        <v>5</v>
      </c>
      <c r="F18" s="5" t="s">
        <v>6</v>
      </c>
      <c r="G18" s="5" t="s">
        <v>7</v>
      </c>
      <c r="H18" s="4" t="s">
        <v>8</v>
      </c>
      <c r="I18" s="4" t="s">
        <v>9</v>
      </c>
      <c r="J18" s="4" t="s">
        <v>10</v>
      </c>
    </row>
    <row r="19" spans="1:10" ht="19.95" customHeight="1" x14ac:dyDescent="0.3">
      <c r="A19" s="4">
        <v>160925</v>
      </c>
      <c r="B19" s="4">
        <v>304</v>
      </c>
      <c r="C19" s="6">
        <v>0.7</v>
      </c>
      <c r="D19" s="5" t="s">
        <v>55</v>
      </c>
      <c r="E19" s="7" t="s">
        <v>133</v>
      </c>
      <c r="F19" s="4" t="s">
        <v>45</v>
      </c>
      <c r="G19" s="4">
        <v>430</v>
      </c>
      <c r="H19" s="8">
        <v>1100</v>
      </c>
      <c r="I19" s="9">
        <v>1107</v>
      </c>
      <c r="J19" s="23">
        <f t="shared" ref="J19:J23" si="1">H19-I19</f>
        <v>-7</v>
      </c>
    </row>
    <row r="20" spans="1:10" ht="19.95" customHeight="1" x14ac:dyDescent="0.3">
      <c r="A20" s="4">
        <v>180925</v>
      </c>
      <c r="B20" s="4">
        <v>304</v>
      </c>
      <c r="C20" s="6">
        <v>0.7</v>
      </c>
      <c r="D20" s="6" t="s">
        <v>55</v>
      </c>
      <c r="E20" s="7" t="s">
        <v>136</v>
      </c>
      <c r="F20" s="4" t="s">
        <v>45</v>
      </c>
      <c r="G20" s="4">
        <v>430</v>
      </c>
      <c r="H20" s="8">
        <v>2100</v>
      </c>
      <c r="I20" s="9">
        <v>2108</v>
      </c>
      <c r="J20" s="23">
        <f t="shared" si="1"/>
        <v>-8</v>
      </c>
    </row>
    <row r="21" spans="1:10" ht="19.95" customHeight="1" x14ac:dyDescent="0.3">
      <c r="A21" s="4">
        <v>160925</v>
      </c>
      <c r="B21" s="4">
        <v>304</v>
      </c>
      <c r="C21" s="6">
        <v>0.7</v>
      </c>
      <c r="D21" s="6" t="s">
        <v>55</v>
      </c>
      <c r="E21" s="7" t="s">
        <v>134</v>
      </c>
      <c r="F21" s="4" t="s">
        <v>45</v>
      </c>
      <c r="G21" s="4">
        <v>430</v>
      </c>
      <c r="H21" s="8">
        <v>1100</v>
      </c>
      <c r="I21" s="9">
        <v>1105</v>
      </c>
      <c r="J21" s="23">
        <f t="shared" si="1"/>
        <v>-5</v>
      </c>
    </row>
    <row r="22" spans="1:10" ht="19.95" customHeight="1" x14ac:dyDescent="0.3">
      <c r="A22" s="4"/>
      <c r="B22" s="4"/>
      <c r="C22" s="6"/>
      <c r="D22" s="6"/>
      <c r="E22" s="7"/>
      <c r="F22" s="4"/>
      <c r="G22" s="4"/>
      <c r="H22" s="8"/>
      <c r="I22" s="9"/>
      <c r="J22" s="23">
        <f t="shared" si="1"/>
        <v>0</v>
      </c>
    </row>
    <row r="23" spans="1:10" ht="19.95" customHeight="1" x14ac:dyDescent="0.3">
      <c r="A23" s="4"/>
      <c r="B23" s="4"/>
      <c r="C23" s="4"/>
      <c r="D23" s="4"/>
      <c r="E23" s="7"/>
      <c r="F23" s="4"/>
      <c r="G23" s="4"/>
      <c r="H23" s="8"/>
      <c r="I23" s="9"/>
      <c r="J23" s="23">
        <f t="shared" si="1"/>
        <v>0</v>
      </c>
    </row>
    <row r="24" spans="1:10" ht="19.95" customHeight="1" x14ac:dyDescent="0.3">
      <c r="A24" s="10"/>
      <c r="B24" s="10"/>
      <c r="C24" s="10"/>
      <c r="D24" s="10"/>
      <c r="E24" s="11"/>
      <c r="F24" s="10"/>
      <c r="G24" s="12"/>
      <c r="H24" s="8">
        <f>SUM(H19:H23)</f>
        <v>4300</v>
      </c>
      <c r="I24" s="9">
        <f>SUM(I19:I23)</f>
        <v>4320</v>
      </c>
      <c r="J24" s="23">
        <f>SUM(J19:J23)</f>
        <v>-20</v>
      </c>
    </row>
    <row r="26" spans="1:10" ht="30" customHeight="1" x14ac:dyDescent="0.3">
      <c r="A26" s="94" t="s">
        <v>18</v>
      </c>
      <c r="B26" s="94"/>
      <c r="C26" s="94"/>
      <c r="D26" s="94"/>
      <c r="E26" s="94"/>
      <c r="F26" s="94"/>
      <c r="G26" s="94"/>
      <c r="H26" s="94"/>
      <c r="I26" s="94"/>
      <c r="J26" s="94"/>
    </row>
    <row r="27" spans="1:10" ht="30" customHeight="1" x14ac:dyDescent="0.3">
      <c r="A27" s="4" t="s">
        <v>1</v>
      </c>
      <c r="B27" s="4" t="s">
        <v>2</v>
      </c>
      <c r="C27" s="5" t="s">
        <v>3</v>
      </c>
      <c r="D27" s="5" t="s">
        <v>4</v>
      </c>
      <c r="E27" s="4" t="s">
        <v>5</v>
      </c>
      <c r="F27" s="5" t="s">
        <v>6</v>
      </c>
      <c r="G27" s="5" t="s">
        <v>7</v>
      </c>
      <c r="H27" s="4" t="s">
        <v>8</v>
      </c>
      <c r="I27" s="4" t="s">
        <v>9</v>
      </c>
      <c r="J27" s="4" t="s">
        <v>10</v>
      </c>
    </row>
    <row r="28" spans="1:10" ht="19.95" customHeight="1" x14ac:dyDescent="0.3">
      <c r="A28" s="21">
        <v>180925</v>
      </c>
      <c r="B28" s="21">
        <v>304</v>
      </c>
      <c r="C28" s="22">
        <v>0.7</v>
      </c>
      <c r="D28" s="22" t="s">
        <v>55</v>
      </c>
      <c r="E28" s="20" t="s">
        <v>135</v>
      </c>
      <c r="F28" s="21" t="s">
        <v>45</v>
      </c>
      <c r="G28" s="21">
        <v>430</v>
      </c>
      <c r="H28" s="23">
        <v>2100</v>
      </c>
      <c r="I28" s="24">
        <f>1030+1076</f>
        <v>2106</v>
      </c>
      <c r="J28" s="23">
        <f t="shared" ref="J28:J38" si="2">H28-I28</f>
        <v>-6</v>
      </c>
    </row>
    <row r="29" spans="1:10" ht="19.95" customHeight="1" x14ac:dyDescent="0.3">
      <c r="A29" s="4">
        <v>160925</v>
      </c>
      <c r="B29" s="4">
        <v>304</v>
      </c>
      <c r="C29" s="6">
        <v>0.7</v>
      </c>
      <c r="D29" s="6" t="s">
        <v>55</v>
      </c>
      <c r="E29" s="7" t="s">
        <v>137</v>
      </c>
      <c r="F29" s="21" t="s">
        <v>45</v>
      </c>
      <c r="G29" s="4">
        <v>430</v>
      </c>
      <c r="H29" s="8">
        <v>1100</v>
      </c>
      <c r="I29" s="9">
        <v>1107</v>
      </c>
      <c r="J29" s="23">
        <f t="shared" si="2"/>
        <v>-7</v>
      </c>
    </row>
    <row r="30" spans="1:10" ht="19.95" customHeight="1" x14ac:dyDescent="0.3">
      <c r="A30" s="4">
        <v>160925</v>
      </c>
      <c r="B30" s="4">
        <v>304</v>
      </c>
      <c r="C30" s="6">
        <v>0.7</v>
      </c>
      <c r="D30" s="6" t="s">
        <v>55</v>
      </c>
      <c r="E30" s="7" t="s">
        <v>138</v>
      </c>
      <c r="F30" s="21" t="s">
        <v>45</v>
      </c>
      <c r="G30" s="4">
        <v>430</v>
      </c>
      <c r="H30" s="8">
        <v>1100</v>
      </c>
      <c r="I30" s="9">
        <v>1103</v>
      </c>
      <c r="J30" s="23">
        <f t="shared" si="2"/>
        <v>-3</v>
      </c>
    </row>
    <row r="31" spans="1:10" ht="19.95" customHeight="1" x14ac:dyDescent="0.3">
      <c r="A31" s="4"/>
      <c r="B31" s="4"/>
      <c r="C31" s="6"/>
      <c r="D31" s="6"/>
      <c r="E31" s="7"/>
      <c r="F31" s="21"/>
      <c r="G31" s="4"/>
      <c r="H31" s="8"/>
      <c r="I31" s="9"/>
      <c r="J31" s="23">
        <f t="shared" si="2"/>
        <v>0</v>
      </c>
    </row>
    <row r="32" spans="1:10" ht="19.95" hidden="1" customHeight="1" x14ac:dyDescent="0.3">
      <c r="A32" s="4"/>
      <c r="B32" s="4"/>
      <c r="C32" s="6"/>
      <c r="D32" s="6"/>
      <c r="E32" s="7"/>
      <c r="F32" s="21"/>
      <c r="G32" s="4"/>
      <c r="H32" s="8"/>
      <c r="I32" s="9">
        <v>0</v>
      </c>
      <c r="J32" s="23">
        <f t="shared" si="2"/>
        <v>0</v>
      </c>
    </row>
    <row r="33" spans="1:10" ht="19.95" hidden="1" customHeight="1" x14ac:dyDescent="0.3">
      <c r="A33" s="4"/>
      <c r="B33" s="4"/>
      <c r="C33" s="6"/>
      <c r="D33" s="6"/>
      <c r="E33" s="7"/>
      <c r="F33" s="21"/>
      <c r="G33" s="4"/>
      <c r="H33" s="8"/>
      <c r="I33" s="9">
        <v>0</v>
      </c>
      <c r="J33" s="23">
        <f t="shared" si="2"/>
        <v>0</v>
      </c>
    </row>
    <row r="34" spans="1:10" ht="19.95" hidden="1" customHeight="1" x14ac:dyDescent="0.3">
      <c r="A34" s="4"/>
      <c r="B34" s="4"/>
      <c r="C34" s="6"/>
      <c r="D34" s="6"/>
      <c r="E34" s="7"/>
      <c r="F34" s="21"/>
      <c r="G34" s="4"/>
      <c r="H34" s="8"/>
      <c r="I34" s="9">
        <v>0</v>
      </c>
      <c r="J34" s="23">
        <f t="shared" si="2"/>
        <v>0</v>
      </c>
    </row>
    <row r="35" spans="1:10" ht="19.95" hidden="1" customHeight="1" x14ac:dyDescent="0.3">
      <c r="A35" s="4"/>
      <c r="B35" s="4"/>
      <c r="C35" s="6"/>
      <c r="D35" s="6"/>
      <c r="E35" s="7"/>
      <c r="F35" s="21"/>
      <c r="G35" s="4"/>
      <c r="H35" s="8"/>
      <c r="I35" s="9">
        <v>0</v>
      </c>
      <c r="J35" s="23">
        <f t="shared" si="2"/>
        <v>0</v>
      </c>
    </row>
    <row r="36" spans="1:10" ht="19.95" hidden="1" customHeight="1" x14ac:dyDescent="0.3">
      <c r="A36" s="4"/>
      <c r="B36" s="4"/>
      <c r="C36" s="6"/>
      <c r="D36" s="6"/>
      <c r="E36" s="7"/>
      <c r="F36" s="21"/>
      <c r="G36" s="4"/>
      <c r="H36" s="8"/>
      <c r="I36" s="9">
        <v>0</v>
      </c>
      <c r="J36" s="23">
        <f t="shared" si="2"/>
        <v>0</v>
      </c>
    </row>
    <row r="37" spans="1:10" ht="19.95" hidden="1" customHeight="1" x14ac:dyDescent="0.3">
      <c r="A37" s="4"/>
      <c r="B37" s="4"/>
      <c r="C37" s="6"/>
      <c r="D37" s="6"/>
      <c r="E37" s="7"/>
      <c r="F37" s="21"/>
      <c r="G37" s="4"/>
      <c r="H37" s="8"/>
      <c r="I37" s="9">
        <v>0</v>
      </c>
      <c r="J37" s="23">
        <f t="shared" si="2"/>
        <v>0</v>
      </c>
    </row>
    <row r="38" spans="1:10" ht="19.95" customHeight="1" x14ac:dyDescent="0.3">
      <c r="A38" s="4"/>
      <c r="B38" s="4"/>
      <c r="C38" s="6"/>
      <c r="D38" s="6"/>
      <c r="E38" s="7"/>
      <c r="F38" s="21"/>
      <c r="G38" s="4"/>
      <c r="H38" s="8"/>
      <c r="I38" s="9"/>
      <c r="J38" s="23">
        <f t="shared" si="2"/>
        <v>0</v>
      </c>
    </row>
    <row r="39" spans="1:10" ht="19.95" customHeight="1" x14ac:dyDescent="0.3">
      <c r="A39" s="10"/>
      <c r="B39" s="10"/>
      <c r="C39" s="10"/>
      <c r="D39" s="10"/>
      <c r="E39" s="11"/>
      <c r="F39" s="10"/>
      <c r="G39" s="12"/>
      <c r="H39" s="8">
        <f>SUM(H28:H38)</f>
        <v>4300</v>
      </c>
      <c r="I39" s="9">
        <f>SUM(I28:I38)</f>
        <v>4316</v>
      </c>
      <c r="J39" s="23">
        <f>SUM(J28:J38)</f>
        <v>-16</v>
      </c>
    </row>
    <row r="41" spans="1:10" ht="30" customHeight="1" x14ac:dyDescent="0.3">
      <c r="A41" s="94" t="s">
        <v>20</v>
      </c>
      <c r="B41" s="94"/>
      <c r="C41" s="94"/>
      <c r="D41" s="94"/>
      <c r="E41" s="94"/>
      <c r="F41" s="94"/>
      <c r="G41" s="94"/>
      <c r="H41" s="94"/>
      <c r="I41" s="94"/>
      <c r="J41" s="94"/>
    </row>
    <row r="42" spans="1:10" ht="30" customHeight="1" x14ac:dyDescent="0.3">
      <c r="A42" s="4" t="s">
        <v>1</v>
      </c>
      <c r="B42" s="4" t="s">
        <v>2</v>
      </c>
      <c r="C42" s="5" t="s">
        <v>3</v>
      </c>
      <c r="D42" s="5" t="s">
        <v>4</v>
      </c>
      <c r="E42" s="4" t="s">
        <v>5</v>
      </c>
      <c r="F42" s="5" t="s">
        <v>6</v>
      </c>
      <c r="G42" s="5" t="s">
        <v>7</v>
      </c>
      <c r="H42" s="4" t="s">
        <v>8</v>
      </c>
      <c r="I42" s="4" t="s">
        <v>9</v>
      </c>
      <c r="J42" s="4" t="s">
        <v>10</v>
      </c>
    </row>
    <row r="43" spans="1:10" ht="19.95" customHeight="1" x14ac:dyDescent="0.3">
      <c r="A43" s="21">
        <v>180925</v>
      </c>
      <c r="B43" s="21">
        <v>304</v>
      </c>
      <c r="C43" s="22">
        <v>0.7</v>
      </c>
      <c r="D43" s="22" t="s">
        <v>55</v>
      </c>
      <c r="E43" s="20" t="s">
        <v>139</v>
      </c>
      <c r="F43" s="21" t="s">
        <v>45</v>
      </c>
      <c r="G43" s="21">
        <v>430</v>
      </c>
      <c r="H43" s="23">
        <v>2100</v>
      </c>
      <c r="I43" s="24">
        <v>2113</v>
      </c>
      <c r="J43" s="23">
        <f t="shared" ref="J43:J51" si="3">H43-I43</f>
        <v>-13</v>
      </c>
    </row>
    <row r="44" spans="1:10" ht="19.95" customHeight="1" x14ac:dyDescent="0.3">
      <c r="A44" s="21">
        <v>180925</v>
      </c>
      <c r="B44" s="21">
        <v>304</v>
      </c>
      <c r="C44" s="22">
        <v>0.7</v>
      </c>
      <c r="D44" s="22" t="s">
        <v>55</v>
      </c>
      <c r="E44" s="20" t="s">
        <v>140</v>
      </c>
      <c r="F44" s="21" t="s">
        <v>45</v>
      </c>
      <c r="G44" s="21">
        <v>430</v>
      </c>
      <c r="H44" s="23">
        <v>2100</v>
      </c>
      <c r="I44" s="24">
        <f>1000+1109</f>
        <v>2109</v>
      </c>
      <c r="J44" s="41">
        <f t="shared" si="3"/>
        <v>-9</v>
      </c>
    </row>
    <row r="45" spans="1:10" ht="19.95" customHeight="1" x14ac:dyDescent="0.3">
      <c r="A45" s="4"/>
      <c r="B45" s="4"/>
      <c r="C45" s="6"/>
      <c r="D45" s="6"/>
      <c r="E45" s="7"/>
      <c r="F45" s="21"/>
      <c r="G45" s="4"/>
      <c r="H45" s="8"/>
      <c r="I45" s="9"/>
      <c r="J45" s="23">
        <f t="shared" si="3"/>
        <v>0</v>
      </c>
    </row>
    <row r="46" spans="1:10" ht="19.95" customHeight="1" x14ac:dyDescent="0.3">
      <c r="A46" s="4"/>
      <c r="B46" s="4"/>
      <c r="C46" s="6"/>
      <c r="D46" s="6"/>
      <c r="E46" s="7"/>
      <c r="F46" s="21"/>
      <c r="G46" s="4"/>
      <c r="H46" s="8"/>
      <c r="I46" s="9"/>
      <c r="J46" s="23">
        <f t="shared" si="3"/>
        <v>0</v>
      </c>
    </row>
    <row r="47" spans="1:10" ht="19.95" hidden="1" customHeight="1" x14ac:dyDescent="0.3">
      <c r="A47" s="4"/>
      <c r="B47" s="4"/>
      <c r="C47" s="6"/>
      <c r="D47" s="6"/>
      <c r="E47" s="7"/>
      <c r="F47" s="21"/>
      <c r="G47" s="4"/>
      <c r="H47" s="8"/>
      <c r="I47" s="9"/>
      <c r="J47" s="23">
        <f t="shared" si="3"/>
        <v>0</v>
      </c>
    </row>
    <row r="48" spans="1:10" ht="19.95" hidden="1" customHeight="1" x14ac:dyDescent="0.3">
      <c r="A48" s="4"/>
      <c r="B48" s="4"/>
      <c r="C48" s="6"/>
      <c r="D48" s="6"/>
      <c r="E48" s="7"/>
      <c r="F48" s="21"/>
      <c r="G48" s="4"/>
      <c r="H48" s="8"/>
      <c r="I48" s="9"/>
      <c r="J48" s="23">
        <f t="shared" si="3"/>
        <v>0</v>
      </c>
    </row>
    <row r="49" spans="1:10" ht="19.95" hidden="1" customHeight="1" x14ac:dyDescent="0.3">
      <c r="A49" s="4"/>
      <c r="B49" s="4"/>
      <c r="C49" s="6"/>
      <c r="D49" s="6"/>
      <c r="E49" s="7"/>
      <c r="F49" s="21"/>
      <c r="G49" s="4"/>
      <c r="H49" s="8"/>
      <c r="I49" s="9"/>
      <c r="J49" s="23">
        <f t="shared" si="3"/>
        <v>0</v>
      </c>
    </row>
    <row r="50" spans="1:10" ht="19.95" hidden="1" customHeight="1" x14ac:dyDescent="0.3">
      <c r="A50" s="4"/>
      <c r="B50" s="4"/>
      <c r="C50" s="6"/>
      <c r="D50" s="6"/>
      <c r="E50" s="7"/>
      <c r="F50" s="21"/>
      <c r="G50" s="4"/>
      <c r="H50" s="8"/>
      <c r="I50" s="9"/>
      <c r="J50" s="23">
        <f t="shared" si="3"/>
        <v>0</v>
      </c>
    </row>
    <row r="51" spans="1:10" ht="19.95" hidden="1" customHeight="1" x14ac:dyDescent="0.3">
      <c r="A51" s="4"/>
      <c r="B51" s="4"/>
      <c r="C51" s="6"/>
      <c r="D51" s="6"/>
      <c r="E51" s="7"/>
      <c r="F51" s="21"/>
      <c r="G51" s="4"/>
      <c r="H51" s="8"/>
      <c r="I51" s="9"/>
      <c r="J51" s="23">
        <f t="shared" si="3"/>
        <v>0</v>
      </c>
    </row>
    <row r="52" spans="1:10" ht="19.95" hidden="1" customHeight="1" x14ac:dyDescent="0.3">
      <c r="A52" s="4"/>
      <c r="B52" s="4"/>
      <c r="C52" s="6"/>
      <c r="D52" s="6"/>
      <c r="E52" s="7"/>
      <c r="F52" s="21"/>
      <c r="G52" s="4"/>
      <c r="H52" s="8"/>
      <c r="I52" s="9"/>
      <c r="J52" s="23">
        <v>0</v>
      </c>
    </row>
    <row r="53" spans="1:10" ht="19.95" customHeight="1" x14ac:dyDescent="0.3">
      <c r="A53" s="4"/>
      <c r="B53" s="4"/>
      <c r="C53" s="6"/>
      <c r="D53" s="6"/>
      <c r="E53" s="7"/>
      <c r="F53" s="21"/>
      <c r="G53" s="4"/>
      <c r="H53" s="8"/>
      <c r="I53" s="9"/>
      <c r="J53" s="23">
        <v>0</v>
      </c>
    </row>
    <row r="54" spans="1:10" ht="19.95" customHeight="1" x14ac:dyDescent="0.3">
      <c r="A54" s="10"/>
      <c r="B54" s="10"/>
      <c r="C54" s="10"/>
      <c r="D54" s="10"/>
      <c r="E54" s="11"/>
      <c r="F54" s="10"/>
      <c r="G54" s="12"/>
      <c r="H54" s="8">
        <f>SUM(H43:H53)</f>
        <v>4200</v>
      </c>
      <c r="I54" s="9">
        <f>SUM(I43:I53)</f>
        <v>4222</v>
      </c>
      <c r="J54" s="23">
        <f>SUM(J43:J53)</f>
        <v>-22</v>
      </c>
    </row>
    <row r="55" spans="1:10" ht="19.95" customHeight="1" x14ac:dyDescent="0.3">
      <c r="A55" s="15"/>
      <c r="B55" s="15"/>
      <c r="C55" s="15"/>
      <c r="D55" s="15"/>
      <c r="E55" s="16"/>
      <c r="F55" s="15"/>
      <c r="G55" s="15"/>
      <c r="H55" s="17"/>
      <c r="I55" s="18"/>
      <c r="J55" s="17"/>
    </row>
    <row r="56" spans="1:10" ht="30" customHeight="1" x14ac:dyDescent="0.3">
      <c r="A56" s="94" t="s">
        <v>19</v>
      </c>
      <c r="B56" s="94"/>
      <c r="C56" s="94"/>
      <c r="D56" s="94"/>
      <c r="E56" s="94"/>
      <c r="F56" s="94"/>
      <c r="G56" s="94"/>
      <c r="H56" s="94"/>
      <c r="I56" s="94"/>
      <c r="J56" s="94"/>
    </row>
    <row r="57" spans="1:10" ht="30" customHeight="1" x14ac:dyDescent="0.3">
      <c r="A57" s="4" t="s">
        <v>1</v>
      </c>
      <c r="B57" s="4" t="s">
        <v>2</v>
      </c>
      <c r="C57" s="5" t="s">
        <v>3</v>
      </c>
      <c r="D57" s="5" t="s">
        <v>4</v>
      </c>
      <c r="E57" s="4" t="s">
        <v>5</v>
      </c>
      <c r="F57" s="5" t="s">
        <v>6</v>
      </c>
      <c r="G57" s="5" t="s">
        <v>7</v>
      </c>
      <c r="H57" s="4" t="s">
        <v>8</v>
      </c>
      <c r="I57" s="4" t="s">
        <v>9</v>
      </c>
      <c r="J57" s="4" t="s">
        <v>10</v>
      </c>
    </row>
    <row r="58" spans="1:10" ht="19.95" customHeight="1" x14ac:dyDescent="0.3">
      <c r="A58" s="4">
        <v>250077</v>
      </c>
      <c r="B58" s="4">
        <v>430</v>
      </c>
      <c r="C58" s="6">
        <v>0.5</v>
      </c>
      <c r="D58" s="6" t="s">
        <v>27</v>
      </c>
      <c r="E58" s="7" t="s">
        <v>141</v>
      </c>
      <c r="F58" s="4" t="s">
        <v>45</v>
      </c>
      <c r="G58" s="4">
        <v>430</v>
      </c>
      <c r="H58" s="8">
        <v>1400</v>
      </c>
      <c r="I58" s="9">
        <f>1119+311</f>
        <v>1430</v>
      </c>
      <c r="J58" s="23">
        <f t="shared" ref="J58:J69" si="4">H58-I58</f>
        <v>-30</v>
      </c>
    </row>
    <row r="59" spans="1:10" ht="19.95" customHeight="1" x14ac:dyDescent="0.3">
      <c r="A59" s="4">
        <v>290925</v>
      </c>
      <c r="B59" s="4">
        <v>304</v>
      </c>
      <c r="C59" s="6">
        <v>0.8</v>
      </c>
      <c r="D59" s="6" t="s">
        <v>43</v>
      </c>
      <c r="E59" s="7" t="s">
        <v>142</v>
      </c>
      <c r="F59" s="21" t="s">
        <v>41</v>
      </c>
      <c r="G59" s="4">
        <v>430</v>
      </c>
      <c r="H59" s="8">
        <v>4000</v>
      </c>
      <c r="I59" s="9">
        <f>411+3696</f>
        <v>4107</v>
      </c>
      <c r="J59" s="23">
        <f t="shared" si="4"/>
        <v>-107</v>
      </c>
    </row>
    <row r="60" spans="1:10" ht="19.95" customHeight="1" x14ac:dyDescent="0.3">
      <c r="A60" s="4"/>
      <c r="B60" s="4"/>
      <c r="C60" s="6"/>
      <c r="D60" s="6"/>
      <c r="E60" s="7"/>
      <c r="F60" s="21"/>
      <c r="G60" s="4"/>
      <c r="H60" s="8"/>
      <c r="I60" s="9"/>
      <c r="J60" s="23">
        <f t="shared" si="4"/>
        <v>0</v>
      </c>
    </row>
    <row r="61" spans="1:10" ht="19.95" customHeight="1" x14ac:dyDescent="0.3">
      <c r="A61" s="4"/>
      <c r="B61" s="4"/>
      <c r="C61" s="6"/>
      <c r="D61" s="6"/>
      <c r="E61" s="37"/>
      <c r="F61" s="21"/>
      <c r="G61" s="4"/>
      <c r="H61" s="8"/>
      <c r="I61" s="9"/>
      <c r="J61" s="23">
        <f t="shared" si="4"/>
        <v>0</v>
      </c>
    </row>
    <row r="62" spans="1:10" ht="19.95" hidden="1" customHeight="1" x14ac:dyDescent="0.3">
      <c r="A62" s="4"/>
      <c r="B62" s="4"/>
      <c r="C62" s="6"/>
      <c r="D62" s="6"/>
      <c r="E62" s="7"/>
      <c r="F62" s="21"/>
      <c r="G62" s="4"/>
      <c r="H62" s="8"/>
      <c r="I62" s="9"/>
      <c r="J62" s="23">
        <f t="shared" si="4"/>
        <v>0</v>
      </c>
    </row>
    <row r="63" spans="1:10" ht="19.95" hidden="1" customHeight="1" x14ac:dyDescent="0.3">
      <c r="A63" s="4"/>
      <c r="B63" s="4"/>
      <c r="C63" s="6"/>
      <c r="D63" s="6"/>
      <c r="E63" s="7"/>
      <c r="F63" s="21"/>
      <c r="G63" s="4"/>
      <c r="H63" s="8"/>
      <c r="I63" s="9"/>
      <c r="J63" s="23">
        <f t="shared" si="4"/>
        <v>0</v>
      </c>
    </row>
    <row r="64" spans="1:10" ht="19.95" hidden="1" customHeight="1" x14ac:dyDescent="0.3">
      <c r="A64" s="4"/>
      <c r="B64" s="4"/>
      <c r="C64" s="6"/>
      <c r="D64" s="6"/>
      <c r="E64" s="7"/>
      <c r="F64" s="21"/>
      <c r="G64" s="4"/>
      <c r="H64" s="8"/>
      <c r="I64" s="9"/>
      <c r="J64" s="23">
        <f t="shared" si="4"/>
        <v>0</v>
      </c>
    </row>
    <row r="65" spans="1:10" ht="19.95" hidden="1" customHeight="1" x14ac:dyDescent="0.3">
      <c r="A65" s="4"/>
      <c r="B65" s="4"/>
      <c r="C65" s="6"/>
      <c r="D65" s="6"/>
      <c r="E65" s="7"/>
      <c r="F65" s="21"/>
      <c r="G65" s="4"/>
      <c r="H65" s="8"/>
      <c r="I65" s="9"/>
      <c r="J65" s="23">
        <f t="shared" si="4"/>
        <v>0</v>
      </c>
    </row>
    <row r="66" spans="1:10" s="31" customFormat="1" ht="19.95" hidden="1" customHeight="1" x14ac:dyDescent="0.3">
      <c r="A66" s="25"/>
      <c r="B66" s="25"/>
      <c r="C66" s="26"/>
      <c r="D66" s="26"/>
      <c r="E66" s="27"/>
      <c r="F66" s="28"/>
      <c r="G66" s="25"/>
      <c r="H66" s="29"/>
      <c r="I66" s="9"/>
      <c r="J66" s="35">
        <f t="shared" si="4"/>
        <v>0</v>
      </c>
    </row>
    <row r="67" spans="1:10" ht="19.95" hidden="1" customHeight="1" x14ac:dyDescent="0.3">
      <c r="A67" s="4"/>
      <c r="B67" s="4"/>
      <c r="C67" s="6"/>
      <c r="D67" s="6"/>
      <c r="E67" s="7"/>
      <c r="F67" s="4"/>
      <c r="G67" s="4"/>
      <c r="H67" s="8"/>
      <c r="I67" s="9"/>
      <c r="J67" s="23">
        <f t="shared" si="4"/>
        <v>0</v>
      </c>
    </row>
    <row r="68" spans="1:10" ht="19.95" hidden="1" customHeight="1" x14ac:dyDescent="0.3">
      <c r="A68" s="4"/>
      <c r="B68" s="4"/>
      <c r="C68" s="6"/>
      <c r="D68" s="6"/>
      <c r="E68" s="7"/>
      <c r="F68" s="4"/>
      <c r="G68" s="4"/>
      <c r="H68" s="8"/>
      <c r="I68" s="9"/>
      <c r="J68" s="23">
        <f t="shared" si="4"/>
        <v>0</v>
      </c>
    </row>
    <row r="69" spans="1:10" ht="19.95" customHeight="1" x14ac:dyDescent="0.3">
      <c r="A69" s="4"/>
      <c r="B69" s="4"/>
      <c r="C69" s="6"/>
      <c r="D69" s="6"/>
      <c r="E69" s="7"/>
      <c r="F69" s="4"/>
      <c r="G69" s="4"/>
      <c r="H69" s="8"/>
      <c r="I69" s="9"/>
      <c r="J69" s="23">
        <f t="shared" si="4"/>
        <v>0</v>
      </c>
    </row>
    <row r="70" spans="1:10" ht="19.95" customHeight="1" x14ac:dyDescent="0.3">
      <c r="A70" s="10"/>
      <c r="B70" s="10"/>
      <c r="C70" s="10"/>
      <c r="D70" s="10"/>
      <c r="E70" s="11"/>
      <c r="F70" s="10"/>
      <c r="G70" s="12"/>
      <c r="H70" s="8">
        <f>SUM(H58:H69)</f>
        <v>5400</v>
      </c>
      <c r="I70" s="9">
        <f>SUM(I58:I69)</f>
        <v>5537</v>
      </c>
      <c r="J70" s="23">
        <f>SUM(J58:J69)</f>
        <v>-137</v>
      </c>
    </row>
    <row r="71" spans="1:10" ht="19.95" customHeight="1" x14ac:dyDescent="0.3">
      <c r="A71" s="15"/>
      <c r="B71" s="15"/>
      <c r="C71" s="15"/>
      <c r="D71" s="15"/>
      <c r="E71" s="16"/>
      <c r="F71" s="15"/>
      <c r="G71" s="15"/>
      <c r="H71" s="17"/>
      <c r="I71" s="18"/>
      <c r="J71" s="17"/>
    </row>
    <row r="72" spans="1:10" ht="30" customHeight="1" x14ac:dyDescent="0.3">
      <c r="A72" s="94" t="s">
        <v>23</v>
      </c>
      <c r="B72" s="94"/>
      <c r="C72" s="94"/>
      <c r="D72" s="94"/>
      <c r="E72" s="94"/>
      <c r="F72" s="94"/>
      <c r="G72" s="94"/>
      <c r="H72" s="94"/>
      <c r="I72" s="94"/>
      <c r="J72" s="94"/>
    </row>
    <row r="73" spans="1:10" ht="30" customHeight="1" x14ac:dyDescent="0.3">
      <c r="A73" s="4" t="s">
        <v>1</v>
      </c>
      <c r="B73" s="4" t="s">
        <v>2</v>
      </c>
      <c r="C73" s="5" t="s">
        <v>3</v>
      </c>
      <c r="D73" s="5" t="s">
        <v>4</v>
      </c>
      <c r="E73" s="4" t="s">
        <v>5</v>
      </c>
      <c r="F73" s="5" t="s">
        <v>6</v>
      </c>
      <c r="G73" s="5" t="s">
        <v>7</v>
      </c>
      <c r="H73" s="4" t="s">
        <v>8</v>
      </c>
      <c r="I73" s="4" t="s">
        <v>9</v>
      </c>
      <c r="J73" s="4" t="s">
        <v>10</v>
      </c>
    </row>
    <row r="74" spans="1:10" ht="19.95" customHeight="1" x14ac:dyDescent="0.3">
      <c r="A74" s="38">
        <v>290925</v>
      </c>
      <c r="B74" s="38">
        <v>304</v>
      </c>
      <c r="C74" s="39">
        <v>0.8</v>
      </c>
      <c r="D74" s="39" t="s">
        <v>43</v>
      </c>
      <c r="E74" s="36" t="s">
        <v>143</v>
      </c>
      <c r="F74" s="38" t="s">
        <v>41</v>
      </c>
      <c r="G74" s="38">
        <v>430</v>
      </c>
      <c r="H74" s="32">
        <v>3000</v>
      </c>
      <c r="I74" s="40">
        <v>313</v>
      </c>
      <c r="J74" s="32">
        <f t="shared" ref="J74:J95" si="5">H74-I74</f>
        <v>2687</v>
      </c>
    </row>
    <row r="75" spans="1:10" ht="19.95" customHeight="1" x14ac:dyDescent="0.3">
      <c r="A75" s="4">
        <v>250048</v>
      </c>
      <c r="B75" s="4">
        <v>304</v>
      </c>
      <c r="C75" s="6">
        <v>1</v>
      </c>
      <c r="D75" s="6" t="s">
        <v>55</v>
      </c>
      <c r="E75" s="7" t="s">
        <v>147</v>
      </c>
      <c r="F75" s="21" t="s">
        <v>52</v>
      </c>
      <c r="G75" s="4">
        <v>430</v>
      </c>
      <c r="H75" s="8">
        <v>120</v>
      </c>
      <c r="I75" s="9">
        <v>123</v>
      </c>
      <c r="J75" s="23">
        <f t="shared" si="5"/>
        <v>-3</v>
      </c>
    </row>
    <row r="76" spans="1:10" ht="19.95" customHeight="1" x14ac:dyDescent="0.3">
      <c r="A76" s="4"/>
      <c r="B76" s="4"/>
      <c r="C76" s="6"/>
      <c r="D76" s="6"/>
      <c r="E76" s="7"/>
      <c r="F76" s="21"/>
      <c r="G76" s="4"/>
      <c r="H76" s="8"/>
      <c r="I76" s="9"/>
      <c r="J76" s="8">
        <f t="shared" si="5"/>
        <v>0</v>
      </c>
    </row>
    <row r="77" spans="1:10" ht="19.95" customHeight="1" x14ac:dyDescent="0.3">
      <c r="A77" s="4"/>
      <c r="B77" s="4"/>
      <c r="C77" s="6"/>
      <c r="D77" s="6"/>
      <c r="E77" s="7"/>
      <c r="F77" s="21"/>
      <c r="G77" s="4"/>
      <c r="H77" s="8"/>
      <c r="I77" s="9"/>
      <c r="J77" s="23">
        <f t="shared" si="5"/>
        <v>0</v>
      </c>
    </row>
    <row r="78" spans="1:10" ht="19.95" customHeight="1" x14ac:dyDescent="0.3">
      <c r="A78" s="4"/>
      <c r="B78" s="4"/>
      <c r="C78" s="6"/>
      <c r="D78" s="6"/>
      <c r="E78" s="7"/>
      <c r="F78" s="4"/>
      <c r="G78" s="4"/>
      <c r="H78" s="8"/>
      <c r="I78" s="9"/>
      <c r="J78" s="23">
        <f t="shared" si="5"/>
        <v>0</v>
      </c>
    </row>
    <row r="79" spans="1:10" ht="19.95" hidden="1" customHeight="1" x14ac:dyDescent="0.3">
      <c r="A79" s="4"/>
      <c r="B79" s="4"/>
      <c r="C79" s="6"/>
      <c r="D79" s="6"/>
      <c r="E79" s="7"/>
      <c r="F79" s="21"/>
      <c r="G79" s="4"/>
      <c r="H79" s="8"/>
      <c r="I79" s="9"/>
      <c r="J79" s="8">
        <f t="shared" si="5"/>
        <v>0</v>
      </c>
    </row>
    <row r="80" spans="1:10" ht="19.95" hidden="1" customHeight="1" x14ac:dyDescent="0.3">
      <c r="A80" s="4"/>
      <c r="B80" s="4"/>
      <c r="C80" s="6"/>
      <c r="D80" s="6"/>
      <c r="E80" s="7"/>
      <c r="F80" s="4"/>
      <c r="G80" s="4"/>
      <c r="H80" s="8"/>
      <c r="I80" s="9"/>
      <c r="J80" s="8">
        <f t="shared" si="5"/>
        <v>0</v>
      </c>
    </row>
    <row r="81" spans="1:10" ht="19.95" hidden="1" customHeight="1" x14ac:dyDescent="0.3">
      <c r="A81" s="4"/>
      <c r="B81" s="4"/>
      <c r="C81" s="6"/>
      <c r="D81" s="6"/>
      <c r="E81" s="7"/>
      <c r="F81" s="4"/>
      <c r="G81" s="4"/>
      <c r="H81" s="8"/>
      <c r="I81" s="9"/>
      <c r="J81" s="8">
        <f t="shared" si="5"/>
        <v>0</v>
      </c>
    </row>
    <row r="82" spans="1:10" ht="19.95" hidden="1" customHeight="1" x14ac:dyDescent="0.3">
      <c r="A82" s="4"/>
      <c r="B82" s="4"/>
      <c r="C82" s="6"/>
      <c r="D82" s="6"/>
      <c r="E82" s="7"/>
      <c r="F82" s="4"/>
      <c r="G82" s="4"/>
      <c r="H82" s="8"/>
      <c r="I82" s="9"/>
      <c r="J82" s="8">
        <f t="shared" si="5"/>
        <v>0</v>
      </c>
    </row>
    <row r="83" spans="1:10" ht="19.95" hidden="1" customHeight="1" x14ac:dyDescent="0.3">
      <c r="A83" s="4"/>
      <c r="B83" s="4"/>
      <c r="C83" s="6"/>
      <c r="D83" s="6"/>
      <c r="E83" s="7"/>
      <c r="F83" s="4"/>
      <c r="G83" s="4"/>
      <c r="H83" s="8"/>
      <c r="I83" s="9"/>
      <c r="J83" s="8">
        <f t="shared" si="5"/>
        <v>0</v>
      </c>
    </row>
    <row r="84" spans="1:10" ht="19.95" hidden="1" customHeight="1" x14ac:dyDescent="0.3">
      <c r="A84" s="4"/>
      <c r="B84" s="4"/>
      <c r="C84" s="6"/>
      <c r="D84" s="6"/>
      <c r="E84" s="7"/>
      <c r="F84" s="4"/>
      <c r="G84" s="4"/>
      <c r="H84" s="8"/>
      <c r="I84" s="9"/>
      <c r="J84" s="8">
        <f t="shared" si="5"/>
        <v>0</v>
      </c>
    </row>
    <row r="85" spans="1:10" ht="19.95" hidden="1" customHeight="1" x14ac:dyDescent="0.3">
      <c r="A85" s="4"/>
      <c r="B85" s="4"/>
      <c r="C85" s="6"/>
      <c r="D85" s="6"/>
      <c r="E85" s="7"/>
      <c r="F85" s="4"/>
      <c r="G85" s="4"/>
      <c r="H85" s="8"/>
      <c r="I85" s="9"/>
      <c r="J85" s="8">
        <f t="shared" si="5"/>
        <v>0</v>
      </c>
    </row>
    <row r="86" spans="1:10" ht="19.95" hidden="1" customHeight="1" x14ac:dyDescent="0.3">
      <c r="A86" s="4"/>
      <c r="B86" s="4"/>
      <c r="C86" s="6"/>
      <c r="D86" s="6"/>
      <c r="E86" s="7"/>
      <c r="F86" s="21"/>
      <c r="G86" s="4"/>
      <c r="H86" s="8"/>
      <c r="I86" s="9"/>
      <c r="J86" s="8">
        <f t="shared" si="5"/>
        <v>0</v>
      </c>
    </row>
    <row r="87" spans="1:10" ht="19.95" hidden="1" customHeight="1" x14ac:dyDescent="0.3">
      <c r="A87" s="21"/>
      <c r="B87" s="21"/>
      <c r="C87" s="22"/>
      <c r="D87" s="22"/>
      <c r="E87" s="20"/>
      <c r="F87" s="21"/>
      <c r="G87" s="21"/>
      <c r="H87" s="23"/>
      <c r="I87" s="9"/>
      <c r="J87" s="8">
        <f t="shared" si="5"/>
        <v>0</v>
      </c>
    </row>
    <row r="88" spans="1:10" ht="19.95" hidden="1" customHeight="1" x14ac:dyDescent="0.3">
      <c r="A88" s="21"/>
      <c r="B88" s="21"/>
      <c r="C88" s="22"/>
      <c r="D88" s="22"/>
      <c r="E88" s="20"/>
      <c r="F88" s="21"/>
      <c r="G88" s="21"/>
      <c r="H88" s="23"/>
      <c r="I88" s="9"/>
      <c r="J88" s="8">
        <f t="shared" si="5"/>
        <v>0</v>
      </c>
    </row>
    <row r="89" spans="1:10" ht="19.95" hidden="1" customHeight="1" x14ac:dyDescent="0.3">
      <c r="A89" s="4"/>
      <c r="B89" s="4"/>
      <c r="C89" s="6"/>
      <c r="D89" s="6"/>
      <c r="E89" s="7"/>
      <c r="F89" s="21"/>
      <c r="G89" s="4"/>
      <c r="H89" s="8"/>
      <c r="I89" s="9"/>
      <c r="J89" s="8">
        <f t="shared" si="5"/>
        <v>0</v>
      </c>
    </row>
    <row r="90" spans="1:10" ht="19.95" hidden="1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hidden="1" customHeight="1" x14ac:dyDescent="0.3">
      <c r="A91" s="4"/>
      <c r="B91" s="4"/>
      <c r="C91" s="6"/>
      <c r="D91" s="6"/>
      <c r="E91" s="7"/>
      <c r="F91" s="4"/>
      <c r="G91" s="4"/>
      <c r="H91" s="8"/>
      <c r="I91" s="9"/>
      <c r="J91" s="8">
        <f t="shared" si="5"/>
        <v>0</v>
      </c>
    </row>
    <row r="92" spans="1:10" ht="19.95" hidden="1" customHeight="1" x14ac:dyDescent="0.3">
      <c r="A92" s="4"/>
      <c r="B92" s="4"/>
      <c r="C92" s="6"/>
      <c r="D92" s="6"/>
      <c r="E92" s="7"/>
      <c r="F92" s="4"/>
      <c r="G92" s="4"/>
      <c r="H92" s="8"/>
      <c r="I92" s="9"/>
      <c r="J92" s="8">
        <f t="shared" si="5"/>
        <v>0</v>
      </c>
    </row>
    <row r="93" spans="1:10" ht="19.95" hidden="1" customHeight="1" x14ac:dyDescent="0.3">
      <c r="A93" s="4"/>
      <c r="B93" s="4"/>
      <c r="C93" s="6"/>
      <c r="D93" s="6"/>
      <c r="E93" s="7"/>
      <c r="F93" s="4"/>
      <c r="G93" s="4"/>
      <c r="H93" s="8"/>
      <c r="I93" s="9"/>
      <c r="J93" s="8">
        <f t="shared" si="5"/>
        <v>0</v>
      </c>
    </row>
    <row r="94" spans="1:10" ht="19.95" hidden="1" customHeight="1" x14ac:dyDescent="0.3">
      <c r="A94" s="4"/>
      <c r="B94" s="4"/>
      <c r="C94" s="6"/>
      <c r="D94" s="6"/>
      <c r="E94" s="7"/>
      <c r="F94" s="4"/>
      <c r="G94" s="4"/>
      <c r="H94" s="8"/>
      <c r="I94" s="9"/>
      <c r="J94" s="8">
        <f t="shared" si="5"/>
        <v>0</v>
      </c>
    </row>
    <row r="95" spans="1:10" ht="19.95" customHeight="1" x14ac:dyDescent="0.3">
      <c r="A95" s="4"/>
      <c r="B95" s="4"/>
      <c r="C95" s="6"/>
      <c r="D95" s="6"/>
      <c r="E95" s="7"/>
      <c r="F95" s="4"/>
      <c r="G95" s="4"/>
      <c r="H95" s="8"/>
      <c r="I95" s="9"/>
      <c r="J95" s="8">
        <f t="shared" si="5"/>
        <v>0</v>
      </c>
    </row>
    <row r="96" spans="1:10" ht="19.95" customHeight="1" x14ac:dyDescent="0.3">
      <c r="A96" s="10"/>
      <c r="B96" s="10"/>
      <c r="C96" s="10"/>
      <c r="D96" s="10"/>
      <c r="E96" s="11"/>
      <c r="F96" s="10"/>
      <c r="G96" s="12"/>
      <c r="H96" s="8">
        <f>SUM(H74:H95)</f>
        <v>3120</v>
      </c>
      <c r="I96" s="9">
        <f>SUM(I74:I95)</f>
        <v>436</v>
      </c>
      <c r="J96" s="8">
        <f>SUM(J74:J95)</f>
        <v>2684</v>
      </c>
    </row>
    <row r="98" spans="1:10" ht="15.6" x14ac:dyDescent="0.3">
      <c r="H98" s="8">
        <f>H96+H70+H54+H39+H24+H15</f>
        <v>25320</v>
      </c>
      <c r="I98" s="9">
        <f>I96+I70+I54+I39+I24+I15</f>
        <v>22886</v>
      </c>
      <c r="J98" s="8">
        <f>J96+J70+J54+J39+J24+J15</f>
        <v>2434</v>
      </c>
    </row>
    <row r="100" spans="1:10" ht="23.4" x14ac:dyDescent="0.3">
      <c r="A100" s="95" t="s">
        <v>14</v>
      </c>
      <c r="B100" s="95"/>
      <c r="C100" s="95"/>
      <c r="D100" s="95"/>
      <c r="E100" s="95"/>
      <c r="F100" s="95"/>
      <c r="G100" s="95"/>
      <c r="H100" s="95"/>
      <c r="I100" s="95"/>
      <c r="J100" s="95"/>
    </row>
  </sheetData>
  <mergeCells count="9">
    <mergeCell ref="A56:J56"/>
    <mergeCell ref="A72:J72"/>
    <mergeCell ref="A100:J100"/>
    <mergeCell ref="H1:J1"/>
    <mergeCell ref="A2:J2"/>
    <mergeCell ref="A3:J3"/>
    <mergeCell ref="A17:J17"/>
    <mergeCell ref="A26:J26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zoomScale="85" zoomScaleNormal="85" workbookViewId="0">
      <selection activeCell="J29" sqref="J2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6.664062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149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290925</v>
      </c>
      <c r="B5" s="42">
        <v>304</v>
      </c>
      <c r="C5" s="43">
        <v>0.8</v>
      </c>
      <c r="D5" s="43" t="s">
        <v>43</v>
      </c>
      <c r="E5" s="37" t="s">
        <v>143</v>
      </c>
      <c r="F5" s="42" t="s">
        <v>41</v>
      </c>
      <c r="G5" s="42">
        <v>430</v>
      </c>
      <c r="H5" s="41">
        <v>2687</v>
      </c>
      <c r="I5" s="40">
        <v>2778</v>
      </c>
      <c r="J5" s="32">
        <f t="shared" ref="J5:J10" si="0">H5-I5</f>
        <v>-91</v>
      </c>
    </row>
    <row r="6" spans="1:10" ht="19.95" customHeight="1" x14ac:dyDescent="0.3">
      <c r="A6" s="4">
        <v>250057</v>
      </c>
      <c r="B6" s="4">
        <v>304</v>
      </c>
      <c r="C6" s="6">
        <v>0.7</v>
      </c>
      <c r="D6" s="6" t="s">
        <v>11</v>
      </c>
      <c r="E6" s="7" t="s">
        <v>150</v>
      </c>
      <c r="F6" s="4" t="s">
        <v>13</v>
      </c>
      <c r="G6" s="8">
        <v>304</v>
      </c>
      <c r="H6" s="8">
        <v>395</v>
      </c>
      <c r="I6" s="9"/>
      <c r="J6" s="8">
        <f t="shared" si="0"/>
        <v>395</v>
      </c>
    </row>
    <row r="7" spans="1:10" ht="19.95" customHeight="1" x14ac:dyDescent="0.3">
      <c r="A7" s="4">
        <v>250061</v>
      </c>
      <c r="B7" s="4">
        <v>304</v>
      </c>
      <c r="C7" s="6">
        <v>0.7</v>
      </c>
      <c r="D7" s="6" t="s">
        <v>11</v>
      </c>
      <c r="E7" s="7" t="s">
        <v>150</v>
      </c>
      <c r="F7" s="4" t="s">
        <v>13</v>
      </c>
      <c r="G7" s="8">
        <v>304</v>
      </c>
      <c r="H7" s="8">
        <v>525</v>
      </c>
      <c r="I7" s="9"/>
      <c r="J7" s="8">
        <f t="shared" si="0"/>
        <v>525</v>
      </c>
    </row>
    <row r="8" spans="1:10" ht="19.95" customHeight="1" x14ac:dyDescent="0.3">
      <c r="A8" s="4">
        <v>250061</v>
      </c>
      <c r="B8" s="4">
        <v>304</v>
      </c>
      <c r="C8" s="6">
        <v>0.7</v>
      </c>
      <c r="D8" s="6" t="s">
        <v>11</v>
      </c>
      <c r="E8" s="7" t="s">
        <v>151</v>
      </c>
      <c r="F8" s="4" t="s">
        <v>13</v>
      </c>
      <c r="G8" s="8">
        <v>304</v>
      </c>
      <c r="H8" s="8">
        <v>525</v>
      </c>
      <c r="I8" s="40">
        <v>530</v>
      </c>
      <c r="J8" s="32">
        <f t="shared" si="0"/>
        <v>-5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4132</v>
      </c>
      <c r="I11" s="14">
        <f>SUM(I5:I10)</f>
        <v>3308</v>
      </c>
      <c r="J11" s="8">
        <f>SUM(J5:J10)</f>
        <v>824</v>
      </c>
    </row>
    <row r="13" spans="1:10" ht="30" customHeight="1" x14ac:dyDescent="0.3">
      <c r="A13" s="94" t="s">
        <v>17</v>
      </c>
      <c r="B13" s="94"/>
      <c r="C13" s="94"/>
      <c r="D13" s="94"/>
      <c r="E13" s="94"/>
      <c r="F13" s="94"/>
      <c r="G13" s="94"/>
      <c r="H13" s="94"/>
      <c r="I13" s="94"/>
      <c r="J13" s="94"/>
    </row>
    <row r="14" spans="1:10" ht="30" customHeight="1" x14ac:dyDescent="0.3">
      <c r="A14" s="4" t="s">
        <v>1</v>
      </c>
      <c r="B14" s="4" t="s">
        <v>2</v>
      </c>
      <c r="C14" s="5" t="s">
        <v>3</v>
      </c>
      <c r="D14" s="5" t="s">
        <v>4</v>
      </c>
      <c r="E14" s="4" t="s">
        <v>5</v>
      </c>
      <c r="F14" s="5" t="s">
        <v>6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250057</v>
      </c>
      <c r="B15" s="4">
        <v>304</v>
      </c>
      <c r="C15" s="6">
        <v>0.7</v>
      </c>
      <c r="D15" s="6" t="s">
        <v>96</v>
      </c>
      <c r="E15" s="7" t="s">
        <v>151</v>
      </c>
      <c r="F15" s="4" t="s">
        <v>13</v>
      </c>
      <c r="G15" s="4">
        <v>304</v>
      </c>
      <c r="H15" s="8">
        <v>395</v>
      </c>
      <c r="I15" s="40">
        <v>400</v>
      </c>
      <c r="J15" s="32">
        <f t="shared" ref="J15:J28" si="1">H15-I15</f>
        <v>-5</v>
      </c>
    </row>
    <row r="16" spans="1:10" ht="19.95" customHeight="1" x14ac:dyDescent="0.3">
      <c r="A16" s="4">
        <v>250055</v>
      </c>
      <c r="B16" s="4">
        <v>304</v>
      </c>
      <c r="C16" s="6">
        <v>0.7</v>
      </c>
      <c r="D16" s="6" t="s">
        <v>96</v>
      </c>
      <c r="E16" s="7" t="s">
        <v>151</v>
      </c>
      <c r="F16" s="4" t="s">
        <v>13</v>
      </c>
      <c r="G16" s="4">
        <v>304</v>
      </c>
      <c r="H16" s="8">
        <v>815</v>
      </c>
      <c r="I16" s="9">
        <v>627</v>
      </c>
      <c r="J16" s="8">
        <f t="shared" si="1"/>
        <v>188</v>
      </c>
    </row>
    <row r="17" spans="1:10" ht="19.95" customHeight="1" x14ac:dyDescent="0.3">
      <c r="A17" s="4">
        <v>250052</v>
      </c>
      <c r="B17" s="4">
        <v>304</v>
      </c>
      <c r="C17" s="6">
        <v>0.7</v>
      </c>
      <c r="D17" s="6" t="s">
        <v>96</v>
      </c>
      <c r="E17" s="7" t="s">
        <v>151</v>
      </c>
      <c r="F17" s="4" t="s">
        <v>13</v>
      </c>
      <c r="G17" s="4">
        <v>304</v>
      </c>
      <c r="H17" s="8">
        <v>785</v>
      </c>
      <c r="I17" s="9"/>
      <c r="J17" s="8">
        <f t="shared" si="1"/>
        <v>785</v>
      </c>
    </row>
    <row r="18" spans="1:10" ht="19.95" customHeight="1" x14ac:dyDescent="0.3">
      <c r="A18" s="4">
        <v>250061</v>
      </c>
      <c r="B18" s="4">
        <v>304</v>
      </c>
      <c r="C18" s="6">
        <v>1</v>
      </c>
      <c r="D18" s="6" t="s">
        <v>96</v>
      </c>
      <c r="E18" s="7" t="s">
        <v>152</v>
      </c>
      <c r="F18" s="4" t="s">
        <v>13</v>
      </c>
      <c r="G18" s="4">
        <v>304</v>
      </c>
      <c r="H18" s="8">
        <v>15</v>
      </c>
      <c r="I18" s="9"/>
      <c r="J18" s="8">
        <f t="shared" si="1"/>
        <v>15</v>
      </c>
    </row>
    <row r="19" spans="1:10" ht="19.95" customHeight="1" x14ac:dyDescent="0.3">
      <c r="A19" s="4">
        <v>250057</v>
      </c>
      <c r="B19" s="4">
        <v>304</v>
      </c>
      <c r="C19" s="6">
        <v>1</v>
      </c>
      <c r="D19" s="6" t="s">
        <v>96</v>
      </c>
      <c r="E19" s="7" t="s">
        <v>152</v>
      </c>
      <c r="F19" s="4" t="s">
        <v>13</v>
      </c>
      <c r="G19" s="4">
        <v>304</v>
      </c>
      <c r="H19" s="8">
        <v>15</v>
      </c>
      <c r="I19" s="9"/>
      <c r="J19" s="8">
        <f t="shared" si="1"/>
        <v>15</v>
      </c>
    </row>
    <row r="20" spans="1:10" ht="19.95" customHeight="1" x14ac:dyDescent="0.3">
      <c r="A20" s="4">
        <v>250055</v>
      </c>
      <c r="B20" s="4">
        <v>304</v>
      </c>
      <c r="C20" s="6">
        <v>1</v>
      </c>
      <c r="D20" s="6" t="s">
        <v>96</v>
      </c>
      <c r="E20" s="7" t="s">
        <v>152</v>
      </c>
      <c r="F20" s="4" t="s">
        <v>13</v>
      </c>
      <c r="G20" s="4">
        <v>304</v>
      </c>
      <c r="H20" s="8">
        <v>15</v>
      </c>
      <c r="I20" s="9"/>
      <c r="J20" s="8">
        <f t="shared" si="1"/>
        <v>15</v>
      </c>
    </row>
    <row r="21" spans="1:10" ht="19.95" customHeight="1" x14ac:dyDescent="0.3">
      <c r="A21" s="4">
        <v>250052</v>
      </c>
      <c r="B21" s="4">
        <v>304</v>
      </c>
      <c r="C21" s="6">
        <v>1</v>
      </c>
      <c r="D21" s="6" t="s">
        <v>96</v>
      </c>
      <c r="E21" s="7" t="s">
        <v>152</v>
      </c>
      <c r="F21" s="4" t="s">
        <v>13</v>
      </c>
      <c r="G21" s="4">
        <v>304</v>
      </c>
      <c r="H21" s="8">
        <v>15</v>
      </c>
      <c r="I21" s="9"/>
      <c r="J21" s="8">
        <f t="shared" si="1"/>
        <v>15</v>
      </c>
    </row>
    <row r="22" spans="1:10" ht="19.95" customHeight="1" x14ac:dyDescent="0.3">
      <c r="A22" s="4">
        <v>250052</v>
      </c>
      <c r="B22" s="4">
        <v>304</v>
      </c>
      <c r="C22" s="6">
        <v>0.7</v>
      </c>
      <c r="D22" s="6" t="s">
        <v>96</v>
      </c>
      <c r="E22" s="7" t="s">
        <v>153</v>
      </c>
      <c r="F22" s="4" t="s">
        <v>13</v>
      </c>
      <c r="G22" s="4">
        <v>304</v>
      </c>
      <c r="H22" s="8">
        <v>785</v>
      </c>
      <c r="I22" s="9"/>
      <c r="J22" s="8">
        <f t="shared" si="1"/>
        <v>785</v>
      </c>
    </row>
    <row r="23" spans="1:10" ht="19.95" customHeight="1" x14ac:dyDescent="0.3">
      <c r="A23" s="4">
        <v>250055</v>
      </c>
      <c r="B23" s="4">
        <v>304</v>
      </c>
      <c r="C23" s="6">
        <v>0.7</v>
      </c>
      <c r="D23" s="6" t="s">
        <v>96</v>
      </c>
      <c r="E23" s="7" t="s">
        <v>153</v>
      </c>
      <c r="F23" s="4" t="s">
        <v>13</v>
      </c>
      <c r="G23" s="4">
        <v>304</v>
      </c>
      <c r="H23" s="8">
        <v>815</v>
      </c>
      <c r="I23" s="9"/>
      <c r="J23" s="8">
        <f t="shared" si="1"/>
        <v>815</v>
      </c>
    </row>
    <row r="24" spans="1:10" ht="19.95" customHeight="1" x14ac:dyDescent="0.3">
      <c r="A24" s="4">
        <v>250052</v>
      </c>
      <c r="B24" s="4">
        <v>304</v>
      </c>
      <c r="C24" s="6">
        <v>1</v>
      </c>
      <c r="D24" s="6" t="s">
        <v>96</v>
      </c>
      <c r="E24" s="7" t="s">
        <v>154</v>
      </c>
      <c r="F24" s="4" t="s">
        <v>13</v>
      </c>
      <c r="G24" s="4">
        <v>304</v>
      </c>
      <c r="H24" s="8">
        <v>15</v>
      </c>
      <c r="I24" s="9"/>
      <c r="J24" s="8">
        <f t="shared" si="1"/>
        <v>15</v>
      </c>
    </row>
    <row r="25" spans="1:10" ht="19.95" customHeight="1" x14ac:dyDescent="0.3">
      <c r="A25" s="4">
        <v>250055</v>
      </c>
      <c r="B25" s="4">
        <v>304</v>
      </c>
      <c r="C25" s="6">
        <v>1</v>
      </c>
      <c r="D25" s="6" t="s">
        <v>96</v>
      </c>
      <c r="E25" s="7" t="s">
        <v>154</v>
      </c>
      <c r="F25" s="4" t="s">
        <v>13</v>
      </c>
      <c r="G25" s="4">
        <v>304</v>
      </c>
      <c r="H25" s="8">
        <v>15</v>
      </c>
      <c r="I25" s="9"/>
      <c r="J25" s="8">
        <f t="shared" si="1"/>
        <v>15</v>
      </c>
    </row>
    <row r="26" spans="1:10" ht="19.95" customHeight="1" x14ac:dyDescent="0.3">
      <c r="A26" s="4">
        <v>250057</v>
      </c>
      <c r="B26" s="4">
        <v>304</v>
      </c>
      <c r="C26" s="6">
        <v>0.7</v>
      </c>
      <c r="D26" s="6" t="s">
        <v>96</v>
      </c>
      <c r="E26" s="7" t="s">
        <v>155</v>
      </c>
      <c r="F26" s="4" t="s">
        <v>41</v>
      </c>
      <c r="G26" s="4">
        <v>304</v>
      </c>
      <c r="H26" s="8">
        <v>395</v>
      </c>
      <c r="I26" s="9"/>
      <c r="J26" s="8">
        <f t="shared" si="1"/>
        <v>395</v>
      </c>
    </row>
    <row r="27" spans="1:10" ht="19.95" customHeight="1" x14ac:dyDescent="0.3">
      <c r="A27" s="4">
        <v>250057</v>
      </c>
      <c r="B27" s="4">
        <v>304</v>
      </c>
      <c r="C27" s="6">
        <v>1</v>
      </c>
      <c r="D27" s="6" t="s">
        <v>96</v>
      </c>
      <c r="E27" s="7" t="s">
        <v>156</v>
      </c>
      <c r="F27" s="4" t="s">
        <v>41</v>
      </c>
      <c r="G27" s="4">
        <v>304</v>
      </c>
      <c r="H27" s="8">
        <v>15</v>
      </c>
      <c r="I27" s="9"/>
      <c r="J27" s="8">
        <f t="shared" si="1"/>
        <v>15</v>
      </c>
    </row>
    <row r="28" spans="1:10" ht="19.95" customHeight="1" x14ac:dyDescent="0.3">
      <c r="A28" s="4"/>
      <c r="B28" s="4"/>
      <c r="C28" s="6"/>
      <c r="D28" s="6"/>
      <c r="E28" s="7"/>
      <c r="F28" s="4"/>
      <c r="G28" s="4"/>
      <c r="H28" s="8"/>
      <c r="I28" s="9"/>
      <c r="J28" s="8">
        <f t="shared" si="1"/>
        <v>0</v>
      </c>
    </row>
    <row r="29" spans="1:10" ht="19.95" customHeight="1" x14ac:dyDescent="0.3">
      <c r="A29" s="10"/>
      <c r="B29" s="10"/>
      <c r="C29" s="10"/>
      <c r="D29" s="10"/>
      <c r="E29" s="11"/>
      <c r="F29" s="10"/>
      <c r="G29" s="12"/>
      <c r="H29" s="8">
        <f>SUM(H15:H28)</f>
        <v>4095</v>
      </c>
      <c r="I29" s="9">
        <f>SUM(I15:I28)</f>
        <v>1027</v>
      </c>
      <c r="J29" s="8">
        <f>SUM(J15:J28)</f>
        <v>3068</v>
      </c>
    </row>
    <row r="31" spans="1:10" ht="30" customHeight="1" x14ac:dyDescent="0.3">
      <c r="A31" s="94" t="s">
        <v>18</v>
      </c>
      <c r="B31" s="94"/>
      <c r="C31" s="94"/>
      <c r="D31" s="94"/>
      <c r="E31" s="94"/>
      <c r="F31" s="94"/>
      <c r="G31" s="94"/>
      <c r="H31" s="94"/>
      <c r="I31" s="94"/>
      <c r="J31" s="94"/>
    </row>
    <row r="32" spans="1:10" ht="30" customHeight="1" x14ac:dyDescent="0.3">
      <c r="A32" s="4" t="s">
        <v>1</v>
      </c>
      <c r="B32" s="4" t="s">
        <v>2</v>
      </c>
      <c r="C32" s="5" t="s">
        <v>3</v>
      </c>
      <c r="D32" s="5" t="s">
        <v>4</v>
      </c>
      <c r="E32" s="4" t="s">
        <v>5</v>
      </c>
      <c r="F32" s="5" t="s">
        <v>6</v>
      </c>
      <c r="G32" s="5" t="s">
        <v>7</v>
      </c>
      <c r="H32" s="4" t="s">
        <v>8</v>
      </c>
      <c r="I32" s="4" t="s">
        <v>9</v>
      </c>
      <c r="J32" s="4" t="s">
        <v>10</v>
      </c>
    </row>
    <row r="33" spans="1:10" ht="19.95" customHeight="1" x14ac:dyDescent="0.3">
      <c r="A33" s="4">
        <v>250061</v>
      </c>
      <c r="B33" s="4">
        <v>304</v>
      </c>
      <c r="C33" s="6">
        <v>0.7</v>
      </c>
      <c r="D33" s="6" t="s">
        <v>96</v>
      </c>
      <c r="E33" s="7" t="s">
        <v>157</v>
      </c>
      <c r="F33" s="4" t="s">
        <v>41</v>
      </c>
      <c r="G33" s="4">
        <v>304</v>
      </c>
      <c r="H33" s="8">
        <v>525</v>
      </c>
      <c r="I33" s="9"/>
      <c r="J33" s="8">
        <f t="shared" ref="J33:J49" si="2">H33-I33</f>
        <v>525</v>
      </c>
    </row>
    <row r="34" spans="1:10" ht="19.95" customHeight="1" x14ac:dyDescent="0.3">
      <c r="A34" s="4">
        <v>250061</v>
      </c>
      <c r="B34" s="4">
        <v>304</v>
      </c>
      <c r="C34" s="6">
        <v>1</v>
      </c>
      <c r="D34" s="6" t="s">
        <v>96</v>
      </c>
      <c r="E34" s="7" t="s">
        <v>158</v>
      </c>
      <c r="F34" s="4" t="s">
        <v>41</v>
      </c>
      <c r="G34" s="4">
        <v>304</v>
      </c>
      <c r="H34" s="8">
        <v>15</v>
      </c>
      <c r="I34" s="9"/>
      <c r="J34" s="8">
        <f t="shared" si="2"/>
        <v>15</v>
      </c>
    </row>
    <row r="35" spans="1:10" ht="19.95" customHeight="1" x14ac:dyDescent="0.3">
      <c r="A35" s="4">
        <v>250052</v>
      </c>
      <c r="B35" s="4">
        <v>304</v>
      </c>
      <c r="C35" s="6">
        <v>0.7</v>
      </c>
      <c r="D35" s="6" t="s">
        <v>96</v>
      </c>
      <c r="E35" s="7" t="s">
        <v>159</v>
      </c>
      <c r="F35" s="4" t="s">
        <v>13</v>
      </c>
      <c r="G35" s="4">
        <v>304</v>
      </c>
      <c r="H35" s="8">
        <v>785</v>
      </c>
      <c r="I35" s="9"/>
      <c r="J35" s="8">
        <f t="shared" si="2"/>
        <v>785</v>
      </c>
    </row>
    <row r="36" spans="1:10" ht="19.95" customHeight="1" x14ac:dyDescent="0.3">
      <c r="A36" s="4">
        <v>250055</v>
      </c>
      <c r="B36" s="4">
        <v>304</v>
      </c>
      <c r="C36" s="6">
        <v>0.7</v>
      </c>
      <c r="D36" s="6" t="s">
        <v>96</v>
      </c>
      <c r="E36" s="7" t="s">
        <v>159</v>
      </c>
      <c r="F36" s="4" t="s">
        <v>13</v>
      </c>
      <c r="G36" s="4">
        <v>304</v>
      </c>
      <c r="H36" s="8">
        <v>815</v>
      </c>
      <c r="I36" s="9"/>
      <c r="J36" s="8">
        <f t="shared" si="2"/>
        <v>815</v>
      </c>
    </row>
    <row r="37" spans="1:10" ht="19.95" customHeight="1" x14ac:dyDescent="0.3">
      <c r="A37" s="4">
        <v>250057</v>
      </c>
      <c r="B37" s="4">
        <v>304</v>
      </c>
      <c r="C37" s="6">
        <v>0.7</v>
      </c>
      <c r="D37" s="6" t="s">
        <v>96</v>
      </c>
      <c r="E37" s="7" t="s">
        <v>159</v>
      </c>
      <c r="F37" s="4" t="s">
        <v>13</v>
      </c>
      <c r="G37" s="4">
        <v>304</v>
      </c>
      <c r="H37" s="8">
        <v>395</v>
      </c>
      <c r="I37" s="9"/>
      <c r="J37" s="8">
        <f t="shared" si="2"/>
        <v>395</v>
      </c>
    </row>
    <row r="38" spans="1:10" ht="19.95" customHeight="1" x14ac:dyDescent="0.3">
      <c r="A38" s="4">
        <v>250061</v>
      </c>
      <c r="B38" s="4">
        <v>304</v>
      </c>
      <c r="C38" s="6">
        <v>0.7</v>
      </c>
      <c r="D38" s="6" t="s">
        <v>96</v>
      </c>
      <c r="E38" s="7" t="s">
        <v>159</v>
      </c>
      <c r="F38" s="4" t="s">
        <v>13</v>
      </c>
      <c r="G38" s="4">
        <v>304</v>
      </c>
      <c r="H38" s="8">
        <v>525</v>
      </c>
      <c r="I38" s="9"/>
      <c r="J38" s="8">
        <f t="shared" si="2"/>
        <v>525</v>
      </c>
    </row>
    <row r="39" spans="1:10" ht="19.95" customHeight="1" x14ac:dyDescent="0.3">
      <c r="A39" s="4">
        <v>250052</v>
      </c>
      <c r="B39" s="4">
        <v>304</v>
      </c>
      <c r="C39" s="6">
        <v>1</v>
      </c>
      <c r="D39" s="6" t="s">
        <v>96</v>
      </c>
      <c r="E39" s="7" t="s">
        <v>160</v>
      </c>
      <c r="F39" s="4" t="s">
        <v>13</v>
      </c>
      <c r="G39" s="4">
        <v>304</v>
      </c>
      <c r="H39" s="8">
        <v>15</v>
      </c>
      <c r="I39" s="9"/>
      <c r="J39" s="8">
        <f t="shared" si="2"/>
        <v>15</v>
      </c>
    </row>
    <row r="40" spans="1:10" ht="19.95" customHeight="1" x14ac:dyDescent="0.3">
      <c r="A40" s="4">
        <v>250055</v>
      </c>
      <c r="B40" s="4">
        <v>304</v>
      </c>
      <c r="C40" s="6">
        <v>1</v>
      </c>
      <c r="D40" s="6" t="s">
        <v>96</v>
      </c>
      <c r="E40" s="7" t="s">
        <v>160</v>
      </c>
      <c r="F40" s="4" t="s">
        <v>13</v>
      </c>
      <c r="G40" s="4">
        <v>304</v>
      </c>
      <c r="H40" s="8">
        <v>15</v>
      </c>
      <c r="I40" s="9"/>
      <c r="J40" s="8">
        <f t="shared" si="2"/>
        <v>15</v>
      </c>
    </row>
    <row r="41" spans="1:10" ht="19.95" customHeight="1" x14ac:dyDescent="0.3">
      <c r="A41" s="4">
        <v>250057</v>
      </c>
      <c r="B41" s="4">
        <v>304</v>
      </c>
      <c r="C41" s="6">
        <v>1</v>
      </c>
      <c r="D41" s="6" t="s">
        <v>96</v>
      </c>
      <c r="E41" s="7" t="s">
        <v>160</v>
      </c>
      <c r="F41" s="4" t="s">
        <v>13</v>
      </c>
      <c r="G41" s="4">
        <v>304</v>
      </c>
      <c r="H41" s="8">
        <v>15</v>
      </c>
      <c r="I41" s="9"/>
      <c r="J41" s="8">
        <f t="shared" si="2"/>
        <v>15</v>
      </c>
    </row>
    <row r="42" spans="1:10" ht="19.95" customHeight="1" x14ac:dyDescent="0.3">
      <c r="A42" s="4">
        <v>250061</v>
      </c>
      <c r="B42" s="4">
        <v>304</v>
      </c>
      <c r="C42" s="6">
        <v>1</v>
      </c>
      <c r="D42" s="6" t="s">
        <v>96</v>
      </c>
      <c r="E42" s="7" t="s">
        <v>160</v>
      </c>
      <c r="F42" s="4" t="s">
        <v>13</v>
      </c>
      <c r="G42" s="4">
        <v>304</v>
      </c>
      <c r="H42" s="8">
        <v>15</v>
      </c>
      <c r="I42" s="9"/>
      <c r="J42" s="8">
        <f t="shared" si="2"/>
        <v>15</v>
      </c>
    </row>
    <row r="43" spans="1:10" ht="19.95" customHeight="1" x14ac:dyDescent="0.3">
      <c r="A43" s="4">
        <v>250055</v>
      </c>
      <c r="B43" s="4">
        <v>304</v>
      </c>
      <c r="C43" s="6">
        <v>0.7</v>
      </c>
      <c r="D43" s="6" t="s">
        <v>96</v>
      </c>
      <c r="E43" s="7" t="s">
        <v>161</v>
      </c>
      <c r="F43" s="4" t="s">
        <v>13</v>
      </c>
      <c r="G43" s="4">
        <v>304</v>
      </c>
      <c r="H43" s="8">
        <v>815</v>
      </c>
      <c r="I43" s="9"/>
      <c r="J43" s="8">
        <f t="shared" si="2"/>
        <v>815</v>
      </c>
    </row>
    <row r="44" spans="1:10" ht="19.95" customHeight="1" x14ac:dyDescent="0.3">
      <c r="A44" s="4">
        <v>250057</v>
      </c>
      <c r="B44" s="4">
        <v>304</v>
      </c>
      <c r="C44" s="6">
        <v>0.7</v>
      </c>
      <c r="D44" s="6" t="s">
        <v>96</v>
      </c>
      <c r="E44" s="7" t="s">
        <v>161</v>
      </c>
      <c r="F44" s="4" t="s">
        <v>13</v>
      </c>
      <c r="G44" s="4">
        <v>304</v>
      </c>
      <c r="H44" s="8">
        <v>395</v>
      </c>
      <c r="I44" s="9"/>
      <c r="J44" s="8">
        <f t="shared" si="2"/>
        <v>395</v>
      </c>
    </row>
    <row r="45" spans="1:10" ht="19.95" customHeight="1" x14ac:dyDescent="0.3">
      <c r="A45" s="4">
        <v>250061</v>
      </c>
      <c r="B45" s="4">
        <v>304</v>
      </c>
      <c r="C45" s="6">
        <v>0.7</v>
      </c>
      <c r="D45" s="6" t="s">
        <v>96</v>
      </c>
      <c r="E45" s="7" t="s">
        <v>161</v>
      </c>
      <c r="F45" s="4" t="s">
        <v>13</v>
      </c>
      <c r="G45" s="4">
        <v>304</v>
      </c>
      <c r="H45" s="8">
        <v>525</v>
      </c>
      <c r="I45" s="9"/>
      <c r="J45" s="8">
        <f t="shared" si="2"/>
        <v>525</v>
      </c>
    </row>
    <row r="46" spans="1:10" ht="19.95" customHeight="1" x14ac:dyDescent="0.3">
      <c r="A46" s="4">
        <v>250055</v>
      </c>
      <c r="B46" s="4">
        <v>304</v>
      </c>
      <c r="C46" s="6">
        <v>1</v>
      </c>
      <c r="D46" s="6" t="s">
        <v>96</v>
      </c>
      <c r="E46" s="7" t="s">
        <v>162</v>
      </c>
      <c r="F46" s="4" t="s">
        <v>13</v>
      </c>
      <c r="G46" s="4">
        <v>304</v>
      </c>
      <c r="H46" s="8">
        <v>15</v>
      </c>
      <c r="I46" s="9"/>
      <c r="J46" s="8">
        <f t="shared" si="2"/>
        <v>15</v>
      </c>
    </row>
    <row r="47" spans="1:10" ht="19.95" customHeight="1" x14ac:dyDescent="0.3">
      <c r="A47" s="4">
        <v>250057</v>
      </c>
      <c r="B47" s="4">
        <v>304</v>
      </c>
      <c r="C47" s="6">
        <v>1</v>
      </c>
      <c r="D47" s="6" t="s">
        <v>96</v>
      </c>
      <c r="E47" s="7" t="s">
        <v>162</v>
      </c>
      <c r="F47" s="4" t="s">
        <v>13</v>
      </c>
      <c r="G47" s="4">
        <v>304</v>
      </c>
      <c r="H47" s="8">
        <v>15</v>
      </c>
      <c r="I47" s="9"/>
      <c r="J47" s="8">
        <f t="shared" si="2"/>
        <v>15</v>
      </c>
    </row>
    <row r="48" spans="1:10" ht="19.95" customHeight="1" x14ac:dyDescent="0.3">
      <c r="A48" s="4">
        <v>250061</v>
      </c>
      <c r="B48" s="4">
        <v>304</v>
      </c>
      <c r="C48" s="6">
        <v>1</v>
      </c>
      <c r="D48" s="6" t="s">
        <v>96</v>
      </c>
      <c r="E48" s="7" t="s">
        <v>162</v>
      </c>
      <c r="F48" s="4" t="s">
        <v>13</v>
      </c>
      <c r="G48" s="4">
        <v>304</v>
      </c>
      <c r="H48" s="8">
        <v>15</v>
      </c>
      <c r="I48" s="9"/>
      <c r="J48" s="8">
        <f t="shared" si="2"/>
        <v>15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2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SUM(H33:H49)</f>
        <v>4900</v>
      </c>
      <c r="I50" s="9">
        <f>SUM(I33:I49)</f>
        <v>0</v>
      </c>
      <c r="J50" s="8">
        <f>SUM(J33:J49)</f>
        <v>4900</v>
      </c>
    </row>
    <row r="52" spans="1:10" ht="30" customHeight="1" x14ac:dyDescent="0.3">
      <c r="A52" s="94" t="s">
        <v>20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230925</v>
      </c>
      <c r="B54" s="4">
        <v>430</v>
      </c>
      <c r="C54" s="6">
        <v>0.8</v>
      </c>
      <c r="D54" s="6" t="s">
        <v>11</v>
      </c>
      <c r="E54" s="7" t="s">
        <v>163</v>
      </c>
      <c r="F54" s="4" t="s">
        <v>41</v>
      </c>
      <c r="G54" s="4">
        <v>430</v>
      </c>
      <c r="H54" s="8">
        <v>4500</v>
      </c>
      <c r="I54" s="9"/>
      <c r="J54" s="8">
        <f t="shared" ref="J54:J55" si="3">H54-I54</f>
        <v>4500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3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8">
        <f>SUM(H54:H55)</f>
        <v>4500</v>
      </c>
      <c r="I56" s="9">
        <f>SUM(I54:I55)</f>
        <v>0</v>
      </c>
      <c r="J56" s="8">
        <f>SUM(J54:J55)</f>
        <v>4500</v>
      </c>
    </row>
    <row r="57" spans="1:10" ht="19.95" customHeight="1" x14ac:dyDescent="0.3">
      <c r="A57" s="15"/>
      <c r="B57" s="15"/>
      <c r="C57" s="15"/>
      <c r="D57" s="15"/>
      <c r="E57" s="16"/>
      <c r="F57" s="15"/>
      <c r="G57" s="15"/>
      <c r="H57" s="17"/>
      <c r="I57" s="18"/>
      <c r="J57" s="17"/>
    </row>
    <row r="58" spans="1:10" ht="30" customHeight="1" x14ac:dyDescent="0.3">
      <c r="A58" s="94" t="s">
        <v>19</v>
      </c>
      <c r="B58" s="94"/>
      <c r="C58" s="94"/>
      <c r="D58" s="94"/>
      <c r="E58" s="94"/>
      <c r="F58" s="94"/>
      <c r="G58" s="94"/>
      <c r="H58" s="94"/>
      <c r="I58" s="94"/>
      <c r="J58" s="94"/>
    </row>
    <row r="59" spans="1:10" ht="30" customHeight="1" x14ac:dyDescent="0.3">
      <c r="A59" s="4" t="s">
        <v>1</v>
      </c>
      <c r="B59" s="4" t="s">
        <v>2</v>
      </c>
      <c r="C59" s="5" t="s">
        <v>3</v>
      </c>
      <c r="D59" s="5" t="s">
        <v>4</v>
      </c>
      <c r="E59" s="4" t="s">
        <v>5</v>
      </c>
      <c r="F59" s="5" t="s">
        <v>6</v>
      </c>
      <c r="G59" s="5" t="s">
        <v>7</v>
      </c>
      <c r="H59" s="4" t="s">
        <v>8</v>
      </c>
      <c r="I59" s="4" t="s">
        <v>9</v>
      </c>
      <c r="J59" s="4" t="s">
        <v>10</v>
      </c>
    </row>
    <row r="60" spans="1:10" ht="19.95" customHeight="1" x14ac:dyDescent="0.3">
      <c r="A60" s="4">
        <v>230925</v>
      </c>
      <c r="B60" s="4">
        <v>430</v>
      </c>
      <c r="C60" s="6">
        <v>0.8</v>
      </c>
      <c r="D60" s="6" t="s">
        <v>11</v>
      </c>
      <c r="E60" s="7" t="s">
        <v>163</v>
      </c>
      <c r="F60" s="4" t="s">
        <v>41</v>
      </c>
      <c r="G60" s="4">
        <v>430</v>
      </c>
      <c r="H60" s="8">
        <v>1500</v>
      </c>
      <c r="I60" s="9"/>
      <c r="J60" s="8">
        <f t="shared" ref="J60:J71" si="4">H60-I60</f>
        <v>1500</v>
      </c>
    </row>
    <row r="61" spans="1:10" ht="19.95" customHeight="1" x14ac:dyDescent="0.3">
      <c r="A61" s="4">
        <v>250052</v>
      </c>
      <c r="B61" s="4">
        <v>304</v>
      </c>
      <c r="C61" s="6">
        <v>0.7</v>
      </c>
      <c r="D61" s="6" t="s">
        <v>11</v>
      </c>
      <c r="E61" s="7" t="s">
        <v>164</v>
      </c>
      <c r="F61" s="4" t="s">
        <v>13</v>
      </c>
      <c r="G61" s="4">
        <v>304</v>
      </c>
      <c r="H61" s="8">
        <v>785</v>
      </c>
      <c r="I61" s="9"/>
      <c r="J61" s="8">
        <f t="shared" si="4"/>
        <v>785</v>
      </c>
    </row>
    <row r="62" spans="1:10" ht="19.95" customHeight="1" x14ac:dyDescent="0.3">
      <c r="A62" s="4">
        <v>250055</v>
      </c>
      <c r="B62" s="4">
        <v>304</v>
      </c>
      <c r="C62" s="6">
        <v>0.7</v>
      </c>
      <c r="D62" s="6" t="s">
        <v>11</v>
      </c>
      <c r="E62" s="7" t="s">
        <v>164</v>
      </c>
      <c r="F62" s="4" t="s">
        <v>13</v>
      </c>
      <c r="G62" s="4">
        <v>304</v>
      </c>
      <c r="H62" s="8">
        <v>815</v>
      </c>
      <c r="I62" s="9"/>
      <c r="J62" s="8">
        <f t="shared" si="4"/>
        <v>815</v>
      </c>
    </row>
    <row r="63" spans="1:10" ht="19.95" customHeight="1" x14ac:dyDescent="0.3">
      <c r="A63" s="4">
        <v>250057</v>
      </c>
      <c r="B63" s="4">
        <v>304</v>
      </c>
      <c r="C63" s="6">
        <v>0.7</v>
      </c>
      <c r="D63" s="6" t="s">
        <v>11</v>
      </c>
      <c r="E63" s="7" t="s">
        <v>164</v>
      </c>
      <c r="F63" s="4" t="s">
        <v>13</v>
      </c>
      <c r="G63" s="4">
        <v>304</v>
      </c>
      <c r="H63" s="8">
        <v>395</v>
      </c>
      <c r="I63" s="9"/>
      <c r="J63" s="8">
        <f t="shared" si="4"/>
        <v>395</v>
      </c>
    </row>
    <row r="64" spans="1:10" ht="19.95" customHeight="1" x14ac:dyDescent="0.3">
      <c r="A64" s="4">
        <v>250061</v>
      </c>
      <c r="B64" s="4">
        <v>304</v>
      </c>
      <c r="C64" s="6">
        <v>0.7</v>
      </c>
      <c r="D64" s="6" t="s">
        <v>11</v>
      </c>
      <c r="E64" s="7" t="s">
        <v>164</v>
      </c>
      <c r="F64" s="4" t="s">
        <v>13</v>
      </c>
      <c r="G64" s="4">
        <v>304</v>
      </c>
      <c r="H64" s="8">
        <v>525</v>
      </c>
      <c r="I64" s="9"/>
      <c r="J64" s="8">
        <f t="shared" si="4"/>
        <v>525</v>
      </c>
    </row>
    <row r="65" spans="1:10" ht="19.95" customHeight="1" x14ac:dyDescent="0.3">
      <c r="A65" s="4">
        <v>250052</v>
      </c>
      <c r="B65" s="4">
        <v>304</v>
      </c>
      <c r="C65" s="6">
        <v>1</v>
      </c>
      <c r="D65" s="6" t="s">
        <v>11</v>
      </c>
      <c r="E65" s="7" t="s">
        <v>165</v>
      </c>
      <c r="F65" s="4" t="s">
        <v>13</v>
      </c>
      <c r="G65" s="4">
        <v>304</v>
      </c>
      <c r="H65" s="8">
        <v>15</v>
      </c>
      <c r="I65" s="9"/>
      <c r="J65" s="8">
        <f t="shared" si="4"/>
        <v>15</v>
      </c>
    </row>
    <row r="66" spans="1:10" ht="19.95" customHeight="1" x14ac:dyDescent="0.3">
      <c r="A66" s="4">
        <v>250055</v>
      </c>
      <c r="B66" s="4">
        <v>304</v>
      </c>
      <c r="C66" s="6">
        <v>1</v>
      </c>
      <c r="D66" s="6" t="s">
        <v>11</v>
      </c>
      <c r="E66" s="7" t="s">
        <v>165</v>
      </c>
      <c r="F66" s="4" t="s">
        <v>13</v>
      </c>
      <c r="G66" s="4">
        <v>304</v>
      </c>
      <c r="H66" s="8">
        <v>15</v>
      </c>
      <c r="I66" s="9"/>
      <c r="J66" s="8">
        <f t="shared" si="4"/>
        <v>15</v>
      </c>
    </row>
    <row r="67" spans="1:10" ht="19.95" customHeight="1" x14ac:dyDescent="0.3">
      <c r="A67" s="4">
        <v>250057</v>
      </c>
      <c r="B67" s="4">
        <v>304</v>
      </c>
      <c r="C67" s="6">
        <v>1</v>
      </c>
      <c r="D67" s="6" t="s">
        <v>11</v>
      </c>
      <c r="E67" s="7" t="s">
        <v>165</v>
      </c>
      <c r="F67" s="4" t="s">
        <v>13</v>
      </c>
      <c r="G67" s="4">
        <v>304</v>
      </c>
      <c r="H67" s="8">
        <v>15</v>
      </c>
      <c r="I67" s="9"/>
      <c r="J67" s="8">
        <f t="shared" si="4"/>
        <v>15</v>
      </c>
    </row>
    <row r="68" spans="1:10" ht="19.95" customHeight="1" x14ac:dyDescent="0.3">
      <c r="A68" s="4">
        <v>250061</v>
      </c>
      <c r="B68" s="4">
        <v>304</v>
      </c>
      <c r="C68" s="6">
        <v>1</v>
      </c>
      <c r="D68" s="6" t="s">
        <v>11</v>
      </c>
      <c r="E68" s="7" t="s">
        <v>165</v>
      </c>
      <c r="F68" s="4" t="s">
        <v>13</v>
      </c>
      <c r="G68" s="4">
        <v>304</v>
      </c>
      <c r="H68" s="8">
        <v>15</v>
      </c>
      <c r="I68" s="9"/>
      <c r="J68" s="8">
        <f t="shared" si="4"/>
        <v>15</v>
      </c>
    </row>
    <row r="69" spans="1:10" ht="19.95" customHeight="1" x14ac:dyDescent="0.3">
      <c r="A69" s="4">
        <v>250057</v>
      </c>
      <c r="B69" s="4">
        <v>304</v>
      </c>
      <c r="C69" s="6">
        <v>0.7</v>
      </c>
      <c r="D69" s="6" t="s">
        <v>11</v>
      </c>
      <c r="E69" s="7" t="s">
        <v>166</v>
      </c>
      <c r="F69" s="4" t="s">
        <v>13</v>
      </c>
      <c r="G69" s="4">
        <v>304</v>
      </c>
      <c r="H69" s="8">
        <v>395</v>
      </c>
      <c r="I69" s="9"/>
      <c r="J69" s="8">
        <f t="shared" si="4"/>
        <v>395</v>
      </c>
    </row>
    <row r="70" spans="1:10" ht="19.95" customHeight="1" x14ac:dyDescent="0.3">
      <c r="A70" s="4">
        <v>250057</v>
      </c>
      <c r="B70" s="4">
        <v>304</v>
      </c>
      <c r="C70" s="6">
        <v>1</v>
      </c>
      <c r="D70" s="6" t="s">
        <v>11</v>
      </c>
      <c r="E70" s="7" t="s">
        <v>167</v>
      </c>
      <c r="F70" s="4" t="s">
        <v>13</v>
      </c>
      <c r="G70" s="4">
        <v>304</v>
      </c>
      <c r="H70" s="8">
        <v>15</v>
      </c>
      <c r="I70" s="9"/>
      <c r="J70" s="8">
        <f t="shared" si="4"/>
        <v>15</v>
      </c>
    </row>
    <row r="71" spans="1:10" ht="19.95" customHeight="1" x14ac:dyDescent="0.3">
      <c r="A71" s="4"/>
      <c r="B71" s="4"/>
      <c r="C71" s="6"/>
      <c r="D71" s="6"/>
      <c r="E71" s="7"/>
      <c r="F71" s="4"/>
      <c r="G71" s="4"/>
      <c r="H71" s="8"/>
      <c r="I71" s="9"/>
      <c r="J71" s="8">
        <f t="shared" si="4"/>
        <v>0</v>
      </c>
    </row>
    <row r="72" spans="1:10" ht="19.95" customHeight="1" x14ac:dyDescent="0.3">
      <c r="A72" s="10"/>
      <c r="B72" s="10"/>
      <c r="C72" s="10"/>
      <c r="D72" s="10"/>
      <c r="E72" s="11"/>
      <c r="F72" s="10"/>
      <c r="G72" s="12"/>
      <c r="H72" s="8">
        <f>SUM(H60:H71)</f>
        <v>4490</v>
      </c>
      <c r="I72" s="9">
        <f>SUM(I60:I71)</f>
        <v>0</v>
      </c>
      <c r="J72" s="8">
        <f>SUM(J60:J71)</f>
        <v>4490</v>
      </c>
    </row>
    <row r="73" spans="1:10" ht="19.95" customHeight="1" x14ac:dyDescent="0.3">
      <c r="A73" s="15"/>
      <c r="B73" s="15"/>
      <c r="C73" s="15"/>
      <c r="D73" s="15"/>
      <c r="E73" s="16"/>
      <c r="F73" s="15"/>
      <c r="G73" s="15"/>
      <c r="H73" s="17"/>
      <c r="I73" s="18"/>
      <c r="J73" s="17"/>
    </row>
    <row r="74" spans="1:10" ht="30" customHeight="1" x14ac:dyDescent="0.3">
      <c r="A74" s="94" t="s">
        <v>23</v>
      </c>
      <c r="B74" s="94"/>
      <c r="C74" s="94"/>
      <c r="D74" s="94"/>
      <c r="E74" s="94"/>
      <c r="F74" s="94"/>
      <c r="G74" s="94"/>
      <c r="H74" s="94"/>
      <c r="I74" s="94"/>
      <c r="J74" s="94"/>
    </row>
    <row r="75" spans="1:10" ht="30" customHeight="1" x14ac:dyDescent="0.3">
      <c r="A75" s="4" t="s">
        <v>1</v>
      </c>
      <c r="B75" s="4" t="s">
        <v>2</v>
      </c>
      <c r="C75" s="5" t="s">
        <v>3</v>
      </c>
      <c r="D75" s="5" t="s">
        <v>4</v>
      </c>
      <c r="E75" s="4" t="s">
        <v>5</v>
      </c>
      <c r="F75" s="5" t="s">
        <v>6</v>
      </c>
      <c r="G75" s="5" t="s">
        <v>7</v>
      </c>
      <c r="H75" s="4" t="s">
        <v>8</v>
      </c>
      <c r="I75" s="4" t="s">
        <v>9</v>
      </c>
      <c r="J75" s="4" t="s">
        <v>10</v>
      </c>
    </row>
    <row r="76" spans="1:10" ht="19.95" customHeight="1" x14ac:dyDescent="0.3">
      <c r="A76" s="4">
        <v>250052</v>
      </c>
      <c r="B76" s="4">
        <v>304</v>
      </c>
      <c r="C76" s="6">
        <v>0.7</v>
      </c>
      <c r="D76" s="6" t="s">
        <v>11</v>
      </c>
      <c r="E76" s="7" t="s">
        <v>168</v>
      </c>
      <c r="F76" s="4" t="s">
        <v>13</v>
      </c>
      <c r="G76" s="4">
        <v>304</v>
      </c>
      <c r="H76" s="8">
        <v>785</v>
      </c>
      <c r="I76" s="9"/>
      <c r="J76" s="8">
        <f t="shared" ref="J76:J90" si="5">H76-I76</f>
        <v>785</v>
      </c>
    </row>
    <row r="77" spans="1:10" ht="19.95" customHeight="1" x14ac:dyDescent="0.3">
      <c r="A77" s="4">
        <v>250052</v>
      </c>
      <c r="B77" s="4">
        <v>304</v>
      </c>
      <c r="C77" s="6">
        <v>1</v>
      </c>
      <c r="D77" s="6" t="s">
        <v>11</v>
      </c>
      <c r="E77" s="7" t="s">
        <v>168</v>
      </c>
      <c r="F77" s="4" t="s">
        <v>13</v>
      </c>
      <c r="G77" s="4">
        <v>304</v>
      </c>
      <c r="H77" s="8">
        <v>15</v>
      </c>
      <c r="I77" s="9"/>
      <c r="J77" s="8">
        <f t="shared" si="5"/>
        <v>15</v>
      </c>
    </row>
    <row r="78" spans="1:10" ht="19.95" customHeight="1" x14ac:dyDescent="0.3">
      <c r="A78" s="4">
        <v>250057</v>
      </c>
      <c r="B78" s="4">
        <v>304</v>
      </c>
      <c r="C78" s="6">
        <v>0.7</v>
      </c>
      <c r="D78" s="6" t="s">
        <v>11</v>
      </c>
      <c r="E78" s="7" t="s">
        <v>169</v>
      </c>
      <c r="F78" s="4" t="s">
        <v>170</v>
      </c>
      <c r="G78" s="4">
        <v>304</v>
      </c>
      <c r="H78" s="8">
        <v>395</v>
      </c>
      <c r="I78" s="9"/>
      <c r="J78" s="8">
        <f t="shared" si="5"/>
        <v>395</v>
      </c>
    </row>
    <row r="79" spans="1:10" ht="19.95" customHeight="1" x14ac:dyDescent="0.3">
      <c r="A79" s="4">
        <v>250061</v>
      </c>
      <c r="B79" s="4">
        <v>304</v>
      </c>
      <c r="C79" s="6">
        <v>0.7</v>
      </c>
      <c r="D79" s="6" t="s">
        <v>11</v>
      </c>
      <c r="E79" s="7" t="s">
        <v>169</v>
      </c>
      <c r="F79" s="4" t="s">
        <v>171</v>
      </c>
      <c r="G79" s="4">
        <v>304</v>
      </c>
      <c r="H79" s="8">
        <v>525</v>
      </c>
      <c r="I79" s="9"/>
      <c r="J79" s="8">
        <f t="shared" si="5"/>
        <v>525</v>
      </c>
    </row>
    <row r="80" spans="1:10" ht="19.95" customHeight="1" x14ac:dyDescent="0.3">
      <c r="A80" s="4">
        <v>250057</v>
      </c>
      <c r="B80" s="4">
        <v>304</v>
      </c>
      <c r="C80" s="6">
        <v>1</v>
      </c>
      <c r="D80" s="6" t="s">
        <v>11</v>
      </c>
      <c r="E80" s="7" t="s">
        <v>169</v>
      </c>
      <c r="F80" s="4" t="s">
        <v>170</v>
      </c>
      <c r="G80" s="4">
        <v>304</v>
      </c>
      <c r="H80" s="8">
        <v>15</v>
      </c>
      <c r="I80" s="9"/>
      <c r="J80" s="8">
        <f t="shared" si="5"/>
        <v>15</v>
      </c>
    </row>
    <row r="81" spans="1:10" ht="19.95" customHeight="1" x14ac:dyDescent="0.3">
      <c r="A81" s="4">
        <v>250061</v>
      </c>
      <c r="B81" s="4">
        <v>304</v>
      </c>
      <c r="C81" s="6">
        <v>1</v>
      </c>
      <c r="D81" s="6" t="s">
        <v>11</v>
      </c>
      <c r="E81" s="7" t="s">
        <v>169</v>
      </c>
      <c r="F81" s="4" t="s">
        <v>171</v>
      </c>
      <c r="G81" s="4">
        <v>304</v>
      </c>
      <c r="H81" s="8">
        <v>15</v>
      </c>
      <c r="I81" s="9"/>
      <c r="J81" s="8">
        <f t="shared" si="5"/>
        <v>15</v>
      </c>
    </row>
    <row r="82" spans="1:10" ht="19.95" customHeight="1" x14ac:dyDescent="0.3">
      <c r="A82" s="4">
        <v>250057</v>
      </c>
      <c r="B82" s="4">
        <v>304</v>
      </c>
      <c r="C82" s="6">
        <v>0.7</v>
      </c>
      <c r="D82" s="6" t="s">
        <v>11</v>
      </c>
      <c r="E82" s="7" t="s">
        <v>172</v>
      </c>
      <c r="F82" s="4" t="s">
        <v>13</v>
      </c>
      <c r="G82" s="4">
        <v>304</v>
      </c>
      <c r="H82" s="8">
        <v>395</v>
      </c>
      <c r="I82" s="9"/>
      <c r="J82" s="8">
        <f t="shared" si="5"/>
        <v>395</v>
      </c>
    </row>
    <row r="83" spans="1:10" ht="19.95" customHeight="1" x14ac:dyDescent="0.3">
      <c r="A83" s="4">
        <v>250057</v>
      </c>
      <c r="B83" s="4">
        <v>304</v>
      </c>
      <c r="C83" s="6">
        <v>1</v>
      </c>
      <c r="D83" s="6" t="s">
        <v>11</v>
      </c>
      <c r="E83" s="7" t="s">
        <v>173</v>
      </c>
      <c r="F83" s="4" t="s">
        <v>174</v>
      </c>
      <c r="G83" s="4">
        <v>304</v>
      </c>
      <c r="H83" s="8">
        <v>15</v>
      </c>
      <c r="I83" s="9"/>
      <c r="J83" s="8">
        <f t="shared" si="5"/>
        <v>15</v>
      </c>
    </row>
    <row r="84" spans="1:10" ht="19.95" customHeight="1" x14ac:dyDescent="0.3">
      <c r="A84" s="4">
        <v>250057</v>
      </c>
      <c r="B84" s="4">
        <v>304</v>
      </c>
      <c r="C84" s="6">
        <v>0.7</v>
      </c>
      <c r="D84" s="6" t="s">
        <v>55</v>
      </c>
      <c r="E84" s="7" t="s">
        <v>175</v>
      </c>
      <c r="F84" s="4" t="s">
        <v>52</v>
      </c>
      <c r="G84" s="4">
        <v>304</v>
      </c>
      <c r="H84" s="8">
        <v>395</v>
      </c>
      <c r="I84" s="9"/>
      <c r="J84" s="8">
        <f t="shared" si="5"/>
        <v>395</v>
      </c>
    </row>
    <row r="85" spans="1:10" ht="19.95" customHeight="1" x14ac:dyDescent="0.3">
      <c r="A85" s="4">
        <v>250057</v>
      </c>
      <c r="B85" s="4">
        <v>304</v>
      </c>
      <c r="C85" s="6">
        <v>1</v>
      </c>
      <c r="D85" s="6" t="s">
        <v>55</v>
      </c>
      <c r="E85" s="7" t="s">
        <v>175</v>
      </c>
      <c r="F85" s="4" t="s">
        <v>52</v>
      </c>
      <c r="G85" s="4">
        <v>304</v>
      </c>
      <c r="H85" s="8">
        <v>15</v>
      </c>
      <c r="I85" s="9"/>
      <c r="J85" s="8">
        <f t="shared" si="5"/>
        <v>15</v>
      </c>
    </row>
    <row r="86" spans="1:10" ht="19.95" customHeight="1" x14ac:dyDescent="0.3">
      <c r="A86" s="4">
        <v>160925</v>
      </c>
      <c r="B86" s="4">
        <v>304</v>
      </c>
      <c r="C86" s="6">
        <v>0.9</v>
      </c>
      <c r="D86" s="6" t="s">
        <v>55</v>
      </c>
      <c r="E86" s="7" t="s">
        <v>176</v>
      </c>
      <c r="F86" s="4" t="s">
        <v>177</v>
      </c>
      <c r="G86" s="4">
        <v>430</v>
      </c>
      <c r="H86" s="8">
        <v>1100</v>
      </c>
      <c r="I86" s="9"/>
      <c r="J86" s="8">
        <f t="shared" si="5"/>
        <v>1100</v>
      </c>
    </row>
    <row r="87" spans="1:10" ht="19.95" customHeight="1" x14ac:dyDescent="0.3">
      <c r="A87" s="4">
        <v>250042</v>
      </c>
      <c r="B87" s="4">
        <v>304</v>
      </c>
      <c r="C87" s="6">
        <v>0.9</v>
      </c>
      <c r="D87" s="6" t="s">
        <v>55</v>
      </c>
      <c r="E87" s="7" t="s">
        <v>178</v>
      </c>
      <c r="F87" s="4" t="s">
        <v>177</v>
      </c>
      <c r="G87" s="4">
        <v>304</v>
      </c>
      <c r="H87" s="8">
        <v>750</v>
      </c>
      <c r="I87" s="9"/>
      <c r="J87" s="8">
        <f t="shared" si="5"/>
        <v>750</v>
      </c>
    </row>
    <row r="88" spans="1:10" ht="19.95" customHeight="1" x14ac:dyDescent="0.3">
      <c r="A88" s="4">
        <v>250042</v>
      </c>
      <c r="B88" s="4">
        <v>304</v>
      </c>
      <c r="C88" s="6">
        <v>0.9</v>
      </c>
      <c r="D88" s="6" t="s">
        <v>55</v>
      </c>
      <c r="E88" s="7" t="s">
        <v>179</v>
      </c>
      <c r="F88" s="4" t="s">
        <v>177</v>
      </c>
      <c r="G88" s="4">
        <v>304</v>
      </c>
      <c r="H88" s="8">
        <v>750</v>
      </c>
      <c r="I88" s="9"/>
      <c r="J88" s="8">
        <f t="shared" si="5"/>
        <v>750</v>
      </c>
    </row>
    <row r="89" spans="1:10" ht="19.95" customHeight="1" x14ac:dyDescent="0.3">
      <c r="A89" s="4">
        <v>250042</v>
      </c>
      <c r="B89" s="4">
        <v>304</v>
      </c>
      <c r="C89" s="6">
        <v>0.9</v>
      </c>
      <c r="D89" s="6" t="s">
        <v>55</v>
      </c>
      <c r="E89" s="7" t="s">
        <v>180</v>
      </c>
      <c r="F89" s="4" t="s">
        <v>177</v>
      </c>
      <c r="G89" s="4">
        <v>304</v>
      </c>
      <c r="H89" s="8">
        <v>750</v>
      </c>
      <c r="I89" s="9"/>
      <c r="J89" s="8">
        <f t="shared" si="5"/>
        <v>750</v>
      </c>
    </row>
    <row r="90" spans="1:10" ht="19.95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customHeight="1" x14ac:dyDescent="0.3">
      <c r="A91" s="10"/>
      <c r="B91" s="10"/>
      <c r="C91" s="10"/>
      <c r="D91" s="10"/>
      <c r="E91" s="11"/>
      <c r="F91" s="10"/>
      <c r="G91" s="12"/>
      <c r="H91" s="8">
        <f>SUM(H76:H90)</f>
        <v>5920</v>
      </c>
      <c r="I91" s="9">
        <f>SUM(I76:I90)</f>
        <v>0</v>
      </c>
      <c r="J91" s="8">
        <f>SUM(J76:J90)</f>
        <v>5920</v>
      </c>
    </row>
    <row r="93" spans="1:10" ht="15.6" x14ac:dyDescent="0.3">
      <c r="H93" s="8">
        <f>H91+H72+H56+H50+H29+H11</f>
        <v>28037</v>
      </c>
      <c r="I93" s="8">
        <f>I91+I72+I56+I50+I29+I11</f>
        <v>4335</v>
      </c>
      <c r="J93" s="8">
        <f>J91+J72+J56+J50+J29+J11</f>
        <v>23702</v>
      </c>
    </row>
    <row r="95" spans="1:10" ht="23.4" x14ac:dyDescent="0.3">
      <c r="A95" s="95" t="s">
        <v>14</v>
      </c>
      <c r="B95" s="95"/>
      <c r="C95" s="95"/>
      <c r="D95" s="95"/>
      <c r="E95" s="95"/>
      <c r="F95" s="95"/>
      <c r="G95" s="95"/>
      <c r="H95" s="95"/>
      <c r="I95" s="95"/>
      <c r="J95" s="95"/>
    </row>
  </sheetData>
  <mergeCells count="9">
    <mergeCell ref="A58:J58"/>
    <mergeCell ref="A74:J74"/>
    <mergeCell ref="A95:J95"/>
    <mergeCell ref="H1:J1"/>
    <mergeCell ref="A2:J2"/>
    <mergeCell ref="A3:J3"/>
    <mergeCell ref="A13:J13"/>
    <mergeCell ref="A31:J31"/>
    <mergeCell ref="A52:J5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zoomScale="85" zoomScaleNormal="85" workbookViewId="0">
      <selection activeCell="I55" sqref="I55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6.664062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149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290925</v>
      </c>
      <c r="B5" s="42">
        <v>304</v>
      </c>
      <c r="C5" s="43">
        <v>0.8</v>
      </c>
      <c r="D5" s="43" t="s">
        <v>43</v>
      </c>
      <c r="E5" s="37" t="s">
        <v>143</v>
      </c>
      <c r="F5" s="42" t="s">
        <v>41</v>
      </c>
      <c r="G5" s="42">
        <v>430</v>
      </c>
      <c r="H5" s="41">
        <v>2687</v>
      </c>
      <c r="I5" s="40">
        <v>2778</v>
      </c>
      <c r="J5" s="32">
        <f t="shared" ref="J5:J10" si="0">H5-I5</f>
        <v>-91</v>
      </c>
    </row>
    <row r="6" spans="1:10" ht="19.95" customHeight="1" x14ac:dyDescent="0.3">
      <c r="A6" s="4">
        <v>250057</v>
      </c>
      <c r="B6" s="4">
        <v>304</v>
      </c>
      <c r="C6" s="6">
        <v>0.7</v>
      </c>
      <c r="D6" s="6" t="s">
        <v>11</v>
      </c>
      <c r="E6" s="7" t="s">
        <v>150</v>
      </c>
      <c r="F6" s="4" t="s">
        <v>13</v>
      </c>
      <c r="G6" s="8">
        <v>304</v>
      </c>
      <c r="H6" s="8">
        <v>395</v>
      </c>
      <c r="I6" s="40">
        <v>400</v>
      </c>
      <c r="J6" s="32">
        <f t="shared" si="0"/>
        <v>-5</v>
      </c>
    </row>
    <row r="7" spans="1:10" ht="19.95" customHeight="1" x14ac:dyDescent="0.3">
      <c r="A7" s="4">
        <v>250061</v>
      </c>
      <c r="B7" s="4">
        <v>304</v>
      </c>
      <c r="C7" s="6">
        <v>0.7</v>
      </c>
      <c r="D7" s="6" t="s">
        <v>11</v>
      </c>
      <c r="E7" s="7" t="s">
        <v>150</v>
      </c>
      <c r="F7" s="4" t="s">
        <v>13</v>
      </c>
      <c r="G7" s="8">
        <v>304</v>
      </c>
      <c r="H7" s="8">
        <v>525</v>
      </c>
      <c r="I7" s="40">
        <v>583</v>
      </c>
      <c r="J7" s="32">
        <f t="shared" si="0"/>
        <v>-58</v>
      </c>
    </row>
    <row r="8" spans="1:10" ht="19.95" customHeight="1" x14ac:dyDescent="0.3">
      <c r="A8" s="4">
        <v>250061</v>
      </c>
      <c r="B8" s="4">
        <v>304</v>
      </c>
      <c r="C8" s="6">
        <v>0.7</v>
      </c>
      <c r="D8" s="6" t="s">
        <v>11</v>
      </c>
      <c r="E8" s="7" t="s">
        <v>151</v>
      </c>
      <c r="F8" s="4" t="s">
        <v>13</v>
      </c>
      <c r="G8" s="8">
        <v>304</v>
      </c>
      <c r="H8" s="8">
        <v>525</v>
      </c>
      <c r="I8" s="40">
        <v>530</v>
      </c>
      <c r="J8" s="32">
        <f t="shared" si="0"/>
        <v>-5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4132</v>
      </c>
      <c r="I11" s="14">
        <f>SUM(I5:I10)</f>
        <v>4291</v>
      </c>
      <c r="J11" s="8">
        <f>SUM(J5:J10)</f>
        <v>-159</v>
      </c>
    </row>
    <row r="13" spans="1:10" ht="30" customHeight="1" x14ac:dyDescent="0.3">
      <c r="A13" s="94" t="s">
        <v>17</v>
      </c>
      <c r="B13" s="94"/>
      <c r="C13" s="94"/>
      <c r="D13" s="94"/>
      <c r="E13" s="94"/>
      <c r="F13" s="94"/>
      <c r="G13" s="94"/>
      <c r="H13" s="94"/>
      <c r="I13" s="94"/>
      <c r="J13" s="94"/>
    </row>
    <row r="14" spans="1:10" ht="30" customHeight="1" x14ac:dyDescent="0.3">
      <c r="A14" s="4" t="s">
        <v>1</v>
      </c>
      <c r="B14" s="4" t="s">
        <v>2</v>
      </c>
      <c r="C14" s="5" t="s">
        <v>3</v>
      </c>
      <c r="D14" s="5" t="s">
        <v>4</v>
      </c>
      <c r="E14" s="4" t="s">
        <v>5</v>
      </c>
      <c r="F14" s="5" t="s">
        <v>6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250057</v>
      </c>
      <c r="B15" s="4">
        <v>304</v>
      </c>
      <c r="C15" s="6">
        <v>0.7</v>
      </c>
      <c r="D15" s="6" t="s">
        <v>96</v>
      </c>
      <c r="E15" s="7" t="s">
        <v>151</v>
      </c>
      <c r="F15" s="4" t="s">
        <v>13</v>
      </c>
      <c r="G15" s="4">
        <v>304</v>
      </c>
      <c r="H15" s="8">
        <v>395</v>
      </c>
      <c r="I15" s="40">
        <v>400</v>
      </c>
      <c r="J15" s="32">
        <f t="shared" ref="J15:J28" si="1">H15-I15</f>
        <v>-5</v>
      </c>
    </row>
    <row r="16" spans="1:10" ht="19.95" customHeight="1" x14ac:dyDescent="0.3">
      <c r="A16" s="4">
        <v>250055</v>
      </c>
      <c r="B16" s="4">
        <v>304</v>
      </c>
      <c r="C16" s="6">
        <v>0.7</v>
      </c>
      <c r="D16" s="6" t="s">
        <v>96</v>
      </c>
      <c r="E16" s="7" t="s">
        <v>151</v>
      </c>
      <c r="F16" s="4" t="s">
        <v>13</v>
      </c>
      <c r="G16" s="4">
        <v>304</v>
      </c>
      <c r="H16" s="8">
        <v>815</v>
      </c>
      <c r="I16" s="40">
        <f>627+188</f>
        <v>815</v>
      </c>
      <c r="J16" s="32">
        <f t="shared" si="1"/>
        <v>0</v>
      </c>
    </row>
    <row r="17" spans="1:10" ht="19.95" customHeight="1" x14ac:dyDescent="0.3">
      <c r="A17" s="4">
        <v>250052</v>
      </c>
      <c r="B17" s="4">
        <v>304</v>
      </c>
      <c r="C17" s="6">
        <v>0.7</v>
      </c>
      <c r="D17" s="6" t="s">
        <v>96</v>
      </c>
      <c r="E17" s="7" t="s">
        <v>151</v>
      </c>
      <c r="F17" s="4" t="s">
        <v>13</v>
      </c>
      <c r="G17" s="4">
        <v>304</v>
      </c>
      <c r="H17" s="8">
        <v>785</v>
      </c>
      <c r="I17" s="40">
        <v>813</v>
      </c>
      <c r="J17" s="32">
        <f t="shared" si="1"/>
        <v>-28</v>
      </c>
    </row>
    <row r="18" spans="1:10" ht="19.95" customHeight="1" x14ac:dyDescent="0.3">
      <c r="A18" s="4">
        <v>250061</v>
      </c>
      <c r="B18" s="4">
        <v>304</v>
      </c>
      <c r="C18" s="6">
        <v>1</v>
      </c>
      <c r="D18" s="6" t="s">
        <v>96</v>
      </c>
      <c r="E18" s="7" t="s">
        <v>152</v>
      </c>
      <c r="F18" s="4" t="s">
        <v>13</v>
      </c>
      <c r="G18" s="4">
        <v>304</v>
      </c>
      <c r="H18" s="8">
        <v>15</v>
      </c>
      <c r="I18" s="40">
        <v>15</v>
      </c>
      <c r="J18" s="32">
        <f t="shared" si="1"/>
        <v>0</v>
      </c>
    </row>
    <row r="19" spans="1:10" ht="19.95" customHeight="1" x14ac:dyDescent="0.3">
      <c r="A19" s="4">
        <v>250057</v>
      </c>
      <c r="B19" s="4">
        <v>304</v>
      </c>
      <c r="C19" s="6">
        <v>1</v>
      </c>
      <c r="D19" s="6" t="s">
        <v>96</v>
      </c>
      <c r="E19" s="7" t="s">
        <v>152</v>
      </c>
      <c r="F19" s="4" t="s">
        <v>13</v>
      </c>
      <c r="G19" s="4">
        <v>304</v>
      </c>
      <c r="H19" s="8">
        <v>15</v>
      </c>
      <c r="I19" s="40">
        <v>15</v>
      </c>
      <c r="J19" s="32">
        <f t="shared" si="1"/>
        <v>0</v>
      </c>
    </row>
    <row r="20" spans="1:10" ht="19.95" customHeight="1" x14ac:dyDescent="0.3">
      <c r="A20" s="4">
        <v>250055</v>
      </c>
      <c r="B20" s="4">
        <v>304</v>
      </c>
      <c r="C20" s="6">
        <v>1</v>
      </c>
      <c r="D20" s="6" t="s">
        <v>96</v>
      </c>
      <c r="E20" s="7" t="s">
        <v>152</v>
      </c>
      <c r="F20" s="4" t="s">
        <v>13</v>
      </c>
      <c r="G20" s="4">
        <v>304</v>
      </c>
      <c r="H20" s="8">
        <v>15</v>
      </c>
      <c r="I20" s="40">
        <v>15</v>
      </c>
      <c r="J20" s="32">
        <f t="shared" si="1"/>
        <v>0</v>
      </c>
    </row>
    <row r="21" spans="1:10" ht="19.95" customHeight="1" x14ac:dyDescent="0.3">
      <c r="A21" s="4">
        <v>250052</v>
      </c>
      <c r="B21" s="4">
        <v>304</v>
      </c>
      <c r="C21" s="6">
        <v>1</v>
      </c>
      <c r="D21" s="6" t="s">
        <v>96</v>
      </c>
      <c r="E21" s="7" t="s">
        <v>152</v>
      </c>
      <c r="F21" s="4" t="s">
        <v>13</v>
      </c>
      <c r="G21" s="4">
        <v>304</v>
      </c>
      <c r="H21" s="8">
        <v>15</v>
      </c>
      <c r="I21" s="40">
        <v>15</v>
      </c>
      <c r="J21" s="32">
        <f t="shared" si="1"/>
        <v>0</v>
      </c>
    </row>
    <row r="22" spans="1:10" ht="19.95" customHeight="1" x14ac:dyDescent="0.3">
      <c r="A22" s="4">
        <v>250052</v>
      </c>
      <c r="B22" s="4">
        <v>304</v>
      </c>
      <c r="C22" s="6">
        <v>0.7</v>
      </c>
      <c r="D22" s="6" t="s">
        <v>96</v>
      </c>
      <c r="E22" s="7" t="s">
        <v>153</v>
      </c>
      <c r="F22" s="4" t="s">
        <v>13</v>
      </c>
      <c r="G22" s="4">
        <v>304</v>
      </c>
      <c r="H22" s="8">
        <v>785</v>
      </c>
      <c r="I22" s="9">
        <v>657</v>
      </c>
      <c r="J22" s="8">
        <f t="shared" si="1"/>
        <v>128</v>
      </c>
    </row>
    <row r="23" spans="1:10" ht="19.95" customHeight="1" x14ac:dyDescent="0.3">
      <c r="A23" s="4">
        <v>250055</v>
      </c>
      <c r="B23" s="4">
        <v>304</v>
      </c>
      <c r="C23" s="6">
        <v>0.7</v>
      </c>
      <c r="D23" s="6" t="s">
        <v>96</v>
      </c>
      <c r="E23" s="7" t="s">
        <v>153</v>
      </c>
      <c r="F23" s="4" t="s">
        <v>13</v>
      </c>
      <c r="G23" s="4">
        <v>304</v>
      </c>
      <c r="H23" s="8">
        <v>815</v>
      </c>
      <c r="I23" s="9"/>
      <c r="J23" s="8">
        <f t="shared" si="1"/>
        <v>815</v>
      </c>
    </row>
    <row r="24" spans="1:10" ht="19.95" customHeight="1" x14ac:dyDescent="0.3">
      <c r="A24" s="4">
        <v>250052</v>
      </c>
      <c r="B24" s="4">
        <v>304</v>
      </c>
      <c r="C24" s="6">
        <v>1</v>
      </c>
      <c r="D24" s="6" t="s">
        <v>96</v>
      </c>
      <c r="E24" s="7" t="s">
        <v>154</v>
      </c>
      <c r="F24" s="4" t="s">
        <v>13</v>
      </c>
      <c r="G24" s="4">
        <v>304</v>
      </c>
      <c r="H24" s="8">
        <v>15</v>
      </c>
      <c r="I24" s="9"/>
      <c r="J24" s="8">
        <f t="shared" si="1"/>
        <v>15</v>
      </c>
    </row>
    <row r="25" spans="1:10" ht="19.95" customHeight="1" x14ac:dyDescent="0.3">
      <c r="A25" s="4">
        <v>250055</v>
      </c>
      <c r="B25" s="4">
        <v>304</v>
      </c>
      <c r="C25" s="6">
        <v>1</v>
      </c>
      <c r="D25" s="6" t="s">
        <v>96</v>
      </c>
      <c r="E25" s="7" t="s">
        <v>154</v>
      </c>
      <c r="F25" s="4" t="s">
        <v>13</v>
      </c>
      <c r="G25" s="4">
        <v>304</v>
      </c>
      <c r="H25" s="8">
        <v>15</v>
      </c>
      <c r="I25" s="9"/>
      <c r="J25" s="8">
        <f t="shared" si="1"/>
        <v>15</v>
      </c>
    </row>
    <row r="26" spans="1:10" ht="19.95" customHeight="1" x14ac:dyDescent="0.3">
      <c r="A26" s="4">
        <v>250057</v>
      </c>
      <c r="B26" s="4">
        <v>304</v>
      </c>
      <c r="C26" s="6">
        <v>0.7</v>
      </c>
      <c r="D26" s="6" t="s">
        <v>96</v>
      </c>
      <c r="E26" s="7" t="s">
        <v>155</v>
      </c>
      <c r="F26" s="4" t="s">
        <v>41</v>
      </c>
      <c r="G26" s="4">
        <v>304</v>
      </c>
      <c r="H26" s="8">
        <v>395</v>
      </c>
      <c r="I26" s="9"/>
      <c r="J26" s="8">
        <f t="shared" si="1"/>
        <v>395</v>
      </c>
    </row>
    <row r="27" spans="1:10" ht="19.95" customHeight="1" x14ac:dyDescent="0.3">
      <c r="A27" s="4">
        <v>250057</v>
      </c>
      <c r="B27" s="4">
        <v>304</v>
      </c>
      <c r="C27" s="6">
        <v>1</v>
      </c>
      <c r="D27" s="6" t="s">
        <v>96</v>
      </c>
      <c r="E27" s="7" t="s">
        <v>156</v>
      </c>
      <c r="F27" s="4" t="s">
        <v>41</v>
      </c>
      <c r="G27" s="4">
        <v>304</v>
      </c>
      <c r="H27" s="8">
        <v>15</v>
      </c>
      <c r="I27" s="9"/>
      <c r="J27" s="8">
        <f t="shared" si="1"/>
        <v>15</v>
      </c>
    </row>
    <row r="28" spans="1:10" ht="19.95" customHeight="1" x14ac:dyDescent="0.3">
      <c r="A28" s="4"/>
      <c r="B28" s="4"/>
      <c r="C28" s="6"/>
      <c r="D28" s="6"/>
      <c r="E28" s="7"/>
      <c r="F28" s="4"/>
      <c r="G28" s="4"/>
      <c r="H28" s="8"/>
      <c r="I28" s="9"/>
      <c r="J28" s="8">
        <f t="shared" si="1"/>
        <v>0</v>
      </c>
    </row>
    <row r="29" spans="1:10" ht="19.95" customHeight="1" x14ac:dyDescent="0.3">
      <c r="A29" s="10"/>
      <c r="B29" s="10"/>
      <c r="C29" s="10"/>
      <c r="D29" s="10"/>
      <c r="E29" s="11"/>
      <c r="F29" s="10"/>
      <c r="G29" s="12"/>
      <c r="H29" s="8">
        <f>SUM(H15:H28)</f>
        <v>4095</v>
      </c>
      <c r="I29" s="9">
        <f>SUM(I15:I28)</f>
        <v>2745</v>
      </c>
      <c r="J29" s="8">
        <f>SUM(J15:J28)</f>
        <v>1350</v>
      </c>
    </row>
    <row r="31" spans="1:10" ht="30" customHeight="1" x14ac:dyDescent="0.3">
      <c r="A31" s="94" t="s">
        <v>18</v>
      </c>
      <c r="B31" s="94"/>
      <c r="C31" s="94"/>
      <c r="D31" s="94"/>
      <c r="E31" s="94"/>
      <c r="F31" s="94"/>
      <c r="G31" s="94"/>
      <c r="H31" s="94"/>
      <c r="I31" s="94"/>
      <c r="J31" s="94"/>
    </row>
    <row r="32" spans="1:10" ht="30" customHeight="1" x14ac:dyDescent="0.3">
      <c r="A32" s="4" t="s">
        <v>1</v>
      </c>
      <c r="B32" s="4" t="s">
        <v>2</v>
      </c>
      <c r="C32" s="5" t="s">
        <v>3</v>
      </c>
      <c r="D32" s="5" t="s">
        <v>4</v>
      </c>
      <c r="E32" s="4" t="s">
        <v>5</v>
      </c>
      <c r="F32" s="5" t="s">
        <v>6</v>
      </c>
      <c r="G32" s="5" t="s">
        <v>7</v>
      </c>
      <c r="H32" s="4" t="s">
        <v>8</v>
      </c>
      <c r="I32" s="4" t="s">
        <v>9</v>
      </c>
      <c r="J32" s="4" t="s">
        <v>10</v>
      </c>
    </row>
    <row r="33" spans="1:10" ht="19.95" customHeight="1" x14ac:dyDescent="0.3">
      <c r="A33" s="4">
        <v>250061</v>
      </c>
      <c r="B33" s="4">
        <v>304</v>
      </c>
      <c r="C33" s="6">
        <v>0.7</v>
      </c>
      <c r="D33" s="6" t="s">
        <v>96</v>
      </c>
      <c r="E33" s="7" t="s">
        <v>157</v>
      </c>
      <c r="F33" s="4" t="s">
        <v>41</v>
      </c>
      <c r="G33" s="4">
        <v>304</v>
      </c>
      <c r="H33" s="8">
        <v>525</v>
      </c>
      <c r="I33" s="9"/>
      <c r="J33" s="8">
        <f t="shared" ref="J33:J49" si="2">H33-I33</f>
        <v>525</v>
      </c>
    </row>
    <row r="34" spans="1:10" ht="19.95" customHeight="1" x14ac:dyDescent="0.3">
      <c r="A34" s="4">
        <v>250061</v>
      </c>
      <c r="B34" s="4">
        <v>304</v>
      </c>
      <c r="C34" s="6">
        <v>1</v>
      </c>
      <c r="D34" s="6" t="s">
        <v>96</v>
      </c>
      <c r="E34" s="7" t="s">
        <v>158</v>
      </c>
      <c r="F34" s="4" t="s">
        <v>41</v>
      </c>
      <c r="G34" s="4">
        <v>304</v>
      </c>
      <c r="H34" s="8">
        <v>15</v>
      </c>
      <c r="I34" s="9"/>
      <c r="J34" s="8">
        <f t="shared" si="2"/>
        <v>15</v>
      </c>
    </row>
    <row r="35" spans="1:10" ht="19.95" customHeight="1" x14ac:dyDescent="0.3">
      <c r="A35" s="4">
        <v>250052</v>
      </c>
      <c r="B35" s="4">
        <v>304</v>
      </c>
      <c r="C35" s="6">
        <v>0.7</v>
      </c>
      <c r="D35" s="6" t="s">
        <v>96</v>
      </c>
      <c r="E35" s="7" t="s">
        <v>159</v>
      </c>
      <c r="F35" s="4" t="s">
        <v>13</v>
      </c>
      <c r="G35" s="4">
        <v>304</v>
      </c>
      <c r="H35" s="8">
        <v>785</v>
      </c>
      <c r="I35" s="9"/>
      <c r="J35" s="8">
        <f t="shared" si="2"/>
        <v>785</v>
      </c>
    </row>
    <row r="36" spans="1:10" ht="19.95" customHeight="1" x14ac:dyDescent="0.3">
      <c r="A36" s="4">
        <v>250055</v>
      </c>
      <c r="B36" s="4">
        <v>304</v>
      </c>
      <c r="C36" s="6">
        <v>0.7</v>
      </c>
      <c r="D36" s="6" t="s">
        <v>96</v>
      </c>
      <c r="E36" s="7" t="s">
        <v>159</v>
      </c>
      <c r="F36" s="4" t="s">
        <v>13</v>
      </c>
      <c r="G36" s="4">
        <v>304</v>
      </c>
      <c r="H36" s="8">
        <v>815</v>
      </c>
      <c r="I36" s="9"/>
      <c r="J36" s="8">
        <f t="shared" si="2"/>
        <v>815</v>
      </c>
    </row>
    <row r="37" spans="1:10" ht="19.95" customHeight="1" x14ac:dyDescent="0.3">
      <c r="A37" s="4">
        <v>250057</v>
      </c>
      <c r="B37" s="4">
        <v>304</v>
      </c>
      <c r="C37" s="6">
        <v>0.7</v>
      </c>
      <c r="D37" s="6" t="s">
        <v>96</v>
      </c>
      <c r="E37" s="7" t="s">
        <v>159</v>
      </c>
      <c r="F37" s="4" t="s">
        <v>13</v>
      </c>
      <c r="G37" s="4">
        <v>304</v>
      </c>
      <c r="H37" s="8">
        <v>395</v>
      </c>
      <c r="I37" s="9"/>
      <c r="J37" s="8">
        <f t="shared" si="2"/>
        <v>395</v>
      </c>
    </row>
    <row r="38" spans="1:10" ht="19.95" customHeight="1" x14ac:dyDescent="0.3">
      <c r="A38" s="4">
        <v>250061</v>
      </c>
      <c r="B38" s="4">
        <v>304</v>
      </c>
      <c r="C38" s="6">
        <v>0.7</v>
      </c>
      <c r="D38" s="6" t="s">
        <v>96</v>
      </c>
      <c r="E38" s="7" t="s">
        <v>159</v>
      </c>
      <c r="F38" s="4" t="s">
        <v>13</v>
      </c>
      <c r="G38" s="4">
        <v>304</v>
      </c>
      <c r="H38" s="8">
        <v>525</v>
      </c>
      <c r="I38" s="9"/>
      <c r="J38" s="8">
        <f t="shared" si="2"/>
        <v>525</v>
      </c>
    </row>
    <row r="39" spans="1:10" ht="19.95" customHeight="1" x14ac:dyDescent="0.3">
      <c r="A39" s="4">
        <v>250052</v>
      </c>
      <c r="B39" s="4">
        <v>304</v>
      </c>
      <c r="C39" s="6">
        <v>1</v>
      </c>
      <c r="D39" s="6" t="s">
        <v>96</v>
      </c>
      <c r="E39" s="7" t="s">
        <v>160</v>
      </c>
      <c r="F39" s="4" t="s">
        <v>13</v>
      </c>
      <c r="G39" s="4">
        <v>304</v>
      </c>
      <c r="H39" s="8">
        <v>15</v>
      </c>
      <c r="I39" s="9"/>
      <c r="J39" s="8">
        <f t="shared" si="2"/>
        <v>15</v>
      </c>
    </row>
    <row r="40" spans="1:10" ht="19.95" customHeight="1" x14ac:dyDescent="0.3">
      <c r="A40" s="4">
        <v>250055</v>
      </c>
      <c r="B40" s="4">
        <v>304</v>
      </c>
      <c r="C40" s="6">
        <v>1</v>
      </c>
      <c r="D40" s="6" t="s">
        <v>96</v>
      </c>
      <c r="E40" s="7" t="s">
        <v>160</v>
      </c>
      <c r="F40" s="4" t="s">
        <v>13</v>
      </c>
      <c r="G40" s="4">
        <v>304</v>
      </c>
      <c r="H40" s="8">
        <v>15</v>
      </c>
      <c r="I40" s="9"/>
      <c r="J40" s="8">
        <f t="shared" si="2"/>
        <v>15</v>
      </c>
    </row>
    <row r="41" spans="1:10" ht="19.95" customHeight="1" x14ac:dyDescent="0.3">
      <c r="A41" s="4">
        <v>250057</v>
      </c>
      <c r="B41" s="4">
        <v>304</v>
      </c>
      <c r="C41" s="6">
        <v>1</v>
      </c>
      <c r="D41" s="6" t="s">
        <v>96</v>
      </c>
      <c r="E41" s="7" t="s">
        <v>160</v>
      </c>
      <c r="F41" s="4" t="s">
        <v>13</v>
      </c>
      <c r="G41" s="4">
        <v>304</v>
      </c>
      <c r="H41" s="8">
        <v>15</v>
      </c>
      <c r="I41" s="9"/>
      <c r="J41" s="8">
        <f t="shared" si="2"/>
        <v>15</v>
      </c>
    </row>
    <row r="42" spans="1:10" ht="19.95" customHeight="1" x14ac:dyDescent="0.3">
      <c r="A42" s="4">
        <v>250061</v>
      </c>
      <c r="B42" s="4">
        <v>304</v>
      </c>
      <c r="C42" s="6">
        <v>1</v>
      </c>
      <c r="D42" s="6" t="s">
        <v>96</v>
      </c>
      <c r="E42" s="7" t="s">
        <v>160</v>
      </c>
      <c r="F42" s="4" t="s">
        <v>13</v>
      </c>
      <c r="G42" s="4">
        <v>304</v>
      </c>
      <c r="H42" s="8">
        <v>15</v>
      </c>
      <c r="I42" s="9"/>
      <c r="J42" s="8">
        <f t="shared" si="2"/>
        <v>15</v>
      </c>
    </row>
    <row r="43" spans="1:10" ht="19.95" customHeight="1" x14ac:dyDescent="0.3">
      <c r="A43" s="4">
        <v>250055</v>
      </c>
      <c r="B43" s="4">
        <v>304</v>
      </c>
      <c r="C43" s="6">
        <v>0.7</v>
      </c>
      <c r="D43" s="6" t="s">
        <v>96</v>
      </c>
      <c r="E43" s="7" t="s">
        <v>161</v>
      </c>
      <c r="F43" s="4" t="s">
        <v>13</v>
      </c>
      <c r="G43" s="4">
        <v>304</v>
      </c>
      <c r="H43" s="8">
        <v>815</v>
      </c>
      <c r="I43" s="9"/>
      <c r="J43" s="8">
        <f t="shared" si="2"/>
        <v>815</v>
      </c>
    </row>
    <row r="44" spans="1:10" ht="19.95" customHeight="1" x14ac:dyDescent="0.3">
      <c r="A44" s="4">
        <v>250057</v>
      </c>
      <c r="B44" s="4">
        <v>304</v>
      </c>
      <c r="C44" s="6">
        <v>0.7</v>
      </c>
      <c r="D44" s="6" t="s">
        <v>96</v>
      </c>
      <c r="E44" s="7" t="s">
        <v>161</v>
      </c>
      <c r="F44" s="4" t="s">
        <v>13</v>
      </c>
      <c r="G44" s="4">
        <v>304</v>
      </c>
      <c r="H44" s="8">
        <v>395</v>
      </c>
      <c r="I44" s="9"/>
      <c r="J44" s="8">
        <f t="shared" si="2"/>
        <v>395</v>
      </c>
    </row>
    <row r="45" spans="1:10" ht="19.95" customHeight="1" x14ac:dyDescent="0.3">
      <c r="A45" s="4">
        <v>250061</v>
      </c>
      <c r="B45" s="4">
        <v>304</v>
      </c>
      <c r="C45" s="6">
        <v>0.7</v>
      </c>
      <c r="D45" s="6" t="s">
        <v>96</v>
      </c>
      <c r="E45" s="7" t="s">
        <v>161</v>
      </c>
      <c r="F45" s="4" t="s">
        <v>13</v>
      </c>
      <c r="G45" s="4">
        <v>304</v>
      </c>
      <c r="H45" s="8">
        <v>525</v>
      </c>
      <c r="I45" s="9"/>
      <c r="J45" s="8">
        <f t="shared" si="2"/>
        <v>525</v>
      </c>
    </row>
    <row r="46" spans="1:10" ht="19.95" customHeight="1" x14ac:dyDescent="0.3">
      <c r="A46" s="4">
        <v>250055</v>
      </c>
      <c r="B46" s="4">
        <v>304</v>
      </c>
      <c r="C46" s="6">
        <v>1</v>
      </c>
      <c r="D46" s="6" t="s">
        <v>96</v>
      </c>
      <c r="E46" s="7" t="s">
        <v>162</v>
      </c>
      <c r="F46" s="4" t="s">
        <v>13</v>
      </c>
      <c r="G46" s="4">
        <v>304</v>
      </c>
      <c r="H46" s="8">
        <v>15</v>
      </c>
      <c r="I46" s="9"/>
      <c r="J46" s="8">
        <f t="shared" si="2"/>
        <v>15</v>
      </c>
    </row>
    <row r="47" spans="1:10" ht="19.95" customHeight="1" x14ac:dyDescent="0.3">
      <c r="A47" s="4">
        <v>250057</v>
      </c>
      <c r="B47" s="4">
        <v>304</v>
      </c>
      <c r="C47" s="6">
        <v>1</v>
      </c>
      <c r="D47" s="6" t="s">
        <v>96</v>
      </c>
      <c r="E47" s="7" t="s">
        <v>162</v>
      </c>
      <c r="F47" s="4" t="s">
        <v>13</v>
      </c>
      <c r="G47" s="4">
        <v>304</v>
      </c>
      <c r="H47" s="8">
        <v>15</v>
      </c>
      <c r="I47" s="9"/>
      <c r="J47" s="8">
        <f t="shared" si="2"/>
        <v>15</v>
      </c>
    </row>
    <row r="48" spans="1:10" ht="19.95" customHeight="1" x14ac:dyDescent="0.3">
      <c r="A48" s="4">
        <v>250061</v>
      </c>
      <c r="B48" s="4">
        <v>304</v>
      </c>
      <c r="C48" s="6">
        <v>1</v>
      </c>
      <c r="D48" s="6" t="s">
        <v>96</v>
      </c>
      <c r="E48" s="7" t="s">
        <v>162</v>
      </c>
      <c r="F48" s="4" t="s">
        <v>13</v>
      </c>
      <c r="G48" s="4">
        <v>304</v>
      </c>
      <c r="H48" s="8">
        <v>15</v>
      </c>
      <c r="I48" s="9"/>
      <c r="J48" s="8">
        <f t="shared" si="2"/>
        <v>15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2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SUM(H33:H49)</f>
        <v>4900</v>
      </c>
      <c r="I50" s="9">
        <f>SUM(I33:I49)</f>
        <v>0</v>
      </c>
      <c r="J50" s="8">
        <f>SUM(J33:J49)</f>
        <v>4900</v>
      </c>
    </row>
    <row r="52" spans="1:10" ht="30" customHeight="1" x14ac:dyDescent="0.3">
      <c r="A52" s="94" t="s">
        <v>20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230925</v>
      </c>
      <c r="B54" s="4">
        <v>430</v>
      </c>
      <c r="C54" s="6">
        <v>0.8</v>
      </c>
      <c r="D54" s="6" t="s">
        <v>11</v>
      </c>
      <c r="E54" s="7" t="s">
        <v>163</v>
      </c>
      <c r="F54" s="4" t="s">
        <v>41</v>
      </c>
      <c r="G54" s="4">
        <v>430</v>
      </c>
      <c r="H54" s="8">
        <v>4500</v>
      </c>
      <c r="I54" s="9">
        <v>1310</v>
      </c>
      <c r="J54" s="8">
        <f t="shared" ref="J54:J55" si="3">H54-I54</f>
        <v>3190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3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8">
        <f>SUM(H54:H55)</f>
        <v>4500</v>
      </c>
      <c r="I56" s="9">
        <f>SUM(I54:I55)</f>
        <v>1310</v>
      </c>
      <c r="J56" s="8">
        <f>SUM(J54:J55)</f>
        <v>3190</v>
      </c>
    </row>
    <row r="57" spans="1:10" ht="19.95" customHeight="1" x14ac:dyDescent="0.3">
      <c r="A57" s="15"/>
      <c r="B57" s="15"/>
      <c r="C57" s="15"/>
      <c r="D57" s="15"/>
      <c r="E57" s="16"/>
      <c r="F57" s="15"/>
      <c r="G57" s="15"/>
      <c r="H57" s="17"/>
      <c r="I57" s="18"/>
      <c r="J57" s="17"/>
    </row>
    <row r="58" spans="1:10" ht="30" customHeight="1" x14ac:dyDescent="0.3">
      <c r="A58" s="94" t="s">
        <v>19</v>
      </c>
      <c r="B58" s="94"/>
      <c r="C58" s="94"/>
      <c r="D58" s="94"/>
      <c r="E58" s="94"/>
      <c r="F58" s="94"/>
      <c r="G58" s="94"/>
      <c r="H58" s="94"/>
      <c r="I58" s="94"/>
      <c r="J58" s="94"/>
    </row>
    <row r="59" spans="1:10" ht="30" customHeight="1" x14ac:dyDescent="0.3">
      <c r="A59" s="4" t="s">
        <v>1</v>
      </c>
      <c r="B59" s="4" t="s">
        <v>2</v>
      </c>
      <c r="C59" s="5" t="s">
        <v>3</v>
      </c>
      <c r="D59" s="5" t="s">
        <v>4</v>
      </c>
      <c r="E59" s="4" t="s">
        <v>5</v>
      </c>
      <c r="F59" s="5" t="s">
        <v>6</v>
      </c>
      <c r="G59" s="5" t="s">
        <v>7</v>
      </c>
      <c r="H59" s="4" t="s">
        <v>8</v>
      </c>
      <c r="I59" s="4" t="s">
        <v>9</v>
      </c>
      <c r="J59" s="4" t="s">
        <v>10</v>
      </c>
    </row>
    <row r="60" spans="1:10" ht="19.95" customHeight="1" x14ac:dyDescent="0.3">
      <c r="A60" s="4">
        <v>230925</v>
      </c>
      <c r="B60" s="4">
        <v>430</v>
      </c>
      <c r="C60" s="6">
        <v>0.8</v>
      </c>
      <c r="D60" s="6" t="s">
        <v>11</v>
      </c>
      <c r="E60" s="7" t="s">
        <v>163</v>
      </c>
      <c r="F60" s="4" t="s">
        <v>41</v>
      </c>
      <c r="G60" s="4">
        <v>430</v>
      </c>
      <c r="H60" s="8">
        <v>1500</v>
      </c>
      <c r="I60" s="9"/>
      <c r="J60" s="8">
        <f t="shared" ref="J60:J71" si="4">H60-I60</f>
        <v>1500</v>
      </c>
    </row>
    <row r="61" spans="1:10" ht="19.95" customHeight="1" x14ac:dyDescent="0.3">
      <c r="A61" s="4">
        <v>250052</v>
      </c>
      <c r="B61" s="4">
        <v>304</v>
      </c>
      <c r="C61" s="6">
        <v>0.7</v>
      </c>
      <c r="D61" s="6" t="s">
        <v>11</v>
      </c>
      <c r="E61" s="7" t="s">
        <v>164</v>
      </c>
      <c r="F61" s="4" t="s">
        <v>13</v>
      </c>
      <c r="G61" s="4">
        <v>304</v>
      </c>
      <c r="H61" s="8">
        <v>785</v>
      </c>
      <c r="I61" s="9"/>
      <c r="J61" s="8">
        <f t="shared" si="4"/>
        <v>785</v>
      </c>
    </row>
    <row r="62" spans="1:10" ht="19.95" customHeight="1" x14ac:dyDescent="0.3">
      <c r="A62" s="4">
        <v>250055</v>
      </c>
      <c r="B62" s="4">
        <v>304</v>
      </c>
      <c r="C62" s="6">
        <v>0.7</v>
      </c>
      <c r="D62" s="6" t="s">
        <v>11</v>
      </c>
      <c r="E62" s="7" t="s">
        <v>164</v>
      </c>
      <c r="F62" s="4" t="s">
        <v>13</v>
      </c>
      <c r="G62" s="4">
        <v>304</v>
      </c>
      <c r="H62" s="8">
        <v>815</v>
      </c>
      <c r="I62" s="9"/>
      <c r="J62" s="8">
        <f t="shared" si="4"/>
        <v>815</v>
      </c>
    </row>
    <row r="63" spans="1:10" ht="19.95" customHeight="1" x14ac:dyDescent="0.3">
      <c r="A63" s="4">
        <v>250057</v>
      </c>
      <c r="B63" s="4">
        <v>304</v>
      </c>
      <c r="C63" s="6">
        <v>0.7</v>
      </c>
      <c r="D63" s="6" t="s">
        <v>11</v>
      </c>
      <c r="E63" s="7" t="s">
        <v>164</v>
      </c>
      <c r="F63" s="4" t="s">
        <v>13</v>
      </c>
      <c r="G63" s="4">
        <v>304</v>
      </c>
      <c r="H63" s="8">
        <v>395</v>
      </c>
      <c r="I63" s="9"/>
      <c r="J63" s="8">
        <f t="shared" si="4"/>
        <v>395</v>
      </c>
    </row>
    <row r="64" spans="1:10" ht="19.95" customHeight="1" x14ac:dyDescent="0.3">
      <c r="A64" s="4">
        <v>250061</v>
      </c>
      <c r="B64" s="4">
        <v>304</v>
      </c>
      <c r="C64" s="6">
        <v>0.7</v>
      </c>
      <c r="D64" s="6" t="s">
        <v>11</v>
      </c>
      <c r="E64" s="7" t="s">
        <v>164</v>
      </c>
      <c r="F64" s="4" t="s">
        <v>13</v>
      </c>
      <c r="G64" s="4">
        <v>304</v>
      </c>
      <c r="H64" s="8">
        <v>525</v>
      </c>
      <c r="I64" s="9"/>
      <c r="J64" s="8">
        <f t="shared" si="4"/>
        <v>525</v>
      </c>
    </row>
    <row r="65" spans="1:10" ht="19.95" customHeight="1" x14ac:dyDescent="0.3">
      <c r="A65" s="4">
        <v>250052</v>
      </c>
      <c r="B65" s="4">
        <v>304</v>
      </c>
      <c r="C65" s="6">
        <v>1</v>
      </c>
      <c r="D65" s="6" t="s">
        <v>11</v>
      </c>
      <c r="E65" s="7" t="s">
        <v>165</v>
      </c>
      <c r="F65" s="4" t="s">
        <v>13</v>
      </c>
      <c r="G65" s="4">
        <v>304</v>
      </c>
      <c r="H65" s="8">
        <v>15</v>
      </c>
      <c r="I65" s="9"/>
      <c r="J65" s="8">
        <f t="shared" si="4"/>
        <v>15</v>
      </c>
    </row>
    <row r="66" spans="1:10" ht="19.95" customHeight="1" x14ac:dyDescent="0.3">
      <c r="A66" s="4">
        <v>250055</v>
      </c>
      <c r="B66" s="4">
        <v>304</v>
      </c>
      <c r="C66" s="6">
        <v>1</v>
      </c>
      <c r="D66" s="6" t="s">
        <v>11</v>
      </c>
      <c r="E66" s="7" t="s">
        <v>165</v>
      </c>
      <c r="F66" s="4" t="s">
        <v>13</v>
      </c>
      <c r="G66" s="4">
        <v>304</v>
      </c>
      <c r="H66" s="8">
        <v>15</v>
      </c>
      <c r="I66" s="9"/>
      <c r="J66" s="8">
        <f t="shared" si="4"/>
        <v>15</v>
      </c>
    </row>
    <row r="67" spans="1:10" ht="19.95" customHeight="1" x14ac:dyDescent="0.3">
      <c r="A67" s="4">
        <v>250057</v>
      </c>
      <c r="B67" s="4">
        <v>304</v>
      </c>
      <c r="C67" s="6">
        <v>1</v>
      </c>
      <c r="D67" s="6" t="s">
        <v>11</v>
      </c>
      <c r="E67" s="7" t="s">
        <v>165</v>
      </c>
      <c r="F67" s="4" t="s">
        <v>13</v>
      </c>
      <c r="G67" s="4">
        <v>304</v>
      </c>
      <c r="H67" s="8">
        <v>15</v>
      </c>
      <c r="I67" s="9"/>
      <c r="J67" s="8">
        <f t="shared" si="4"/>
        <v>15</v>
      </c>
    </row>
    <row r="68" spans="1:10" ht="19.95" customHeight="1" x14ac:dyDescent="0.3">
      <c r="A68" s="4">
        <v>250061</v>
      </c>
      <c r="B68" s="4">
        <v>304</v>
      </c>
      <c r="C68" s="6">
        <v>1</v>
      </c>
      <c r="D68" s="6" t="s">
        <v>11</v>
      </c>
      <c r="E68" s="7" t="s">
        <v>165</v>
      </c>
      <c r="F68" s="4" t="s">
        <v>13</v>
      </c>
      <c r="G68" s="4">
        <v>304</v>
      </c>
      <c r="H68" s="8">
        <v>15</v>
      </c>
      <c r="I68" s="9"/>
      <c r="J68" s="8">
        <f t="shared" si="4"/>
        <v>15</v>
      </c>
    </row>
    <row r="69" spans="1:10" ht="19.95" customHeight="1" x14ac:dyDescent="0.3">
      <c r="A69" s="4">
        <v>250057</v>
      </c>
      <c r="B69" s="4">
        <v>304</v>
      </c>
      <c r="C69" s="6">
        <v>0.7</v>
      </c>
      <c r="D69" s="6" t="s">
        <v>11</v>
      </c>
      <c r="E69" s="7" t="s">
        <v>166</v>
      </c>
      <c r="F69" s="4" t="s">
        <v>13</v>
      </c>
      <c r="G69" s="4">
        <v>304</v>
      </c>
      <c r="H69" s="8">
        <v>395</v>
      </c>
      <c r="I69" s="9"/>
      <c r="J69" s="8">
        <f t="shared" si="4"/>
        <v>395</v>
      </c>
    </row>
    <row r="70" spans="1:10" ht="19.95" customHeight="1" x14ac:dyDescent="0.3">
      <c r="A70" s="4">
        <v>250057</v>
      </c>
      <c r="B70" s="4">
        <v>304</v>
      </c>
      <c r="C70" s="6">
        <v>1</v>
      </c>
      <c r="D70" s="6" t="s">
        <v>11</v>
      </c>
      <c r="E70" s="7" t="s">
        <v>167</v>
      </c>
      <c r="F70" s="4" t="s">
        <v>13</v>
      </c>
      <c r="G70" s="4">
        <v>304</v>
      </c>
      <c r="H70" s="8">
        <v>15</v>
      </c>
      <c r="I70" s="9"/>
      <c r="J70" s="8">
        <f t="shared" si="4"/>
        <v>15</v>
      </c>
    </row>
    <row r="71" spans="1:10" ht="19.95" customHeight="1" x14ac:dyDescent="0.3">
      <c r="A71" s="4"/>
      <c r="B71" s="4"/>
      <c r="C71" s="6"/>
      <c r="D71" s="6"/>
      <c r="E71" s="7"/>
      <c r="F71" s="4"/>
      <c r="G71" s="4"/>
      <c r="H71" s="8"/>
      <c r="I71" s="9"/>
      <c r="J71" s="8">
        <f t="shared" si="4"/>
        <v>0</v>
      </c>
    </row>
    <row r="72" spans="1:10" ht="19.95" customHeight="1" x14ac:dyDescent="0.3">
      <c r="A72" s="10"/>
      <c r="B72" s="10"/>
      <c r="C72" s="10"/>
      <c r="D72" s="10"/>
      <c r="E72" s="11"/>
      <c r="F72" s="10"/>
      <c r="G72" s="12"/>
      <c r="H72" s="8">
        <f>SUM(H60:H71)</f>
        <v>4490</v>
      </c>
      <c r="I72" s="9">
        <f>SUM(I60:I71)</f>
        <v>0</v>
      </c>
      <c r="J72" s="8">
        <f>SUM(J60:J71)</f>
        <v>4490</v>
      </c>
    </row>
    <row r="73" spans="1:10" ht="19.95" customHeight="1" x14ac:dyDescent="0.3">
      <c r="A73" s="15"/>
      <c r="B73" s="15"/>
      <c r="C73" s="15"/>
      <c r="D73" s="15"/>
      <c r="E73" s="16"/>
      <c r="F73" s="15"/>
      <c r="G73" s="15"/>
      <c r="H73" s="17"/>
      <c r="I73" s="18"/>
      <c r="J73" s="17"/>
    </row>
    <row r="74" spans="1:10" ht="30" customHeight="1" x14ac:dyDescent="0.3">
      <c r="A74" s="94" t="s">
        <v>23</v>
      </c>
      <c r="B74" s="94"/>
      <c r="C74" s="94"/>
      <c r="D74" s="94"/>
      <c r="E74" s="94"/>
      <c r="F74" s="94"/>
      <c r="G74" s="94"/>
      <c r="H74" s="94"/>
      <c r="I74" s="94"/>
      <c r="J74" s="94"/>
    </row>
    <row r="75" spans="1:10" ht="30" customHeight="1" x14ac:dyDescent="0.3">
      <c r="A75" s="4" t="s">
        <v>1</v>
      </c>
      <c r="B75" s="4" t="s">
        <v>2</v>
      </c>
      <c r="C75" s="5" t="s">
        <v>3</v>
      </c>
      <c r="D75" s="5" t="s">
        <v>4</v>
      </c>
      <c r="E75" s="4" t="s">
        <v>5</v>
      </c>
      <c r="F75" s="5" t="s">
        <v>6</v>
      </c>
      <c r="G75" s="5" t="s">
        <v>7</v>
      </c>
      <c r="H75" s="4" t="s">
        <v>8</v>
      </c>
      <c r="I75" s="4" t="s">
        <v>9</v>
      </c>
      <c r="J75" s="4" t="s">
        <v>10</v>
      </c>
    </row>
    <row r="76" spans="1:10" ht="19.95" customHeight="1" x14ac:dyDescent="0.3">
      <c r="A76" s="4">
        <v>250052</v>
      </c>
      <c r="B76" s="4">
        <v>304</v>
      </c>
      <c r="C76" s="6">
        <v>0.7</v>
      </c>
      <c r="D76" s="6" t="s">
        <v>11</v>
      </c>
      <c r="E76" s="7" t="s">
        <v>168</v>
      </c>
      <c r="F76" s="4" t="s">
        <v>13</v>
      </c>
      <c r="G76" s="4">
        <v>304</v>
      </c>
      <c r="H76" s="8">
        <v>785</v>
      </c>
      <c r="I76" s="9"/>
      <c r="J76" s="8">
        <f t="shared" ref="J76:J90" si="5">H76-I76</f>
        <v>785</v>
      </c>
    </row>
    <row r="77" spans="1:10" ht="19.95" customHeight="1" x14ac:dyDescent="0.3">
      <c r="A77" s="4">
        <v>250052</v>
      </c>
      <c r="B77" s="4">
        <v>304</v>
      </c>
      <c r="C77" s="6">
        <v>1</v>
      </c>
      <c r="D77" s="6" t="s">
        <v>11</v>
      </c>
      <c r="E77" s="7" t="s">
        <v>168</v>
      </c>
      <c r="F77" s="4" t="s">
        <v>13</v>
      </c>
      <c r="G77" s="4">
        <v>304</v>
      </c>
      <c r="H77" s="8">
        <v>15</v>
      </c>
      <c r="I77" s="9"/>
      <c r="J77" s="8">
        <f t="shared" si="5"/>
        <v>15</v>
      </c>
    </row>
    <row r="78" spans="1:10" ht="19.95" customHeight="1" x14ac:dyDescent="0.3">
      <c r="A78" s="4">
        <v>250057</v>
      </c>
      <c r="B78" s="4">
        <v>304</v>
      </c>
      <c r="C78" s="6">
        <v>0.7</v>
      </c>
      <c r="D78" s="6" t="s">
        <v>11</v>
      </c>
      <c r="E78" s="7" t="s">
        <v>169</v>
      </c>
      <c r="F78" s="4" t="s">
        <v>170</v>
      </c>
      <c r="G78" s="4">
        <v>304</v>
      </c>
      <c r="H78" s="8">
        <v>395</v>
      </c>
      <c r="I78" s="9"/>
      <c r="J78" s="8">
        <f t="shared" si="5"/>
        <v>395</v>
      </c>
    </row>
    <row r="79" spans="1:10" ht="19.95" customHeight="1" x14ac:dyDescent="0.3">
      <c r="A79" s="4">
        <v>250061</v>
      </c>
      <c r="B79" s="4">
        <v>304</v>
      </c>
      <c r="C79" s="6">
        <v>0.7</v>
      </c>
      <c r="D79" s="6" t="s">
        <v>11</v>
      </c>
      <c r="E79" s="7" t="s">
        <v>169</v>
      </c>
      <c r="F79" s="4" t="s">
        <v>171</v>
      </c>
      <c r="G79" s="4">
        <v>304</v>
      </c>
      <c r="H79" s="8">
        <v>525</v>
      </c>
      <c r="I79" s="9"/>
      <c r="J79" s="8">
        <f t="shared" si="5"/>
        <v>525</v>
      </c>
    </row>
    <row r="80" spans="1:10" ht="19.95" customHeight="1" x14ac:dyDescent="0.3">
      <c r="A80" s="4">
        <v>250057</v>
      </c>
      <c r="B80" s="4">
        <v>304</v>
      </c>
      <c r="C80" s="6">
        <v>1</v>
      </c>
      <c r="D80" s="6" t="s">
        <v>11</v>
      </c>
      <c r="E80" s="7" t="s">
        <v>169</v>
      </c>
      <c r="F80" s="4" t="s">
        <v>170</v>
      </c>
      <c r="G80" s="4">
        <v>304</v>
      </c>
      <c r="H80" s="8">
        <v>15</v>
      </c>
      <c r="I80" s="9"/>
      <c r="J80" s="8">
        <f t="shared" si="5"/>
        <v>15</v>
      </c>
    </row>
    <row r="81" spans="1:10" ht="19.95" customHeight="1" x14ac:dyDescent="0.3">
      <c r="A81" s="4">
        <v>250061</v>
      </c>
      <c r="B81" s="4">
        <v>304</v>
      </c>
      <c r="C81" s="6">
        <v>1</v>
      </c>
      <c r="D81" s="6" t="s">
        <v>11</v>
      </c>
      <c r="E81" s="7" t="s">
        <v>169</v>
      </c>
      <c r="F81" s="4" t="s">
        <v>171</v>
      </c>
      <c r="G81" s="4">
        <v>304</v>
      </c>
      <c r="H81" s="8">
        <v>15</v>
      </c>
      <c r="I81" s="9"/>
      <c r="J81" s="8">
        <f t="shared" si="5"/>
        <v>15</v>
      </c>
    </row>
    <row r="82" spans="1:10" ht="19.95" customHeight="1" x14ac:dyDescent="0.3">
      <c r="A82" s="4">
        <v>250057</v>
      </c>
      <c r="B82" s="4">
        <v>304</v>
      </c>
      <c r="C82" s="6">
        <v>0.7</v>
      </c>
      <c r="D82" s="6" t="s">
        <v>11</v>
      </c>
      <c r="E82" s="7" t="s">
        <v>172</v>
      </c>
      <c r="F82" s="4" t="s">
        <v>13</v>
      </c>
      <c r="G82" s="4">
        <v>304</v>
      </c>
      <c r="H82" s="8">
        <v>395</v>
      </c>
      <c r="I82" s="9"/>
      <c r="J82" s="8">
        <f t="shared" si="5"/>
        <v>395</v>
      </c>
    </row>
    <row r="83" spans="1:10" ht="19.95" customHeight="1" x14ac:dyDescent="0.3">
      <c r="A83" s="4">
        <v>250057</v>
      </c>
      <c r="B83" s="4">
        <v>304</v>
      </c>
      <c r="C83" s="6">
        <v>1</v>
      </c>
      <c r="D83" s="6" t="s">
        <v>11</v>
      </c>
      <c r="E83" s="7" t="s">
        <v>173</v>
      </c>
      <c r="F83" s="4" t="s">
        <v>174</v>
      </c>
      <c r="G83" s="4">
        <v>304</v>
      </c>
      <c r="H83" s="8">
        <v>15</v>
      </c>
      <c r="I83" s="9"/>
      <c r="J83" s="8">
        <f t="shared" si="5"/>
        <v>15</v>
      </c>
    </row>
    <row r="84" spans="1:10" ht="19.95" customHeight="1" x14ac:dyDescent="0.3">
      <c r="A84" s="4">
        <v>250057</v>
      </c>
      <c r="B84" s="4">
        <v>304</v>
      </c>
      <c r="C84" s="6">
        <v>0.7</v>
      </c>
      <c r="D84" s="6" t="s">
        <v>55</v>
      </c>
      <c r="E84" s="7" t="s">
        <v>175</v>
      </c>
      <c r="F84" s="4" t="s">
        <v>52</v>
      </c>
      <c r="G84" s="4">
        <v>304</v>
      </c>
      <c r="H84" s="8">
        <v>395</v>
      </c>
      <c r="I84" s="9"/>
      <c r="J84" s="8">
        <f t="shared" si="5"/>
        <v>395</v>
      </c>
    </row>
    <row r="85" spans="1:10" ht="19.95" customHeight="1" x14ac:dyDescent="0.3">
      <c r="A85" s="4">
        <v>250057</v>
      </c>
      <c r="B85" s="4">
        <v>304</v>
      </c>
      <c r="C85" s="6">
        <v>1</v>
      </c>
      <c r="D85" s="6" t="s">
        <v>55</v>
      </c>
      <c r="E85" s="7" t="s">
        <v>175</v>
      </c>
      <c r="F85" s="4" t="s">
        <v>52</v>
      </c>
      <c r="G85" s="4">
        <v>304</v>
      </c>
      <c r="H85" s="8">
        <v>15</v>
      </c>
      <c r="I85" s="9"/>
      <c r="J85" s="8">
        <f t="shared" si="5"/>
        <v>15</v>
      </c>
    </row>
    <row r="86" spans="1:10" ht="19.95" customHeight="1" x14ac:dyDescent="0.3">
      <c r="A86" s="4">
        <v>160925</v>
      </c>
      <c r="B86" s="4">
        <v>304</v>
      </c>
      <c r="C86" s="6">
        <v>0.9</v>
      </c>
      <c r="D86" s="6" t="s">
        <v>55</v>
      </c>
      <c r="E86" s="7" t="s">
        <v>176</v>
      </c>
      <c r="F86" s="4" t="s">
        <v>177</v>
      </c>
      <c r="G86" s="4">
        <v>430</v>
      </c>
      <c r="H86" s="8">
        <v>1100</v>
      </c>
      <c r="I86" s="9"/>
      <c r="J86" s="8">
        <f t="shared" si="5"/>
        <v>1100</v>
      </c>
    </row>
    <row r="87" spans="1:10" ht="19.95" customHeight="1" x14ac:dyDescent="0.3">
      <c r="A87" s="4">
        <v>250042</v>
      </c>
      <c r="B87" s="4">
        <v>304</v>
      </c>
      <c r="C87" s="6">
        <v>0.9</v>
      </c>
      <c r="D87" s="6" t="s">
        <v>55</v>
      </c>
      <c r="E87" s="7" t="s">
        <v>178</v>
      </c>
      <c r="F87" s="4" t="s">
        <v>177</v>
      </c>
      <c r="G87" s="4">
        <v>304</v>
      </c>
      <c r="H87" s="8">
        <v>750</v>
      </c>
      <c r="I87" s="9"/>
      <c r="J87" s="8">
        <f t="shared" si="5"/>
        <v>750</v>
      </c>
    </row>
    <row r="88" spans="1:10" ht="19.95" customHeight="1" x14ac:dyDescent="0.3">
      <c r="A88" s="4">
        <v>250042</v>
      </c>
      <c r="B88" s="4">
        <v>304</v>
      </c>
      <c r="C88" s="6">
        <v>0.9</v>
      </c>
      <c r="D88" s="6" t="s">
        <v>55</v>
      </c>
      <c r="E88" s="7" t="s">
        <v>179</v>
      </c>
      <c r="F88" s="4" t="s">
        <v>177</v>
      </c>
      <c r="G88" s="4">
        <v>304</v>
      </c>
      <c r="H88" s="8">
        <v>750</v>
      </c>
      <c r="I88" s="9"/>
      <c r="J88" s="8">
        <f t="shared" si="5"/>
        <v>750</v>
      </c>
    </row>
    <row r="89" spans="1:10" ht="19.95" customHeight="1" x14ac:dyDescent="0.3">
      <c r="A89" s="4">
        <v>250042</v>
      </c>
      <c r="B89" s="4">
        <v>304</v>
      </c>
      <c r="C89" s="6">
        <v>0.9</v>
      </c>
      <c r="D89" s="6" t="s">
        <v>55</v>
      </c>
      <c r="E89" s="7" t="s">
        <v>180</v>
      </c>
      <c r="F89" s="4" t="s">
        <v>177</v>
      </c>
      <c r="G89" s="4">
        <v>304</v>
      </c>
      <c r="H89" s="8">
        <v>750</v>
      </c>
      <c r="I89" s="9"/>
      <c r="J89" s="8">
        <f t="shared" si="5"/>
        <v>750</v>
      </c>
    </row>
    <row r="90" spans="1:10" ht="19.95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customHeight="1" x14ac:dyDescent="0.3">
      <c r="A91" s="10"/>
      <c r="B91" s="10"/>
      <c r="C91" s="10"/>
      <c r="D91" s="10"/>
      <c r="E91" s="11"/>
      <c r="F91" s="10"/>
      <c r="G91" s="12"/>
      <c r="H91" s="8">
        <f>SUM(H76:H90)</f>
        <v>5920</v>
      </c>
      <c r="I91" s="9">
        <f>SUM(I76:I90)</f>
        <v>0</v>
      </c>
      <c r="J91" s="8">
        <f>SUM(J76:J90)</f>
        <v>5920</v>
      </c>
    </row>
    <row r="93" spans="1:10" ht="15.6" x14ac:dyDescent="0.3">
      <c r="H93" s="8">
        <f>H91+H72+H56+H50+H29+H11</f>
        <v>28037</v>
      </c>
      <c r="I93" s="8">
        <f>I91+I72+I56+I50+I29+I11</f>
        <v>8346</v>
      </c>
      <c r="J93" s="8">
        <f>J91+J72+J56+J50+J29+J11</f>
        <v>19691</v>
      </c>
    </row>
    <row r="95" spans="1:10" ht="23.4" x14ac:dyDescent="0.3">
      <c r="A95" s="95" t="s">
        <v>14</v>
      </c>
      <c r="B95" s="95"/>
      <c r="C95" s="95"/>
      <c r="D95" s="95"/>
      <c r="E95" s="95"/>
      <c r="F95" s="95"/>
      <c r="G95" s="95"/>
      <c r="H95" s="95"/>
      <c r="I95" s="95"/>
      <c r="J95" s="95"/>
    </row>
  </sheetData>
  <mergeCells count="9">
    <mergeCell ref="A58:J58"/>
    <mergeCell ref="A74:J74"/>
    <mergeCell ref="A95:J95"/>
    <mergeCell ref="H1:J1"/>
    <mergeCell ref="A2:J2"/>
    <mergeCell ref="A3:J3"/>
    <mergeCell ref="A13:J13"/>
    <mergeCell ref="A31:J31"/>
    <mergeCell ref="A52:J5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zoomScale="85" zoomScaleNormal="85" workbookViewId="0">
      <selection activeCell="M46" sqref="M46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6.664062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149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290925</v>
      </c>
      <c r="B5" s="42">
        <v>304</v>
      </c>
      <c r="C5" s="43">
        <v>0.8</v>
      </c>
      <c r="D5" s="43" t="s">
        <v>43</v>
      </c>
      <c r="E5" s="37" t="s">
        <v>143</v>
      </c>
      <c r="F5" s="42" t="s">
        <v>41</v>
      </c>
      <c r="G5" s="42">
        <v>430</v>
      </c>
      <c r="H5" s="41">
        <v>2687</v>
      </c>
      <c r="I5" s="40">
        <v>2778</v>
      </c>
      <c r="J5" s="32">
        <f t="shared" ref="J5:J10" si="0">H5-I5</f>
        <v>-91</v>
      </c>
    </row>
    <row r="6" spans="1:10" ht="19.95" customHeight="1" x14ac:dyDescent="0.3">
      <c r="A6" s="4">
        <v>250057</v>
      </c>
      <c r="B6" s="4">
        <v>304</v>
      </c>
      <c r="C6" s="6">
        <v>0.7</v>
      </c>
      <c r="D6" s="6" t="s">
        <v>11</v>
      </c>
      <c r="E6" s="7" t="s">
        <v>150</v>
      </c>
      <c r="F6" s="4" t="s">
        <v>13</v>
      </c>
      <c r="G6" s="8">
        <v>304</v>
      </c>
      <c r="H6" s="8">
        <v>395</v>
      </c>
      <c r="I6" s="40">
        <v>400</v>
      </c>
      <c r="J6" s="32">
        <f t="shared" si="0"/>
        <v>-5</v>
      </c>
    </row>
    <row r="7" spans="1:10" ht="19.95" customHeight="1" x14ac:dyDescent="0.3">
      <c r="A7" s="4">
        <v>250061</v>
      </c>
      <c r="B7" s="4">
        <v>304</v>
      </c>
      <c r="C7" s="6">
        <v>0.7</v>
      </c>
      <c r="D7" s="6" t="s">
        <v>11</v>
      </c>
      <c r="E7" s="7" t="s">
        <v>150</v>
      </c>
      <c r="F7" s="4" t="s">
        <v>13</v>
      </c>
      <c r="G7" s="8">
        <v>304</v>
      </c>
      <c r="H7" s="8">
        <v>525</v>
      </c>
      <c r="I7" s="40">
        <v>583</v>
      </c>
      <c r="J7" s="32">
        <f t="shared" si="0"/>
        <v>-58</v>
      </c>
    </row>
    <row r="8" spans="1:10" ht="19.95" customHeight="1" x14ac:dyDescent="0.3">
      <c r="A8" s="4">
        <v>250061</v>
      </c>
      <c r="B8" s="4">
        <v>304</v>
      </c>
      <c r="C8" s="6">
        <v>0.7</v>
      </c>
      <c r="D8" s="6" t="s">
        <v>11</v>
      </c>
      <c r="E8" s="7" t="s">
        <v>151</v>
      </c>
      <c r="F8" s="4" t="s">
        <v>13</v>
      </c>
      <c r="G8" s="8">
        <v>304</v>
      </c>
      <c r="H8" s="8">
        <v>525</v>
      </c>
      <c r="I8" s="40">
        <v>530</v>
      </c>
      <c r="J8" s="32">
        <f t="shared" si="0"/>
        <v>-5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40"/>
      <c r="J9" s="32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40"/>
      <c r="J10" s="32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4132</v>
      </c>
      <c r="I11" s="44">
        <f>SUM(I5:I10)</f>
        <v>4291</v>
      </c>
      <c r="J11" s="32">
        <f>SUM(J5:J10)</f>
        <v>-159</v>
      </c>
    </row>
    <row r="13" spans="1:10" ht="30" customHeight="1" x14ac:dyDescent="0.3">
      <c r="A13" s="94" t="s">
        <v>17</v>
      </c>
      <c r="B13" s="94"/>
      <c r="C13" s="94"/>
      <c r="D13" s="94"/>
      <c r="E13" s="94"/>
      <c r="F13" s="94"/>
      <c r="G13" s="94"/>
      <c r="H13" s="94"/>
      <c r="I13" s="94"/>
      <c r="J13" s="94"/>
    </row>
    <row r="14" spans="1:10" ht="30" customHeight="1" x14ac:dyDescent="0.3">
      <c r="A14" s="4" t="s">
        <v>1</v>
      </c>
      <c r="B14" s="4" t="s">
        <v>2</v>
      </c>
      <c r="C14" s="5" t="s">
        <v>3</v>
      </c>
      <c r="D14" s="5" t="s">
        <v>4</v>
      </c>
      <c r="E14" s="4" t="s">
        <v>5</v>
      </c>
      <c r="F14" s="5" t="s">
        <v>6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250057</v>
      </c>
      <c r="B15" s="4">
        <v>304</v>
      </c>
      <c r="C15" s="6">
        <v>0.7</v>
      </c>
      <c r="D15" s="6" t="s">
        <v>96</v>
      </c>
      <c r="E15" s="7" t="s">
        <v>151</v>
      </c>
      <c r="F15" s="4" t="s">
        <v>13</v>
      </c>
      <c r="G15" s="4">
        <v>304</v>
      </c>
      <c r="H15" s="8">
        <v>395</v>
      </c>
      <c r="I15" s="40">
        <v>400</v>
      </c>
      <c r="J15" s="32">
        <f t="shared" ref="J15:J28" si="1">H15-I15</f>
        <v>-5</v>
      </c>
    </row>
    <row r="16" spans="1:10" ht="19.95" customHeight="1" x14ac:dyDescent="0.3">
      <c r="A16" s="4">
        <v>250055</v>
      </c>
      <c r="B16" s="4">
        <v>304</v>
      </c>
      <c r="C16" s="6">
        <v>0.7</v>
      </c>
      <c r="D16" s="6" t="s">
        <v>96</v>
      </c>
      <c r="E16" s="7" t="s">
        <v>151</v>
      </c>
      <c r="F16" s="4" t="s">
        <v>13</v>
      </c>
      <c r="G16" s="4">
        <v>304</v>
      </c>
      <c r="H16" s="8">
        <v>815</v>
      </c>
      <c r="I16" s="40">
        <f>627+188</f>
        <v>815</v>
      </c>
      <c r="J16" s="32">
        <f t="shared" si="1"/>
        <v>0</v>
      </c>
    </row>
    <row r="17" spans="1:10" ht="19.95" customHeight="1" x14ac:dyDescent="0.3">
      <c r="A17" s="4">
        <v>250052</v>
      </c>
      <c r="B17" s="4">
        <v>304</v>
      </c>
      <c r="C17" s="6">
        <v>0.7</v>
      </c>
      <c r="D17" s="6" t="s">
        <v>96</v>
      </c>
      <c r="E17" s="7" t="s">
        <v>151</v>
      </c>
      <c r="F17" s="4" t="s">
        <v>13</v>
      </c>
      <c r="G17" s="4">
        <v>304</v>
      </c>
      <c r="H17" s="8">
        <v>785</v>
      </c>
      <c r="I17" s="40">
        <v>813</v>
      </c>
      <c r="J17" s="32">
        <f t="shared" si="1"/>
        <v>-28</v>
      </c>
    </row>
    <row r="18" spans="1:10" ht="19.95" customHeight="1" x14ac:dyDescent="0.3">
      <c r="A18" s="4">
        <v>250061</v>
      </c>
      <c r="B18" s="4">
        <v>304</v>
      </c>
      <c r="C18" s="6">
        <v>1</v>
      </c>
      <c r="D18" s="6" t="s">
        <v>96</v>
      </c>
      <c r="E18" s="7" t="s">
        <v>152</v>
      </c>
      <c r="F18" s="4" t="s">
        <v>13</v>
      </c>
      <c r="G18" s="4">
        <v>304</v>
      </c>
      <c r="H18" s="8">
        <v>15</v>
      </c>
      <c r="I18" s="40">
        <v>15</v>
      </c>
      <c r="J18" s="32">
        <f t="shared" si="1"/>
        <v>0</v>
      </c>
    </row>
    <row r="19" spans="1:10" ht="19.95" customHeight="1" x14ac:dyDescent="0.3">
      <c r="A19" s="4">
        <v>250057</v>
      </c>
      <c r="B19" s="4">
        <v>304</v>
      </c>
      <c r="C19" s="6">
        <v>1</v>
      </c>
      <c r="D19" s="6" t="s">
        <v>96</v>
      </c>
      <c r="E19" s="7" t="s">
        <v>152</v>
      </c>
      <c r="F19" s="4" t="s">
        <v>13</v>
      </c>
      <c r="G19" s="4">
        <v>304</v>
      </c>
      <c r="H19" s="8">
        <v>15</v>
      </c>
      <c r="I19" s="40">
        <v>15</v>
      </c>
      <c r="J19" s="32">
        <f t="shared" si="1"/>
        <v>0</v>
      </c>
    </row>
    <row r="20" spans="1:10" ht="19.95" customHeight="1" x14ac:dyDescent="0.3">
      <c r="A20" s="4">
        <v>250055</v>
      </c>
      <c r="B20" s="4">
        <v>304</v>
      </c>
      <c r="C20" s="6">
        <v>1</v>
      </c>
      <c r="D20" s="6" t="s">
        <v>96</v>
      </c>
      <c r="E20" s="7" t="s">
        <v>152</v>
      </c>
      <c r="F20" s="4" t="s">
        <v>13</v>
      </c>
      <c r="G20" s="4">
        <v>304</v>
      </c>
      <c r="H20" s="8">
        <v>15</v>
      </c>
      <c r="I20" s="40">
        <v>15</v>
      </c>
      <c r="J20" s="32">
        <f t="shared" si="1"/>
        <v>0</v>
      </c>
    </row>
    <row r="21" spans="1:10" ht="19.95" customHeight="1" x14ac:dyDescent="0.3">
      <c r="A21" s="4">
        <v>250052</v>
      </c>
      <c r="B21" s="4">
        <v>304</v>
      </c>
      <c r="C21" s="6">
        <v>1</v>
      </c>
      <c r="D21" s="6" t="s">
        <v>96</v>
      </c>
      <c r="E21" s="7" t="s">
        <v>152</v>
      </c>
      <c r="F21" s="4" t="s">
        <v>13</v>
      </c>
      <c r="G21" s="4">
        <v>304</v>
      </c>
      <c r="H21" s="8">
        <v>15</v>
      </c>
      <c r="I21" s="40">
        <v>15</v>
      </c>
      <c r="J21" s="32">
        <f t="shared" si="1"/>
        <v>0</v>
      </c>
    </row>
    <row r="22" spans="1:10" ht="19.95" customHeight="1" x14ac:dyDescent="0.3">
      <c r="A22" s="4">
        <v>250052</v>
      </c>
      <c r="B22" s="4">
        <v>304</v>
      </c>
      <c r="C22" s="6">
        <v>0.7</v>
      </c>
      <c r="D22" s="6" t="s">
        <v>96</v>
      </c>
      <c r="E22" s="7" t="s">
        <v>153</v>
      </c>
      <c r="F22" s="4" t="s">
        <v>13</v>
      </c>
      <c r="G22" s="4">
        <v>304</v>
      </c>
      <c r="H22" s="8">
        <v>785</v>
      </c>
      <c r="I22" s="9">
        <v>657</v>
      </c>
      <c r="J22" s="8">
        <f t="shared" si="1"/>
        <v>128</v>
      </c>
    </row>
    <row r="23" spans="1:10" ht="19.95" customHeight="1" x14ac:dyDescent="0.3">
      <c r="A23" s="4">
        <v>250055</v>
      </c>
      <c r="B23" s="4">
        <v>304</v>
      </c>
      <c r="C23" s="6">
        <v>0.7</v>
      </c>
      <c r="D23" s="6" t="s">
        <v>96</v>
      </c>
      <c r="E23" s="7" t="s">
        <v>153</v>
      </c>
      <c r="F23" s="4" t="s">
        <v>13</v>
      </c>
      <c r="G23" s="4">
        <v>304</v>
      </c>
      <c r="H23" s="8">
        <v>815</v>
      </c>
      <c r="I23" s="9"/>
      <c r="J23" s="8">
        <f t="shared" si="1"/>
        <v>815</v>
      </c>
    </row>
    <row r="24" spans="1:10" ht="19.95" customHeight="1" x14ac:dyDescent="0.3">
      <c r="A24" s="4">
        <v>250052</v>
      </c>
      <c r="B24" s="4">
        <v>304</v>
      </c>
      <c r="C24" s="6">
        <v>1</v>
      </c>
      <c r="D24" s="6" t="s">
        <v>96</v>
      </c>
      <c r="E24" s="7" t="s">
        <v>154</v>
      </c>
      <c r="F24" s="4" t="s">
        <v>13</v>
      </c>
      <c r="G24" s="4">
        <v>304</v>
      </c>
      <c r="H24" s="8">
        <v>15</v>
      </c>
      <c r="I24" s="9"/>
      <c r="J24" s="8">
        <f t="shared" si="1"/>
        <v>15</v>
      </c>
    </row>
    <row r="25" spans="1:10" ht="19.95" customHeight="1" x14ac:dyDescent="0.3">
      <c r="A25" s="4">
        <v>250055</v>
      </c>
      <c r="B25" s="4">
        <v>304</v>
      </c>
      <c r="C25" s="6">
        <v>1</v>
      </c>
      <c r="D25" s="6" t="s">
        <v>96</v>
      </c>
      <c r="E25" s="7" t="s">
        <v>154</v>
      </c>
      <c r="F25" s="4" t="s">
        <v>13</v>
      </c>
      <c r="G25" s="4">
        <v>304</v>
      </c>
      <c r="H25" s="8">
        <v>15</v>
      </c>
      <c r="I25" s="9"/>
      <c r="J25" s="8">
        <f t="shared" si="1"/>
        <v>15</v>
      </c>
    </row>
    <row r="26" spans="1:10" ht="19.95" customHeight="1" x14ac:dyDescent="0.3">
      <c r="A26" s="4">
        <v>250057</v>
      </c>
      <c r="B26" s="4">
        <v>304</v>
      </c>
      <c r="C26" s="6">
        <v>0.7</v>
      </c>
      <c r="D26" s="6" t="s">
        <v>96</v>
      </c>
      <c r="E26" s="7" t="s">
        <v>155</v>
      </c>
      <c r="F26" s="4" t="s">
        <v>41</v>
      </c>
      <c r="G26" s="4">
        <v>304</v>
      </c>
      <c r="H26" s="8">
        <v>395</v>
      </c>
      <c r="I26" s="9"/>
      <c r="J26" s="8">
        <f t="shared" si="1"/>
        <v>395</v>
      </c>
    </row>
    <row r="27" spans="1:10" ht="19.95" customHeight="1" x14ac:dyDescent="0.3">
      <c r="A27" s="4">
        <v>250057</v>
      </c>
      <c r="B27" s="4">
        <v>304</v>
      </c>
      <c r="C27" s="6">
        <v>1</v>
      </c>
      <c r="D27" s="6" t="s">
        <v>96</v>
      </c>
      <c r="E27" s="7" t="s">
        <v>156</v>
      </c>
      <c r="F27" s="4" t="s">
        <v>41</v>
      </c>
      <c r="G27" s="4">
        <v>304</v>
      </c>
      <c r="H27" s="8">
        <v>15</v>
      </c>
      <c r="I27" s="9"/>
      <c r="J27" s="8">
        <f t="shared" si="1"/>
        <v>15</v>
      </c>
    </row>
    <row r="28" spans="1:10" ht="19.95" customHeight="1" x14ac:dyDescent="0.3">
      <c r="A28" s="4"/>
      <c r="B28" s="4"/>
      <c r="C28" s="6"/>
      <c r="D28" s="6"/>
      <c r="E28" s="7"/>
      <c r="F28" s="4"/>
      <c r="G28" s="4"/>
      <c r="H28" s="8"/>
      <c r="I28" s="9"/>
      <c r="J28" s="8">
        <f t="shared" si="1"/>
        <v>0</v>
      </c>
    </row>
    <row r="29" spans="1:10" ht="19.95" customHeight="1" x14ac:dyDescent="0.3">
      <c r="A29" s="10"/>
      <c r="B29" s="10"/>
      <c r="C29" s="10"/>
      <c r="D29" s="10"/>
      <c r="E29" s="11"/>
      <c r="F29" s="10"/>
      <c r="G29" s="12"/>
      <c r="H29" s="8">
        <f>SUM(H15:H28)</f>
        <v>4095</v>
      </c>
      <c r="I29" s="9">
        <f>SUM(I15:I28)</f>
        <v>2745</v>
      </c>
      <c r="J29" s="8">
        <f>SUM(J15:J28)</f>
        <v>1350</v>
      </c>
    </row>
    <row r="31" spans="1:10" ht="30" customHeight="1" x14ac:dyDescent="0.3">
      <c r="A31" s="94" t="s">
        <v>18</v>
      </c>
      <c r="B31" s="94"/>
      <c r="C31" s="94"/>
      <c r="D31" s="94"/>
      <c r="E31" s="94"/>
      <c r="F31" s="94"/>
      <c r="G31" s="94"/>
      <c r="H31" s="94"/>
      <c r="I31" s="94"/>
      <c r="J31" s="94"/>
    </row>
    <row r="32" spans="1:10" ht="30" customHeight="1" x14ac:dyDescent="0.3">
      <c r="A32" s="4" t="s">
        <v>1</v>
      </c>
      <c r="B32" s="4" t="s">
        <v>2</v>
      </c>
      <c r="C32" s="5" t="s">
        <v>3</v>
      </c>
      <c r="D32" s="5" t="s">
        <v>4</v>
      </c>
      <c r="E32" s="4" t="s">
        <v>5</v>
      </c>
      <c r="F32" s="5" t="s">
        <v>6</v>
      </c>
      <c r="G32" s="5" t="s">
        <v>7</v>
      </c>
      <c r="H32" s="4" t="s">
        <v>8</v>
      </c>
      <c r="I32" s="4" t="s">
        <v>9</v>
      </c>
      <c r="J32" s="4" t="s">
        <v>10</v>
      </c>
    </row>
    <row r="33" spans="1:10" ht="19.95" customHeight="1" x14ac:dyDescent="0.3">
      <c r="A33" s="4">
        <v>250061</v>
      </c>
      <c r="B33" s="4">
        <v>304</v>
      </c>
      <c r="C33" s="6">
        <v>0.7</v>
      </c>
      <c r="D33" s="6" t="s">
        <v>96</v>
      </c>
      <c r="E33" s="7" t="s">
        <v>157</v>
      </c>
      <c r="F33" s="4" t="s">
        <v>41</v>
      </c>
      <c r="G33" s="4">
        <v>304</v>
      </c>
      <c r="H33" s="8">
        <v>525</v>
      </c>
      <c r="I33" s="9"/>
      <c r="J33" s="8">
        <f t="shared" ref="J33:J49" si="2">H33-I33</f>
        <v>525</v>
      </c>
    </row>
    <row r="34" spans="1:10" ht="19.95" customHeight="1" x14ac:dyDescent="0.3">
      <c r="A34" s="4">
        <v>250061</v>
      </c>
      <c r="B34" s="4">
        <v>304</v>
      </c>
      <c r="C34" s="6">
        <v>1</v>
      </c>
      <c r="D34" s="6" t="s">
        <v>96</v>
      </c>
      <c r="E34" s="7" t="s">
        <v>158</v>
      </c>
      <c r="F34" s="4" t="s">
        <v>41</v>
      </c>
      <c r="G34" s="4">
        <v>304</v>
      </c>
      <c r="H34" s="8">
        <v>15</v>
      </c>
      <c r="I34" s="9"/>
      <c r="J34" s="8">
        <f t="shared" si="2"/>
        <v>15</v>
      </c>
    </row>
    <row r="35" spans="1:10" ht="19.95" customHeight="1" x14ac:dyDescent="0.3">
      <c r="A35" s="4">
        <v>250052</v>
      </c>
      <c r="B35" s="4">
        <v>304</v>
      </c>
      <c r="C35" s="6">
        <v>0.7</v>
      </c>
      <c r="D35" s="6" t="s">
        <v>96</v>
      </c>
      <c r="E35" s="7" t="s">
        <v>159</v>
      </c>
      <c r="F35" s="4" t="s">
        <v>13</v>
      </c>
      <c r="G35" s="4">
        <v>304</v>
      </c>
      <c r="H35" s="8">
        <v>785</v>
      </c>
      <c r="I35" s="9"/>
      <c r="J35" s="8">
        <f t="shared" si="2"/>
        <v>785</v>
      </c>
    </row>
    <row r="36" spans="1:10" ht="19.95" customHeight="1" x14ac:dyDescent="0.3">
      <c r="A36" s="4">
        <v>250055</v>
      </c>
      <c r="B36" s="4">
        <v>304</v>
      </c>
      <c r="C36" s="6">
        <v>0.7</v>
      </c>
      <c r="D36" s="6" t="s">
        <v>96</v>
      </c>
      <c r="E36" s="7" t="s">
        <v>159</v>
      </c>
      <c r="F36" s="4" t="s">
        <v>13</v>
      </c>
      <c r="G36" s="4">
        <v>304</v>
      </c>
      <c r="H36" s="8">
        <v>815</v>
      </c>
      <c r="I36" s="9"/>
      <c r="J36" s="8">
        <f t="shared" si="2"/>
        <v>815</v>
      </c>
    </row>
    <row r="37" spans="1:10" ht="19.95" customHeight="1" x14ac:dyDescent="0.3">
      <c r="A37" s="4">
        <v>250057</v>
      </c>
      <c r="B37" s="4">
        <v>304</v>
      </c>
      <c r="C37" s="6">
        <v>0.7</v>
      </c>
      <c r="D37" s="6" t="s">
        <v>96</v>
      </c>
      <c r="E37" s="7" t="s">
        <v>159</v>
      </c>
      <c r="F37" s="4" t="s">
        <v>13</v>
      </c>
      <c r="G37" s="4">
        <v>304</v>
      </c>
      <c r="H37" s="8">
        <v>395</v>
      </c>
      <c r="I37" s="9"/>
      <c r="J37" s="8">
        <f t="shared" si="2"/>
        <v>395</v>
      </c>
    </row>
    <row r="38" spans="1:10" ht="19.95" customHeight="1" x14ac:dyDescent="0.3">
      <c r="A38" s="4">
        <v>250061</v>
      </c>
      <c r="B38" s="4">
        <v>304</v>
      </c>
      <c r="C38" s="6">
        <v>0.7</v>
      </c>
      <c r="D38" s="6" t="s">
        <v>96</v>
      </c>
      <c r="E38" s="7" t="s">
        <v>159</v>
      </c>
      <c r="F38" s="4" t="s">
        <v>13</v>
      </c>
      <c r="G38" s="4">
        <v>304</v>
      </c>
      <c r="H38" s="8">
        <v>525</v>
      </c>
      <c r="I38" s="9"/>
      <c r="J38" s="8">
        <f t="shared" si="2"/>
        <v>525</v>
      </c>
    </row>
    <row r="39" spans="1:10" ht="19.95" customHeight="1" x14ac:dyDescent="0.3">
      <c r="A39" s="4">
        <v>250052</v>
      </c>
      <c r="B39" s="4">
        <v>304</v>
      </c>
      <c r="C39" s="6">
        <v>1</v>
      </c>
      <c r="D39" s="6" t="s">
        <v>96</v>
      </c>
      <c r="E39" s="7" t="s">
        <v>160</v>
      </c>
      <c r="F39" s="4" t="s">
        <v>13</v>
      </c>
      <c r="G39" s="4">
        <v>304</v>
      </c>
      <c r="H39" s="8">
        <v>15</v>
      </c>
      <c r="I39" s="9"/>
      <c r="J39" s="8">
        <f t="shared" si="2"/>
        <v>15</v>
      </c>
    </row>
    <row r="40" spans="1:10" ht="19.95" customHeight="1" x14ac:dyDescent="0.3">
      <c r="A40" s="4">
        <v>250055</v>
      </c>
      <c r="B40" s="4">
        <v>304</v>
      </c>
      <c r="C40" s="6">
        <v>1</v>
      </c>
      <c r="D40" s="6" t="s">
        <v>96</v>
      </c>
      <c r="E40" s="7" t="s">
        <v>160</v>
      </c>
      <c r="F40" s="4" t="s">
        <v>13</v>
      </c>
      <c r="G40" s="4">
        <v>304</v>
      </c>
      <c r="H40" s="8">
        <v>15</v>
      </c>
      <c r="I40" s="9"/>
      <c r="J40" s="8">
        <f t="shared" si="2"/>
        <v>15</v>
      </c>
    </row>
    <row r="41" spans="1:10" ht="19.95" customHeight="1" x14ac:dyDescent="0.3">
      <c r="A41" s="4">
        <v>250057</v>
      </c>
      <c r="B41" s="4">
        <v>304</v>
      </c>
      <c r="C41" s="6">
        <v>1</v>
      </c>
      <c r="D41" s="6" t="s">
        <v>96</v>
      </c>
      <c r="E41" s="7" t="s">
        <v>160</v>
      </c>
      <c r="F41" s="4" t="s">
        <v>13</v>
      </c>
      <c r="G41" s="4">
        <v>304</v>
      </c>
      <c r="H41" s="8">
        <v>15</v>
      </c>
      <c r="I41" s="9"/>
      <c r="J41" s="8">
        <f t="shared" si="2"/>
        <v>15</v>
      </c>
    </row>
    <row r="42" spans="1:10" ht="19.95" customHeight="1" x14ac:dyDescent="0.3">
      <c r="A42" s="4">
        <v>250061</v>
      </c>
      <c r="B42" s="4">
        <v>304</v>
      </c>
      <c r="C42" s="6">
        <v>1</v>
      </c>
      <c r="D42" s="6" t="s">
        <v>96</v>
      </c>
      <c r="E42" s="7" t="s">
        <v>160</v>
      </c>
      <c r="F42" s="4" t="s">
        <v>13</v>
      </c>
      <c r="G42" s="4">
        <v>304</v>
      </c>
      <c r="H42" s="8">
        <v>15</v>
      </c>
      <c r="I42" s="9"/>
      <c r="J42" s="8">
        <f t="shared" si="2"/>
        <v>15</v>
      </c>
    </row>
    <row r="43" spans="1:10" ht="19.95" customHeight="1" x14ac:dyDescent="0.3">
      <c r="A43" s="4">
        <v>250055</v>
      </c>
      <c r="B43" s="4">
        <v>304</v>
      </c>
      <c r="C43" s="6">
        <v>0.7</v>
      </c>
      <c r="D43" s="6" t="s">
        <v>96</v>
      </c>
      <c r="E43" s="7" t="s">
        <v>161</v>
      </c>
      <c r="F43" s="4" t="s">
        <v>13</v>
      </c>
      <c r="G43" s="4">
        <v>304</v>
      </c>
      <c r="H43" s="8">
        <v>815</v>
      </c>
      <c r="I43" s="9"/>
      <c r="J43" s="8">
        <f t="shared" si="2"/>
        <v>815</v>
      </c>
    </row>
    <row r="44" spans="1:10" ht="19.95" customHeight="1" x14ac:dyDescent="0.3">
      <c r="A44" s="4">
        <v>250057</v>
      </c>
      <c r="B44" s="4">
        <v>304</v>
      </c>
      <c r="C44" s="6">
        <v>0.7</v>
      </c>
      <c r="D44" s="6" t="s">
        <v>96</v>
      </c>
      <c r="E44" s="7" t="s">
        <v>161</v>
      </c>
      <c r="F44" s="4" t="s">
        <v>13</v>
      </c>
      <c r="G44" s="4">
        <v>304</v>
      </c>
      <c r="H44" s="8">
        <v>395</v>
      </c>
      <c r="I44" s="9"/>
      <c r="J44" s="8">
        <f t="shared" si="2"/>
        <v>395</v>
      </c>
    </row>
    <row r="45" spans="1:10" ht="19.95" customHeight="1" x14ac:dyDescent="0.3">
      <c r="A45" s="4">
        <v>250061</v>
      </c>
      <c r="B45" s="4">
        <v>304</v>
      </c>
      <c r="C45" s="6">
        <v>0.7</v>
      </c>
      <c r="D45" s="6" t="s">
        <v>96</v>
      </c>
      <c r="E45" s="7" t="s">
        <v>161</v>
      </c>
      <c r="F45" s="4" t="s">
        <v>13</v>
      </c>
      <c r="G45" s="4">
        <v>304</v>
      </c>
      <c r="H45" s="8">
        <v>525</v>
      </c>
      <c r="I45" s="9">
        <v>445</v>
      </c>
      <c r="J45" s="8">
        <f t="shared" si="2"/>
        <v>80</v>
      </c>
    </row>
    <row r="46" spans="1:10" ht="19.95" customHeight="1" x14ac:dyDescent="0.3">
      <c r="A46" s="4">
        <v>250055</v>
      </c>
      <c r="B46" s="4">
        <v>304</v>
      </c>
      <c r="C46" s="6">
        <v>1</v>
      </c>
      <c r="D46" s="6" t="s">
        <v>96</v>
      </c>
      <c r="E46" s="7" t="s">
        <v>162</v>
      </c>
      <c r="F46" s="4" t="s">
        <v>13</v>
      </c>
      <c r="G46" s="4">
        <v>304</v>
      </c>
      <c r="H46" s="32">
        <v>15</v>
      </c>
      <c r="I46" s="40">
        <v>15</v>
      </c>
      <c r="J46" s="32">
        <f t="shared" si="2"/>
        <v>0</v>
      </c>
    </row>
    <row r="47" spans="1:10" ht="19.95" customHeight="1" x14ac:dyDescent="0.3">
      <c r="A47" s="4">
        <v>250057</v>
      </c>
      <c r="B47" s="4">
        <v>304</v>
      </c>
      <c r="C47" s="6">
        <v>1</v>
      </c>
      <c r="D47" s="6" t="s">
        <v>96</v>
      </c>
      <c r="E47" s="7" t="s">
        <v>162</v>
      </c>
      <c r="F47" s="4" t="s">
        <v>13</v>
      </c>
      <c r="G47" s="4">
        <v>304</v>
      </c>
      <c r="H47" s="32">
        <v>15</v>
      </c>
      <c r="I47" s="40">
        <v>15</v>
      </c>
      <c r="J47" s="32">
        <f t="shared" si="2"/>
        <v>0</v>
      </c>
    </row>
    <row r="48" spans="1:10" ht="19.95" customHeight="1" x14ac:dyDescent="0.3">
      <c r="A48" s="4">
        <v>250061</v>
      </c>
      <c r="B48" s="4">
        <v>304</v>
      </c>
      <c r="C48" s="6">
        <v>1</v>
      </c>
      <c r="D48" s="6" t="s">
        <v>96</v>
      </c>
      <c r="E48" s="7" t="s">
        <v>162</v>
      </c>
      <c r="F48" s="4" t="s">
        <v>13</v>
      </c>
      <c r="G48" s="4">
        <v>304</v>
      </c>
      <c r="H48" s="32">
        <v>15</v>
      </c>
      <c r="I48" s="40">
        <f>15+37</f>
        <v>52</v>
      </c>
      <c r="J48" s="32">
        <f t="shared" si="2"/>
        <v>-37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32"/>
      <c r="I49" s="40"/>
      <c r="J49" s="32">
        <f t="shared" si="2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SUM(H33:H49)</f>
        <v>4900</v>
      </c>
      <c r="I50" s="9">
        <f>SUM(I33:I49)</f>
        <v>527</v>
      </c>
      <c r="J50" s="8">
        <f>SUM(J33:J49)</f>
        <v>4373</v>
      </c>
    </row>
    <row r="52" spans="1:10" ht="30" customHeight="1" x14ac:dyDescent="0.3">
      <c r="A52" s="94" t="s">
        <v>20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230925</v>
      </c>
      <c r="B54" s="4">
        <v>430</v>
      </c>
      <c r="C54" s="6">
        <v>0.8</v>
      </c>
      <c r="D54" s="6" t="s">
        <v>11</v>
      </c>
      <c r="E54" s="7" t="s">
        <v>163</v>
      </c>
      <c r="F54" s="4" t="s">
        <v>41</v>
      </c>
      <c r="G54" s="4">
        <v>430</v>
      </c>
      <c r="H54" s="8">
        <v>4500</v>
      </c>
      <c r="I54" s="40">
        <f>1310+3190</f>
        <v>4500</v>
      </c>
      <c r="J54" s="32">
        <f t="shared" ref="J54:J55" si="3">H54-I54</f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40"/>
      <c r="J55" s="32">
        <f t="shared" si="3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8">
        <f>SUM(H54:H55)</f>
        <v>4500</v>
      </c>
      <c r="I56" s="40">
        <f>SUM(I54:I55)</f>
        <v>4500</v>
      </c>
      <c r="J56" s="32">
        <f>SUM(J54:J55)</f>
        <v>0</v>
      </c>
    </row>
    <row r="57" spans="1:10" ht="19.95" customHeight="1" x14ac:dyDescent="0.3">
      <c r="A57" s="15"/>
      <c r="B57" s="15"/>
      <c r="C57" s="15"/>
      <c r="D57" s="15"/>
      <c r="E57" s="16"/>
      <c r="F57" s="15"/>
      <c r="G57" s="15"/>
      <c r="H57" s="17"/>
      <c r="I57" s="18"/>
      <c r="J57" s="17"/>
    </row>
    <row r="58" spans="1:10" ht="30" customHeight="1" x14ac:dyDescent="0.3">
      <c r="A58" s="94" t="s">
        <v>19</v>
      </c>
      <c r="B58" s="94"/>
      <c r="C58" s="94"/>
      <c r="D58" s="94"/>
      <c r="E58" s="94"/>
      <c r="F58" s="94"/>
      <c r="G58" s="94"/>
      <c r="H58" s="94"/>
      <c r="I58" s="94"/>
      <c r="J58" s="94"/>
    </row>
    <row r="59" spans="1:10" ht="30" customHeight="1" x14ac:dyDescent="0.3">
      <c r="A59" s="4" t="s">
        <v>1</v>
      </c>
      <c r="B59" s="4" t="s">
        <v>2</v>
      </c>
      <c r="C59" s="5" t="s">
        <v>3</v>
      </c>
      <c r="D59" s="5" t="s">
        <v>4</v>
      </c>
      <c r="E59" s="4" t="s">
        <v>5</v>
      </c>
      <c r="F59" s="5" t="s">
        <v>6</v>
      </c>
      <c r="G59" s="5" t="s">
        <v>7</v>
      </c>
      <c r="H59" s="4" t="s">
        <v>8</v>
      </c>
      <c r="I59" s="4" t="s">
        <v>9</v>
      </c>
      <c r="J59" s="4" t="s">
        <v>10</v>
      </c>
    </row>
    <row r="60" spans="1:10" ht="19.95" customHeight="1" x14ac:dyDescent="0.3">
      <c r="A60" s="4">
        <v>230925</v>
      </c>
      <c r="B60" s="4">
        <v>430</v>
      </c>
      <c r="C60" s="6">
        <v>0.8</v>
      </c>
      <c r="D60" s="6" t="s">
        <v>11</v>
      </c>
      <c r="E60" s="7" t="s">
        <v>163</v>
      </c>
      <c r="F60" s="4" t="s">
        <v>41</v>
      </c>
      <c r="G60" s="4">
        <v>430</v>
      </c>
      <c r="H60" s="8">
        <v>1500</v>
      </c>
      <c r="I60" s="9">
        <v>442</v>
      </c>
      <c r="J60" s="8">
        <f t="shared" ref="J60:J71" si="4">H60-I60</f>
        <v>1058</v>
      </c>
    </row>
    <row r="61" spans="1:10" ht="19.95" customHeight="1" x14ac:dyDescent="0.3">
      <c r="A61" s="4">
        <v>250052</v>
      </c>
      <c r="B61" s="4">
        <v>304</v>
      </c>
      <c r="C61" s="6">
        <v>0.7</v>
      </c>
      <c r="D61" s="6" t="s">
        <v>11</v>
      </c>
      <c r="E61" s="7" t="s">
        <v>164</v>
      </c>
      <c r="F61" s="4" t="s">
        <v>13</v>
      </c>
      <c r="G61" s="4">
        <v>304</v>
      </c>
      <c r="H61" s="8">
        <v>785</v>
      </c>
      <c r="I61" s="9"/>
      <c r="J61" s="8">
        <f t="shared" si="4"/>
        <v>785</v>
      </c>
    </row>
    <row r="62" spans="1:10" ht="19.95" customHeight="1" x14ac:dyDescent="0.3">
      <c r="A62" s="4">
        <v>250055</v>
      </c>
      <c r="B62" s="4">
        <v>304</v>
      </c>
      <c r="C62" s="6">
        <v>0.7</v>
      </c>
      <c r="D62" s="6" t="s">
        <v>11</v>
      </c>
      <c r="E62" s="7" t="s">
        <v>164</v>
      </c>
      <c r="F62" s="4" t="s">
        <v>13</v>
      </c>
      <c r="G62" s="4">
        <v>304</v>
      </c>
      <c r="H62" s="8">
        <v>815</v>
      </c>
      <c r="I62" s="9"/>
      <c r="J62" s="8">
        <f t="shared" si="4"/>
        <v>815</v>
      </c>
    </row>
    <row r="63" spans="1:10" ht="19.95" customHeight="1" x14ac:dyDescent="0.3">
      <c r="A63" s="4">
        <v>250057</v>
      </c>
      <c r="B63" s="4">
        <v>304</v>
      </c>
      <c r="C63" s="6">
        <v>0.7</v>
      </c>
      <c r="D63" s="6" t="s">
        <v>11</v>
      </c>
      <c r="E63" s="7" t="s">
        <v>164</v>
      </c>
      <c r="F63" s="4" t="s">
        <v>13</v>
      </c>
      <c r="G63" s="4">
        <v>304</v>
      </c>
      <c r="H63" s="8">
        <v>395</v>
      </c>
      <c r="I63" s="9"/>
      <c r="J63" s="8">
        <f t="shared" si="4"/>
        <v>395</v>
      </c>
    </row>
    <row r="64" spans="1:10" ht="19.95" customHeight="1" x14ac:dyDescent="0.3">
      <c r="A64" s="4">
        <v>250061</v>
      </c>
      <c r="B64" s="4">
        <v>304</v>
      </c>
      <c r="C64" s="6">
        <v>0.7</v>
      </c>
      <c r="D64" s="6" t="s">
        <v>11</v>
      </c>
      <c r="E64" s="7" t="s">
        <v>164</v>
      </c>
      <c r="F64" s="4" t="s">
        <v>13</v>
      </c>
      <c r="G64" s="4">
        <v>304</v>
      </c>
      <c r="H64" s="8">
        <v>525</v>
      </c>
      <c r="I64" s="9"/>
      <c r="J64" s="8">
        <f t="shared" si="4"/>
        <v>525</v>
      </c>
    </row>
    <row r="65" spans="1:10" ht="19.95" customHeight="1" x14ac:dyDescent="0.3">
      <c r="A65" s="4">
        <v>250052</v>
      </c>
      <c r="B65" s="4">
        <v>304</v>
      </c>
      <c r="C65" s="6">
        <v>1</v>
      </c>
      <c r="D65" s="6" t="s">
        <v>11</v>
      </c>
      <c r="E65" s="7" t="s">
        <v>165</v>
      </c>
      <c r="F65" s="4" t="s">
        <v>13</v>
      </c>
      <c r="G65" s="4">
        <v>304</v>
      </c>
      <c r="H65" s="8">
        <v>15</v>
      </c>
      <c r="I65" s="9"/>
      <c r="J65" s="8">
        <f t="shared" si="4"/>
        <v>15</v>
      </c>
    </row>
    <row r="66" spans="1:10" ht="19.95" customHeight="1" x14ac:dyDescent="0.3">
      <c r="A66" s="4">
        <v>250055</v>
      </c>
      <c r="B66" s="4">
        <v>304</v>
      </c>
      <c r="C66" s="6">
        <v>1</v>
      </c>
      <c r="D66" s="6" t="s">
        <v>11</v>
      </c>
      <c r="E66" s="7" t="s">
        <v>165</v>
      </c>
      <c r="F66" s="4" t="s">
        <v>13</v>
      </c>
      <c r="G66" s="4">
        <v>304</v>
      </c>
      <c r="H66" s="8">
        <v>15</v>
      </c>
      <c r="I66" s="9"/>
      <c r="J66" s="8">
        <f t="shared" si="4"/>
        <v>15</v>
      </c>
    </row>
    <row r="67" spans="1:10" ht="19.95" customHeight="1" x14ac:dyDescent="0.3">
      <c r="A67" s="4">
        <v>250057</v>
      </c>
      <c r="B67" s="4">
        <v>304</v>
      </c>
      <c r="C67" s="6">
        <v>1</v>
      </c>
      <c r="D67" s="6" t="s">
        <v>11</v>
      </c>
      <c r="E67" s="7" t="s">
        <v>165</v>
      </c>
      <c r="F67" s="4" t="s">
        <v>13</v>
      </c>
      <c r="G67" s="4">
        <v>304</v>
      </c>
      <c r="H67" s="8">
        <v>15</v>
      </c>
      <c r="I67" s="9"/>
      <c r="J67" s="8">
        <f t="shared" si="4"/>
        <v>15</v>
      </c>
    </row>
    <row r="68" spans="1:10" ht="19.95" customHeight="1" x14ac:dyDescent="0.3">
      <c r="A68" s="4">
        <v>250061</v>
      </c>
      <c r="B68" s="4">
        <v>304</v>
      </c>
      <c r="C68" s="6">
        <v>1</v>
      </c>
      <c r="D68" s="6" t="s">
        <v>11</v>
      </c>
      <c r="E68" s="7" t="s">
        <v>165</v>
      </c>
      <c r="F68" s="4" t="s">
        <v>13</v>
      </c>
      <c r="G68" s="4">
        <v>304</v>
      </c>
      <c r="H68" s="8">
        <v>15</v>
      </c>
      <c r="I68" s="9"/>
      <c r="J68" s="8">
        <f t="shared" si="4"/>
        <v>15</v>
      </c>
    </row>
    <row r="69" spans="1:10" ht="19.95" customHeight="1" x14ac:dyDescent="0.3">
      <c r="A69" s="4">
        <v>250057</v>
      </c>
      <c r="B69" s="4">
        <v>304</v>
      </c>
      <c r="C69" s="6">
        <v>0.7</v>
      </c>
      <c r="D69" s="6" t="s">
        <v>11</v>
      </c>
      <c r="E69" s="7" t="s">
        <v>166</v>
      </c>
      <c r="F69" s="4" t="s">
        <v>13</v>
      </c>
      <c r="G69" s="4">
        <v>304</v>
      </c>
      <c r="H69" s="8">
        <v>395</v>
      </c>
      <c r="I69" s="9"/>
      <c r="J69" s="8">
        <f t="shared" si="4"/>
        <v>395</v>
      </c>
    </row>
    <row r="70" spans="1:10" ht="19.95" customHeight="1" x14ac:dyDescent="0.3">
      <c r="A70" s="4">
        <v>250057</v>
      </c>
      <c r="B70" s="4">
        <v>304</v>
      </c>
      <c r="C70" s="6">
        <v>1</v>
      </c>
      <c r="D70" s="6" t="s">
        <v>11</v>
      </c>
      <c r="E70" s="7" t="s">
        <v>167</v>
      </c>
      <c r="F70" s="4" t="s">
        <v>13</v>
      </c>
      <c r="G70" s="4">
        <v>304</v>
      </c>
      <c r="H70" s="8">
        <v>15</v>
      </c>
      <c r="I70" s="9"/>
      <c r="J70" s="8">
        <f t="shared" si="4"/>
        <v>15</v>
      </c>
    </row>
    <row r="71" spans="1:10" ht="19.95" customHeight="1" x14ac:dyDescent="0.3">
      <c r="A71" s="4"/>
      <c r="B71" s="4"/>
      <c r="C71" s="6"/>
      <c r="D71" s="6"/>
      <c r="E71" s="7"/>
      <c r="F71" s="4"/>
      <c r="G71" s="4"/>
      <c r="H71" s="8"/>
      <c r="I71" s="9"/>
      <c r="J71" s="8">
        <f t="shared" si="4"/>
        <v>0</v>
      </c>
    </row>
    <row r="72" spans="1:10" ht="19.95" customHeight="1" x14ac:dyDescent="0.3">
      <c r="A72" s="10"/>
      <c r="B72" s="10"/>
      <c r="C72" s="10"/>
      <c r="D72" s="10"/>
      <c r="E72" s="11"/>
      <c r="F72" s="10"/>
      <c r="G72" s="12"/>
      <c r="H72" s="8">
        <f>SUM(H60:H71)</f>
        <v>4490</v>
      </c>
      <c r="I72" s="9">
        <f>SUM(I60:I71)</f>
        <v>442</v>
      </c>
      <c r="J72" s="8">
        <f>SUM(J60:J71)</f>
        <v>4048</v>
      </c>
    </row>
    <row r="73" spans="1:10" ht="19.95" customHeight="1" x14ac:dyDescent="0.3">
      <c r="A73" s="15"/>
      <c r="B73" s="15"/>
      <c r="C73" s="15"/>
      <c r="D73" s="15"/>
      <c r="E73" s="16"/>
      <c r="F73" s="15"/>
      <c r="G73" s="15"/>
      <c r="H73" s="17"/>
      <c r="I73" s="18"/>
      <c r="J73" s="17"/>
    </row>
    <row r="74" spans="1:10" ht="30" customHeight="1" x14ac:dyDescent="0.3">
      <c r="A74" s="94" t="s">
        <v>23</v>
      </c>
      <c r="B74" s="94"/>
      <c r="C74" s="94"/>
      <c r="D74" s="94"/>
      <c r="E74" s="94"/>
      <c r="F74" s="94"/>
      <c r="G74" s="94"/>
      <c r="H74" s="94"/>
      <c r="I74" s="94"/>
      <c r="J74" s="94"/>
    </row>
    <row r="75" spans="1:10" ht="30" customHeight="1" x14ac:dyDescent="0.3">
      <c r="A75" s="4" t="s">
        <v>1</v>
      </c>
      <c r="B75" s="4" t="s">
        <v>2</v>
      </c>
      <c r="C75" s="5" t="s">
        <v>3</v>
      </c>
      <c r="D75" s="5" t="s">
        <v>4</v>
      </c>
      <c r="E75" s="4" t="s">
        <v>5</v>
      </c>
      <c r="F75" s="5" t="s">
        <v>6</v>
      </c>
      <c r="G75" s="5" t="s">
        <v>7</v>
      </c>
      <c r="H75" s="4" t="s">
        <v>8</v>
      </c>
      <c r="I75" s="4" t="s">
        <v>9</v>
      </c>
      <c r="J75" s="4" t="s">
        <v>10</v>
      </c>
    </row>
    <row r="76" spans="1:10" ht="19.95" customHeight="1" x14ac:dyDescent="0.3">
      <c r="A76" s="4">
        <v>250052</v>
      </c>
      <c r="B76" s="4">
        <v>304</v>
      </c>
      <c r="C76" s="6">
        <v>0.7</v>
      </c>
      <c r="D76" s="6" t="s">
        <v>11</v>
      </c>
      <c r="E76" s="7" t="s">
        <v>168</v>
      </c>
      <c r="F76" s="4" t="s">
        <v>13</v>
      </c>
      <c r="G76" s="4">
        <v>304</v>
      </c>
      <c r="H76" s="8">
        <v>785</v>
      </c>
      <c r="I76" s="9"/>
      <c r="J76" s="8">
        <f t="shared" ref="J76:J90" si="5">H76-I76</f>
        <v>785</v>
      </c>
    </row>
    <row r="77" spans="1:10" ht="19.95" customHeight="1" x14ac:dyDescent="0.3">
      <c r="A77" s="4">
        <v>250052</v>
      </c>
      <c r="B77" s="4">
        <v>304</v>
      </c>
      <c r="C77" s="6">
        <v>1</v>
      </c>
      <c r="D77" s="6" t="s">
        <v>11</v>
      </c>
      <c r="E77" s="7" t="s">
        <v>168</v>
      </c>
      <c r="F77" s="4" t="s">
        <v>13</v>
      </c>
      <c r="G77" s="4">
        <v>304</v>
      </c>
      <c r="H77" s="8">
        <v>15</v>
      </c>
      <c r="I77" s="9"/>
      <c r="J77" s="8">
        <f t="shared" si="5"/>
        <v>15</v>
      </c>
    </row>
    <row r="78" spans="1:10" ht="19.95" customHeight="1" x14ac:dyDescent="0.3">
      <c r="A78" s="4">
        <v>250057</v>
      </c>
      <c r="B78" s="4">
        <v>304</v>
      </c>
      <c r="C78" s="6">
        <v>0.7</v>
      </c>
      <c r="D78" s="6" t="s">
        <v>11</v>
      </c>
      <c r="E78" s="7" t="s">
        <v>169</v>
      </c>
      <c r="F78" s="4" t="s">
        <v>170</v>
      </c>
      <c r="G78" s="4">
        <v>304</v>
      </c>
      <c r="H78" s="8">
        <v>395</v>
      </c>
      <c r="I78" s="9"/>
      <c r="J78" s="8">
        <f t="shared" si="5"/>
        <v>395</v>
      </c>
    </row>
    <row r="79" spans="1:10" ht="19.95" customHeight="1" x14ac:dyDescent="0.3">
      <c r="A79" s="4">
        <v>250061</v>
      </c>
      <c r="B79" s="4">
        <v>304</v>
      </c>
      <c r="C79" s="6">
        <v>0.7</v>
      </c>
      <c r="D79" s="6" t="s">
        <v>11</v>
      </c>
      <c r="E79" s="7" t="s">
        <v>169</v>
      </c>
      <c r="F79" s="4" t="s">
        <v>171</v>
      </c>
      <c r="G79" s="4">
        <v>304</v>
      </c>
      <c r="H79" s="8">
        <v>525</v>
      </c>
      <c r="I79" s="9"/>
      <c r="J79" s="8">
        <f t="shared" si="5"/>
        <v>525</v>
      </c>
    </row>
    <row r="80" spans="1:10" ht="19.95" customHeight="1" x14ac:dyDescent="0.3">
      <c r="A80" s="4">
        <v>250057</v>
      </c>
      <c r="B80" s="4">
        <v>304</v>
      </c>
      <c r="C80" s="6">
        <v>1</v>
      </c>
      <c r="D80" s="6" t="s">
        <v>11</v>
      </c>
      <c r="E80" s="7" t="s">
        <v>169</v>
      </c>
      <c r="F80" s="4" t="s">
        <v>170</v>
      </c>
      <c r="G80" s="4">
        <v>304</v>
      </c>
      <c r="H80" s="8">
        <v>15</v>
      </c>
      <c r="I80" s="9"/>
      <c r="J80" s="8">
        <f t="shared" si="5"/>
        <v>15</v>
      </c>
    </row>
    <row r="81" spans="1:10" ht="19.95" customHeight="1" x14ac:dyDescent="0.3">
      <c r="A81" s="4">
        <v>250061</v>
      </c>
      <c r="B81" s="4">
        <v>304</v>
      </c>
      <c r="C81" s="6">
        <v>1</v>
      </c>
      <c r="D81" s="6" t="s">
        <v>11</v>
      </c>
      <c r="E81" s="7" t="s">
        <v>169</v>
      </c>
      <c r="F81" s="4" t="s">
        <v>171</v>
      </c>
      <c r="G81" s="4">
        <v>304</v>
      </c>
      <c r="H81" s="8">
        <v>15</v>
      </c>
      <c r="I81" s="9"/>
      <c r="J81" s="8">
        <f t="shared" si="5"/>
        <v>15</v>
      </c>
    </row>
    <row r="82" spans="1:10" ht="19.95" customHeight="1" x14ac:dyDescent="0.3">
      <c r="A82" s="4">
        <v>250057</v>
      </c>
      <c r="B82" s="4">
        <v>304</v>
      </c>
      <c r="C82" s="6">
        <v>0.7</v>
      </c>
      <c r="D82" s="6" t="s">
        <v>11</v>
      </c>
      <c r="E82" s="7" t="s">
        <v>172</v>
      </c>
      <c r="F82" s="4" t="s">
        <v>13</v>
      </c>
      <c r="G82" s="4">
        <v>304</v>
      </c>
      <c r="H82" s="8">
        <v>395</v>
      </c>
      <c r="I82" s="9"/>
      <c r="J82" s="8">
        <f t="shared" si="5"/>
        <v>395</v>
      </c>
    </row>
    <row r="83" spans="1:10" ht="19.95" customHeight="1" x14ac:dyDescent="0.3">
      <c r="A83" s="4">
        <v>250057</v>
      </c>
      <c r="B83" s="4">
        <v>304</v>
      </c>
      <c r="C83" s="6">
        <v>1</v>
      </c>
      <c r="D83" s="6" t="s">
        <v>11</v>
      </c>
      <c r="E83" s="7" t="s">
        <v>173</v>
      </c>
      <c r="F83" s="4" t="s">
        <v>174</v>
      </c>
      <c r="G83" s="4">
        <v>304</v>
      </c>
      <c r="H83" s="8">
        <v>15</v>
      </c>
      <c r="I83" s="9"/>
      <c r="J83" s="8">
        <f t="shared" si="5"/>
        <v>15</v>
      </c>
    </row>
    <row r="84" spans="1:10" ht="19.95" customHeight="1" x14ac:dyDescent="0.3">
      <c r="A84" s="4">
        <v>250057</v>
      </c>
      <c r="B84" s="4">
        <v>304</v>
      </c>
      <c r="C84" s="6">
        <v>0.7</v>
      </c>
      <c r="D84" s="6" t="s">
        <v>55</v>
      </c>
      <c r="E84" s="7" t="s">
        <v>175</v>
      </c>
      <c r="F84" s="4" t="s">
        <v>52</v>
      </c>
      <c r="G84" s="4">
        <v>304</v>
      </c>
      <c r="H84" s="8">
        <v>395</v>
      </c>
      <c r="I84" s="9"/>
      <c r="J84" s="8">
        <f t="shared" si="5"/>
        <v>395</v>
      </c>
    </row>
    <row r="85" spans="1:10" ht="19.95" customHeight="1" x14ac:dyDescent="0.3">
      <c r="A85" s="4">
        <v>250057</v>
      </c>
      <c r="B85" s="4">
        <v>304</v>
      </c>
      <c r="C85" s="6">
        <v>1</v>
      </c>
      <c r="D85" s="6" t="s">
        <v>55</v>
      </c>
      <c r="E85" s="7" t="s">
        <v>175</v>
      </c>
      <c r="F85" s="4" t="s">
        <v>52</v>
      </c>
      <c r="G85" s="4">
        <v>304</v>
      </c>
      <c r="H85" s="8">
        <v>15</v>
      </c>
      <c r="I85" s="9"/>
      <c r="J85" s="8">
        <f t="shared" si="5"/>
        <v>15</v>
      </c>
    </row>
    <row r="86" spans="1:10" ht="19.95" customHeight="1" x14ac:dyDescent="0.3">
      <c r="A86" s="4">
        <v>160925</v>
      </c>
      <c r="B86" s="4">
        <v>304</v>
      </c>
      <c r="C86" s="6">
        <v>0.9</v>
      </c>
      <c r="D86" s="6" t="s">
        <v>55</v>
      </c>
      <c r="E86" s="7" t="s">
        <v>176</v>
      </c>
      <c r="F86" s="4" t="s">
        <v>177</v>
      </c>
      <c r="G86" s="4">
        <v>430</v>
      </c>
      <c r="H86" s="8">
        <v>1100</v>
      </c>
      <c r="I86" s="9"/>
      <c r="J86" s="8">
        <f t="shared" si="5"/>
        <v>1100</v>
      </c>
    </row>
    <row r="87" spans="1:10" ht="19.95" customHeight="1" x14ac:dyDescent="0.3">
      <c r="A87" s="4">
        <v>250042</v>
      </c>
      <c r="B87" s="4">
        <v>304</v>
      </c>
      <c r="C87" s="6">
        <v>0.9</v>
      </c>
      <c r="D87" s="6" t="s">
        <v>55</v>
      </c>
      <c r="E87" s="7" t="s">
        <v>178</v>
      </c>
      <c r="F87" s="4" t="s">
        <v>177</v>
      </c>
      <c r="G87" s="4">
        <v>304</v>
      </c>
      <c r="H87" s="8">
        <v>750</v>
      </c>
      <c r="I87" s="9"/>
      <c r="J87" s="8">
        <f t="shared" si="5"/>
        <v>750</v>
      </c>
    </row>
    <row r="88" spans="1:10" ht="19.95" customHeight="1" x14ac:dyDescent="0.3">
      <c r="A88" s="4">
        <v>250042</v>
      </c>
      <c r="B88" s="4">
        <v>304</v>
      </c>
      <c r="C88" s="6">
        <v>0.9</v>
      </c>
      <c r="D88" s="6" t="s">
        <v>55</v>
      </c>
      <c r="E88" s="7" t="s">
        <v>179</v>
      </c>
      <c r="F88" s="4" t="s">
        <v>177</v>
      </c>
      <c r="G88" s="4">
        <v>304</v>
      </c>
      <c r="H88" s="8">
        <v>750</v>
      </c>
      <c r="I88" s="9"/>
      <c r="J88" s="8">
        <f t="shared" si="5"/>
        <v>750</v>
      </c>
    </row>
    <row r="89" spans="1:10" ht="19.95" customHeight="1" x14ac:dyDescent="0.3">
      <c r="A89" s="4">
        <v>250042</v>
      </c>
      <c r="B89" s="4">
        <v>304</v>
      </c>
      <c r="C89" s="6">
        <v>0.9</v>
      </c>
      <c r="D89" s="6" t="s">
        <v>55</v>
      </c>
      <c r="E89" s="7" t="s">
        <v>180</v>
      </c>
      <c r="F89" s="4" t="s">
        <v>177</v>
      </c>
      <c r="G89" s="4">
        <v>304</v>
      </c>
      <c r="H89" s="8">
        <v>750</v>
      </c>
      <c r="I89" s="9"/>
      <c r="J89" s="8">
        <f t="shared" si="5"/>
        <v>750</v>
      </c>
    </row>
    <row r="90" spans="1:10" ht="19.95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customHeight="1" x14ac:dyDescent="0.3">
      <c r="A91" s="10"/>
      <c r="B91" s="10"/>
      <c r="C91" s="10"/>
      <c r="D91" s="10"/>
      <c r="E91" s="11"/>
      <c r="F91" s="10"/>
      <c r="G91" s="12"/>
      <c r="H91" s="8">
        <f>SUM(H76:H90)</f>
        <v>5920</v>
      </c>
      <c r="I91" s="9">
        <f>SUM(I76:I90)</f>
        <v>0</v>
      </c>
      <c r="J91" s="8">
        <f>SUM(J76:J90)</f>
        <v>5920</v>
      </c>
    </row>
    <row r="93" spans="1:10" ht="15.6" x14ac:dyDescent="0.3">
      <c r="H93" s="8">
        <f>H91+H72+H56+H50+H29+H11</f>
        <v>28037</v>
      </c>
      <c r="I93" s="8">
        <f>I91+I72+I56+I50+I29+I11</f>
        <v>12505</v>
      </c>
      <c r="J93" s="8">
        <f>J91+J72+J56+J50+J29+J11</f>
        <v>15532</v>
      </c>
    </row>
    <row r="95" spans="1:10" ht="23.4" x14ac:dyDescent="0.3">
      <c r="A95" s="95" t="s">
        <v>14</v>
      </c>
      <c r="B95" s="95"/>
      <c r="C95" s="95"/>
      <c r="D95" s="95"/>
      <c r="E95" s="95"/>
      <c r="F95" s="95"/>
      <c r="G95" s="95"/>
      <c r="H95" s="95"/>
      <c r="I95" s="95"/>
      <c r="J95" s="95"/>
    </row>
  </sheetData>
  <mergeCells count="9">
    <mergeCell ref="A58:J58"/>
    <mergeCell ref="A74:J74"/>
    <mergeCell ref="A95:J95"/>
    <mergeCell ref="H1:J1"/>
    <mergeCell ref="A2:J2"/>
    <mergeCell ref="A3:J3"/>
    <mergeCell ref="A13:J13"/>
    <mergeCell ref="A31:J31"/>
    <mergeCell ref="A52:J5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zoomScale="85" zoomScaleNormal="85" workbookViewId="0">
      <selection activeCell="I36" sqref="I36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6.664062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149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290925</v>
      </c>
      <c r="B5" s="42">
        <v>304</v>
      </c>
      <c r="C5" s="43">
        <v>0.8</v>
      </c>
      <c r="D5" s="43" t="s">
        <v>43</v>
      </c>
      <c r="E5" s="37" t="s">
        <v>143</v>
      </c>
      <c r="F5" s="42" t="s">
        <v>41</v>
      </c>
      <c r="G5" s="42">
        <v>430</v>
      </c>
      <c r="H5" s="41">
        <v>2687</v>
      </c>
      <c r="I5" s="40">
        <v>2778</v>
      </c>
      <c r="J5" s="32">
        <f t="shared" ref="J5:J10" si="0">H5-I5</f>
        <v>-91</v>
      </c>
    </row>
    <row r="6" spans="1:10" ht="19.95" customHeight="1" x14ac:dyDescent="0.3">
      <c r="A6" s="4">
        <v>250057</v>
      </c>
      <c r="B6" s="4">
        <v>304</v>
      </c>
      <c r="C6" s="6">
        <v>0.7</v>
      </c>
      <c r="D6" s="6" t="s">
        <v>11</v>
      </c>
      <c r="E6" s="7" t="s">
        <v>150</v>
      </c>
      <c r="F6" s="4" t="s">
        <v>13</v>
      </c>
      <c r="G6" s="8">
        <v>304</v>
      </c>
      <c r="H6" s="8">
        <v>395</v>
      </c>
      <c r="I6" s="40">
        <v>400</v>
      </c>
      <c r="J6" s="32">
        <f t="shared" si="0"/>
        <v>-5</v>
      </c>
    </row>
    <row r="7" spans="1:10" ht="19.95" customHeight="1" x14ac:dyDescent="0.3">
      <c r="A7" s="4">
        <v>250061</v>
      </c>
      <c r="B7" s="4">
        <v>304</v>
      </c>
      <c r="C7" s="6">
        <v>0.7</v>
      </c>
      <c r="D7" s="6" t="s">
        <v>11</v>
      </c>
      <c r="E7" s="7" t="s">
        <v>150</v>
      </c>
      <c r="F7" s="4" t="s">
        <v>13</v>
      </c>
      <c r="G7" s="8">
        <v>304</v>
      </c>
      <c r="H7" s="8">
        <v>525</v>
      </c>
      <c r="I7" s="40">
        <v>583</v>
      </c>
      <c r="J7" s="32">
        <f t="shared" si="0"/>
        <v>-58</v>
      </c>
    </row>
    <row r="8" spans="1:10" ht="19.95" customHeight="1" x14ac:dyDescent="0.3">
      <c r="A8" s="4">
        <v>250061</v>
      </c>
      <c r="B8" s="4">
        <v>304</v>
      </c>
      <c r="C8" s="6">
        <v>0.7</v>
      </c>
      <c r="D8" s="6" t="s">
        <v>11</v>
      </c>
      <c r="E8" s="7" t="s">
        <v>151</v>
      </c>
      <c r="F8" s="4" t="s">
        <v>13</v>
      </c>
      <c r="G8" s="8">
        <v>304</v>
      </c>
      <c r="H8" s="8">
        <v>525</v>
      </c>
      <c r="I8" s="40">
        <v>530</v>
      </c>
      <c r="J8" s="32">
        <f t="shared" si="0"/>
        <v>-5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40"/>
      <c r="J9" s="32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40"/>
      <c r="J10" s="32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4132</v>
      </c>
      <c r="I11" s="44">
        <f>SUM(I5:I10)</f>
        <v>4291</v>
      </c>
      <c r="J11" s="32">
        <f>SUM(J5:J10)</f>
        <v>-159</v>
      </c>
    </row>
    <row r="13" spans="1:10" ht="30" customHeight="1" x14ac:dyDescent="0.3">
      <c r="A13" s="94" t="s">
        <v>17</v>
      </c>
      <c r="B13" s="94"/>
      <c r="C13" s="94"/>
      <c r="D13" s="94"/>
      <c r="E13" s="94"/>
      <c r="F13" s="94"/>
      <c r="G13" s="94"/>
      <c r="H13" s="94"/>
      <c r="I13" s="94"/>
      <c r="J13" s="94"/>
    </row>
    <row r="14" spans="1:10" ht="30" customHeight="1" x14ac:dyDescent="0.3">
      <c r="A14" s="4" t="s">
        <v>1</v>
      </c>
      <c r="B14" s="4" t="s">
        <v>2</v>
      </c>
      <c r="C14" s="5" t="s">
        <v>3</v>
      </c>
      <c r="D14" s="5" t="s">
        <v>4</v>
      </c>
      <c r="E14" s="4" t="s">
        <v>5</v>
      </c>
      <c r="F14" s="5" t="s">
        <v>6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250057</v>
      </c>
      <c r="B15" s="4">
        <v>304</v>
      </c>
      <c r="C15" s="6">
        <v>0.7</v>
      </c>
      <c r="D15" s="6" t="s">
        <v>96</v>
      </c>
      <c r="E15" s="7" t="s">
        <v>151</v>
      </c>
      <c r="F15" s="4" t="s">
        <v>13</v>
      </c>
      <c r="G15" s="4">
        <v>304</v>
      </c>
      <c r="H15" s="8">
        <v>395</v>
      </c>
      <c r="I15" s="40">
        <v>400</v>
      </c>
      <c r="J15" s="32">
        <f t="shared" ref="J15:J28" si="1">H15-I15</f>
        <v>-5</v>
      </c>
    </row>
    <row r="16" spans="1:10" ht="19.95" customHeight="1" x14ac:dyDescent="0.3">
      <c r="A16" s="4">
        <v>250055</v>
      </c>
      <c r="B16" s="4">
        <v>304</v>
      </c>
      <c r="C16" s="6">
        <v>0.7</v>
      </c>
      <c r="D16" s="6" t="s">
        <v>96</v>
      </c>
      <c r="E16" s="7" t="s">
        <v>151</v>
      </c>
      <c r="F16" s="4" t="s">
        <v>13</v>
      </c>
      <c r="G16" s="4">
        <v>304</v>
      </c>
      <c r="H16" s="8">
        <v>815</v>
      </c>
      <c r="I16" s="40">
        <f>627+188</f>
        <v>815</v>
      </c>
      <c r="J16" s="32">
        <f t="shared" si="1"/>
        <v>0</v>
      </c>
    </row>
    <row r="17" spans="1:10" ht="19.95" customHeight="1" x14ac:dyDescent="0.3">
      <c r="A17" s="4">
        <v>250052</v>
      </c>
      <c r="B17" s="4">
        <v>304</v>
      </c>
      <c r="C17" s="6">
        <v>0.7</v>
      </c>
      <c r="D17" s="6" t="s">
        <v>96</v>
      </c>
      <c r="E17" s="7" t="s">
        <v>151</v>
      </c>
      <c r="F17" s="4" t="s">
        <v>13</v>
      </c>
      <c r="G17" s="4">
        <v>304</v>
      </c>
      <c r="H17" s="8">
        <v>785</v>
      </c>
      <c r="I17" s="40">
        <v>813</v>
      </c>
      <c r="J17" s="32">
        <f t="shared" si="1"/>
        <v>-28</v>
      </c>
    </row>
    <row r="18" spans="1:10" ht="19.95" customHeight="1" x14ac:dyDescent="0.3">
      <c r="A18" s="4">
        <v>250061</v>
      </c>
      <c r="B18" s="4">
        <v>304</v>
      </c>
      <c r="C18" s="6">
        <v>1</v>
      </c>
      <c r="D18" s="6" t="s">
        <v>96</v>
      </c>
      <c r="E18" s="7" t="s">
        <v>152</v>
      </c>
      <c r="F18" s="4" t="s">
        <v>13</v>
      </c>
      <c r="G18" s="4">
        <v>304</v>
      </c>
      <c r="H18" s="8">
        <v>15</v>
      </c>
      <c r="I18" s="40">
        <v>15</v>
      </c>
      <c r="J18" s="32">
        <f t="shared" si="1"/>
        <v>0</v>
      </c>
    </row>
    <row r="19" spans="1:10" ht="19.95" customHeight="1" x14ac:dyDescent="0.3">
      <c r="A19" s="4">
        <v>250057</v>
      </c>
      <c r="B19" s="4">
        <v>304</v>
      </c>
      <c r="C19" s="6">
        <v>1</v>
      </c>
      <c r="D19" s="6" t="s">
        <v>96</v>
      </c>
      <c r="E19" s="7" t="s">
        <v>152</v>
      </c>
      <c r="F19" s="4" t="s">
        <v>13</v>
      </c>
      <c r="G19" s="4">
        <v>304</v>
      </c>
      <c r="H19" s="8">
        <v>15</v>
      </c>
      <c r="I19" s="40">
        <v>15</v>
      </c>
      <c r="J19" s="32">
        <f t="shared" si="1"/>
        <v>0</v>
      </c>
    </row>
    <row r="20" spans="1:10" ht="19.95" customHeight="1" x14ac:dyDescent="0.3">
      <c r="A20" s="4">
        <v>250055</v>
      </c>
      <c r="B20" s="4">
        <v>304</v>
      </c>
      <c r="C20" s="6">
        <v>1</v>
      </c>
      <c r="D20" s="6" t="s">
        <v>96</v>
      </c>
      <c r="E20" s="7" t="s">
        <v>152</v>
      </c>
      <c r="F20" s="4" t="s">
        <v>13</v>
      </c>
      <c r="G20" s="4">
        <v>304</v>
      </c>
      <c r="H20" s="8">
        <v>15</v>
      </c>
      <c r="I20" s="40">
        <v>15</v>
      </c>
      <c r="J20" s="32">
        <f t="shared" si="1"/>
        <v>0</v>
      </c>
    </row>
    <row r="21" spans="1:10" ht="19.95" customHeight="1" x14ac:dyDescent="0.3">
      <c r="A21" s="4">
        <v>250052</v>
      </c>
      <c r="B21" s="4">
        <v>304</v>
      </c>
      <c r="C21" s="6">
        <v>1</v>
      </c>
      <c r="D21" s="6" t="s">
        <v>96</v>
      </c>
      <c r="E21" s="7" t="s">
        <v>152</v>
      </c>
      <c r="F21" s="4" t="s">
        <v>13</v>
      </c>
      <c r="G21" s="4">
        <v>304</v>
      </c>
      <c r="H21" s="8">
        <v>15</v>
      </c>
      <c r="I21" s="40">
        <v>15</v>
      </c>
      <c r="J21" s="32">
        <f t="shared" si="1"/>
        <v>0</v>
      </c>
    </row>
    <row r="22" spans="1:10" ht="19.95" customHeight="1" x14ac:dyDescent="0.3">
      <c r="A22" s="4">
        <v>250052</v>
      </c>
      <c r="B22" s="4">
        <v>304</v>
      </c>
      <c r="C22" s="6">
        <v>0.7</v>
      </c>
      <c r="D22" s="6" t="s">
        <v>96</v>
      </c>
      <c r="E22" s="7" t="s">
        <v>153</v>
      </c>
      <c r="F22" s="4" t="s">
        <v>13</v>
      </c>
      <c r="G22" s="4">
        <v>304</v>
      </c>
      <c r="H22" s="8">
        <v>785</v>
      </c>
      <c r="I22" s="9">
        <v>657</v>
      </c>
      <c r="J22" s="8">
        <f t="shared" si="1"/>
        <v>128</v>
      </c>
    </row>
    <row r="23" spans="1:10" ht="19.95" customHeight="1" x14ac:dyDescent="0.3">
      <c r="A23" s="4">
        <v>250055</v>
      </c>
      <c r="B23" s="4">
        <v>304</v>
      </c>
      <c r="C23" s="6">
        <v>0.7</v>
      </c>
      <c r="D23" s="6" t="s">
        <v>96</v>
      </c>
      <c r="E23" s="7" t="s">
        <v>153</v>
      </c>
      <c r="F23" s="4" t="s">
        <v>13</v>
      </c>
      <c r="G23" s="4">
        <v>304</v>
      </c>
      <c r="H23" s="8">
        <v>815</v>
      </c>
      <c r="I23" s="9"/>
      <c r="J23" s="8">
        <f t="shared" si="1"/>
        <v>815</v>
      </c>
    </row>
    <row r="24" spans="1:10" ht="19.95" customHeight="1" x14ac:dyDescent="0.3">
      <c r="A24" s="4">
        <v>250052</v>
      </c>
      <c r="B24" s="4">
        <v>304</v>
      </c>
      <c r="C24" s="6">
        <v>1</v>
      </c>
      <c r="D24" s="6" t="s">
        <v>96</v>
      </c>
      <c r="E24" s="7" t="s">
        <v>154</v>
      </c>
      <c r="F24" s="4" t="s">
        <v>13</v>
      </c>
      <c r="G24" s="4">
        <v>304</v>
      </c>
      <c r="H24" s="8">
        <v>15</v>
      </c>
      <c r="I24" s="9"/>
      <c r="J24" s="8">
        <f t="shared" si="1"/>
        <v>15</v>
      </c>
    </row>
    <row r="25" spans="1:10" ht="19.95" customHeight="1" x14ac:dyDescent="0.3">
      <c r="A25" s="4">
        <v>250055</v>
      </c>
      <c r="B25" s="4">
        <v>304</v>
      </c>
      <c r="C25" s="6">
        <v>1</v>
      </c>
      <c r="D25" s="6" t="s">
        <v>96</v>
      </c>
      <c r="E25" s="7" t="s">
        <v>154</v>
      </c>
      <c r="F25" s="4" t="s">
        <v>13</v>
      </c>
      <c r="G25" s="4">
        <v>304</v>
      </c>
      <c r="H25" s="8">
        <v>15</v>
      </c>
      <c r="I25" s="9"/>
      <c r="J25" s="8">
        <f t="shared" si="1"/>
        <v>15</v>
      </c>
    </row>
    <row r="26" spans="1:10" ht="19.95" customHeight="1" x14ac:dyDescent="0.3">
      <c r="A26" s="4">
        <v>250057</v>
      </c>
      <c r="B26" s="4">
        <v>304</v>
      </c>
      <c r="C26" s="6">
        <v>0.7</v>
      </c>
      <c r="D26" s="6" t="s">
        <v>96</v>
      </c>
      <c r="E26" s="7" t="s">
        <v>155</v>
      </c>
      <c r="F26" s="4" t="s">
        <v>41</v>
      </c>
      <c r="G26" s="4">
        <v>304</v>
      </c>
      <c r="H26" s="8">
        <v>395</v>
      </c>
      <c r="I26" s="9"/>
      <c r="J26" s="8">
        <f t="shared" si="1"/>
        <v>395</v>
      </c>
    </row>
    <row r="27" spans="1:10" ht="19.95" customHeight="1" x14ac:dyDescent="0.3">
      <c r="A27" s="4">
        <v>250057</v>
      </c>
      <c r="B27" s="4">
        <v>304</v>
      </c>
      <c r="C27" s="6">
        <v>1</v>
      </c>
      <c r="D27" s="6" t="s">
        <v>96</v>
      </c>
      <c r="E27" s="7" t="s">
        <v>156</v>
      </c>
      <c r="F27" s="4" t="s">
        <v>41</v>
      </c>
      <c r="G27" s="4">
        <v>304</v>
      </c>
      <c r="H27" s="8">
        <v>15</v>
      </c>
      <c r="I27" s="9"/>
      <c r="J27" s="8">
        <f t="shared" si="1"/>
        <v>15</v>
      </c>
    </row>
    <row r="28" spans="1:10" ht="19.95" customHeight="1" x14ac:dyDescent="0.3">
      <c r="A28" s="4"/>
      <c r="B28" s="4"/>
      <c r="C28" s="6"/>
      <c r="D28" s="6"/>
      <c r="E28" s="7"/>
      <c r="F28" s="4"/>
      <c r="G28" s="4"/>
      <c r="H28" s="8"/>
      <c r="I28" s="9"/>
      <c r="J28" s="8">
        <f t="shared" si="1"/>
        <v>0</v>
      </c>
    </row>
    <row r="29" spans="1:10" ht="19.95" customHeight="1" x14ac:dyDescent="0.3">
      <c r="A29" s="10"/>
      <c r="B29" s="10"/>
      <c r="C29" s="10"/>
      <c r="D29" s="10"/>
      <c r="E29" s="11"/>
      <c r="F29" s="10"/>
      <c r="G29" s="12"/>
      <c r="H29" s="8">
        <f>SUM(H15:H28)</f>
        <v>4095</v>
      </c>
      <c r="I29" s="9">
        <f>SUM(I15:I28)</f>
        <v>2745</v>
      </c>
      <c r="J29" s="8">
        <f>SUM(J15:J28)</f>
        <v>1350</v>
      </c>
    </row>
    <row r="31" spans="1:10" ht="30" customHeight="1" x14ac:dyDescent="0.3">
      <c r="A31" s="94" t="s">
        <v>18</v>
      </c>
      <c r="B31" s="94"/>
      <c r="C31" s="94"/>
      <c r="D31" s="94"/>
      <c r="E31" s="94"/>
      <c r="F31" s="94"/>
      <c r="G31" s="94"/>
      <c r="H31" s="94"/>
      <c r="I31" s="94"/>
      <c r="J31" s="94"/>
    </row>
    <row r="32" spans="1:10" ht="30" customHeight="1" x14ac:dyDescent="0.3">
      <c r="A32" s="4" t="s">
        <v>1</v>
      </c>
      <c r="B32" s="4" t="s">
        <v>2</v>
      </c>
      <c r="C32" s="5" t="s">
        <v>3</v>
      </c>
      <c r="D32" s="5" t="s">
        <v>4</v>
      </c>
      <c r="E32" s="4" t="s">
        <v>5</v>
      </c>
      <c r="F32" s="5" t="s">
        <v>6</v>
      </c>
      <c r="G32" s="5" t="s">
        <v>7</v>
      </c>
      <c r="H32" s="4" t="s">
        <v>8</v>
      </c>
      <c r="I32" s="4" t="s">
        <v>9</v>
      </c>
      <c r="J32" s="4" t="s">
        <v>10</v>
      </c>
    </row>
    <row r="33" spans="1:10" ht="19.95" customHeight="1" x14ac:dyDescent="0.3">
      <c r="A33" s="4">
        <v>250061</v>
      </c>
      <c r="B33" s="4">
        <v>304</v>
      </c>
      <c r="C33" s="6">
        <v>0.7</v>
      </c>
      <c r="D33" s="6" t="s">
        <v>96</v>
      </c>
      <c r="E33" s="7" t="s">
        <v>157</v>
      </c>
      <c r="F33" s="4" t="s">
        <v>41</v>
      </c>
      <c r="G33" s="4">
        <v>304</v>
      </c>
      <c r="H33" s="8">
        <v>525</v>
      </c>
      <c r="I33" s="9"/>
      <c r="J33" s="8">
        <f t="shared" ref="J33:J49" si="2">H33-I33</f>
        <v>525</v>
      </c>
    </row>
    <row r="34" spans="1:10" ht="19.95" customHeight="1" x14ac:dyDescent="0.3">
      <c r="A34" s="4">
        <v>250061</v>
      </c>
      <c r="B34" s="4">
        <v>304</v>
      </c>
      <c r="C34" s="6">
        <v>1</v>
      </c>
      <c r="D34" s="6" t="s">
        <v>96</v>
      </c>
      <c r="E34" s="7" t="s">
        <v>158</v>
      </c>
      <c r="F34" s="4" t="s">
        <v>41</v>
      </c>
      <c r="G34" s="4">
        <v>304</v>
      </c>
      <c r="H34" s="8">
        <v>15</v>
      </c>
      <c r="I34" s="9"/>
      <c r="J34" s="8">
        <f t="shared" si="2"/>
        <v>15</v>
      </c>
    </row>
    <row r="35" spans="1:10" ht="19.95" customHeight="1" x14ac:dyDescent="0.3">
      <c r="A35" s="4">
        <v>250052</v>
      </c>
      <c r="B35" s="4">
        <v>304</v>
      </c>
      <c r="C35" s="6">
        <v>0.7</v>
      </c>
      <c r="D35" s="6" t="s">
        <v>96</v>
      </c>
      <c r="E35" s="7" t="s">
        <v>159</v>
      </c>
      <c r="F35" s="4" t="s">
        <v>13</v>
      </c>
      <c r="G35" s="4">
        <v>304</v>
      </c>
      <c r="H35" s="8">
        <v>785</v>
      </c>
      <c r="I35" s="9">
        <v>807</v>
      </c>
      <c r="J35" s="8">
        <f t="shared" si="2"/>
        <v>-22</v>
      </c>
    </row>
    <row r="36" spans="1:10" ht="19.95" customHeight="1" x14ac:dyDescent="0.3">
      <c r="A36" s="4">
        <v>250055</v>
      </c>
      <c r="B36" s="4">
        <v>304</v>
      </c>
      <c r="C36" s="6">
        <v>0.7</v>
      </c>
      <c r="D36" s="6" t="s">
        <v>96</v>
      </c>
      <c r="E36" s="7" t="s">
        <v>159</v>
      </c>
      <c r="F36" s="4" t="s">
        <v>13</v>
      </c>
      <c r="G36" s="4">
        <v>304</v>
      </c>
      <c r="H36" s="8">
        <v>815</v>
      </c>
      <c r="I36" s="9">
        <v>815</v>
      </c>
      <c r="J36" s="8">
        <f t="shared" si="2"/>
        <v>0</v>
      </c>
    </row>
    <row r="37" spans="1:10" ht="19.95" customHeight="1" x14ac:dyDescent="0.3">
      <c r="A37" s="4">
        <v>250057</v>
      </c>
      <c r="B37" s="4">
        <v>304</v>
      </c>
      <c r="C37" s="6">
        <v>0.7</v>
      </c>
      <c r="D37" s="6" t="s">
        <v>96</v>
      </c>
      <c r="E37" s="7" t="s">
        <v>159</v>
      </c>
      <c r="F37" s="4" t="s">
        <v>13</v>
      </c>
      <c r="G37" s="4">
        <v>304</v>
      </c>
      <c r="H37" s="8">
        <v>395</v>
      </c>
      <c r="I37" s="9">
        <v>395</v>
      </c>
      <c r="J37" s="8">
        <f t="shared" si="2"/>
        <v>0</v>
      </c>
    </row>
    <row r="38" spans="1:10" ht="19.95" customHeight="1" x14ac:dyDescent="0.3">
      <c r="A38" s="4">
        <v>250061</v>
      </c>
      <c r="B38" s="4">
        <v>304</v>
      </c>
      <c r="C38" s="6">
        <v>0.7</v>
      </c>
      <c r="D38" s="6" t="s">
        <v>96</v>
      </c>
      <c r="E38" s="7" t="s">
        <v>159</v>
      </c>
      <c r="F38" s="4" t="s">
        <v>13</v>
      </c>
      <c r="G38" s="4">
        <v>304</v>
      </c>
      <c r="H38" s="8">
        <v>525</v>
      </c>
      <c r="I38" s="9">
        <v>525</v>
      </c>
      <c r="J38" s="8">
        <f t="shared" si="2"/>
        <v>0</v>
      </c>
    </row>
    <row r="39" spans="1:10" ht="19.95" customHeight="1" x14ac:dyDescent="0.3">
      <c r="A39" s="4">
        <v>250052</v>
      </c>
      <c r="B39" s="4">
        <v>304</v>
      </c>
      <c r="C39" s="6">
        <v>1</v>
      </c>
      <c r="D39" s="6" t="s">
        <v>96</v>
      </c>
      <c r="E39" s="7" t="s">
        <v>160</v>
      </c>
      <c r="F39" s="4" t="s">
        <v>13</v>
      </c>
      <c r="G39" s="4">
        <v>304</v>
      </c>
      <c r="H39" s="8">
        <v>15</v>
      </c>
      <c r="I39" s="9">
        <v>17</v>
      </c>
      <c r="J39" s="8">
        <f t="shared" si="2"/>
        <v>-2</v>
      </c>
    </row>
    <row r="40" spans="1:10" ht="19.95" customHeight="1" x14ac:dyDescent="0.3">
      <c r="A40" s="4">
        <v>250055</v>
      </c>
      <c r="B40" s="4">
        <v>304</v>
      </c>
      <c r="C40" s="6">
        <v>1</v>
      </c>
      <c r="D40" s="6" t="s">
        <v>96</v>
      </c>
      <c r="E40" s="7" t="s">
        <v>160</v>
      </c>
      <c r="F40" s="4" t="s">
        <v>13</v>
      </c>
      <c r="G40" s="4">
        <v>304</v>
      </c>
      <c r="H40" s="8">
        <v>15</v>
      </c>
      <c r="I40" s="9">
        <v>15</v>
      </c>
      <c r="J40" s="8">
        <f t="shared" si="2"/>
        <v>0</v>
      </c>
    </row>
    <row r="41" spans="1:10" ht="19.95" customHeight="1" x14ac:dyDescent="0.3">
      <c r="A41" s="4">
        <v>250057</v>
      </c>
      <c r="B41" s="4">
        <v>304</v>
      </c>
      <c r="C41" s="6">
        <v>1</v>
      </c>
      <c r="D41" s="6" t="s">
        <v>96</v>
      </c>
      <c r="E41" s="7" t="s">
        <v>160</v>
      </c>
      <c r="F41" s="4" t="s">
        <v>13</v>
      </c>
      <c r="G41" s="4">
        <v>304</v>
      </c>
      <c r="H41" s="8">
        <v>15</v>
      </c>
      <c r="I41" s="9">
        <v>15</v>
      </c>
      <c r="J41" s="8">
        <f t="shared" si="2"/>
        <v>0</v>
      </c>
    </row>
    <row r="42" spans="1:10" ht="19.95" customHeight="1" x14ac:dyDescent="0.3">
      <c r="A42" s="4">
        <v>250061</v>
      </c>
      <c r="B42" s="4">
        <v>304</v>
      </c>
      <c r="C42" s="6">
        <v>1</v>
      </c>
      <c r="D42" s="6" t="s">
        <v>96</v>
      </c>
      <c r="E42" s="7" t="s">
        <v>160</v>
      </c>
      <c r="F42" s="4" t="s">
        <v>13</v>
      </c>
      <c r="G42" s="4">
        <v>304</v>
      </c>
      <c r="H42" s="8">
        <v>15</v>
      </c>
      <c r="I42" s="9">
        <v>15</v>
      </c>
      <c r="J42" s="8">
        <f t="shared" si="2"/>
        <v>0</v>
      </c>
    </row>
    <row r="43" spans="1:10" ht="19.95" customHeight="1" x14ac:dyDescent="0.3">
      <c r="A43" s="4">
        <v>250055</v>
      </c>
      <c r="B43" s="4">
        <v>304</v>
      </c>
      <c r="C43" s="6">
        <v>0.7</v>
      </c>
      <c r="D43" s="6" t="s">
        <v>96</v>
      </c>
      <c r="E43" s="7" t="s">
        <v>161</v>
      </c>
      <c r="F43" s="4" t="s">
        <v>13</v>
      </c>
      <c r="G43" s="4">
        <v>304</v>
      </c>
      <c r="H43" s="32">
        <v>815</v>
      </c>
      <c r="I43" s="40">
        <v>837</v>
      </c>
      <c r="J43" s="32">
        <f t="shared" si="2"/>
        <v>-22</v>
      </c>
    </row>
    <row r="44" spans="1:10" ht="19.95" customHeight="1" x14ac:dyDescent="0.3">
      <c r="A44" s="4">
        <v>250057</v>
      </c>
      <c r="B44" s="4">
        <v>304</v>
      </c>
      <c r="C44" s="6">
        <v>0.7</v>
      </c>
      <c r="D44" s="6" t="s">
        <v>96</v>
      </c>
      <c r="E44" s="7" t="s">
        <v>161</v>
      </c>
      <c r="F44" s="4" t="s">
        <v>13</v>
      </c>
      <c r="G44" s="4">
        <v>304</v>
      </c>
      <c r="H44" s="32">
        <v>395</v>
      </c>
      <c r="I44" s="40">
        <v>395</v>
      </c>
      <c r="J44" s="32">
        <f t="shared" si="2"/>
        <v>0</v>
      </c>
    </row>
    <row r="45" spans="1:10" ht="19.95" customHeight="1" x14ac:dyDescent="0.3">
      <c r="A45" s="4">
        <v>250061</v>
      </c>
      <c r="B45" s="4">
        <v>304</v>
      </c>
      <c r="C45" s="6">
        <v>0.7</v>
      </c>
      <c r="D45" s="6" t="s">
        <v>96</v>
      </c>
      <c r="E45" s="7" t="s">
        <v>161</v>
      </c>
      <c r="F45" s="4" t="s">
        <v>13</v>
      </c>
      <c r="G45" s="4">
        <v>304</v>
      </c>
      <c r="H45" s="32">
        <v>525</v>
      </c>
      <c r="I45" s="40">
        <f>445+80</f>
        <v>525</v>
      </c>
      <c r="J45" s="32">
        <f t="shared" si="2"/>
        <v>0</v>
      </c>
    </row>
    <row r="46" spans="1:10" ht="19.95" customHeight="1" x14ac:dyDescent="0.3">
      <c r="A46" s="4">
        <v>250055</v>
      </c>
      <c r="B46" s="4">
        <v>304</v>
      </c>
      <c r="C46" s="6">
        <v>1</v>
      </c>
      <c r="D46" s="6" t="s">
        <v>96</v>
      </c>
      <c r="E46" s="7" t="s">
        <v>162</v>
      </c>
      <c r="F46" s="4" t="s">
        <v>13</v>
      </c>
      <c r="G46" s="4">
        <v>304</v>
      </c>
      <c r="H46" s="32">
        <v>15</v>
      </c>
      <c r="I46" s="40">
        <v>15</v>
      </c>
      <c r="J46" s="32">
        <f t="shared" si="2"/>
        <v>0</v>
      </c>
    </row>
    <row r="47" spans="1:10" ht="19.95" customHeight="1" x14ac:dyDescent="0.3">
      <c r="A47" s="4">
        <v>250057</v>
      </c>
      <c r="B47" s="4">
        <v>304</v>
      </c>
      <c r="C47" s="6">
        <v>1</v>
      </c>
      <c r="D47" s="6" t="s">
        <v>96</v>
      </c>
      <c r="E47" s="7" t="s">
        <v>162</v>
      </c>
      <c r="F47" s="4" t="s">
        <v>13</v>
      </c>
      <c r="G47" s="4">
        <v>304</v>
      </c>
      <c r="H47" s="32">
        <v>15</v>
      </c>
      <c r="I47" s="40">
        <v>15</v>
      </c>
      <c r="J47" s="32">
        <f t="shared" si="2"/>
        <v>0</v>
      </c>
    </row>
    <row r="48" spans="1:10" ht="19.95" customHeight="1" x14ac:dyDescent="0.3">
      <c r="A48" s="4">
        <v>250061</v>
      </c>
      <c r="B48" s="4">
        <v>304</v>
      </c>
      <c r="C48" s="6">
        <v>1</v>
      </c>
      <c r="D48" s="6" t="s">
        <v>96</v>
      </c>
      <c r="E48" s="7" t="s">
        <v>162</v>
      </c>
      <c r="F48" s="4" t="s">
        <v>13</v>
      </c>
      <c r="G48" s="4">
        <v>304</v>
      </c>
      <c r="H48" s="32">
        <v>15</v>
      </c>
      <c r="I48" s="40">
        <f>15+37</f>
        <v>52</v>
      </c>
      <c r="J48" s="32">
        <f t="shared" si="2"/>
        <v>-37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32"/>
      <c r="I49" s="40"/>
      <c r="J49" s="32">
        <f t="shared" si="2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SUM(H33:H49)</f>
        <v>4900</v>
      </c>
      <c r="I50" s="9">
        <f>SUM(I33:I49)</f>
        <v>4443</v>
      </c>
      <c r="J50" s="8">
        <f>SUM(J33:J49)</f>
        <v>457</v>
      </c>
    </row>
    <row r="52" spans="1:10" ht="30" customHeight="1" x14ac:dyDescent="0.3">
      <c r="A52" s="94" t="s">
        <v>20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230925</v>
      </c>
      <c r="B54" s="4">
        <v>430</v>
      </c>
      <c r="C54" s="6">
        <v>0.8</v>
      </c>
      <c r="D54" s="6" t="s">
        <v>11</v>
      </c>
      <c r="E54" s="7" t="s">
        <v>163</v>
      </c>
      <c r="F54" s="4" t="s">
        <v>41</v>
      </c>
      <c r="G54" s="4">
        <v>430</v>
      </c>
      <c r="H54" s="8">
        <v>4500</v>
      </c>
      <c r="I54" s="40">
        <f>1310+3190</f>
        <v>4500</v>
      </c>
      <c r="J54" s="32">
        <f t="shared" ref="J54:J55" si="3">H54-I54</f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40"/>
      <c r="J55" s="32">
        <f t="shared" si="3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8">
        <f>SUM(H54:H55)</f>
        <v>4500</v>
      </c>
      <c r="I56" s="40">
        <f>SUM(I54:I55)</f>
        <v>4500</v>
      </c>
      <c r="J56" s="32">
        <f>SUM(J54:J55)</f>
        <v>0</v>
      </c>
    </row>
    <row r="57" spans="1:10" ht="19.95" customHeight="1" x14ac:dyDescent="0.3">
      <c r="A57" s="15"/>
      <c r="B57" s="15"/>
      <c r="C57" s="15"/>
      <c r="D57" s="15"/>
      <c r="E57" s="16"/>
      <c r="F57" s="15"/>
      <c r="G57" s="15"/>
      <c r="H57" s="17"/>
      <c r="I57" s="18"/>
      <c r="J57" s="17"/>
    </row>
    <row r="58" spans="1:10" ht="30" customHeight="1" x14ac:dyDescent="0.3">
      <c r="A58" s="94" t="s">
        <v>19</v>
      </c>
      <c r="B58" s="94"/>
      <c r="C58" s="94"/>
      <c r="D58" s="94"/>
      <c r="E58" s="94"/>
      <c r="F58" s="94"/>
      <c r="G58" s="94"/>
      <c r="H58" s="94"/>
      <c r="I58" s="94"/>
      <c r="J58" s="94"/>
    </row>
    <row r="59" spans="1:10" ht="30" customHeight="1" x14ac:dyDescent="0.3">
      <c r="A59" s="4" t="s">
        <v>1</v>
      </c>
      <c r="B59" s="4" t="s">
        <v>2</v>
      </c>
      <c r="C59" s="5" t="s">
        <v>3</v>
      </c>
      <c r="D59" s="5" t="s">
        <v>4</v>
      </c>
      <c r="E59" s="4" t="s">
        <v>5</v>
      </c>
      <c r="F59" s="5" t="s">
        <v>6</v>
      </c>
      <c r="G59" s="5" t="s">
        <v>7</v>
      </c>
      <c r="H59" s="4" t="s">
        <v>8</v>
      </c>
      <c r="I59" s="4" t="s">
        <v>9</v>
      </c>
      <c r="J59" s="4" t="s">
        <v>10</v>
      </c>
    </row>
    <row r="60" spans="1:10" ht="19.95" customHeight="1" x14ac:dyDescent="0.3">
      <c r="A60" s="4">
        <v>230925</v>
      </c>
      <c r="B60" s="4">
        <v>430</v>
      </c>
      <c r="C60" s="6">
        <v>0.8</v>
      </c>
      <c r="D60" s="6" t="s">
        <v>11</v>
      </c>
      <c r="E60" s="7" t="s">
        <v>163</v>
      </c>
      <c r="F60" s="4" t="s">
        <v>41</v>
      </c>
      <c r="G60" s="4">
        <v>430</v>
      </c>
      <c r="H60" s="8">
        <v>1500</v>
      </c>
      <c r="I60" s="9">
        <v>442</v>
      </c>
      <c r="J60" s="8">
        <f t="shared" ref="J60:J71" si="4">H60-I60</f>
        <v>1058</v>
      </c>
    </row>
    <row r="61" spans="1:10" ht="19.95" customHeight="1" x14ac:dyDescent="0.3">
      <c r="A61" s="4">
        <v>250052</v>
      </c>
      <c r="B61" s="4">
        <v>304</v>
      </c>
      <c r="C61" s="6">
        <v>0.7</v>
      </c>
      <c r="D61" s="6" t="s">
        <v>11</v>
      </c>
      <c r="E61" s="7" t="s">
        <v>164</v>
      </c>
      <c r="F61" s="4" t="s">
        <v>13</v>
      </c>
      <c r="G61" s="4">
        <v>304</v>
      </c>
      <c r="H61" s="8">
        <v>785</v>
      </c>
      <c r="I61" s="9"/>
      <c r="J61" s="8">
        <f t="shared" si="4"/>
        <v>785</v>
      </c>
    </row>
    <row r="62" spans="1:10" ht="19.95" customHeight="1" x14ac:dyDescent="0.3">
      <c r="A62" s="4">
        <v>250055</v>
      </c>
      <c r="B62" s="4">
        <v>304</v>
      </c>
      <c r="C62" s="6">
        <v>0.7</v>
      </c>
      <c r="D62" s="6" t="s">
        <v>11</v>
      </c>
      <c r="E62" s="7" t="s">
        <v>164</v>
      </c>
      <c r="F62" s="4" t="s">
        <v>13</v>
      </c>
      <c r="G62" s="4">
        <v>304</v>
      </c>
      <c r="H62" s="8">
        <v>815</v>
      </c>
      <c r="I62" s="9"/>
      <c r="J62" s="8">
        <f t="shared" si="4"/>
        <v>815</v>
      </c>
    </row>
    <row r="63" spans="1:10" ht="19.95" customHeight="1" x14ac:dyDescent="0.3">
      <c r="A63" s="4">
        <v>250057</v>
      </c>
      <c r="B63" s="4">
        <v>304</v>
      </c>
      <c r="C63" s="6">
        <v>0.7</v>
      </c>
      <c r="D63" s="6" t="s">
        <v>11</v>
      </c>
      <c r="E63" s="7" t="s">
        <v>164</v>
      </c>
      <c r="F63" s="4" t="s">
        <v>13</v>
      </c>
      <c r="G63" s="4">
        <v>304</v>
      </c>
      <c r="H63" s="8">
        <v>395</v>
      </c>
      <c r="I63" s="9"/>
      <c r="J63" s="8">
        <f t="shared" si="4"/>
        <v>395</v>
      </c>
    </row>
    <row r="64" spans="1:10" ht="19.95" customHeight="1" x14ac:dyDescent="0.3">
      <c r="A64" s="4">
        <v>250061</v>
      </c>
      <c r="B64" s="4">
        <v>304</v>
      </c>
      <c r="C64" s="6">
        <v>0.7</v>
      </c>
      <c r="D64" s="6" t="s">
        <v>11</v>
      </c>
      <c r="E64" s="7" t="s">
        <v>164</v>
      </c>
      <c r="F64" s="4" t="s">
        <v>13</v>
      </c>
      <c r="G64" s="4">
        <v>304</v>
      </c>
      <c r="H64" s="8">
        <v>525</v>
      </c>
      <c r="I64" s="9"/>
      <c r="J64" s="8">
        <f t="shared" si="4"/>
        <v>525</v>
      </c>
    </row>
    <row r="65" spans="1:10" ht="19.95" customHeight="1" x14ac:dyDescent="0.3">
      <c r="A65" s="4">
        <v>250052</v>
      </c>
      <c r="B65" s="4">
        <v>304</v>
      </c>
      <c r="C65" s="6">
        <v>1</v>
      </c>
      <c r="D65" s="6" t="s">
        <v>11</v>
      </c>
      <c r="E65" s="7" t="s">
        <v>165</v>
      </c>
      <c r="F65" s="4" t="s">
        <v>13</v>
      </c>
      <c r="G65" s="4">
        <v>304</v>
      </c>
      <c r="H65" s="8">
        <v>15</v>
      </c>
      <c r="I65" s="9"/>
      <c r="J65" s="8">
        <f t="shared" si="4"/>
        <v>15</v>
      </c>
    </row>
    <row r="66" spans="1:10" ht="19.95" customHeight="1" x14ac:dyDescent="0.3">
      <c r="A66" s="4">
        <v>250055</v>
      </c>
      <c r="B66" s="4">
        <v>304</v>
      </c>
      <c r="C66" s="6">
        <v>1</v>
      </c>
      <c r="D66" s="6" t="s">
        <v>11</v>
      </c>
      <c r="E66" s="7" t="s">
        <v>165</v>
      </c>
      <c r="F66" s="4" t="s">
        <v>13</v>
      </c>
      <c r="G66" s="4">
        <v>304</v>
      </c>
      <c r="H66" s="8">
        <v>15</v>
      </c>
      <c r="I66" s="9"/>
      <c r="J66" s="8">
        <f t="shared" si="4"/>
        <v>15</v>
      </c>
    </row>
    <row r="67" spans="1:10" ht="19.95" customHeight="1" x14ac:dyDescent="0.3">
      <c r="A67" s="4">
        <v>250057</v>
      </c>
      <c r="B67" s="4">
        <v>304</v>
      </c>
      <c r="C67" s="6">
        <v>1</v>
      </c>
      <c r="D67" s="6" t="s">
        <v>11</v>
      </c>
      <c r="E67" s="7" t="s">
        <v>165</v>
      </c>
      <c r="F67" s="4" t="s">
        <v>13</v>
      </c>
      <c r="G67" s="4">
        <v>304</v>
      </c>
      <c r="H67" s="8">
        <v>15</v>
      </c>
      <c r="I67" s="9"/>
      <c r="J67" s="8">
        <f t="shared" si="4"/>
        <v>15</v>
      </c>
    </row>
    <row r="68" spans="1:10" ht="19.95" customHeight="1" x14ac:dyDescent="0.3">
      <c r="A68" s="4">
        <v>250061</v>
      </c>
      <c r="B68" s="4">
        <v>304</v>
      </c>
      <c r="C68" s="6">
        <v>1</v>
      </c>
      <c r="D68" s="6" t="s">
        <v>11</v>
      </c>
      <c r="E68" s="7" t="s">
        <v>165</v>
      </c>
      <c r="F68" s="4" t="s">
        <v>13</v>
      </c>
      <c r="G68" s="4">
        <v>304</v>
      </c>
      <c r="H68" s="8">
        <v>15</v>
      </c>
      <c r="I68" s="9"/>
      <c r="J68" s="8">
        <f t="shared" si="4"/>
        <v>15</v>
      </c>
    </row>
    <row r="69" spans="1:10" ht="19.95" customHeight="1" x14ac:dyDescent="0.3">
      <c r="A69" s="4">
        <v>250057</v>
      </c>
      <c r="B69" s="4">
        <v>304</v>
      </c>
      <c r="C69" s="6">
        <v>0.7</v>
      </c>
      <c r="D69" s="6" t="s">
        <v>11</v>
      </c>
      <c r="E69" s="7" t="s">
        <v>166</v>
      </c>
      <c r="F69" s="4" t="s">
        <v>13</v>
      </c>
      <c r="G69" s="4">
        <v>304</v>
      </c>
      <c r="H69" s="8">
        <v>395</v>
      </c>
      <c r="I69" s="9"/>
      <c r="J69" s="8">
        <f t="shared" si="4"/>
        <v>395</v>
      </c>
    </row>
    <row r="70" spans="1:10" ht="19.95" customHeight="1" x14ac:dyDescent="0.3">
      <c r="A70" s="4">
        <v>250057</v>
      </c>
      <c r="B70" s="4">
        <v>304</v>
      </c>
      <c r="C70" s="6">
        <v>1</v>
      </c>
      <c r="D70" s="6" t="s">
        <v>11</v>
      </c>
      <c r="E70" s="7" t="s">
        <v>167</v>
      </c>
      <c r="F70" s="4" t="s">
        <v>13</v>
      </c>
      <c r="G70" s="4">
        <v>304</v>
      </c>
      <c r="H70" s="8">
        <v>15</v>
      </c>
      <c r="I70" s="9"/>
      <c r="J70" s="8">
        <f t="shared" si="4"/>
        <v>15</v>
      </c>
    </row>
    <row r="71" spans="1:10" ht="19.95" customHeight="1" x14ac:dyDescent="0.3">
      <c r="A71" s="4"/>
      <c r="B71" s="4"/>
      <c r="C71" s="6"/>
      <c r="D71" s="6"/>
      <c r="E71" s="7"/>
      <c r="F71" s="4"/>
      <c r="G71" s="4"/>
      <c r="H71" s="8"/>
      <c r="I71" s="9"/>
      <c r="J71" s="8">
        <f t="shared" si="4"/>
        <v>0</v>
      </c>
    </row>
    <row r="72" spans="1:10" ht="19.95" customHeight="1" x14ac:dyDescent="0.3">
      <c r="A72" s="10"/>
      <c r="B72" s="10"/>
      <c r="C72" s="10"/>
      <c r="D72" s="10"/>
      <c r="E72" s="11"/>
      <c r="F72" s="10"/>
      <c r="G72" s="12"/>
      <c r="H72" s="8">
        <f>SUM(H60:H71)</f>
        <v>4490</v>
      </c>
      <c r="I72" s="9">
        <f>SUM(I60:I71)</f>
        <v>442</v>
      </c>
      <c r="J72" s="8">
        <f>SUM(J60:J71)</f>
        <v>4048</v>
      </c>
    </row>
    <row r="73" spans="1:10" ht="19.95" customHeight="1" x14ac:dyDescent="0.3">
      <c r="A73" s="15"/>
      <c r="B73" s="15"/>
      <c r="C73" s="15"/>
      <c r="D73" s="15"/>
      <c r="E73" s="16"/>
      <c r="F73" s="15"/>
      <c r="G73" s="15"/>
      <c r="H73" s="17"/>
      <c r="I73" s="18"/>
      <c r="J73" s="17"/>
    </row>
    <row r="74" spans="1:10" ht="30" customHeight="1" x14ac:dyDescent="0.3">
      <c r="A74" s="94" t="s">
        <v>23</v>
      </c>
      <c r="B74" s="94"/>
      <c r="C74" s="94"/>
      <c r="D74" s="94"/>
      <c r="E74" s="94"/>
      <c r="F74" s="94"/>
      <c r="G74" s="94"/>
      <c r="H74" s="94"/>
      <c r="I74" s="94"/>
      <c r="J74" s="94"/>
    </row>
    <row r="75" spans="1:10" ht="30" customHeight="1" x14ac:dyDescent="0.3">
      <c r="A75" s="4" t="s">
        <v>1</v>
      </c>
      <c r="B75" s="4" t="s">
        <v>2</v>
      </c>
      <c r="C75" s="5" t="s">
        <v>3</v>
      </c>
      <c r="D75" s="5" t="s">
        <v>4</v>
      </c>
      <c r="E75" s="4" t="s">
        <v>5</v>
      </c>
      <c r="F75" s="5" t="s">
        <v>6</v>
      </c>
      <c r="G75" s="5" t="s">
        <v>7</v>
      </c>
      <c r="H75" s="4" t="s">
        <v>8</v>
      </c>
      <c r="I75" s="4" t="s">
        <v>9</v>
      </c>
      <c r="J75" s="4" t="s">
        <v>10</v>
      </c>
    </row>
    <row r="76" spans="1:10" ht="19.95" customHeight="1" x14ac:dyDescent="0.3">
      <c r="A76" s="4">
        <v>250052</v>
      </c>
      <c r="B76" s="4">
        <v>304</v>
      </c>
      <c r="C76" s="6">
        <v>0.7</v>
      </c>
      <c r="D76" s="6" t="s">
        <v>11</v>
      </c>
      <c r="E76" s="7" t="s">
        <v>168</v>
      </c>
      <c r="F76" s="4" t="s">
        <v>13</v>
      </c>
      <c r="G76" s="4">
        <v>304</v>
      </c>
      <c r="H76" s="8">
        <v>785</v>
      </c>
      <c r="I76" s="9"/>
      <c r="J76" s="8">
        <f t="shared" ref="J76:J90" si="5">H76-I76</f>
        <v>785</v>
      </c>
    </row>
    <row r="77" spans="1:10" ht="19.95" customHeight="1" x14ac:dyDescent="0.3">
      <c r="A77" s="4">
        <v>250052</v>
      </c>
      <c r="B77" s="4">
        <v>304</v>
      </c>
      <c r="C77" s="6">
        <v>1</v>
      </c>
      <c r="D77" s="6" t="s">
        <v>11</v>
      </c>
      <c r="E77" s="7" t="s">
        <v>168</v>
      </c>
      <c r="F77" s="4" t="s">
        <v>13</v>
      </c>
      <c r="G77" s="4">
        <v>304</v>
      </c>
      <c r="H77" s="8">
        <v>15</v>
      </c>
      <c r="I77" s="9"/>
      <c r="J77" s="8">
        <f t="shared" si="5"/>
        <v>15</v>
      </c>
    </row>
    <row r="78" spans="1:10" ht="19.95" customHeight="1" x14ac:dyDescent="0.3">
      <c r="A78" s="4">
        <v>250057</v>
      </c>
      <c r="B78" s="4">
        <v>304</v>
      </c>
      <c r="C78" s="6">
        <v>0.7</v>
      </c>
      <c r="D78" s="6" t="s">
        <v>11</v>
      </c>
      <c r="E78" s="7" t="s">
        <v>169</v>
      </c>
      <c r="F78" s="4" t="s">
        <v>170</v>
      </c>
      <c r="G78" s="4">
        <v>304</v>
      </c>
      <c r="H78" s="8">
        <v>395</v>
      </c>
      <c r="I78" s="9"/>
      <c r="J78" s="8">
        <f t="shared" si="5"/>
        <v>395</v>
      </c>
    </row>
    <row r="79" spans="1:10" ht="19.95" customHeight="1" x14ac:dyDescent="0.3">
      <c r="A79" s="4">
        <v>250061</v>
      </c>
      <c r="B79" s="4">
        <v>304</v>
      </c>
      <c r="C79" s="6">
        <v>0.7</v>
      </c>
      <c r="D79" s="6" t="s">
        <v>11</v>
      </c>
      <c r="E79" s="7" t="s">
        <v>169</v>
      </c>
      <c r="F79" s="4" t="s">
        <v>171</v>
      </c>
      <c r="G79" s="4">
        <v>304</v>
      </c>
      <c r="H79" s="8">
        <v>525</v>
      </c>
      <c r="I79" s="9"/>
      <c r="J79" s="8">
        <f t="shared" si="5"/>
        <v>525</v>
      </c>
    </row>
    <row r="80" spans="1:10" ht="19.95" customHeight="1" x14ac:dyDescent="0.3">
      <c r="A80" s="4">
        <v>250057</v>
      </c>
      <c r="B80" s="4">
        <v>304</v>
      </c>
      <c r="C80" s="6">
        <v>1</v>
      </c>
      <c r="D80" s="6" t="s">
        <v>11</v>
      </c>
      <c r="E80" s="7" t="s">
        <v>169</v>
      </c>
      <c r="F80" s="4" t="s">
        <v>170</v>
      </c>
      <c r="G80" s="4">
        <v>304</v>
      </c>
      <c r="H80" s="8">
        <v>15</v>
      </c>
      <c r="I80" s="9"/>
      <c r="J80" s="8">
        <f t="shared" si="5"/>
        <v>15</v>
      </c>
    </row>
    <row r="81" spans="1:10" ht="19.95" customHeight="1" x14ac:dyDescent="0.3">
      <c r="A81" s="4">
        <v>250061</v>
      </c>
      <c r="B81" s="4">
        <v>304</v>
      </c>
      <c r="C81" s="6">
        <v>1</v>
      </c>
      <c r="D81" s="6" t="s">
        <v>11</v>
      </c>
      <c r="E81" s="7" t="s">
        <v>169</v>
      </c>
      <c r="F81" s="4" t="s">
        <v>171</v>
      </c>
      <c r="G81" s="4">
        <v>304</v>
      </c>
      <c r="H81" s="8">
        <v>15</v>
      </c>
      <c r="I81" s="9"/>
      <c r="J81" s="8">
        <f t="shared" si="5"/>
        <v>15</v>
      </c>
    </row>
    <row r="82" spans="1:10" ht="19.95" customHeight="1" x14ac:dyDescent="0.3">
      <c r="A82" s="4">
        <v>250057</v>
      </c>
      <c r="B82" s="4">
        <v>304</v>
      </c>
      <c r="C82" s="6">
        <v>0.7</v>
      </c>
      <c r="D82" s="6" t="s">
        <v>11</v>
      </c>
      <c r="E82" s="7" t="s">
        <v>172</v>
      </c>
      <c r="F82" s="4" t="s">
        <v>13</v>
      </c>
      <c r="G82" s="4">
        <v>304</v>
      </c>
      <c r="H82" s="8">
        <v>395</v>
      </c>
      <c r="I82" s="9"/>
      <c r="J82" s="8">
        <f t="shared" si="5"/>
        <v>395</v>
      </c>
    </row>
    <row r="83" spans="1:10" ht="19.95" customHeight="1" x14ac:dyDescent="0.3">
      <c r="A83" s="4">
        <v>250057</v>
      </c>
      <c r="B83" s="4">
        <v>304</v>
      </c>
      <c r="C83" s="6">
        <v>1</v>
      </c>
      <c r="D83" s="6" t="s">
        <v>11</v>
      </c>
      <c r="E83" s="7" t="s">
        <v>173</v>
      </c>
      <c r="F83" s="4" t="s">
        <v>174</v>
      </c>
      <c r="G83" s="4">
        <v>304</v>
      </c>
      <c r="H83" s="8">
        <v>15</v>
      </c>
      <c r="I83" s="9"/>
      <c r="J83" s="8">
        <f t="shared" si="5"/>
        <v>15</v>
      </c>
    </row>
    <row r="84" spans="1:10" ht="19.95" customHeight="1" x14ac:dyDescent="0.3">
      <c r="A84" s="4">
        <v>250057</v>
      </c>
      <c r="B84" s="4">
        <v>304</v>
      </c>
      <c r="C84" s="6">
        <v>0.7</v>
      </c>
      <c r="D84" s="6" t="s">
        <v>55</v>
      </c>
      <c r="E84" s="7" t="s">
        <v>175</v>
      </c>
      <c r="F84" s="4" t="s">
        <v>52</v>
      </c>
      <c r="G84" s="4">
        <v>304</v>
      </c>
      <c r="H84" s="8">
        <v>395</v>
      </c>
      <c r="I84" s="9"/>
      <c r="J84" s="8">
        <f t="shared" si="5"/>
        <v>395</v>
      </c>
    </row>
    <row r="85" spans="1:10" ht="19.95" customHeight="1" x14ac:dyDescent="0.3">
      <c r="A85" s="4">
        <v>250057</v>
      </c>
      <c r="B85" s="4">
        <v>304</v>
      </c>
      <c r="C85" s="6">
        <v>1</v>
      </c>
      <c r="D85" s="6" t="s">
        <v>55</v>
      </c>
      <c r="E85" s="7" t="s">
        <v>175</v>
      </c>
      <c r="F85" s="4" t="s">
        <v>52</v>
      </c>
      <c r="G85" s="4">
        <v>304</v>
      </c>
      <c r="H85" s="8">
        <v>15</v>
      </c>
      <c r="I85" s="9"/>
      <c r="J85" s="8">
        <f t="shared" si="5"/>
        <v>15</v>
      </c>
    </row>
    <row r="86" spans="1:10" ht="19.95" customHeight="1" x14ac:dyDescent="0.3">
      <c r="A86" s="4">
        <v>160925</v>
      </c>
      <c r="B86" s="4">
        <v>304</v>
      </c>
      <c r="C86" s="6">
        <v>0.9</v>
      </c>
      <c r="D86" s="6" t="s">
        <v>55</v>
      </c>
      <c r="E86" s="7" t="s">
        <v>176</v>
      </c>
      <c r="F86" s="4" t="s">
        <v>177</v>
      </c>
      <c r="G86" s="4">
        <v>430</v>
      </c>
      <c r="H86" s="8">
        <v>1100</v>
      </c>
      <c r="I86" s="9"/>
      <c r="J86" s="8">
        <f t="shared" si="5"/>
        <v>1100</v>
      </c>
    </row>
    <row r="87" spans="1:10" ht="19.95" customHeight="1" x14ac:dyDescent="0.3">
      <c r="A87" s="4">
        <v>250042</v>
      </c>
      <c r="B87" s="4">
        <v>304</v>
      </c>
      <c r="C87" s="6">
        <v>0.9</v>
      </c>
      <c r="D87" s="6" t="s">
        <v>55</v>
      </c>
      <c r="E87" s="7" t="s">
        <v>178</v>
      </c>
      <c r="F87" s="4" t="s">
        <v>177</v>
      </c>
      <c r="G87" s="4">
        <v>304</v>
      </c>
      <c r="H87" s="8">
        <v>750</v>
      </c>
      <c r="I87" s="9"/>
      <c r="J87" s="8">
        <f t="shared" si="5"/>
        <v>750</v>
      </c>
    </row>
    <row r="88" spans="1:10" ht="19.95" customHeight="1" x14ac:dyDescent="0.3">
      <c r="A88" s="4">
        <v>250042</v>
      </c>
      <c r="B88" s="4">
        <v>304</v>
      </c>
      <c r="C88" s="6">
        <v>0.9</v>
      </c>
      <c r="D88" s="6" t="s">
        <v>55</v>
      </c>
      <c r="E88" s="7" t="s">
        <v>179</v>
      </c>
      <c r="F88" s="4" t="s">
        <v>177</v>
      </c>
      <c r="G88" s="4">
        <v>304</v>
      </c>
      <c r="H88" s="8">
        <v>750</v>
      </c>
      <c r="I88" s="9"/>
      <c r="J88" s="8">
        <f t="shared" si="5"/>
        <v>750</v>
      </c>
    </row>
    <row r="89" spans="1:10" ht="19.95" customHeight="1" x14ac:dyDescent="0.3">
      <c r="A89" s="4">
        <v>250042</v>
      </c>
      <c r="B89" s="4">
        <v>304</v>
      </c>
      <c r="C89" s="6">
        <v>0.9</v>
      </c>
      <c r="D89" s="6" t="s">
        <v>55</v>
      </c>
      <c r="E89" s="7" t="s">
        <v>180</v>
      </c>
      <c r="F89" s="4" t="s">
        <v>177</v>
      </c>
      <c r="G89" s="4">
        <v>304</v>
      </c>
      <c r="H89" s="8">
        <v>750</v>
      </c>
      <c r="I89" s="9"/>
      <c r="J89" s="8">
        <f t="shared" si="5"/>
        <v>750</v>
      </c>
    </row>
    <row r="90" spans="1:10" ht="19.95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customHeight="1" x14ac:dyDescent="0.3">
      <c r="A91" s="10"/>
      <c r="B91" s="10"/>
      <c r="C91" s="10"/>
      <c r="D91" s="10"/>
      <c r="E91" s="11"/>
      <c r="F91" s="10"/>
      <c r="G91" s="12"/>
      <c r="H91" s="8">
        <f>SUM(H76:H90)</f>
        <v>5920</v>
      </c>
      <c r="I91" s="9">
        <f>SUM(I76:I90)</f>
        <v>0</v>
      </c>
      <c r="J91" s="8">
        <f>SUM(J76:J90)</f>
        <v>5920</v>
      </c>
    </row>
    <row r="93" spans="1:10" ht="15.6" x14ac:dyDescent="0.3">
      <c r="H93" s="8">
        <f>H91+H72+H56+H50+H29+H11</f>
        <v>28037</v>
      </c>
      <c r="I93" s="8">
        <f>I91+I72+I56+I50+I29+I11</f>
        <v>16421</v>
      </c>
      <c r="J93" s="8">
        <f>J91+J72+J56+J50+J29+J11</f>
        <v>11616</v>
      </c>
    </row>
    <row r="95" spans="1:10" ht="23.4" x14ac:dyDescent="0.3">
      <c r="A95" s="95" t="s">
        <v>14</v>
      </c>
      <c r="B95" s="95"/>
      <c r="C95" s="95"/>
      <c r="D95" s="95"/>
      <c r="E95" s="95"/>
      <c r="F95" s="95"/>
      <c r="G95" s="95"/>
      <c r="H95" s="95"/>
      <c r="I95" s="95"/>
      <c r="J95" s="95"/>
    </row>
  </sheetData>
  <mergeCells count="9">
    <mergeCell ref="A58:J58"/>
    <mergeCell ref="A74:J74"/>
    <mergeCell ref="A95:J95"/>
    <mergeCell ref="H1:J1"/>
    <mergeCell ref="A2:J2"/>
    <mergeCell ref="A3:J3"/>
    <mergeCell ref="A13:J13"/>
    <mergeCell ref="A31:J31"/>
    <mergeCell ref="A52:J5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zoomScale="85" zoomScaleNormal="85" workbookViewId="0">
      <selection activeCell="L70" sqref="L70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6.664062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149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290925</v>
      </c>
      <c r="B5" s="42">
        <v>304</v>
      </c>
      <c r="C5" s="43">
        <v>0.8</v>
      </c>
      <c r="D5" s="43" t="s">
        <v>43</v>
      </c>
      <c r="E5" s="37" t="s">
        <v>143</v>
      </c>
      <c r="F5" s="42" t="s">
        <v>41</v>
      </c>
      <c r="G5" s="42">
        <v>430</v>
      </c>
      <c r="H5" s="32">
        <v>2687</v>
      </c>
      <c r="I5" s="40">
        <v>2778</v>
      </c>
      <c r="J5" s="32">
        <f t="shared" ref="J5:J10" si="0">H5-I5</f>
        <v>-91</v>
      </c>
    </row>
    <row r="6" spans="1:10" ht="19.95" customHeight="1" x14ac:dyDescent="0.3">
      <c r="A6" s="4">
        <v>250057</v>
      </c>
      <c r="B6" s="4">
        <v>304</v>
      </c>
      <c r="C6" s="6">
        <v>0.7</v>
      </c>
      <c r="D6" s="6" t="s">
        <v>11</v>
      </c>
      <c r="E6" s="7" t="s">
        <v>150</v>
      </c>
      <c r="F6" s="4" t="s">
        <v>13</v>
      </c>
      <c r="G6" s="8">
        <v>304</v>
      </c>
      <c r="H6" s="32">
        <v>395</v>
      </c>
      <c r="I6" s="40">
        <v>400</v>
      </c>
      <c r="J6" s="32">
        <f t="shared" si="0"/>
        <v>-5</v>
      </c>
    </row>
    <row r="7" spans="1:10" ht="19.95" customHeight="1" x14ac:dyDescent="0.3">
      <c r="A7" s="4">
        <v>250061</v>
      </c>
      <c r="B7" s="4">
        <v>304</v>
      </c>
      <c r="C7" s="6">
        <v>0.7</v>
      </c>
      <c r="D7" s="6" t="s">
        <v>11</v>
      </c>
      <c r="E7" s="7" t="s">
        <v>150</v>
      </c>
      <c r="F7" s="4" t="s">
        <v>13</v>
      </c>
      <c r="G7" s="8">
        <v>304</v>
      </c>
      <c r="H7" s="32">
        <v>525</v>
      </c>
      <c r="I7" s="40">
        <v>583</v>
      </c>
      <c r="J7" s="32">
        <f t="shared" si="0"/>
        <v>-58</v>
      </c>
    </row>
    <row r="8" spans="1:10" ht="19.95" customHeight="1" x14ac:dyDescent="0.3">
      <c r="A8" s="4">
        <v>250061</v>
      </c>
      <c r="B8" s="4">
        <v>304</v>
      </c>
      <c r="C8" s="6">
        <v>0.7</v>
      </c>
      <c r="D8" s="6" t="s">
        <v>11</v>
      </c>
      <c r="E8" s="7" t="s">
        <v>151</v>
      </c>
      <c r="F8" s="4" t="s">
        <v>13</v>
      </c>
      <c r="G8" s="8">
        <v>304</v>
      </c>
      <c r="H8" s="32">
        <v>525</v>
      </c>
      <c r="I8" s="40">
        <v>530</v>
      </c>
      <c r="J8" s="32">
        <f t="shared" si="0"/>
        <v>-5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32"/>
      <c r="I9" s="40"/>
      <c r="J9" s="32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32"/>
      <c r="I10" s="40"/>
      <c r="J10" s="32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45">
        <f>SUM(H5:H10)</f>
        <v>4132</v>
      </c>
      <c r="I11" s="44">
        <f>SUM(I5:I10)</f>
        <v>4291</v>
      </c>
      <c r="J11" s="32">
        <f>SUM(J5:J10)</f>
        <v>-159</v>
      </c>
    </row>
    <row r="13" spans="1:10" ht="30" customHeight="1" x14ac:dyDescent="0.3">
      <c r="A13" s="94" t="s">
        <v>17</v>
      </c>
      <c r="B13" s="94"/>
      <c r="C13" s="94"/>
      <c r="D13" s="94"/>
      <c r="E13" s="94"/>
      <c r="F13" s="94"/>
      <c r="G13" s="94"/>
      <c r="H13" s="94"/>
      <c r="I13" s="94"/>
      <c r="J13" s="94"/>
    </row>
    <row r="14" spans="1:10" ht="30" customHeight="1" x14ac:dyDescent="0.3">
      <c r="A14" s="4" t="s">
        <v>1</v>
      </c>
      <c r="B14" s="4" t="s">
        <v>2</v>
      </c>
      <c r="C14" s="5" t="s">
        <v>3</v>
      </c>
      <c r="D14" s="5" t="s">
        <v>4</v>
      </c>
      <c r="E14" s="4" t="s">
        <v>5</v>
      </c>
      <c r="F14" s="5" t="s">
        <v>6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250057</v>
      </c>
      <c r="B15" s="4">
        <v>304</v>
      </c>
      <c r="C15" s="6">
        <v>0.7</v>
      </c>
      <c r="D15" s="6" t="s">
        <v>96</v>
      </c>
      <c r="E15" s="7" t="s">
        <v>151</v>
      </c>
      <c r="F15" s="4" t="s">
        <v>13</v>
      </c>
      <c r="G15" s="4">
        <v>304</v>
      </c>
      <c r="H15" s="32">
        <v>395</v>
      </c>
      <c r="I15" s="40">
        <v>400</v>
      </c>
      <c r="J15" s="32">
        <f t="shared" ref="J15:J28" si="1">H15-I15</f>
        <v>-5</v>
      </c>
    </row>
    <row r="16" spans="1:10" ht="19.95" customHeight="1" x14ac:dyDescent="0.3">
      <c r="A16" s="4">
        <v>250055</v>
      </c>
      <c r="B16" s="4">
        <v>304</v>
      </c>
      <c r="C16" s="6">
        <v>0.7</v>
      </c>
      <c r="D16" s="6" t="s">
        <v>96</v>
      </c>
      <c r="E16" s="7" t="s">
        <v>151</v>
      </c>
      <c r="F16" s="4" t="s">
        <v>13</v>
      </c>
      <c r="G16" s="4">
        <v>304</v>
      </c>
      <c r="H16" s="32">
        <v>815</v>
      </c>
      <c r="I16" s="40">
        <f>627+188</f>
        <v>815</v>
      </c>
      <c r="J16" s="32">
        <f t="shared" si="1"/>
        <v>0</v>
      </c>
    </row>
    <row r="17" spans="1:10" ht="19.95" customHeight="1" x14ac:dyDescent="0.3">
      <c r="A17" s="4">
        <v>250052</v>
      </c>
      <c r="B17" s="4">
        <v>304</v>
      </c>
      <c r="C17" s="6">
        <v>0.7</v>
      </c>
      <c r="D17" s="6" t="s">
        <v>96</v>
      </c>
      <c r="E17" s="7" t="s">
        <v>151</v>
      </c>
      <c r="F17" s="4" t="s">
        <v>13</v>
      </c>
      <c r="G17" s="4">
        <v>304</v>
      </c>
      <c r="H17" s="32">
        <v>785</v>
      </c>
      <c r="I17" s="40">
        <v>813</v>
      </c>
      <c r="J17" s="32">
        <f t="shared" si="1"/>
        <v>-28</v>
      </c>
    </row>
    <row r="18" spans="1:10" ht="19.95" customHeight="1" x14ac:dyDescent="0.3">
      <c r="A18" s="4">
        <v>250061</v>
      </c>
      <c r="B18" s="4">
        <v>304</v>
      </c>
      <c r="C18" s="6">
        <v>1</v>
      </c>
      <c r="D18" s="6" t="s">
        <v>96</v>
      </c>
      <c r="E18" s="7" t="s">
        <v>152</v>
      </c>
      <c r="F18" s="4" t="s">
        <v>13</v>
      </c>
      <c r="G18" s="4">
        <v>304</v>
      </c>
      <c r="H18" s="32">
        <v>15</v>
      </c>
      <c r="I18" s="40">
        <v>15</v>
      </c>
      <c r="J18" s="32">
        <f t="shared" si="1"/>
        <v>0</v>
      </c>
    </row>
    <row r="19" spans="1:10" ht="19.95" customHeight="1" x14ac:dyDescent="0.3">
      <c r="A19" s="4">
        <v>250057</v>
      </c>
      <c r="B19" s="4">
        <v>304</v>
      </c>
      <c r="C19" s="6">
        <v>1</v>
      </c>
      <c r="D19" s="6" t="s">
        <v>96</v>
      </c>
      <c r="E19" s="7" t="s">
        <v>152</v>
      </c>
      <c r="F19" s="4" t="s">
        <v>13</v>
      </c>
      <c r="G19" s="4">
        <v>304</v>
      </c>
      <c r="H19" s="32">
        <v>15</v>
      </c>
      <c r="I19" s="40">
        <v>15</v>
      </c>
      <c r="J19" s="32">
        <f t="shared" si="1"/>
        <v>0</v>
      </c>
    </row>
    <row r="20" spans="1:10" ht="19.95" customHeight="1" x14ac:dyDescent="0.3">
      <c r="A20" s="4">
        <v>250055</v>
      </c>
      <c r="B20" s="4">
        <v>304</v>
      </c>
      <c r="C20" s="6">
        <v>1</v>
      </c>
      <c r="D20" s="6" t="s">
        <v>96</v>
      </c>
      <c r="E20" s="7" t="s">
        <v>152</v>
      </c>
      <c r="F20" s="4" t="s">
        <v>13</v>
      </c>
      <c r="G20" s="4">
        <v>304</v>
      </c>
      <c r="H20" s="32">
        <v>15</v>
      </c>
      <c r="I20" s="40">
        <v>15</v>
      </c>
      <c r="J20" s="32">
        <f t="shared" si="1"/>
        <v>0</v>
      </c>
    </row>
    <row r="21" spans="1:10" ht="19.95" customHeight="1" x14ac:dyDescent="0.3">
      <c r="A21" s="4">
        <v>250052</v>
      </c>
      <c r="B21" s="4">
        <v>304</v>
      </c>
      <c r="C21" s="6">
        <v>1</v>
      </c>
      <c r="D21" s="6" t="s">
        <v>96</v>
      </c>
      <c r="E21" s="7" t="s">
        <v>152</v>
      </c>
      <c r="F21" s="4" t="s">
        <v>13</v>
      </c>
      <c r="G21" s="4">
        <v>304</v>
      </c>
      <c r="H21" s="32">
        <v>15</v>
      </c>
      <c r="I21" s="40">
        <v>15</v>
      </c>
      <c r="J21" s="32">
        <f t="shared" si="1"/>
        <v>0</v>
      </c>
    </row>
    <row r="22" spans="1:10" ht="19.95" customHeight="1" x14ac:dyDescent="0.3">
      <c r="A22" s="4">
        <v>250052</v>
      </c>
      <c r="B22" s="4">
        <v>304</v>
      </c>
      <c r="C22" s="6">
        <v>0.7</v>
      </c>
      <c r="D22" s="6" t="s">
        <v>96</v>
      </c>
      <c r="E22" s="7" t="s">
        <v>153</v>
      </c>
      <c r="F22" s="4" t="s">
        <v>13</v>
      </c>
      <c r="G22" s="4">
        <v>304</v>
      </c>
      <c r="H22" s="32">
        <v>785</v>
      </c>
      <c r="I22" s="40">
        <f>657+128</f>
        <v>785</v>
      </c>
      <c r="J22" s="32">
        <f t="shared" si="1"/>
        <v>0</v>
      </c>
    </row>
    <row r="23" spans="1:10" ht="19.95" customHeight="1" x14ac:dyDescent="0.3">
      <c r="A23" s="4">
        <v>250055</v>
      </c>
      <c r="B23" s="4">
        <v>304</v>
      </c>
      <c r="C23" s="6">
        <v>0.7</v>
      </c>
      <c r="D23" s="6" t="s">
        <v>96</v>
      </c>
      <c r="E23" s="7" t="s">
        <v>153</v>
      </c>
      <c r="F23" s="4" t="s">
        <v>13</v>
      </c>
      <c r="G23" s="4">
        <v>304</v>
      </c>
      <c r="H23" s="32">
        <v>815</v>
      </c>
      <c r="I23" s="40">
        <v>815</v>
      </c>
      <c r="J23" s="32">
        <f t="shared" si="1"/>
        <v>0</v>
      </c>
    </row>
    <row r="24" spans="1:10" ht="19.95" customHeight="1" x14ac:dyDescent="0.3">
      <c r="A24" s="4">
        <v>250052</v>
      </c>
      <c r="B24" s="4">
        <v>304</v>
      </c>
      <c r="C24" s="6">
        <v>1</v>
      </c>
      <c r="D24" s="6" t="s">
        <v>96</v>
      </c>
      <c r="E24" s="7" t="s">
        <v>154</v>
      </c>
      <c r="F24" s="4" t="s">
        <v>13</v>
      </c>
      <c r="G24" s="4">
        <v>304</v>
      </c>
      <c r="H24" s="32">
        <v>15</v>
      </c>
      <c r="I24" s="40">
        <v>15</v>
      </c>
      <c r="J24" s="32">
        <f t="shared" si="1"/>
        <v>0</v>
      </c>
    </row>
    <row r="25" spans="1:10" ht="19.95" customHeight="1" x14ac:dyDescent="0.3">
      <c r="A25" s="4">
        <v>250055</v>
      </c>
      <c r="B25" s="4">
        <v>304</v>
      </c>
      <c r="C25" s="6">
        <v>1</v>
      </c>
      <c r="D25" s="6" t="s">
        <v>96</v>
      </c>
      <c r="E25" s="7" t="s">
        <v>154</v>
      </c>
      <c r="F25" s="4" t="s">
        <v>13</v>
      </c>
      <c r="G25" s="4">
        <v>304</v>
      </c>
      <c r="H25" s="32">
        <v>15</v>
      </c>
      <c r="I25" s="40">
        <v>15</v>
      </c>
      <c r="J25" s="32">
        <f t="shared" si="1"/>
        <v>0</v>
      </c>
    </row>
    <row r="26" spans="1:10" ht="19.95" customHeight="1" x14ac:dyDescent="0.3">
      <c r="A26" s="4">
        <v>250057</v>
      </c>
      <c r="B26" s="4">
        <v>304</v>
      </c>
      <c r="C26" s="6">
        <v>0.7</v>
      </c>
      <c r="D26" s="6" t="s">
        <v>96</v>
      </c>
      <c r="E26" s="7" t="s">
        <v>155</v>
      </c>
      <c r="F26" s="4" t="s">
        <v>41</v>
      </c>
      <c r="G26" s="4">
        <v>304</v>
      </c>
      <c r="H26" s="8">
        <v>395</v>
      </c>
      <c r="I26" s="9"/>
      <c r="J26" s="8">
        <f t="shared" si="1"/>
        <v>395</v>
      </c>
    </row>
    <row r="27" spans="1:10" ht="19.95" customHeight="1" x14ac:dyDescent="0.3">
      <c r="A27" s="4">
        <v>250057</v>
      </c>
      <c r="B27" s="4">
        <v>304</v>
      </c>
      <c r="C27" s="6">
        <v>1</v>
      </c>
      <c r="D27" s="6" t="s">
        <v>96</v>
      </c>
      <c r="E27" s="7" t="s">
        <v>156</v>
      </c>
      <c r="F27" s="4" t="s">
        <v>41</v>
      </c>
      <c r="G27" s="4">
        <v>304</v>
      </c>
      <c r="H27" s="8">
        <v>15</v>
      </c>
      <c r="I27" s="9"/>
      <c r="J27" s="8">
        <f t="shared" si="1"/>
        <v>15</v>
      </c>
    </row>
    <row r="28" spans="1:10" ht="19.95" customHeight="1" x14ac:dyDescent="0.3">
      <c r="A28" s="4"/>
      <c r="B28" s="4"/>
      <c r="C28" s="6"/>
      <c r="D28" s="6"/>
      <c r="E28" s="7"/>
      <c r="F28" s="4"/>
      <c r="G28" s="4"/>
      <c r="H28" s="8"/>
      <c r="I28" s="9"/>
      <c r="J28" s="8">
        <f t="shared" si="1"/>
        <v>0</v>
      </c>
    </row>
    <row r="29" spans="1:10" ht="19.95" customHeight="1" x14ac:dyDescent="0.3">
      <c r="A29" s="10"/>
      <c r="B29" s="10"/>
      <c r="C29" s="10"/>
      <c r="D29" s="10"/>
      <c r="E29" s="11"/>
      <c r="F29" s="10"/>
      <c r="G29" s="12"/>
      <c r="H29" s="8">
        <f>SUM(H15:H28)</f>
        <v>4095</v>
      </c>
      <c r="I29" s="9">
        <f>SUM(I15:I28)</f>
        <v>3718</v>
      </c>
      <c r="J29" s="8">
        <f>SUM(J15:J28)</f>
        <v>377</v>
      </c>
    </row>
    <row r="31" spans="1:10" ht="30" customHeight="1" x14ac:dyDescent="0.3">
      <c r="A31" s="94" t="s">
        <v>18</v>
      </c>
      <c r="B31" s="94"/>
      <c r="C31" s="94"/>
      <c r="D31" s="94"/>
      <c r="E31" s="94"/>
      <c r="F31" s="94"/>
      <c r="G31" s="94"/>
      <c r="H31" s="94"/>
      <c r="I31" s="94"/>
      <c r="J31" s="94"/>
    </row>
    <row r="32" spans="1:10" ht="30" customHeight="1" x14ac:dyDescent="0.3">
      <c r="A32" s="4" t="s">
        <v>1</v>
      </c>
      <c r="B32" s="4" t="s">
        <v>2</v>
      </c>
      <c r="C32" s="5" t="s">
        <v>3</v>
      </c>
      <c r="D32" s="5" t="s">
        <v>4</v>
      </c>
      <c r="E32" s="4" t="s">
        <v>5</v>
      </c>
      <c r="F32" s="5" t="s">
        <v>6</v>
      </c>
      <c r="G32" s="5" t="s">
        <v>7</v>
      </c>
      <c r="H32" s="4" t="s">
        <v>8</v>
      </c>
      <c r="I32" s="4" t="s">
        <v>9</v>
      </c>
      <c r="J32" s="4" t="s">
        <v>10</v>
      </c>
    </row>
    <row r="33" spans="1:10" ht="19.95" customHeight="1" x14ac:dyDescent="0.3">
      <c r="A33" s="4">
        <v>250061</v>
      </c>
      <c r="B33" s="4">
        <v>304</v>
      </c>
      <c r="C33" s="6">
        <v>0.7</v>
      </c>
      <c r="D33" s="6" t="s">
        <v>96</v>
      </c>
      <c r="E33" s="7" t="s">
        <v>157</v>
      </c>
      <c r="F33" s="4" t="s">
        <v>41</v>
      </c>
      <c r="G33" s="4">
        <v>304</v>
      </c>
      <c r="H33" s="8">
        <v>525</v>
      </c>
      <c r="I33" s="9"/>
      <c r="J33" s="8">
        <f t="shared" ref="J33:J49" si="2">H33-I33</f>
        <v>525</v>
      </c>
    </row>
    <row r="34" spans="1:10" ht="19.95" customHeight="1" x14ac:dyDescent="0.3">
      <c r="A34" s="4">
        <v>250061</v>
      </c>
      <c r="B34" s="4">
        <v>304</v>
      </c>
      <c r="C34" s="6">
        <v>1</v>
      </c>
      <c r="D34" s="6" t="s">
        <v>96</v>
      </c>
      <c r="E34" s="7" t="s">
        <v>158</v>
      </c>
      <c r="F34" s="4" t="s">
        <v>41</v>
      </c>
      <c r="G34" s="4">
        <v>304</v>
      </c>
      <c r="H34" s="8">
        <v>15</v>
      </c>
      <c r="I34" s="9"/>
      <c r="J34" s="8">
        <f t="shared" si="2"/>
        <v>15</v>
      </c>
    </row>
    <row r="35" spans="1:10" ht="19.95" customHeight="1" x14ac:dyDescent="0.3">
      <c r="A35" s="4">
        <v>250052</v>
      </c>
      <c r="B35" s="4">
        <v>304</v>
      </c>
      <c r="C35" s="6">
        <v>0.7</v>
      </c>
      <c r="D35" s="6" t="s">
        <v>96</v>
      </c>
      <c r="E35" s="7" t="s">
        <v>159</v>
      </c>
      <c r="F35" s="4" t="s">
        <v>13</v>
      </c>
      <c r="G35" s="4">
        <v>304</v>
      </c>
      <c r="H35" s="32">
        <v>785</v>
      </c>
      <c r="I35" s="40">
        <v>807</v>
      </c>
      <c r="J35" s="32">
        <f t="shared" si="2"/>
        <v>-22</v>
      </c>
    </row>
    <row r="36" spans="1:10" ht="19.95" customHeight="1" x14ac:dyDescent="0.3">
      <c r="A36" s="4">
        <v>250055</v>
      </c>
      <c r="B36" s="4">
        <v>304</v>
      </c>
      <c r="C36" s="6">
        <v>0.7</v>
      </c>
      <c r="D36" s="6" t="s">
        <v>96</v>
      </c>
      <c r="E36" s="7" t="s">
        <v>159</v>
      </c>
      <c r="F36" s="4" t="s">
        <v>13</v>
      </c>
      <c r="G36" s="4">
        <v>304</v>
      </c>
      <c r="H36" s="32">
        <v>815</v>
      </c>
      <c r="I36" s="40">
        <v>815</v>
      </c>
      <c r="J36" s="32">
        <f t="shared" si="2"/>
        <v>0</v>
      </c>
    </row>
    <row r="37" spans="1:10" ht="19.95" customHeight="1" x14ac:dyDescent="0.3">
      <c r="A37" s="4">
        <v>250057</v>
      </c>
      <c r="B37" s="4">
        <v>304</v>
      </c>
      <c r="C37" s="6">
        <v>0.7</v>
      </c>
      <c r="D37" s="6" t="s">
        <v>96</v>
      </c>
      <c r="E37" s="7" t="s">
        <v>159</v>
      </c>
      <c r="F37" s="4" t="s">
        <v>13</v>
      </c>
      <c r="G37" s="4">
        <v>304</v>
      </c>
      <c r="H37" s="32">
        <v>395</v>
      </c>
      <c r="I37" s="40">
        <v>395</v>
      </c>
      <c r="J37" s="32">
        <f t="shared" si="2"/>
        <v>0</v>
      </c>
    </row>
    <row r="38" spans="1:10" ht="19.95" customHeight="1" x14ac:dyDescent="0.3">
      <c r="A38" s="4">
        <v>250061</v>
      </c>
      <c r="B38" s="4">
        <v>304</v>
      </c>
      <c r="C38" s="6">
        <v>0.7</v>
      </c>
      <c r="D38" s="6" t="s">
        <v>96</v>
      </c>
      <c r="E38" s="7" t="s">
        <v>159</v>
      </c>
      <c r="F38" s="4" t="s">
        <v>13</v>
      </c>
      <c r="G38" s="4">
        <v>304</v>
      </c>
      <c r="H38" s="32">
        <v>525</v>
      </c>
      <c r="I38" s="40">
        <v>525</v>
      </c>
      <c r="J38" s="32">
        <f t="shared" si="2"/>
        <v>0</v>
      </c>
    </row>
    <row r="39" spans="1:10" ht="19.95" customHeight="1" x14ac:dyDescent="0.3">
      <c r="A39" s="4">
        <v>250052</v>
      </c>
      <c r="B39" s="4">
        <v>304</v>
      </c>
      <c r="C39" s="6">
        <v>1</v>
      </c>
      <c r="D39" s="6" t="s">
        <v>96</v>
      </c>
      <c r="E39" s="7" t="s">
        <v>160</v>
      </c>
      <c r="F39" s="4" t="s">
        <v>13</v>
      </c>
      <c r="G39" s="4">
        <v>304</v>
      </c>
      <c r="H39" s="32">
        <v>15</v>
      </c>
      <c r="I39" s="40">
        <v>17</v>
      </c>
      <c r="J39" s="32">
        <f t="shared" si="2"/>
        <v>-2</v>
      </c>
    </row>
    <row r="40" spans="1:10" ht="19.95" customHeight="1" x14ac:dyDescent="0.3">
      <c r="A40" s="4">
        <v>250055</v>
      </c>
      <c r="B40" s="4">
        <v>304</v>
      </c>
      <c r="C40" s="6">
        <v>1</v>
      </c>
      <c r="D40" s="6" t="s">
        <v>96</v>
      </c>
      <c r="E40" s="7" t="s">
        <v>160</v>
      </c>
      <c r="F40" s="4" t="s">
        <v>13</v>
      </c>
      <c r="G40" s="4">
        <v>304</v>
      </c>
      <c r="H40" s="32">
        <v>15</v>
      </c>
      <c r="I40" s="40">
        <v>15</v>
      </c>
      <c r="J40" s="32">
        <f t="shared" si="2"/>
        <v>0</v>
      </c>
    </row>
    <row r="41" spans="1:10" ht="19.95" customHeight="1" x14ac:dyDescent="0.3">
      <c r="A41" s="4">
        <v>250057</v>
      </c>
      <c r="B41" s="4">
        <v>304</v>
      </c>
      <c r="C41" s="6">
        <v>1</v>
      </c>
      <c r="D41" s="6" t="s">
        <v>96</v>
      </c>
      <c r="E41" s="7" t="s">
        <v>160</v>
      </c>
      <c r="F41" s="4" t="s">
        <v>13</v>
      </c>
      <c r="G41" s="4">
        <v>304</v>
      </c>
      <c r="H41" s="32">
        <v>15</v>
      </c>
      <c r="I41" s="40">
        <v>15</v>
      </c>
      <c r="J41" s="32">
        <f t="shared" si="2"/>
        <v>0</v>
      </c>
    </row>
    <row r="42" spans="1:10" ht="19.95" customHeight="1" x14ac:dyDescent="0.3">
      <c r="A42" s="4">
        <v>250061</v>
      </c>
      <c r="B42" s="4">
        <v>304</v>
      </c>
      <c r="C42" s="6">
        <v>1</v>
      </c>
      <c r="D42" s="6" t="s">
        <v>96</v>
      </c>
      <c r="E42" s="7" t="s">
        <v>160</v>
      </c>
      <c r="F42" s="4" t="s">
        <v>13</v>
      </c>
      <c r="G42" s="4">
        <v>304</v>
      </c>
      <c r="H42" s="32">
        <v>15</v>
      </c>
      <c r="I42" s="40">
        <v>15</v>
      </c>
      <c r="J42" s="32">
        <f t="shared" si="2"/>
        <v>0</v>
      </c>
    </row>
    <row r="43" spans="1:10" ht="19.95" customHeight="1" x14ac:dyDescent="0.3">
      <c r="A43" s="4">
        <v>250055</v>
      </c>
      <c r="B43" s="4">
        <v>304</v>
      </c>
      <c r="C43" s="6">
        <v>0.7</v>
      </c>
      <c r="D43" s="6" t="s">
        <v>96</v>
      </c>
      <c r="E43" s="7" t="s">
        <v>161</v>
      </c>
      <c r="F43" s="4" t="s">
        <v>13</v>
      </c>
      <c r="G43" s="4">
        <v>304</v>
      </c>
      <c r="H43" s="32">
        <v>815</v>
      </c>
      <c r="I43" s="40">
        <v>837</v>
      </c>
      <c r="J43" s="32">
        <f t="shared" si="2"/>
        <v>-22</v>
      </c>
    </row>
    <row r="44" spans="1:10" ht="19.95" customHeight="1" x14ac:dyDescent="0.3">
      <c r="A44" s="4">
        <v>250057</v>
      </c>
      <c r="B44" s="4">
        <v>304</v>
      </c>
      <c r="C44" s="6">
        <v>0.7</v>
      </c>
      <c r="D44" s="6" t="s">
        <v>96</v>
      </c>
      <c r="E44" s="7" t="s">
        <v>161</v>
      </c>
      <c r="F44" s="4" t="s">
        <v>13</v>
      </c>
      <c r="G44" s="4">
        <v>304</v>
      </c>
      <c r="H44" s="32">
        <v>395</v>
      </c>
      <c r="I44" s="40">
        <v>395</v>
      </c>
      <c r="J44" s="32">
        <f t="shared" si="2"/>
        <v>0</v>
      </c>
    </row>
    <row r="45" spans="1:10" ht="19.95" customHeight="1" x14ac:dyDescent="0.3">
      <c r="A45" s="4">
        <v>250061</v>
      </c>
      <c r="B45" s="4">
        <v>304</v>
      </c>
      <c r="C45" s="6">
        <v>0.7</v>
      </c>
      <c r="D45" s="6" t="s">
        <v>96</v>
      </c>
      <c r="E45" s="7" t="s">
        <v>161</v>
      </c>
      <c r="F45" s="4" t="s">
        <v>13</v>
      </c>
      <c r="G45" s="4">
        <v>304</v>
      </c>
      <c r="H45" s="32">
        <v>525</v>
      </c>
      <c r="I45" s="40">
        <f>445+80</f>
        <v>525</v>
      </c>
      <c r="J45" s="32">
        <f t="shared" si="2"/>
        <v>0</v>
      </c>
    </row>
    <row r="46" spans="1:10" ht="19.95" customHeight="1" x14ac:dyDescent="0.3">
      <c r="A46" s="4">
        <v>250055</v>
      </c>
      <c r="B46" s="4">
        <v>304</v>
      </c>
      <c r="C46" s="6">
        <v>1</v>
      </c>
      <c r="D46" s="6" t="s">
        <v>96</v>
      </c>
      <c r="E46" s="7" t="s">
        <v>162</v>
      </c>
      <c r="F46" s="4" t="s">
        <v>13</v>
      </c>
      <c r="G46" s="4">
        <v>304</v>
      </c>
      <c r="H46" s="32">
        <v>15</v>
      </c>
      <c r="I46" s="40">
        <v>15</v>
      </c>
      <c r="J46" s="32">
        <f t="shared" si="2"/>
        <v>0</v>
      </c>
    </row>
    <row r="47" spans="1:10" ht="19.95" customHeight="1" x14ac:dyDescent="0.3">
      <c r="A47" s="4">
        <v>250057</v>
      </c>
      <c r="B47" s="4">
        <v>304</v>
      </c>
      <c r="C47" s="6">
        <v>1</v>
      </c>
      <c r="D47" s="6" t="s">
        <v>96</v>
      </c>
      <c r="E47" s="7" t="s">
        <v>162</v>
      </c>
      <c r="F47" s="4" t="s">
        <v>13</v>
      </c>
      <c r="G47" s="4">
        <v>304</v>
      </c>
      <c r="H47" s="32">
        <v>15</v>
      </c>
      <c r="I47" s="40">
        <v>15</v>
      </c>
      <c r="J47" s="32">
        <f t="shared" si="2"/>
        <v>0</v>
      </c>
    </row>
    <row r="48" spans="1:10" ht="19.95" customHeight="1" x14ac:dyDescent="0.3">
      <c r="A48" s="4">
        <v>250061</v>
      </c>
      <c r="B48" s="4">
        <v>304</v>
      </c>
      <c r="C48" s="6">
        <v>1</v>
      </c>
      <c r="D48" s="6" t="s">
        <v>96</v>
      </c>
      <c r="E48" s="7" t="s">
        <v>162</v>
      </c>
      <c r="F48" s="4" t="s">
        <v>13</v>
      </c>
      <c r="G48" s="4">
        <v>304</v>
      </c>
      <c r="H48" s="32">
        <v>15</v>
      </c>
      <c r="I48" s="40">
        <f>15+37</f>
        <v>52</v>
      </c>
      <c r="J48" s="32">
        <f t="shared" si="2"/>
        <v>-37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32"/>
      <c r="I49" s="40"/>
      <c r="J49" s="32">
        <f t="shared" si="2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SUM(H33:H49)</f>
        <v>4900</v>
      </c>
      <c r="I50" s="9">
        <f>SUM(I33:I49)</f>
        <v>4443</v>
      </c>
      <c r="J50" s="8">
        <f>SUM(J33:J49)</f>
        <v>457</v>
      </c>
    </row>
    <row r="52" spans="1:10" ht="30" customHeight="1" x14ac:dyDescent="0.3">
      <c r="A52" s="94" t="s">
        <v>20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230925</v>
      </c>
      <c r="B54" s="4">
        <v>430</v>
      </c>
      <c r="C54" s="6">
        <v>0.8</v>
      </c>
      <c r="D54" s="6" t="s">
        <v>11</v>
      </c>
      <c r="E54" s="7" t="s">
        <v>163</v>
      </c>
      <c r="F54" s="4" t="s">
        <v>41</v>
      </c>
      <c r="G54" s="4">
        <v>430</v>
      </c>
      <c r="H54" s="32">
        <v>4500</v>
      </c>
      <c r="I54" s="40">
        <f>1310+3190</f>
        <v>4500</v>
      </c>
      <c r="J54" s="32">
        <f t="shared" ref="J54:J55" si="3">H54-I54</f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32"/>
      <c r="I55" s="40"/>
      <c r="J55" s="32">
        <f t="shared" si="3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32">
        <f>SUM(H54:H55)</f>
        <v>4500</v>
      </c>
      <c r="I56" s="40">
        <f>SUM(I54:I55)</f>
        <v>4500</v>
      </c>
      <c r="J56" s="32">
        <f>SUM(J54:J55)</f>
        <v>0</v>
      </c>
    </row>
    <row r="57" spans="1:10" ht="19.95" customHeight="1" x14ac:dyDescent="0.3">
      <c r="A57" s="15"/>
      <c r="B57" s="15"/>
      <c r="C57" s="15"/>
      <c r="D57" s="15"/>
      <c r="E57" s="16"/>
      <c r="F57" s="15"/>
      <c r="G57" s="15"/>
      <c r="H57" s="17"/>
      <c r="I57" s="18"/>
      <c r="J57" s="17"/>
    </row>
    <row r="58" spans="1:10" ht="30" customHeight="1" x14ac:dyDescent="0.3">
      <c r="A58" s="94" t="s">
        <v>19</v>
      </c>
      <c r="B58" s="94"/>
      <c r="C58" s="94"/>
      <c r="D58" s="94"/>
      <c r="E58" s="94"/>
      <c r="F58" s="94"/>
      <c r="G58" s="94"/>
      <c r="H58" s="94"/>
      <c r="I58" s="94"/>
      <c r="J58" s="94"/>
    </row>
    <row r="59" spans="1:10" ht="30" customHeight="1" x14ac:dyDescent="0.3">
      <c r="A59" s="4" t="s">
        <v>1</v>
      </c>
      <c r="B59" s="4" t="s">
        <v>2</v>
      </c>
      <c r="C59" s="5" t="s">
        <v>3</v>
      </c>
      <c r="D59" s="5" t="s">
        <v>4</v>
      </c>
      <c r="E59" s="4" t="s">
        <v>5</v>
      </c>
      <c r="F59" s="5" t="s">
        <v>6</v>
      </c>
      <c r="G59" s="5" t="s">
        <v>7</v>
      </c>
      <c r="H59" s="4" t="s">
        <v>8</v>
      </c>
      <c r="I59" s="4" t="s">
        <v>9</v>
      </c>
      <c r="J59" s="4" t="s">
        <v>10</v>
      </c>
    </row>
    <row r="60" spans="1:10" ht="19.95" customHeight="1" x14ac:dyDescent="0.3">
      <c r="A60" s="4">
        <v>230925</v>
      </c>
      <c r="B60" s="4">
        <v>430</v>
      </c>
      <c r="C60" s="6">
        <v>0.8</v>
      </c>
      <c r="D60" s="6" t="s">
        <v>11</v>
      </c>
      <c r="E60" s="7" t="s">
        <v>163</v>
      </c>
      <c r="F60" s="4" t="s">
        <v>41</v>
      </c>
      <c r="G60" s="4">
        <v>430</v>
      </c>
      <c r="H60" s="8">
        <v>1500</v>
      </c>
      <c r="I60" s="9">
        <v>442</v>
      </c>
      <c r="J60" s="8">
        <f t="shared" ref="J60:J71" si="4">H60-I60</f>
        <v>1058</v>
      </c>
    </row>
    <row r="61" spans="1:10" ht="19.95" customHeight="1" x14ac:dyDescent="0.3">
      <c r="A61" s="4">
        <v>250052</v>
      </c>
      <c r="B61" s="4">
        <v>304</v>
      </c>
      <c r="C61" s="6">
        <v>0.7</v>
      </c>
      <c r="D61" s="6" t="s">
        <v>11</v>
      </c>
      <c r="E61" s="7" t="s">
        <v>164</v>
      </c>
      <c r="F61" s="4" t="s">
        <v>13</v>
      </c>
      <c r="G61" s="4">
        <v>304</v>
      </c>
      <c r="H61" s="32">
        <v>785</v>
      </c>
      <c r="I61" s="40">
        <v>785</v>
      </c>
      <c r="J61" s="32">
        <f t="shared" si="4"/>
        <v>0</v>
      </c>
    </row>
    <row r="62" spans="1:10" ht="19.95" customHeight="1" x14ac:dyDescent="0.3">
      <c r="A62" s="4">
        <v>250055</v>
      </c>
      <c r="B62" s="4">
        <v>304</v>
      </c>
      <c r="C62" s="6">
        <v>0.7</v>
      </c>
      <c r="D62" s="6" t="s">
        <v>11</v>
      </c>
      <c r="E62" s="7" t="s">
        <v>164</v>
      </c>
      <c r="F62" s="4" t="s">
        <v>13</v>
      </c>
      <c r="G62" s="4">
        <v>304</v>
      </c>
      <c r="H62" s="32">
        <v>815</v>
      </c>
      <c r="I62" s="40">
        <v>815</v>
      </c>
      <c r="J62" s="32">
        <f t="shared" si="4"/>
        <v>0</v>
      </c>
    </row>
    <row r="63" spans="1:10" ht="19.95" customHeight="1" x14ac:dyDescent="0.3">
      <c r="A63" s="4">
        <v>250057</v>
      </c>
      <c r="B63" s="4">
        <v>304</v>
      </c>
      <c r="C63" s="6">
        <v>0.7</v>
      </c>
      <c r="D63" s="6" t="s">
        <v>11</v>
      </c>
      <c r="E63" s="7" t="s">
        <v>164</v>
      </c>
      <c r="F63" s="4" t="s">
        <v>13</v>
      </c>
      <c r="G63" s="4">
        <v>304</v>
      </c>
      <c r="H63" s="32">
        <v>395</v>
      </c>
      <c r="I63" s="40">
        <v>395</v>
      </c>
      <c r="J63" s="32">
        <f t="shared" si="4"/>
        <v>0</v>
      </c>
    </row>
    <row r="64" spans="1:10" ht="19.95" customHeight="1" x14ac:dyDescent="0.3">
      <c r="A64" s="4">
        <v>250061</v>
      </c>
      <c r="B64" s="4">
        <v>304</v>
      </c>
      <c r="C64" s="6">
        <v>0.7</v>
      </c>
      <c r="D64" s="6" t="s">
        <v>11</v>
      </c>
      <c r="E64" s="7" t="s">
        <v>164</v>
      </c>
      <c r="F64" s="4" t="s">
        <v>13</v>
      </c>
      <c r="G64" s="4">
        <v>304</v>
      </c>
      <c r="H64" s="32">
        <v>525</v>
      </c>
      <c r="I64" s="40">
        <v>540</v>
      </c>
      <c r="J64" s="32">
        <f t="shared" si="4"/>
        <v>-15</v>
      </c>
    </row>
    <row r="65" spans="1:10" ht="19.95" customHeight="1" x14ac:dyDescent="0.3">
      <c r="A65" s="4">
        <v>250052</v>
      </c>
      <c r="B65" s="4">
        <v>304</v>
      </c>
      <c r="C65" s="6">
        <v>1</v>
      </c>
      <c r="D65" s="6" t="s">
        <v>11</v>
      </c>
      <c r="E65" s="7" t="s">
        <v>165</v>
      </c>
      <c r="F65" s="4" t="s">
        <v>13</v>
      </c>
      <c r="G65" s="4">
        <v>304</v>
      </c>
      <c r="H65" s="32">
        <v>15</v>
      </c>
      <c r="I65" s="40">
        <v>15</v>
      </c>
      <c r="J65" s="32">
        <f t="shared" si="4"/>
        <v>0</v>
      </c>
    </row>
    <row r="66" spans="1:10" ht="19.95" customHeight="1" x14ac:dyDescent="0.3">
      <c r="A66" s="4">
        <v>250055</v>
      </c>
      <c r="B66" s="4">
        <v>304</v>
      </c>
      <c r="C66" s="6">
        <v>1</v>
      </c>
      <c r="D66" s="6" t="s">
        <v>11</v>
      </c>
      <c r="E66" s="7" t="s">
        <v>165</v>
      </c>
      <c r="F66" s="4" t="s">
        <v>13</v>
      </c>
      <c r="G66" s="4">
        <v>304</v>
      </c>
      <c r="H66" s="32">
        <v>15</v>
      </c>
      <c r="I66" s="40">
        <v>15</v>
      </c>
      <c r="J66" s="32">
        <f t="shared" si="4"/>
        <v>0</v>
      </c>
    </row>
    <row r="67" spans="1:10" ht="19.95" customHeight="1" x14ac:dyDescent="0.3">
      <c r="A67" s="4">
        <v>250057</v>
      </c>
      <c r="B67" s="4">
        <v>304</v>
      </c>
      <c r="C67" s="6">
        <v>1</v>
      </c>
      <c r="D67" s="6" t="s">
        <v>11</v>
      </c>
      <c r="E67" s="7" t="s">
        <v>165</v>
      </c>
      <c r="F67" s="4" t="s">
        <v>13</v>
      </c>
      <c r="G67" s="4">
        <v>304</v>
      </c>
      <c r="H67" s="32">
        <v>15</v>
      </c>
      <c r="I67" s="40">
        <v>15</v>
      </c>
      <c r="J67" s="32">
        <f t="shared" si="4"/>
        <v>0</v>
      </c>
    </row>
    <row r="68" spans="1:10" ht="19.95" customHeight="1" x14ac:dyDescent="0.3">
      <c r="A68" s="4">
        <v>250061</v>
      </c>
      <c r="B68" s="4">
        <v>304</v>
      </c>
      <c r="C68" s="6">
        <v>1</v>
      </c>
      <c r="D68" s="6" t="s">
        <v>11</v>
      </c>
      <c r="E68" s="7" t="s">
        <v>165</v>
      </c>
      <c r="F68" s="4" t="s">
        <v>13</v>
      </c>
      <c r="G68" s="4">
        <v>304</v>
      </c>
      <c r="H68" s="32">
        <v>15</v>
      </c>
      <c r="I68" s="40">
        <v>17</v>
      </c>
      <c r="J68" s="32">
        <f t="shared" si="4"/>
        <v>-2</v>
      </c>
    </row>
    <row r="69" spans="1:10" ht="19.95" customHeight="1" x14ac:dyDescent="0.3">
      <c r="A69" s="4">
        <v>250057</v>
      </c>
      <c r="B69" s="4">
        <v>304</v>
      </c>
      <c r="C69" s="6">
        <v>0.7</v>
      </c>
      <c r="D69" s="6" t="s">
        <v>11</v>
      </c>
      <c r="E69" s="7" t="s">
        <v>166</v>
      </c>
      <c r="F69" s="4" t="s">
        <v>13</v>
      </c>
      <c r="G69" s="4">
        <v>304</v>
      </c>
      <c r="H69" s="8">
        <v>395</v>
      </c>
      <c r="I69" s="9"/>
      <c r="J69" s="8">
        <f t="shared" si="4"/>
        <v>395</v>
      </c>
    </row>
    <row r="70" spans="1:10" ht="19.95" customHeight="1" x14ac:dyDescent="0.3">
      <c r="A70" s="4">
        <v>250057</v>
      </c>
      <c r="B70" s="4">
        <v>304</v>
      </c>
      <c r="C70" s="6">
        <v>1</v>
      </c>
      <c r="D70" s="6" t="s">
        <v>11</v>
      </c>
      <c r="E70" s="7" t="s">
        <v>167</v>
      </c>
      <c r="F70" s="4" t="s">
        <v>13</v>
      </c>
      <c r="G70" s="4">
        <v>304</v>
      </c>
      <c r="H70" s="8">
        <v>15</v>
      </c>
      <c r="I70" s="9"/>
      <c r="J70" s="8">
        <f t="shared" si="4"/>
        <v>15</v>
      </c>
    </row>
    <row r="71" spans="1:10" ht="19.95" customHeight="1" x14ac:dyDescent="0.3">
      <c r="A71" s="4"/>
      <c r="B71" s="4"/>
      <c r="C71" s="6"/>
      <c r="D71" s="6"/>
      <c r="E71" s="7"/>
      <c r="F71" s="4"/>
      <c r="G71" s="4"/>
      <c r="H71" s="8"/>
      <c r="I71" s="9"/>
      <c r="J71" s="8">
        <f t="shared" si="4"/>
        <v>0</v>
      </c>
    </row>
    <row r="72" spans="1:10" ht="19.95" customHeight="1" x14ac:dyDescent="0.3">
      <c r="A72" s="10"/>
      <c r="B72" s="10"/>
      <c r="C72" s="10"/>
      <c r="D72" s="10"/>
      <c r="E72" s="11"/>
      <c r="F72" s="10"/>
      <c r="G72" s="12"/>
      <c r="H72" s="8">
        <f>SUM(H60:H71)</f>
        <v>4490</v>
      </c>
      <c r="I72" s="9">
        <f>SUM(I60:I71)</f>
        <v>3039</v>
      </c>
      <c r="J72" s="8">
        <f>SUM(J60:J71)</f>
        <v>1451</v>
      </c>
    </row>
    <row r="73" spans="1:10" ht="19.95" customHeight="1" x14ac:dyDescent="0.3">
      <c r="A73" s="15"/>
      <c r="B73" s="15"/>
      <c r="C73" s="15"/>
      <c r="D73" s="15"/>
      <c r="E73" s="16"/>
      <c r="F73" s="15"/>
      <c r="G73" s="15"/>
      <c r="H73" s="17"/>
      <c r="I73" s="18"/>
      <c r="J73" s="17"/>
    </row>
    <row r="74" spans="1:10" ht="30" customHeight="1" x14ac:dyDescent="0.3">
      <c r="A74" s="94" t="s">
        <v>23</v>
      </c>
      <c r="B74" s="94"/>
      <c r="C74" s="94"/>
      <c r="D74" s="94"/>
      <c r="E74" s="94"/>
      <c r="F74" s="94"/>
      <c r="G74" s="94"/>
      <c r="H74" s="94"/>
      <c r="I74" s="94"/>
      <c r="J74" s="94"/>
    </row>
    <row r="75" spans="1:10" ht="30" customHeight="1" x14ac:dyDescent="0.3">
      <c r="A75" s="4" t="s">
        <v>1</v>
      </c>
      <c r="B75" s="4" t="s">
        <v>2</v>
      </c>
      <c r="C75" s="5" t="s">
        <v>3</v>
      </c>
      <c r="D75" s="5" t="s">
        <v>4</v>
      </c>
      <c r="E75" s="4" t="s">
        <v>5</v>
      </c>
      <c r="F75" s="5" t="s">
        <v>6</v>
      </c>
      <c r="G75" s="5" t="s">
        <v>7</v>
      </c>
      <c r="H75" s="4" t="s">
        <v>8</v>
      </c>
      <c r="I75" s="4" t="s">
        <v>9</v>
      </c>
      <c r="J75" s="4" t="s">
        <v>10</v>
      </c>
    </row>
    <row r="76" spans="1:10" ht="19.95" customHeight="1" x14ac:dyDescent="0.3">
      <c r="A76" s="4">
        <v>250052</v>
      </c>
      <c r="B76" s="4">
        <v>304</v>
      </c>
      <c r="C76" s="6">
        <v>0.7</v>
      </c>
      <c r="D76" s="6" t="s">
        <v>11</v>
      </c>
      <c r="E76" s="7" t="s">
        <v>168</v>
      </c>
      <c r="F76" s="4" t="s">
        <v>13</v>
      </c>
      <c r="G76" s="4">
        <v>304</v>
      </c>
      <c r="H76" s="8">
        <v>785</v>
      </c>
      <c r="I76" s="9"/>
      <c r="J76" s="8">
        <f t="shared" ref="J76:J90" si="5">H76-I76</f>
        <v>785</v>
      </c>
    </row>
    <row r="77" spans="1:10" ht="19.95" customHeight="1" x14ac:dyDescent="0.3">
      <c r="A77" s="4">
        <v>250052</v>
      </c>
      <c r="B77" s="4">
        <v>304</v>
      </c>
      <c r="C77" s="6">
        <v>1</v>
      </c>
      <c r="D77" s="6" t="s">
        <v>11</v>
      </c>
      <c r="E77" s="7" t="s">
        <v>168</v>
      </c>
      <c r="F77" s="4" t="s">
        <v>13</v>
      </c>
      <c r="G77" s="4">
        <v>304</v>
      </c>
      <c r="H77" s="8">
        <v>15</v>
      </c>
      <c r="I77" s="9"/>
      <c r="J77" s="8">
        <f t="shared" si="5"/>
        <v>15</v>
      </c>
    </row>
    <row r="78" spans="1:10" ht="19.95" customHeight="1" x14ac:dyDescent="0.3">
      <c r="A78" s="4">
        <v>250057</v>
      </c>
      <c r="B78" s="4">
        <v>304</v>
      </c>
      <c r="C78" s="6">
        <v>0.7</v>
      </c>
      <c r="D78" s="6" t="s">
        <v>11</v>
      </c>
      <c r="E78" s="7" t="s">
        <v>169</v>
      </c>
      <c r="F78" s="4" t="s">
        <v>170</v>
      </c>
      <c r="G78" s="4">
        <v>304</v>
      </c>
      <c r="H78" s="8">
        <v>395</v>
      </c>
      <c r="I78" s="9"/>
      <c r="J78" s="8">
        <f t="shared" si="5"/>
        <v>395</v>
      </c>
    </row>
    <row r="79" spans="1:10" ht="19.95" customHeight="1" x14ac:dyDescent="0.3">
      <c r="A79" s="4">
        <v>250061</v>
      </c>
      <c r="B79" s="4">
        <v>304</v>
      </c>
      <c r="C79" s="6">
        <v>0.7</v>
      </c>
      <c r="D79" s="6" t="s">
        <v>11</v>
      </c>
      <c r="E79" s="7" t="s">
        <v>169</v>
      </c>
      <c r="F79" s="4" t="s">
        <v>171</v>
      </c>
      <c r="G79" s="4">
        <v>304</v>
      </c>
      <c r="H79" s="8">
        <v>525</v>
      </c>
      <c r="I79" s="9"/>
      <c r="J79" s="8">
        <f t="shared" si="5"/>
        <v>525</v>
      </c>
    </row>
    <row r="80" spans="1:10" ht="19.95" customHeight="1" x14ac:dyDescent="0.3">
      <c r="A80" s="4">
        <v>250057</v>
      </c>
      <c r="B80" s="4">
        <v>304</v>
      </c>
      <c r="C80" s="6">
        <v>1</v>
      </c>
      <c r="D80" s="6" t="s">
        <v>11</v>
      </c>
      <c r="E80" s="7" t="s">
        <v>169</v>
      </c>
      <c r="F80" s="4" t="s">
        <v>170</v>
      </c>
      <c r="G80" s="4">
        <v>304</v>
      </c>
      <c r="H80" s="8">
        <v>15</v>
      </c>
      <c r="I80" s="9"/>
      <c r="J80" s="8">
        <f t="shared" si="5"/>
        <v>15</v>
      </c>
    </row>
    <row r="81" spans="1:10" ht="19.95" customHeight="1" x14ac:dyDescent="0.3">
      <c r="A81" s="4">
        <v>250061</v>
      </c>
      <c r="B81" s="4">
        <v>304</v>
      </c>
      <c r="C81" s="6">
        <v>1</v>
      </c>
      <c r="D81" s="6" t="s">
        <v>11</v>
      </c>
      <c r="E81" s="7" t="s">
        <v>169</v>
      </c>
      <c r="F81" s="4" t="s">
        <v>171</v>
      </c>
      <c r="G81" s="4">
        <v>304</v>
      </c>
      <c r="H81" s="8">
        <v>15</v>
      </c>
      <c r="I81" s="9"/>
      <c r="J81" s="8">
        <f t="shared" si="5"/>
        <v>15</v>
      </c>
    </row>
    <row r="82" spans="1:10" ht="19.95" customHeight="1" x14ac:dyDescent="0.3">
      <c r="A82" s="4">
        <v>250057</v>
      </c>
      <c r="B82" s="4">
        <v>304</v>
      </c>
      <c r="C82" s="6">
        <v>0.7</v>
      </c>
      <c r="D82" s="6" t="s">
        <v>11</v>
      </c>
      <c r="E82" s="7" t="s">
        <v>172</v>
      </c>
      <c r="F82" s="4" t="s">
        <v>13</v>
      </c>
      <c r="G82" s="4">
        <v>304</v>
      </c>
      <c r="H82" s="8">
        <v>395</v>
      </c>
      <c r="I82" s="9"/>
      <c r="J82" s="8">
        <f t="shared" si="5"/>
        <v>395</v>
      </c>
    </row>
    <row r="83" spans="1:10" ht="19.95" customHeight="1" x14ac:dyDescent="0.3">
      <c r="A83" s="4">
        <v>250057</v>
      </c>
      <c r="B83" s="4">
        <v>304</v>
      </c>
      <c r="C83" s="6">
        <v>1</v>
      </c>
      <c r="D83" s="6" t="s">
        <v>11</v>
      </c>
      <c r="E83" s="7" t="s">
        <v>173</v>
      </c>
      <c r="F83" s="4" t="s">
        <v>174</v>
      </c>
      <c r="G83" s="4">
        <v>304</v>
      </c>
      <c r="H83" s="8">
        <v>15</v>
      </c>
      <c r="I83" s="9"/>
      <c r="J83" s="8">
        <f t="shared" si="5"/>
        <v>15</v>
      </c>
    </row>
    <row r="84" spans="1:10" ht="19.95" customHeight="1" x14ac:dyDescent="0.3">
      <c r="A84" s="4">
        <v>250057</v>
      </c>
      <c r="B84" s="4">
        <v>304</v>
      </c>
      <c r="C84" s="6">
        <v>0.7</v>
      </c>
      <c r="D84" s="6" t="s">
        <v>55</v>
      </c>
      <c r="E84" s="7" t="s">
        <v>175</v>
      </c>
      <c r="F84" s="4" t="s">
        <v>52</v>
      </c>
      <c r="G84" s="4">
        <v>304</v>
      </c>
      <c r="H84" s="8">
        <v>395</v>
      </c>
      <c r="I84" s="9"/>
      <c r="J84" s="8">
        <f t="shared" si="5"/>
        <v>395</v>
      </c>
    </row>
    <row r="85" spans="1:10" ht="19.95" customHeight="1" x14ac:dyDescent="0.3">
      <c r="A85" s="4">
        <v>250057</v>
      </c>
      <c r="B85" s="4">
        <v>304</v>
      </c>
      <c r="C85" s="6">
        <v>1</v>
      </c>
      <c r="D85" s="6" t="s">
        <v>55</v>
      </c>
      <c r="E85" s="7" t="s">
        <v>175</v>
      </c>
      <c r="F85" s="4" t="s">
        <v>52</v>
      </c>
      <c r="G85" s="4">
        <v>304</v>
      </c>
      <c r="H85" s="8">
        <v>15</v>
      </c>
      <c r="I85" s="9"/>
      <c r="J85" s="8">
        <f t="shared" si="5"/>
        <v>15</v>
      </c>
    </row>
    <row r="86" spans="1:10" ht="19.95" customHeight="1" x14ac:dyDescent="0.3">
      <c r="A86" s="4">
        <v>160925</v>
      </c>
      <c r="B86" s="4">
        <v>304</v>
      </c>
      <c r="C86" s="6">
        <v>0.9</v>
      </c>
      <c r="D86" s="6" t="s">
        <v>55</v>
      </c>
      <c r="E86" s="7" t="s">
        <v>176</v>
      </c>
      <c r="F86" s="4" t="s">
        <v>177</v>
      </c>
      <c r="G86" s="4">
        <v>430</v>
      </c>
      <c r="H86" s="8">
        <v>1100</v>
      </c>
      <c r="I86" s="9"/>
      <c r="J86" s="8">
        <f t="shared" si="5"/>
        <v>1100</v>
      </c>
    </row>
    <row r="87" spans="1:10" ht="19.95" customHeight="1" x14ac:dyDescent="0.3">
      <c r="A87" s="4">
        <v>250042</v>
      </c>
      <c r="B87" s="4">
        <v>304</v>
      </c>
      <c r="C87" s="6">
        <v>0.9</v>
      </c>
      <c r="D87" s="6" t="s">
        <v>55</v>
      </c>
      <c r="E87" s="7" t="s">
        <v>178</v>
      </c>
      <c r="F87" s="4" t="s">
        <v>177</v>
      </c>
      <c r="G87" s="4">
        <v>304</v>
      </c>
      <c r="H87" s="8">
        <v>750</v>
      </c>
      <c r="I87" s="9"/>
      <c r="J87" s="8">
        <f t="shared" si="5"/>
        <v>750</v>
      </c>
    </row>
    <row r="88" spans="1:10" ht="19.95" customHeight="1" x14ac:dyDescent="0.3">
      <c r="A88" s="4">
        <v>250042</v>
      </c>
      <c r="B88" s="4">
        <v>304</v>
      </c>
      <c r="C88" s="6">
        <v>0.9</v>
      </c>
      <c r="D88" s="6" t="s">
        <v>55</v>
      </c>
      <c r="E88" s="7" t="s">
        <v>179</v>
      </c>
      <c r="F88" s="4" t="s">
        <v>177</v>
      </c>
      <c r="G88" s="4">
        <v>304</v>
      </c>
      <c r="H88" s="8">
        <v>750</v>
      </c>
      <c r="I88" s="9"/>
      <c r="J88" s="8">
        <f t="shared" si="5"/>
        <v>750</v>
      </c>
    </row>
    <row r="89" spans="1:10" ht="19.95" customHeight="1" x14ac:dyDescent="0.3">
      <c r="A89" s="4">
        <v>250042</v>
      </c>
      <c r="B89" s="4">
        <v>304</v>
      </c>
      <c r="C89" s="6">
        <v>0.9</v>
      </c>
      <c r="D89" s="6" t="s">
        <v>55</v>
      </c>
      <c r="E89" s="7" t="s">
        <v>180</v>
      </c>
      <c r="F89" s="4" t="s">
        <v>177</v>
      </c>
      <c r="G89" s="4">
        <v>304</v>
      </c>
      <c r="H89" s="8">
        <v>750</v>
      </c>
      <c r="I89" s="9"/>
      <c r="J89" s="8">
        <f t="shared" si="5"/>
        <v>750</v>
      </c>
    </row>
    <row r="90" spans="1:10" ht="19.95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customHeight="1" x14ac:dyDescent="0.3">
      <c r="A91" s="10"/>
      <c r="B91" s="10"/>
      <c r="C91" s="10"/>
      <c r="D91" s="10"/>
      <c r="E91" s="11"/>
      <c r="F91" s="10"/>
      <c r="G91" s="12"/>
      <c r="H91" s="8">
        <f>SUM(H76:H90)</f>
        <v>5920</v>
      </c>
      <c r="I91" s="9">
        <f>SUM(I76:I90)</f>
        <v>0</v>
      </c>
      <c r="J91" s="8">
        <f>SUM(J76:J90)</f>
        <v>5920</v>
      </c>
    </row>
    <row r="93" spans="1:10" ht="15.6" x14ac:dyDescent="0.3">
      <c r="H93" s="8">
        <f>H91+H72+H56+H50+H29+H11</f>
        <v>28037</v>
      </c>
      <c r="I93" s="8">
        <f>I91+I72+I56+I50+I29+I11</f>
        <v>19991</v>
      </c>
      <c r="J93" s="8">
        <f>J91+J72+J56+J50+J29+J11</f>
        <v>8046</v>
      </c>
    </row>
    <row r="95" spans="1:10" ht="23.4" x14ac:dyDescent="0.3">
      <c r="A95" s="95" t="s">
        <v>14</v>
      </c>
      <c r="B95" s="95"/>
      <c r="C95" s="95"/>
      <c r="D95" s="95"/>
      <c r="E95" s="95"/>
      <c r="F95" s="95"/>
      <c r="G95" s="95"/>
      <c r="H95" s="95"/>
      <c r="I95" s="95"/>
      <c r="J95" s="95"/>
    </row>
  </sheetData>
  <mergeCells count="9">
    <mergeCell ref="A58:J58"/>
    <mergeCell ref="A74:J74"/>
    <mergeCell ref="A95:J95"/>
    <mergeCell ref="H1:J1"/>
    <mergeCell ref="A2:J2"/>
    <mergeCell ref="A3:J3"/>
    <mergeCell ref="A13:J13"/>
    <mergeCell ref="A31:J31"/>
    <mergeCell ref="A52:J5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zoomScale="85" zoomScaleNormal="85" workbookViewId="0">
      <selection activeCell="L70" sqref="L70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6.664062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149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290925</v>
      </c>
      <c r="B5" s="42">
        <v>304</v>
      </c>
      <c r="C5" s="43">
        <v>0.8</v>
      </c>
      <c r="D5" s="43" t="s">
        <v>43</v>
      </c>
      <c r="E5" s="37" t="s">
        <v>143</v>
      </c>
      <c r="F5" s="42" t="s">
        <v>41</v>
      </c>
      <c r="G5" s="42">
        <v>430</v>
      </c>
      <c r="H5" s="32">
        <v>2687</v>
      </c>
      <c r="I5" s="40">
        <v>2778</v>
      </c>
      <c r="J5" s="32">
        <f t="shared" ref="J5:J10" si="0">H5-I5</f>
        <v>-91</v>
      </c>
    </row>
    <row r="6" spans="1:10" ht="19.95" customHeight="1" x14ac:dyDescent="0.3">
      <c r="A6" s="4">
        <v>250057</v>
      </c>
      <c r="B6" s="4">
        <v>304</v>
      </c>
      <c r="C6" s="6">
        <v>0.7</v>
      </c>
      <c r="D6" s="6" t="s">
        <v>11</v>
      </c>
      <c r="E6" s="7" t="s">
        <v>150</v>
      </c>
      <c r="F6" s="4" t="s">
        <v>13</v>
      </c>
      <c r="G6" s="8">
        <v>304</v>
      </c>
      <c r="H6" s="32">
        <v>395</v>
      </c>
      <c r="I6" s="40">
        <v>400</v>
      </c>
      <c r="J6" s="32">
        <f t="shared" si="0"/>
        <v>-5</v>
      </c>
    </row>
    <row r="7" spans="1:10" ht="19.95" customHeight="1" x14ac:dyDescent="0.3">
      <c r="A7" s="4">
        <v>250061</v>
      </c>
      <c r="B7" s="4">
        <v>304</v>
      </c>
      <c r="C7" s="6">
        <v>0.7</v>
      </c>
      <c r="D7" s="6" t="s">
        <v>11</v>
      </c>
      <c r="E7" s="7" t="s">
        <v>150</v>
      </c>
      <c r="F7" s="4" t="s">
        <v>13</v>
      </c>
      <c r="G7" s="8">
        <v>304</v>
      </c>
      <c r="H7" s="32">
        <v>525</v>
      </c>
      <c r="I7" s="40">
        <v>583</v>
      </c>
      <c r="J7" s="32">
        <f t="shared" si="0"/>
        <v>-58</v>
      </c>
    </row>
    <row r="8" spans="1:10" ht="19.95" customHeight="1" x14ac:dyDescent="0.3">
      <c r="A8" s="4">
        <v>250061</v>
      </c>
      <c r="B8" s="4">
        <v>304</v>
      </c>
      <c r="C8" s="6">
        <v>0.7</v>
      </c>
      <c r="D8" s="6" t="s">
        <v>11</v>
      </c>
      <c r="E8" s="7" t="s">
        <v>151</v>
      </c>
      <c r="F8" s="4" t="s">
        <v>13</v>
      </c>
      <c r="G8" s="8">
        <v>304</v>
      </c>
      <c r="H8" s="32">
        <v>525</v>
      </c>
      <c r="I8" s="40">
        <v>530</v>
      </c>
      <c r="J8" s="32">
        <f t="shared" si="0"/>
        <v>-5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32"/>
      <c r="I9" s="40"/>
      <c r="J9" s="32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32"/>
      <c r="I10" s="40"/>
      <c r="J10" s="32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45">
        <f>SUM(H5:H10)</f>
        <v>4132</v>
      </c>
      <c r="I11" s="44">
        <f>SUM(I5:I10)</f>
        <v>4291</v>
      </c>
      <c r="J11" s="32">
        <f>SUM(J5:J10)</f>
        <v>-159</v>
      </c>
    </row>
    <row r="13" spans="1:10" ht="30" customHeight="1" x14ac:dyDescent="0.3">
      <c r="A13" s="94" t="s">
        <v>17</v>
      </c>
      <c r="B13" s="94"/>
      <c r="C13" s="94"/>
      <c r="D13" s="94"/>
      <c r="E13" s="94"/>
      <c r="F13" s="94"/>
      <c r="G13" s="94"/>
      <c r="H13" s="94"/>
      <c r="I13" s="94"/>
      <c r="J13" s="94"/>
    </row>
    <row r="14" spans="1:10" ht="30" customHeight="1" x14ac:dyDescent="0.3">
      <c r="A14" s="4" t="s">
        <v>1</v>
      </c>
      <c r="B14" s="4" t="s">
        <v>2</v>
      </c>
      <c r="C14" s="5" t="s">
        <v>3</v>
      </c>
      <c r="D14" s="5" t="s">
        <v>4</v>
      </c>
      <c r="E14" s="4" t="s">
        <v>5</v>
      </c>
      <c r="F14" s="5" t="s">
        <v>6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250057</v>
      </c>
      <c r="B15" s="4">
        <v>304</v>
      </c>
      <c r="C15" s="6">
        <v>0.7</v>
      </c>
      <c r="D15" s="6" t="s">
        <v>96</v>
      </c>
      <c r="E15" s="7" t="s">
        <v>151</v>
      </c>
      <c r="F15" s="4" t="s">
        <v>13</v>
      </c>
      <c r="G15" s="4">
        <v>304</v>
      </c>
      <c r="H15" s="32">
        <v>395</v>
      </c>
      <c r="I15" s="40">
        <v>400</v>
      </c>
      <c r="J15" s="32">
        <f t="shared" ref="J15:J28" si="1">H15-I15</f>
        <v>-5</v>
      </c>
    </row>
    <row r="16" spans="1:10" ht="19.95" customHeight="1" x14ac:dyDescent="0.3">
      <c r="A16" s="4">
        <v>250055</v>
      </c>
      <c r="B16" s="4">
        <v>304</v>
      </c>
      <c r="C16" s="6">
        <v>0.7</v>
      </c>
      <c r="D16" s="6" t="s">
        <v>96</v>
      </c>
      <c r="E16" s="7" t="s">
        <v>151</v>
      </c>
      <c r="F16" s="4" t="s">
        <v>13</v>
      </c>
      <c r="G16" s="4">
        <v>304</v>
      </c>
      <c r="H16" s="32">
        <v>815</v>
      </c>
      <c r="I16" s="40">
        <f>627+188</f>
        <v>815</v>
      </c>
      <c r="J16" s="32">
        <f t="shared" si="1"/>
        <v>0</v>
      </c>
    </row>
    <row r="17" spans="1:10" ht="19.95" customHeight="1" x14ac:dyDescent="0.3">
      <c r="A17" s="4">
        <v>250052</v>
      </c>
      <c r="B17" s="4">
        <v>304</v>
      </c>
      <c r="C17" s="6">
        <v>0.7</v>
      </c>
      <c r="D17" s="6" t="s">
        <v>96</v>
      </c>
      <c r="E17" s="7" t="s">
        <v>151</v>
      </c>
      <c r="F17" s="4" t="s">
        <v>13</v>
      </c>
      <c r="G17" s="4">
        <v>304</v>
      </c>
      <c r="H17" s="32">
        <v>785</v>
      </c>
      <c r="I17" s="40">
        <v>813</v>
      </c>
      <c r="J17" s="32">
        <f t="shared" si="1"/>
        <v>-28</v>
      </c>
    </row>
    <row r="18" spans="1:10" ht="19.95" customHeight="1" x14ac:dyDescent="0.3">
      <c r="A18" s="4">
        <v>250061</v>
      </c>
      <c r="B18" s="4">
        <v>304</v>
      </c>
      <c r="C18" s="6">
        <v>1</v>
      </c>
      <c r="D18" s="6" t="s">
        <v>96</v>
      </c>
      <c r="E18" s="7" t="s">
        <v>152</v>
      </c>
      <c r="F18" s="4" t="s">
        <v>13</v>
      </c>
      <c r="G18" s="4">
        <v>304</v>
      </c>
      <c r="H18" s="32">
        <v>15</v>
      </c>
      <c r="I18" s="40">
        <v>15</v>
      </c>
      <c r="J18" s="32">
        <f t="shared" si="1"/>
        <v>0</v>
      </c>
    </row>
    <row r="19" spans="1:10" ht="19.95" customHeight="1" x14ac:dyDescent="0.3">
      <c r="A19" s="4">
        <v>250057</v>
      </c>
      <c r="B19" s="4">
        <v>304</v>
      </c>
      <c r="C19" s="6">
        <v>1</v>
      </c>
      <c r="D19" s="6" t="s">
        <v>96</v>
      </c>
      <c r="E19" s="7" t="s">
        <v>152</v>
      </c>
      <c r="F19" s="4" t="s">
        <v>13</v>
      </c>
      <c r="G19" s="4">
        <v>304</v>
      </c>
      <c r="H19" s="32">
        <v>15</v>
      </c>
      <c r="I19" s="40">
        <v>15</v>
      </c>
      <c r="J19" s="32">
        <f t="shared" si="1"/>
        <v>0</v>
      </c>
    </row>
    <row r="20" spans="1:10" ht="19.95" customHeight="1" x14ac:dyDescent="0.3">
      <c r="A20" s="4">
        <v>250055</v>
      </c>
      <c r="B20" s="4">
        <v>304</v>
      </c>
      <c r="C20" s="6">
        <v>1</v>
      </c>
      <c r="D20" s="6" t="s">
        <v>96</v>
      </c>
      <c r="E20" s="7" t="s">
        <v>152</v>
      </c>
      <c r="F20" s="4" t="s">
        <v>13</v>
      </c>
      <c r="G20" s="4">
        <v>304</v>
      </c>
      <c r="H20" s="32">
        <v>15</v>
      </c>
      <c r="I20" s="40">
        <v>15</v>
      </c>
      <c r="J20" s="32">
        <f t="shared" si="1"/>
        <v>0</v>
      </c>
    </row>
    <row r="21" spans="1:10" ht="19.95" customHeight="1" x14ac:dyDescent="0.3">
      <c r="A21" s="4">
        <v>250052</v>
      </c>
      <c r="B21" s="4">
        <v>304</v>
      </c>
      <c r="C21" s="6">
        <v>1</v>
      </c>
      <c r="D21" s="6" t="s">
        <v>96</v>
      </c>
      <c r="E21" s="7" t="s">
        <v>152</v>
      </c>
      <c r="F21" s="4" t="s">
        <v>13</v>
      </c>
      <c r="G21" s="4">
        <v>304</v>
      </c>
      <c r="H21" s="32">
        <v>15</v>
      </c>
      <c r="I21" s="40">
        <v>15</v>
      </c>
      <c r="J21" s="32">
        <f t="shared" si="1"/>
        <v>0</v>
      </c>
    </row>
    <row r="22" spans="1:10" ht="19.95" customHeight="1" x14ac:dyDescent="0.3">
      <c r="A22" s="4">
        <v>250052</v>
      </c>
      <c r="B22" s="4">
        <v>304</v>
      </c>
      <c r="C22" s="6">
        <v>0.7</v>
      </c>
      <c r="D22" s="6" t="s">
        <v>96</v>
      </c>
      <c r="E22" s="7" t="s">
        <v>153</v>
      </c>
      <c r="F22" s="4" t="s">
        <v>13</v>
      </c>
      <c r="G22" s="4">
        <v>304</v>
      </c>
      <c r="H22" s="32">
        <v>785</v>
      </c>
      <c r="I22" s="40">
        <f>657+128</f>
        <v>785</v>
      </c>
      <c r="J22" s="32">
        <f t="shared" si="1"/>
        <v>0</v>
      </c>
    </row>
    <row r="23" spans="1:10" ht="19.95" customHeight="1" x14ac:dyDescent="0.3">
      <c r="A23" s="4">
        <v>250055</v>
      </c>
      <c r="B23" s="4">
        <v>304</v>
      </c>
      <c r="C23" s="6">
        <v>0.7</v>
      </c>
      <c r="D23" s="6" t="s">
        <v>96</v>
      </c>
      <c r="E23" s="7" t="s">
        <v>153</v>
      </c>
      <c r="F23" s="4" t="s">
        <v>13</v>
      </c>
      <c r="G23" s="4">
        <v>304</v>
      </c>
      <c r="H23" s="32">
        <v>815</v>
      </c>
      <c r="I23" s="40">
        <v>815</v>
      </c>
      <c r="J23" s="32">
        <f t="shared" si="1"/>
        <v>0</v>
      </c>
    </row>
    <row r="24" spans="1:10" ht="19.95" customHeight="1" x14ac:dyDescent="0.3">
      <c r="A24" s="4">
        <v>250052</v>
      </c>
      <c r="B24" s="4">
        <v>304</v>
      </c>
      <c r="C24" s="6">
        <v>1</v>
      </c>
      <c r="D24" s="6" t="s">
        <v>96</v>
      </c>
      <c r="E24" s="7" t="s">
        <v>154</v>
      </c>
      <c r="F24" s="4" t="s">
        <v>13</v>
      </c>
      <c r="G24" s="4">
        <v>304</v>
      </c>
      <c r="H24" s="32">
        <v>15</v>
      </c>
      <c r="I24" s="40">
        <v>15</v>
      </c>
      <c r="J24" s="32">
        <f t="shared" si="1"/>
        <v>0</v>
      </c>
    </row>
    <row r="25" spans="1:10" ht="19.95" customHeight="1" x14ac:dyDescent="0.3">
      <c r="A25" s="4">
        <v>250055</v>
      </c>
      <c r="B25" s="4">
        <v>304</v>
      </c>
      <c r="C25" s="6">
        <v>1</v>
      </c>
      <c r="D25" s="6" t="s">
        <v>96</v>
      </c>
      <c r="E25" s="7" t="s">
        <v>154</v>
      </c>
      <c r="F25" s="4" t="s">
        <v>13</v>
      </c>
      <c r="G25" s="4">
        <v>304</v>
      </c>
      <c r="H25" s="32">
        <v>15</v>
      </c>
      <c r="I25" s="40">
        <v>15</v>
      </c>
      <c r="J25" s="32">
        <f t="shared" si="1"/>
        <v>0</v>
      </c>
    </row>
    <row r="26" spans="1:10" ht="19.95" customHeight="1" x14ac:dyDescent="0.3">
      <c r="A26" s="4">
        <v>250057</v>
      </c>
      <c r="B26" s="4">
        <v>304</v>
      </c>
      <c r="C26" s="6">
        <v>0.7</v>
      </c>
      <c r="D26" s="6" t="s">
        <v>96</v>
      </c>
      <c r="E26" s="7" t="s">
        <v>155</v>
      </c>
      <c r="F26" s="4" t="s">
        <v>41</v>
      </c>
      <c r="G26" s="4">
        <v>304</v>
      </c>
      <c r="H26" s="8">
        <v>395</v>
      </c>
      <c r="I26" s="9"/>
      <c r="J26" s="8">
        <f t="shared" si="1"/>
        <v>395</v>
      </c>
    </row>
    <row r="27" spans="1:10" ht="19.95" customHeight="1" x14ac:dyDescent="0.3">
      <c r="A27" s="4">
        <v>250057</v>
      </c>
      <c r="B27" s="4">
        <v>304</v>
      </c>
      <c r="C27" s="6">
        <v>1</v>
      </c>
      <c r="D27" s="6" t="s">
        <v>96</v>
      </c>
      <c r="E27" s="7" t="s">
        <v>156</v>
      </c>
      <c r="F27" s="4" t="s">
        <v>41</v>
      </c>
      <c r="G27" s="4">
        <v>304</v>
      </c>
      <c r="H27" s="8">
        <v>15</v>
      </c>
      <c r="I27" s="9"/>
      <c r="J27" s="8">
        <f t="shared" si="1"/>
        <v>15</v>
      </c>
    </row>
    <row r="28" spans="1:10" ht="19.95" customHeight="1" x14ac:dyDescent="0.3">
      <c r="A28" s="4"/>
      <c r="B28" s="4"/>
      <c r="C28" s="6"/>
      <c r="D28" s="6"/>
      <c r="E28" s="7"/>
      <c r="F28" s="4"/>
      <c r="G28" s="4"/>
      <c r="H28" s="8"/>
      <c r="I28" s="9"/>
      <c r="J28" s="8">
        <f t="shared" si="1"/>
        <v>0</v>
      </c>
    </row>
    <row r="29" spans="1:10" ht="19.95" customHeight="1" x14ac:dyDescent="0.3">
      <c r="A29" s="10"/>
      <c r="B29" s="10"/>
      <c r="C29" s="10"/>
      <c r="D29" s="10"/>
      <c r="E29" s="11"/>
      <c r="F29" s="10"/>
      <c r="G29" s="12"/>
      <c r="H29" s="8">
        <f>SUM(H15:H28)</f>
        <v>4095</v>
      </c>
      <c r="I29" s="9">
        <f>SUM(I15:I28)</f>
        <v>3718</v>
      </c>
      <c r="J29" s="8">
        <f>SUM(J15:J28)</f>
        <v>377</v>
      </c>
    </row>
    <row r="31" spans="1:10" ht="30" customHeight="1" x14ac:dyDescent="0.3">
      <c r="A31" s="94" t="s">
        <v>18</v>
      </c>
      <c r="B31" s="94"/>
      <c r="C31" s="94"/>
      <c r="D31" s="94"/>
      <c r="E31" s="94"/>
      <c r="F31" s="94"/>
      <c r="G31" s="94"/>
      <c r="H31" s="94"/>
      <c r="I31" s="94"/>
      <c r="J31" s="94"/>
    </row>
    <row r="32" spans="1:10" ht="30" customHeight="1" x14ac:dyDescent="0.3">
      <c r="A32" s="4" t="s">
        <v>1</v>
      </c>
      <c r="B32" s="4" t="s">
        <v>2</v>
      </c>
      <c r="C32" s="5" t="s">
        <v>3</v>
      </c>
      <c r="D32" s="5" t="s">
        <v>4</v>
      </c>
      <c r="E32" s="4" t="s">
        <v>5</v>
      </c>
      <c r="F32" s="5" t="s">
        <v>6</v>
      </c>
      <c r="G32" s="5" t="s">
        <v>7</v>
      </c>
      <c r="H32" s="4" t="s">
        <v>8</v>
      </c>
      <c r="I32" s="4" t="s">
        <v>9</v>
      </c>
      <c r="J32" s="4" t="s">
        <v>10</v>
      </c>
    </row>
    <row r="33" spans="1:10" ht="19.95" customHeight="1" x14ac:dyDescent="0.3">
      <c r="A33" s="4">
        <v>250061</v>
      </c>
      <c r="B33" s="4">
        <v>304</v>
      </c>
      <c r="C33" s="6">
        <v>0.7</v>
      </c>
      <c r="D33" s="6" t="s">
        <v>96</v>
      </c>
      <c r="E33" s="7" t="s">
        <v>157</v>
      </c>
      <c r="F33" s="4" t="s">
        <v>41</v>
      </c>
      <c r="G33" s="4">
        <v>304</v>
      </c>
      <c r="H33" s="8">
        <v>525</v>
      </c>
      <c r="I33" s="9"/>
      <c r="J33" s="8">
        <f t="shared" ref="J33:J49" si="2">H33-I33</f>
        <v>525</v>
      </c>
    </row>
    <row r="34" spans="1:10" ht="19.95" customHeight="1" x14ac:dyDescent="0.3">
      <c r="A34" s="4">
        <v>250061</v>
      </c>
      <c r="B34" s="4">
        <v>304</v>
      </c>
      <c r="C34" s="6">
        <v>1</v>
      </c>
      <c r="D34" s="6" t="s">
        <v>96</v>
      </c>
      <c r="E34" s="7" t="s">
        <v>158</v>
      </c>
      <c r="F34" s="4" t="s">
        <v>41</v>
      </c>
      <c r="G34" s="4">
        <v>304</v>
      </c>
      <c r="H34" s="8">
        <v>15</v>
      </c>
      <c r="I34" s="9"/>
      <c r="J34" s="8">
        <f t="shared" si="2"/>
        <v>15</v>
      </c>
    </row>
    <row r="35" spans="1:10" ht="19.95" customHeight="1" x14ac:dyDescent="0.3">
      <c r="A35" s="4">
        <v>250052</v>
      </c>
      <c r="B35" s="4">
        <v>304</v>
      </c>
      <c r="C35" s="6">
        <v>0.7</v>
      </c>
      <c r="D35" s="6" t="s">
        <v>96</v>
      </c>
      <c r="E35" s="7" t="s">
        <v>159</v>
      </c>
      <c r="F35" s="4" t="s">
        <v>13</v>
      </c>
      <c r="G35" s="4">
        <v>304</v>
      </c>
      <c r="H35" s="32">
        <v>785</v>
      </c>
      <c r="I35" s="40">
        <v>807</v>
      </c>
      <c r="J35" s="32">
        <f t="shared" si="2"/>
        <v>-22</v>
      </c>
    </row>
    <row r="36" spans="1:10" ht="19.95" customHeight="1" x14ac:dyDescent="0.3">
      <c r="A36" s="4">
        <v>250055</v>
      </c>
      <c r="B36" s="4">
        <v>304</v>
      </c>
      <c r="C36" s="6">
        <v>0.7</v>
      </c>
      <c r="D36" s="6" t="s">
        <v>96</v>
      </c>
      <c r="E36" s="7" t="s">
        <v>159</v>
      </c>
      <c r="F36" s="4" t="s">
        <v>13</v>
      </c>
      <c r="G36" s="4">
        <v>304</v>
      </c>
      <c r="H36" s="32">
        <v>815</v>
      </c>
      <c r="I36" s="40">
        <v>815</v>
      </c>
      <c r="J36" s="32">
        <f t="shared" si="2"/>
        <v>0</v>
      </c>
    </row>
    <row r="37" spans="1:10" ht="19.95" customHeight="1" x14ac:dyDescent="0.3">
      <c r="A37" s="4">
        <v>250057</v>
      </c>
      <c r="B37" s="4">
        <v>304</v>
      </c>
      <c r="C37" s="6">
        <v>0.7</v>
      </c>
      <c r="D37" s="6" t="s">
        <v>96</v>
      </c>
      <c r="E37" s="7" t="s">
        <v>159</v>
      </c>
      <c r="F37" s="4" t="s">
        <v>13</v>
      </c>
      <c r="G37" s="4">
        <v>304</v>
      </c>
      <c r="H37" s="32">
        <v>395</v>
      </c>
      <c r="I37" s="40">
        <v>395</v>
      </c>
      <c r="J37" s="32">
        <f t="shared" si="2"/>
        <v>0</v>
      </c>
    </row>
    <row r="38" spans="1:10" ht="19.95" customHeight="1" x14ac:dyDescent="0.3">
      <c r="A38" s="4">
        <v>250061</v>
      </c>
      <c r="B38" s="4">
        <v>304</v>
      </c>
      <c r="C38" s="6">
        <v>0.7</v>
      </c>
      <c r="D38" s="6" t="s">
        <v>96</v>
      </c>
      <c r="E38" s="7" t="s">
        <v>159</v>
      </c>
      <c r="F38" s="4" t="s">
        <v>13</v>
      </c>
      <c r="G38" s="4">
        <v>304</v>
      </c>
      <c r="H38" s="32">
        <v>525</v>
      </c>
      <c r="I38" s="40">
        <v>525</v>
      </c>
      <c r="J38" s="32">
        <f t="shared" si="2"/>
        <v>0</v>
      </c>
    </row>
    <row r="39" spans="1:10" ht="19.95" customHeight="1" x14ac:dyDescent="0.3">
      <c r="A39" s="4">
        <v>250052</v>
      </c>
      <c r="B39" s="4">
        <v>304</v>
      </c>
      <c r="C39" s="6">
        <v>1</v>
      </c>
      <c r="D39" s="6" t="s">
        <v>96</v>
      </c>
      <c r="E39" s="7" t="s">
        <v>160</v>
      </c>
      <c r="F39" s="4" t="s">
        <v>13</v>
      </c>
      <c r="G39" s="4">
        <v>304</v>
      </c>
      <c r="H39" s="32">
        <v>15</v>
      </c>
      <c r="I39" s="40">
        <v>17</v>
      </c>
      <c r="J39" s="32">
        <f t="shared" si="2"/>
        <v>-2</v>
      </c>
    </row>
    <row r="40" spans="1:10" ht="19.95" customHeight="1" x14ac:dyDescent="0.3">
      <c r="A40" s="4">
        <v>250055</v>
      </c>
      <c r="B40" s="4">
        <v>304</v>
      </c>
      <c r="C40" s="6">
        <v>1</v>
      </c>
      <c r="D40" s="6" t="s">
        <v>96</v>
      </c>
      <c r="E40" s="7" t="s">
        <v>160</v>
      </c>
      <c r="F40" s="4" t="s">
        <v>13</v>
      </c>
      <c r="G40" s="4">
        <v>304</v>
      </c>
      <c r="H40" s="32">
        <v>15</v>
      </c>
      <c r="I40" s="40">
        <v>15</v>
      </c>
      <c r="J40" s="32">
        <f t="shared" si="2"/>
        <v>0</v>
      </c>
    </row>
    <row r="41" spans="1:10" ht="19.95" customHeight="1" x14ac:dyDescent="0.3">
      <c r="A41" s="4">
        <v>250057</v>
      </c>
      <c r="B41" s="4">
        <v>304</v>
      </c>
      <c r="C41" s="6">
        <v>1</v>
      </c>
      <c r="D41" s="6" t="s">
        <v>96</v>
      </c>
      <c r="E41" s="7" t="s">
        <v>160</v>
      </c>
      <c r="F41" s="4" t="s">
        <v>13</v>
      </c>
      <c r="G41" s="4">
        <v>304</v>
      </c>
      <c r="H41" s="32">
        <v>15</v>
      </c>
      <c r="I41" s="40">
        <v>15</v>
      </c>
      <c r="J41" s="32">
        <f t="shared" si="2"/>
        <v>0</v>
      </c>
    </row>
    <row r="42" spans="1:10" ht="19.95" customHeight="1" x14ac:dyDescent="0.3">
      <c r="A42" s="4">
        <v>250061</v>
      </c>
      <c r="B42" s="4">
        <v>304</v>
      </c>
      <c r="C42" s="6">
        <v>1</v>
      </c>
      <c r="D42" s="6" t="s">
        <v>96</v>
      </c>
      <c r="E42" s="7" t="s">
        <v>160</v>
      </c>
      <c r="F42" s="4" t="s">
        <v>13</v>
      </c>
      <c r="G42" s="4">
        <v>304</v>
      </c>
      <c r="H42" s="32">
        <v>15</v>
      </c>
      <c r="I42" s="40">
        <v>15</v>
      </c>
      <c r="J42" s="32">
        <f t="shared" si="2"/>
        <v>0</v>
      </c>
    </row>
    <row r="43" spans="1:10" ht="19.95" customHeight="1" x14ac:dyDescent="0.3">
      <c r="A43" s="4">
        <v>250055</v>
      </c>
      <c r="B43" s="4">
        <v>304</v>
      </c>
      <c r="C43" s="6">
        <v>0.7</v>
      </c>
      <c r="D43" s="6" t="s">
        <v>96</v>
      </c>
      <c r="E43" s="7" t="s">
        <v>161</v>
      </c>
      <c r="F43" s="4" t="s">
        <v>13</v>
      </c>
      <c r="G43" s="4">
        <v>304</v>
      </c>
      <c r="H43" s="32">
        <v>815</v>
      </c>
      <c r="I43" s="40">
        <v>837</v>
      </c>
      <c r="J43" s="32">
        <f t="shared" si="2"/>
        <v>-22</v>
      </c>
    </row>
    <row r="44" spans="1:10" ht="19.95" customHeight="1" x14ac:dyDescent="0.3">
      <c r="A44" s="4">
        <v>250057</v>
      </c>
      <c r="B44" s="4">
        <v>304</v>
      </c>
      <c r="C44" s="6">
        <v>0.7</v>
      </c>
      <c r="D44" s="6" t="s">
        <v>96</v>
      </c>
      <c r="E44" s="7" t="s">
        <v>161</v>
      </c>
      <c r="F44" s="4" t="s">
        <v>13</v>
      </c>
      <c r="G44" s="4">
        <v>304</v>
      </c>
      <c r="H44" s="32">
        <v>395</v>
      </c>
      <c r="I44" s="40">
        <v>395</v>
      </c>
      <c r="J44" s="32">
        <f t="shared" si="2"/>
        <v>0</v>
      </c>
    </row>
    <row r="45" spans="1:10" ht="19.95" customHeight="1" x14ac:dyDescent="0.3">
      <c r="A45" s="4">
        <v>250061</v>
      </c>
      <c r="B45" s="4">
        <v>304</v>
      </c>
      <c r="C45" s="6">
        <v>0.7</v>
      </c>
      <c r="D45" s="6" t="s">
        <v>96</v>
      </c>
      <c r="E45" s="7" t="s">
        <v>161</v>
      </c>
      <c r="F45" s="4" t="s">
        <v>13</v>
      </c>
      <c r="G45" s="4">
        <v>304</v>
      </c>
      <c r="H45" s="32">
        <v>525</v>
      </c>
      <c r="I45" s="40">
        <f>445+80</f>
        <v>525</v>
      </c>
      <c r="J45" s="32">
        <f t="shared" si="2"/>
        <v>0</v>
      </c>
    </row>
    <row r="46" spans="1:10" ht="19.95" customHeight="1" x14ac:dyDescent="0.3">
      <c r="A46" s="4">
        <v>250055</v>
      </c>
      <c r="B46" s="4">
        <v>304</v>
      </c>
      <c r="C46" s="6">
        <v>1</v>
      </c>
      <c r="D46" s="6" t="s">
        <v>96</v>
      </c>
      <c r="E46" s="7" t="s">
        <v>162</v>
      </c>
      <c r="F46" s="4" t="s">
        <v>13</v>
      </c>
      <c r="G46" s="4">
        <v>304</v>
      </c>
      <c r="H46" s="32">
        <v>15</v>
      </c>
      <c r="I46" s="40">
        <v>15</v>
      </c>
      <c r="J46" s="32">
        <f t="shared" si="2"/>
        <v>0</v>
      </c>
    </row>
    <row r="47" spans="1:10" ht="19.95" customHeight="1" x14ac:dyDescent="0.3">
      <c r="A47" s="4">
        <v>250057</v>
      </c>
      <c r="B47" s="4">
        <v>304</v>
      </c>
      <c r="C47" s="6">
        <v>1</v>
      </c>
      <c r="D47" s="6" t="s">
        <v>96</v>
      </c>
      <c r="E47" s="7" t="s">
        <v>162</v>
      </c>
      <c r="F47" s="4" t="s">
        <v>13</v>
      </c>
      <c r="G47" s="4">
        <v>304</v>
      </c>
      <c r="H47" s="32">
        <v>15</v>
      </c>
      <c r="I47" s="40">
        <v>15</v>
      </c>
      <c r="J47" s="32">
        <f t="shared" si="2"/>
        <v>0</v>
      </c>
    </row>
    <row r="48" spans="1:10" ht="19.95" customHeight="1" x14ac:dyDescent="0.3">
      <c r="A48" s="4">
        <v>250061</v>
      </c>
      <c r="B48" s="4">
        <v>304</v>
      </c>
      <c r="C48" s="6">
        <v>1</v>
      </c>
      <c r="D48" s="6" t="s">
        <v>96</v>
      </c>
      <c r="E48" s="7" t="s">
        <v>162</v>
      </c>
      <c r="F48" s="4" t="s">
        <v>13</v>
      </c>
      <c r="G48" s="4">
        <v>304</v>
      </c>
      <c r="H48" s="32">
        <v>15</v>
      </c>
      <c r="I48" s="40">
        <f>15+37</f>
        <v>52</v>
      </c>
      <c r="J48" s="32">
        <f t="shared" si="2"/>
        <v>-37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32"/>
      <c r="I49" s="40"/>
      <c r="J49" s="32">
        <f t="shared" si="2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SUM(H33:H49)</f>
        <v>4900</v>
      </c>
      <c r="I50" s="9">
        <f>SUM(I33:I49)</f>
        <v>4443</v>
      </c>
      <c r="J50" s="8">
        <f>SUM(J33:J49)</f>
        <v>457</v>
      </c>
    </row>
    <row r="52" spans="1:10" ht="30" customHeight="1" x14ac:dyDescent="0.3">
      <c r="A52" s="94" t="s">
        <v>20</v>
      </c>
      <c r="B52" s="94"/>
      <c r="C52" s="94"/>
      <c r="D52" s="94"/>
      <c r="E52" s="94"/>
      <c r="F52" s="94"/>
      <c r="G52" s="94"/>
      <c r="H52" s="94"/>
      <c r="I52" s="94"/>
      <c r="J52" s="94"/>
    </row>
    <row r="53" spans="1:10" ht="30" customHeight="1" x14ac:dyDescent="0.3">
      <c r="A53" s="4" t="s">
        <v>1</v>
      </c>
      <c r="B53" s="4" t="s">
        <v>2</v>
      </c>
      <c r="C53" s="5" t="s">
        <v>3</v>
      </c>
      <c r="D53" s="5" t="s">
        <v>4</v>
      </c>
      <c r="E53" s="4" t="s">
        <v>5</v>
      </c>
      <c r="F53" s="5" t="s">
        <v>6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>
        <v>230925</v>
      </c>
      <c r="B54" s="4">
        <v>430</v>
      </c>
      <c r="C54" s="6">
        <v>0.8</v>
      </c>
      <c r="D54" s="6" t="s">
        <v>11</v>
      </c>
      <c r="E54" s="7" t="s">
        <v>163</v>
      </c>
      <c r="F54" s="4" t="s">
        <v>41</v>
      </c>
      <c r="G54" s="4">
        <v>430</v>
      </c>
      <c r="H54" s="32">
        <v>4500</v>
      </c>
      <c r="I54" s="40">
        <f>1310+3190</f>
        <v>4500</v>
      </c>
      <c r="J54" s="32">
        <f t="shared" ref="J54:J55" si="3">H54-I54</f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32"/>
      <c r="I55" s="40"/>
      <c r="J55" s="32">
        <f t="shared" si="3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32">
        <f>SUM(H54:H55)</f>
        <v>4500</v>
      </c>
      <c r="I56" s="40">
        <f>SUM(I54:I55)</f>
        <v>4500</v>
      </c>
      <c r="J56" s="32">
        <f>SUM(J54:J55)</f>
        <v>0</v>
      </c>
    </row>
    <row r="57" spans="1:10" ht="19.95" customHeight="1" x14ac:dyDescent="0.3">
      <c r="A57" s="15"/>
      <c r="B57" s="15"/>
      <c r="C57" s="15"/>
      <c r="D57" s="15"/>
      <c r="E57" s="16"/>
      <c r="F57" s="15"/>
      <c r="G57" s="15"/>
      <c r="H57" s="17"/>
      <c r="I57" s="18"/>
      <c r="J57" s="17"/>
    </row>
    <row r="58" spans="1:10" ht="30" customHeight="1" x14ac:dyDescent="0.3">
      <c r="A58" s="94" t="s">
        <v>19</v>
      </c>
      <c r="B58" s="94"/>
      <c r="C58" s="94"/>
      <c r="D58" s="94"/>
      <c r="E58" s="94"/>
      <c r="F58" s="94"/>
      <c r="G58" s="94"/>
      <c r="H58" s="94"/>
      <c r="I58" s="94"/>
      <c r="J58" s="94"/>
    </row>
    <row r="59" spans="1:10" ht="30" customHeight="1" x14ac:dyDescent="0.3">
      <c r="A59" s="4" t="s">
        <v>1</v>
      </c>
      <c r="B59" s="4" t="s">
        <v>2</v>
      </c>
      <c r="C59" s="5" t="s">
        <v>3</v>
      </c>
      <c r="D59" s="5" t="s">
        <v>4</v>
      </c>
      <c r="E59" s="4" t="s">
        <v>5</v>
      </c>
      <c r="F59" s="5" t="s">
        <v>6</v>
      </c>
      <c r="G59" s="5" t="s">
        <v>7</v>
      </c>
      <c r="H59" s="4" t="s">
        <v>8</v>
      </c>
      <c r="I59" s="4" t="s">
        <v>9</v>
      </c>
      <c r="J59" s="4" t="s">
        <v>10</v>
      </c>
    </row>
    <row r="60" spans="1:10" ht="19.95" customHeight="1" x14ac:dyDescent="0.3">
      <c r="A60" s="4">
        <v>230925</v>
      </c>
      <c r="B60" s="4">
        <v>430</v>
      </c>
      <c r="C60" s="6">
        <v>0.8</v>
      </c>
      <c r="D60" s="6" t="s">
        <v>11</v>
      </c>
      <c r="E60" s="7" t="s">
        <v>163</v>
      </c>
      <c r="F60" s="4" t="s">
        <v>41</v>
      </c>
      <c r="G60" s="4">
        <v>430</v>
      </c>
      <c r="H60" s="8">
        <v>1500</v>
      </c>
      <c r="I60" s="9">
        <v>442</v>
      </c>
      <c r="J60" s="8">
        <f t="shared" ref="J60:J71" si="4">H60-I60</f>
        <v>1058</v>
      </c>
    </row>
    <row r="61" spans="1:10" ht="19.95" customHeight="1" x14ac:dyDescent="0.3">
      <c r="A61" s="4">
        <v>250052</v>
      </c>
      <c r="B61" s="4">
        <v>304</v>
      </c>
      <c r="C61" s="6">
        <v>0.7</v>
      </c>
      <c r="D61" s="6" t="s">
        <v>11</v>
      </c>
      <c r="E61" s="7" t="s">
        <v>164</v>
      </c>
      <c r="F61" s="4" t="s">
        <v>13</v>
      </c>
      <c r="G61" s="4">
        <v>304</v>
      </c>
      <c r="H61" s="32">
        <v>785</v>
      </c>
      <c r="I61" s="40">
        <v>785</v>
      </c>
      <c r="J61" s="32">
        <f t="shared" si="4"/>
        <v>0</v>
      </c>
    </row>
    <row r="62" spans="1:10" ht="19.95" customHeight="1" x14ac:dyDescent="0.3">
      <c r="A62" s="4">
        <v>250055</v>
      </c>
      <c r="B62" s="4">
        <v>304</v>
      </c>
      <c r="C62" s="6">
        <v>0.7</v>
      </c>
      <c r="D62" s="6" t="s">
        <v>11</v>
      </c>
      <c r="E62" s="7" t="s">
        <v>164</v>
      </c>
      <c r="F62" s="4" t="s">
        <v>13</v>
      </c>
      <c r="G62" s="4">
        <v>304</v>
      </c>
      <c r="H62" s="32">
        <v>815</v>
      </c>
      <c r="I62" s="40">
        <v>815</v>
      </c>
      <c r="J62" s="32">
        <f t="shared" si="4"/>
        <v>0</v>
      </c>
    </row>
    <row r="63" spans="1:10" ht="19.95" customHeight="1" x14ac:dyDescent="0.3">
      <c r="A63" s="4">
        <v>250057</v>
      </c>
      <c r="B63" s="4">
        <v>304</v>
      </c>
      <c r="C63" s="6">
        <v>0.7</v>
      </c>
      <c r="D63" s="6" t="s">
        <v>11</v>
      </c>
      <c r="E63" s="7" t="s">
        <v>164</v>
      </c>
      <c r="F63" s="4" t="s">
        <v>13</v>
      </c>
      <c r="G63" s="4">
        <v>304</v>
      </c>
      <c r="H63" s="32">
        <v>395</v>
      </c>
      <c r="I63" s="40">
        <v>395</v>
      </c>
      <c r="J63" s="32">
        <f t="shared" si="4"/>
        <v>0</v>
      </c>
    </row>
    <row r="64" spans="1:10" ht="19.95" customHeight="1" x14ac:dyDescent="0.3">
      <c r="A64" s="4">
        <v>250061</v>
      </c>
      <c r="B64" s="4">
        <v>304</v>
      </c>
      <c r="C64" s="6">
        <v>0.7</v>
      </c>
      <c r="D64" s="6" t="s">
        <v>11</v>
      </c>
      <c r="E64" s="7" t="s">
        <v>164</v>
      </c>
      <c r="F64" s="4" t="s">
        <v>13</v>
      </c>
      <c r="G64" s="4">
        <v>304</v>
      </c>
      <c r="H64" s="32">
        <v>525</v>
      </c>
      <c r="I64" s="40">
        <v>540</v>
      </c>
      <c r="J64" s="32">
        <f t="shared" si="4"/>
        <v>-15</v>
      </c>
    </row>
    <row r="65" spans="1:10" ht="19.95" customHeight="1" x14ac:dyDescent="0.3">
      <c r="A65" s="4">
        <v>250052</v>
      </c>
      <c r="B65" s="4">
        <v>304</v>
      </c>
      <c r="C65" s="6">
        <v>1</v>
      </c>
      <c r="D65" s="6" t="s">
        <v>11</v>
      </c>
      <c r="E65" s="7" t="s">
        <v>165</v>
      </c>
      <c r="F65" s="4" t="s">
        <v>13</v>
      </c>
      <c r="G65" s="4">
        <v>304</v>
      </c>
      <c r="H65" s="32">
        <v>15</v>
      </c>
      <c r="I65" s="40">
        <v>15</v>
      </c>
      <c r="J65" s="32">
        <f t="shared" si="4"/>
        <v>0</v>
      </c>
    </row>
    <row r="66" spans="1:10" ht="19.95" customHeight="1" x14ac:dyDescent="0.3">
      <c r="A66" s="4">
        <v>250055</v>
      </c>
      <c r="B66" s="4">
        <v>304</v>
      </c>
      <c r="C66" s="6">
        <v>1</v>
      </c>
      <c r="D66" s="6" t="s">
        <v>11</v>
      </c>
      <c r="E66" s="7" t="s">
        <v>165</v>
      </c>
      <c r="F66" s="4" t="s">
        <v>13</v>
      </c>
      <c r="G66" s="4">
        <v>304</v>
      </c>
      <c r="H66" s="32">
        <v>15</v>
      </c>
      <c r="I66" s="40">
        <v>15</v>
      </c>
      <c r="J66" s="32">
        <f t="shared" si="4"/>
        <v>0</v>
      </c>
    </row>
    <row r="67" spans="1:10" ht="19.95" customHeight="1" x14ac:dyDescent="0.3">
      <c r="A67" s="4">
        <v>250057</v>
      </c>
      <c r="B67" s="4">
        <v>304</v>
      </c>
      <c r="C67" s="6">
        <v>1</v>
      </c>
      <c r="D67" s="6" t="s">
        <v>11</v>
      </c>
      <c r="E67" s="7" t="s">
        <v>165</v>
      </c>
      <c r="F67" s="4" t="s">
        <v>13</v>
      </c>
      <c r="G67" s="4">
        <v>304</v>
      </c>
      <c r="H67" s="32">
        <v>15</v>
      </c>
      <c r="I67" s="40">
        <v>15</v>
      </c>
      <c r="J67" s="32">
        <f t="shared" si="4"/>
        <v>0</v>
      </c>
    </row>
    <row r="68" spans="1:10" ht="19.95" customHeight="1" x14ac:dyDescent="0.3">
      <c r="A68" s="4">
        <v>250061</v>
      </c>
      <c r="B68" s="4">
        <v>304</v>
      </c>
      <c r="C68" s="6">
        <v>1</v>
      </c>
      <c r="D68" s="6" t="s">
        <v>11</v>
      </c>
      <c r="E68" s="7" t="s">
        <v>165</v>
      </c>
      <c r="F68" s="4" t="s">
        <v>13</v>
      </c>
      <c r="G68" s="4">
        <v>304</v>
      </c>
      <c r="H68" s="32">
        <v>15</v>
      </c>
      <c r="I68" s="40">
        <v>17</v>
      </c>
      <c r="J68" s="32">
        <f t="shared" si="4"/>
        <v>-2</v>
      </c>
    </row>
    <row r="69" spans="1:10" ht="19.95" customHeight="1" x14ac:dyDescent="0.3">
      <c r="A69" s="4">
        <v>250057</v>
      </c>
      <c r="B69" s="4">
        <v>304</v>
      </c>
      <c r="C69" s="6">
        <v>0.7</v>
      </c>
      <c r="D69" s="6" t="s">
        <v>11</v>
      </c>
      <c r="E69" s="7" t="s">
        <v>166</v>
      </c>
      <c r="F69" s="4" t="s">
        <v>13</v>
      </c>
      <c r="G69" s="4">
        <v>304</v>
      </c>
      <c r="H69" s="8">
        <v>395</v>
      </c>
      <c r="I69" s="9"/>
      <c r="J69" s="8">
        <f t="shared" si="4"/>
        <v>395</v>
      </c>
    </row>
    <row r="70" spans="1:10" ht="19.95" customHeight="1" x14ac:dyDescent="0.3">
      <c r="A70" s="4">
        <v>250057</v>
      </c>
      <c r="B70" s="4">
        <v>304</v>
      </c>
      <c r="C70" s="6">
        <v>1</v>
      </c>
      <c r="D70" s="6" t="s">
        <v>11</v>
      </c>
      <c r="E70" s="7" t="s">
        <v>167</v>
      </c>
      <c r="F70" s="4" t="s">
        <v>13</v>
      </c>
      <c r="G70" s="4">
        <v>304</v>
      </c>
      <c r="H70" s="8">
        <v>15</v>
      </c>
      <c r="I70" s="9"/>
      <c r="J70" s="8">
        <f t="shared" si="4"/>
        <v>15</v>
      </c>
    </row>
    <row r="71" spans="1:10" ht="19.95" customHeight="1" x14ac:dyDescent="0.3">
      <c r="A71" s="4"/>
      <c r="B71" s="4"/>
      <c r="C71" s="6"/>
      <c r="D71" s="6"/>
      <c r="E71" s="7"/>
      <c r="F71" s="4"/>
      <c r="G71" s="4"/>
      <c r="H71" s="8"/>
      <c r="I71" s="9"/>
      <c r="J71" s="8">
        <f t="shared" si="4"/>
        <v>0</v>
      </c>
    </row>
    <row r="72" spans="1:10" ht="19.95" customHeight="1" x14ac:dyDescent="0.3">
      <c r="A72" s="10"/>
      <c r="B72" s="10"/>
      <c r="C72" s="10"/>
      <c r="D72" s="10"/>
      <c r="E72" s="11"/>
      <c r="F72" s="10"/>
      <c r="G72" s="12"/>
      <c r="H72" s="8">
        <f>SUM(H60:H71)</f>
        <v>4490</v>
      </c>
      <c r="I72" s="9">
        <f>SUM(I60:I71)</f>
        <v>3039</v>
      </c>
      <c r="J72" s="8">
        <f>SUM(J60:J71)</f>
        <v>1451</v>
      </c>
    </row>
    <row r="73" spans="1:10" ht="19.95" customHeight="1" x14ac:dyDescent="0.3">
      <c r="A73" s="15"/>
      <c r="B73" s="15"/>
      <c r="C73" s="15"/>
      <c r="D73" s="15"/>
      <c r="E73" s="16"/>
      <c r="F73" s="15"/>
      <c r="G73" s="15"/>
      <c r="H73" s="17"/>
      <c r="I73" s="18"/>
      <c r="J73" s="17"/>
    </row>
    <row r="74" spans="1:10" ht="30" customHeight="1" x14ac:dyDescent="0.3">
      <c r="A74" s="94" t="s">
        <v>23</v>
      </c>
      <c r="B74" s="94"/>
      <c r="C74" s="94"/>
      <c r="D74" s="94"/>
      <c r="E74" s="94"/>
      <c r="F74" s="94"/>
      <c r="G74" s="94"/>
      <c r="H74" s="94"/>
      <c r="I74" s="94"/>
      <c r="J74" s="94"/>
    </row>
    <row r="75" spans="1:10" ht="30" customHeight="1" x14ac:dyDescent="0.3">
      <c r="A75" s="4" t="s">
        <v>1</v>
      </c>
      <c r="B75" s="4" t="s">
        <v>2</v>
      </c>
      <c r="C75" s="5" t="s">
        <v>3</v>
      </c>
      <c r="D75" s="5" t="s">
        <v>4</v>
      </c>
      <c r="E75" s="4" t="s">
        <v>5</v>
      </c>
      <c r="F75" s="5" t="s">
        <v>6</v>
      </c>
      <c r="G75" s="5" t="s">
        <v>7</v>
      </c>
      <c r="H75" s="4" t="s">
        <v>8</v>
      </c>
      <c r="I75" s="4" t="s">
        <v>9</v>
      </c>
      <c r="J75" s="4" t="s">
        <v>10</v>
      </c>
    </row>
    <row r="76" spans="1:10" ht="19.95" customHeight="1" x14ac:dyDescent="0.3">
      <c r="A76" s="4">
        <v>250052</v>
      </c>
      <c r="B76" s="4">
        <v>304</v>
      </c>
      <c r="C76" s="6">
        <v>0.7</v>
      </c>
      <c r="D76" s="6" t="s">
        <v>11</v>
      </c>
      <c r="E76" s="7" t="s">
        <v>168</v>
      </c>
      <c r="F76" s="4" t="s">
        <v>13</v>
      </c>
      <c r="G76" s="4">
        <v>304</v>
      </c>
      <c r="H76" s="8">
        <v>785</v>
      </c>
      <c r="I76" s="9"/>
      <c r="J76" s="8">
        <f t="shared" ref="J76:J90" si="5">H76-I76</f>
        <v>785</v>
      </c>
    </row>
    <row r="77" spans="1:10" ht="19.95" customHeight="1" x14ac:dyDescent="0.3">
      <c r="A77" s="4">
        <v>250052</v>
      </c>
      <c r="B77" s="4">
        <v>304</v>
      </c>
      <c r="C77" s="6">
        <v>1</v>
      </c>
      <c r="D77" s="6" t="s">
        <v>11</v>
      </c>
      <c r="E77" s="7" t="s">
        <v>168</v>
      </c>
      <c r="F77" s="4" t="s">
        <v>13</v>
      </c>
      <c r="G77" s="4">
        <v>304</v>
      </c>
      <c r="H77" s="8">
        <v>15</v>
      </c>
      <c r="I77" s="9"/>
      <c r="J77" s="8">
        <f t="shared" si="5"/>
        <v>15</v>
      </c>
    </row>
    <row r="78" spans="1:10" ht="19.95" customHeight="1" x14ac:dyDescent="0.3">
      <c r="A78" s="4">
        <v>250057</v>
      </c>
      <c r="B78" s="4">
        <v>304</v>
      </c>
      <c r="C78" s="6">
        <v>0.7</v>
      </c>
      <c r="D78" s="6" t="s">
        <v>11</v>
      </c>
      <c r="E78" s="7" t="s">
        <v>169</v>
      </c>
      <c r="F78" s="4" t="s">
        <v>170</v>
      </c>
      <c r="G78" s="4">
        <v>304</v>
      </c>
      <c r="H78" s="8">
        <v>395</v>
      </c>
      <c r="I78" s="9"/>
      <c r="J78" s="8">
        <f t="shared" si="5"/>
        <v>395</v>
      </c>
    </row>
    <row r="79" spans="1:10" ht="19.95" customHeight="1" x14ac:dyDescent="0.3">
      <c r="A79" s="4">
        <v>250061</v>
      </c>
      <c r="B79" s="4">
        <v>304</v>
      </c>
      <c r="C79" s="6">
        <v>0.7</v>
      </c>
      <c r="D79" s="6" t="s">
        <v>11</v>
      </c>
      <c r="E79" s="7" t="s">
        <v>169</v>
      </c>
      <c r="F79" s="4" t="s">
        <v>171</v>
      </c>
      <c r="G79" s="4">
        <v>304</v>
      </c>
      <c r="H79" s="8">
        <v>525</v>
      </c>
      <c r="I79" s="9"/>
      <c r="J79" s="8">
        <f t="shared" si="5"/>
        <v>525</v>
      </c>
    </row>
    <row r="80" spans="1:10" ht="19.95" customHeight="1" x14ac:dyDescent="0.3">
      <c r="A80" s="4">
        <v>250057</v>
      </c>
      <c r="B80" s="4">
        <v>304</v>
      </c>
      <c r="C80" s="6">
        <v>1</v>
      </c>
      <c r="D80" s="6" t="s">
        <v>11</v>
      </c>
      <c r="E80" s="7" t="s">
        <v>169</v>
      </c>
      <c r="F80" s="4" t="s">
        <v>170</v>
      </c>
      <c r="G80" s="4">
        <v>304</v>
      </c>
      <c r="H80" s="8">
        <v>15</v>
      </c>
      <c r="I80" s="9"/>
      <c r="J80" s="8">
        <f t="shared" si="5"/>
        <v>15</v>
      </c>
    </row>
    <row r="81" spans="1:10" ht="19.95" customHeight="1" x14ac:dyDescent="0.3">
      <c r="A81" s="4">
        <v>250061</v>
      </c>
      <c r="B81" s="4">
        <v>304</v>
      </c>
      <c r="C81" s="6">
        <v>1</v>
      </c>
      <c r="D81" s="6" t="s">
        <v>11</v>
      </c>
      <c r="E81" s="7" t="s">
        <v>169</v>
      </c>
      <c r="F81" s="4" t="s">
        <v>171</v>
      </c>
      <c r="G81" s="4">
        <v>304</v>
      </c>
      <c r="H81" s="8">
        <v>15</v>
      </c>
      <c r="I81" s="9"/>
      <c r="J81" s="8">
        <f t="shared" si="5"/>
        <v>15</v>
      </c>
    </row>
    <row r="82" spans="1:10" ht="19.95" customHeight="1" x14ac:dyDescent="0.3">
      <c r="A82" s="4">
        <v>250057</v>
      </c>
      <c r="B82" s="4">
        <v>304</v>
      </c>
      <c r="C82" s="6">
        <v>0.7</v>
      </c>
      <c r="D82" s="6" t="s">
        <v>11</v>
      </c>
      <c r="E82" s="7" t="s">
        <v>172</v>
      </c>
      <c r="F82" s="4" t="s">
        <v>13</v>
      </c>
      <c r="G82" s="4">
        <v>304</v>
      </c>
      <c r="H82" s="8">
        <v>395</v>
      </c>
      <c r="I82" s="9"/>
      <c r="J82" s="8">
        <f t="shared" si="5"/>
        <v>395</v>
      </c>
    </row>
    <row r="83" spans="1:10" ht="19.95" customHeight="1" x14ac:dyDescent="0.3">
      <c r="A83" s="4">
        <v>250057</v>
      </c>
      <c r="B83" s="4">
        <v>304</v>
      </c>
      <c r="C83" s="6">
        <v>1</v>
      </c>
      <c r="D83" s="6" t="s">
        <v>11</v>
      </c>
      <c r="E83" s="7" t="s">
        <v>173</v>
      </c>
      <c r="F83" s="4" t="s">
        <v>174</v>
      </c>
      <c r="G83" s="4">
        <v>304</v>
      </c>
      <c r="H83" s="8">
        <v>15</v>
      </c>
      <c r="I83" s="9"/>
      <c r="J83" s="8">
        <f t="shared" si="5"/>
        <v>15</v>
      </c>
    </row>
    <row r="84" spans="1:10" ht="19.95" customHeight="1" x14ac:dyDescent="0.3">
      <c r="A84" s="4">
        <v>250057</v>
      </c>
      <c r="B84" s="4">
        <v>304</v>
      </c>
      <c r="C84" s="6">
        <v>0.7</v>
      </c>
      <c r="D84" s="6" t="s">
        <v>55</v>
      </c>
      <c r="E84" s="7" t="s">
        <v>175</v>
      </c>
      <c r="F84" s="4" t="s">
        <v>52</v>
      </c>
      <c r="G84" s="4">
        <v>304</v>
      </c>
      <c r="H84" s="8">
        <v>395</v>
      </c>
      <c r="I84" s="9"/>
      <c r="J84" s="8">
        <f t="shared" si="5"/>
        <v>395</v>
      </c>
    </row>
    <row r="85" spans="1:10" ht="19.95" customHeight="1" x14ac:dyDescent="0.3">
      <c r="A85" s="4">
        <v>250057</v>
      </c>
      <c r="B85" s="4">
        <v>304</v>
      </c>
      <c r="C85" s="6">
        <v>1</v>
      </c>
      <c r="D85" s="6" t="s">
        <v>55</v>
      </c>
      <c r="E85" s="7" t="s">
        <v>175</v>
      </c>
      <c r="F85" s="4" t="s">
        <v>52</v>
      </c>
      <c r="G85" s="4">
        <v>304</v>
      </c>
      <c r="H85" s="8">
        <v>15</v>
      </c>
      <c r="I85" s="9"/>
      <c r="J85" s="8">
        <f t="shared" si="5"/>
        <v>15</v>
      </c>
    </row>
    <row r="86" spans="1:10" ht="19.95" customHeight="1" x14ac:dyDescent="0.3">
      <c r="A86" s="4">
        <v>160925</v>
      </c>
      <c r="B86" s="4">
        <v>304</v>
      </c>
      <c r="C86" s="6">
        <v>0.9</v>
      </c>
      <c r="D86" s="6" t="s">
        <v>55</v>
      </c>
      <c r="E86" s="7" t="s">
        <v>176</v>
      </c>
      <c r="F86" s="4" t="s">
        <v>177</v>
      </c>
      <c r="G86" s="4">
        <v>430</v>
      </c>
      <c r="H86" s="8">
        <v>1100</v>
      </c>
      <c r="I86" s="9"/>
      <c r="J86" s="8">
        <f t="shared" si="5"/>
        <v>1100</v>
      </c>
    </row>
    <row r="87" spans="1:10" ht="19.95" customHeight="1" x14ac:dyDescent="0.3">
      <c r="A87" s="4">
        <v>250042</v>
      </c>
      <c r="B87" s="4">
        <v>304</v>
      </c>
      <c r="C87" s="6">
        <v>0.9</v>
      </c>
      <c r="D87" s="6" t="s">
        <v>55</v>
      </c>
      <c r="E87" s="7" t="s">
        <v>178</v>
      </c>
      <c r="F87" s="4" t="s">
        <v>177</v>
      </c>
      <c r="G87" s="4">
        <v>304</v>
      </c>
      <c r="H87" s="8">
        <v>750</v>
      </c>
      <c r="I87" s="9"/>
      <c r="J87" s="8">
        <f t="shared" si="5"/>
        <v>750</v>
      </c>
    </row>
    <row r="88" spans="1:10" ht="19.95" customHeight="1" x14ac:dyDescent="0.3">
      <c r="A88" s="4">
        <v>250042</v>
      </c>
      <c r="B88" s="4">
        <v>304</v>
      </c>
      <c r="C88" s="6">
        <v>0.9</v>
      </c>
      <c r="D88" s="6" t="s">
        <v>55</v>
      </c>
      <c r="E88" s="7" t="s">
        <v>179</v>
      </c>
      <c r="F88" s="4" t="s">
        <v>177</v>
      </c>
      <c r="G88" s="4">
        <v>304</v>
      </c>
      <c r="H88" s="8">
        <v>750</v>
      </c>
      <c r="I88" s="9"/>
      <c r="J88" s="8">
        <f t="shared" si="5"/>
        <v>750</v>
      </c>
    </row>
    <row r="89" spans="1:10" ht="19.95" customHeight="1" x14ac:dyDescent="0.3">
      <c r="A89" s="4">
        <v>250042</v>
      </c>
      <c r="B89" s="4">
        <v>304</v>
      </c>
      <c r="C89" s="6">
        <v>0.9</v>
      </c>
      <c r="D89" s="6" t="s">
        <v>55</v>
      </c>
      <c r="E89" s="7" t="s">
        <v>180</v>
      </c>
      <c r="F89" s="4" t="s">
        <v>177</v>
      </c>
      <c r="G89" s="4">
        <v>304</v>
      </c>
      <c r="H89" s="8">
        <v>750</v>
      </c>
      <c r="I89" s="9"/>
      <c r="J89" s="8">
        <f t="shared" si="5"/>
        <v>750</v>
      </c>
    </row>
    <row r="90" spans="1:10" ht="19.95" customHeight="1" x14ac:dyDescent="0.3">
      <c r="A90" s="4"/>
      <c r="B90" s="4"/>
      <c r="C90" s="6"/>
      <c r="D90" s="6"/>
      <c r="E90" s="7"/>
      <c r="F90" s="4"/>
      <c r="G90" s="4"/>
      <c r="H90" s="8"/>
      <c r="I90" s="9"/>
      <c r="J90" s="8">
        <f t="shared" si="5"/>
        <v>0</v>
      </c>
    </row>
    <row r="91" spans="1:10" ht="19.95" customHeight="1" x14ac:dyDescent="0.3">
      <c r="A91" s="10"/>
      <c r="B91" s="10"/>
      <c r="C91" s="10"/>
      <c r="D91" s="10"/>
      <c r="E91" s="11"/>
      <c r="F91" s="10"/>
      <c r="G91" s="12"/>
      <c r="H91" s="8">
        <f>SUM(H76:H90)</f>
        <v>5920</v>
      </c>
      <c r="I91" s="9">
        <f>SUM(I76:I90)</f>
        <v>0</v>
      </c>
      <c r="J91" s="8">
        <f>SUM(J76:J90)</f>
        <v>5920</v>
      </c>
    </row>
    <row r="93" spans="1:10" ht="15.6" x14ac:dyDescent="0.3">
      <c r="H93" s="8">
        <f>H91+H72+H56+H50+H29+H11</f>
        <v>28037</v>
      </c>
      <c r="I93" s="8">
        <f>I91+I72+I56+I50+I29+I11</f>
        <v>19991</v>
      </c>
      <c r="J93" s="8">
        <f>J91+J72+J56+J50+J29+J11</f>
        <v>8046</v>
      </c>
    </row>
    <row r="95" spans="1:10" ht="23.4" x14ac:dyDescent="0.3">
      <c r="A95" s="95" t="s">
        <v>14</v>
      </c>
      <c r="B95" s="95"/>
      <c r="C95" s="95"/>
      <c r="D95" s="95"/>
      <c r="E95" s="95"/>
      <c r="F95" s="95"/>
      <c r="G95" s="95"/>
      <c r="H95" s="95"/>
      <c r="I95" s="95"/>
      <c r="J95" s="95"/>
    </row>
  </sheetData>
  <mergeCells count="9">
    <mergeCell ref="A58:J58"/>
    <mergeCell ref="A74:J74"/>
    <mergeCell ref="A95:J95"/>
    <mergeCell ref="H1:J1"/>
    <mergeCell ref="A2:J2"/>
    <mergeCell ref="A3:J3"/>
    <mergeCell ref="A13:J13"/>
    <mergeCell ref="A31:J31"/>
    <mergeCell ref="A52:J5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9" fitToHeight="0"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1"/>
  <sheetViews>
    <sheetView zoomScale="85" zoomScaleNormal="85" workbookViewId="0">
      <selection activeCell="M11" sqref="M11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9.109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181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250057</v>
      </c>
      <c r="B5" s="42">
        <v>304</v>
      </c>
      <c r="C5" s="43">
        <v>0.7</v>
      </c>
      <c r="D5" s="43" t="s">
        <v>11</v>
      </c>
      <c r="E5" s="37" t="s">
        <v>166</v>
      </c>
      <c r="F5" s="42" t="s">
        <v>13</v>
      </c>
      <c r="G5" s="42">
        <v>304</v>
      </c>
      <c r="H5" s="32">
        <v>395</v>
      </c>
      <c r="I5" s="40">
        <v>421</v>
      </c>
      <c r="J5" s="32">
        <f t="shared" ref="J5:J17" si="0">H5-I5</f>
        <v>-26</v>
      </c>
    </row>
    <row r="6" spans="1:10" ht="19.95" customHeight="1" x14ac:dyDescent="0.3">
      <c r="A6" s="42">
        <v>250057</v>
      </c>
      <c r="B6" s="42">
        <v>304</v>
      </c>
      <c r="C6" s="43">
        <v>1</v>
      </c>
      <c r="D6" s="43" t="s">
        <v>11</v>
      </c>
      <c r="E6" s="37" t="s">
        <v>167</v>
      </c>
      <c r="F6" s="42" t="s">
        <v>13</v>
      </c>
      <c r="G6" s="42">
        <v>304</v>
      </c>
      <c r="H6" s="32">
        <v>15</v>
      </c>
      <c r="I6" s="40">
        <v>16</v>
      </c>
      <c r="J6" s="32">
        <f t="shared" si="0"/>
        <v>-1</v>
      </c>
    </row>
    <row r="7" spans="1:10" ht="19.95" customHeight="1" x14ac:dyDescent="0.3">
      <c r="A7" s="42">
        <v>250057</v>
      </c>
      <c r="B7" s="42">
        <v>304</v>
      </c>
      <c r="C7" s="43">
        <v>0.7</v>
      </c>
      <c r="D7" s="43" t="s">
        <v>96</v>
      </c>
      <c r="E7" s="37" t="s">
        <v>155</v>
      </c>
      <c r="F7" s="42" t="s">
        <v>41</v>
      </c>
      <c r="G7" s="42">
        <v>304</v>
      </c>
      <c r="H7" s="32">
        <v>395</v>
      </c>
      <c r="I7" s="40">
        <v>474</v>
      </c>
      <c r="J7" s="32">
        <f t="shared" si="0"/>
        <v>-79</v>
      </c>
    </row>
    <row r="8" spans="1:10" ht="19.95" customHeight="1" x14ac:dyDescent="0.3">
      <c r="A8" s="42">
        <v>250057</v>
      </c>
      <c r="B8" s="42">
        <v>304</v>
      </c>
      <c r="C8" s="43">
        <v>1</v>
      </c>
      <c r="D8" s="43" t="s">
        <v>96</v>
      </c>
      <c r="E8" s="37" t="s">
        <v>156</v>
      </c>
      <c r="F8" s="42" t="s">
        <v>41</v>
      </c>
      <c r="G8" s="42">
        <v>304</v>
      </c>
      <c r="H8" s="32">
        <v>15</v>
      </c>
      <c r="I8" s="40">
        <v>30</v>
      </c>
      <c r="J8" s="32">
        <f t="shared" si="0"/>
        <v>-15</v>
      </c>
    </row>
    <row r="9" spans="1:10" ht="19.95" customHeight="1" x14ac:dyDescent="0.3">
      <c r="A9" s="42">
        <v>250061</v>
      </c>
      <c r="B9" s="42">
        <v>304</v>
      </c>
      <c r="C9" s="43">
        <v>0.7</v>
      </c>
      <c r="D9" s="43" t="s">
        <v>96</v>
      </c>
      <c r="E9" s="37" t="s">
        <v>157</v>
      </c>
      <c r="F9" s="42" t="s">
        <v>41</v>
      </c>
      <c r="G9" s="42">
        <v>304</v>
      </c>
      <c r="H9" s="32">
        <v>525</v>
      </c>
      <c r="I9" s="40">
        <v>592</v>
      </c>
      <c r="J9" s="32">
        <f t="shared" si="0"/>
        <v>-67</v>
      </c>
    </row>
    <row r="10" spans="1:10" ht="19.95" customHeight="1" x14ac:dyDescent="0.3">
      <c r="A10" s="42">
        <v>250061</v>
      </c>
      <c r="B10" s="42">
        <v>304</v>
      </c>
      <c r="C10" s="43">
        <v>1</v>
      </c>
      <c r="D10" s="43" t="s">
        <v>96</v>
      </c>
      <c r="E10" s="37" t="s">
        <v>158</v>
      </c>
      <c r="F10" s="42" t="s">
        <v>41</v>
      </c>
      <c r="G10" s="42">
        <v>304</v>
      </c>
      <c r="H10" s="32">
        <v>15</v>
      </c>
      <c r="I10" s="40">
        <v>30</v>
      </c>
      <c r="J10" s="32">
        <f t="shared" si="0"/>
        <v>-15</v>
      </c>
    </row>
    <row r="11" spans="1:10" ht="19.95" customHeight="1" x14ac:dyDescent="0.3">
      <c r="A11" s="42">
        <v>230925</v>
      </c>
      <c r="B11" s="42">
        <v>430</v>
      </c>
      <c r="C11" s="43">
        <v>0.8</v>
      </c>
      <c r="D11" s="43" t="s">
        <v>11</v>
      </c>
      <c r="E11" s="37" t="s">
        <v>163</v>
      </c>
      <c r="F11" s="42" t="s">
        <v>41</v>
      </c>
      <c r="G11" s="42">
        <v>430</v>
      </c>
      <c r="H11" s="32">
        <v>1058</v>
      </c>
      <c r="I11" s="40">
        <v>1046</v>
      </c>
      <c r="J11" s="32">
        <f t="shared" si="0"/>
        <v>12</v>
      </c>
    </row>
    <row r="12" spans="1:10" ht="19.95" customHeight="1" x14ac:dyDescent="0.3">
      <c r="A12" s="42">
        <v>250052</v>
      </c>
      <c r="B12" s="42">
        <v>304</v>
      </c>
      <c r="C12" s="43">
        <v>0.7</v>
      </c>
      <c r="D12" s="43" t="s">
        <v>11</v>
      </c>
      <c r="E12" s="37" t="s">
        <v>168</v>
      </c>
      <c r="F12" s="42" t="s">
        <v>13</v>
      </c>
      <c r="G12" s="42">
        <v>304</v>
      </c>
      <c r="H12" s="32">
        <v>785</v>
      </c>
      <c r="I12" s="40">
        <v>792</v>
      </c>
      <c r="J12" s="32">
        <f t="shared" si="0"/>
        <v>-7</v>
      </c>
    </row>
    <row r="13" spans="1:10" ht="19.95" customHeight="1" x14ac:dyDescent="0.3">
      <c r="A13" s="42">
        <v>250052</v>
      </c>
      <c r="B13" s="42">
        <v>304</v>
      </c>
      <c r="C13" s="43">
        <v>1</v>
      </c>
      <c r="D13" s="43" t="s">
        <v>11</v>
      </c>
      <c r="E13" s="37" t="s">
        <v>168</v>
      </c>
      <c r="F13" s="42" t="s">
        <v>13</v>
      </c>
      <c r="G13" s="42">
        <v>304</v>
      </c>
      <c r="H13" s="32">
        <v>15</v>
      </c>
      <c r="I13" s="40">
        <v>15</v>
      </c>
      <c r="J13" s="32">
        <f t="shared" si="0"/>
        <v>0</v>
      </c>
    </row>
    <row r="14" spans="1:10" ht="19.95" customHeight="1" x14ac:dyDescent="0.3">
      <c r="A14" s="42">
        <v>250057</v>
      </c>
      <c r="B14" s="42">
        <v>304</v>
      </c>
      <c r="C14" s="43">
        <v>0.7</v>
      </c>
      <c r="D14" s="43" t="s">
        <v>11</v>
      </c>
      <c r="E14" s="37" t="s">
        <v>172</v>
      </c>
      <c r="F14" s="42" t="s">
        <v>13</v>
      </c>
      <c r="G14" s="42">
        <v>304</v>
      </c>
      <c r="H14" s="41">
        <v>395</v>
      </c>
      <c r="I14" s="46"/>
      <c r="J14" s="41">
        <f t="shared" si="0"/>
        <v>395</v>
      </c>
    </row>
    <row r="15" spans="1:10" ht="19.95" customHeight="1" x14ac:dyDescent="0.3">
      <c r="A15" s="42">
        <v>250057</v>
      </c>
      <c r="B15" s="42">
        <v>304</v>
      </c>
      <c r="C15" s="43">
        <v>1</v>
      </c>
      <c r="D15" s="43" t="s">
        <v>11</v>
      </c>
      <c r="E15" s="37" t="s">
        <v>173</v>
      </c>
      <c r="F15" s="42" t="s">
        <v>13</v>
      </c>
      <c r="G15" s="42">
        <v>304</v>
      </c>
      <c r="H15" s="41">
        <v>15</v>
      </c>
      <c r="I15" s="46"/>
      <c r="J15" s="41">
        <f t="shared" si="0"/>
        <v>15</v>
      </c>
    </row>
    <row r="16" spans="1:10" ht="19.95" customHeight="1" x14ac:dyDescent="0.3">
      <c r="A16" s="42">
        <v>250042</v>
      </c>
      <c r="B16" s="42">
        <v>304</v>
      </c>
      <c r="C16" s="43">
        <v>0.9</v>
      </c>
      <c r="D16" s="43" t="s">
        <v>55</v>
      </c>
      <c r="E16" s="37" t="s">
        <v>178</v>
      </c>
      <c r="F16" s="42" t="s">
        <v>177</v>
      </c>
      <c r="G16" s="42">
        <v>304</v>
      </c>
      <c r="H16" s="41">
        <v>750</v>
      </c>
      <c r="I16" s="46"/>
      <c r="J16" s="41">
        <f t="shared" si="0"/>
        <v>750</v>
      </c>
    </row>
    <row r="17" spans="1:10" ht="19.95" customHeight="1" x14ac:dyDescent="0.3">
      <c r="A17" s="42"/>
      <c r="B17" s="42"/>
      <c r="C17" s="43"/>
      <c r="D17" s="43"/>
      <c r="E17" s="37"/>
      <c r="F17" s="42"/>
      <c r="G17" s="42"/>
      <c r="H17" s="41"/>
      <c r="I17" s="46"/>
      <c r="J17" s="41">
        <f t="shared" si="0"/>
        <v>0</v>
      </c>
    </row>
    <row r="18" spans="1:10" ht="19.95" customHeight="1" x14ac:dyDescent="0.3">
      <c r="A18" s="47"/>
      <c r="B18" s="47"/>
      <c r="C18" s="47"/>
      <c r="D18" s="47"/>
      <c r="E18" s="48"/>
      <c r="F18" s="47"/>
      <c r="G18" s="49"/>
      <c r="H18" s="50">
        <f>SUM(H5:H17)</f>
        <v>4378</v>
      </c>
      <c r="I18" s="51">
        <f>SUM(I5:I17)</f>
        <v>3416</v>
      </c>
      <c r="J18" s="41">
        <f>SUM(J5:J17)</f>
        <v>962</v>
      </c>
    </row>
    <row r="19" spans="1:10" x14ac:dyDescent="0.3">
      <c r="A19" s="52"/>
      <c r="B19" s="52"/>
      <c r="C19" s="52"/>
      <c r="D19" s="52"/>
      <c r="E19" s="52"/>
      <c r="F19" s="53"/>
      <c r="G19" s="52"/>
      <c r="H19" s="52"/>
      <c r="I19" s="52"/>
      <c r="J19" s="52"/>
    </row>
    <row r="20" spans="1:10" ht="30" customHeight="1" x14ac:dyDescent="0.3">
      <c r="A20" s="100" t="s">
        <v>17</v>
      </c>
      <c r="B20" s="100"/>
      <c r="C20" s="100"/>
      <c r="D20" s="100"/>
      <c r="E20" s="100"/>
      <c r="F20" s="100"/>
      <c r="G20" s="100"/>
      <c r="H20" s="100"/>
      <c r="I20" s="100"/>
      <c r="J20" s="100"/>
    </row>
    <row r="21" spans="1:10" ht="30" customHeight="1" x14ac:dyDescent="0.3">
      <c r="A21" s="42" t="s">
        <v>1</v>
      </c>
      <c r="B21" s="42" t="s">
        <v>2</v>
      </c>
      <c r="C21" s="54" t="s">
        <v>3</v>
      </c>
      <c r="D21" s="54" t="s">
        <v>4</v>
      </c>
      <c r="E21" s="42" t="s">
        <v>5</v>
      </c>
      <c r="F21" s="54" t="s">
        <v>6</v>
      </c>
      <c r="G21" s="54" t="s">
        <v>7</v>
      </c>
      <c r="H21" s="42" t="s">
        <v>8</v>
      </c>
      <c r="I21" s="42" t="s">
        <v>9</v>
      </c>
      <c r="J21" s="42" t="s">
        <v>10</v>
      </c>
    </row>
    <row r="22" spans="1:10" ht="19.95" customHeight="1" x14ac:dyDescent="0.3">
      <c r="A22" s="42">
        <v>160925</v>
      </c>
      <c r="B22" s="42">
        <v>304</v>
      </c>
      <c r="C22" s="43">
        <v>0.9</v>
      </c>
      <c r="D22" s="43" t="s">
        <v>55</v>
      </c>
      <c r="E22" s="37" t="s">
        <v>176</v>
      </c>
      <c r="F22" s="42" t="s">
        <v>177</v>
      </c>
      <c r="G22" s="42">
        <v>430</v>
      </c>
      <c r="H22" s="41">
        <v>1100</v>
      </c>
      <c r="I22" s="46"/>
      <c r="J22" s="41">
        <f t="shared" ref="J22:J27" si="1">H22-I22</f>
        <v>1100</v>
      </c>
    </row>
    <row r="23" spans="1:10" ht="19.95" customHeight="1" x14ac:dyDescent="0.3">
      <c r="A23" s="42">
        <v>250042</v>
      </c>
      <c r="B23" s="42">
        <v>304</v>
      </c>
      <c r="C23" s="43">
        <v>0.9</v>
      </c>
      <c r="D23" s="43" t="s">
        <v>55</v>
      </c>
      <c r="E23" s="37" t="s">
        <v>179</v>
      </c>
      <c r="F23" s="42" t="s">
        <v>177</v>
      </c>
      <c r="G23" s="42">
        <v>304</v>
      </c>
      <c r="H23" s="41">
        <v>750</v>
      </c>
      <c r="I23" s="46"/>
      <c r="J23" s="41">
        <f t="shared" si="1"/>
        <v>750</v>
      </c>
    </row>
    <row r="24" spans="1:10" ht="19.95" customHeight="1" x14ac:dyDescent="0.3">
      <c r="A24" s="42">
        <v>250049</v>
      </c>
      <c r="B24" s="42">
        <v>304</v>
      </c>
      <c r="C24" s="43">
        <v>0.9</v>
      </c>
      <c r="D24" s="43" t="s">
        <v>55</v>
      </c>
      <c r="E24" s="37" t="s">
        <v>193</v>
      </c>
      <c r="F24" s="42" t="s">
        <v>177</v>
      </c>
      <c r="G24" s="42">
        <v>430</v>
      </c>
      <c r="H24" s="41">
        <v>450</v>
      </c>
      <c r="I24" s="46"/>
      <c r="J24" s="41">
        <f t="shared" si="1"/>
        <v>450</v>
      </c>
    </row>
    <row r="25" spans="1:10" ht="19.95" customHeight="1" x14ac:dyDescent="0.3">
      <c r="A25" s="42">
        <v>21025</v>
      </c>
      <c r="B25" s="42">
        <v>304</v>
      </c>
      <c r="C25" s="43">
        <v>0.6</v>
      </c>
      <c r="D25" s="43" t="s">
        <v>55</v>
      </c>
      <c r="E25" s="37" t="s">
        <v>182</v>
      </c>
      <c r="F25" s="42" t="s">
        <v>45</v>
      </c>
      <c r="G25" s="42">
        <v>430</v>
      </c>
      <c r="H25" s="41">
        <v>1000</v>
      </c>
      <c r="I25" s="46"/>
      <c r="J25" s="41">
        <f t="shared" si="1"/>
        <v>1000</v>
      </c>
    </row>
    <row r="26" spans="1:10" ht="19.95" customHeight="1" x14ac:dyDescent="0.3">
      <c r="A26" s="42">
        <v>21025</v>
      </c>
      <c r="B26" s="42">
        <v>304</v>
      </c>
      <c r="C26" s="43">
        <v>0.6</v>
      </c>
      <c r="D26" s="43" t="s">
        <v>55</v>
      </c>
      <c r="E26" s="37" t="s">
        <v>183</v>
      </c>
      <c r="F26" s="42" t="s">
        <v>107</v>
      </c>
      <c r="G26" s="42">
        <v>430</v>
      </c>
      <c r="H26" s="41">
        <v>1000</v>
      </c>
      <c r="I26" s="46"/>
      <c r="J26" s="41">
        <f t="shared" si="1"/>
        <v>1000</v>
      </c>
    </row>
    <row r="27" spans="1:10" ht="19.95" customHeight="1" x14ac:dyDescent="0.3">
      <c r="A27" s="42"/>
      <c r="B27" s="42"/>
      <c r="C27" s="43"/>
      <c r="D27" s="43"/>
      <c r="E27" s="37"/>
      <c r="F27" s="42"/>
      <c r="G27" s="42"/>
      <c r="H27" s="41"/>
      <c r="I27" s="46"/>
      <c r="J27" s="41">
        <f t="shared" si="1"/>
        <v>0</v>
      </c>
    </row>
    <row r="28" spans="1:10" ht="19.95" customHeight="1" x14ac:dyDescent="0.3">
      <c r="A28" s="47"/>
      <c r="B28" s="47"/>
      <c r="C28" s="47"/>
      <c r="D28" s="47"/>
      <c r="E28" s="48"/>
      <c r="F28" s="47"/>
      <c r="G28" s="49"/>
      <c r="H28" s="41">
        <f>SUM(H22:H27)</f>
        <v>4300</v>
      </c>
      <c r="I28" s="46">
        <f>SUM(I22:I27)</f>
        <v>0</v>
      </c>
      <c r="J28" s="41">
        <f>SUM(J22:J27)</f>
        <v>4300</v>
      </c>
    </row>
    <row r="29" spans="1:10" x14ac:dyDescent="0.3">
      <c r="A29" s="52"/>
      <c r="B29" s="52"/>
      <c r="C29" s="52"/>
      <c r="D29" s="52"/>
      <c r="E29" s="52"/>
      <c r="F29" s="53"/>
      <c r="G29" s="52"/>
      <c r="H29" s="52"/>
      <c r="I29" s="52"/>
      <c r="J29" s="52"/>
    </row>
    <row r="30" spans="1:10" ht="30" customHeight="1" x14ac:dyDescent="0.3">
      <c r="A30" s="100" t="s">
        <v>18</v>
      </c>
      <c r="B30" s="100"/>
      <c r="C30" s="100"/>
      <c r="D30" s="100"/>
      <c r="E30" s="100"/>
      <c r="F30" s="100"/>
      <c r="G30" s="100"/>
      <c r="H30" s="100"/>
      <c r="I30" s="100"/>
      <c r="J30" s="100"/>
    </row>
    <row r="31" spans="1:10" ht="30" customHeight="1" x14ac:dyDescent="0.3">
      <c r="A31" s="42" t="s">
        <v>1</v>
      </c>
      <c r="B31" s="42" t="s">
        <v>2</v>
      </c>
      <c r="C31" s="54" t="s">
        <v>3</v>
      </c>
      <c r="D31" s="54" t="s">
        <v>4</v>
      </c>
      <c r="E31" s="42" t="s">
        <v>5</v>
      </c>
      <c r="F31" s="54" t="s">
        <v>6</v>
      </c>
      <c r="G31" s="54" t="s">
        <v>7</v>
      </c>
      <c r="H31" s="42" t="s">
        <v>8</v>
      </c>
      <c r="I31" s="42" t="s">
        <v>9</v>
      </c>
      <c r="J31" s="42" t="s">
        <v>10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184</v>
      </c>
      <c r="F32" s="42" t="s">
        <v>45</v>
      </c>
      <c r="G32" s="42">
        <v>430</v>
      </c>
      <c r="H32" s="41">
        <v>500</v>
      </c>
      <c r="I32" s="46"/>
      <c r="J32" s="41">
        <f t="shared" ref="J32:J38" si="2">H32-I32</f>
        <v>500</v>
      </c>
    </row>
    <row r="33" spans="1:10" ht="19.95" customHeight="1" x14ac:dyDescent="0.3">
      <c r="A33" s="42">
        <v>21025</v>
      </c>
      <c r="B33" s="42">
        <v>304</v>
      </c>
      <c r="C33" s="43">
        <v>0.6</v>
      </c>
      <c r="D33" s="43" t="s">
        <v>55</v>
      </c>
      <c r="E33" s="37" t="s">
        <v>185</v>
      </c>
      <c r="F33" s="42" t="s">
        <v>45</v>
      </c>
      <c r="G33" s="42">
        <v>430</v>
      </c>
      <c r="H33" s="41">
        <v>1000</v>
      </c>
      <c r="I33" s="46"/>
      <c r="J33" s="41">
        <f t="shared" si="2"/>
        <v>1000</v>
      </c>
    </row>
    <row r="34" spans="1:10" ht="19.95" customHeight="1" x14ac:dyDescent="0.3">
      <c r="A34" s="42">
        <v>21025</v>
      </c>
      <c r="B34" s="42">
        <v>304</v>
      </c>
      <c r="C34" s="43">
        <v>0.6</v>
      </c>
      <c r="D34" s="43" t="s">
        <v>55</v>
      </c>
      <c r="E34" s="37" t="s">
        <v>186</v>
      </c>
      <c r="F34" s="42" t="s">
        <v>45</v>
      </c>
      <c r="G34" s="42">
        <v>430</v>
      </c>
      <c r="H34" s="41">
        <v>1000</v>
      </c>
      <c r="I34" s="46"/>
      <c r="J34" s="41">
        <f t="shared" si="2"/>
        <v>1000</v>
      </c>
    </row>
    <row r="35" spans="1:10" ht="19.95" customHeight="1" x14ac:dyDescent="0.3">
      <c r="A35" s="42">
        <v>21025</v>
      </c>
      <c r="B35" s="42">
        <v>304</v>
      </c>
      <c r="C35" s="43">
        <v>0.6</v>
      </c>
      <c r="D35" s="43" t="s">
        <v>55</v>
      </c>
      <c r="E35" s="37" t="s">
        <v>187</v>
      </c>
      <c r="F35" s="42" t="s">
        <v>45</v>
      </c>
      <c r="G35" s="42">
        <v>430</v>
      </c>
      <c r="H35" s="41">
        <v>500</v>
      </c>
      <c r="I35" s="46"/>
      <c r="J35" s="41">
        <f t="shared" si="2"/>
        <v>500</v>
      </c>
    </row>
    <row r="36" spans="1:10" ht="19.95" customHeight="1" x14ac:dyDescent="0.3">
      <c r="A36" s="42">
        <v>21025</v>
      </c>
      <c r="B36" s="42">
        <v>304</v>
      </c>
      <c r="C36" s="43">
        <v>0.6</v>
      </c>
      <c r="D36" s="43" t="s">
        <v>55</v>
      </c>
      <c r="E36" s="37" t="s">
        <v>188</v>
      </c>
      <c r="F36" s="42" t="s">
        <v>45</v>
      </c>
      <c r="G36" s="42">
        <v>430</v>
      </c>
      <c r="H36" s="41">
        <v>1000</v>
      </c>
      <c r="I36" s="46"/>
      <c r="J36" s="41">
        <f t="shared" si="2"/>
        <v>1000</v>
      </c>
    </row>
    <row r="37" spans="1:10" ht="19.95" customHeight="1" x14ac:dyDescent="0.3">
      <c r="A37" s="42">
        <v>21025</v>
      </c>
      <c r="B37" s="42">
        <v>304</v>
      </c>
      <c r="C37" s="43">
        <v>0.6</v>
      </c>
      <c r="D37" s="43" t="s">
        <v>55</v>
      </c>
      <c r="E37" s="37" t="s">
        <v>189</v>
      </c>
      <c r="F37" s="42" t="s">
        <v>45</v>
      </c>
      <c r="G37" s="42">
        <v>430</v>
      </c>
      <c r="H37" s="41">
        <v>1000</v>
      </c>
      <c r="I37" s="46"/>
      <c r="J37" s="41">
        <f t="shared" si="2"/>
        <v>1000</v>
      </c>
    </row>
    <row r="38" spans="1:10" ht="19.95" customHeight="1" x14ac:dyDescent="0.3">
      <c r="A38" s="42"/>
      <c r="B38" s="42"/>
      <c r="C38" s="43"/>
      <c r="D38" s="43"/>
      <c r="E38" s="37"/>
      <c r="F38" s="42"/>
      <c r="G38" s="42"/>
      <c r="H38" s="41"/>
      <c r="I38" s="46"/>
      <c r="J38" s="41">
        <f t="shared" si="2"/>
        <v>0</v>
      </c>
    </row>
    <row r="39" spans="1:10" ht="19.95" customHeight="1" x14ac:dyDescent="0.3">
      <c r="A39" s="47"/>
      <c r="B39" s="47"/>
      <c r="C39" s="47"/>
      <c r="D39" s="47"/>
      <c r="E39" s="48"/>
      <c r="F39" s="47"/>
      <c r="G39" s="49"/>
      <c r="H39" s="41">
        <f>SUM(H32:H38)</f>
        <v>5000</v>
      </c>
      <c r="I39" s="46">
        <f>SUM(I32:I38)</f>
        <v>0</v>
      </c>
      <c r="J39" s="41">
        <f>SUM(J32:J38)</f>
        <v>5000</v>
      </c>
    </row>
    <row r="40" spans="1:10" x14ac:dyDescent="0.3">
      <c r="A40" s="52"/>
      <c r="B40" s="52"/>
      <c r="C40" s="52"/>
      <c r="D40" s="52"/>
      <c r="E40" s="52"/>
      <c r="F40" s="53"/>
      <c r="G40" s="52"/>
      <c r="H40" s="52"/>
      <c r="I40" s="52"/>
      <c r="J40" s="52"/>
    </row>
    <row r="41" spans="1:10" ht="30" customHeight="1" x14ac:dyDescent="0.3">
      <c r="A41" s="100" t="s">
        <v>20</v>
      </c>
      <c r="B41" s="100"/>
      <c r="C41" s="100"/>
      <c r="D41" s="100"/>
      <c r="E41" s="100"/>
      <c r="F41" s="100"/>
      <c r="G41" s="100"/>
      <c r="H41" s="100"/>
      <c r="I41" s="100"/>
      <c r="J41" s="100"/>
    </row>
    <row r="42" spans="1:10" ht="30" customHeight="1" x14ac:dyDescent="0.3">
      <c r="A42" s="42" t="s">
        <v>1</v>
      </c>
      <c r="B42" s="42" t="s">
        <v>2</v>
      </c>
      <c r="C42" s="54" t="s">
        <v>3</v>
      </c>
      <c r="D42" s="54" t="s">
        <v>4</v>
      </c>
      <c r="E42" s="42" t="s">
        <v>5</v>
      </c>
      <c r="F42" s="54" t="s">
        <v>6</v>
      </c>
      <c r="G42" s="54" t="s">
        <v>7</v>
      </c>
      <c r="H42" s="42" t="s">
        <v>8</v>
      </c>
      <c r="I42" s="42" t="s">
        <v>9</v>
      </c>
      <c r="J42" s="42" t="s">
        <v>10</v>
      </c>
    </row>
    <row r="43" spans="1:10" ht="19.95" customHeight="1" x14ac:dyDescent="0.3">
      <c r="A43" s="42">
        <v>250042</v>
      </c>
      <c r="B43" s="42">
        <v>304</v>
      </c>
      <c r="C43" s="43">
        <v>0.9</v>
      </c>
      <c r="D43" s="43" t="s">
        <v>55</v>
      </c>
      <c r="E43" s="37" t="s">
        <v>194</v>
      </c>
      <c r="F43" s="42" t="s">
        <v>177</v>
      </c>
      <c r="G43" s="42">
        <v>304</v>
      </c>
      <c r="H43" s="41">
        <v>750</v>
      </c>
      <c r="I43" s="46"/>
      <c r="J43" s="41">
        <f t="shared" ref="J43:J51" si="3">H43-I43</f>
        <v>750</v>
      </c>
    </row>
    <row r="44" spans="1:10" ht="19.95" customHeight="1" x14ac:dyDescent="0.3">
      <c r="A44" s="42">
        <v>250049</v>
      </c>
      <c r="B44" s="42">
        <v>304</v>
      </c>
      <c r="C44" s="43">
        <v>0.9</v>
      </c>
      <c r="D44" s="43" t="s">
        <v>55</v>
      </c>
      <c r="E44" s="37" t="s">
        <v>191</v>
      </c>
      <c r="F44" s="42" t="s">
        <v>52</v>
      </c>
      <c r="G44" s="42">
        <v>430</v>
      </c>
      <c r="H44" s="41">
        <v>450</v>
      </c>
      <c r="I44" s="46"/>
      <c r="J44" s="41">
        <f>H44-I44</f>
        <v>450</v>
      </c>
    </row>
    <row r="45" spans="1:10" ht="19.95" customHeight="1" x14ac:dyDescent="0.3">
      <c r="A45" s="42">
        <v>250057</v>
      </c>
      <c r="B45" s="42">
        <v>304</v>
      </c>
      <c r="C45" s="43">
        <v>0.7</v>
      </c>
      <c r="D45" s="43" t="s">
        <v>43</v>
      </c>
      <c r="E45" s="37" t="s">
        <v>169</v>
      </c>
      <c r="F45" s="42" t="s">
        <v>170</v>
      </c>
      <c r="G45" s="42">
        <v>304</v>
      </c>
      <c r="H45" s="41">
        <v>395</v>
      </c>
      <c r="I45" s="46"/>
      <c r="J45" s="41">
        <f>H45-I45</f>
        <v>395</v>
      </c>
    </row>
    <row r="46" spans="1:10" ht="19.95" customHeight="1" x14ac:dyDescent="0.3">
      <c r="A46" s="42">
        <v>250061</v>
      </c>
      <c r="B46" s="42">
        <v>304</v>
      </c>
      <c r="C46" s="43">
        <v>0.7</v>
      </c>
      <c r="D46" s="43" t="s">
        <v>43</v>
      </c>
      <c r="E46" s="37" t="s">
        <v>169</v>
      </c>
      <c r="F46" s="42" t="s">
        <v>171</v>
      </c>
      <c r="G46" s="42">
        <v>304</v>
      </c>
      <c r="H46" s="41">
        <v>525</v>
      </c>
      <c r="I46" s="46"/>
      <c r="J46" s="41">
        <f>H46-I46</f>
        <v>525</v>
      </c>
    </row>
    <row r="47" spans="1:10" ht="19.95" customHeight="1" x14ac:dyDescent="0.3">
      <c r="A47" s="42">
        <v>250079</v>
      </c>
      <c r="B47" s="42">
        <v>304</v>
      </c>
      <c r="C47" s="43">
        <v>0.7</v>
      </c>
      <c r="D47" s="43" t="s">
        <v>43</v>
      </c>
      <c r="E47" s="37" t="s">
        <v>192</v>
      </c>
      <c r="F47" s="42" t="s">
        <v>171</v>
      </c>
      <c r="G47" s="42">
        <v>304</v>
      </c>
      <c r="H47" s="41">
        <v>952</v>
      </c>
      <c r="I47" s="46"/>
      <c r="J47" s="41">
        <f>H47-I47</f>
        <v>952</v>
      </c>
    </row>
    <row r="48" spans="1:10" ht="19.95" customHeight="1" x14ac:dyDescent="0.3">
      <c r="A48" s="42">
        <v>250079</v>
      </c>
      <c r="B48" s="42">
        <v>304</v>
      </c>
      <c r="C48" s="43">
        <v>1</v>
      </c>
      <c r="D48" s="43" t="s">
        <v>43</v>
      </c>
      <c r="E48" s="37" t="s">
        <v>192</v>
      </c>
      <c r="F48" s="42" t="s">
        <v>171</v>
      </c>
      <c r="G48" s="42">
        <v>304</v>
      </c>
      <c r="H48" s="41">
        <v>48</v>
      </c>
      <c r="I48" s="46"/>
      <c r="J48" s="41">
        <f t="shared" si="3"/>
        <v>48</v>
      </c>
    </row>
    <row r="49" spans="1:10" ht="19.95" customHeight="1" x14ac:dyDescent="0.3">
      <c r="A49" s="42">
        <v>250057</v>
      </c>
      <c r="B49" s="42">
        <v>304</v>
      </c>
      <c r="C49" s="43">
        <v>1</v>
      </c>
      <c r="D49" s="43" t="s">
        <v>43</v>
      </c>
      <c r="E49" s="37" t="s">
        <v>190</v>
      </c>
      <c r="F49" s="42" t="s">
        <v>170</v>
      </c>
      <c r="G49" s="42">
        <v>304</v>
      </c>
      <c r="H49" s="41">
        <v>15</v>
      </c>
      <c r="I49" s="46"/>
      <c r="J49" s="41">
        <f t="shared" si="3"/>
        <v>15</v>
      </c>
    </row>
    <row r="50" spans="1:10" ht="19.95" customHeight="1" x14ac:dyDescent="0.3">
      <c r="A50" s="42">
        <v>250061</v>
      </c>
      <c r="B50" s="42">
        <v>304</v>
      </c>
      <c r="C50" s="43">
        <v>1</v>
      </c>
      <c r="D50" s="43" t="s">
        <v>43</v>
      </c>
      <c r="E50" s="37" t="s">
        <v>190</v>
      </c>
      <c r="F50" s="42" t="s">
        <v>171</v>
      </c>
      <c r="G50" s="42">
        <v>304</v>
      </c>
      <c r="H50" s="41">
        <v>15</v>
      </c>
      <c r="I50" s="46"/>
      <c r="J50" s="41">
        <f t="shared" si="3"/>
        <v>15</v>
      </c>
    </row>
    <row r="51" spans="1:10" ht="19.95" customHeight="1" x14ac:dyDescent="0.3">
      <c r="A51" s="42"/>
      <c r="B51" s="42"/>
      <c r="C51" s="43"/>
      <c r="D51" s="43"/>
      <c r="E51" s="37"/>
      <c r="F51" s="42"/>
      <c r="G51" s="42"/>
      <c r="H51" s="41"/>
      <c r="I51" s="46"/>
      <c r="J51" s="41">
        <f t="shared" si="3"/>
        <v>0</v>
      </c>
    </row>
    <row r="52" spans="1:10" ht="19.95" customHeight="1" x14ac:dyDescent="0.3">
      <c r="A52" s="47"/>
      <c r="B52" s="47"/>
      <c r="C52" s="47"/>
      <c r="D52" s="47"/>
      <c r="E52" s="48"/>
      <c r="F52" s="47"/>
      <c r="G52" s="49"/>
      <c r="H52" s="41">
        <f>SUM(H43:H51)</f>
        <v>3150</v>
      </c>
      <c r="I52" s="46">
        <f>SUM(I43:I51)</f>
        <v>0</v>
      </c>
      <c r="J52" s="41">
        <f>SUM(J43:J51)</f>
        <v>3150</v>
      </c>
    </row>
    <row r="53" spans="1:10" ht="19.95" customHeight="1" x14ac:dyDescent="0.3">
      <c r="A53" s="55"/>
      <c r="B53" s="55"/>
      <c r="C53" s="55"/>
      <c r="D53" s="55"/>
      <c r="E53" s="56"/>
      <c r="F53" s="55"/>
      <c r="G53" s="55"/>
      <c r="H53" s="57"/>
      <c r="I53" s="58"/>
      <c r="J53" s="57"/>
    </row>
    <row r="54" spans="1:10" ht="30" customHeight="1" x14ac:dyDescent="0.3">
      <c r="A54" s="100" t="s">
        <v>19</v>
      </c>
      <c r="B54" s="100"/>
      <c r="C54" s="100"/>
      <c r="D54" s="100"/>
      <c r="E54" s="100"/>
      <c r="F54" s="100"/>
      <c r="G54" s="100"/>
      <c r="H54" s="100"/>
      <c r="I54" s="100"/>
      <c r="J54" s="100"/>
    </row>
    <row r="55" spans="1:10" ht="30" customHeight="1" x14ac:dyDescent="0.3">
      <c r="A55" s="42" t="s">
        <v>1</v>
      </c>
      <c r="B55" s="42" t="s">
        <v>2</v>
      </c>
      <c r="C55" s="54" t="s">
        <v>3</v>
      </c>
      <c r="D55" s="54" t="s">
        <v>4</v>
      </c>
      <c r="E55" s="42" t="s">
        <v>5</v>
      </c>
      <c r="F55" s="54" t="s">
        <v>6</v>
      </c>
      <c r="G55" s="54" t="s">
        <v>7</v>
      </c>
      <c r="H55" s="42" t="s">
        <v>8</v>
      </c>
      <c r="I55" s="42" t="s">
        <v>9</v>
      </c>
      <c r="J55" s="42" t="s">
        <v>10</v>
      </c>
    </row>
    <row r="56" spans="1:10" ht="19.95" customHeight="1" x14ac:dyDescent="0.3">
      <c r="A56" s="42"/>
      <c r="B56" s="42"/>
      <c r="C56" s="43"/>
      <c r="D56" s="43"/>
      <c r="E56" s="37"/>
      <c r="F56" s="42"/>
      <c r="G56" s="42"/>
      <c r="H56" s="41"/>
      <c r="I56" s="46"/>
      <c r="J56" s="41">
        <f t="shared" ref="J56:J67" si="4">H56-I56</f>
        <v>0</v>
      </c>
    </row>
    <row r="57" spans="1:10" ht="19.95" customHeight="1" x14ac:dyDescent="0.3">
      <c r="A57" s="42"/>
      <c r="B57" s="42"/>
      <c r="C57" s="43"/>
      <c r="D57" s="43"/>
      <c r="E57" s="37"/>
      <c r="F57" s="42"/>
      <c r="G57" s="42"/>
      <c r="H57" s="41"/>
      <c r="I57" s="46"/>
      <c r="J57" s="41">
        <f t="shared" si="4"/>
        <v>0</v>
      </c>
    </row>
    <row r="58" spans="1:10" ht="19.95" customHeight="1" x14ac:dyDescent="0.3">
      <c r="A58" s="42"/>
      <c r="B58" s="42"/>
      <c r="C58" s="43"/>
      <c r="D58" s="43"/>
      <c r="E58" s="37"/>
      <c r="F58" s="42"/>
      <c r="G58" s="42"/>
      <c r="H58" s="41"/>
      <c r="I58" s="46"/>
      <c r="J58" s="41">
        <f t="shared" si="4"/>
        <v>0</v>
      </c>
    </row>
    <row r="59" spans="1:10" ht="19.95" customHeight="1" x14ac:dyDescent="0.3">
      <c r="A59" s="42"/>
      <c r="B59" s="42"/>
      <c r="C59" s="43"/>
      <c r="D59" s="43"/>
      <c r="E59" s="37"/>
      <c r="F59" s="42"/>
      <c r="G59" s="42"/>
      <c r="H59" s="41"/>
      <c r="I59" s="46"/>
      <c r="J59" s="41">
        <f t="shared" si="4"/>
        <v>0</v>
      </c>
    </row>
    <row r="60" spans="1:10" ht="19.95" customHeight="1" x14ac:dyDescent="0.3">
      <c r="A60" s="42"/>
      <c r="B60" s="42"/>
      <c r="C60" s="43"/>
      <c r="D60" s="43"/>
      <c r="E60" s="37"/>
      <c r="F60" s="42"/>
      <c r="G60" s="42"/>
      <c r="H60" s="41"/>
      <c r="I60" s="46"/>
      <c r="J60" s="41">
        <f t="shared" si="4"/>
        <v>0</v>
      </c>
    </row>
    <row r="61" spans="1:10" ht="19.95" customHeight="1" x14ac:dyDescent="0.3">
      <c r="A61" s="42"/>
      <c r="B61" s="42"/>
      <c r="C61" s="43"/>
      <c r="D61" s="43"/>
      <c r="E61" s="37"/>
      <c r="F61" s="42"/>
      <c r="G61" s="42"/>
      <c r="H61" s="41"/>
      <c r="I61" s="46"/>
      <c r="J61" s="41">
        <f t="shared" si="4"/>
        <v>0</v>
      </c>
    </row>
    <row r="62" spans="1:10" ht="19.95" customHeight="1" x14ac:dyDescent="0.3">
      <c r="A62" s="42"/>
      <c r="B62" s="42"/>
      <c r="C62" s="43"/>
      <c r="D62" s="43"/>
      <c r="E62" s="37"/>
      <c r="F62" s="42"/>
      <c r="G62" s="42"/>
      <c r="H62" s="41"/>
      <c r="I62" s="46"/>
      <c r="J62" s="41">
        <f t="shared" si="4"/>
        <v>0</v>
      </c>
    </row>
    <row r="63" spans="1:10" ht="19.95" customHeight="1" x14ac:dyDescent="0.3">
      <c r="A63" s="42"/>
      <c r="B63" s="42"/>
      <c r="C63" s="43"/>
      <c r="D63" s="43"/>
      <c r="E63" s="37"/>
      <c r="F63" s="42"/>
      <c r="G63" s="42"/>
      <c r="H63" s="41"/>
      <c r="I63" s="46"/>
      <c r="J63" s="41">
        <f t="shared" si="4"/>
        <v>0</v>
      </c>
    </row>
    <row r="64" spans="1:10" ht="19.95" customHeight="1" x14ac:dyDescent="0.3">
      <c r="A64" s="42"/>
      <c r="B64" s="42"/>
      <c r="C64" s="43"/>
      <c r="D64" s="43"/>
      <c r="E64" s="37"/>
      <c r="F64" s="42"/>
      <c r="G64" s="42"/>
      <c r="H64" s="41"/>
      <c r="I64" s="46"/>
      <c r="J64" s="41">
        <f t="shared" si="4"/>
        <v>0</v>
      </c>
    </row>
    <row r="65" spans="1:10" ht="19.95" customHeight="1" x14ac:dyDescent="0.3">
      <c r="A65" s="42"/>
      <c r="B65" s="42"/>
      <c r="C65" s="43"/>
      <c r="D65" s="43"/>
      <c r="E65" s="37"/>
      <c r="F65" s="42"/>
      <c r="G65" s="42"/>
      <c r="H65" s="41"/>
      <c r="I65" s="46"/>
      <c r="J65" s="41">
        <f t="shared" si="4"/>
        <v>0</v>
      </c>
    </row>
    <row r="66" spans="1:10" ht="19.95" customHeight="1" x14ac:dyDescent="0.3">
      <c r="A66" s="42"/>
      <c r="B66" s="42"/>
      <c r="C66" s="43"/>
      <c r="D66" s="43"/>
      <c r="E66" s="37"/>
      <c r="F66" s="42"/>
      <c r="G66" s="42"/>
      <c r="H66" s="41"/>
      <c r="I66" s="46"/>
      <c r="J66" s="41">
        <f t="shared" si="4"/>
        <v>0</v>
      </c>
    </row>
    <row r="67" spans="1:10" ht="19.95" customHeight="1" x14ac:dyDescent="0.3">
      <c r="A67" s="42"/>
      <c r="B67" s="42"/>
      <c r="C67" s="43"/>
      <c r="D67" s="43"/>
      <c r="E67" s="37"/>
      <c r="F67" s="42"/>
      <c r="G67" s="42"/>
      <c r="H67" s="41"/>
      <c r="I67" s="46"/>
      <c r="J67" s="41">
        <f t="shared" si="4"/>
        <v>0</v>
      </c>
    </row>
    <row r="68" spans="1:10" ht="19.95" customHeight="1" x14ac:dyDescent="0.3">
      <c r="A68" s="47"/>
      <c r="B68" s="47"/>
      <c r="C68" s="47"/>
      <c r="D68" s="47"/>
      <c r="E68" s="48"/>
      <c r="F68" s="47"/>
      <c r="G68" s="49"/>
      <c r="H68" s="41">
        <f>SUM(H56:H67)</f>
        <v>0</v>
      </c>
      <c r="I68" s="46">
        <f>SUM(I56:I67)</f>
        <v>0</v>
      </c>
      <c r="J68" s="41">
        <f>SUM(J56:J67)</f>
        <v>0</v>
      </c>
    </row>
    <row r="69" spans="1:10" ht="19.95" customHeight="1" x14ac:dyDescent="0.3">
      <c r="A69" s="55"/>
      <c r="B69" s="55"/>
      <c r="C69" s="55"/>
      <c r="D69" s="55"/>
      <c r="E69" s="56"/>
      <c r="F69" s="55"/>
      <c r="G69" s="55"/>
      <c r="H69" s="57"/>
      <c r="I69" s="58"/>
      <c r="J69" s="57"/>
    </row>
    <row r="70" spans="1:10" ht="30" customHeight="1" x14ac:dyDescent="0.3">
      <c r="A70" s="100" t="s">
        <v>23</v>
      </c>
      <c r="B70" s="100"/>
      <c r="C70" s="100"/>
      <c r="D70" s="100"/>
      <c r="E70" s="100"/>
      <c r="F70" s="100"/>
      <c r="G70" s="100"/>
      <c r="H70" s="100"/>
      <c r="I70" s="100"/>
      <c r="J70" s="100"/>
    </row>
    <row r="71" spans="1:10" ht="30" customHeight="1" x14ac:dyDescent="0.3">
      <c r="A71" s="42" t="s">
        <v>1</v>
      </c>
      <c r="B71" s="42" t="s">
        <v>2</v>
      </c>
      <c r="C71" s="54" t="s">
        <v>3</v>
      </c>
      <c r="D71" s="54" t="s">
        <v>4</v>
      </c>
      <c r="E71" s="42" t="s">
        <v>5</v>
      </c>
      <c r="F71" s="54" t="s">
        <v>6</v>
      </c>
      <c r="G71" s="54" t="s">
        <v>7</v>
      </c>
      <c r="H71" s="42" t="s">
        <v>8</v>
      </c>
      <c r="I71" s="42" t="s">
        <v>9</v>
      </c>
      <c r="J71" s="42" t="s">
        <v>10</v>
      </c>
    </row>
    <row r="72" spans="1:10" ht="19.95" customHeight="1" x14ac:dyDescent="0.3">
      <c r="A72" s="42"/>
      <c r="B72" s="42"/>
      <c r="C72" s="43"/>
      <c r="D72" s="43"/>
      <c r="E72" s="37"/>
      <c r="F72" s="42"/>
      <c r="G72" s="42"/>
      <c r="H72" s="41"/>
      <c r="I72" s="46"/>
      <c r="J72" s="41">
        <f t="shared" ref="J72:J86" si="5">H72-I72</f>
        <v>0</v>
      </c>
    </row>
    <row r="73" spans="1:10" ht="19.95" customHeight="1" x14ac:dyDescent="0.3">
      <c r="A73" s="42"/>
      <c r="B73" s="42"/>
      <c r="C73" s="43"/>
      <c r="D73" s="43"/>
      <c r="E73" s="37"/>
      <c r="F73" s="42"/>
      <c r="G73" s="42"/>
      <c r="H73" s="41"/>
      <c r="I73" s="46"/>
      <c r="J73" s="41">
        <f t="shared" si="5"/>
        <v>0</v>
      </c>
    </row>
    <row r="74" spans="1:10" ht="19.95" customHeight="1" x14ac:dyDescent="0.3">
      <c r="A74" s="42"/>
      <c r="B74" s="42"/>
      <c r="C74" s="43"/>
      <c r="D74" s="43"/>
      <c r="E74" s="37"/>
      <c r="F74" s="42"/>
      <c r="G74" s="42"/>
      <c r="H74" s="41"/>
      <c r="I74" s="46"/>
      <c r="J74" s="41">
        <f>H74-I74</f>
        <v>0</v>
      </c>
    </row>
    <row r="75" spans="1:10" ht="19.95" customHeight="1" x14ac:dyDescent="0.3">
      <c r="A75" s="42"/>
      <c r="B75" s="42"/>
      <c r="C75" s="43"/>
      <c r="D75" s="43"/>
      <c r="E75" s="37"/>
      <c r="F75" s="42"/>
      <c r="G75" s="42"/>
      <c r="H75" s="41"/>
      <c r="I75" s="46"/>
      <c r="J75" s="41">
        <f>H75-I75</f>
        <v>0</v>
      </c>
    </row>
    <row r="76" spans="1:10" ht="19.95" customHeight="1" x14ac:dyDescent="0.3">
      <c r="A76" s="42"/>
      <c r="B76" s="42"/>
      <c r="C76" s="43"/>
      <c r="D76" s="43"/>
      <c r="E76" s="37"/>
      <c r="F76" s="42"/>
      <c r="G76" s="42"/>
      <c r="H76" s="41"/>
      <c r="I76" s="46"/>
      <c r="J76" s="41">
        <f>H76-I76</f>
        <v>0</v>
      </c>
    </row>
    <row r="77" spans="1:10" ht="19.95" customHeight="1" x14ac:dyDescent="0.3">
      <c r="A77" s="42"/>
      <c r="B77" s="42"/>
      <c r="C77" s="43"/>
      <c r="D77" s="43"/>
      <c r="E77" s="37"/>
      <c r="F77" s="42"/>
      <c r="G77" s="42"/>
      <c r="H77" s="41"/>
      <c r="I77" s="46"/>
      <c r="J77" s="41">
        <f>H77-I77</f>
        <v>0</v>
      </c>
    </row>
    <row r="78" spans="1:10" ht="19.95" customHeight="1" x14ac:dyDescent="0.3">
      <c r="A78" s="42"/>
      <c r="B78" s="42"/>
      <c r="C78" s="43"/>
      <c r="D78" s="43"/>
      <c r="E78" s="37"/>
      <c r="F78" s="42"/>
      <c r="G78" s="42"/>
      <c r="H78" s="41"/>
      <c r="I78" s="46"/>
      <c r="J78" s="41">
        <f t="shared" si="5"/>
        <v>0</v>
      </c>
    </row>
    <row r="79" spans="1:10" ht="19.95" customHeight="1" x14ac:dyDescent="0.3">
      <c r="A79" s="42"/>
      <c r="B79" s="42"/>
      <c r="C79" s="43"/>
      <c r="D79" s="43"/>
      <c r="E79" s="37"/>
      <c r="F79" s="42"/>
      <c r="G79" s="42"/>
      <c r="H79" s="41"/>
      <c r="I79" s="46"/>
      <c r="J79" s="41">
        <f t="shared" si="5"/>
        <v>0</v>
      </c>
    </row>
    <row r="80" spans="1:10" ht="19.95" customHeight="1" x14ac:dyDescent="0.3">
      <c r="A80" s="42"/>
      <c r="B80" s="42"/>
      <c r="C80" s="43"/>
      <c r="D80" s="43"/>
      <c r="E80" s="37"/>
      <c r="F80" s="42"/>
      <c r="G80" s="42"/>
      <c r="H80" s="41"/>
      <c r="I80" s="46"/>
      <c r="J80" s="41">
        <f t="shared" si="5"/>
        <v>0</v>
      </c>
    </row>
    <row r="81" spans="1:10" ht="19.95" customHeight="1" x14ac:dyDescent="0.3">
      <c r="A81" s="42"/>
      <c r="B81" s="42"/>
      <c r="C81" s="43"/>
      <c r="D81" s="43"/>
      <c r="E81" s="37"/>
      <c r="F81" s="42"/>
      <c r="G81" s="42"/>
      <c r="H81" s="41"/>
      <c r="I81" s="46"/>
      <c r="J81" s="41">
        <f t="shared" si="5"/>
        <v>0</v>
      </c>
    </row>
    <row r="82" spans="1:10" ht="19.95" customHeight="1" x14ac:dyDescent="0.3">
      <c r="A82" s="42"/>
      <c r="B82" s="42"/>
      <c r="C82" s="43"/>
      <c r="D82" s="43"/>
      <c r="E82" s="37"/>
      <c r="F82" s="42"/>
      <c r="G82" s="42"/>
      <c r="H82" s="41"/>
      <c r="I82" s="46"/>
      <c r="J82" s="41">
        <f t="shared" si="5"/>
        <v>0</v>
      </c>
    </row>
    <row r="83" spans="1:10" ht="19.95" customHeight="1" x14ac:dyDescent="0.3">
      <c r="A83" s="42"/>
      <c r="B83" s="42"/>
      <c r="C83" s="43"/>
      <c r="D83" s="43"/>
      <c r="E83" s="37"/>
      <c r="F83" s="42"/>
      <c r="G83" s="42"/>
      <c r="H83" s="41"/>
      <c r="I83" s="46"/>
      <c r="J83" s="41">
        <f t="shared" si="5"/>
        <v>0</v>
      </c>
    </row>
    <row r="84" spans="1:10" ht="19.95" customHeight="1" x14ac:dyDescent="0.3">
      <c r="A84" s="42"/>
      <c r="B84" s="42"/>
      <c r="C84" s="43"/>
      <c r="D84" s="43"/>
      <c r="E84" s="37"/>
      <c r="F84" s="42"/>
      <c r="G84" s="42"/>
      <c r="H84" s="41"/>
      <c r="I84" s="46"/>
      <c r="J84" s="41">
        <f t="shared" si="5"/>
        <v>0</v>
      </c>
    </row>
    <row r="85" spans="1:10" ht="19.95" customHeight="1" x14ac:dyDescent="0.3">
      <c r="A85" s="42"/>
      <c r="B85" s="42"/>
      <c r="C85" s="43"/>
      <c r="D85" s="43"/>
      <c r="E85" s="37"/>
      <c r="F85" s="42"/>
      <c r="G85" s="42"/>
      <c r="H85" s="41"/>
      <c r="I85" s="46"/>
      <c r="J85" s="41">
        <f t="shared" si="5"/>
        <v>0</v>
      </c>
    </row>
    <row r="86" spans="1:10" ht="19.95" customHeight="1" x14ac:dyDescent="0.3">
      <c r="A86" s="42"/>
      <c r="B86" s="42"/>
      <c r="C86" s="43"/>
      <c r="D86" s="43"/>
      <c r="E86" s="37"/>
      <c r="F86" s="42"/>
      <c r="G86" s="42"/>
      <c r="H86" s="41"/>
      <c r="I86" s="46"/>
      <c r="J86" s="41">
        <f t="shared" si="5"/>
        <v>0</v>
      </c>
    </row>
    <row r="87" spans="1:10" ht="19.95" customHeight="1" x14ac:dyDescent="0.3">
      <c r="A87" s="101"/>
      <c r="B87" s="101"/>
      <c r="C87" s="101"/>
      <c r="D87" s="101"/>
      <c r="E87" s="101"/>
      <c r="F87" s="101"/>
      <c r="G87" s="101"/>
      <c r="H87" s="41">
        <f>SUM(H72:H86)</f>
        <v>0</v>
      </c>
      <c r="I87" s="46">
        <f>SUM(I72:I86)</f>
        <v>0</v>
      </c>
      <c r="J87" s="41">
        <f>SUM(J72:J86)</f>
        <v>0</v>
      </c>
    </row>
    <row r="88" spans="1:10" x14ac:dyDescent="0.3">
      <c r="A88" s="102"/>
      <c r="B88" s="102"/>
      <c r="C88" s="102"/>
      <c r="D88" s="102"/>
      <c r="E88" s="102"/>
      <c r="F88" s="102"/>
      <c r="G88" s="102"/>
    </row>
    <row r="89" spans="1:10" ht="15.6" x14ac:dyDescent="0.3">
      <c r="H89" s="8">
        <f>H87+H68+H52+H39+H28+H18</f>
        <v>16828</v>
      </c>
      <c r="I89" s="8">
        <f>I87+I68+I52+I39+I28+I18</f>
        <v>3416</v>
      </c>
      <c r="J89" s="8">
        <f>J87+J68+J52+J39+J28+J18</f>
        <v>13412</v>
      </c>
    </row>
    <row r="91" spans="1:10" ht="23.4" x14ac:dyDescent="0.3">
      <c r="A91" s="95" t="s">
        <v>14</v>
      </c>
      <c r="B91" s="95"/>
      <c r="C91" s="95"/>
      <c r="D91" s="95"/>
      <c r="E91" s="95"/>
      <c r="F91" s="95"/>
      <c r="G91" s="95"/>
      <c r="H91" s="95"/>
      <c r="I91" s="95"/>
      <c r="J91" s="95"/>
    </row>
  </sheetData>
  <mergeCells count="10">
    <mergeCell ref="A54:J54"/>
    <mergeCell ref="A70:J70"/>
    <mergeCell ref="A91:J91"/>
    <mergeCell ref="A87:G88"/>
    <mergeCell ref="H1:J1"/>
    <mergeCell ref="A2:J2"/>
    <mergeCell ref="A3:J3"/>
    <mergeCell ref="A20:J20"/>
    <mergeCell ref="A30:J30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7" fitToHeight="0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3"/>
  <sheetViews>
    <sheetView zoomScale="85" zoomScaleNormal="85" workbookViewId="0">
      <selection activeCell="H87" sqref="H87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9.109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181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250057</v>
      </c>
      <c r="B5" s="42">
        <v>304</v>
      </c>
      <c r="C5" s="43">
        <v>0.7</v>
      </c>
      <c r="D5" s="43" t="s">
        <v>11</v>
      </c>
      <c r="E5" s="37" t="s">
        <v>166</v>
      </c>
      <c r="F5" s="42" t="s">
        <v>13</v>
      </c>
      <c r="G5" s="42">
        <v>304</v>
      </c>
      <c r="H5" s="32">
        <v>395</v>
      </c>
      <c r="I5" s="40">
        <v>421</v>
      </c>
      <c r="J5" s="32">
        <f t="shared" ref="J5:J17" si="0">H5-I5</f>
        <v>-26</v>
      </c>
    </row>
    <row r="6" spans="1:10" ht="19.95" customHeight="1" x14ac:dyDescent="0.3">
      <c r="A6" s="42">
        <v>250057</v>
      </c>
      <c r="B6" s="42">
        <v>304</v>
      </c>
      <c r="C6" s="43">
        <v>1</v>
      </c>
      <c r="D6" s="43" t="s">
        <v>11</v>
      </c>
      <c r="E6" s="37" t="s">
        <v>167</v>
      </c>
      <c r="F6" s="42" t="s">
        <v>13</v>
      </c>
      <c r="G6" s="42">
        <v>304</v>
      </c>
      <c r="H6" s="32">
        <v>15</v>
      </c>
      <c r="I6" s="40">
        <v>16</v>
      </c>
      <c r="J6" s="32">
        <f t="shared" si="0"/>
        <v>-1</v>
      </c>
    </row>
    <row r="7" spans="1:10" ht="19.95" customHeight="1" x14ac:dyDescent="0.3">
      <c r="A7" s="42">
        <v>250057</v>
      </c>
      <c r="B7" s="42">
        <v>304</v>
      </c>
      <c r="C7" s="43">
        <v>0.7</v>
      </c>
      <c r="D7" s="43" t="s">
        <v>96</v>
      </c>
      <c r="E7" s="37" t="s">
        <v>155</v>
      </c>
      <c r="F7" s="42" t="s">
        <v>41</v>
      </c>
      <c r="G7" s="42">
        <v>304</v>
      </c>
      <c r="H7" s="32">
        <v>395</v>
      </c>
      <c r="I7" s="40">
        <v>474</v>
      </c>
      <c r="J7" s="32">
        <f t="shared" si="0"/>
        <v>-79</v>
      </c>
    </row>
    <row r="8" spans="1:10" ht="19.95" customHeight="1" x14ac:dyDescent="0.3">
      <c r="A8" s="42">
        <v>250057</v>
      </c>
      <c r="B8" s="42">
        <v>304</v>
      </c>
      <c r="C8" s="43">
        <v>1</v>
      </c>
      <c r="D8" s="43" t="s">
        <v>96</v>
      </c>
      <c r="E8" s="37" t="s">
        <v>156</v>
      </c>
      <c r="F8" s="42" t="s">
        <v>41</v>
      </c>
      <c r="G8" s="42">
        <v>304</v>
      </c>
      <c r="H8" s="32">
        <v>15</v>
      </c>
      <c r="I8" s="40">
        <v>30</v>
      </c>
      <c r="J8" s="32">
        <f t="shared" si="0"/>
        <v>-15</v>
      </c>
    </row>
    <row r="9" spans="1:10" ht="19.95" customHeight="1" x14ac:dyDescent="0.3">
      <c r="A9" s="42">
        <v>250061</v>
      </c>
      <c r="B9" s="42">
        <v>304</v>
      </c>
      <c r="C9" s="43">
        <v>0.7</v>
      </c>
      <c r="D9" s="43" t="s">
        <v>96</v>
      </c>
      <c r="E9" s="37" t="s">
        <v>157</v>
      </c>
      <c r="F9" s="42" t="s">
        <v>41</v>
      </c>
      <c r="G9" s="42">
        <v>304</v>
      </c>
      <c r="H9" s="32">
        <v>525</v>
      </c>
      <c r="I9" s="40">
        <v>592</v>
      </c>
      <c r="J9" s="32">
        <f t="shared" si="0"/>
        <v>-67</v>
      </c>
    </row>
    <row r="10" spans="1:10" ht="19.95" customHeight="1" x14ac:dyDescent="0.3">
      <c r="A10" s="42">
        <v>250061</v>
      </c>
      <c r="B10" s="42">
        <v>304</v>
      </c>
      <c r="C10" s="43">
        <v>1</v>
      </c>
      <c r="D10" s="43" t="s">
        <v>96</v>
      </c>
      <c r="E10" s="37" t="s">
        <v>158</v>
      </c>
      <c r="F10" s="42" t="s">
        <v>41</v>
      </c>
      <c r="G10" s="42">
        <v>304</v>
      </c>
      <c r="H10" s="32">
        <v>15</v>
      </c>
      <c r="I10" s="40">
        <v>30</v>
      </c>
      <c r="J10" s="32">
        <f t="shared" si="0"/>
        <v>-15</v>
      </c>
    </row>
    <row r="11" spans="1:10" ht="19.95" customHeight="1" x14ac:dyDescent="0.3">
      <c r="A11" s="42">
        <v>230925</v>
      </c>
      <c r="B11" s="42">
        <v>430</v>
      </c>
      <c r="C11" s="43">
        <v>0.8</v>
      </c>
      <c r="D11" s="43" t="s">
        <v>11</v>
      </c>
      <c r="E11" s="37" t="s">
        <v>163</v>
      </c>
      <c r="F11" s="42" t="s">
        <v>41</v>
      </c>
      <c r="G11" s="42">
        <v>430</v>
      </c>
      <c r="H11" s="32">
        <v>1058</v>
      </c>
      <c r="I11" s="40">
        <v>1046</v>
      </c>
      <c r="J11" s="32">
        <f t="shared" si="0"/>
        <v>12</v>
      </c>
    </row>
    <row r="12" spans="1:10" ht="19.95" customHeight="1" x14ac:dyDescent="0.3">
      <c r="A12" s="42">
        <v>250052</v>
      </c>
      <c r="B12" s="42">
        <v>304</v>
      </c>
      <c r="C12" s="43">
        <v>0.7</v>
      </c>
      <c r="D12" s="43" t="s">
        <v>11</v>
      </c>
      <c r="E12" s="37" t="s">
        <v>168</v>
      </c>
      <c r="F12" s="42" t="s">
        <v>13</v>
      </c>
      <c r="G12" s="42">
        <v>304</v>
      </c>
      <c r="H12" s="32">
        <v>785</v>
      </c>
      <c r="I12" s="40">
        <v>792</v>
      </c>
      <c r="J12" s="32">
        <f t="shared" si="0"/>
        <v>-7</v>
      </c>
    </row>
    <row r="13" spans="1:10" ht="19.95" customHeight="1" x14ac:dyDescent="0.3">
      <c r="A13" s="42">
        <v>250052</v>
      </c>
      <c r="B13" s="42">
        <v>304</v>
      </c>
      <c r="C13" s="43">
        <v>1</v>
      </c>
      <c r="D13" s="43" t="s">
        <v>11</v>
      </c>
      <c r="E13" s="37" t="s">
        <v>168</v>
      </c>
      <c r="F13" s="42" t="s">
        <v>13</v>
      </c>
      <c r="G13" s="42">
        <v>304</v>
      </c>
      <c r="H13" s="32">
        <v>15</v>
      </c>
      <c r="I13" s="40">
        <v>15</v>
      </c>
      <c r="J13" s="32">
        <f t="shared" si="0"/>
        <v>0</v>
      </c>
    </row>
    <row r="14" spans="1:10" ht="19.95" customHeight="1" x14ac:dyDescent="0.3">
      <c r="A14" s="42">
        <v>250057</v>
      </c>
      <c r="B14" s="42">
        <v>304</v>
      </c>
      <c r="C14" s="43">
        <v>0.7</v>
      </c>
      <c r="D14" s="43" t="s">
        <v>11</v>
      </c>
      <c r="E14" s="37" t="s">
        <v>172</v>
      </c>
      <c r="F14" s="42" t="s">
        <v>13</v>
      </c>
      <c r="G14" s="42">
        <v>304</v>
      </c>
      <c r="H14" s="32">
        <v>395</v>
      </c>
      <c r="I14" s="40">
        <v>431</v>
      </c>
      <c r="J14" s="32">
        <f t="shared" si="0"/>
        <v>-36</v>
      </c>
    </row>
    <row r="15" spans="1:10" ht="19.95" customHeight="1" x14ac:dyDescent="0.3">
      <c r="A15" s="42">
        <v>250057</v>
      </c>
      <c r="B15" s="42">
        <v>304</v>
      </c>
      <c r="C15" s="43">
        <v>1</v>
      </c>
      <c r="D15" s="43" t="s">
        <v>11</v>
      </c>
      <c r="E15" s="37" t="s">
        <v>173</v>
      </c>
      <c r="F15" s="42" t="s">
        <v>13</v>
      </c>
      <c r="G15" s="42">
        <v>304</v>
      </c>
      <c r="H15" s="32">
        <v>15</v>
      </c>
      <c r="I15" s="40">
        <v>17</v>
      </c>
      <c r="J15" s="32">
        <f t="shared" si="0"/>
        <v>-2</v>
      </c>
    </row>
    <row r="16" spans="1:10" ht="19.95" customHeight="1" x14ac:dyDescent="0.3">
      <c r="A16" s="42">
        <v>250042</v>
      </c>
      <c r="B16" s="42">
        <v>304</v>
      </c>
      <c r="C16" s="43">
        <v>0.9</v>
      </c>
      <c r="D16" s="43" t="s">
        <v>55</v>
      </c>
      <c r="E16" s="37" t="s">
        <v>178</v>
      </c>
      <c r="F16" s="42" t="s">
        <v>177</v>
      </c>
      <c r="G16" s="42">
        <v>304</v>
      </c>
      <c r="H16" s="23">
        <v>750</v>
      </c>
      <c r="I16" s="24"/>
      <c r="J16" s="23">
        <f t="shared" si="0"/>
        <v>750</v>
      </c>
    </row>
    <row r="17" spans="1:10" ht="19.95" customHeight="1" x14ac:dyDescent="0.3">
      <c r="A17" s="42"/>
      <c r="B17" s="42"/>
      <c r="C17" s="43"/>
      <c r="D17" s="43"/>
      <c r="E17" s="37"/>
      <c r="F17" s="42"/>
      <c r="G17" s="42"/>
      <c r="H17" s="41"/>
      <c r="I17" s="46"/>
      <c r="J17" s="41">
        <f t="shared" si="0"/>
        <v>0</v>
      </c>
    </row>
    <row r="18" spans="1:10" ht="19.95" customHeight="1" x14ac:dyDescent="0.3">
      <c r="A18" s="59"/>
      <c r="B18" s="59"/>
      <c r="C18" s="59"/>
      <c r="D18" s="59"/>
      <c r="E18" s="48"/>
      <c r="F18" s="59"/>
      <c r="G18" s="49"/>
      <c r="H18" s="50">
        <f>SUM(H5:H17)</f>
        <v>4378</v>
      </c>
      <c r="I18" s="51">
        <f>SUM(I5:I17)</f>
        <v>3864</v>
      </c>
      <c r="J18" s="41">
        <f>SUM(J5:J17)</f>
        <v>514</v>
      </c>
    </row>
    <row r="19" spans="1:10" x14ac:dyDescent="0.3">
      <c r="A19" s="52"/>
      <c r="B19" s="52"/>
      <c r="C19" s="52"/>
      <c r="D19" s="52"/>
      <c r="E19" s="52"/>
      <c r="F19" s="53"/>
      <c r="G19" s="52"/>
      <c r="H19" s="52"/>
      <c r="I19" s="52"/>
      <c r="J19" s="52"/>
    </row>
    <row r="20" spans="1:10" ht="30" customHeight="1" x14ac:dyDescent="0.3">
      <c r="A20" s="100" t="s">
        <v>17</v>
      </c>
      <c r="B20" s="100"/>
      <c r="C20" s="100"/>
      <c r="D20" s="100"/>
      <c r="E20" s="100"/>
      <c r="F20" s="100"/>
      <c r="G20" s="100"/>
      <c r="H20" s="100"/>
      <c r="I20" s="100"/>
      <c r="J20" s="100"/>
    </row>
    <row r="21" spans="1:10" ht="30" customHeight="1" x14ac:dyDescent="0.3">
      <c r="A21" s="42" t="s">
        <v>1</v>
      </c>
      <c r="B21" s="42" t="s">
        <v>2</v>
      </c>
      <c r="C21" s="54" t="s">
        <v>3</v>
      </c>
      <c r="D21" s="54" t="s">
        <v>4</v>
      </c>
      <c r="E21" s="42" t="s">
        <v>5</v>
      </c>
      <c r="F21" s="54" t="s">
        <v>6</v>
      </c>
      <c r="G21" s="54" t="s">
        <v>7</v>
      </c>
      <c r="H21" s="42" t="s">
        <v>8</v>
      </c>
      <c r="I21" s="42" t="s">
        <v>9</v>
      </c>
      <c r="J21" s="42" t="s">
        <v>10</v>
      </c>
    </row>
    <row r="22" spans="1:10" ht="19.95" customHeight="1" x14ac:dyDescent="0.3">
      <c r="A22" s="42">
        <v>160925</v>
      </c>
      <c r="B22" s="42">
        <v>304</v>
      </c>
      <c r="C22" s="43">
        <v>0.9</v>
      </c>
      <c r="D22" s="43" t="s">
        <v>55</v>
      </c>
      <c r="E22" s="37" t="s">
        <v>176</v>
      </c>
      <c r="F22" s="42" t="s">
        <v>177</v>
      </c>
      <c r="G22" s="42">
        <v>430</v>
      </c>
      <c r="H22" s="33">
        <v>1100</v>
      </c>
      <c r="I22" s="46">
        <v>507</v>
      </c>
      <c r="J22" s="41">
        <f t="shared" ref="J22:J27" si="1">H22-I22</f>
        <v>593</v>
      </c>
    </row>
    <row r="23" spans="1:10" ht="19.95" customHeight="1" x14ac:dyDescent="0.3">
      <c r="A23" s="42">
        <v>250042</v>
      </c>
      <c r="B23" s="42">
        <v>304</v>
      </c>
      <c r="C23" s="43">
        <v>0.9</v>
      </c>
      <c r="D23" s="43" t="s">
        <v>55</v>
      </c>
      <c r="E23" s="37" t="s">
        <v>179</v>
      </c>
      <c r="F23" s="42" t="s">
        <v>177</v>
      </c>
      <c r="G23" s="42">
        <v>304</v>
      </c>
      <c r="H23" s="33">
        <v>750</v>
      </c>
      <c r="I23" s="46"/>
      <c r="J23" s="41">
        <f t="shared" si="1"/>
        <v>750</v>
      </c>
    </row>
    <row r="24" spans="1:10" ht="19.95" customHeight="1" x14ac:dyDescent="0.3">
      <c r="A24" s="42">
        <v>250049</v>
      </c>
      <c r="B24" s="42">
        <v>304</v>
      </c>
      <c r="C24" s="43">
        <v>0.9</v>
      </c>
      <c r="D24" s="43" t="s">
        <v>55</v>
      </c>
      <c r="E24" s="37" t="s">
        <v>193</v>
      </c>
      <c r="F24" s="42" t="s">
        <v>177</v>
      </c>
      <c r="G24" s="42">
        <v>430</v>
      </c>
      <c r="H24" s="33">
        <v>450</v>
      </c>
      <c r="I24" s="46"/>
      <c r="J24" s="41">
        <f t="shared" si="1"/>
        <v>450</v>
      </c>
    </row>
    <row r="25" spans="1:10" ht="19.95" customHeight="1" x14ac:dyDescent="0.3">
      <c r="A25" s="42">
        <v>21025</v>
      </c>
      <c r="B25" s="42">
        <v>304</v>
      </c>
      <c r="C25" s="43">
        <v>0.6</v>
      </c>
      <c r="D25" s="43" t="s">
        <v>55</v>
      </c>
      <c r="E25" s="37" t="s">
        <v>182</v>
      </c>
      <c r="F25" s="42" t="s">
        <v>45</v>
      </c>
      <c r="G25" s="42">
        <v>430</v>
      </c>
      <c r="H25" s="32">
        <v>1000</v>
      </c>
      <c r="I25" s="40">
        <v>1020</v>
      </c>
      <c r="J25" s="32">
        <f t="shared" si="1"/>
        <v>-20</v>
      </c>
    </row>
    <row r="26" spans="1:10" ht="19.95" customHeight="1" x14ac:dyDescent="0.3">
      <c r="A26" s="42">
        <v>21025</v>
      </c>
      <c r="B26" s="42">
        <v>304</v>
      </c>
      <c r="C26" s="43">
        <v>0.6</v>
      </c>
      <c r="D26" s="43" t="s">
        <v>55</v>
      </c>
      <c r="E26" s="37" t="s">
        <v>183</v>
      </c>
      <c r="F26" s="42" t="s">
        <v>107</v>
      </c>
      <c r="G26" s="42">
        <v>430</v>
      </c>
      <c r="H26" s="32">
        <v>1000</v>
      </c>
      <c r="I26" s="40">
        <v>1018</v>
      </c>
      <c r="J26" s="32">
        <f t="shared" si="1"/>
        <v>-18</v>
      </c>
    </row>
    <row r="27" spans="1:10" ht="19.95" customHeight="1" x14ac:dyDescent="0.3">
      <c r="A27" s="42"/>
      <c r="B27" s="42"/>
      <c r="C27" s="43"/>
      <c r="D27" s="43"/>
      <c r="E27" s="37"/>
      <c r="F27" s="42"/>
      <c r="G27" s="42"/>
      <c r="H27" s="41"/>
      <c r="I27" s="46"/>
      <c r="J27" s="41">
        <f t="shared" si="1"/>
        <v>0</v>
      </c>
    </row>
    <row r="28" spans="1:10" ht="19.95" customHeight="1" x14ac:dyDescent="0.3">
      <c r="A28" s="59"/>
      <c r="B28" s="59"/>
      <c r="C28" s="59"/>
      <c r="D28" s="59"/>
      <c r="E28" s="48"/>
      <c r="F28" s="59"/>
      <c r="G28" s="49"/>
      <c r="H28" s="41">
        <f>SUM(H22:H27)</f>
        <v>4300</v>
      </c>
      <c r="I28" s="46">
        <f>SUM(I22:I27)</f>
        <v>2545</v>
      </c>
      <c r="J28" s="41">
        <f>SUM(J22:J27)</f>
        <v>1755</v>
      </c>
    </row>
    <row r="29" spans="1:10" x14ac:dyDescent="0.3">
      <c r="A29" s="52"/>
      <c r="B29" s="52"/>
      <c r="C29" s="52"/>
      <c r="D29" s="52"/>
      <c r="E29" s="52"/>
      <c r="F29" s="53"/>
      <c r="G29" s="52"/>
      <c r="H29" s="52"/>
      <c r="I29" s="52"/>
      <c r="J29" s="52"/>
    </row>
    <row r="30" spans="1:10" ht="30" customHeight="1" x14ac:dyDescent="0.3">
      <c r="A30" s="100" t="s">
        <v>18</v>
      </c>
      <c r="B30" s="100"/>
      <c r="C30" s="100"/>
      <c r="D30" s="100"/>
      <c r="E30" s="100"/>
      <c r="F30" s="100"/>
      <c r="G30" s="100"/>
      <c r="H30" s="100"/>
      <c r="I30" s="100"/>
      <c r="J30" s="100"/>
    </row>
    <row r="31" spans="1:10" ht="30" customHeight="1" x14ac:dyDescent="0.3">
      <c r="A31" s="42" t="s">
        <v>1</v>
      </c>
      <c r="B31" s="42" t="s">
        <v>2</v>
      </c>
      <c r="C31" s="54" t="s">
        <v>3</v>
      </c>
      <c r="D31" s="54" t="s">
        <v>4</v>
      </c>
      <c r="E31" s="42" t="s">
        <v>5</v>
      </c>
      <c r="F31" s="54" t="s">
        <v>6</v>
      </c>
      <c r="G31" s="54" t="s">
        <v>7</v>
      </c>
      <c r="H31" s="42" t="s">
        <v>8</v>
      </c>
      <c r="I31" s="42" t="s">
        <v>9</v>
      </c>
      <c r="J31" s="42" t="s">
        <v>10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184</v>
      </c>
      <c r="F32" s="42" t="s">
        <v>45</v>
      </c>
      <c r="G32" s="42">
        <v>430</v>
      </c>
      <c r="H32" s="33">
        <v>500</v>
      </c>
      <c r="I32" s="46"/>
      <c r="J32" s="41">
        <f t="shared" ref="J32:J38" si="2">H32-I32</f>
        <v>500</v>
      </c>
    </row>
    <row r="33" spans="1:10" ht="19.95" customHeight="1" x14ac:dyDescent="0.3">
      <c r="A33" s="42">
        <v>21025</v>
      </c>
      <c r="B33" s="42">
        <v>304</v>
      </c>
      <c r="C33" s="43">
        <v>0.6</v>
      </c>
      <c r="D33" s="43" t="s">
        <v>55</v>
      </c>
      <c r="E33" s="37" t="s">
        <v>185</v>
      </c>
      <c r="F33" s="42" t="s">
        <v>45</v>
      </c>
      <c r="G33" s="42">
        <v>430</v>
      </c>
      <c r="H33" s="33">
        <v>1000</v>
      </c>
      <c r="I33" s="46"/>
      <c r="J33" s="41">
        <f t="shared" si="2"/>
        <v>1000</v>
      </c>
    </row>
    <row r="34" spans="1:10" ht="19.95" customHeight="1" x14ac:dyDescent="0.3">
      <c r="A34" s="42">
        <v>21025</v>
      </c>
      <c r="B34" s="42">
        <v>304</v>
      </c>
      <c r="C34" s="43">
        <v>0.6</v>
      </c>
      <c r="D34" s="43" t="s">
        <v>55</v>
      </c>
      <c r="E34" s="37" t="s">
        <v>186</v>
      </c>
      <c r="F34" s="42" t="s">
        <v>45</v>
      </c>
      <c r="G34" s="42">
        <v>430</v>
      </c>
      <c r="H34" s="33">
        <v>1000</v>
      </c>
      <c r="I34" s="46"/>
      <c r="J34" s="41">
        <f t="shared" si="2"/>
        <v>1000</v>
      </c>
    </row>
    <row r="35" spans="1:10" ht="19.95" customHeight="1" x14ac:dyDescent="0.3">
      <c r="A35" s="42">
        <v>21025</v>
      </c>
      <c r="B35" s="42">
        <v>304</v>
      </c>
      <c r="C35" s="43">
        <v>0.6</v>
      </c>
      <c r="D35" s="43" t="s">
        <v>55</v>
      </c>
      <c r="E35" s="37" t="s">
        <v>187</v>
      </c>
      <c r="F35" s="42" t="s">
        <v>45</v>
      </c>
      <c r="G35" s="42">
        <v>430</v>
      </c>
      <c r="H35" s="33">
        <v>500</v>
      </c>
      <c r="I35" s="46"/>
      <c r="J35" s="41">
        <f t="shared" si="2"/>
        <v>500</v>
      </c>
    </row>
    <row r="36" spans="1:10" ht="19.95" customHeight="1" x14ac:dyDescent="0.3">
      <c r="A36" s="42">
        <v>21025</v>
      </c>
      <c r="B36" s="42">
        <v>304</v>
      </c>
      <c r="C36" s="43">
        <v>0.6</v>
      </c>
      <c r="D36" s="43" t="s">
        <v>55</v>
      </c>
      <c r="E36" s="37" t="s">
        <v>188</v>
      </c>
      <c r="F36" s="42" t="s">
        <v>45</v>
      </c>
      <c r="G36" s="42">
        <v>430</v>
      </c>
      <c r="H36" s="33">
        <v>1000</v>
      </c>
      <c r="I36" s="46"/>
      <c r="J36" s="41">
        <f t="shared" si="2"/>
        <v>1000</v>
      </c>
    </row>
    <row r="37" spans="1:10" ht="19.95" customHeight="1" x14ac:dyDescent="0.3">
      <c r="A37" s="42">
        <v>21025</v>
      </c>
      <c r="B37" s="42">
        <v>304</v>
      </c>
      <c r="C37" s="43">
        <v>0.6</v>
      </c>
      <c r="D37" s="43" t="s">
        <v>55</v>
      </c>
      <c r="E37" s="37" t="s">
        <v>189</v>
      </c>
      <c r="F37" s="42" t="s">
        <v>45</v>
      </c>
      <c r="G37" s="42">
        <v>430</v>
      </c>
      <c r="H37" s="65">
        <v>1000</v>
      </c>
      <c r="I37" s="46"/>
      <c r="J37" s="41">
        <f t="shared" si="2"/>
        <v>1000</v>
      </c>
    </row>
    <row r="38" spans="1:10" ht="19.95" customHeight="1" x14ac:dyDescent="0.3">
      <c r="A38" s="42"/>
      <c r="B38" s="42"/>
      <c r="C38" s="43"/>
      <c r="D38" s="43"/>
      <c r="E38" s="37"/>
      <c r="F38" s="42"/>
      <c r="G38" s="42"/>
      <c r="H38" s="41"/>
      <c r="I38" s="46"/>
      <c r="J38" s="41">
        <f t="shared" si="2"/>
        <v>0</v>
      </c>
    </row>
    <row r="39" spans="1:10" ht="19.95" customHeight="1" x14ac:dyDescent="0.3">
      <c r="A39" s="59"/>
      <c r="B39" s="59"/>
      <c r="C39" s="59"/>
      <c r="D39" s="59"/>
      <c r="E39" s="48"/>
      <c r="F39" s="59"/>
      <c r="G39" s="49"/>
      <c r="H39" s="41">
        <f>SUM(H32:H38)</f>
        <v>5000</v>
      </c>
      <c r="I39" s="46">
        <f>SUM(I32:I38)</f>
        <v>0</v>
      </c>
      <c r="J39" s="41">
        <f>SUM(J32:J38)</f>
        <v>5000</v>
      </c>
    </row>
    <row r="40" spans="1:10" x14ac:dyDescent="0.3">
      <c r="A40" s="52"/>
      <c r="B40" s="52"/>
      <c r="C40" s="52"/>
      <c r="D40" s="52"/>
      <c r="E40" s="52"/>
      <c r="F40" s="53"/>
      <c r="G40" s="52"/>
      <c r="H40" s="52"/>
      <c r="I40" s="52"/>
      <c r="J40" s="52"/>
    </row>
    <row r="41" spans="1:10" ht="30" customHeight="1" x14ac:dyDescent="0.3">
      <c r="A41" s="100" t="s">
        <v>20</v>
      </c>
      <c r="B41" s="100"/>
      <c r="C41" s="100"/>
      <c r="D41" s="100"/>
      <c r="E41" s="100"/>
      <c r="F41" s="100"/>
      <c r="G41" s="100"/>
      <c r="H41" s="100"/>
      <c r="I41" s="100"/>
      <c r="J41" s="100"/>
    </row>
    <row r="42" spans="1:10" ht="30" customHeight="1" x14ac:dyDescent="0.3">
      <c r="A42" s="42" t="s">
        <v>1</v>
      </c>
      <c r="B42" s="42" t="s">
        <v>2</v>
      </c>
      <c r="C42" s="54" t="s">
        <v>3</v>
      </c>
      <c r="D42" s="54" t="s">
        <v>4</v>
      </c>
      <c r="E42" s="42" t="s">
        <v>5</v>
      </c>
      <c r="F42" s="54" t="s">
        <v>6</v>
      </c>
      <c r="G42" s="54" t="s">
        <v>7</v>
      </c>
      <c r="H42" s="42" t="s">
        <v>8</v>
      </c>
      <c r="I42" s="42" t="s">
        <v>9</v>
      </c>
      <c r="J42" s="42" t="s">
        <v>10</v>
      </c>
    </row>
    <row r="43" spans="1:10" ht="19.95" customHeight="1" x14ac:dyDescent="0.3">
      <c r="A43" s="42">
        <v>250057</v>
      </c>
      <c r="B43" s="42">
        <v>304</v>
      </c>
      <c r="C43" s="43">
        <v>0.7</v>
      </c>
      <c r="D43" s="43" t="s">
        <v>43</v>
      </c>
      <c r="E43" s="37" t="s">
        <v>169</v>
      </c>
      <c r="F43" s="42" t="s">
        <v>170</v>
      </c>
      <c r="G43" s="42">
        <v>304</v>
      </c>
      <c r="H43" s="65">
        <v>395</v>
      </c>
      <c r="I43" s="46"/>
      <c r="J43" s="41">
        <f>H43-I43</f>
        <v>395</v>
      </c>
    </row>
    <row r="44" spans="1:10" ht="19.95" customHeight="1" x14ac:dyDescent="0.3">
      <c r="A44" s="42">
        <v>250061</v>
      </c>
      <c r="B44" s="42">
        <v>304</v>
      </c>
      <c r="C44" s="43">
        <v>0.7</v>
      </c>
      <c r="D44" s="43" t="s">
        <v>43</v>
      </c>
      <c r="E44" s="37" t="s">
        <v>169</v>
      </c>
      <c r="F44" s="42" t="s">
        <v>171</v>
      </c>
      <c r="G44" s="42">
        <v>304</v>
      </c>
      <c r="H44" s="65">
        <v>525</v>
      </c>
      <c r="I44" s="46"/>
      <c r="J44" s="41">
        <f>H44-I44</f>
        <v>525</v>
      </c>
    </row>
    <row r="45" spans="1:10" ht="19.95" customHeight="1" x14ac:dyDescent="0.3">
      <c r="A45" s="42">
        <v>250079</v>
      </c>
      <c r="B45" s="42">
        <v>304</v>
      </c>
      <c r="C45" s="43">
        <v>0.7</v>
      </c>
      <c r="D45" s="43" t="s">
        <v>43</v>
      </c>
      <c r="E45" s="37" t="s">
        <v>192</v>
      </c>
      <c r="F45" s="42" t="s">
        <v>171</v>
      </c>
      <c r="G45" s="42">
        <v>304</v>
      </c>
      <c r="H45" s="65">
        <v>952</v>
      </c>
      <c r="I45" s="46"/>
      <c r="J45" s="41">
        <f>H45-I45</f>
        <v>952</v>
      </c>
    </row>
    <row r="46" spans="1:10" ht="31.8" customHeight="1" x14ac:dyDescent="0.3">
      <c r="A46" s="42">
        <v>250079</v>
      </c>
      <c r="B46" s="42">
        <v>304</v>
      </c>
      <c r="C46" s="43">
        <v>1</v>
      </c>
      <c r="D46" s="43" t="s">
        <v>43</v>
      </c>
      <c r="E46" s="66" t="s">
        <v>195</v>
      </c>
      <c r="F46" s="42" t="s">
        <v>171</v>
      </c>
      <c r="G46" s="42">
        <v>304</v>
      </c>
      <c r="H46" s="65">
        <v>48</v>
      </c>
      <c r="I46" s="46"/>
      <c r="J46" s="41">
        <f t="shared" ref="J46:J49" si="3">H46-I46</f>
        <v>48</v>
      </c>
    </row>
    <row r="47" spans="1:10" ht="19.95" customHeight="1" x14ac:dyDescent="0.3">
      <c r="A47" s="42">
        <v>250057</v>
      </c>
      <c r="B47" s="42">
        <v>304</v>
      </c>
      <c r="C47" s="43">
        <v>1</v>
      </c>
      <c r="D47" s="43" t="s">
        <v>43</v>
      </c>
      <c r="E47" s="37" t="s">
        <v>190</v>
      </c>
      <c r="F47" s="42" t="s">
        <v>170</v>
      </c>
      <c r="G47" s="42">
        <v>304</v>
      </c>
      <c r="H47" s="65">
        <v>15</v>
      </c>
      <c r="I47" s="46"/>
      <c r="J47" s="41">
        <f t="shared" si="3"/>
        <v>15</v>
      </c>
    </row>
    <row r="48" spans="1:10" ht="19.95" customHeight="1" x14ac:dyDescent="0.3">
      <c r="A48" s="42">
        <v>250061</v>
      </c>
      <c r="B48" s="42">
        <v>304</v>
      </c>
      <c r="C48" s="43">
        <v>1</v>
      </c>
      <c r="D48" s="43" t="s">
        <v>43</v>
      </c>
      <c r="E48" s="37" t="s">
        <v>190</v>
      </c>
      <c r="F48" s="42" t="s">
        <v>171</v>
      </c>
      <c r="G48" s="42">
        <v>304</v>
      </c>
      <c r="H48" s="65">
        <v>15</v>
      </c>
      <c r="I48" s="46"/>
      <c r="J48" s="41">
        <f t="shared" si="3"/>
        <v>15</v>
      </c>
    </row>
    <row r="49" spans="1:10" ht="19.95" customHeight="1" x14ac:dyDescent="0.3">
      <c r="A49" s="42"/>
      <c r="B49" s="42"/>
      <c r="C49" s="43"/>
      <c r="D49" s="43"/>
      <c r="E49" s="37"/>
      <c r="F49" s="42"/>
      <c r="G49" s="42"/>
      <c r="H49" s="41"/>
      <c r="I49" s="46"/>
      <c r="J49" s="41">
        <f t="shared" si="3"/>
        <v>0</v>
      </c>
    </row>
    <row r="50" spans="1:10" ht="19.95" customHeight="1" x14ac:dyDescent="0.3">
      <c r="A50" s="59"/>
      <c r="B50" s="59"/>
      <c r="C50" s="59"/>
      <c r="D50" s="59"/>
      <c r="E50" s="48"/>
      <c r="F50" s="59"/>
      <c r="G50" s="49"/>
      <c r="H50" s="41">
        <f>SUM(H43:H49)</f>
        <v>1950</v>
      </c>
      <c r="I50" s="46">
        <f>SUM(I43:I49)</f>
        <v>0</v>
      </c>
      <c r="J50" s="41">
        <f>SUM(J43:J49)</f>
        <v>1950</v>
      </c>
    </row>
    <row r="51" spans="1:10" ht="19.95" customHeight="1" x14ac:dyDescent="0.3">
      <c r="A51" s="60"/>
      <c r="B51" s="60"/>
      <c r="C51" s="60"/>
      <c r="D51" s="60"/>
      <c r="E51" s="56"/>
      <c r="F51" s="60"/>
      <c r="G51" s="60"/>
      <c r="H51" s="57"/>
      <c r="I51" s="58"/>
      <c r="J51" s="57"/>
    </row>
    <row r="52" spans="1:10" ht="30" customHeight="1" x14ac:dyDescent="0.3">
      <c r="A52" s="100" t="s">
        <v>19</v>
      </c>
      <c r="B52" s="100"/>
      <c r="C52" s="100"/>
      <c r="D52" s="100"/>
      <c r="E52" s="100"/>
      <c r="F52" s="100"/>
      <c r="G52" s="100"/>
      <c r="H52" s="100"/>
      <c r="I52" s="100"/>
      <c r="J52" s="100"/>
    </row>
    <row r="53" spans="1:10" ht="30" customHeight="1" x14ac:dyDescent="0.3">
      <c r="A53" s="42" t="s">
        <v>1</v>
      </c>
      <c r="B53" s="42" t="s">
        <v>2</v>
      </c>
      <c r="C53" s="54" t="s">
        <v>3</v>
      </c>
      <c r="D53" s="54" t="s">
        <v>4</v>
      </c>
      <c r="E53" s="42" t="s">
        <v>5</v>
      </c>
      <c r="F53" s="54" t="s">
        <v>6</v>
      </c>
      <c r="G53" s="54" t="s">
        <v>7</v>
      </c>
      <c r="H53" s="42" t="s">
        <v>8</v>
      </c>
      <c r="I53" s="42" t="s">
        <v>9</v>
      </c>
      <c r="J53" s="42" t="s">
        <v>10</v>
      </c>
    </row>
    <row r="54" spans="1:10" ht="19.95" customHeight="1" x14ac:dyDescent="0.3">
      <c r="A54" s="42">
        <v>250080</v>
      </c>
      <c r="B54" s="42">
        <v>304</v>
      </c>
      <c r="C54" s="43">
        <v>0.6</v>
      </c>
      <c r="D54" s="43" t="s">
        <v>27</v>
      </c>
      <c r="E54" s="37" t="s">
        <v>196</v>
      </c>
      <c r="F54" s="42" t="s">
        <v>45</v>
      </c>
      <c r="G54" s="42">
        <v>430</v>
      </c>
      <c r="H54" s="41">
        <v>500</v>
      </c>
      <c r="I54" s="46"/>
      <c r="J54" s="41">
        <f t="shared" ref="J54:J65" si="4">H54-I54</f>
        <v>500</v>
      </c>
    </row>
    <row r="55" spans="1:10" ht="19.95" customHeight="1" x14ac:dyDescent="0.3">
      <c r="A55" s="42">
        <v>250080</v>
      </c>
      <c r="B55" s="42">
        <v>304</v>
      </c>
      <c r="C55" s="43">
        <v>0.6</v>
      </c>
      <c r="D55" s="43" t="s">
        <v>11</v>
      </c>
      <c r="E55" s="37" t="s">
        <v>197</v>
      </c>
      <c r="F55" s="42" t="s">
        <v>13</v>
      </c>
      <c r="G55" s="42">
        <v>430</v>
      </c>
      <c r="H55" s="41">
        <v>300</v>
      </c>
      <c r="I55" s="46"/>
      <c r="J55" s="41">
        <f t="shared" si="4"/>
        <v>300</v>
      </c>
    </row>
    <row r="56" spans="1:10" ht="19.95" customHeight="1" x14ac:dyDescent="0.3">
      <c r="A56" s="42">
        <v>250078</v>
      </c>
      <c r="B56" s="42">
        <v>304</v>
      </c>
      <c r="C56" s="43">
        <v>0.7</v>
      </c>
      <c r="D56" s="43" t="s">
        <v>11</v>
      </c>
      <c r="E56" s="37" t="s">
        <v>197</v>
      </c>
      <c r="F56" s="42" t="s">
        <v>13</v>
      </c>
      <c r="G56" s="42">
        <v>304</v>
      </c>
      <c r="H56" s="41">
        <v>775</v>
      </c>
      <c r="I56" s="46"/>
      <c r="J56" s="41">
        <f t="shared" si="4"/>
        <v>775</v>
      </c>
    </row>
    <row r="57" spans="1:10" ht="19.95" customHeight="1" x14ac:dyDescent="0.3">
      <c r="A57" s="42">
        <v>250078</v>
      </c>
      <c r="B57" s="42">
        <v>304</v>
      </c>
      <c r="C57" s="43">
        <v>1</v>
      </c>
      <c r="D57" s="43" t="s">
        <v>11</v>
      </c>
      <c r="E57" s="37" t="s">
        <v>198</v>
      </c>
      <c r="F57" s="42" t="s">
        <v>13</v>
      </c>
      <c r="G57" s="42">
        <v>304</v>
      </c>
      <c r="H57" s="41">
        <v>15</v>
      </c>
      <c r="I57" s="46"/>
      <c r="J57" s="41">
        <f t="shared" si="4"/>
        <v>15</v>
      </c>
    </row>
    <row r="58" spans="1:10" ht="19.95" customHeight="1" x14ac:dyDescent="0.3">
      <c r="A58" s="42">
        <v>250078</v>
      </c>
      <c r="B58" s="42">
        <v>304</v>
      </c>
      <c r="C58" s="43">
        <v>0.7</v>
      </c>
      <c r="D58" s="43" t="s">
        <v>11</v>
      </c>
      <c r="E58" s="37" t="s">
        <v>199</v>
      </c>
      <c r="F58" s="42" t="s">
        <v>13</v>
      </c>
      <c r="G58" s="42">
        <v>304</v>
      </c>
      <c r="H58" s="41">
        <v>775</v>
      </c>
      <c r="I58" s="46"/>
      <c r="J58" s="41">
        <f t="shared" si="4"/>
        <v>775</v>
      </c>
    </row>
    <row r="59" spans="1:10" ht="19.95" customHeight="1" x14ac:dyDescent="0.3">
      <c r="A59" s="42">
        <v>250078</v>
      </c>
      <c r="B59" s="42">
        <v>304</v>
      </c>
      <c r="C59" s="43">
        <v>1</v>
      </c>
      <c r="D59" s="43" t="s">
        <v>11</v>
      </c>
      <c r="E59" s="37" t="s">
        <v>200</v>
      </c>
      <c r="F59" s="42" t="s">
        <v>13</v>
      </c>
      <c r="G59" s="42">
        <v>304</v>
      </c>
      <c r="H59" s="41">
        <v>15</v>
      </c>
      <c r="I59" s="46"/>
      <c r="J59" s="41">
        <f t="shared" si="4"/>
        <v>15</v>
      </c>
    </row>
    <row r="60" spans="1:10" ht="19.95" customHeight="1" x14ac:dyDescent="0.3">
      <c r="A60" s="42">
        <v>250078</v>
      </c>
      <c r="B60" s="42">
        <v>304</v>
      </c>
      <c r="C60" s="43">
        <v>0.7</v>
      </c>
      <c r="D60" s="43" t="s">
        <v>11</v>
      </c>
      <c r="E60" s="37" t="s">
        <v>201</v>
      </c>
      <c r="F60" s="42" t="s">
        <v>13</v>
      </c>
      <c r="G60" s="42">
        <v>304</v>
      </c>
      <c r="H60" s="41">
        <v>775</v>
      </c>
      <c r="I60" s="46"/>
      <c r="J60" s="41">
        <f t="shared" si="4"/>
        <v>775</v>
      </c>
    </row>
    <row r="61" spans="1:10" ht="19.95" customHeight="1" x14ac:dyDescent="0.3">
      <c r="A61" s="42">
        <v>250078</v>
      </c>
      <c r="B61" s="42">
        <v>304</v>
      </c>
      <c r="C61" s="43">
        <v>1</v>
      </c>
      <c r="D61" s="43" t="s">
        <v>11</v>
      </c>
      <c r="E61" s="37" t="s">
        <v>202</v>
      </c>
      <c r="F61" s="42" t="s">
        <v>13</v>
      </c>
      <c r="G61" s="42">
        <v>304</v>
      </c>
      <c r="H61" s="41">
        <v>15</v>
      </c>
      <c r="I61" s="46"/>
      <c r="J61" s="41">
        <f t="shared" si="4"/>
        <v>15</v>
      </c>
    </row>
    <row r="62" spans="1:10" ht="19.95" customHeight="1" x14ac:dyDescent="0.3">
      <c r="A62" s="42">
        <v>250078</v>
      </c>
      <c r="B62" s="42">
        <v>304</v>
      </c>
      <c r="C62" s="43">
        <v>0.7</v>
      </c>
      <c r="D62" s="43" t="s">
        <v>11</v>
      </c>
      <c r="E62" s="37" t="s">
        <v>203</v>
      </c>
      <c r="F62" s="42" t="s">
        <v>13</v>
      </c>
      <c r="G62" s="42">
        <v>304</v>
      </c>
      <c r="H62" s="41">
        <v>775</v>
      </c>
      <c r="I62" s="46"/>
      <c r="J62" s="41">
        <f t="shared" si="4"/>
        <v>775</v>
      </c>
    </row>
    <row r="63" spans="1:10" ht="19.95" customHeight="1" x14ac:dyDescent="0.3">
      <c r="A63" s="42">
        <v>250078</v>
      </c>
      <c r="B63" s="42">
        <v>304</v>
      </c>
      <c r="C63" s="43">
        <v>1</v>
      </c>
      <c r="D63" s="43" t="s">
        <v>11</v>
      </c>
      <c r="E63" s="37" t="s">
        <v>204</v>
      </c>
      <c r="F63" s="42" t="s">
        <v>13</v>
      </c>
      <c r="G63" s="42">
        <v>304</v>
      </c>
      <c r="H63" s="41">
        <v>15</v>
      </c>
      <c r="I63" s="46"/>
      <c r="J63" s="41">
        <f t="shared" si="4"/>
        <v>15</v>
      </c>
    </row>
    <row r="64" spans="1:10" ht="19.95" customHeight="1" x14ac:dyDescent="0.3">
      <c r="A64" s="42">
        <v>250080</v>
      </c>
      <c r="B64" s="42">
        <v>304</v>
      </c>
      <c r="C64" s="43">
        <v>0.6</v>
      </c>
      <c r="D64" s="43" t="s">
        <v>11</v>
      </c>
      <c r="E64" s="37" t="s">
        <v>205</v>
      </c>
      <c r="F64" s="42" t="s">
        <v>13</v>
      </c>
      <c r="G64" s="42">
        <v>430</v>
      </c>
      <c r="H64" s="41">
        <v>300</v>
      </c>
      <c r="I64" s="46"/>
      <c r="J64" s="41">
        <f t="shared" si="4"/>
        <v>300</v>
      </c>
    </row>
    <row r="65" spans="1:10" ht="19.95" customHeight="1" x14ac:dyDescent="0.3">
      <c r="A65" s="42"/>
      <c r="B65" s="42"/>
      <c r="C65" s="43"/>
      <c r="D65" s="43"/>
      <c r="E65" s="37"/>
      <c r="F65" s="42"/>
      <c r="G65" s="42"/>
      <c r="H65" s="41"/>
      <c r="I65" s="46"/>
      <c r="J65" s="41">
        <f t="shared" si="4"/>
        <v>0</v>
      </c>
    </row>
    <row r="66" spans="1:10" ht="19.95" customHeight="1" x14ac:dyDescent="0.3">
      <c r="A66" s="59"/>
      <c r="B66" s="59"/>
      <c r="C66" s="59"/>
      <c r="D66" s="59"/>
      <c r="E66" s="48"/>
      <c r="F66" s="59"/>
      <c r="G66" s="49"/>
      <c r="H66" s="41">
        <f>SUM(H54:H65)</f>
        <v>4260</v>
      </c>
      <c r="I66" s="46">
        <f>SUM(I54:I65)</f>
        <v>0</v>
      </c>
      <c r="J66" s="41">
        <f>SUM(J54:J65)</f>
        <v>4260</v>
      </c>
    </row>
    <row r="67" spans="1:10" ht="19.95" customHeight="1" x14ac:dyDescent="0.3">
      <c r="A67" s="60"/>
      <c r="B67" s="60"/>
      <c r="C67" s="60"/>
      <c r="D67" s="60"/>
      <c r="E67" s="56"/>
      <c r="F67" s="60"/>
      <c r="G67" s="60"/>
      <c r="H67" s="57"/>
      <c r="I67" s="58"/>
      <c r="J67" s="57"/>
    </row>
    <row r="68" spans="1:10" ht="30" customHeight="1" x14ac:dyDescent="0.3">
      <c r="A68" s="100" t="s">
        <v>23</v>
      </c>
      <c r="B68" s="100"/>
      <c r="C68" s="100"/>
      <c r="D68" s="100"/>
      <c r="E68" s="100"/>
      <c r="F68" s="100"/>
      <c r="G68" s="100"/>
      <c r="H68" s="100"/>
      <c r="I68" s="100"/>
      <c r="J68" s="100"/>
    </row>
    <row r="69" spans="1:10" ht="30" customHeight="1" x14ac:dyDescent="0.3">
      <c r="A69" s="42" t="s">
        <v>1</v>
      </c>
      <c r="B69" s="42" t="s">
        <v>2</v>
      </c>
      <c r="C69" s="54" t="s">
        <v>3</v>
      </c>
      <c r="D69" s="54" t="s">
        <v>4</v>
      </c>
      <c r="E69" s="42" t="s">
        <v>5</v>
      </c>
      <c r="F69" s="54" t="s">
        <v>6</v>
      </c>
      <c r="G69" s="54" t="s">
        <v>7</v>
      </c>
      <c r="H69" s="42" t="s">
        <v>8</v>
      </c>
      <c r="I69" s="42" t="s">
        <v>9</v>
      </c>
      <c r="J69" s="42" t="s">
        <v>10</v>
      </c>
    </row>
    <row r="70" spans="1:10" ht="19.95" customHeight="1" x14ac:dyDescent="0.3">
      <c r="A70" s="42">
        <v>250080</v>
      </c>
      <c r="B70" s="42">
        <v>304</v>
      </c>
      <c r="C70" s="43">
        <v>0.6</v>
      </c>
      <c r="D70" s="43" t="s">
        <v>27</v>
      </c>
      <c r="E70" s="37" t="s">
        <v>206</v>
      </c>
      <c r="F70" s="42" t="s">
        <v>45</v>
      </c>
      <c r="G70" s="42">
        <v>430</v>
      </c>
      <c r="H70" s="41">
        <v>500</v>
      </c>
      <c r="I70" s="46"/>
      <c r="J70" s="41">
        <f t="shared" ref="J70:J78" si="5">H70-I70</f>
        <v>500</v>
      </c>
    </row>
    <row r="71" spans="1:10" ht="19.95" customHeight="1" x14ac:dyDescent="0.3">
      <c r="A71" s="42">
        <v>250080</v>
      </c>
      <c r="B71" s="42">
        <v>304</v>
      </c>
      <c r="C71" s="43">
        <v>0.6</v>
      </c>
      <c r="D71" s="43" t="s">
        <v>27</v>
      </c>
      <c r="E71" s="37" t="s">
        <v>207</v>
      </c>
      <c r="F71" s="42" t="s">
        <v>45</v>
      </c>
      <c r="G71" s="42">
        <v>430</v>
      </c>
      <c r="H71" s="41">
        <v>500</v>
      </c>
      <c r="I71" s="46"/>
      <c r="J71" s="41">
        <f t="shared" si="5"/>
        <v>500</v>
      </c>
    </row>
    <row r="72" spans="1:10" ht="19.95" customHeight="1" x14ac:dyDescent="0.3">
      <c r="A72" s="42">
        <v>250080</v>
      </c>
      <c r="B72" s="42">
        <v>304</v>
      </c>
      <c r="C72" s="43">
        <v>0.6</v>
      </c>
      <c r="D72" s="43" t="s">
        <v>11</v>
      </c>
      <c r="E72" s="37" t="s">
        <v>208</v>
      </c>
      <c r="F72" s="42" t="s">
        <v>13</v>
      </c>
      <c r="G72" s="42">
        <v>430</v>
      </c>
      <c r="H72" s="41">
        <v>300</v>
      </c>
      <c r="I72" s="46"/>
      <c r="J72" s="41">
        <f>H72-I72</f>
        <v>300</v>
      </c>
    </row>
    <row r="73" spans="1:10" ht="19.95" customHeight="1" x14ac:dyDescent="0.3">
      <c r="A73" s="42">
        <v>250078</v>
      </c>
      <c r="B73" s="42">
        <v>304</v>
      </c>
      <c r="C73" s="43">
        <v>0.7</v>
      </c>
      <c r="D73" s="43" t="s">
        <v>11</v>
      </c>
      <c r="E73" s="37" t="s">
        <v>209</v>
      </c>
      <c r="F73" s="42" t="s">
        <v>13</v>
      </c>
      <c r="G73" s="42">
        <v>304</v>
      </c>
      <c r="H73" s="41">
        <v>775</v>
      </c>
      <c r="I73" s="46"/>
      <c r="J73" s="41">
        <f>H73-I73</f>
        <v>775</v>
      </c>
    </row>
    <row r="74" spans="1:10" ht="19.95" customHeight="1" x14ac:dyDescent="0.3">
      <c r="A74" s="42">
        <v>250078</v>
      </c>
      <c r="B74" s="42">
        <v>304</v>
      </c>
      <c r="C74" s="43">
        <v>1</v>
      </c>
      <c r="D74" s="43" t="s">
        <v>11</v>
      </c>
      <c r="E74" s="37" t="s">
        <v>210</v>
      </c>
      <c r="F74" s="42" t="s">
        <v>13</v>
      </c>
      <c r="G74" s="42">
        <v>304</v>
      </c>
      <c r="H74" s="41">
        <v>15</v>
      </c>
      <c r="I74" s="46"/>
      <c r="J74" s="41">
        <f>H74-I74</f>
        <v>15</v>
      </c>
    </row>
    <row r="75" spans="1:10" ht="19.95" customHeight="1" x14ac:dyDescent="0.3">
      <c r="A75" s="42">
        <v>250042</v>
      </c>
      <c r="B75" s="42">
        <v>304</v>
      </c>
      <c r="C75" s="43">
        <v>0.9</v>
      </c>
      <c r="D75" s="43" t="s">
        <v>55</v>
      </c>
      <c r="E75" s="37" t="s">
        <v>211</v>
      </c>
      <c r="F75" s="42" t="s">
        <v>52</v>
      </c>
      <c r="G75" s="42">
        <v>304</v>
      </c>
      <c r="H75" s="41">
        <v>750</v>
      </c>
      <c r="I75" s="46"/>
      <c r="J75" s="41">
        <f>H75-I75</f>
        <v>750</v>
      </c>
    </row>
    <row r="76" spans="1:10" ht="19.95" customHeight="1" x14ac:dyDescent="0.3">
      <c r="A76" s="42">
        <v>250057</v>
      </c>
      <c r="B76" s="42">
        <v>304</v>
      </c>
      <c r="C76" s="43">
        <v>0.7</v>
      </c>
      <c r="D76" s="43" t="s">
        <v>55</v>
      </c>
      <c r="E76" s="37" t="s">
        <v>212</v>
      </c>
      <c r="F76" s="42" t="s">
        <v>52</v>
      </c>
      <c r="G76" s="42">
        <v>304</v>
      </c>
      <c r="H76" s="41">
        <v>395</v>
      </c>
      <c r="I76" s="46"/>
      <c r="J76" s="41">
        <f t="shared" si="5"/>
        <v>395</v>
      </c>
    </row>
    <row r="77" spans="1:10" ht="19.95" customHeight="1" x14ac:dyDescent="0.3">
      <c r="A77" s="42">
        <v>250057</v>
      </c>
      <c r="B77" s="42">
        <v>304</v>
      </c>
      <c r="C77" s="43">
        <v>1</v>
      </c>
      <c r="D77" s="43" t="s">
        <v>55</v>
      </c>
      <c r="E77" s="37" t="s">
        <v>213</v>
      </c>
      <c r="F77" s="42" t="s">
        <v>52</v>
      </c>
      <c r="G77" s="42">
        <v>304</v>
      </c>
      <c r="H77" s="41">
        <v>15</v>
      </c>
      <c r="I77" s="46"/>
      <c r="J77" s="41">
        <f t="shared" si="5"/>
        <v>15</v>
      </c>
    </row>
    <row r="78" spans="1:10" ht="19.95" customHeight="1" x14ac:dyDescent="0.3">
      <c r="A78" s="42"/>
      <c r="B78" s="42"/>
      <c r="C78" s="43"/>
      <c r="D78" s="43"/>
      <c r="E78" s="37"/>
      <c r="F78" s="42"/>
      <c r="G78" s="42"/>
      <c r="H78" s="41"/>
      <c r="I78" s="46"/>
      <c r="J78" s="41">
        <f t="shared" si="5"/>
        <v>0</v>
      </c>
    </row>
    <row r="79" spans="1:10" ht="19.95" customHeight="1" x14ac:dyDescent="0.3">
      <c r="A79" s="101"/>
      <c r="B79" s="101"/>
      <c r="C79" s="101"/>
      <c r="D79" s="101"/>
      <c r="E79" s="101"/>
      <c r="F79" s="101"/>
      <c r="G79" s="101"/>
      <c r="H79" s="41">
        <f>SUM(H70:H78)</f>
        <v>3250</v>
      </c>
      <c r="I79" s="46">
        <f>SUM(I70:I78)</f>
        <v>0</v>
      </c>
      <c r="J79" s="41">
        <f>SUM(J70:J78)</f>
        <v>3250</v>
      </c>
    </row>
    <row r="80" spans="1:10" x14ac:dyDescent="0.3">
      <c r="A80" s="102"/>
      <c r="B80" s="102"/>
      <c r="C80" s="102"/>
      <c r="D80" s="102"/>
      <c r="E80" s="102"/>
      <c r="F80" s="102"/>
      <c r="G80" s="102"/>
    </row>
    <row r="81" spans="1:10" ht="15.6" x14ac:dyDescent="0.3">
      <c r="H81" s="8">
        <f>H79+H66+H50+H39+H28+H18</f>
        <v>23138</v>
      </c>
      <c r="I81" s="8">
        <f>I79+I66+I50+I39+I28+I18</f>
        <v>6409</v>
      </c>
      <c r="J81" s="8">
        <f>J79+J66+J50+J39+J28+J18</f>
        <v>16729</v>
      </c>
    </row>
    <row r="83" spans="1:10" ht="23.4" x14ac:dyDescent="0.3">
      <c r="A83" s="95" t="s">
        <v>14</v>
      </c>
      <c r="B83" s="95"/>
      <c r="C83" s="95"/>
      <c r="D83" s="95"/>
      <c r="E83" s="95"/>
      <c r="F83" s="95"/>
      <c r="G83" s="95"/>
      <c r="H83" s="95"/>
      <c r="I83" s="95"/>
      <c r="J83" s="95"/>
    </row>
  </sheetData>
  <mergeCells count="10">
    <mergeCell ref="A52:J52"/>
    <mergeCell ref="A68:J68"/>
    <mergeCell ref="A79:G80"/>
    <mergeCell ref="A83:J83"/>
    <mergeCell ref="H1:J1"/>
    <mergeCell ref="A2:J2"/>
    <mergeCell ref="A3:J3"/>
    <mergeCell ref="A20:J20"/>
    <mergeCell ref="A30:J30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7" fitToHeight="0"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3"/>
  <sheetViews>
    <sheetView zoomScale="85" zoomScaleNormal="85" workbookViewId="0">
      <selection activeCell="H17" sqref="H17:J1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9.109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181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250057</v>
      </c>
      <c r="B5" s="42">
        <v>304</v>
      </c>
      <c r="C5" s="43">
        <v>0.7</v>
      </c>
      <c r="D5" s="43" t="s">
        <v>11</v>
      </c>
      <c r="E5" s="37" t="s">
        <v>166</v>
      </c>
      <c r="F5" s="42" t="s">
        <v>13</v>
      </c>
      <c r="G5" s="42">
        <v>304</v>
      </c>
      <c r="H5" s="32">
        <v>395</v>
      </c>
      <c r="I5" s="40">
        <v>421</v>
      </c>
      <c r="J5" s="32">
        <f t="shared" ref="J5:J17" si="0">H5-I5</f>
        <v>-26</v>
      </c>
    </row>
    <row r="6" spans="1:10" ht="19.95" customHeight="1" x14ac:dyDescent="0.3">
      <c r="A6" s="42">
        <v>250057</v>
      </c>
      <c r="B6" s="42">
        <v>304</v>
      </c>
      <c r="C6" s="43">
        <v>1</v>
      </c>
      <c r="D6" s="43" t="s">
        <v>11</v>
      </c>
      <c r="E6" s="37" t="s">
        <v>167</v>
      </c>
      <c r="F6" s="42" t="s">
        <v>13</v>
      </c>
      <c r="G6" s="42">
        <v>304</v>
      </c>
      <c r="H6" s="32">
        <v>15</v>
      </c>
      <c r="I6" s="40">
        <v>16</v>
      </c>
      <c r="J6" s="32">
        <f t="shared" si="0"/>
        <v>-1</v>
      </c>
    </row>
    <row r="7" spans="1:10" ht="19.95" customHeight="1" x14ac:dyDescent="0.3">
      <c r="A7" s="42">
        <v>250057</v>
      </c>
      <c r="B7" s="42">
        <v>304</v>
      </c>
      <c r="C7" s="43">
        <v>0.7</v>
      </c>
      <c r="D7" s="43" t="s">
        <v>96</v>
      </c>
      <c r="E7" s="37" t="s">
        <v>155</v>
      </c>
      <c r="F7" s="42" t="s">
        <v>41</v>
      </c>
      <c r="G7" s="42">
        <v>304</v>
      </c>
      <c r="H7" s="32">
        <v>395</v>
      </c>
      <c r="I7" s="40">
        <v>474</v>
      </c>
      <c r="J7" s="32">
        <f t="shared" si="0"/>
        <v>-79</v>
      </c>
    </row>
    <row r="8" spans="1:10" ht="19.95" customHeight="1" x14ac:dyDescent="0.3">
      <c r="A8" s="42">
        <v>250057</v>
      </c>
      <c r="B8" s="42">
        <v>304</v>
      </c>
      <c r="C8" s="43">
        <v>1</v>
      </c>
      <c r="D8" s="43" t="s">
        <v>96</v>
      </c>
      <c r="E8" s="37" t="s">
        <v>156</v>
      </c>
      <c r="F8" s="42" t="s">
        <v>41</v>
      </c>
      <c r="G8" s="42">
        <v>304</v>
      </c>
      <c r="H8" s="32">
        <v>15</v>
      </c>
      <c r="I8" s="40">
        <v>30</v>
      </c>
      <c r="J8" s="32">
        <f t="shared" si="0"/>
        <v>-15</v>
      </c>
    </row>
    <row r="9" spans="1:10" ht="19.95" customHeight="1" x14ac:dyDescent="0.3">
      <c r="A9" s="42">
        <v>250061</v>
      </c>
      <c r="B9" s="42">
        <v>304</v>
      </c>
      <c r="C9" s="43">
        <v>0.7</v>
      </c>
      <c r="D9" s="43" t="s">
        <v>96</v>
      </c>
      <c r="E9" s="37" t="s">
        <v>157</v>
      </c>
      <c r="F9" s="42" t="s">
        <v>41</v>
      </c>
      <c r="G9" s="42">
        <v>304</v>
      </c>
      <c r="H9" s="32">
        <v>525</v>
      </c>
      <c r="I9" s="40">
        <v>592</v>
      </c>
      <c r="J9" s="32">
        <f t="shared" si="0"/>
        <v>-67</v>
      </c>
    </row>
    <row r="10" spans="1:10" ht="19.95" customHeight="1" x14ac:dyDescent="0.3">
      <c r="A10" s="42">
        <v>250061</v>
      </c>
      <c r="B10" s="42">
        <v>304</v>
      </c>
      <c r="C10" s="43">
        <v>1</v>
      </c>
      <c r="D10" s="43" t="s">
        <v>96</v>
      </c>
      <c r="E10" s="37" t="s">
        <v>158</v>
      </c>
      <c r="F10" s="42" t="s">
        <v>41</v>
      </c>
      <c r="G10" s="42">
        <v>304</v>
      </c>
      <c r="H10" s="32">
        <v>15</v>
      </c>
      <c r="I10" s="40">
        <v>30</v>
      </c>
      <c r="J10" s="32">
        <f t="shared" si="0"/>
        <v>-15</v>
      </c>
    </row>
    <row r="11" spans="1:10" ht="19.95" customHeight="1" x14ac:dyDescent="0.3">
      <c r="A11" s="42">
        <v>230925</v>
      </c>
      <c r="B11" s="42">
        <v>430</v>
      </c>
      <c r="C11" s="43">
        <v>0.8</v>
      </c>
      <c r="D11" s="43" t="s">
        <v>11</v>
      </c>
      <c r="E11" s="37" t="s">
        <v>163</v>
      </c>
      <c r="F11" s="42" t="s">
        <v>41</v>
      </c>
      <c r="G11" s="42">
        <v>430</v>
      </c>
      <c r="H11" s="32">
        <v>1058</v>
      </c>
      <c r="I11" s="40">
        <v>1046</v>
      </c>
      <c r="J11" s="32">
        <f t="shared" si="0"/>
        <v>12</v>
      </c>
    </row>
    <row r="12" spans="1:10" ht="19.95" customHeight="1" x14ac:dyDescent="0.3">
      <c r="A12" s="42">
        <v>250052</v>
      </c>
      <c r="B12" s="42">
        <v>304</v>
      </c>
      <c r="C12" s="43">
        <v>0.7</v>
      </c>
      <c r="D12" s="43" t="s">
        <v>11</v>
      </c>
      <c r="E12" s="37" t="s">
        <v>168</v>
      </c>
      <c r="F12" s="42" t="s">
        <v>13</v>
      </c>
      <c r="G12" s="42">
        <v>304</v>
      </c>
      <c r="H12" s="32">
        <v>785</v>
      </c>
      <c r="I12" s="40">
        <v>792</v>
      </c>
      <c r="J12" s="32">
        <f t="shared" si="0"/>
        <v>-7</v>
      </c>
    </row>
    <row r="13" spans="1:10" ht="19.95" customHeight="1" x14ac:dyDescent="0.3">
      <c r="A13" s="42">
        <v>250052</v>
      </c>
      <c r="B13" s="42">
        <v>304</v>
      </c>
      <c r="C13" s="43">
        <v>1</v>
      </c>
      <c r="D13" s="43" t="s">
        <v>11</v>
      </c>
      <c r="E13" s="37" t="s">
        <v>168</v>
      </c>
      <c r="F13" s="42" t="s">
        <v>13</v>
      </c>
      <c r="G13" s="42">
        <v>304</v>
      </c>
      <c r="H13" s="32">
        <v>15</v>
      </c>
      <c r="I13" s="40">
        <v>15</v>
      </c>
      <c r="J13" s="32">
        <f t="shared" si="0"/>
        <v>0</v>
      </c>
    </row>
    <row r="14" spans="1:10" ht="19.95" customHeight="1" x14ac:dyDescent="0.3">
      <c r="A14" s="42">
        <v>250057</v>
      </c>
      <c r="B14" s="42">
        <v>304</v>
      </c>
      <c r="C14" s="43">
        <v>0.7</v>
      </c>
      <c r="D14" s="43" t="s">
        <v>11</v>
      </c>
      <c r="E14" s="37" t="s">
        <v>172</v>
      </c>
      <c r="F14" s="42" t="s">
        <v>13</v>
      </c>
      <c r="G14" s="42">
        <v>304</v>
      </c>
      <c r="H14" s="32">
        <v>395</v>
      </c>
      <c r="I14" s="40">
        <v>431</v>
      </c>
      <c r="J14" s="32">
        <f t="shared" si="0"/>
        <v>-36</v>
      </c>
    </row>
    <row r="15" spans="1:10" ht="19.95" customHeight="1" x14ac:dyDescent="0.3">
      <c r="A15" s="42">
        <v>250057</v>
      </c>
      <c r="B15" s="42">
        <v>304</v>
      </c>
      <c r="C15" s="43">
        <v>1</v>
      </c>
      <c r="D15" s="43" t="s">
        <v>11</v>
      </c>
      <c r="E15" s="37" t="s">
        <v>173</v>
      </c>
      <c r="F15" s="42" t="s">
        <v>13</v>
      </c>
      <c r="G15" s="42">
        <v>304</v>
      </c>
      <c r="H15" s="32">
        <v>15</v>
      </c>
      <c r="I15" s="40">
        <v>17</v>
      </c>
      <c r="J15" s="32">
        <f t="shared" si="0"/>
        <v>-2</v>
      </c>
    </row>
    <row r="16" spans="1:10" ht="19.95" customHeight="1" x14ac:dyDescent="0.3">
      <c r="A16" s="42">
        <v>250042</v>
      </c>
      <c r="B16" s="42">
        <v>304</v>
      </c>
      <c r="C16" s="43">
        <v>0.9</v>
      </c>
      <c r="D16" s="43" t="s">
        <v>55</v>
      </c>
      <c r="E16" s="37" t="s">
        <v>178</v>
      </c>
      <c r="F16" s="42" t="s">
        <v>177</v>
      </c>
      <c r="G16" s="42">
        <v>304</v>
      </c>
      <c r="H16" s="32">
        <v>750</v>
      </c>
      <c r="I16" s="40">
        <v>775</v>
      </c>
      <c r="J16" s="32">
        <f t="shared" si="0"/>
        <v>-25</v>
      </c>
    </row>
    <row r="17" spans="1:10" ht="19.95" customHeight="1" x14ac:dyDescent="0.3">
      <c r="A17" s="42"/>
      <c r="B17" s="42"/>
      <c r="C17" s="43"/>
      <c r="D17" s="43"/>
      <c r="E17" s="37"/>
      <c r="F17" s="42"/>
      <c r="G17" s="42"/>
      <c r="H17" s="32"/>
      <c r="I17" s="40"/>
      <c r="J17" s="32">
        <f t="shared" si="0"/>
        <v>0</v>
      </c>
    </row>
    <row r="18" spans="1:10" ht="19.95" customHeight="1" x14ac:dyDescent="0.3">
      <c r="A18" s="61"/>
      <c r="B18" s="61"/>
      <c r="C18" s="61"/>
      <c r="D18" s="61"/>
      <c r="E18" s="48"/>
      <c r="F18" s="61"/>
      <c r="G18" s="49"/>
      <c r="H18" s="45">
        <f>SUM(H5:H17)</f>
        <v>4378</v>
      </c>
      <c r="I18" s="44">
        <f>SUM(I5:I17)</f>
        <v>4639</v>
      </c>
      <c r="J18" s="32">
        <f>SUM(J5:J17)</f>
        <v>-261</v>
      </c>
    </row>
    <row r="19" spans="1:10" x14ac:dyDescent="0.3">
      <c r="A19" s="52"/>
      <c r="B19" s="52"/>
      <c r="C19" s="52"/>
      <c r="D19" s="52"/>
      <c r="E19" s="52"/>
      <c r="F19" s="53"/>
      <c r="G19" s="52"/>
      <c r="H19" s="52"/>
      <c r="I19" s="52"/>
      <c r="J19" s="52"/>
    </row>
    <row r="20" spans="1:10" ht="30" customHeight="1" x14ac:dyDescent="0.3">
      <c r="A20" s="100" t="s">
        <v>17</v>
      </c>
      <c r="B20" s="100"/>
      <c r="C20" s="100"/>
      <c r="D20" s="100"/>
      <c r="E20" s="100"/>
      <c r="F20" s="100"/>
      <c r="G20" s="100"/>
      <c r="H20" s="100"/>
      <c r="I20" s="100"/>
      <c r="J20" s="100"/>
    </row>
    <row r="21" spans="1:10" ht="30" customHeight="1" x14ac:dyDescent="0.3">
      <c r="A21" s="42" t="s">
        <v>1</v>
      </c>
      <c r="B21" s="42" t="s">
        <v>2</v>
      </c>
      <c r="C21" s="54" t="s">
        <v>3</v>
      </c>
      <c r="D21" s="54" t="s">
        <v>4</v>
      </c>
      <c r="E21" s="42" t="s">
        <v>5</v>
      </c>
      <c r="F21" s="54" t="s">
        <v>6</v>
      </c>
      <c r="G21" s="54" t="s">
        <v>7</v>
      </c>
      <c r="H21" s="42" t="s">
        <v>8</v>
      </c>
      <c r="I21" s="42" t="s">
        <v>9</v>
      </c>
      <c r="J21" s="42" t="s">
        <v>10</v>
      </c>
    </row>
    <row r="22" spans="1:10" ht="19.95" customHeight="1" x14ac:dyDescent="0.3">
      <c r="A22" s="42">
        <v>160925</v>
      </c>
      <c r="B22" s="42">
        <v>304</v>
      </c>
      <c r="C22" s="43">
        <v>0.9</v>
      </c>
      <c r="D22" s="43" t="s">
        <v>55</v>
      </c>
      <c r="E22" s="37" t="s">
        <v>176</v>
      </c>
      <c r="F22" s="42" t="s">
        <v>177</v>
      </c>
      <c r="G22" s="42">
        <v>430</v>
      </c>
      <c r="H22" s="32">
        <v>1100</v>
      </c>
      <c r="I22" s="40">
        <f>507+573</f>
        <v>1080</v>
      </c>
      <c r="J22" s="32">
        <f t="shared" ref="J22:J27" si="1">H22-I22</f>
        <v>20</v>
      </c>
    </row>
    <row r="23" spans="1:10" ht="19.95" customHeight="1" x14ac:dyDescent="0.3">
      <c r="A23" s="42">
        <v>250042</v>
      </c>
      <c r="B23" s="42">
        <v>304</v>
      </c>
      <c r="C23" s="43">
        <v>0.9</v>
      </c>
      <c r="D23" s="43" t="s">
        <v>55</v>
      </c>
      <c r="E23" s="37" t="s">
        <v>179</v>
      </c>
      <c r="F23" s="42" t="s">
        <v>177</v>
      </c>
      <c r="G23" s="42">
        <v>304</v>
      </c>
      <c r="H23" s="32">
        <v>750</v>
      </c>
      <c r="I23" s="40">
        <v>811</v>
      </c>
      <c r="J23" s="32">
        <f t="shared" si="1"/>
        <v>-61</v>
      </c>
    </row>
    <row r="24" spans="1:10" ht="19.95" customHeight="1" x14ac:dyDescent="0.3">
      <c r="A24" s="42">
        <v>250049</v>
      </c>
      <c r="B24" s="42">
        <v>304</v>
      </c>
      <c r="C24" s="43">
        <v>0.9</v>
      </c>
      <c r="D24" s="43" t="s">
        <v>55</v>
      </c>
      <c r="E24" s="37" t="s">
        <v>193</v>
      </c>
      <c r="F24" s="42" t="s">
        <v>177</v>
      </c>
      <c r="G24" s="42">
        <v>430</v>
      </c>
      <c r="H24" s="32">
        <v>450</v>
      </c>
      <c r="I24" s="40">
        <v>468</v>
      </c>
      <c r="J24" s="32">
        <f t="shared" si="1"/>
        <v>-18</v>
      </c>
    </row>
    <row r="25" spans="1:10" ht="19.95" customHeight="1" x14ac:dyDescent="0.3">
      <c r="A25" s="42">
        <v>21025</v>
      </c>
      <c r="B25" s="42">
        <v>304</v>
      </c>
      <c r="C25" s="43">
        <v>0.6</v>
      </c>
      <c r="D25" s="43" t="s">
        <v>55</v>
      </c>
      <c r="E25" s="37" t="s">
        <v>182</v>
      </c>
      <c r="F25" s="42" t="s">
        <v>45</v>
      </c>
      <c r="G25" s="42">
        <v>430</v>
      </c>
      <c r="H25" s="32">
        <v>1000</v>
      </c>
      <c r="I25" s="40">
        <v>1020</v>
      </c>
      <c r="J25" s="32">
        <f t="shared" si="1"/>
        <v>-20</v>
      </c>
    </row>
    <row r="26" spans="1:10" ht="19.95" customHeight="1" x14ac:dyDescent="0.3">
      <c r="A26" s="42">
        <v>21025</v>
      </c>
      <c r="B26" s="42">
        <v>304</v>
      </c>
      <c r="C26" s="43">
        <v>0.6</v>
      </c>
      <c r="D26" s="43" t="s">
        <v>55</v>
      </c>
      <c r="E26" s="37" t="s">
        <v>183</v>
      </c>
      <c r="F26" s="42" t="s">
        <v>107</v>
      </c>
      <c r="G26" s="42">
        <v>430</v>
      </c>
      <c r="H26" s="32">
        <v>1000</v>
      </c>
      <c r="I26" s="40">
        <v>1018</v>
      </c>
      <c r="J26" s="32">
        <f t="shared" si="1"/>
        <v>-18</v>
      </c>
    </row>
    <row r="27" spans="1:10" ht="19.95" customHeight="1" x14ac:dyDescent="0.3">
      <c r="A27" s="42"/>
      <c r="B27" s="42"/>
      <c r="C27" s="43"/>
      <c r="D27" s="43"/>
      <c r="E27" s="37"/>
      <c r="F27" s="42"/>
      <c r="G27" s="42"/>
      <c r="H27" s="32"/>
      <c r="I27" s="40"/>
      <c r="J27" s="32">
        <f t="shared" si="1"/>
        <v>0</v>
      </c>
    </row>
    <row r="28" spans="1:10" ht="19.95" customHeight="1" x14ac:dyDescent="0.3">
      <c r="A28" s="61"/>
      <c r="B28" s="61"/>
      <c r="C28" s="61"/>
      <c r="D28" s="61"/>
      <c r="E28" s="48"/>
      <c r="F28" s="61"/>
      <c r="G28" s="49"/>
      <c r="H28" s="32">
        <f>SUM(H22:H27)</f>
        <v>4300</v>
      </c>
      <c r="I28" s="40">
        <f>SUM(I22:I27)</f>
        <v>4397</v>
      </c>
      <c r="J28" s="32">
        <f>SUM(J22:J27)</f>
        <v>-97</v>
      </c>
    </row>
    <row r="29" spans="1:10" x14ac:dyDescent="0.3">
      <c r="A29" s="52"/>
      <c r="B29" s="52"/>
      <c r="C29" s="52"/>
      <c r="D29" s="52"/>
      <c r="E29" s="52"/>
      <c r="F29" s="53"/>
      <c r="G29" s="52"/>
      <c r="H29" s="52"/>
      <c r="I29" s="52"/>
      <c r="J29" s="52"/>
    </row>
    <row r="30" spans="1:10" ht="30" customHeight="1" x14ac:dyDescent="0.3">
      <c r="A30" s="100" t="s">
        <v>18</v>
      </c>
      <c r="B30" s="100"/>
      <c r="C30" s="100"/>
      <c r="D30" s="100"/>
      <c r="E30" s="100"/>
      <c r="F30" s="100"/>
      <c r="G30" s="100"/>
      <c r="H30" s="100"/>
      <c r="I30" s="100"/>
      <c r="J30" s="100"/>
    </row>
    <row r="31" spans="1:10" ht="30" customHeight="1" x14ac:dyDescent="0.3">
      <c r="A31" s="42" t="s">
        <v>1</v>
      </c>
      <c r="B31" s="42" t="s">
        <v>2</v>
      </c>
      <c r="C31" s="54" t="s">
        <v>3</v>
      </c>
      <c r="D31" s="54" t="s">
        <v>4</v>
      </c>
      <c r="E31" s="42" t="s">
        <v>5</v>
      </c>
      <c r="F31" s="54" t="s">
        <v>6</v>
      </c>
      <c r="G31" s="54" t="s">
        <v>7</v>
      </c>
      <c r="H31" s="42" t="s">
        <v>8</v>
      </c>
      <c r="I31" s="42" t="s">
        <v>9</v>
      </c>
      <c r="J31" s="42" t="s">
        <v>10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184</v>
      </c>
      <c r="F32" s="42" t="s">
        <v>45</v>
      </c>
      <c r="G32" s="42">
        <v>430</v>
      </c>
      <c r="H32" s="33">
        <v>500</v>
      </c>
      <c r="I32" s="46"/>
      <c r="J32" s="41">
        <f t="shared" ref="J32:J38" si="2">H32-I32</f>
        <v>500</v>
      </c>
    </row>
    <row r="33" spans="1:10" ht="19.95" customHeight="1" x14ac:dyDescent="0.3">
      <c r="A33" s="42">
        <v>21025</v>
      </c>
      <c r="B33" s="42">
        <v>304</v>
      </c>
      <c r="C33" s="43">
        <v>0.6</v>
      </c>
      <c r="D33" s="43" t="s">
        <v>55</v>
      </c>
      <c r="E33" s="37" t="s">
        <v>185</v>
      </c>
      <c r="F33" s="42" t="s">
        <v>45</v>
      </c>
      <c r="G33" s="42">
        <v>430</v>
      </c>
      <c r="H33" s="33">
        <v>1000</v>
      </c>
      <c r="I33" s="46">
        <v>217</v>
      </c>
      <c r="J33" s="41">
        <f t="shared" si="2"/>
        <v>783</v>
      </c>
    </row>
    <row r="34" spans="1:10" ht="19.95" customHeight="1" x14ac:dyDescent="0.3">
      <c r="A34" s="42">
        <v>21025</v>
      </c>
      <c r="B34" s="42">
        <v>304</v>
      </c>
      <c r="C34" s="43">
        <v>0.6</v>
      </c>
      <c r="D34" s="43" t="s">
        <v>55</v>
      </c>
      <c r="E34" s="37" t="s">
        <v>186</v>
      </c>
      <c r="F34" s="42" t="s">
        <v>45</v>
      </c>
      <c r="G34" s="42">
        <v>430</v>
      </c>
      <c r="H34" s="33">
        <v>1000</v>
      </c>
      <c r="I34" s="46"/>
      <c r="J34" s="41">
        <f t="shared" si="2"/>
        <v>1000</v>
      </c>
    </row>
    <row r="35" spans="1:10" ht="19.95" customHeight="1" x14ac:dyDescent="0.3">
      <c r="A35" s="42">
        <v>21025</v>
      </c>
      <c r="B35" s="42">
        <v>304</v>
      </c>
      <c r="C35" s="43">
        <v>0.6</v>
      </c>
      <c r="D35" s="43" t="s">
        <v>55</v>
      </c>
      <c r="E35" s="37" t="s">
        <v>187</v>
      </c>
      <c r="F35" s="42" t="s">
        <v>45</v>
      </c>
      <c r="G35" s="42">
        <v>430</v>
      </c>
      <c r="H35" s="33">
        <v>500</v>
      </c>
      <c r="I35" s="46"/>
      <c r="J35" s="41">
        <f t="shared" si="2"/>
        <v>500</v>
      </c>
    </row>
    <row r="36" spans="1:10" ht="19.95" customHeight="1" x14ac:dyDescent="0.3">
      <c r="A36" s="42">
        <v>21025</v>
      </c>
      <c r="B36" s="42">
        <v>304</v>
      </c>
      <c r="C36" s="43">
        <v>0.6</v>
      </c>
      <c r="D36" s="43" t="s">
        <v>55</v>
      </c>
      <c r="E36" s="37" t="s">
        <v>188</v>
      </c>
      <c r="F36" s="42" t="s">
        <v>45</v>
      </c>
      <c r="G36" s="42">
        <v>430</v>
      </c>
      <c r="H36" s="33">
        <v>1000</v>
      </c>
      <c r="I36" s="46"/>
      <c r="J36" s="41">
        <f t="shared" si="2"/>
        <v>1000</v>
      </c>
    </row>
    <row r="37" spans="1:10" ht="19.95" customHeight="1" x14ac:dyDescent="0.3">
      <c r="A37" s="42">
        <v>21025</v>
      </c>
      <c r="B37" s="42">
        <v>304</v>
      </c>
      <c r="C37" s="43">
        <v>0.6</v>
      </c>
      <c r="D37" s="43" t="s">
        <v>55</v>
      </c>
      <c r="E37" s="37" t="s">
        <v>189</v>
      </c>
      <c r="F37" s="42" t="s">
        <v>45</v>
      </c>
      <c r="G37" s="42">
        <v>430</v>
      </c>
      <c r="H37" s="32">
        <v>1000</v>
      </c>
      <c r="I37" s="40">
        <v>1025</v>
      </c>
      <c r="J37" s="32">
        <f t="shared" si="2"/>
        <v>-25</v>
      </c>
    </row>
    <row r="38" spans="1:10" ht="19.95" customHeight="1" x14ac:dyDescent="0.3">
      <c r="A38" s="42"/>
      <c r="B38" s="42"/>
      <c r="C38" s="43"/>
      <c r="D38" s="43"/>
      <c r="E38" s="37"/>
      <c r="F38" s="42"/>
      <c r="G38" s="42"/>
      <c r="H38" s="41"/>
      <c r="I38" s="46"/>
      <c r="J38" s="41">
        <f t="shared" si="2"/>
        <v>0</v>
      </c>
    </row>
    <row r="39" spans="1:10" ht="19.95" customHeight="1" x14ac:dyDescent="0.3">
      <c r="A39" s="61"/>
      <c r="B39" s="61"/>
      <c r="C39" s="61"/>
      <c r="D39" s="61"/>
      <c r="E39" s="48"/>
      <c r="F39" s="61"/>
      <c r="G39" s="49"/>
      <c r="H39" s="41">
        <f>SUM(H32:H38)</f>
        <v>5000</v>
      </c>
      <c r="I39" s="46">
        <f>SUM(I32:I38)</f>
        <v>1242</v>
      </c>
      <c r="J39" s="41">
        <f>SUM(J32:J38)</f>
        <v>3758</v>
      </c>
    </row>
    <row r="40" spans="1:10" x14ac:dyDescent="0.3">
      <c r="A40" s="52"/>
      <c r="B40" s="52"/>
      <c r="C40" s="52"/>
      <c r="D40" s="52"/>
      <c r="E40" s="52"/>
      <c r="F40" s="53"/>
      <c r="G40" s="52"/>
      <c r="H40" s="52"/>
      <c r="I40" s="52"/>
      <c r="J40" s="52"/>
    </row>
    <row r="41" spans="1:10" ht="30" customHeight="1" x14ac:dyDescent="0.3">
      <c r="A41" s="100" t="s">
        <v>20</v>
      </c>
      <c r="B41" s="100"/>
      <c r="C41" s="100"/>
      <c r="D41" s="100"/>
      <c r="E41" s="100"/>
      <c r="F41" s="100"/>
      <c r="G41" s="100"/>
      <c r="H41" s="100"/>
      <c r="I41" s="100"/>
      <c r="J41" s="100"/>
    </row>
    <row r="42" spans="1:10" ht="30" customHeight="1" x14ac:dyDescent="0.3">
      <c r="A42" s="42" t="s">
        <v>1</v>
      </c>
      <c r="B42" s="42" t="s">
        <v>2</v>
      </c>
      <c r="C42" s="54" t="s">
        <v>3</v>
      </c>
      <c r="D42" s="54" t="s">
        <v>4</v>
      </c>
      <c r="E42" s="42" t="s">
        <v>5</v>
      </c>
      <c r="F42" s="54" t="s">
        <v>6</v>
      </c>
      <c r="G42" s="54" t="s">
        <v>7</v>
      </c>
      <c r="H42" s="42" t="s">
        <v>8</v>
      </c>
      <c r="I42" s="42" t="s">
        <v>9</v>
      </c>
      <c r="J42" s="42" t="s">
        <v>10</v>
      </c>
    </row>
    <row r="43" spans="1:10" ht="19.95" customHeight="1" x14ac:dyDescent="0.3">
      <c r="A43" s="42">
        <v>250057</v>
      </c>
      <c r="B43" s="42">
        <v>304</v>
      </c>
      <c r="C43" s="43">
        <v>0.7</v>
      </c>
      <c r="D43" s="43" t="s">
        <v>43</v>
      </c>
      <c r="E43" s="37" t="s">
        <v>169</v>
      </c>
      <c r="F43" s="42" t="s">
        <v>170</v>
      </c>
      <c r="G43" s="42">
        <v>304</v>
      </c>
      <c r="H43" s="65">
        <v>395</v>
      </c>
      <c r="I43" s="46"/>
      <c r="J43" s="41">
        <f>H43-I43</f>
        <v>395</v>
      </c>
    </row>
    <row r="44" spans="1:10" ht="19.95" customHeight="1" x14ac:dyDescent="0.3">
      <c r="A44" s="42">
        <v>250061</v>
      </c>
      <c r="B44" s="42">
        <v>304</v>
      </c>
      <c r="C44" s="43">
        <v>0.7</v>
      </c>
      <c r="D44" s="43" t="s">
        <v>43</v>
      </c>
      <c r="E44" s="37" t="s">
        <v>169</v>
      </c>
      <c r="F44" s="42" t="s">
        <v>171</v>
      </c>
      <c r="G44" s="42">
        <v>304</v>
      </c>
      <c r="H44" s="65">
        <v>525</v>
      </c>
      <c r="I44" s="46"/>
      <c r="J44" s="41">
        <f>H44-I44</f>
        <v>525</v>
      </c>
    </row>
    <row r="45" spans="1:10" ht="19.95" customHeight="1" x14ac:dyDescent="0.3">
      <c r="A45" s="42">
        <v>250079</v>
      </c>
      <c r="B45" s="42">
        <v>304</v>
      </c>
      <c r="C45" s="43">
        <v>0.7</v>
      </c>
      <c r="D45" s="43" t="s">
        <v>43</v>
      </c>
      <c r="E45" s="37" t="s">
        <v>192</v>
      </c>
      <c r="F45" s="42" t="s">
        <v>171</v>
      </c>
      <c r="G45" s="42">
        <v>304</v>
      </c>
      <c r="H45" s="65">
        <v>952</v>
      </c>
      <c r="I45" s="46"/>
      <c r="J45" s="41">
        <f>H45-I45</f>
        <v>952</v>
      </c>
    </row>
    <row r="46" spans="1:10" ht="31.8" customHeight="1" x14ac:dyDescent="0.3">
      <c r="A46" s="42">
        <v>250079</v>
      </c>
      <c r="B46" s="42">
        <v>304</v>
      </c>
      <c r="C46" s="43">
        <v>1</v>
      </c>
      <c r="D46" s="43" t="s">
        <v>43</v>
      </c>
      <c r="E46" s="66" t="s">
        <v>195</v>
      </c>
      <c r="F46" s="42" t="s">
        <v>171</v>
      </c>
      <c r="G46" s="42">
        <v>304</v>
      </c>
      <c r="H46" s="65">
        <v>48</v>
      </c>
      <c r="I46" s="46"/>
      <c r="J46" s="41">
        <f t="shared" ref="J46:J49" si="3">H46-I46</f>
        <v>48</v>
      </c>
    </row>
    <row r="47" spans="1:10" ht="19.95" customHeight="1" x14ac:dyDescent="0.3">
      <c r="A47" s="42">
        <v>250057</v>
      </c>
      <c r="B47" s="42">
        <v>304</v>
      </c>
      <c r="C47" s="43">
        <v>1</v>
      </c>
      <c r="D47" s="43" t="s">
        <v>43</v>
      </c>
      <c r="E47" s="37" t="s">
        <v>190</v>
      </c>
      <c r="F47" s="42" t="s">
        <v>170</v>
      </c>
      <c r="G47" s="42">
        <v>304</v>
      </c>
      <c r="H47" s="65">
        <v>15</v>
      </c>
      <c r="I47" s="46"/>
      <c r="J47" s="41">
        <f t="shared" si="3"/>
        <v>15</v>
      </c>
    </row>
    <row r="48" spans="1:10" ht="19.95" customHeight="1" x14ac:dyDescent="0.3">
      <c r="A48" s="42">
        <v>250061</v>
      </c>
      <c r="B48" s="42">
        <v>304</v>
      </c>
      <c r="C48" s="43">
        <v>1</v>
      </c>
      <c r="D48" s="43" t="s">
        <v>43</v>
      </c>
      <c r="E48" s="37" t="s">
        <v>190</v>
      </c>
      <c r="F48" s="42" t="s">
        <v>171</v>
      </c>
      <c r="G48" s="42">
        <v>304</v>
      </c>
      <c r="H48" s="65">
        <v>15</v>
      </c>
      <c r="I48" s="46"/>
      <c r="J48" s="41">
        <f t="shared" si="3"/>
        <v>15</v>
      </c>
    </row>
    <row r="49" spans="1:10" ht="19.95" customHeight="1" x14ac:dyDescent="0.3">
      <c r="A49" s="42"/>
      <c r="B49" s="42"/>
      <c r="C49" s="43"/>
      <c r="D49" s="43"/>
      <c r="E49" s="37"/>
      <c r="F49" s="42"/>
      <c r="G49" s="42"/>
      <c r="H49" s="41"/>
      <c r="I49" s="46"/>
      <c r="J49" s="41">
        <f t="shared" si="3"/>
        <v>0</v>
      </c>
    </row>
    <row r="50" spans="1:10" ht="19.95" customHeight="1" x14ac:dyDescent="0.3">
      <c r="A50" s="61"/>
      <c r="B50" s="61"/>
      <c r="C50" s="61"/>
      <c r="D50" s="61"/>
      <c r="E50" s="48"/>
      <c r="F50" s="61"/>
      <c r="G50" s="49"/>
      <c r="H50" s="41">
        <f>SUM(H43:H49)</f>
        <v>1950</v>
      </c>
      <c r="I50" s="46">
        <f>SUM(I43:I49)</f>
        <v>0</v>
      </c>
      <c r="J50" s="41">
        <f>SUM(J43:J49)</f>
        <v>1950</v>
      </c>
    </row>
    <row r="51" spans="1:10" ht="19.95" customHeight="1" x14ac:dyDescent="0.3">
      <c r="A51" s="62"/>
      <c r="B51" s="62"/>
      <c r="C51" s="62"/>
      <c r="D51" s="62"/>
      <c r="E51" s="56"/>
      <c r="F51" s="62"/>
      <c r="G51" s="62"/>
      <c r="H51" s="57"/>
      <c r="I51" s="58"/>
      <c r="J51" s="57"/>
    </row>
    <row r="52" spans="1:10" ht="30" customHeight="1" x14ac:dyDescent="0.3">
      <c r="A52" s="100" t="s">
        <v>19</v>
      </c>
      <c r="B52" s="100"/>
      <c r="C52" s="100"/>
      <c r="D52" s="100"/>
      <c r="E52" s="100"/>
      <c r="F52" s="100"/>
      <c r="G52" s="100"/>
      <c r="H52" s="100"/>
      <c r="I52" s="100"/>
      <c r="J52" s="100"/>
    </row>
    <row r="53" spans="1:10" ht="30" customHeight="1" x14ac:dyDescent="0.3">
      <c r="A53" s="42" t="s">
        <v>1</v>
      </c>
      <c r="B53" s="42" t="s">
        <v>2</v>
      </c>
      <c r="C53" s="54" t="s">
        <v>3</v>
      </c>
      <c r="D53" s="54" t="s">
        <v>4</v>
      </c>
      <c r="E53" s="42" t="s">
        <v>5</v>
      </c>
      <c r="F53" s="54" t="s">
        <v>6</v>
      </c>
      <c r="G53" s="54" t="s">
        <v>7</v>
      </c>
      <c r="H53" s="42" t="s">
        <v>8</v>
      </c>
      <c r="I53" s="42" t="s">
        <v>9</v>
      </c>
      <c r="J53" s="42" t="s">
        <v>10</v>
      </c>
    </row>
    <row r="54" spans="1:10" ht="19.95" customHeight="1" x14ac:dyDescent="0.3">
      <c r="A54" s="42">
        <v>250080</v>
      </c>
      <c r="B54" s="42">
        <v>304</v>
      </c>
      <c r="C54" s="43">
        <v>0.6</v>
      </c>
      <c r="D54" s="43" t="s">
        <v>27</v>
      </c>
      <c r="E54" s="37" t="s">
        <v>196</v>
      </c>
      <c r="F54" s="42" t="s">
        <v>45</v>
      </c>
      <c r="G54" s="42">
        <v>430</v>
      </c>
      <c r="H54" s="41">
        <v>500</v>
      </c>
      <c r="I54" s="46"/>
      <c r="J54" s="41">
        <f t="shared" ref="J54:J65" si="4">H54-I54</f>
        <v>500</v>
      </c>
    </row>
    <row r="55" spans="1:10" ht="19.95" customHeight="1" x14ac:dyDescent="0.3">
      <c r="A55" s="42">
        <v>250080</v>
      </c>
      <c r="B55" s="42">
        <v>304</v>
      </c>
      <c r="C55" s="43">
        <v>0.6</v>
      </c>
      <c r="D55" s="43" t="s">
        <v>11</v>
      </c>
      <c r="E55" s="37" t="s">
        <v>197</v>
      </c>
      <c r="F55" s="42" t="s">
        <v>13</v>
      </c>
      <c r="G55" s="42">
        <v>430</v>
      </c>
      <c r="H55" s="41">
        <v>300</v>
      </c>
      <c r="I55" s="46"/>
      <c r="J55" s="41">
        <f t="shared" si="4"/>
        <v>300</v>
      </c>
    </row>
    <row r="56" spans="1:10" ht="19.95" customHeight="1" x14ac:dyDescent="0.3">
      <c r="A56" s="42">
        <v>250078</v>
      </c>
      <c r="B56" s="42">
        <v>304</v>
      </c>
      <c r="C56" s="43">
        <v>0.7</v>
      </c>
      <c r="D56" s="43" t="s">
        <v>11</v>
      </c>
      <c r="E56" s="37" t="s">
        <v>197</v>
      </c>
      <c r="F56" s="42" t="s">
        <v>13</v>
      </c>
      <c r="G56" s="42">
        <v>304</v>
      </c>
      <c r="H56" s="41">
        <v>775</v>
      </c>
      <c r="I56" s="46"/>
      <c r="J56" s="41">
        <f t="shared" si="4"/>
        <v>775</v>
      </c>
    </row>
    <row r="57" spans="1:10" ht="19.95" customHeight="1" x14ac:dyDescent="0.3">
      <c r="A57" s="42">
        <v>250078</v>
      </c>
      <c r="B57" s="42">
        <v>304</v>
      </c>
      <c r="C57" s="43">
        <v>1</v>
      </c>
      <c r="D57" s="43" t="s">
        <v>11</v>
      </c>
      <c r="E57" s="37" t="s">
        <v>198</v>
      </c>
      <c r="F57" s="42" t="s">
        <v>13</v>
      </c>
      <c r="G57" s="42">
        <v>304</v>
      </c>
      <c r="H57" s="41">
        <v>15</v>
      </c>
      <c r="I57" s="46"/>
      <c r="J57" s="41">
        <f t="shared" si="4"/>
        <v>15</v>
      </c>
    </row>
    <row r="58" spans="1:10" ht="19.95" customHeight="1" x14ac:dyDescent="0.3">
      <c r="A58" s="42">
        <v>250078</v>
      </c>
      <c r="B58" s="42">
        <v>304</v>
      </c>
      <c r="C58" s="43">
        <v>0.7</v>
      </c>
      <c r="D58" s="43" t="s">
        <v>11</v>
      </c>
      <c r="E58" s="37" t="s">
        <v>199</v>
      </c>
      <c r="F58" s="42" t="s">
        <v>13</v>
      </c>
      <c r="G58" s="42">
        <v>304</v>
      </c>
      <c r="H58" s="41">
        <v>775</v>
      </c>
      <c r="I58" s="46"/>
      <c r="J58" s="41">
        <f t="shared" si="4"/>
        <v>775</v>
      </c>
    </row>
    <row r="59" spans="1:10" ht="19.95" customHeight="1" x14ac:dyDescent="0.3">
      <c r="A59" s="42">
        <v>250078</v>
      </c>
      <c r="B59" s="42">
        <v>304</v>
      </c>
      <c r="C59" s="43">
        <v>1</v>
      </c>
      <c r="D59" s="43" t="s">
        <v>11</v>
      </c>
      <c r="E59" s="37" t="s">
        <v>200</v>
      </c>
      <c r="F59" s="42" t="s">
        <v>13</v>
      </c>
      <c r="G59" s="42">
        <v>304</v>
      </c>
      <c r="H59" s="41">
        <v>15</v>
      </c>
      <c r="I59" s="46"/>
      <c r="J59" s="41">
        <f t="shared" si="4"/>
        <v>15</v>
      </c>
    </row>
    <row r="60" spans="1:10" ht="19.95" customHeight="1" x14ac:dyDescent="0.3">
      <c r="A60" s="42">
        <v>250078</v>
      </c>
      <c r="B60" s="42">
        <v>304</v>
      </c>
      <c r="C60" s="43">
        <v>0.7</v>
      </c>
      <c r="D60" s="43" t="s">
        <v>11</v>
      </c>
      <c r="E60" s="37" t="s">
        <v>201</v>
      </c>
      <c r="F60" s="42" t="s">
        <v>13</v>
      </c>
      <c r="G60" s="42">
        <v>304</v>
      </c>
      <c r="H60" s="41">
        <v>775</v>
      </c>
      <c r="I60" s="46"/>
      <c r="J60" s="41">
        <f t="shared" si="4"/>
        <v>775</v>
      </c>
    </row>
    <row r="61" spans="1:10" ht="19.95" customHeight="1" x14ac:dyDescent="0.3">
      <c r="A61" s="42">
        <v>250078</v>
      </c>
      <c r="B61" s="42">
        <v>304</v>
      </c>
      <c r="C61" s="43">
        <v>1</v>
      </c>
      <c r="D61" s="43" t="s">
        <v>11</v>
      </c>
      <c r="E61" s="37" t="s">
        <v>202</v>
      </c>
      <c r="F61" s="42" t="s">
        <v>13</v>
      </c>
      <c r="G61" s="42">
        <v>304</v>
      </c>
      <c r="H61" s="41">
        <v>15</v>
      </c>
      <c r="I61" s="46"/>
      <c r="J61" s="41">
        <f t="shared" si="4"/>
        <v>15</v>
      </c>
    </row>
    <row r="62" spans="1:10" ht="19.95" customHeight="1" x14ac:dyDescent="0.3">
      <c r="A62" s="42">
        <v>250078</v>
      </c>
      <c r="B62" s="42">
        <v>304</v>
      </c>
      <c r="C62" s="43">
        <v>0.7</v>
      </c>
      <c r="D62" s="43" t="s">
        <v>11</v>
      </c>
      <c r="E62" s="37" t="s">
        <v>203</v>
      </c>
      <c r="F62" s="42" t="s">
        <v>13</v>
      </c>
      <c r="G62" s="42">
        <v>304</v>
      </c>
      <c r="H62" s="41">
        <v>775</v>
      </c>
      <c r="I62" s="46"/>
      <c r="J62" s="41">
        <f t="shared" si="4"/>
        <v>775</v>
      </c>
    </row>
    <row r="63" spans="1:10" ht="19.95" customHeight="1" x14ac:dyDescent="0.3">
      <c r="A63" s="42">
        <v>250078</v>
      </c>
      <c r="B63" s="42">
        <v>304</v>
      </c>
      <c r="C63" s="43">
        <v>1</v>
      </c>
      <c r="D63" s="43" t="s">
        <v>11</v>
      </c>
      <c r="E63" s="37" t="s">
        <v>204</v>
      </c>
      <c r="F63" s="42" t="s">
        <v>13</v>
      </c>
      <c r="G63" s="42">
        <v>304</v>
      </c>
      <c r="H63" s="41">
        <v>15</v>
      </c>
      <c r="I63" s="46"/>
      <c r="J63" s="41">
        <f t="shared" si="4"/>
        <v>15</v>
      </c>
    </row>
    <row r="64" spans="1:10" ht="19.95" customHeight="1" x14ac:dyDescent="0.3">
      <c r="A64" s="42">
        <v>250080</v>
      </c>
      <c r="B64" s="42">
        <v>304</v>
      </c>
      <c r="C64" s="43">
        <v>0.6</v>
      </c>
      <c r="D64" s="43" t="s">
        <v>11</v>
      </c>
      <c r="E64" s="37" t="s">
        <v>205</v>
      </c>
      <c r="F64" s="42" t="s">
        <v>13</v>
      </c>
      <c r="G64" s="42">
        <v>430</v>
      </c>
      <c r="H64" s="41">
        <v>300</v>
      </c>
      <c r="I64" s="46"/>
      <c r="J64" s="41">
        <f t="shared" si="4"/>
        <v>300</v>
      </c>
    </row>
    <row r="65" spans="1:10" ht="19.95" customHeight="1" x14ac:dyDescent="0.3">
      <c r="A65" s="42"/>
      <c r="B65" s="42"/>
      <c r="C65" s="43"/>
      <c r="D65" s="43"/>
      <c r="E65" s="37"/>
      <c r="F65" s="42"/>
      <c r="G65" s="42"/>
      <c r="H65" s="41"/>
      <c r="I65" s="46"/>
      <c r="J65" s="41">
        <f t="shared" si="4"/>
        <v>0</v>
      </c>
    </row>
    <row r="66" spans="1:10" ht="19.95" customHeight="1" x14ac:dyDescent="0.3">
      <c r="A66" s="61"/>
      <c r="B66" s="61"/>
      <c r="C66" s="61"/>
      <c r="D66" s="61"/>
      <c r="E66" s="48"/>
      <c r="F66" s="61"/>
      <c r="G66" s="49"/>
      <c r="H66" s="41">
        <f>SUM(H54:H65)</f>
        <v>4260</v>
      </c>
      <c r="I66" s="46">
        <f>SUM(I54:I65)</f>
        <v>0</v>
      </c>
      <c r="J66" s="41">
        <f>SUM(J54:J65)</f>
        <v>4260</v>
      </c>
    </row>
    <row r="67" spans="1:10" ht="19.95" customHeight="1" x14ac:dyDescent="0.3">
      <c r="A67" s="62"/>
      <c r="B67" s="62"/>
      <c r="C67" s="62"/>
      <c r="D67" s="62"/>
      <c r="E67" s="56"/>
      <c r="F67" s="62"/>
      <c r="G67" s="62"/>
      <c r="H67" s="57"/>
      <c r="I67" s="58"/>
      <c r="J67" s="57"/>
    </row>
    <row r="68" spans="1:10" ht="30" customHeight="1" x14ac:dyDescent="0.3">
      <c r="A68" s="100" t="s">
        <v>23</v>
      </c>
      <c r="B68" s="100"/>
      <c r="C68" s="100"/>
      <c r="D68" s="100"/>
      <c r="E68" s="100"/>
      <c r="F68" s="100"/>
      <c r="G68" s="100"/>
      <c r="H68" s="100"/>
      <c r="I68" s="100"/>
      <c r="J68" s="100"/>
    </row>
    <row r="69" spans="1:10" ht="30" customHeight="1" x14ac:dyDescent="0.3">
      <c r="A69" s="42" t="s">
        <v>1</v>
      </c>
      <c r="B69" s="42" t="s">
        <v>2</v>
      </c>
      <c r="C69" s="54" t="s">
        <v>3</v>
      </c>
      <c r="D69" s="54" t="s">
        <v>4</v>
      </c>
      <c r="E69" s="42" t="s">
        <v>5</v>
      </c>
      <c r="F69" s="54" t="s">
        <v>6</v>
      </c>
      <c r="G69" s="54" t="s">
        <v>7</v>
      </c>
      <c r="H69" s="42" t="s">
        <v>8</v>
      </c>
      <c r="I69" s="42" t="s">
        <v>9</v>
      </c>
      <c r="J69" s="42" t="s">
        <v>10</v>
      </c>
    </row>
    <row r="70" spans="1:10" ht="19.95" customHeight="1" x14ac:dyDescent="0.3">
      <c r="A70" s="42">
        <v>250080</v>
      </c>
      <c r="B70" s="42">
        <v>304</v>
      </c>
      <c r="C70" s="43">
        <v>0.6</v>
      </c>
      <c r="D70" s="43" t="s">
        <v>27</v>
      </c>
      <c r="E70" s="37" t="s">
        <v>206</v>
      </c>
      <c r="F70" s="42" t="s">
        <v>45</v>
      </c>
      <c r="G70" s="42">
        <v>430</v>
      </c>
      <c r="H70" s="41">
        <v>500</v>
      </c>
      <c r="I70" s="46"/>
      <c r="J70" s="41">
        <f t="shared" ref="J70:J78" si="5">H70-I70</f>
        <v>500</v>
      </c>
    </row>
    <row r="71" spans="1:10" ht="19.95" customHeight="1" x14ac:dyDescent="0.3">
      <c r="A71" s="42">
        <v>250080</v>
      </c>
      <c r="B71" s="42">
        <v>304</v>
      </c>
      <c r="C71" s="43">
        <v>0.6</v>
      </c>
      <c r="D71" s="43" t="s">
        <v>27</v>
      </c>
      <c r="E71" s="37" t="s">
        <v>207</v>
      </c>
      <c r="F71" s="42" t="s">
        <v>45</v>
      </c>
      <c r="G71" s="42">
        <v>430</v>
      </c>
      <c r="H71" s="41">
        <v>500</v>
      </c>
      <c r="I71" s="46"/>
      <c r="J71" s="41">
        <f t="shared" si="5"/>
        <v>500</v>
      </c>
    </row>
    <row r="72" spans="1:10" ht="19.95" customHeight="1" x14ac:dyDescent="0.3">
      <c r="A72" s="42">
        <v>250080</v>
      </c>
      <c r="B72" s="42">
        <v>304</v>
      </c>
      <c r="C72" s="43">
        <v>0.6</v>
      </c>
      <c r="D72" s="43" t="s">
        <v>11</v>
      </c>
      <c r="E72" s="37" t="s">
        <v>208</v>
      </c>
      <c r="F72" s="42" t="s">
        <v>13</v>
      </c>
      <c r="G72" s="42">
        <v>430</v>
      </c>
      <c r="H72" s="41">
        <v>300</v>
      </c>
      <c r="I72" s="46"/>
      <c r="J72" s="41">
        <f>H72-I72</f>
        <v>300</v>
      </c>
    </row>
    <row r="73" spans="1:10" ht="19.95" customHeight="1" x14ac:dyDescent="0.3">
      <c r="A73" s="42">
        <v>250078</v>
      </c>
      <c r="B73" s="42">
        <v>304</v>
      </c>
      <c r="C73" s="43">
        <v>0.7</v>
      </c>
      <c r="D73" s="43" t="s">
        <v>11</v>
      </c>
      <c r="E73" s="37" t="s">
        <v>209</v>
      </c>
      <c r="F73" s="42" t="s">
        <v>13</v>
      </c>
      <c r="G73" s="42">
        <v>304</v>
      </c>
      <c r="H73" s="41">
        <v>775</v>
      </c>
      <c r="I73" s="46"/>
      <c r="J73" s="41">
        <f>H73-I73</f>
        <v>775</v>
      </c>
    </row>
    <row r="74" spans="1:10" ht="19.95" customHeight="1" x14ac:dyDescent="0.3">
      <c r="A74" s="42">
        <v>250078</v>
      </c>
      <c r="B74" s="42">
        <v>304</v>
      </c>
      <c r="C74" s="43">
        <v>1</v>
      </c>
      <c r="D74" s="43" t="s">
        <v>11</v>
      </c>
      <c r="E74" s="37" t="s">
        <v>210</v>
      </c>
      <c r="F74" s="42" t="s">
        <v>13</v>
      </c>
      <c r="G74" s="42">
        <v>304</v>
      </c>
      <c r="H74" s="41">
        <v>15</v>
      </c>
      <c r="I74" s="46"/>
      <c r="J74" s="41">
        <f>H74-I74</f>
        <v>15</v>
      </c>
    </row>
    <row r="75" spans="1:10" ht="19.95" customHeight="1" x14ac:dyDescent="0.3">
      <c r="A75" s="42">
        <v>250042</v>
      </c>
      <c r="B75" s="42">
        <v>304</v>
      </c>
      <c r="C75" s="43">
        <v>0.9</v>
      </c>
      <c r="D75" s="43" t="s">
        <v>55</v>
      </c>
      <c r="E75" s="37" t="s">
        <v>211</v>
      </c>
      <c r="F75" s="42" t="s">
        <v>52</v>
      </c>
      <c r="G75" s="42">
        <v>304</v>
      </c>
      <c r="H75" s="41">
        <v>750</v>
      </c>
      <c r="I75" s="46"/>
      <c r="J75" s="41">
        <f>H75-I75</f>
        <v>750</v>
      </c>
    </row>
    <row r="76" spans="1:10" ht="19.95" customHeight="1" x14ac:dyDescent="0.3">
      <c r="A76" s="42">
        <v>250057</v>
      </c>
      <c r="B76" s="42">
        <v>304</v>
      </c>
      <c r="C76" s="43">
        <v>0.7</v>
      </c>
      <c r="D76" s="43" t="s">
        <v>55</v>
      </c>
      <c r="E76" s="37" t="s">
        <v>212</v>
      </c>
      <c r="F76" s="42" t="s">
        <v>52</v>
      </c>
      <c r="G76" s="42">
        <v>304</v>
      </c>
      <c r="H76" s="41">
        <v>395</v>
      </c>
      <c r="I76" s="46"/>
      <c r="J76" s="41">
        <f t="shared" si="5"/>
        <v>395</v>
      </c>
    </row>
    <row r="77" spans="1:10" ht="19.95" customHeight="1" x14ac:dyDescent="0.3">
      <c r="A77" s="42">
        <v>250057</v>
      </c>
      <c r="B77" s="42">
        <v>304</v>
      </c>
      <c r="C77" s="43">
        <v>1</v>
      </c>
      <c r="D77" s="43" t="s">
        <v>55</v>
      </c>
      <c r="E77" s="37" t="s">
        <v>213</v>
      </c>
      <c r="F77" s="42" t="s">
        <v>52</v>
      </c>
      <c r="G77" s="42">
        <v>304</v>
      </c>
      <c r="H77" s="41">
        <v>15</v>
      </c>
      <c r="I77" s="46"/>
      <c r="J77" s="41">
        <f t="shared" si="5"/>
        <v>15</v>
      </c>
    </row>
    <row r="78" spans="1:10" ht="19.95" customHeight="1" x14ac:dyDescent="0.3">
      <c r="A78" s="42"/>
      <c r="B78" s="42"/>
      <c r="C78" s="43"/>
      <c r="D78" s="43"/>
      <c r="E78" s="37"/>
      <c r="F78" s="42"/>
      <c r="G78" s="42"/>
      <c r="H78" s="41"/>
      <c r="I78" s="46"/>
      <c r="J78" s="41">
        <f t="shared" si="5"/>
        <v>0</v>
      </c>
    </row>
    <row r="79" spans="1:10" ht="19.95" customHeight="1" x14ac:dyDescent="0.3">
      <c r="A79" s="101"/>
      <c r="B79" s="101"/>
      <c r="C79" s="101"/>
      <c r="D79" s="101"/>
      <c r="E79" s="101"/>
      <c r="F79" s="101"/>
      <c r="G79" s="101"/>
      <c r="H79" s="41">
        <f>SUM(H70:H78)</f>
        <v>3250</v>
      </c>
      <c r="I79" s="46">
        <f>SUM(I70:I78)</f>
        <v>0</v>
      </c>
      <c r="J79" s="41">
        <f>SUM(J70:J78)</f>
        <v>3250</v>
      </c>
    </row>
    <row r="80" spans="1:10" x14ac:dyDescent="0.3">
      <c r="A80" s="102"/>
      <c r="B80" s="102"/>
      <c r="C80" s="102"/>
      <c r="D80" s="102"/>
      <c r="E80" s="102"/>
      <c r="F80" s="102"/>
      <c r="G80" s="102"/>
    </row>
    <row r="81" spans="1:10" ht="15.6" x14ac:dyDescent="0.3">
      <c r="H81" s="8">
        <f>H79+H66+H50+H39+H28+H18</f>
        <v>23138</v>
      </c>
      <c r="I81" s="8">
        <f>I79+I66+I50+I39+I28+I18</f>
        <v>10278</v>
      </c>
      <c r="J81" s="8">
        <f>J79+J66+J50+J39+J28+J18</f>
        <v>12860</v>
      </c>
    </row>
    <row r="83" spans="1:10" ht="23.4" x14ac:dyDescent="0.3">
      <c r="A83" s="95" t="s">
        <v>14</v>
      </c>
      <c r="B83" s="95"/>
      <c r="C83" s="95"/>
      <c r="D83" s="95"/>
      <c r="E83" s="95"/>
      <c r="F83" s="95"/>
      <c r="G83" s="95"/>
      <c r="H83" s="95"/>
      <c r="I83" s="95"/>
      <c r="J83" s="95"/>
    </row>
  </sheetData>
  <mergeCells count="10">
    <mergeCell ref="A52:J52"/>
    <mergeCell ref="A68:J68"/>
    <mergeCell ref="A79:G80"/>
    <mergeCell ref="A83:J83"/>
    <mergeCell ref="H1:J1"/>
    <mergeCell ref="A2:J2"/>
    <mergeCell ref="A3:J3"/>
    <mergeCell ref="A20:J20"/>
    <mergeCell ref="A30:J30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7" fitToHeight="0"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3"/>
  <sheetViews>
    <sheetView topLeftCell="A52" zoomScale="85" zoomScaleNormal="85" workbookViewId="0">
      <selection activeCell="E55" sqref="E55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9.109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181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250057</v>
      </c>
      <c r="B5" s="42">
        <v>304</v>
      </c>
      <c r="C5" s="43">
        <v>0.7</v>
      </c>
      <c r="D5" s="43" t="s">
        <v>11</v>
      </c>
      <c r="E5" s="37" t="s">
        <v>166</v>
      </c>
      <c r="F5" s="42" t="s">
        <v>13</v>
      </c>
      <c r="G5" s="42">
        <v>304</v>
      </c>
      <c r="H5" s="32">
        <v>395</v>
      </c>
      <c r="I5" s="40">
        <v>421</v>
      </c>
      <c r="J5" s="32">
        <f t="shared" ref="J5:J17" si="0">H5-I5</f>
        <v>-26</v>
      </c>
    </row>
    <row r="6" spans="1:10" ht="19.95" customHeight="1" x14ac:dyDescent="0.3">
      <c r="A6" s="42">
        <v>250057</v>
      </c>
      <c r="B6" s="42">
        <v>304</v>
      </c>
      <c r="C6" s="43">
        <v>1</v>
      </c>
      <c r="D6" s="43" t="s">
        <v>11</v>
      </c>
      <c r="E6" s="37" t="s">
        <v>167</v>
      </c>
      <c r="F6" s="42" t="s">
        <v>13</v>
      </c>
      <c r="G6" s="42">
        <v>304</v>
      </c>
      <c r="H6" s="32">
        <v>15</v>
      </c>
      <c r="I6" s="40">
        <v>16</v>
      </c>
      <c r="J6" s="32">
        <f t="shared" si="0"/>
        <v>-1</v>
      </c>
    </row>
    <row r="7" spans="1:10" ht="19.95" customHeight="1" x14ac:dyDescent="0.3">
      <c r="A7" s="42">
        <v>250057</v>
      </c>
      <c r="B7" s="42">
        <v>304</v>
      </c>
      <c r="C7" s="43">
        <v>0.7</v>
      </c>
      <c r="D7" s="43" t="s">
        <v>96</v>
      </c>
      <c r="E7" s="37" t="s">
        <v>155</v>
      </c>
      <c r="F7" s="42" t="s">
        <v>41</v>
      </c>
      <c r="G7" s="42">
        <v>304</v>
      </c>
      <c r="H7" s="32">
        <v>395</v>
      </c>
      <c r="I7" s="40">
        <v>474</v>
      </c>
      <c r="J7" s="32">
        <f t="shared" si="0"/>
        <v>-79</v>
      </c>
    </row>
    <row r="8" spans="1:10" ht="19.95" customHeight="1" x14ac:dyDescent="0.3">
      <c r="A8" s="42">
        <v>250057</v>
      </c>
      <c r="B8" s="42">
        <v>304</v>
      </c>
      <c r="C8" s="43">
        <v>1</v>
      </c>
      <c r="D8" s="43" t="s">
        <v>96</v>
      </c>
      <c r="E8" s="37" t="s">
        <v>156</v>
      </c>
      <c r="F8" s="42" t="s">
        <v>41</v>
      </c>
      <c r="G8" s="42">
        <v>304</v>
      </c>
      <c r="H8" s="32">
        <v>15</v>
      </c>
      <c r="I8" s="40">
        <v>30</v>
      </c>
      <c r="J8" s="32">
        <f t="shared" si="0"/>
        <v>-15</v>
      </c>
    </row>
    <row r="9" spans="1:10" ht="19.95" customHeight="1" x14ac:dyDescent="0.3">
      <c r="A9" s="42">
        <v>250061</v>
      </c>
      <c r="B9" s="42">
        <v>304</v>
      </c>
      <c r="C9" s="43">
        <v>0.7</v>
      </c>
      <c r="D9" s="43" t="s">
        <v>96</v>
      </c>
      <c r="E9" s="37" t="s">
        <v>157</v>
      </c>
      <c r="F9" s="42" t="s">
        <v>41</v>
      </c>
      <c r="G9" s="42">
        <v>304</v>
      </c>
      <c r="H9" s="32">
        <v>525</v>
      </c>
      <c r="I9" s="40">
        <v>592</v>
      </c>
      <c r="J9" s="32">
        <f t="shared" si="0"/>
        <v>-67</v>
      </c>
    </row>
    <row r="10" spans="1:10" ht="19.95" customHeight="1" x14ac:dyDescent="0.3">
      <c r="A10" s="42">
        <v>250061</v>
      </c>
      <c r="B10" s="42">
        <v>304</v>
      </c>
      <c r="C10" s="43">
        <v>1</v>
      </c>
      <c r="D10" s="43" t="s">
        <v>96</v>
      </c>
      <c r="E10" s="37" t="s">
        <v>158</v>
      </c>
      <c r="F10" s="42" t="s">
        <v>41</v>
      </c>
      <c r="G10" s="42">
        <v>304</v>
      </c>
      <c r="H10" s="32">
        <v>15</v>
      </c>
      <c r="I10" s="40">
        <v>30</v>
      </c>
      <c r="J10" s="32">
        <f t="shared" si="0"/>
        <v>-15</v>
      </c>
    </row>
    <row r="11" spans="1:10" ht="19.95" customHeight="1" x14ac:dyDescent="0.3">
      <c r="A11" s="42">
        <v>230925</v>
      </c>
      <c r="B11" s="42">
        <v>430</v>
      </c>
      <c r="C11" s="43">
        <v>0.8</v>
      </c>
      <c r="D11" s="43" t="s">
        <v>11</v>
      </c>
      <c r="E11" s="37" t="s">
        <v>163</v>
      </c>
      <c r="F11" s="42" t="s">
        <v>41</v>
      </c>
      <c r="G11" s="42">
        <v>430</v>
      </c>
      <c r="H11" s="32">
        <v>1058</v>
      </c>
      <c r="I11" s="40">
        <v>1046</v>
      </c>
      <c r="J11" s="32">
        <f t="shared" si="0"/>
        <v>12</v>
      </c>
    </row>
    <row r="12" spans="1:10" ht="19.95" customHeight="1" x14ac:dyDescent="0.3">
      <c r="A12" s="42">
        <v>250052</v>
      </c>
      <c r="B12" s="42">
        <v>304</v>
      </c>
      <c r="C12" s="43">
        <v>0.7</v>
      </c>
      <c r="D12" s="43" t="s">
        <v>11</v>
      </c>
      <c r="E12" s="37" t="s">
        <v>168</v>
      </c>
      <c r="F12" s="42" t="s">
        <v>13</v>
      </c>
      <c r="G12" s="42">
        <v>304</v>
      </c>
      <c r="H12" s="32">
        <v>785</v>
      </c>
      <c r="I12" s="40">
        <v>792</v>
      </c>
      <c r="J12" s="32">
        <f t="shared" si="0"/>
        <v>-7</v>
      </c>
    </row>
    <row r="13" spans="1:10" ht="19.95" customHeight="1" x14ac:dyDescent="0.3">
      <c r="A13" s="42">
        <v>250052</v>
      </c>
      <c r="B13" s="42">
        <v>304</v>
      </c>
      <c r="C13" s="43">
        <v>1</v>
      </c>
      <c r="D13" s="43" t="s">
        <v>11</v>
      </c>
      <c r="E13" s="37" t="s">
        <v>168</v>
      </c>
      <c r="F13" s="42" t="s">
        <v>13</v>
      </c>
      <c r="G13" s="42">
        <v>304</v>
      </c>
      <c r="H13" s="32">
        <v>15</v>
      </c>
      <c r="I13" s="40">
        <v>15</v>
      </c>
      <c r="J13" s="32">
        <f t="shared" si="0"/>
        <v>0</v>
      </c>
    </row>
    <row r="14" spans="1:10" ht="19.95" customHeight="1" x14ac:dyDescent="0.3">
      <c r="A14" s="42">
        <v>250057</v>
      </c>
      <c r="B14" s="42">
        <v>304</v>
      </c>
      <c r="C14" s="43">
        <v>0.7</v>
      </c>
      <c r="D14" s="43" t="s">
        <v>11</v>
      </c>
      <c r="E14" s="37" t="s">
        <v>172</v>
      </c>
      <c r="F14" s="42" t="s">
        <v>13</v>
      </c>
      <c r="G14" s="42">
        <v>304</v>
      </c>
      <c r="H14" s="32">
        <v>395</v>
      </c>
      <c r="I14" s="40">
        <v>431</v>
      </c>
      <c r="J14" s="32">
        <f t="shared" si="0"/>
        <v>-36</v>
      </c>
    </row>
    <row r="15" spans="1:10" ht="19.95" customHeight="1" x14ac:dyDescent="0.3">
      <c r="A15" s="42">
        <v>250057</v>
      </c>
      <c r="B15" s="42">
        <v>304</v>
      </c>
      <c r="C15" s="43">
        <v>1</v>
      </c>
      <c r="D15" s="43" t="s">
        <v>11</v>
      </c>
      <c r="E15" s="37" t="s">
        <v>173</v>
      </c>
      <c r="F15" s="42" t="s">
        <v>13</v>
      </c>
      <c r="G15" s="42">
        <v>304</v>
      </c>
      <c r="H15" s="32">
        <v>15</v>
      </c>
      <c r="I15" s="40">
        <v>17</v>
      </c>
      <c r="J15" s="32">
        <f t="shared" si="0"/>
        <v>-2</v>
      </c>
    </row>
    <row r="16" spans="1:10" ht="19.95" customHeight="1" x14ac:dyDescent="0.3">
      <c r="A16" s="42">
        <v>250042</v>
      </c>
      <c r="B16" s="42">
        <v>304</v>
      </c>
      <c r="C16" s="43">
        <v>0.9</v>
      </c>
      <c r="D16" s="43" t="s">
        <v>55</v>
      </c>
      <c r="E16" s="37" t="s">
        <v>178</v>
      </c>
      <c r="F16" s="42" t="s">
        <v>177</v>
      </c>
      <c r="G16" s="42">
        <v>304</v>
      </c>
      <c r="H16" s="32">
        <v>750</v>
      </c>
      <c r="I16" s="40">
        <v>775</v>
      </c>
      <c r="J16" s="32">
        <f t="shared" si="0"/>
        <v>-25</v>
      </c>
    </row>
    <row r="17" spans="1:10" ht="19.95" customHeight="1" x14ac:dyDescent="0.3">
      <c r="A17" s="42"/>
      <c r="B17" s="42"/>
      <c r="C17" s="43"/>
      <c r="D17" s="43"/>
      <c r="E17" s="37"/>
      <c r="F17" s="42"/>
      <c r="G17" s="42"/>
      <c r="H17" s="32"/>
      <c r="I17" s="40"/>
      <c r="J17" s="32">
        <f t="shared" si="0"/>
        <v>0</v>
      </c>
    </row>
    <row r="18" spans="1:10" ht="19.95" customHeight="1" x14ac:dyDescent="0.3">
      <c r="A18" s="63"/>
      <c r="B18" s="63"/>
      <c r="C18" s="63"/>
      <c r="D18" s="63"/>
      <c r="E18" s="48"/>
      <c r="F18" s="63"/>
      <c r="G18" s="49"/>
      <c r="H18" s="45">
        <f>SUM(H5:H17)</f>
        <v>4378</v>
      </c>
      <c r="I18" s="44">
        <f>SUM(I5:I17)</f>
        <v>4639</v>
      </c>
      <c r="J18" s="32">
        <f>SUM(J5:J17)</f>
        <v>-261</v>
      </c>
    </row>
    <row r="19" spans="1:10" x14ac:dyDescent="0.3">
      <c r="A19" s="52"/>
      <c r="B19" s="52"/>
      <c r="C19" s="52"/>
      <c r="D19" s="52"/>
      <c r="E19" s="52"/>
      <c r="F19" s="53"/>
      <c r="G19" s="52"/>
      <c r="H19" s="52"/>
      <c r="I19" s="52"/>
      <c r="J19" s="52"/>
    </row>
    <row r="20" spans="1:10" ht="30" customHeight="1" x14ac:dyDescent="0.3">
      <c r="A20" s="100" t="s">
        <v>17</v>
      </c>
      <c r="B20" s="100"/>
      <c r="C20" s="100"/>
      <c r="D20" s="100"/>
      <c r="E20" s="100"/>
      <c r="F20" s="100"/>
      <c r="G20" s="100"/>
      <c r="H20" s="100"/>
      <c r="I20" s="100"/>
      <c r="J20" s="100"/>
    </row>
    <row r="21" spans="1:10" ht="30" customHeight="1" x14ac:dyDescent="0.3">
      <c r="A21" s="42" t="s">
        <v>1</v>
      </c>
      <c r="B21" s="42" t="s">
        <v>2</v>
      </c>
      <c r="C21" s="54" t="s">
        <v>3</v>
      </c>
      <c r="D21" s="54" t="s">
        <v>4</v>
      </c>
      <c r="E21" s="42" t="s">
        <v>5</v>
      </c>
      <c r="F21" s="54" t="s">
        <v>6</v>
      </c>
      <c r="G21" s="54" t="s">
        <v>7</v>
      </c>
      <c r="H21" s="42" t="s">
        <v>8</v>
      </c>
      <c r="I21" s="42" t="s">
        <v>9</v>
      </c>
      <c r="J21" s="42" t="s">
        <v>10</v>
      </c>
    </row>
    <row r="22" spans="1:10" ht="19.95" customHeight="1" x14ac:dyDescent="0.3">
      <c r="A22" s="42">
        <v>160925</v>
      </c>
      <c r="B22" s="42">
        <v>304</v>
      </c>
      <c r="C22" s="43">
        <v>0.9</v>
      </c>
      <c r="D22" s="43" t="s">
        <v>55</v>
      </c>
      <c r="E22" s="37" t="s">
        <v>176</v>
      </c>
      <c r="F22" s="42" t="s">
        <v>177</v>
      </c>
      <c r="G22" s="42">
        <v>430</v>
      </c>
      <c r="H22" s="32">
        <v>1100</v>
      </c>
      <c r="I22" s="40">
        <f>507+573</f>
        <v>1080</v>
      </c>
      <c r="J22" s="32">
        <f t="shared" ref="J22:J27" si="1">H22-I22</f>
        <v>20</v>
      </c>
    </row>
    <row r="23" spans="1:10" ht="19.95" customHeight="1" x14ac:dyDescent="0.3">
      <c r="A23" s="42">
        <v>250042</v>
      </c>
      <c r="B23" s="42">
        <v>304</v>
      </c>
      <c r="C23" s="43">
        <v>0.9</v>
      </c>
      <c r="D23" s="43" t="s">
        <v>55</v>
      </c>
      <c r="E23" s="37" t="s">
        <v>179</v>
      </c>
      <c r="F23" s="42" t="s">
        <v>177</v>
      </c>
      <c r="G23" s="42">
        <v>304</v>
      </c>
      <c r="H23" s="32">
        <v>750</v>
      </c>
      <c r="I23" s="40">
        <v>811</v>
      </c>
      <c r="J23" s="32">
        <f t="shared" si="1"/>
        <v>-61</v>
      </c>
    </row>
    <row r="24" spans="1:10" ht="19.95" customHeight="1" x14ac:dyDescent="0.3">
      <c r="A24" s="42">
        <v>250049</v>
      </c>
      <c r="B24" s="42">
        <v>304</v>
      </c>
      <c r="C24" s="43">
        <v>0.9</v>
      </c>
      <c r="D24" s="43" t="s">
        <v>55</v>
      </c>
      <c r="E24" s="37" t="s">
        <v>193</v>
      </c>
      <c r="F24" s="42" t="s">
        <v>177</v>
      </c>
      <c r="G24" s="42">
        <v>430</v>
      </c>
      <c r="H24" s="32">
        <v>450</v>
      </c>
      <c r="I24" s="40">
        <v>468</v>
      </c>
      <c r="J24" s="32">
        <f t="shared" si="1"/>
        <v>-18</v>
      </c>
    </row>
    <row r="25" spans="1:10" ht="19.95" customHeight="1" x14ac:dyDescent="0.3">
      <c r="A25" s="42">
        <v>21025</v>
      </c>
      <c r="B25" s="42">
        <v>304</v>
      </c>
      <c r="C25" s="43">
        <v>0.6</v>
      </c>
      <c r="D25" s="43" t="s">
        <v>55</v>
      </c>
      <c r="E25" s="37" t="s">
        <v>182</v>
      </c>
      <c r="F25" s="42" t="s">
        <v>45</v>
      </c>
      <c r="G25" s="42">
        <v>430</v>
      </c>
      <c r="H25" s="32">
        <v>1000</v>
      </c>
      <c r="I25" s="40">
        <v>1020</v>
      </c>
      <c r="J25" s="32">
        <f t="shared" si="1"/>
        <v>-20</v>
      </c>
    </row>
    <row r="26" spans="1:10" ht="19.95" customHeight="1" x14ac:dyDescent="0.3">
      <c r="A26" s="42">
        <v>21025</v>
      </c>
      <c r="B26" s="42">
        <v>304</v>
      </c>
      <c r="C26" s="43">
        <v>0.6</v>
      </c>
      <c r="D26" s="43" t="s">
        <v>55</v>
      </c>
      <c r="E26" s="37" t="s">
        <v>183</v>
      </c>
      <c r="F26" s="42" t="s">
        <v>107</v>
      </c>
      <c r="G26" s="42">
        <v>430</v>
      </c>
      <c r="H26" s="32">
        <v>1000</v>
      </c>
      <c r="I26" s="40">
        <v>1018</v>
      </c>
      <c r="J26" s="32">
        <f t="shared" si="1"/>
        <v>-18</v>
      </c>
    </row>
    <row r="27" spans="1:10" ht="19.95" customHeight="1" x14ac:dyDescent="0.3">
      <c r="A27" s="42"/>
      <c r="B27" s="42"/>
      <c r="C27" s="43"/>
      <c r="D27" s="43"/>
      <c r="E27" s="37"/>
      <c r="F27" s="42"/>
      <c r="G27" s="42"/>
      <c r="H27" s="32"/>
      <c r="I27" s="40"/>
      <c r="J27" s="32">
        <f t="shared" si="1"/>
        <v>0</v>
      </c>
    </row>
    <row r="28" spans="1:10" ht="19.95" customHeight="1" x14ac:dyDescent="0.3">
      <c r="A28" s="63"/>
      <c r="B28" s="63"/>
      <c r="C28" s="63"/>
      <c r="D28" s="63"/>
      <c r="E28" s="48"/>
      <c r="F28" s="63"/>
      <c r="G28" s="49"/>
      <c r="H28" s="32">
        <f>SUM(H22:H27)</f>
        <v>4300</v>
      </c>
      <c r="I28" s="40">
        <f>SUM(I22:I27)</f>
        <v>4397</v>
      </c>
      <c r="J28" s="32">
        <f>SUM(J22:J27)</f>
        <v>-97</v>
      </c>
    </row>
    <row r="29" spans="1:10" x14ac:dyDescent="0.3">
      <c r="A29" s="52"/>
      <c r="B29" s="52"/>
      <c r="C29" s="52"/>
      <c r="D29" s="52"/>
      <c r="E29" s="52"/>
      <c r="F29" s="53"/>
      <c r="G29" s="52"/>
      <c r="H29" s="52"/>
      <c r="I29" s="52"/>
      <c r="J29" s="52"/>
    </row>
    <row r="30" spans="1:10" ht="30" customHeight="1" x14ac:dyDescent="0.3">
      <c r="A30" s="100" t="s">
        <v>18</v>
      </c>
      <c r="B30" s="100"/>
      <c r="C30" s="100"/>
      <c r="D30" s="100"/>
      <c r="E30" s="100"/>
      <c r="F30" s="100"/>
      <c r="G30" s="100"/>
      <c r="H30" s="100"/>
      <c r="I30" s="100"/>
      <c r="J30" s="100"/>
    </row>
    <row r="31" spans="1:10" ht="30" customHeight="1" x14ac:dyDescent="0.3">
      <c r="A31" s="42" t="s">
        <v>1</v>
      </c>
      <c r="B31" s="42" t="s">
        <v>2</v>
      </c>
      <c r="C31" s="54" t="s">
        <v>3</v>
      </c>
      <c r="D31" s="54" t="s">
        <v>4</v>
      </c>
      <c r="E31" s="42" t="s">
        <v>5</v>
      </c>
      <c r="F31" s="54" t="s">
        <v>6</v>
      </c>
      <c r="G31" s="54" t="s">
        <v>7</v>
      </c>
      <c r="H31" s="42" t="s">
        <v>8</v>
      </c>
      <c r="I31" s="42" t="s">
        <v>9</v>
      </c>
      <c r="J31" s="42" t="s">
        <v>10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184</v>
      </c>
      <c r="F32" s="42" t="s">
        <v>45</v>
      </c>
      <c r="G32" s="42">
        <v>430</v>
      </c>
      <c r="H32" s="32">
        <v>500</v>
      </c>
      <c r="I32" s="40">
        <f>217+288</f>
        <v>505</v>
      </c>
      <c r="J32" s="32">
        <f t="shared" ref="J32:J38" si="2">H32-I32</f>
        <v>-5</v>
      </c>
    </row>
    <row r="33" spans="1:10" ht="19.95" customHeight="1" x14ac:dyDescent="0.3">
      <c r="A33" s="42">
        <v>21025</v>
      </c>
      <c r="B33" s="42">
        <v>304</v>
      </c>
      <c r="C33" s="43">
        <v>0.6</v>
      </c>
      <c r="D33" s="43" t="s">
        <v>55</v>
      </c>
      <c r="E33" s="37" t="s">
        <v>185</v>
      </c>
      <c r="F33" s="42" t="s">
        <v>45</v>
      </c>
      <c r="G33" s="42">
        <v>430</v>
      </c>
      <c r="H33" s="33">
        <v>1000</v>
      </c>
      <c r="I33" s="46"/>
      <c r="J33" s="41">
        <f t="shared" si="2"/>
        <v>1000</v>
      </c>
    </row>
    <row r="34" spans="1:10" ht="19.95" customHeight="1" x14ac:dyDescent="0.3">
      <c r="A34" s="42">
        <v>21025</v>
      </c>
      <c r="B34" s="42">
        <v>304</v>
      </c>
      <c r="C34" s="43">
        <v>0.6</v>
      </c>
      <c r="D34" s="43" t="s">
        <v>55</v>
      </c>
      <c r="E34" s="37" t="s">
        <v>186</v>
      </c>
      <c r="F34" s="42" t="s">
        <v>45</v>
      </c>
      <c r="G34" s="42">
        <v>430</v>
      </c>
      <c r="H34" s="33">
        <v>1000</v>
      </c>
      <c r="I34" s="46"/>
      <c r="J34" s="41">
        <f t="shared" si="2"/>
        <v>1000</v>
      </c>
    </row>
    <row r="35" spans="1:10" ht="19.95" customHeight="1" x14ac:dyDescent="0.3">
      <c r="A35" s="42">
        <v>21025</v>
      </c>
      <c r="B35" s="42">
        <v>304</v>
      </c>
      <c r="C35" s="43">
        <v>0.6</v>
      </c>
      <c r="D35" s="43" t="s">
        <v>55</v>
      </c>
      <c r="E35" s="37" t="s">
        <v>187</v>
      </c>
      <c r="F35" s="42" t="s">
        <v>45</v>
      </c>
      <c r="G35" s="42">
        <v>430</v>
      </c>
      <c r="H35" s="33">
        <v>500</v>
      </c>
      <c r="I35" s="46">
        <v>513</v>
      </c>
      <c r="J35" s="41">
        <f t="shared" si="2"/>
        <v>-13</v>
      </c>
    </row>
    <row r="36" spans="1:10" ht="19.95" customHeight="1" x14ac:dyDescent="0.3">
      <c r="A36" s="42">
        <v>21025</v>
      </c>
      <c r="B36" s="42">
        <v>304</v>
      </c>
      <c r="C36" s="43">
        <v>0.6</v>
      </c>
      <c r="D36" s="43" t="s">
        <v>55</v>
      </c>
      <c r="E36" s="37" t="s">
        <v>188</v>
      </c>
      <c r="F36" s="42" t="s">
        <v>45</v>
      </c>
      <c r="G36" s="42">
        <v>430</v>
      </c>
      <c r="H36" s="32">
        <v>1000</v>
      </c>
      <c r="I36" s="40">
        <v>1030</v>
      </c>
      <c r="J36" s="32">
        <f t="shared" si="2"/>
        <v>-30</v>
      </c>
    </row>
    <row r="37" spans="1:10" ht="19.95" customHeight="1" x14ac:dyDescent="0.3">
      <c r="A37" s="42">
        <v>21025</v>
      </c>
      <c r="B37" s="42">
        <v>304</v>
      </c>
      <c r="C37" s="43">
        <v>0.6</v>
      </c>
      <c r="D37" s="43" t="s">
        <v>55</v>
      </c>
      <c r="E37" s="37" t="s">
        <v>189</v>
      </c>
      <c r="F37" s="42" t="s">
        <v>45</v>
      </c>
      <c r="G37" s="42">
        <v>430</v>
      </c>
      <c r="H37" s="32">
        <v>1000</v>
      </c>
      <c r="I37" s="40">
        <v>1025</v>
      </c>
      <c r="J37" s="32">
        <f t="shared" si="2"/>
        <v>-25</v>
      </c>
    </row>
    <row r="38" spans="1:10" ht="19.95" customHeight="1" x14ac:dyDescent="0.3">
      <c r="A38" s="42"/>
      <c r="B38" s="42"/>
      <c r="C38" s="43"/>
      <c r="D38" s="43"/>
      <c r="E38" s="37"/>
      <c r="F38" s="42"/>
      <c r="G38" s="42"/>
      <c r="H38" s="41"/>
      <c r="I38" s="46"/>
      <c r="J38" s="41">
        <f t="shared" si="2"/>
        <v>0</v>
      </c>
    </row>
    <row r="39" spans="1:10" ht="19.95" customHeight="1" x14ac:dyDescent="0.3">
      <c r="A39" s="63"/>
      <c r="B39" s="63"/>
      <c r="C39" s="63"/>
      <c r="D39" s="63"/>
      <c r="E39" s="48"/>
      <c r="F39" s="63"/>
      <c r="G39" s="49"/>
      <c r="H39" s="41">
        <f>SUM(H32:H38)</f>
        <v>5000</v>
      </c>
      <c r="I39" s="46">
        <f>SUM(I32:I38)</f>
        <v>3073</v>
      </c>
      <c r="J39" s="41">
        <f>SUM(J32:J38)</f>
        <v>1927</v>
      </c>
    </row>
    <row r="40" spans="1:10" x14ac:dyDescent="0.3">
      <c r="A40" s="52"/>
      <c r="B40" s="52"/>
      <c r="C40" s="52"/>
      <c r="D40" s="52"/>
      <c r="E40" s="52"/>
      <c r="F40" s="53"/>
      <c r="G40" s="52"/>
      <c r="H40" s="52"/>
      <c r="I40" s="52"/>
      <c r="J40" s="52"/>
    </row>
    <row r="41" spans="1:10" ht="30" customHeight="1" x14ac:dyDescent="0.3">
      <c r="A41" s="100" t="s">
        <v>20</v>
      </c>
      <c r="B41" s="100"/>
      <c r="C41" s="100"/>
      <c r="D41" s="100"/>
      <c r="E41" s="100"/>
      <c r="F41" s="100"/>
      <c r="G41" s="100"/>
      <c r="H41" s="100"/>
      <c r="I41" s="100"/>
      <c r="J41" s="100"/>
    </row>
    <row r="42" spans="1:10" ht="30" customHeight="1" x14ac:dyDescent="0.3">
      <c r="A42" s="42" t="s">
        <v>1</v>
      </c>
      <c r="B42" s="42" t="s">
        <v>2</v>
      </c>
      <c r="C42" s="54" t="s">
        <v>3</v>
      </c>
      <c r="D42" s="54" t="s">
        <v>4</v>
      </c>
      <c r="E42" s="42" t="s">
        <v>5</v>
      </c>
      <c r="F42" s="54" t="s">
        <v>6</v>
      </c>
      <c r="G42" s="54" t="s">
        <v>7</v>
      </c>
      <c r="H42" s="42" t="s">
        <v>8</v>
      </c>
      <c r="I42" s="42" t="s">
        <v>9</v>
      </c>
      <c r="J42" s="42" t="s">
        <v>10</v>
      </c>
    </row>
    <row r="43" spans="1:10" ht="19.95" customHeight="1" x14ac:dyDescent="0.3">
      <c r="A43" s="42">
        <v>250057</v>
      </c>
      <c r="B43" s="42">
        <v>304</v>
      </c>
      <c r="C43" s="43">
        <v>0.7</v>
      </c>
      <c r="D43" s="43" t="s">
        <v>43</v>
      </c>
      <c r="E43" s="37" t="s">
        <v>169</v>
      </c>
      <c r="F43" s="42" t="s">
        <v>170</v>
      </c>
      <c r="G43" s="42">
        <v>304</v>
      </c>
      <c r="H43" s="41">
        <v>395</v>
      </c>
      <c r="I43" s="46"/>
      <c r="J43" s="41">
        <f>H43-I43</f>
        <v>395</v>
      </c>
    </row>
    <row r="44" spans="1:10" ht="19.95" customHeight="1" x14ac:dyDescent="0.3">
      <c r="A44" s="42">
        <v>250061</v>
      </c>
      <c r="B44" s="42">
        <v>304</v>
      </c>
      <c r="C44" s="43">
        <v>0.7</v>
      </c>
      <c r="D44" s="43" t="s">
        <v>43</v>
      </c>
      <c r="E44" s="37" t="s">
        <v>169</v>
      </c>
      <c r="F44" s="42" t="s">
        <v>171</v>
      </c>
      <c r="G44" s="42">
        <v>304</v>
      </c>
      <c r="H44" s="41">
        <v>525</v>
      </c>
      <c r="I44" s="46"/>
      <c r="J44" s="41">
        <f>H44-I44</f>
        <v>525</v>
      </c>
    </row>
    <row r="45" spans="1:10" ht="19.95" customHeight="1" x14ac:dyDescent="0.3">
      <c r="A45" s="42">
        <v>250079</v>
      </c>
      <c r="B45" s="42">
        <v>304</v>
      </c>
      <c r="C45" s="43">
        <v>0.7</v>
      </c>
      <c r="D45" s="43" t="s">
        <v>43</v>
      </c>
      <c r="E45" s="37" t="s">
        <v>192</v>
      </c>
      <c r="F45" s="42" t="s">
        <v>171</v>
      </c>
      <c r="G45" s="42">
        <v>304</v>
      </c>
      <c r="H45" s="41">
        <v>952</v>
      </c>
      <c r="I45" s="46"/>
      <c r="J45" s="41">
        <f>H45-I45</f>
        <v>952</v>
      </c>
    </row>
    <row r="46" spans="1:10" ht="31.8" customHeight="1" x14ac:dyDescent="0.3">
      <c r="A46" s="42">
        <v>250079</v>
      </c>
      <c r="B46" s="42">
        <v>304</v>
      </c>
      <c r="C46" s="43">
        <v>1</v>
      </c>
      <c r="D46" s="43" t="s">
        <v>43</v>
      </c>
      <c r="E46" s="66" t="s">
        <v>195</v>
      </c>
      <c r="F46" s="42" t="s">
        <v>171</v>
      </c>
      <c r="G46" s="42">
        <v>304</v>
      </c>
      <c r="H46" s="41">
        <v>48</v>
      </c>
      <c r="I46" s="46"/>
      <c r="J46" s="41">
        <f t="shared" ref="J46:J49" si="3">H46-I46</f>
        <v>48</v>
      </c>
    </row>
    <row r="47" spans="1:10" ht="19.95" customHeight="1" x14ac:dyDescent="0.3">
      <c r="A47" s="42">
        <v>250057</v>
      </c>
      <c r="B47" s="42">
        <v>304</v>
      </c>
      <c r="C47" s="43">
        <v>1</v>
      </c>
      <c r="D47" s="43" t="s">
        <v>43</v>
      </c>
      <c r="E47" s="37" t="s">
        <v>190</v>
      </c>
      <c r="F47" s="42" t="s">
        <v>170</v>
      </c>
      <c r="G47" s="42">
        <v>304</v>
      </c>
      <c r="H47" s="41">
        <v>15</v>
      </c>
      <c r="I47" s="46"/>
      <c r="J47" s="41">
        <f t="shared" si="3"/>
        <v>15</v>
      </c>
    </row>
    <row r="48" spans="1:10" ht="19.95" customHeight="1" x14ac:dyDescent="0.3">
      <c r="A48" s="42">
        <v>250061</v>
      </c>
      <c r="B48" s="42">
        <v>304</v>
      </c>
      <c r="C48" s="43">
        <v>1</v>
      </c>
      <c r="D48" s="43" t="s">
        <v>43</v>
      </c>
      <c r="E48" s="37" t="s">
        <v>190</v>
      </c>
      <c r="F48" s="42" t="s">
        <v>171</v>
      </c>
      <c r="G48" s="42">
        <v>304</v>
      </c>
      <c r="H48" s="41">
        <v>15</v>
      </c>
      <c r="I48" s="46"/>
      <c r="J48" s="41">
        <f t="shared" si="3"/>
        <v>15</v>
      </c>
    </row>
    <row r="49" spans="1:10" ht="19.95" customHeight="1" x14ac:dyDescent="0.3">
      <c r="A49" s="42"/>
      <c r="B49" s="42"/>
      <c r="C49" s="43"/>
      <c r="D49" s="43"/>
      <c r="E49" s="37"/>
      <c r="F49" s="42"/>
      <c r="G49" s="42"/>
      <c r="H49" s="41"/>
      <c r="I49" s="46"/>
      <c r="J49" s="41">
        <f t="shared" si="3"/>
        <v>0</v>
      </c>
    </row>
    <row r="50" spans="1:10" ht="19.95" customHeight="1" x14ac:dyDescent="0.3">
      <c r="A50" s="63"/>
      <c r="B50" s="63"/>
      <c r="C50" s="63"/>
      <c r="D50" s="63"/>
      <c r="E50" s="48"/>
      <c r="F50" s="63"/>
      <c r="G50" s="49"/>
      <c r="H50" s="41">
        <f>SUM(H43:H49)</f>
        <v>1950</v>
      </c>
      <c r="I50" s="46">
        <f>SUM(I43:I49)</f>
        <v>0</v>
      </c>
      <c r="J50" s="41">
        <f>SUM(J43:J49)</f>
        <v>1950</v>
      </c>
    </row>
    <row r="51" spans="1:10" ht="19.95" customHeight="1" x14ac:dyDescent="0.3">
      <c r="A51" s="64"/>
      <c r="B51" s="64"/>
      <c r="C51" s="64"/>
      <c r="D51" s="64"/>
      <c r="E51" s="56"/>
      <c r="F51" s="64"/>
      <c r="G51" s="64"/>
      <c r="H51" s="57"/>
      <c r="I51" s="58"/>
      <c r="J51" s="57"/>
    </row>
    <row r="52" spans="1:10" ht="30" customHeight="1" x14ac:dyDescent="0.3">
      <c r="A52" s="100" t="s">
        <v>19</v>
      </c>
      <c r="B52" s="100"/>
      <c r="C52" s="100"/>
      <c r="D52" s="100"/>
      <c r="E52" s="100"/>
      <c r="F52" s="100"/>
      <c r="G52" s="100"/>
      <c r="H52" s="100"/>
      <c r="I52" s="100"/>
      <c r="J52" s="100"/>
    </row>
    <row r="53" spans="1:10" ht="30" customHeight="1" x14ac:dyDescent="0.3">
      <c r="A53" s="42" t="s">
        <v>1</v>
      </c>
      <c r="B53" s="42" t="s">
        <v>2</v>
      </c>
      <c r="C53" s="54" t="s">
        <v>3</v>
      </c>
      <c r="D53" s="54" t="s">
        <v>4</v>
      </c>
      <c r="E53" s="42" t="s">
        <v>5</v>
      </c>
      <c r="F53" s="54" t="s">
        <v>6</v>
      </c>
      <c r="G53" s="54" t="s">
        <v>7</v>
      </c>
      <c r="H53" s="42" t="s">
        <v>8</v>
      </c>
      <c r="I53" s="42" t="s">
        <v>9</v>
      </c>
      <c r="J53" s="42" t="s">
        <v>10</v>
      </c>
    </row>
    <row r="54" spans="1:10" ht="19.95" customHeight="1" x14ac:dyDescent="0.3">
      <c r="A54" s="42">
        <v>250080</v>
      </c>
      <c r="B54" s="42">
        <v>304</v>
      </c>
      <c r="C54" s="43">
        <v>0.6</v>
      </c>
      <c r="D54" s="43" t="s">
        <v>27</v>
      </c>
      <c r="E54" s="37" t="s">
        <v>196</v>
      </c>
      <c r="F54" s="42" t="s">
        <v>45</v>
      </c>
      <c r="G54" s="42">
        <v>430</v>
      </c>
      <c r="H54" s="32">
        <v>500</v>
      </c>
      <c r="I54" s="40">
        <v>508</v>
      </c>
      <c r="J54" s="32">
        <f t="shared" ref="J54:J65" si="4">H54-I54</f>
        <v>-8</v>
      </c>
    </row>
    <row r="55" spans="1:10" ht="19.95" customHeight="1" x14ac:dyDescent="0.3">
      <c r="A55" s="42">
        <v>250080</v>
      </c>
      <c r="B55" s="42">
        <v>304</v>
      </c>
      <c r="C55" s="43">
        <v>0.6</v>
      </c>
      <c r="D55" s="43" t="s">
        <v>11</v>
      </c>
      <c r="E55" s="37" t="s">
        <v>197</v>
      </c>
      <c r="F55" s="42" t="s">
        <v>13</v>
      </c>
      <c r="G55" s="42">
        <v>430</v>
      </c>
      <c r="H55" s="41">
        <v>300</v>
      </c>
      <c r="I55" s="46"/>
      <c r="J55" s="41">
        <f t="shared" si="4"/>
        <v>300</v>
      </c>
    </row>
    <row r="56" spans="1:10" ht="19.95" customHeight="1" x14ac:dyDescent="0.3">
      <c r="A56" s="42">
        <v>250078</v>
      </c>
      <c r="B56" s="42">
        <v>304</v>
      </c>
      <c r="C56" s="43">
        <v>0.7</v>
      </c>
      <c r="D56" s="43" t="s">
        <v>11</v>
      </c>
      <c r="E56" s="37" t="s">
        <v>214</v>
      </c>
      <c r="F56" s="42" t="s">
        <v>13</v>
      </c>
      <c r="G56" s="42">
        <v>304</v>
      </c>
      <c r="H56" s="41">
        <v>775</v>
      </c>
      <c r="I56" s="46"/>
      <c r="J56" s="41">
        <f t="shared" si="4"/>
        <v>775</v>
      </c>
    </row>
    <row r="57" spans="1:10" ht="19.95" customHeight="1" x14ac:dyDescent="0.3">
      <c r="A57" s="42">
        <v>250078</v>
      </c>
      <c r="B57" s="42">
        <v>304</v>
      </c>
      <c r="C57" s="43">
        <v>1</v>
      </c>
      <c r="D57" s="43" t="s">
        <v>11</v>
      </c>
      <c r="E57" s="37" t="s">
        <v>215</v>
      </c>
      <c r="F57" s="42" t="s">
        <v>13</v>
      </c>
      <c r="G57" s="42">
        <v>304</v>
      </c>
      <c r="H57" s="41">
        <v>15</v>
      </c>
      <c r="I57" s="46"/>
      <c r="J57" s="41">
        <f t="shared" si="4"/>
        <v>15</v>
      </c>
    </row>
    <row r="58" spans="1:10" ht="19.95" customHeight="1" x14ac:dyDescent="0.3">
      <c r="A58" s="42">
        <v>250078</v>
      </c>
      <c r="B58" s="42">
        <v>304</v>
      </c>
      <c r="C58" s="43">
        <v>0.7</v>
      </c>
      <c r="D58" s="43" t="s">
        <v>11</v>
      </c>
      <c r="E58" s="37" t="s">
        <v>216</v>
      </c>
      <c r="F58" s="42" t="s">
        <v>13</v>
      </c>
      <c r="G58" s="42">
        <v>304</v>
      </c>
      <c r="H58" s="32">
        <v>775</v>
      </c>
      <c r="I58" s="40">
        <v>758</v>
      </c>
      <c r="J58" s="32">
        <f t="shared" si="4"/>
        <v>17</v>
      </c>
    </row>
    <row r="59" spans="1:10" ht="19.95" customHeight="1" x14ac:dyDescent="0.3">
      <c r="A59" s="42">
        <v>250078</v>
      </c>
      <c r="B59" s="42">
        <v>304</v>
      </c>
      <c r="C59" s="43">
        <v>1</v>
      </c>
      <c r="D59" s="43" t="s">
        <v>11</v>
      </c>
      <c r="E59" s="37" t="s">
        <v>217</v>
      </c>
      <c r="F59" s="42" t="s">
        <v>13</v>
      </c>
      <c r="G59" s="42">
        <v>304</v>
      </c>
      <c r="H59" s="32">
        <v>15</v>
      </c>
      <c r="I59" s="40">
        <v>15</v>
      </c>
      <c r="J59" s="32">
        <f t="shared" si="4"/>
        <v>0</v>
      </c>
    </row>
    <row r="60" spans="1:10" ht="19.95" customHeight="1" x14ac:dyDescent="0.3">
      <c r="A60" s="42">
        <v>250078</v>
      </c>
      <c r="B60" s="42">
        <v>304</v>
      </c>
      <c r="C60" s="43">
        <v>0.7</v>
      </c>
      <c r="D60" s="43" t="s">
        <v>11</v>
      </c>
      <c r="E60" s="37" t="s">
        <v>220</v>
      </c>
      <c r="F60" s="42" t="s">
        <v>13</v>
      </c>
      <c r="G60" s="42">
        <v>304</v>
      </c>
      <c r="H60" s="41">
        <v>775</v>
      </c>
      <c r="I60" s="46"/>
      <c r="J60" s="41">
        <f t="shared" si="4"/>
        <v>775</v>
      </c>
    </row>
    <row r="61" spans="1:10" ht="19.95" customHeight="1" x14ac:dyDescent="0.3">
      <c r="A61" s="42">
        <v>250078</v>
      </c>
      <c r="B61" s="42">
        <v>304</v>
      </c>
      <c r="C61" s="43">
        <v>1</v>
      </c>
      <c r="D61" s="43" t="s">
        <v>11</v>
      </c>
      <c r="E61" s="37" t="s">
        <v>221</v>
      </c>
      <c r="F61" s="42" t="s">
        <v>13</v>
      </c>
      <c r="G61" s="42">
        <v>304</v>
      </c>
      <c r="H61" s="41">
        <v>15</v>
      </c>
      <c r="I61" s="46"/>
      <c r="J61" s="41">
        <f t="shared" si="4"/>
        <v>15</v>
      </c>
    </row>
    <row r="62" spans="1:10" ht="19.95" customHeight="1" x14ac:dyDescent="0.3">
      <c r="A62" s="42">
        <v>250078</v>
      </c>
      <c r="B62" s="42">
        <v>304</v>
      </c>
      <c r="C62" s="43">
        <v>0.7</v>
      </c>
      <c r="D62" s="43" t="s">
        <v>11</v>
      </c>
      <c r="E62" s="37" t="s">
        <v>219</v>
      </c>
      <c r="F62" s="42" t="s">
        <v>13</v>
      </c>
      <c r="G62" s="42">
        <v>304</v>
      </c>
      <c r="H62" s="41">
        <v>775</v>
      </c>
      <c r="I62" s="46"/>
      <c r="J62" s="41">
        <f t="shared" si="4"/>
        <v>775</v>
      </c>
    </row>
    <row r="63" spans="1:10" ht="19.95" customHeight="1" x14ac:dyDescent="0.3">
      <c r="A63" s="42">
        <v>250078</v>
      </c>
      <c r="B63" s="42">
        <v>304</v>
      </c>
      <c r="C63" s="43">
        <v>1</v>
      </c>
      <c r="D63" s="43" t="s">
        <v>11</v>
      </c>
      <c r="E63" s="37" t="s">
        <v>218</v>
      </c>
      <c r="F63" s="42" t="s">
        <v>13</v>
      </c>
      <c r="G63" s="42">
        <v>304</v>
      </c>
      <c r="H63" s="41">
        <v>15</v>
      </c>
      <c r="I63" s="46"/>
      <c r="J63" s="41">
        <f t="shared" si="4"/>
        <v>15</v>
      </c>
    </row>
    <row r="64" spans="1:10" ht="19.95" customHeight="1" x14ac:dyDescent="0.3">
      <c r="A64" s="42">
        <v>250080</v>
      </c>
      <c r="B64" s="42">
        <v>304</v>
      </c>
      <c r="C64" s="43">
        <v>0.6</v>
      </c>
      <c r="D64" s="43" t="s">
        <v>11</v>
      </c>
      <c r="E64" s="37" t="s">
        <v>205</v>
      </c>
      <c r="F64" s="42" t="s">
        <v>13</v>
      </c>
      <c r="G64" s="42">
        <v>430</v>
      </c>
      <c r="H64" s="41">
        <v>300</v>
      </c>
      <c r="I64" s="46"/>
      <c r="J64" s="41">
        <f t="shared" si="4"/>
        <v>300</v>
      </c>
    </row>
    <row r="65" spans="1:10" ht="19.95" customHeight="1" x14ac:dyDescent="0.3">
      <c r="A65" s="42"/>
      <c r="B65" s="42"/>
      <c r="C65" s="43"/>
      <c r="D65" s="43"/>
      <c r="E65" s="37"/>
      <c r="F65" s="42"/>
      <c r="G65" s="42"/>
      <c r="H65" s="41"/>
      <c r="I65" s="46"/>
      <c r="J65" s="41">
        <f t="shared" si="4"/>
        <v>0</v>
      </c>
    </row>
    <row r="66" spans="1:10" ht="19.95" customHeight="1" x14ac:dyDescent="0.3">
      <c r="A66" s="63"/>
      <c r="B66" s="63"/>
      <c r="C66" s="63"/>
      <c r="D66" s="63"/>
      <c r="E66" s="48"/>
      <c r="F66" s="63"/>
      <c r="G66" s="49"/>
      <c r="H66" s="41">
        <f>SUM(H54:H65)</f>
        <v>4260</v>
      </c>
      <c r="I66" s="46">
        <f>SUM(I54:I65)</f>
        <v>1281</v>
      </c>
      <c r="J66" s="41">
        <f>SUM(J54:J65)</f>
        <v>2979</v>
      </c>
    </row>
    <row r="67" spans="1:10" ht="19.95" customHeight="1" x14ac:dyDescent="0.3">
      <c r="A67" s="64"/>
      <c r="B67" s="64"/>
      <c r="C67" s="64"/>
      <c r="D67" s="64"/>
      <c r="E67" s="56"/>
      <c r="F67" s="64"/>
      <c r="G67" s="64"/>
      <c r="H67" s="57"/>
      <c r="I67" s="58"/>
      <c r="J67" s="57"/>
    </row>
    <row r="68" spans="1:10" ht="30" customHeight="1" x14ac:dyDescent="0.3">
      <c r="A68" s="100" t="s">
        <v>23</v>
      </c>
      <c r="B68" s="100"/>
      <c r="C68" s="100"/>
      <c r="D68" s="100"/>
      <c r="E68" s="100"/>
      <c r="F68" s="100"/>
      <c r="G68" s="100"/>
      <c r="H68" s="100"/>
      <c r="I68" s="100"/>
      <c r="J68" s="100"/>
    </row>
    <row r="69" spans="1:10" ht="30" customHeight="1" x14ac:dyDescent="0.3">
      <c r="A69" s="42" t="s">
        <v>1</v>
      </c>
      <c r="B69" s="42" t="s">
        <v>2</v>
      </c>
      <c r="C69" s="54" t="s">
        <v>3</v>
      </c>
      <c r="D69" s="54" t="s">
        <v>4</v>
      </c>
      <c r="E69" s="42" t="s">
        <v>5</v>
      </c>
      <c r="F69" s="54" t="s">
        <v>6</v>
      </c>
      <c r="G69" s="54" t="s">
        <v>7</v>
      </c>
      <c r="H69" s="42" t="s">
        <v>8</v>
      </c>
      <c r="I69" s="42" t="s">
        <v>9</v>
      </c>
      <c r="J69" s="42" t="s">
        <v>10</v>
      </c>
    </row>
    <row r="70" spans="1:10" ht="19.95" customHeight="1" x14ac:dyDescent="0.3">
      <c r="A70" s="42">
        <v>250080</v>
      </c>
      <c r="B70" s="42">
        <v>304</v>
      </c>
      <c r="C70" s="43">
        <v>0.6</v>
      </c>
      <c r="D70" s="43" t="s">
        <v>27</v>
      </c>
      <c r="E70" s="37" t="s">
        <v>206</v>
      </c>
      <c r="F70" s="42" t="s">
        <v>45</v>
      </c>
      <c r="G70" s="42">
        <v>430</v>
      </c>
      <c r="H70" s="41">
        <v>500</v>
      </c>
      <c r="I70" s="46"/>
      <c r="J70" s="41">
        <f t="shared" ref="J70:J78" si="5">H70-I70</f>
        <v>500</v>
      </c>
    </row>
    <row r="71" spans="1:10" ht="19.95" customHeight="1" x14ac:dyDescent="0.3">
      <c r="A71" s="42">
        <v>250080</v>
      </c>
      <c r="B71" s="42">
        <v>304</v>
      </c>
      <c r="C71" s="43">
        <v>0.6</v>
      </c>
      <c r="D71" s="43" t="s">
        <v>27</v>
      </c>
      <c r="E71" s="37" t="s">
        <v>207</v>
      </c>
      <c r="F71" s="42" t="s">
        <v>45</v>
      </c>
      <c r="G71" s="42">
        <v>430</v>
      </c>
      <c r="H71" s="41">
        <v>500</v>
      </c>
      <c r="I71" s="46"/>
      <c r="J71" s="41">
        <f t="shared" si="5"/>
        <v>500</v>
      </c>
    </row>
    <row r="72" spans="1:10" ht="19.95" customHeight="1" x14ac:dyDescent="0.3">
      <c r="A72" s="42">
        <v>250080</v>
      </c>
      <c r="B72" s="42">
        <v>304</v>
      </c>
      <c r="C72" s="43">
        <v>0.6</v>
      </c>
      <c r="D72" s="43" t="s">
        <v>11</v>
      </c>
      <c r="E72" s="37" t="s">
        <v>208</v>
      </c>
      <c r="F72" s="42" t="s">
        <v>13</v>
      </c>
      <c r="G72" s="42">
        <v>430</v>
      </c>
      <c r="H72" s="41">
        <v>300</v>
      </c>
      <c r="I72" s="46"/>
      <c r="J72" s="41">
        <f>H72-I72</f>
        <v>300</v>
      </c>
    </row>
    <row r="73" spans="1:10" ht="19.95" customHeight="1" x14ac:dyDescent="0.3">
      <c r="A73" s="42">
        <v>250078</v>
      </c>
      <c r="B73" s="42">
        <v>304</v>
      </c>
      <c r="C73" s="43">
        <v>0.7</v>
      </c>
      <c r="D73" s="43" t="s">
        <v>11</v>
      </c>
      <c r="E73" s="37" t="s">
        <v>209</v>
      </c>
      <c r="F73" s="42" t="s">
        <v>13</v>
      </c>
      <c r="G73" s="42">
        <v>304</v>
      </c>
      <c r="H73" s="41">
        <v>775</v>
      </c>
      <c r="I73" s="46"/>
      <c r="J73" s="41">
        <f>H73-I73</f>
        <v>775</v>
      </c>
    </row>
    <row r="74" spans="1:10" ht="19.95" customHeight="1" x14ac:dyDescent="0.3">
      <c r="A74" s="42">
        <v>250078</v>
      </c>
      <c r="B74" s="42">
        <v>304</v>
      </c>
      <c r="C74" s="43">
        <v>1</v>
      </c>
      <c r="D74" s="43" t="s">
        <v>11</v>
      </c>
      <c r="E74" s="37" t="s">
        <v>210</v>
      </c>
      <c r="F74" s="42" t="s">
        <v>13</v>
      </c>
      <c r="G74" s="42">
        <v>304</v>
      </c>
      <c r="H74" s="41">
        <v>15</v>
      </c>
      <c r="I74" s="46"/>
      <c r="J74" s="41">
        <f>H74-I74</f>
        <v>15</v>
      </c>
    </row>
    <row r="75" spans="1:10" ht="19.95" customHeight="1" x14ac:dyDescent="0.3">
      <c r="A75" s="42">
        <v>250042</v>
      </c>
      <c r="B75" s="42">
        <v>304</v>
      </c>
      <c r="C75" s="43">
        <v>0.9</v>
      </c>
      <c r="D75" s="43" t="s">
        <v>55</v>
      </c>
      <c r="E75" s="37" t="s">
        <v>211</v>
      </c>
      <c r="F75" s="42" t="s">
        <v>52</v>
      </c>
      <c r="G75" s="42">
        <v>304</v>
      </c>
      <c r="H75" s="41">
        <v>750</v>
      </c>
      <c r="I75" s="46">
        <v>286</v>
      </c>
      <c r="J75" s="41">
        <f>H75-I75</f>
        <v>464</v>
      </c>
    </row>
    <row r="76" spans="1:10" ht="19.95" customHeight="1" x14ac:dyDescent="0.3">
      <c r="A76" s="42">
        <v>250057</v>
      </c>
      <c r="B76" s="42">
        <v>304</v>
      </c>
      <c r="C76" s="43">
        <v>0.7</v>
      </c>
      <c r="D76" s="43" t="s">
        <v>55</v>
      </c>
      <c r="E76" s="37" t="s">
        <v>212</v>
      </c>
      <c r="F76" s="42" t="s">
        <v>52</v>
      </c>
      <c r="G76" s="42">
        <v>304</v>
      </c>
      <c r="H76" s="41">
        <v>395</v>
      </c>
      <c r="I76" s="46"/>
      <c r="J76" s="41">
        <f t="shared" si="5"/>
        <v>395</v>
      </c>
    </row>
    <row r="77" spans="1:10" ht="19.95" customHeight="1" x14ac:dyDescent="0.3">
      <c r="A77" s="42">
        <v>250057</v>
      </c>
      <c r="B77" s="42">
        <v>304</v>
      </c>
      <c r="C77" s="43">
        <v>1</v>
      </c>
      <c r="D77" s="43" t="s">
        <v>55</v>
      </c>
      <c r="E77" s="37" t="s">
        <v>213</v>
      </c>
      <c r="F77" s="42" t="s">
        <v>52</v>
      </c>
      <c r="G77" s="42">
        <v>304</v>
      </c>
      <c r="H77" s="41">
        <v>15</v>
      </c>
      <c r="I77" s="46"/>
      <c r="J77" s="41">
        <f t="shared" si="5"/>
        <v>15</v>
      </c>
    </row>
    <row r="78" spans="1:10" ht="19.95" customHeight="1" x14ac:dyDescent="0.3">
      <c r="A78" s="42"/>
      <c r="B78" s="42"/>
      <c r="C78" s="43"/>
      <c r="D78" s="43"/>
      <c r="E78" s="37"/>
      <c r="F78" s="42"/>
      <c r="G78" s="42"/>
      <c r="H78" s="41"/>
      <c r="I78" s="46"/>
      <c r="J78" s="41">
        <f t="shared" si="5"/>
        <v>0</v>
      </c>
    </row>
    <row r="79" spans="1:10" ht="19.95" customHeight="1" x14ac:dyDescent="0.3">
      <c r="A79" s="101"/>
      <c r="B79" s="101"/>
      <c r="C79" s="101"/>
      <c r="D79" s="101"/>
      <c r="E79" s="101"/>
      <c r="F79" s="101"/>
      <c r="G79" s="101"/>
      <c r="H79" s="41">
        <f>SUM(H70:H78)</f>
        <v>3250</v>
      </c>
      <c r="I79" s="46">
        <f>SUM(I70:I78)</f>
        <v>286</v>
      </c>
      <c r="J79" s="41">
        <f>SUM(J70:J78)</f>
        <v>2964</v>
      </c>
    </row>
    <row r="80" spans="1:10" x14ac:dyDescent="0.3">
      <c r="A80" s="102"/>
      <c r="B80" s="102"/>
      <c r="C80" s="102"/>
      <c r="D80" s="102"/>
      <c r="E80" s="102"/>
      <c r="F80" s="102"/>
      <c r="G80" s="102"/>
    </row>
    <row r="81" spans="1:10" ht="15.6" x14ac:dyDescent="0.3">
      <c r="H81" s="8">
        <f>H79+H66+H50+H39+H28+H18</f>
        <v>23138</v>
      </c>
      <c r="I81" s="8">
        <f>I79+I66+I50+I39+I28+I18</f>
        <v>13676</v>
      </c>
      <c r="J81" s="8">
        <f>J79+J66+J50+J39+J28+J18</f>
        <v>9462</v>
      </c>
    </row>
    <row r="83" spans="1:10" ht="23.4" x14ac:dyDescent="0.3">
      <c r="A83" s="95" t="s">
        <v>14</v>
      </c>
      <c r="B83" s="95"/>
      <c r="C83" s="95"/>
      <c r="D83" s="95"/>
      <c r="E83" s="95"/>
      <c r="F83" s="95"/>
      <c r="G83" s="95"/>
      <c r="H83" s="95"/>
      <c r="I83" s="95"/>
      <c r="J83" s="95"/>
    </row>
  </sheetData>
  <mergeCells count="10">
    <mergeCell ref="A52:J52"/>
    <mergeCell ref="A68:J68"/>
    <mergeCell ref="A79:G80"/>
    <mergeCell ref="A83:J83"/>
    <mergeCell ref="H1:J1"/>
    <mergeCell ref="A2:J2"/>
    <mergeCell ref="A3:J3"/>
    <mergeCell ref="A20:J20"/>
    <mergeCell ref="A30:J30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7" fitToHeight="0"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3"/>
  <sheetViews>
    <sheetView topLeftCell="A60" zoomScale="85" zoomScaleNormal="85" workbookViewId="0">
      <selection activeCell="H79" sqref="H7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59.1093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181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>
        <v>250057</v>
      </c>
      <c r="B5" s="42">
        <v>304</v>
      </c>
      <c r="C5" s="43">
        <v>0.7</v>
      </c>
      <c r="D5" s="43" t="s">
        <v>11</v>
      </c>
      <c r="E5" s="37" t="s">
        <v>166</v>
      </c>
      <c r="F5" s="42" t="s">
        <v>13</v>
      </c>
      <c r="G5" s="42">
        <v>304</v>
      </c>
      <c r="H5" s="32">
        <v>395</v>
      </c>
      <c r="I5" s="40">
        <v>421</v>
      </c>
      <c r="J5" s="32">
        <f t="shared" ref="J5:J17" si="0">H5-I5</f>
        <v>-26</v>
      </c>
    </row>
    <row r="6" spans="1:10" ht="19.95" customHeight="1" x14ac:dyDescent="0.3">
      <c r="A6" s="42">
        <v>250057</v>
      </c>
      <c r="B6" s="42">
        <v>304</v>
      </c>
      <c r="C6" s="43">
        <v>1</v>
      </c>
      <c r="D6" s="43" t="s">
        <v>11</v>
      </c>
      <c r="E6" s="37" t="s">
        <v>167</v>
      </c>
      <c r="F6" s="42" t="s">
        <v>13</v>
      </c>
      <c r="G6" s="42">
        <v>304</v>
      </c>
      <c r="H6" s="32">
        <v>15</v>
      </c>
      <c r="I6" s="40">
        <v>16</v>
      </c>
      <c r="J6" s="32">
        <f t="shared" si="0"/>
        <v>-1</v>
      </c>
    </row>
    <row r="7" spans="1:10" ht="19.95" customHeight="1" x14ac:dyDescent="0.3">
      <c r="A7" s="42">
        <v>250057</v>
      </c>
      <c r="B7" s="42">
        <v>304</v>
      </c>
      <c r="C7" s="43">
        <v>0.7</v>
      </c>
      <c r="D7" s="43" t="s">
        <v>96</v>
      </c>
      <c r="E7" s="37" t="s">
        <v>155</v>
      </c>
      <c r="F7" s="42" t="s">
        <v>41</v>
      </c>
      <c r="G7" s="42">
        <v>304</v>
      </c>
      <c r="H7" s="32">
        <v>395</v>
      </c>
      <c r="I7" s="40">
        <v>474</v>
      </c>
      <c r="J7" s="32">
        <f t="shared" si="0"/>
        <v>-79</v>
      </c>
    </row>
    <row r="8" spans="1:10" ht="19.95" customHeight="1" x14ac:dyDescent="0.3">
      <c r="A8" s="42">
        <v>250057</v>
      </c>
      <c r="B8" s="42">
        <v>304</v>
      </c>
      <c r="C8" s="43">
        <v>1</v>
      </c>
      <c r="D8" s="43" t="s">
        <v>96</v>
      </c>
      <c r="E8" s="37" t="s">
        <v>156</v>
      </c>
      <c r="F8" s="42" t="s">
        <v>41</v>
      </c>
      <c r="G8" s="42">
        <v>304</v>
      </c>
      <c r="H8" s="32">
        <v>15</v>
      </c>
      <c r="I8" s="40">
        <v>30</v>
      </c>
      <c r="J8" s="32">
        <f t="shared" si="0"/>
        <v>-15</v>
      </c>
    </row>
    <row r="9" spans="1:10" ht="19.95" customHeight="1" x14ac:dyDescent="0.3">
      <c r="A9" s="42">
        <v>250061</v>
      </c>
      <c r="B9" s="42">
        <v>304</v>
      </c>
      <c r="C9" s="43">
        <v>0.7</v>
      </c>
      <c r="D9" s="43" t="s">
        <v>96</v>
      </c>
      <c r="E9" s="37" t="s">
        <v>157</v>
      </c>
      <c r="F9" s="42" t="s">
        <v>41</v>
      </c>
      <c r="G9" s="42">
        <v>304</v>
      </c>
      <c r="H9" s="32">
        <v>525</v>
      </c>
      <c r="I9" s="40">
        <v>592</v>
      </c>
      <c r="J9" s="32">
        <f t="shared" si="0"/>
        <v>-67</v>
      </c>
    </row>
    <row r="10" spans="1:10" ht="19.95" customHeight="1" x14ac:dyDescent="0.3">
      <c r="A10" s="42">
        <v>250061</v>
      </c>
      <c r="B10" s="42">
        <v>304</v>
      </c>
      <c r="C10" s="43">
        <v>1</v>
      </c>
      <c r="D10" s="43" t="s">
        <v>96</v>
      </c>
      <c r="E10" s="37" t="s">
        <v>158</v>
      </c>
      <c r="F10" s="42" t="s">
        <v>41</v>
      </c>
      <c r="G10" s="42">
        <v>304</v>
      </c>
      <c r="H10" s="32">
        <v>15</v>
      </c>
      <c r="I10" s="40">
        <v>30</v>
      </c>
      <c r="J10" s="32">
        <f t="shared" si="0"/>
        <v>-15</v>
      </c>
    </row>
    <row r="11" spans="1:10" ht="19.95" customHeight="1" x14ac:dyDescent="0.3">
      <c r="A11" s="42">
        <v>230925</v>
      </c>
      <c r="B11" s="42">
        <v>430</v>
      </c>
      <c r="C11" s="43">
        <v>0.8</v>
      </c>
      <c r="D11" s="43" t="s">
        <v>11</v>
      </c>
      <c r="E11" s="37" t="s">
        <v>163</v>
      </c>
      <c r="F11" s="42" t="s">
        <v>41</v>
      </c>
      <c r="G11" s="42">
        <v>430</v>
      </c>
      <c r="H11" s="32">
        <v>1058</v>
      </c>
      <c r="I11" s="40">
        <v>1046</v>
      </c>
      <c r="J11" s="32">
        <f t="shared" si="0"/>
        <v>12</v>
      </c>
    </row>
    <row r="12" spans="1:10" ht="19.95" customHeight="1" x14ac:dyDescent="0.3">
      <c r="A12" s="42">
        <v>250052</v>
      </c>
      <c r="B12" s="42">
        <v>304</v>
      </c>
      <c r="C12" s="43">
        <v>0.7</v>
      </c>
      <c r="D12" s="43" t="s">
        <v>11</v>
      </c>
      <c r="E12" s="37" t="s">
        <v>168</v>
      </c>
      <c r="F12" s="42" t="s">
        <v>13</v>
      </c>
      <c r="G12" s="42">
        <v>304</v>
      </c>
      <c r="H12" s="32">
        <v>785</v>
      </c>
      <c r="I12" s="40">
        <v>792</v>
      </c>
      <c r="J12" s="32">
        <f t="shared" si="0"/>
        <v>-7</v>
      </c>
    </row>
    <row r="13" spans="1:10" ht="19.95" customHeight="1" x14ac:dyDescent="0.3">
      <c r="A13" s="42">
        <v>250052</v>
      </c>
      <c r="B13" s="42">
        <v>304</v>
      </c>
      <c r="C13" s="43">
        <v>1</v>
      </c>
      <c r="D13" s="43" t="s">
        <v>11</v>
      </c>
      <c r="E13" s="37" t="s">
        <v>168</v>
      </c>
      <c r="F13" s="42" t="s">
        <v>13</v>
      </c>
      <c r="G13" s="42">
        <v>304</v>
      </c>
      <c r="H13" s="32">
        <v>15</v>
      </c>
      <c r="I13" s="40">
        <v>15</v>
      </c>
      <c r="J13" s="32">
        <f t="shared" si="0"/>
        <v>0</v>
      </c>
    </row>
    <row r="14" spans="1:10" ht="19.95" customHeight="1" x14ac:dyDescent="0.3">
      <c r="A14" s="42">
        <v>250057</v>
      </c>
      <c r="B14" s="42">
        <v>304</v>
      </c>
      <c r="C14" s="43">
        <v>0.7</v>
      </c>
      <c r="D14" s="43" t="s">
        <v>11</v>
      </c>
      <c r="E14" s="37" t="s">
        <v>172</v>
      </c>
      <c r="F14" s="42" t="s">
        <v>13</v>
      </c>
      <c r="G14" s="42">
        <v>304</v>
      </c>
      <c r="H14" s="32">
        <v>395</v>
      </c>
      <c r="I14" s="40">
        <v>431</v>
      </c>
      <c r="J14" s="32">
        <f t="shared" si="0"/>
        <v>-36</v>
      </c>
    </row>
    <row r="15" spans="1:10" ht="19.95" customHeight="1" x14ac:dyDescent="0.3">
      <c r="A15" s="42">
        <v>250057</v>
      </c>
      <c r="B15" s="42">
        <v>304</v>
      </c>
      <c r="C15" s="43">
        <v>1</v>
      </c>
      <c r="D15" s="43" t="s">
        <v>11</v>
      </c>
      <c r="E15" s="37" t="s">
        <v>173</v>
      </c>
      <c r="F15" s="42" t="s">
        <v>13</v>
      </c>
      <c r="G15" s="42">
        <v>304</v>
      </c>
      <c r="H15" s="32">
        <v>15</v>
      </c>
      <c r="I15" s="40">
        <v>17</v>
      </c>
      <c r="J15" s="32">
        <f t="shared" si="0"/>
        <v>-2</v>
      </c>
    </row>
    <row r="16" spans="1:10" ht="19.95" customHeight="1" x14ac:dyDescent="0.3">
      <c r="A16" s="42">
        <v>250042</v>
      </c>
      <c r="B16" s="42">
        <v>304</v>
      </c>
      <c r="C16" s="43">
        <v>0.9</v>
      </c>
      <c r="D16" s="43" t="s">
        <v>55</v>
      </c>
      <c r="E16" s="37" t="s">
        <v>178</v>
      </c>
      <c r="F16" s="42" t="s">
        <v>177</v>
      </c>
      <c r="G16" s="42">
        <v>304</v>
      </c>
      <c r="H16" s="32">
        <v>750</v>
      </c>
      <c r="I16" s="40">
        <v>775</v>
      </c>
      <c r="J16" s="32">
        <f t="shared" si="0"/>
        <v>-25</v>
      </c>
    </row>
    <row r="17" spans="1:10" ht="19.95" customHeight="1" x14ac:dyDescent="0.3">
      <c r="A17" s="42"/>
      <c r="B17" s="42"/>
      <c r="C17" s="43"/>
      <c r="D17" s="43"/>
      <c r="E17" s="37"/>
      <c r="F17" s="42"/>
      <c r="G17" s="42"/>
      <c r="H17" s="32"/>
      <c r="I17" s="40"/>
      <c r="J17" s="32">
        <f t="shared" si="0"/>
        <v>0</v>
      </c>
    </row>
    <row r="18" spans="1:10" ht="19.95" customHeight="1" x14ac:dyDescent="0.3">
      <c r="A18" s="67"/>
      <c r="B18" s="67"/>
      <c r="C18" s="67"/>
      <c r="D18" s="67"/>
      <c r="E18" s="48"/>
      <c r="F18" s="67"/>
      <c r="G18" s="49"/>
      <c r="H18" s="45">
        <f>SUM(H5:H17)</f>
        <v>4378</v>
      </c>
      <c r="I18" s="44">
        <f>SUM(I5:I17)</f>
        <v>4639</v>
      </c>
      <c r="J18" s="32">
        <f>SUM(J5:J17)</f>
        <v>-261</v>
      </c>
    </row>
    <row r="19" spans="1:10" x14ac:dyDescent="0.3">
      <c r="A19" s="52"/>
      <c r="B19" s="52"/>
      <c r="C19" s="52"/>
      <c r="D19" s="52"/>
      <c r="E19" s="52"/>
      <c r="F19" s="53"/>
      <c r="G19" s="52"/>
      <c r="H19" s="52"/>
      <c r="I19" s="52"/>
      <c r="J19" s="52"/>
    </row>
    <row r="20" spans="1:10" ht="30" customHeight="1" x14ac:dyDescent="0.3">
      <c r="A20" s="100" t="s">
        <v>17</v>
      </c>
      <c r="B20" s="100"/>
      <c r="C20" s="100"/>
      <c r="D20" s="100"/>
      <c r="E20" s="100"/>
      <c r="F20" s="100"/>
      <c r="G20" s="100"/>
      <c r="H20" s="100"/>
      <c r="I20" s="100"/>
      <c r="J20" s="100"/>
    </row>
    <row r="21" spans="1:10" ht="30" customHeight="1" x14ac:dyDescent="0.3">
      <c r="A21" s="42" t="s">
        <v>1</v>
      </c>
      <c r="B21" s="42" t="s">
        <v>2</v>
      </c>
      <c r="C21" s="54" t="s">
        <v>3</v>
      </c>
      <c r="D21" s="54" t="s">
        <v>4</v>
      </c>
      <c r="E21" s="42" t="s">
        <v>5</v>
      </c>
      <c r="F21" s="54" t="s">
        <v>6</v>
      </c>
      <c r="G21" s="54" t="s">
        <v>7</v>
      </c>
      <c r="H21" s="42" t="s">
        <v>8</v>
      </c>
      <c r="I21" s="42" t="s">
        <v>9</v>
      </c>
      <c r="J21" s="42" t="s">
        <v>10</v>
      </c>
    </row>
    <row r="22" spans="1:10" ht="19.95" customHeight="1" x14ac:dyDescent="0.3">
      <c r="A22" s="42">
        <v>160925</v>
      </c>
      <c r="B22" s="42">
        <v>304</v>
      </c>
      <c r="C22" s="43">
        <v>0.9</v>
      </c>
      <c r="D22" s="43" t="s">
        <v>55</v>
      </c>
      <c r="E22" s="37" t="s">
        <v>176</v>
      </c>
      <c r="F22" s="42" t="s">
        <v>177</v>
      </c>
      <c r="G22" s="42">
        <v>430</v>
      </c>
      <c r="H22" s="32">
        <v>1100</v>
      </c>
      <c r="I22" s="40">
        <f>507+573</f>
        <v>1080</v>
      </c>
      <c r="J22" s="32">
        <f t="shared" ref="J22:J27" si="1">H22-I22</f>
        <v>20</v>
      </c>
    </row>
    <row r="23" spans="1:10" ht="19.95" customHeight="1" x14ac:dyDescent="0.3">
      <c r="A23" s="42">
        <v>250042</v>
      </c>
      <c r="B23" s="42">
        <v>304</v>
      </c>
      <c r="C23" s="43">
        <v>0.9</v>
      </c>
      <c r="D23" s="43" t="s">
        <v>55</v>
      </c>
      <c r="E23" s="37" t="s">
        <v>179</v>
      </c>
      <c r="F23" s="42" t="s">
        <v>177</v>
      </c>
      <c r="G23" s="42">
        <v>304</v>
      </c>
      <c r="H23" s="32">
        <v>750</v>
      </c>
      <c r="I23" s="40">
        <v>811</v>
      </c>
      <c r="J23" s="32">
        <f t="shared" si="1"/>
        <v>-61</v>
      </c>
    </row>
    <row r="24" spans="1:10" ht="19.95" customHeight="1" x14ac:dyDescent="0.3">
      <c r="A24" s="42">
        <v>250049</v>
      </c>
      <c r="B24" s="42">
        <v>304</v>
      </c>
      <c r="C24" s="43">
        <v>0.9</v>
      </c>
      <c r="D24" s="43" t="s">
        <v>55</v>
      </c>
      <c r="E24" s="37" t="s">
        <v>193</v>
      </c>
      <c r="F24" s="42" t="s">
        <v>177</v>
      </c>
      <c r="G24" s="42">
        <v>430</v>
      </c>
      <c r="H24" s="32">
        <v>450</v>
      </c>
      <c r="I24" s="40">
        <v>468</v>
      </c>
      <c r="J24" s="32">
        <f t="shared" si="1"/>
        <v>-18</v>
      </c>
    </row>
    <row r="25" spans="1:10" ht="19.95" customHeight="1" x14ac:dyDescent="0.3">
      <c r="A25" s="42">
        <v>21025</v>
      </c>
      <c r="B25" s="42">
        <v>304</v>
      </c>
      <c r="C25" s="43">
        <v>0.6</v>
      </c>
      <c r="D25" s="43" t="s">
        <v>55</v>
      </c>
      <c r="E25" s="37" t="s">
        <v>182</v>
      </c>
      <c r="F25" s="42" t="s">
        <v>45</v>
      </c>
      <c r="G25" s="42">
        <v>430</v>
      </c>
      <c r="H25" s="32">
        <v>1000</v>
      </c>
      <c r="I25" s="40">
        <v>1020</v>
      </c>
      <c r="J25" s="32">
        <f t="shared" si="1"/>
        <v>-20</v>
      </c>
    </row>
    <row r="26" spans="1:10" ht="19.95" customHeight="1" x14ac:dyDescent="0.3">
      <c r="A26" s="42">
        <v>21025</v>
      </c>
      <c r="B26" s="42">
        <v>304</v>
      </c>
      <c r="C26" s="43">
        <v>0.6</v>
      </c>
      <c r="D26" s="43" t="s">
        <v>55</v>
      </c>
      <c r="E26" s="37" t="s">
        <v>183</v>
      </c>
      <c r="F26" s="42" t="s">
        <v>107</v>
      </c>
      <c r="G26" s="42">
        <v>430</v>
      </c>
      <c r="H26" s="32">
        <v>1000</v>
      </c>
      <c r="I26" s="40">
        <v>1018</v>
      </c>
      <c r="J26" s="32">
        <f t="shared" si="1"/>
        <v>-18</v>
      </c>
    </row>
    <row r="27" spans="1:10" ht="19.95" customHeight="1" x14ac:dyDescent="0.3">
      <c r="A27" s="42"/>
      <c r="B27" s="42"/>
      <c r="C27" s="43"/>
      <c r="D27" s="43"/>
      <c r="E27" s="37"/>
      <c r="F27" s="42"/>
      <c r="G27" s="42"/>
      <c r="H27" s="32"/>
      <c r="I27" s="40"/>
      <c r="J27" s="32">
        <f t="shared" si="1"/>
        <v>0</v>
      </c>
    </row>
    <row r="28" spans="1:10" ht="19.95" customHeight="1" x14ac:dyDescent="0.3">
      <c r="A28" s="67"/>
      <c r="B28" s="67"/>
      <c r="C28" s="67"/>
      <c r="D28" s="67"/>
      <c r="E28" s="48"/>
      <c r="F28" s="67"/>
      <c r="G28" s="49"/>
      <c r="H28" s="32">
        <f>SUM(H22:H27)</f>
        <v>4300</v>
      </c>
      <c r="I28" s="40">
        <f>SUM(I22:I27)</f>
        <v>4397</v>
      </c>
      <c r="J28" s="32">
        <f>SUM(J22:J27)</f>
        <v>-97</v>
      </c>
    </row>
    <row r="29" spans="1:10" x14ac:dyDescent="0.3">
      <c r="A29" s="52"/>
      <c r="B29" s="52"/>
      <c r="C29" s="52"/>
      <c r="D29" s="52"/>
      <c r="E29" s="52"/>
      <c r="F29" s="53"/>
      <c r="G29" s="52"/>
      <c r="H29" s="52"/>
      <c r="I29" s="52"/>
      <c r="J29" s="52"/>
    </row>
    <row r="30" spans="1:10" ht="30" customHeight="1" x14ac:dyDescent="0.3">
      <c r="A30" s="100" t="s">
        <v>18</v>
      </c>
      <c r="B30" s="100"/>
      <c r="C30" s="100"/>
      <c r="D30" s="100"/>
      <c r="E30" s="100"/>
      <c r="F30" s="100"/>
      <c r="G30" s="100"/>
      <c r="H30" s="100"/>
      <c r="I30" s="100"/>
      <c r="J30" s="100"/>
    </row>
    <row r="31" spans="1:10" ht="30" customHeight="1" x14ac:dyDescent="0.3">
      <c r="A31" s="42" t="s">
        <v>1</v>
      </c>
      <c r="B31" s="42" t="s">
        <v>2</v>
      </c>
      <c r="C31" s="54" t="s">
        <v>3</v>
      </c>
      <c r="D31" s="54" t="s">
        <v>4</v>
      </c>
      <c r="E31" s="42" t="s">
        <v>5</v>
      </c>
      <c r="F31" s="54" t="s">
        <v>6</v>
      </c>
      <c r="G31" s="54" t="s">
        <v>7</v>
      </c>
      <c r="H31" s="42" t="s">
        <v>8</v>
      </c>
      <c r="I31" s="42" t="s">
        <v>9</v>
      </c>
      <c r="J31" s="42" t="s">
        <v>10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184</v>
      </c>
      <c r="F32" s="42" t="s">
        <v>45</v>
      </c>
      <c r="G32" s="42">
        <v>430</v>
      </c>
      <c r="H32" s="32">
        <v>500</v>
      </c>
      <c r="I32" s="40">
        <f>217+288</f>
        <v>505</v>
      </c>
      <c r="J32" s="32">
        <f t="shared" ref="J32:J38" si="2">H32-I32</f>
        <v>-5</v>
      </c>
    </row>
    <row r="33" spans="1:10" ht="19.95" customHeight="1" x14ac:dyDescent="0.3">
      <c r="A33" s="42">
        <v>21025</v>
      </c>
      <c r="B33" s="42">
        <v>304</v>
      </c>
      <c r="C33" s="43">
        <v>0.6</v>
      </c>
      <c r="D33" s="43" t="s">
        <v>55</v>
      </c>
      <c r="E33" s="37" t="s">
        <v>185</v>
      </c>
      <c r="F33" s="42" t="s">
        <v>45</v>
      </c>
      <c r="G33" s="42">
        <v>430</v>
      </c>
      <c r="H33" s="33">
        <v>1000</v>
      </c>
      <c r="I33" s="46"/>
      <c r="J33" s="41">
        <f t="shared" si="2"/>
        <v>1000</v>
      </c>
    </row>
    <row r="34" spans="1:10" ht="19.95" customHeight="1" x14ac:dyDescent="0.3">
      <c r="A34" s="42">
        <v>21025</v>
      </c>
      <c r="B34" s="42">
        <v>304</v>
      </c>
      <c r="C34" s="43">
        <v>0.6</v>
      </c>
      <c r="D34" s="43" t="s">
        <v>55</v>
      </c>
      <c r="E34" s="37" t="s">
        <v>186</v>
      </c>
      <c r="F34" s="42" t="s">
        <v>45</v>
      </c>
      <c r="G34" s="42">
        <v>430</v>
      </c>
      <c r="H34" s="33">
        <v>1000</v>
      </c>
      <c r="I34" s="46"/>
      <c r="J34" s="41">
        <f t="shared" si="2"/>
        <v>1000</v>
      </c>
    </row>
    <row r="35" spans="1:10" ht="19.95" customHeight="1" x14ac:dyDescent="0.3">
      <c r="A35" s="42">
        <v>21025</v>
      </c>
      <c r="B35" s="42">
        <v>304</v>
      </c>
      <c r="C35" s="43">
        <v>0.6</v>
      </c>
      <c r="D35" s="43" t="s">
        <v>55</v>
      </c>
      <c r="E35" s="37" t="s">
        <v>187</v>
      </c>
      <c r="F35" s="42" t="s">
        <v>45</v>
      </c>
      <c r="G35" s="42">
        <v>430</v>
      </c>
      <c r="H35" s="32">
        <v>500</v>
      </c>
      <c r="I35" s="40">
        <v>513</v>
      </c>
      <c r="J35" s="32">
        <f t="shared" si="2"/>
        <v>-13</v>
      </c>
    </row>
    <row r="36" spans="1:10" ht="19.95" customHeight="1" x14ac:dyDescent="0.3">
      <c r="A36" s="42">
        <v>21025</v>
      </c>
      <c r="B36" s="42">
        <v>304</v>
      </c>
      <c r="C36" s="43">
        <v>0.6</v>
      </c>
      <c r="D36" s="43" t="s">
        <v>55</v>
      </c>
      <c r="E36" s="37" t="s">
        <v>188</v>
      </c>
      <c r="F36" s="42" t="s">
        <v>45</v>
      </c>
      <c r="G36" s="42">
        <v>430</v>
      </c>
      <c r="H36" s="32">
        <v>1000</v>
      </c>
      <c r="I36" s="40">
        <v>1030</v>
      </c>
      <c r="J36" s="32">
        <f t="shared" si="2"/>
        <v>-30</v>
      </c>
    </row>
    <row r="37" spans="1:10" ht="19.95" customHeight="1" x14ac:dyDescent="0.3">
      <c r="A37" s="42">
        <v>21025</v>
      </c>
      <c r="B37" s="42">
        <v>304</v>
      </c>
      <c r="C37" s="43">
        <v>0.6</v>
      </c>
      <c r="D37" s="43" t="s">
        <v>55</v>
      </c>
      <c r="E37" s="37" t="s">
        <v>189</v>
      </c>
      <c r="F37" s="42" t="s">
        <v>45</v>
      </c>
      <c r="G37" s="42">
        <v>430</v>
      </c>
      <c r="H37" s="32">
        <v>1000</v>
      </c>
      <c r="I37" s="40">
        <v>1025</v>
      </c>
      <c r="J37" s="32">
        <f t="shared" si="2"/>
        <v>-25</v>
      </c>
    </row>
    <row r="38" spans="1:10" ht="19.95" customHeight="1" x14ac:dyDescent="0.3">
      <c r="A38" s="42"/>
      <c r="B38" s="42"/>
      <c r="C38" s="43"/>
      <c r="D38" s="43"/>
      <c r="E38" s="37"/>
      <c r="F38" s="42"/>
      <c r="G38" s="42"/>
      <c r="H38" s="41"/>
      <c r="I38" s="46"/>
      <c r="J38" s="41">
        <f t="shared" si="2"/>
        <v>0</v>
      </c>
    </row>
    <row r="39" spans="1:10" ht="19.95" customHeight="1" x14ac:dyDescent="0.3">
      <c r="A39" s="67"/>
      <c r="B39" s="67"/>
      <c r="C39" s="67"/>
      <c r="D39" s="67"/>
      <c r="E39" s="48"/>
      <c r="F39" s="67"/>
      <c r="G39" s="49"/>
      <c r="H39" s="41">
        <f>SUM(H32:H38)</f>
        <v>5000</v>
      </c>
      <c r="I39" s="46">
        <f>SUM(I32:I38)</f>
        <v>3073</v>
      </c>
      <c r="J39" s="41">
        <f>SUM(J32:J38)</f>
        <v>1927</v>
      </c>
    </row>
    <row r="40" spans="1:10" x14ac:dyDescent="0.3">
      <c r="A40" s="52"/>
      <c r="B40" s="52"/>
      <c r="C40" s="52"/>
      <c r="D40" s="52"/>
      <c r="E40" s="52"/>
      <c r="F40" s="53"/>
      <c r="G40" s="52"/>
      <c r="H40" s="52"/>
      <c r="I40" s="52"/>
      <c r="J40" s="52"/>
    </row>
    <row r="41" spans="1:10" ht="30" customHeight="1" x14ac:dyDescent="0.3">
      <c r="A41" s="100" t="s">
        <v>20</v>
      </c>
      <c r="B41" s="100"/>
      <c r="C41" s="100"/>
      <c r="D41" s="100"/>
      <c r="E41" s="100"/>
      <c r="F41" s="100"/>
      <c r="G41" s="100"/>
      <c r="H41" s="100"/>
      <c r="I41" s="100"/>
      <c r="J41" s="100"/>
    </row>
    <row r="42" spans="1:10" ht="30" customHeight="1" x14ac:dyDescent="0.3">
      <c r="A42" s="42" t="s">
        <v>1</v>
      </c>
      <c r="B42" s="42" t="s">
        <v>2</v>
      </c>
      <c r="C42" s="54" t="s">
        <v>3</v>
      </c>
      <c r="D42" s="54" t="s">
        <v>4</v>
      </c>
      <c r="E42" s="42" t="s">
        <v>5</v>
      </c>
      <c r="F42" s="54" t="s">
        <v>6</v>
      </c>
      <c r="G42" s="54" t="s">
        <v>7</v>
      </c>
      <c r="H42" s="42" t="s">
        <v>8</v>
      </c>
      <c r="I42" s="42" t="s">
        <v>9</v>
      </c>
      <c r="J42" s="42" t="s">
        <v>10</v>
      </c>
    </row>
    <row r="43" spans="1:10" ht="19.95" customHeight="1" x14ac:dyDescent="0.3">
      <c r="A43" s="42">
        <v>250057</v>
      </c>
      <c r="B43" s="42">
        <v>304</v>
      </c>
      <c r="C43" s="43">
        <v>0.7</v>
      </c>
      <c r="D43" s="43" t="s">
        <v>43</v>
      </c>
      <c r="E43" s="37" t="s">
        <v>169</v>
      </c>
      <c r="F43" s="75" t="s">
        <v>170</v>
      </c>
      <c r="G43" s="75">
        <v>304</v>
      </c>
      <c r="H43" s="33">
        <v>395</v>
      </c>
      <c r="I43" s="76">
        <v>53</v>
      </c>
      <c r="J43" s="41">
        <f>H43-I43</f>
        <v>342</v>
      </c>
    </row>
    <row r="44" spans="1:10" ht="19.95" customHeight="1" x14ac:dyDescent="0.3">
      <c r="A44" s="42">
        <v>250061</v>
      </c>
      <c r="B44" s="42">
        <v>304</v>
      </c>
      <c r="C44" s="43">
        <v>0.7</v>
      </c>
      <c r="D44" s="43" t="s">
        <v>43</v>
      </c>
      <c r="E44" s="37" t="s">
        <v>169</v>
      </c>
      <c r="F44" s="75" t="s">
        <v>171</v>
      </c>
      <c r="G44" s="75">
        <v>304</v>
      </c>
      <c r="H44" s="33">
        <v>525</v>
      </c>
      <c r="I44" s="76"/>
      <c r="J44" s="41">
        <f>H44-I44</f>
        <v>525</v>
      </c>
    </row>
    <row r="45" spans="1:10" ht="19.95" customHeight="1" x14ac:dyDescent="0.3">
      <c r="A45" s="42">
        <v>250079</v>
      </c>
      <c r="B45" s="42">
        <v>304</v>
      </c>
      <c r="C45" s="43">
        <v>0.7</v>
      </c>
      <c r="D45" s="43" t="s">
        <v>43</v>
      </c>
      <c r="E45" s="37" t="s">
        <v>192</v>
      </c>
      <c r="F45" s="75" t="s">
        <v>171</v>
      </c>
      <c r="G45" s="75">
        <v>304</v>
      </c>
      <c r="H45" s="33">
        <v>952</v>
      </c>
      <c r="I45" s="76"/>
      <c r="J45" s="41">
        <f>H45-I45</f>
        <v>952</v>
      </c>
    </row>
    <row r="46" spans="1:10" ht="31.8" customHeight="1" x14ac:dyDescent="0.3">
      <c r="A46" s="42">
        <v>250079</v>
      </c>
      <c r="B46" s="42">
        <v>304</v>
      </c>
      <c r="C46" s="43">
        <v>1</v>
      </c>
      <c r="D46" s="43" t="s">
        <v>43</v>
      </c>
      <c r="E46" s="66" t="s">
        <v>195</v>
      </c>
      <c r="F46" s="75" t="s">
        <v>171</v>
      </c>
      <c r="G46" s="75">
        <v>304</v>
      </c>
      <c r="H46" s="33">
        <v>48</v>
      </c>
      <c r="I46" s="76"/>
      <c r="J46" s="41">
        <f t="shared" ref="J46:J49" si="3">H46-I46</f>
        <v>48</v>
      </c>
    </row>
    <row r="47" spans="1:10" ht="19.95" customHeight="1" x14ac:dyDescent="0.3">
      <c r="A47" s="42">
        <v>250057</v>
      </c>
      <c r="B47" s="42">
        <v>304</v>
      </c>
      <c r="C47" s="43">
        <v>1</v>
      </c>
      <c r="D47" s="43" t="s">
        <v>43</v>
      </c>
      <c r="E47" s="37" t="s">
        <v>190</v>
      </c>
      <c r="F47" s="75" t="s">
        <v>170</v>
      </c>
      <c r="G47" s="75">
        <v>304</v>
      </c>
      <c r="H47" s="33">
        <v>15</v>
      </c>
      <c r="I47" s="76"/>
      <c r="J47" s="41">
        <f t="shared" si="3"/>
        <v>15</v>
      </c>
    </row>
    <row r="48" spans="1:10" ht="19.95" customHeight="1" x14ac:dyDescent="0.3">
      <c r="A48" s="42">
        <v>250061</v>
      </c>
      <c r="B48" s="42">
        <v>304</v>
      </c>
      <c r="C48" s="43">
        <v>1</v>
      </c>
      <c r="D48" s="43" t="s">
        <v>43</v>
      </c>
      <c r="E48" s="37" t="s">
        <v>190</v>
      </c>
      <c r="F48" s="42" t="s">
        <v>171</v>
      </c>
      <c r="G48" s="42">
        <v>304</v>
      </c>
      <c r="H48" s="41">
        <v>15</v>
      </c>
      <c r="I48" s="46"/>
      <c r="J48" s="41">
        <f t="shared" si="3"/>
        <v>15</v>
      </c>
    </row>
    <row r="49" spans="1:10" ht="19.95" customHeight="1" x14ac:dyDescent="0.3">
      <c r="A49" s="42"/>
      <c r="B49" s="42"/>
      <c r="C49" s="43"/>
      <c r="D49" s="43"/>
      <c r="E49" s="37"/>
      <c r="F49" s="42"/>
      <c r="G49" s="42"/>
      <c r="H49" s="41"/>
      <c r="I49" s="46"/>
      <c r="J49" s="41">
        <f t="shared" si="3"/>
        <v>0</v>
      </c>
    </row>
    <row r="50" spans="1:10" ht="19.95" customHeight="1" x14ac:dyDescent="0.3">
      <c r="A50" s="67"/>
      <c r="B50" s="67"/>
      <c r="C50" s="67"/>
      <c r="D50" s="67"/>
      <c r="E50" s="48"/>
      <c r="F50" s="67"/>
      <c r="G50" s="49"/>
      <c r="H50" s="41">
        <f>SUM(H43:H49)</f>
        <v>1950</v>
      </c>
      <c r="I50" s="46">
        <f>SUM(I43:I49)</f>
        <v>53</v>
      </c>
      <c r="J50" s="41">
        <f>SUM(J43:J49)</f>
        <v>1897</v>
      </c>
    </row>
    <row r="51" spans="1:10" ht="19.95" customHeight="1" x14ac:dyDescent="0.3">
      <c r="A51" s="68"/>
      <c r="B51" s="68"/>
      <c r="C51" s="68"/>
      <c r="D51" s="68"/>
      <c r="E51" s="56"/>
      <c r="F51" s="68"/>
      <c r="G51" s="68"/>
      <c r="H51" s="57"/>
      <c r="I51" s="58"/>
      <c r="J51" s="57"/>
    </row>
    <row r="52" spans="1:10" ht="30" customHeight="1" x14ac:dyDescent="0.3">
      <c r="A52" s="100" t="s">
        <v>19</v>
      </c>
      <c r="B52" s="100"/>
      <c r="C52" s="100"/>
      <c r="D52" s="100"/>
      <c r="E52" s="100"/>
      <c r="F52" s="100"/>
      <c r="G52" s="100"/>
      <c r="H52" s="100"/>
      <c r="I52" s="100"/>
      <c r="J52" s="100"/>
    </row>
    <row r="53" spans="1:10" ht="30" customHeight="1" x14ac:dyDescent="0.3">
      <c r="A53" s="42" t="s">
        <v>1</v>
      </c>
      <c r="B53" s="42" t="s">
        <v>2</v>
      </c>
      <c r="C53" s="54" t="s">
        <v>3</v>
      </c>
      <c r="D53" s="54" t="s">
        <v>4</v>
      </c>
      <c r="E53" s="42" t="s">
        <v>5</v>
      </c>
      <c r="F53" s="54" t="s">
        <v>6</v>
      </c>
      <c r="G53" s="54" t="s">
        <v>7</v>
      </c>
      <c r="H53" s="42" t="s">
        <v>8</v>
      </c>
      <c r="I53" s="42" t="s">
        <v>9</v>
      </c>
      <c r="J53" s="42" t="s">
        <v>10</v>
      </c>
    </row>
    <row r="54" spans="1:10" ht="19.95" customHeight="1" x14ac:dyDescent="0.3">
      <c r="A54" s="42">
        <v>250080</v>
      </c>
      <c r="B54" s="42">
        <v>304</v>
      </c>
      <c r="C54" s="43">
        <v>0.6</v>
      </c>
      <c r="D54" s="43" t="s">
        <v>27</v>
      </c>
      <c r="E54" s="37" t="s">
        <v>196</v>
      </c>
      <c r="F54" s="42" t="s">
        <v>45</v>
      </c>
      <c r="G54" s="42">
        <v>430</v>
      </c>
      <c r="H54" s="32">
        <v>500</v>
      </c>
      <c r="I54" s="40">
        <v>508</v>
      </c>
      <c r="J54" s="32">
        <f t="shared" ref="J54:J65" si="4">H54-I54</f>
        <v>-8</v>
      </c>
    </row>
    <row r="55" spans="1:10" ht="19.95" customHeight="1" x14ac:dyDescent="0.3">
      <c r="A55" s="42">
        <v>250080</v>
      </c>
      <c r="B55" s="42">
        <v>304</v>
      </c>
      <c r="C55" s="43">
        <v>0.6</v>
      </c>
      <c r="D55" s="43" t="s">
        <v>11</v>
      </c>
      <c r="E55" s="77" t="s">
        <v>197</v>
      </c>
      <c r="F55" s="75" t="s">
        <v>13</v>
      </c>
      <c r="G55" s="75">
        <v>430</v>
      </c>
      <c r="H55" s="33">
        <v>300</v>
      </c>
      <c r="I55" s="46"/>
      <c r="J55" s="41">
        <f t="shared" si="4"/>
        <v>300</v>
      </c>
    </row>
    <row r="56" spans="1:10" ht="19.95" customHeight="1" x14ac:dyDescent="0.3">
      <c r="A56" s="42">
        <v>250078</v>
      </c>
      <c r="B56" s="42">
        <v>304</v>
      </c>
      <c r="C56" s="43">
        <v>0.7</v>
      </c>
      <c r="D56" s="43" t="s">
        <v>11</v>
      </c>
      <c r="E56" s="77" t="s">
        <v>214</v>
      </c>
      <c r="F56" s="75" t="s">
        <v>13</v>
      </c>
      <c r="G56" s="75">
        <v>304</v>
      </c>
      <c r="H56" s="33">
        <v>775</v>
      </c>
      <c r="I56" s="46"/>
      <c r="J56" s="41">
        <f t="shared" si="4"/>
        <v>775</v>
      </c>
    </row>
    <row r="57" spans="1:10" ht="19.95" customHeight="1" x14ac:dyDescent="0.3">
      <c r="A57" s="42">
        <v>250078</v>
      </c>
      <c r="B57" s="42">
        <v>304</v>
      </c>
      <c r="C57" s="43">
        <v>1</v>
      </c>
      <c r="D57" s="43" t="s">
        <v>11</v>
      </c>
      <c r="E57" s="77" t="s">
        <v>215</v>
      </c>
      <c r="F57" s="75" t="s">
        <v>13</v>
      </c>
      <c r="G57" s="75">
        <v>304</v>
      </c>
      <c r="H57" s="33">
        <v>15</v>
      </c>
      <c r="I57" s="46"/>
      <c r="J57" s="41">
        <f t="shared" si="4"/>
        <v>15</v>
      </c>
    </row>
    <row r="58" spans="1:10" ht="19.95" customHeight="1" x14ac:dyDescent="0.3">
      <c r="A58" s="42">
        <v>250078</v>
      </c>
      <c r="B58" s="42">
        <v>304</v>
      </c>
      <c r="C58" s="43">
        <v>0.7</v>
      </c>
      <c r="D58" s="43" t="s">
        <v>11</v>
      </c>
      <c r="E58" s="37" t="s">
        <v>216</v>
      </c>
      <c r="F58" s="42" t="s">
        <v>13</v>
      </c>
      <c r="G58" s="42">
        <v>304</v>
      </c>
      <c r="H58" s="32">
        <v>775</v>
      </c>
      <c r="I58" s="40">
        <v>758</v>
      </c>
      <c r="J58" s="32">
        <f t="shared" si="4"/>
        <v>17</v>
      </c>
    </row>
    <row r="59" spans="1:10" ht="19.95" customHeight="1" x14ac:dyDescent="0.3">
      <c r="A59" s="42">
        <v>250078</v>
      </c>
      <c r="B59" s="42">
        <v>304</v>
      </c>
      <c r="C59" s="43">
        <v>1</v>
      </c>
      <c r="D59" s="43" t="s">
        <v>11</v>
      </c>
      <c r="E59" s="37" t="s">
        <v>217</v>
      </c>
      <c r="F59" s="42" t="s">
        <v>13</v>
      </c>
      <c r="G59" s="42">
        <v>304</v>
      </c>
      <c r="H59" s="32">
        <v>15</v>
      </c>
      <c r="I59" s="40">
        <v>15</v>
      </c>
      <c r="J59" s="32">
        <f t="shared" si="4"/>
        <v>0</v>
      </c>
    </row>
    <row r="60" spans="1:10" ht="19.95" customHeight="1" x14ac:dyDescent="0.3">
      <c r="A60" s="42">
        <v>250078</v>
      </c>
      <c r="B60" s="42">
        <v>304</v>
      </c>
      <c r="C60" s="43">
        <v>0.7</v>
      </c>
      <c r="D60" s="43" t="s">
        <v>11</v>
      </c>
      <c r="E60" s="77" t="s">
        <v>220</v>
      </c>
      <c r="F60" s="75" t="s">
        <v>13</v>
      </c>
      <c r="G60" s="75">
        <v>304</v>
      </c>
      <c r="H60" s="33">
        <v>775</v>
      </c>
      <c r="I60" s="76"/>
      <c r="J60" s="41">
        <f t="shared" si="4"/>
        <v>775</v>
      </c>
    </row>
    <row r="61" spans="1:10" ht="19.95" customHeight="1" x14ac:dyDescent="0.3">
      <c r="A61" s="42">
        <v>250078</v>
      </c>
      <c r="B61" s="42">
        <v>304</v>
      </c>
      <c r="C61" s="43">
        <v>1</v>
      </c>
      <c r="D61" s="43" t="s">
        <v>11</v>
      </c>
      <c r="E61" s="77" t="s">
        <v>221</v>
      </c>
      <c r="F61" s="75" t="s">
        <v>13</v>
      </c>
      <c r="G61" s="75">
        <v>304</v>
      </c>
      <c r="H61" s="33">
        <v>15</v>
      </c>
      <c r="I61" s="76"/>
      <c r="J61" s="41">
        <f t="shared" si="4"/>
        <v>15</v>
      </c>
    </row>
    <row r="62" spans="1:10" ht="19.95" customHeight="1" x14ac:dyDescent="0.3">
      <c r="A62" s="42">
        <v>250078</v>
      </c>
      <c r="B62" s="42">
        <v>304</v>
      </c>
      <c r="C62" s="43">
        <v>0.7</v>
      </c>
      <c r="D62" s="43" t="s">
        <v>11</v>
      </c>
      <c r="E62" s="77" t="s">
        <v>219</v>
      </c>
      <c r="F62" s="75" t="s">
        <v>13</v>
      </c>
      <c r="G62" s="75">
        <v>304</v>
      </c>
      <c r="H62" s="33">
        <v>775</v>
      </c>
      <c r="I62" s="76">
        <v>644</v>
      </c>
      <c r="J62" s="41">
        <f t="shared" si="4"/>
        <v>131</v>
      </c>
    </row>
    <row r="63" spans="1:10" ht="19.95" customHeight="1" x14ac:dyDescent="0.3">
      <c r="A63" s="42">
        <v>250078</v>
      </c>
      <c r="B63" s="42">
        <v>304</v>
      </c>
      <c r="C63" s="43">
        <v>1</v>
      </c>
      <c r="D63" s="43" t="s">
        <v>11</v>
      </c>
      <c r="E63" s="37" t="s">
        <v>218</v>
      </c>
      <c r="F63" s="42" t="s">
        <v>13</v>
      </c>
      <c r="G63" s="42">
        <v>304</v>
      </c>
      <c r="H63" s="32">
        <v>15</v>
      </c>
      <c r="I63" s="40">
        <v>16</v>
      </c>
      <c r="J63" s="32">
        <f t="shared" si="4"/>
        <v>-1</v>
      </c>
    </row>
    <row r="64" spans="1:10" ht="19.95" customHeight="1" x14ac:dyDescent="0.3">
      <c r="A64" s="42">
        <v>250080</v>
      </c>
      <c r="B64" s="42">
        <v>304</v>
      </c>
      <c r="C64" s="43">
        <v>0.6</v>
      </c>
      <c r="D64" s="43" t="s">
        <v>11</v>
      </c>
      <c r="E64" s="37" t="s">
        <v>205</v>
      </c>
      <c r="F64" s="42" t="s">
        <v>13</v>
      </c>
      <c r="G64" s="42">
        <v>430</v>
      </c>
      <c r="H64" s="32">
        <v>300</v>
      </c>
      <c r="I64" s="40">
        <v>300</v>
      </c>
      <c r="J64" s="32">
        <f t="shared" si="4"/>
        <v>0</v>
      </c>
    </row>
    <row r="65" spans="1:10" ht="19.95" customHeight="1" x14ac:dyDescent="0.3">
      <c r="A65" s="42"/>
      <c r="B65" s="42"/>
      <c r="C65" s="43"/>
      <c r="D65" s="43"/>
      <c r="E65" s="37"/>
      <c r="F65" s="42"/>
      <c r="G65" s="42"/>
      <c r="H65" s="41"/>
      <c r="I65" s="46"/>
      <c r="J65" s="41">
        <f t="shared" si="4"/>
        <v>0</v>
      </c>
    </row>
    <row r="66" spans="1:10" ht="19.95" customHeight="1" x14ac:dyDescent="0.3">
      <c r="A66" s="67"/>
      <c r="B66" s="67"/>
      <c r="C66" s="67"/>
      <c r="D66" s="67"/>
      <c r="E66" s="48"/>
      <c r="F66" s="67"/>
      <c r="G66" s="49"/>
      <c r="H66" s="41">
        <f>SUM(H54:H65)</f>
        <v>4260</v>
      </c>
      <c r="I66" s="46">
        <f>SUM(I54:I65)</f>
        <v>2241</v>
      </c>
      <c r="J66" s="41">
        <f>SUM(J54:J65)</f>
        <v>2019</v>
      </c>
    </row>
    <row r="67" spans="1:10" ht="19.95" customHeight="1" x14ac:dyDescent="0.3">
      <c r="A67" s="68"/>
      <c r="B67" s="68"/>
      <c r="C67" s="68"/>
      <c r="D67" s="68"/>
      <c r="E67" s="56"/>
      <c r="F67" s="68"/>
      <c r="G67" s="68"/>
      <c r="H67" s="57"/>
      <c r="I67" s="58"/>
      <c r="J67" s="57"/>
    </row>
    <row r="68" spans="1:10" ht="30" customHeight="1" x14ac:dyDescent="0.3">
      <c r="A68" s="100" t="s">
        <v>23</v>
      </c>
      <c r="B68" s="100"/>
      <c r="C68" s="100"/>
      <c r="D68" s="100"/>
      <c r="E68" s="100"/>
      <c r="F68" s="100"/>
      <c r="G68" s="100"/>
      <c r="H68" s="100"/>
      <c r="I68" s="100"/>
      <c r="J68" s="100"/>
    </row>
    <row r="69" spans="1:10" ht="30" customHeight="1" x14ac:dyDescent="0.3">
      <c r="A69" s="42" t="s">
        <v>1</v>
      </c>
      <c r="B69" s="42" t="s">
        <v>2</v>
      </c>
      <c r="C69" s="54" t="s">
        <v>3</v>
      </c>
      <c r="D69" s="54" t="s">
        <v>4</v>
      </c>
      <c r="E69" s="42" t="s">
        <v>5</v>
      </c>
      <c r="F69" s="54" t="s">
        <v>6</v>
      </c>
      <c r="G69" s="54" t="s">
        <v>7</v>
      </c>
      <c r="H69" s="42" t="s">
        <v>8</v>
      </c>
      <c r="I69" s="42" t="s">
        <v>9</v>
      </c>
      <c r="J69" s="42" t="s">
        <v>10</v>
      </c>
    </row>
    <row r="70" spans="1:10" ht="19.95" customHeight="1" x14ac:dyDescent="0.3">
      <c r="A70" s="42">
        <v>250080</v>
      </c>
      <c r="B70" s="42">
        <v>304</v>
      </c>
      <c r="C70" s="43">
        <v>0.6</v>
      </c>
      <c r="D70" s="43" t="s">
        <v>27</v>
      </c>
      <c r="E70" s="37" t="s">
        <v>206</v>
      </c>
      <c r="F70" s="42" t="s">
        <v>45</v>
      </c>
      <c r="G70" s="42">
        <v>430</v>
      </c>
      <c r="H70" s="32">
        <v>500</v>
      </c>
      <c r="I70" s="40">
        <v>504</v>
      </c>
      <c r="J70" s="32">
        <f t="shared" ref="J70:J78" si="5">H70-I70</f>
        <v>-4</v>
      </c>
    </row>
    <row r="71" spans="1:10" ht="19.95" customHeight="1" x14ac:dyDescent="0.3">
      <c r="A71" s="42">
        <v>250080</v>
      </c>
      <c r="B71" s="42">
        <v>304</v>
      </c>
      <c r="C71" s="43">
        <v>0.6</v>
      </c>
      <c r="D71" s="43" t="s">
        <v>27</v>
      </c>
      <c r="E71" s="37" t="s">
        <v>207</v>
      </c>
      <c r="F71" s="42" t="s">
        <v>45</v>
      </c>
      <c r="G71" s="42">
        <v>430</v>
      </c>
      <c r="H71" s="32">
        <v>500</v>
      </c>
      <c r="I71" s="40">
        <v>513</v>
      </c>
      <c r="J71" s="32">
        <f t="shared" si="5"/>
        <v>-13</v>
      </c>
    </row>
    <row r="72" spans="1:10" ht="19.95" customHeight="1" x14ac:dyDescent="0.3">
      <c r="A72" s="42">
        <v>250080</v>
      </c>
      <c r="B72" s="42">
        <v>304</v>
      </c>
      <c r="C72" s="43">
        <v>0.6</v>
      </c>
      <c r="D72" s="43" t="s">
        <v>11</v>
      </c>
      <c r="E72" s="37" t="s">
        <v>208</v>
      </c>
      <c r="F72" s="42" t="s">
        <v>13</v>
      </c>
      <c r="G72" s="42">
        <v>430</v>
      </c>
      <c r="H72" s="32">
        <v>300</v>
      </c>
      <c r="I72" s="40">
        <v>303</v>
      </c>
      <c r="J72" s="32">
        <f>H72-I72</f>
        <v>-3</v>
      </c>
    </row>
    <row r="73" spans="1:10" ht="19.95" customHeight="1" x14ac:dyDescent="0.3">
      <c r="A73" s="42"/>
      <c r="B73" s="42"/>
      <c r="C73" s="43"/>
      <c r="D73" s="43"/>
      <c r="E73" s="37"/>
      <c r="F73" s="42"/>
      <c r="G73" s="42"/>
      <c r="H73" s="41"/>
      <c r="I73" s="46"/>
      <c r="J73" s="41">
        <f>H73-I73</f>
        <v>0</v>
      </c>
    </row>
    <row r="74" spans="1:10" ht="19.95" customHeight="1" x14ac:dyDescent="0.3">
      <c r="A74" s="42"/>
      <c r="B74" s="42"/>
      <c r="C74" s="43"/>
      <c r="D74" s="43"/>
      <c r="E74" s="37"/>
      <c r="F74" s="42"/>
      <c r="G74" s="42"/>
      <c r="H74" s="41"/>
      <c r="I74" s="46"/>
      <c r="J74" s="41">
        <f>H74-I74</f>
        <v>0</v>
      </c>
    </row>
    <row r="75" spans="1:10" ht="19.95" customHeight="1" x14ac:dyDescent="0.3">
      <c r="A75" s="42">
        <v>250042</v>
      </c>
      <c r="B75" s="42">
        <v>304</v>
      </c>
      <c r="C75" s="43">
        <v>0.9</v>
      </c>
      <c r="D75" s="43" t="s">
        <v>55</v>
      </c>
      <c r="E75" s="37" t="s">
        <v>211</v>
      </c>
      <c r="F75" s="42" t="s">
        <v>52</v>
      </c>
      <c r="G75" s="42">
        <v>304</v>
      </c>
      <c r="H75" s="32">
        <v>750</v>
      </c>
      <c r="I75" s="40">
        <f>286+509</f>
        <v>795</v>
      </c>
      <c r="J75" s="32">
        <f>H75-I75</f>
        <v>-45</v>
      </c>
    </row>
    <row r="76" spans="1:10" ht="19.95" customHeight="1" x14ac:dyDescent="0.3">
      <c r="A76" s="42">
        <v>250057</v>
      </c>
      <c r="B76" s="42">
        <v>304</v>
      </c>
      <c r="C76" s="43">
        <v>0.7</v>
      </c>
      <c r="D76" s="43" t="s">
        <v>55</v>
      </c>
      <c r="E76" s="37" t="s">
        <v>212</v>
      </c>
      <c r="F76" s="42" t="s">
        <v>52</v>
      </c>
      <c r="G76" s="75">
        <v>304</v>
      </c>
      <c r="H76" s="33">
        <v>395</v>
      </c>
      <c r="I76" s="76"/>
      <c r="J76" s="41">
        <f t="shared" si="5"/>
        <v>395</v>
      </c>
    </row>
    <row r="77" spans="1:10" ht="19.95" customHeight="1" x14ac:dyDescent="0.3">
      <c r="A77" s="42">
        <v>250057</v>
      </c>
      <c r="B77" s="42">
        <v>304</v>
      </c>
      <c r="C77" s="43">
        <v>1</v>
      </c>
      <c r="D77" s="43" t="s">
        <v>55</v>
      </c>
      <c r="E77" s="37" t="s">
        <v>213</v>
      </c>
      <c r="F77" s="42" t="s">
        <v>52</v>
      </c>
      <c r="G77" s="75">
        <v>304</v>
      </c>
      <c r="H77" s="33">
        <v>15</v>
      </c>
      <c r="I77" s="76"/>
      <c r="J77" s="41">
        <f t="shared" si="5"/>
        <v>15</v>
      </c>
    </row>
    <row r="78" spans="1:10" ht="19.95" customHeight="1" x14ac:dyDescent="0.3">
      <c r="A78" s="42"/>
      <c r="B78" s="42"/>
      <c r="C78" s="43"/>
      <c r="D78" s="43"/>
      <c r="E78" s="37"/>
      <c r="F78" s="42"/>
      <c r="G78" s="75"/>
      <c r="H78" s="33"/>
      <c r="I78" s="76"/>
      <c r="J78" s="41">
        <f t="shared" si="5"/>
        <v>0</v>
      </c>
    </row>
    <row r="79" spans="1:10" ht="19.95" customHeight="1" x14ac:dyDescent="0.3">
      <c r="A79" s="101"/>
      <c r="B79" s="101"/>
      <c r="C79" s="101"/>
      <c r="D79" s="101"/>
      <c r="E79" s="101"/>
      <c r="F79" s="101"/>
      <c r="G79" s="101"/>
      <c r="H79" s="41">
        <f>SUM(H70:H78)</f>
        <v>2460</v>
      </c>
      <c r="I79" s="46">
        <f>SUM(I70:I78)</f>
        <v>2115</v>
      </c>
      <c r="J79" s="41">
        <f>SUM(J70:J78)</f>
        <v>345</v>
      </c>
    </row>
    <row r="80" spans="1:10" x14ac:dyDescent="0.3">
      <c r="A80" s="102"/>
      <c r="B80" s="102"/>
      <c r="C80" s="102"/>
      <c r="D80" s="102"/>
      <c r="E80" s="102"/>
      <c r="F80" s="102"/>
      <c r="G80" s="102"/>
    </row>
    <row r="81" spans="1:10" ht="15.6" x14ac:dyDescent="0.3">
      <c r="H81" s="8">
        <f>H79+H66+H50+H39+H28+H18</f>
        <v>22348</v>
      </c>
      <c r="I81" s="8">
        <f>I79+I66+I50+I39+I28+I18</f>
        <v>16518</v>
      </c>
      <c r="J81" s="8">
        <f>J79+J66+J50+J39+J28+J18</f>
        <v>5830</v>
      </c>
    </row>
    <row r="83" spans="1:10" ht="23.4" x14ac:dyDescent="0.3">
      <c r="A83" s="95" t="s">
        <v>14</v>
      </c>
      <c r="B83" s="95"/>
      <c r="C83" s="95"/>
      <c r="D83" s="95"/>
      <c r="E83" s="95"/>
      <c r="F83" s="95"/>
      <c r="G83" s="95"/>
      <c r="H83" s="95"/>
      <c r="I83" s="95"/>
      <c r="J83" s="95"/>
    </row>
  </sheetData>
  <mergeCells count="10">
    <mergeCell ref="A52:J52"/>
    <mergeCell ref="A68:J68"/>
    <mergeCell ref="A79:G80"/>
    <mergeCell ref="A83:J83"/>
    <mergeCell ref="H1:J1"/>
    <mergeCell ref="A2:J2"/>
    <mergeCell ref="A3:J3"/>
    <mergeCell ref="A20:J20"/>
    <mergeCell ref="A30:J30"/>
    <mergeCell ref="A41:J41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57" fitToHeight="0"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4"/>
  <sheetViews>
    <sheetView zoomScale="85" zoomScaleNormal="85" workbookViewId="0">
      <selection activeCell="L3" sqref="L3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2.886718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222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/>
      <c r="B5" s="42"/>
      <c r="C5" s="43"/>
      <c r="D5" s="43"/>
      <c r="E5" s="103" t="s">
        <v>223</v>
      </c>
      <c r="F5" s="42"/>
      <c r="G5" s="42"/>
      <c r="H5" s="23"/>
      <c r="I5" s="24"/>
      <c r="J5" s="23">
        <f t="shared" ref="J5:J7" si="0">H5-I5</f>
        <v>0</v>
      </c>
    </row>
    <row r="6" spans="1:10" ht="19.95" customHeight="1" x14ac:dyDescent="0.3">
      <c r="A6" s="42"/>
      <c r="B6" s="42"/>
      <c r="C6" s="43"/>
      <c r="D6" s="43"/>
      <c r="E6" s="104"/>
      <c r="F6" s="42"/>
      <c r="G6" s="42"/>
      <c r="H6" s="23"/>
      <c r="I6" s="24"/>
      <c r="J6" s="23">
        <f t="shared" si="0"/>
        <v>0</v>
      </c>
    </row>
    <row r="7" spans="1:10" ht="19.95" customHeight="1" x14ac:dyDescent="0.3">
      <c r="A7" s="42"/>
      <c r="B7" s="42"/>
      <c r="C7" s="43"/>
      <c r="D7" s="43"/>
      <c r="E7" s="37"/>
      <c r="F7" s="42"/>
      <c r="G7" s="42"/>
      <c r="H7" s="23"/>
      <c r="I7" s="24"/>
      <c r="J7" s="23">
        <f t="shared" si="0"/>
        <v>0</v>
      </c>
    </row>
    <row r="8" spans="1:10" ht="19.95" customHeight="1" x14ac:dyDescent="0.3">
      <c r="A8" s="69"/>
      <c r="B8" s="69"/>
      <c r="C8" s="69"/>
      <c r="D8" s="69"/>
      <c r="E8" s="48"/>
      <c r="F8" s="69"/>
      <c r="G8" s="49"/>
      <c r="H8" s="73">
        <f>SUM(H5:H7)</f>
        <v>0</v>
      </c>
      <c r="I8" s="74">
        <f>SUM(I5:I7)</f>
        <v>0</v>
      </c>
      <c r="J8" s="23">
        <f>SUM(J5:J7)</f>
        <v>0</v>
      </c>
    </row>
    <row r="9" spans="1:10" x14ac:dyDescent="0.3">
      <c r="A9" s="52"/>
      <c r="B9" s="52"/>
      <c r="C9" s="52"/>
      <c r="D9" s="52"/>
      <c r="E9" s="52"/>
      <c r="F9" s="53"/>
      <c r="G9" s="52"/>
      <c r="H9" s="52"/>
      <c r="I9" s="52"/>
      <c r="J9" s="52"/>
    </row>
    <row r="10" spans="1:10" ht="30" customHeight="1" x14ac:dyDescent="0.3">
      <c r="A10" s="100" t="s">
        <v>17</v>
      </c>
      <c r="B10" s="100"/>
      <c r="C10" s="100"/>
      <c r="D10" s="100"/>
      <c r="E10" s="100"/>
      <c r="F10" s="100"/>
      <c r="G10" s="100"/>
      <c r="H10" s="100"/>
      <c r="I10" s="100"/>
      <c r="J10" s="100"/>
    </row>
    <row r="11" spans="1:10" ht="30" customHeight="1" x14ac:dyDescent="0.3">
      <c r="A11" s="42" t="s">
        <v>1</v>
      </c>
      <c r="B11" s="42" t="s">
        <v>2</v>
      </c>
      <c r="C11" s="54" t="s">
        <v>3</v>
      </c>
      <c r="D11" s="54" t="s">
        <v>4</v>
      </c>
      <c r="E11" s="42" t="s">
        <v>5</v>
      </c>
      <c r="F11" s="54" t="s">
        <v>6</v>
      </c>
      <c r="G11" s="54" t="s">
        <v>7</v>
      </c>
      <c r="H11" s="42" t="s">
        <v>8</v>
      </c>
      <c r="I11" s="42" t="s">
        <v>9</v>
      </c>
      <c r="J11" s="42" t="s">
        <v>10</v>
      </c>
    </row>
    <row r="12" spans="1:10" ht="19.95" customHeight="1" x14ac:dyDescent="0.3">
      <c r="A12" s="42">
        <v>250057</v>
      </c>
      <c r="B12" s="42">
        <v>304</v>
      </c>
      <c r="C12" s="43">
        <v>0.7</v>
      </c>
      <c r="D12" s="43" t="s">
        <v>43</v>
      </c>
      <c r="E12" s="37" t="s">
        <v>169</v>
      </c>
      <c r="F12" s="42" t="s">
        <v>170</v>
      </c>
      <c r="G12" s="42">
        <v>304</v>
      </c>
      <c r="H12" s="41">
        <v>395</v>
      </c>
      <c r="I12" s="46">
        <v>53</v>
      </c>
      <c r="J12" s="23">
        <f t="shared" ref="J12:J23" si="1">H12-I12</f>
        <v>342</v>
      </c>
    </row>
    <row r="13" spans="1:10" ht="19.95" customHeight="1" x14ac:dyDescent="0.3">
      <c r="A13" s="42">
        <v>250061</v>
      </c>
      <c r="B13" s="42">
        <v>304</v>
      </c>
      <c r="C13" s="43">
        <v>0.7</v>
      </c>
      <c r="D13" s="43" t="s">
        <v>43</v>
      </c>
      <c r="E13" s="37" t="s">
        <v>169</v>
      </c>
      <c r="F13" s="42" t="s">
        <v>171</v>
      </c>
      <c r="G13" s="42">
        <v>304</v>
      </c>
      <c r="H13" s="41">
        <v>525</v>
      </c>
      <c r="I13" s="46"/>
      <c r="J13" s="23">
        <f t="shared" si="1"/>
        <v>525</v>
      </c>
    </row>
    <row r="14" spans="1:10" ht="19.95" customHeight="1" x14ac:dyDescent="0.3">
      <c r="A14" s="42">
        <v>250079</v>
      </c>
      <c r="B14" s="42">
        <v>304</v>
      </c>
      <c r="C14" s="43">
        <v>0.7</v>
      </c>
      <c r="D14" s="43" t="s">
        <v>43</v>
      </c>
      <c r="E14" s="37" t="s">
        <v>192</v>
      </c>
      <c r="F14" s="42" t="s">
        <v>171</v>
      </c>
      <c r="G14" s="42">
        <v>304</v>
      </c>
      <c r="H14" s="41">
        <v>952</v>
      </c>
      <c r="I14" s="46"/>
      <c r="J14" s="23">
        <f t="shared" si="1"/>
        <v>952</v>
      </c>
    </row>
    <row r="15" spans="1:10" ht="27.6" customHeight="1" x14ac:dyDescent="0.3">
      <c r="A15" s="42">
        <v>250079</v>
      </c>
      <c r="B15" s="42">
        <v>304</v>
      </c>
      <c r="C15" s="43">
        <v>1</v>
      </c>
      <c r="D15" s="43" t="s">
        <v>43</v>
      </c>
      <c r="E15" s="66" t="s">
        <v>195</v>
      </c>
      <c r="F15" s="42" t="s">
        <v>171</v>
      </c>
      <c r="G15" s="42">
        <v>304</v>
      </c>
      <c r="H15" s="41">
        <v>48</v>
      </c>
      <c r="I15" s="46"/>
      <c r="J15" s="23">
        <f t="shared" si="1"/>
        <v>48</v>
      </c>
    </row>
    <row r="16" spans="1:10" ht="19.95" customHeight="1" x14ac:dyDescent="0.3">
      <c r="A16" s="42">
        <v>250057</v>
      </c>
      <c r="B16" s="42">
        <v>304</v>
      </c>
      <c r="C16" s="43">
        <v>1</v>
      </c>
      <c r="D16" s="43" t="s">
        <v>43</v>
      </c>
      <c r="E16" s="37" t="s">
        <v>190</v>
      </c>
      <c r="F16" s="42" t="s">
        <v>170</v>
      </c>
      <c r="G16" s="42">
        <v>304</v>
      </c>
      <c r="H16" s="41">
        <v>15</v>
      </c>
      <c r="I16" s="46"/>
      <c r="J16" s="23">
        <f t="shared" si="1"/>
        <v>15</v>
      </c>
    </row>
    <row r="17" spans="1:10" ht="19.95" customHeight="1" x14ac:dyDescent="0.3">
      <c r="A17" s="42">
        <v>250061</v>
      </c>
      <c r="B17" s="42">
        <v>304</v>
      </c>
      <c r="C17" s="43">
        <v>1</v>
      </c>
      <c r="D17" s="43" t="s">
        <v>43</v>
      </c>
      <c r="E17" s="37" t="s">
        <v>190</v>
      </c>
      <c r="F17" s="42" t="s">
        <v>171</v>
      </c>
      <c r="G17" s="42">
        <v>304</v>
      </c>
      <c r="H17" s="41">
        <v>15</v>
      </c>
      <c r="I17" s="46"/>
      <c r="J17" s="23">
        <f t="shared" si="1"/>
        <v>15</v>
      </c>
    </row>
    <row r="18" spans="1:10" ht="19.95" customHeight="1" x14ac:dyDescent="0.3">
      <c r="A18" s="42">
        <v>21025</v>
      </c>
      <c r="B18" s="42">
        <v>304</v>
      </c>
      <c r="C18" s="43">
        <v>0.6</v>
      </c>
      <c r="D18" s="43" t="s">
        <v>55</v>
      </c>
      <c r="E18" s="37" t="s">
        <v>185</v>
      </c>
      <c r="F18" s="42" t="s">
        <v>45</v>
      </c>
      <c r="G18" s="42">
        <v>430</v>
      </c>
      <c r="H18" s="23">
        <v>1000</v>
      </c>
      <c r="I18" s="24"/>
      <c r="J18" s="23">
        <f t="shared" si="1"/>
        <v>1000</v>
      </c>
    </row>
    <row r="19" spans="1:10" ht="19.95" customHeight="1" x14ac:dyDescent="0.3">
      <c r="A19" s="42">
        <v>250078</v>
      </c>
      <c r="B19" s="42">
        <v>304</v>
      </c>
      <c r="C19" s="43">
        <v>0.7</v>
      </c>
      <c r="D19" s="43" t="s">
        <v>11</v>
      </c>
      <c r="E19" s="37" t="s">
        <v>220</v>
      </c>
      <c r="F19" s="42" t="s">
        <v>13</v>
      </c>
      <c r="G19" s="42">
        <v>304</v>
      </c>
      <c r="H19" s="41">
        <v>775</v>
      </c>
      <c r="I19" s="24"/>
      <c r="J19" s="23">
        <f t="shared" si="1"/>
        <v>775</v>
      </c>
    </row>
    <row r="20" spans="1:10" ht="19.95" customHeight="1" x14ac:dyDescent="0.3">
      <c r="A20" s="42">
        <v>250078</v>
      </c>
      <c r="B20" s="42">
        <v>304</v>
      </c>
      <c r="C20" s="43">
        <v>1</v>
      </c>
      <c r="D20" s="43" t="s">
        <v>11</v>
      </c>
      <c r="E20" s="37" t="s">
        <v>221</v>
      </c>
      <c r="F20" s="42" t="s">
        <v>13</v>
      </c>
      <c r="G20" s="42">
        <v>304</v>
      </c>
      <c r="H20" s="41">
        <v>15</v>
      </c>
      <c r="I20" s="24"/>
      <c r="J20" s="23">
        <f t="shared" si="1"/>
        <v>15</v>
      </c>
    </row>
    <row r="21" spans="1:10" ht="19.95" customHeight="1" x14ac:dyDescent="0.3">
      <c r="A21" s="42">
        <v>250078</v>
      </c>
      <c r="B21" s="42">
        <v>304</v>
      </c>
      <c r="C21" s="43">
        <v>0.7</v>
      </c>
      <c r="D21" s="43" t="s">
        <v>11</v>
      </c>
      <c r="E21" s="37" t="s">
        <v>214</v>
      </c>
      <c r="F21" s="42" t="s">
        <v>13</v>
      </c>
      <c r="G21" s="42">
        <v>304</v>
      </c>
      <c r="H21" s="41">
        <v>775</v>
      </c>
      <c r="I21" s="24"/>
      <c r="J21" s="23">
        <f t="shared" si="1"/>
        <v>775</v>
      </c>
    </row>
    <row r="22" spans="1:10" ht="19.95" customHeight="1" x14ac:dyDescent="0.3">
      <c r="A22" s="42">
        <v>250078</v>
      </c>
      <c r="B22" s="42">
        <v>304</v>
      </c>
      <c r="C22" s="43">
        <v>1</v>
      </c>
      <c r="D22" s="43" t="s">
        <v>11</v>
      </c>
      <c r="E22" s="37" t="s">
        <v>215</v>
      </c>
      <c r="F22" s="42" t="s">
        <v>13</v>
      </c>
      <c r="G22" s="42">
        <v>304</v>
      </c>
      <c r="H22" s="41">
        <v>15</v>
      </c>
      <c r="I22" s="24"/>
      <c r="J22" s="23">
        <f t="shared" si="1"/>
        <v>15</v>
      </c>
    </row>
    <row r="23" spans="1:10" ht="19.95" customHeight="1" x14ac:dyDescent="0.3">
      <c r="A23" s="42"/>
      <c r="B23" s="42"/>
      <c r="C23" s="43"/>
      <c r="D23" s="43"/>
      <c r="E23" s="37"/>
      <c r="F23" s="42"/>
      <c r="G23" s="42"/>
      <c r="H23" s="23"/>
      <c r="I23" s="24"/>
      <c r="J23" s="23">
        <f t="shared" si="1"/>
        <v>0</v>
      </c>
    </row>
    <row r="24" spans="1:10" ht="19.95" customHeight="1" x14ac:dyDescent="0.3">
      <c r="A24" s="69"/>
      <c r="B24" s="69"/>
      <c r="C24" s="69"/>
      <c r="D24" s="69"/>
      <c r="E24" s="48"/>
      <c r="F24" s="69"/>
      <c r="G24" s="49"/>
      <c r="H24" s="23">
        <f>SUM(H12:H23)</f>
        <v>4530</v>
      </c>
      <c r="I24" s="24">
        <f>SUM(I12:I23)</f>
        <v>53</v>
      </c>
      <c r="J24" s="23">
        <f>SUM(J12:J23)</f>
        <v>4477</v>
      </c>
    </row>
    <row r="25" spans="1:10" x14ac:dyDescent="0.3">
      <c r="A25" s="52"/>
      <c r="B25" s="52"/>
      <c r="C25" s="52"/>
      <c r="D25" s="52"/>
      <c r="E25" s="52"/>
      <c r="F25" s="53"/>
      <c r="G25" s="52"/>
      <c r="H25" s="52"/>
      <c r="I25" s="52"/>
      <c r="J25" s="52"/>
    </row>
    <row r="26" spans="1:10" ht="30" customHeight="1" x14ac:dyDescent="0.3">
      <c r="A26" s="100" t="s">
        <v>18</v>
      </c>
      <c r="B26" s="100"/>
      <c r="C26" s="100"/>
      <c r="D26" s="100"/>
      <c r="E26" s="100"/>
      <c r="F26" s="100"/>
      <c r="G26" s="100"/>
      <c r="H26" s="100"/>
      <c r="I26" s="100"/>
      <c r="J26" s="100"/>
    </row>
    <row r="27" spans="1:10" ht="30" customHeight="1" x14ac:dyDescent="0.3">
      <c r="A27" s="42" t="s">
        <v>1</v>
      </c>
      <c r="B27" s="42" t="s">
        <v>2</v>
      </c>
      <c r="C27" s="54" t="s">
        <v>3</v>
      </c>
      <c r="D27" s="54" t="s">
        <v>4</v>
      </c>
      <c r="E27" s="42" t="s">
        <v>5</v>
      </c>
      <c r="F27" s="54" t="s">
        <v>6</v>
      </c>
      <c r="G27" s="54" t="s">
        <v>7</v>
      </c>
      <c r="H27" s="42" t="s">
        <v>8</v>
      </c>
      <c r="I27" s="42" t="s">
        <v>9</v>
      </c>
      <c r="J27" s="42" t="s">
        <v>10</v>
      </c>
    </row>
    <row r="28" spans="1:10" ht="19.95" customHeight="1" x14ac:dyDescent="0.3">
      <c r="A28" s="42">
        <v>250080</v>
      </c>
      <c r="B28" s="42">
        <v>304</v>
      </c>
      <c r="C28" s="43">
        <v>0.6</v>
      </c>
      <c r="D28" s="43" t="s">
        <v>11</v>
      </c>
      <c r="E28" s="37" t="s">
        <v>197</v>
      </c>
      <c r="F28" s="42" t="s">
        <v>13</v>
      </c>
      <c r="G28" s="42">
        <v>430</v>
      </c>
      <c r="H28" s="41">
        <v>300</v>
      </c>
      <c r="I28" s="24"/>
      <c r="J28" s="23">
        <f t="shared" ref="J28:J35" si="2">H28-I28</f>
        <v>300</v>
      </c>
    </row>
    <row r="29" spans="1:10" ht="19.95" customHeight="1" x14ac:dyDescent="0.3">
      <c r="A29" s="42">
        <v>250057</v>
      </c>
      <c r="B29" s="42">
        <v>304</v>
      </c>
      <c r="C29" s="43">
        <v>0.7</v>
      </c>
      <c r="D29" s="43" t="s">
        <v>55</v>
      </c>
      <c r="E29" s="37" t="s">
        <v>212</v>
      </c>
      <c r="F29" s="42" t="s">
        <v>52</v>
      </c>
      <c r="G29" s="42">
        <v>304</v>
      </c>
      <c r="H29" s="41">
        <v>395</v>
      </c>
      <c r="I29" s="46"/>
      <c r="J29" s="41">
        <f t="shared" si="2"/>
        <v>395</v>
      </c>
    </row>
    <row r="30" spans="1:10" ht="19.95" customHeight="1" x14ac:dyDescent="0.3">
      <c r="A30" s="42">
        <v>250057</v>
      </c>
      <c r="B30" s="42">
        <v>304</v>
      </c>
      <c r="C30" s="43">
        <v>1</v>
      </c>
      <c r="D30" s="43" t="s">
        <v>55</v>
      </c>
      <c r="E30" s="37" t="s">
        <v>213</v>
      </c>
      <c r="F30" s="42" t="s">
        <v>52</v>
      </c>
      <c r="G30" s="42">
        <v>304</v>
      </c>
      <c r="H30" s="41">
        <v>15</v>
      </c>
      <c r="I30" s="46"/>
      <c r="J30" s="41">
        <f t="shared" si="2"/>
        <v>15</v>
      </c>
    </row>
    <row r="31" spans="1:10" ht="19.95" customHeight="1" x14ac:dyDescent="0.3">
      <c r="A31" s="42">
        <v>151025</v>
      </c>
      <c r="B31" s="42">
        <v>304</v>
      </c>
      <c r="C31" s="43">
        <v>0.7</v>
      </c>
      <c r="D31" s="43" t="s">
        <v>55</v>
      </c>
      <c r="E31" s="37" t="s">
        <v>227</v>
      </c>
      <c r="F31" s="42" t="s">
        <v>45</v>
      </c>
      <c r="G31" s="42">
        <v>430</v>
      </c>
      <c r="H31" s="23">
        <v>1000</v>
      </c>
      <c r="I31" s="24"/>
      <c r="J31" s="23">
        <f t="shared" si="2"/>
        <v>1000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186</v>
      </c>
      <c r="F32" s="42" t="s">
        <v>45</v>
      </c>
      <c r="G32" s="42">
        <v>430</v>
      </c>
      <c r="H32" s="23">
        <v>1000</v>
      </c>
      <c r="I32" s="24"/>
      <c r="J32" s="23">
        <f t="shared" si="2"/>
        <v>1000</v>
      </c>
    </row>
    <row r="33" spans="1:10" ht="19.95" customHeight="1" x14ac:dyDescent="0.3">
      <c r="A33" s="42">
        <v>151025</v>
      </c>
      <c r="B33" s="42">
        <v>304</v>
      </c>
      <c r="C33" s="43">
        <v>0.7</v>
      </c>
      <c r="D33" s="43" t="s">
        <v>55</v>
      </c>
      <c r="E33" s="37" t="s">
        <v>226</v>
      </c>
      <c r="F33" s="42" t="s">
        <v>45</v>
      </c>
      <c r="G33" s="42">
        <v>430</v>
      </c>
      <c r="H33" s="23">
        <v>1000</v>
      </c>
      <c r="I33" s="24"/>
      <c r="J33" s="23">
        <f t="shared" si="2"/>
        <v>1000</v>
      </c>
    </row>
    <row r="34" spans="1:10" ht="19.95" customHeight="1" x14ac:dyDescent="0.3">
      <c r="A34" s="42" t="s">
        <v>225</v>
      </c>
      <c r="B34" s="42">
        <v>304</v>
      </c>
      <c r="C34" s="43">
        <v>0.7</v>
      </c>
      <c r="D34" s="43" t="s">
        <v>55</v>
      </c>
      <c r="E34" s="37" t="s">
        <v>226</v>
      </c>
      <c r="F34" s="42" t="s">
        <v>45</v>
      </c>
      <c r="G34" s="42">
        <v>430</v>
      </c>
      <c r="H34" s="23">
        <v>1000</v>
      </c>
      <c r="I34" s="24"/>
      <c r="J34" s="23">
        <f t="shared" si="2"/>
        <v>1000</v>
      </c>
    </row>
    <row r="35" spans="1:10" ht="19.95" customHeight="1" x14ac:dyDescent="0.3">
      <c r="A35" s="42"/>
      <c r="B35" s="42"/>
      <c r="C35" s="43"/>
      <c r="D35" s="43"/>
      <c r="E35" s="37"/>
      <c r="F35" s="42"/>
      <c r="G35" s="42"/>
      <c r="H35" s="41"/>
      <c r="I35" s="46"/>
      <c r="J35" s="41">
        <f t="shared" si="2"/>
        <v>0</v>
      </c>
    </row>
    <row r="36" spans="1:10" ht="19.95" customHeight="1" x14ac:dyDescent="0.3">
      <c r="A36" s="69"/>
      <c r="B36" s="69"/>
      <c r="C36" s="69"/>
      <c r="D36" s="69"/>
      <c r="E36" s="48"/>
      <c r="F36" s="69"/>
      <c r="G36" s="49"/>
      <c r="H36" s="41">
        <f>SUM(H28:H35)</f>
        <v>4710</v>
      </c>
      <c r="I36" s="46">
        <f>SUM(I28:I35)</f>
        <v>0</v>
      </c>
      <c r="J36" s="41">
        <f>SUM(J28:J35)</f>
        <v>4710</v>
      </c>
    </row>
    <row r="37" spans="1:10" x14ac:dyDescent="0.3">
      <c r="A37" s="52"/>
      <c r="B37" s="52"/>
      <c r="C37" s="52"/>
      <c r="D37" s="52"/>
      <c r="E37" s="52"/>
      <c r="F37" s="53"/>
      <c r="G37" s="52"/>
      <c r="H37" s="52"/>
      <c r="I37" s="52"/>
      <c r="J37" s="52"/>
    </row>
    <row r="38" spans="1:10" ht="30" customHeight="1" x14ac:dyDescent="0.3">
      <c r="A38" s="100" t="s">
        <v>20</v>
      </c>
      <c r="B38" s="100"/>
      <c r="C38" s="100"/>
      <c r="D38" s="100"/>
      <c r="E38" s="100"/>
      <c r="F38" s="100"/>
      <c r="G38" s="100"/>
      <c r="H38" s="100"/>
      <c r="I38" s="100"/>
      <c r="J38" s="100"/>
    </row>
    <row r="39" spans="1:10" ht="30" customHeight="1" x14ac:dyDescent="0.3">
      <c r="A39" s="42" t="s">
        <v>1</v>
      </c>
      <c r="B39" s="42" t="s">
        <v>2</v>
      </c>
      <c r="C39" s="54" t="s">
        <v>3</v>
      </c>
      <c r="D39" s="54" t="s">
        <v>4</v>
      </c>
      <c r="E39" s="42" t="s">
        <v>5</v>
      </c>
      <c r="F39" s="54" t="s">
        <v>6</v>
      </c>
      <c r="G39" s="54" t="s">
        <v>7</v>
      </c>
      <c r="H39" s="42" t="s">
        <v>8</v>
      </c>
      <c r="I39" s="42" t="s">
        <v>9</v>
      </c>
      <c r="J39" s="42" t="s">
        <v>10</v>
      </c>
    </row>
    <row r="40" spans="1:10" ht="19.95" customHeight="1" x14ac:dyDescent="0.3">
      <c r="A40" s="42">
        <v>250079</v>
      </c>
      <c r="B40" s="42">
        <v>304</v>
      </c>
      <c r="C40" s="43">
        <v>0.7</v>
      </c>
      <c r="D40" s="43" t="s">
        <v>11</v>
      </c>
      <c r="E40" s="37" t="s">
        <v>228</v>
      </c>
      <c r="F40" s="42" t="s">
        <v>41</v>
      </c>
      <c r="G40" s="42">
        <v>304</v>
      </c>
      <c r="H40" s="41">
        <v>964</v>
      </c>
      <c r="I40" s="46"/>
      <c r="J40" s="41">
        <f>H40-I40</f>
        <v>964</v>
      </c>
    </row>
    <row r="41" spans="1:10" ht="19.95" customHeight="1" x14ac:dyDescent="0.3">
      <c r="A41" s="42">
        <v>250079</v>
      </c>
      <c r="B41" s="42">
        <v>304</v>
      </c>
      <c r="C41" s="43">
        <v>1</v>
      </c>
      <c r="D41" s="43" t="s">
        <v>11</v>
      </c>
      <c r="E41" s="37" t="s">
        <v>229</v>
      </c>
      <c r="F41" s="42" t="s">
        <v>41</v>
      </c>
      <c r="G41" s="42">
        <v>304</v>
      </c>
      <c r="H41" s="41">
        <v>36</v>
      </c>
      <c r="I41" s="46"/>
      <c r="J41" s="41">
        <f>H41-I41</f>
        <v>36</v>
      </c>
    </row>
    <row r="42" spans="1:10" ht="19.95" customHeight="1" x14ac:dyDescent="0.3">
      <c r="A42" s="42">
        <v>250079</v>
      </c>
      <c r="B42" s="42">
        <v>304</v>
      </c>
      <c r="C42" s="43">
        <v>0.7</v>
      </c>
      <c r="D42" s="43" t="s">
        <v>11</v>
      </c>
      <c r="E42" s="37" t="s">
        <v>231</v>
      </c>
      <c r="F42" s="42" t="s">
        <v>41</v>
      </c>
      <c r="G42" s="42">
        <v>304</v>
      </c>
      <c r="H42" s="41">
        <v>1314</v>
      </c>
      <c r="I42" s="46"/>
      <c r="J42" s="41">
        <f>H42-I42</f>
        <v>1314</v>
      </c>
    </row>
    <row r="43" spans="1:10" ht="19.95" customHeight="1" x14ac:dyDescent="0.3">
      <c r="A43" s="42">
        <v>250079</v>
      </c>
      <c r="B43" s="42">
        <v>304</v>
      </c>
      <c r="C43" s="43">
        <v>1</v>
      </c>
      <c r="D43" s="43" t="s">
        <v>11</v>
      </c>
      <c r="E43" s="37" t="s">
        <v>230</v>
      </c>
      <c r="F43" s="42" t="s">
        <v>41</v>
      </c>
      <c r="G43" s="42">
        <v>304</v>
      </c>
      <c r="H43" s="41">
        <v>36</v>
      </c>
      <c r="I43" s="46"/>
      <c r="J43" s="41">
        <f t="shared" ref="J43:J48" si="3">H43-I43</f>
        <v>36</v>
      </c>
    </row>
    <row r="44" spans="1:10" ht="19.95" customHeight="1" x14ac:dyDescent="0.3">
      <c r="A44" s="42">
        <v>250080</v>
      </c>
      <c r="B44" s="42">
        <v>304</v>
      </c>
      <c r="C44" s="43">
        <v>0.7</v>
      </c>
      <c r="D44" s="43" t="s">
        <v>11</v>
      </c>
      <c r="E44" s="37" t="s">
        <v>232</v>
      </c>
      <c r="F44" s="42" t="s">
        <v>41</v>
      </c>
      <c r="G44" s="42">
        <v>430</v>
      </c>
      <c r="H44" s="41">
        <v>1000</v>
      </c>
      <c r="I44" s="46"/>
      <c r="J44" s="41">
        <f t="shared" si="3"/>
        <v>1000</v>
      </c>
    </row>
    <row r="45" spans="1:10" ht="19.95" customHeight="1" x14ac:dyDescent="0.3">
      <c r="A45" s="42">
        <v>250079</v>
      </c>
      <c r="B45" s="42">
        <v>304</v>
      </c>
      <c r="C45" s="43">
        <v>0.7</v>
      </c>
      <c r="D45" s="43" t="s">
        <v>11</v>
      </c>
      <c r="E45" s="37" t="s">
        <v>233</v>
      </c>
      <c r="F45" s="42" t="s">
        <v>41</v>
      </c>
      <c r="G45" s="42">
        <v>304</v>
      </c>
      <c r="H45" s="41">
        <v>1314</v>
      </c>
      <c r="I45" s="46"/>
      <c r="J45" s="41">
        <f t="shared" si="3"/>
        <v>1314</v>
      </c>
    </row>
    <row r="46" spans="1:10" ht="19.95" customHeight="1" x14ac:dyDescent="0.3">
      <c r="A46" s="42">
        <v>250079</v>
      </c>
      <c r="B46" s="42">
        <v>304</v>
      </c>
      <c r="C46" s="43">
        <v>1</v>
      </c>
      <c r="D46" s="43" t="s">
        <v>11</v>
      </c>
      <c r="E46" s="37" t="s">
        <v>234</v>
      </c>
      <c r="F46" s="42" t="s">
        <v>41</v>
      </c>
      <c r="G46" s="42">
        <v>304</v>
      </c>
      <c r="H46" s="41">
        <v>36</v>
      </c>
      <c r="I46" s="46"/>
      <c r="J46" s="41">
        <f t="shared" si="3"/>
        <v>36</v>
      </c>
    </row>
    <row r="47" spans="1:10" ht="19.95" customHeight="1" x14ac:dyDescent="0.3">
      <c r="A47" s="42">
        <v>250080</v>
      </c>
      <c r="B47" s="42">
        <v>304</v>
      </c>
      <c r="C47" s="43">
        <v>0.7</v>
      </c>
      <c r="D47" s="43" t="s">
        <v>11</v>
      </c>
      <c r="E47" s="37" t="s">
        <v>235</v>
      </c>
      <c r="F47" s="42" t="s">
        <v>41</v>
      </c>
      <c r="G47" s="42">
        <v>430</v>
      </c>
      <c r="H47" s="41">
        <v>1200</v>
      </c>
      <c r="I47" s="46"/>
      <c r="J47" s="41">
        <f t="shared" si="3"/>
        <v>1200</v>
      </c>
    </row>
    <row r="48" spans="1:10" ht="19.95" customHeight="1" x14ac:dyDescent="0.3">
      <c r="A48" s="42"/>
      <c r="B48" s="42"/>
      <c r="C48" s="43"/>
      <c r="D48" s="43"/>
      <c r="E48" s="37"/>
      <c r="F48" s="42"/>
      <c r="G48" s="42"/>
      <c r="H48" s="41"/>
      <c r="I48" s="46"/>
      <c r="J48" s="41">
        <f t="shared" si="3"/>
        <v>0</v>
      </c>
    </row>
    <row r="49" spans="1:10" ht="19.95" customHeight="1" x14ac:dyDescent="0.3">
      <c r="A49" s="69"/>
      <c r="B49" s="69"/>
      <c r="C49" s="69"/>
      <c r="D49" s="69"/>
      <c r="E49" s="48"/>
      <c r="F49" s="69"/>
      <c r="G49" s="49"/>
      <c r="H49" s="41">
        <f>SUM(H40:H48)</f>
        <v>5900</v>
      </c>
      <c r="I49" s="46">
        <f>SUM(I40:I48)</f>
        <v>0</v>
      </c>
      <c r="J49" s="41">
        <f>SUM(J40:J48)</f>
        <v>5900</v>
      </c>
    </row>
    <row r="50" spans="1:10" ht="19.95" customHeight="1" x14ac:dyDescent="0.3">
      <c r="A50" s="70"/>
      <c r="B50" s="70"/>
      <c r="C50" s="70"/>
      <c r="D50" s="70"/>
      <c r="E50" s="56"/>
      <c r="F50" s="70"/>
      <c r="G50" s="70"/>
      <c r="H50" s="57"/>
      <c r="I50" s="58"/>
      <c r="J50" s="57"/>
    </row>
    <row r="51" spans="1:10" ht="30" customHeight="1" x14ac:dyDescent="0.3">
      <c r="A51" s="100" t="s">
        <v>19</v>
      </c>
      <c r="B51" s="100"/>
      <c r="C51" s="100"/>
      <c r="D51" s="100"/>
      <c r="E51" s="100"/>
      <c r="F51" s="100"/>
      <c r="G51" s="100"/>
      <c r="H51" s="100"/>
      <c r="I51" s="100"/>
      <c r="J51" s="100"/>
    </row>
    <row r="52" spans="1:10" ht="30" customHeight="1" x14ac:dyDescent="0.3">
      <c r="A52" s="42" t="s">
        <v>1</v>
      </c>
      <c r="B52" s="42" t="s">
        <v>2</v>
      </c>
      <c r="C52" s="54" t="s">
        <v>3</v>
      </c>
      <c r="D52" s="54" t="s">
        <v>4</v>
      </c>
      <c r="E52" s="42" t="s">
        <v>5</v>
      </c>
      <c r="F52" s="54" t="s">
        <v>6</v>
      </c>
      <c r="G52" s="54" t="s">
        <v>7</v>
      </c>
      <c r="H52" s="42" t="s">
        <v>8</v>
      </c>
      <c r="I52" s="42" t="s">
        <v>9</v>
      </c>
      <c r="J52" s="42" t="s">
        <v>10</v>
      </c>
    </row>
    <row r="53" spans="1:10" ht="19.95" customHeight="1" x14ac:dyDescent="0.3">
      <c r="A53" s="42" t="s">
        <v>225</v>
      </c>
      <c r="B53" s="42">
        <v>304</v>
      </c>
      <c r="C53" s="43">
        <v>0.7</v>
      </c>
      <c r="D53" s="43" t="s">
        <v>55</v>
      </c>
      <c r="E53" s="37" t="s">
        <v>236</v>
      </c>
      <c r="F53" s="42" t="s">
        <v>45</v>
      </c>
      <c r="G53" s="42">
        <v>430</v>
      </c>
      <c r="H53" s="23">
        <v>1000</v>
      </c>
      <c r="I53" s="24"/>
      <c r="J53" s="23">
        <f t="shared" ref="J53:J59" si="4">H53-I53</f>
        <v>1000</v>
      </c>
    </row>
    <row r="54" spans="1:10" ht="19.95" customHeight="1" x14ac:dyDescent="0.3">
      <c r="A54" s="42" t="s">
        <v>225</v>
      </c>
      <c r="B54" s="42">
        <v>304</v>
      </c>
      <c r="C54" s="43">
        <v>0.7</v>
      </c>
      <c r="D54" s="43" t="s">
        <v>55</v>
      </c>
      <c r="E54" s="37" t="s">
        <v>237</v>
      </c>
      <c r="F54" s="42" t="s">
        <v>45</v>
      </c>
      <c r="G54" s="42">
        <v>430</v>
      </c>
      <c r="H54" s="23">
        <v>1000</v>
      </c>
      <c r="I54" s="46"/>
      <c r="J54" s="41">
        <f t="shared" si="4"/>
        <v>1000</v>
      </c>
    </row>
    <row r="55" spans="1:10" ht="19.95" customHeight="1" x14ac:dyDescent="0.3">
      <c r="A55" s="42">
        <v>151025</v>
      </c>
      <c r="B55" s="42">
        <v>304</v>
      </c>
      <c r="C55" s="43">
        <v>0.7</v>
      </c>
      <c r="D55" s="43" t="s">
        <v>55</v>
      </c>
      <c r="E55" s="37" t="s">
        <v>238</v>
      </c>
      <c r="F55" s="42" t="s">
        <v>45</v>
      </c>
      <c r="G55" s="42">
        <v>430</v>
      </c>
      <c r="H55" s="23">
        <v>1000</v>
      </c>
      <c r="I55" s="46"/>
      <c r="J55" s="41">
        <f t="shared" si="4"/>
        <v>1000</v>
      </c>
    </row>
    <row r="56" spans="1:10" ht="19.95" customHeight="1" x14ac:dyDescent="0.3">
      <c r="A56" s="42">
        <v>250081</v>
      </c>
      <c r="B56" s="42">
        <v>304</v>
      </c>
      <c r="C56" s="43">
        <v>0.6</v>
      </c>
      <c r="D56" s="43" t="s">
        <v>11</v>
      </c>
      <c r="E56" s="37" t="s">
        <v>239</v>
      </c>
      <c r="F56" s="42" t="s">
        <v>45</v>
      </c>
      <c r="G56" s="42">
        <v>430</v>
      </c>
      <c r="H56" s="41">
        <v>500</v>
      </c>
      <c r="I56" s="46"/>
      <c r="J56" s="41">
        <f t="shared" si="4"/>
        <v>500</v>
      </c>
    </row>
    <row r="57" spans="1:10" ht="19.95" customHeight="1" x14ac:dyDescent="0.3">
      <c r="A57" s="42">
        <v>250078</v>
      </c>
      <c r="B57" s="42">
        <v>304</v>
      </c>
      <c r="C57" s="43">
        <v>0.7</v>
      </c>
      <c r="D57" s="43" t="s">
        <v>11</v>
      </c>
      <c r="E57" s="37" t="s">
        <v>240</v>
      </c>
      <c r="F57" s="42" t="s">
        <v>13</v>
      </c>
      <c r="G57" s="42">
        <v>304</v>
      </c>
      <c r="H57" s="23">
        <v>775</v>
      </c>
      <c r="I57" s="24"/>
      <c r="J57" s="23">
        <f>H57-I57</f>
        <v>775</v>
      </c>
    </row>
    <row r="58" spans="1:10" ht="19.95" customHeight="1" x14ac:dyDescent="0.3">
      <c r="A58" s="42">
        <v>250078</v>
      </c>
      <c r="B58" s="42">
        <v>304</v>
      </c>
      <c r="C58" s="43">
        <v>1</v>
      </c>
      <c r="D58" s="43" t="s">
        <v>11</v>
      </c>
      <c r="E58" s="37" t="s">
        <v>241</v>
      </c>
      <c r="F58" s="42" t="s">
        <v>13</v>
      </c>
      <c r="G58" s="42">
        <v>304</v>
      </c>
      <c r="H58" s="23">
        <v>15</v>
      </c>
      <c r="I58" s="24"/>
      <c r="J58" s="23">
        <f>H58-I58</f>
        <v>15</v>
      </c>
    </row>
    <row r="59" spans="1:10" ht="19.95" customHeight="1" x14ac:dyDescent="0.3">
      <c r="A59" s="42"/>
      <c r="B59" s="42"/>
      <c r="C59" s="43"/>
      <c r="D59" s="43"/>
      <c r="E59" s="37"/>
      <c r="F59" s="42"/>
      <c r="G59" s="42"/>
      <c r="H59" s="41"/>
      <c r="I59" s="46"/>
      <c r="J59" s="41">
        <f t="shared" si="4"/>
        <v>0</v>
      </c>
    </row>
    <row r="60" spans="1:10" ht="19.95" customHeight="1" x14ac:dyDescent="0.3">
      <c r="A60" s="69"/>
      <c r="B60" s="69"/>
      <c r="C60" s="69"/>
      <c r="D60" s="69"/>
      <c r="E60" s="48"/>
      <c r="F60" s="69"/>
      <c r="G60" s="49"/>
      <c r="H60" s="41">
        <f>SUM(H53:H59)</f>
        <v>4290</v>
      </c>
      <c r="I60" s="46">
        <f>SUM(I53:I59)</f>
        <v>0</v>
      </c>
      <c r="J60" s="41">
        <f>SUM(J53:J59)</f>
        <v>4290</v>
      </c>
    </row>
    <row r="61" spans="1:10" ht="19.95" customHeight="1" x14ac:dyDescent="0.3">
      <c r="A61" s="70"/>
      <c r="B61" s="70"/>
      <c r="C61" s="70"/>
      <c r="D61" s="70"/>
      <c r="E61" s="56"/>
      <c r="F61" s="70"/>
      <c r="G61" s="70"/>
      <c r="H61" s="57"/>
      <c r="I61" s="58"/>
      <c r="J61" s="57"/>
    </row>
    <row r="62" spans="1:10" ht="30" customHeight="1" x14ac:dyDescent="0.3">
      <c r="A62" s="100" t="s">
        <v>23</v>
      </c>
      <c r="B62" s="100"/>
      <c r="C62" s="100"/>
      <c r="D62" s="100"/>
      <c r="E62" s="100"/>
      <c r="F62" s="100"/>
      <c r="G62" s="100"/>
      <c r="H62" s="100"/>
      <c r="I62" s="100"/>
      <c r="J62" s="100"/>
    </row>
    <row r="63" spans="1:10" ht="30" customHeight="1" x14ac:dyDescent="0.3">
      <c r="A63" s="42" t="s">
        <v>1</v>
      </c>
      <c r="B63" s="42" t="s">
        <v>2</v>
      </c>
      <c r="C63" s="54" t="s">
        <v>3</v>
      </c>
      <c r="D63" s="54" t="s">
        <v>4</v>
      </c>
      <c r="E63" s="42" t="s">
        <v>5</v>
      </c>
      <c r="F63" s="54" t="s">
        <v>6</v>
      </c>
      <c r="G63" s="54" t="s">
        <v>7</v>
      </c>
      <c r="H63" s="42" t="s">
        <v>8</v>
      </c>
      <c r="I63" s="42" t="s">
        <v>9</v>
      </c>
      <c r="J63" s="42" t="s">
        <v>10</v>
      </c>
    </row>
    <row r="64" spans="1:10" ht="19.95" customHeight="1" x14ac:dyDescent="0.3">
      <c r="A64" s="42">
        <v>151025</v>
      </c>
      <c r="B64" s="42">
        <v>304</v>
      </c>
      <c r="C64" s="43">
        <v>0.7</v>
      </c>
      <c r="D64" s="43" t="s">
        <v>55</v>
      </c>
      <c r="E64" s="37" t="s">
        <v>244</v>
      </c>
      <c r="F64" s="42" t="s">
        <v>45</v>
      </c>
      <c r="G64" s="42">
        <v>430</v>
      </c>
      <c r="H64" s="41">
        <v>1000</v>
      </c>
      <c r="I64" s="46"/>
      <c r="J64" s="23">
        <f t="shared" ref="J64:J69" si="5">H64-I64</f>
        <v>1000</v>
      </c>
    </row>
    <row r="65" spans="1:10" ht="19.95" customHeight="1" x14ac:dyDescent="0.3">
      <c r="A65" s="42">
        <v>250081</v>
      </c>
      <c r="B65" s="42">
        <v>304</v>
      </c>
      <c r="C65" s="43">
        <v>0.6</v>
      </c>
      <c r="D65" s="43" t="s">
        <v>11</v>
      </c>
      <c r="E65" s="37" t="s">
        <v>245</v>
      </c>
      <c r="F65" s="42" t="s">
        <v>45</v>
      </c>
      <c r="G65" s="42">
        <v>430</v>
      </c>
      <c r="H65" s="23">
        <v>500</v>
      </c>
      <c r="I65" s="24"/>
      <c r="J65" s="23">
        <f t="shared" si="5"/>
        <v>500</v>
      </c>
    </row>
    <row r="66" spans="1:10" ht="19.95" customHeight="1" x14ac:dyDescent="0.3">
      <c r="A66" s="42">
        <v>250081</v>
      </c>
      <c r="B66" s="42">
        <v>304</v>
      </c>
      <c r="C66" s="43">
        <v>0.6</v>
      </c>
      <c r="D66" s="43" t="s">
        <v>96</v>
      </c>
      <c r="E66" s="37" t="s">
        <v>242</v>
      </c>
      <c r="F66" s="42" t="s">
        <v>45</v>
      </c>
      <c r="G66" s="42">
        <v>430</v>
      </c>
      <c r="H66" s="41">
        <v>600</v>
      </c>
      <c r="I66" s="24"/>
      <c r="J66" s="23">
        <f>H66-I66</f>
        <v>600</v>
      </c>
    </row>
    <row r="67" spans="1:10" ht="19.95" customHeight="1" x14ac:dyDescent="0.3">
      <c r="A67" s="42">
        <v>250082</v>
      </c>
      <c r="B67" s="42">
        <v>430</v>
      </c>
      <c r="C67" s="43">
        <v>0.6</v>
      </c>
      <c r="D67" s="43" t="s">
        <v>96</v>
      </c>
      <c r="E67" s="37" t="s">
        <v>243</v>
      </c>
      <c r="F67" s="42" t="s">
        <v>13</v>
      </c>
      <c r="G67" s="42">
        <v>430</v>
      </c>
      <c r="H67" s="23">
        <v>1000</v>
      </c>
      <c r="I67" s="46"/>
      <c r="J67" s="41">
        <f>H67-I67</f>
        <v>1000</v>
      </c>
    </row>
    <row r="68" spans="1:10" ht="19.95" customHeight="1" x14ac:dyDescent="0.3">
      <c r="A68" s="42">
        <v>250078</v>
      </c>
      <c r="B68" s="42">
        <v>304</v>
      </c>
      <c r="C68" s="43">
        <v>0.7</v>
      </c>
      <c r="D68" s="43" t="s">
        <v>11</v>
      </c>
      <c r="E68" s="37" t="s">
        <v>224</v>
      </c>
      <c r="F68" s="42" t="s">
        <v>13</v>
      </c>
      <c r="G68" s="42">
        <v>304</v>
      </c>
      <c r="H68" s="41">
        <v>131</v>
      </c>
      <c r="I68" s="46"/>
      <c r="J68" s="41">
        <f t="shared" si="5"/>
        <v>131</v>
      </c>
    </row>
    <row r="69" spans="1:10" ht="19.95" customHeight="1" x14ac:dyDescent="0.3">
      <c r="A69" s="42"/>
      <c r="B69" s="42"/>
      <c r="C69" s="43"/>
      <c r="D69" s="43"/>
      <c r="E69" s="37"/>
      <c r="F69" s="42"/>
      <c r="G69" s="42"/>
      <c r="H69" s="41"/>
      <c r="I69" s="46"/>
      <c r="J69" s="41">
        <f t="shared" si="5"/>
        <v>0</v>
      </c>
    </row>
    <row r="70" spans="1:10" ht="19.95" customHeight="1" x14ac:dyDescent="0.3">
      <c r="A70" s="101"/>
      <c r="B70" s="101"/>
      <c r="C70" s="101"/>
      <c r="D70" s="101"/>
      <c r="E70" s="101"/>
      <c r="F70" s="101"/>
      <c r="G70" s="101"/>
      <c r="H70" s="41">
        <f>SUM(H64:H69)</f>
        <v>3231</v>
      </c>
      <c r="I70" s="46">
        <f>SUM(I64:I69)</f>
        <v>0</v>
      </c>
      <c r="J70" s="41">
        <f>SUM(J64:J69)</f>
        <v>3231</v>
      </c>
    </row>
    <row r="71" spans="1:10" x14ac:dyDescent="0.3">
      <c r="A71" s="102"/>
      <c r="B71" s="102"/>
      <c r="C71" s="102"/>
      <c r="D71" s="102"/>
      <c r="E71" s="102"/>
      <c r="F71" s="102"/>
      <c r="G71" s="102"/>
    </row>
    <row r="72" spans="1:10" ht="15.6" x14ac:dyDescent="0.3">
      <c r="H72" s="8">
        <f>H70+H60+H49+H36+H24+H8</f>
        <v>22661</v>
      </c>
      <c r="I72" s="8">
        <f>I70+I60+I49+I36+I24+I8</f>
        <v>53</v>
      </c>
      <c r="J72" s="8">
        <f>J70+J60+J49+J36+J24+J8</f>
        <v>22608</v>
      </c>
    </row>
    <row r="74" spans="1:10" ht="23.4" x14ac:dyDescent="0.3">
      <c r="A74" s="95" t="s">
        <v>14</v>
      </c>
      <c r="B74" s="95"/>
      <c r="C74" s="95"/>
      <c r="D74" s="95"/>
      <c r="E74" s="95"/>
      <c r="F74" s="95"/>
      <c r="G74" s="95"/>
      <c r="H74" s="95"/>
      <c r="I74" s="95"/>
      <c r="J74" s="95"/>
    </row>
  </sheetData>
  <mergeCells count="11">
    <mergeCell ref="H1:J1"/>
    <mergeCell ref="A2:J2"/>
    <mergeCell ref="A3:J3"/>
    <mergeCell ref="A10:J10"/>
    <mergeCell ref="A26:J26"/>
    <mergeCell ref="A51:J51"/>
    <mergeCell ref="A62:J62"/>
    <mergeCell ref="A70:G71"/>
    <mergeCell ref="A74:J74"/>
    <mergeCell ref="E5:E6"/>
    <mergeCell ref="A38:J38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4"/>
  <sheetViews>
    <sheetView zoomScale="85" zoomScaleNormal="85" workbookViewId="0">
      <selection activeCell="E59" sqref="E59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2.886718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222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/>
      <c r="B5" s="42"/>
      <c r="C5" s="43"/>
      <c r="D5" s="43"/>
      <c r="E5" s="103" t="s">
        <v>223</v>
      </c>
      <c r="F5" s="42"/>
      <c r="G5" s="42"/>
      <c r="H5" s="23"/>
      <c r="I5" s="24"/>
      <c r="J5" s="23">
        <f t="shared" ref="J5:J7" si="0">H5-I5</f>
        <v>0</v>
      </c>
    </row>
    <row r="6" spans="1:10" ht="19.95" customHeight="1" x14ac:dyDescent="0.3">
      <c r="A6" s="42"/>
      <c r="B6" s="42"/>
      <c r="C6" s="43"/>
      <c r="D6" s="43"/>
      <c r="E6" s="104"/>
      <c r="F6" s="42"/>
      <c r="G6" s="42"/>
      <c r="H6" s="23"/>
      <c r="I6" s="24"/>
      <c r="J6" s="23">
        <f t="shared" si="0"/>
        <v>0</v>
      </c>
    </row>
    <row r="7" spans="1:10" ht="19.95" customHeight="1" x14ac:dyDescent="0.3">
      <c r="A7" s="42"/>
      <c r="B7" s="42"/>
      <c r="C7" s="43"/>
      <c r="D7" s="43"/>
      <c r="E7" s="37"/>
      <c r="F7" s="42"/>
      <c r="G7" s="42"/>
      <c r="H7" s="23"/>
      <c r="I7" s="24"/>
      <c r="J7" s="23">
        <f t="shared" si="0"/>
        <v>0</v>
      </c>
    </row>
    <row r="8" spans="1:10" ht="19.95" customHeight="1" x14ac:dyDescent="0.3">
      <c r="A8" s="71"/>
      <c r="B8" s="71"/>
      <c r="C8" s="71"/>
      <c r="D8" s="71"/>
      <c r="E8" s="48"/>
      <c r="F8" s="71"/>
      <c r="G8" s="49"/>
      <c r="H8" s="73">
        <f>SUM(H5:H7)</f>
        <v>0</v>
      </c>
      <c r="I8" s="74">
        <f>SUM(I5:I7)</f>
        <v>0</v>
      </c>
      <c r="J8" s="23">
        <f>SUM(J5:J7)</f>
        <v>0</v>
      </c>
    </row>
    <row r="9" spans="1:10" x14ac:dyDescent="0.3">
      <c r="A9" s="52"/>
      <c r="B9" s="52"/>
      <c r="C9" s="52"/>
      <c r="D9" s="52"/>
      <c r="E9" s="52"/>
      <c r="F9" s="53"/>
      <c r="G9" s="52"/>
      <c r="H9" s="52"/>
      <c r="I9" s="52"/>
      <c r="J9" s="52"/>
    </row>
    <row r="10" spans="1:10" ht="30" customHeight="1" x14ac:dyDescent="0.3">
      <c r="A10" s="100" t="s">
        <v>17</v>
      </c>
      <c r="B10" s="100"/>
      <c r="C10" s="100"/>
      <c r="D10" s="100"/>
      <c r="E10" s="100"/>
      <c r="F10" s="100"/>
      <c r="G10" s="100"/>
      <c r="H10" s="100"/>
      <c r="I10" s="100"/>
      <c r="J10" s="100"/>
    </row>
    <row r="11" spans="1:10" ht="30" customHeight="1" x14ac:dyDescent="0.3">
      <c r="A11" s="42" t="s">
        <v>1</v>
      </c>
      <c r="B11" s="42" t="s">
        <v>2</v>
      </c>
      <c r="C11" s="54" t="s">
        <v>3</v>
      </c>
      <c r="D11" s="54" t="s">
        <v>4</v>
      </c>
      <c r="E11" s="42" t="s">
        <v>5</v>
      </c>
      <c r="F11" s="54" t="s">
        <v>6</v>
      </c>
      <c r="G11" s="54" t="s">
        <v>7</v>
      </c>
      <c r="H11" s="42" t="s">
        <v>8</v>
      </c>
      <c r="I11" s="42" t="s">
        <v>9</v>
      </c>
      <c r="J11" s="42" t="s">
        <v>10</v>
      </c>
    </row>
    <row r="12" spans="1:10" ht="19.95" customHeight="1" x14ac:dyDescent="0.3">
      <c r="A12" s="38">
        <v>250057</v>
      </c>
      <c r="B12" s="38">
        <v>304</v>
      </c>
      <c r="C12" s="39">
        <v>0.7</v>
      </c>
      <c r="D12" s="39" t="s">
        <v>43</v>
      </c>
      <c r="E12" s="36" t="s">
        <v>169</v>
      </c>
      <c r="F12" s="38" t="s">
        <v>170</v>
      </c>
      <c r="G12" s="38">
        <v>304</v>
      </c>
      <c r="H12" s="32">
        <v>395</v>
      </c>
      <c r="I12" s="40">
        <f>53+350</f>
        <v>403</v>
      </c>
      <c r="J12" s="32">
        <f t="shared" ref="J12:J23" si="1">H12-I12</f>
        <v>-8</v>
      </c>
    </row>
    <row r="13" spans="1:10" ht="19.95" customHeight="1" x14ac:dyDescent="0.3">
      <c r="A13" s="38">
        <v>250061</v>
      </c>
      <c r="B13" s="38">
        <v>304</v>
      </c>
      <c r="C13" s="39">
        <v>0.7</v>
      </c>
      <c r="D13" s="39" t="s">
        <v>43</v>
      </c>
      <c r="E13" s="36" t="s">
        <v>169</v>
      </c>
      <c r="F13" s="38" t="s">
        <v>171</v>
      </c>
      <c r="G13" s="38">
        <v>304</v>
      </c>
      <c r="H13" s="32">
        <v>525</v>
      </c>
      <c r="I13" s="40">
        <v>542</v>
      </c>
      <c r="J13" s="32">
        <f t="shared" si="1"/>
        <v>-17</v>
      </c>
    </row>
    <row r="14" spans="1:10" ht="19.95" customHeight="1" x14ac:dyDescent="0.3">
      <c r="A14" s="38">
        <v>250079</v>
      </c>
      <c r="B14" s="38">
        <v>304</v>
      </c>
      <c r="C14" s="39">
        <v>0.7</v>
      </c>
      <c r="D14" s="39" t="s">
        <v>43</v>
      </c>
      <c r="E14" s="36" t="s">
        <v>192</v>
      </c>
      <c r="F14" s="38" t="s">
        <v>171</v>
      </c>
      <c r="G14" s="38">
        <v>304</v>
      </c>
      <c r="H14" s="32">
        <v>952</v>
      </c>
      <c r="I14" s="40">
        <v>977</v>
      </c>
      <c r="J14" s="32">
        <f t="shared" si="1"/>
        <v>-25</v>
      </c>
    </row>
    <row r="15" spans="1:10" ht="27.6" customHeight="1" x14ac:dyDescent="0.3">
      <c r="A15" s="38">
        <v>250079</v>
      </c>
      <c r="B15" s="38">
        <v>304</v>
      </c>
      <c r="C15" s="39">
        <v>1</v>
      </c>
      <c r="D15" s="39" t="s">
        <v>43</v>
      </c>
      <c r="E15" s="80" t="s">
        <v>195</v>
      </c>
      <c r="F15" s="38" t="s">
        <v>171</v>
      </c>
      <c r="G15" s="38">
        <v>304</v>
      </c>
      <c r="H15" s="32">
        <v>48</v>
      </c>
      <c r="I15" s="40">
        <v>48</v>
      </c>
      <c r="J15" s="32">
        <f t="shared" si="1"/>
        <v>0</v>
      </c>
    </row>
    <row r="16" spans="1:10" ht="19.95" customHeight="1" x14ac:dyDescent="0.3">
      <c r="A16" s="38">
        <v>250057</v>
      </c>
      <c r="B16" s="38">
        <v>304</v>
      </c>
      <c r="C16" s="39">
        <v>1</v>
      </c>
      <c r="D16" s="39" t="s">
        <v>43</v>
      </c>
      <c r="E16" s="36" t="s">
        <v>190</v>
      </c>
      <c r="F16" s="38" t="s">
        <v>170</v>
      </c>
      <c r="G16" s="38">
        <v>304</v>
      </c>
      <c r="H16" s="32">
        <v>15</v>
      </c>
      <c r="I16" s="40">
        <v>19</v>
      </c>
      <c r="J16" s="32">
        <f t="shared" si="1"/>
        <v>-4</v>
      </c>
    </row>
    <row r="17" spans="1:10" ht="19.95" customHeight="1" x14ac:dyDescent="0.3">
      <c r="A17" s="38">
        <v>250061</v>
      </c>
      <c r="B17" s="38">
        <v>304</v>
      </c>
      <c r="C17" s="39">
        <v>1</v>
      </c>
      <c r="D17" s="39" t="s">
        <v>43</v>
      </c>
      <c r="E17" s="36" t="s">
        <v>190</v>
      </c>
      <c r="F17" s="38" t="s">
        <v>171</v>
      </c>
      <c r="G17" s="38">
        <v>304</v>
      </c>
      <c r="H17" s="32">
        <v>15</v>
      </c>
      <c r="I17" s="40">
        <v>19</v>
      </c>
      <c r="J17" s="32">
        <f t="shared" si="1"/>
        <v>-4</v>
      </c>
    </row>
    <row r="18" spans="1:10" ht="19.95" customHeight="1" x14ac:dyDescent="0.3">
      <c r="A18" s="38">
        <v>21025</v>
      </c>
      <c r="B18" s="38">
        <v>304</v>
      </c>
      <c r="C18" s="39">
        <v>0.6</v>
      </c>
      <c r="D18" s="39" t="s">
        <v>55</v>
      </c>
      <c r="E18" s="36" t="s">
        <v>185</v>
      </c>
      <c r="F18" s="38" t="s">
        <v>45</v>
      </c>
      <c r="G18" s="38">
        <v>430</v>
      </c>
      <c r="H18" s="32">
        <v>1000</v>
      </c>
      <c r="I18" s="40">
        <v>1020</v>
      </c>
      <c r="J18" s="32">
        <f t="shared" si="1"/>
        <v>-20</v>
      </c>
    </row>
    <row r="19" spans="1:10" ht="19.95" customHeight="1" x14ac:dyDescent="0.3">
      <c r="A19" s="42">
        <v>250078</v>
      </c>
      <c r="B19" s="42">
        <v>304</v>
      </c>
      <c r="C19" s="43">
        <v>0.7</v>
      </c>
      <c r="D19" s="43" t="s">
        <v>11</v>
      </c>
      <c r="E19" s="37" t="s">
        <v>220</v>
      </c>
      <c r="F19" s="42" t="s">
        <v>13</v>
      </c>
      <c r="G19" s="42">
        <v>304</v>
      </c>
      <c r="H19" s="41">
        <v>775</v>
      </c>
      <c r="I19" s="24"/>
      <c r="J19" s="23">
        <f t="shared" si="1"/>
        <v>775</v>
      </c>
    </row>
    <row r="20" spans="1:10" ht="19.95" customHeight="1" x14ac:dyDescent="0.3">
      <c r="A20" s="42">
        <v>250078</v>
      </c>
      <c r="B20" s="42">
        <v>304</v>
      </c>
      <c r="C20" s="43">
        <v>1</v>
      </c>
      <c r="D20" s="43" t="s">
        <v>11</v>
      </c>
      <c r="E20" s="37" t="s">
        <v>221</v>
      </c>
      <c r="F20" s="42" t="s">
        <v>13</v>
      </c>
      <c r="G20" s="42">
        <v>304</v>
      </c>
      <c r="H20" s="41">
        <v>15</v>
      </c>
      <c r="I20" s="24"/>
      <c r="J20" s="23">
        <f t="shared" si="1"/>
        <v>15</v>
      </c>
    </row>
    <row r="21" spans="1:10" ht="19.95" customHeight="1" x14ac:dyDescent="0.3">
      <c r="A21" s="42">
        <v>250078</v>
      </c>
      <c r="B21" s="42">
        <v>304</v>
      </c>
      <c r="C21" s="43">
        <v>0.7</v>
      </c>
      <c r="D21" s="43" t="s">
        <v>11</v>
      </c>
      <c r="E21" s="37" t="s">
        <v>214</v>
      </c>
      <c r="F21" s="42" t="s">
        <v>13</v>
      </c>
      <c r="G21" s="42">
        <v>304</v>
      </c>
      <c r="H21" s="41">
        <v>775</v>
      </c>
      <c r="I21" s="24"/>
      <c r="J21" s="23">
        <f t="shared" si="1"/>
        <v>775</v>
      </c>
    </row>
    <row r="22" spans="1:10" ht="19.95" customHeight="1" x14ac:dyDescent="0.3">
      <c r="A22" s="42">
        <v>250078</v>
      </c>
      <c r="B22" s="42">
        <v>304</v>
      </c>
      <c r="C22" s="43">
        <v>1</v>
      </c>
      <c r="D22" s="43" t="s">
        <v>11</v>
      </c>
      <c r="E22" s="37" t="s">
        <v>215</v>
      </c>
      <c r="F22" s="42" t="s">
        <v>13</v>
      </c>
      <c r="G22" s="42">
        <v>304</v>
      </c>
      <c r="H22" s="41">
        <v>15</v>
      </c>
      <c r="I22" s="24"/>
      <c r="J22" s="23">
        <f t="shared" si="1"/>
        <v>15</v>
      </c>
    </row>
    <row r="23" spans="1:10" ht="19.95" customHeight="1" x14ac:dyDescent="0.3">
      <c r="A23" s="42"/>
      <c r="B23" s="42"/>
      <c r="C23" s="43"/>
      <c r="D23" s="43"/>
      <c r="E23" s="37"/>
      <c r="F23" s="42"/>
      <c r="G23" s="42"/>
      <c r="H23" s="23"/>
      <c r="I23" s="24"/>
      <c r="J23" s="23">
        <f t="shared" si="1"/>
        <v>0</v>
      </c>
    </row>
    <row r="24" spans="1:10" ht="19.95" customHeight="1" x14ac:dyDescent="0.3">
      <c r="A24" s="71"/>
      <c r="B24" s="71"/>
      <c r="C24" s="71"/>
      <c r="D24" s="71"/>
      <c r="E24" s="48"/>
      <c r="F24" s="71"/>
      <c r="G24" s="49"/>
      <c r="H24" s="23">
        <f>SUM(H12:H23)</f>
        <v>4530</v>
      </c>
      <c r="I24" s="24">
        <f>SUM(I12:I23)</f>
        <v>3028</v>
      </c>
      <c r="J24" s="23">
        <f>SUM(J12:J23)</f>
        <v>1502</v>
      </c>
    </row>
    <row r="25" spans="1:10" x14ac:dyDescent="0.3">
      <c r="A25" s="52"/>
      <c r="B25" s="52"/>
      <c r="C25" s="52"/>
      <c r="D25" s="52"/>
      <c r="E25" s="52"/>
      <c r="F25" s="53"/>
      <c r="G25" s="52"/>
      <c r="H25" s="52"/>
      <c r="I25" s="52"/>
      <c r="J25" s="52"/>
    </row>
    <row r="26" spans="1:10" ht="30" customHeight="1" x14ac:dyDescent="0.3">
      <c r="A26" s="100" t="s">
        <v>18</v>
      </c>
      <c r="B26" s="100"/>
      <c r="C26" s="100"/>
      <c r="D26" s="100"/>
      <c r="E26" s="100"/>
      <c r="F26" s="100"/>
      <c r="G26" s="100"/>
      <c r="H26" s="100"/>
      <c r="I26" s="100"/>
      <c r="J26" s="100"/>
    </row>
    <row r="27" spans="1:10" ht="30" customHeight="1" x14ac:dyDescent="0.3">
      <c r="A27" s="42" t="s">
        <v>1</v>
      </c>
      <c r="B27" s="42" t="s">
        <v>2</v>
      </c>
      <c r="C27" s="54" t="s">
        <v>3</v>
      </c>
      <c r="D27" s="54" t="s">
        <v>4</v>
      </c>
      <c r="E27" s="42" t="s">
        <v>5</v>
      </c>
      <c r="F27" s="54" t="s">
        <v>6</v>
      </c>
      <c r="G27" s="54" t="s">
        <v>7</v>
      </c>
      <c r="H27" s="42" t="s">
        <v>8</v>
      </c>
      <c r="I27" s="42" t="s">
        <v>9</v>
      </c>
      <c r="J27" s="42" t="s">
        <v>10</v>
      </c>
    </row>
    <row r="28" spans="1:10" ht="19.95" customHeight="1" x14ac:dyDescent="0.3">
      <c r="A28" s="42">
        <v>250080</v>
      </c>
      <c r="B28" s="42">
        <v>304</v>
      </c>
      <c r="C28" s="43">
        <v>0.6</v>
      </c>
      <c r="D28" s="43" t="s">
        <v>11</v>
      </c>
      <c r="E28" s="37" t="s">
        <v>197</v>
      </c>
      <c r="F28" s="42" t="s">
        <v>13</v>
      </c>
      <c r="G28" s="42">
        <v>430</v>
      </c>
      <c r="H28" s="41">
        <v>300</v>
      </c>
      <c r="I28" s="24"/>
      <c r="J28" s="23">
        <f t="shared" ref="J28:J35" si="2">H28-I28</f>
        <v>300</v>
      </c>
    </row>
    <row r="29" spans="1:10" ht="19.95" customHeight="1" x14ac:dyDescent="0.3">
      <c r="A29" s="42">
        <v>250057</v>
      </c>
      <c r="B29" s="42">
        <v>304</v>
      </c>
      <c r="C29" s="43">
        <v>0.7</v>
      </c>
      <c r="D29" s="43" t="s">
        <v>55</v>
      </c>
      <c r="E29" s="37" t="s">
        <v>212</v>
      </c>
      <c r="F29" s="42" t="s">
        <v>52</v>
      </c>
      <c r="G29" s="42">
        <v>304</v>
      </c>
      <c r="H29" s="41">
        <v>395</v>
      </c>
      <c r="I29" s="46"/>
      <c r="J29" s="41">
        <f t="shared" si="2"/>
        <v>395</v>
      </c>
    </row>
    <row r="30" spans="1:10" ht="19.95" customHeight="1" x14ac:dyDescent="0.3">
      <c r="A30" s="42">
        <v>250057</v>
      </c>
      <c r="B30" s="42">
        <v>304</v>
      </c>
      <c r="C30" s="43">
        <v>1</v>
      </c>
      <c r="D30" s="43" t="s">
        <v>55</v>
      </c>
      <c r="E30" s="37" t="s">
        <v>213</v>
      </c>
      <c r="F30" s="42" t="s">
        <v>52</v>
      </c>
      <c r="G30" s="42">
        <v>304</v>
      </c>
      <c r="H30" s="41">
        <v>15</v>
      </c>
      <c r="I30" s="46"/>
      <c r="J30" s="41">
        <f t="shared" si="2"/>
        <v>15</v>
      </c>
    </row>
    <row r="31" spans="1:10" ht="19.95" customHeight="1" x14ac:dyDescent="0.3">
      <c r="A31" s="42">
        <v>151025</v>
      </c>
      <c r="B31" s="42">
        <v>304</v>
      </c>
      <c r="C31" s="43">
        <v>0.7</v>
      </c>
      <c r="D31" s="43" t="s">
        <v>55</v>
      </c>
      <c r="E31" s="37" t="s">
        <v>227</v>
      </c>
      <c r="F31" s="42" t="s">
        <v>45</v>
      </c>
      <c r="G31" s="42">
        <v>430</v>
      </c>
      <c r="H31" s="23">
        <v>1000</v>
      </c>
      <c r="I31" s="24">
        <v>711</v>
      </c>
      <c r="J31" s="23">
        <f t="shared" si="2"/>
        <v>289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186</v>
      </c>
      <c r="F32" s="42" t="s">
        <v>45</v>
      </c>
      <c r="G32" s="42">
        <v>430</v>
      </c>
      <c r="H32" s="23">
        <v>1000</v>
      </c>
      <c r="I32" s="24"/>
      <c r="J32" s="23">
        <f t="shared" si="2"/>
        <v>1000</v>
      </c>
    </row>
    <row r="33" spans="1:10" ht="19.95" customHeight="1" x14ac:dyDescent="0.3">
      <c r="A33" s="42">
        <v>151025</v>
      </c>
      <c r="B33" s="42">
        <v>304</v>
      </c>
      <c r="C33" s="43">
        <v>0.7</v>
      </c>
      <c r="D33" s="43" t="s">
        <v>55</v>
      </c>
      <c r="E33" s="37" t="s">
        <v>226</v>
      </c>
      <c r="F33" s="42" t="s">
        <v>45</v>
      </c>
      <c r="G33" s="42">
        <v>430</v>
      </c>
      <c r="H33" s="23">
        <v>1000</v>
      </c>
      <c r="I33" s="24"/>
      <c r="J33" s="23">
        <f t="shared" si="2"/>
        <v>1000</v>
      </c>
    </row>
    <row r="34" spans="1:10" ht="19.95" customHeight="1" x14ac:dyDescent="0.3">
      <c r="A34" s="42" t="s">
        <v>225</v>
      </c>
      <c r="B34" s="42">
        <v>304</v>
      </c>
      <c r="C34" s="43">
        <v>0.7</v>
      </c>
      <c r="D34" s="43" t="s">
        <v>55</v>
      </c>
      <c r="E34" s="37" t="s">
        <v>226</v>
      </c>
      <c r="F34" s="42" t="s">
        <v>45</v>
      </c>
      <c r="G34" s="42">
        <v>430</v>
      </c>
      <c r="H34" s="23">
        <v>1000</v>
      </c>
      <c r="I34" s="24"/>
      <c r="J34" s="23">
        <f t="shared" si="2"/>
        <v>1000</v>
      </c>
    </row>
    <row r="35" spans="1:10" ht="19.95" customHeight="1" x14ac:dyDescent="0.3">
      <c r="A35" s="42"/>
      <c r="B35" s="42"/>
      <c r="C35" s="43"/>
      <c r="D35" s="43"/>
      <c r="E35" s="37"/>
      <c r="F35" s="42"/>
      <c r="G35" s="42"/>
      <c r="H35" s="41"/>
      <c r="I35" s="46"/>
      <c r="J35" s="41">
        <f t="shared" si="2"/>
        <v>0</v>
      </c>
    </row>
    <row r="36" spans="1:10" ht="19.95" customHeight="1" x14ac:dyDescent="0.3">
      <c r="A36" s="71"/>
      <c r="B36" s="71"/>
      <c r="C36" s="71"/>
      <c r="D36" s="71"/>
      <c r="E36" s="48"/>
      <c r="F36" s="71"/>
      <c r="G36" s="49"/>
      <c r="H36" s="41">
        <f>SUM(H28:H35)</f>
        <v>4710</v>
      </c>
      <c r="I36" s="46">
        <f>SUM(I28:I35)</f>
        <v>711</v>
      </c>
      <c r="J36" s="41">
        <f>SUM(J28:J35)</f>
        <v>3999</v>
      </c>
    </row>
    <row r="37" spans="1:10" x14ac:dyDescent="0.3">
      <c r="A37" s="52"/>
      <c r="B37" s="52"/>
      <c r="C37" s="52"/>
      <c r="D37" s="52"/>
      <c r="E37" s="52"/>
      <c r="F37" s="53"/>
      <c r="G37" s="52"/>
      <c r="H37" s="52"/>
      <c r="I37" s="52"/>
      <c r="J37" s="52"/>
    </row>
    <row r="38" spans="1:10" ht="30" customHeight="1" x14ac:dyDescent="0.3">
      <c r="A38" s="100" t="s">
        <v>20</v>
      </c>
      <c r="B38" s="100"/>
      <c r="C38" s="100"/>
      <c r="D38" s="100"/>
      <c r="E38" s="100"/>
      <c r="F38" s="100"/>
      <c r="G38" s="100"/>
      <c r="H38" s="100"/>
      <c r="I38" s="100"/>
      <c r="J38" s="100"/>
    </row>
    <row r="39" spans="1:10" ht="30" customHeight="1" x14ac:dyDescent="0.3">
      <c r="A39" s="42" t="s">
        <v>1</v>
      </c>
      <c r="B39" s="42" t="s">
        <v>2</v>
      </c>
      <c r="C39" s="54" t="s">
        <v>3</v>
      </c>
      <c r="D39" s="54" t="s">
        <v>4</v>
      </c>
      <c r="E39" s="42" t="s">
        <v>5</v>
      </c>
      <c r="F39" s="54" t="s">
        <v>6</v>
      </c>
      <c r="G39" s="54" t="s">
        <v>7</v>
      </c>
      <c r="H39" s="42" t="s">
        <v>8</v>
      </c>
      <c r="I39" s="42" t="s">
        <v>9</v>
      </c>
      <c r="J39" s="42" t="s">
        <v>10</v>
      </c>
    </row>
    <row r="40" spans="1:10" ht="19.95" customHeight="1" x14ac:dyDescent="0.3">
      <c r="A40" s="42">
        <v>250079</v>
      </c>
      <c r="B40" s="42">
        <v>304</v>
      </c>
      <c r="C40" s="43">
        <v>0.7</v>
      </c>
      <c r="D40" s="43" t="s">
        <v>11</v>
      </c>
      <c r="E40" s="37" t="s">
        <v>228</v>
      </c>
      <c r="F40" s="42" t="s">
        <v>41</v>
      </c>
      <c r="G40" s="42">
        <v>304</v>
      </c>
      <c r="H40" s="41">
        <v>964</v>
      </c>
      <c r="I40" s="46"/>
      <c r="J40" s="41">
        <f>H40-I40</f>
        <v>964</v>
      </c>
    </row>
    <row r="41" spans="1:10" ht="19.95" customHeight="1" x14ac:dyDescent="0.3">
      <c r="A41" s="42">
        <v>250079</v>
      </c>
      <c r="B41" s="42">
        <v>304</v>
      </c>
      <c r="C41" s="43">
        <v>1</v>
      </c>
      <c r="D41" s="43" t="s">
        <v>11</v>
      </c>
      <c r="E41" s="37" t="s">
        <v>229</v>
      </c>
      <c r="F41" s="42" t="s">
        <v>41</v>
      </c>
      <c r="G41" s="42">
        <v>304</v>
      </c>
      <c r="H41" s="41">
        <v>36</v>
      </c>
      <c r="I41" s="46"/>
      <c r="J41" s="41">
        <f>H41-I41</f>
        <v>36</v>
      </c>
    </row>
    <row r="42" spans="1:10" ht="19.95" customHeight="1" x14ac:dyDescent="0.3">
      <c r="A42" s="42">
        <v>250079</v>
      </c>
      <c r="B42" s="42">
        <v>304</v>
      </c>
      <c r="C42" s="43">
        <v>0.7</v>
      </c>
      <c r="D42" s="43" t="s">
        <v>11</v>
      </c>
      <c r="E42" s="37" t="s">
        <v>231</v>
      </c>
      <c r="F42" s="42" t="s">
        <v>41</v>
      </c>
      <c r="G42" s="42">
        <v>304</v>
      </c>
      <c r="H42" s="41">
        <v>1314</v>
      </c>
      <c r="I42" s="46"/>
      <c r="J42" s="41">
        <f>H42-I42</f>
        <v>1314</v>
      </c>
    </row>
    <row r="43" spans="1:10" ht="19.95" customHeight="1" x14ac:dyDescent="0.3">
      <c r="A43" s="42">
        <v>250079</v>
      </c>
      <c r="B43" s="42">
        <v>304</v>
      </c>
      <c r="C43" s="43">
        <v>1</v>
      </c>
      <c r="D43" s="43" t="s">
        <v>11</v>
      </c>
      <c r="E43" s="37" t="s">
        <v>230</v>
      </c>
      <c r="F43" s="42" t="s">
        <v>41</v>
      </c>
      <c r="G43" s="42">
        <v>304</v>
      </c>
      <c r="H43" s="41">
        <v>36</v>
      </c>
      <c r="I43" s="46"/>
      <c r="J43" s="41">
        <f t="shared" ref="J43:J48" si="3">H43-I43</f>
        <v>36</v>
      </c>
    </row>
    <row r="44" spans="1:10" ht="19.95" customHeight="1" x14ac:dyDescent="0.3">
      <c r="A44" s="42">
        <v>250080</v>
      </c>
      <c r="B44" s="42">
        <v>304</v>
      </c>
      <c r="C44" s="43">
        <v>0.7</v>
      </c>
      <c r="D44" s="43" t="s">
        <v>11</v>
      </c>
      <c r="E44" s="37" t="s">
        <v>232</v>
      </c>
      <c r="F44" s="42" t="s">
        <v>41</v>
      </c>
      <c r="G44" s="42">
        <v>430</v>
      </c>
      <c r="H44" s="41">
        <v>1000</v>
      </c>
      <c r="I44" s="46"/>
      <c r="J44" s="41">
        <f t="shared" si="3"/>
        <v>1000</v>
      </c>
    </row>
    <row r="45" spans="1:10" ht="19.95" customHeight="1" x14ac:dyDescent="0.3">
      <c r="A45" s="42">
        <v>250079</v>
      </c>
      <c r="B45" s="42">
        <v>304</v>
      </c>
      <c r="C45" s="43">
        <v>0.7</v>
      </c>
      <c r="D45" s="43" t="s">
        <v>11</v>
      </c>
      <c r="E45" s="37" t="s">
        <v>233</v>
      </c>
      <c r="F45" s="42" t="s">
        <v>41</v>
      </c>
      <c r="G45" s="42">
        <v>304</v>
      </c>
      <c r="H45" s="41">
        <v>1314</v>
      </c>
      <c r="I45" s="46"/>
      <c r="J45" s="41">
        <f t="shared" si="3"/>
        <v>1314</v>
      </c>
    </row>
    <row r="46" spans="1:10" ht="19.95" customHeight="1" x14ac:dyDescent="0.3">
      <c r="A46" s="42">
        <v>250079</v>
      </c>
      <c r="B46" s="42">
        <v>304</v>
      </c>
      <c r="C46" s="43">
        <v>1</v>
      </c>
      <c r="D46" s="43" t="s">
        <v>11</v>
      </c>
      <c r="E46" s="37" t="s">
        <v>234</v>
      </c>
      <c r="F46" s="42" t="s">
        <v>41</v>
      </c>
      <c r="G46" s="42">
        <v>304</v>
      </c>
      <c r="H46" s="41">
        <v>36</v>
      </c>
      <c r="I46" s="46"/>
      <c r="J46" s="41">
        <f t="shared" si="3"/>
        <v>36</v>
      </c>
    </row>
    <row r="47" spans="1:10" ht="19.95" customHeight="1" x14ac:dyDescent="0.3">
      <c r="A47" s="42">
        <v>250080</v>
      </c>
      <c r="B47" s="42">
        <v>304</v>
      </c>
      <c r="C47" s="43">
        <v>0.7</v>
      </c>
      <c r="D47" s="43" t="s">
        <v>11</v>
      </c>
      <c r="E47" s="37" t="s">
        <v>235</v>
      </c>
      <c r="F47" s="42" t="s">
        <v>41</v>
      </c>
      <c r="G47" s="42">
        <v>430</v>
      </c>
      <c r="H47" s="41">
        <v>1200</v>
      </c>
      <c r="I47" s="46"/>
      <c r="J47" s="41">
        <f t="shared" si="3"/>
        <v>1200</v>
      </c>
    </row>
    <row r="48" spans="1:10" ht="19.95" customHeight="1" x14ac:dyDescent="0.3">
      <c r="A48" s="42"/>
      <c r="B48" s="42"/>
      <c r="C48" s="43"/>
      <c r="D48" s="43"/>
      <c r="E48" s="37"/>
      <c r="F48" s="42"/>
      <c r="G48" s="42"/>
      <c r="H48" s="41"/>
      <c r="I48" s="46"/>
      <c r="J48" s="41">
        <f t="shared" si="3"/>
        <v>0</v>
      </c>
    </row>
    <row r="49" spans="1:10" ht="19.95" customHeight="1" x14ac:dyDescent="0.3">
      <c r="A49" s="71"/>
      <c r="B49" s="71"/>
      <c r="C49" s="71"/>
      <c r="D49" s="71"/>
      <c r="E49" s="48"/>
      <c r="F49" s="71"/>
      <c r="G49" s="49"/>
      <c r="H49" s="41">
        <f>SUM(H40:H48)</f>
        <v>5900</v>
      </c>
      <c r="I49" s="46">
        <f>SUM(I40:I48)</f>
        <v>0</v>
      </c>
      <c r="J49" s="41">
        <f>SUM(J40:J48)</f>
        <v>5900</v>
      </c>
    </row>
    <row r="50" spans="1:10" ht="19.95" customHeight="1" x14ac:dyDescent="0.3">
      <c r="A50" s="72"/>
      <c r="B50" s="72"/>
      <c r="C50" s="72"/>
      <c r="D50" s="72"/>
      <c r="E50" s="56"/>
      <c r="F50" s="72"/>
      <c r="G50" s="72"/>
      <c r="H50" s="57"/>
      <c r="I50" s="58"/>
      <c r="J50" s="57"/>
    </row>
    <row r="51" spans="1:10" ht="30" customHeight="1" x14ac:dyDescent="0.3">
      <c r="A51" s="100" t="s">
        <v>19</v>
      </c>
      <c r="B51" s="100"/>
      <c r="C51" s="100"/>
      <c r="D51" s="100"/>
      <c r="E51" s="100"/>
      <c r="F51" s="100"/>
      <c r="G51" s="100"/>
      <c r="H51" s="100"/>
      <c r="I51" s="100"/>
      <c r="J51" s="100"/>
    </row>
    <row r="52" spans="1:10" ht="30" customHeight="1" x14ac:dyDescent="0.3">
      <c r="A52" s="42" t="s">
        <v>1</v>
      </c>
      <c r="B52" s="42" t="s">
        <v>2</v>
      </c>
      <c r="C52" s="54" t="s">
        <v>3</v>
      </c>
      <c r="D52" s="54" t="s">
        <v>4</v>
      </c>
      <c r="E52" s="42" t="s">
        <v>5</v>
      </c>
      <c r="F52" s="54" t="s">
        <v>6</v>
      </c>
      <c r="G52" s="54" t="s">
        <v>7</v>
      </c>
      <c r="H52" s="42" t="s">
        <v>8</v>
      </c>
      <c r="I52" s="42" t="s">
        <v>9</v>
      </c>
      <c r="J52" s="42" t="s">
        <v>10</v>
      </c>
    </row>
    <row r="53" spans="1:10" ht="19.95" customHeight="1" x14ac:dyDescent="0.3">
      <c r="A53" s="42" t="s">
        <v>225</v>
      </c>
      <c r="B53" s="42">
        <v>304</v>
      </c>
      <c r="C53" s="43">
        <v>0.7</v>
      </c>
      <c r="D53" s="43" t="s">
        <v>55</v>
      </c>
      <c r="E53" s="37" t="s">
        <v>236</v>
      </c>
      <c r="F53" s="42" t="s">
        <v>45</v>
      </c>
      <c r="G53" s="42">
        <v>430</v>
      </c>
      <c r="H53" s="23">
        <v>1000</v>
      </c>
      <c r="I53" s="24"/>
      <c r="J53" s="23">
        <f t="shared" ref="J53:J59" si="4">H53-I53</f>
        <v>1000</v>
      </c>
    </row>
    <row r="54" spans="1:10" ht="19.95" customHeight="1" x14ac:dyDescent="0.3">
      <c r="A54" s="42" t="s">
        <v>225</v>
      </c>
      <c r="B54" s="42">
        <v>304</v>
      </c>
      <c r="C54" s="43">
        <v>0.7</v>
      </c>
      <c r="D54" s="43" t="s">
        <v>55</v>
      </c>
      <c r="E54" s="37" t="s">
        <v>237</v>
      </c>
      <c r="F54" s="42" t="s">
        <v>45</v>
      </c>
      <c r="G54" s="42">
        <v>430</v>
      </c>
      <c r="H54" s="23">
        <v>1000</v>
      </c>
      <c r="I54" s="46"/>
      <c r="J54" s="41">
        <f t="shared" si="4"/>
        <v>1000</v>
      </c>
    </row>
    <row r="55" spans="1:10" ht="19.95" customHeight="1" x14ac:dyDescent="0.3">
      <c r="A55" s="42">
        <v>151025</v>
      </c>
      <c r="B55" s="42">
        <v>304</v>
      </c>
      <c r="C55" s="43">
        <v>0.7</v>
      </c>
      <c r="D55" s="43" t="s">
        <v>55</v>
      </c>
      <c r="E55" s="37" t="s">
        <v>238</v>
      </c>
      <c r="F55" s="42" t="s">
        <v>45</v>
      </c>
      <c r="G55" s="42">
        <v>430</v>
      </c>
      <c r="H55" s="23">
        <v>1000</v>
      </c>
      <c r="I55" s="46"/>
      <c r="J55" s="41">
        <f t="shared" si="4"/>
        <v>1000</v>
      </c>
    </row>
    <row r="56" spans="1:10" ht="19.95" customHeight="1" x14ac:dyDescent="0.3">
      <c r="A56" s="42">
        <v>250081</v>
      </c>
      <c r="B56" s="42">
        <v>304</v>
      </c>
      <c r="C56" s="43">
        <v>0.6</v>
      </c>
      <c r="D56" s="43" t="s">
        <v>11</v>
      </c>
      <c r="E56" s="37" t="s">
        <v>239</v>
      </c>
      <c r="F56" s="42" t="s">
        <v>45</v>
      </c>
      <c r="G56" s="42">
        <v>430</v>
      </c>
      <c r="H56" s="41">
        <v>500</v>
      </c>
      <c r="I56" s="46"/>
      <c r="J56" s="41">
        <f t="shared" si="4"/>
        <v>500</v>
      </c>
    </row>
    <row r="57" spans="1:10" ht="19.95" customHeight="1" x14ac:dyDescent="0.3">
      <c r="A57" s="42">
        <v>250078</v>
      </c>
      <c r="B57" s="42">
        <v>304</v>
      </c>
      <c r="C57" s="43">
        <v>0.7</v>
      </c>
      <c r="D57" s="43" t="s">
        <v>11</v>
      </c>
      <c r="E57" s="37" t="s">
        <v>240</v>
      </c>
      <c r="F57" s="42" t="s">
        <v>13</v>
      </c>
      <c r="G57" s="42">
        <v>304</v>
      </c>
      <c r="H57" s="23">
        <v>775</v>
      </c>
      <c r="I57" s="24"/>
      <c r="J57" s="23">
        <f>H57-I57</f>
        <v>775</v>
      </c>
    </row>
    <row r="58" spans="1:10" ht="19.95" customHeight="1" x14ac:dyDescent="0.3">
      <c r="A58" s="42">
        <v>250078</v>
      </c>
      <c r="B58" s="42">
        <v>304</v>
      </c>
      <c r="C58" s="43">
        <v>1</v>
      </c>
      <c r="D58" s="43" t="s">
        <v>11</v>
      </c>
      <c r="E58" s="37" t="s">
        <v>241</v>
      </c>
      <c r="F58" s="42" t="s">
        <v>13</v>
      </c>
      <c r="G58" s="42">
        <v>304</v>
      </c>
      <c r="H58" s="23">
        <v>15</v>
      </c>
      <c r="I58" s="24"/>
      <c r="J58" s="23">
        <f>H58-I58</f>
        <v>15</v>
      </c>
    </row>
    <row r="59" spans="1:10" ht="19.95" customHeight="1" x14ac:dyDescent="0.3">
      <c r="A59" s="42"/>
      <c r="B59" s="42"/>
      <c r="C59" s="43"/>
      <c r="D59" s="43"/>
      <c r="E59" s="37"/>
      <c r="F59" s="42"/>
      <c r="G59" s="42"/>
      <c r="H59" s="41"/>
      <c r="I59" s="46"/>
      <c r="J59" s="41">
        <f t="shared" si="4"/>
        <v>0</v>
      </c>
    </row>
    <row r="60" spans="1:10" ht="19.95" customHeight="1" x14ac:dyDescent="0.3">
      <c r="A60" s="71"/>
      <c r="B60" s="71"/>
      <c r="C60" s="71"/>
      <c r="D60" s="71"/>
      <c r="E60" s="48"/>
      <c r="F60" s="71"/>
      <c r="G60" s="49"/>
      <c r="H60" s="41">
        <f>SUM(H53:H59)</f>
        <v>4290</v>
      </c>
      <c r="I60" s="46">
        <f>SUM(I53:I59)</f>
        <v>0</v>
      </c>
      <c r="J60" s="41">
        <f>SUM(J53:J59)</f>
        <v>4290</v>
      </c>
    </row>
    <row r="61" spans="1:10" ht="19.95" customHeight="1" x14ac:dyDescent="0.3">
      <c r="A61" s="72"/>
      <c r="B61" s="72"/>
      <c r="C61" s="72"/>
      <c r="D61" s="72"/>
      <c r="E61" s="56"/>
      <c r="F61" s="72"/>
      <c r="G61" s="72"/>
      <c r="H61" s="57"/>
      <c r="I61" s="58"/>
      <c r="J61" s="57"/>
    </row>
    <row r="62" spans="1:10" ht="30" customHeight="1" x14ac:dyDescent="0.3">
      <c r="A62" s="100" t="s">
        <v>23</v>
      </c>
      <c r="B62" s="100"/>
      <c r="C62" s="100"/>
      <c r="D62" s="100"/>
      <c r="E62" s="100"/>
      <c r="F62" s="100"/>
      <c r="G62" s="100"/>
      <c r="H62" s="100"/>
      <c r="I62" s="100"/>
      <c r="J62" s="100"/>
    </row>
    <row r="63" spans="1:10" ht="30" customHeight="1" x14ac:dyDescent="0.3">
      <c r="A63" s="42" t="s">
        <v>1</v>
      </c>
      <c r="B63" s="42" t="s">
        <v>2</v>
      </c>
      <c r="C63" s="54" t="s">
        <v>3</v>
      </c>
      <c r="D63" s="54" t="s">
        <v>4</v>
      </c>
      <c r="E63" s="42" t="s">
        <v>5</v>
      </c>
      <c r="F63" s="54" t="s">
        <v>6</v>
      </c>
      <c r="G63" s="54" t="s">
        <v>7</v>
      </c>
      <c r="H63" s="42" t="s">
        <v>8</v>
      </c>
      <c r="I63" s="42" t="s">
        <v>9</v>
      </c>
      <c r="J63" s="42" t="s">
        <v>10</v>
      </c>
    </row>
    <row r="64" spans="1:10" ht="19.95" customHeight="1" x14ac:dyDescent="0.3">
      <c r="A64" s="42">
        <v>151025</v>
      </c>
      <c r="B64" s="42">
        <v>304</v>
      </c>
      <c r="C64" s="43">
        <v>0.7</v>
      </c>
      <c r="D64" s="43" t="s">
        <v>55</v>
      </c>
      <c r="E64" s="37" t="s">
        <v>244</v>
      </c>
      <c r="F64" s="42" t="s">
        <v>45</v>
      </c>
      <c r="G64" s="42">
        <v>430</v>
      </c>
      <c r="H64" s="41">
        <v>1000</v>
      </c>
      <c r="I64" s="46"/>
      <c r="J64" s="23">
        <f t="shared" ref="J64:J69" si="5">H64-I64</f>
        <v>1000</v>
      </c>
    </row>
    <row r="65" spans="1:10" ht="19.95" customHeight="1" x14ac:dyDescent="0.3">
      <c r="A65" s="42">
        <v>250081</v>
      </c>
      <c r="B65" s="42">
        <v>304</v>
      </c>
      <c r="C65" s="43">
        <v>0.6</v>
      </c>
      <c r="D65" s="43" t="s">
        <v>11</v>
      </c>
      <c r="E65" s="37" t="s">
        <v>245</v>
      </c>
      <c r="F65" s="42" t="s">
        <v>45</v>
      </c>
      <c r="G65" s="42">
        <v>430</v>
      </c>
      <c r="H65" s="23">
        <v>500</v>
      </c>
      <c r="I65" s="24"/>
      <c r="J65" s="23">
        <f t="shared" si="5"/>
        <v>500</v>
      </c>
    </row>
    <row r="66" spans="1:10" ht="19.95" customHeight="1" x14ac:dyDescent="0.3">
      <c r="A66" s="42">
        <v>250081</v>
      </c>
      <c r="B66" s="42">
        <v>304</v>
      </c>
      <c r="C66" s="43">
        <v>0.6</v>
      </c>
      <c r="D66" s="43" t="s">
        <v>96</v>
      </c>
      <c r="E66" s="37" t="s">
        <v>242</v>
      </c>
      <c r="F66" s="42" t="s">
        <v>45</v>
      </c>
      <c r="G66" s="42">
        <v>430</v>
      </c>
      <c r="H66" s="41">
        <v>600</v>
      </c>
      <c r="I66" s="24"/>
      <c r="J66" s="23">
        <f>H66-I66</f>
        <v>600</v>
      </c>
    </row>
    <row r="67" spans="1:10" ht="19.95" customHeight="1" x14ac:dyDescent="0.3">
      <c r="A67" s="42">
        <v>250082</v>
      </c>
      <c r="B67" s="42">
        <v>430</v>
      </c>
      <c r="C67" s="43">
        <v>0.6</v>
      </c>
      <c r="D67" s="43" t="s">
        <v>96</v>
      </c>
      <c r="E67" s="37" t="s">
        <v>243</v>
      </c>
      <c r="F67" s="42" t="s">
        <v>13</v>
      </c>
      <c r="G67" s="42">
        <v>430</v>
      </c>
      <c r="H67" s="23">
        <v>1000</v>
      </c>
      <c r="I67" s="46"/>
      <c r="J67" s="41">
        <f>H67-I67</f>
        <v>1000</v>
      </c>
    </row>
    <row r="68" spans="1:10" ht="19.95" customHeight="1" x14ac:dyDescent="0.3">
      <c r="A68" s="42">
        <v>250078</v>
      </c>
      <c r="B68" s="42">
        <v>304</v>
      </c>
      <c r="C68" s="43">
        <v>0.7</v>
      </c>
      <c r="D68" s="43" t="s">
        <v>11</v>
      </c>
      <c r="E68" s="37" t="s">
        <v>224</v>
      </c>
      <c r="F68" s="42" t="s">
        <v>13</v>
      </c>
      <c r="G68" s="42">
        <v>304</v>
      </c>
      <c r="H68" s="41">
        <v>131</v>
      </c>
      <c r="I68" s="46"/>
      <c r="J68" s="41">
        <f t="shared" si="5"/>
        <v>131</v>
      </c>
    </row>
    <row r="69" spans="1:10" ht="19.95" customHeight="1" x14ac:dyDescent="0.3">
      <c r="A69" s="42"/>
      <c r="B69" s="42"/>
      <c r="C69" s="43"/>
      <c r="D69" s="43"/>
      <c r="E69" s="37"/>
      <c r="F69" s="42"/>
      <c r="G69" s="42"/>
      <c r="H69" s="41"/>
      <c r="I69" s="46"/>
      <c r="J69" s="41">
        <f t="shared" si="5"/>
        <v>0</v>
      </c>
    </row>
    <row r="70" spans="1:10" ht="19.95" customHeight="1" x14ac:dyDescent="0.3">
      <c r="A70" s="101"/>
      <c r="B70" s="101"/>
      <c r="C70" s="101"/>
      <c r="D70" s="101"/>
      <c r="E70" s="101"/>
      <c r="F70" s="101"/>
      <c r="G70" s="101"/>
      <c r="H70" s="41">
        <f>SUM(H64:H69)</f>
        <v>3231</v>
      </c>
      <c r="I70" s="46">
        <f>SUM(I64:I69)</f>
        <v>0</v>
      </c>
      <c r="J70" s="41">
        <f>SUM(J64:J69)</f>
        <v>3231</v>
      </c>
    </row>
    <row r="71" spans="1:10" x14ac:dyDescent="0.3">
      <c r="A71" s="102"/>
      <c r="B71" s="102"/>
      <c r="C71" s="102"/>
      <c r="D71" s="102"/>
      <c r="E71" s="102"/>
      <c r="F71" s="102"/>
      <c r="G71" s="102"/>
    </row>
    <row r="72" spans="1:10" ht="15.6" x14ac:dyDescent="0.3">
      <c r="H72" s="8">
        <f>H70+H60+H49+H36+H24+H8</f>
        <v>22661</v>
      </c>
      <c r="I72" s="8">
        <f>I70+I60+I49+I36+I24+I8</f>
        <v>3739</v>
      </c>
      <c r="J72" s="8">
        <f>J70+J60+J49+J36+J24+J8</f>
        <v>18922</v>
      </c>
    </row>
    <row r="74" spans="1:10" ht="23.4" x14ac:dyDescent="0.3">
      <c r="A74" s="95" t="s">
        <v>14</v>
      </c>
      <c r="B74" s="95"/>
      <c r="C74" s="95"/>
      <c r="D74" s="95"/>
      <c r="E74" s="95"/>
      <c r="F74" s="95"/>
      <c r="G74" s="95"/>
      <c r="H74" s="95"/>
      <c r="I74" s="95"/>
      <c r="J74" s="95"/>
    </row>
  </sheetData>
  <mergeCells count="11">
    <mergeCell ref="A38:J38"/>
    <mergeCell ref="A51:J51"/>
    <mergeCell ref="A62:J62"/>
    <mergeCell ref="A70:G71"/>
    <mergeCell ref="A74:J74"/>
    <mergeCell ref="A26:J26"/>
    <mergeCell ref="H1:J1"/>
    <mergeCell ref="A2:J2"/>
    <mergeCell ref="A3:J3"/>
    <mergeCell ref="E5:E6"/>
    <mergeCell ref="A10:J10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7"/>
  <sheetViews>
    <sheetView zoomScale="85" zoomScaleNormal="85" workbookViewId="0">
      <selection activeCell="L17" sqref="L17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2.886718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222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/>
      <c r="B5" s="42"/>
      <c r="C5" s="43"/>
      <c r="D5" s="43"/>
      <c r="E5" s="103" t="s">
        <v>223</v>
      </c>
      <c r="F5" s="42"/>
      <c r="G5" s="42"/>
      <c r="H5" s="23"/>
      <c r="I5" s="24"/>
      <c r="J5" s="23">
        <f t="shared" ref="J5:J7" si="0">H5-I5</f>
        <v>0</v>
      </c>
    </row>
    <row r="6" spans="1:10" ht="19.95" customHeight="1" x14ac:dyDescent="0.3">
      <c r="A6" s="42"/>
      <c r="B6" s="42"/>
      <c r="C6" s="43"/>
      <c r="D6" s="43"/>
      <c r="E6" s="104"/>
      <c r="F6" s="42"/>
      <c r="G6" s="42"/>
      <c r="H6" s="23"/>
      <c r="I6" s="24"/>
      <c r="J6" s="23">
        <f t="shared" si="0"/>
        <v>0</v>
      </c>
    </row>
    <row r="7" spans="1:10" ht="19.95" customHeight="1" x14ac:dyDescent="0.3">
      <c r="A7" s="42"/>
      <c r="B7" s="42"/>
      <c r="C7" s="43"/>
      <c r="D7" s="43"/>
      <c r="E7" s="37"/>
      <c r="F7" s="42"/>
      <c r="G7" s="42"/>
      <c r="H7" s="23"/>
      <c r="I7" s="24"/>
      <c r="J7" s="23">
        <f t="shared" si="0"/>
        <v>0</v>
      </c>
    </row>
    <row r="8" spans="1:10" ht="19.95" customHeight="1" x14ac:dyDescent="0.3">
      <c r="A8" s="78"/>
      <c r="B8" s="78"/>
      <c r="C8" s="78"/>
      <c r="D8" s="78"/>
      <c r="E8" s="48"/>
      <c r="F8" s="78"/>
      <c r="G8" s="49"/>
      <c r="H8" s="73">
        <f>SUM(H5:H7)</f>
        <v>0</v>
      </c>
      <c r="I8" s="74">
        <f>SUM(I5:I7)</f>
        <v>0</v>
      </c>
      <c r="J8" s="23">
        <f>SUM(J5:J7)</f>
        <v>0</v>
      </c>
    </row>
    <row r="9" spans="1:10" x14ac:dyDescent="0.3">
      <c r="A9" s="52"/>
      <c r="B9" s="52"/>
      <c r="C9" s="52"/>
      <c r="D9" s="52"/>
      <c r="E9" s="52"/>
      <c r="F9" s="53"/>
      <c r="G9" s="52"/>
      <c r="H9" s="52"/>
      <c r="I9" s="52"/>
      <c r="J9" s="52"/>
    </row>
    <row r="10" spans="1:10" ht="30" customHeight="1" x14ac:dyDescent="0.3">
      <c r="A10" s="100" t="s">
        <v>17</v>
      </c>
      <c r="B10" s="100"/>
      <c r="C10" s="100"/>
      <c r="D10" s="100"/>
      <c r="E10" s="100"/>
      <c r="F10" s="100"/>
      <c r="G10" s="100"/>
      <c r="H10" s="100"/>
      <c r="I10" s="100"/>
      <c r="J10" s="100"/>
    </row>
    <row r="11" spans="1:10" ht="30" customHeight="1" x14ac:dyDescent="0.3">
      <c r="A11" s="42" t="s">
        <v>1</v>
      </c>
      <c r="B11" s="42" t="s">
        <v>2</v>
      </c>
      <c r="C11" s="54" t="s">
        <v>3</v>
      </c>
      <c r="D11" s="54" t="s">
        <v>4</v>
      </c>
      <c r="E11" s="42" t="s">
        <v>5</v>
      </c>
      <c r="F11" s="54" t="s">
        <v>6</v>
      </c>
      <c r="G11" s="54" t="s">
        <v>7</v>
      </c>
      <c r="H11" s="42" t="s">
        <v>8</v>
      </c>
      <c r="I11" s="42" t="s">
        <v>9</v>
      </c>
      <c r="J11" s="42" t="s">
        <v>10</v>
      </c>
    </row>
    <row r="12" spans="1:10" ht="19.95" customHeight="1" x14ac:dyDescent="0.3">
      <c r="A12" s="38">
        <v>250057</v>
      </c>
      <c r="B12" s="38">
        <v>304</v>
      </c>
      <c r="C12" s="39">
        <v>0.7</v>
      </c>
      <c r="D12" s="39" t="s">
        <v>43</v>
      </c>
      <c r="E12" s="36" t="s">
        <v>169</v>
      </c>
      <c r="F12" s="38" t="s">
        <v>170</v>
      </c>
      <c r="G12" s="38">
        <v>304</v>
      </c>
      <c r="H12" s="32">
        <v>395</v>
      </c>
      <c r="I12" s="40">
        <f>53+350</f>
        <v>403</v>
      </c>
      <c r="J12" s="32">
        <f t="shared" ref="J12:J23" si="1">H12-I12</f>
        <v>-8</v>
      </c>
    </row>
    <row r="13" spans="1:10" ht="19.95" customHeight="1" x14ac:dyDescent="0.3">
      <c r="A13" s="38">
        <v>250061</v>
      </c>
      <c r="B13" s="38">
        <v>304</v>
      </c>
      <c r="C13" s="39">
        <v>0.7</v>
      </c>
      <c r="D13" s="39" t="s">
        <v>43</v>
      </c>
      <c r="E13" s="36" t="s">
        <v>169</v>
      </c>
      <c r="F13" s="38" t="s">
        <v>171</v>
      </c>
      <c r="G13" s="38">
        <v>304</v>
      </c>
      <c r="H13" s="32">
        <v>525</v>
      </c>
      <c r="I13" s="40">
        <v>542</v>
      </c>
      <c r="J13" s="32">
        <f t="shared" si="1"/>
        <v>-17</v>
      </c>
    </row>
    <row r="14" spans="1:10" ht="19.95" customHeight="1" x14ac:dyDescent="0.3">
      <c r="A14" s="38">
        <v>250079</v>
      </c>
      <c r="B14" s="38">
        <v>304</v>
      </c>
      <c r="C14" s="39">
        <v>0.7</v>
      </c>
      <c r="D14" s="39" t="s">
        <v>43</v>
      </c>
      <c r="E14" s="36" t="s">
        <v>192</v>
      </c>
      <c r="F14" s="38" t="s">
        <v>171</v>
      </c>
      <c r="G14" s="38">
        <v>304</v>
      </c>
      <c r="H14" s="32">
        <v>952</v>
      </c>
      <c r="I14" s="40">
        <v>977</v>
      </c>
      <c r="J14" s="32">
        <f t="shared" si="1"/>
        <v>-25</v>
      </c>
    </row>
    <row r="15" spans="1:10" ht="27.6" customHeight="1" x14ac:dyDescent="0.3">
      <c r="A15" s="38">
        <v>250079</v>
      </c>
      <c r="B15" s="38">
        <v>304</v>
      </c>
      <c r="C15" s="39">
        <v>1</v>
      </c>
      <c r="D15" s="39" t="s">
        <v>43</v>
      </c>
      <c r="E15" s="80" t="s">
        <v>195</v>
      </c>
      <c r="F15" s="38" t="s">
        <v>171</v>
      </c>
      <c r="G15" s="38">
        <v>304</v>
      </c>
      <c r="H15" s="32">
        <v>48</v>
      </c>
      <c r="I15" s="40">
        <v>48</v>
      </c>
      <c r="J15" s="32">
        <f t="shared" si="1"/>
        <v>0</v>
      </c>
    </row>
    <row r="16" spans="1:10" ht="19.95" customHeight="1" x14ac:dyDescent="0.3">
      <c r="A16" s="38">
        <v>250057</v>
      </c>
      <c r="B16" s="38">
        <v>304</v>
      </c>
      <c r="C16" s="39">
        <v>1</v>
      </c>
      <c r="D16" s="39" t="s">
        <v>43</v>
      </c>
      <c r="E16" s="36" t="s">
        <v>190</v>
      </c>
      <c r="F16" s="38" t="s">
        <v>170</v>
      </c>
      <c r="G16" s="38">
        <v>304</v>
      </c>
      <c r="H16" s="32">
        <v>15</v>
      </c>
      <c r="I16" s="40">
        <v>19</v>
      </c>
      <c r="J16" s="32">
        <f t="shared" si="1"/>
        <v>-4</v>
      </c>
    </row>
    <row r="17" spans="1:10" ht="19.95" customHeight="1" x14ac:dyDescent="0.3">
      <c r="A17" s="38">
        <v>250061</v>
      </c>
      <c r="B17" s="38">
        <v>304</v>
      </c>
      <c r="C17" s="39">
        <v>1</v>
      </c>
      <c r="D17" s="39" t="s">
        <v>43</v>
      </c>
      <c r="E17" s="36" t="s">
        <v>190</v>
      </c>
      <c r="F17" s="38" t="s">
        <v>171</v>
      </c>
      <c r="G17" s="38">
        <v>304</v>
      </c>
      <c r="H17" s="32">
        <v>15</v>
      </c>
      <c r="I17" s="40">
        <v>19</v>
      </c>
      <c r="J17" s="32">
        <f t="shared" si="1"/>
        <v>-4</v>
      </c>
    </row>
    <row r="18" spans="1:10" ht="19.95" customHeight="1" x14ac:dyDescent="0.3">
      <c r="A18" s="38">
        <v>21025</v>
      </c>
      <c r="B18" s="38">
        <v>304</v>
      </c>
      <c r="C18" s="39">
        <v>0.6</v>
      </c>
      <c r="D18" s="39" t="s">
        <v>55</v>
      </c>
      <c r="E18" s="36" t="s">
        <v>185</v>
      </c>
      <c r="F18" s="38" t="s">
        <v>45</v>
      </c>
      <c r="G18" s="38">
        <v>430</v>
      </c>
      <c r="H18" s="32">
        <v>1000</v>
      </c>
      <c r="I18" s="40">
        <v>1020</v>
      </c>
      <c r="J18" s="32">
        <f t="shared" si="1"/>
        <v>-20</v>
      </c>
    </row>
    <row r="19" spans="1:10" ht="19.95" customHeight="1" x14ac:dyDescent="0.3">
      <c r="A19" s="38">
        <v>250078</v>
      </c>
      <c r="B19" s="38">
        <v>304</v>
      </c>
      <c r="C19" s="39">
        <v>0.7</v>
      </c>
      <c r="D19" s="39" t="s">
        <v>11</v>
      </c>
      <c r="E19" s="36" t="s">
        <v>220</v>
      </c>
      <c r="F19" s="38" t="s">
        <v>13</v>
      </c>
      <c r="G19" s="38">
        <v>304</v>
      </c>
      <c r="H19" s="32">
        <v>775</v>
      </c>
      <c r="I19" s="40">
        <v>800</v>
      </c>
      <c r="J19" s="32">
        <f t="shared" si="1"/>
        <v>-25</v>
      </c>
    </row>
    <row r="20" spans="1:10" ht="19.95" customHeight="1" x14ac:dyDescent="0.3">
      <c r="A20" s="38">
        <v>250078</v>
      </c>
      <c r="B20" s="38">
        <v>304</v>
      </c>
      <c r="C20" s="39">
        <v>1</v>
      </c>
      <c r="D20" s="39" t="s">
        <v>11</v>
      </c>
      <c r="E20" s="36" t="s">
        <v>221</v>
      </c>
      <c r="F20" s="38" t="s">
        <v>13</v>
      </c>
      <c r="G20" s="38">
        <v>304</v>
      </c>
      <c r="H20" s="32">
        <v>15</v>
      </c>
      <c r="I20" s="40">
        <v>15</v>
      </c>
      <c r="J20" s="32">
        <f t="shared" si="1"/>
        <v>0</v>
      </c>
    </row>
    <row r="21" spans="1:10" ht="19.95" customHeight="1" x14ac:dyDescent="0.3">
      <c r="A21" s="38">
        <v>250078</v>
      </c>
      <c r="B21" s="38">
        <v>304</v>
      </c>
      <c r="C21" s="39">
        <v>0.7</v>
      </c>
      <c r="D21" s="39" t="s">
        <v>11</v>
      </c>
      <c r="E21" s="36" t="s">
        <v>214</v>
      </c>
      <c r="F21" s="38" t="s">
        <v>13</v>
      </c>
      <c r="G21" s="38">
        <v>304</v>
      </c>
      <c r="H21" s="32">
        <v>775</v>
      </c>
      <c r="I21" s="40">
        <v>775</v>
      </c>
      <c r="J21" s="32">
        <f t="shared" si="1"/>
        <v>0</v>
      </c>
    </row>
    <row r="22" spans="1:10" ht="19.95" customHeight="1" x14ac:dyDescent="0.3">
      <c r="A22" s="42">
        <v>250078</v>
      </c>
      <c r="B22" s="42">
        <v>304</v>
      </c>
      <c r="C22" s="43">
        <v>1</v>
      </c>
      <c r="D22" s="43" t="s">
        <v>11</v>
      </c>
      <c r="E22" s="37" t="s">
        <v>215</v>
      </c>
      <c r="F22" s="42" t="s">
        <v>13</v>
      </c>
      <c r="G22" s="42">
        <v>304</v>
      </c>
      <c r="H22" s="41">
        <v>15</v>
      </c>
      <c r="I22" s="24"/>
      <c r="J22" s="23">
        <f t="shared" si="1"/>
        <v>15</v>
      </c>
    </row>
    <row r="23" spans="1:10" ht="19.95" customHeight="1" x14ac:dyDescent="0.3">
      <c r="A23" s="42"/>
      <c r="B23" s="42"/>
      <c r="C23" s="43"/>
      <c r="D23" s="43"/>
      <c r="E23" s="37"/>
      <c r="F23" s="42"/>
      <c r="G23" s="42"/>
      <c r="H23" s="23"/>
      <c r="I23" s="24"/>
      <c r="J23" s="23">
        <f t="shared" si="1"/>
        <v>0</v>
      </c>
    </row>
    <row r="24" spans="1:10" ht="19.95" customHeight="1" x14ac:dyDescent="0.3">
      <c r="A24" s="78"/>
      <c r="B24" s="78"/>
      <c r="C24" s="78"/>
      <c r="D24" s="78"/>
      <c r="E24" s="48"/>
      <c r="F24" s="78"/>
      <c r="G24" s="49"/>
      <c r="H24" s="23">
        <f>SUM(H12:H23)</f>
        <v>4530</v>
      </c>
      <c r="I24" s="24">
        <f>SUM(I12:I23)</f>
        <v>4618</v>
      </c>
      <c r="J24" s="23">
        <f>SUM(J12:J23)</f>
        <v>-88</v>
      </c>
    </row>
    <row r="25" spans="1:10" x14ac:dyDescent="0.3">
      <c r="A25" s="52"/>
      <c r="B25" s="52"/>
      <c r="C25" s="52"/>
      <c r="D25" s="52"/>
      <c r="E25" s="52"/>
      <c r="F25" s="53"/>
      <c r="G25" s="52"/>
      <c r="H25" s="52"/>
      <c r="I25" s="52"/>
      <c r="J25" s="52"/>
    </row>
    <row r="26" spans="1:10" ht="30" customHeight="1" x14ac:dyDescent="0.3">
      <c r="A26" s="100" t="s">
        <v>18</v>
      </c>
      <c r="B26" s="100"/>
      <c r="C26" s="100"/>
      <c r="D26" s="100"/>
      <c r="E26" s="100"/>
      <c r="F26" s="100"/>
      <c r="G26" s="100"/>
      <c r="H26" s="100"/>
      <c r="I26" s="100"/>
      <c r="J26" s="100"/>
    </row>
    <row r="27" spans="1:10" ht="30" customHeight="1" x14ac:dyDescent="0.3">
      <c r="A27" s="42" t="s">
        <v>1</v>
      </c>
      <c r="B27" s="42" t="s">
        <v>2</v>
      </c>
      <c r="C27" s="54" t="s">
        <v>3</v>
      </c>
      <c r="D27" s="54" t="s">
        <v>4</v>
      </c>
      <c r="E27" s="42" t="s">
        <v>5</v>
      </c>
      <c r="F27" s="54" t="s">
        <v>6</v>
      </c>
      <c r="G27" s="54" t="s">
        <v>7</v>
      </c>
      <c r="H27" s="42" t="s">
        <v>8</v>
      </c>
      <c r="I27" s="42" t="s">
        <v>9</v>
      </c>
      <c r="J27" s="42" t="s">
        <v>10</v>
      </c>
    </row>
    <row r="28" spans="1:10" ht="19.95" customHeight="1" x14ac:dyDescent="0.3">
      <c r="A28" s="38">
        <v>250080</v>
      </c>
      <c r="B28" s="38">
        <v>304</v>
      </c>
      <c r="C28" s="39">
        <v>0.6</v>
      </c>
      <c r="D28" s="39" t="s">
        <v>11</v>
      </c>
      <c r="E28" s="36" t="s">
        <v>197</v>
      </c>
      <c r="F28" s="38" t="s">
        <v>13</v>
      </c>
      <c r="G28" s="38">
        <v>430</v>
      </c>
      <c r="H28" s="32">
        <v>300</v>
      </c>
      <c r="I28" s="40">
        <v>300</v>
      </c>
      <c r="J28" s="32">
        <f t="shared" ref="J28:J35" si="2">H28-I28</f>
        <v>0</v>
      </c>
    </row>
    <row r="29" spans="1:10" ht="19.95" customHeight="1" x14ac:dyDescent="0.3">
      <c r="A29" s="38">
        <v>250057</v>
      </c>
      <c r="B29" s="38">
        <v>304</v>
      </c>
      <c r="C29" s="39">
        <v>0.7</v>
      </c>
      <c r="D29" s="39" t="s">
        <v>55</v>
      </c>
      <c r="E29" s="36" t="s">
        <v>212</v>
      </c>
      <c r="F29" s="38" t="s">
        <v>52</v>
      </c>
      <c r="G29" s="38">
        <v>304</v>
      </c>
      <c r="H29" s="32">
        <v>395</v>
      </c>
      <c r="I29" s="40">
        <v>397</v>
      </c>
      <c r="J29" s="32">
        <f t="shared" si="2"/>
        <v>-2</v>
      </c>
    </row>
    <row r="30" spans="1:10" ht="19.95" customHeight="1" x14ac:dyDescent="0.3">
      <c r="A30" s="38">
        <v>250057</v>
      </c>
      <c r="B30" s="38">
        <v>304</v>
      </c>
      <c r="C30" s="39">
        <v>1</v>
      </c>
      <c r="D30" s="39" t="s">
        <v>55</v>
      </c>
      <c r="E30" s="36" t="s">
        <v>213</v>
      </c>
      <c r="F30" s="38" t="s">
        <v>52</v>
      </c>
      <c r="G30" s="38">
        <v>304</v>
      </c>
      <c r="H30" s="32">
        <v>15</v>
      </c>
      <c r="I30" s="40">
        <v>15</v>
      </c>
      <c r="J30" s="32">
        <f t="shared" si="2"/>
        <v>0</v>
      </c>
    </row>
    <row r="31" spans="1:10" ht="19.95" customHeight="1" x14ac:dyDescent="0.3">
      <c r="A31" s="38">
        <v>151025</v>
      </c>
      <c r="B31" s="38">
        <v>304</v>
      </c>
      <c r="C31" s="39">
        <v>0.7</v>
      </c>
      <c r="D31" s="39" t="s">
        <v>55</v>
      </c>
      <c r="E31" s="36" t="s">
        <v>227</v>
      </c>
      <c r="F31" s="38" t="s">
        <v>45</v>
      </c>
      <c r="G31" s="38">
        <v>430</v>
      </c>
      <c r="H31" s="32">
        <v>1000</v>
      </c>
      <c r="I31" s="40">
        <f>711+310</f>
        <v>1021</v>
      </c>
      <c r="J31" s="32">
        <f t="shared" si="2"/>
        <v>-21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186</v>
      </c>
      <c r="F32" s="42" t="s">
        <v>45</v>
      </c>
      <c r="G32" s="42">
        <v>430</v>
      </c>
      <c r="H32" s="23">
        <v>1000</v>
      </c>
      <c r="I32" s="24"/>
      <c r="J32" s="23">
        <f t="shared" si="2"/>
        <v>1000</v>
      </c>
    </row>
    <row r="33" spans="1:10" ht="19.95" customHeight="1" x14ac:dyDescent="0.3">
      <c r="A33" s="42">
        <v>151025</v>
      </c>
      <c r="B33" s="42">
        <v>304</v>
      </c>
      <c r="C33" s="43">
        <v>0.7</v>
      </c>
      <c r="D33" s="43" t="s">
        <v>55</v>
      </c>
      <c r="E33" s="37" t="s">
        <v>226</v>
      </c>
      <c r="F33" s="42" t="s">
        <v>45</v>
      </c>
      <c r="G33" s="42">
        <v>430</v>
      </c>
      <c r="H33" s="23">
        <v>1000</v>
      </c>
      <c r="I33" s="24"/>
      <c r="J33" s="23">
        <f t="shared" si="2"/>
        <v>1000</v>
      </c>
    </row>
    <row r="34" spans="1:10" ht="19.95" customHeight="1" x14ac:dyDescent="0.3">
      <c r="A34" s="42" t="s">
        <v>225</v>
      </c>
      <c r="B34" s="42">
        <v>304</v>
      </c>
      <c r="C34" s="43">
        <v>0.7</v>
      </c>
      <c r="D34" s="43" t="s">
        <v>55</v>
      </c>
      <c r="E34" s="37" t="s">
        <v>226</v>
      </c>
      <c r="F34" s="42" t="s">
        <v>45</v>
      </c>
      <c r="G34" s="42">
        <v>430</v>
      </c>
      <c r="H34" s="23">
        <v>1000</v>
      </c>
      <c r="I34" s="24"/>
      <c r="J34" s="23">
        <f t="shared" si="2"/>
        <v>1000</v>
      </c>
    </row>
    <row r="35" spans="1:10" ht="19.95" customHeight="1" x14ac:dyDescent="0.3">
      <c r="A35" s="42"/>
      <c r="B35" s="42"/>
      <c r="C35" s="43"/>
      <c r="D35" s="43"/>
      <c r="E35" s="37"/>
      <c r="F35" s="42"/>
      <c r="G35" s="42"/>
      <c r="H35" s="41"/>
      <c r="I35" s="46"/>
      <c r="J35" s="41">
        <f t="shared" si="2"/>
        <v>0</v>
      </c>
    </row>
    <row r="36" spans="1:10" ht="19.95" customHeight="1" x14ac:dyDescent="0.3">
      <c r="A36" s="78"/>
      <c r="B36" s="78"/>
      <c r="C36" s="78"/>
      <c r="D36" s="78"/>
      <c r="E36" s="48"/>
      <c r="F36" s="78"/>
      <c r="G36" s="49"/>
      <c r="H36" s="41">
        <f>SUM(H28:H35)</f>
        <v>4710</v>
      </c>
      <c r="I36" s="46">
        <f>SUM(I28:I35)</f>
        <v>1733</v>
      </c>
      <c r="J36" s="41">
        <f>SUM(J28:J35)</f>
        <v>2977</v>
      </c>
    </row>
    <row r="37" spans="1:10" x14ac:dyDescent="0.3">
      <c r="A37" s="52"/>
      <c r="B37" s="52"/>
      <c r="C37" s="52"/>
      <c r="D37" s="52"/>
      <c r="E37" s="52"/>
      <c r="F37" s="53"/>
      <c r="G37" s="52"/>
      <c r="H37" s="52"/>
      <c r="I37" s="52"/>
      <c r="J37" s="52"/>
    </row>
    <row r="38" spans="1:10" ht="30" customHeight="1" x14ac:dyDescent="0.3">
      <c r="A38" s="100" t="s">
        <v>20</v>
      </c>
      <c r="B38" s="100"/>
      <c r="C38" s="100"/>
      <c r="D38" s="100"/>
      <c r="E38" s="100"/>
      <c r="F38" s="100"/>
      <c r="G38" s="100"/>
      <c r="H38" s="100"/>
      <c r="I38" s="100"/>
      <c r="J38" s="100"/>
    </row>
    <row r="39" spans="1:10" ht="30" customHeight="1" x14ac:dyDescent="0.3">
      <c r="A39" s="42" t="s">
        <v>1</v>
      </c>
      <c r="B39" s="42" t="s">
        <v>2</v>
      </c>
      <c r="C39" s="54" t="s">
        <v>3</v>
      </c>
      <c r="D39" s="54" t="s">
        <v>4</v>
      </c>
      <c r="E39" s="42" t="s">
        <v>5</v>
      </c>
      <c r="F39" s="54" t="s">
        <v>6</v>
      </c>
      <c r="G39" s="54" t="s">
        <v>7</v>
      </c>
      <c r="H39" s="42" t="s">
        <v>8</v>
      </c>
      <c r="I39" s="42" t="s">
        <v>9</v>
      </c>
      <c r="J39" s="42" t="s">
        <v>10</v>
      </c>
    </row>
    <row r="40" spans="1:10" ht="19.95" customHeight="1" x14ac:dyDescent="0.3">
      <c r="A40" s="42">
        <v>250079</v>
      </c>
      <c r="B40" s="42">
        <v>304</v>
      </c>
      <c r="C40" s="43">
        <v>0.7</v>
      </c>
      <c r="D40" s="43" t="s">
        <v>11</v>
      </c>
      <c r="E40" s="37" t="s">
        <v>228</v>
      </c>
      <c r="F40" s="42" t="s">
        <v>41</v>
      </c>
      <c r="G40" s="42">
        <v>304</v>
      </c>
      <c r="H40" s="41">
        <v>964</v>
      </c>
      <c r="I40" s="46"/>
      <c r="J40" s="41">
        <f>H40-I40</f>
        <v>964</v>
      </c>
    </row>
    <row r="41" spans="1:10" ht="19.95" customHeight="1" x14ac:dyDescent="0.3">
      <c r="A41" s="42">
        <v>250079</v>
      </c>
      <c r="B41" s="42">
        <v>304</v>
      </c>
      <c r="C41" s="43">
        <v>1</v>
      </c>
      <c r="D41" s="43" t="s">
        <v>11</v>
      </c>
      <c r="E41" s="37" t="s">
        <v>229</v>
      </c>
      <c r="F41" s="42" t="s">
        <v>41</v>
      </c>
      <c r="G41" s="42">
        <v>304</v>
      </c>
      <c r="H41" s="41">
        <v>36</v>
      </c>
      <c r="I41" s="46"/>
      <c r="J41" s="41">
        <f>H41-I41</f>
        <v>36</v>
      </c>
    </row>
    <row r="42" spans="1:10" ht="19.95" customHeight="1" x14ac:dyDescent="0.3">
      <c r="A42" s="42">
        <v>250079</v>
      </c>
      <c r="B42" s="42">
        <v>304</v>
      </c>
      <c r="C42" s="43">
        <v>0.7</v>
      </c>
      <c r="D42" s="43" t="s">
        <v>11</v>
      </c>
      <c r="E42" s="37" t="s">
        <v>231</v>
      </c>
      <c r="F42" s="42" t="s">
        <v>41</v>
      </c>
      <c r="G42" s="42">
        <v>304</v>
      </c>
      <c r="H42" s="41">
        <v>1314</v>
      </c>
      <c r="I42" s="46"/>
      <c r="J42" s="41">
        <f>H42-I42</f>
        <v>1314</v>
      </c>
    </row>
    <row r="43" spans="1:10" ht="19.95" customHeight="1" x14ac:dyDescent="0.3">
      <c r="A43" s="42">
        <v>250079</v>
      </c>
      <c r="B43" s="42">
        <v>304</v>
      </c>
      <c r="C43" s="43">
        <v>1</v>
      </c>
      <c r="D43" s="43" t="s">
        <v>11</v>
      </c>
      <c r="E43" s="37" t="s">
        <v>230</v>
      </c>
      <c r="F43" s="42" t="s">
        <v>41</v>
      </c>
      <c r="G43" s="42">
        <v>304</v>
      </c>
      <c r="H43" s="41">
        <v>36</v>
      </c>
      <c r="I43" s="46"/>
      <c r="J43" s="41">
        <f t="shared" ref="J43:J56" si="3">H43-I43</f>
        <v>36</v>
      </c>
    </row>
    <row r="44" spans="1:10" ht="19.95" customHeight="1" x14ac:dyDescent="0.3">
      <c r="A44" s="42">
        <v>250080</v>
      </c>
      <c r="B44" s="42">
        <v>304</v>
      </c>
      <c r="C44" s="43">
        <v>0.7</v>
      </c>
      <c r="D44" s="43" t="s">
        <v>11</v>
      </c>
      <c r="E44" s="37" t="s">
        <v>232</v>
      </c>
      <c r="F44" s="42" t="s">
        <v>41</v>
      </c>
      <c r="G44" s="42">
        <v>430</v>
      </c>
      <c r="H44" s="41">
        <v>1000</v>
      </c>
      <c r="I44" s="46"/>
      <c r="J44" s="41">
        <f t="shared" si="3"/>
        <v>1000</v>
      </c>
    </row>
    <row r="45" spans="1:10" ht="19.95" customHeight="1" x14ac:dyDescent="0.3">
      <c r="A45" s="42">
        <v>250079</v>
      </c>
      <c r="B45" s="42">
        <v>304</v>
      </c>
      <c r="C45" s="43">
        <v>0.7</v>
      </c>
      <c r="D45" s="43" t="s">
        <v>11</v>
      </c>
      <c r="E45" s="37" t="s">
        <v>233</v>
      </c>
      <c r="F45" s="42" t="s">
        <v>41</v>
      </c>
      <c r="G45" s="42">
        <v>304</v>
      </c>
      <c r="H45" s="41">
        <v>1314</v>
      </c>
      <c r="I45" s="46"/>
      <c r="J45" s="41">
        <f t="shared" si="3"/>
        <v>1314</v>
      </c>
    </row>
    <row r="46" spans="1:10" ht="19.95" customHeight="1" x14ac:dyDescent="0.3">
      <c r="A46" s="42">
        <v>250079</v>
      </c>
      <c r="B46" s="42">
        <v>304</v>
      </c>
      <c r="C46" s="43">
        <v>1</v>
      </c>
      <c r="D46" s="43" t="s">
        <v>11</v>
      </c>
      <c r="E46" s="37" t="s">
        <v>234</v>
      </c>
      <c r="F46" s="42" t="s">
        <v>41</v>
      </c>
      <c r="G46" s="42">
        <v>304</v>
      </c>
      <c r="H46" s="41">
        <v>36</v>
      </c>
      <c r="I46" s="46"/>
      <c r="J46" s="41">
        <f t="shared" si="3"/>
        <v>36</v>
      </c>
    </row>
    <row r="47" spans="1:10" ht="19.95" customHeight="1" x14ac:dyDescent="0.3">
      <c r="A47" s="42">
        <v>250080</v>
      </c>
      <c r="B47" s="42">
        <v>304</v>
      </c>
      <c r="C47" s="43">
        <v>0.7</v>
      </c>
      <c r="D47" s="43" t="s">
        <v>11</v>
      </c>
      <c r="E47" s="37" t="s">
        <v>235</v>
      </c>
      <c r="F47" s="42" t="s">
        <v>41</v>
      </c>
      <c r="G47" s="42">
        <v>430</v>
      </c>
      <c r="H47" s="41">
        <v>1200</v>
      </c>
      <c r="I47" s="46"/>
      <c r="J47" s="41">
        <f t="shared" si="3"/>
        <v>1200</v>
      </c>
    </row>
    <row r="48" spans="1:10" ht="19.95" customHeight="1" x14ac:dyDescent="0.3">
      <c r="A48" s="38">
        <v>250084</v>
      </c>
      <c r="B48" s="38">
        <v>304</v>
      </c>
      <c r="C48" s="39">
        <v>0.7</v>
      </c>
      <c r="D48" s="38" t="s">
        <v>11</v>
      </c>
      <c r="E48" s="80" t="s">
        <v>246</v>
      </c>
      <c r="F48" s="38" t="s">
        <v>45</v>
      </c>
      <c r="G48" s="38">
        <v>304</v>
      </c>
      <c r="H48" s="32">
        <v>715</v>
      </c>
      <c r="I48" s="40">
        <v>722</v>
      </c>
      <c r="J48" s="32">
        <f t="shared" si="3"/>
        <v>-7</v>
      </c>
    </row>
    <row r="49" spans="1:10" ht="27" customHeight="1" x14ac:dyDescent="0.3">
      <c r="A49" s="38">
        <v>250084</v>
      </c>
      <c r="B49" s="38">
        <v>304</v>
      </c>
      <c r="C49" s="39" t="s">
        <v>248</v>
      </c>
      <c r="D49" s="38" t="s">
        <v>11</v>
      </c>
      <c r="E49" s="80" t="s">
        <v>247</v>
      </c>
      <c r="F49" s="38" t="s">
        <v>45</v>
      </c>
      <c r="G49" s="38">
        <v>304</v>
      </c>
      <c r="H49" s="32">
        <v>15</v>
      </c>
      <c r="I49" s="40">
        <v>15</v>
      </c>
      <c r="J49" s="32">
        <f t="shared" si="3"/>
        <v>0</v>
      </c>
    </row>
    <row r="50" spans="1:10" ht="19.95" customHeight="1" x14ac:dyDescent="0.3">
      <c r="A50" s="42">
        <v>250084</v>
      </c>
      <c r="B50" s="42">
        <v>304</v>
      </c>
      <c r="C50" s="43">
        <v>0.7</v>
      </c>
      <c r="D50" s="4" t="s">
        <v>11</v>
      </c>
      <c r="E50" s="37" t="s">
        <v>249</v>
      </c>
      <c r="F50" s="42" t="s">
        <v>45</v>
      </c>
      <c r="G50" s="42">
        <v>304</v>
      </c>
      <c r="H50" s="41">
        <v>715</v>
      </c>
      <c r="I50" s="46"/>
      <c r="J50" s="41">
        <f t="shared" si="3"/>
        <v>715</v>
      </c>
    </row>
    <row r="51" spans="1:10" ht="27" customHeight="1" x14ac:dyDescent="0.3">
      <c r="A51" s="42">
        <v>250084</v>
      </c>
      <c r="B51" s="42">
        <v>304</v>
      </c>
      <c r="C51" s="43" t="s">
        <v>248</v>
      </c>
      <c r="D51" s="4" t="s">
        <v>11</v>
      </c>
      <c r="E51" s="66" t="s">
        <v>250</v>
      </c>
      <c r="F51" s="42" t="s">
        <v>45</v>
      </c>
      <c r="G51" s="42">
        <v>304</v>
      </c>
      <c r="H51" s="41">
        <v>15</v>
      </c>
      <c r="I51" s="46"/>
      <c r="J51" s="41">
        <f t="shared" si="3"/>
        <v>15</v>
      </c>
    </row>
    <row r="52" spans="1:10" ht="19.95" customHeight="1" x14ac:dyDescent="0.3">
      <c r="A52" s="42">
        <v>250084</v>
      </c>
      <c r="B52" s="42">
        <v>304</v>
      </c>
      <c r="C52" s="43">
        <v>0.7</v>
      </c>
      <c r="D52" s="4" t="s">
        <v>11</v>
      </c>
      <c r="E52" s="37" t="s">
        <v>251</v>
      </c>
      <c r="F52" s="42" t="s">
        <v>45</v>
      </c>
      <c r="G52" s="42">
        <v>304</v>
      </c>
      <c r="H52" s="41">
        <v>715</v>
      </c>
      <c r="I52" s="46"/>
      <c r="J52" s="41">
        <f t="shared" si="3"/>
        <v>715</v>
      </c>
    </row>
    <row r="53" spans="1:10" ht="27" customHeight="1" x14ac:dyDescent="0.3">
      <c r="A53" s="42">
        <v>250084</v>
      </c>
      <c r="B53" s="42">
        <v>304</v>
      </c>
      <c r="C53" s="43" t="s">
        <v>248</v>
      </c>
      <c r="D53" s="4" t="s">
        <v>11</v>
      </c>
      <c r="E53" s="66" t="s">
        <v>252</v>
      </c>
      <c r="F53" s="42" t="s">
        <v>45</v>
      </c>
      <c r="G53" s="42">
        <v>304</v>
      </c>
      <c r="H53" s="41">
        <v>15</v>
      </c>
      <c r="I53" s="46"/>
      <c r="J53" s="41">
        <f t="shared" si="3"/>
        <v>15</v>
      </c>
    </row>
    <row r="54" spans="1:10" ht="19.95" customHeight="1" x14ac:dyDescent="0.3">
      <c r="A54" s="42">
        <v>250082</v>
      </c>
      <c r="B54" s="42">
        <v>430</v>
      </c>
      <c r="C54" s="43">
        <v>0.6</v>
      </c>
      <c r="D54" s="43" t="s">
        <v>11</v>
      </c>
      <c r="E54" s="37" t="s">
        <v>253</v>
      </c>
      <c r="F54" s="42" t="s">
        <v>13</v>
      </c>
      <c r="G54" s="42">
        <v>430</v>
      </c>
      <c r="H54" s="41">
        <v>1000</v>
      </c>
      <c r="I54" s="46"/>
      <c r="J54" s="41">
        <f t="shared" si="3"/>
        <v>1000</v>
      </c>
    </row>
    <row r="55" spans="1:10" ht="19.95" customHeight="1" x14ac:dyDescent="0.3">
      <c r="A55" s="42">
        <v>250082</v>
      </c>
      <c r="B55" s="42">
        <v>430</v>
      </c>
      <c r="C55" s="43">
        <v>0.6</v>
      </c>
      <c r="D55" s="43" t="s">
        <v>11</v>
      </c>
      <c r="E55" s="37" t="s">
        <v>254</v>
      </c>
      <c r="F55" s="42" t="s">
        <v>13</v>
      </c>
      <c r="G55" s="42">
        <v>430</v>
      </c>
      <c r="H55" s="41">
        <v>1000</v>
      </c>
      <c r="I55" s="46"/>
      <c r="J55" s="41">
        <f t="shared" si="3"/>
        <v>1000</v>
      </c>
    </row>
    <row r="56" spans="1:10" ht="19.95" customHeight="1" x14ac:dyDescent="0.3">
      <c r="A56" s="42"/>
      <c r="B56" s="42"/>
      <c r="C56" s="43"/>
      <c r="D56" s="43"/>
      <c r="E56" s="37"/>
      <c r="F56" s="42"/>
      <c r="G56" s="42"/>
      <c r="H56" s="41"/>
      <c r="I56" s="46"/>
      <c r="J56" s="41">
        <f t="shared" si="3"/>
        <v>0</v>
      </c>
    </row>
    <row r="57" spans="1:10" ht="19.95" customHeight="1" x14ac:dyDescent="0.3">
      <c r="A57" s="78"/>
      <c r="B57" s="78"/>
      <c r="C57" s="78"/>
      <c r="D57" s="78"/>
      <c r="E57" s="48"/>
      <c r="F57" s="78"/>
      <c r="G57" s="49"/>
      <c r="H57" s="41">
        <f>SUM(H40:H56)</f>
        <v>10090</v>
      </c>
      <c r="I57" s="46">
        <f>SUM(I40:I56)</f>
        <v>737</v>
      </c>
      <c r="J57" s="41">
        <f>SUM(J40:J56)</f>
        <v>9353</v>
      </c>
    </row>
    <row r="58" spans="1:10" ht="19.95" customHeight="1" x14ac:dyDescent="0.3">
      <c r="A58" s="79"/>
      <c r="B58" s="79"/>
      <c r="C58" s="79"/>
      <c r="D58" s="79"/>
      <c r="E58" s="56"/>
      <c r="F58" s="79"/>
      <c r="G58" s="79"/>
      <c r="H58" s="57"/>
      <c r="I58" s="58"/>
      <c r="J58" s="57"/>
    </row>
    <row r="59" spans="1:10" ht="30" customHeight="1" x14ac:dyDescent="0.3">
      <c r="A59" s="100" t="s">
        <v>19</v>
      </c>
      <c r="B59" s="100"/>
      <c r="C59" s="100"/>
      <c r="D59" s="100"/>
      <c r="E59" s="100"/>
      <c r="F59" s="100"/>
      <c r="G59" s="100"/>
      <c r="H59" s="100"/>
      <c r="I59" s="100"/>
      <c r="J59" s="100"/>
    </row>
    <row r="60" spans="1:10" ht="30" customHeight="1" x14ac:dyDescent="0.3">
      <c r="A60" s="42" t="s">
        <v>1</v>
      </c>
      <c r="B60" s="42" t="s">
        <v>2</v>
      </c>
      <c r="C60" s="54" t="s">
        <v>3</v>
      </c>
      <c r="D60" s="54" t="s">
        <v>4</v>
      </c>
      <c r="E60" s="42" t="s">
        <v>5</v>
      </c>
      <c r="F60" s="54" t="s">
        <v>6</v>
      </c>
      <c r="G60" s="54" t="s">
        <v>7</v>
      </c>
      <c r="H60" s="42" t="s">
        <v>8</v>
      </c>
      <c r="I60" s="42" t="s">
        <v>9</v>
      </c>
      <c r="J60" s="42" t="s">
        <v>10</v>
      </c>
    </row>
    <row r="61" spans="1:10" ht="19.95" customHeight="1" x14ac:dyDescent="0.3">
      <c r="A61" s="42" t="s">
        <v>225</v>
      </c>
      <c r="B61" s="42">
        <v>304</v>
      </c>
      <c r="C61" s="43">
        <v>0.7</v>
      </c>
      <c r="D61" s="43" t="s">
        <v>55</v>
      </c>
      <c r="E61" s="37" t="s">
        <v>236</v>
      </c>
      <c r="F61" s="42" t="s">
        <v>45</v>
      </c>
      <c r="G61" s="42">
        <v>430</v>
      </c>
      <c r="H61" s="23">
        <v>1000</v>
      </c>
      <c r="I61" s="24"/>
      <c r="J61" s="23">
        <f t="shared" ref="J61:J72" si="4">H61-I61</f>
        <v>1000</v>
      </c>
    </row>
    <row r="62" spans="1:10" ht="19.95" customHeight="1" x14ac:dyDescent="0.3">
      <c r="A62" s="42" t="s">
        <v>225</v>
      </c>
      <c r="B62" s="42">
        <v>304</v>
      </c>
      <c r="C62" s="43">
        <v>0.7</v>
      </c>
      <c r="D62" s="43" t="s">
        <v>55</v>
      </c>
      <c r="E62" s="37" t="s">
        <v>237</v>
      </c>
      <c r="F62" s="42" t="s">
        <v>45</v>
      </c>
      <c r="G62" s="42">
        <v>430</v>
      </c>
      <c r="H62" s="23">
        <v>1000</v>
      </c>
      <c r="I62" s="46"/>
      <c r="J62" s="41">
        <f t="shared" si="4"/>
        <v>1000</v>
      </c>
    </row>
    <row r="63" spans="1:10" ht="19.95" customHeight="1" x14ac:dyDescent="0.3">
      <c r="A63" s="42">
        <v>151025</v>
      </c>
      <c r="B63" s="42">
        <v>304</v>
      </c>
      <c r="C63" s="43">
        <v>0.7</v>
      </c>
      <c r="D63" s="43" t="s">
        <v>55</v>
      </c>
      <c r="E63" s="37" t="s">
        <v>238</v>
      </c>
      <c r="F63" s="42" t="s">
        <v>45</v>
      </c>
      <c r="G63" s="42">
        <v>430</v>
      </c>
      <c r="H63" s="23">
        <v>1000</v>
      </c>
      <c r="I63" s="46"/>
      <c r="J63" s="41">
        <f t="shared" si="4"/>
        <v>1000</v>
      </c>
    </row>
    <row r="64" spans="1:10" ht="19.95" customHeight="1" x14ac:dyDescent="0.3">
      <c r="A64" s="42">
        <v>250081</v>
      </c>
      <c r="B64" s="42">
        <v>304</v>
      </c>
      <c r="C64" s="43">
        <v>0.6</v>
      </c>
      <c r="D64" s="43" t="s">
        <v>11</v>
      </c>
      <c r="E64" s="37" t="s">
        <v>239</v>
      </c>
      <c r="F64" s="42" t="s">
        <v>45</v>
      </c>
      <c r="G64" s="42">
        <v>430</v>
      </c>
      <c r="H64" s="41">
        <v>500</v>
      </c>
      <c r="I64" s="46">
        <v>423</v>
      </c>
      <c r="J64" s="41">
        <f t="shared" si="4"/>
        <v>77</v>
      </c>
    </row>
    <row r="65" spans="1:10" ht="19.95" customHeight="1" x14ac:dyDescent="0.3">
      <c r="A65" s="42">
        <v>250078</v>
      </c>
      <c r="B65" s="42">
        <v>304</v>
      </c>
      <c r="C65" s="43">
        <v>0.7</v>
      </c>
      <c r="D65" s="43" t="s">
        <v>11</v>
      </c>
      <c r="E65" s="37" t="s">
        <v>240</v>
      </c>
      <c r="F65" s="42" t="s">
        <v>13</v>
      </c>
      <c r="G65" s="42">
        <v>304</v>
      </c>
      <c r="H65" s="23">
        <v>775</v>
      </c>
      <c r="I65" s="24"/>
      <c r="J65" s="23">
        <f>H65-I65</f>
        <v>775</v>
      </c>
    </row>
    <row r="66" spans="1:10" ht="19.95" customHeight="1" x14ac:dyDescent="0.3">
      <c r="A66" s="42">
        <v>250078</v>
      </c>
      <c r="B66" s="42">
        <v>304</v>
      </c>
      <c r="C66" s="43">
        <v>1</v>
      </c>
      <c r="D66" s="43" t="s">
        <v>11</v>
      </c>
      <c r="E66" s="37" t="s">
        <v>241</v>
      </c>
      <c r="F66" s="42" t="s">
        <v>13</v>
      </c>
      <c r="G66" s="42">
        <v>304</v>
      </c>
      <c r="H66" s="23">
        <v>15</v>
      </c>
      <c r="I66" s="24"/>
      <c r="J66" s="23">
        <f>H66-I66</f>
        <v>15</v>
      </c>
    </row>
    <row r="67" spans="1:10" ht="28.2" customHeight="1" x14ac:dyDescent="0.3">
      <c r="A67" s="42">
        <v>250081</v>
      </c>
      <c r="B67" s="42">
        <v>304</v>
      </c>
      <c r="C67" s="43">
        <v>0.6</v>
      </c>
      <c r="D67" s="43" t="s">
        <v>11</v>
      </c>
      <c r="E67" s="66" t="s">
        <v>255</v>
      </c>
      <c r="F67" s="42" t="s">
        <v>45</v>
      </c>
      <c r="G67" s="42">
        <v>430</v>
      </c>
      <c r="H67" s="23">
        <v>400</v>
      </c>
      <c r="I67" s="24"/>
      <c r="J67" s="23">
        <f t="shared" ref="J67:J71" si="5">H67-I67</f>
        <v>400</v>
      </c>
    </row>
    <row r="68" spans="1:10" ht="19.95" customHeight="1" x14ac:dyDescent="0.3">
      <c r="A68" s="42">
        <v>250084</v>
      </c>
      <c r="B68" s="42">
        <v>304</v>
      </c>
      <c r="C68" s="43">
        <v>0.7</v>
      </c>
      <c r="D68" s="43" t="s">
        <v>11</v>
      </c>
      <c r="E68" s="37" t="s">
        <v>256</v>
      </c>
      <c r="F68" s="42" t="s">
        <v>45</v>
      </c>
      <c r="G68" s="42">
        <v>304</v>
      </c>
      <c r="H68" s="23">
        <v>715</v>
      </c>
      <c r="I68" s="24"/>
      <c r="J68" s="23">
        <f t="shared" si="5"/>
        <v>715</v>
      </c>
    </row>
    <row r="69" spans="1:10" ht="27.6" customHeight="1" x14ac:dyDescent="0.3">
      <c r="A69" s="42">
        <v>250084</v>
      </c>
      <c r="B69" s="42">
        <v>304</v>
      </c>
      <c r="C69" s="43">
        <v>1</v>
      </c>
      <c r="D69" s="43" t="s">
        <v>11</v>
      </c>
      <c r="E69" s="66" t="s">
        <v>257</v>
      </c>
      <c r="F69" s="42" t="s">
        <v>45</v>
      </c>
      <c r="G69" s="42">
        <v>304</v>
      </c>
      <c r="H69" s="23">
        <v>15</v>
      </c>
      <c r="I69" s="24"/>
      <c r="J69" s="23">
        <f t="shared" si="5"/>
        <v>15</v>
      </c>
    </row>
    <row r="70" spans="1:10" ht="19.95" customHeight="1" x14ac:dyDescent="0.3">
      <c r="A70" s="42">
        <v>250084</v>
      </c>
      <c r="B70" s="42">
        <v>304</v>
      </c>
      <c r="C70" s="43">
        <v>0.7</v>
      </c>
      <c r="D70" s="43" t="s">
        <v>11</v>
      </c>
      <c r="E70" s="37" t="s">
        <v>258</v>
      </c>
      <c r="F70" s="42" t="s">
        <v>45</v>
      </c>
      <c r="G70" s="42">
        <v>304</v>
      </c>
      <c r="H70" s="23">
        <v>715</v>
      </c>
      <c r="I70" s="24"/>
      <c r="J70" s="23">
        <f t="shared" si="5"/>
        <v>715</v>
      </c>
    </row>
    <row r="71" spans="1:10" ht="31.2" customHeight="1" x14ac:dyDescent="0.3">
      <c r="A71" s="42">
        <v>250084</v>
      </c>
      <c r="B71" s="42">
        <v>304</v>
      </c>
      <c r="C71" s="43">
        <v>1</v>
      </c>
      <c r="D71" s="43" t="s">
        <v>11</v>
      </c>
      <c r="E71" s="66" t="s">
        <v>259</v>
      </c>
      <c r="F71" s="42" t="s">
        <v>45</v>
      </c>
      <c r="G71" s="42">
        <v>304</v>
      </c>
      <c r="H71" s="23">
        <v>15</v>
      </c>
      <c r="I71" s="24"/>
      <c r="J71" s="23">
        <f t="shared" si="5"/>
        <v>15</v>
      </c>
    </row>
    <row r="72" spans="1:10" ht="19.95" customHeight="1" x14ac:dyDescent="0.3">
      <c r="A72" s="42"/>
      <c r="B72" s="42"/>
      <c r="C72" s="43"/>
      <c r="D72" s="43"/>
      <c r="E72" s="37"/>
      <c r="F72" s="42"/>
      <c r="G72" s="42"/>
      <c r="H72" s="41"/>
      <c r="I72" s="46"/>
      <c r="J72" s="41">
        <f t="shared" si="4"/>
        <v>0</v>
      </c>
    </row>
    <row r="73" spans="1:10" ht="19.95" customHeight="1" x14ac:dyDescent="0.3">
      <c r="A73" s="78"/>
      <c r="B73" s="78"/>
      <c r="C73" s="78"/>
      <c r="D73" s="78"/>
      <c r="E73" s="48"/>
      <c r="F73" s="78"/>
      <c r="G73" s="49"/>
      <c r="H73" s="41">
        <f>SUM(H61:H72)</f>
        <v>6150</v>
      </c>
      <c r="I73" s="46">
        <f>SUM(I61:I72)</f>
        <v>423</v>
      </c>
      <c r="J73" s="41">
        <f>SUM(J61:J72)</f>
        <v>5727</v>
      </c>
    </row>
    <row r="74" spans="1:10" ht="19.95" customHeight="1" x14ac:dyDescent="0.3">
      <c r="A74" s="79"/>
      <c r="B74" s="79"/>
      <c r="C74" s="79"/>
      <c r="D74" s="79"/>
      <c r="E74" s="56"/>
      <c r="F74" s="79"/>
      <c r="G74" s="79"/>
      <c r="H74" s="57"/>
      <c r="I74" s="58"/>
      <c r="J74" s="57"/>
    </row>
    <row r="75" spans="1:10" ht="30" customHeight="1" x14ac:dyDescent="0.3">
      <c r="A75" s="100" t="s">
        <v>23</v>
      </c>
      <c r="B75" s="100"/>
      <c r="C75" s="100"/>
      <c r="D75" s="100"/>
      <c r="E75" s="100"/>
      <c r="F75" s="100"/>
      <c r="G75" s="100"/>
      <c r="H75" s="100"/>
      <c r="I75" s="100"/>
      <c r="J75" s="100"/>
    </row>
    <row r="76" spans="1:10" ht="30" customHeight="1" x14ac:dyDescent="0.3">
      <c r="A76" s="42" t="s">
        <v>1</v>
      </c>
      <c r="B76" s="42" t="s">
        <v>2</v>
      </c>
      <c r="C76" s="54" t="s">
        <v>3</v>
      </c>
      <c r="D76" s="54" t="s">
        <v>4</v>
      </c>
      <c r="E76" s="42" t="s">
        <v>5</v>
      </c>
      <c r="F76" s="54" t="s">
        <v>6</v>
      </c>
      <c r="G76" s="54" t="s">
        <v>7</v>
      </c>
      <c r="H76" s="42" t="s">
        <v>8</v>
      </c>
      <c r="I76" s="42" t="s">
        <v>9</v>
      </c>
      <c r="J76" s="42" t="s">
        <v>10</v>
      </c>
    </row>
    <row r="77" spans="1:10" ht="19.95" customHeight="1" x14ac:dyDescent="0.3">
      <c r="A77" s="42">
        <v>151025</v>
      </c>
      <c r="B77" s="42">
        <v>304</v>
      </c>
      <c r="C77" s="43">
        <v>0.7</v>
      </c>
      <c r="D77" s="43" t="s">
        <v>55</v>
      </c>
      <c r="E77" s="37" t="s">
        <v>244</v>
      </c>
      <c r="F77" s="42" t="s">
        <v>45</v>
      </c>
      <c r="G77" s="42">
        <v>430</v>
      </c>
      <c r="H77" s="41">
        <v>1000</v>
      </c>
      <c r="I77" s="46"/>
      <c r="J77" s="23">
        <f t="shared" ref="J77:J82" si="6">H77-I77</f>
        <v>1000</v>
      </c>
    </row>
    <row r="78" spans="1:10" ht="19.95" customHeight="1" x14ac:dyDescent="0.3">
      <c r="A78" s="42">
        <v>250081</v>
      </c>
      <c r="B78" s="42">
        <v>304</v>
      </c>
      <c r="C78" s="43">
        <v>0.6</v>
      </c>
      <c r="D78" s="43" t="s">
        <v>11</v>
      </c>
      <c r="E78" s="37" t="s">
        <v>245</v>
      </c>
      <c r="F78" s="42" t="s">
        <v>45</v>
      </c>
      <c r="G78" s="42">
        <v>430</v>
      </c>
      <c r="H78" s="23">
        <v>500</v>
      </c>
      <c r="I78" s="24"/>
      <c r="J78" s="23">
        <f t="shared" si="6"/>
        <v>500</v>
      </c>
    </row>
    <row r="79" spans="1:10" ht="19.95" customHeight="1" x14ac:dyDescent="0.3">
      <c r="A79" s="42">
        <v>250081</v>
      </c>
      <c r="B79" s="42">
        <v>304</v>
      </c>
      <c r="C79" s="43">
        <v>0.6</v>
      </c>
      <c r="D79" s="43" t="s">
        <v>96</v>
      </c>
      <c r="E79" s="37" t="s">
        <v>242</v>
      </c>
      <c r="F79" s="42" t="s">
        <v>45</v>
      </c>
      <c r="G79" s="42">
        <v>430</v>
      </c>
      <c r="H79" s="41">
        <v>600</v>
      </c>
      <c r="I79" s="24"/>
      <c r="J79" s="23">
        <f>H79-I79</f>
        <v>600</v>
      </c>
    </row>
    <row r="80" spans="1:10" ht="19.95" customHeight="1" x14ac:dyDescent="0.3">
      <c r="A80" s="42">
        <v>250082</v>
      </c>
      <c r="B80" s="42">
        <v>430</v>
      </c>
      <c r="C80" s="43">
        <v>0.6</v>
      </c>
      <c r="D80" s="43" t="s">
        <v>96</v>
      </c>
      <c r="E80" s="37" t="s">
        <v>243</v>
      </c>
      <c r="F80" s="42" t="s">
        <v>13</v>
      </c>
      <c r="G80" s="42">
        <v>430</v>
      </c>
      <c r="H80" s="23">
        <v>1000</v>
      </c>
      <c r="I80" s="46"/>
      <c r="J80" s="41">
        <f>H80-I80</f>
        <v>1000</v>
      </c>
    </row>
    <row r="81" spans="1:10" ht="19.95" customHeight="1" x14ac:dyDescent="0.3">
      <c r="A81" s="42">
        <v>250078</v>
      </c>
      <c r="B81" s="42">
        <v>304</v>
      </c>
      <c r="C81" s="43">
        <v>0.7</v>
      </c>
      <c r="D81" s="43" t="s">
        <v>11</v>
      </c>
      <c r="E81" s="37" t="s">
        <v>224</v>
      </c>
      <c r="F81" s="42" t="s">
        <v>13</v>
      </c>
      <c r="G81" s="42">
        <v>304</v>
      </c>
      <c r="H81" s="41">
        <v>131</v>
      </c>
      <c r="I81" s="46"/>
      <c r="J81" s="41">
        <f t="shared" si="6"/>
        <v>131</v>
      </c>
    </row>
    <row r="82" spans="1:10" ht="19.95" customHeight="1" x14ac:dyDescent="0.3">
      <c r="A82" s="42"/>
      <c r="B82" s="42"/>
      <c r="C82" s="43"/>
      <c r="D82" s="43"/>
      <c r="E82" s="37"/>
      <c r="F82" s="42"/>
      <c r="G82" s="42"/>
      <c r="H82" s="41"/>
      <c r="I82" s="46"/>
      <c r="J82" s="41">
        <f t="shared" si="6"/>
        <v>0</v>
      </c>
    </row>
    <row r="83" spans="1:10" ht="19.95" customHeight="1" x14ac:dyDescent="0.3">
      <c r="A83" s="101"/>
      <c r="B83" s="101"/>
      <c r="C83" s="101"/>
      <c r="D83" s="101"/>
      <c r="E83" s="101"/>
      <c r="F83" s="101"/>
      <c r="G83" s="101"/>
      <c r="H83" s="41">
        <f>SUM(H77:H82)</f>
        <v>3231</v>
      </c>
      <c r="I83" s="46">
        <f>SUM(I77:I82)</f>
        <v>0</v>
      </c>
      <c r="J83" s="41">
        <f>SUM(J77:J82)</f>
        <v>3231</v>
      </c>
    </row>
    <row r="84" spans="1:10" x14ac:dyDescent="0.3">
      <c r="A84" s="102"/>
      <c r="B84" s="102"/>
      <c r="C84" s="102"/>
      <c r="D84" s="102"/>
      <c r="E84" s="102"/>
      <c r="F84" s="102"/>
      <c r="G84" s="102"/>
    </row>
    <row r="85" spans="1:10" ht="15.6" x14ac:dyDescent="0.3">
      <c r="H85" s="8">
        <f>H83+H73+H57+H36+H24+H8</f>
        <v>28711</v>
      </c>
      <c r="I85" s="8">
        <f>I83+I73+I57+I36+I24+I8</f>
        <v>7511</v>
      </c>
      <c r="J85" s="8">
        <f>J83+J73+J57+J36+J24+J8</f>
        <v>21200</v>
      </c>
    </row>
    <row r="87" spans="1:10" ht="23.4" x14ac:dyDescent="0.3">
      <c r="A87" s="95" t="s">
        <v>14</v>
      </c>
      <c r="B87" s="95"/>
      <c r="C87" s="95"/>
      <c r="D87" s="95"/>
      <c r="E87" s="95"/>
      <c r="F87" s="95"/>
      <c r="G87" s="95"/>
      <c r="H87" s="95"/>
      <c r="I87" s="95"/>
      <c r="J87" s="95"/>
    </row>
  </sheetData>
  <mergeCells count="11">
    <mergeCell ref="A26:J26"/>
    <mergeCell ref="H1:J1"/>
    <mergeCell ref="A2:J2"/>
    <mergeCell ref="A3:J3"/>
    <mergeCell ref="E5:E6"/>
    <mergeCell ref="A10:J10"/>
    <mergeCell ref="A38:J38"/>
    <mergeCell ref="A59:J59"/>
    <mergeCell ref="A75:J75"/>
    <mergeCell ref="A83:G84"/>
    <mergeCell ref="A87:J87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8"/>
  <sheetViews>
    <sheetView zoomScale="85" zoomScaleNormal="85" workbookViewId="0">
      <selection activeCell="L4" sqref="L4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2.886718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261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/>
      <c r="B5" s="42"/>
      <c r="C5" s="43"/>
      <c r="D5" s="43"/>
      <c r="E5" s="103" t="s">
        <v>223</v>
      </c>
      <c r="F5" s="42"/>
      <c r="G5" s="42"/>
      <c r="H5" s="23"/>
      <c r="I5" s="24"/>
      <c r="J5" s="23">
        <f t="shared" ref="J5:J7" si="0">H5-I5</f>
        <v>0</v>
      </c>
    </row>
    <row r="6" spans="1:10" ht="19.95" customHeight="1" x14ac:dyDescent="0.3">
      <c r="A6" s="42"/>
      <c r="B6" s="42"/>
      <c r="C6" s="43"/>
      <c r="D6" s="43"/>
      <c r="E6" s="104"/>
      <c r="F6" s="42"/>
      <c r="G6" s="42"/>
      <c r="H6" s="23"/>
      <c r="I6" s="24"/>
      <c r="J6" s="23">
        <f t="shared" si="0"/>
        <v>0</v>
      </c>
    </row>
    <row r="7" spans="1:10" ht="19.95" customHeight="1" x14ac:dyDescent="0.3">
      <c r="A7" s="42"/>
      <c r="B7" s="42"/>
      <c r="C7" s="43"/>
      <c r="D7" s="43"/>
      <c r="E7" s="37"/>
      <c r="F7" s="42"/>
      <c r="G7" s="42"/>
      <c r="H7" s="23"/>
      <c r="I7" s="24"/>
      <c r="J7" s="23">
        <f t="shared" si="0"/>
        <v>0</v>
      </c>
    </row>
    <row r="8" spans="1:10" ht="19.95" customHeight="1" x14ac:dyDescent="0.3">
      <c r="A8" s="81"/>
      <c r="B8" s="81"/>
      <c r="C8" s="81"/>
      <c r="D8" s="81"/>
      <c r="E8" s="48"/>
      <c r="F8" s="81"/>
      <c r="G8" s="49"/>
      <c r="H8" s="73">
        <f>SUM(H5:H7)</f>
        <v>0</v>
      </c>
      <c r="I8" s="74">
        <f>SUM(I5:I7)</f>
        <v>0</v>
      </c>
      <c r="J8" s="23">
        <f>SUM(J5:J7)</f>
        <v>0</v>
      </c>
    </row>
    <row r="9" spans="1:10" x14ac:dyDescent="0.3">
      <c r="A9" s="52"/>
      <c r="B9" s="52"/>
      <c r="C9" s="52"/>
      <c r="D9" s="52"/>
      <c r="E9" s="52"/>
      <c r="F9" s="53"/>
      <c r="G9" s="52"/>
      <c r="H9" s="52"/>
      <c r="I9" s="52"/>
      <c r="J9" s="52"/>
    </row>
    <row r="10" spans="1:10" ht="30" customHeight="1" x14ac:dyDescent="0.3">
      <c r="A10" s="100" t="s">
        <v>17</v>
      </c>
      <c r="B10" s="100"/>
      <c r="C10" s="100"/>
      <c r="D10" s="100"/>
      <c r="E10" s="100"/>
      <c r="F10" s="100"/>
      <c r="G10" s="100"/>
      <c r="H10" s="100"/>
      <c r="I10" s="100"/>
      <c r="J10" s="100"/>
    </row>
    <row r="11" spans="1:10" ht="30" customHeight="1" x14ac:dyDescent="0.3">
      <c r="A11" s="42" t="s">
        <v>1</v>
      </c>
      <c r="B11" s="42" t="s">
        <v>2</v>
      </c>
      <c r="C11" s="54" t="s">
        <v>3</v>
      </c>
      <c r="D11" s="54" t="s">
        <v>4</v>
      </c>
      <c r="E11" s="42" t="s">
        <v>5</v>
      </c>
      <c r="F11" s="54" t="s">
        <v>6</v>
      </c>
      <c r="G11" s="54" t="s">
        <v>7</v>
      </c>
      <c r="H11" s="42" t="s">
        <v>8</v>
      </c>
      <c r="I11" s="42" t="s">
        <v>9</v>
      </c>
      <c r="J11" s="42" t="s">
        <v>10</v>
      </c>
    </row>
    <row r="12" spans="1:10" ht="19.95" customHeight="1" x14ac:dyDescent="0.3">
      <c r="A12" s="38">
        <v>250057</v>
      </c>
      <c r="B12" s="38">
        <v>304</v>
      </c>
      <c r="C12" s="39">
        <v>0.7</v>
      </c>
      <c r="D12" s="39" t="s">
        <v>43</v>
      </c>
      <c r="E12" s="36" t="s">
        <v>169</v>
      </c>
      <c r="F12" s="38" t="s">
        <v>170</v>
      </c>
      <c r="G12" s="38">
        <v>304</v>
      </c>
      <c r="H12" s="32">
        <v>395</v>
      </c>
      <c r="I12" s="40">
        <f>53+350</f>
        <v>403</v>
      </c>
      <c r="J12" s="32">
        <f t="shared" ref="J12:J23" si="1">H12-I12</f>
        <v>-8</v>
      </c>
    </row>
    <row r="13" spans="1:10" ht="19.95" customHeight="1" x14ac:dyDescent="0.3">
      <c r="A13" s="38">
        <v>250061</v>
      </c>
      <c r="B13" s="38">
        <v>304</v>
      </c>
      <c r="C13" s="39">
        <v>0.7</v>
      </c>
      <c r="D13" s="39" t="s">
        <v>43</v>
      </c>
      <c r="E13" s="36" t="s">
        <v>169</v>
      </c>
      <c r="F13" s="38" t="s">
        <v>171</v>
      </c>
      <c r="G13" s="38">
        <v>304</v>
      </c>
      <c r="H13" s="32">
        <v>525</v>
      </c>
      <c r="I13" s="40">
        <v>542</v>
      </c>
      <c r="J13" s="32">
        <f t="shared" si="1"/>
        <v>-17</v>
      </c>
    </row>
    <row r="14" spans="1:10" ht="19.95" customHeight="1" x14ac:dyDescent="0.3">
      <c r="A14" s="38">
        <v>250079</v>
      </c>
      <c r="B14" s="38">
        <v>304</v>
      </c>
      <c r="C14" s="39">
        <v>0.7</v>
      </c>
      <c r="D14" s="39" t="s">
        <v>43</v>
      </c>
      <c r="E14" s="36" t="s">
        <v>192</v>
      </c>
      <c r="F14" s="38" t="s">
        <v>171</v>
      </c>
      <c r="G14" s="38">
        <v>304</v>
      </c>
      <c r="H14" s="32">
        <v>952</v>
      </c>
      <c r="I14" s="40">
        <v>977</v>
      </c>
      <c r="J14" s="32">
        <f t="shared" si="1"/>
        <v>-25</v>
      </c>
    </row>
    <row r="15" spans="1:10" ht="27.6" customHeight="1" x14ac:dyDescent="0.3">
      <c r="A15" s="38">
        <v>250079</v>
      </c>
      <c r="B15" s="38">
        <v>304</v>
      </c>
      <c r="C15" s="39">
        <v>1</v>
      </c>
      <c r="D15" s="39" t="s">
        <v>43</v>
      </c>
      <c r="E15" s="80" t="s">
        <v>195</v>
      </c>
      <c r="F15" s="38" t="s">
        <v>171</v>
      </c>
      <c r="G15" s="38">
        <v>304</v>
      </c>
      <c r="H15" s="32">
        <v>48</v>
      </c>
      <c r="I15" s="40">
        <v>48</v>
      </c>
      <c r="J15" s="32">
        <f t="shared" si="1"/>
        <v>0</v>
      </c>
    </row>
    <row r="16" spans="1:10" ht="19.95" customHeight="1" x14ac:dyDescent="0.3">
      <c r="A16" s="38">
        <v>250057</v>
      </c>
      <c r="B16" s="38">
        <v>304</v>
      </c>
      <c r="C16" s="39">
        <v>1</v>
      </c>
      <c r="D16" s="39" t="s">
        <v>43</v>
      </c>
      <c r="E16" s="36" t="s">
        <v>190</v>
      </c>
      <c r="F16" s="38" t="s">
        <v>170</v>
      </c>
      <c r="G16" s="38">
        <v>304</v>
      </c>
      <c r="H16" s="32">
        <v>15</v>
      </c>
      <c r="I16" s="40">
        <v>19</v>
      </c>
      <c r="J16" s="32">
        <f t="shared" si="1"/>
        <v>-4</v>
      </c>
    </row>
    <row r="17" spans="1:10" ht="19.95" customHeight="1" x14ac:dyDescent="0.3">
      <c r="A17" s="38">
        <v>250061</v>
      </c>
      <c r="B17" s="38">
        <v>304</v>
      </c>
      <c r="C17" s="39">
        <v>1</v>
      </c>
      <c r="D17" s="39" t="s">
        <v>43</v>
      </c>
      <c r="E17" s="36" t="s">
        <v>190</v>
      </c>
      <c r="F17" s="38" t="s">
        <v>171</v>
      </c>
      <c r="G17" s="38">
        <v>304</v>
      </c>
      <c r="H17" s="32">
        <v>15</v>
      </c>
      <c r="I17" s="40">
        <v>19</v>
      </c>
      <c r="J17" s="32">
        <f t="shared" si="1"/>
        <v>-4</v>
      </c>
    </row>
    <row r="18" spans="1:10" ht="19.95" customHeight="1" x14ac:dyDescent="0.3">
      <c r="A18" s="38">
        <v>21025</v>
      </c>
      <c r="B18" s="38">
        <v>304</v>
      </c>
      <c r="C18" s="39">
        <v>0.6</v>
      </c>
      <c r="D18" s="39" t="s">
        <v>55</v>
      </c>
      <c r="E18" s="36" t="s">
        <v>185</v>
      </c>
      <c r="F18" s="38" t="s">
        <v>45</v>
      </c>
      <c r="G18" s="38">
        <v>430</v>
      </c>
      <c r="H18" s="32">
        <v>1000</v>
      </c>
      <c r="I18" s="40">
        <v>1020</v>
      </c>
      <c r="J18" s="32">
        <f t="shared" si="1"/>
        <v>-20</v>
      </c>
    </row>
    <row r="19" spans="1:10" ht="19.95" customHeight="1" x14ac:dyDescent="0.3">
      <c r="A19" s="38">
        <v>250078</v>
      </c>
      <c r="B19" s="38">
        <v>304</v>
      </c>
      <c r="C19" s="39">
        <v>0.7</v>
      </c>
      <c r="D19" s="39" t="s">
        <v>11</v>
      </c>
      <c r="E19" s="36" t="s">
        <v>220</v>
      </c>
      <c r="F19" s="38" t="s">
        <v>13</v>
      </c>
      <c r="G19" s="38">
        <v>304</v>
      </c>
      <c r="H19" s="32">
        <v>775</v>
      </c>
      <c r="I19" s="40">
        <v>800</v>
      </c>
      <c r="J19" s="32">
        <f t="shared" si="1"/>
        <v>-25</v>
      </c>
    </row>
    <row r="20" spans="1:10" ht="19.95" customHeight="1" x14ac:dyDescent="0.3">
      <c r="A20" s="38">
        <v>250078</v>
      </c>
      <c r="B20" s="38">
        <v>304</v>
      </c>
      <c r="C20" s="39">
        <v>1</v>
      </c>
      <c r="D20" s="39" t="s">
        <v>11</v>
      </c>
      <c r="E20" s="36" t="s">
        <v>221</v>
      </c>
      <c r="F20" s="38" t="s">
        <v>13</v>
      </c>
      <c r="G20" s="38">
        <v>304</v>
      </c>
      <c r="H20" s="32">
        <v>15</v>
      </c>
      <c r="I20" s="40">
        <v>15</v>
      </c>
      <c r="J20" s="32">
        <f t="shared" si="1"/>
        <v>0</v>
      </c>
    </row>
    <row r="21" spans="1:10" ht="19.95" customHeight="1" x14ac:dyDescent="0.3">
      <c r="A21" s="38">
        <v>250078</v>
      </c>
      <c r="B21" s="38">
        <v>304</v>
      </c>
      <c r="C21" s="39">
        <v>0.7</v>
      </c>
      <c r="D21" s="39" t="s">
        <v>11</v>
      </c>
      <c r="E21" s="36" t="s">
        <v>214</v>
      </c>
      <c r="F21" s="38" t="s">
        <v>13</v>
      </c>
      <c r="G21" s="38">
        <v>304</v>
      </c>
      <c r="H21" s="32">
        <v>775</v>
      </c>
      <c r="I21" s="40">
        <v>775</v>
      </c>
      <c r="J21" s="32">
        <f t="shared" si="1"/>
        <v>0</v>
      </c>
    </row>
    <row r="22" spans="1:10" ht="19.95" customHeight="1" x14ac:dyDescent="0.3">
      <c r="A22" s="38">
        <v>250078</v>
      </c>
      <c r="B22" s="38">
        <v>304</v>
      </c>
      <c r="C22" s="39">
        <v>1</v>
      </c>
      <c r="D22" s="39" t="s">
        <v>11</v>
      </c>
      <c r="E22" s="36" t="s">
        <v>215</v>
      </c>
      <c r="F22" s="38" t="s">
        <v>13</v>
      </c>
      <c r="G22" s="38">
        <v>304</v>
      </c>
      <c r="H22" s="32">
        <v>15</v>
      </c>
      <c r="I22" s="40">
        <v>15</v>
      </c>
      <c r="J22" s="32">
        <f t="shared" si="1"/>
        <v>0</v>
      </c>
    </row>
    <row r="23" spans="1:10" ht="19.95" customHeight="1" x14ac:dyDescent="0.3">
      <c r="A23" s="42"/>
      <c r="B23" s="42"/>
      <c r="C23" s="43"/>
      <c r="D23" s="43"/>
      <c r="E23" s="37"/>
      <c r="F23" s="42"/>
      <c r="G23" s="42"/>
      <c r="H23" s="23"/>
      <c r="I23" s="24"/>
      <c r="J23" s="23">
        <f t="shared" si="1"/>
        <v>0</v>
      </c>
    </row>
    <row r="24" spans="1:10" ht="19.95" customHeight="1" x14ac:dyDescent="0.3">
      <c r="A24" s="81"/>
      <c r="B24" s="81"/>
      <c r="C24" s="81"/>
      <c r="D24" s="81"/>
      <c r="E24" s="48"/>
      <c r="F24" s="81"/>
      <c r="G24" s="49"/>
      <c r="H24" s="23">
        <f>SUM(H12:H23)</f>
        <v>4530</v>
      </c>
      <c r="I24" s="24">
        <f>SUM(I12:I23)</f>
        <v>4633</v>
      </c>
      <c r="J24" s="23">
        <f>SUM(J12:J23)</f>
        <v>-103</v>
      </c>
    </row>
    <row r="25" spans="1:10" x14ac:dyDescent="0.3">
      <c r="A25" s="52"/>
      <c r="B25" s="52"/>
      <c r="C25" s="52"/>
      <c r="D25" s="52"/>
      <c r="E25" s="52"/>
      <c r="F25" s="53"/>
      <c r="G25" s="52"/>
      <c r="H25" s="52"/>
      <c r="I25" s="52"/>
      <c r="J25" s="52"/>
    </row>
    <row r="26" spans="1:10" ht="30" customHeight="1" x14ac:dyDescent="0.3">
      <c r="A26" s="100" t="s">
        <v>18</v>
      </c>
      <c r="B26" s="100"/>
      <c r="C26" s="100"/>
      <c r="D26" s="100"/>
      <c r="E26" s="100"/>
      <c r="F26" s="100"/>
      <c r="G26" s="100"/>
      <c r="H26" s="100"/>
      <c r="I26" s="100"/>
      <c r="J26" s="100"/>
    </row>
    <row r="27" spans="1:10" ht="30" customHeight="1" x14ac:dyDescent="0.3">
      <c r="A27" s="42" t="s">
        <v>1</v>
      </c>
      <c r="B27" s="42" t="s">
        <v>2</v>
      </c>
      <c r="C27" s="54" t="s">
        <v>3</v>
      </c>
      <c r="D27" s="54" t="s">
        <v>4</v>
      </c>
      <c r="E27" s="42" t="s">
        <v>5</v>
      </c>
      <c r="F27" s="54" t="s">
        <v>6</v>
      </c>
      <c r="G27" s="54" t="s">
        <v>7</v>
      </c>
      <c r="H27" s="42" t="s">
        <v>8</v>
      </c>
      <c r="I27" s="42" t="s">
        <v>9</v>
      </c>
      <c r="J27" s="42" t="s">
        <v>10</v>
      </c>
    </row>
    <row r="28" spans="1:10" ht="19.95" customHeight="1" x14ac:dyDescent="0.3">
      <c r="A28" s="38">
        <v>250080</v>
      </c>
      <c r="B28" s="38">
        <v>304</v>
      </c>
      <c r="C28" s="39">
        <v>0.6</v>
      </c>
      <c r="D28" s="39" t="s">
        <v>11</v>
      </c>
      <c r="E28" s="36" t="s">
        <v>197</v>
      </c>
      <c r="F28" s="38" t="s">
        <v>13</v>
      </c>
      <c r="G28" s="38">
        <v>430</v>
      </c>
      <c r="H28" s="32">
        <v>300</v>
      </c>
      <c r="I28" s="40">
        <v>300</v>
      </c>
      <c r="J28" s="32">
        <f t="shared" ref="J28:J35" si="2">H28-I28</f>
        <v>0</v>
      </c>
    </row>
    <row r="29" spans="1:10" ht="19.95" customHeight="1" x14ac:dyDescent="0.3">
      <c r="A29" s="38">
        <v>250057</v>
      </c>
      <c r="B29" s="38">
        <v>304</v>
      </c>
      <c r="C29" s="39">
        <v>0.7</v>
      </c>
      <c r="D29" s="39" t="s">
        <v>55</v>
      </c>
      <c r="E29" s="36" t="s">
        <v>212</v>
      </c>
      <c r="F29" s="38" t="s">
        <v>52</v>
      </c>
      <c r="G29" s="38">
        <v>304</v>
      </c>
      <c r="H29" s="32">
        <v>395</v>
      </c>
      <c r="I29" s="40">
        <v>397</v>
      </c>
      <c r="J29" s="32">
        <f t="shared" si="2"/>
        <v>-2</v>
      </c>
    </row>
    <row r="30" spans="1:10" ht="19.95" customHeight="1" x14ac:dyDescent="0.3">
      <c r="A30" s="38">
        <v>250057</v>
      </c>
      <c r="B30" s="38">
        <v>304</v>
      </c>
      <c r="C30" s="39">
        <v>1</v>
      </c>
      <c r="D30" s="39" t="s">
        <v>55</v>
      </c>
      <c r="E30" s="36" t="s">
        <v>213</v>
      </c>
      <c r="F30" s="38" t="s">
        <v>52</v>
      </c>
      <c r="G30" s="38">
        <v>304</v>
      </c>
      <c r="H30" s="32">
        <v>15</v>
      </c>
      <c r="I30" s="40">
        <v>15</v>
      </c>
      <c r="J30" s="32">
        <f t="shared" si="2"/>
        <v>0</v>
      </c>
    </row>
    <row r="31" spans="1:10" ht="19.95" customHeight="1" x14ac:dyDescent="0.3">
      <c r="A31" s="38">
        <v>151025</v>
      </c>
      <c r="B31" s="38">
        <v>304</v>
      </c>
      <c r="C31" s="39">
        <v>0.7</v>
      </c>
      <c r="D31" s="39" t="s">
        <v>55</v>
      </c>
      <c r="E31" s="36" t="s">
        <v>227</v>
      </c>
      <c r="F31" s="38" t="s">
        <v>45</v>
      </c>
      <c r="G31" s="38">
        <v>430</v>
      </c>
      <c r="H31" s="32">
        <v>1000</v>
      </c>
      <c r="I31" s="40">
        <f>711+310</f>
        <v>1021</v>
      </c>
      <c r="J31" s="32">
        <f t="shared" si="2"/>
        <v>-21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186</v>
      </c>
      <c r="F32" s="42" t="s">
        <v>45</v>
      </c>
      <c r="G32" s="42">
        <v>430</v>
      </c>
      <c r="H32" s="23">
        <v>1000</v>
      </c>
      <c r="I32" s="24"/>
      <c r="J32" s="23">
        <f t="shared" si="2"/>
        <v>1000</v>
      </c>
    </row>
    <row r="33" spans="1:12" ht="19.95" customHeight="1" x14ac:dyDescent="0.3">
      <c r="A33" s="42">
        <v>151025</v>
      </c>
      <c r="B33" s="42">
        <v>304</v>
      </c>
      <c r="C33" s="43">
        <v>0.7</v>
      </c>
      <c r="D33" s="43" t="s">
        <v>55</v>
      </c>
      <c r="E33" s="37" t="s">
        <v>226</v>
      </c>
      <c r="F33" s="42" t="s">
        <v>45</v>
      </c>
      <c r="G33" s="42">
        <v>430</v>
      </c>
      <c r="H33" s="23">
        <v>1000</v>
      </c>
      <c r="I33" s="24"/>
      <c r="J33" s="23">
        <f t="shared" si="2"/>
        <v>1000</v>
      </c>
    </row>
    <row r="34" spans="1:12" ht="19.95" customHeight="1" x14ac:dyDescent="0.3">
      <c r="A34" s="42" t="s">
        <v>225</v>
      </c>
      <c r="B34" s="42">
        <v>304</v>
      </c>
      <c r="C34" s="43">
        <v>0.7</v>
      </c>
      <c r="D34" s="43" t="s">
        <v>55</v>
      </c>
      <c r="E34" s="37" t="s">
        <v>226</v>
      </c>
      <c r="F34" s="42" t="s">
        <v>45</v>
      </c>
      <c r="G34" s="42">
        <v>430</v>
      </c>
      <c r="H34" s="23">
        <v>1000</v>
      </c>
      <c r="I34" s="24"/>
      <c r="J34" s="23">
        <f t="shared" si="2"/>
        <v>1000</v>
      </c>
    </row>
    <row r="35" spans="1:12" ht="19.95" customHeight="1" x14ac:dyDescent="0.3">
      <c r="A35" s="42"/>
      <c r="B35" s="42"/>
      <c r="C35" s="43"/>
      <c r="D35" s="43"/>
      <c r="E35" s="37"/>
      <c r="F35" s="42"/>
      <c r="G35" s="42"/>
      <c r="H35" s="41"/>
      <c r="I35" s="46"/>
      <c r="J35" s="41">
        <f t="shared" si="2"/>
        <v>0</v>
      </c>
    </row>
    <row r="36" spans="1:12" ht="19.95" customHeight="1" x14ac:dyDescent="0.3">
      <c r="A36" s="81"/>
      <c r="B36" s="81"/>
      <c r="C36" s="81"/>
      <c r="D36" s="81"/>
      <c r="E36" s="48"/>
      <c r="F36" s="81"/>
      <c r="G36" s="49"/>
      <c r="H36" s="41">
        <f>SUM(H28:H35)</f>
        <v>4710</v>
      </c>
      <c r="I36" s="46">
        <f>SUM(I28:I35)</f>
        <v>1733</v>
      </c>
      <c r="J36" s="41">
        <f>SUM(J28:J35)</f>
        <v>2977</v>
      </c>
    </row>
    <row r="37" spans="1:12" x14ac:dyDescent="0.3">
      <c r="A37" s="52"/>
      <c r="B37" s="52"/>
      <c r="C37" s="52"/>
      <c r="D37" s="52"/>
      <c r="E37" s="52"/>
      <c r="F37" s="53"/>
      <c r="G37" s="52"/>
      <c r="H37" s="52"/>
      <c r="I37" s="52"/>
      <c r="J37" s="52"/>
    </row>
    <row r="38" spans="1:12" ht="30" customHeight="1" x14ac:dyDescent="0.3">
      <c r="A38" s="100" t="s">
        <v>20</v>
      </c>
      <c r="B38" s="100"/>
      <c r="C38" s="100"/>
      <c r="D38" s="100"/>
      <c r="E38" s="100"/>
      <c r="F38" s="100"/>
      <c r="G38" s="100"/>
      <c r="H38" s="100"/>
      <c r="I38" s="100"/>
      <c r="J38" s="100"/>
    </row>
    <row r="39" spans="1:12" ht="30" customHeight="1" x14ac:dyDescent="0.3">
      <c r="A39" s="42" t="s">
        <v>1</v>
      </c>
      <c r="B39" s="42" t="s">
        <v>2</v>
      </c>
      <c r="C39" s="54" t="s">
        <v>3</v>
      </c>
      <c r="D39" s="54" t="s">
        <v>4</v>
      </c>
      <c r="E39" s="42" t="s">
        <v>5</v>
      </c>
      <c r="F39" s="54" t="s">
        <v>6</v>
      </c>
      <c r="G39" s="54" t="s">
        <v>7</v>
      </c>
      <c r="H39" s="42" t="s">
        <v>8</v>
      </c>
      <c r="I39" s="42" t="s">
        <v>9</v>
      </c>
      <c r="J39" s="42" t="s">
        <v>10</v>
      </c>
    </row>
    <row r="40" spans="1:12" ht="19.95" customHeight="1" x14ac:dyDescent="0.3">
      <c r="A40" s="42">
        <v>250079</v>
      </c>
      <c r="B40" s="42">
        <v>304</v>
      </c>
      <c r="C40" s="43">
        <v>0.7</v>
      </c>
      <c r="D40" s="43" t="s">
        <v>11</v>
      </c>
      <c r="E40" s="37" t="s">
        <v>228</v>
      </c>
      <c r="F40" s="42" t="s">
        <v>41</v>
      </c>
      <c r="G40" s="42">
        <v>304</v>
      </c>
      <c r="H40" s="41">
        <v>964</v>
      </c>
      <c r="I40" s="46">
        <v>653</v>
      </c>
      <c r="J40" s="41">
        <f>H40-I40</f>
        <v>311</v>
      </c>
      <c r="K40" s="90"/>
      <c r="L40" s="90"/>
    </row>
    <row r="41" spans="1:12" ht="19.95" customHeight="1" x14ac:dyDescent="0.3">
      <c r="A41" s="42">
        <v>250079</v>
      </c>
      <c r="B41" s="42">
        <v>304</v>
      </c>
      <c r="C41" s="43">
        <v>1</v>
      </c>
      <c r="D41" s="43" t="s">
        <v>11</v>
      </c>
      <c r="E41" s="37" t="s">
        <v>229</v>
      </c>
      <c r="F41" s="42" t="s">
        <v>41</v>
      </c>
      <c r="G41" s="42">
        <v>304</v>
      </c>
      <c r="H41" s="41">
        <v>36</v>
      </c>
      <c r="I41" s="46"/>
      <c r="J41" s="41">
        <f>H41-I41</f>
        <v>36</v>
      </c>
    </row>
    <row r="42" spans="1:12" ht="19.95" customHeight="1" x14ac:dyDescent="0.3">
      <c r="A42" s="42">
        <v>250079</v>
      </c>
      <c r="B42" s="42">
        <v>304</v>
      </c>
      <c r="C42" s="43">
        <v>0.7</v>
      </c>
      <c r="D42" s="43" t="s">
        <v>11</v>
      </c>
      <c r="E42" s="37" t="s">
        <v>231</v>
      </c>
      <c r="F42" s="42" t="s">
        <v>41</v>
      </c>
      <c r="G42" s="42">
        <v>304</v>
      </c>
      <c r="H42" s="41">
        <v>1314</v>
      </c>
      <c r="I42" s="46"/>
      <c r="J42" s="41">
        <f>H42-I42</f>
        <v>1314</v>
      </c>
    </row>
    <row r="43" spans="1:12" ht="19.95" customHeight="1" x14ac:dyDescent="0.3">
      <c r="A43" s="42">
        <v>250079</v>
      </c>
      <c r="B43" s="42">
        <v>304</v>
      </c>
      <c r="C43" s="43">
        <v>1</v>
      </c>
      <c r="D43" s="43" t="s">
        <v>11</v>
      </c>
      <c r="E43" s="37" t="s">
        <v>230</v>
      </c>
      <c r="F43" s="42" t="s">
        <v>41</v>
      </c>
      <c r="G43" s="42">
        <v>304</v>
      </c>
      <c r="H43" s="41">
        <v>36</v>
      </c>
      <c r="I43" s="46"/>
      <c r="J43" s="41">
        <f t="shared" ref="J43:J56" si="3">H43-I43</f>
        <v>36</v>
      </c>
    </row>
    <row r="44" spans="1:12" ht="19.95" customHeight="1" x14ac:dyDescent="0.3">
      <c r="A44" s="42">
        <v>250080</v>
      </c>
      <c r="B44" s="42">
        <v>304</v>
      </c>
      <c r="C44" s="43">
        <v>0.7</v>
      </c>
      <c r="D44" s="43" t="s">
        <v>11</v>
      </c>
      <c r="E44" s="37" t="s">
        <v>232</v>
      </c>
      <c r="F44" s="42" t="s">
        <v>41</v>
      </c>
      <c r="G44" s="42">
        <v>430</v>
      </c>
      <c r="H44" s="41">
        <v>1000</v>
      </c>
      <c r="I44" s="46"/>
      <c r="J44" s="41">
        <f t="shared" si="3"/>
        <v>1000</v>
      </c>
    </row>
    <row r="45" spans="1:12" ht="19.95" customHeight="1" x14ac:dyDescent="0.3">
      <c r="A45" s="42">
        <v>250079</v>
      </c>
      <c r="B45" s="42">
        <v>304</v>
      </c>
      <c r="C45" s="43">
        <v>0.7</v>
      </c>
      <c r="D45" s="43" t="s">
        <v>11</v>
      </c>
      <c r="E45" s="37" t="s">
        <v>233</v>
      </c>
      <c r="F45" s="42" t="s">
        <v>41</v>
      </c>
      <c r="G45" s="42">
        <v>304</v>
      </c>
      <c r="H45" s="41">
        <v>1314</v>
      </c>
      <c r="I45" s="46"/>
      <c r="J45" s="41">
        <f t="shared" si="3"/>
        <v>1314</v>
      </c>
    </row>
    <row r="46" spans="1:12" ht="19.95" customHeight="1" x14ac:dyDescent="0.3">
      <c r="A46" s="42">
        <v>250079</v>
      </c>
      <c r="B46" s="42">
        <v>304</v>
      </c>
      <c r="C46" s="43">
        <v>1</v>
      </c>
      <c r="D46" s="43" t="s">
        <v>11</v>
      </c>
      <c r="E46" s="37" t="s">
        <v>234</v>
      </c>
      <c r="F46" s="42" t="s">
        <v>41</v>
      </c>
      <c r="G46" s="42">
        <v>304</v>
      </c>
      <c r="H46" s="41">
        <v>36</v>
      </c>
      <c r="I46" s="46"/>
      <c r="J46" s="41">
        <f t="shared" si="3"/>
        <v>36</v>
      </c>
    </row>
    <row r="47" spans="1:12" ht="19.95" customHeight="1" x14ac:dyDescent="0.3">
      <c r="A47" s="42">
        <v>250080</v>
      </c>
      <c r="B47" s="42">
        <v>304</v>
      </c>
      <c r="C47" s="43">
        <v>0.7</v>
      </c>
      <c r="D47" s="43" t="s">
        <v>11</v>
      </c>
      <c r="E47" s="37" t="s">
        <v>235</v>
      </c>
      <c r="F47" s="42" t="s">
        <v>41</v>
      </c>
      <c r="G47" s="42">
        <v>430</v>
      </c>
      <c r="H47" s="41">
        <v>1200</v>
      </c>
      <c r="I47" s="46"/>
      <c r="J47" s="41">
        <f t="shared" si="3"/>
        <v>1200</v>
      </c>
    </row>
    <row r="48" spans="1:12" ht="19.95" customHeight="1" x14ac:dyDescent="0.3">
      <c r="A48" s="38">
        <v>250084</v>
      </c>
      <c r="B48" s="38">
        <v>304</v>
      </c>
      <c r="C48" s="39">
        <v>0.7</v>
      </c>
      <c r="D48" s="38" t="s">
        <v>11</v>
      </c>
      <c r="E48" s="80" t="s">
        <v>246</v>
      </c>
      <c r="F48" s="38" t="s">
        <v>45</v>
      </c>
      <c r="G48" s="38">
        <v>304</v>
      </c>
      <c r="H48" s="32">
        <v>715</v>
      </c>
      <c r="I48" s="40">
        <v>722</v>
      </c>
      <c r="J48" s="32">
        <f t="shared" si="3"/>
        <v>-7</v>
      </c>
    </row>
    <row r="49" spans="1:10" ht="27" customHeight="1" x14ac:dyDescent="0.3">
      <c r="A49" s="38">
        <v>250084</v>
      </c>
      <c r="B49" s="38">
        <v>304</v>
      </c>
      <c r="C49" s="39" t="s">
        <v>248</v>
      </c>
      <c r="D49" s="38" t="s">
        <v>11</v>
      </c>
      <c r="E49" s="80" t="s">
        <v>247</v>
      </c>
      <c r="F49" s="38" t="s">
        <v>45</v>
      </c>
      <c r="G49" s="38">
        <v>304</v>
      </c>
      <c r="H49" s="32">
        <v>15</v>
      </c>
      <c r="I49" s="40">
        <v>15</v>
      </c>
      <c r="J49" s="32">
        <f t="shared" si="3"/>
        <v>0</v>
      </c>
    </row>
    <row r="50" spans="1:10" ht="19.95" customHeight="1" x14ac:dyDescent="0.3">
      <c r="A50" s="42">
        <v>250084</v>
      </c>
      <c r="B50" s="42">
        <v>304</v>
      </c>
      <c r="C50" s="43">
        <v>0.7</v>
      </c>
      <c r="D50" s="4" t="s">
        <v>11</v>
      </c>
      <c r="E50" s="37" t="s">
        <v>249</v>
      </c>
      <c r="F50" s="42" t="s">
        <v>45</v>
      </c>
      <c r="G50" s="42">
        <v>304</v>
      </c>
      <c r="H50" s="41">
        <v>715</v>
      </c>
      <c r="I50" s="46"/>
      <c r="J50" s="41">
        <f t="shared" si="3"/>
        <v>715</v>
      </c>
    </row>
    <row r="51" spans="1:10" ht="27" customHeight="1" x14ac:dyDescent="0.3">
      <c r="A51" s="42">
        <v>250084</v>
      </c>
      <c r="B51" s="42">
        <v>304</v>
      </c>
      <c r="C51" s="43" t="s">
        <v>248</v>
      </c>
      <c r="D51" s="4" t="s">
        <v>11</v>
      </c>
      <c r="E51" s="66" t="s">
        <v>250</v>
      </c>
      <c r="F51" s="42" t="s">
        <v>45</v>
      </c>
      <c r="G51" s="42">
        <v>304</v>
      </c>
      <c r="H51" s="41">
        <v>15</v>
      </c>
      <c r="I51" s="46"/>
      <c r="J51" s="41">
        <f t="shared" si="3"/>
        <v>15</v>
      </c>
    </row>
    <row r="52" spans="1:10" ht="19.95" customHeight="1" x14ac:dyDescent="0.3">
      <c r="A52" s="42">
        <v>250084</v>
      </c>
      <c r="B52" s="42">
        <v>304</v>
      </c>
      <c r="C52" s="43">
        <v>0.7</v>
      </c>
      <c r="D52" s="4" t="s">
        <v>11</v>
      </c>
      <c r="E52" s="37" t="s">
        <v>251</v>
      </c>
      <c r="F52" s="42" t="s">
        <v>45</v>
      </c>
      <c r="G52" s="42">
        <v>304</v>
      </c>
      <c r="H52" s="41">
        <v>715</v>
      </c>
      <c r="I52" s="46"/>
      <c r="J52" s="41">
        <f t="shared" si="3"/>
        <v>715</v>
      </c>
    </row>
    <row r="53" spans="1:10" ht="27" customHeight="1" x14ac:dyDescent="0.3">
      <c r="A53" s="42">
        <v>250084</v>
      </c>
      <c r="B53" s="42">
        <v>304</v>
      </c>
      <c r="C53" s="43" t="s">
        <v>248</v>
      </c>
      <c r="D53" s="4" t="s">
        <v>11</v>
      </c>
      <c r="E53" s="66" t="s">
        <v>252</v>
      </c>
      <c r="F53" s="42" t="s">
        <v>45</v>
      </c>
      <c r="G53" s="42">
        <v>304</v>
      </c>
      <c r="H53" s="41">
        <v>15</v>
      </c>
      <c r="I53" s="46"/>
      <c r="J53" s="41">
        <f t="shared" si="3"/>
        <v>15</v>
      </c>
    </row>
    <row r="54" spans="1:10" ht="19.95" customHeight="1" x14ac:dyDescent="0.3">
      <c r="A54" s="42">
        <v>250082</v>
      </c>
      <c r="B54" s="42">
        <v>430</v>
      </c>
      <c r="C54" s="43">
        <v>0.6</v>
      </c>
      <c r="D54" s="43" t="s">
        <v>11</v>
      </c>
      <c r="E54" s="37" t="s">
        <v>253</v>
      </c>
      <c r="F54" s="42" t="s">
        <v>13</v>
      </c>
      <c r="G54" s="42">
        <v>430</v>
      </c>
      <c r="H54" s="41">
        <v>1000</v>
      </c>
      <c r="I54" s="46"/>
      <c r="J54" s="41">
        <f t="shared" si="3"/>
        <v>1000</v>
      </c>
    </row>
    <row r="55" spans="1:10" ht="19.95" customHeight="1" x14ac:dyDescent="0.3">
      <c r="A55" s="42">
        <v>250082</v>
      </c>
      <c r="B55" s="42">
        <v>430</v>
      </c>
      <c r="C55" s="43">
        <v>0.6</v>
      </c>
      <c r="D55" s="43" t="s">
        <v>11</v>
      </c>
      <c r="E55" s="37" t="s">
        <v>254</v>
      </c>
      <c r="F55" s="42" t="s">
        <v>13</v>
      </c>
      <c r="G55" s="42">
        <v>430</v>
      </c>
      <c r="H55" s="41">
        <v>1000</v>
      </c>
      <c r="I55" s="46"/>
      <c r="J55" s="41">
        <f t="shared" si="3"/>
        <v>1000</v>
      </c>
    </row>
    <row r="56" spans="1:10" ht="19.95" customHeight="1" x14ac:dyDescent="0.3">
      <c r="A56" s="42"/>
      <c r="B56" s="42"/>
      <c r="C56" s="43"/>
      <c r="D56" s="43"/>
      <c r="E56" s="37"/>
      <c r="F56" s="42"/>
      <c r="G56" s="42"/>
      <c r="H56" s="41"/>
      <c r="I56" s="46"/>
      <c r="J56" s="41">
        <f t="shared" si="3"/>
        <v>0</v>
      </c>
    </row>
    <row r="57" spans="1:10" ht="19.95" customHeight="1" x14ac:dyDescent="0.3">
      <c r="A57" s="81"/>
      <c r="B57" s="81"/>
      <c r="C57" s="81"/>
      <c r="D57" s="81"/>
      <c r="E57" s="48"/>
      <c r="F57" s="81"/>
      <c r="G57" s="49"/>
      <c r="H57" s="41">
        <f>SUM(H40:H56)</f>
        <v>10090</v>
      </c>
      <c r="I57" s="46">
        <f>SUM(I40:I56)</f>
        <v>1390</v>
      </c>
      <c r="J57" s="41">
        <f>SUM(J40:J56)</f>
        <v>8700</v>
      </c>
    </row>
    <row r="58" spans="1:10" ht="19.95" customHeight="1" x14ac:dyDescent="0.3">
      <c r="A58" s="82"/>
      <c r="B58" s="82"/>
      <c r="C58" s="82"/>
      <c r="D58" s="82"/>
      <c r="E58" s="56"/>
      <c r="F58" s="82"/>
      <c r="G58" s="82"/>
      <c r="H58" s="57"/>
      <c r="I58" s="58"/>
      <c r="J58" s="57"/>
    </row>
    <row r="59" spans="1:10" ht="30" customHeight="1" x14ac:dyDescent="0.3">
      <c r="A59" s="100" t="s">
        <v>19</v>
      </c>
      <c r="B59" s="100"/>
      <c r="C59" s="100"/>
      <c r="D59" s="100"/>
      <c r="E59" s="100"/>
      <c r="F59" s="100"/>
      <c r="G59" s="100"/>
      <c r="H59" s="100"/>
      <c r="I59" s="100"/>
      <c r="J59" s="100"/>
    </row>
    <row r="60" spans="1:10" ht="30" customHeight="1" x14ac:dyDescent="0.3">
      <c r="A60" s="42" t="s">
        <v>1</v>
      </c>
      <c r="B60" s="42" t="s">
        <v>2</v>
      </c>
      <c r="C60" s="54" t="s">
        <v>3</v>
      </c>
      <c r="D60" s="54" t="s">
        <v>4</v>
      </c>
      <c r="E60" s="42" t="s">
        <v>5</v>
      </c>
      <c r="F60" s="54" t="s">
        <v>6</v>
      </c>
      <c r="G60" s="54" t="s">
        <v>7</v>
      </c>
      <c r="H60" s="42" t="s">
        <v>8</v>
      </c>
      <c r="I60" s="42" t="s">
        <v>9</v>
      </c>
      <c r="J60" s="42" t="s">
        <v>10</v>
      </c>
    </row>
    <row r="61" spans="1:10" ht="19.95" customHeight="1" x14ac:dyDescent="0.3">
      <c r="A61" s="42" t="s">
        <v>225</v>
      </c>
      <c r="B61" s="42">
        <v>304</v>
      </c>
      <c r="C61" s="43">
        <v>0.7</v>
      </c>
      <c r="D61" s="43" t="s">
        <v>55</v>
      </c>
      <c r="E61" s="37" t="s">
        <v>236</v>
      </c>
      <c r="F61" s="42" t="s">
        <v>45</v>
      </c>
      <c r="G61" s="42">
        <v>430</v>
      </c>
      <c r="H61" s="23">
        <v>1000</v>
      </c>
      <c r="I61" s="24"/>
      <c r="J61" s="23">
        <f t="shared" ref="J61:J72" si="4">H61-I61</f>
        <v>1000</v>
      </c>
    </row>
    <row r="62" spans="1:10" ht="19.95" customHeight="1" x14ac:dyDescent="0.3">
      <c r="A62" s="42" t="s">
        <v>225</v>
      </c>
      <c r="B62" s="42">
        <v>304</v>
      </c>
      <c r="C62" s="43">
        <v>0.7</v>
      </c>
      <c r="D62" s="43" t="s">
        <v>55</v>
      </c>
      <c r="E62" s="37" t="s">
        <v>237</v>
      </c>
      <c r="F62" s="42" t="s">
        <v>45</v>
      </c>
      <c r="G62" s="42">
        <v>430</v>
      </c>
      <c r="H62" s="23">
        <v>1000</v>
      </c>
      <c r="I62" s="46"/>
      <c r="J62" s="41">
        <f t="shared" si="4"/>
        <v>1000</v>
      </c>
    </row>
    <row r="63" spans="1:10" ht="19.95" customHeight="1" x14ac:dyDescent="0.3">
      <c r="A63" s="38">
        <v>151025</v>
      </c>
      <c r="B63" s="38">
        <v>304</v>
      </c>
      <c r="C63" s="39">
        <v>0.7</v>
      </c>
      <c r="D63" s="39" t="s">
        <v>55</v>
      </c>
      <c r="E63" s="36" t="s">
        <v>238</v>
      </c>
      <c r="F63" s="38" t="s">
        <v>45</v>
      </c>
      <c r="G63" s="38">
        <v>430</v>
      </c>
      <c r="H63" s="32">
        <v>1000</v>
      </c>
      <c r="I63" s="40">
        <v>1022</v>
      </c>
      <c r="J63" s="32">
        <f t="shared" si="4"/>
        <v>-22</v>
      </c>
    </row>
    <row r="64" spans="1:10" ht="19.95" customHeight="1" x14ac:dyDescent="0.3">
      <c r="A64" s="83">
        <v>250081</v>
      </c>
      <c r="B64" s="83">
        <v>304</v>
      </c>
      <c r="C64" s="84">
        <v>0.6</v>
      </c>
      <c r="D64" s="84" t="s">
        <v>11</v>
      </c>
      <c r="E64" s="85" t="s">
        <v>239</v>
      </c>
      <c r="F64" s="83" t="s">
        <v>45</v>
      </c>
      <c r="G64" s="83">
        <v>430</v>
      </c>
      <c r="H64" s="86">
        <v>500</v>
      </c>
      <c r="I64" s="87">
        <f>423+524</f>
        <v>947</v>
      </c>
      <c r="J64" s="86">
        <f t="shared" si="4"/>
        <v>-447</v>
      </c>
    </row>
    <row r="65" spans="1:10" ht="19.95" customHeight="1" x14ac:dyDescent="0.3">
      <c r="A65" s="38">
        <v>250078</v>
      </c>
      <c r="B65" s="38">
        <v>304</v>
      </c>
      <c r="C65" s="39">
        <v>0.7</v>
      </c>
      <c r="D65" s="39" t="s">
        <v>11</v>
      </c>
      <c r="E65" s="36" t="s">
        <v>240</v>
      </c>
      <c r="F65" s="38" t="s">
        <v>13</v>
      </c>
      <c r="G65" s="38">
        <v>304</v>
      </c>
      <c r="H65" s="32">
        <v>775</v>
      </c>
      <c r="I65" s="40">
        <v>786</v>
      </c>
      <c r="J65" s="32">
        <f>H65-I65</f>
        <v>-11</v>
      </c>
    </row>
    <row r="66" spans="1:10" ht="19.95" customHeight="1" x14ac:dyDescent="0.3">
      <c r="A66" s="38">
        <v>250078</v>
      </c>
      <c r="B66" s="38">
        <v>304</v>
      </c>
      <c r="C66" s="39">
        <v>1</v>
      </c>
      <c r="D66" s="39" t="s">
        <v>11</v>
      </c>
      <c r="E66" s="36" t="s">
        <v>241</v>
      </c>
      <c r="F66" s="38" t="s">
        <v>13</v>
      </c>
      <c r="G66" s="38">
        <v>304</v>
      </c>
      <c r="H66" s="32">
        <v>15</v>
      </c>
      <c r="I66" s="40">
        <v>15</v>
      </c>
      <c r="J66" s="32">
        <f>H66-I66</f>
        <v>0</v>
      </c>
    </row>
    <row r="67" spans="1:10" ht="28.2" customHeight="1" x14ac:dyDescent="0.3">
      <c r="A67" s="42">
        <v>250081</v>
      </c>
      <c r="B67" s="42">
        <v>304</v>
      </c>
      <c r="C67" s="43">
        <v>0.6</v>
      </c>
      <c r="D67" s="43" t="s">
        <v>11</v>
      </c>
      <c r="E67" s="66" t="s">
        <v>255</v>
      </c>
      <c r="F67" s="42" t="s">
        <v>45</v>
      </c>
      <c r="G67" s="42">
        <v>430</v>
      </c>
      <c r="H67" s="23">
        <v>400</v>
      </c>
      <c r="I67" s="24"/>
      <c r="J67" s="23">
        <f t="shared" ref="J67:J71" si="5">H67-I67</f>
        <v>400</v>
      </c>
    </row>
    <row r="68" spans="1:10" ht="19.95" customHeight="1" x14ac:dyDescent="0.3">
      <c r="A68" s="42">
        <v>250084</v>
      </c>
      <c r="B68" s="42">
        <v>304</v>
      </c>
      <c r="C68" s="43">
        <v>0.7</v>
      </c>
      <c r="D68" s="43" t="s">
        <v>11</v>
      </c>
      <c r="E68" s="37" t="s">
        <v>256</v>
      </c>
      <c r="F68" s="42" t="s">
        <v>45</v>
      </c>
      <c r="G68" s="42">
        <v>304</v>
      </c>
      <c r="H68" s="23">
        <v>715</v>
      </c>
      <c r="I68" s="24"/>
      <c r="J68" s="23">
        <f t="shared" si="5"/>
        <v>715</v>
      </c>
    </row>
    <row r="69" spans="1:10" ht="27.6" customHeight="1" x14ac:dyDescent="0.3">
      <c r="A69" s="42">
        <v>250084</v>
      </c>
      <c r="B69" s="42">
        <v>304</v>
      </c>
      <c r="C69" s="43">
        <v>1</v>
      </c>
      <c r="D69" s="43" t="s">
        <v>11</v>
      </c>
      <c r="E69" s="66" t="s">
        <v>257</v>
      </c>
      <c r="F69" s="42" t="s">
        <v>45</v>
      </c>
      <c r="G69" s="42">
        <v>304</v>
      </c>
      <c r="H69" s="23">
        <v>15</v>
      </c>
      <c r="I69" s="24"/>
      <c r="J69" s="23">
        <f t="shared" si="5"/>
        <v>15</v>
      </c>
    </row>
    <row r="70" spans="1:10" ht="19.95" customHeight="1" x14ac:dyDescent="0.3">
      <c r="A70" s="42">
        <v>250084</v>
      </c>
      <c r="B70" s="42">
        <v>304</v>
      </c>
      <c r="C70" s="43">
        <v>0.7</v>
      </c>
      <c r="D70" s="43" t="s">
        <v>11</v>
      </c>
      <c r="E70" s="37" t="s">
        <v>258</v>
      </c>
      <c r="F70" s="42" t="s">
        <v>45</v>
      </c>
      <c r="G70" s="42">
        <v>304</v>
      </c>
      <c r="H70" s="23">
        <v>715</v>
      </c>
      <c r="I70" s="24"/>
      <c r="J70" s="23">
        <f t="shared" si="5"/>
        <v>715</v>
      </c>
    </row>
    <row r="71" spans="1:10" ht="31.2" customHeight="1" x14ac:dyDescent="0.3">
      <c r="A71" s="42">
        <v>250084</v>
      </c>
      <c r="B71" s="42">
        <v>304</v>
      </c>
      <c r="C71" s="43">
        <v>1</v>
      </c>
      <c r="D71" s="43" t="s">
        <v>11</v>
      </c>
      <c r="E71" s="66" t="s">
        <v>259</v>
      </c>
      <c r="F71" s="42" t="s">
        <v>45</v>
      </c>
      <c r="G71" s="42">
        <v>304</v>
      </c>
      <c r="H71" s="23">
        <v>15</v>
      </c>
      <c r="I71" s="24"/>
      <c r="J71" s="23">
        <f t="shared" si="5"/>
        <v>15</v>
      </c>
    </row>
    <row r="72" spans="1:10" ht="19.95" customHeight="1" x14ac:dyDescent="0.3">
      <c r="A72" s="42"/>
      <c r="B72" s="42"/>
      <c r="C72" s="43"/>
      <c r="D72" s="43"/>
      <c r="E72" s="37"/>
      <c r="F72" s="42"/>
      <c r="G72" s="42"/>
      <c r="H72" s="41"/>
      <c r="I72" s="46"/>
      <c r="J72" s="41">
        <f t="shared" si="4"/>
        <v>0</v>
      </c>
    </row>
    <row r="73" spans="1:10" ht="19.95" customHeight="1" x14ac:dyDescent="0.3">
      <c r="A73" s="81"/>
      <c r="B73" s="81"/>
      <c r="C73" s="81"/>
      <c r="D73" s="81"/>
      <c r="E73" s="48"/>
      <c r="F73" s="81"/>
      <c r="G73" s="49"/>
      <c r="H73" s="41">
        <f>SUM(H61:H72)</f>
        <v>6150</v>
      </c>
      <c r="I73" s="46">
        <f>SUM(I61:I72)</f>
        <v>2770</v>
      </c>
      <c r="J73" s="41">
        <f>SUM(J61:J72)</f>
        <v>3380</v>
      </c>
    </row>
    <row r="74" spans="1:10" ht="19.95" customHeight="1" x14ac:dyDescent="0.3">
      <c r="A74" s="82"/>
      <c r="B74" s="82"/>
      <c r="C74" s="82"/>
      <c r="D74" s="82"/>
      <c r="E74" s="56"/>
      <c r="F74" s="82"/>
      <c r="G74" s="82"/>
      <c r="H74" s="57"/>
      <c r="I74" s="58"/>
      <c r="J74" s="57"/>
    </row>
    <row r="75" spans="1:10" ht="30" customHeight="1" x14ac:dyDescent="0.3">
      <c r="A75" s="100" t="s">
        <v>23</v>
      </c>
      <c r="B75" s="100"/>
      <c r="C75" s="100"/>
      <c r="D75" s="100"/>
      <c r="E75" s="100"/>
      <c r="F75" s="100"/>
      <c r="G75" s="100"/>
      <c r="H75" s="100"/>
      <c r="I75" s="100"/>
      <c r="J75" s="100"/>
    </row>
    <row r="76" spans="1:10" ht="30" customHeight="1" x14ac:dyDescent="0.3">
      <c r="A76" s="42" t="s">
        <v>1</v>
      </c>
      <c r="B76" s="42" t="s">
        <v>2</v>
      </c>
      <c r="C76" s="54" t="s">
        <v>3</v>
      </c>
      <c r="D76" s="54" t="s">
        <v>4</v>
      </c>
      <c r="E76" s="42" t="s">
        <v>5</v>
      </c>
      <c r="F76" s="54" t="s">
        <v>6</v>
      </c>
      <c r="G76" s="54" t="s">
        <v>7</v>
      </c>
      <c r="H76" s="42" t="s">
        <v>8</v>
      </c>
      <c r="I76" s="42" t="s">
        <v>9</v>
      </c>
      <c r="J76" s="42" t="s">
        <v>10</v>
      </c>
    </row>
    <row r="77" spans="1:10" ht="19.95" customHeight="1" x14ac:dyDescent="0.3">
      <c r="A77" s="42">
        <v>151025</v>
      </c>
      <c r="B77" s="42">
        <v>304</v>
      </c>
      <c r="C77" s="43">
        <v>0.7</v>
      </c>
      <c r="D77" s="43" t="s">
        <v>55</v>
      </c>
      <c r="E77" s="37" t="s">
        <v>244</v>
      </c>
      <c r="F77" s="42" t="s">
        <v>45</v>
      </c>
      <c r="G77" s="42">
        <v>430</v>
      </c>
      <c r="H77" s="41">
        <v>1000</v>
      </c>
      <c r="I77" s="46"/>
      <c r="J77" s="23">
        <f t="shared" ref="J77:J83" si="6">H77-I77</f>
        <v>1000</v>
      </c>
    </row>
    <row r="78" spans="1:10" ht="19.95" customHeight="1" x14ac:dyDescent="0.3">
      <c r="A78" s="42">
        <v>250081</v>
      </c>
      <c r="B78" s="42">
        <v>304</v>
      </c>
      <c r="C78" s="43">
        <v>0.6</v>
      </c>
      <c r="D78" s="43" t="s">
        <v>11</v>
      </c>
      <c r="E78" s="37" t="s">
        <v>245</v>
      </c>
      <c r="F78" s="42" t="s">
        <v>45</v>
      </c>
      <c r="G78" s="42">
        <v>430</v>
      </c>
      <c r="H78" s="23">
        <v>500</v>
      </c>
      <c r="I78" s="24"/>
      <c r="J78" s="23">
        <f t="shared" si="6"/>
        <v>500</v>
      </c>
    </row>
    <row r="79" spans="1:10" ht="19.95" customHeight="1" x14ac:dyDescent="0.3">
      <c r="A79" s="38">
        <v>250081</v>
      </c>
      <c r="B79" s="38">
        <v>304</v>
      </c>
      <c r="C79" s="39">
        <v>0.6</v>
      </c>
      <c r="D79" s="39" t="s">
        <v>96</v>
      </c>
      <c r="E79" s="36" t="s">
        <v>242</v>
      </c>
      <c r="F79" s="38" t="s">
        <v>45</v>
      </c>
      <c r="G79" s="38">
        <v>430</v>
      </c>
      <c r="H79" s="32">
        <v>600</v>
      </c>
      <c r="I79" s="40">
        <v>602</v>
      </c>
      <c r="J79" s="32">
        <f>H79-I79</f>
        <v>-2</v>
      </c>
    </row>
    <row r="80" spans="1:10" ht="19.95" customHeight="1" x14ac:dyDescent="0.3">
      <c r="A80" s="38">
        <v>250082</v>
      </c>
      <c r="B80" s="38">
        <v>430</v>
      </c>
      <c r="C80" s="39">
        <v>0.6</v>
      </c>
      <c r="D80" s="39" t="s">
        <v>96</v>
      </c>
      <c r="E80" s="36" t="s">
        <v>243</v>
      </c>
      <c r="F80" s="38" t="s">
        <v>13</v>
      </c>
      <c r="G80" s="38">
        <v>430</v>
      </c>
      <c r="H80" s="32">
        <v>1000</v>
      </c>
      <c r="I80" s="40">
        <v>1016</v>
      </c>
      <c r="J80" s="32">
        <f>H80-I80</f>
        <v>-16</v>
      </c>
    </row>
    <row r="81" spans="1:10" ht="19.95" customHeight="1" x14ac:dyDescent="0.3">
      <c r="A81" s="42">
        <v>250078</v>
      </c>
      <c r="B81" s="42">
        <v>304</v>
      </c>
      <c r="C81" s="43">
        <v>0.7</v>
      </c>
      <c r="D81" s="43" t="s">
        <v>11</v>
      </c>
      <c r="E81" s="37" t="s">
        <v>224</v>
      </c>
      <c r="F81" s="42" t="s">
        <v>13</v>
      </c>
      <c r="G81" s="42">
        <v>304</v>
      </c>
      <c r="H81" s="41">
        <v>131</v>
      </c>
      <c r="I81" s="46"/>
      <c r="J81" s="41">
        <f t="shared" si="6"/>
        <v>131</v>
      </c>
    </row>
    <row r="82" spans="1:10" ht="19.95" customHeight="1" x14ac:dyDescent="0.3">
      <c r="A82" s="38">
        <v>250049</v>
      </c>
      <c r="B82" s="38">
        <v>304</v>
      </c>
      <c r="C82" s="39">
        <v>0.9</v>
      </c>
      <c r="D82" s="39" t="s">
        <v>55</v>
      </c>
      <c r="E82" s="36" t="s">
        <v>260</v>
      </c>
      <c r="F82" s="38" t="s">
        <v>52</v>
      </c>
      <c r="G82" s="38">
        <v>430</v>
      </c>
      <c r="H82" s="32">
        <v>450</v>
      </c>
      <c r="I82" s="40">
        <v>464</v>
      </c>
      <c r="J82" s="32">
        <f t="shared" si="6"/>
        <v>-14</v>
      </c>
    </row>
    <row r="83" spans="1:10" ht="19.95" customHeight="1" x14ac:dyDescent="0.3">
      <c r="A83" s="42"/>
      <c r="B83" s="42"/>
      <c r="C83" s="43"/>
      <c r="D83" s="43"/>
      <c r="E83" s="37"/>
      <c r="F83" s="42"/>
      <c r="G83" s="42"/>
      <c r="H83" s="41"/>
      <c r="I83" s="46"/>
      <c r="J83" s="41">
        <f t="shared" si="6"/>
        <v>0</v>
      </c>
    </row>
    <row r="84" spans="1:10" ht="19.95" customHeight="1" x14ac:dyDescent="0.3">
      <c r="A84" s="101"/>
      <c r="B84" s="101"/>
      <c r="C84" s="101"/>
      <c r="D84" s="101"/>
      <c r="E84" s="101"/>
      <c r="F84" s="101"/>
      <c r="G84" s="101"/>
      <c r="H84" s="41">
        <f>SUM(H77:H83)</f>
        <v>3681</v>
      </c>
      <c r="I84" s="46">
        <f>SUM(I77:I83)</f>
        <v>2082</v>
      </c>
      <c r="J84" s="41">
        <f>SUM(J77:J83)</f>
        <v>1599</v>
      </c>
    </row>
    <row r="85" spans="1:10" x14ac:dyDescent="0.3">
      <c r="A85" s="102"/>
      <c r="B85" s="102"/>
      <c r="C85" s="102"/>
      <c r="D85" s="102"/>
      <c r="E85" s="102"/>
      <c r="F85" s="102"/>
      <c r="G85" s="102"/>
    </row>
    <row r="86" spans="1:10" ht="15.6" x14ac:dyDescent="0.3">
      <c r="H86" s="8">
        <f>H84+H73+H57+H36+H24+H8</f>
        <v>29161</v>
      </c>
      <c r="I86" s="8">
        <f>I84+I73+I57+I36+I24+I8</f>
        <v>12608</v>
      </c>
      <c r="J86" s="8">
        <f>J84+J73+J57+J36+J24+J8</f>
        <v>16553</v>
      </c>
    </row>
    <row r="88" spans="1:10" ht="23.4" x14ac:dyDescent="0.3">
      <c r="A88" s="95" t="s">
        <v>14</v>
      </c>
      <c r="B88" s="95"/>
      <c r="C88" s="95"/>
      <c r="D88" s="95"/>
      <c r="E88" s="95"/>
      <c r="F88" s="95"/>
      <c r="G88" s="95"/>
      <c r="H88" s="95"/>
      <c r="I88" s="95"/>
      <c r="J88" s="95"/>
    </row>
  </sheetData>
  <mergeCells count="11">
    <mergeCell ref="A26:J26"/>
    <mergeCell ref="H1:J1"/>
    <mergeCell ref="A2:J2"/>
    <mergeCell ref="A3:J3"/>
    <mergeCell ref="E5:E6"/>
    <mergeCell ref="A10:J10"/>
    <mergeCell ref="A38:J38"/>
    <mergeCell ref="A59:J59"/>
    <mergeCell ref="A75:J75"/>
    <mergeCell ref="A84:G85"/>
    <mergeCell ref="A88:J88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8"/>
  <sheetViews>
    <sheetView zoomScale="85" zoomScaleNormal="85" workbookViewId="0">
      <selection activeCell="A2" sqref="A2:J2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2.886718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261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2"/>
      <c r="B5" s="42"/>
      <c r="C5" s="43"/>
      <c r="D5" s="43"/>
      <c r="E5" s="103" t="s">
        <v>223</v>
      </c>
      <c r="F5" s="42"/>
      <c r="G5" s="42"/>
      <c r="H5" s="23"/>
      <c r="I5" s="24"/>
      <c r="J5" s="23">
        <f t="shared" ref="J5:J7" si="0">H5-I5</f>
        <v>0</v>
      </c>
    </row>
    <row r="6" spans="1:10" ht="19.95" customHeight="1" x14ac:dyDescent="0.3">
      <c r="A6" s="42"/>
      <c r="B6" s="42"/>
      <c r="C6" s="43"/>
      <c r="D6" s="43"/>
      <c r="E6" s="104"/>
      <c r="F6" s="42"/>
      <c r="G6" s="42"/>
      <c r="H6" s="23"/>
      <c r="I6" s="24"/>
      <c r="J6" s="23">
        <f t="shared" si="0"/>
        <v>0</v>
      </c>
    </row>
    <row r="7" spans="1:10" ht="19.95" customHeight="1" x14ac:dyDescent="0.3">
      <c r="A7" s="42"/>
      <c r="B7" s="42"/>
      <c r="C7" s="43"/>
      <c r="D7" s="43"/>
      <c r="E7" s="37"/>
      <c r="F7" s="42"/>
      <c r="G7" s="42"/>
      <c r="H7" s="23"/>
      <c r="I7" s="24"/>
      <c r="J7" s="23">
        <f t="shared" si="0"/>
        <v>0</v>
      </c>
    </row>
    <row r="8" spans="1:10" ht="19.95" customHeight="1" x14ac:dyDescent="0.3">
      <c r="A8" s="88"/>
      <c r="B8" s="88"/>
      <c r="C8" s="88"/>
      <c r="D8" s="88"/>
      <c r="E8" s="48"/>
      <c r="F8" s="88"/>
      <c r="G8" s="49"/>
      <c r="H8" s="73">
        <f>SUM(H5:H7)</f>
        <v>0</v>
      </c>
      <c r="I8" s="74">
        <f>SUM(I5:I7)</f>
        <v>0</v>
      </c>
      <c r="J8" s="23">
        <f>SUM(J5:J7)</f>
        <v>0</v>
      </c>
    </row>
    <row r="9" spans="1:10" x14ac:dyDescent="0.3">
      <c r="A9" s="52"/>
      <c r="B9" s="52"/>
      <c r="C9" s="52"/>
      <c r="D9" s="52"/>
      <c r="E9" s="52"/>
      <c r="F9" s="53"/>
      <c r="G9" s="52"/>
      <c r="H9" s="52"/>
      <c r="I9" s="52"/>
      <c r="J9" s="52"/>
    </row>
    <row r="10" spans="1:10" ht="30" customHeight="1" x14ac:dyDescent="0.3">
      <c r="A10" s="100" t="s">
        <v>17</v>
      </c>
      <c r="B10" s="100"/>
      <c r="C10" s="100"/>
      <c r="D10" s="100"/>
      <c r="E10" s="100"/>
      <c r="F10" s="100"/>
      <c r="G10" s="100"/>
      <c r="H10" s="100"/>
      <c r="I10" s="100"/>
      <c r="J10" s="100"/>
    </row>
    <row r="11" spans="1:10" ht="30" customHeight="1" x14ac:dyDescent="0.3">
      <c r="A11" s="42" t="s">
        <v>1</v>
      </c>
      <c r="B11" s="42" t="s">
        <v>2</v>
      </c>
      <c r="C11" s="54" t="s">
        <v>3</v>
      </c>
      <c r="D11" s="54" t="s">
        <v>4</v>
      </c>
      <c r="E11" s="42" t="s">
        <v>5</v>
      </c>
      <c r="F11" s="54" t="s">
        <v>6</v>
      </c>
      <c r="G11" s="54" t="s">
        <v>7</v>
      </c>
      <c r="H11" s="42" t="s">
        <v>8</v>
      </c>
      <c r="I11" s="42" t="s">
        <v>9</v>
      </c>
      <c r="J11" s="42" t="s">
        <v>10</v>
      </c>
    </row>
    <row r="12" spans="1:10" ht="19.95" customHeight="1" x14ac:dyDescent="0.3">
      <c r="A12" s="38">
        <v>250057</v>
      </c>
      <c r="B12" s="38">
        <v>304</v>
      </c>
      <c r="C12" s="39">
        <v>0.7</v>
      </c>
      <c r="D12" s="39" t="s">
        <v>43</v>
      </c>
      <c r="E12" s="36" t="s">
        <v>169</v>
      </c>
      <c r="F12" s="38" t="s">
        <v>170</v>
      </c>
      <c r="G12" s="38">
        <v>304</v>
      </c>
      <c r="H12" s="32">
        <v>395</v>
      </c>
      <c r="I12" s="40">
        <f>53+350</f>
        <v>403</v>
      </c>
      <c r="J12" s="32">
        <f t="shared" ref="J12:J23" si="1">H12-I12</f>
        <v>-8</v>
      </c>
    </row>
    <row r="13" spans="1:10" ht="19.95" customHeight="1" x14ac:dyDescent="0.3">
      <c r="A13" s="38">
        <v>250061</v>
      </c>
      <c r="B13" s="38">
        <v>304</v>
      </c>
      <c r="C13" s="39">
        <v>0.7</v>
      </c>
      <c r="D13" s="39" t="s">
        <v>43</v>
      </c>
      <c r="E13" s="36" t="s">
        <v>169</v>
      </c>
      <c r="F13" s="38" t="s">
        <v>171</v>
      </c>
      <c r="G13" s="38">
        <v>304</v>
      </c>
      <c r="H13" s="32">
        <v>525</v>
      </c>
      <c r="I13" s="40">
        <v>542</v>
      </c>
      <c r="J13" s="32">
        <f t="shared" si="1"/>
        <v>-17</v>
      </c>
    </row>
    <row r="14" spans="1:10" ht="19.95" customHeight="1" x14ac:dyDescent="0.3">
      <c r="A14" s="38">
        <v>250079</v>
      </c>
      <c r="B14" s="38">
        <v>304</v>
      </c>
      <c r="C14" s="39">
        <v>0.7</v>
      </c>
      <c r="D14" s="39" t="s">
        <v>43</v>
      </c>
      <c r="E14" s="36" t="s">
        <v>192</v>
      </c>
      <c r="F14" s="38" t="s">
        <v>171</v>
      </c>
      <c r="G14" s="38">
        <v>304</v>
      </c>
      <c r="H14" s="32">
        <v>952</v>
      </c>
      <c r="I14" s="40">
        <v>977</v>
      </c>
      <c r="J14" s="32">
        <f t="shared" si="1"/>
        <v>-25</v>
      </c>
    </row>
    <row r="15" spans="1:10" ht="27.6" customHeight="1" x14ac:dyDescent="0.3">
      <c r="A15" s="38">
        <v>250079</v>
      </c>
      <c r="B15" s="38">
        <v>304</v>
      </c>
      <c r="C15" s="39">
        <v>1</v>
      </c>
      <c r="D15" s="39" t="s">
        <v>43</v>
      </c>
      <c r="E15" s="80" t="s">
        <v>195</v>
      </c>
      <c r="F15" s="38" t="s">
        <v>171</v>
      </c>
      <c r="G15" s="38">
        <v>304</v>
      </c>
      <c r="H15" s="32">
        <v>48</v>
      </c>
      <c r="I15" s="40">
        <v>48</v>
      </c>
      <c r="J15" s="32">
        <f t="shared" si="1"/>
        <v>0</v>
      </c>
    </row>
    <row r="16" spans="1:10" ht="19.95" customHeight="1" x14ac:dyDescent="0.3">
      <c r="A16" s="38">
        <v>250057</v>
      </c>
      <c r="B16" s="38">
        <v>304</v>
      </c>
      <c r="C16" s="39">
        <v>1</v>
      </c>
      <c r="D16" s="39" t="s">
        <v>43</v>
      </c>
      <c r="E16" s="36" t="s">
        <v>190</v>
      </c>
      <c r="F16" s="38" t="s">
        <v>170</v>
      </c>
      <c r="G16" s="38">
        <v>304</v>
      </c>
      <c r="H16" s="32">
        <v>15</v>
      </c>
      <c r="I16" s="40">
        <v>19</v>
      </c>
      <c r="J16" s="32">
        <f t="shared" si="1"/>
        <v>-4</v>
      </c>
    </row>
    <row r="17" spans="1:10" ht="19.95" customHeight="1" x14ac:dyDescent="0.3">
      <c r="A17" s="38">
        <v>250061</v>
      </c>
      <c r="B17" s="38">
        <v>304</v>
      </c>
      <c r="C17" s="39">
        <v>1</v>
      </c>
      <c r="D17" s="39" t="s">
        <v>43</v>
      </c>
      <c r="E17" s="36" t="s">
        <v>190</v>
      </c>
      <c r="F17" s="38" t="s">
        <v>171</v>
      </c>
      <c r="G17" s="38">
        <v>304</v>
      </c>
      <c r="H17" s="32">
        <v>15</v>
      </c>
      <c r="I17" s="40">
        <v>19</v>
      </c>
      <c r="J17" s="32">
        <f t="shared" si="1"/>
        <v>-4</v>
      </c>
    </row>
    <row r="18" spans="1:10" ht="19.95" customHeight="1" x14ac:dyDescent="0.3">
      <c r="A18" s="38">
        <v>21025</v>
      </c>
      <c r="B18" s="38">
        <v>304</v>
      </c>
      <c r="C18" s="39">
        <v>0.6</v>
      </c>
      <c r="D18" s="39" t="s">
        <v>55</v>
      </c>
      <c r="E18" s="36" t="s">
        <v>185</v>
      </c>
      <c r="F18" s="38" t="s">
        <v>45</v>
      </c>
      <c r="G18" s="38">
        <v>430</v>
      </c>
      <c r="H18" s="32">
        <v>1000</v>
      </c>
      <c r="I18" s="40">
        <v>1020</v>
      </c>
      <c r="J18" s="32">
        <f t="shared" si="1"/>
        <v>-20</v>
      </c>
    </row>
    <row r="19" spans="1:10" ht="19.95" customHeight="1" x14ac:dyDescent="0.3">
      <c r="A19" s="38">
        <v>250078</v>
      </c>
      <c r="B19" s="38">
        <v>304</v>
      </c>
      <c r="C19" s="39">
        <v>0.7</v>
      </c>
      <c r="D19" s="39" t="s">
        <v>11</v>
      </c>
      <c r="E19" s="36" t="s">
        <v>220</v>
      </c>
      <c r="F19" s="38" t="s">
        <v>13</v>
      </c>
      <c r="G19" s="38">
        <v>304</v>
      </c>
      <c r="H19" s="32">
        <v>775</v>
      </c>
      <c r="I19" s="40">
        <v>800</v>
      </c>
      <c r="J19" s="32">
        <f t="shared" si="1"/>
        <v>-25</v>
      </c>
    </row>
    <row r="20" spans="1:10" ht="19.95" customHeight="1" x14ac:dyDescent="0.3">
      <c r="A20" s="38">
        <v>250078</v>
      </c>
      <c r="B20" s="38">
        <v>304</v>
      </c>
      <c r="C20" s="39">
        <v>1</v>
      </c>
      <c r="D20" s="39" t="s">
        <v>11</v>
      </c>
      <c r="E20" s="36" t="s">
        <v>221</v>
      </c>
      <c r="F20" s="38" t="s">
        <v>13</v>
      </c>
      <c r="G20" s="38">
        <v>304</v>
      </c>
      <c r="H20" s="32">
        <v>15</v>
      </c>
      <c r="I20" s="40">
        <v>15</v>
      </c>
      <c r="J20" s="32">
        <f t="shared" si="1"/>
        <v>0</v>
      </c>
    </row>
    <row r="21" spans="1:10" ht="19.95" customHeight="1" x14ac:dyDescent="0.3">
      <c r="A21" s="38">
        <v>250078</v>
      </c>
      <c r="B21" s="38">
        <v>304</v>
      </c>
      <c r="C21" s="39">
        <v>0.7</v>
      </c>
      <c r="D21" s="39" t="s">
        <v>11</v>
      </c>
      <c r="E21" s="36" t="s">
        <v>214</v>
      </c>
      <c r="F21" s="38" t="s">
        <v>13</v>
      </c>
      <c r="G21" s="38">
        <v>304</v>
      </c>
      <c r="H21" s="32">
        <v>775</v>
      </c>
      <c r="I21" s="40">
        <v>775</v>
      </c>
      <c r="J21" s="32">
        <f t="shared" si="1"/>
        <v>0</v>
      </c>
    </row>
    <row r="22" spans="1:10" ht="19.95" customHeight="1" x14ac:dyDescent="0.3">
      <c r="A22" s="38">
        <v>250078</v>
      </c>
      <c r="B22" s="38">
        <v>304</v>
      </c>
      <c r="C22" s="39">
        <v>1</v>
      </c>
      <c r="D22" s="39" t="s">
        <v>11</v>
      </c>
      <c r="E22" s="36" t="s">
        <v>215</v>
      </c>
      <c r="F22" s="38" t="s">
        <v>13</v>
      </c>
      <c r="G22" s="38">
        <v>304</v>
      </c>
      <c r="H22" s="32">
        <v>15</v>
      </c>
      <c r="I22" s="40">
        <v>15</v>
      </c>
      <c r="J22" s="32">
        <f t="shared" si="1"/>
        <v>0</v>
      </c>
    </row>
    <row r="23" spans="1:10" ht="19.95" customHeight="1" x14ac:dyDescent="0.3">
      <c r="A23" s="42"/>
      <c r="B23" s="42"/>
      <c r="C23" s="43"/>
      <c r="D23" s="43"/>
      <c r="E23" s="37"/>
      <c r="F23" s="42"/>
      <c r="G23" s="42"/>
      <c r="H23" s="23"/>
      <c r="I23" s="24"/>
      <c r="J23" s="23">
        <f t="shared" si="1"/>
        <v>0</v>
      </c>
    </row>
    <row r="24" spans="1:10" ht="19.95" customHeight="1" x14ac:dyDescent="0.3">
      <c r="A24" s="88"/>
      <c r="B24" s="88"/>
      <c r="C24" s="88"/>
      <c r="D24" s="88"/>
      <c r="E24" s="48"/>
      <c r="F24" s="88"/>
      <c r="G24" s="49"/>
      <c r="H24" s="23">
        <f>SUM(H12:H23)</f>
        <v>4530</v>
      </c>
      <c r="I24" s="24">
        <f>SUM(I12:I23)</f>
        <v>4633</v>
      </c>
      <c r="J24" s="23">
        <f>SUM(J12:J23)</f>
        <v>-103</v>
      </c>
    </row>
    <row r="25" spans="1:10" x14ac:dyDescent="0.3">
      <c r="A25" s="52"/>
      <c r="B25" s="52"/>
      <c r="C25" s="52"/>
      <c r="D25" s="52"/>
      <c r="E25" s="52"/>
      <c r="F25" s="53"/>
      <c r="G25" s="52"/>
      <c r="H25" s="52"/>
      <c r="I25" s="52"/>
      <c r="J25" s="52"/>
    </row>
    <row r="26" spans="1:10" ht="30" customHeight="1" x14ac:dyDescent="0.3">
      <c r="A26" s="100" t="s">
        <v>18</v>
      </c>
      <c r="B26" s="100"/>
      <c r="C26" s="100"/>
      <c r="D26" s="100"/>
      <c r="E26" s="100"/>
      <c r="F26" s="100"/>
      <c r="G26" s="100"/>
      <c r="H26" s="100"/>
      <c r="I26" s="100"/>
      <c r="J26" s="100"/>
    </row>
    <row r="27" spans="1:10" ht="30" customHeight="1" x14ac:dyDescent="0.3">
      <c r="A27" s="42" t="s">
        <v>1</v>
      </c>
      <c r="B27" s="42" t="s">
        <v>2</v>
      </c>
      <c r="C27" s="54" t="s">
        <v>3</v>
      </c>
      <c r="D27" s="54" t="s">
        <v>4</v>
      </c>
      <c r="E27" s="42" t="s">
        <v>5</v>
      </c>
      <c r="F27" s="54" t="s">
        <v>6</v>
      </c>
      <c r="G27" s="54" t="s">
        <v>7</v>
      </c>
      <c r="H27" s="42" t="s">
        <v>8</v>
      </c>
      <c r="I27" s="42" t="s">
        <v>9</v>
      </c>
      <c r="J27" s="42" t="s">
        <v>10</v>
      </c>
    </row>
    <row r="28" spans="1:10" ht="19.95" customHeight="1" x14ac:dyDescent="0.3">
      <c r="A28" s="38">
        <v>250080</v>
      </c>
      <c r="B28" s="38">
        <v>304</v>
      </c>
      <c r="C28" s="39">
        <v>0.6</v>
      </c>
      <c r="D28" s="39" t="s">
        <v>11</v>
      </c>
      <c r="E28" s="36" t="s">
        <v>197</v>
      </c>
      <c r="F28" s="38" t="s">
        <v>13</v>
      </c>
      <c r="G28" s="38">
        <v>430</v>
      </c>
      <c r="H28" s="32">
        <v>300</v>
      </c>
      <c r="I28" s="40">
        <v>300</v>
      </c>
      <c r="J28" s="32">
        <f t="shared" ref="J28:J35" si="2">H28-I28</f>
        <v>0</v>
      </c>
    </row>
    <row r="29" spans="1:10" ht="19.95" customHeight="1" x14ac:dyDescent="0.3">
      <c r="A29" s="38">
        <v>250057</v>
      </c>
      <c r="B29" s="38">
        <v>304</v>
      </c>
      <c r="C29" s="39">
        <v>0.7</v>
      </c>
      <c r="D29" s="39" t="s">
        <v>55</v>
      </c>
      <c r="E29" s="36" t="s">
        <v>212</v>
      </c>
      <c r="F29" s="38" t="s">
        <v>52</v>
      </c>
      <c r="G29" s="38">
        <v>304</v>
      </c>
      <c r="H29" s="32">
        <v>395</v>
      </c>
      <c r="I29" s="40">
        <v>397</v>
      </c>
      <c r="J29" s="32">
        <f t="shared" si="2"/>
        <v>-2</v>
      </c>
    </row>
    <row r="30" spans="1:10" ht="19.95" customHeight="1" x14ac:dyDescent="0.3">
      <c r="A30" s="38">
        <v>250057</v>
      </c>
      <c r="B30" s="38">
        <v>304</v>
      </c>
      <c r="C30" s="39">
        <v>1</v>
      </c>
      <c r="D30" s="39" t="s">
        <v>55</v>
      </c>
      <c r="E30" s="36" t="s">
        <v>213</v>
      </c>
      <c r="F30" s="38" t="s">
        <v>52</v>
      </c>
      <c r="G30" s="38">
        <v>304</v>
      </c>
      <c r="H30" s="32">
        <v>15</v>
      </c>
      <c r="I30" s="40">
        <v>15</v>
      </c>
      <c r="J30" s="32">
        <f t="shared" si="2"/>
        <v>0</v>
      </c>
    </row>
    <row r="31" spans="1:10" ht="19.95" customHeight="1" x14ac:dyDescent="0.3">
      <c r="A31" s="38">
        <v>151025</v>
      </c>
      <c r="B31" s="38">
        <v>304</v>
      </c>
      <c r="C31" s="39">
        <v>0.7</v>
      </c>
      <c r="D31" s="39" t="s">
        <v>55</v>
      </c>
      <c r="E31" s="36" t="s">
        <v>227</v>
      </c>
      <c r="F31" s="38" t="s">
        <v>45</v>
      </c>
      <c r="G31" s="38">
        <v>430</v>
      </c>
      <c r="H31" s="32">
        <v>1000</v>
      </c>
      <c r="I31" s="40">
        <f>711+310</f>
        <v>1021</v>
      </c>
      <c r="J31" s="32">
        <f t="shared" si="2"/>
        <v>-21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186</v>
      </c>
      <c r="F32" s="42" t="s">
        <v>45</v>
      </c>
      <c r="G32" s="42">
        <v>430</v>
      </c>
      <c r="H32" s="23">
        <v>1000</v>
      </c>
      <c r="I32" s="24"/>
      <c r="J32" s="23">
        <f t="shared" si="2"/>
        <v>1000</v>
      </c>
    </row>
    <row r="33" spans="1:12" ht="19.95" customHeight="1" x14ac:dyDescent="0.3">
      <c r="A33" s="42">
        <v>151025</v>
      </c>
      <c r="B33" s="42">
        <v>304</v>
      </c>
      <c r="C33" s="43">
        <v>0.7</v>
      </c>
      <c r="D33" s="43" t="s">
        <v>55</v>
      </c>
      <c r="E33" s="37" t="s">
        <v>226</v>
      </c>
      <c r="F33" s="42" t="s">
        <v>45</v>
      </c>
      <c r="G33" s="42">
        <v>430</v>
      </c>
      <c r="H33" s="23">
        <v>1000</v>
      </c>
      <c r="I33" s="24"/>
      <c r="J33" s="23">
        <f t="shared" si="2"/>
        <v>1000</v>
      </c>
    </row>
    <row r="34" spans="1:12" ht="19.95" customHeight="1" x14ac:dyDescent="0.3">
      <c r="A34" s="42" t="s">
        <v>225</v>
      </c>
      <c r="B34" s="42">
        <v>304</v>
      </c>
      <c r="C34" s="43">
        <v>0.7</v>
      </c>
      <c r="D34" s="43" t="s">
        <v>55</v>
      </c>
      <c r="E34" s="37" t="s">
        <v>226</v>
      </c>
      <c r="F34" s="42" t="s">
        <v>45</v>
      </c>
      <c r="G34" s="42">
        <v>430</v>
      </c>
      <c r="H34" s="23">
        <v>1000</v>
      </c>
      <c r="I34" s="24"/>
      <c r="J34" s="23">
        <f t="shared" si="2"/>
        <v>1000</v>
      </c>
    </row>
    <row r="35" spans="1:12" ht="19.95" customHeight="1" x14ac:dyDescent="0.3">
      <c r="A35" s="42"/>
      <c r="B35" s="42"/>
      <c r="C35" s="43"/>
      <c r="D35" s="43"/>
      <c r="E35" s="37"/>
      <c r="F35" s="42"/>
      <c r="G35" s="42"/>
      <c r="H35" s="41"/>
      <c r="I35" s="46"/>
      <c r="J35" s="41">
        <f t="shared" si="2"/>
        <v>0</v>
      </c>
    </row>
    <row r="36" spans="1:12" ht="19.95" customHeight="1" x14ac:dyDescent="0.3">
      <c r="A36" s="88"/>
      <c r="B36" s="88"/>
      <c r="C36" s="88"/>
      <c r="D36" s="88"/>
      <c r="E36" s="48"/>
      <c r="F36" s="88"/>
      <c r="G36" s="49"/>
      <c r="H36" s="41">
        <f>SUM(H28:H35)</f>
        <v>4710</v>
      </c>
      <c r="I36" s="46">
        <f>SUM(I28:I35)</f>
        <v>1733</v>
      </c>
      <c r="J36" s="41">
        <f>SUM(J28:J35)</f>
        <v>2977</v>
      </c>
    </row>
    <row r="37" spans="1:12" x14ac:dyDescent="0.3">
      <c r="A37" s="52"/>
      <c r="B37" s="52"/>
      <c r="C37" s="52"/>
      <c r="D37" s="52"/>
      <c r="E37" s="52"/>
      <c r="F37" s="53"/>
      <c r="G37" s="52"/>
      <c r="H37" s="52"/>
      <c r="I37" s="52"/>
      <c r="J37" s="52"/>
    </row>
    <row r="38" spans="1:12" ht="30" customHeight="1" x14ac:dyDescent="0.3">
      <c r="A38" s="100" t="s">
        <v>20</v>
      </c>
      <c r="B38" s="100"/>
      <c r="C38" s="100"/>
      <c r="D38" s="100"/>
      <c r="E38" s="100"/>
      <c r="F38" s="100"/>
      <c r="G38" s="100"/>
      <c r="H38" s="100"/>
      <c r="I38" s="100"/>
      <c r="J38" s="100"/>
    </row>
    <row r="39" spans="1:12" ht="30" customHeight="1" x14ac:dyDescent="0.3">
      <c r="A39" s="42" t="s">
        <v>1</v>
      </c>
      <c r="B39" s="42" t="s">
        <v>2</v>
      </c>
      <c r="C39" s="54" t="s">
        <v>3</v>
      </c>
      <c r="D39" s="54" t="s">
        <v>4</v>
      </c>
      <c r="E39" s="42" t="s">
        <v>5</v>
      </c>
      <c r="F39" s="54" t="s">
        <v>6</v>
      </c>
      <c r="G39" s="54" t="s">
        <v>7</v>
      </c>
      <c r="H39" s="42" t="s">
        <v>8</v>
      </c>
      <c r="I39" s="42" t="s">
        <v>9</v>
      </c>
      <c r="J39" s="42" t="s">
        <v>10</v>
      </c>
    </row>
    <row r="40" spans="1:12" ht="19.95" customHeight="1" x14ac:dyDescent="0.3">
      <c r="A40" s="42">
        <v>250079</v>
      </c>
      <c r="B40" s="42">
        <v>304</v>
      </c>
      <c r="C40" s="43">
        <v>0.7</v>
      </c>
      <c r="D40" s="43" t="s">
        <v>11</v>
      </c>
      <c r="E40" s="37" t="s">
        <v>228</v>
      </c>
      <c r="F40" s="42" t="s">
        <v>41</v>
      </c>
      <c r="G40" s="42">
        <v>304</v>
      </c>
      <c r="H40" s="41">
        <v>964</v>
      </c>
      <c r="I40" s="46">
        <v>653</v>
      </c>
      <c r="J40" s="41">
        <f>H40-I40</f>
        <v>311</v>
      </c>
      <c r="K40" s="90"/>
      <c r="L40" s="90"/>
    </row>
    <row r="41" spans="1:12" ht="19.95" customHeight="1" x14ac:dyDescent="0.3">
      <c r="A41" s="42">
        <v>250079</v>
      </c>
      <c r="B41" s="42">
        <v>304</v>
      </c>
      <c r="C41" s="43">
        <v>1</v>
      </c>
      <c r="D41" s="43" t="s">
        <v>11</v>
      </c>
      <c r="E41" s="37" t="s">
        <v>229</v>
      </c>
      <c r="F41" s="42" t="s">
        <v>41</v>
      </c>
      <c r="G41" s="42">
        <v>304</v>
      </c>
      <c r="H41" s="41">
        <v>36</v>
      </c>
      <c r="I41" s="46"/>
      <c r="J41" s="41">
        <f>H41-I41</f>
        <v>36</v>
      </c>
    </row>
    <row r="42" spans="1:12" ht="19.95" customHeight="1" x14ac:dyDescent="0.3">
      <c r="A42" s="42">
        <v>250079</v>
      </c>
      <c r="B42" s="42">
        <v>304</v>
      </c>
      <c r="C42" s="43">
        <v>0.7</v>
      </c>
      <c r="D42" s="43" t="s">
        <v>11</v>
      </c>
      <c r="E42" s="37" t="s">
        <v>231</v>
      </c>
      <c r="F42" s="42" t="s">
        <v>41</v>
      </c>
      <c r="G42" s="42">
        <v>304</v>
      </c>
      <c r="H42" s="41">
        <v>1314</v>
      </c>
      <c r="I42" s="46"/>
      <c r="J42" s="41">
        <f>H42-I42</f>
        <v>1314</v>
      </c>
    </row>
    <row r="43" spans="1:12" ht="19.95" customHeight="1" x14ac:dyDescent="0.3">
      <c r="A43" s="42">
        <v>250079</v>
      </c>
      <c r="B43" s="42">
        <v>304</v>
      </c>
      <c r="C43" s="43">
        <v>1</v>
      </c>
      <c r="D43" s="43" t="s">
        <v>11</v>
      </c>
      <c r="E43" s="37" t="s">
        <v>230</v>
      </c>
      <c r="F43" s="42" t="s">
        <v>41</v>
      </c>
      <c r="G43" s="42">
        <v>304</v>
      </c>
      <c r="H43" s="41">
        <v>36</v>
      </c>
      <c r="I43" s="46"/>
      <c r="J43" s="41">
        <f t="shared" ref="J43:J56" si="3">H43-I43</f>
        <v>36</v>
      </c>
    </row>
    <row r="44" spans="1:12" ht="19.95" customHeight="1" x14ac:dyDescent="0.3">
      <c r="A44" s="42">
        <v>250080</v>
      </c>
      <c r="B44" s="42">
        <v>304</v>
      </c>
      <c r="C44" s="43">
        <v>0.7</v>
      </c>
      <c r="D44" s="43" t="s">
        <v>11</v>
      </c>
      <c r="E44" s="37" t="s">
        <v>232</v>
      </c>
      <c r="F44" s="42" t="s">
        <v>41</v>
      </c>
      <c r="G44" s="42">
        <v>430</v>
      </c>
      <c r="H44" s="41">
        <v>1000</v>
      </c>
      <c r="I44" s="46"/>
      <c r="J44" s="41">
        <f t="shared" si="3"/>
        <v>1000</v>
      </c>
    </row>
    <row r="45" spans="1:12" ht="19.95" customHeight="1" x14ac:dyDescent="0.3">
      <c r="A45" s="42">
        <v>250079</v>
      </c>
      <c r="B45" s="42">
        <v>304</v>
      </c>
      <c r="C45" s="43">
        <v>0.7</v>
      </c>
      <c r="D45" s="43" t="s">
        <v>11</v>
      </c>
      <c r="E45" s="37" t="s">
        <v>233</v>
      </c>
      <c r="F45" s="42" t="s">
        <v>41</v>
      </c>
      <c r="G45" s="42">
        <v>304</v>
      </c>
      <c r="H45" s="41">
        <v>1314</v>
      </c>
      <c r="I45" s="46"/>
      <c r="J45" s="41">
        <f t="shared" si="3"/>
        <v>1314</v>
      </c>
    </row>
    <row r="46" spans="1:12" ht="19.95" customHeight="1" x14ac:dyDescent="0.3">
      <c r="A46" s="42">
        <v>250079</v>
      </c>
      <c r="B46" s="42">
        <v>304</v>
      </c>
      <c r="C46" s="43">
        <v>1</v>
      </c>
      <c r="D46" s="43" t="s">
        <v>11</v>
      </c>
      <c r="E46" s="37" t="s">
        <v>234</v>
      </c>
      <c r="F46" s="42" t="s">
        <v>41</v>
      </c>
      <c r="G46" s="42">
        <v>304</v>
      </c>
      <c r="H46" s="41">
        <v>36</v>
      </c>
      <c r="I46" s="46"/>
      <c r="J46" s="41">
        <f t="shared" si="3"/>
        <v>36</v>
      </c>
    </row>
    <row r="47" spans="1:12" ht="19.95" customHeight="1" x14ac:dyDescent="0.3">
      <c r="A47" s="42">
        <v>250080</v>
      </c>
      <c r="B47" s="42">
        <v>304</v>
      </c>
      <c r="C47" s="43">
        <v>0.7</v>
      </c>
      <c r="D47" s="43" t="s">
        <v>11</v>
      </c>
      <c r="E47" s="37" t="s">
        <v>235</v>
      </c>
      <c r="F47" s="42" t="s">
        <v>41</v>
      </c>
      <c r="G47" s="42">
        <v>430</v>
      </c>
      <c r="H47" s="41">
        <v>1200</v>
      </c>
      <c r="I47" s="46"/>
      <c r="J47" s="41">
        <f t="shared" si="3"/>
        <v>1200</v>
      </c>
    </row>
    <row r="48" spans="1:12" ht="19.95" customHeight="1" x14ac:dyDescent="0.3">
      <c r="A48" s="38">
        <v>250084</v>
      </c>
      <c r="B48" s="38">
        <v>304</v>
      </c>
      <c r="C48" s="39">
        <v>0.7</v>
      </c>
      <c r="D48" s="38" t="s">
        <v>11</v>
      </c>
      <c r="E48" s="80" t="s">
        <v>246</v>
      </c>
      <c r="F48" s="38" t="s">
        <v>45</v>
      </c>
      <c r="G48" s="38">
        <v>304</v>
      </c>
      <c r="H48" s="32">
        <v>715</v>
      </c>
      <c r="I48" s="40">
        <v>722</v>
      </c>
      <c r="J48" s="32">
        <f t="shared" si="3"/>
        <v>-7</v>
      </c>
    </row>
    <row r="49" spans="1:10" ht="27" customHeight="1" x14ac:dyDescent="0.3">
      <c r="A49" s="38">
        <v>250084</v>
      </c>
      <c r="B49" s="38">
        <v>304</v>
      </c>
      <c r="C49" s="39" t="s">
        <v>248</v>
      </c>
      <c r="D49" s="38" t="s">
        <v>11</v>
      </c>
      <c r="E49" s="80" t="s">
        <v>247</v>
      </c>
      <c r="F49" s="38" t="s">
        <v>45</v>
      </c>
      <c r="G49" s="38">
        <v>304</v>
      </c>
      <c r="H49" s="32">
        <v>15</v>
      </c>
      <c r="I49" s="40">
        <v>15</v>
      </c>
      <c r="J49" s="32">
        <f t="shared" si="3"/>
        <v>0</v>
      </c>
    </row>
    <row r="50" spans="1:10" ht="19.95" customHeight="1" x14ac:dyDescent="0.3">
      <c r="A50" s="42">
        <v>250084</v>
      </c>
      <c r="B50" s="42">
        <v>304</v>
      </c>
      <c r="C50" s="43">
        <v>0.7</v>
      </c>
      <c r="D50" s="4" t="s">
        <v>11</v>
      </c>
      <c r="E50" s="37" t="s">
        <v>249</v>
      </c>
      <c r="F50" s="42" t="s">
        <v>45</v>
      </c>
      <c r="G50" s="42">
        <v>304</v>
      </c>
      <c r="H50" s="41">
        <v>715</v>
      </c>
      <c r="I50" s="46"/>
      <c r="J50" s="41">
        <f t="shared" si="3"/>
        <v>715</v>
      </c>
    </row>
    <row r="51" spans="1:10" ht="27" customHeight="1" x14ac:dyDescent="0.3">
      <c r="A51" s="42">
        <v>250084</v>
      </c>
      <c r="B51" s="42">
        <v>304</v>
      </c>
      <c r="C51" s="43" t="s">
        <v>248</v>
      </c>
      <c r="D51" s="4" t="s">
        <v>11</v>
      </c>
      <c r="E51" s="66" t="s">
        <v>250</v>
      </c>
      <c r="F51" s="42" t="s">
        <v>45</v>
      </c>
      <c r="G51" s="42">
        <v>304</v>
      </c>
      <c r="H51" s="41">
        <v>15</v>
      </c>
      <c r="I51" s="46"/>
      <c r="J51" s="41">
        <f t="shared" si="3"/>
        <v>15</v>
      </c>
    </row>
    <row r="52" spans="1:10" ht="19.95" customHeight="1" x14ac:dyDescent="0.3">
      <c r="A52" s="42">
        <v>250084</v>
      </c>
      <c r="B52" s="42">
        <v>304</v>
      </c>
      <c r="C52" s="43">
        <v>0.7</v>
      </c>
      <c r="D52" s="4" t="s">
        <v>11</v>
      </c>
      <c r="E52" s="37" t="s">
        <v>251</v>
      </c>
      <c r="F52" s="42" t="s">
        <v>45</v>
      </c>
      <c r="G52" s="42">
        <v>304</v>
      </c>
      <c r="H52" s="41">
        <v>715</v>
      </c>
      <c r="I52" s="46"/>
      <c r="J52" s="41">
        <f t="shared" si="3"/>
        <v>715</v>
      </c>
    </row>
    <row r="53" spans="1:10" ht="27" customHeight="1" x14ac:dyDescent="0.3">
      <c r="A53" s="42">
        <v>250084</v>
      </c>
      <c r="B53" s="42">
        <v>304</v>
      </c>
      <c r="C53" s="43" t="s">
        <v>248</v>
      </c>
      <c r="D53" s="4" t="s">
        <v>11</v>
      </c>
      <c r="E53" s="66" t="s">
        <v>252</v>
      </c>
      <c r="F53" s="42" t="s">
        <v>45</v>
      </c>
      <c r="G53" s="42">
        <v>304</v>
      </c>
      <c r="H53" s="41">
        <v>15</v>
      </c>
      <c r="I53" s="46"/>
      <c r="J53" s="41">
        <f t="shared" si="3"/>
        <v>15</v>
      </c>
    </row>
    <row r="54" spans="1:10" ht="19.95" customHeight="1" x14ac:dyDescent="0.3">
      <c r="A54" s="42">
        <v>250082</v>
      </c>
      <c r="B54" s="42">
        <v>430</v>
      </c>
      <c r="C54" s="43">
        <v>0.6</v>
      </c>
      <c r="D54" s="43" t="s">
        <v>11</v>
      </c>
      <c r="E54" s="37" t="s">
        <v>253</v>
      </c>
      <c r="F54" s="42" t="s">
        <v>13</v>
      </c>
      <c r="G54" s="42">
        <v>430</v>
      </c>
      <c r="H54" s="41">
        <v>1000</v>
      </c>
      <c r="I54" s="46"/>
      <c r="J54" s="41">
        <f t="shared" si="3"/>
        <v>1000</v>
      </c>
    </row>
    <row r="55" spans="1:10" ht="19.95" customHeight="1" x14ac:dyDescent="0.3">
      <c r="A55" s="42">
        <v>250082</v>
      </c>
      <c r="B55" s="42">
        <v>430</v>
      </c>
      <c r="C55" s="43">
        <v>0.6</v>
      </c>
      <c r="D55" s="43" t="s">
        <v>11</v>
      </c>
      <c r="E55" s="37" t="s">
        <v>254</v>
      </c>
      <c r="F55" s="42" t="s">
        <v>13</v>
      </c>
      <c r="G55" s="42">
        <v>430</v>
      </c>
      <c r="H55" s="41">
        <v>1000</v>
      </c>
      <c r="I55" s="46"/>
      <c r="J55" s="41">
        <f t="shared" si="3"/>
        <v>1000</v>
      </c>
    </row>
    <row r="56" spans="1:10" ht="19.95" customHeight="1" x14ac:dyDescent="0.3">
      <c r="A56" s="42"/>
      <c r="B56" s="42"/>
      <c r="C56" s="43"/>
      <c r="D56" s="43"/>
      <c r="E56" s="37"/>
      <c r="F56" s="42"/>
      <c r="G56" s="42"/>
      <c r="H56" s="41"/>
      <c r="I56" s="46"/>
      <c r="J56" s="41">
        <f t="shared" si="3"/>
        <v>0</v>
      </c>
    </row>
    <row r="57" spans="1:10" ht="19.95" customHeight="1" x14ac:dyDescent="0.3">
      <c r="A57" s="88"/>
      <c r="B57" s="88"/>
      <c r="C57" s="88"/>
      <c r="D57" s="88"/>
      <c r="E57" s="48"/>
      <c r="F57" s="88"/>
      <c r="G57" s="49"/>
      <c r="H57" s="41">
        <f>SUM(H40:H56)</f>
        <v>10090</v>
      </c>
      <c r="I57" s="46">
        <f>SUM(I40:I56)</f>
        <v>1390</v>
      </c>
      <c r="J57" s="41">
        <f>SUM(J40:J56)</f>
        <v>8700</v>
      </c>
    </row>
    <row r="58" spans="1:10" ht="19.95" customHeight="1" x14ac:dyDescent="0.3">
      <c r="A58" s="89"/>
      <c r="B58" s="89"/>
      <c r="C58" s="89"/>
      <c r="D58" s="89"/>
      <c r="E58" s="56"/>
      <c r="F58" s="89"/>
      <c r="G58" s="89"/>
      <c r="H58" s="57"/>
      <c r="I58" s="58"/>
      <c r="J58" s="57"/>
    </row>
    <row r="59" spans="1:10" ht="30" customHeight="1" x14ac:dyDescent="0.3">
      <c r="A59" s="100" t="s">
        <v>19</v>
      </c>
      <c r="B59" s="100"/>
      <c r="C59" s="100"/>
      <c r="D59" s="100"/>
      <c r="E59" s="100"/>
      <c r="F59" s="100"/>
      <c r="G59" s="100"/>
      <c r="H59" s="100"/>
      <c r="I59" s="100"/>
      <c r="J59" s="100"/>
    </row>
    <row r="60" spans="1:10" ht="30" customHeight="1" x14ac:dyDescent="0.3">
      <c r="A60" s="42" t="s">
        <v>1</v>
      </c>
      <c r="B60" s="42" t="s">
        <v>2</v>
      </c>
      <c r="C60" s="54" t="s">
        <v>3</v>
      </c>
      <c r="D60" s="54" t="s">
        <v>4</v>
      </c>
      <c r="E60" s="42" t="s">
        <v>5</v>
      </c>
      <c r="F60" s="54" t="s">
        <v>6</v>
      </c>
      <c r="G60" s="54" t="s">
        <v>7</v>
      </c>
      <c r="H60" s="42" t="s">
        <v>8</v>
      </c>
      <c r="I60" s="42" t="s">
        <v>9</v>
      </c>
      <c r="J60" s="42" t="s">
        <v>10</v>
      </c>
    </row>
    <row r="61" spans="1:10" ht="19.95" customHeight="1" x14ac:dyDescent="0.3">
      <c r="A61" s="42" t="s">
        <v>225</v>
      </c>
      <c r="B61" s="42">
        <v>304</v>
      </c>
      <c r="C61" s="43">
        <v>0.7</v>
      </c>
      <c r="D61" s="43" t="s">
        <v>55</v>
      </c>
      <c r="E61" s="37" t="s">
        <v>236</v>
      </c>
      <c r="F61" s="42" t="s">
        <v>45</v>
      </c>
      <c r="G61" s="42">
        <v>430</v>
      </c>
      <c r="H61" s="23">
        <v>1000</v>
      </c>
      <c r="I61" s="24"/>
      <c r="J61" s="23">
        <f t="shared" ref="J61:J72" si="4">H61-I61</f>
        <v>1000</v>
      </c>
    </row>
    <row r="62" spans="1:10" ht="19.95" customHeight="1" x14ac:dyDescent="0.3">
      <c r="A62" s="42" t="s">
        <v>225</v>
      </c>
      <c r="B62" s="42">
        <v>304</v>
      </c>
      <c r="C62" s="43">
        <v>0.7</v>
      </c>
      <c r="D62" s="43" t="s">
        <v>55</v>
      </c>
      <c r="E62" s="37" t="s">
        <v>237</v>
      </c>
      <c r="F62" s="42" t="s">
        <v>45</v>
      </c>
      <c r="G62" s="42">
        <v>430</v>
      </c>
      <c r="H62" s="23">
        <v>1000</v>
      </c>
      <c r="I62" s="46"/>
      <c r="J62" s="41">
        <f t="shared" si="4"/>
        <v>1000</v>
      </c>
    </row>
    <row r="63" spans="1:10" ht="19.95" customHeight="1" x14ac:dyDescent="0.3">
      <c r="A63" s="38">
        <v>151025</v>
      </c>
      <c r="B63" s="38">
        <v>304</v>
      </c>
      <c r="C63" s="39">
        <v>0.7</v>
      </c>
      <c r="D63" s="39" t="s">
        <v>55</v>
      </c>
      <c r="E63" s="36" t="s">
        <v>238</v>
      </c>
      <c r="F63" s="38" t="s">
        <v>45</v>
      </c>
      <c r="G63" s="38">
        <v>430</v>
      </c>
      <c r="H63" s="32">
        <v>1000</v>
      </c>
      <c r="I63" s="40">
        <v>1022</v>
      </c>
      <c r="J63" s="32">
        <f t="shared" si="4"/>
        <v>-22</v>
      </c>
    </row>
    <row r="64" spans="1:10" ht="19.95" customHeight="1" x14ac:dyDescent="0.3">
      <c r="A64" s="83">
        <v>250081</v>
      </c>
      <c r="B64" s="83">
        <v>304</v>
      </c>
      <c r="C64" s="84">
        <v>0.6</v>
      </c>
      <c r="D64" s="84" t="s">
        <v>11</v>
      </c>
      <c r="E64" s="85" t="s">
        <v>239</v>
      </c>
      <c r="F64" s="83" t="s">
        <v>45</v>
      </c>
      <c r="G64" s="83">
        <v>430</v>
      </c>
      <c r="H64" s="86">
        <v>500</v>
      </c>
      <c r="I64" s="87">
        <f>423+524</f>
        <v>947</v>
      </c>
      <c r="J64" s="86">
        <f t="shared" si="4"/>
        <v>-447</v>
      </c>
    </row>
    <row r="65" spans="1:10" ht="19.95" customHeight="1" x14ac:dyDescent="0.3">
      <c r="A65" s="38">
        <v>250078</v>
      </c>
      <c r="B65" s="38">
        <v>304</v>
      </c>
      <c r="C65" s="39">
        <v>0.7</v>
      </c>
      <c r="D65" s="39" t="s">
        <v>11</v>
      </c>
      <c r="E65" s="36" t="s">
        <v>240</v>
      </c>
      <c r="F65" s="38" t="s">
        <v>13</v>
      </c>
      <c r="G65" s="38">
        <v>304</v>
      </c>
      <c r="H65" s="32">
        <v>775</v>
      </c>
      <c r="I65" s="40">
        <v>786</v>
      </c>
      <c r="J65" s="32">
        <f>H65-I65</f>
        <v>-11</v>
      </c>
    </row>
    <row r="66" spans="1:10" ht="19.95" customHeight="1" x14ac:dyDescent="0.3">
      <c r="A66" s="38">
        <v>250078</v>
      </c>
      <c r="B66" s="38">
        <v>304</v>
      </c>
      <c r="C66" s="39">
        <v>1</v>
      </c>
      <c r="D66" s="39" t="s">
        <v>11</v>
      </c>
      <c r="E66" s="36" t="s">
        <v>241</v>
      </c>
      <c r="F66" s="38" t="s">
        <v>13</v>
      </c>
      <c r="G66" s="38">
        <v>304</v>
      </c>
      <c r="H66" s="32">
        <v>15</v>
      </c>
      <c r="I66" s="40">
        <v>15</v>
      </c>
      <c r="J66" s="32">
        <f>H66-I66</f>
        <v>0</v>
      </c>
    </row>
    <row r="67" spans="1:10" ht="28.2" customHeight="1" x14ac:dyDescent="0.3">
      <c r="A67" s="42">
        <v>250081</v>
      </c>
      <c r="B67" s="42">
        <v>304</v>
      </c>
      <c r="C67" s="43">
        <v>0.6</v>
      </c>
      <c r="D67" s="43" t="s">
        <v>11</v>
      </c>
      <c r="E67" s="66" t="s">
        <v>255</v>
      </c>
      <c r="F67" s="42" t="s">
        <v>45</v>
      </c>
      <c r="G67" s="42">
        <v>430</v>
      </c>
      <c r="H67" s="23">
        <v>400</v>
      </c>
      <c r="I67" s="24"/>
      <c r="J67" s="23">
        <f t="shared" ref="J67:J71" si="5">H67-I67</f>
        <v>400</v>
      </c>
    </row>
    <row r="68" spans="1:10" ht="19.95" customHeight="1" x14ac:dyDescent="0.3">
      <c r="A68" s="42">
        <v>250084</v>
      </c>
      <c r="B68" s="42">
        <v>304</v>
      </c>
      <c r="C68" s="43">
        <v>0.7</v>
      </c>
      <c r="D68" s="43" t="s">
        <v>11</v>
      </c>
      <c r="E68" s="37" t="s">
        <v>256</v>
      </c>
      <c r="F68" s="42" t="s">
        <v>45</v>
      </c>
      <c r="G68" s="42">
        <v>304</v>
      </c>
      <c r="H68" s="23">
        <v>715</v>
      </c>
      <c r="I68" s="24"/>
      <c r="J68" s="23">
        <f t="shared" si="5"/>
        <v>715</v>
      </c>
    </row>
    <row r="69" spans="1:10" ht="27.6" customHeight="1" x14ac:dyDescent="0.3">
      <c r="A69" s="42">
        <v>250084</v>
      </c>
      <c r="B69" s="42">
        <v>304</v>
      </c>
      <c r="C69" s="43">
        <v>1</v>
      </c>
      <c r="D69" s="43" t="s">
        <v>11</v>
      </c>
      <c r="E69" s="66" t="s">
        <v>257</v>
      </c>
      <c r="F69" s="42" t="s">
        <v>45</v>
      </c>
      <c r="G69" s="42">
        <v>304</v>
      </c>
      <c r="H69" s="23">
        <v>15</v>
      </c>
      <c r="I69" s="24"/>
      <c r="J69" s="23">
        <f t="shared" si="5"/>
        <v>15</v>
      </c>
    </row>
    <row r="70" spans="1:10" ht="19.95" customHeight="1" x14ac:dyDescent="0.3">
      <c r="A70" s="42">
        <v>250084</v>
      </c>
      <c r="B70" s="42">
        <v>304</v>
      </c>
      <c r="C70" s="43">
        <v>0.7</v>
      </c>
      <c r="D70" s="43" t="s">
        <v>11</v>
      </c>
      <c r="E70" s="37" t="s">
        <v>258</v>
      </c>
      <c r="F70" s="42" t="s">
        <v>45</v>
      </c>
      <c r="G70" s="42">
        <v>304</v>
      </c>
      <c r="H70" s="23">
        <v>715</v>
      </c>
      <c r="I70" s="24"/>
      <c r="J70" s="23">
        <f t="shared" si="5"/>
        <v>715</v>
      </c>
    </row>
    <row r="71" spans="1:10" ht="31.2" customHeight="1" x14ac:dyDescent="0.3">
      <c r="A71" s="42">
        <v>250084</v>
      </c>
      <c r="B71" s="42">
        <v>304</v>
      </c>
      <c r="C71" s="43">
        <v>1</v>
      </c>
      <c r="D71" s="43" t="s">
        <v>11</v>
      </c>
      <c r="E71" s="66" t="s">
        <v>259</v>
      </c>
      <c r="F71" s="42" t="s">
        <v>45</v>
      </c>
      <c r="G71" s="42">
        <v>304</v>
      </c>
      <c r="H71" s="23">
        <v>15</v>
      </c>
      <c r="I71" s="24"/>
      <c r="J71" s="23">
        <f t="shared" si="5"/>
        <v>15</v>
      </c>
    </row>
    <row r="72" spans="1:10" ht="19.95" customHeight="1" x14ac:dyDescent="0.3">
      <c r="A72" s="42"/>
      <c r="B72" s="42"/>
      <c r="C72" s="43"/>
      <c r="D72" s="43"/>
      <c r="E72" s="37"/>
      <c r="F72" s="42"/>
      <c r="G72" s="42"/>
      <c r="H72" s="41"/>
      <c r="I72" s="46"/>
      <c r="J72" s="41">
        <f t="shared" si="4"/>
        <v>0</v>
      </c>
    </row>
    <row r="73" spans="1:10" ht="19.95" customHeight="1" x14ac:dyDescent="0.3">
      <c r="A73" s="88"/>
      <c r="B73" s="88"/>
      <c r="C73" s="88"/>
      <c r="D73" s="88"/>
      <c r="E73" s="48"/>
      <c r="F73" s="88"/>
      <c r="G73" s="49"/>
      <c r="H73" s="41">
        <f>SUM(H61:H72)</f>
        <v>6150</v>
      </c>
      <c r="I73" s="46">
        <f>SUM(I61:I72)</f>
        <v>2770</v>
      </c>
      <c r="J73" s="41">
        <f>SUM(J61:J72)</f>
        <v>3380</v>
      </c>
    </row>
    <row r="74" spans="1:10" ht="19.95" customHeight="1" x14ac:dyDescent="0.3">
      <c r="A74" s="89"/>
      <c r="B74" s="89"/>
      <c r="C74" s="89"/>
      <c r="D74" s="89"/>
      <c r="E74" s="56"/>
      <c r="F74" s="89"/>
      <c r="G74" s="89"/>
      <c r="H74" s="57"/>
      <c r="I74" s="58"/>
      <c r="J74" s="57"/>
    </row>
    <row r="75" spans="1:10" ht="30" customHeight="1" x14ac:dyDescent="0.3">
      <c r="A75" s="100" t="s">
        <v>23</v>
      </c>
      <c r="B75" s="100"/>
      <c r="C75" s="100"/>
      <c r="D75" s="100"/>
      <c r="E75" s="100"/>
      <c r="F75" s="100"/>
      <c r="G75" s="100"/>
      <c r="H75" s="100"/>
      <c r="I75" s="100"/>
      <c r="J75" s="100"/>
    </row>
    <row r="76" spans="1:10" ht="30" customHeight="1" x14ac:dyDescent="0.3">
      <c r="A76" s="42" t="s">
        <v>1</v>
      </c>
      <c r="B76" s="42" t="s">
        <v>2</v>
      </c>
      <c r="C76" s="54" t="s">
        <v>3</v>
      </c>
      <c r="D76" s="54" t="s">
        <v>4</v>
      </c>
      <c r="E76" s="42" t="s">
        <v>5</v>
      </c>
      <c r="F76" s="54" t="s">
        <v>6</v>
      </c>
      <c r="G76" s="54" t="s">
        <v>7</v>
      </c>
      <c r="H76" s="42" t="s">
        <v>8</v>
      </c>
      <c r="I76" s="42" t="s">
        <v>9</v>
      </c>
      <c r="J76" s="42" t="s">
        <v>10</v>
      </c>
    </row>
    <row r="77" spans="1:10" ht="19.95" customHeight="1" x14ac:dyDescent="0.3">
      <c r="A77" s="42">
        <v>151025</v>
      </c>
      <c r="B77" s="42">
        <v>304</v>
      </c>
      <c r="C77" s="43">
        <v>0.7</v>
      </c>
      <c r="D77" s="43" t="s">
        <v>55</v>
      </c>
      <c r="E77" s="37" t="s">
        <v>244</v>
      </c>
      <c r="F77" s="42" t="s">
        <v>45</v>
      </c>
      <c r="G77" s="42">
        <v>430</v>
      </c>
      <c r="H77" s="41">
        <v>1000</v>
      </c>
      <c r="I77" s="46"/>
      <c r="J77" s="23">
        <f t="shared" ref="J77:J83" si="6">H77-I77</f>
        <v>1000</v>
      </c>
    </row>
    <row r="78" spans="1:10" ht="19.95" customHeight="1" x14ac:dyDescent="0.3">
      <c r="A78" s="42">
        <v>250081</v>
      </c>
      <c r="B78" s="42">
        <v>304</v>
      </c>
      <c r="C78" s="43">
        <v>0.6</v>
      </c>
      <c r="D78" s="43" t="s">
        <v>11</v>
      </c>
      <c r="E78" s="37" t="s">
        <v>245</v>
      </c>
      <c r="F78" s="42" t="s">
        <v>45</v>
      </c>
      <c r="G78" s="42">
        <v>430</v>
      </c>
      <c r="H78" s="23">
        <v>500</v>
      </c>
      <c r="I78" s="24"/>
      <c r="J78" s="23">
        <f t="shared" si="6"/>
        <v>500</v>
      </c>
    </row>
    <row r="79" spans="1:10" ht="19.95" customHeight="1" x14ac:dyDescent="0.3">
      <c r="A79" s="38">
        <v>250081</v>
      </c>
      <c r="B79" s="38">
        <v>304</v>
      </c>
      <c r="C79" s="39">
        <v>0.6</v>
      </c>
      <c r="D79" s="39" t="s">
        <v>96</v>
      </c>
      <c r="E79" s="36" t="s">
        <v>242</v>
      </c>
      <c r="F79" s="38" t="s">
        <v>45</v>
      </c>
      <c r="G79" s="38">
        <v>430</v>
      </c>
      <c r="H79" s="32">
        <v>600</v>
      </c>
      <c r="I79" s="40">
        <v>602</v>
      </c>
      <c r="J79" s="32">
        <f>H79-I79</f>
        <v>-2</v>
      </c>
    </row>
    <row r="80" spans="1:10" ht="19.95" customHeight="1" x14ac:dyDescent="0.3">
      <c r="A80" s="38">
        <v>250082</v>
      </c>
      <c r="B80" s="38">
        <v>430</v>
      </c>
      <c r="C80" s="39">
        <v>0.6</v>
      </c>
      <c r="D80" s="39" t="s">
        <v>96</v>
      </c>
      <c r="E80" s="36" t="s">
        <v>243</v>
      </c>
      <c r="F80" s="38" t="s">
        <v>13</v>
      </c>
      <c r="G80" s="38">
        <v>430</v>
      </c>
      <c r="H80" s="32">
        <v>1000</v>
      </c>
      <c r="I80" s="40">
        <v>1016</v>
      </c>
      <c r="J80" s="32">
        <f>H80-I80</f>
        <v>-16</v>
      </c>
    </row>
    <row r="81" spans="1:10" ht="19.95" customHeight="1" x14ac:dyDescent="0.3">
      <c r="A81" s="42">
        <v>250078</v>
      </c>
      <c r="B81" s="42">
        <v>304</v>
      </c>
      <c r="C81" s="43">
        <v>0.7</v>
      </c>
      <c r="D81" s="43" t="s">
        <v>11</v>
      </c>
      <c r="E81" s="37" t="s">
        <v>224</v>
      </c>
      <c r="F81" s="42" t="s">
        <v>13</v>
      </c>
      <c r="G81" s="42">
        <v>304</v>
      </c>
      <c r="H81" s="41">
        <v>131</v>
      </c>
      <c r="I81" s="46"/>
      <c r="J81" s="41">
        <f t="shared" si="6"/>
        <v>131</v>
      </c>
    </row>
    <row r="82" spans="1:10" ht="19.95" customHeight="1" x14ac:dyDescent="0.3">
      <c r="A82" s="38">
        <v>250049</v>
      </c>
      <c r="B82" s="38">
        <v>304</v>
      </c>
      <c r="C82" s="39">
        <v>0.9</v>
      </c>
      <c r="D82" s="39" t="s">
        <v>55</v>
      </c>
      <c r="E82" s="36" t="s">
        <v>260</v>
      </c>
      <c r="F82" s="38" t="s">
        <v>52</v>
      </c>
      <c r="G82" s="38">
        <v>430</v>
      </c>
      <c r="H82" s="32">
        <v>450</v>
      </c>
      <c r="I82" s="40">
        <v>464</v>
      </c>
      <c r="J82" s="32">
        <f t="shared" si="6"/>
        <v>-14</v>
      </c>
    </row>
    <row r="83" spans="1:10" ht="19.95" customHeight="1" x14ac:dyDescent="0.3">
      <c r="A83" s="42"/>
      <c r="B83" s="42"/>
      <c r="C83" s="43"/>
      <c r="D83" s="43"/>
      <c r="E83" s="37"/>
      <c r="F83" s="42"/>
      <c r="G83" s="42"/>
      <c r="H83" s="41"/>
      <c r="I83" s="46"/>
      <c r="J83" s="41">
        <f t="shared" si="6"/>
        <v>0</v>
      </c>
    </row>
    <row r="84" spans="1:10" ht="19.95" customHeight="1" x14ac:dyDescent="0.3">
      <c r="A84" s="101"/>
      <c r="B84" s="101"/>
      <c r="C84" s="101"/>
      <c r="D84" s="101"/>
      <c r="E84" s="101"/>
      <c r="F84" s="101"/>
      <c r="G84" s="101"/>
      <c r="H84" s="41">
        <f>SUM(H77:H83)</f>
        <v>3681</v>
      </c>
      <c r="I84" s="46">
        <f>SUM(I77:I83)</f>
        <v>2082</v>
      </c>
      <c r="J84" s="41">
        <f>SUM(J77:J83)</f>
        <v>1599</v>
      </c>
    </row>
    <row r="85" spans="1:10" x14ac:dyDescent="0.3">
      <c r="A85" s="102"/>
      <c r="B85" s="102"/>
      <c r="C85" s="102"/>
      <c r="D85" s="102"/>
      <c r="E85" s="102"/>
      <c r="F85" s="102"/>
      <c r="G85" s="102"/>
    </row>
    <row r="86" spans="1:10" ht="15.6" x14ac:dyDescent="0.3">
      <c r="H86" s="8">
        <f>H84+H73+H57+H36+H24+H8</f>
        <v>29161</v>
      </c>
      <c r="I86" s="8">
        <f>I84+I73+I57+I36+I24+I8</f>
        <v>12608</v>
      </c>
      <c r="J86" s="8">
        <f>J84+J73+J57+J36+J24+J8</f>
        <v>16553</v>
      </c>
    </row>
    <row r="88" spans="1:10" ht="23.4" x14ac:dyDescent="0.3">
      <c r="A88" s="95" t="s">
        <v>14</v>
      </c>
      <c r="B88" s="95"/>
      <c r="C88" s="95"/>
      <c r="D88" s="95"/>
      <c r="E88" s="95"/>
      <c r="F88" s="95"/>
      <c r="G88" s="95"/>
      <c r="H88" s="95"/>
      <c r="I88" s="95"/>
      <c r="J88" s="95"/>
    </row>
  </sheetData>
  <mergeCells count="11">
    <mergeCell ref="A38:J38"/>
    <mergeCell ref="A59:J59"/>
    <mergeCell ref="A75:J75"/>
    <mergeCell ref="A84:G85"/>
    <mergeCell ref="A88:J88"/>
    <mergeCell ref="A26:J26"/>
    <mergeCell ref="H1:J1"/>
    <mergeCell ref="A2:J2"/>
    <mergeCell ref="A3:J3"/>
    <mergeCell ref="E5:E6"/>
    <mergeCell ref="A10:J10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zoomScale="85" zoomScaleNormal="85" workbookViewId="0">
      <selection activeCell="K20" sqref="K20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2.886718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262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38">
        <v>250079</v>
      </c>
      <c r="B5" s="38">
        <v>304</v>
      </c>
      <c r="C5" s="39">
        <v>0.7</v>
      </c>
      <c r="D5" s="39" t="s">
        <v>11</v>
      </c>
      <c r="E5" s="36" t="s">
        <v>228</v>
      </c>
      <c r="F5" s="38" t="s">
        <v>41</v>
      </c>
      <c r="G5" s="38">
        <v>304</v>
      </c>
      <c r="H5" s="32">
        <v>311</v>
      </c>
      <c r="I5" s="40">
        <v>370</v>
      </c>
      <c r="J5" s="32">
        <f t="shared" ref="J5:J13" si="0">H5-I5</f>
        <v>-59</v>
      </c>
    </row>
    <row r="6" spans="1:10" ht="19.95" customHeight="1" x14ac:dyDescent="0.3">
      <c r="A6" s="38">
        <v>250079</v>
      </c>
      <c r="B6" s="38">
        <v>304</v>
      </c>
      <c r="C6" s="39">
        <v>1</v>
      </c>
      <c r="D6" s="39" t="s">
        <v>11</v>
      </c>
      <c r="E6" s="36" t="s">
        <v>229</v>
      </c>
      <c r="F6" s="38" t="s">
        <v>41</v>
      </c>
      <c r="G6" s="38">
        <v>304</v>
      </c>
      <c r="H6" s="32">
        <v>36</v>
      </c>
      <c r="I6" s="40">
        <v>43</v>
      </c>
      <c r="J6" s="32">
        <f t="shared" si="0"/>
        <v>-7</v>
      </c>
    </row>
    <row r="7" spans="1:10" ht="19.95" customHeight="1" x14ac:dyDescent="0.3">
      <c r="A7" s="38">
        <v>250079</v>
      </c>
      <c r="B7" s="38">
        <v>304</v>
      </c>
      <c r="C7" s="39">
        <v>0.7</v>
      </c>
      <c r="D7" s="39" t="s">
        <v>11</v>
      </c>
      <c r="E7" s="36" t="s">
        <v>231</v>
      </c>
      <c r="F7" s="38" t="s">
        <v>41</v>
      </c>
      <c r="G7" s="38">
        <v>304</v>
      </c>
      <c r="H7" s="32">
        <v>1314</v>
      </c>
      <c r="I7" s="40">
        <v>1425</v>
      </c>
      <c r="J7" s="32">
        <f t="shared" si="0"/>
        <v>-111</v>
      </c>
    </row>
    <row r="8" spans="1:10" ht="19.95" customHeight="1" x14ac:dyDescent="0.3">
      <c r="A8" s="38">
        <v>250079</v>
      </c>
      <c r="B8" s="38">
        <v>304</v>
      </c>
      <c r="C8" s="39">
        <v>1</v>
      </c>
      <c r="D8" s="39" t="s">
        <v>11</v>
      </c>
      <c r="E8" s="36" t="s">
        <v>230</v>
      </c>
      <c r="F8" s="38" t="s">
        <v>41</v>
      </c>
      <c r="G8" s="38">
        <v>304</v>
      </c>
      <c r="H8" s="32">
        <v>36</v>
      </c>
      <c r="I8" s="40">
        <v>43</v>
      </c>
      <c r="J8" s="32">
        <f t="shared" si="0"/>
        <v>-7</v>
      </c>
    </row>
    <row r="9" spans="1:10" ht="19.95" customHeight="1" x14ac:dyDescent="0.3">
      <c r="A9" s="38">
        <v>250080</v>
      </c>
      <c r="B9" s="38">
        <v>304</v>
      </c>
      <c r="C9" s="39">
        <v>0.7</v>
      </c>
      <c r="D9" s="39" t="s">
        <v>11</v>
      </c>
      <c r="E9" s="36" t="s">
        <v>232</v>
      </c>
      <c r="F9" s="38" t="s">
        <v>41</v>
      </c>
      <c r="G9" s="38">
        <v>430</v>
      </c>
      <c r="H9" s="32">
        <v>1000</v>
      </c>
      <c r="I9" s="40">
        <v>1031</v>
      </c>
      <c r="J9" s="32">
        <f t="shared" si="0"/>
        <v>-31</v>
      </c>
    </row>
    <row r="10" spans="1:10" ht="19.95" customHeight="1" x14ac:dyDescent="0.3">
      <c r="A10" s="38">
        <v>250079</v>
      </c>
      <c r="B10" s="38">
        <v>304</v>
      </c>
      <c r="C10" s="39">
        <v>0.7</v>
      </c>
      <c r="D10" s="39" t="s">
        <v>11</v>
      </c>
      <c r="E10" s="36" t="s">
        <v>233</v>
      </c>
      <c r="F10" s="38" t="s">
        <v>41</v>
      </c>
      <c r="G10" s="38">
        <v>304</v>
      </c>
      <c r="H10" s="32">
        <v>1314</v>
      </c>
      <c r="I10" s="40">
        <f>1144+210</f>
        <v>1354</v>
      </c>
      <c r="J10" s="32">
        <f t="shared" si="0"/>
        <v>-40</v>
      </c>
    </row>
    <row r="11" spans="1:10" ht="19.95" customHeight="1" x14ac:dyDescent="0.3">
      <c r="A11" s="38">
        <v>250079</v>
      </c>
      <c r="B11" s="38">
        <v>304</v>
      </c>
      <c r="C11" s="39">
        <v>1</v>
      </c>
      <c r="D11" s="39" t="s">
        <v>11</v>
      </c>
      <c r="E11" s="36" t="s">
        <v>234</v>
      </c>
      <c r="F11" s="38" t="s">
        <v>41</v>
      </c>
      <c r="G11" s="38">
        <v>304</v>
      </c>
      <c r="H11" s="32">
        <v>36</v>
      </c>
      <c r="I11" s="40">
        <v>45</v>
      </c>
      <c r="J11" s="32">
        <f t="shared" si="0"/>
        <v>-9</v>
      </c>
    </row>
    <row r="12" spans="1:10" ht="19.95" customHeight="1" x14ac:dyDescent="0.3">
      <c r="A12" s="38">
        <v>250080</v>
      </c>
      <c r="B12" s="38">
        <v>304</v>
      </c>
      <c r="C12" s="39">
        <v>0.7</v>
      </c>
      <c r="D12" s="39" t="s">
        <v>11</v>
      </c>
      <c r="E12" s="36" t="s">
        <v>235</v>
      </c>
      <c r="F12" s="38" t="s">
        <v>41</v>
      </c>
      <c r="G12" s="38">
        <v>430</v>
      </c>
      <c r="H12" s="32">
        <v>1200</v>
      </c>
      <c r="I12" s="40">
        <v>1241</v>
      </c>
      <c r="J12" s="32">
        <f t="shared" si="0"/>
        <v>-41</v>
      </c>
    </row>
    <row r="13" spans="1:10" ht="19.95" customHeight="1" x14ac:dyDescent="0.3">
      <c r="A13" s="42"/>
      <c r="B13" s="42"/>
      <c r="C13" s="43"/>
      <c r="D13" s="43"/>
      <c r="E13" s="37"/>
      <c r="F13" s="42"/>
      <c r="G13" s="42"/>
      <c r="H13" s="23"/>
      <c r="I13" s="24"/>
      <c r="J13" s="23">
        <f t="shared" si="0"/>
        <v>0</v>
      </c>
    </row>
    <row r="14" spans="1:10" ht="19.95" customHeight="1" x14ac:dyDescent="0.3">
      <c r="A14" s="88"/>
      <c r="B14" s="88"/>
      <c r="C14" s="88"/>
      <c r="D14" s="88"/>
      <c r="E14" s="48"/>
      <c r="F14" s="88"/>
      <c r="G14" s="49"/>
      <c r="H14" s="73">
        <f>SUM(H5:H13)</f>
        <v>5247</v>
      </c>
      <c r="I14" s="74">
        <f>SUM(I5:I13)</f>
        <v>5552</v>
      </c>
      <c r="J14" s="23">
        <f>SUM(J5:J13)</f>
        <v>-305</v>
      </c>
    </row>
    <row r="15" spans="1:10" x14ac:dyDescent="0.3">
      <c r="A15" s="52"/>
      <c r="B15" s="52"/>
      <c r="C15" s="52"/>
      <c r="D15" s="52"/>
      <c r="E15" s="52"/>
      <c r="F15" s="53"/>
      <c r="G15" s="52"/>
      <c r="H15" s="52"/>
      <c r="I15" s="52"/>
      <c r="J15" s="52"/>
    </row>
    <row r="16" spans="1:10" ht="30" customHeight="1" x14ac:dyDescent="0.3">
      <c r="A16" s="100" t="s">
        <v>17</v>
      </c>
      <c r="B16" s="100"/>
      <c r="C16" s="100"/>
      <c r="D16" s="100"/>
      <c r="E16" s="100"/>
      <c r="F16" s="100"/>
      <c r="G16" s="100"/>
      <c r="H16" s="100"/>
      <c r="I16" s="100"/>
      <c r="J16" s="100"/>
    </row>
    <row r="17" spans="1:10" ht="30" customHeight="1" x14ac:dyDescent="0.3">
      <c r="A17" s="42" t="s">
        <v>1</v>
      </c>
      <c r="B17" s="42" t="s">
        <v>2</v>
      </c>
      <c r="C17" s="54" t="s">
        <v>3</v>
      </c>
      <c r="D17" s="54" t="s">
        <v>4</v>
      </c>
      <c r="E17" s="42" t="s">
        <v>5</v>
      </c>
      <c r="F17" s="54" t="s">
        <v>6</v>
      </c>
      <c r="G17" s="54" t="s">
        <v>7</v>
      </c>
      <c r="H17" s="42" t="s">
        <v>8</v>
      </c>
      <c r="I17" s="42" t="s">
        <v>9</v>
      </c>
      <c r="J17" s="42" t="s">
        <v>10</v>
      </c>
    </row>
    <row r="18" spans="1:10" ht="19.95" customHeight="1" x14ac:dyDescent="0.3">
      <c r="A18" s="42">
        <v>250082</v>
      </c>
      <c r="B18" s="42">
        <v>430</v>
      </c>
      <c r="C18" s="43">
        <v>0.6</v>
      </c>
      <c r="D18" s="43" t="s">
        <v>11</v>
      </c>
      <c r="E18" s="37" t="s">
        <v>253</v>
      </c>
      <c r="F18" s="42" t="s">
        <v>13</v>
      </c>
      <c r="G18" s="42">
        <v>430</v>
      </c>
      <c r="H18" s="41">
        <v>1000</v>
      </c>
      <c r="I18" s="24"/>
      <c r="J18" s="23">
        <f t="shared" ref="J18:J26" si="1">H18-I18</f>
        <v>1000</v>
      </c>
    </row>
    <row r="19" spans="1:10" ht="19.95" customHeight="1" x14ac:dyDescent="0.3">
      <c r="A19" s="42">
        <v>250084</v>
      </c>
      <c r="B19" s="42">
        <v>304</v>
      </c>
      <c r="C19" s="43">
        <v>0.7</v>
      </c>
      <c r="D19" s="43" t="s">
        <v>11</v>
      </c>
      <c r="E19" s="37" t="s">
        <v>256</v>
      </c>
      <c r="F19" s="42" t="s">
        <v>45</v>
      </c>
      <c r="G19" s="42">
        <v>304</v>
      </c>
      <c r="H19" s="23">
        <v>715</v>
      </c>
      <c r="I19" s="24"/>
      <c r="J19" s="23">
        <f t="shared" si="1"/>
        <v>715</v>
      </c>
    </row>
    <row r="20" spans="1:10" ht="26.4" customHeight="1" x14ac:dyDescent="0.3">
      <c r="A20" s="42">
        <v>250084</v>
      </c>
      <c r="B20" s="42">
        <v>304</v>
      </c>
      <c r="C20" s="43">
        <v>1</v>
      </c>
      <c r="D20" s="43" t="s">
        <v>11</v>
      </c>
      <c r="E20" s="66" t="s">
        <v>257</v>
      </c>
      <c r="F20" s="42" t="s">
        <v>45</v>
      </c>
      <c r="G20" s="42">
        <v>304</v>
      </c>
      <c r="H20" s="23">
        <v>15</v>
      </c>
      <c r="I20" s="24"/>
      <c r="J20" s="23">
        <f t="shared" si="1"/>
        <v>15</v>
      </c>
    </row>
    <row r="21" spans="1:10" ht="19.95" customHeight="1" x14ac:dyDescent="0.3">
      <c r="A21" s="42">
        <v>250081</v>
      </c>
      <c r="B21" s="42">
        <v>304</v>
      </c>
      <c r="C21" s="43">
        <v>0.6</v>
      </c>
      <c r="D21" s="43" t="s">
        <v>11</v>
      </c>
      <c r="E21" s="37" t="s">
        <v>245</v>
      </c>
      <c r="F21" s="42" t="s">
        <v>45</v>
      </c>
      <c r="G21" s="42">
        <v>430</v>
      </c>
      <c r="H21" s="23">
        <v>500</v>
      </c>
      <c r="I21" s="24"/>
      <c r="J21" s="23">
        <f t="shared" si="1"/>
        <v>500</v>
      </c>
    </row>
    <row r="22" spans="1:10" ht="19.95" customHeight="1" x14ac:dyDescent="0.3">
      <c r="A22" s="42">
        <v>151025</v>
      </c>
      <c r="B22" s="42">
        <v>304</v>
      </c>
      <c r="C22" s="43">
        <v>0.7</v>
      </c>
      <c r="D22" s="43" t="s">
        <v>55</v>
      </c>
      <c r="E22" s="37" t="s">
        <v>244</v>
      </c>
      <c r="F22" s="42" t="s">
        <v>45</v>
      </c>
      <c r="G22" s="42">
        <v>430</v>
      </c>
      <c r="H22" s="41">
        <v>1000</v>
      </c>
      <c r="I22" s="24"/>
      <c r="J22" s="23">
        <f t="shared" si="1"/>
        <v>1000</v>
      </c>
    </row>
    <row r="23" spans="1:10" ht="19.95" customHeight="1" x14ac:dyDescent="0.3">
      <c r="A23" s="42">
        <v>250084</v>
      </c>
      <c r="B23" s="42">
        <v>304</v>
      </c>
      <c r="C23" s="43">
        <v>0.7</v>
      </c>
      <c r="D23" s="43" t="s">
        <v>11</v>
      </c>
      <c r="E23" s="37" t="s">
        <v>258</v>
      </c>
      <c r="F23" s="42" t="s">
        <v>45</v>
      </c>
      <c r="G23" s="42">
        <v>304</v>
      </c>
      <c r="H23" s="23">
        <v>715</v>
      </c>
      <c r="I23" s="24"/>
      <c r="J23" s="23">
        <f t="shared" si="1"/>
        <v>715</v>
      </c>
    </row>
    <row r="24" spans="1:10" ht="27.6" customHeight="1" x14ac:dyDescent="0.3">
      <c r="A24" s="42">
        <v>250084</v>
      </c>
      <c r="B24" s="42">
        <v>304</v>
      </c>
      <c r="C24" s="43">
        <v>1</v>
      </c>
      <c r="D24" s="43" t="s">
        <v>11</v>
      </c>
      <c r="E24" s="66" t="s">
        <v>259</v>
      </c>
      <c r="F24" s="42" t="s">
        <v>45</v>
      </c>
      <c r="G24" s="42">
        <v>304</v>
      </c>
      <c r="H24" s="23">
        <v>15</v>
      </c>
      <c r="I24" s="24"/>
      <c r="J24" s="23">
        <f t="shared" si="1"/>
        <v>15</v>
      </c>
    </row>
    <row r="25" spans="1:10" ht="19.95" customHeight="1" x14ac:dyDescent="0.3">
      <c r="A25" s="38">
        <v>151025</v>
      </c>
      <c r="B25" s="38">
        <v>304</v>
      </c>
      <c r="C25" s="39">
        <v>0.7</v>
      </c>
      <c r="D25" s="39" t="s">
        <v>55</v>
      </c>
      <c r="E25" s="36" t="s">
        <v>226</v>
      </c>
      <c r="F25" s="38" t="s">
        <v>45</v>
      </c>
      <c r="G25" s="38">
        <v>430</v>
      </c>
      <c r="H25" s="32">
        <v>1000</v>
      </c>
      <c r="I25" s="40">
        <v>1000</v>
      </c>
      <c r="J25" s="32">
        <f t="shared" si="1"/>
        <v>0</v>
      </c>
    </row>
    <row r="26" spans="1:10" ht="19.95" customHeight="1" x14ac:dyDescent="0.3">
      <c r="A26" s="21"/>
      <c r="B26" s="21"/>
      <c r="C26" s="22"/>
      <c r="D26" s="22"/>
      <c r="E26" s="20"/>
      <c r="F26" s="21"/>
      <c r="G26" s="21"/>
      <c r="H26" s="23"/>
      <c r="I26" s="24"/>
      <c r="J26" s="23">
        <f t="shared" si="1"/>
        <v>0</v>
      </c>
    </row>
    <row r="27" spans="1:10" ht="19.95" customHeight="1" x14ac:dyDescent="0.3">
      <c r="A27" s="88"/>
      <c r="B27" s="88"/>
      <c r="C27" s="88"/>
      <c r="D27" s="88"/>
      <c r="E27" s="48"/>
      <c r="F27" s="88"/>
      <c r="G27" s="49"/>
      <c r="H27" s="23">
        <f>SUM(H18:H26)</f>
        <v>4960</v>
      </c>
      <c r="I27" s="24">
        <f>SUM(I18:I26)</f>
        <v>1000</v>
      </c>
      <c r="J27" s="23">
        <f>SUM(J18:J26)</f>
        <v>3960</v>
      </c>
    </row>
    <row r="28" spans="1:10" x14ac:dyDescent="0.3">
      <c r="A28" s="52"/>
      <c r="B28" s="52"/>
      <c r="C28" s="52"/>
      <c r="D28" s="52"/>
      <c r="E28" s="52"/>
      <c r="F28" s="53"/>
      <c r="G28" s="52"/>
      <c r="H28" s="52"/>
      <c r="I28" s="52"/>
      <c r="J28" s="52"/>
    </row>
    <row r="29" spans="1:10" ht="30" customHeight="1" x14ac:dyDescent="0.3">
      <c r="A29" s="100" t="s">
        <v>18</v>
      </c>
      <c r="B29" s="100"/>
      <c r="C29" s="100"/>
      <c r="D29" s="100"/>
      <c r="E29" s="100"/>
      <c r="F29" s="100"/>
      <c r="G29" s="100"/>
      <c r="H29" s="100"/>
      <c r="I29" s="100"/>
      <c r="J29" s="100"/>
    </row>
    <row r="30" spans="1:10" ht="30" customHeight="1" x14ac:dyDescent="0.3">
      <c r="A30" s="42" t="s">
        <v>1</v>
      </c>
      <c r="B30" s="42" t="s">
        <v>2</v>
      </c>
      <c r="C30" s="54" t="s">
        <v>3</v>
      </c>
      <c r="D30" s="54" t="s">
        <v>4</v>
      </c>
      <c r="E30" s="42" t="s">
        <v>5</v>
      </c>
      <c r="F30" s="54" t="s">
        <v>6</v>
      </c>
      <c r="G30" s="54" t="s">
        <v>7</v>
      </c>
      <c r="H30" s="42" t="s">
        <v>8</v>
      </c>
      <c r="I30" s="42" t="s">
        <v>9</v>
      </c>
      <c r="J30" s="42" t="s">
        <v>10</v>
      </c>
    </row>
    <row r="31" spans="1:10" ht="19.95" customHeight="1" x14ac:dyDescent="0.3">
      <c r="A31" s="42" t="s">
        <v>225</v>
      </c>
      <c r="B31" s="42">
        <v>304</v>
      </c>
      <c r="C31" s="43">
        <v>0.7</v>
      </c>
      <c r="D31" s="43" t="s">
        <v>55</v>
      </c>
      <c r="E31" s="37" t="s">
        <v>226</v>
      </c>
      <c r="F31" s="42" t="s">
        <v>45</v>
      </c>
      <c r="G31" s="42">
        <v>430</v>
      </c>
      <c r="H31" s="23">
        <v>1000</v>
      </c>
      <c r="I31" s="24">
        <v>407</v>
      </c>
      <c r="J31" s="23">
        <f t="shared" ref="J31:J34" si="2">H31-I31</f>
        <v>593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186</v>
      </c>
      <c r="F32" s="42" t="s">
        <v>45</v>
      </c>
      <c r="G32" s="42">
        <v>430</v>
      </c>
      <c r="H32" s="23">
        <v>1000</v>
      </c>
      <c r="I32" s="24">
        <v>990</v>
      </c>
      <c r="J32" s="23">
        <f t="shared" si="2"/>
        <v>10</v>
      </c>
    </row>
    <row r="33" spans="1:13" ht="19.95" customHeight="1" x14ac:dyDescent="0.3">
      <c r="A33" s="42">
        <v>250084</v>
      </c>
      <c r="B33" s="42">
        <v>304</v>
      </c>
      <c r="C33" s="43">
        <v>0.7</v>
      </c>
      <c r="D33" s="4" t="s">
        <v>11</v>
      </c>
      <c r="E33" s="37" t="s">
        <v>251</v>
      </c>
      <c r="F33" s="42" t="s">
        <v>45</v>
      </c>
      <c r="G33" s="42">
        <v>304</v>
      </c>
      <c r="H33" s="41">
        <v>715</v>
      </c>
      <c r="I33" s="24"/>
      <c r="J33" s="23">
        <f t="shared" si="2"/>
        <v>715</v>
      </c>
    </row>
    <row r="34" spans="1:13" ht="34.200000000000003" customHeight="1" x14ac:dyDescent="0.3">
      <c r="A34" s="42">
        <v>250084</v>
      </c>
      <c r="B34" s="42">
        <v>304</v>
      </c>
      <c r="C34" s="43" t="s">
        <v>248</v>
      </c>
      <c r="D34" s="4" t="s">
        <v>11</v>
      </c>
      <c r="E34" s="66" t="s">
        <v>252</v>
      </c>
      <c r="F34" s="42" t="s">
        <v>45</v>
      </c>
      <c r="G34" s="42">
        <v>304</v>
      </c>
      <c r="H34" s="41">
        <v>15</v>
      </c>
      <c r="I34" s="24"/>
      <c r="J34" s="23">
        <f t="shared" si="2"/>
        <v>15</v>
      </c>
    </row>
    <row r="35" spans="1:13" ht="19.95" customHeight="1" x14ac:dyDescent="0.3">
      <c r="A35" s="42">
        <v>250084</v>
      </c>
      <c r="B35" s="42">
        <v>304</v>
      </c>
      <c r="C35" s="43">
        <v>0.7</v>
      </c>
      <c r="D35" s="4" t="s">
        <v>11</v>
      </c>
      <c r="E35" s="37" t="s">
        <v>249</v>
      </c>
      <c r="F35" s="42" t="s">
        <v>45</v>
      </c>
      <c r="G35" s="42">
        <v>304</v>
      </c>
      <c r="H35" s="41">
        <v>715</v>
      </c>
      <c r="I35" s="24"/>
      <c r="J35" s="23">
        <f t="shared" ref="J35:J38" si="3">H35-I35</f>
        <v>715</v>
      </c>
    </row>
    <row r="36" spans="1:13" ht="30" customHeight="1" x14ac:dyDescent="0.3">
      <c r="A36" s="42">
        <v>250084</v>
      </c>
      <c r="B36" s="42">
        <v>304</v>
      </c>
      <c r="C36" s="43" t="s">
        <v>248</v>
      </c>
      <c r="D36" s="4" t="s">
        <v>11</v>
      </c>
      <c r="E36" s="66" t="s">
        <v>250</v>
      </c>
      <c r="F36" s="42" t="s">
        <v>45</v>
      </c>
      <c r="G36" s="42">
        <v>304</v>
      </c>
      <c r="H36" s="41">
        <v>15</v>
      </c>
      <c r="I36" s="24"/>
      <c r="J36" s="23">
        <f t="shared" si="3"/>
        <v>15</v>
      </c>
    </row>
    <row r="37" spans="1:13" ht="19.95" customHeight="1" x14ac:dyDescent="0.3">
      <c r="A37" s="42">
        <v>250078</v>
      </c>
      <c r="B37" s="42">
        <v>304</v>
      </c>
      <c r="C37" s="43">
        <v>0.7</v>
      </c>
      <c r="D37" s="43" t="s">
        <v>11</v>
      </c>
      <c r="E37" s="37" t="s">
        <v>224</v>
      </c>
      <c r="F37" s="42" t="s">
        <v>13</v>
      </c>
      <c r="G37" s="42">
        <v>304</v>
      </c>
      <c r="H37" s="41">
        <v>131</v>
      </c>
      <c r="I37" s="24"/>
      <c r="J37" s="23">
        <f t="shared" si="3"/>
        <v>131</v>
      </c>
    </row>
    <row r="38" spans="1:13" ht="19.95" customHeight="1" x14ac:dyDescent="0.3">
      <c r="A38" s="42"/>
      <c r="B38" s="42"/>
      <c r="C38" s="43"/>
      <c r="D38" s="43"/>
      <c r="E38" s="37"/>
      <c r="F38" s="42"/>
      <c r="G38" s="42"/>
      <c r="H38" s="41"/>
      <c r="I38" s="46"/>
      <c r="J38" s="41">
        <f t="shared" si="3"/>
        <v>0</v>
      </c>
    </row>
    <row r="39" spans="1:13" ht="19.95" customHeight="1" x14ac:dyDescent="0.3">
      <c r="A39" s="88"/>
      <c r="B39" s="88"/>
      <c r="C39" s="88"/>
      <c r="D39" s="88"/>
      <c r="E39" s="48"/>
      <c r="F39" s="88"/>
      <c r="G39" s="49"/>
      <c r="H39" s="41">
        <f>SUM(H31:H38)</f>
        <v>3591</v>
      </c>
      <c r="I39" s="46">
        <f>SUM(I31:I38)</f>
        <v>1397</v>
      </c>
      <c r="J39" s="41">
        <f>SUM(J31:J38)</f>
        <v>2194</v>
      </c>
    </row>
    <row r="40" spans="1:13" x14ac:dyDescent="0.3">
      <c r="A40" s="52"/>
      <c r="B40" s="52"/>
      <c r="C40" s="52"/>
      <c r="D40" s="52"/>
      <c r="E40" s="52"/>
      <c r="F40" s="53"/>
      <c r="G40" s="52"/>
      <c r="H40" s="52"/>
      <c r="I40" s="52"/>
      <c r="J40" s="52"/>
    </row>
    <row r="41" spans="1:13" ht="30" customHeight="1" x14ac:dyDescent="0.3">
      <c r="A41" s="100" t="s">
        <v>20</v>
      </c>
      <c r="B41" s="100"/>
      <c r="C41" s="100"/>
      <c r="D41" s="100"/>
      <c r="E41" s="100"/>
      <c r="F41" s="100"/>
      <c r="G41" s="100"/>
      <c r="H41" s="100"/>
      <c r="I41" s="100"/>
      <c r="J41" s="100"/>
    </row>
    <row r="42" spans="1:13" ht="30" customHeight="1" x14ac:dyDescent="0.3">
      <c r="A42" s="42" t="s">
        <v>1</v>
      </c>
      <c r="B42" s="42" t="s">
        <v>2</v>
      </c>
      <c r="C42" s="54" t="s">
        <v>3</v>
      </c>
      <c r="D42" s="54" t="s">
        <v>4</v>
      </c>
      <c r="E42" s="42" t="s">
        <v>5</v>
      </c>
      <c r="F42" s="54" t="s">
        <v>6</v>
      </c>
      <c r="G42" s="54" t="s">
        <v>7</v>
      </c>
      <c r="H42" s="42" t="s">
        <v>8</v>
      </c>
      <c r="I42" s="42" t="s">
        <v>9</v>
      </c>
      <c r="J42" s="42" t="s">
        <v>10</v>
      </c>
    </row>
    <row r="43" spans="1:13" ht="19.95" customHeight="1" x14ac:dyDescent="0.3">
      <c r="A43" s="42" t="s">
        <v>225</v>
      </c>
      <c r="B43" s="42">
        <v>304</v>
      </c>
      <c r="C43" s="43">
        <v>0.7</v>
      </c>
      <c r="D43" s="43" t="s">
        <v>55</v>
      </c>
      <c r="E43" s="37" t="s">
        <v>236</v>
      </c>
      <c r="F43" s="42" t="s">
        <v>45</v>
      </c>
      <c r="G43" s="42">
        <v>430</v>
      </c>
      <c r="H43" s="23">
        <v>1000</v>
      </c>
      <c r="I43" s="46"/>
      <c r="J43" s="41">
        <f>H43-I43</f>
        <v>1000</v>
      </c>
      <c r="K43" s="91"/>
      <c r="L43" s="91"/>
      <c r="M43" s="91"/>
    </row>
    <row r="44" spans="1:13" ht="19.95" customHeight="1" x14ac:dyDescent="0.3">
      <c r="A44" s="42" t="s">
        <v>225</v>
      </c>
      <c r="B44" s="42">
        <v>304</v>
      </c>
      <c r="C44" s="43">
        <v>0.7</v>
      </c>
      <c r="D44" s="43" t="s">
        <v>55</v>
      </c>
      <c r="E44" s="37" t="s">
        <v>237</v>
      </c>
      <c r="F44" s="42" t="s">
        <v>45</v>
      </c>
      <c r="G44" s="42">
        <v>430</v>
      </c>
      <c r="H44" s="23">
        <v>1000</v>
      </c>
      <c r="I44" s="46"/>
      <c r="J44" s="41">
        <f>H44-I44</f>
        <v>1000</v>
      </c>
    </row>
    <row r="45" spans="1:13" ht="27" customHeight="1" x14ac:dyDescent="0.3">
      <c r="A45" s="42">
        <v>250081</v>
      </c>
      <c r="B45" s="42">
        <v>304</v>
      </c>
      <c r="C45" s="43">
        <v>0.6</v>
      </c>
      <c r="D45" s="43" t="s">
        <v>11</v>
      </c>
      <c r="E45" s="66" t="s">
        <v>255</v>
      </c>
      <c r="F45" s="42" t="s">
        <v>45</v>
      </c>
      <c r="G45" s="42">
        <v>430</v>
      </c>
      <c r="H45" s="23">
        <v>400</v>
      </c>
      <c r="I45" s="46"/>
      <c r="J45" s="41">
        <f>H45-I45</f>
        <v>400</v>
      </c>
    </row>
    <row r="46" spans="1:13" ht="19.95" customHeight="1" x14ac:dyDescent="0.3">
      <c r="A46" s="42">
        <v>250082</v>
      </c>
      <c r="B46" s="42">
        <v>430</v>
      </c>
      <c r="C46" s="43">
        <v>0.6</v>
      </c>
      <c r="D46" s="43" t="s">
        <v>11</v>
      </c>
      <c r="E46" s="37" t="s">
        <v>254</v>
      </c>
      <c r="F46" s="42" t="s">
        <v>13</v>
      </c>
      <c r="G46" s="42">
        <v>430</v>
      </c>
      <c r="H46" s="41">
        <v>1000</v>
      </c>
      <c r="I46" s="46"/>
      <c r="J46" s="41">
        <f t="shared" ref="J46:J49" si="4">H46-I46</f>
        <v>1000</v>
      </c>
    </row>
    <row r="47" spans="1:13" ht="28.05" customHeight="1" x14ac:dyDescent="0.3">
      <c r="A47" s="42">
        <v>250060</v>
      </c>
      <c r="B47" s="42">
        <v>304</v>
      </c>
      <c r="C47" s="43">
        <v>0.8</v>
      </c>
      <c r="D47" s="43" t="s">
        <v>55</v>
      </c>
      <c r="E47" s="66" t="s">
        <v>263</v>
      </c>
      <c r="F47" s="42" t="s">
        <v>45</v>
      </c>
      <c r="G47" s="42">
        <v>304</v>
      </c>
      <c r="H47" s="41">
        <v>665</v>
      </c>
      <c r="I47" s="46"/>
      <c r="J47" s="41">
        <f t="shared" si="4"/>
        <v>665</v>
      </c>
    </row>
    <row r="48" spans="1:13" ht="28.05" customHeight="1" x14ac:dyDescent="0.3">
      <c r="A48" s="42">
        <v>250060</v>
      </c>
      <c r="B48" s="42">
        <v>304</v>
      </c>
      <c r="C48" s="43">
        <v>1</v>
      </c>
      <c r="D48" s="43" t="s">
        <v>55</v>
      </c>
      <c r="E48" s="66" t="s">
        <v>264</v>
      </c>
      <c r="F48" s="42" t="s">
        <v>45</v>
      </c>
      <c r="G48" s="42">
        <v>304</v>
      </c>
      <c r="H48" s="41">
        <v>15</v>
      </c>
      <c r="I48" s="46"/>
      <c r="J48" s="41">
        <f t="shared" si="4"/>
        <v>15</v>
      </c>
    </row>
    <row r="49" spans="1:10" ht="19.95" customHeight="1" x14ac:dyDescent="0.3">
      <c r="A49" s="42"/>
      <c r="B49" s="42"/>
      <c r="C49" s="43"/>
      <c r="D49" s="43"/>
      <c r="E49" s="37"/>
      <c r="F49" s="42"/>
      <c r="G49" s="42"/>
      <c r="H49" s="41"/>
      <c r="I49" s="46"/>
      <c r="J49" s="41">
        <f t="shared" si="4"/>
        <v>0</v>
      </c>
    </row>
    <row r="50" spans="1:10" ht="19.95" customHeight="1" x14ac:dyDescent="0.3">
      <c r="A50" s="88"/>
      <c r="B50" s="88"/>
      <c r="C50" s="88"/>
      <c r="D50" s="88"/>
      <c r="E50" s="48"/>
      <c r="F50" s="88"/>
      <c r="G50" s="49"/>
      <c r="H50" s="41">
        <f>SUM(H43:H49)</f>
        <v>4080</v>
      </c>
      <c r="I50" s="46">
        <f>SUM(I43:I49)</f>
        <v>0</v>
      </c>
      <c r="J50" s="41">
        <f>SUM(J43:J49)</f>
        <v>4080</v>
      </c>
    </row>
    <row r="51" spans="1:10" ht="19.95" customHeight="1" x14ac:dyDescent="0.3">
      <c r="A51" s="89"/>
      <c r="B51" s="89"/>
      <c r="C51" s="89"/>
      <c r="D51" s="89"/>
      <c r="E51" s="56"/>
      <c r="F51" s="89"/>
      <c r="G51" s="89"/>
      <c r="H51" s="57"/>
      <c r="I51" s="58"/>
      <c r="J51" s="57"/>
    </row>
    <row r="52" spans="1:10" ht="30" customHeight="1" x14ac:dyDescent="0.3">
      <c r="A52" s="100" t="s">
        <v>19</v>
      </c>
      <c r="B52" s="100"/>
      <c r="C52" s="100"/>
      <c r="D52" s="100"/>
      <c r="E52" s="100"/>
      <c r="F52" s="100"/>
      <c r="G52" s="100"/>
      <c r="H52" s="100"/>
      <c r="I52" s="100"/>
      <c r="J52" s="100"/>
    </row>
    <row r="53" spans="1:10" ht="30" customHeight="1" x14ac:dyDescent="0.3">
      <c r="A53" s="42" t="s">
        <v>1</v>
      </c>
      <c r="B53" s="42" t="s">
        <v>2</v>
      </c>
      <c r="C53" s="54" t="s">
        <v>3</v>
      </c>
      <c r="D53" s="54" t="s">
        <v>4</v>
      </c>
      <c r="E53" s="42" t="s">
        <v>5</v>
      </c>
      <c r="F53" s="54" t="s">
        <v>6</v>
      </c>
      <c r="G53" s="54" t="s">
        <v>7</v>
      </c>
      <c r="H53" s="42" t="s">
        <v>8</v>
      </c>
      <c r="I53" s="42" t="s">
        <v>9</v>
      </c>
      <c r="J53" s="42" t="s">
        <v>10</v>
      </c>
    </row>
    <row r="54" spans="1:10" ht="19.95" customHeight="1" x14ac:dyDescent="0.3">
      <c r="A54" s="42">
        <v>250058</v>
      </c>
      <c r="B54" s="42">
        <v>304</v>
      </c>
      <c r="C54" s="43">
        <v>0.7</v>
      </c>
      <c r="D54" s="43" t="s">
        <v>96</v>
      </c>
      <c r="E54" s="37" t="s">
        <v>265</v>
      </c>
      <c r="F54" s="42" t="s">
        <v>45</v>
      </c>
      <c r="G54" s="42">
        <v>304</v>
      </c>
      <c r="H54" s="23">
        <v>785</v>
      </c>
      <c r="I54" s="24"/>
      <c r="J54" s="23">
        <f t="shared" ref="J54:J64" si="5">H54-I54</f>
        <v>785</v>
      </c>
    </row>
    <row r="55" spans="1:10" ht="19.95" customHeight="1" x14ac:dyDescent="0.3">
      <c r="A55" s="42">
        <v>250058</v>
      </c>
      <c r="B55" s="42">
        <v>304</v>
      </c>
      <c r="C55" s="43" t="s">
        <v>266</v>
      </c>
      <c r="D55" s="43" t="s">
        <v>96</v>
      </c>
      <c r="E55" s="37" t="s">
        <v>267</v>
      </c>
      <c r="F55" s="42" t="s">
        <v>45</v>
      </c>
      <c r="G55" s="42">
        <v>304</v>
      </c>
      <c r="H55" s="23">
        <v>15</v>
      </c>
      <c r="I55" s="46"/>
      <c r="J55" s="41">
        <f t="shared" si="5"/>
        <v>15</v>
      </c>
    </row>
    <row r="56" spans="1:10" ht="19.95" customHeight="1" x14ac:dyDescent="0.3">
      <c r="A56" s="42">
        <v>250058</v>
      </c>
      <c r="B56" s="42">
        <v>304</v>
      </c>
      <c r="C56" s="22">
        <v>0.7</v>
      </c>
      <c r="D56" s="43" t="s">
        <v>96</v>
      </c>
      <c r="E56" s="20" t="s">
        <v>269</v>
      </c>
      <c r="F56" s="42" t="s">
        <v>45</v>
      </c>
      <c r="G56" s="42">
        <v>304</v>
      </c>
      <c r="H56" s="23">
        <v>785</v>
      </c>
      <c r="I56" s="24"/>
      <c r="J56" s="41">
        <f t="shared" si="5"/>
        <v>785</v>
      </c>
    </row>
    <row r="57" spans="1:10" ht="19.95" customHeight="1" x14ac:dyDescent="0.3">
      <c r="A57" s="42">
        <v>250058</v>
      </c>
      <c r="B57" s="42">
        <v>304</v>
      </c>
      <c r="C57" s="22" t="s">
        <v>266</v>
      </c>
      <c r="D57" s="43" t="s">
        <v>96</v>
      </c>
      <c r="E57" s="20" t="s">
        <v>268</v>
      </c>
      <c r="F57" s="42" t="s">
        <v>45</v>
      </c>
      <c r="G57" s="42">
        <v>304</v>
      </c>
      <c r="H57" s="23">
        <v>15</v>
      </c>
      <c r="I57" s="24"/>
      <c r="J57" s="41">
        <f t="shared" si="5"/>
        <v>15</v>
      </c>
    </row>
    <row r="58" spans="1:10" ht="19.95" customHeight="1" x14ac:dyDescent="0.3">
      <c r="A58" s="42">
        <v>250058</v>
      </c>
      <c r="B58" s="42">
        <v>304</v>
      </c>
      <c r="C58" s="22">
        <v>0.7</v>
      </c>
      <c r="D58" s="43" t="s">
        <v>96</v>
      </c>
      <c r="E58" s="20" t="s">
        <v>270</v>
      </c>
      <c r="F58" s="42" t="s">
        <v>45</v>
      </c>
      <c r="G58" s="42">
        <v>304</v>
      </c>
      <c r="H58" s="23">
        <v>785</v>
      </c>
      <c r="I58" s="24"/>
      <c r="J58" s="41">
        <f t="shared" si="5"/>
        <v>785</v>
      </c>
    </row>
    <row r="59" spans="1:10" ht="19.95" customHeight="1" x14ac:dyDescent="0.3">
      <c r="A59" s="42">
        <v>250058</v>
      </c>
      <c r="B59" s="42">
        <v>304</v>
      </c>
      <c r="C59" s="22" t="s">
        <v>266</v>
      </c>
      <c r="D59" s="43" t="s">
        <v>96</v>
      </c>
      <c r="E59" s="20" t="s">
        <v>271</v>
      </c>
      <c r="F59" s="42" t="s">
        <v>45</v>
      </c>
      <c r="G59" s="42">
        <v>304</v>
      </c>
      <c r="H59" s="23">
        <v>15</v>
      </c>
      <c r="I59" s="24"/>
      <c r="J59" s="41">
        <f t="shared" si="5"/>
        <v>15</v>
      </c>
    </row>
    <row r="60" spans="1:10" ht="28.2" customHeight="1" x14ac:dyDescent="0.3">
      <c r="A60" s="42">
        <v>250058</v>
      </c>
      <c r="B60" s="42">
        <v>304</v>
      </c>
      <c r="C60" s="43">
        <v>0.7</v>
      </c>
      <c r="D60" s="43" t="s">
        <v>96</v>
      </c>
      <c r="E60" s="20" t="s">
        <v>272</v>
      </c>
      <c r="F60" s="42" t="s">
        <v>45</v>
      </c>
      <c r="G60" s="42">
        <v>304</v>
      </c>
      <c r="H60" s="23">
        <v>785</v>
      </c>
      <c r="I60" s="24"/>
      <c r="J60" s="23">
        <f t="shared" ref="J60:J63" si="6">H60-I60</f>
        <v>785</v>
      </c>
    </row>
    <row r="61" spans="1:10" ht="19.95" customHeight="1" x14ac:dyDescent="0.3">
      <c r="A61" s="42">
        <v>250058</v>
      </c>
      <c r="B61" s="42">
        <v>304</v>
      </c>
      <c r="C61" s="43" t="s">
        <v>266</v>
      </c>
      <c r="D61" s="43" t="s">
        <v>96</v>
      </c>
      <c r="E61" s="20" t="s">
        <v>273</v>
      </c>
      <c r="F61" s="42" t="s">
        <v>45</v>
      </c>
      <c r="G61" s="42">
        <v>304</v>
      </c>
      <c r="H61" s="23">
        <v>15</v>
      </c>
      <c r="I61" s="24"/>
      <c r="J61" s="23">
        <f t="shared" si="6"/>
        <v>15</v>
      </c>
    </row>
    <row r="62" spans="1:10" ht="27.6" customHeight="1" x14ac:dyDescent="0.3">
      <c r="A62" s="42">
        <v>250058</v>
      </c>
      <c r="B62" s="42">
        <v>304</v>
      </c>
      <c r="C62" s="43">
        <v>0.7</v>
      </c>
      <c r="D62" s="43" t="s">
        <v>96</v>
      </c>
      <c r="E62" s="20" t="s">
        <v>274</v>
      </c>
      <c r="F62" s="42" t="s">
        <v>45</v>
      </c>
      <c r="G62" s="42">
        <v>304</v>
      </c>
      <c r="H62" s="23">
        <v>785</v>
      </c>
      <c r="I62" s="24"/>
      <c r="J62" s="23">
        <f t="shared" si="6"/>
        <v>785</v>
      </c>
    </row>
    <row r="63" spans="1:10" ht="19.95" customHeight="1" x14ac:dyDescent="0.3">
      <c r="A63" s="42">
        <v>250058</v>
      </c>
      <c r="B63" s="42">
        <v>304</v>
      </c>
      <c r="C63" s="43" t="s">
        <v>266</v>
      </c>
      <c r="D63" s="43" t="s">
        <v>96</v>
      </c>
      <c r="E63" s="20" t="s">
        <v>275</v>
      </c>
      <c r="F63" s="42" t="s">
        <v>45</v>
      </c>
      <c r="G63" s="42">
        <v>304</v>
      </c>
      <c r="H63" s="23">
        <v>15</v>
      </c>
      <c r="I63" s="24"/>
      <c r="J63" s="23">
        <f t="shared" si="6"/>
        <v>15</v>
      </c>
    </row>
    <row r="64" spans="1:10" ht="19.95" customHeight="1" x14ac:dyDescent="0.3">
      <c r="A64" s="42"/>
      <c r="B64" s="42"/>
      <c r="C64" s="43"/>
      <c r="D64" s="43"/>
      <c r="E64" s="37"/>
      <c r="F64" s="42"/>
      <c r="G64" s="42"/>
      <c r="H64" s="41"/>
      <c r="I64" s="46"/>
      <c r="J64" s="41">
        <f t="shared" si="5"/>
        <v>0</v>
      </c>
    </row>
    <row r="65" spans="1:10" ht="19.95" customHeight="1" x14ac:dyDescent="0.3">
      <c r="A65" s="88"/>
      <c r="B65" s="88"/>
      <c r="C65" s="88"/>
      <c r="D65" s="88"/>
      <c r="E65" s="48"/>
      <c r="F65" s="88"/>
      <c r="G65" s="49"/>
      <c r="H65" s="41">
        <f>SUM(H54:H64)</f>
        <v>4000</v>
      </c>
      <c r="I65" s="46">
        <f>SUM(I54:I64)</f>
        <v>0</v>
      </c>
      <c r="J65" s="41">
        <f>SUM(J54:J64)</f>
        <v>4000</v>
      </c>
    </row>
    <row r="66" spans="1:10" ht="19.95" customHeight="1" x14ac:dyDescent="0.3">
      <c r="A66" s="89"/>
      <c r="B66" s="89"/>
      <c r="C66" s="89"/>
      <c r="D66" s="89"/>
      <c r="E66" s="56"/>
      <c r="F66" s="89"/>
      <c r="G66" s="89"/>
      <c r="H66" s="57"/>
      <c r="I66" s="58"/>
      <c r="J66" s="57"/>
    </row>
    <row r="67" spans="1:10" ht="30" customHeight="1" x14ac:dyDescent="0.3">
      <c r="A67" s="100" t="s">
        <v>23</v>
      </c>
      <c r="B67" s="100"/>
      <c r="C67" s="100"/>
      <c r="D67" s="100"/>
      <c r="E67" s="100"/>
      <c r="F67" s="100"/>
      <c r="G67" s="100"/>
      <c r="H67" s="100"/>
      <c r="I67" s="100"/>
      <c r="J67" s="100"/>
    </row>
    <row r="68" spans="1:10" ht="30" customHeight="1" x14ac:dyDescent="0.3">
      <c r="A68" s="42" t="s">
        <v>1</v>
      </c>
      <c r="B68" s="42" t="s">
        <v>2</v>
      </c>
      <c r="C68" s="54" t="s">
        <v>3</v>
      </c>
      <c r="D68" s="54" t="s">
        <v>4</v>
      </c>
      <c r="E68" s="42" t="s">
        <v>5</v>
      </c>
      <c r="F68" s="54" t="s">
        <v>6</v>
      </c>
      <c r="G68" s="54" t="s">
        <v>7</v>
      </c>
      <c r="H68" s="42" t="s">
        <v>8</v>
      </c>
      <c r="I68" s="42" t="s">
        <v>9</v>
      </c>
      <c r="J68" s="42" t="s">
        <v>10</v>
      </c>
    </row>
    <row r="69" spans="1:10" ht="19.95" customHeight="1" x14ac:dyDescent="0.3">
      <c r="A69" s="42">
        <v>241025</v>
      </c>
      <c r="B69" s="42">
        <v>304</v>
      </c>
      <c r="C69" s="43">
        <v>0.8</v>
      </c>
      <c r="D69" s="43" t="s">
        <v>43</v>
      </c>
      <c r="E69" s="37" t="s">
        <v>276</v>
      </c>
      <c r="F69" s="42" t="s">
        <v>41</v>
      </c>
      <c r="G69" s="42">
        <v>430</v>
      </c>
      <c r="H69" s="41">
        <v>2000</v>
      </c>
      <c r="I69" s="46"/>
      <c r="J69" s="23">
        <f t="shared" ref="J69:J72" si="7">H69-I69</f>
        <v>2000</v>
      </c>
    </row>
    <row r="70" spans="1:10" ht="19.95" customHeight="1" x14ac:dyDescent="0.3">
      <c r="A70" s="42">
        <v>311025</v>
      </c>
      <c r="B70" s="42">
        <v>304</v>
      </c>
      <c r="C70" s="43">
        <v>0.9</v>
      </c>
      <c r="D70" s="43" t="s">
        <v>43</v>
      </c>
      <c r="E70" s="37" t="s">
        <v>277</v>
      </c>
      <c r="F70" s="42" t="s">
        <v>41</v>
      </c>
      <c r="G70" s="42">
        <v>430</v>
      </c>
      <c r="H70" s="23">
        <v>3200</v>
      </c>
      <c r="I70" s="24"/>
      <c r="J70" s="23">
        <f t="shared" si="7"/>
        <v>3200</v>
      </c>
    </row>
    <row r="71" spans="1:10" ht="19.95" customHeight="1" x14ac:dyDescent="0.3">
      <c r="A71" s="42">
        <v>311025</v>
      </c>
      <c r="B71" s="42">
        <v>304</v>
      </c>
      <c r="C71" s="43">
        <v>0.9</v>
      </c>
      <c r="D71" s="43" t="s">
        <v>43</v>
      </c>
      <c r="E71" s="20" t="s">
        <v>278</v>
      </c>
      <c r="F71" s="42" t="s">
        <v>41</v>
      </c>
      <c r="G71" s="42">
        <v>430</v>
      </c>
      <c r="H71" s="23">
        <v>500</v>
      </c>
      <c r="I71" s="24"/>
      <c r="J71" s="23">
        <f t="shared" si="7"/>
        <v>500</v>
      </c>
    </row>
    <row r="72" spans="1:10" ht="19.95" customHeight="1" x14ac:dyDescent="0.3">
      <c r="A72" s="42"/>
      <c r="B72" s="42"/>
      <c r="C72" s="43"/>
      <c r="D72" s="43"/>
      <c r="E72" s="37"/>
      <c r="F72" s="42"/>
      <c r="G72" s="42"/>
      <c r="H72" s="41"/>
      <c r="I72" s="46"/>
      <c r="J72" s="23">
        <f t="shared" si="7"/>
        <v>0</v>
      </c>
    </row>
    <row r="73" spans="1:10" ht="19.95" customHeight="1" x14ac:dyDescent="0.3">
      <c r="A73" s="101"/>
      <c r="B73" s="101"/>
      <c r="C73" s="101"/>
      <c r="D73" s="101"/>
      <c r="E73" s="101"/>
      <c r="F73" s="101"/>
      <c r="G73" s="101"/>
      <c r="H73" s="41">
        <f>SUM(H69:H72)</f>
        <v>5700</v>
      </c>
      <c r="I73" s="46">
        <f>SUM(I69:I72)</f>
        <v>0</v>
      </c>
      <c r="J73" s="41">
        <f>SUM(J69:J72)</f>
        <v>5700</v>
      </c>
    </row>
    <row r="74" spans="1:10" x14ac:dyDescent="0.3">
      <c r="A74" s="102"/>
      <c r="B74" s="102"/>
      <c r="C74" s="102"/>
      <c r="D74" s="102"/>
      <c r="E74" s="102"/>
      <c r="F74" s="102"/>
      <c r="G74" s="102"/>
    </row>
    <row r="75" spans="1:10" ht="15.6" x14ac:dyDescent="0.3">
      <c r="H75" s="8">
        <f>H73+H65+H50+H39+H27+H14</f>
        <v>27578</v>
      </c>
      <c r="I75" s="8">
        <f>I73+I65+I50+I39+I27+I14</f>
        <v>7949</v>
      </c>
      <c r="J75" s="8">
        <f>J73+J65+J50+J39+J27+J14</f>
        <v>19629</v>
      </c>
    </row>
    <row r="77" spans="1:10" ht="23.4" x14ac:dyDescent="0.3">
      <c r="A77" s="95" t="s">
        <v>14</v>
      </c>
      <c r="B77" s="95"/>
      <c r="C77" s="95"/>
      <c r="D77" s="95"/>
      <c r="E77" s="95"/>
      <c r="F77" s="95"/>
      <c r="G77" s="95"/>
      <c r="H77" s="95"/>
      <c r="I77" s="95"/>
      <c r="J77" s="95"/>
    </row>
  </sheetData>
  <mergeCells count="10">
    <mergeCell ref="A41:J41"/>
    <mergeCell ref="A52:J52"/>
    <mergeCell ref="A67:J67"/>
    <mergeCell ref="A73:G74"/>
    <mergeCell ref="A77:J77"/>
    <mergeCell ref="H1:J1"/>
    <mergeCell ref="A2:J2"/>
    <mergeCell ref="A3:J3"/>
    <mergeCell ref="A16:J16"/>
    <mergeCell ref="A29:J29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zoomScale="85" zoomScaleNormal="85" workbookViewId="0">
      <selection activeCell="K20" sqref="K20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2.886718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262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38">
        <v>250079</v>
      </c>
      <c r="B5" s="38">
        <v>304</v>
      </c>
      <c r="C5" s="39">
        <v>0.7</v>
      </c>
      <c r="D5" s="39" t="s">
        <v>11</v>
      </c>
      <c r="E5" s="36" t="s">
        <v>228</v>
      </c>
      <c r="F5" s="38" t="s">
        <v>41</v>
      </c>
      <c r="G5" s="38">
        <v>304</v>
      </c>
      <c r="H5" s="32">
        <v>311</v>
      </c>
      <c r="I5" s="40">
        <v>370</v>
      </c>
      <c r="J5" s="32">
        <f t="shared" ref="J5:J13" si="0">H5-I5</f>
        <v>-59</v>
      </c>
    </row>
    <row r="6" spans="1:10" ht="19.95" customHeight="1" x14ac:dyDescent="0.3">
      <c r="A6" s="38">
        <v>250079</v>
      </c>
      <c r="B6" s="38">
        <v>304</v>
      </c>
      <c r="C6" s="39">
        <v>1</v>
      </c>
      <c r="D6" s="39" t="s">
        <v>11</v>
      </c>
      <c r="E6" s="36" t="s">
        <v>229</v>
      </c>
      <c r="F6" s="38" t="s">
        <v>41</v>
      </c>
      <c r="G6" s="38">
        <v>304</v>
      </c>
      <c r="H6" s="32">
        <v>36</v>
      </c>
      <c r="I6" s="40">
        <v>43</v>
      </c>
      <c r="J6" s="32">
        <f t="shared" si="0"/>
        <v>-7</v>
      </c>
    </row>
    <row r="7" spans="1:10" ht="19.95" customHeight="1" x14ac:dyDescent="0.3">
      <c r="A7" s="38">
        <v>250079</v>
      </c>
      <c r="B7" s="38">
        <v>304</v>
      </c>
      <c r="C7" s="39">
        <v>0.7</v>
      </c>
      <c r="D7" s="39" t="s">
        <v>11</v>
      </c>
      <c r="E7" s="36" t="s">
        <v>231</v>
      </c>
      <c r="F7" s="38" t="s">
        <v>41</v>
      </c>
      <c r="G7" s="38">
        <v>304</v>
      </c>
      <c r="H7" s="32">
        <v>1314</v>
      </c>
      <c r="I7" s="40">
        <v>1425</v>
      </c>
      <c r="J7" s="32">
        <f t="shared" si="0"/>
        <v>-111</v>
      </c>
    </row>
    <row r="8" spans="1:10" ht="19.95" customHeight="1" x14ac:dyDescent="0.3">
      <c r="A8" s="38">
        <v>250079</v>
      </c>
      <c r="B8" s="38">
        <v>304</v>
      </c>
      <c r="C8" s="39">
        <v>1</v>
      </c>
      <c r="D8" s="39" t="s">
        <v>11</v>
      </c>
      <c r="E8" s="36" t="s">
        <v>230</v>
      </c>
      <c r="F8" s="38" t="s">
        <v>41</v>
      </c>
      <c r="G8" s="38">
        <v>304</v>
      </c>
      <c r="H8" s="32">
        <v>36</v>
      </c>
      <c r="I8" s="40">
        <v>43</v>
      </c>
      <c r="J8" s="32">
        <f t="shared" si="0"/>
        <v>-7</v>
      </c>
    </row>
    <row r="9" spans="1:10" ht="19.95" customHeight="1" x14ac:dyDescent="0.3">
      <c r="A9" s="38">
        <v>250080</v>
      </c>
      <c r="B9" s="38">
        <v>304</v>
      </c>
      <c r="C9" s="39">
        <v>0.7</v>
      </c>
      <c r="D9" s="39" t="s">
        <v>11</v>
      </c>
      <c r="E9" s="36" t="s">
        <v>232</v>
      </c>
      <c r="F9" s="38" t="s">
        <v>41</v>
      </c>
      <c r="G9" s="38">
        <v>430</v>
      </c>
      <c r="H9" s="32">
        <v>1000</v>
      </c>
      <c r="I9" s="40">
        <v>1031</v>
      </c>
      <c r="J9" s="32">
        <f t="shared" si="0"/>
        <v>-31</v>
      </c>
    </row>
    <row r="10" spans="1:10" ht="19.95" customHeight="1" x14ac:dyDescent="0.3">
      <c r="A10" s="38">
        <v>250079</v>
      </c>
      <c r="B10" s="38">
        <v>304</v>
      </c>
      <c r="C10" s="39">
        <v>0.7</v>
      </c>
      <c r="D10" s="39" t="s">
        <v>11</v>
      </c>
      <c r="E10" s="36" t="s">
        <v>233</v>
      </c>
      <c r="F10" s="38" t="s">
        <v>41</v>
      </c>
      <c r="G10" s="38">
        <v>304</v>
      </c>
      <c r="H10" s="32">
        <v>1314</v>
      </c>
      <c r="I10" s="40">
        <f>1144+210</f>
        <v>1354</v>
      </c>
      <c r="J10" s="32">
        <f t="shared" si="0"/>
        <v>-40</v>
      </c>
    </row>
    <row r="11" spans="1:10" ht="19.95" customHeight="1" x14ac:dyDescent="0.3">
      <c r="A11" s="38">
        <v>250079</v>
      </c>
      <c r="B11" s="38">
        <v>304</v>
      </c>
      <c r="C11" s="39">
        <v>1</v>
      </c>
      <c r="D11" s="39" t="s">
        <v>11</v>
      </c>
      <c r="E11" s="36" t="s">
        <v>234</v>
      </c>
      <c r="F11" s="38" t="s">
        <v>41</v>
      </c>
      <c r="G11" s="38">
        <v>304</v>
      </c>
      <c r="H11" s="32">
        <v>36</v>
      </c>
      <c r="I11" s="40">
        <v>45</v>
      </c>
      <c r="J11" s="32">
        <f t="shared" si="0"/>
        <v>-9</v>
      </c>
    </row>
    <row r="12" spans="1:10" ht="19.95" customHeight="1" x14ac:dyDescent="0.3">
      <c r="A12" s="38">
        <v>250080</v>
      </c>
      <c r="B12" s="38">
        <v>304</v>
      </c>
      <c r="C12" s="39">
        <v>0.7</v>
      </c>
      <c r="D12" s="39" t="s">
        <v>11</v>
      </c>
      <c r="E12" s="36" t="s">
        <v>235</v>
      </c>
      <c r="F12" s="38" t="s">
        <v>41</v>
      </c>
      <c r="G12" s="38">
        <v>430</v>
      </c>
      <c r="H12" s="32">
        <v>1200</v>
      </c>
      <c r="I12" s="40">
        <v>1241</v>
      </c>
      <c r="J12" s="32">
        <f t="shared" si="0"/>
        <v>-41</v>
      </c>
    </row>
    <row r="13" spans="1:10" ht="19.95" customHeight="1" x14ac:dyDescent="0.3">
      <c r="A13" s="42"/>
      <c r="B13" s="42"/>
      <c r="C13" s="43"/>
      <c r="D13" s="43"/>
      <c r="E13" s="37"/>
      <c r="F13" s="42"/>
      <c r="G13" s="42"/>
      <c r="H13" s="23"/>
      <c r="I13" s="24"/>
      <c r="J13" s="23">
        <f t="shared" si="0"/>
        <v>0</v>
      </c>
    </row>
    <row r="14" spans="1:10" ht="19.95" customHeight="1" x14ac:dyDescent="0.3">
      <c r="A14" s="92"/>
      <c r="B14" s="92"/>
      <c r="C14" s="92"/>
      <c r="D14" s="92"/>
      <c r="E14" s="48"/>
      <c r="F14" s="92"/>
      <c r="G14" s="49"/>
      <c r="H14" s="73">
        <f>SUM(H5:H13)</f>
        <v>5247</v>
      </c>
      <c r="I14" s="74">
        <f>SUM(I5:I13)</f>
        <v>5552</v>
      </c>
      <c r="J14" s="23">
        <f>SUM(J5:J13)</f>
        <v>-305</v>
      </c>
    </row>
    <row r="15" spans="1:10" x14ac:dyDescent="0.3">
      <c r="A15" s="52"/>
      <c r="B15" s="52"/>
      <c r="C15" s="52"/>
      <c r="D15" s="52"/>
      <c r="E15" s="52"/>
      <c r="F15" s="53"/>
      <c r="G15" s="52"/>
      <c r="H15" s="52"/>
      <c r="I15" s="52"/>
      <c r="J15" s="52"/>
    </row>
    <row r="16" spans="1:10" ht="30" customHeight="1" x14ac:dyDescent="0.3">
      <c r="A16" s="100" t="s">
        <v>17</v>
      </c>
      <c r="B16" s="100"/>
      <c r="C16" s="100"/>
      <c r="D16" s="100"/>
      <c r="E16" s="100"/>
      <c r="F16" s="100"/>
      <c r="G16" s="100"/>
      <c r="H16" s="100"/>
      <c r="I16" s="100"/>
      <c r="J16" s="100"/>
    </row>
    <row r="17" spans="1:10" ht="30" customHeight="1" x14ac:dyDescent="0.3">
      <c r="A17" s="42" t="s">
        <v>1</v>
      </c>
      <c r="B17" s="42" t="s">
        <v>2</v>
      </c>
      <c r="C17" s="54" t="s">
        <v>3</v>
      </c>
      <c r="D17" s="54" t="s">
        <v>4</v>
      </c>
      <c r="E17" s="42" t="s">
        <v>5</v>
      </c>
      <c r="F17" s="54" t="s">
        <v>6</v>
      </c>
      <c r="G17" s="54" t="s">
        <v>7</v>
      </c>
      <c r="H17" s="42" t="s">
        <v>8</v>
      </c>
      <c r="I17" s="42" t="s">
        <v>9</v>
      </c>
      <c r="J17" s="42" t="s">
        <v>10</v>
      </c>
    </row>
    <row r="18" spans="1:10" ht="19.95" customHeight="1" x14ac:dyDescent="0.3">
      <c r="A18" s="42">
        <v>250082</v>
      </c>
      <c r="B18" s="42">
        <v>430</v>
      </c>
      <c r="C18" s="43">
        <v>0.6</v>
      </c>
      <c r="D18" s="43" t="s">
        <v>11</v>
      </c>
      <c r="E18" s="37" t="s">
        <v>253</v>
      </c>
      <c r="F18" s="42" t="s">
        <v>13</v>
      </c>
      <c r="G18" s="42">
        <v>430</v>
      </c>
      <c r="H18" s="41">
        <v>1000</v>
      </c>
      <c r="I18" s="24"/>
      <c r="J18" s="23">
        <f t="shared" ref="J18:J26" si="1">H18-I18</f>
        <v>1000</v>
      </c>
    </row>
    <row r="19" spans="1:10" ht="19.95" customHeight="1" x14ac:dyDescent="0.3">
      <c r="A19" s="42">
        <v>250084</v>
      </c>
      <c r="B19" s="42">
        <v>304</v>
      </c>
      <c r="C19" s="43">
        <v>0.7</v>
      </c>
      <c r="D19" s="43" t="s">
        <v>11</v>
      </c>
      <c r="E19" s="37" t="s">
        <v>256</v>
      </c>
      <c r="F19" s="42" t="s">
        <v>45</v>
      </c>
      <c r="G19" s="42">
        <v>304</v>
      </c>
      <c r="H19" s="23">
        <v>715</v>
      </c>
      <c r="I19" s="24"/>
      <c r="J19" s="23">
        <f t="shared" si="1"/>
        <v>715</v>
      </c>
    </row>
    <row r="20" spans="1:10" ht="26.4" customHeight="1" x14ac:dyDescent="0.3">
      <c r="A20" s="42">
        <v>250084</v>
      </c>
      <c r="B20" s="42">
        <v>304</v>
      </c>
      <c r="C20" s="43">
        <v>1</v>
      </c>
      <c r="D20" s="43" t="s">
        <v>11</v>
      </c>
      <c r="E20" s="66" t="s">
        <v>257</v>
      </c>
      <c r="F20" s="42" t="s">
        <v>45</v>
      </c>
      <c r="G20" s="42">
        <v>304</v>
      </c>
      <c r="H20" s="23">
        <v>15</v>
      </c>
      <c r="I20" s="24"/>
      <c r="J20" s="23">
        <f t="shared" si="1"/>
        <v>15</v>
      </c>
    </row>
    <row r="21" spans="1:10" ht="19.95" customHeight="1" x14ac:dyDescent="0.3">
      <c r="A21" s="42">
        <v>250081</v>
      </c>
      <c r="B21" s="42">
        <v>304</v>
      </c>
      <c r="C21" s="43">
        <v>0.6</v>
      </c>
      <c r="D21" s="43" t="s">
        <v>11</v>
      </c>
      <c r="E21" s="37" t="s">
        <v>245</v>
      </c>
      <c r="F21" s="42" t="s">
        <v>45</v>
      </c>
      <c r="G21" s="42">
        <v>430</v>
      </c>
      <c r="H21" s="23">
        <v>500</v>
      </c>
      <c r="I21" s="24"/>
      <c r="J21" s="23">
        <f t="shared" si="1"/>
        <v>500</v>
      </c>
    </row>
    <row r="22" spans="1:10" ht="19.95" customHeight="1" x14ac:dyDescent="0.3">
      <c r="A22" s="42">
        <v>151025</v>
      </c>
      <c r="B22" s="42">
        <v>304</v>
      </c>
      <c r="C22" s="43">
        <v>0.7</v>
      </c>
      <c r="D22" s="43" t="s">
        <v>55</v>
      </c>
      <c r="E22" s="37" t="s">
        <v>244</v>
      </c>
      <c r="F22" s="42" t="s">
        <v>45</v>
      </c>
      <c r="G22" s="42">
        <v>430</v>
      </c>
      <c r="H22" s="41">
        <v>1000</v>
      </c>
      <c r="I22" s="24"/>
      <c r="J22" s="23">
        <f t="shared" si="1"/>
        <v>1000</v>
      </c>
    </row>
    <row r="23" spans="1:10" ht="19.95" customHeight="1" x14ac:dyDescent="0.3">
      <c r="A23" s="42">
        <v>250084</v>
      </c>
      <c r="B23" s="42">
        <v>304</v>
      </c>
      <c r="C23" s="43">
        <v>0.7</v>
      </c>
      <c r="D23" s="43" t="s">
        <v>11</v>
      </c>
      <c r="E23" s="37" t="s">
        <v>258</v>
      </c>
      <c r="F23" s="42" t="s">
        <v>45</v>
      </c>
      <c r="G23" s="42">
        <v>304</v>
      </c>
      <c r="H23" s="23">
        <v>715</v>
      </c>
      <c r="I23" s="24"/>
      <c r="J23" s="23">
        <f t="shared" si="1"/>
        <v>715</v>
      </c>
    </row>
    <row r="24" spans="1:10" ht="27.6" customHeight="1" x14ac:dyDescent="0.3">
      <c r="A24" s="42">
        <v>250084</v>
      </c>
      <c r="B24" s="42">
        <v>304</v>
      </c>
      <c r="C24" s="43">
        <v>1</v>
      </c>
      <c r="D24" s="43" t="s">
        <v>11</v>
      </c>
      <c r="E24" s="66" t="s">
        <v>259</v>
      </c>
      <c r="F24" s="42" t="s">
        <v>45</v>
      </c>
      <c r="G24" s="42">
        <v>304</v>
      </c>
      <c r="H24" s="23">
        <v>15</v>
      </c>
      <c r="I24" s="24"/>
      <c r="J24" s="23">
        <f t="shared" si="1"/>
        <v>15</v>
      </c>
    </row>
    <row r="25" spans="1:10" ht="19.95" customHeight="1" x14ac:dyDescent="0.3">
      <c r="A25" s="38">
        <v>151025</v>
      </c>
      <c r="B25" s="38">
        <v>304</v>
      </c>
      <c r="C25" s="39">
        <v>0.7</v>
      </c>
      <c r="D25" s="39" t="s">
        <v>55</v>
      </c>
      <c r="E25" s="36" t="s">
        <v>226</v>
      </c>
      <c r="F25" s="38" t="s">
        <v>45</v>
      </c>
      <c r="G25" s="38">
        <v>430</v>
      </c>
      <c r="H25" s="32">
        <v>1000</v>
      </c>
      <c r="I25" s="40">
        <v>1000</v>
      </c>
      <c r="J25" s="32">
        <f t="shared" si="1"/>
        <v>0</v>
      </c>
    </row>
    <row r="26" spans="1:10" ht="19.95" customHeight="1" x14ac:dyDescent="0.3">
      <c r="A26" s="21"/>
      <c r="B26" s="21"/>
      <c r="C26" s="22"/>
      <c r="D26" s="22"/>
      <c r="E26" s="20"/>
      <c r="F26" s="21"/>
      <c r="G26" s="21"/>
      <c r="H26" s="23"/>
      <c r="I26" s="24"/>
      <c r="J26" s="23">
        <f t="shared" si="1"/>
        <v>0</v>
      </c>
    </row>
    <row r="27" spans="1:10" ht="19.95" customHeight="1" x14ac:dyDescent="0.3">
      <c r="A27" s="92"/>
      <c r="B27" s="92"/>
      <c r="C27" s="92"/>
      <c r="D27" s="92"/>
      <c r="E27" s="48"/>
      <c r="F27" s="92"/>
      <c r="G27" s="49"/>
      <c r="H27" s="23">
        <f>SUM(H18:H26)</f>
        <v>4960</v>
      </c>
      <c r="I27" s="24">
        <f>SUM(I18:I26)</f>
        <v>1000</v>
      </c>
      <c r="J27" s="23">
        <f>SUM(J18:J26)</f>
        <v>3960</v>
      </c>
    </row>
    <row r="28" spans="1:10" x14ac:dyDescent="0.3">
      <c r="A28" s="52"/>
      <c r="B28" s="52"/>
      <c r="C28" s="52"/>
      <c r="D28" s="52"/>
      <c r="E28" s="52"/>
      <c r="F28" s="53"/>
      <c r="G28" s="52"/>
      <c r="H28" s="52"/>
      <c r="I28" s="52"/>
      <c r="J28" s="52"/>
    </row>
    <row r="29" spans="1:10" ht="30" customHeight="1" x14ac:dyDescent="0.3">
      <c r="A29" s="100" t="s">
        <v>18</v>
      </c>
      <c r="B29" s="100"/>
      <c r="C29" s="100"/>
      <c r="D29" s="100"/>
      <c r="E29" s="100"/>
      <c r="F29" s="100"/>
      <c r="G29" s="100"/>
      <c r="H29" s="100"/>
      <c r="I29" s="100"/>
      <c r="J29" s="100"/>
    </row>
    <row r="30" spans="1:10" ht="30" customHeight="1" x14ac:dyDescent="0.3">
      <c r="A30" s="42" t="s">
        <v>1</v>
      </c>
      <c r="B30" s="42" t="s">
        <v>2</v>
      </c>
      <c r="C30" s="54" t="s">
        <v>3</v>
      </c>
      <c r="D30" s="54" t="s">
        <v>4</v>
      </c>
      <c r="E30" s="42" t="s">
        <v>5</v>
      </c>
      <c r="F30" s="54" t="s">
        <v>6</v>
      </c>
      <c r="G30" s="54" t="s">
        <v>7</v>
      </c>
      <c r="H30" s="42" t="s">
        <v>8</v>
      </c>
      <c r="I30" s="42" t="s">
        <v>9</v>
      </c>
      <c r="J30" s="42" t="s">
        <v>10</v>
      </c>
    </row>
    <row r="31" spans="1:10" ht="19.95" customHeight="1" x14ac:dyDescent="0.3">
      <c r="A31" s="42" t="s">
        <v>225</v>
      </c>
      <c r="B31" s="42">
        <v>304</v>
      </c>
      <c r="C31" s="43">
        <v>0.7</v>
      </c>
      <c r="D31" s="43" t="s">
        <v>55</v>
      </c>
      <c r="E31" s="37" t="s">
        <v>226</v>
      </c>
      <c r="F31" s="42" t="s">
        <v>45</v>
      </c>
      <c r="G31" s="42">
        <v>430</v>
      </c>
      <c r="H31" s="23">
        <v>1000</v>
      </c>
      <c r="I31" s="24">
        <v>407</v>
      </c>
      <c r="J31" s="23">
        <f t="shared" ref="J31:J38" si="2">H31-I31</f>
        <v>593</v>
      </c>
    </row>
    <row r="32" spans="1:10" ht="19.95" customHeight="1" x14ac:dyDescent="0.3">
      <c r="A32" s="42">
        <v>21025</v>
      </c>
      <c r="B32" s="42">
        <v>304</v>
      </c>
      <c r="C32" s="43">
        <v>0.6</v>
      </c>
      <c r="D32" s="43" t="s">
        <v>55</v>
      </c>
      <c r="E32" s="37" t="s">
        <v>186</v>
      </c>
      <c r="F32" s="42" t="s">
        <v>45</v>
      </c>
      <c r="G32" s="42">
        <v>430</v>
      </c>
      <c r="H32" s="23">
        <v>1000</v>
      </c>
      <c r="I32" s="24">
        <v>990</v>
      </c>
      <c r="J32" s="23">
        <f t="shared" si="2"/>
        <v>10</v>
      </c>
    </row>
    <row r="33" spans="1:13" ht="19.95" customHeight="1" x14ac:dyDescent="0.3">
      <c r="A33" s="42">
        <v>250084</v>
      </c>
      <c r="B33" s="42">
        <v>304</v>
      </c>
      <c r="C33" s="43">
        <v>0.7</v>
      </c>
      <c r="D33" s="4" t="s">
        <v>11</v>
      </c>
      <c r="E33" s="37" t="s">
        <v>251</v>
      </c>
      <c r="F33" s="42" t="s">
        <v>45</v>
      </c>
      <c r="G33" s="42">
        <v>304</v>
      </c>
      <c r="H33" s="41">
        <v>715</v>
      </c>
      <c r="I33" s="24"/>
      <c r="J33" s="23">
        <f t="shared" si="2"/>
        <v>715</v>
      </c>
    </row>
    <row r="34" spans="1:13" ht="34.200000000000003" customHeight="1" x14ac:dyDescent="0.3">
      <c r="A34" s="42">
        <v>250084</v>
      </c>
      <c r="B34" s="42">
        <v>304</v>
      </c>
      <c r="C34" s="43" t="s">
        <v>248</v>
      </c>
      <c r="D34" s="4" t="s">
        <v>11</v>
      </c>
      <c r="E34" s="66" t="s">
        <v>252</v>
      </c>
      <c r="F34" s="42" t="s">
        <v>45</v>
      </c>
      <c r="G34" s="42">
        <v>304</v>
      </c>
      <c r="H34" s="41">
        <v>15</v>
      </c>
      <c r="I34" s="24"/>
      <c r="J34" s="23">
        <f t="shared" si="2"/>
        <v>15</v>
      </c>
    </row>
    <row r="35" spans="1:13" ht="19.95" customHeight="1" x14ac:dyDescent="0.3">
      <c r="A35" s="42">
        <v>250084</v>
      </c>
      <c r="B35" s="42">
        <v>304</v>
      </c>
      <c r="C35" s="43">
        <v>0.7</v>
      </c>
      <c r="D35" s="4" t="s">
        <v>11</v>
      </c>
      <c r="E35" s="37" t="s">
        <v>249</v>
      </c>
      <c r="F35" s="42" t="s">
        <v>45</v>
      </c>
      <c r="G35" s="42">
        <v>304</v>
      </c>
      <c r="H35" s="41">
        <v>715</v>
      </c>
      <c r="I35" s="24"/>
      <c r="J35" s="23">
        <f t="shared" si="2"/>
        <v>715</v>
      </c>
    </row>
    <row r="36" spans="1:13" ht="30" customHeight="1" x14ac:dyDescent="0.3">
      <c r="A36" s="42">
        <v>250084</v>
      </c>
      <c r="B36" s="42">
        <v>304</v>
      </c>
      <c r="C36" s="43" t="s">
        <v>248</v>
      </c>
      <c r="D36" s="4" t="s">
        <v>11</v>
      </c>
      <c r="E36" s="66" t="s">
        <v>250</v>
      </c>
      <c r="F36" s="42" t="s">
        <v>45</v>
      </c>
      <c r="G36" s="42">
        <v>304</v>
      </c>
      <c r="H36" s="41">
        <v>15</v>
      </c>
      <c r="I36" s="24"/>
      <c r="J36" s="23">
        <f t="shared" si="2"/>
        <v>15</v>
      </c>
    </row>
    <row r="37" spans="1:13" ht="19.95" customHeight="1" x14ac:dyDescent="0.3">
      <c r="A37" s="42">
        <v>250078</v>
      </c>
      <c r="B37" s="42">
        <v>304</v>
      </c>
      <c r="C37" s="43">
        <v>0.7</v>
      </c>
      <c r="D37" s="43" t="s">
        <v>11</v>
      </c>
      <c r="E37" s="37" t="s">
        <v>224</v>
      </c>
      <c r="F37" s="42" t="s">
        <v>13</v>
      </c>
      <c r="G37" s="42">
        <v>304</v>
      </c>
      <c r="H37" s="41">
        <v>131</v>
      </c>
      <c r="I37" s="24"/>
      <c r="J37" s="23">
        <f t="shared" si="2"/>
        <v>131</v>
      </c>
    </row>
    <row r="38" spans="1:13" ht="19.95" customHeight="1" x14ac:dyDescent="0.3">
      <c r="A38" s="42"/>
      <c r="B38" s="42"/>
      <c r="C38" s="43"/>
      <c r="D38" s="43"/>
      <c r="E38" s="37"/>
      <c r="F38" s="42"/>
      <c r="G38" s="42"/>
      <c r="H38" s="41"/>
      <c r="I38" s="46"/>
      <c r="J38" s="41">
        <f t="shared" si="2"/>
        <v>0</v>
      </c>
    </row>
    <row r="39" spans="1:13" ht="19.95" customHeight="1" x14ac:dyDescent="0.3">
      <c r="A39" s="92"/>
      <c r="B39" s="92"/>
      <c r="C39" s="92"/>
      <c r="D39" s="92"/>
      <c r="E39" s="48"/>
      <c r="F39" s="92"/>
      <c r="G39" s="49"/>
      <c r="H39" s="41">
        <f>SUM(H31:H38)</f>
        <v>3591</v>
      </c>
      <c r="I39" s="46">
        <f>SUM(I31:I38)</f>
        <v>1397</v>
      </c>
      <c r="J39" s="41">
        <f>SUM(J31:J38)</f>
        <v>2194</v>
      </c>
    </row>
    <row r="40" spans="1:13" x14ac:dyDescent="0.3">
      <c r="A40" s="52"/>
      <c r="B40" s="52"/>
      <c r="C40" s="52"/>
      <c r="D40" s="52"/>
      <c r="E40" s="52"/>
      <c r="F40" s="53"/>
      <c r="G40" s="52"/>
      <c r="H40" s="52"/>
      <c r="I40" s="52"/>
      <c r="J40" s="52"/>
    </row>
    <row r="41" spans="1:13" ht="30" customHeight="1" x14ac:dyDescent="0.3">
      <c r="A41" s="100" t="s">
        <v>20</v>
      </c>
      <c r="B41" s="100"/>
      <c r="C41" s="100"/>
      <c r="D41" s="100"/>
      <c r="E41" s="100"/>
      <c r="F41" s="100"/>
      <c r="G41" s="100"/>
      <c r="H41" s="100"/>
      <c r="I41" s="100"/>
      <c r="J41" s="100"/>
    </row>
    <row r="42" spans="1:13" ht="30" customHeight="1" x14ac:dyDescent="0.3">
      <c r="A42" s="42" t="s">
        <v>1</v>
      </c>
      <c r="B42" s="42" t="s">
        <v>2</v>
      </c>
      <c r="C42" s="54" t="s">
        <v>3</v>
      </c>
      <c r="D42" s="54" t="s">
        <v>4</v>
      </c>
      <c r="E42" s="42" t="s">
        <v>5</v>
      </c>
      <c r="F42" s="54" t="s">
        <v>6</v>
      </c>
      <c r="G42" s="54" t="s">
        <v>7</v>
      </c>
      <c r="H42" s="42" t="s">
        <v>8</v>
      </c>
      <c r="I42" s="42" t="s">
        <v>9</v>
      </c>
      <c r="J42" s="42" t="s">
        <v>10</v>
      </c>
    </row>
    <row r="43" spans="1:13" ht="19.95" customHeight="1" x14ac:dyDescent="0.3">
      <c r="A43" s="42" t="s">
        <v>225</v>
      </c>
      <c r="B43" s="42">
        <v>304</v>
      </c>
      <c r="C43" s="43">
        <v>0.7</v>
      </c>
      <c r="D43" s="43" t="s">
        <v>55</v>
      </c>
      <c r="E43" s="37" t="s">
        <v>236</v>
      </c>
      <c r="F43" s="42" t="s">
        <v>45</v>
      </c>
      <c r="G43" s="42">
        <v>430</v>
      </c>
      <c r="H43" s="23">
        <v>1000</v>
      </c>
      <c r="I43" s="46"/>
      <c r="J43" s="41">
        <f>H43-I43</f>
        <v>1000</v>
      </c>
      <c r="K43" s="91"/>
      <c r="L43" s="91"/>
      <c r="M43" s="91"/>
    </row>
    <row r="44" spans="1:13" ht="19.95" customHeight="1" x14ac:dyDescent="0.3">
      <c r="A44" s="42" t="s">
        <v>225</v>
      </c>
      <c r="B44" s="42">
        <v>304</v>
      </c>
      <c r="C44" s="43">
        <v>0.7</v>
      </c>
      <c r="D44" s="43" t="s">
        <v>55</v>
      </c>
      <c r="E44" s="37" t="s">
        <v>237</v>
      </c>
      <c r="F44" s="42" t="s">
        <v>45</v>
      </c>
      <c r="G44" s="42">
        <v>430</v>
      </c>
      <c r="H44" s="23">
        <v>1000</v>
      </c>
      <c r="I44" s="46"/>
      <c r="J44" s="41">
        <f>H44-I44</f>
        <v>1000</v>
      </c>
    </row>
    <row r="45" spans="1:13" ht="27" customHeight="1" x14ac:dyDescent="0.3">
      <c r="A45" s="42">
        <v>250081</v>
      </c>
      <c r="B45" s="42">
        <v>304</v>
      </c>
      <c r="C45" s="43">
        <v>0.6</v>
      </c>
      <c r="D45" s="43" t="s">
        <v>11</v>
      </c>
      <c r="E45" s="66" t="s">
        <v>255</v>
      </c>
      <c r="F45" s="42" t="s">
        <v>45</v>
      </c>
      <c r="G45" s="42">
        <v>430</v>
      </c>
      <c r="H45" s="23">
        <v>400</v>
      </c>
      <c r="I45" s="46"/>
      <c r="J45" s="41">
        <f>H45-I45</f>
        <v>400</v>
      </c>
    </row>
    <row r="46" spans="1:13" ht="19.95" customHeight="1" x14ac:dyDescent="0.3">
      <c r="A46" s="42">
        <v>250082</v>
      </c>
      <c r="B46" s="42">
        <v>430</v>
      </c>
      <c r="C46" s="43">
        <v>0.6</v>
      </c>
      <c r="D46" s="43" t="s">
        <v>11</v>
      </c>
      <c r="E46" s="37" t="s">
        <v>254</v>
      </c>
      <c r="F46" s="42" t="s">
        <v>13</v>
      </c>
      <c r="G46" s="42">
        <v>430</v>
      </c>
      <c r="H46" s="41">
        <v>1000</v>
      </c>
      <c r="I46" s="46"/>
      <c r="J46" s="41">
        <f t="shared" ref="J46:J49" si="3">H46-I46</f>
        <v>1000</v>
      </c>
    </row>
    <row r="47" spans="1:13" ht="28.05" customHeight="1" x14ac:dyDescent="0.3">
      <c r="A47" s="42">
        <v>250060</v>
      </c>
      <c r="B47" s="42">
        <v>304</v>
      </c>
      <c r="C47" s="43">
        <v>0.8</v>
      </c>
      <c r="D47" s="43" t="s">
        <v>55</v>
      </c>
      <c r="E47" s="66" t="s">
        <v>263</v>
      </c>
      <c r="F47" s="42" t="s">
        <v>45</v>
      </c>
      <c r="G47" s="42">
        <v>304</v>
      </c>
      <c r="H47" s="41">
        <v>665</v>
      </c>
      <c r="I47" s="46"/>
      <c r="J47" s="41">
        <f t="shared" si="3"/>
        <v>665</v>
      </c>
    </row>
    <row r="48" spans="1:13" ht="28.05" customHeight="1" x14ac:dyDescent="0.3">
      <c r="A48" s="42">
        <v>250060</v>
      </c>
      <c r="B48" s="42">
        <v>304</v>
      </c>
      <c r="C48" s="43">
        <v>1</v>
      </c>
      <c r="D48" s="43" t="s">
        <v>55</v>
      </c>
      <c r="E48" s="66" t="s">
        <v>264</v>
      </c>
      <c r="F48" s="42" t="s">
        <v>45</v>
      </c>
      <c r="G48" s="42">
        <v>304</v>
      </c>
      <c r="H48" s="41">
        <v>15</v>
      </c>
      <c r="I48" s="46"/>
      <c r="J48" s="41">
        <f t="shared" si="3"/>
        <v>15</v>
      </c>
    </row>
    <row r="49" spans="1:10" ht="19.95" customHeight="1" x14ac:dyDescent="0.3">
      <c r="A49" s="42"/>
      <c r="B49" s="42"/>
      <c r="C49" s="43"/>
      <c r="D49" s="43"/>
      <c r="E49" s="37"/>
      <c r="F49" s="42"/>
      <c r="G49" s="42"/>
      <c r="H49" s="41"/>
      <c r="I49" s="46"/>
      <c r="J49" s="41">
        <f t="shared" si="3"/>
        <v>0</v>
      </c>
    </row>
    <row r="50" spans="1:10" ht="19.95" customHeight="1" x14ac:dyDescent="0.3">
      <c r="A50" s="92"/>
      <c r="B50" s="92"/>
      <c r="C50" s="92"/>
      <c r="D50" s="92"/>
      <c r="E50" s="48"/>
      <c r="F50" s="92"/>
      <c r="G50" s="49"/>
      <c r="H50" s="41">
        <f>SUM(H43:H49)</f>
        <v>4080</v>
      </c>
      <c r="I50" s="46">
        <f>SUM(I43:I49)</f>
        <v>0</v>
      </c>
      <c r="J50" s="41">
        <f>SUM(J43:J49)</f>
        <v>4080</v>
      </c>
    </row>
    <row r="51" spans="1:10" ht="19.95" customHeight="1" x14ac:dyDescent="0.3">
      <c r="A51" s="93"/>
      <c r="B51" s="93"/>
      <c r="C51" s="93"/>
      <c r="D51" s="93"/>
      <c r="E51" s="56"/>
      <c r="F51" s="93"/>
      <c r="G51" s="93"/>
      <c r="H51" s="57"/>
      <c r="I51" s="58"/>
      <c r="J51" s="57"/>
    </row>
    <row r="52" spans="1:10" ht="30" customHeight="1" x14ac:dyDescent="0.3">
      <c r="A52" s="100" t="s">
        <v>19</v>
      </c>
      <c r="B52" s="100"/>
      <c r="C52" s="100"/>
      <c r="D52" s="100"/>
      <c r="E52" s="100"/>
      <c r="F52" s="100"/>
      <c r="G52" s="100"/>
      <c r="H52" s="100"/>
      <c r="I52" s="100"/>
      <c r="J52" s="100"/>
    </row>
    <row r="53" spans="1:10" ht="30" customHeight="1" x14ac:dyDescent="0.3">
      <c r="A53" s="42" t="s">
        <v>1</v>
      </c>
      <c r="B53" s="42" t="s">
        <v>2</v>
      </c>
      <c r="C53" s="54" t="s">
        <v>3</v>
      </c>
      <c r="D53" s="54" t="s">
        <v>4</v>
      </c>
      <c r="E53" s="42" t="s">
        <v>5</v>
      </c>
      <c r="F53" s="54" t="s">
        <v>6</v>
      </c>
      <c r="G53" s="54" t="s">
        <v>7</v>
      </c>
      <c r="H53" s="42" t="s">
        <v>8</v>
      </c>
      <c r="I53" s="42" t="s">
        <v>9</v>
      </c>
      <c r="J53" s="42" t="s">
        <v>10</v>
      </c>
    </row>
    <row r="54" spans="1:10" ht="19.95" customHeight="1" x14ac:dyDescent="0.3">
      <c r="A54" s="42">
        <v>250058</v>
      </c>
      <c r="B54" s="42">
        <v>304</v>
      </c>
      <c r="C54" s="43">
        <v>0.7</v>
      </c>
      <c r="D54" s="43" t="s">
        <v>96</v>
      </c>
      <c r="E54" s="37" t="s">
        <v>265</v>
      </c>
      <c r="F54" s="42" t="s">
        <v>45</v>
      </c>
      <c r="G54" s="42">
        <v>304</v>
      </c>
      <c r="H54" s="23">
        <v>785</v>
      </c>
      <c r="I54" s="24"/>
      <c r="J54" s="23">
        <f t="shared" ref="J54:J64" si="4">H54-I54</f>
        <v>785</v>
      </c>
    </row>
    <row r="55" spans="1:10" ht="19.95" customHeight="1" x14ac:dyDescent="0.3">
      <c r="A55" s="42">
        <v>250058</v>
      </c>
      <c r="B55" s="42">
        <v>304</v>
      </c>
      <c r="C55" s="43" t="s">
        <v>266</v>
      </c>
      <c r="D55" s="43" t="s">
        <v>96</v>
      </c>
      <c r="E55" s="37" t="s">
        <v>267</v>
      </c>
      <c r="F55" s="42" t="s">
        <v>45</v>
      </c>
      <c r="G55" s="42">
        <v>304</v>
      </c>
      <c r="H55" s="23">
        <v>15</v>
      </c>
      <c r="I55" s="46"/>
      <c r="J55" s="41">
        <f t="shared" si="4"/>
        <v>15</v>
      </c>
    </row>
    <row r="56" spans="1:10" ht="19.95" customHeight="1" x14ac:dyDescent="0.3">
      <c r="A56" s="42">
        <v>250058</v>
      </c>
      <c r="B56" s="42">
        <v>304</v>
      </c>
      <c r="C56" s="22">
        <v>0.7</v>
      </c>
      <c r="D56" s="43" t="s">
        <v>96</v>
      </c>
      <c r="E56" s="20" t="s">
        <v>269</v>
      </c>
      <c r="F56" s="42" t="s">
        <v>45</v>
      </c>
      <c r="G56" s="42">
        <v>304</v>
      </c>
      <c r="H56" s="23">
        <v>785</v>
      </c>
      <c r="I56" s="24"/>
      <c r="J56" s="41">
        <f t="shared" si="4"/>
        <v>785</v>
      </c>
    </row>
    <row r="57" spans="1:10" ht="19.95" customHeight="1" x14ac:dyDescent="0.3">
      <c r="A57" s="42">
        <v>250058</v>
      </c>
      <c r="B57" s="42">
        <v>304</v>
      </c>
      <c r="C57" s="22" t="s">
        <v>266</v>
      </c>
      <c r="D57" s="43" t="s">
        <v>96</v>
      </c>
      <c r="E57" s="20" t="s">
        <v>268</v>
      </c>
      <c r="F57" s="42" t="s">
        <v>45</v>
      </c>
      <c r="G57" s="42">
        <v>304</v>
      </c>
      <c r="H57" s="23">
        <v>15</v>
      </c>
      <c r="I57" s="24"/>
      <c r="J57" s="41">
        <f t="shared" si="4"/>
        <v>15</v>
      </c>
    </row>
    <row r="58" spans="1:10" ht="19.95" customHeight="1" x14ac:dyDescent="0.3">
      <c r="A58" s="42">
        <v>250058</v>
      </c>
      <c r="B58" s="42">
        <v>304</v>
      </c>
      <c r="C58" s="22">
        <v>0.7</v>
      </c>
      <c r="D58" s="43" t="s">
        <v>96</v>
      </c>
      <c r="E58" s="20" t="s">
        <v>270</v>
      </c>
      <c r="F58" s="42" t="s">
        <v>45</v>
      </c>
      <c r="G58" s="42">
        <v>304</v>
      </c>
      <c r="H58" s="23">
        <v>785</v>
      </c>
      <c r="I58" s="24"/>
      <c r="J58" s="41">
        <f t="shared" si="4"/>
        <v>785</v>
      </c>
    </row>
    <row r="59" spans="1:10" ht="19.95" customHeight="1" x14ac:dyDescent="0.3">
      <c r="A59" s="42">
        <v>250058</v>
      </c>
      <c r="B59" s="42">
        <v>304</v>
      </c>
      <c r="C59" s="22" t="s">
        <v>266</v>
      </c>
      <c r="D59" s="43" t="s">
        <v>96</v>
      </c>
      <c r="E59" s="20" t="s">
        <v>271</v>
      </c>
      <c r="F59" s="42" t="s">
        <v>45</v>
      </c>
      <c r="G59" s="42">
        <v>304</v>
      </c>
      <c r="H59" s="23">
        <v>15</v>
      </c>
      <c r="I59" s="24"/>
      <c r="J59" s="41">
        <f t="shared" si="4"/>
        <v>15</v>
      </c>
    </row>
    <row r="60" spans="1:10" ht="28.2" customHeight="1" x14ac:dyDescent="0.3">
      <c r="A60" s="42">
        <v>250058</v>
      </c>
      <c r="B60" s="42">
        <v>304</v>
      </c>
      <c r="C60" s="43">
        <v>0.7</v>
      </c>
      <c r="D60" s="43" t="s">
        <v>96</v>
      </c>
      <c r="E60" s="20" t="s">
        <v>272</v>
      </c>
      <c r="F60" s="42" t="s">
        <v>45</v>
      </c>
      <c r="G60" s="42">
        <v>304</v>
      </c>
      <c r="H60" s="23">
        <v>785</v>
      </c>
      <c r="I60" s="24"/>
      <c r="J60" s="23">
        <f t="shared" si="4"/>
        <v>785</v>
      </c>
    </row>
    <row r="61" spans="1:10" ht="19.95" customHeight="1" x14ac:dyDescent="0.3">
      <c r="A61" s="42">
        <v>250058</v>
      </c>
      <c r="B61" s="42">
        <v>304</v>
      </c>
      <c r="C61" s="43" t="s">
        <v>266</v>
      </c>
      <c r="D61" s="43" t="s">
        <v>96</v>
      </c>
      <c r="E61" s="20" t="s">
        <v>273</v>
      </c>
      <c r="F61" s="42" t="s">
        <v>45</v>
      </c>
      <c r="G61" s="42">
        <v>304</v>
      </c>
      <c r="H61" s="23">
        <v>15</v>
      </c>
      <c r="I61" s="24"/>
      <c r="J61" s="23">
        <f t="shared" si="4"/>
        <v>15</v>
      </c>
    </row>
    <row r="62" spans="1:10" ht="27.6" customHeight="1" x14ac:dyDescent="0.3">
      <c r="A62" s="42">
        <v>250058</v>
      </c>
      <c r="B62" s="42">
        <v>304</v>
      </c>
      <c r="C62" s="43">
        <v>0.7</v>
      </c>
      <c r="D62" s="43" t="s">
        <v>96</v>
      </c>
      <c r="E62" s="20" t="s">
        <v>274</v>
      </c>
      <c r="F62" s="42" t="s">
        <v>45</v>
      </c>
      <c r="G62" s="42">
        <v>304</v>
      </c>
      <c r="H62" s="23">
        <v>785</v>
      </c>
      <c r="I62" s="24"/>
      <c r="J62" s="23">
        <f t="shared" si="4"/>
        <v>785</v>
      </c>
    </row>
    <row r="63" spans="1:10" ht="19.95" customHeight="1" x14ac:dyDescent="0.3">
      <c r="A63" s="42">
        <v>250058</v>
      </c>
      <c r="B63" s="42">
        <v>304</v>
      </c>
      <c r="C63" s="43" t="s">
        <v>266</v>
      </c>
      <c r="D63" s="43" t="s">
        <v>96</v>
      </c>
      <c r="E63" s="20" t="s">
        <v>275</v>
      </c>
      <c r="F63" s="42" t="s">
        <v>45</v>
      </c>
      <c r="G63" s="42">
        <v>304</v>
      </c>
      <c r="H63" s="23">
        <v>15</v>
      </c>
      <c r="I63" s="24"/>
      <c r="J63" s="23">
        <f t="shared" si="4"/>
        <v>15</v>
      </c>
    </row>
    <row r="64" spans="1:10" ht="19.95" customHeight="1" x14ac:dyDescent="0.3">
      <c r="A64" s="42"/>
      <c r="B64" s="42"/>
      <c r="C64" s="43"/>
      <c r="D64" s="43"/>
      <c r="E64" s="37"/>
      <c r="F64" s="42"/>
      <c r="G64" s="42"/>
      <c r="H64" s="41"/>
      <c r="I64" s="46"/>
      <c r="J64" s="41">
        <f t="shared" si="4"/>
        <v>0</v>
      </c>
    </row>
    <row r="65" spans="1:10" ht="19.95" customHeight="1" x14ac:dyDescent="0.3">
      <c r="A65" s="92"/>
      <c r="B65" s="92"/>
      <c r="C65" s="92"/>
      <c r="D65" s="92"/>
      <c r="E65" s="48"/>
      <c r="F65" s="92"/>
      <c r="G65" s="49"/>
      <c r="H65" s="41">
        <f>SUM(H54:H64)</f>
        <v>4000</v>
      </c>
      <c r="I65" s="46">
        <f>SUM(I54:I64)</f>
        <v>0</v>
      </c>
      <c r="J65" s="41">
        <f>SUM(J54:J64)</f>
        <v>4000</v>
      </c>
    </row>
    <row r="66" spans="1:10" ht="19.95" customHeight="1" x14ac:dyDescent="0.3">
      <c r="A66" s="93"/>
      <c r="B66" s="93"/>
      <c r="C66" s="93"/>
      <c r="D66" s="93"/>
      <c r="E66" s="56"/>
      <c r="F66" s="93"/>
      <c r="G66" s="93"/>
      <c r="H66" s="57"/>
      <c r="I66" s="58"/>
      <c r="J66" s="57"/>
    </row>
    <row r="67" spans="1:10" ht="30" customHeight="1" x14ac:dyDescent="0.3">
      <c r="A67" s="100" t="s">
        <v>23</v>
      </c>
      <c r="B67" s="100"/>
      <c r="C67" s="100"/>
      <c r="D67" s="100"/>
      <c r="E67" s="100"/>
      <c r="F67" s="100"/>
      <c r="G67" s="100"/>
      <c r="H67" s="100"/>
      <c r="I67" s="100"/>
      <c r="J67" s="100"/>
    </row>
    <row r="68" spans="1:10" ht="30" customHeight="1" x14ac:dyDescent="0.3">
      <c r="A68" s="42" t="s">
        <v>1</v>
      </c>
      <c r="B68" s="42" t="s">
        <v>2</v>
      </c>
      <c r="C68" s="54" t="s">
        <v>3</v>
      </c>
      <c r="D68" s="54" t="s">
        <v>4</v>
      </c>
      <c r="E68" s="42" t="s">
        <v>5</v>
      </c>
      <c r="F68" s="54" t="s">
        <v>6</v>
      </c>
      <c r="G68" s="54" t="s">
        <v>7</v>
      </c>
      <c r="H68" s="42" t="s">
        <v>8</v>
      </c>
      <c r="I68" s="42" t="s">
        <v>9</v>
      </c>
      <c r="J68" s="42" t="s">
        <v>10</v>
      </c>
    </row>
    <row r="69" spans="1:10" ht="19.95" customHeight="1" x14ac:dyDescent="0.3">
      <c r="A69" s="42">
        <v>241025</v>
      </c>
      <c r="B69" s="42">
        <v>304</v>
      </c>
      <c r="C69" s="43">
        <v>0.8</v>
      </c>
      <c r="D69" s="43" t="s">
        <v>43</v>
      </c>
      <c r="E69" s="37" t="s">
        <v>276</v>
      </c>
      <c r="F69" s="42" t="s">
        <v>41</v>
      </c>
      <c r="G69" s="42">
        <v>430</v>
      </c>
      <c r="H69" s="41">
        <v>2000</v>
      </c>
      <c r="I69" s="46"/>
      <c r="J69" s="23">
        <f t="shared" ref="J69:J72" si="5">H69-I69</f>
        <v>2000</v>
      </c>
    </row>
    <row r="70" spans="1:10" ht="19.95" customHeight="1" x14ac:dyDescent="0.3">
      <c r="A70" s="42">
        <v>311025</v>
      </c>
      <c r="B70" s="42">
        <v>304</v>
      </c>
      <c r="C70" s="43">
        <v>0.9</v>
      </c>
      <c r="D70" s="43" t="s">
        <v>43</v>
      </c>
      <c r="E70" s="37" t="s">
        <v>277</v>
      </c>
      <c r="F70" s="42" t="s">
        <v>41</v>
      </c>
      <c r="G70" s="42">
        <v>430</v>
      </c>
      <c r="H70" s="23">
        <v>3200</v>
      </c>
      <c r="I70" s="24"/>
      <c r="J70" s="23">
        <f t="shared" si="5"/>
        <v>3200</v>
      </c>
    </row>
    <row r="71" spans="1:10" ht="19.95" customHeight="1" x14ac:dyDescent="0.3">
      <c r="A71" s="42">
        <v>311025</v>
      </c>
      <c r="B71" s="42">
        <v>304</v>
      </c>
      <c r="C71" s="43">
        <v>0.9</v>
      </c>
      <c r="D71" s="43" t="s">
        <v>43</v>
      </c>
      <c r="E71" s="20" t="s">
        <v>278</v>
      </c>
      <c r="F71" s="42" t="s">
        <v>41</v>
      </c>
      <c r="G71" s="42">
        <v>430</v>
      </c>
      <c r="H71" s="23">
        <v>500</v>
      </c>
      <c r="I71" s="24"/>
      <c r="J71" s="23">
        <f t="shared" si="5"/>
        <v>500</v>
      </c>
    </row>
    <row r="72" spans="1:10" ht="19.95" customHeight="1" x14ac:dyDescent="0.3">
      <c r="A72" s="42"/>
      <c r="B72" s="42"/>
      <c r="C72" s="43"/>
      <c r="D72" s="43"/>
      <c r="E72" s="37"/>
      <c r="F72" s="42"/>
      <c r="G72" s="42"/>
      <c r="H72" s="41"/>
      <c r="I72" s="46"/>
      <c r="J72" s="23">
        <f t="shared" si="5"/>
        <v>0</v>
      </c>
    </row>
    <row r="73" spans="1:10" ht="19.95" customHeight="1" x14ac:dyDescent="0.3">
      <c r="A73" s="101"/>
      <c r="B73" s="101"/>
      <c r="C73" s="101"/>
      <c r="D73" s="101"/>
      <c r="E73" s="101"/>
      <c r="F73" s="101"/>
      <c r="G73" s="101"/>
      <c r="H73" s="41">
        <f>SUM(H69:H72)</f>
        <v>5700</v>
      </c>
      <c r="I73" s="46">
        <f>SUM(I69:I72)</f>
        <v>0</v>
      </c>
      <c r="J73" s="41">
        <f>SUM(J69:J72)</f>
        <v>5700</v>
      </c>
    </row>
    <row r="74" spans="1:10" x14ac:dyDescent="0.3">
      <c r="A74" s="102"/>
      <c r="B74" s="102"/>
      <c r="C74" s="102"/>
      <c r="D74" s="102"/>
      <c r="E74" s="102"/>
      <c r="F74" s="102"/>
      <c r="G74" s="102"/>
    </row>
    <row r="75" spans="1:10" ht="15.6" x14ac:dyDescent="0.3">
      <c r="H75" s="8">
        <f>H73+H65+H50+H39+H27+H14</f>
        <v>27578</v>
      </c>
      <c r="I75" s="8">
        <f>I73+I65+I50+I39+I27+I14</f>
        <v>7949</v>
      </c>
      <c r="J75" s="8">
        <f>J73+J65+J50+J39+J27+J14</f>
        <v>19629</v>
      </c>
    </row>
    <row r="77" spans="1:10" ht="23.4" x14ac:dyDescent="0.3">
      <c r="A77" s="95" t="s">
        <v>14</v>
      </c>
      <c r="B77" s="95"/>
      <c r="C77" s="95"/>
      <c r="D77" s="95"/>
      <c r="E77" s="95"/>
      <c r="F77" s="95"/>
      <c r="G77" s="95"/>
      <c r="H77" s="95"/>
      <c r="I77" s="95"/>
      <c r="J77" s="95"/>
    </row>
  </sheetData>
  <mergeCells count="10">
    <mergeCell ref="A52:J52"/>
    <mergeCell ref="A67:J67"/>
    <mergeCell ref="A73:G74"/>
    <mergeCell ref="A77:J77"/>
    <mergeCell ref="H1:J1"/>
    <mergeCell ref="A2:J2"/>
    <mergeCell ref="A3:J3"/>
    <mergeCell ref="A16:J16"/>
    <mergeCell ref="A29:J29"/>
    <mergeCell ref="A41:J41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8"/>
  <sheetViews>
    <sheetView tabSelected="1" zoomScale="85" zoomScaleNormal="85" workbookViewId="0">
      <selection activeCell="M8" sqref="M8"/>
    </sheetView>
  </sheetViews>
  <sheetFormatPr defaultRowHeight="14.4" x14ac:dyDescent="0.3"/>
  <cols>
    <col min="1" max="1" width="14.33203125" customWidth="1"/>
    <col min="2" max="2" width="10.6640625" customWidth="1"/>
    <col min="3" max="3" width="11.44140625" customWidth="1"/>
    <col min="4" max="4" width="15.5546875" customWidth="1"/>
    <col min="5" max="5" width="62.88671875" bestFit="1" customWidth="1"/>
    <col min="6" max="6" width="10.77734375" style="1" customWidth="1"/>
    <col min="7" max="7" width="12.33203125" customWidth="1"/>
    <col min="8" max="8" width="13.44140625" customWidth="1"/>
    <col min="9" max="9" width="10.77734375" customWidth="1"/>
    <col min="10" max="10" width="18.6640625" customWidth="1"/>
  </cols>
  <sheetData>
    <row r="1" spans="1:10" s="2" customFormat="1" ht="30" customHeight="1" x14ac:dyDescent="0.3">
      <c r="F1" s="3" t="s">
        <v>0</v>
      </c>
      <c r="G1" s="19" t="s">
        <v>148</v>
      </c>
      <c r="H1" s="96" t="s">
        <v>262</v>
      </c>
      <c r="I1" s="96"/>
      <c r="J1" s="96"/>
    </row>
    <row r="2" spans="1:10" ht="30" customHeight="1" x14ac:dyDescent="0.3">
      <c r="A2" s="97" t="s">
        <v>15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ht="30" customHeight="1" x14ac:dyDescent="0.3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30" customHeight="1" x14ac:dyDescent="0.3">
      <c r="A4" s="4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38">
        <v>250079</v>
      </c>
      <c r="B5" s="38">
        <v>304</v>
      </c>
      <c r="C5" s="39">
        <v>0.7</v>
      </c>
      <c r="D5" s="39" t="s">
        <v>11</v>
      </c>
      <c r="E5" s="36" t="s">
        <v>228</v>
      </c>
      <c r="F5" s="38" t="s">
        <v>41</v>
      </c>
      <c r="G5" s="38">
        <v>304</v>
      </c>
      <c r="H5" s="32">
        <v>311</v>
      </c>
      <c r="I5" s="40">
        <v>370</v>
      </c>
      <c r="J5" s="32">
        <f t="shared" ref="J5:J13" si="0">H5-I5</f>
        <v>-59</v>
      </c>
    </row>
    <row r="6" spans="1:10" ht="19.95" customHeight="1" x14ac:dyDescent="0.3">
      <c r="A6" s="38">
        <v>250079</v>
      </c>
      <c r="B6" s="38">
        <v>304</v>
      </c>
      <c r="C6" s="39">
        <v>1</v>
      </c>
      <c r="D6" s="39" t="s">
        <v>11</v>
      </c>
      <c r="E6" s="36" t="s">
        <v>229</v>
      </c>
      <c r="F6" s="38" t="s">
        <v>41</v>
      </c>
      <c r="G6" s="38">
        <v>304</v>
      </c>
      <c r="H6" s="32">
        <v>36</v>
      </c>
      <c r="I6" s="40">
        <v>43</v>
      </c>
      <c r="J6" s="32">
        <f t="shared" si="0"/>
        <v>-7</v>
      </c>
    </row>
    <row r="7" spans="1:10" ht="19.95" customHeight="1" x14ac:dyDescent="0.3">
      <c r="A7" s="38">
        <v>250079</v>
      </c>
      <c r="B7" s="38">
        <v>304</v>
      </c>
      <c r="C7" s="39">
        <v>0.7</v>
      </c>
      <c r="D7" s="39" t="s">
        <v>11</v>
      </c>
      <c r="E7" s="36" t="s">
        <v>231</v>
      </c>
      <c r="F7" s="38" t="s">
        <v>41</v>
      </c>
      <c r="G7" s="38">
        <v>304</v>
      </c>
      <c r="H7" s="32">
        <v>1314</v>
      </c>
      <c r="I7" s="40">
        <v>1425</v>
      </c>
      <c r="J7" s="32">
        <f t="shared" si="0"/>
        <v>-111</v>
      </c>
    </row>
    <row r="8" spans="1:10" ht="19.95" customHeight="1" x14ac:dyDescent="0.3">
      <c r="A8" s="38">
        <v>250079</v>
      </c>
      <c r="B8" s="38">
        <v>304</v>
      </c>
      <c r="C8" s="39">
        <v>1</v>
      </c>
      <c r="D8" s="39" t="s">
        <v>11</v>
      </c>
      <c r="E8" s="36" t="s">
        <v>230</v>
      </c>
      <c r="F8" s="38" t="s">
        <v>41</v>
      </c>
      <c r="G8" s="38">
        <v>304</v>
      </c>
      <c r="H8" s="32">
        <v>36</v>
      </c>
      <c r="I8" s="40">
        <v>43</v>
      </c>
      <c r="J8" s="32">
        <f t="shared" si="0"/>
        <v>-7</v>
      </c>
    </row>
    <row r="9" spans="1:10" ht="19.95" customHeight="1" x14ac:dyDescent="0.3">
      <c r="A9" s="38">
        <v>250080</v>
      </c>
      <c r="B9" s="38">
        <v>304</v>
      </c>
      <c r="C9" s="39">
        <v>0.7</v>
      </c>
      <c r="D9" s="39" t="s">
        <v>11</v>
      </c>
      <c r="E9" s="36" t="s">
        <v>232</v>
      </c>
      <c r="F9" s="38" t="s">
        <v>41</v>
      </c>
      <c r="G9" s="38">
        <v>430</v>
      </c>
      <c r="H9" s="32">
        <v>1000</v>
      </c>
      <c r="I9" s="40">
        <v>1031</v>
      </c>
      <c r="J9" s="32">
        <f t="shared" si="0"/>
        <v>-31</v>
      </c>
    </row>
    <row r="10" spans="1:10" ht="19.95" customHeight="1" x14ac:dyDescent="0.3">
      <c r="A10" s="38">
        <v>250079</v>
      </c>
      <c r="B10" s="38">
        <v>304</v>
      </c>
      <c r="C10" s="39">
        <v>0.7</v>
      </c>
      <c r="D10" s="39" t="s">
        <v>11</v>
      </c>
      <c r="E10" s="36" t="s">
        <v>233</v>
      </c>
      <c r="F10" s="38" t="s">
        <v>41</v>
      </c>
      <c r="G10" s="38">
        <v>304</v>
      </c>
      <c r="H10" s="32">
        <v>1314</v>
      </c>
      <c r="I10" s="40">
        <f>1144+210</f>
        <v>1354</v>
      </c>
      <c r="J10" s="32">
        <f t="shared" si="0"/>
        <v>-40</v>
      </c>
    </row>
    <row r="11" spans="1:10" ht="19.95" customHeight="1" x14ac:dyDescent="0.3">
      <c r="A11" s="38">
        <v>250079</v>
      </c>
      <c r="B11" s="38">
        <v>304</v>
      </c>
      <c r="C11" s="39">
        <v>1</v>
      </c>
      <c r="D11" s="39" t="s">
        <v>11</v>
      </c>
      <c r="E11" s="36" t="s">
        <v>234</v>
      </c>
      <c r="F11" s="38" t="s">
        <v>41</v>
      </c>
      <c r="G11" s="38">
        <v>304</v>
      </c>
      <c r="H11" s="32">
        <v>36</v>
      </c>
      <c r="I11" s="40">
        <v>45</v>
      </c>
      <c r="J11" s="32">
        <f t="shared" si="0"/>
        <v>-9</v>
      </c>
    </row>
    <row r="12" spans="1:10" ht="19.95" customHeight="1" x14ac:dyDescent="0.3">
      <c r="A12" s="38">
        <v>250080</v>
      </c>
      <c r="B12" s="38">
        <v>304</v>
      </c>
      <c r="C12" s="39">
        <v>0.7</v>
      </c>
      <c r="D12" s="39" t="s">
        <v>11</v>
      </c>
      <c r="E12" s="36" t="s">
        <v>235</v>
      </c>
      <c r="F12" s="38" t="s">
        <v>41</v>
      </c>
      <c r="G12" s="38">
        <v>430</v>
      </c>
      <c r="H12" s="32">
        <v>1200</v>
      </c>
      <c r="I12" s="40">
        <v>1241</v>
      </c>
      <c r="J12" s="32">
        <f t="shared" si="0"/>
        <v>-41</v>
      </c>
    </row>
    <row r="13" spans="1:10" ht="19.95" customHeight="1" x14ac:dyDescent="0.3">
      <c r="A13" s="42"/>
      <c r="B13" s="42"/>
      <c r="C13" s="43"/>
      <c r="D13" s="43"/>
      <c r="E13" s="37"/>
      <c r="F13" s="42"/>
      <c r="G13" s="42"/>
      <c r="H13" s="23"/>
      <c r="I13" s="24"/>
      <c r="J13" s="23">
        <f t="shared" si="0"/>
        <v>0</v>
      </c>
    </row>
    <row r="14" spans="1:10" ht="19.95" customHeight="1" x14ac:dyDescent="0.3">
      <c r="A14" s="92"/>
      <c r="B14" s="92"/>
      <c r="C14" s="92"/>
      <c r="D14" s="92"/>
      <c r="E14" s="48"/>
      <c r="F14" s="92"/>
      <c r="G14" s="49"/>
      <c r="H14" s="73">
        <f>SUM(H5:H13)</f>
        <v>5247</v>
      </c>
      <c r="I14" s="74">
        <f>SUM(I5:I13)</f>
        <v>5552</v>
      </c>
      <c r="J14" s="23">
        <f>SUM(J5:J13)</f>
        <v>-305</v>
      </c>
    </row>
    <row r="15" spans="1:10" x14ac:dyDescent="0.3">
      <c r="A15" s="52"/>
      <c r="B15" s="52"/>
      <c r="C15" s="52"/>
      <c r="D15" s="52"/>
      <c r="E15" s="52"/>
      <c r="F15" s="53"/>
      <c r="G15" s="52"/>
      <c r="H15" s="52"/>
      <c r="I15" s="52"/>
      <c r="J15" s="52"/>
    </row>
    <row r="16" spans="1:10" ht="30" customHeight="1" x14ac:dyDescent="0.3">
      <c r="A16" s="100" t="s">
        <v>17</v>
      </c>
      <c r="B16" s="100"/>
      <c r="C16" s="100"/>
      <c r="D16" s="100"/>
      <c r="E16" s="100"/>
      <c r="F16" s="100"/>
      <c r="G16" s="100"/>
      <c r="H16" s="100"/>
      <c r="I16" s="100"/>
      <c r="J16" s="100"/>
    </row>
    <row r="17" spans="1:10" ht="30" customHeight="1" x14ac:dyDescent="0.3">
      <c r="A17" s="42" t="s">
        <v>1</v>
      </c>
      <c r="B17" s="42" t="s">
        <v>2</v>
      </c>
      <c r="C17" s="54" t="s">
        <v>3</v>
      </c>
      <c r="D17" s="54" t="s">
        <v>4</v>
      </c>
      <c r="E17" s="42" t="s">
        <v>5</v>
      </c>
      <c r="F17" s="54" t="s">
        <v>6</v>
      </c>
      <c r="G17" s="54" t="s">
        <v>7</v>
      </c>
      <c r="H17" s="42" t="s">
        <v>8</v>
      </c>
      <c r="I17" s="42" t="s">
        <v>9</v>
      </c>
      <c r="J17" s="42" t="s">
        <v>10</v>
      </c>
    </row>
    <row r="18" spans="1:10" ht="19.95" customHeight="1" x14ac:dyDescent="0.3">
      <c r="A18" s="38">
        <v>250082</v>
      </c>
      <c r="B18" s="38">
        <v>430</v>
      </c>
      <c r="C18" s="39">
        <v>0.6</v>
      </c>
      <c r="D18" s="39" t="s">
        <v>11</v>
      </c>
      <c r="E18" s="36" t="s">
        <v>253</v>
      </c>
      <c r="F18" s="38" t="s">
        <v>13</v>
      </c>
      <c r="G18" s="38">
        <v>430</v>
      </c>
      <c r="H18" s="32">
        <v>1000</v>
      </c>
      <c r="I18" s="40">
        <v>995</v>
      </c>
      <c r="J18" s="32">
        <f t="shared" ref="J18:J26" si="1">H18-I18</f>
        <v>5</v>
      </c>
    </row>
    <row r="19" spans="1:10" ht="19.95" customHeight="1" x14ac:dyDescent="0.3">
      <c r="A19" s="42">
        <v>250084</v>
      </c>
      <c r="B19" s="42">
        <v>304</v>
      </c>
      <c r="C19" s="43">
        <v>0.7</v>
      </c>
      <c r="D19" s="43" t="s">
        <v>11</v>
      </c>
      <c r="E19" s="37" t="s">
        <v>256</v>
      </c>
      <c r="F19" s="42" t="s">
        <v>45</v>
      </c>
      <c r="G19" s="42">
        <v>304</v>
      </c>
      <c r="H19" s="23">
        <v>715</v>
      </c>
      <c r="I19" s="24">
        <v>390</v>
      </c>
      <c r="J19" s="23">
        <f t="shared" si="1"/>
        <v>325</v>
      </c>
    </row>
    <row r="20" spans="1:10" ht="26.4" customHeight="1" x14ac:dyDescent="0.3">
      <c r="A20" s="42">
        <v>250084</v>
      </c>
      <c r="B20" s="42">
        <v>304</v>
      </c>
      <c r="C20" s="43">
        <v>1</v>
      </c>
      <c r="D20" s="43" t="s">
        <v>11</v>
      </c>
      <c r="E20" s="66" t="s">
        <v>257</v>
      </c>
      <c r="F20" s="42" t="s">
        <v>45</v>
      </c>
      <c r="G20" s="42">
        <v>304</v>
      </c>
      <c r="H20" s="23">
        <v>15</v>
      </c>
      <c r="I20" s="24"/>
      <c r="J20" s="23">
        <f t="shared" si="1"/>
        <v>15</v>
      </c>
    </row>
    <row r="21" spans="1:10" ht="19.95" customHeight="1" x14ac:dyDescent="0.3">
      <c r="A21" s="42">
        <v>250081</v>
      </c>
      <c r="B21" s="42">
        <v>304</v>
      </c>
      <c r="C21" s="43">
        <v>0.6</v>
      </c>
      <c r="D21" s="43" t="s">
        <v>11</v>
      </c>
      <c r="E21" s="37" t="s">
        <v>245</v>
      </c>
      <c r="F21" s="42" t="s">
        <v>45</v>
      </c>
      <c r="G21" s="42">
        <v>430</v>
      </c>
      <c r="H21" s="23">
        <v>500</v>
      </c>
      <c r="I21" s="24"/>
      <c r="J21" s="23">
        <f t="shared" si="1"/>
        <v>500</v>
      </c>
    </row>
    <row r="22" spans="1:10" ht="19.95" customHeight="1" x14ac:dyDescent="0.3">
      <c r="A22" s="42">
        <v>151025</v>
      </c>
      <c r="B22" s="42">
        <v>304</v>
      </c>
      <c r="C22" s="43">
        <v>0.7</v>
      </c>
      <c r="D22" s="43" t="s">
        <v>55</v>
      </c>
      <c r="E22" s="37" t="s">
        <v>244</v>
      </c>
      <c r="F22" s="42" t="s">
        <v>45</v>
      </c>
      <c r="G22" s="42">
        <v>430</v>
      </c>
      <c r="H22" s="41">
        <v>1000</v>
      </c>
      <c r="I22" s="24"/>
      <c r="J22" s="23">
        <f t="shared" si="1"/>
        <v>1000</v>
      </c>
    </row>
    <row r="23" spans="1:10" ht="19.95" customHeight="1" x14ac:dyDescent="0.3">
      <c r="A23" s="42">
        <v>250084</v>
      </c>
      <c r="B23" s="42">
        <v>304</v>
      </c>
      <c r="C23" s="43">
        <v>0.7</v>
      </c>
      <c r="D23" s="43" t="s">
        <v>11</v>
      </c>
      <c r="E23" s="37" t="s">
        <v>258</v>
      </c>
      <c r="F23" s="42" t="s">
        <v>45</v>
      </c>
      <c r="G23" s="42">
        <v>304</v>
      </c>
      <c r="H23" s="23">
        <v>715</v>
      </c>
      <c r="I23" s="24"/>
      <c r="J23" s="23">
        <f t="shared" si="1"/>
        <v>715</v>
      </c>
    </row>
    <row r="24" spans="1:10" ht="27.6" customHeight="1" x14ac:dyDescent="0.3">
      <c r="A24" s="42">
        <v>250084</v>
      </c>
      <c r="B24" s="42">
        <v>304</v>
      </c>
      <c r="C24" s="43">
        <v>1</v>
      </c>
      <c r="D24" s="43" t="s">
        <v>11</v>
      </c>
      <c r="E24" s="66" t="s">
        <v>259</v>
      </c>
      <c r="F24" s="42" t="s">
        <v>45</v>
      </c>
      <c r="G24" s="42">
        <v>304</v>
      </c>
      <c r="H24" s="23">
        <v>15</v>
      </c>
      <c r="I24" s="24"/>
      <c r="J24" s="23">
        <f t="shared" si="1"/>
        <v>15</v>
      </c>
    </row>
    <row r="25" spans="1:10" ht="19.95" customHeight="1" x14ac:dyDescent="0.3">
      <c r="A25" s="38">
        <v>151025</v>
      </c>
      <c r="B25" s="38">
        <v>304</v>
      </c>
      <c r="C25" s="39">
        <v>0.7</v>
      </c>
      <c r="D25" s="39" t="s">
        <v>55</v>
      </c>
      <c r="E25" s="36" t="s">
        <v>226</v>
      </c>
      <c r="F25" s="38" t="s">
        <v>45</v>
      </c>
      <c r="G25" s="38">
        <v>430</v>
      </c>
      <c r="H25" s="32">
        <v>1000</v>
      </c>
      <c r="I25" s="40">
        <v>1000</v>
      </c>
      <c r="J25" s="32">
        <f t="shared" si="1"/>
        <v>0</v>
      </c>
    </row>
    <row r="26" spans="1:10" ht="19.95" customHeight="1" x14ac:dyDescent="0.3">
      <c r="A26" s="21"/>
      <c r="B26" s="21"/>
      <c r="C26" s="22"/>
      <c r="D26" s="22"/>
      <c r="E26" s="20"/>
      <c r="F26" s="21"/>
      <c r="G26" s="21"/>
      <c r="H26" s="23"/>
      <c r="I26" s="24"/>
      <c r="J26" s="23">
        <f t="shared" si="1"/>
        <v>0</v>
      </c>
    </row>
    <row r="27" spans="1:10" ht="19.95" customHeight="1" x14ac:dyDescent="0.3">
      <c r="A27" s="92"/>
      <c r="B27" s="92"/>
      <c r="C27" s="92"/>
      <c r="D27" s="92"/>
      <c r="E27" s="48"/>
      <c r="F27" s="92"/>
      <c r="G27" s="49"/>
      <c r="H27" s="23">
        <f>SUM(H18:H26)</f>
        <v>4960</v>
      </c>
      <c r="I27" s="24">
        <f>SUM(I18:I26)</f>
        <v>2385</v>
      </c>
      <c r="J27" s="23">
        <f>SUM(J18:J26)</f>
        <v>2575</v>
      </c>
    </row>
    <row r="28" spans="1:10" x14ac:dyDescent="0.3">
      <c r="A28" s="52"/>
      <c r="B28" s="52"/>
      <c r="C28" s="52"/>
      <c r="D28" s="52"/>
      <c r="E28" s="52"/>
      <c r="F28" s="53"/>
      <c r="G28" s="52"/>
      <c r="H28" s="52"/>
      <c r="I28" s="52"/>
      <c r="J28" s="52"/>
    </row>
    <row r="29" spans="1:10" ht="30" customHeight="1" x14ac:dyDescent="0.3">
      <c r="A29" s="100" t="s">
        <v>18</v>
      </c>
      <c r="B29" s="100"/>
      <c r="C29" s="100"/>
      <c r="D29" s="100"/>
      <c r="E29" s="100"/>
      <c r="F29" s="100"/>
      <c r="G29" s="100"/>
      <c r="H29" s="100"/>
      <c r="I29" s="100"/>
      <c r="J29" s="100"/>
    </row>
    <row r="30" spans="1:10" ht="30" customHeight="1" x14ac:dyDescent="0.3">
      <c r="A30" s="42" t="s">
        <v>1</v>
      </c>
      <c r="B30" s="42" t="s">
        <v>2</v>
      </c>
      <c r="C30" s="54" t="s">
        <v>3</v>
      </c>
      <c r="D30" s="54" t="s">
        <v>4</v>
      </c>
      <c r="E30" s="42" t="s">
        <v>5</v>
      </c>
      <c r="F30" s="54" t="s">
        <v>6</v>
      </c>
      <c r="G30" s="54" t="s">
        <v>7</v>
      </c>
      <c r="H30" s="42" t="s">
        <v>8</v>
      </c>
      <c r="I30" s="42" t="s">
        <v>9</v>
      </c>
      <c r="J30" s="42" t="s">
        <v>10</v>
      </c>
    </row>
    <row r="31" spans="1:10" ht="19.95" customHeight="1" x14ac:dyDescent="0.3">
      <c r="A31" s="38" t="s">
        <v>225</v>
      </c>
      <c r="B31" s="38">
        <v>304</v>
      </c>
      <c r="C31" s="39">
        <v>0.7</v>
      </c>
      <c r="D31" s="39" t="s">
        <v>55</v>
      </c>
      <c r="E31" s="36" t="s">
        <v>226</v>
      </c>
      <c r="F31" s="38" t="s">
        <v>45</v>
      </c>
      <c r="G31" s="38">
        <v>430</v>
      </c>
      <c r="H31" s="32">
        <v>1000</v>
      </c>
      <c r="I31" s="40">
        <f>407+591</f>
        <v>998</v>
      </c>
      <c r="J31" s="32">
        <f t="shared" ref="J31:J38" si="2">H31-I31</f>
        <v>2</v>
      </c>
    </row>
    <row r="32" spans="1:10" ht="19.95" customHeight="1" x14ac:dyDescent="0.3">
      <c r="A32" s="38">
        <v>21025</v>
      </c>
      <c r="B32" s="38">
        <v>304</v>
      </c>
      <c r="C32" s="39">
        <v>0.6</v>
      </c>
      <c r="D32" s="39" t="s">
        <v>55</v>
      </c>
      <c r="E32" s="36" t="s">
        <v>186</v>
      </c>
      <c r="F32" s="38" t="s">
        <v>45</v>
      </c>
      <c r="G32" s="38">
        <v>430</v>
      </c>
      <c r="H32" s="32">
        <v>1000</v>
      </c>
      <c r="I32" s="40">
        <v>990</v>
      </c>
      <c r="J32" s="32">
        <f t="shared" si="2"/>
        <v>10</v>
      </c>
    </row>
    <row r="33" spans="1:13" ht="19.95" customHeight="1" x14ac:dyDescent="0.3">
      <c r="A33" s="42">
        <v>250084</v>
      </c>
      <c r="B33" s="42">
        <v>304</v>
      </c>
      <c r="C33" s="43">
        <v>0.7</v>
      </c>
      <c r="D33" s="4" t="s">
        <v>11</v>
      </c>
      <c r="E33" s="37" t="s">
        <v>251</v>
      </c>
      <c r="F33" s="42" t="s">
        <v>45</v>
      </c>
      <c r="G33" s="42">
        <v>304</v>
      </c>
      <c r="H33" s="41">
        <v>715</v>
      </c>
      <c r="I33" s="24"/>
      <c r="J33" s="23">
        <f t="shared" si="2"/>
        <v>715</v>
      </c>
    </row>
    <row r="34" spans="1:13" ht="34.200000000000003" customHeight="1" x14ac:dyDescent="0.3">
      <c r="A34" s="42">
        <v>250084</v>
      </c>
      <c r="B34" s="42">
        <v>304</v>
      </c>
      <c r="C34" s="43" t="s">
        <v>248</v>
      </c>
      <c r="D34" s="4" t="s">
        <v>11</v>
      </c>
      <c r="E34" s="66" t="s">
        <v>252</v>
      </c>
      <c r="F34" s="42" t="s">
        <v>45</v>
      </c>
      <c r="G34" s="42">
        <v>304</v>
      </c>
      <c r="H34" s="41">
        <v>15</v>
      </c>
      <c r="I34" s="24"/>
      <c r="J34" s="23">
        <f t="shared" si="2"/>
        <v>15</v>
      </c>
    </row>
    <row r="35" spans="1:13" ht="19.95" customHeight="1" x14ac:dyDescent="0.3">
      <c r="A35" s="42">
        <v>250084</v>
      </c>
      <c r="B35" s="42">
        <v>304</v>
      </c>
      <c r="C35" s="43">
        <v>0.7</v>
      </c>
      <c r="D35" s="4" t="s">
        <v>11</v>
      </c>
      <c r="E35" s="37" t="s">
        <v>249</v>
      </c>
      <c r="F35" s="42" t="s">
        <v>45</v>
      </c>
      <c r="G35" s="42">
        <v>304</v>
      </c>
      <c r="H35" s="41">
        <v>715</v>
      </c>
      <c r="I35" s="24"/>
      <c r="J35" s="23">
        <f t="shared" si="2"/>
        <v>715</v>
      </c>
    </row>
    <row r="36" spans="1:13" ht="30" customHeight="1" x14ac:dyDescent="0.3">
      <c r="A36" s="42">
        <v>250084</v>
      </c>
      <c r="B36" s="42">
        <v>304</v>
      </c>
      <c r="C36" s="43" t="s">
        <v>248</v>
      </c>
      <c r="D36" s="4" t="s">
        <v>11</v>
      </c>
      <c r="E36" s="66" t="s">
        <v>250</v>
      </c>
      <c r="F36" s="42" t="s">
        <v>45</v>
      </c>
      <c r="G36" s="42">
        <v>304</v>
      </c>
      <c r="H36" s="41">
        <v>15</v>
      </c>
      <c r="I36" s="24"/>
      <c r="J36" s="23">
        <f t="shared" si="2"/>
        <v>15</v>
      </c>
    </row>
    <row r="37" spans="1:13" ht="19.95" customHeight="1" x14ac:dyDescent="0.3">
      <c r="A37" s="42">
        <v>250078</v>
      </c>
      <c r="B37" s="42">
        <v>304</v>
      </c>
      <c r="C37" s="43">
        <v>0.7</v>
      </c>
      <c r="D37" s="43" t="s">
        <v>11</v>
      </c>
      <c r="E37" s="37" t="s">
        <v>224</v>
      </c>
      <c r="F37" s="42" t="s">
        <v>13</v>
      </c>
      <c r="G37" s="42">
        <v>304</v>
      </c>
      <c r="H37" s="41">
        <v>131</v>
      </c>
      <c r="I37" s="24"/>
      <c r="J37" s="23">
        <f t="shared" si="2"/>
        <v>131</v>
      </c>
    </row>
    <row r="38" spans="1:13" ht="19.95" customHeight="1" x14ac:dyDescent="0.3">
      <c r="A38" s="42"/>
      <c r="B38" s="42"/>
      <c r="C38" s="43"/>
      <c r="D38" s="43"/>
      <c r="E38" s="37"/>
      <c r="F38" s="42"/>
      <c r="G38" s="42"/>
      <c r="H38" s="41"/>
      <c r="I38" s="46"/>
      <c r="J38" s="41">
        <f t="shared" si="2"/>
        <v>0</v>
      </c>
    </row>
    <row r="39" spans="1:13" ht="19.95" customHeight="1" x14ac:dyDescent="0.3">
      <c r="A39" s="92"/>
      <c r="B39" s="92"/>
      <c r="C39" s="92"/>
      <c r="D39" s="92"/>
      <c r="E39" s="48"/>
      <c r="F39" s="92"/>
      <c r="G39" s="49"/>
      <c r="H39" s="41">
        <f>SUM(H31:H38)</f>
        <v>3591</v>
      </c>
      <c r="I39" s="46">
        <f>SUM(I31:I38)</f>
        <v>1988</v>
      </c>
      <c r="J39" s="41">
        <f>SUM(J31:J38)</f>
        <v>1603</v>
      </c>
    </row>
    <row r="40" spans="1:13" x14ac:dyDescent="0.3">
      <c r="A40" s="52"/>
      <c r="B40" s="52"/>
      <c r="C40" s="52"/>
      <c r="D40" s="52"/>
      <c r="E40" s="52"/>
      <c r="F40" s="53"/>
      <c r="G40" s="52"/>
      <c r="H40" s="52"/>
      <c r="I40" s="52"/>
      <c r="J40" s="52"/>
    </row>
    <row r="41" spans="1:13" ht="30" customHeight="1" x14ac:dyDescent="0.3">
      <c r="A41" s="100" t="s">
        <v>20</v>
      </c>
      <c r="B41" s="100"/>
      <c r="C41" s="100"/>
      <c r="D41" s="100"/>
      <c r="E41" s="100"/>
      <c r="F41" s="100"/>
      <c r="G41" s="100"/>
      <c r="H41" s="100"/>
      <c r="I41" s="100"/>
      <c r="J41" s="100"/>
    </row>
    <row r="42" spans="1:13" ht="30" customHeight="1" x14ac:dyDescent="0.3">
      <c r="A42" s="42" t="s">
        <v>1</v>
      </c>
      <c r="B42" s="42" t="s">
        <v>2</v>
      </c>
      <c r="C42" s="54" t="s">
        <v>3</v>
      </c>
      <c r="D42" s="54" t="s">
        <v>4</v>
      </c>
      <c r="E42" s="42" t="s">
        <v>5</v>
      </c>
      <c r="F42" s="54" t="s">
        <v>6</v>
      </c>
      <c r="G42" s="54" t="s">
        <v>7</v>
      </c>
      <c r="H42" s="42" t="s">
        <v>8</v>
      </c>
      <c r="I42" s="42" t="s">
        <v>9</v>
      </c>
      <c r="J42" s="42" t="s">
        <v>10</v>
      </c>
    </row>
    <row r="43" spans="1:13" ht="19.95" customHeight="1" x14ac:dyDescent="0.3">
      <c r="A43" s="42" t="s">
        <v>225</v>
      </c>
      <c r="B43" s="42">
        <v>304</v>
      </c>
      <c r="C43" s="43">
        <v>0.7</v>
      </c>
      <c r="D43" s="43" t="s">
        <v>55</v>
      </c>
      <c r="E43" s="37" t="s">
        <v>236</v>
      </c>
      <c r="F43" s="42" t="s">
        <v>45</v>
      </c>
      <c r="G43" s="42">
        <v>430</v>
      </c>
      <c r="H43" s="23">
        <v>1000</v>
      </c>
      <c r="I43" s="46"/>
      <c r="J43" s="41">
        <f>H43-I43</f>
        <v>1000</v>
      </c>
      <c r="K43" s="91"/>
      <c r="L43" s="91"/>
      <c r="M43" s="91"/>
    </row>
    <row r="44" spans="1:13" ht="19.95" customHeight="1" x14ac:dyDescent="0.3">
      <c r="A44" s="42" t="s">
        <v>225</v>
      </c>
      <c r="B44" s="42">
        <v>304</v>
      </c>
      <c r="C44" s="43">
        <v>0.7</v>
      </c>
      <c r="D44" s="43" t="s">
        <v>55</v>
      </c>
      <c r="E44" s="37" t="s">
        <v>237</v>
      </c>
      <c r="F44" s="42" t="s">
        <v>45</v>
      </c>
      <c r="G44" s="42">
        <v>430</v>
      </c>
      <c r="H44" s="23">
        <v>1000</v>
      </c>
      <c r="I44" s="46"/>
      <c r="J44" s="41">
        <f>H44-I44</f>
        <v>1000</v>
      </c>
    </row>
    <row r="45" spans="1:13" ht="27" customHeight="1" x14ac:dyDescent="0.3">
      <c r="A45" s="42">
        <v>250081</v>
      </c>
      <c r="B45" s="42">
        <v>304</v>
      </c>
      <c r="C45" s="43">
        <v>0.6</v>
      </c>
      <c r="D45" s="43" t="s">
        <v>11</v>
      </c>
      <c r="E45" s="66" t="s">
        <v>255</v>
      </c>
      <c r="F45" s="42" t="s">
        <v>45</v>
      </c>
      <c r="G45" s="42">
        <v>430</v>
      </c>
      <c r="H45" s="23">
        <v>400</v>
      </c>
      <c r="I45" s="46"/>
      <c r="J45" s="41">
        <f>H45-I45</f>
        <v>400</v>
      </c>
    </row>
    <row r="46" spans="1:13" ht="19.95" customHeight="1" x14ac:dyDescent="0.3">
      <c r="A46" s="42">
        <v>250082</v>
      </c>
      <c r="B46" s="42">
        <v>430</v>
      </c>
      <c r="C46" s="43">
        <v>0.6</v>
      </c>
      <c r="D46" s="43" t="s">
        <v>11</v>
      </c>
      <c r="E46" s="37" t="s">
        <v>254</v>
      </c>
      <c r="F46" s="42" t="s">
        <v>13</v>
      </c>
      <c r="G46" s="42">
        <v>430</v>
      </c>
      <c r="H46" s="41">
        <v>1000</v>
      </c>
      <c r="I46" s="46">
        <v>594</v>
      </c>
      <c r="J46" s="41">
        <f t="shared" ref="J46:J49" si="3">H46-I46</f>
        <v>406</v>
      </c>
    </row>
    <row r="47" spans="1:13" ht="28.05" customHeight="1" x14ac:dyDescent="0.3">
      <c r="A47" s="42">
        <v>250060</v>
      </c>
      <c r="B47" s="42">
        <v>304</v>
      </c>
      <c r="C47" s="43">
        <v>0.8</v>
      </c>
      <c r="D47" s="43" t="s">
        <v>55</v>
      </c>
      <c r="E47" s="66" t="s">
        <v>263</v>
      </c>
      <c r="F47" s="42" t="s">
        <v>45</v>
      </c>
      <c r="G47" s="42">
        <v>304</v>
      </c>
      <c r="H47" s="41">
        <v>665</v>
      </c>
      <c r="I47" s="46"/>
      <c r="J47" s="41">
        <f t="shared" si="3"/>
        <v>665</v>
      </c>
    </row>
    <row r="48" spans="1:13" ht="28.05" customHeight="1" x14ac:dyDescent="0.3">
      <c r="A48" s="42">
        <v>250060</v>
      </c>
      <c r="B48" s="42">
        <v>304</v>
      </c>
      <c r="C48" s="43">
        <v>1</v>
      </c>
      <c r="D48" s="43" t="s">
        <v>55</v>
      </c>
      <c r="E48" s="66" t="s">
        <v>264</v>
      </c>
      <c r="F48" s="42" t="s">
        <v>45</v>
      </c>
      <c r="G48" s="42">
        <v>304</v>
      </c>
      <c r="H48" s="41">
        <v>15</v>
      </c>
      <c r="I48" s="46"/>
      <c r="J48" s="41">
        <f t="shared" si="3"/>
        <v>15</v>
      </c>
    </row>
    <row r="49" spans="1:10" ht="19.95" customHeight="1" x14ac:dyDescent="0.3">
      <c r="A49" s="42"/>
      <c r="B49" s="42"/>
      <c r="C49" s="43"/>
      <c r="D49" s="43"/>
      <c r="E49" s="37"/>
      <c r="F49" s="42"/>
      <c r="G49" s="42"/>
      <c r="H49" s="41"/>
      <c r="I49" s="46"/>
      <c r="J49" s="41">
        <f t="shared" si="3"/>
        <v>0</v>
      </c>
    </row>
    <row r="50" spans="1:10" ht="19.95" customHeight="1" x14ac:dyDescent="0.3">
      <c r="A50" s="92"/>
      <c r="B50" s="92"/>
      <c r="C50" s="92"/>
      <c r="D50" s="92"/>
      <c r="E50" s="48"/>
      <c r="F50" s="92"/>
      <c r="G50" s="49"/>
      <c r="H50" s="41">
        <f>SUM(H43:H49)</f>
        <v>4080</v>
      </c>
      <c r="I50" s="46">
        <f>SUM(I43:I49)</f>
        <v>594</v>
      </c>
      <c r="J50" s="41">
        <f>SUM(J43:J49)</f>
        <v>3486</v>
      </c>
    </row>
    <row r="51" spans="1:10" ht="19.95" customHeight="1" x14ac:dyDescent="0.3">
      <c r="A51" s="93"/>
      <c r="B51" s="93"/>
      <c r="C51" s="93"/>
      <c r="D51" s="93"/>
      <c r="E51" s="56"/>
      <c r="F51" s="93"/>
      <c r="G51" s="93"/>
      <c r="H51" s="57"/>
      <c r="I51" s="58"/>
      <c r="J51" s="57"/>
    </row>
    <row r="52" spans="1:10" ht="30" customHeight="1" x14ac:dyDescent="0.3">
      <c r="A52" s="100" t="s">
        <v>19</v>
      </c>
      <c r="B52" s="100"/>
      <c r="C52" s="100"/>
      <c r="D52" s="100"/>
      <c r="E52" s="100"/>
      <c r="F52" s="100"/>
      <c r="G52" s="100"/>
      <c r="H52" s="100"/>
      <c r="I52" s="100"/>
      <c r="J52" s="100"/>
    </row>
    <row r="53" spans="1:10" ht="30" customHeight="1" x14ac:dyDescent="0.3">
      <c r="A53" s="42" t="s">
        <v>1</v>
      </c>
      <c r="B53" s="42" t="s">
        <v>2</v>
      </c>
      <c r="C53" s="54" t="s">
        <v>3</v>
      </c>
      <c r="D53" s="54" t="s">
        <v>4</v>
      </c>
      <c r="E53" s="42" t="s">
        <v>5</v>
      </c>
      <c r="F53" s="54" t="s">
        <v>6</v>
      </c>
      <c r="G53" s="54" t="s">
        <v>7</v>
      </c>
      <c r="H53" s="42" t="s">
        <v>8</v>
      </c>
      <c r="I53" s="42" t="s">
        <v>9</v>
      </c>
      <c r="J53" s="42" t="s">
        <v>10</v>
      </c>
    </row>
    <row r="54" spans="1:10" ht="19.95" customHeight="1" x14ac:dyDescent="0.3">
      <c r="A54" s="42">
        <v>250058</v>
      </c>
      <c r="B54" s="42">
        <v>304</v>
      </c>
      <c r="C54" s="43">
        <v>0.7</v>
      </c>
      <c r="D54" s="43" t="s">
        <v>96</v>
      </c>
      <c r="E54" s="37" t="s">
        <v>265</v>
      </c>
      <c r="F54" s="42" t="s">
        <v>45</v>
      </c>
      <c r="G54" s="42">
        <v>304</v>
      </c>
      <c r="H54" s="23">
        <v>785</v>
      </c>
      <c r="I54" s="24"/>
      <c r="J54" s="23">
        <f t="shared" ref="J54:J64" si="4">H54-I54</f>
        <v>785</v>
      </c>
    </row>
    <row r="55" spans="1:10" ht="19.95" customHeight="1" x14ac:dyDescent="0.3">
      <c r="A55" s="42">
        <v>250058</v>
      </c>
      <c r="B55" s="42">
        <v>304</v>
      </c>
      <c r="C55" s="43" t="s">
        <v>266</v>
      </c>
      <c r="D55" s="43" t="s">
        <v>96</v>
      </c>
      <c r="E55" s="37" t="s">
        <v>267</v>
      </c>
      <c r="F55" s="42" t="s">
        <v>45</v>
      </c>
      <c r="G55" s="42">
        <v>304</v>
      </c>
      <c r="H55" s="23">
        <v>15</v>
      </c>
      <c r="I55" s="46"/>
      <c r="J55" s="41">
        <f t="shared" si="4"/>
        <v>15</v>
      </c>
    </row>
    <row r="56" spans="1:10" ht="19.95" customHeight="1" x14ac:dyDescent="0.3">
      <c r="A56" s="42">
        <v>250058</v>
      </c>
      <c r="B56" s="42">
        <v>304</v>
      </c>
      <c r="C56" s="22">
        <v>0.7</v>
      </c>
      <c r="D56" s="43" t="s">
        <v>96</v>
      </c>
      <c r="E56" s="20" t="s">
        <v>269</v>
      </c>
      <c r="F56" s="42" t="s">
        <v>45</v>
      </c>
      <c r="G56" s="42">
        <v>304</v>
      </c>
      <c r="H56" s="23">
        <v>785</v>
      </c>
      <c r="I56" s="24"/>
      <c r="J56" s="41">
        <f t="shared" si="4"/>
        <v>785</v>
      </c>
    </row>
    <row r="57" spans="1:10" ht="19.95" customHeight="1" x14ac:dyDescent="0.3">
      <c r="A57" s="42">
        <v>250058</v>
      </c>
      <c r="B57" s="42">
        <v>304</v>
      </c>
      <c r="C57" s="22" t="s">
        <v>266</v>
      </c>
      <c r="D57" s="43" t="s">
        <v>96</v>
      </c>
      <c r="E57" s="20" t="s">
        <v>268</v>
      </c>
      <c r="F57" s="42" t="s">
        <v>45</v>
      </c>
      <c r="G57" s="42">
        <v>304</v>
      </c>
      <c r="H57" s="23">
        <v>15</v>
      </c>
      <c r="I57" s="24"/>
      <c r="J57" s="41">
        <f t="shared" si="4"/>
        <v>15</v>
      </c>
    </row>
    <row r="58" spans="1:10" ht="19.95" customHeight="1" x14ac:dyDescent="0.3">
      <c r="A58" s="42">
        <v>250058</v>
      </c>
      <c r="B58" s="42">
        <v>304</v>
      </c>
      <c r="C58" s="22">
        <v>0.7</v>
      </c>
      <c r="D58" s="43" t="s">
        <v>96</v>
      </c>
      <c r="E58" s="20" t="s">
        <v>270</v>
      </c>
      <c r="F58" s="42" t="s">
        <v>45</v>
      </c>
      <c r="G58" s="42">
        <v>304</v>
      </c>
      <c r="H58" s="23">
        <v>785</v>
      </c>
      <c r="I58" s="24"/>
      <c r="J58" s="41">
        <f t="shared" si="4"/>
        <v>785</v>
      </c>
    </row>
    <row r="59" spans="1:10" ht="19.95" customHeight="1" x14ac:dyDescent="0.3">
      <c r="A59" s="42">
        <v>250058</v>
      </c>
      <c r="B59" s="42">
        <v>304</v>
      </c>
      <c r="C59" s="22" t="s">
        <v>266</v>
      </c>
      <c r="D59" s="43" t="s">
        <v>96</v>
      </c>
      <c r="E59" s="20" t="s">
        <v>271</v>
      </c>
      <c r="F59" s="42" t="s">
        <v>45</v>
      </c>
      <c r="G59" s="42">
        <v>304</v>
      </c>
      <c r="H59" s="23">
        <v>15</v>
      </c>
      <c r="I59" s="24"/>
      <c r="J59" s="41">
        <f t="shared" si="4"/>
        <v>15</v>
      </c>
    </row>
    <row r="60" spans="1:10" ht="28.2" customHeight="1" x14ac:dyDescent="0.3">
      <c r="A60" s="42">
        <v>250058</v>
      </c>
      <c r="B60" s="42">
        <v>304</v>
      </c>
      <c r="C60" s="43">
        <v>0.7</v>
      </c>
      <c r="D60" s="43" t="s">
        <v>96</v>
      </c>
      <c r="E60" s="20" t="s">
        <v>272</v>
      </c>
      <c r="F60" s="42" t="s">
        <v>45</v>
      </c>
      <c r="G60" s="42">
        <v>304</v>
      </c>
      <c r="H60" s="23">
        <v>785</v>
      </c>
      <c r="I60" s="24"/>
      <c r="J60" s="23">
        <f t="shared" si="4"/>
        <v>785</v>
      </c>
    </row>
    <row r="61" spans="1:10" ht="19.95" customHeight="1" x14ac:dyDescent="0.3">
      <c r="A61" s="42">
        <v>250058</v>
      </c>
      <c r="B61" s="42">
        <v>304</v>
      </c>
      <c r="C61" s="43" t="s">
        <v>266</v>
      </c>
      <c r="D61" s="43" t="s">
        <v>96</v>
      </c>
      <c r="E61" s="20" t="s">
        <v>273</v>
      </c>
      <c r="F61" s="42" t="s">
        <v>45</v>
      </c>
      <c r="G61" s="42">
        <v>304</v>
      </c>
      <c r="H61" s="23">
        <v>15</v>
      </c>
      <c r="I61" s="24"/>
      <c r="J61" s="23">
        <f t="shared" si="4"/>
        <v>15</v>
      </c>
    </row>
    <row r="62" spans="1:10" ht="27.6" customHeight="1" x14ac:dyDescent="0.3">
      <c r="A62" s="42">
        <v>250058</v>
      </c>
      <c r="B62" s="42">
        <v>304</v>
      </c>
      <c r="C62" s="43">
        <v>0.7</v>
      </c>
      <c r="D62" s="43" t="s">
        <v>96</v>
      </c>
      <c r="E62" s="20" t="s">
        <v>274</v>
      </c>
      <c r="F62" s="42" t="s">
        <v>45</v>
      </c>
      <c r="G62" s="42">
        <v>304</v>
      </c>
      <c r="H62" s="23">
        <v>785</v>
      </c>
      <c r="I62" s="24"/>
      <c r="J62" s="23">
        <f t="shared" si="4"/>
        <v>785</v>
      </c>
    </row>
    <row r="63" spans="1:10" ht="19.95" customHeight="1" x14ac:dyDescent="0.3">
      <c r="A63" s="42">
        <v>250058</v>
      </c>
      <c r="B63" s="42">
        <v>304</v>
      </c>
      <c r="C63" s="43" t="s">
        <v>266</v>
      </c>
      <c r="D63" s="43" t="s">
        <v>96</v>
      </c>
      <c r="E63" s="20" t="s">
        <v>275</v>
      </c>
      <c r="F63" s="42" t="s">
        <v>45</v>
      </c>
      <c r="G63" s="42">
        <v>304</v>
      </c>
      <c r="H63" s="23">
        <v>15</v>
      </c>
      <c r="I63" s="24"/>
      <c r="J63" s="23">
        <f t="shared" si="4"/>
        <v>15</v>
      </c>
    </row>
    <row r="64" spans="1:10" ht="19.95" customHeight="1" x14ac:dyDescent="0.3">
      <c r="A64" s="42"/>
      <c r="B64" s="42"/>
      <c r="C64" s="43"/>
      <c r="D64" s="43"/>
      <c r="E64" s="37"/>
      <c r="F64" s="42"/>
      <c r="G64" s="42"/>
      <c r="H64" s="41"/>
      <c r="I64" s="46"/>
      <c r="J64" s="41">
        <f t="shared" si="4"/>
        <v>0</v>
      </c>
    </row>
    <row r="65" spans="1:10" ht="19.95" customHeight="1" x14ac:dyDescent="0.3">
      <c r="A65" s="92"/>
      <c r="B65" s="92"/>
      <c r="C65" s="92"/>
      <c r="D65" s="92"/>
      <c r="E65" s="48"/>
      <c r="F65" s="92"/>
      <c r="G65" s="49"/>
      <c r="H65" s="41">
        <f>SUM(H54:H64)</f>
        <v>4000</v>
      </c>
      <c r="I65" s="46">
        <f>SUM(I54:I64)</f>
        <v>0</v>
      </c>
      <c r="J65" s="41">
        <f>SUM(J54:J64)</f>
        <v>4000</v>
      </c>
    </row>
    <row r="66" spans="1:10" ht="19.95" customHeight="1" x14ac:dyDescent="0.3">
      <c r="A66" s="93"/>
      <c r="B66" s="93"/>
      <c r="C66" s="93"/>
      <c r="D66" s="93"/>
      <c r="E66" s="56"/>
      <c r="F66" s="93"/>
      <c r="G66" s="93"/>
      <c r="H66" s="57"/>
      <c r="I66" s="58"/>
      <c r="J66" s="57"/>
    </row>
    <row r="67" spans="1:10" ht="30" customHeight="1" x14ac:dyDescent="0.3">
      <c r="A67" s="100" t="s">
        <v>23</v>
      </c>
      <c r="B67" s="100"/>
      <c r="C67" s="100"/>
      <c r="D67" s="100"/>
      <c r="E67" s="100"/>
      <c r="F67" s="100"/>
      <c r="G67" s="100"/>
      <c r="H67" s="100"/>
      <c r="I67" s="100"/>
      <c r="J67" s="100"/>
    </row>
    <row r="68" spans="1:10" ht="30" customHeight="1" x14ac:dyDescent="0.3">
      <c r="A68" s="42" t="s">
        <v>1</v>
      </c>
      <c r="B68" s="42" t="s">
        <v>2</v>
      </c>
      <c r="C68" s="54" t="s">
        <v>3</v>
      </c>
      <c r="D68" s="54" t="s">
        <v>4</v>
      </c>
      <c r="E68" s="42" t="s">
        <v>5</v>
      </c>
      <c r="F68" s="54" t="s">
        <v>6</v>
      </c>
      <c r="G68" s="54" t="s">
        <v>7</v>
      </c>
      <c r="H68" s="42" t="s">
        <v>8</v>
      </c>
      <c r="I68" s="42" t="s">
        <v>9</v>
      </c>
      <c r="J68" s="42" t="s">
        <v>10</v>
      </c>
    </row>
    <row r="69" spans="1:10" ht="19.95" customHeight="1" x14ac:dyDescent="0.3">
      <c r="A69" s="42">
        <v>241025</v>
      </c>
      <c r="B69" s="42">
        <v>304</v>
      </c>
      <c r="C69" s="43">
        <v>0.8</v>
      </c>
      <c r="D69" s="43" t="s">
        <v>43</v>
      </c>
      <c r="E69" s="37" t="s">
        <v>276</v>
      </c>
      <c r="F69" s="42" t="s">
        <v>41</v>
      </c>
      <c r="G69" s="42">
        <v>430</v>
      </c>
      <c r="H69" s="41">
        <v>2000</v>
      </c>
      <c r="I69" s="46"/>
      <c r="J69" s="23">
        <f t="shared" ref="J69:J73" si="5">H69-I69</f>
        <v>2000</v>
      </c>
    </row>
    <row r="70" spans="1:10" ht="19.95" customHeight="1" x14ac:dyDescent="0.3">
      <c r="A70" s="42">
        <v>311025</v>
      </c>
      <c r="B70" s="42">
        <v>304</v>
      </c>
      <c r="C70" s="43">
        <v>0.9</v>
      </c>
      <c r="D70" s="43" t="s">
        <v>43</v>
      </c>
      <c r="E70" s="37" t="s">
        <v>277</v>
      </c>
      <c r="F70" s="42" t="s">
        <v>41</v>
      </c>
      <c r="G70" s="42">
        <v>430</v>
      </c>
      <c r="H70" s="23">
        <v>3200</v>
      </c>
      <c r="I70" s="24"/>
      <c r="J70" s="23">
        <f t="shared" si="5"/>
        <v>3200</v>
      </c>
    </row>
    <row r="71" spans="1:10" ht="19.95" customHeight="1" x14ac:dyDescent="0.3">
      <c r="A71" s="42">
        <v>311025</v>
      </c>
      <c r="B71" s="42">
        <v>304</v>
      </c>
      <c r="C71" s="43">
        <v>0.9</v>
      </c>
      <c r="D71" s="43" t="s">
        <v>43</v>
      </c>
      <c r="E71" s="20" t="s">
        <v>278</v>
      </c>
      <c r="F71" s="42" t="s">
        <v>41</v>
      </c>
      <c r="G71" s="42">
        <v>430</v>
      </c>
      <c r="H71" s="23">
        <v>500</v>
      </c>
      <c r="I71" s="24"/>
      <c r="J71" s="23">
        <f t="shared" si="5"/>
        <v>500</v>
      </c>
    </row>
    <row r="72" spans="1:10" ht="19.95" customHeight="1" x14ac:dyDescent="0.3">
      <c r="A72" s="42">
        <v>250059</v>
      </c>
      <c r="B72" s="42">
        <v>304</v>
      </c>
      <c r="C72" s="43">
        <v>0.9</v>
      </c>
      <c r="D72" s="43" t="s">
        <v>43</v>
      </c>
      <c r="E72" s="20" t="s">
        <v>279</v>
      </c>
      <c r="F72" s="42" t="s">
        <v>41</v>
      </c>
      <c r="G72" s="42">
        <v>304</v>
      </c>
      <c r="H72" s="23">
        <v>660</v>
      </c>
      <c r="I72" s="24"/>
      <c r="J72" s="23">
        <f t="shared" si="5"/>
        <v>660</v>
      </c>
    </row>
    <row r="73" spans="1:10" ht="19.95" customHeight="1" x14ac:dyDescent="0.3">
      <c r="A73" s="42">
        <v>250059</v>
      </c>
      <c r="B73" s="42">
        <v>304</v>
      </c>
      <c r="C73" s="43">
        <v>0.9</v>
      </c>
      <c r="D73" s="43" t="s">
        <v>43</v>
      </c>
      <c r="E73" s="20" t="s">
        <v>280</v>
      </c>
      <c r="F73" s="42" t="s">
        <v>41</v>
      </c>
      <c r="G73" s="42">
        <v>304</v>
      </c>
      <c r="H73" s="41">
        <v>20</v>
      </c>
      <c r="I73" s="46"/>
      <c r="J73" s="23">
        <f t="shared" si="5"/>
        <v>20</v>
      </c>
    </row>
    <row r="74" spans="1:10" ht="19.95" customHeight="1" x14ac:dyDescent="0.3">
      <c r="A74" s="101"/>
      <c r="B74" s="101"/>
      <c r="C74" s="101"/>
      <c r="D74" s="101"/>
      <c r="E74" s="101"/>
      <c r="F74" s="101"/>
      <c r="G74" s="101"/>
      <c r="H74" s="41">
        <f>SUM(H69:H73)</f>
        <v>6380</v>
      </c>
      <c r="I74" s="46">
        <f>SUM(I69:I73)</f>
        <v>0</v>
      </c>
      <c r="J74" s="41">
        <f>SUM(J69:J73)</f>
        <v>6380</v>
      </c>
    </row>
    <row r="75" spans="1:10" x14ac:dyDescent="0.3">
      <c r="A75" s="102"/>
      <c r="B75" s="102"/>
      <c r="C75" s="102"/>
      <c r="D75" s="102"/>
      <c r="E75" s="102"/>
      <c r="F75" s="102"/>
      <c r="G75" s="102"/>
    </row>
    <row r="76" spans="1:10" ht="15.6" x14ac:dyDescent="0.3">
      <c r="H76" s="8">
        <f>H74+H65+H50+H39+H27+H14</f>
        <v>28258</v>
      </c>
      <c r="I76" s="8">
        <f>I74+I65+I50+I39+I27+I14</f>
        <v>10519</v>
      </c>
      <c r="J76" s="8">
        <f>J74+J65+J50+J39+J27+J14</f>
        <v>17739</v>
      </c>
    </row>
    <row r="78" spans="1:10" ht="23.4" x14ac:dyDescent="0.3">
      <c r="A78" s="95" t="s">
        <v>14</v>
      </c>
      <c r="B78" s="95"/>
      <c r="C78" s="95"/>
      <c r="D78" s="95"/>
      <c r="E78" s="95"/>
      <c r="F78" s="95"/>
      <c r="G78" s="95"/>
      <c r="H78" s="95"/>
      <c r="I78" s="95"/>
      <c r="J78" s="95"/>
    </row>
  </sheetData>
  <mergeCells count="10">
    <mergeCell ref="A52:J52"/>
    <mergeCell ref="A67:J67"/>
    <mergeCell ref="A74:G75"/>
    <mergeCell ref="A78:J78"/>
    <mergeCell ref="H1:J1"/>
    <mergeCell ref="A2:J2"/>
    <mergeCell ref="A3:J3"/>
    <mergeCell ref="A16:J16"/>
    <mergeCell ref="A29:J29"/>
    <mergeCell ref="A41:J41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6" fitToHeight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21</vt:i4>
      </vt:variant>
    </vt:vector>
  </HeadingPairs>
  <TitlesOfParts>
    <vt:vector size="59" baseType="lpstr">
      <vt:lpstr>ÇAKMA ANA TASLAK</vt:lpstr>
      <vt:lpstr>15.09.2025</vt:lpstr>
      <vt:lpstr>16.09.2025</vt:lpstr>
      <vt:lpstr>17.09.2025</vt:lpstr>
      <vt:lpstr>18.09.2025</vt:lpstr>
      <vt:lpstr>19.09.2025</vt:lpstr>
      <vt:lpstr>20.09.2025</vt:lpstr>
      <vt:lpstr>22.09.2025</vt:lpstr>
      <vt:lpstr>23.09.2025</vt:lpstr>
      <vt:lpstr>24.09.2025</vt:lpstr>
      <vt:lpstr>25.09.2025</vt:lpstr>
      <vt:lpstr>26.09.2025</vt:lpstr>
      <vt:lpstr>29.09.2025</vt:lpstr>
      <vt:lpstr>06.10.2025</vt:lpstr>
      <vt:lpstr>07.10.2025</vt:lpstr>
      <vt:lpstr>08.10.2025</vt:lpstr>
      <vt:lpstr>09.10.2025</vt:lpstr>
      <vt:lpstr>10.10.2025</vt:lpstr>
      <vt:lpstr>11.10.2025</vt:lpstr>
      <vt:lpstr>13.10.2025</vt:lpstr>
      <vt:lpstr>14.10.2025</vt:lpstr>
      <vt:lpstr>15.10.2025</vt:lpstr>
      <vt:lpstr>16.10.2025</vt:lpstr>
      <vt:lpstr>17.10.2025</vt:lpstr>
      <vt:lpstr>18.10.2025</vt:lpstr>
      <vt:lpstr>20.10.2025</vt:lpstr>
      <vt:lpstr>21.10.2025</vt:lpstr>
      <vt:lpstr>22.10.2025</vt:lpstr>
      <vt:lpstr>23.10.2025</vt:lpstr>
      <vt:lpstr>24.10.2025</vt:lpstr>
      <vt:lpstr>27.10.2025</vt:lpstr>
      <vt:lpstr>28.10.2025</vt:lpstr>
      <vt:lpstr>30.10.2025</vt:lpstr>
      <vt:lpstr>31.10.2025</vt:lpstr>
      <vt:lpstr>01.11.2025</vt:lpstr>
      <vt:lpstr>03.11.2025</vt:lpstr>
      <vt:lpstr>04.10.2025</vt:lpstr>
      <vt:lpstr>05.10.2025</vt:lpstr>
      <vt:lpstr>'01.11.2025'!Print_Area</vt:lpstr>
      <vt:lpstr>'03.11.2025'!Print_Area</vt:lpstr>
      <vt:lpstr>'04.10.2025'!Print_Area</vt:lpstr>
      <vt:lpstr>'05.10.2025'!Print_Area</vt:lpstr>
      <vt:lpstr>'18.09.2025'!Print_Area</vt:lpstr>
      <vt:lpstr>'19.09.2025'!Print_Area</vt:lpstr>
      <vt:lpstr>'20.09.2025'!Print_Area</vt:lpstr>
      <vt:lpstr>'20.10.2025'!Print_Area</vt:lpstr>
      <vt:lpstr>'21.10.2025'!Print_Area</vt:lpstr>
      <vt:lpstr>'22.09.2025'!Print_Area</vt:lpstr>
      <vt:lpstr>'22.10.2025'!Print_Area</vt:lpstr>
      <vt:lpstr>'23.09.2025'!Print_Area</vt:lpstr>
      <vt:lpstr>'23.10.2025'!Print_Area</vt:lpstr>
      <vt:lpstr>'24.09.2025'!Print_Area</vt:lpstr>
      <vt:lpstr>'24.10.2025'!Print_Area</vt:lpstr>
      <vt:lpstr>'25.09.2025'!Print_Area</vt:lpstr>
      <vt:lpstr>'26.09.2025'!Print_Area</vt:lpstr>
      <vt:lpstr>'27.10.2025'!Print_Area</vt:lpstr>
      <vt:lpstr>'28.10.2025'!Print_Area</vt:lpstr>
      <vt:lpstr>'30.10.2025'!Print_Area</vt:lpstr>
      <vt:lpstr>'31.10.2025'!Print_Area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2025-11-06T05:32:16Z</dcterms:modified>
</cp:coreProperties>
</file>