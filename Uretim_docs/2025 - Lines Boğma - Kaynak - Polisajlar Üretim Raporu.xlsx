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192.168.8.5\ortak\İşletme Üretim Ve Planlama\ÜRETİM VE PLANLAMA\GÜNLÜK ÜRETİM RAPOLARI\2025 - Genel Günlük Ürün Üretim Raporu\11 - Kasım 2025\"/>
    </mc:Choice>
  </mc:AlternateContent>
  <bookViews>
    <workbookView xWindow="0" yWindow="0" windowWidth="23040" windowHeight="9192" firstSheet="37" activeTab="44"/>
  </bookViews>
  <sheets>
    <sheet name="ANA LİSTE" sheetId="38" r:id="rId1"/>
    <sheet name="15.09.2025" sheetId="2" r:id="rId2"/>
    <sheet name="16.09.2025" sheetId="4" r:id="rId3"/>
    <sheet name="17.09.2025" sheetId="6" r:id="rId4"/>
    <sheet name="18.09.2025" sheetId="8" r:id="rId5"/>
    <sheet name="19.09.2025" sheetId="9" r:id="rId6"/>
    <sheet name="20.09.2025" sheetId="10" r:id="rId7"/>
    <sheet name="22.09.2025" sheetId="11" r:id="rId8"/>
    <sheet name="23.09.2025" sheetId="12" r:id="rId9"/>
    <sheet name="24.09.2025" sheetId="13" r:id="rId10"/>
    <sheet name="25.09.2025" sheetId="14" r:id="rId11"/>
    <sheet name="26.09.2025" sheetId="15" r:id="rId12"/>
    <sheet name="27.09.2025" sheetId="16" r:id="rId13"/>
    <sheet name="29.09.2025" sheetId="17" r:id="rId14"/>
    <sheet name="30.09.2025" sheetId="18" r:id="rId15"/>
    <sheet name="1.10.2025" sheetId="21" r:id="rId16"/>
    <sheet name="02.10.2025" sheetId="19" r:id="rId17"/>
    <sheet name="03.10.2025" sheetId="20" r:id="rId18"/>
    <sheet name="04.10.2025" sheetId="22" r:id="rId19"/>
    <sheet name="06.10.2025" sheetId="23" r:id="rId20"/>
    <sheet name="07.10.2025" sheetId="24" r:id="rId21"/>
    <sheet name="08.10.2025" sheetId="25" r:id="rId22"/>
    <sheet name="09.10.2025" sheetId="26" r:id="rId23"/>
    <sheet name="10.10.2025" sheetId="27" r:id="rId24"/>
    <sheet name="11.10.2025" sheetId="28" r:id="rId25"/>
    <sheet name="13.10.2025" sheetId="29" r:id="rId26"/>
    <sheet name="14.10.2025" sheetId="30" r:id="rId27"/>
    <sheet name="15.10.2025" sheetId="31" r:id="rId28"/>
    <sheet name="16.10.2025" sheetId="32" r:id="rId29"/>
    <sheet name="17.10.2025" sheetId="33" r:id="rId30"/>
    <sheet name="18.10.2025" sheetId="34" r:id="rId31"/>
    <sheet name="20.10.2025" sheetId="35" r:id="rId32"/>
    <sheet name="21.10.2025" sheetId="37" r:id="rId33"/>
    <sheet name="22.10.225" sheetId="36" r:id="rId34"/>
    <sheet name="23.10.2025" sheetId="39" r:id="rId35"/>
    <sheet name="24.10.2025" sheetId="40" r:id="rId36"/>
    <sheet name="25.10.2025" sheetId="41" r:id="rId37"/>
    <sheet name="27.10.2025" sheetId="42" r:id="rId38"/>
    <sheet name="28.10.2025" sheetId="43" r:id="rId39"/>
    <sheet name="30.10.2025" sheetId="44" r:id="rId40"/>
    <sheet name="31.10.2025" sheetId="45" r:id="rId41"/>
    <sheet name="01.11.2025" sheetId="46" r:id="rId42"/>
    <sheet name="03.11.2025" sheetId="47" r:id="rId43"/>
    <sheet name="04.11.2025" sheetId="48" r:id="rId44"/>
    <sheet name="05.11.2025" sheetId="49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9" i="49" l="1"/>
  <c r="N109" i="49"/>
  <c r="N112" i="49" s="1"/>
  <c r="R96" i="49"/>
  <c r="N96" i="49"/>
  <c r="N99" i="49" s="1"/>
  <c r="R79" i="49"/>
  <c r="N79" i="49"/>
  <c r="N82" i="49" s="1"/>
  <c r="R68" i="49"/>
  <c r="N68" i="49"/>
  <c r="N71" i="49" s="1"/>
  <c r="R57" i="49"/>
  <c r="N57" i="49"/>
  <c r="N60" i="49" s="1"/>
  <c r="R46" i="49"/>
  <c r="N46" i="49"/>
  <c r="N49" i="49" s="1"/>
  <c r="R35" i="49"/>
  <c r="P35" i="49"/>
  <c r="P38" i="49" s="1"/>
  <c r="N35" i="49"/>
  <c r="N38" i="49" s="1"/>
  <c r="R24" i="49"/>
  <c r="N24" i="49"/>
  <c r="N27" i="49" s="1"/>
  <c r="R12" i="49"/>
  <c r="P12" i="49"/>
  <c r="N12" i="49"/>
  <c r="R9" i="49"/>
  <c r="P9" i="49"/>
  <c r="P15" i="49" s="1"/>
  <c r="N9" i="49"/>
  <c r="N15" i="49" s="1"/>
  <c r="N114" i="48" l="1"/>
  <c r="R111" i="48"/>
  <c r="N111" i="48"/>
  <c r="R98" i="48"/>
  <c r="N98" i="48"/>
  <c r="N101" i="48" s="1"/>
  <c r="R79" i="48"/>
  <c r="N79" i="48"/>
  <c r="N82" i="48" s="1"/>
  <c r="R68" i="48"/>
  <c r="N68" i="48"/>
  <c r="N71" i="48" s="1"/>
  <c r="R57" i="48"/>
  <c r="N57" i="48"/>
  <c r="N60" i="48" s="1"/>
  <c r="R46" i="48"/>
  <c r="N46" i="48"/>
  <c r="N49" i="48" s="1"/>
  <c r="R35" i="48"/>
  <c r="P35" i="48"/>
  <c r="P38" i="48" s="1"/>
  <c r="N35" i="48"/>
  <c r="N38" i="48" s="1"/>
  <c r="R24" i="48"/>
  <c r="N24" i="48"/>
  <c r="N27" i="48" s="1"/>
  <c r="R12" i="48"/>
  <c r="P12" i="48"/>
  <c r="N12" i="48"/>
  <c r="R9" i="48"/>
  <c r="P9" i="48"/>
  <c r="P15" i="48" s="1"/>
  <c r="N9" i="48"/>
  <c r="N15" i="48" l="1"/>
  <c r="R114" i="47"/>
  <c r="N114" i="47"/>
  <c r="N117" i="47" s="1"/>
  <c r="R98" i="47"/>
  <c r="N98" i="47"/>
  <c r="N101" i="47" s="1"/>
  <c r="N82" i="47"/>
  <c r="R79" i="47"/>
  <c r="N79" i="47"/>
  <c r="R68" i="47"/>
  <c r="N68" i="47"/>
  <c r="N71" i="47" s="1"/>
  <c r="R57" i="47"/>
  <c r="N57" i="47"/>
  <c r="N60" i="47" s="1"/>
  <c r="R46" i="47"/>
  <c r="N46" i="47"/>
  <c r="N49" i="47" s="1"/>
  <c r="R35" i="47"/>
  <c r="P35" i="47"/>
  <c r="P38" i="47" s="1"/>
  <c r="N35" i="47"/>
  <c r="N38" i="47" s="1"/>
  <c r="R24" i="47"/>
  <c r="N24" i="47"/>
  <c r="N27" i="47" s="1"/>
  <c r="R12" i="47"/>
  <c r="P12" i="47"/>
  <c r="N12" i="47"/>
  <c r="R9" i="47"/>
  <c r="P9" i="47"/>
  <c r="P15" i="47" s="1"/>
  <c r="N9" i="47"/>
  <c r="N15" i="47" l="1"/>
  <c r="R114" i="46"/>
  <c r="N114" i="46"/>
  <c r="N117" i="46" s="1"/>
  <c r="R98" i="46"/>
  <c r="N98" i="46"/>
  <c r="N101" i="46" s="1"/>
  <c r="R79" i="46"/>
  <c r="N79" i="46"/>
  <c r="N82" i="46" s="1"/>
  <c r="R68" i="46"/>
  <c r="N68" i="46"/>
  <c r="N71" i="46" s="1"/>
  <c r="N60" i="46"/>
  <c r="R57" i="46"/>
  <c r="N57" i="46"/>
  <c r="R46" i="46"/>
  <c r="N46" i="46"/>
  <c r="N49" i="46" s="1"/>
  <c r="R35" i="46"/>
  <c r="P35" i="46"/>
  <c r="P38" i="46" s="1"/>
  <c r="N35" i="46"/>
  <c r="N38" i="46" s="1"/>
  <c r="R24" i="46"/>
  <c r="N24" i="46"/>
  <c r="N27" i="46" s="1"/>
  <c r="R12" i="46"/>
  <c r="P12" i="46"/>
  <c r="N12" i="46"/>
  <c r="R9" i="46"/>
  <c r="P9" i="46"/>
  <c r="P15" i="46" s="1"/>
  <c r="N9" i="46"/>
  <c r="N15" i="46" s="1"/>
  <c r="R111" i="45" l="1"/>
  <c r="N111" i="45"/>
  <c r="N114" i="45" s="1"/>
  <c r="R95" i="45"/>
  <c r="N95" i="45"/>
  <c r="N98" i="45" s="1"/>
  <c r="R79" i="45"/>
  <c r="N79" i="45"/>
  <c r="N82" i="45" s="1"/>
  <c r="R68" i="45"/>
  <c r="N68" i="45"/>
  <c r="N71" i="45" s="1"/>
  <c r="N60" i="45"/>
  <c r="R57" i="45"/>
  <c r="N57" i="45"/>
  <c r="R46" i="45"/>
  <c r="N46" i="45"/>
  <c r="N49" i="45" s="1"/>
  <c r="R35" i="45"/>
  <c r="P35" i="45"/>
  <c r="P38" i="45" s="1"/>
  <c r="N35" i="45"/>
  <c r="N38" i="45" s="1"/>
  <c r="R24" i="45"/>
  <c r="N24" i="45"/>
  <c r="N27" i="45" s="1"/>
  <c r="R12" i="45"/>
  <c r="P12" i="45"/>
  <c r="N12" i="45"/>
  <c r="R9" i="45"/>
  <c r="P9" i="45"/>
  <c r="N9" i="45"/>
  <c r="N15" i="45" s="1"/>
  <c r="P15" i="45" l="1"/>
  <c r="N91" i="44"/>
  <c r="N90" i="44"/>
  <c r="N89" i="44"/>
  <c r="R110" i="44"/>
  <c r="N110" i="44"/>
  <c r="N113" i="44" s="1"/>
  <c r="R99" i="44"/>
  <c r="R79" i="44"/>
  <c r="N79" i="44"/>
  <c r="N82" i="44" s="1"/>
  <c r="R68" i="44"/>
  <c r="N68" i="44"/>
  <c r="N71" i="44" s="1"/>
  <c r="R57" i="44"/>
  <c r="N57" i="44"/>
  <c r="N60" i="44" s="1"/>
  <c r="R46" i="44"/>
  <c r="N46" i="44"/>
  <c r="N49" i="44" s="1"/>
  <c r="R35" i="44"/>
  <c r="P35" i="44"/>
  <c r="P38" i="44" s="1"/>
  <c r="N35" i="44"/>
  <c r="N38" i="44" s="1"/>
  <c r="R24" i="44"/>
  <c r="N24" i="44"/>
  <c r="N27" i="44" s="1"/>
  <c r="R12" i="44"/>
  <c r="P12" i="44"/>
  <c r="N12" i="44"/>
  <c r="R9" i="44"/>
  <c r="P9" i="44"/>
  <c r="N9" i="44"/>
  <c r="N15" i="44" s="1"/>
  <c r="N99" i="44" l="1"/>
  <c r="N102" i="44" s="1"/>
  <c r="P15" i="44"/>
  <c r="N89" i="43"/>
  <c r="N91" i="43"/>
  <c r="R111" i="43"/>
  <c r="N111" i="43"/>
  <c r="N114" i="43" s="1"/>
  <c r="R99" i="43"/>
  <c r="R80" i="43"/>
  <c r="N80" i="43"/>
  <c r="N83" i="43" s="1"/>
  <c r="R69" i="43"/>
  <c r="N69" i="43"/>
  <c r="N72" i="43" s="1"/>
  <c r="R58" i="43"/>
  <c r="N58" i="43"/>
  <c r="N61" i="43" s="1"/>
  <c r="R46" i="43"/>
  <c r="N46" i="43"/>
  <c r="N49" i="43" s="1"/>
  <c r="R35" i="43"/>
  <c r="P35" i="43"/>
  <c r="P38" i="43" s="1"/>
  <c r="N35" i="43"/>
  <c r="N38" i="43" s="1"/>
  <c r="R24" i="43"/>
  <c r="N24" i="43"/>
  <c r="N27" i="43" s="1"/>
  <c r="R12" i="43"/>
  <c r="P12" i="43"/>
  <c r="N12" i="43"/>
  <c r="R9" i="43"/>
  <c r="P9" i="43"/>
  <c r="P15" i="43" s="1"/>
  <c r="N9" i="43"/>
  <c r="N15" i="43" l="1"/>
  <c r="N99" i="43"/>
  <c r="N102" i="43" s="1"/>
  <c r="R114" i="42"/>
  <c r="N114" i="42"/>
  <c r="N117" i="42" s="1"/>
  <c r="R101" i="42"/>
  <c r="N101" i="42"/>
  <c r="N104" i="42" s="1"/>
  <c r="R79" i="42"/>
  <c r="N79" i="42"/>
  <c r="N82" i="42" s="1"/>
  <c r="R68" i="42"/>
  <c r="N68" i="42"/>
  <c r="N71" i="42" s="1"/>
  <c r="R57" i="42"/>
  <c r="N57" i="42"/>
  <c r="N60" i="42" s="1"/>
  <c r="R46" i="42"/>
  <c r="N46" i="42"/>
  <c r="N49" i="42" s="1"/>
  <c r="R35" i="42"/>
  <c r="P35" i="42"/>
  <c r="P38" i="42" s="1"/>
  <c r="N35" i="42"/>
  <c r="N38" i="42" s="1"/>
  <c r="R24" i="42"/>
  <c r="N24" i="42"/>
  <c r="N27" i="42" s="1"/>
  <c r="R12" i="42"/>
  <c r="P12" i="42"/>
  <c r="N12" i="42"/>
  <c r="R9" i="42"/>
  <c r="P9" i="42"/>
  <c r="P15" i="42" s="1"/>
  <c r="N9" i="42"/>
  <c r="N15" i="42" l="1"/>
  <c r="R110" i="41"/>
  <c r="N110" i="41"/>
  <c r="N113" i="41" s="1"/>
  <c r="R98" i="41"/>
  <c r="N98" i="41"/>
  <c r="N101" i="41" s="1"/>
  <c r="R79" i="41"/>
  <c r="N79" i="41"/>
  <c r="N82" i="41" s="1"/>
  <c r="R68" i="41"/>
  <c r="N68" i="41"/>
  <c r="N71" i="41" s="1"/>
  <c r="R57" i="41"/>
  <c r="N57" i="41"/>
  <c r="N60" i="41" s="1"/>
  <c r="R46" i="41"/>
  <c r="N46" i="41"/>
  <c r="N49" i="41" s="1"/>
  <c r="R35" i="41"/>
  <c r="P35" i="41"/>
  <c r="P38" i="41" s="1"/>
  <c r="N35" i="41"/>
  <c r="N38" i="41" s="1"/>
  <c r="R24" i="41"/>
  <c r="N24" i="41"/>
  <c r="N27" i="41" s="1"/>
  <c r="R12" i="41"/>
  <c r="P12" i="41"/>
  <c r="P15" i="41" s="1"/>
  <c r="N12" i="41"/>
  <c r="R9" i="41"/>
  <c r="P9" i="41"/>
  <c r="N9" i="41"/>
  <c r="N15" i="41" l="1"/>
  <c r="R110" i="40"/>
  <c r="N110" i="40"/>
  <c r="N113" i="40" s="1"/>
  <c r="R98" i="40"/>
  <c r="N98" i="40"/>
  <c r="N101" i="40" s="1"/>
  <c r="R79" i="40"/>
  <c r="N79" i="40"/>
  <c r="N82" i="40" s="1"/>
  <c r="R68" i="40"/>
  <c r="N68" i="40"/>
  <c r="N71" i="40" s="1"/>
  <c r="R57" i="40"/>
  <c r="N57" i="40"/>
  <c r="N60" i="40" s="1"/>
  <c r="R46" i="40"/>
  <c r="N46" i="40"/>
  <c r="N49" i="40" s="1"/>
  <c r="R35" i="40"/>
  <c r="P35" i="40"/>
  <c r="P38" i="40" s="1"/>
  <c r="N35" i="40"/>
  <c r="N38" i="40" s="1"/>
  <c r="R24" i="40"/>
  <c r="N24" i="40"/>
  <c r="N27" i="40" s="1"/>
  <c r="R12" i="40"/>
  <c r="P12" i="40"/>
  <c r="N12" i="40"/>
  <c r="R9" i="40"/>
  <c r="P9" i="40"/>
  <c r="N9" i="40"/>
  <c r="N15" i="40" s="1"/>
  <c r="P15" i="40" l="1"/>
  <c r="R111" i="39"/>
  <c r="N111" i="39"/>
  <c r="N114" i="39" s="1"/>
  <c r="R99" i="39"/>
  <c r="N99" i="39"/>
  <c r="N102" i="39" s="1"/>
  <c r="R81" i="39"/>
  <c r="N81" i="39"/>
  <c r="N84" i="39" s="1"/>
  <c r="R70" i="39"/>
  <c r="N70" i="39"/>
  <c r="N73" i="39" s="1"/>
  <c r="R59" i="39"/>
  <c r="N59" i="39"/>
  <c r="N62" i="39" s="1"/>
  <c r="R48" i="39"/>
  <c r="N48" i="39"/>
  <c r="N51" i="39" s="1"/>
  <c r="R37" i="39"/>
  <c r="P37" i="39"/>
  <c r="P40" i="39" s="1"/>
  <c r="N37" i="39"/>
  <c r="N40" i="39" s="1"/>
  <c r="R26" i="39"/>
  <c r="N26" i="39"/>
  <c r="N29" i="39" s="1"/>
  <c r="R14" i="39"/>
  <c r="P14" i="39"/>
  <c r="N14" i="39"/>
  <c r="R11" i="39"/>
  <c r="P11" i="39"/>
  <c r="N11" i="39"/>
  <c r="R114" i="38"/>
  <c r="N114" i="38"/>
  <c r="N117" i="38" s="1"/>
  <c r="R98" i="38"/>
  <c r="N98" i="38"/>
  <c r="N101" i="38" s="1"/>
  <c r="N82" i="38"/>
  <c r="R79" i="38"/>
  <c r="N79" i="38"/>
  <c r="R68" i="38"/>
  <c r="N68" i="38"/>
  <c r="N71" i="38" s="1"/>
  <c r="R57" i="38"/>
  <c r="N57" i="38"/>
  <c r="N60" i="38" s="1"/>
  <c r="R46" i="38"/>
  <c r="N46" i="38"/>
  <c r="N49" i="38" s="1"/>
  <c r="R35" i="38"/>
  <c r="P35" i="38"/>
  <c r="P38" i="38" s="1"/>
  <c r="N35" i="38"/>
  <c r="N38" i="38" s="1"/>
  <c r="R24" i="38"/>
  <c r="N24" i="38"/>
  <c r="N27" i="38" s="1"/>
  <c r="R12" i="38"/>
  <c r="P12" i="38"/>
  <c r="N12" i="38"/>
  <c r="R9" i="38"/>
  <c r="P9" i="38"/>
  <c r="P15" i="38" s="1"/>
  <c r="N9" i="38"/>
  <c r="N17" i="39" l="1"/>
  <c r="P17" i="39"/>
  <c r="N15" i="38"/>
  <c r="R113" i="37"/>
  <c r="N113" i="37"/>
  <c r="N116" i="37" s="1"/>
  <c r="R100" i="37"/>
  <c r="N100" i="37"/>
  <c r="N103" i="37" s="1"/>
  <c r="R81" i="37"/>
  <c r="N81" i="37"/>
  <c r="N84" i="37" s="1"/>
  <c r="R70" i="37"/>
  <c r="N70" i="37"/>
  <c r="N73" i="37" s="1"/>
  <c r="R59" i="37"/>
  <c r="N59" i="37"/>
  <c r="N62" i="37" s="1"/>
  <c r="R48" i="37"/>
  <c r="N48" i="37"/>
  <c r="N51" i="37" s="1"/>
  <c r="R37" i="37"/>
  <c r="P37" i="37"/>
  <c r="P40" i="37" s="1"/>
  <c r="N37" i="37"/>
  <c r="N40" i="37" s="1"/>
  <c r="R26" i="37"/>
  <c r="N26" i="37"/>
  <c r="N29" i="37" s="1"/>
  <c r="R14" i="37"/>
  <c r="P14" i="37"/>
  <c r="P17" i="37" s="1"/>
  <c r="N14" i="37"/>
  <c r="R10" i="37"/>
  <c r="P10" i="37"/>
  <c r="N10" i="37"/>
  <c r="N17" i="37" l="1"/>
  <c r="R114" i="36"/>
  <c r="N114" i="36"/>
  <c r="N117" i="36" s="1"/>
  <c r="R98" i="36"/>
  <c r="N98" i="36"/>
  <c r="N101" i="36" s="1"/>
  <c r="R79" i="36"/>
  <c r="N79" i="36"/>
  <c r="N82" i="36" s="1"/>
  <c r="R68" i="36"/>
  <c r="N68" i="36"/>
  <c r="N71" i="36" s="1"/>
  <c r="R57" i="36"/>
  <c r="N57" i="36"/>
  <c r="N60" i="36" s="1"/>
  <c r="R46" i="36"/>
  <c r="N46" i="36"/>
  <c r="N49" i="36" s="1"/>
  <c r="R35" i="36"/>
  <c r="P35" i="36"/>
  <c r="P38" i="36" s="1"/>
  <c r="N35" i="36"/>
  <c r="N38" i="36" s="1"/>
  <c r="R24" i="36"/>
  <c r="N24" i="36"/>
  <c r="N27" i="36" s="1"/>
  <c r="R12" i="36"/>
  <c r="P12" i="36"/>
  <c r="N12" i="36"/>
  <c r="R9" i="36"/>
  <c r="P9" i="36"/>
  <c r="P15" i="36" s="1"/>
  <c r="N9" i="36"/>
  <c r="N15" i="36" s="1"/>
  <c r="R81" i="35"/>
  <c r="N81" i="35"/>
  <c r="N84" i="35" s="1"/>
  <c r="R113" i="35" l="1"/>
  <c r="N113" i="35"/>
  <c r="N116" i="35" s="1"/>
  <c r="R100" i="35"/>
  <c r="N100" i="35"/>
  <c r="N103" i="35" s="1"/>
  <c r="R70" i="35"/>
  <c r="N70" i="35"/>
  <c r="N73" i="35" s="1"/>
  <c r="R59" i="35"/>
  <c r="N59" i="35"/>
  <c r="N62" i="35" s="1"/>
  <c r="N51" i="35"/>
  <c r="R48" i="35"/>
  <c r="N48" i="35"/>
  <c r="R37" i="35"/>
  <c r="P37" i="35"/>
  <c r="P40" i="35" s="1"/>
  <c r="N37" i="35"/>
  <c r="N40" i="35" s="1"/>
  <c r="R26" i="35"/>
  <c r="N26" i="35"/>
  <c r="N29" i="35" s="1"/>
  <c r="R14" i="35"/>
  <c r="P14" i="35"/>
  <c r="N14" i="35"/>
  <c r="R10" i="35"/>
  <c r="P10" i="35"/>
  <c r="P17" i="35" s="1"/>
  <c r="N10" i="35"/>
  <c r="N17" i="35" l="1"/>
  <c r="R94" i="34"/>
  <c r="N94" i="34"/>
  <c r="N97" i="34" s="1"/>
  <c r="R81" i="34"/>
  <c r="N81" i="34"/>
  <c r="N84" i="34" s="1"/>
  <c r="R68" i="34"/>
  <c r="N68" i="34"/>
  <c r="N71" i="34" s="1"/>
  <c r="R57" i="34"/>
  <c r="N57" i="34"/>
  <c r="N60" i="34" s="1"/>
  <c r="R46" i="34"/>
  <c r="N46" i="34"/>
  <c r="N49" i="34" s="1"/>
  <c r="R35" i="34"/>
  <c r="P35" i="34"/>
  <c r="P38" i="34" s="1"/>
  <c r="N35" i="34"/>
  <c r="N38" i="34" s="1"/>
  <c r="R24" i="34"/>
  <c r="N24" i="34"/>
  <c r="N27" i="34" s="1"/>
  <c r="R12" i="34"/>
  <c r="P12" i="34"/>
  <c r="N12" i="34"/>
  <c r="R9" i="34"/>
  <c r="P9" i="34"/>
  <c r="N9" i="34"/>
  <c r="P15" i="34" l="1"/>
  <c r="N15" i="34"/>
  <c r="R70" i="33"/>
  <c r="N70" i="33"/>
  <c r="N73" i="33" s="1"/>
  <c r="R95" i="33" l="1"/>
  <c r="N95" i="33"/>
  <c r="N98" i="33" s="1"/>
  <c r="R82" i="33"/>
  <c r="N82" i="33"/>
  <c r="N85" i="33" s="1"/>
  <c r="R59" i="33"/>
  <c r="N59" i="33"/>
  <c r="N62" i="33" s="1"/>
  <c r="R48" i="33"/>
  <c r="N48" i="33"/>
  <c r="N51" i="33" s="1"/>
  <c r="R37" i="33"/>
  <c r="P37" i="33"/>
  <c r="P40" i="33" s="1"/>
  <c r="N37" i="33"/>
  <c r="N40" i="33" s="1"/>
  <c r="R26" i="33"/>
  <c r="N26" i="33"/>
  <c r="N29" i="33" s="1"/>
  <c r="R14" i="33"/>
  <c r="P14" i="33"/>
  <c r="N14" i="33"/>
  <c r="R10" i="33"/>
  <c r="P10" i="33"/>
  <c r="N10" i="33"/>
  <c r="P17" i="33" l="1"/>
  <c r="N17" i="33"/>
  <c r="R83" i="32"/>
  <c r="N83" i="32"/>
  <c r="N86" i="32" s="1"/>
  <c r="R70" i="32"/>
  <c r="N70" i="32"/>
  <c r="N73" i="32" s="1"/>
  <c r="R59" i="32"/>
  <c r="N59" i="32"/>
  <c r="N62" i="32" s="1"/>
  <c r="R48" i="32"/>
  <c r="N48" i="32"/>
  <c r="N51" i="32" s="1"/>
  <c r="P40" i="32"/>
  <c r="R37" i="32"/>
  <c r="P37" i="32"/>
  <c r="N37" i="32"/>
  <c r="N40" i="32" s="1"/>
  <c r="R26" i="32"/>
  <c r="N26" i="32"/>
  <c r="N29" i="32" s="1"/>
  <c r="P17" i="32"/>
  <c r="R14" i="32"/>
  <c r="P14" i="32"/>
  <c r="N14" i="32"/>
  <c r="R10" i="32"/>
  <c r="P10" i="32"/>
  <c r="N10" i="32"/>
  <c r="N17" i="32" s="1"/>
  <c r="R91" i="31" l="1"/>
  <c r="N91" i="31"/>
  <c r="N94" i="31" s="1"/>
  <c r="R78" i="31"/>
  <c r="N78" i="31"/>
  <c r="N81" i="31" s="1"/>
  <c r="R59" i="31"/>
  <c r="N59" i="31"/>
  <c r="N62" i="31" s="1"/>
  <c r="R48" i="31"/>
  <c r="N48" i="31"/>
  <c r="N51" i="31" s="1"/>
  <c r="P40" i="31"/>
  <c r="R37" i="31"/>
  <c r="P37" i="31"/>
  <c r="N37" i="31"/>
  <c r="N40" i="31" s="1"/>
  <c r="R26" i="31"/>
  <c r="N26" i="31"/>
  <c r="N29" i="31" s="1"/>
  <c r="P17" i="31"/>
  <c r="R14" i="31"/>
  <c r="P14" i="31"/>
  <c r="N14" i="31"/>
  <c r="R10" i="31"/>
  <c r="P10" i="31"/>
  <c r="N10" i="31"/>
  <c r="N17" i="31" s="1"/>
  <c r="R84" i="30" l="1"/>
  <c r="N84" i="30"/>
  <c r="N87" i="30" s="1"/>
  <c r="R74" i="30"/>
  <c r="N74" i="30"/>
  <c r="N77" i="30" s="1"/>
  <c r="R59" i="30"/>
  <c r="N59" i="30"/>
  <c r="N62" i="30" s="1"/>
  <c r="R48" i="30"/>
  <c r="N48" i="30"/>
  <c r="N51" i="30" s="1"/>
  <c r="R37" i="30"/>
  <c r="P37" i="30"/>
  <c r="P40" i="30" s="1"/>
  <c r="N37" i="30"/>
  <c r="N40" i="30" s="1"/>
  <c r="R26" i="30"/>
  <c r="N26" i="30"/>
  <c r="N29" i="30" s="1"/>
  <c r="R14" i="30"/>
  <c r="P14" i="30"/>
  <c r="P17" i="30" s="1"/>
  <c r="N14" i="30"/>
  <c r="R10" i="30"/>
  <c r="P10" i="30"/>
  <c r="N10" i="30"/>
  <c r="N17" i="30" s="1"/>
  <c r="R91" i="29" l="1"/>
  <c r="N91" i="29"/>
  <c r="N94" i="29" s="1"/>
  <c r="R78" i="29"/>
  <c r="N78" i="29"/>
  <c r="N81" i="29" s="1"/>
  <c r="R59" i="29"/>
  <c r="N59" i="29"/>
  <c r="N62" i="29" s="1"/>
  <c r="R48" i="29"/>
  <c r="N48" i="29"/>
  <c r="N51" i="29" s="1"/>
  <c r="P40" i="29"/>
  <c r="R37" i="29"/>
  <c r="P37" i="29"/>
  <c r="N37" i="29"/>
  <c r="N40" i="29" s="1"/>
  <c r="R26" i="29"/>
  <c r="N26" i="29"/>
  <c r="N29" i="29" s="1"/>
  <c r="P17" i="29"/>
  <c r="R14" i="29"/>
  <c r="P14" i="29"/>
  <c r="N14" i="29"/>
  <c r="R10" i="29"/>
  <c r="P10" i="29"/>
  <c r="N10" i="29"/>
  <c r="N17" i="29" s="1"/>
  <c r="R91" i="28" l="1"/>
  <c r="N91" i="28"/>
  <c r="N94" i="28" s="1"/>
  <c r="R78" i="28"/>
  <c r="N78" i="28"/>
  <c r="N81" i="28" s="1"/>
  <c r="N62" i="28"/>
  <c r="R59" i="28"/>
  <c r="N59" i="28"/>
  <c r="R48" i="28"/>
  <c r="N48" i="28"/>
  <c r="N51" i="28" s="1"/>
  <c r="P40" i="28"/>
  <c r="R37" i="28"/>
  <c r="P37" i="28"/>
  <c r="N37" i="28"/>
  <c r="N40" i="28" s="1"/>
  <c r="R26" i="28"/>
  <c r="N26" i="28"/>
  <c r="N29" i="28" s="1"/>
  <c r="P17" i="28"/>
  <c r="R14" i="28"/>
  <c r="P14" i="28"/>
  <c r="N14" i="28"/>
  <c r="R10" i="28"/>
  <c r="P10" i="28"/>
  <c r="N10" i="28"/>
  <c r="N17" i="28" s="1"/>
  <c r="R90" i="27" l="1"/>
  <c r="N90" i="27"/>
  <c r="N93" i="27" s="1"/>
  <c r="R73" i="27"/>
  <c r="N73" i="27"/>
  <c r="N76" i="27" s="1"/>
  <c r="R59" i="27"/>
  <c r="N59" i="27"/>
  <c r="N62" i="27" s="1"/>
  <c r="R48" i="27"/>
  <c r="N48" i="27"/>
  <c r="N51" i="27" s="1"/>
  <c r="R37" i="27"/>
  <c r="P37" i="27"/>
  <c r="P40" i="27" s="1"/>
  <c r="N37" i="27"/>
  <c r="N40" i="27" s="1"/>
  <c r="R26" i="27"/>
  <c r="N26" i="27"/>
  <c r="N29" i="27" s="1"/>
  <c r="R14" i="27"/>
  <c r="P14" i="27"/>
  <c r="P17" i="27" s="1"/>
  <c r="N14" i="27"/>
  <c r="R10" i="27"/>
  <c r="P10" i="27"/>
  <c r="N10" i="27"/>
  <c r="N17" i="27" l="1"/>
  <c r="R91" i="26"/>
  <c r="N91" i="26"/>
  <c r="N94" i="26" s="1"/>
  <c r="R74" i="26"/>
  <c r="N74" i="26"/>
  <c r="N77" i="26" s="1"/>
  <c r="R59" i="26"/>
  <c r="N59" i="26"/>
  <c r="N62" i="26" s="1"/>
  <c r="R48" i="26"/>
  <c r="N48" i="26"/>
  <c r="N51" i="26" s="1"/>
  <c r="R37" i="26"/>
  <c r="P37" i="26"/>
  <c r="P40" i="26" s="1"/>
  <c r="N37" i="26"/>
  <c r="N40" i="26" s="1"/>
  <c r="R26" i="26"/>
  <c r="N26" i="26"/>
  <c r="N29" i="26" s="1"/>
  <c r="R14" i="26"/>
  <c r="P14" i="26"/>
  <c r="P17" i="26" s="1"/>
  <c r="N14" i="26"/>
  <c r="R10" i="26"/>
  <c r="P10" i="26"/>
  <c r="N10" i="26"/>
  <c r="N17" i="26" l="1"/>
  <c r="R95" i="25"/>
  <c r="N95" i="25"/>
  <c r="N98" i="25" s="1"/>
  <c r="R72" i="25"/>
  <c r="N72" i="25"/>
  <c r="N75" i="25" s="1"/>
  <c r="R59" i="25"/>
  <c r="N59" i="25"/>
  <c r="N62" i="25" s="1"/>
  <c r="R48" i="25"/>
  <c r="N48" i="25"/>
  <c r="N51" i="25" s="1"/>
  <c r="R37" i="25"/>
  <c r="P37" i="25"/>
  <c r="P40" i="25" s="1"/>
  <c r="N37" i="25"/>
  <c r="N40" i="25" s="1"/>
  <c r="R26" i="25"/>
  <c r="N26" i="25"/>
  <c r="N29" i="25" s="1"/>
  <c r="R14" i="25"/>
  <c r="P14" i="25"/>
  <c r="N14" i="25"/>
  <c r="R10" i="25"/>
  <c r="P10" i="25"/>
  <c r="N10" i="25"/>
  <c r="N17" i="25" l="1"/>
  <c r="P17" i="25"/>
  <c r="N78" i="24"/>
  <c r="R100" i="24" l="1"/>
  <c r="N100" i="24"/>
  <c r="N103" i="24" s="1"/>
  <c r="R78" i="24"/>
  <c r="R59" i="24"/>
  <c r="N59" i="24"/>
  <c r="N62" i="24" s="1"/>
  <c r="R48" i="24"/>
  <c r="N48" i="24"/>
  <c r="N51" i="24" s="1"/>
  <c r="R37" i="24"/>
  <c r="P37" i="24"/>
  <c r="P40" i="24" s="1"/>
  <c r="N37" i="24"/>
  <c r="N40" i="24" s="1"/>
  <c r="R26" i="24"/>
  <c r="N26" i="24"/>
  <c r="N29" i="24" s="1"/>
  <c r="R14" i="24"/>
  <c r="P14" i="24"/>
  <c r="N14" i="24"/>
  <c r="R10" i="24"/>
  <c r="P10" i="24"/>
  <c r="N10" i="24"/>
  <c r="R92" i="23"/>
  <c r="N92" i="23"/>
  <c r="N95" i="23" s="1"/>
  <c r="R73" i="23"/>
  <c r="R60" i="23"/>
  <c r="N60" i="23"/>
  <c r="N63" i="23" s="1"/>
  <c r="R49" i="23"/>
  <c r="N49" i="23"/>
  <c r="N52" i="23" s="1"/>
  <c r="R37" i="23"/>
  <c r="P37" i="23"/>
  <c r="P40" i="23" s="1"/>
  <c r="N37" i="23"/>
  <c r="N40" i="23" s="1"/>
  <c r="R26" i="23"/>
  <c r="N26" i="23"/>
  <c r="N29" i="23" s="1"/>
  <c r="R14" i="23"/>
  <c r="P14" i="23"/>
  <c r="N14" i="23"/>
  <c r="R10" i="23"/>
  <c r="P10" i="23"/>
  <c r="N10" i="23"/>
  <c r="R91" i="22"/>
  <c r="N91" i="22"/>
  <c r="N94" i="22" s="1"/>
  <c r="R78" i="22"/>
  <c r="R59" i="22"/>
  <c r="N59" i="22"/>
  <c r="N62" i="22" s="1"/>
  <c r="R48" i="22"/>
  <c r="N48" i="22"/>
  <c r="N51" i="22" s="1"/>
  <c r="R37" i="22"/>
  <c r="P37" i="22"/>
  <c r="P40" i="22" s="1"/>
  <c r="N37" i="22"/>
  <c r="N40" i="22" s="1"/>
  <c r="R26" i="22"/>
  <c r="N26" i="22"/>
  <c r="N29" i="22" s="1"/>
  <c r="R14" i="22"/>
  <c r="P14" i="22"/>
  <c r="N14" i="22"/>
  <c r="R10" i="22"/>
  <c r="P10" i="22"/>
  <c r="N10" i="22"/>
  <c r="N17" i="22" s="1"/>
  <c r="R91" i="21"/>
  <c r="N91" i="21"/>
  <c r="N94" i="21" s="1"/>
  <c r="R78" i="21"/>
  <c r="R59" i="21"/>
  <c r="N59" i="21"/>
  <c r="N62" i="21" s="1"/>
  <c r="R48" i="21"/>
  <c r="N48" i="21"/>
  <c r="N51" i="21" s="1"/>
  <c r="R37" i="21"/>
  <c r="P37" i="21"/>
  <c r="P40" i="21" s="1"/>
  <c r="N37" i="21"/>
  <c r="N40" i="21" s="1"/>
  <c r="R26" i="21"/>
  <c r="N26" i="21"/>
  <c r="N29" i="21" s="1"/>
  <c r="R14" i="21"/>
  <c r="P14" i="21"/>
  <c r="N14" i="21"/>
  <c r="R10" i="21"/>
  <c r="P10" i="21"/>
  <c r="N10" i="21"/>
  <c r="N17" i="21" s="1"/>
  <c r="N17" i="24" l="1"/>
  <c r="P17" i="24"/>
  <c r="P17" i="21"/>
  <c r="P17" i="22"/>
  <c r="P17" i="23"/>
  <c r="N17" i="23"/>
  <c r="R93" i="20"/>
  <c r="N93" i="20"/>
  <c r="N96" i="20" s="1"/>
  <c r="R77" i="20"/>
  <c r="R61" i="20"/>
  <c r="N61" i="20"/>
  <c r="N64" i="20" s="1"/>
  <c r="R50" i="20"/>
  <c r="N50" i="20"/>
  <c r="N53" i="20" s="1"/>
  <c r="R39" i="20"/>
  <c r="P39" i="20"/>
  <c r="P42" i="20" s="1"/>
  <c r="N39" i="20"/>
  <c r="N42" i="20" s="1"/>
  <c r="R27" i="20"/>
  <c r="N27" i="20"/>
  <c r="N30" i="20" s="1"/>
  <c r="R14" i="20"/>
  <c r="P14" i="20"/>
  <c r="N14" i="20"/>
  <c r="R10" i="20"/>
  <c r="P10" i="20"/>
  <c r="N10" i="20"/>
  <c r="R85" i="19"/>
  <c r="N85" i="19"/>
  <c r="N88" i="19" s="1"/>
  <c r="R72" i="19"/>
  <c r="R59" i="19"/>
  <c r="N59" i="19"/>
  <c r="N62" i="19" s="1"/>
  <c r="R48" i="19"/>
  <c r="N48" i="19"/>
  <c r="N51" i="19" s="1"/>
  <c r="R37" i="19"/>
  <c r="P37" i="19"/>
  <c r="P40" i="19" s="1"/>
  <c r="N37" i="19"/>
  <c r="N40" i="19" s="1"/>
  <c r="R26" i="19"/>
  <c r="N26" i="19"/>
  <c r="N29" i="19" s="1"/>
  <c r="P17" i="19"/>
  <c r="R14" i="19"/>
  <c r="P14" i="19"/>
  <c r="N14" i="19"/>
  <c r="R10" i="19"/>
  <c r="P10" i="19"/>
  <c r="N10" i="19"/>
  <c r="N74" i="18"/>
  <c r="R85" i="18"/>
  <c r="N85" i="18"/>
  <c r="N88" i="18" s="1"/>
  <c r="R74" i="18"/>
  <c r="R59" i="18"/>
  <c r="N59" i="18"/>
  <c r="N62" i="18" s="1"/>
  <c r="R48" i="18"/>
  <c r="N48" i="18"/>
  <c r="N51" i="18" s="1"/>
  <c r="R37" i="18"/>
  <c r="P37" i="18"/>
  <c r="P40" i="18" s="1"/>
  <c r="N37" i="18"/>
  <c r="N40" i="18" s="1"/>
  <c r="R26" i="18"/>
  <c r="N26" i="18"/>
  <c r="N29" i="18" s="1"/>
  <c r="R14" i="18"/>
  <c r="P14" i="18"/>
  <c r="N14" i="18"/>
  <c r="R10" i="18"/>
  <c r="P10" i="18"/>
  <c r="N10" i="18"/>
  <c r="R91" i="17"/>
  <c r="N91" i="17"/>
  <c r="N94" i="17" s="1"/>
  <c r="R78" i="17"/>
  <c r="R59" i="17"/>
  <c r="N59" i="17"/>
  <c r="N62" i="17" s="1"/>
  <c r="R48" i="17"/>
  <c r="N48" i="17"/>
  <c r="N51" i="17" s="1"/>
  <c r="R37" i="17"/>
  <c r="P37" i="17"/>
  <c r="P40" i="17" s="1"/>
  <c r="N37" i="17"/>
  <c r="N40" i="17" s="1"/>
  <c r="R26" i="17"/>
  <c r="N26" i="17"/>
  <c r="N29" i="17" s="1"/>
  <c r="R14" i="17"/>
  <c r="P14" i="17"/>
  <c r="N14" i="17"/>
  <c r="R10" i="17"/>
  <c r="P10" i="17"/>
  <c r="N10" i="17"/>
  <c r="R91" i="16"/>
  <c r="N91" i="16"/>
  <c r="N94" i="16" s="1"/>
  <c r="R78" i="16"/>
  <c r="R59" i="16"/>
  <c r="N59" i="16"/>
  <c r="N62" i="16" s="1"/>
  <c r="R48" i="16"/>
  <c r="N48" i="16"/>
  <c r="N51" i="16" s="1"/>
  <c r="R37" i="16"/>
  <c r="P37" i="16"/>
  <c r="P40" i="16" s="1"/>
  <c r="N37" i="16"/>
  <c r="N40" i="16" s="1"/>
  <c r="R26" i="16"/>
  <c r="N26" i="16"/>
  <c r="N29" i="16" s="1"/>
  <c r="R14" i="16"/>
  <c r="P14" i="16"/>
  <c r="N14" i="16"/>
  <c r="R10" i="16"/>
  <c r="P10" i="16"/>
  <c r="N10" i="16"/>
  <c r="R91" i="15"/>
  <c r="N91" i="15"/>
  <c r="N94" i="15" s="1"/>
  <c r="R78" i="15"/>
  <c r="R59" i="15"/>
  <c r="N59" i="15"/>
  <c r="N62" i="15" s="1"/>
  <c r="R48" i="15"/>
  <c r="N48" i="15"/>
  <c r="N51" i="15" s="1"/>
  <c r="R37" i="15"/>
  <c r="P37" i="15"/>
  <c r="P40" i="15" s="1"/>
  <c r="N37" i="15"/>
  <c r="N40" i="15" s="1"/>
  <c r="R26" i="15"/>
  <c r="N26" i="15"/>
  <c r="N29" i="15" s="1"/>
  <c r="R14" i="15"/>
  <c r="P14" i="15"/>
  <c r="N14" i="15"/>
  <c r="R10" i="15"/>
  <c r="P10" i="15"/>
  <c r="N10" i="15"/>
  <c r="R84" i="14"/>
  <c r="N84" i="14"/>
  <c r="N87" i="14" s="1"/>
  <c r="R71" i="14"/>
  <c r="R59" i="14"/>
  <c r="N59" i="14"/>
  <c r="N62" i="14" s="1"/>
  <c r="R48" i="14"/>
  <c r="N48" i="14"/>
  <c r="N51" i="14" s="1"/>
  <c r="R37" i="14"/>
  <c r="P37" i="14"/>
  <c r="P40" i="14" s="1"/>
  <c r="N37" i="14"/>
  <c r="N40" i="14" s="1"/>
  <c r="R26" i="14"/>
  <c r="N26" i="14"/>
  <c r="N29" i="14" s="1"/>
  <c r="R14" i="14"/>
  <c r="P14" i="14"/>
  <c r="N14" i="14"/>
  <c r="R10" i="14"/>
  <c r="P10" i="14"/>
  <c r="N10" i="14"/>
  <c r="R91" i="13"/>
  <c r="N91" i="13"/>
  <c r="N94" i="13" s="1"/>
  <c r="R78" i="13"/>
  <c r="R59" i="13"/>
  <c r="N59" i="13"/>
  <c r="N62" i="13" s="1"/>
  <c r="R48" i="13"/>
  <c r="N48" i="13"/>
  <c r="N51" i="13" s="1"/>
  <c r="R37" i="13"/>
  <c r="P37" i="13"/>
  <c r="P40" i="13" s="1"/>
  <c r="N37" i="13"/>
  <c r="N40" i="13" s="1"/>
  <c r="R26" i="13"/>
  <c r="N26" i="13"/>
  <c r="N29" i="13" s="1"/>
  <c r="R14" i="13"/>
  <c r="P14" i="13"/>
  <c r="N14" i="13"/>
  <c r="R10" i="13"/>
  <c r="P10" i="13"/>
  <c r="N10" i="13"/>
  <c r="N78" i="12"/>
  <c r="P17" i="17" l="1"/>
  <c r="N17" i="14"/>
  <c r="N17" i="16"/>
  <c r="P17" i="13"/>
  <c r="P17" i="15"/>
  <c r="P17" i="16"/>
  <c r="P17" i="20"/>
  <c r="N17" i="20"/>
  <c r="N17" i="19"/>
  <c r="P17" i="18"/>
  <c r="N17" i="18"/>
  <c r="N17" i="17"/>
  <c r="N17" i="15"/>
  <c r="P17" i="14"/>
  <c r="N17" i="13"/>
  <c r="R91" i="12"/>
  <c r="N91" i="12"/>
  <c r="N94" i="12" s="1"/>
  <c r="R78" i="12"/>
  <c r="R59" i="12"/>
  <c r="N59" i="12"/>
  <c r="N62" i="12" s="1"/>
  <c r="R48" i="12"/>
  <c r="N48" i="12"/>
  <c r="N51" i="12" s="1"/>
  <c r="R37" i="12"/>
  <c r="P37" i="12"/>
  <c r="P40" i="12" s="1"/>
  <c r="N37" i="12"/>
  <c r="N40" i="12" s="1"/>
  <c r="R26" i="12"/>
  <c r="N26" i="12"/>
  <c r="N29" i="12" s="1"/>
  <c r="R14" i="12"/>
  <c r="P14" i="12"/>
  <c r="N14" i="12"/>
  <c r="R10" i="12"/>
  <c r="P10" i="12"/>
  <c r="N10" i="12"/>
  <c r="R92" i="11"/>
  <c r="N92" i="11"/>
  <c r="N95" i="11" s="1"/>
  <c r="R79" i="11"/>
  <c r="N79" i="11"/>
  <c r="N82" i="11" s="1"/>
  <c r="R60" i="11"/>
  <c r="N60" i="11"/>
  <c r="N63" i="11" s="1"/>
  <c r="R49" i="11"/>
  <c r="N49" i="11"/>
  <c r="N52" i="11" s="1"/>
  <c r="R38" i="11"/>
  <c r="P38" i="11"/>
  <c r="P41" i="11" s="1"/>
  <c r="N38" i="11"/>
  <c r="N41" i="11" s="1"/>
  <c r="R26" i="11"/>
  <c r="N26" i="11"/>
  <c r="N29" i="11" s="1"/>
  <c r="R14" i="11"/>
  <c r="P14" i="11"/>
  <c r="N14" i="11"/>
  <c r="R10" i="11"/>
  <c r="P10" i="11"/>
  <c r="N10" i="11"/>
  <c r="N79" i="10"/>
  <c r="P17" i="11" l="1"/>
  <c r="N17" i="12"/>
  <c r="P17" i="12"/>
  <c r="N17" i="11"/>
  <c r="R92" i="10"/>
  <c r="N92" i="10"/>
  <c r="N95" i="10" s="1"/>
  <c r="R79" i="10"/>
  <c r="R60" i="10"/>
  <c r="N60" i="10"/>
  <c r="N63" i="10" s="1"/>
  <c r="R49" i="10"/>
  <c r="N49" i="10"/>
  <c r="N52" i="10" s="1"/>
  <c r="R38" i="10"/>
  <c r="P38" i="10"/>
  <c r="P41" i="10" s="1"/>
  <c r="N38" i="10"/>
  <c r="N41" i="10" s="1"/>
  <c r="R26" i="10"/>
  <c r="N26" i="10"/>
  <c r="N29" i="10" s="1"/>
  <c r="R14" i="10"/>
  <c r="P14" i="10"/>
  <c r="N14" i="10"/>
  <c r="R10" i="10"/>
  <c r="P10" i="10"/>
  <c r="N10" i="10"/>
  <c r="P17" i="10" l="1"/>
  <c r="N17" i="10"/>
  <c r="R91" i="9"/>
  <c r="N91" i="9"/>
  <c r="N94" i="9" s="1"/>
  <c r="R78" i="9"/>
  <c r="R59" i="9"/>
  <c r="N59" i="9"/>
  <c r="N62" i="9" s="1"/>
  <c r="N51" i="9"/>
  <c r="R48" i="9"/>
  <c r="N48" i="9"/>
  <c r="R37" i="9"/>
  <c r="P37" i="9"/>
  <c r="P40" i="9" s="1"/>
  <c r="N37" i="9"/>
  <c r="N40" i="9" s="1"/>
  <c r="R26" i="9"/>
  <c r="N26" i="9"/>
  <c r="N29" i="9" s="1"/>
  <c r="P17" i="9"/>
  <c r="R14" i="9"/>
  <c r="P14" i="9"/>
  <c r="N14" i="9"/>
  <c r="R10" i="9"/>
  <c r="P10" i="9"/>
  <c r="N10" i="9"/>
  <c r="P78" i="8"/>
  <c r="N78" i="8"/>
  <c r="N17" i="9" l="1"/>
  <c r="R91" i="8"/>
  <c r="N91" i="8"/>
  <c r="N94" i="8" s="1"/>
  <c r="R78" i="8"/>
  <c r="R59" i="8"/>
  <c r="N59" i="8"/>
  <c r="N62" i="8" s="1"/>
  <c r="R48" i="8"/>
  <c r="N48" i="8"/>
  <c r="N51" i="8" s="1"/>
  <c r="R37" i="8"/>
  <c r="P37" i="8"/>
  <c r="P40" i="8" s="1"/>
  <c r="N37" i="8"/>
  <c r="N40" i="8" s="1"/>
  <c r="R26" i="8"/>
  <c r="N26" i="8"/>
  <c r="N29" i="8" s="1"/>
  <c r="R14" i="8"/>
  <c r="P14" i="8"/>
  <c r="N14" i="8"/>
  <c r="R10" i="8"/>
  <c r="P10" i="8"/>
  <c r="N10" i="8"/>
  <c r="P79" i="6"/>
  <c r="N79" i="6"/>
  <c r="N17" i="8" l="1"/>
  <c r="P17" i="8"/>
  <c r="R92" i="6"/>
  <c r="N92" i="6"/>
  <c r="N95" i="6" s="1"/>
  <c r="R79" i="6"/>
  <c r="R60" i="6"/>
  <c r="N60" i="6"/>
  <c r="N63" i="6" s="1"/>
  <c r="R49" i="6"/>
  <c r="N49" i="6"/>
  <c r="N52" i="6" s="1"/>
  <c r="R37" i="6"/>
  <c r="P37" i="6"/>
  <c r="P40" i="6" s="1"/>
  <c r="N37" i="6"/>
  <c r="N40" i="6" s="1"/>
  <c r="R26" i="6"/>
  <c r="N26" i="6"/>
  <c r="N29" i="6" s="1"/>
  <c r="R14" i="6"/>
  <c r="P14" i="6"/>
  <c r="N14" i="6"/>
  <c r="R10" i="6"/>
  <c r="P10" i="6"/>
  <c r="N10" i="6"/>
  <c r="N17" i="6" s="1"/>
  <c r="R91" i="4"/>
  <c r="N91" i="4"/>
  <c r="N94" i="4" s="1"/>
  <c r="P17" i="6" l="1"/>
  <c r="R78" i="4"/>
  <c r="N78" i="4"/>
  <c r="N81" i="4" s="1"/>
  <c r="R59" i="4"/>
  <c r="N59" i="4"/>
  <c r="N62" i="4" s="1"/>
  <c r="R48" i="4"/>
  <c r="N48" i="4"/>
  <c r="N51" i="4" s="1"/>
  <c r="R37" i="4"/>
  <c r="P37" i="4"/>
  <c r="P40" i="4" s="1"/>
  <c r="N37" i="4"/>
  <c r="N40" i="4" s="1"/>
  <c r="R26" i="4"/>
  <c r="N26" i="4"/>
  <c r="N29" i="4" s="1"/>
  <c r="R14" i="4"/>
  <c r="P14" i="4"/>
  <c r="P17" i="4" s="1"/>
  <c r="N14" i="4"/>
  <c r="R10" i="4"/>
  <c r="P10" i="4"/>
  <c r="N10" i="4"/>
  <c r="N17" i="4" l="1"/>
  <c r="R88" i="2"/>
  <c r="N88" i="2"/>
  <c r="N91" i="2" s="1"/>
  <c r="N92" i="2" s="1"/>
  <c r="R74" i="2"/>
  <c r="N74" i="2"/>
  <c r="N77" i="2" s="1"/>
  <c r="N78" i="2" s="1"/>
  <c r="R60" i="2"/>
  <c r="N60" i="2"/>
  <c r="N63" i="2" s="1"/>
  <c r="N64" i="2" s="1"/>
  <c r="R46" i="2"/>
  <c r="P46" i="2"/>
  <c r="P49" i="2" s="1"/>
  <c r="N46" i="2"/>
  <c r="N49" i="2" s="1"/>
  <c r="R32" i="2"/>
  <c r="N32" i="2"/>
  <c r="N35" i="2" s="1"/>
  <c r="N36" i="2" s="1"/>
  <c r="R18" i="2"/>
  <c r="P18" i="2"/>
  <c r="N18" i="2"/>
  <c r="R12" i="2"/>
  <c r="P12" i="2"/>
  <c r="N12" i="2"/>
  <c r="P21" i="2" l="1"/>
  <c r="N21" i="2"/>
  <c r="N50" i="2"/>
  <c r="N82" i="6"/>
  <c r="P82" i="6"/>
  <c r="N81" i="8"/>
  <c r="P81" i="8"/>
  <c r="N82" i="10"/>
  <c r="N81" i="12"/>
  <c r="N22" i="2" l="1"/>
  <c r="P81" i="15"/>
  <c r="N77" i="18"/>
  <c r="N81" i="24"/>
  <c r="P77" i="30"/>
  <c r="P74" i="30"/>
  <c r="P74" i="14"/>
  <c r="P71" i="14"/>
  <c r="P77" i="26"/>
  <c r="P74" i="26"/>
  <c r="P81" i="22"/>
  <c r="P78" i="22"/>
  <c r="P100" i="35"/>
  <c r="P103" i="35"/>
  <c r="P81" i="34"/>
  <c r="P84" i="34"/>
  <c r="P78" i="31"/>
  <c r="P81" i="31"/>
  <c r="P78" i="9"/>
  <c r="P81" i="9"/>
  <c r="N77" i="20"/>
  <c r="N80" i="20"/>
  <c r="N81" i="22"/>
  <c r="N78" i="22"/>
  <c r="P81" i="12"/>
  <c r="P78" i="12"/>
  <c r="P98" i="48"/>
  <c r="P101" i="48"/>
  <c r="P73" i="23"/>
  <c r="P76" i="23"/>
  <c r="P81" i="17"/>
  <c r="P78" i="17"/>
  <c r="P100" i="37"/>
  <c r="P103" i="37"/>
  <c r="N81" i="15"/>
  <c r="N78" i="15"/>
  <c r="N81" i="17"/>
  <c r="N78" i="17"/>
  <c r="P101" i="41"/>
  <c r="P98" i="41"/>
  <c r="P76" i="27"/>
  <c r="P73" i="27"/>
  <c r="N73" i="23"/>
  <c r="N76" i="23"/>
  <c r="P81" i="21"/>
  <c r="P78" i="21"/>
  <c r="P81" i="24"/>
  <c r="P78" i="24"/>
  <c r="P96" i="49"/>
  <c r="P99" i="49"/>
  <c r="P82" i="10"/>
  <c r="P79" i="10"/>
  <c r="P82" i="33"/>
  <c r="P85" i="33"/>
  <c r="P101" i="38"/>
  <c r="P98" i="38"/>
  <c r="N81" i="9"/>
  <c r="N78" i="9"/>
  <c r="P72" i="25"/>
  <c r="P75" i="25"/>
  <c r="P104" i="42"/>
  <c r="P101" i="42"/>
  <c r="N71" i="14"/>
  <c r="N74" i="14"/>
  <c r="P81" i="16"/>
  <c r="P78" i="16"/>
  <c r="P78" i="13"/>
  <c r="P81" i="13"/>
  <c r="P80" i="20"/>
  <c r="P77" i="20"/>
  <c r="P72" i="19"/>
  <c r="P75" i="19"/>
  <c r="P98" i="47"/>
  <c r="P101" i="47"/>
  <c r="P98" i="46"/>
  <c r="P101" i="46"/>
  <c r="P73" i="32"/>
  <c r="P70" i="32"/>
  <c r="P98" i="45"/>
  <c r="P95" i="45"/>
  <c r="N78" i="13"/>
  <c r="N81" i="13"/>
  <c r="P99" i="44"/>
  <c r="P102" i="44"/>
  <c r="P81" i="28"/>
  <c r="P78" i="28"/>
  <c r="P82" i="11"/>
  <c r="P79" i="11"/>
  <c r="P78" i="29"/>
  <c r="P81" i="29"/>
  <c r="N72" i="19"/>
  <c r="N75" i="19"/>
  <c r="P99" i="39"/>
  <c r="P102" i="39"/>
  <c r="P98" i="36"/>
  <c r="P101" i="36"/>
  <c r="P102" i="43"/>
  <c r="P99" i="43"/>
  <c r="N78" i="16"/>
  <c r="N81" i="16"/>
  <c r="N78" i="21"/>
  <c r="N81" i="21"/>
  <c r="P77" i="18"/>
  <c r="P74" i="18"/>
  <c r="P101" i="40"/>
  <c r="P98" i="40"/>
</calcChain>
</file>

<file path=xl/sharedStrings.xml><?xml version="1.0" encoding="utf-8"?>
<sst xmlns="http://schemas.openxmlformats.org/spreadsheetml/2006/main" count="10487" uniqueCount="525">
  <si>
    <t>TOPLAM:</t>
  </si>
  <si>
    <t>Bölüm</t>
  </si>
  <si>
    <t>Başlama Saati</t>
  </si>
  <si>
    <t>Bitiş Saati</t>
  </si>
  <si>
    <t>Takip No</t>
  </si>
  <si>
    <t>Üretilen Mamül</t>
  </si>
  <si>
    <t>Adetler</t>
  </si>
  <si>
    <t>Çaydanlık</t>
  </si>
  <si>
    <t>Duraklama</t>
  </si>
  <si>
    <t>Duraklama Nedenleri</t>
  </si>
  <si>
    <t>Açıklama</t>
  </si>
  <si>
    <t>Tarih:</t>
  </si>
  <si>
    <t>Teflon</t>
  </si>
  <si>
    <t>Adet</t>
  </si>
  <si>
    <t>Dk</t>
  </si>
  <si>
    <t>Kalite</t>
  </si>
  <si>
    <t>Kalınlık</t>
  </si>
  <si>
    <t>ÇAYDANLIK
BOĞMA 
HAT-2</t>
  </si>
  <si>
    <t>ÇAYDANLIK BOĞMA GÜNLÜK ÜRETİM RAPORU</t>
  </si>
  <si>
    <t>Tedarikçi Hammadde</t>
  </si>
  <si>
    <t>ÇAYDANLIK BOĞMA GENEL TOPLAM:</t>
  </si>
  <si>
    <t>Kullanılan Emzik</t>
  </si>
  <si>
    <t>ÇAYDANLIK KAYNAK GENEL TOPLAM:</t>
  </si>
  <si>
    <t>ÇAYDANLIK KEÇE GENEL TOPLAM:</t>
  </si>
  <si>
    <t>Gövde İşlemi</t>
  </si>
  <si>
    <t>ÇAYDANLIK EMZİK KAYNAK GÜNLÜK ÜRETİM RAPORU</t>
  </si>
  <si>
    <t>ÇAYDANLIK KEÇE POLİSAJ GÜNLÜK ÜRETİM RAPORU</t>
  </si>
  <si>
    <t>ÇAYDANLIK İÇ POLİSAJ ZIMPARA GÜNLÜK ÜRETİM RAPORU</t>
  </si>
  <si>
    <t>ÇAYDANLIK DIŞ POLİSAJ BEYAZ GÜNLÜK ÜRETİM RAPORU</t>
  </si>
  <si>
    <t>ÇAYDANLIK PAKETLEME GÜNLÜK ÜRETİM RAPORU</t>
  </si>
  <si>
    <t>Yapılan Operasyon</t>
  </si>
  <si>
    <t>ÇAYDANLIK İÇ POLİSAJ ZIMPARA GENEL TOPLAM:</t>
  </si>
  <si>
    <t>ÇAYDANLIK DIŞ POLİSAJ GENEL TOPLAM:</t>
  </si>
  <si>
    <t>ÇAYDANLIK PAKETLEME GENEL TOPLAM:</t>
  </si>
  <si>
    <t>YONCA JUMBO 10NO BELİNDA ÇAYDANLIK</t>
  </si>
  <si>
    <t>Posco</t>
  </si>
  <si>
    <t>Boğma Kalıbı</t>
  </si>
  <si>
    <t>ÇAYDANLIK
BOĞMA 
HAT-1
İsmail Odunsalar</t>
  </si>
  <si>
    <t>Kırıklardan dolayı kalıp revize edildi denemeler yapıdı 
(260 adet kırık var)</t>
  </si>
  <si>
    <t>YONCA JUMBO DAMLA ÇAYDANLIK</t>
  </si>
  <si>
    <t>Eksantrik Kalıp</t>
  </si>
  <si>
    <t>Eksantirk Kalıp Sıkışması</t>
  </si>
  <si>
    <t>TABANSIZ GEMAK 0,75 Lt NAZ DEMLİK</t>
  </si>
  <si>
    <t>Kalıp Değişimi</t>
  </si>
  <si>
    <t>ÇAYDANLIK
KEÇE
Çetin Kara</t>
  </si>
  <si>
    <t>ÇAYDANLIK İÇ POLİSAJ ZIMPARA
Çetin Kara</t>
  </si>
  <si>
    <t>ÇAYDANLIK
KAYNAK
İdris Karaca</t>
  </si>
  <si>
    <t>ÇAYDANLIK DIŞ POLİSAJ BEYAZ
Çetin Kara</t>
  </si>
  <si>
    <t>TABANSIZ GEMAK 0,50 Lt NAZ DEMLİK</t>
  </si>
  <si>
    <t>İbrahim Kamalak</t>
  </si>
  <si>
    <t>KUTULAMA</t>
  </si>
  <si>
    <t>Enes Bey</t>
  </si>
  <si>
    <t>TABANSIZ JUMBO 10NO BELİNDA DEMLİK</t>
  </si>
  <si>
    <t>KALIP REVİZE</t>
  </si>
  <si>
    <t>ŞAHMERAN SEMAVER</t>
  </si>
  <si>
    <t>BOĞMADAN ÜRÜN GELMEDİĞİNDE ŞAHMERAN SEVAMER YAPILDI</t>
  </si>
  <si>
    <t>BELİNDA EMZİK</t>
  </si>
  <si>
    <t>ASİT TANKLARINDAN ARALIKLI ÜRÜN BEKLEDİ</t>
  </si>
  <si>
    <t>ÇAYDANLIK MONTAJ PAKETLEME GÜNLÜK ÜRETİM RAPORU</t>
  </si>
  <si>
    <t>YONCA JUMBO DAMLA - METAL KULP</t>
  </si>
  <si>
    <t>YONCA JUMBO DAMLA - GOLD KULP</t>
  </si>
  <si>
    <t>KULP PUNTA</t>
  </si>
  <si>
    <t>YONCA JUMBO 10NO BELİNDA ÇAYDANLIK - GOLD</t>
  </si>
  <si>
    <t>ŞAHMERAN SEMAVER 10 NO DEMLİK</t>
  </si>
  <si>
    <t>2.000 ADET KAPAK MONTAJ</t>
  </si>
  <si>
    <t>ÇAYDANLIK MONTAJ PAKETLEME GENEL TOPLAM:</t>
  </si>
  <si>
    <t>YONCA  JUMBO DAMLA - GOLD KULP</t>
  </si>
  <si>
    <t>MAÇA BAKALİT PUNTA</t>
  </si>
  <si>
    <t xml:space="preserve">
Çetin Kara</t>
  </si>
  <si>
    <t>Çetin Kara</t>
  </si>
  <si>
    <t xml:space="preserve">
İdris Karaca</t>
  </si>
  <si>
    <t>HAT-1
İsmail Odunsalar</t>
  </si>
  <si>
    <t xml:space="preserve">
HAT-2</t>
  </si>
  <si>
    <t>ÇAYDANLIK MONTAJ-PAKETLEME GÜNLÜK ÜRETİM RAPORU</t>
  </si>
  <si>
    <t>Kapak</t>
  </si>
  <si>
    <t>SANAYİDEN GELEN SAÇ DENEMESİ 200 MAL %30 KIRIK</t>
  </si>
  <si>
    <t>AĞIZI BÜKÜLMEDİ</t>
  </si>
  <si>
    <t>KALIP DEĞİŞİMİ</t>
  </si>
  <si>
    <t>PUNTA - METAL KULP</t>
  </si>
  <si>
    <t>YONCA JUMBO 10NO BELİNDA ÇAYDANLIK KAPAK</t>
  </si>
  <si>
    <t>KUTUYA GİREN MAL YOK. SAHDA ÜRÜNLER KUTU BEKLİYOR</t>
  </si>
  <si>
    <t>YONCA 3,5 NO AİLE BELİNDA ÇAYDANLIK</t>
  </si>
  <si>
    <t>2 KEZ TIRNAK TORNA</t>
  </si>
  <si>
    <t xml:space="preserve">ŞAHMERAN SEMAVER </t>
  </si>
  <si>
    <t>İÇ POLİSAJI</t>
  </si>
  <si>
    <t>45 DK</t>
  </si>
  <si>
    <t>YONCA 10 NO JUMBO BELİNDA ÇAYD. TAKIMI</t>
  </si>
  <si>
    <t>KUTULANDI</t>
  </si>
  <si>
    <t>ALTIN KULP JUMBO BELİNDA KUTUYA ATILMIŞTIR</t>
  </si>
  <si>
    <t>TBSZ JUMBO 10 BELİNDA DEMLİK</t>
  </si>
  <si>
    <t>ALTIN KULP</t>
  </si>
  <si>
    <t>LİNES 1,5 LT LİMON SATENLİ</t>
  </si>
  <si>
    <t>LİNES 2 LT KÜRE SATENLİ</t>
  </si>
  <si>
    <t>LİNES 1 LT LİMON SADE</t>
  </si>
  <si>
    <t>METAL KULP</t>
  </si>
  <si>
    <t>2 LT KIZARTMALIK GÖVDE</t>
  </si>
  <si>
    <t>ÇAY KEYFİ GÖVDE</t>
  </si>
  <si>
    <t>BU GÜNKÜ RAPORDA 
YAZILMADI AMA İÇERİDE YAPILAN TAKİPTE BASILDI</t>
  </si>
  <si>
    <t>LİNES 1 LT LİMON SATENLİ</t>
  </si>
  <si>
    <t>LİNES 1,5 LT MERCAN SATENLİ</t>
  </si>
  <si>
    <t>PUNTA - ALTIN KULP</t>
  </si>
  <si>
    <t>SADE METAL KULPLU KUTUYA ATILMIŞTIR</t>
  </si>
  <si>
    <t xml:space="preserve">KALIP TORNA </t>
  </si>
  <si>
    <t>STAR 2 NO</t>
  </si>
  <si>
    <t>TEK KAYNAK ÇALIŞTI.
EMZİK KAYNAK ÜZERİNDE ÜRÜN BİTTİ PAZARTESİ BOŞ OLACAKLAR</t>
  </si>
  <si>
    <t>İÇ POLSAJ</t>
  </si>
  <si>
    <t>CUMARTESİ GÜNLERİ
BEYAZ BÖLÜMÜ 
ÇALIŞMIYOR</t>
  </si>
  <si>
    <t>LİNES 1 LT MERCAN SADE</t>
  </si>
  <si>
    <t>PUNTA METAL KULP</t>
  </si>
  <si>
    <t>1000 ADET KAPAK MONTAJ YAPILDI.</t>
  </si>
  <si>
    <t>YONCA 10 NO JUMBO BELİNDA METAL KULP</t>
  </si>
  <si>
    <t>ELEKTRİK KESİNTİSİ</t>
  </si>
  <si>
    <t>TIRNAK TORNA</t>
  </si>
  <si>
    <t>50 DK GENEL ELEKTRİK KESİNTİSİ</t>
  </si>
  <si>
    <t xml:space="preserve">  </t>
  </si>
  <si>
    <t>ÜZERİNDE ÜRÜN OLMADIĞI İÇİN BUGÜN İÇİN İZİN VERİLDİ</t>
  </si>
  <si>
    <t>LİNES 1,5 LT MERCAN SADE</t>
  </si>
  <si>
    <t>LİNES ORTA BOY NAZ</t>
  </si>
  <si>
    <t>ALTIN KEMER PUNTA</t>
  </si>
  <si>
    <t>KIZARTMALIK</t>
  </si>
  <si>
    <t>3.5 TABANSIZ AİLE BELİNDA DEMLİK</t>
  </si>
  <si>
    <t>HAMMADDE NUMUNELERİ DENENMEK İÇİN ELEMANLAR PRESSHANEYE ÇEKİLDİ</t>
  </si>
  <si>
    <t>PUNTA-METAL KULP</t>
  </si>
  <si>
    <t>JUMBO DAMLA ÇAYDANLIK</t>
  </si>
  <si>
    <t>PUNTA-ALTIN KULP</t>
  </si>
  <si>
    <t>KEÇE SAAT 09:30 KADAR KIZARTMALIK YAPTIĞI İÇİN KAYNAK ÜZTÜNDE MAL YOKTU</t>
  </si>
  <si>
    <t>3.5 AİLE BELINDA DEMLİK</t>
  </si>
  <si>
    <t>7 NO MEGA BELİNDA ÇAYDANLIK</t>
  </si>
  <si>
    <t>90 DK TORNA MERKZELEME YAPILDI
30 DK BOĞMA KALIBI YAPILDI</t>
  </si>
  <si>
    <t>MERKZELEME YAPILDI</t>
  </si>
  <si>
    <t>BOĞMA KALIBI YAPILDI</t>
  </si>
  <si>
    <t>ÇAY KEYFİ SEMAVER</t>
  </si>
  <si>
    <t>SAAT 3.30 DAN SORA DAMLANIN KALIPLARI BAĞLANDI</t>
  </si>
  <si>
    <t>3.5 AİLE BELİNDA DEMLİK</t>
  </si>
  <si>
    <t>2 NO STAR</t>
  </si>
  <si>
    <t xml:space="preserve">KIZARTMALIK </t>
  </si>
  <si>
    <t>1,5 LT MERCAN</t>
  </si>
  <si>
    <t>PUNTA- BAKIR</t>
  </si>
  <si>
    <t>PUNTA- METAL KULP</t>
  </si>
  <si>
    <t>10 NO JUMBO BELİNDA DEMLİK</t>
  </si>
  <si>
    <t>3.5 NO AİLE BELİNDA ÇAYDANLIK</t>
  </si>
  <si>
    <t>10 NO BELİNDA SADE METAL</t>
  </si>
  <si>
    <t>JUMBO DAMLA ALTIN</t>
  </si>
  <si>
    <t xml:space="preserve">0,75 LT GEMAK NAZ </t>
  </si>
  <si>
    <t>d</t>
  </si>
  <si>
    <t>SARI TORNA ZIMPARA</t>
  </si>
  <si>
    <t>STAR 2</t>
  </si>
  <si>
    <t>3.5 AİLE BELİNDA DEM</t>
  </si>
  <si>
    <t>KIZARTMALIK SÜZEK</t>
  </si>
  <si>
    <t>3.5 BELİNDA DEMLİK</t>
  </si>
  <si>
    <t>0.75 LT NAZ DEMLİK</t>
  </si>
  <si>
    <t xml:space="preserve">YONCA 3.5 AİLE BELİNDA ALTIN </t>
  </si>
  <si>
    <t>7 NO AYPERİ ÇAYDANLIK</t>
  </si>
  <si>
    <t>SPOT ARIZA</t>
  </si>
  <si>
    <t>SPOT BİLYA DAĞITTI</t>
  </si>
  <si>
    <t>AYPERİ 7 NO ÇAYDANLIK</t>
  </si>
  <si>
    <t>DİLAN 4 NO</t>
  </si>
  <si>
    <t>7 NO MEGA BELİDNDA ÇAYDANLIK</t>
  </si>
  <si>
    <t>3.5 AİLE BOY BELİNDA DEMLİK</t>
  </si>
  <si>
    <t>ORTA BOY 1.5 LT NAZ ÇAYD.</t>
  </si>
  <si>
    <t>PUNTA-ALTIN KEMER</t>
  </si>
  <si>
    <t>MİNİ BOY 1 LT NAZ ÇAYD.</t>
  </si>
  <si>
    <t>3.5 AİLE BOY BELİNDA TAKIMI ALTIN</t>
  </si>
  <si>
    <t>3.5 AİLE BOY BELİNDA TAKIMI METAL</t>
  </si>
  <si>
    <t>YONCA KEYİF ÇAY KEYFİ</t>
  </si>
  <si>
    <t>ÇALIŞMADI</t>
  </si>
  <si>
    <t>2. SIRADAKİ 1.000 ADET SÜZEK 
AKŞAM MESAİSİNDE YAPILDI</t>
  </si>
  <si>
    <t>3.5 AİLE BOY MELİNDA ÇAYDANLIK</t>
  </si>
  <si>
    <t>1 LT NAZ ALTIN ÇEMBERLİ</t>
  </si>
  <si>
    <t>3.5 AİLE BELİNDA ÇAYDANLIK TAKIMI METAL KULP</t>
  </si>
  <si>
    <t xml:space="preserve"> KIZARTMALIK METAL</t>
  </si>
  <si>
    <t>7 NO MEGA BELİNDA DEMLİK</t>
  </si>
  <si>
    <t>DİLA 4 NO</t>
  </si>
  <si>
    <t>10 NO ŞAHMERAN SEMAVER DEMLİK</t>
  </si>
  <si>
    <t>MAÇA-BAKALİT KULP</t>
  </si>
  <si>
    <t>7 NO MEGA BELİNDA ÇAYDANLIK  METAL KULP</t>
  </si>
  <si>
    <t>3.5 NO AİLE BELİNDA DEMLİK</t>
  </si>
  <si>
    <t>3.5 AİLE BELİNDA ÇAYDANLIK TAKIMI METAL</t>
  </si>
  <si>
    <t xml:space="preserve">KIZARTMALIK METAL </t>
  </si>
  <si>
    <t>250039-40</t>
  </si>
  <si>
    <t>2 LT KÜRE (GÜMRÜK)</t>
  </si>
  <si>
    <t xml:space="preserve"> </t>
  </si>
  <si>
    <t>1 LT KÜRE (GÜMRÜK)</t>
  </si>
  <si>
    <t>7 NO BELİNDA DEMLİK</t>
  </si>
  <si>
    <t>7 NO AYPERİ DEMLİK</t>
  </si>
  <si>
    <t>TAVLAMA DEĞİŞİM</t>
  </si>
  <si>
    <t>PASO</t>
  </si>
  <si>
    <t>7 BELİNDA DEMLİK</t>
  </si>
  <si>
    <t>7 NO AYPERİ  ÇAYDANLIK</t>
  </si>
  <si>
    <t>7 NO BELİNDA ÇAYDANLIK</t>
  </si>
  <si>
    <t>1 LT KÜRE GÜMRÜK</t>
  </si>
  <si>
    <t>1 LT  LİMON</t>
  </si>
  <si>
    <t xml:space="preserve">1,5 LT LİMON </t>
  </si>
  <si>
    <t xml:space="preserve">1 LT MERCAN </t>
  </si>
  <si>
    <t>1 LT KÜRE ALTIN</t>
  </si>
  <si>
    <t>1 LT KÜRE METAL</t>
  </si>
  <si>
    <t>NUMUNE</t>
  </si>
  <si>
    <t>DAMLA JUMBO</t>
  </si>
  <si>
    <t>RÜYA ÇAYD.</t>
  </si>
  <si>
    <t>GEMAK 1 LT KÜRE</t>
  </si>
  <si>
    <t>GEMAK 1,5 LT KÜRE</t>
  </si>
  <si>
    <t>DİLA 2 NO</t>
  </si>
  <si>
    <t>KÜRE 3 NO</t>
  </si>
  <si>
    <t xml:space="preserve">KALIPLARA BEZ YAPIŞTIRILDI </t>
  </si>
  <si>
    <t>MEGA BELİNDA DEMLİK</t>
  </si>
  <si>
    <t>100925-1</t>
  </si>
  <si>
    <t>MEGA BELİNDA ÇAYDANLIK TAKIM METAL KULP</t>
  </si>
  <si>
    <t>LİNES 2 LT SADE ÜSTTEN KULP ALTIN</t>
  </si>
  <si>
    <t>LİNES 2 LT SADE ÜSTTEN KULP METAL</t>
  </si>
  <si>
    <t>LİNES 2 LT SATENLİ ÜSTTEN KULP ALTIN</t>
  </si>
  <si>
    <t>GEMAK 2 LT KÜRE</t>
  </si>
  <si>
    <t>COOKER 7 NO AYCAN ÇAYDANLIK</t>
  </si>
  <si>
    <t>TABANSIZ COOKER 7 NO AYCAN DEMLİK</t>
  </si>
  <si>
    <t>KÜRE 4 NO</t>
  </si>
  <si>
    <t>TABANSIZ LİNES 7 NO AYPERİ DEMLİJ</t>
  </si>
  <si>
    <t>TABANSIZ LİNES 7 NO AYPERİ DEMLİK</t>
  </si>
  <si>
    <t>LİNES 7 NO AYPERİ ÇAYDANLIK</t>
  </si>
  <si>
    <t>TABANSIZ YONCA 7 NO MEGA BELİNDA DEMLİK</t>
  </si>
  <si>
    <t>YONCA 10 NO JUMBO BELİNDA ÇAYDANLK</t>
  </si>
  <si>
    <t>TABANSIZ YONCA 7 NO AYPERİ DEMLİK</t>
  </si>
  <si>
    <t>LİNES 1,5 LT KÜRE (GÜMRÜK)</t>
  </si>
  <si>
    <t>YONCA 7 NO MEGA BELİNDA METAL</t>
  </si>
  <si>
    <t>LİNES 2 LT KÜRE SATENLİ ALTIN KULP</t>
  </si>
  <si>
    <t>LİNES 2 LT KÜRE SATENLİ ELMA ŞEKERİ</t>
  </si>
  <si>
    <t>LİNES 2 LT KÜRE SATENLİ METAK</t>
  </si>
  <si>
    <t>LİNES 2 LT KÜRE SADE ELMA ŞEKERİ</t>
  </si>
  <si>
    <t xml:space="preserve">YONCA 10 NO JUMBO BELİNDA METAL </t>
  </si>
  <si>
    <t>010925-1</t>
  </si>
  <si>
    <t>7 NO BELİNDA DEM</t>
  </si>
  <si>
    <t>ÇAY KEYFİ SEMAVER (MESAİDE)</t>
  </si>
  <si>
    <t>7 NO MEGA BELİNDA ÇAYDANLIK TAKIMI ALTIN</t>
  </si>
  <si>
    <t>7 NO AYCAN DEMLİK</t>
  </si>
  <si>
    <t>10 NO AYCAN ÇAYDANLIK</t>
  </si>
  <si>
    <t>ÇAYDANLIK BEYAZ ÇALIŞMADIĞI İÇİN ÇALIŞMADI</t>
  </si>
  <si>
    <t>LİNES 1.5 LT KÜRE SATENLİ METAL</t>
  </si>
  <si>
    <t>LİNES 1.5 LT KÜRE ÜSTTEN KULP SADE METAL</t>
  </si>
  <si>
    <t>LİNES 1.5 LT KÜRE SADE ÜSTTEN KULP ALTIN</t>
  </si>
  <si>
    <t>LİNES 2 LT KÜRE POWER METAL</t>
  </si>
  <si>
    <t>7 NO AYCAN ÇAYDANLIK</t>
  </si>
  <si>
    <t>GEMAK 1.5 LT KÜRE</t>
  </si>
  <si>
    <t>TABANSIZ 7 NO AYPERİ DEMLİK</t>
  </si>
  <si>
    <t>LİNES 1.5 LT KÜRE SATENLİ ÜSTTEN ALTIN KULP</t>
  </si>
  <si>
    <t>LİNES 1.5 LT KÜRE SATENLİ ÜSTTEN METAL KULP</t>
  </si>
  <si>
    <t>LİNES 1.5 LİMON SATENLİ ALTIN KULP</t>
  </si>
  <si>
    <t>LİNES 1.5 LT LİMON SATENLİ METAL KULP</t>
  </si>
  <si>
    <t xml:space="preserve">LİNES 1.5 LT LİMON SATENLİ ELMA ŞEKERİ </t>
  </si>
  <si>
    <t>LİNES 1.5 LT LİMON SADE METAL KULP</t>
  </si>
  <si>
    <t>LİNES 1.5 LT LİMON SADE ALTIN KUP</t>
  </si>
  <si>
    <t>LİNES 1 LT KÜRE SATENLİ METAL KULP</t>
  </si>
  <si>
    <t>LİNES 1 LT KÜRE SATENLİ ALTIN KULP</t>
  </si>
  <si>
    <t>10 NO AYCAN DEMLİK</t>
  </si>
  <si>
    <t>7 NO ORTA AYCAN DEMLİK</t>
  </si>
  <si>
    <t>KIZARTMALIK GÖVDE</t>
  </si>
  <si>
    <t xml:space="preserve">LİNES 1 LT KÜRE SATENLİ ELMA ŞEKERİ </t>
  </si>
  <si>
    <t>LİNES 1 LT KÜRE SADE ELMA ŞEKERİ</t>
  </si>
  <si>
    <t>LİNES 1 LT KÜRE SADE METAL KULP</t>
  </si>
  <si>
    <t>LİNES 1 LT KÜRE SADE ALTIN KULP</t>
  </si>
  <si>
    <t>LİNES 1 LT KÜRE SADE ÜSTTE KULP ALTIN</t>
  </si>
  <si>
    <t>LİNES 1 LT KÜRE SADE ÜSTTEN KULP METAL</t>
  </si>
  <si>
    <t>LİNES 1 LT KÜRE SATENLİ ÜSTTEN KULP ALTIN</t>
  </si>
  <si>
    <t>LİNES 1 LT KÜRE SATENLİ ÜSTTEN KULP METAL</t>
  </si>
  <si>
    <t>LİNES 1 LT LİMON SADE ALTIN KULP</t>
  </si>
  <si>
    <t>LİNES 1 LT LİMON SADE METAL KULP</t>
  </si>
  <si>
    <t xml:space="preserve">LİNES 1 LT LİMON SATENLİ EŞMA ŞEKERİ </t>
  </si>
  <si>
    <t>3 NO YILDIZ ÇAYDANLIK</t>
  </si>
  <si>
    <t>3 NO YILDIZ DEMLİK</t>
  </si>
  <si>
    <t>SOFİ 1 NO</t>
  </si>
  <si>
    <t>AYCAN 10 NO ÇAYDANLIK</t>
  </si>
  <si>
    <t>GEMAK 1 LT KÜRE SADE</t>
  </si>
  <si>
    <t>PUNTA-ÜSTTEN MAÇA</t>
  </si>
  <si>
    <t>GEMAK TABANSIZ 0.50 LT NAZ SADE METAL KULP</t>
  </si>
  <si>
    <t>LİNES 1 LT LİMON SADE ELMA ŞEKERİ</t>
  </si>
  <si>
    <t>LİNES 1 LT LİMON SATENLİ ALTIN KULP</t>
  </si>
  <si>
    <t>LİNES 1 LT LİMON SATENLİ METAL KULP</t>
  </si>
  <si>
    <t>LİNES 1.5 LT MERCAN SADE ALTIN KULP</t>
  </si>
  <si>
    <t>LİNES 1.5 LT MERCAN SADE METAL KULP</t>
  </si>
  <si>
    <t>LİNES 1.5 LT MERCAN SADE ELMA ŞEKERİ</t>
  </si>
  <si>
    <t>LİNES 1.5 LT MERCAN SATENLİ ALTIN KULP</t>
  </si>
  <si>
    <t>LİNES 1.5 LT MERCAN SATENLİ ELMA ŞEKERİ</t>
  </si>
  <si>
    <t>LİNES 1.5 LT MERCAN SATENLİ METAL KULP</t>
  </si>
  <si>
    <t>LİNES 1 LT MERCAN SATENLİ METAL KULP</t>
  </si>
  <si>
    <t>LİNES 1 LT MERCAN SATENLİ ALTIN KULP</t>
  </si>
  <si>
    <t>LİNES 1 LT MERCAN SATENLİ ELMA ŞEKERİ</t>
  </si>
  <si>
    <t>GEMAK 1.5 LT KÜRE SADE</t>
  </si>
  <si>
    <t>7 NO AYCAN ÇAYDANLIK SADE</t>
  </si>
  <si>
    <t>10 NO AYCAN ÇAYDANLIK SADE</t>
  </si>
  <si>
    <t>10 NO AYCAN DEMLİK SADE</t>
  </si>
  <si>
    <t>LİNES 1.5 LT SÜTLÜK</t>
  </si>
  <si>
    <t>LİNES 1 LT MERCAN SADE ELMA ŞEKERİ</t>
  </si>
  <si>
    <t>LİNES 1 LT MERCAN SADE METAL KULP</t>
  </si>
  <si>
    <t>LİNES 1 LT MERCAN SADE ALTIN KULP</t>
  </si>
  <si>
    <t>YONCA MEGA BOY BELİNDA METAL KULP</t>
  </si>
  <si>
    <t>YONCA AİLE BOY BELİNDA METAL KULP</t>
  </si>
  <si>
    <t>MASTERCHEFF KIZARTMALIK</t>
  </si>
  <si>
    <t>3 KEZ TORNA</t>
  </si>
  <si>
    <t>TABANSIZ COOKER 7 NO YILDIZ DEMLİK</t>
  </si>
  <si>
    <t>COOKER 10 NO YILDIZ ÇAYDANLIK</t>
  </si>
  <si>
    <t>COOKER 7 NO YILDIZ ÇAYDANLIK</t>
  </si>
  <si>
    <t>TABANSIZ COOKER 3 NO YILDIZ DEMLİK</t>
  </si>
  <si>
    <t>COOKER 3 NO YILDIZ ÇAYDANLIK</t>
  </si>
  <si>
    <t>TABANSIZ COOKER 10 NO AYCAN DEMLİK</t>
  </si>
  <si>
    <t>COOKER 10 NO AYCAN ÇAYDANLIK</t>
  </si>
  <si>
    <t>TABNASIZ COOKER 10 NO AYCAN DEMLİK</t>
  </si>
  <si>
    <t xml:space="preserve">LİNES 7 NO AYCAN ÇAYDANLIK </t>
  </si>
  <si>
    <t>LİNES 7 NO AYPERİ ÇAYDANLIK TAKIMI MEYAL</t>
  </si>
  <si>
    <t>LİNES 1 LT LİMON SADE METAL (GÜMRÜK)</t>
  </si>
  <si>
    <t>LİNES 1.5 LT LİMON SADE METAL (GÜMRÜK)</t>
  </si>
  <si>
    <t>LİNES 1 LT MERCAN SADE METAL  (GÜMRÜK)</t>
  </si>
  <si>
    <t>LİNES 1.5 LT MERCAN SADE METAL (GÜMRÜK)</t>
  </si>
  <si>
    <t>LİNES 1 LT KÜRE SADE METAL (GÜMRÜK)</t>
  </si>
  <si>
    <t>LİNES 2 LT KÜRE SADE METAL (GÜMRÜK)</t>
  </si>
  <si>
    <t>LİNES 1.5 LT KÜRE SADE METAL (GÜMRÜK)</t>
  </si>
  <si>
    <t>PUNTA-?</t>
  </si>
  <si>
    <t>LİNES 7 NO AYPERİ ÇAYDANLIK ALTIN KULP</t>
  </si>
  <si>
    <t>LİNES 2 LT KÜRE SADE METAL KULP</t>
  </si>
  <si>
    <t>COOKER 10 NO YILDIZ DEMLİK</t>
  </si>
  <si>
    <t>LİNES 3 NO KÜRE ZEYCAN ÇAYDANLIK</t>
  </si>
  <si>
    <t>TABANSIZ COOKER 10 NO YILDIZ DEMLİK</t>
  </si>
  <si>
    <t>SOFT 1 NO</t>
  </si>
  <si>
    <t>MAKSMOSA</t>
  </si>
  <si>
    <t xml:space="preserve">TABANSIZ COOKER 7 NO AYCAN DEMLİK </t>
  </si>
  <si>
    <t xml:space="preserve">TABANSIZ LİNES 7 NO AYCAN DEMLİK </t>
  </si>
  <si>
    <t>GEMAK 2 LT KÜRE SADE</t>
  </si>
  <si>
    <t>LİNES 7 NO AYCAN ÇAYDANLIK</t>
  </si>
  <si>
    <t xml:space="preserve">LİNES 7 NO AYPERİ ALTIN KULP </t>
  </si>
  <si>
    <t>TABANSIZ LİNES 3 NO KÜRE ZEYCAN DEMLİK</t>
  </si>
  <si>
    <t>LİNES 5 NO NAZ ÇAYDANLIK</t>
  </si>
  <si>
    <t>SOFT-2 NO</t>
  </si>
  <si>
    <t>MAKSMOGA</t>
  </si>
  <si>
    <t>COOKER 7 NO AYCAN ÇAYDANLIK SADE ALTIN KULP</t>
  </si>
  <si>
    <t>2 KEZ SARI ZIMPARA</t>
  </si>
  <si>
    <t>TABANSIZ LİNES 3 NO KÜRE DEMLİK</t>
  </si>
  <si>
    <t>TABANSIZ COOKER 10 YILDIZ DEMLİK</t>
  </si>
  <si>
    <t xml:space="preserve">GEMAK 2 LT KÜRE </t>
  </si>
  <si>
    <t>GEMAK 1.5 LT KÜRE ÜSTTEN KULP SADE</t>
  </si>
  <si>
    <t>GEMAK 1 LT KÜRE SADE ÜSTTEN KULP</t>
  </si>
  <si>
    <t>COOKER 3 NO YILDIZ ÇAYDANLIK SADE METAL</t>
  </si>
  <si>
    <t>GEMAK 2 LT KÜRE SADE ÜSTTEN KULP</t>
  </si>
  <si>
    <t>TABANSIZ LİNES 10 NO YILDIZ DEMLİK</t>
  </si>
  <si>
    <t>TABANSIZ L,NES 10 NO YILDIZ DEMLİK</t>
  </si>
  <si>
    <t>MASTERCGEF KIZARTMALIK</t>
  </si>
  <si>
    <t>GEMAK 1 LT KÜRE SADE ÜSTTEN KULP METAL</t>
  </si>
  <si>
    <t>GEMAK 1.5 LT KÜRE SADE ÜSTTEN KULP METAL</t>
  </si>
  <si>
    <t>TORNA</t>
  </si>
  <si>
    <t>MERİÇ 3 NO</t>
  </si>
  <si>
    <t>LİNES 3 NO KÜRE ÇAYDANLIK</t>
  </si>
  <si>
    <t>COOKER 10 NO AİLE AYCAN ALTIN KULP</t>
  </si>
  <si>
    <t>COOKER 10 NO AİLE AYCAN METAL KULP</t>
  </si>
  <si>
    <t>ÇAYDANLIK KAPAK POLİSAJ GÜNLÜK ÜRETİM RAPORU</t>
  </si>
  <si>
    <t>ÇAYDANLIK KAPAK POLİSAJ GENEL TOPLAM:</t>
  </si>
  <si>
    <t>Çaydanlık kapak</t>
  </si>
  <si>
    <t>Çaydanlık Kapak</t>
  </si>
  <si>
    <t>TABANSIZ LİNES 5 NO NAZ DEMLİK</t>
  </si>
  <si>
    <t>10 NO YILDIZ ARA KAPAK</t>
  </si>
  <si>
    <t>TABANSIZ COOKER 7 NO YILDIZ DEMLİK SADE</t>
  </si>
  <si>
    <t>TABANSIZ COOKER 3 NO YILDIZ DEMLİK SADE</t>
  </si>
  <si>
    <t>GEMAK CEZVE</t>
  </si>
  <si>
    <t>?</t>
  </si>
  <si>
    <t>COOKER 7 NO YILDIZ SADE ALTIN KULP</t>
  </si>
  <si>
    <t>COOKER 7 NO YILDIZ SADE METAL KULP</t>
  </si>
  <si>
    <t>LİNES 3 NO AYPERİ ÇAYDANLIK</t>
  </si>
  <si>
    <t>MEGA 2 NO</t>
  </si>
  <si>
    <t>ORTA KÜRE ZEYCAN KAPAK</t>
  </si>
  <si>
    <t>LİNES-ALTIN KULP</t>
  </si>
  <si>
    <t>4 NO KÜRE SEMAVER DEMLİĞİ</t>
  </si>
  <si>
    <t>MAÇA-BAKALIT KULP</t>
  </si>
  <si>
    <t>090925-1</t>
  </si>
  <si>
    <t>COOKER 7 NO YILDIZ ÇAYDANLIK SADE METAL</t>
  </si>
  <si>
    <t>COOKER 3 NO YILDIZ SADE METAL KULP</t>
  </si>
  <si>
    <t>COOKER 3 NO YILDIZ SADE ALTIN KULP</t>
  </si>
  <si>
    <t>ÇAYDANLIK KAPAK MONTAJ GÜNLÜK ÜRETİM RAPORU</t>
  </si>
  <si>
    <t>ÇAYDANLIK KAPAK MONTAJ GENEL TOPLAM:</t>
  </si>
  <si>
    <t>ŞAHMERAN SEMAVER DEMLİK KAPAK</t>
  </si>
  <si>
    <t>LİNES 5 NO NAZ DEMLİK KAPAK</t>
  </si>
  <si>
    <t>SİSAL YAPILDI</t>
  </si>
  <si>
    <t xml:space="preserve">PUNTA-MAÇA BAKALİT </t>
  </si>
  <si>
    <t>COOKER 3 NO YILDIZ ÇAYDANLIK SADE ALTIN</t>
  </si>
  <si>
    <t>COOKER 10 NO YILDIZ ÇAYDANLIK SADE METAL</t>
  </si>
  <si>
    <t>COOKER 10 NO YILDIZ ÇAYDANLIK SADE ALTIN</t>
  </si>
  <si>
    <t>ŞAHMERAN SEMAVER (FİRE-8)</t>
  </si>
  <si>
    <t>ŞAHMERAN SEMAVER DEMLİK</t>
  </si>
  <si>
    <t>TABANSIZ ŞAHMERAN SEMAVER DEMLİK (FİRE-80)</t>
  </si>
  <si>
    <t>TABANSİZ LİNES 5 NO NAZ DEMLİK</t>
  </si>
  <si>
    <t>TABANSIZ LİNES 5 NO NAZ DEMLİK KAPAK</t>
  </si>
  <si>
    <t>ÇAYDANLIK</t>
  </si>
  <si>
    <t>COOKER AİLE BOY AYCAN ÇAYDANLIK</t>
  </si>
  <si>
    <t>LİNES AİLE BOY AYCAN ÇAYDANLIK</t>
  </si>
  <si>
    <t>TABANSIZ COOKER AİLE DEMLİK</t>
  </si>
  <si>
    <t>TABANSIZ COOKER ORTA AYCAN DEMLİK</t>
  </si>
  <si>
    <t>COOKER 10 NO YILDIZ ÇAYDANLIK ALTIN</t>
  </si>
  <si>
    <t>COOKER 7 NO YILDIZ ÇAYDANLIK METAL</t>
  </si>
  <si>
    <t>LİNES AİLE AYCAN ÇAYDANLIK METAL</t>
  </si>
  <si>
    <t>LİNES AİLE AYCAN ÇAYDANLIK ALTIN</t>
  </si>
  <si>
    <t>COOKER ORTA AYCAN ÇAYDANLIK METAL</t>
  </si>
  <si>
    <t>COOKER AİLE AYCAN ÇAYDANLIK METAL</t>
  </si>
  <si>
    <t>COOKER 10 NO YILDIZ ÇAYDANLIK METAL</t>
  </si>
  <si>
    <t>ŞAHMERAN SEMAVER DEMLİK (FİRE-8)</t>
  </si>
  <si>
    <t>LİNES 1.5 LT KÜRE ÇAYDANLIK (FİRE-2)</t>
  </si>
  <si>
    <t>LİNES 1 LT KÜRE ÇAYDANLIK (FİRE-3)</t>
  </si>
  <si>
    <t>TABANSIZ LİNES 3 NO AYPERİ DEMLİK (FİRE-4)</t>
  </si>
  <si>
    <t>TABANSIZ LİNES 5 NO NAZ  DEMLİK KAPAK</t>
  </si>
  <si>
    <t>LİNES 5 NO NAZ ÇAYDANLIK ARA KAPAK</t>
  </si>
  <si>
    <t>DİLA-4 NO</t>
  </si>
  <si>
    <t xml:space="preserve">ŞAHMERAN SEMAVER DEMLİK </t>
  </si>
  <si>
    <t>YAPILAN KAPAK</t>
  </si>
  <si>
    <t>TABNASIZ LİNES 5 NO NAZ DEMLİK SADE</t>
  </si>
  <si>
    <t>PUNTA-MAÇA BAKALİT</t>
  </si>
  <si>
    <t>PUNTA-ÇEMBER-ALTIN KULP</t>
  </si>
  <si>
    <t>LİNES 2 LT SÜTLÜK</t>
  </si>
  <si>
    <t>LİNES 5 NO NAZ ÇAYDANLIK SADE</t>
  </si>
  <si>
    <t>LİNES 3 NO KÜRE ZEYCAN ÇAYDANLIK ALTIN</t>
  </si>
  <si>
    <t>LİNES 3 NO KÜRE ZEYCAN ÇAYDANLIK METAL</t>
  </si>
  <si>
    <t>ASİT İADE (55) BEYAZ İADE (120) YAMUK İADE (20)</t>
  </si>
  <si>
    <t>TABANSIZ LİNES 3 NO AYPERİ DEMLİK ( FİRE-20)</t>
  </si>
  <si>
    <t>LİNES 1 LT KÜRE ÇAYDANLIK</t>
  </si>
  <si>
    <t>LİNES 1.5 LT KÜRE ÇAYDANLIK</t>
  </si>
  <si>
    <t xml:space="preserve">TABANSIZ LİNES 3 NO AYPERİ DEMLİK </t>
  </si>
  <si>
    <t>5 NO NAZ ARA KAPAK</t>
  </si>
  <si>
    <t>3 NO AYPERİ DEMLİK KAPAK</t>
  </si>
  <si>
    <t>2500 ADET KAPAK YAPILDI</t>
  </si>
  <si>
    <t xml:space="preserve">LİNES 3 NO AYPERİ ÇAYDANLIK </t>
  </si>
  <si>
    <t>LİNES 5 NO NAZ ÇAYDANLIK SADE METAL</t>
  </si>
  <si>
    <t>LİNES 5 NO NAZ ÇAYDANLIK SADE BRONZ BAKALİT</t>
  </si>
  <si>
    <t>LİNES 3 NO AYPERİ ÇAYDANLIK  (İADE -63 ASİT- 10 YAMUK)</t>
  </si>
  <si>
    <t>SEMAVER DEMLİK KAPAK</t>
  </si>
  <si>
    <t>LİNES 5 NO NAZ ÇAYDANLIK ELMA ŞEKERİ SİYAH</t>
  </si>
  <si>
    <t>LİNES 5 NO NAZ ÇAYDANLIK ALTIN KULP SADE</t>
  </si>
  <si>
    <t>CUMA MESAİDE YAPILAN</t>
  </si>
  <si>
    <t>LİNES 5 NO NAZ ARA KAPAK</t>
  </si>
  <si>
    <t>TABANSIZ LİNES 3 NO AYPERİ DEMLİK ( FİRE-0)</t>
  </si>
  <si>
    <t>NUMUNE (TOPLAM FİRE - 13)</t>
  </si>
  <si>
    <t>TABANSIZ LİNES 3 NO AYPERİ DEMLİK</t>
  </si>
  <si>
    <t>YONCA JUMBO DAMLA ÇAYDANLIK (FİRE-177)</t>
  </si>
  <si>
    <t>2 LT SÜTLÜK KAPAK</t>
  </si>
  <si>
    <t xml:space="preserve">LİNES 3 NO AYPERİ ÇAYDANLIK SADE </t>
  </si>
  <si>
    <t>PUNTA-MAÇA-BAKALİT</t>
  </si>
  <si>
    <t>TABANSIZ LİNES 5 NO NAZ DEMLİK SADE</t>
  </si>
  <si>
    <t>DİDEM 5 NO NAZ ÇAYDANLIK</t>
  </si>
  <si>
    <t>LİNES 3 NO NAZ ÇAYDANLIK</t>
  </si>
  <si>
    <t>ŞAHMERAN SEMAVER DEMLİK (ASİT-27/YAMUK-35)</t>
  </si>
  <si>
    <t>LİNES 5 NO NAZ ÇAYDANLIK SADE ALTIN KULP</t>
  </si>
  <si>
    <t>LİNES 5 NO NAZ ÇAYDANLIK SADE METAL KULP</t>
  </si>
  <si>
    <t>DİDEM 5 NO NAZ ÇAYDANLIK SADE ALTIN KULP</t>
  </si>
  <si>
    <t>YONCA JUMBO DAMLA ÇAYDANLIK (FİRE-160)</t>
  </si>
  <si>
    <t>4 KEZ TORNA</t>
  </si>
  <si>
    <t>2. KALİTE KARIŞIK MAL</t>
  </si>
  <si>
    <t>PUUNTA-MAÇA BAKALİT</t>
  </si>
  <si>
    <t>2. KALİTE 10 NO ŞAJMERAN ÇAYDANLIK</t>
  </si>
  <si>
    <t>2.KALİTE 10 NO AYPERİ VE YILDIZ</t>
  </si>
  <si>
    <t>DİDEM 5 NO NA ÇAYDANLIK SADE METAL</t>
  </si>
  <si>
    <t xml:space="preserve">LİNES 7 NO AYPERİ ÇAYDANLIK BRONZ </t>
  </si>
  <si>
    <t>YIKMADAN GELEN İADELER
290925 3 NO AYPERİ DEMLİKK  (İADE ASİT-5--BEYAZ-25--YAMUK-5)
1.5 LT KÜRE ÇAYDANLIK (İADE-YAMUK-4)</t>
  </si>
  <si>
    <t>JUMBO DAMLA ÇAYDANLIK (FİRE-97)</t>
  </si>
  <si>
    <t xml:space="preserve">YEKPARE 4 </t>
  </si>
  <si>
    <t>TABANSIZ COOKER AYCAN 10 NO DEMLİK</t>
  </si>
  <si>
    <t>TABANSIZ LİNES 3 NO AYPERİ DEMLİK KAPAK</t>
  </si>
  <si>
    <t>LİNES 3 NO AYPERİ ÇAYDANLIK KAPAK</t>
  </si>
  <si>
    <t>KARIŞIK</t>
  </si>
  <si>
    <t>DİDEM 10 NO AYPERİ SADE ÇAYDANLIK TAKIM</t>
  </si>
  <si>
    <t>DİDEM 7 NO AYPERİ SADE ÇAYDANLIK TAKIM</t>
  </si>
  <si>
    <t>LİNES 7 NO YILDIZ SADE ÇAYDANLIK TAKIM</t>
  </si>
  <si>
    <t>290925 TABANSIZ 3 NO AYPERİ DEMLİK (İADE ASİT-10) (İADE-BEYAZ-60) (İADE-YAMUK-20)</t>
  </si>
  <si>
    <t>LİNES 3 NO AYPERİ ÇAYDANLIK TAKIMI ALTIN</t>
  </si>
  <si>
    <t>LİNES 3 NO AYPERİ ÇAYDANLIK TAKIMI METAL</t>
  </si>
  <si>
    <t>YONCA JUMBO DAMLA ÇAYDANLIK (FİRE-70)</t>
  </si>
  <si>
    <t>TABANSIZ YONCA JUMBO DAMLA DEMLİK (FİRE-15)</t>
  </si>
  <si>
    <t>PARÇALI AYAR</t>
  </si>
  <si>
    <t xml:space="preserve">TABANSIZ YONCA JUMBO DAMLA DEMLİK </t>
  </si>
  <si>
    <t>YEKPARE 4 NO</t>
  </si>
  <si>
    <t>TABANSIZ 3 NO AYPERİ DEMLİK KAPAK</t>
  </si>
  <si>
    <t>TABANSIZ JUMBO DAMLA DEMLİK KAPAK</t>
  </si>
  <si>
    <t>100925 10 NO YILDIZ DEMLİK (İADE-YAMUK-5)                            230925 YONCA  JUMBO DAMLA  ÇAYDANLIK (İADE-ASİT-5 -- YAMUK-6)</t>
  </si>
  <si>
    <t>LİNES 3 NO AYPERİ ÇAYDANLIK ALTIN SADE</t>
  </si>
  <si>
    <t>LİNES 3 NO AYPERİ ÇAYDANLIK METAL ASDE</t>
  </si>
  <si>
    <t>LİNES 10 NO ŞAHMERAN ÇAYDANLIK</t>
  </si>
  <si>
    <t>TABANSIZ YONCA JUMBO DAMLA DEMLİK (FİRE-75)</t>
  </si>
  <si>
    <t>TORNA ZIMPARA</t>
  </si>
  <si>
    <t>TABANSIZ YONCA JUMBO DAMLA DEMLİK KAPAK</t>
  </si>
  <si>
    <t xml:space="preserve">YEKPARE 4 NO </t>
  </si>
  <si>
    <t>TABANSIZ YONCA JUMBO DAMLA DEMLİK</t>
  </si>
  <si>
    <t>YEKPARE 3 NO</t>
  </si>
  <si>
    <t>LİNES 2 LT SÜTLÜK KORDONLU</t>
  </si>
  <si>
    <t>LİNES  1.5 LT SÜTLÜK KORDONLU</t>
  </si>
  <si>
    <t>LİNES  1.5 LT SÜTLÜK ALTIN KEMERLİ</t>
  </si>
  <si>
    <t>MÜHRÜ KARIŞIK TAKIMLAR</t>
  </si>
  <si>
    <t>LİNES 3 NO AYPERİ ÇAYDANLIK SADE SİYAH BAKALİT</t>
  </si>
  <si>
    <t>TABANSIZ YONCA JUMBO DAMLA DEMLİK KAPAK (FİRE-144)</t>
  </si>
  <si>
    <t>YEKPARE-3 NO</t>
  </si>
  <si>
    <t>LİNES 1 LT NAZ ÇAYDANLIK</t>
  </si>
  <si>
    <t>LİNES 1.5 LT NAZ ÇAYDANLIK</t>
  </si>
  <si>
    <t>LİNES 3 NO AYPERİ ÇAYDANLIK SİYAH BAKALİT</t>
  </si>
  <si>
    <t>LİNES 3 NO AYPERİ ÇAYDANLIK BRONZ BAKALİT</t>
  </si>
  <si>
    <t>YONCA 1.5 LT MERCAN ÇAYDANLIK ALTIN</t>
  </si>
  <si>
    <t>YONCA 1.5 LT MERCAN ÇAYDANLIK BAKIR</t>
  </si>
  <si>
    <t>YONCA 1.5 LT MERCAN ÇAYDANLIK METAL</t>
  </si>
  <si>
    <t xml:space="preserve">YONCA JUMBO DAMLA ÇAYDANLIK </t>
  </si>
  <si>
    <t>230925
YONCA JUMBO DAMLA ÇAYDANLIK 
(İADE ASİT - 20)
(İADE BEYAZ-15)
(İADE YAMUK - 25)</t>
  </si>
  <si>
    <t xml:space="preserve">TABANSIZ YONCA JUMBO DAMLA DEMLİK KAPAK </t>
  </si>
  <si>
    <t>YONCA JUMBO DAMLA ÇAYDANLIK KAPAK</t>
  </si>
  <si>
    <t>TABANSIZ YONCA JUMBO DAMLA DEMLİK (FİRE-65)</t>
  </si>
  <si>
    <t>YONCA 2 LT KÜRE ÇAYDANLIK (FİRE-11)</t>
  </si>
  <si>
    <t>KALIPDEĞİŞİMİ</t>
  </si>
  <si>
    <t>ARIZA</t>
  </si>
  <si>
    <t>JUMBO DAMLA DEMLİK KAPAK</t>
  </si>
  <si>
    <t>JUMBO DAMLA ÇAYDANLIK ARA KAPAK</t>
  </si>
  <si>
    <t>LİNES ORTA BOY NAZ ALTIN ÇEMBERLİ</t>
  </si>
  <si>
    <t>LİNES 1 LT KÜRE SATENLİ</t>
  </si>
  <si>
    <t>LİNES 1 LT KÜRE YARI SATEN GÜMRÜK</t>
  </si>
  <si>
    <t xml:space="preserve">YONCA JUMBO DAMLA ÇAYDANLIK ALTIN </t>
  </si>
  <si>
    <t>LİNES 1.5 LT KÜRE ÇAYDANLIK METAL</t>
  </si>
  <si>
    <t>LİNES 1.5 LT KÜRE ÇAYDANLIK ALTIN</t>
  </si>
  <si>
    <t>YONCA 2 LT KÜRE ÇAYDANLIK</t>
  </si>
  <si>
    <t>230925 
JUMBO DAMLA ÇAYD.               ASİT İADE 20                  BEYAZ İADE 10             YAMUK İADE 50</t>
  </si>
  <si>
    <t>LİNES 1.5 LT KÜRE ÇAYDANLIK (FİRE-7)</t>
  </si>
  <si>
    <t>YONCA 1.5 LT KÜRE ÇAYDANLIK</t>
  </si>
  <si>
    <t xml:space="preserve">YONCA  1.5 LT KÜRE ÇAYDANLIK </t>
  </si>
  <si>
    <t xml:space="preserve">YEKPARE - 3 </t>
  </si>
  <si>
    <t xml:space="preserve">YONCA 2 LT KÜRE ÇAYDANLIK </t>
  </si>
  <si>
    <t>YONCA JUMBO DAMLA ÇAYDANLIK ARA KAPAK</t>
  </si>
  <si>
    <t>YONCA JUMBO  DAMLA DEMLİK KAPAK</t>
  </si>
  <si>
    <t>230925                JUMBO DAMLA DEMLİK                         (İADE - YAMUK - 70)</t>
  </si>
  <si>
    <t>LİNES 5 NO AİLE NAZ ÇAYDANLIK METAL</t>
  </si>
  <si>
    <t>LİNES 3 NO ORTA NAZ ÇAYDANLIK METAL</t>
  </si>
  <si>
    <t>LİNES 1 LT KÜRE ÇAYDANLIK METAL</t>
  </si>
  <si>
    <t>LİNES 1 LT KÜRE ÇAYDANLIK ALTIN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</si>
</sst>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;@"/>
    <numFmt numFmtId="165" formatCode="m\K"/>
    <numFmt numFmtId="166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C5A7"/>
        <bgColor indexed="64"/>
      </patternFill>
    </fill>
    <fill>
      <patternFill patternType="solid">
        <fgColor rgb="FFFCEBE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0" xfId="0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/>
    <xf numFmtId="3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3" fontId="5" fillId="2" borderId="10" xfId="0" applyNumberFormat="1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vertical="center"/>
    </xf>
    <xf numFmtId="0" fontId="9" fillId="0" borderId="12" xfId="0" applyFont="1" applyBorder="1"/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1" xfId="0" applyNumberFormat="1" applyFont="1" applyFill="1" applyBorder="1" applyAlignment="1">
      <alignment horizontal="right" vertical="center"/>
    </xf>
    <xf numFmtId="0" fontId="0" fillId="0" borderId="11" xfId="0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0" xfId="0" applyFont="1" applyFill="1" applyBorder="1"/>
    <xf numFmtId="3" fontId="6" fillId="0" borderId="13" xfId="0" applyNumberFormat="1" applyFont="1" applyFill="1" applyBorder="1" applyAlignment="1">
      <alignment horizontal="center" vertical="center"/>
    </xf>
    <xf numFmtId="3" fontId="6" fillId="0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Fill="1" applyBorder="1" applyAlignment="1">
      <alignment horizontal="center"/>
    </xf>
    <xf numFmtId="0" fontId="0" fillId="0" borderId="12" xfId="0" applyFill="1" applyBorder="1"/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0" fontId="0" fillId="0" borderId="0" xfId="0"/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0" borderId="0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20" fontId="13" fillId="0" borderId="1" xfId="0" applyNumberFormat="1" applyFont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5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3" fontId="5" fillId="2" borderId="9" xfId="0" applyNumberFormat="1" applyFont="1" applyFill="1" applyBorder="1" applyAlignment="1">
      <alignment horizontal="center"/>
    </xf>
    <xf numFmtId="3" fontId="5" fillId="2" borderId="10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left" vertical="center"/>
    </xf>
    <xf numFmtId="3" fontId="5" fillId="2" borderId="10" xfId="0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3" fontId="6" fillId="2" borderId="13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BE0"/>
      <color rgb="FFF7C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701EED10-6DC1-4B67-8925-B93779FF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6EF32A2-AE88-47BB-9016-3CF08CEC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6AB9D99-DAF2-4842-888C-15D108C22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7C459DF-5858-464C-ADC6-E7CA719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F8E94DD4-8100-4780-8922-62F29BF2B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66A82F5-C85A-4C6D-AE38-834240B6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4651092-093B-488E-B238-6A96D00E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F2A3DE0-41D4-4103-851A-2BCC887E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B413F005-B998-49D3-BA57-AA4C9B1F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737E2EBE-158A-4590-8BC3-15D7FE77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A22CEC1-4D8D-4A40-B5D5-7FDF397ED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E353A97B-3E38-4843-A90C-8255AAF4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E39216D2-585D-4E99-AE1E-547F646A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E6719EDA-A153-4C7D-AC43-C94E8E701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FDE87AF2-98CE-4CAC-B536-6DC9FECCF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opLeftCell="A16" zoomScale="85" zoomScaleNormal="85" workbookViewId="0">
      <selection activeCell="B106" sqref="B106:Q113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4.664062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45952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/>
      <c r="C7" s="5"/>
      <c r="D7" s="108"/>
      <c r="E7" s="3"/>
      <c r="F7" s="19"/>
      <c r="G7" s="20"/>
      <c r="H7" s="186"/>
      <c r="I7" s="187"/>
      <c r="J7" s="187"/>
      <c r="K7" s="187"/>
      <c r="L7" s="187"/>
      <c r="M7" s="188"/>
      <c r="N7" s="189"/>
      <c r="O7" s="190"/>
      <c r="P7" s="189"/>
      <c r="Q7" s="190"/>
      <c r="R7" s="126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26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26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26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27">
        <f>N9+N12</f>
        <v>0</v>
      </c>
      <c r="O15" s="14" t="s">
        <v>13</v>
      </c>
      <c r="P15" s="127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/>
      <c r="C20" s="5"/>
      <c r="D20" s="110"/>
      <c r="E20" s="3"/>
      <c r="F20" s="19"/>
      <c r="G20" s="20"/>
      <c r="H20" s="186"/>
      <c r="I20" s="187"/>
      <c r="J20" s="187"/>
      <c r="K20" s="187"/>
      <c r="L20" s="187"/>
      <c r="M20" s="188"/>
      <c r="N20" s="189"/>
      <c r="O20" s="198"/>
      <c r="P20" s="198"/>
      <c r="Q20" s="190"/>
      <c r="R20" s="126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26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2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2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/>
      <c r="C32" s="5"/>
      <c r="D32" s="110"/>
      <c r="E32" s="3"/>
      <c r="F32" s="19"/>
      <c r="G32" s="20"/>
      <c r="H32" s="186"/>
      <c r="I32" s="187"/>
      <c r="J32" s="187"/>
      <c r="K32" s="187"/>
      <c r="L32" s="187"/>
      <c r="M32" s="188"/>
      <c r="N32" s="189"/>
      <c r="O32" s="190"/>
      <c r="P32" s="189"/>
      <c r="Q32" s="190"/>
      <c r="R32" s="126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26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2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27">
        <f>N35</f>
        <v>0</v>
      </c>
      <c r="O38" s="14" t="s">
        <v>13</v>
      </c>
      <c r="P38" s="127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/>
      <c r="C43" s="5"/>
      <c r="D43" s="110"/>
      <c r="E43" s="3"/>
      <c r="F43" s="19"/>
      <c r="G43" s="20"/>
      <c r="H43" s="186"/>
      <c r="I43" s="187"/>
      <c r="J43" s="187"/>
      <c r="K43" s="187"/>
      <c r="L43" s="187"/>
      <c r="M43" s="188"/>
      <c r="N43" s="189"/>
      <c r="O43" s="198"/>
      <c r="P43" s="198"/>
      <c r="Q43" s="190"/>
      <c r="R43" s="126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26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26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/>
      <c r="C54" s="5"/>
      <c r="D54" s="110"/>
      <c r="E54" s="3"/>
      <c r="F54" s="19"/>
      <c r="G54" s="20"/>
      <c r="H54" s="186"/>
      <c r="I54" s="187"/>
      <c r="J54" s="187"/>
      <c r="K54" s="187"/>
      <c r="L54" s="187"/>
      <c r="M54" s="188"/>
      <c r="N54" s="189"/>
      <c r="O54" s="198"/>
      <c r="P54" s="198"/>
      <c r="Q54" s="190"/>
      <c r="R54" s="126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26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26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/>
      <c r="C65" s="5"/>
      <c r="D65" s="110"/>
      <c r="E65" s="3"/>
      <c r="F65" s="19"/>
      <c r="G65" s="20"/>
      <c r="H65" s="186"/>
      <c r="I65" s="187"/>
      <c r="J65" s="187"/>
      <c r="K65" s="187"/>
      <c r="L65" s="187"/>
      <c r="M65" s="188"/>
      <c r="N65" s="189"/>
      <c r="O65" s="198"/>
      <c r="P65" s="198"/>
      <c r="Q65" s="190"/>
      <c r="R65" s="126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26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26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/>
      <c r="F76" s="19"/>
      <c r="G76" s="20"/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26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26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26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2000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91"/>
      <c r="E80" s="48"/>
      <c r="F80" s="48"/>
      <c r="G80" s="48"/>
      <c r="H80" s="48"/>
      <c r="I80" s="48"/>
      <c r="R80" s="91"/>
    </row>
    <row r="81" spans="1:23" ht="14.55" customHeight="1" x14ac:dyDescent="0.3">
      <c r="D81" s="91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91"/>
    </row>
    <row r="82" spans="1:23" ht="14.55" customHeight="1" x14ac:dyDescent="0.3">
      <c r="D82" s="91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2000</v>
      </c>
      <c r="O82" s="201"/>
      <c r="P82" s="202" t="s">
        <v>13</v>
      </c>
      <c r="Q82" s="203"/>
      <c r="R82" s="91"/>
    </row>
    <row r="83" spans="1:23" ht="14.55" customHeight="1" x14ac:dyDescent="0.3">
      <c r="D83" s="91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/>
      <c r="C87" s="5"/>
      <c r="D87" s="108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0"/>
      <c r="P87" s="189"/>
      <c r="Q87" s="190"/>
      <c r="R87" s="126"/>
      <c r="S87" s="91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08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0"/>
      <c r="P88" s="189"/>
      <c r="Q88" s="190"/>
      <c r="R88" s="126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0"/>
      <c r="P89" s="189"/>
      <c r="Q89" s="190"/>
      <c r="R89" s="126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0"/>
      <c r="P90" s="189"/>
      <c r="Q90" s="190"/>
      <c r="R90" s="126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26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26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26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6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6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6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26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0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91"/>
      <c r="E99" s="48"/>
      <c r="F99" s="48"/>
      <c r="G99" s="48"/>
      <c r="H99" s="48"/>
      <c r="I99" s="48"/>
      <c r="R99" s="91"/>
    </row>
    <row r="100" spans="1:23" ht="14.55" customHeight="1" x14ac:dyDescent="0.3">
      <c r="D100" s="91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91"/>
    </row>
    <row r="101" spans="1:23" ht="14.55" customHeight="1" x14ac:dyDescent="0.3">
      <c r="D101" s="91"/>
      <c r="E101" s="7"/>
      <c r="F101" s="7"/>
      <c r="G101" s="7"/>
      <c r="H101" s="7"/>
      <c r="I101" s="7"/>
      <c r="J101" s="22"/>
      <c r="K101" s="23"/>
      <c r="L101" s="22"/>
      <c r="M101" s="24"/>
      <c r="N101" s="127">
        <f>N98</f>
        <v>0</v>
      </c>
      <c r="O101" s="14" t="s">
        <v>13</v>
      </c>
      <c r="P101" s="127">
        <f ca="1">P98</f>
        <v>0</v>
      </c>
      <c r="Q101" s="15" t="s">
        <v>13</v>
      </c>
      <c r="R101" s="91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/>
      <c r="C106" s="5"/>
      <c r="D106" s="108"/>
      <c r="E106" s="3"/>
      <c r="F106" s="19"/>
      <c r="G106" s="20"/>
      <c r="H106" s="186"/>
      <c r="I106" s="187"/>
      <c r="J106" s="187"/>
      <c r="K106" s="187"/>
      <c r="L106" s="187"/>
      <c r="M106" s="188"/>
      <c r="N106" s="189"/>
      <c r="O106" s="198"/>
      <c r="P106" s="198"/>
      <c r="Q106" s="190"/>
      <c r="R106" s="126"/>
      <c r="S106" s="91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/>
      <c r="D107" s="108"/>
      <c r="E107" s="3"/>
      <c r="F107" s="19"/>
      <c r="G107" s="20"/>
      <c r="H107" s="186"/>
      <c r="I107" s="187"/>
      <c r="J107" s="187"/>
      <c r="K107" s="187"/>
      <c r="L107" s="187"/>
      <c r="M107" s="188"/>
      <c r="N107" s="189"/>
      <c r="O107" s="198"/>
      <c r="P107" s="198"/>
      <c r="Q107" s="190"/>
      <c r="R107" s="126"/>
      <c r="S107" s="91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26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26"/>
      <c r="S109" s="91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26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/>
      <c r="E111" s="3"/>
      <c r="F111" s="19"/>
      <c r="G111" s="20"/>
      <c r="H111" s="186"/>
      <c r="I111" s="187"/>
      <c r="J111" s="187"/>
      <c r="K111" s="187"/>
      <c r="L111" s="187"/>
      <c r="M111" s="188"/>
      <c r="N111" s="189"/>
      <c r="O111" s="198"/>
      <c r="P111" s="198"/>
      <c r="Q111" s="190"/>
      <c r="R111" s="126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26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4"/>
      <c r="B113" s="5"/>
      <c r="C113" s="5"/>
      <c r="D113" s="108"/>
      <c r="E113" s="3"/>
      <c r="F113" s="19"/>
      <c r="G113" s="20"/>
      <c r="H113" s="186"/>
      <c r="I113" s="187"/>
      <c r="J113" s="187"/>
      <c r="K113" s="187"/>
      <c r="L113" s="187"/>
      <c r="M113" s="188"/>
      <c r="N113" s="189"/>
      <c r="O113" s="198"/>
      <c r="P113" s="198"/>
      <c r="Q113" s="190"/>
      <c r="R113" s="126"/>
      <c r="S113" s="6" t="s">
        <v>14</v>
      </c>
      <c r="T113" s="21"/>
      <c r="U113" s="204"/>
      <c r="V113" s="205"/>
      <c r="W113" s="206"/>
    </row>
    <row r="114" spans="1:23" ht="14.55" customHeight="1" x14ac:dyDescent="0.3">
      <c r="A114" s="185"/>
      <c r="B114" s="165" t="s">
        <v>0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8">
        <f>SUM(N106:O113)</f>
        <v>0</v>
      </c>
      <c r="O114" s="197"/>
      <c r="P114" s="197"/>
      <c r="Q114" s="169"/>
      <c r="R114" s="10">
        <f>SUM(R106:R113)</f>
        <v>0</v>
      </c>
      <c r="S114" s="11" t="s">
        <v>14</v>
      </c>
      <c r="T114" s="9"/>
      <c r="U114" s="204"/>
      <c r="V114" s="205"/>
      <c r="W114" s="206"/>
    </row>
    <row r="115" spans="1:23" ht="14.55" customHeight="1" x14ac:dyDescent="0.3">
      <c r="D115" s="91"/>
      <c r="E115" s="48"/>
      <c r="F115" s="48"/>
      <c r="G115" s="48"/>
      <c r="H115" s="48"/>
      <c r="I115" s="48"/>
      <c r="R115" s="91"/>
    </row>
    <row r="116" spans="1:23" ht="14.55" customHeight="1" x14ac:dyDescent="0.3">
      <c r="D116" s="91"/>
      <c r="E116" s="165" t="s">
        <v>33</v>
      </c>
      <c r="F116" s="166"/>
      <c r="G116" s="166"/>
      <c r="H116" s="166"/>
      <c r="I116" s="166"/>
      <c r="J116" s="166"/>
      <c r="K116" s="166"/>
      <c r="L116" s="166"/>
      <c r="M116" s="167"/>
      <c r="N116" s="181" t="s">
        <v>7</v>
      </c>
      <c r="O116" s="199"/>
      <c r="P116" s="199"/>
      <c r="Q116" s="182"/>
      <c r="R116" s="91"/>
    </row>
    <row r="117" spans="1:23" ht="14.55" customHeight="1" x14ac:dyDescent="0.3">
      <c r="D117" s="91"/>
      <c r="E117" s="7"/>
      <c r="F117" s="7"/>
      <c r="G117" s="7"/>
      <c r="H117" s="7"/>
      <c r="I117" s="7"/>
      <c r="J117" s="22"/>
      <c r="K117" s="23"/>
      <c r="L117" s="22"/>
      <c r="M117" s="24"/>
      <c r="N117" s="200">
        <f>N114</f>
        <v>0</v>
      </c>
      <c r="O117" s="201"/>
      <c r="P117" s="202" t="s">
        <v>13</v>
      </c>
      <c r="Q117" s="203"/>
      <c r="R117" s="91"/>
    </row>
  </sheetData>
  <mergeCells count="310">
    <mergeCell ref="U104:W105"/>
    <mergeCell ref="N105:Q105"/>
    <mergeCell ref="B114:M114"/>
    <mergeCell ref="N114:Q114"/>
    <mergeCell ref="E116:M116"/>
    <mergeCell ref="N116:Q116"/>
    <mergeCell ref="N117:O117"/>
    <mergeCell ref="P117:Q117"/>
    <mergeCell ref="H111:M111"/>
    <mergeCell ref="N111:Q111"/>
    <mergeCell ref="H112:M112"/>
    <mergeCell ref="N112:Q112"/>
    <mergeCell ref="H113:M113"/>
    <mergeCell ref="N113:Q113"/>
    <mergeCell ref="A106:A114"/>
    <mergeCell ref="H106:M106"/>
    <mergeCell ref="N106:Q106"/>
    <mergeCell ref="U106:W114"/>
    <mergeCell ref="H107:M107"/>
    <mergeCell ref="N107:Q107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H108:M108"/>
    <mergeCell ref="N108:Q108"/>
    <mergeCell ref="H109:M109"/>
    <mergeCell ref="N109:Q109"/>
    <mergeCell ref="H110:M110"/>
    <mergeCell ref="N110:Q110"/>
    <mergeCell ref="R104:S105"/>
    <mergeCell ref="T104:T105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W92"/>
  <sheetViews>
    <sheetView zoomScale="85" zoomScaleNormal="85" workbookViewId="0">
      <selection activeCell="D70" sqref="D70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40.6640625" customWidth="1"/>
    <col min="6" max="6" width="5.6640625" customWidth="1"/>
    <col min="7" max="7" width="6.6640625" customWidth="1"/>
    <col min="8" max="9" width="3.6640625" customWidth="1"/>
    <col min="10" max="13" width="3.6640625" style="1" customWidth="1"/>
    <col min="14" max="14" width="6.6640625" style="1" customWidth="1"/>
    <col min="15" max="15" width="5.21875" style="1" customWidth="1"/>
    <col min="16" max="16" width="6.6640625" style="1" customWidth="1"/>
    <col min="17" max="17" width="5.21875" style="1" customWidth="1"/>
    <col min="18" max="18" width="5.6640625" style="1" customWidth="1"/>
    <col min="19" max="19" width="3.21875" customWidth="1"/>
    <col min="20" max="20" width="17.6640625" customWidth="1"/>
    <col min="21" max="23" width="6.6640625" customWidth="1"/>
  </cols>
  <sheetData>
    <row r="1" spans="1:23" x14ac:dyDescent="0.3">
      <c r="D1"/>
      <c r="J1"/>
      <c r="K1"/>
      <c r="L1"/>
      <c r="M1"/>
      <c r="N1"/>
      <c r="O1"/>
      <c r="P1"/>
      <c r="Q1"/>
      <c r="R1"/>
    </row>
    <row r="2" spans="1:23" x14ac:dyDescent="0.3">
      <c r="D2"/>
      <c r="J2"/>
      <c r="K2"/>
      <c r="L2"/>
      <c r="M2"/>
      <c r="N2"/>
      <c r="O2"/>
      <c r="P2"/>
      <c r="Q2"/>
      <c r="R2"/>
      <c r="T2" s="1"/>
      <c r="U2" s="1"/>
      <c r="V2" s="1"/>
      <c r="W2" s="1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45915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208" t="s">
        <v>37</v>
      </c>
      <c r="B7" s="5">
        <v>0.33333333333333331</v>
      </c>
      <c r="C7" s="5">
        <v>0.70833333333333337</v>
      </c>
      <c r="D7" s="4">
        <v>10925</v>
      </c>
      <c r="E7" s="3" t="s">
        <v>34</v>
      </c>
      <c r="F7" s="19">
        <v>430</v>
      </c>
      <c r="G7" s="20">
        <v>0.8</v>
      </c>
      <c r="H7" s="186" t="s">
        <v>35</v>
      </c>
      <c r="I7" s="187"/>
      <c r="J7" s="187"/>
      <c r="K7" s="187"/>
      <c r="L7" s="187"/>
      <c r="M7" s="188"/>
      <c r="N7" s="189">
        <v>1750</v>
      </c>
      <c r="O7" s="190"/>
      <c r="P7" s="189"/>
      <c r="Q7" s="190"/>
      <c r="R7" s="35">
        <v>60</v>
      </c>
      <c r="S7" s="6" t="s">
        <v>14</v>
      </c>
      <c r="T7" s="21" t="s">
        <v>36</v>
      </c>
      <c r="U7" s="194" t="s">
        <v>38</v>
      </c>
      <c r="V7" s="195"/>
      <c r="W7" s="196"/>
    </row>
    <row r="8" spans="1:23" ht="14.55" customHeight="1" x14ac:dyDescent="0.3">
      <c r="A8" s="209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35"/>
      <c r="S8" s="6" t="s">
        <v>14</v>
      </c>
      <c r="T8" s="21"/>
      <c r="U8" s="194"/>
      <c r="V8" s="195"/>
      <c r="W8" s="196"/>
    </row>
    <row r="9" spans="1:23" ht="14.55" customHeight="1" x14ac:dyDescent="0.3">
      <c r="A9" s="209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35"/>
      <c r="S9" s="6" t="s">
        <v>14</v>
      </c>
      <c r="T9" s="21"/>
      <c r="U9" s="194"/>
      <c r="V9" s="195"/>
      <c r="W9" s="196"/>
    </row>
    <row r="10" spans="1:23" ht="14.55" customHeight="1" x14ac:dyDescent="0.3">
      <c r="A10" s="209"/>
      <c r="B10" s="5"/>
      <c r="C10" s="5"/>
      <c r="D10" s="4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35"/>
      <c r="S10" s="6" t="s">
        <v>14</v>
      </c>
      <c r="T10" s="21"/>
      <c r="U10" s="194"/>
      <c r="V10" s="195"/>
      <c r="W10" s="196"/>
    </row>
    <row r="11" spans="1:23" ht="14.55" customHeight="1" x14ac:dyDescent="0.3">
      <c r="A11" s="209"/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35"/>
      <c r="S11" s="6" t="s">
        <v>14</v>
      </c>
      <c r="T11" s="21"/>
      <c r="U11" s="194"/>
      <c r="V11" s="195"/>
      <c r="W11" s="196"/>
    </row>
    <row r="12" spans="1:23" ht="14.55" customHeight="1" x14ac:dyDescent="0.3">
      <c r="A12" s="210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SUM(N7:O11)</f>
        <v>1750</v>
      </c>
      <c r="O12" s="169"/>
      <c r="P12" s="168">
        <f>SUM(P7:Q11)</f>
        <v>0</v>
      </c>
      <c r="Q12" s="169"/>
      <c r="R12" s="10">
        <f>SUM(R7:R11)</f>
        <v>60</v>
      </c>
      <c r="S12" s="11" t="s">
        <v>14</v>
      </c>
      <c r="T12" s="9"/>
      <c r="U12" s="194"/>
      <c r="V12" s="195"/>
      <c r="W12" s="196"/>
    </row>
    <row r="13" spans="1:23" ht="14.55" customHeight="1" x14ac:dyDescent="0.3">
      <c r="A13" s="208" t="s">
        <v>17</v>
      </c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3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209"/>
      <c r="B14" s="5"/>
      <c r="C14" s="5"/>
      <c r="D14" s="4"/>
      <c r="E14" s="3"/>
      <c r="F14" s="19"/>
      <c r="G14" s="20"/>
      <c r="H14" s="186"/>
      <c r="I14" s="187"/>
      <c r="J14" s="187"/>
      <c r="K14" s="187"/>
      <c r="L14" s="187"/>
      <c r="M14" s="188"/>
      <c r="N14" s="189"/>
      <c r="O14" s="190"/>
      <c r="P14" s="189"/>
      <c r="Q14" s="190"/>
      <c r="R14" s="35"/>
      <c r="S14" s="6" t="s">
        <v>14</v>
      </c>
      <c r="T14" s="21"/>
      <c r="U14" s="191"/>
      <c r="V14" s="192"/>
      <c r="W14" s="193"/>
    </row>
    <row r="15" spans="1:23" ht="14.55" customHeight="1" x14ac:dyDescent="0.3">
      <c r="A15" s="209"/>
      <c r="B15" s="5"/>
      <c r="C15" s="5"/>
      <c r="D15" s="4"/>
      <c r="E15" s="3"/>
      <c r="F15" s="19"/>
      <c r="G15" s="20"/>
      <c r="H15" s="186"/>
      <c r="I15" s="187"/>
      <c r="J15" s="187"/>
      <c r="K15" s="187"/>
      <c r="L15" s="187"/>
      <c r="M15" s="188"/>
      <c r="N15" s="189"/>
      <c r="O15" s="190"/>
      <c r="P15" s="189"/>
      <c r="Q15" s="190"/>
      <c r="R15" s="35"/>
      <c r="S15" s="6" t="s">
        <v>14</v>
      </c>
      <c r="T15" s="21"/>
      <c r="U15" s="191"/>
      <c r="V15" s="192"/>
      <c r="W15" s="193"/>
    </row>
    <row r="16" spans="1:23" ht="14.55" customHeight="1" x14ac:dyDescent="0.3">
      <c r="A16" s="209"/>
      <c r="B16" s="5"/>
      <c r="C16" s="5"/>
      <c r="D16" s="4"/>
      <c r="E16" s="3"/>
      <c r="F16" s="19"/>
      <c r="G16" s="20"/>
      <c r="H16" s="186"/>
      <c r="I16" s="187"/>
      <c r="J16" s="187"/>
      <c r="K16" s="187"/>
      <c r="L16" s="187"/>
      <c r="M16" s="188"/>
      <c r="N16" s="189"/>
      <c r="O16" s="190"/>
      <c r="P16" s="189"/>
      <c r="Q16" s="190"/>
      <c r="R16" s="35"/>
      <c r="S16" s="6" t="s">
        <v>14</v>
      </c>
      <c r="T16" s="21"/>
      <c r="U16" s="191"/>
      <c r="V16" s="192"/>
      <c r="W16" s="193"/>
    </row>
    <row r="17" spans="1:23" ht="14.55" customHeight="1" x14ac:dyDescent="0.3">
      <c r="A17" s="209"/>
      <c r="B17" s="5"/>
      <c r="C17" s="5"/>
      <c r="D17" s="4"/>
      <c r="E17" s="3"/>
      <c r="F17" s="19"/>
      <c r="G17" s="20"/>
      <c r="H17" s="186"/>
      <c r="I17" s="187"/>
      <c r="J17" s="187"/>
      <c r="K17" s="187"/>
      <c r="L17" s="187"/>
      <c r="M17" s="188"/>
      <c r="N17" s="189"/>
      <c r="O17" s="190"/>
      <c r="P17" s="189"/>
      <c r="Q17" s="190"/>
      <c r="R17" s="35"/>
      <c r="S17" s="6" t="s">
        <v>14</v>
      </c>
      <c r="T17" s="21"/>
      <c r="U17" s="191"/>
      <c r="V17" s="192"/>
      <c r="W17" s="193"/>
    </row>
    <row r="18" spans="1:23" ht="14.55" customHeight="1" x14ac:dyDescent="0.3">
      <c r="A18" s="210"/>
      <c r="B18" s="165" t="s">
        <v>0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7"/>
      <c r="N18" s="168">
        <f>SUM(N13:O17)</f>
        <v>0</v>
      </c>
      <c r="O18" s="169"/>
      <c r="P18" s="168">
        <f>SUM(P13:Q17)</f>
        <v>0</v>
      </c>
      <c r="Q18" s="169"/>
      <c r="R18" s="10">
        <f>SUM(R13:R17)</f>
        <v>0</v>
      </c>
      <c r="S18" s="11" t="s">
        <v>14</v>
      </c>
      <c r="T18" s="9"/>
      <c r="U18" s="191"/>
      <c r="V18" s="192"/>
      <c r="W18" s="193"/>
    </row>
    <row r="19" spans="1:23" ht="14.55" customHeight="1" x14ac:dyDescent="0.3">
      <c r="D19"/>
      <c r="E19" s="1"/>
      <c r="F19" s="1"/>
      <c r="G19" s="1"/>
      <c r="H19" s="1"/>
      <c r="I19" s="1"/>
      <c r="R19"/>
    </row>
    <row r="20" spans="1:23" x14ac:dyDescent="0.3">
      <c r="E20" s="165" t="s">
        <v>20</v>
      </c>
      <c r="F20" s="166"/>
      <c r="G20" s="166"/>
      <c r="H20" s="166"/>
      <c r="I20" s="166"/>
      <c r="J20" s="166"/>
      <c r="K20" s="166"/>
      <c r="L20" s="166"/>
      <c r="M20" s="167"/>
      <c r="N20" s="181" t="s">
        <v>7</v>
      </c>
      <c r="O20" s="182"/>
      <c r="P20" s="181" t="s">
        <v>12</v>
      </c>
      <c r="Q20" s="182"/>
    </row>
    <row r="21" spans="1:23" s="2" customFormat="1" x14ac:dyDescent="0.3">
      <c r="E21" s="7"/>
      <c r="F21" s="7"/>
      <c r="G21" s="7"/>
      <c r="H21" s="7"/>
      <c r="I21" s="7"/>
      <c r="J21" s="22"/>
      <c r="K21" s="23"/>
      <c r="L21" s="22"/>
      <c r="M21" s="24"/>
      <c r="N21" s="36">
        <f>N12+N18</f>
        <v>1750</v>
      </c>
      <c r="O21" s="14" t="s">
        <v>13</v>
      </c>
      <c r="P21" s="36">
        <f>P12+P18</f>
        <v>0</v>
      </c>
      <c r="Q21" s="15" t="s">
        <v>13</v>
      </c>
    </row>
    <row r="22" spans="1:23" ht="24.45" customHeight="1" x14ac:dyDescent="0.3">
      <c r="E22" s="13"/>
      <c r="F22" s="13"/>
      <c r="G22" s="13"/>
      <c r="H22" s="13"/>
      <c r="I22" s="13"/>
      <c r="J22" s="25"/>
      <c r="K22" s="25"/>
      <c r="L22" s="25"/>
      <c r="M22" s="25"/>
      <c r="N22" s="211">
        <f>N21+P21</f>
        <v>1750</v>
      </c>
      <c r="O22" s="212"/>
      <c r="P22" s="212"/>
      <c r="Q22" s="213"/>
    </row>
    <row r="23" spans="1:23" ht="15" customHeight="1" x14ac:dyDescent="0.3">
      <c r="D23"/>
      <c r="J23"/>
      <c r="K23"/>
      <c r="L23"/>
      <c r="M23"/>
      <c r="N23"/>
      <c r="O23"/>
      <c r="P23" s="32"/>
      <c r="Q23" s="32"/>
      <c r="R23" s="32"/>
      <c r="S23" s="32"/>
    </row>
    <row r="24" spans="1:23" s="8" customFormat="1" ht="30" customHeight="1" x14ac:dyDescent="0.3">
      <c r="A24" s="155" t="s">
        <v>26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7"/>
      <c r="Q24" s="157"/>
      <c r="R24" s="157"/>
      <c r="S24" s="157"/>
      <c r="T24" s="156"/>
      <c r="U24" s="156"/>
      <c r="V24" s="156"/>
      <c r="W24" s="158"/>
    </row>
    <row r="25" spans="1:23" s="12" customFormat="1" ht="14.55" customHeight="1" x14ac:dyDescent="0.3">
      <c r="A25" s="159" t="s">
        <v>1</v>
      </c>
      <c r="B25" s="160" t="s">
        <v>2</v>
      </c>
      <c r="C25" s="160" t="s">
        <v>3</v>
      </c>
      <c r="D25" s="160" t="s">
        <v>4</v>
      </c>
      <c r="E25" s="161" t="s">
        <v>5</v>
      </c>
      <c r="F25" s="163" t="s">
        <v>15</v>
      </c>
      <c r="G25" s="163" t="s">
        <v>16</v>
      </c>
      <c r="H25" s="170" t="s">
        <v>24</v>
      </c>
      <c r="I25" s="171"/>
      <c r="J25" s="171"/>
      <c r="K25" s="171"/>
      <c r="L25" s="171"/>
      <c r="M25" s="172"/>
      <c r="N25" s="176" t="s">
        <v>6</v>
      </c>
      <c r="O25" s="177"/>
      <c r="P25" s="177"/>
      <c r="Q25" s="178"/>
      <c r="R25" s="161" t="s">
        <v>8</v>
      </c>
      <c r="S25" s="179"/>
      <c r="T25" s="159" t="s">
        <v>9</v>
      </c>
      <c r="U25" s="159" t="s">
        <v>10</v>
      </c>
      <c r="V25" s="159"/>
      <c r="W25" s="159"/>
    </row>
    <row r="26" spans="1:23" s="12" customFormat="1" ht="13.05" customHeight="1" x14ac:dyDescent="0.3">
      <c r="A26" s="159"/>
      <c r="B26" s="160"/>
      <c r="C26" s="160"/>
      <c r="D26" s="160"/>
      <c r="E26" s="162"/>
      <c r="F26" s="164"/>
      <c r="G26" s="164"/>
      <c r="H26" s="173"/>
      <c r="I26" s="174"/>
      <c r="J26" s="174"/>
      <c r="K26" s="174"/>
      <c r="L26" s="174"/>
      <c r="M26" s="175"/>
      <c r="N26" s="176" t="s">
        <v>7</v>
      </c>
      <c r="O26" s="177"/>
      <c r="P26" s="177"/>
      <c r="Q26" s="178"/>
      <c r="R26" s="162"/>
      <c r="S26" s="180"/>
      <c r="T26" s="159"/>
      <c r="U26" s="159"/>
      <c r="V26" s="159"/>
      <c r="W26" s="159"/>
    </row>
    <row r="27" spans="1:23" ht="14.55" customHeight="1" x14ac:dyDescent="0.3">
      <c r="A27" s="208" t="s">
        <v>44</v>
      </c>
      <c r="B27" s="5">
        <v>0.33333333333333331</v>
      </c>
      <c r="C27" s="5">
        <v>0.70833333333333337</v>
      </c>
      <c r="D27" s="4">
        <v>10925</v>
      </c>
      <c r="E27" s="3" t="s">
        <v>34</v>
      </c>
      <c r="F27" s="19">
        <v>430</v>
      </c>
      <c r="G27" s="20">
        <v>0.8</v>
      </c>
      <c r="H27" s="186"/>
      <c r="I27" s="187"/>
      <c r="J27" s="187"/>
      <c r="K27" s="187"/>
      <c r="L27" s="187"/>
      <c r="M27" s="188"/>
      <c r="N27" s="189">
        <v>1800</v>
      </c>
      <c r="O27" s="198"/>
      <c r="P27" s="198"/>
      <c r="Q27" s="190"/>
      <c r="R27" s="35"/>
      <c r="S27" s="6" t="s">
        <v>14</v>
      </c>
      <c r="T27" s="21"/>
      <c r="U27" s="204"/>
      <c r="V27" s="205"/>
      <c r="W27" s="206"/>
    </row>
    <row r="28" spans="1:23" ht="14.55" customHeight="1" x14ac:dyDescent="0.3">
      <c r="A28" s="209"/>
      <c r="B28" s="5"/>
      <c r="C28" s="5"/>
      <c r="D28" s="4"/>
      <c r="E28" s="3"/>
      <c r="F28" s="19"/>
      <c r="G28" s="20"/>
      <c r="H28" s="186"/>
      <c r="I28" s="187"/>
      <c r="J28" s="187"/>
      <c r="K28" s="187"/>
      <c r="L28" s="187"/>
      <c r="M28" s="188"/>
      <c r="N28" s="189"/>
      <c r="O28" s="198"/>
      <c r="P28" s="198"/>
      <c r="Q28" s="190"/>
      <c r="R28" s="35"/>
      <c r="S28" s="6" t="s">
        <v>14</v>
      </c>
      <c r="T28" s="21"/>
      <c r="U28" s="204"/>
      <c r="V28" s="205"/>
      <c r="W28" s="206"/>
    </row>
    <row r="29" spans="1:23" ht="14.55" customHeight="1" x14ac:dyDescent="0.3">
      <c r="A29" s="209"/>
      <c r="B29" s="5"/>
      <c r="C29" s="5"/>
      <c r="D29" s="4"/>
      <c r="E29" s="3"/>
      <c r="F29" s="19"/>
      <c r="G29" s="20"/>
      <c r="H29" s="186"/>
      <c r="I29" s="187"/>
      <c r="J29" s="187"/>
      <c r="K29" s="187"/>
      <c r="L29" s="187"/>
      <c r="M29" s="188"/>
      <c r="N29" s="189"/>
      <c r="O29" s="198"/>
      <c r="P29" s="198"/>
      <c r="Q29" s="190"/>
      <c r="R29" s="35"/>
      <c r="S29" s="6" t="s">
        <v>14</v>
      </c>
      <c r="T29" s="21"/>
      <c r="U29" s="204"/>
      <c r="V29" s="205"/>
      <c r="W29" s="206"/>
    </row>
    <row r="30" spans="1:23" ht="14.55" customHeight="1" x14ac:dyDescent="0.3">
      <c r="A30" s="209"/>
      <c r="B30" s="5"/>
      <c r="C30" s="5"/>
      <c r="D30" s="4"/>
      <c r="E30" s="3"/>
      <c r="F30" s="19"/>
      <c r="G30" s="20"/>
      <c r="H30" s="186"/>
      <c r="I30" s="187"/>
      <c r="J30" s="187"/>
      <c r="K30" s="187"/>
      <c r="L30" s="187"/>
      <c r="M30" s="188"/>
      <c r="N30" s="189"/>
      <c r="O30" s="198"/>
      <c r="P30" s="198"/>
      <c r="Q30" s="190"/>
      <c r="R30" s="35"/>
      <c r="S30" s="6" t="s">
        <v>14</v>
      </c>
      <c r="T30" s="21"/>
      <c r="U30" s="204"/>
      <c r="V30" s="205"/>
      <c r="W30" s="206"/>
    </row>
    <row r="31" spans="1:23" ht="14.55" customHeight="1" x14ac:dyDescent="0.3">
      <c r="A31" s="209"/>
      <c r="B31" s="5"/>
      <c r="C31" s="5"/>
      <c r="D31" s="4"/>
      <c r="E31" s="3"/>
      <c r="F31" s="19"/>
      <c r="G31" s="20"/>
      <c r="H31" s="186"/>
      <c r="I31" s="187"/>
      <c r="J31" s="187"/>
      <c r="K31" s="187"/>
      <c r="L31" s="187"/>
      <c r="M31" s="188"/>
      <c r="N31" s="189"/>
      <c r="O31" s="198"/>
      <c r="P31" s="198"/>
      <c r="Q31" s="190"/>
      <c r="R31" s="35"/>
      <c r="S31" s="6" t="s">
        <v>14</v>
      </c>
      <c r="T31" s="21"/>
      <c r="U31" s="204"/>
      <c r="V31" s="205"/>
      <c r="W31" s="206"/>
    </row>
    <row r="32" spans="1:23" ht="14.55" customHeight="1" x14ac:dyDescent="0.3">
      <c r="A32" s="210"/>
      <c r="B32" s="165" t="s">
        <v>0</v>
      </c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7"/>
      <c r="N32" s="168">
        <f>SUM(N27:O31)</f>
        <v>1800</v>
      </c>
      <c r="O32" s="197"/>
      <c r="P32" s="197"/>
      <c r="Q32" s="169"/>
      <c r="R32" s="10">
        <f>SUM(R27:R31)</f>
        <v>0</v>
      </c>
      <c r="S32" s="11" t="s">
        <v>14</v>
      </c>
      <c r="T32" s="9"/>
      <c r="U32" s="204"/>
      <c r="V32" s="205"/>
      <c r="W32" s="206"/>
    </row>
    <row r="33" spans="1:23" ht="14.55" customHeight="1" x14ac:dyDescent="0.3">
      <c r="D33"/>
      <c r="E33" s="1"/>
      <c r="F33" s="1"/>
      <c r="G33" s="1"/>
      <c r="H33" s="1"/>
      <c r="I33" s="1"/>
      <c r="R33"/>
    </row>
    <row r="34" spans="1:23" x14ac:dyDescent="0.3">
      <c r="E34" s="165" t="s">
        <v>23</v>
      </c>
      <c r="F34" s="166"/>
      <c r="G34" s="166"/>
      <c r="H34" s="166"/>
      <c r="I34" s="166"/>
      <c r="J34" s="166"/>
      <c r="K34" s="166"/>
      <c r="L34" s="166"/>
      <c r="M34" s="167"/>
      <c r="N34" s="181" t="s">
        <v>7</v>
      </c>
      <c r="O34" s="199"/>
      <c r="P34" s="199"/>
      <c r="Q34" s="182"/>
    </row>
    <row r="35" spans="1:23" s="2" customFormat="1" x14ac:dyDescent="0.3">
      <c r="E35" s="7"/>
      <c r="F35" s="7"/>
      <c r="G35" s="7"/>
      <c r="H35" s="7"/>
      <c r="I35" s="7"/>
      <c r="J35" s="22"/>
      <c r="K35" s="23"/>
      <c r="L35" s="22"/>
      <c r="M35" s="24"/>
      <c r="N35" s="200">
        <f>N32</f>
        <v>1800</v>
      </c>
      <c r="O35" s="201"/>
      <c r="P35" s="202" t="s">
        <v>13</v>
      </c>
      <c r="Q35" s="203"/>
    </row>
    <row r="36" spans="1:23" ht="24.45" customHeight="1" x14ac:dyDescent="0.3">
      <c r="E36" s="13"/>
      <c r="F36" s="13"/>
      <c r="G36" s="13"/>
      <c r="H36" s="13"/>
      <c r="I36" s="13"/>
      <c r="J36" s="25"/>
      <c r="K36" s="25"/>
      <c r="L36" s="25"/>
      <c r="M36" s="25"/>
      <c r="N36" s="211">
        <f>N35</f>
        <v>1800</v>
      </c>
      <c r="O36" s="212"/>
      <c r="P36" s="212"/>
      <c r="Q36" s="213"/>
    </row>
    <row r="37" spans="1:23" ht="15" customHeight="1" x14ac:dyDescent="0.3">
      <c r="D37"/>
      <c r="J37"/>
      <c r="K37"/>
      <c r="L37"/>
      <c r="M37"/>
      <c r="N37"/>
      <c r="O37"/>
      <c r="P37"/>
      <c r="Q37"/>
      <c r="R37"/>
    </row>
    <row r="38" spans="1:23" s="8" customFormat="1" ht="30" customHeight="1" x14ac:dyDescent="0.3">
      <c r="A38" s="155" t="s">
        <v>25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7"/>
      <c r="Q38" s="157"/>
      <c r="R38" s="157"/>
      <c r="S38" s="157"/>
      <c r="T38" s="156"/>
      <c r="U38" s="156"/>
      <c r="V38" s="156"/>
      <c r="W38" s="158"/>
    </row>
    <row r="39" spans="1:23" s="12" customFormat="1" ht="14.55" customHeight="1" x14ac:dyDescent="0.3">
      <c r="A39" s="159" t="s">
        <v>1</v>
      </c>
      <c r="B39" s="160" t="s">
        <v>2</v>
      </c>
      <c r="C39" s="160" t="s">
        <v>3</v>
      </c>
      <c r="D39" s="160" t="s">
        <v>4</v>
      </c>
      <c r="E39" s="161" t="s">
        <v>5</v>
      </c>
      <c r="F39" s="163" t="s">
        <v>15</v>
      </c>
      <c r="G39" s="163" t="s">
        <v>16</v>
      </c>
      <c r="H39" s="170" t="s">
        <v>21</v>
      </c>
      <c r="I39" s="171"/>
      <c r="J39" s="171"/>
      <c r="K39" s="171"/>
      <c r="L39" s="171"/>
      <c r="M39" s="172"/>
      <c r="N39" s="176" t="s">
        <v>6</v>
      </c>
      <c r="O39" s="177"/>
      <c r="P39" s="177"/>
      <c r="Q39" s="178"/>
      <c r="R39" s="161" t="s">
        <v>8</v>
      </c>
      <c r="S39" s="179"/>
      <c r="T39" s="159" t="s">
        <v>9</v>
      </c>
      <c r="U39" s="159" t="s">
        <v>10</v>
      </c>
      <c r="V39" s="159"/>
      <c r="W39" s="159"/>
    </row>
    <row r="40" spans="1:23" s="12" customFormat="1" ht="13.05" customHeight="1" x14ac:dyDescent="0.3">
      <c r="A40" s="159"/>
      <c r="B40" s="160"/>
      <c r="C40" s="160"/>
      <c r="D40" s="160"/>
      <c r="E40" s="162"/>
      <c r="F40" s="164"/>
      <c r="G40" s="164"/>
      <c r="H40" s="173"/>
      <c r="I40" s="174"/>
      <c r="J40" s="174"/>
      <c r="K40" s="174"/>
      <c r="L40" s="174"/>
      <c r="M40" s="175"/>
      <c r="N40" s="176" t="s">
        <v>7</v>
      </c>
      <c r="O40" s="178"/>
      <c r="P40" s="176" t="s">
        <v>12</v>
      </c>
      <c r="Q40" s="178"/>
      <c r="R40" s="162"/>
      <c r="S40" s="180"/>
      <c r="T40" s="159"/>
      <c r="U40" s="159"/>
      <c r="V40" s="159"/>
      <c r="W40" s="159"/>
    </row>
    <row r="41" spans="1:23" ht="14.55" customHeight="1" x14ac:dyDescent="0.3">
      <c r="A41" s="208" t="s">
        <v>46</v>
      </c>
      <c r="B41" s="5">
        <v>0.33333333333333331</v>
      </c>
      <c r="C41" s="5"/>
      <c r="D41" s="4">
        <v>250825</v>
      </c>
      <c r="E41" s="3" t="s">
        <v>39</v>
      </c>
      <c r="F41" s="19">
        <v>430</v>
      </c>
      <c r="G41" s="20">
        <v>0.8</v>
      </c>
      <c r="H41" s="186"/>
      <c r="I41" s="187"/>
      <c r="J41" s="187"/>
      <c r="K41" s="187"/>
      <c r="L41" s="187"/>
      <c r="M41" s="188"/>
      <c r="N41" s="189">
        <v>370</v>
      </c>
      <c r="O41" s="190"/>
      <c r="P41" s="189"/>
      <c r="Q41" s="190"/>
      <c r="R41" s="35"/>
      <c r="S41" s="6" t="s">
        <v>14</v>
      </c>
      <c r="T41" s="21"/>
      <c r="U41" s="191" t="s">
        <v>41</v>
      </c>
      <c r="V41" s="192"/>
      <c r="W41" s="193"/>
    </row>
    <row r="42" spans="1:23" ht="14.55" customHeight="1" x14ac:dyDescent="0.3">
      <c r="A42" s="209"/>
      <c r="B42" s="5"/>
      <c r="C42" s="5">
        <v>0.70833333333333337</v>
      </c>
      <c r="D42" s="4">
        <v>10925</v>
      </c>
      <c r="E42" s="3" t="s">
        <v>34</v>
      </c>
      <c r="F42" s="19">
        <v>430</v>
      </c>
      <c r="G42" s="20">
        <v>0.8</v>
      </c>
      <c r="H42" s="186"/>
      <c r="I42" s="187"/>
      <c r="J42" s="187"/>
      <c r="K42" s="187"/>
      <c r="L42" s="187"/>
      <c r="M42" s="188"/>
      <c r="N42" s="189">
        <v>1230</v>
      </c>
      <c r="O42" s="190"/>
      <c r="P42" s="189"/>
      <c r="Q42" s="190"/>
      <c r="R42" s="35">
        <v>120</v>
      </c>
      <c r="S42" s="6" t="s">
        <v>14</v>
      </c>
      <c r="T42" s="21" t="s">
        <v>40</v>
      </c>
      <c r="U42" s="191"/>
      <c r="V42" s="192"/>
      <c r="W42" s="193"/>
    </row>
    <row r="43" spans="1:23" ht="14.55" customHeight="1" x14ac:dyDescent="0.3">
      <c r="A43" s="209"/>
      <c r="B43" s="5"/>
      <c r="C43" s="5"/>
      <c r="D43" s="4"/>
      <c r="E43" s="3"/>
      <c r="F43" s="19"/>
      <c r="G43" s="20"/>
      <c r="H43" s="186"/>
      <c r="I43" s="187"/>
      <c r="J43" s="187"/>
      <c r="K43" s="187"/>
      <c r="L43" s="187"/>
      <c r="M43" s="188"/>
      <c r="N43" s="189"/>
      <c r="O43" s="190"/>
      <c r="P43" s="189"/>
      <c r="Q43" s="190"/>
      <c r="R43" s="35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209"/>
      <c r="B44" s="5"/>
      <c r="C44" s="5"/>
      <c r="D44" s="4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0"/>
      <c r="P44" s="189"/>
      <c r="Q44" s="190"/>
      <c r="R44" s="35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209"/>
      <c r="B45" s="5"/>
      <c r="C45" s="5"/>
      <c r="D45" s="4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0"/>
      <c r="P45" s="189"/>
      <c r="Q45" s="190"/>
      <c r="R45" s="35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210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SUM(N41:O45)</f>
        <v>1600</v>
      </c>
      <c r="O46" s="169"/>
      <c r="P46" s="168">
        <f>SUM(P41:Q45)</f>
        <v>0</v>
      </c>
      <c r="Q46" s="169"/>
      <c r="R46" s="10">
        <f>SUM(R41:R45)</f>
        <v>120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/>
      <c r="E47" s="1"/>
      <c r="F47" s="1"/>
      <c r="G47" s="1"/>
      <c r="H47" s="1"/>
      <c r="I47" s="1"/>
      <c r="R47"/>
    </row>
    <row r="48" spans="1:23" x14ac:dyDescent="0.3">
      <c r="E48" s="165" t="s">
        <v>22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82"/>
      <c r="P48" s="181" t="s">
        <v>12</v>
      </c>
      <c r="Q48" s="182"/>
    </row>
    <row r="49" spans="1:23" s="2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36">
        <f>N46</f>
        <v>1600</v>
      </c>
      <c r="O49" s="14" t="s">
        <v>13</v>
      </c>
      <c r="P49" s="36">
        <f>P46</f>
        <v>0</v>
      </c>
      <c r="Q49" s="15" t="s">
        <v>13</v>
      </c>
    </row>
    <row r="50" spans="1:23" ht="24.45" customHeight="1" x14ac:dyDescent="0.3">
      <c r="E50" s="13"/>
      <c r="F50" s="13"/>
      <c r="G50" s="13"/>
      <c r="H50" s="13"/>
      <c r="I50" s="13"/>
      <c r="J50" s="25"/>
      <c r="K50" s="25"/>
      <c r="L50" s="25"/>
      <c r="M50" s="25"/>
      <c r="N50" s="211">
        <f>N49+P49</f>
        <v>1600</v>
      </c>
      <c r="O50" s="212"/>
      <c r="P50" s="212"/>
      <c r="Q50" s="213"/>
    </row>
    <row r="51" spans="1:23" ht="15" customHeight="1" x14ac:dyDescent="0.3">
      <c r="D51"/>
      <c r="J51"/>
      <c r="K51"/>
      <c r="L51"/>
      <c r="M51"/>
      <c r="N51"/>
      <c r="O51"/>
      <c r="P51" s="32"/>
      <c r="Q51" s="32"/>
      <c r="R51" s="32"/>
      <c r="S51" s="32"/>
    </row>
    <row r="52" spans="1:23" s="8" customFormat="1" ht="30" customHeight="1" x14ac:dyDescent="0.3">
      <c r="A52" s="155" t="s">
        <v>27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7"/>
      <c r="Q52" s="157"/>
      <c r="R52" s="157"/>
      <c r="S52" s="157"/>
      <c r="T52" s="156"/>
      <c r="U52" s="156"/>
      <c r="V52" s="156"/>
      <c r="W52" s="158"/>
    </row>
    <row r="53" spans="1:23" s="12" customFormat="1" ht="14.55" customHeight="1" x14ac:dyDescent="0.3">
      <c r="A53" s="159" t="s">
        <v>1</v>
      </c>
      <c r="B53" s="160" t="s">
        <v>2</v>
      </c>
      <c r="C53" s="160" t="s">
        <v>3</v>
      </c>
      <c r="D53" s="160" t="s">
        <v>4</v>
      </c>
      <c r="E53" s="161" t="s">
        <v>5</v>
      </c>
      <c r="F53" s="163" t="s">
        <v>15</v>
      </c>
      <c r="G53" s="163" t="s">
        <v>16</v>
      </c>
      <c r="H53" s="170" t="s">
        <v>24</v>
      </c>
      <c r="I53" s="171"/>
      <c r="J53" s="171"/>
      <c r="K53" s="171"/>
      <c r="L53" s="171"/>
      <c r="M53" s="172"/>
      <c r="N53" s="176" t="s">
        <v>6</v>
      </c>
      <c r="O53" s="177"/>
      <c r="P53" s="177"/>
      <c r="Q53" s="178"/>
      <c r="R53" s="161" t="s">
        <v>8</v>
      </c>
      <c r="S53" s="179"/>
      <c r="T53" s="159" t="s">
        <v>9</v>
      </c>
      <c r="U53" s="159" t="s">
        <v>10</v>
      </c>
      <c r="V53" s="159"/>
      <c r="W53" s="159"/>
    </row>
    <row r="54" spans="1:23" s="12" customFormat="1" ht="13.05" customHeight="1" x14ac:dyDescent="0.3">
      <c r="A54" s="159"/>
      <c r="B54" s="160"/>
      <c r="C54" s="160"/>
      <c r="D54" s="160"/>
      <c r="E54" s="162"/>
      <c r="F54" s="164"/>
      <c r="G54" s="164"/>
      <c r="H54" s="173"/>
      <c r="I54" s="174"/>
      <c r="J54" s="174"/>
      <c r="K54" s="174"/>
      <c r="L54" s="174"/>
      <c r="M54" s="175"/>
      <c r="N54" s="176" t="s">
        <v>7</v>
      </c>
      <c r="O54" s="177"/>
      <c r="P54" s="177"/>
      <c r="Q54" s="178"/>
      <c r="R54" s="162"/>
      <c r="S54" s="180"/>
      <c r="T54" s="159"/>
      <c r="U54" s="159"/>
      <c r="V54" s="159"/>
      <c r="W54" s="159"/>
    </row>
    <row r="55" spans="1:23" ht="14.55" customHeight="1" x14ac:dyDescent="0.3">
      <c r="A55" s="208" t="s">
        <v>45</v>
      </c>
      <c r="B55" s="5">
        <v>0.33333333333333331</v>
      </c>
      <c r="C55" s="5"/>
      <c r="D55" s="4">
        <v>250075</v>
      </c>
      <c r="E55" s="3" t="s">
        <v>42</v>
      </c>
      <c r="F55" s="19">
        <v>304</v>
      </c>
      <c r="G55" s="20">
        <v>0.9</v>
      </c>
      <c r="H55" s="186"/>
      <c r="I55" s="187"/>
      <c r="J55" s="187"/>
      <c r="K55" s="187"/>
      <c r="L55" s="187"/>
      <c r="M55" s="188"/>
      <c r="N55" s="189">
        <v>450</v>
      </c>
      <c r="O55" s="198"/>
      <c r="P55" s="198"/>
      <c r="Q55" s="190"/>
      <c r="R55" s="35">
        <v>45</v>
      </c>
      <c r="S55" s="6" t="s">
        <v>14</v>
      </c>
      <c r="T55" s="21" t="s">
        <v>43</v>
      </c>
      <c r="U55" s="204"/>
      <c r="V55" s="205"/>
      <c r="W55" s="206"/>
    </row>
    <row r="56" spans="1:23" ht="14.55" customHeight="1" x14ac:dyDescent="0.3">
      <c r="A56" s="209"/>
      <c r="B56" s="5"/>
      <c r="C56" s="5"/>
      <c r="D56" s="4">
        <v>250825</v>
      </c>
      <c r="E56" s="3" t="s">
        <v>39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775</v>
      </c>
      <c r="O56" s="198"/>
      <c r="P56" s="198"/>
      <c r="Q56" s="190"/>
      <c r="R56" s="35">
        <v>45</v>
      </c>
      <c r="S56" s="6" t="s">
        <v>14</v>
      </c>
      <c r="T56" s="21" t="s">
        <v>43</v>
      </c>
      <c r="U56" s="204"/>
      <c r="V56" s="205"/>
      <c r="W56" s="206"/>
    </row>
    <row r="57" spans="1:23" ht="14.55" customHeight="1" x14ac:dyDescent="0.3">
      <c r="A57" s="209"/>
      <c r="B57" s="5"/>
      <c r="C57" s="5">
        <v>0.70833333333333337</v>
      </c>
      <c r="D57" s="4">
        <v>10925</v>
      </c>
      <c r="E57" s="3" t="s">
        <v>34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525</v>
      </c>
      <c r="O57" s="198"/>
      <c r="P57" s="198"/>
      <c r="Q57" s="190"/>
      <c r="R57" s="35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209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3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209"/>
      <c r="B59" s="5"/>
      <c r="C59" s="5"/>
      <c r="D59" s="4"/>
      <c r="E59" s="3"/>
      <c r="F59" s="19"/>
      <c r="G59" s="20"/>
      <c r="H59" s="186"/>
      <c r="I59" s="187"/>
      <c r="J59" s="187"/>
      <c r="K59" s="187"/>
      <c r="L59" s="187"/>
      <c r="M59" s="188"/>
      <c r="N59" s="189"/>
      <c r="O59" s="198"/>
      <c r="P59" s="198"/>
      <c r="Q59" s="190"/>
      <c r="R59" s="35"/>
      <c r="S59" s="6" t="s">
        <v>14</v>
      </c>
      <c r="T59" s="21"/>
      <c r="U59" s="204"/>
      <c r="V59" s="205"/>
      <c r="W59" s="206"/>
    </row>
    <row r="60" spans="1:23" ht="14.55" customHeight="1" x14ac:dyDescent="0.3">
      <c r="A60" s="210"/>
      <c r="B60" s="165" t="s">
        <v>0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8">
        <f>SUM(N55:O59)</f>
        <v>1750</v>
      </c>
      <c r="O60" s="197"/>
      <c r="P60" s="197"/>
      <c r="Q60" s="169"/>
      <c r="R60" s="10">
        <f>SUM(R55:R59)</f>
        <v>90</v>
      </c>
      <c r="S60" s="11" t="s">
        <v>14</v>
      </c>
      <c r="T60" s="9"/>
      <c r="U60" s="204"/>
      <c r="V60" s="205"/>
      <c r="W60" s="206"/>
    </row>
    <row r="61" spans="1:23" ht="14.55" customHeight="1" x14ac:dyDescent="0.3">
      <c r="D61"/>
      <c r="E61" s="1"/>
      <c r="F61" s="1"/>
      <c r="G61" s="1"/>
      <c r="H61" s="1"/>
      <c r="I61" s="1"/>
      <c r="R61"/>
    </row>
    <row r="62" spans="1:23" x14ac:dyDescent="0.3">
      <c r="E62" s="165" t="s">
        <v>31</v>
      </c>
      <c r="F62" s="166"/>
      <c r="G62" s="166"/>
      <c r="H62" s="166"/>
      <c r="I62" s="166"/>
      <c r="J62" s="166"/>
      <c r="K62" s="166"/>
      <c r="L62" s="166"/>
      <c r="M62" s="167"/>
      <c r="N62" s="181" t="s">
        <v>7</v>
      </c>
      <c r="O62" s="199"/>
      <c r="P62" s="199"/>
      <c r="Q62" s="182"/>
    </row>
    <row r="63" spans="1:23" s="2" customFormat="1" x14ac:dyDescent="0.3">
      <c r="E63" s="7"/>
      <c r="F63" s="7"/>
      <c r="G63" s="7"/>
      <c r="H63" s="7"/>
      <c r="I63" s="7"/>
      <c r="J63" s="22"/>
      <c r="K63" s="23"/>
      <c r="L63" s="22"/>
      <c r="M63" s="24"/>
      <c r="N63" s="200">
        <f>N60</f>
        <v>1750</v>
      </c>
      <c r="O63" s="201"/>
      <c r="P63" s="202" t="s">
        <v>13</v>
      </c>
      <c r="Q63" s="203"/>
    </row>
    <row r="64" spans="1:23" ht="24.45" customHeight="1" x14ac:dyDescent="0.3">
      <c r="E64" s="13"/>
      <c r="F64" s="13"/>
      <c r="G64" s="13"/>
      <c r="H64" s="13"/>
      <c r="I64" s="13"/>
      <c r="J64" s="25"/>
      <c r="K64" s="25"/>
      <c r="L64" s="25"/>
      <c r="M64" s="25"/>
      <c r="N64" s="211">
        <f>N63</f>
        <v>1750</v>
      </c>
      <c r="O64" s="212"/>
      <c r="P64" s="212"/>
      <c r="Q64" s="213"/>
    </row>
    <row r="65" spans="1:23" s="26" customFormat="1" ht="15" customHeight="1" x14ac:dyDescent="0.3">
      <c r="D65" s="27"/>
      <c r="E65" s="28"/>
      <c r="F65" s="28"/>
      <c r="G65" s="28"/>
      <c r="H65" s="28"/>
      <c r="I65" s="28"/>
      <c r="J65" s="25"/>
      <c r="K65" s="25"/>
      <c r="L65" s="25"/>
      <c r="M65" s="25"/>
      <c r="N65" s="30"/>
      <c r="O65" s="30"/>
      <c r="P65" s="29"/>
      <c r="Q65" s="29"/>
      <c r="R65" s="33"/>
      <c r="S65" s="34"/>
    </row>
    <row r="66" spans="1:23" s="8" customFormat="1" ht="30" customHeight="1" x14ac:dyDescent="0.3">
      <c r="A66" s="155" t="s">
        <v>28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57"/>
      <c r="R66" s="157"/>
      <c r="S66" s="157"/>
      <c r="T66" s="156"/>
      <c r="U66" s="156"/>
      <c r="V66" s="156"/>
      <c r="W66" s="158"/>
    </row>
    <row r="67" spans="1:23" s="12" customFormat="1" ht="14.55" customHeight="1" x14ac:dyDescent="0.3">
      <c r="A67" s="159" t="s">
        <v>1</v>
      </c>
      <c r="B67" s="160" t="s">
        <v>2</v>
      </c>
      <c r="C67" s="160" t="s">
        <v>3</v>
      </c>
      <c r="D67" s="160" t="s">
        <v>4</v>
      </c>
      <c r="E67" s="161" t="s">
        <v>5</v>
      </c>
      <c r="F67" s="163" t="s">
        <v>15</v>
      </c>
      <c r="G67" s="163" t="s">
        <v>16</v>
      </c>
      <c r="H67" s="170" t="s">
        <v>24</v>
      </c>
      <c r="I67" s="171"/>
      <c r="J67" s="171"/>
      <c r="K67" s="171"/>
      <c r="L67" s="171"/>
      <c r="M67" s="172"/>
      <c r="N67" s="176" t="s">
        <v>6</v>
      </c>
      <c r="O67" s="177"/>
      <c r="P67" s="177"/>
      <c r="Q67" s="178"/>
      <c r="R67" s="161" t="s">
        <v>8</v>
      </c>
      <c r="S67" s="179"/>
      <c r="T67" s="159" t="s">
        <v>9</v>
      </c>
      <c r="U67" s="159" t="s">
        <v>10</v>
      </c>
      <c r="V67" s="159"/>
      <c r="W67" s="159"/>
    </row>
    <row r="68" spans="1:23" s="12" customFormat="1" ht="13.05" customHeight="1" x14ac:dyDescent="0.3">
      <c r="A68" s="159"/>
      <c r="B68" s="160"/>
      <c r="C68" s="160"/>
      <c r="D68" s="160"/>
      <c r="E68" s="162"/>
      <c r="F68" s="164"/>
      <c r="G68" s="164"/>
      <c r="H68" s="173"/>
      <c r="I68" s="174"/>
      <c r="J68" s="174"/>
      <c r="K68" s="174"/>
      <c r="L68" s="174"/>
      <c r="M68" s="175"/>
      <c r="N68" s="176" t="s">
        <v>7</v>
      </c>
      <c r="O68" s="177"/>
      <c r="P68" s="177"/>
      <c r="Q68" s="178"/>
      <c r="R68" s="162"/>
      <c r="S68" s="180"/>
      <c r="T68" s="159"/>
      <c r="U68" s="159"/>
      <c r="V68" s="159"/>
      <c r="W68" s="159"/>
    </row>
    <row r="69" spans="1:23" ht="14.55" customHeight="1" x14ac:dyDescent="0.3">
      <c r="A69" s="208" t="s">
        <v>47</v>
      </c>
      <c r="B69" s="5">
        <v>0.33333333333333331</v>
      </c>
      <c r="C69" s="5"/>
      <c r="D69" s="4">
        <v>250075</v>
      </c>
      <c r="E69" s="3" t="s">
        <v>42</v>
      </c>
      <c r="F69" s="19">
        <v>304</v>
      </c>
      <c r="G69" s="20">
        <v>0.9</v>
      </c>
      <c r="H69" s="186"/>
      <c r="I69" s="187"/>
      <c r="J69" s="187"/>
      <c r="K69" s="187"/>
      <c r="L69" s="187"/>
      <c r="M69" s="188"/>
      <c r="N69" s="189">
        <v>840</v>
      </c>
      <c r="O69" s="198"/>
      <c r="P69" s="198"/>
      <c r="Q69" s="190"/>
      <c r="R69" s="35"/>
      <c r="S69" s="6" t="s">
        <v>14</v>
      </c>
      <c r="T69" s="21"/>
      <c r="U69" s="204"/>
      <c r="V69" s="205"/>
      <c r="W69" s="206"/>
    </row>
    <row r="70" spans="1:23" ht="14.55" customHeight="1" x14ac:dyDescent="0.3">
      <c r="A70" s="209"/>
      <c r="B70" s="5"/>
      <c r="C70" s="5"/>
      <c r="D70" s="4">
        <v>250075</v>
      </c>
      <c r="E70" s="3" t="s">
        <v>48</v>
      </c>
      <c r="F70" s="19">
        <v>304</v>
      </c>
      <c r="G70" s="20">
        <v>0.9</v>
      </c>
      <c r="H70" s="186"/>
      <c r="I70" s="187"/>
      <c r="J70" s="187"/>
      <c r="K70" s="187"/>
      <c r="L70" s="187"/>
      <c r="M70" s="188"/>
      <c r="N70" s="189">
        <v>840</v>
      </c>
      <c r="O70" s="198"/>
      <c r="P70" s="198"/>
      <c r="Q70" s="190"/>
      <c r="R70" s="35"/>
      <c r="S70" s="6" t="s">
        <v>14</v>
      </c>
      <c r="T70" s="21"/>
      <c r="U70" s="204"/>
      <c r="V70" s="205"/>
      <c r="W70" s="206"/>
    </row>
    <row r="71" spans="1:23" ht="14.55" customHeight="1" x14ac:dyDescent="0.3">
      <c r="A71" s="209"/>
      <c r="B71" s="5"/>
      <c r="C71" s="5">
        <v>0.70833333333333337</v>
      </c>
      <c r="D71" s="4">
        <v>250825</v>
      </c>
      <c r="E71" s="3" t="s">
        <v>39</v>
      </c>
      <c r="F71" s="19">
        <v>430</v>
      </c>
      <c r="G71" s="20">
        <v>0.8</v>
      </c>
      <c r="H71" s="186"/>
      <c r="I71" s="187"/>
      <c r="J71" s="187"/>
      <c r="K71" s="187"/>
      <c r="L71" s="187"/>
      <c r="M71" s="188"/>
      <c r="N71" s="189">
        <v>920</v>
      </c>
      <c r="O71" s="198"/>
      <c r="P71" s="198"/>
      <c r="Q71" s="190"/>
      <c r="R71" s="35"/>
      <c r="S71" s="6" t="s">
        <v>14</v>
      </c>
      <c r="T71" s="21"/>
      <c r="U71" s="204"/>
      <c r="V71" s="205"/>
      <c r="W71" s="206"/>
    </row>
    <row r="72" spans="1:23" ht="14.55" customHeight="1" x14ac:dyDescent="0.3">
      <c r="A72" s="209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8"/>
      <c r="P72" s="198"/>
      <c r="Q72" s="190"/>
      <c r="R72" s="35"/>
      <c r="S72" s="6" t="s">
        <v>14</v>
      </c>
      <c r="T72" s="21"/>
      <c r="U72" s="204"/>
      <c r="V72" s="205"/>
      <c r="W72" s="206"/>
    </row>
    <row r="73" spans="1:23" ht="14.55" customHeight="1" x14ac:dyDescent="0.3">
      <c r="A73" s="209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8"/>
      <c r="P73" s="198"/>
      <c r="Q73" s="190"/>
      <c r="R73" s="35"/>
      <c r="S73" s="6" t="s">
        <v>14</v>
      </c>
      <c r="T73" s="21"/>
      <c r="U73" s="204"/>
      <c r="V73" s="205"/>
      <c r="W73" s="206"/>
    </row>
    <row r="74" spans="1:23" ht="14.55" customHeight="1" x14ac:dyDescent="0.3">
      <c r="A74" s="210"/>
      <c r="B74" s="165" t="s">
        <v>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8">
        <f>SUM(N69:O73)</f>
        <v>2600</v>
      </c>
      <c r="O74" s="197"/>
      <c r="P74" s="197"/>
      <c r="Q74" s="169"/>
      <c r="R74" s="10">
        <f>SUM(R69:R73)</f>
        <v>0</v>
      </c>
      <c r="S74" s="11" t="s">
        <v>14</v>
      </c>
      <c r="T74" s="9"/>
      <c r="U74" s="204"/>
      <c r="V74" s="205"/>
      <c r="W74" s="206"/>
    </row>
    <row r="75" spans="1:23" ht="14.55" customHeight="1" x14ac:dyDescent="0.3">
      <c r="D75"/>
      <c r="E75" s="1"/>
      <c r="F75" s="1"/>
      <c r="G75" s="1"/>
      <c r="H75" s="1"/>
      <c r="I75" s="1"/>
      <c r="R75"/>
    </row>
    <row r="76" spans="1:23" ht="14.55" customHeight="1" x14ac:dyDescent="0.3">
      <c r="D76"/>
      <c r="E76" s="165" t="s">
        <v>32</v>
      </c>
      <c r="F76" s="166"/>
      <c r="G76" s="166"/>
      <c r="H76" s="166"/>
      <c r="I76" s="166"/>
      <c r="J76" s="166"/>
      <c r="K76" s="166"/>
      <c r="L76" s="166"/>
      <c r="M76" s="167"/>
      <c r="N76" s="181" t="s">
        <v>7</v>
      </c>
      <c r="O76" s="199"/>
      <c r="P76" s="199"/>
      <c r="Q76" s="182"/>
      <c r="R76"/>
    </row>
    <row r="77" spans="1:23" ht="14.55" customHeight="1" x14ac:dyDescent="0.3">
      <c r="D77"/>
      <c r="E77" s="7"/>
      <c r="F77" s="7"/>
      <c r="G77" s="7"/>
      <c r="H77" s="7"/>
      <c r="I77" s="7"/>
      <c r="J77" s="22"/>
      <c r="K77" s="23"/>
      <c r="L77" s="22"/>
      <c r="M77" s="24"/>
      <c r="N77" s="200">
        <f>N74</f>
        <v>2600</v>
      </c>
      <c r="O77" s="201"/>
      <c r="P77" s="202" t="s">
        <v>13</v>
      </c>
      <c r="Q77" s="203"/>
      <c r="R77"/>
    </row>
    <row r="78" spans="1:23" ht="14.55" customHeight="1" x14ac:dyDescent="0.3">
      <c r="D78"/>
      <c r="E78" s="13"/>
      <c r="F78" s="13"/>
      <c r="G78" s="13"/>
      <c r="H78" s="13"/>
      <c r="I78" s="13"/>
      <c r="J78" s="25"/>
      <c r="K78" s="25"/>
      <c r="L78" s="25"/>
      <c r="M78" s="25"/>
      <c r="N78" s="211">
        <f>N77</f>
        <v>2600</v>
      </c>
      <c r="O78" s="212"/>
      <c r="P78" s="212"/>
      <c r="Q78" s="213"/>
      <c r="R78"/>
    </row>
    <row r="79" spans="1:23" ht="14.55" customHeight="1" x14ac:dyDescent="0.3">
      <c r="D79"/>
      <c r="E79" s="1"/>
      <c r="F79" s="1"/>
      <c r="G79" s="1"/>
      <c r="H79" s="1"/>
      <c r="I79" s="1"/>
      <c r="P79" s="31"/>
      <c r="Q79" s="31"/>
      <c r="R79" s="32"/>
      <c r="S79" s="32"/>
    </row>
    <row r="80" spans="1:23" s="8" customFormat="1" ht="30" customHeight="1" x14ac:dyDescent="0.3">
      <c r="A80" s="155" t="s">
        <v>29</v>
      </c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7"/>
      <c r="Q80" s="157"/>
      <c r="R80" s="157"/>
      <c r="S80" s="157"/>
      <c r="T80" s="156"/>
      <c r="U80" s="156"/>
      <c r="V80" s="156"/>
      <c r="W80" s="158"/>
    </row>
    <row r="81" spans="1:23" s="12" customFormat="1" ht="14.55" customHeight="1" x14ac:dyDescent="0.3">
      <c r="A81" s="159" t="s">
        <v>1</v>
      </c>
      <c r="B81" s="160" t="s">
        <v>2</v>
      </c>
      <c r="C81" s="160" t="s">
        <v>3</v>
      </c>
      <c r="D81" s="160" t="s">
        <v>4</v>
      </c>
      <c r="E81" s="161" t="s">
        <v>5</v>
      </c>
      <c r="F81" s="163" t="s">
        <v>15</v>
      </c>
      <c r="G81" s="163" t="s">
        <v>16</v>
      </c>
      <c r="H81" s="170" t="s">
        <v>30</v>
      </c>
      <c r="I81" s="171"/>
      <c r="J81" s="171"/>
      <c r="K81" s="171"/>
      <c r="L81" s="171"/>
      <c r="M81" s="172"/>
      <c r="N81" s="176" t="s">
        <v>6</v>
      </c>
      <c r="O81" s="177"/>
      <c r="P81" s="177"/>
      <c r="Q81" s="178"/>
      <c r="R81" s="161" t="s">
        <v>8</v>
      </c>
      <c r="S81" s="179"/>
      <c r="T81" s="159" t="s">
        <v>9</v>
      </c>
      <c r="U81" s="159" t="s">
        <v>10</v>
      </c>
      <c r="V81" s="159"/>
      <c r="W81" s="159"/>
    </row>
    <row r="82" spans="1:23" s="12" customFormat="1" ht="13.05" customHeight="1" x14ac:dyDescent="0.3">
      <c r="A82" s="159"/>
      <c r="B82" s="160"/>
      <c r="C82" s="160"/>
      <c r="D82" s="160"/>
      <c r="E82" s="162"/>
      <c r="F82" s="164"/>
      <c r="G82" s="164"/>
      <c r="H82" s="173"/>
      <c r="I82" s="174"/>
      <c r="J82" s="174"/>
      <c r="K82" s="174"/>
      <c r="L82" s="174"/>
      <c r="M82" s="175"/>
      <c r="N82" s="176" t="s">
        <v>7</v>
      </c>
      <c r="O82" s="177"/>
      <c r="P82" s="177"/>
      <c r="Q82" s="178"/>
      <c r="R82" s="162"/>
      <c r="S82" s="180"/>
      <c r="T82" s="159"/>
      <c r="U82" s="159"/>
      <c r="V82" s="159"/>
      <c r="W82" s="159"/>
    </row>
    <row r="83" spans="1:23" ht="14.55" customHeight="1" x14ac:dyDescent="0.3">
      <c r="A83" s="208" t="s">
        <v>49</v>
      </c>
      <c r="B83" s="5">
        <v>0.33333333333333331</v>
      </c>
      <c r="C83" s="5"/>
      <c r="D83" s="4">
        <v>250825</v>
      </c>
      <c r="E83" s="3" t="s">
        <v>59</v>
      </c>
      <c r="F83" s="19">
        <v>430</v>
      </c>
      <c r="G83" s="20">
        <v>0.8</v>
      </c>
      <c r="H83" s="186" t="s">
        <v>50</v>
      </c>
      <c r="I83" s="187"/>
      <c r="J83" s="187"/>
      <c r="K83" s="187"/>
      <c r="L83" s="187"/>
      <c r="M83" s="188"/>
      <c r="N83" s="189">
        <v>172</v>
      </c>
      <c r="O83" s="198"/>
      <c r="P83" s="198"/>
      <c r="Q83" s="190"/>
      <c r="R83" s="35"/>
      <c r="S83" t="s">
        <v>14</v>
      </c>
      <c r="T83" s="21"/>
      <c r="U83" s="204"/>
      <c r="V83" s="205"/>
      <c r="W83" s="206"/>
    </row>
    <row r="84" spans="1:23" ht="14.55" customHeight="1" x14ac:dyDescent="0.3">
      <c r="A84" s="209"/>
      <c r="B84" s="5"/>
      <c r="C84" s="5">
        <v>0.70833333333333337</v>
      </c>
      <c r="D84" s="4">
        <v>250825</v>
      </c>
      <c r="E84" s="3" t="s">
        <v>66</v>
      </c>
      <c r="F84" s="19">
        <v>430</v>
      </c>
      <c r="G84" s="20">
        <v>0.8</v>
      </c>
      <c r="H84" s="186" t="s">
        <v>50</v>
      </c>
      <c r="I84" s="187"/>
      <c r="J84" s="187"/>
      <c r="K84" s="187"/>
      <c r="L84" s="187"/>
      <c r="M84" s="188"/>
      <c r="N84" s="189">
        <v>360</v>
      </c>
      <c r="O84" s="198"/>
      <c r="P84" s="198"/>
      <c r="Q84" s="190"/>
      <c r="R84" s="35"/>
      <c r="S84" s="6" t="s">
        <v>14</v>
      </c>
      <c r="T84" s="21"/>
      <c r="U84" s="204"/>
      <c r="V84" s="205"/>
      <c r="W84" s="206"/>
    </row>
    <row r="85" spans="1:23" ht="14.55" customHeight="1" x14ac:dyDescent="0.3">
      <c r="A85" s="209"/>
      <c r="B85" s="5"/>
      <c r="C85" s="5"/>
      <c r="D85" s="4"/>
      <c r="E85" s="3"/>
      <c r="F85" s="19"/>
      <c r="G85" s="20"/>
      <c r="H85" s="186"/>
      <c r="I85" s="187"/>
      <c r="J85" s="187"/>
      <c r="K85" s="187"/>
      <c r="L85" s="187"/>
      <c r="M85" s="188"/>
      <c r="N85" s="189"/>
      <c r="O85" s="198"/>
      <c r="P85" s="198"/>
      <c r="Q85" s="190"/>
      <c r="R85" s="35"/>
      <c r="S85" s="6" t="s">
        <v>14</v>
      </c>
      <c r="T85" s="21"/>
      <c r="U85" s="204"/>
      <c r="V85" s="205"/>
      <c r="W85" s="206"/>
    </row>
    <row r="86" spans="1:23" ht="14.55" customHeight="1" x14ac:dyDescent="0.3">
      <c r="A86" s="209"/>
      <c r="B86" s="5"/>
      <c r="C86" s="5"/>
      <c r="D86" s="4"/>
      <c r="E86" s="3"/>
      <c r="F86" s="19"/>
      <c r="G86" s="20"/>
      <c r="H86" s="186"/>
      <c r="I86" s="187"/>
      <c r="J86" s="187"/>
      <c r="K86" s="187"/>
      <c r="L86" s="187"/>
      <c r="M86" s="188"/>
      <c r="N86" s="189"/>
      <c r="O86" s="198"/>
      <c r="P86" s="198"/>
      <c r="Q86" s="190"/>
      <c r="R86" s="35"/>
      <c r="S86" s="6" t="s">
        <v>14</v>
      </c>
      <c r="T86" s="21"/>
      <c r="U86" s="204"/>
      <c r="V86" s="205"/>
      <c r="W86" s="206"/>
    </row>
    <row r="87" spans="1:23" ht="14.55" customHeight="1" x14ac:dyDescent="0.3">
      <c r="A87" s="209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35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210"/>
      <c r="B88" s="165" t="s">
        <v>0</v>
      </c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7"/>
      <c r="N88" s="168">
        <f>SUM(N83:O87)</f>
        <v>532</v>
      </c>
      <c r="O88" s="197"/>
      <c r="P88" s="197"/>
      <c r="Q88" s="169"/>
      <c r="R88" s="10">
        <f>SUM(R83:R87)</f>
        <v>0</v>
      </c>
      <c r="S88" s="11" t="s">
        <v>14</v>
      </c>
      <c r="T88" s="9"/>
      <c r="U88" s="204"/>
      <c r="V88" s="205"/>
      <c r="W88" s="206"/>
    </row>
    <row r="89" spans="1:23" ht="14.55" customHeight="1" x14ac:dyDescent="0.3">
      <c r="D89"/>
      <c r="E89" s="1"/>
      <c r="F89" s="1"/>
      <c r="G89" s="1"/>
      <c r="H89" s="1"/>
      <c r="I89" s="1"/>
      <c r="R89"/>
    </row>
    <row r="90" spans="1:23" ht="14.55" customHeight="1" x14ac:dyDescent="0.3">
      <c r="D90"/>
      <c r="E90" s="165" t="s">
        <v>33</v>
      </c>
      <c r="F90" s="166"/>
      <c r="G90" s="166"/>
      <c r="H90" s="166"/>
      <c r="I90" s="166"/>
      <c r="J90" s="166"/>
      <c r="K90" s="166"/>
      <c r="L90" s="166"/>
      <c r="M90" s="167"/>
      <c r="N90" s="181" t="s">
        <v>7</v>
      </c>
      <c r="O90" s="199"/>
      <c r="P90" s="199"/>
      <c r="Q90" s="182"/>
      <c r="R90"/>
    </row>
    <row r="91" spans="1:23" ht="14.55" customHeight="1" x14ac:dyDescent="0.3">
      <c r="D91"/>
      <c r="E91" s="7"/>
      <c r="F91" s="7"/>
      <c r="G91" s="7"/>
      <c r="H91" s="7"/>
      <c r="I91" s="7"/>
      <c r="J91" s="22"/>
      <c r="K91" s="23"/>
      <c r="L91" s="22"/>
      <c r="M91" s="24"/>
      <c r="N91" s="200">
        <f>N88</f>
        <v>532</v>
      </c>
      <c r="O91" s="201"/>
      <c r="P91" s="202" t="s">
        <v>13</v>
      </c>
      <c r="Q91" s="203"/>
      <c r="R91"/>
    </row>
    <row r="92" spans="1:23" ht="14.55" customHeight="1" x14ac:dyDescent="0.3">
      <c r="D92"/>
      <c r="E92" s="13"/>
      <c r="F92" s="13"/>
      <c r="G92" s="13"/>
      <c r="H92" s="13"/>
      <c r="I92" s="13"/>
      <c r="J92" s="25"/>
      <c r="K92" s="25"/>
      <c r="L92" s="25"/>
      <c r="M92" s="25"/>
      <c r="N92" s="211">
        <f>N91</f>
        <v>532</v>
      </c>
      <c r="O92" s="212"/>
      <c r="P92" s="212"/>
      <c r="Q92" s="213"/>
      <c r="R92"/>
    </row>
  </sheetData>
  <mergeCells count="232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12"/>
    <mergeCell ref="H8:M8"/>
    <mergeCell ref="N8:O8"/>
    <mergeCell ref="P8:Q8"/>
    <mergeCell ref="H9:M9"/>
    <mergeCell ref="N9:O9"/>
    <mergeCell ref="H5:M6"/>
    <mergeCell ref="N5:Q5"/>
    <mergeCell ref="R5:S6"/>
    <mergeCell ref="T5:T6"/>
    <mergeCell ref="U5:W6"/>
    <mergeCell ref="N6:O6"/>
    <mergeCell ref="P6:Q6"/>
    <mergeCell ref="P9:Q9"/>
    <mergeCell ref="H10:M10"/>
    <mergeCell ref="N10:O10"/>
    <mergeCell ref="P10:Q10"/>
    <mergeCell ref="H11:M11"/>
    <mergeCell ref="N11:O11"/>
    <mergeCell ref="P11:Q11"/>
    <mergeCell ref="A7:A12"/>
    <mergeCell ref="H7:M7"/>
    <mergeCell ref="N7:O7"/>
    <mergeCell ref="P7:Q7"/>
    <mergeCell ref="B12:M12"/>
    <mergeCell ref="N12:O12"/>
    <mergeCell ref="P12:Q12"/>
    <mergeCell ref="A13:A18"/>
    <mergeCell ref="H13:M13"/>
    <mergeCell ref="N13:O13"/>
    <mergeCell ref="P13:Q13"/>
    <mergeCell ref="H17:M17"/>
    <mergeCell ref="N17:O17"/>
    <mergeCell ref="P17:Q17"/>
    <mergeCell ref="B18:M18"/>
    <mergeCell ref="N18:O18"/>
    <mergeCell ref="P18:Q18"/>
    <mergeCell ref="E20:M20"/>
    <mergeCell ref="N20:O20"/>
    <mergeCell ref="P20:Q20"/>
    <mergeCell ref="U13:W18"/>
    <mergeCell ref="H14:M14"/>
    <mergeCell ref="N14:O14"/>
    <mergeCell ref="P14:Q14"/>
    <mergeCell ref="H15:M15"/>
    <mergeCell ref="N15:O15"/>
    <mergeCell ref="P15:Q15"/>
    <mergeCell ref="H16:M16"/>
    <mergeCell ref="N16:O16"/>
    <mergeCell ref="P16:Q16"/>
    <mergeCell ref="N22:Q22"/>
    <mergeCell ref="A24:W24"/>
    <mergeCell ref="A25:A26"/>
    <mergeCell ref="B25:B26"/>
    <mergeCell ref="C25:C26"/>
    <mergeCell ref="D25:D26"/>
    <mergeCell ref="E25:E26"/>
    <mergeCell ref="F25:F26"/>
    <mergeCell ref="G25:G26"/>
    <mergeCell ref="H25:M26"/>
    <mergeCell ref="N25:Q25"/>
    <mergeCell ref="R25:S26"/>
    <mergeCell ref="T25:T26"/>
    <mergeCell ref="U25:W26"/>
    <mergeCell ref="N26:Q26"/>
    <mergeCell ref="A27:A32"/>
    <mergeCell ref="H27:M27"/>
    <mergeCell ref="N27:Q27"/>
    <mergeCell ref="U27:W32"/>
    <mergeCell ref="H28:M28"/>
    <mergeCell ref="B32:M32"/>
    <mergeCell ref="N32:Q32"/>
    <mergeCell ref="E34:M34"/>
    <mergeCell ref="N34:Q34"/>
    <mergeCell ref="N35:O35"/>
    <mergeCell ref="P35:Q35"/>
    <mergeCell ref="N28:Q28"/>
    <mergeCell ref="H29:M29"/>
    <mergeCell ref="N29:Q29"/>
    <mergeCell ref="H30:M30"/>
    <mergeCell ref="N30:Q30"/>
    <mergeCell ref="H31:M31"/>
    <mergeCell ref="N31:Q31"/>
    <mergeCell ref="N39:Q39"/>
    <mergeCell ref="R39:S40"/>
    <mergeCell ref="T39:T40"/>
    <mergeCell ref="U39:W40"/>
    <mergeCell ref="N40:O40"/>
    <mergeCell ref="P40:Q40"/>
    <mergeCell ref="N36:Q36"/>
    <mergeCell ref="A38:W38"/>
    <mergeCell ref="A39:A40"/>
    <mergeCell ref="B39:B40"/>
    <mergeCell ref="C39:C40"/>
    <mergeCell ref="D39:D40"/>
    <mergeCell ref="E39:E40"/>
    <mergeCell ref="F39:F40"/>
    <mergeCell ref="G39:G40"/>
    <mergeCell ref="H39:M40"/>
    <mergeCell ref="A41:A46"/>
    <mergeCell ref="H41:M41"/>
    <mergeCell ref="N41:O41"/>
    <mergeCell ref="P41:Q41"/>
    <mergeCell ref="U41:W46"/>
    <mergeCell ref="H42:M42"/>
    <mergeCell ref="N42:O42"/>
    <mergeCell ref="P42:Q42"/>
    <mergeCell ref="H43:M43"/>
    <mergeCell ref="N43:O43"/>
    <mergeCell ref="B46:M46"/>
    <mergeCell ref="N46:O46"/>
    <mergeCell ref="P46:Q46"/>
    <mergeCell ref="E48:M48"/>
    <mergeCell ref="N48:O48"/>
    <mergeCell ref="P48:Q48"/>
    <mergeCell ref="P43:Q43"/>
    <mergeCell ref="H44:M44"/>
    <mergeCell ref="N44:O44"/>
    <mergeCell ref="P44:Q44"/>
    <mergeCell ref="H45:M45"/>
    <mergeCell ref="N45:O45"/>
    <mergeCell ref="P45:Q45"/>
    <mergeCell ref="N50:Q50"/>
    <mergeCell ref="A52:W52"/>
    <mergeCell ref="A53:A54"/>
    <mergeCell ref="B53:B54"/>
    <mergeCell ref="C53:C54"/>
    <mergeCell ref="D53:D54"/>
    <mergeCell ref="E53:E54"/>
    <mergeCell ref="F53:F54"/>
    <mergeCell ref="G53:G54"/>
    <mergeCell ref="H53:M54"/>
    <mergeCell ref="N53:Q53"/>
    <mergeCell ref="R53:S54"/>
    <mergeCell ref="T53:T54"/>
    <mergeCell ref="U53:W54"/>
    <mergeCell ref="N54:Q54"/>
    <mergeCell ref="A55:A60"/>
    <mergeCell ref="H55:M55"/>
    <mergeCell ref="N55:Q55"/>
    <mergeCell ref="U55:W60"/>
    <mergeCell ref="H56:M56"/>
    <mergeCell ref="B60:M60"/>
    <mergeCell ref="N60:Q60"/>
    <mergeCell ref="E62:M62"/>
    <mergeCell ref="N62:Q62"/>
    <mergeCell ref="N63:O63"/>
    <mergeCell ref="P63:Q63"/>
    <mergeCell ref="N56:Q56"/>
    <mergeCell ref="H57:M57"/>
    <mergeCell ref="N57:Q57"/>
    <mergeCell ref="H58:M58"/>
    <mergeCell ref="N58:Q58"/>
    <mergeCell ref="H59:M59"/>
    <mergeCell ref="N59:Q59"/>
    <mergeCell ref="N64:Q64"/>
    <mergeCell ref="A66:W66"/>
    <mergeCell ref="A67:A68"/>
    <mergeCell ref="B67:B68"/>
    <mergeCell ref="C67:C68"/>
    <mergeCell ref="D67:D68"/>
    <mergeCell ref="E67:E68"/>
    <mergeCell ref="F67:F68"/>
    <mergeCell ref="G67:G68"/>
    <mergeCell ref="H67:M68"/>
    <mergeCell ref="N67:Q67"/>
    <mergeCell ref="R67:S68"/>
    <mergeCell ref="T67:T68"/>
    <mergeCell ref="U67:W68"/>
    <mergeCell ref="N68:Q68"/>
    <mergeCell ref="A69:A74"/>
    <mergeCell ref="H69:M69"/>
    <mergeCell ref="N69:Q69"/>
    <mergeCell ref="U69:W74"/>
    <mergeCell ref="H70:M70"/>
    <mergeCell ref="B74:M74"/>
    <mergeCell ref="N74:Q74"/>
    <mergeCell ref="E76:M76"/>
    <mergeCell ref="N76:Q76"/>
    <mergeCell ref="N77:O77"/>
    <mergeCell ref="P77:Q77"/>
    <mergeCell ref="N70:Q70"/>
    <mergeCell ref="H71:M71"/>
    <mergeCell ref="N71:Q71"/>
    <mergeCell ref="H72:M72"/>
    <mergeCell ref="N72:Q72"/>
    <mergeCell ref="H73:M73"/>
    <mergeCell ref="N73:Q73"/>
    <mergeCell ref="N78:Q78"/>
    <mergeCell ref="A80:W80"/>
    <mergeCell ref="A81:A82"/>
    <mergeCell ref="B81:B82"/>
    <mergeCell ref="C81:C82"/>
    <mergeCell ref="D81:D82"/>
    <mergeCell ref="E81:E82"/>
    <mergeCell ref="F81:F82"/>
    <mergeCell ref="G81:G82"/>
    <mergeCell ref="H81:M82"/>
    <mergeCell ref="N81:Q81"/>
    <mergeCell ref="R81:S82"/>
    <mergeCell ref="T81:T82"/>
    <mergeCell ref="U81:W82"/>
    <mergeCell ref="N82:Q82"/>
    <mergeCell ref="A83:A88"/>
    <mergeCell ref="H83:M83"/>
    <mergeCell ref="N83:Q83"/>
    <mergeCell ref="U83:W88"/>
    <mergeCell ref="H84:M84"/>
    <mergeCell ref="N92:Q92"/>
    <mergeCell ref="B88:M88"/>
    <mergeCell ref="N88:Q88"/>
    <mergeCell ref="E90:M90"/>
    <mergeCell ref="N90:Q90"/>
    <mergeCell ref="N91:O91"/>
    <mergeCell ref="P91:Q91"/>
    <mergeCell ref="N84:Q84"/>
    <mergeCell ref="H85:M85"/>
    <mergeCell ref="N85:Q85"/>
    <mergeCell ref="H86:M86"/>
    <mergeCell ref="N86:Q86"/>
    <mergeCell ref="H87:M87"/>
    <mergeCell ref="N87:Q87"/>
  </mergeCells>
  <pageMargins left="0.39370078740157483" right="0.19685039370078741" top="0.19685039370078741" bottom="0.19685039370078741" header="0.31496062992125984" footer="0.31496062992125984"/>
  <pageSetup paperSize="9" scale="5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94"/>
  <sheetViews>
    <sheetView zoomScale="85" zoomScaleNormal="85" workbookViewId="0">
      <selection activeCell="C69" sqref="C69:Q69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42.21875" bestFit="1" customWidth="1"/>
    <col min="6" max="6" width="5.6640625" customWidth="1"/>
    <col min="7" max="7" width="6.6640625" customWidth="1"/>
    <col min="8" max="9" width="3.6640625" customWidth="1"/>
    <col min="10" max="13" width="3.6640625" style="1" customWidth="1"/>
    <col min="14" max="14" width="6.6640625" style="1" customWidth="1"/>
    <col min="15" max="15" width="5.21875" style="1" customWidth="1"/>
    <col min="16" max="16" width="6.6640625" style="1" customWidth="1"/>
    <col min="17" max="17" width="5.21875" style="1" customWidth="1"/>
    <col min="18" max="18" width="5.6640625" style="1" customWidth="1"/>
    <col min="19" max="19" width="3.21875" customWidth="1"/>
    <col min="20" max="20" width="17.6640625" customWidth="1"/>
    <col min="21" max="23" width="6.6640625" customWidth="1"/>
  </cols>
  <sheetData>
    <row r="1" spans="1:23" x14ac:dyDescent="0.3">
      <c r="D1"/>
      <c r="J1"/>
      <c r="K1"/>
      <c r="L1"/>
      <c r="M1"/>
      <c r="N1"/>
      <c r="O1"/>
      <c r="P1"/>
      <c r="Q1"/>
      <c r="R1"/>
    </row>
    <row r="2" spans="1:23" x14ac:dyDescent="0.3">
      <c r="D2"/>
      <c r="J2"/>
      <c r="K2"/>
      <c r="L2"/>
      <c r="M2"/>
      <c r="N2"/>
      <c r="O2"/>
      <c r="P2"/>
      <c r="Q2"/>
      <c r="R2"/>
      <c r="T2" s="1"/>
      <c r="U2" s="1"/>
      <c r="V2" s="1"/>
      <c r="W2" s="1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45916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208" t="s">
        <v>37</v>
      </c>
      <c r="B7" s="5">
        <v>0.33333333333333331</v>
      </c>
      <c r="C7" s="5"/>
      <c r="D7" s="4">
        <v>10925</v>
      </c>
      <c r="E7" s="3" t="s">
        <v>34</v>
      </c>
      <c r="F7" s="19">
        <v>430</v>
      </c>
      <c r="G7" s="20">
        <v>0.8</v>
      </c>
      <c r="H7" s="186" t="s">
        <v>51</v>
      </c>
      <c r="I7" s="187"/>
      <c r="J7" s="187"/>
      <c r="K7" s="187"/>
      <c r="L7" s="187"/>
      <c r="M7" s="188"/>
      <c r="N7" s="189">
        <v>1200</v>
      </c>
      <c r="O7" s="190"/>
      <c r="P7" s="189"/>
      <c r="Q7" s="190"/>
      <c r="R7" s="35">
        <v>60</v>
      </c>
      <c r="S7" s="6" t="s">
        <v>14</v>
      </c>
      <c r="T7" s="21" t="s">
        <v>53</v>
      </c>
      <c r="U7" s="194"/>
      <c r="V7" s="195"/>
      <c r="W7" s="196"/>
    </row>
    <row r="8" spans="1:23" ht="14.55" customHeight="1" x14ac:dyDescent="0.3">
      <c r="A8" s="209"/>
      <c r="B8" s="5"/>
      <c r="C8" s="5">
        <v>0.70833333333333337</v>
      </c>
      <c r="D8" s="4">
        <v>10925</v>
      </c>
      <c r="E8" s="3" t="s">
        <v>52</v>
      </c>
      <c r="F8" s="19">
        <v>430</v>
      </c>
      <c r="G8" s="20">
        <v>0.8</v>
      </c>
      <c r="H8" s="186" t="s">
        <v>51</v>
      </c>
      <c r="I8" s="187"/>
      <c r="J8" s="187"/>
      <c r="K8" s="187"/>
      <c r="L8" s="187"/>
      <c r="M8" s="188"/>
      <c r="N8" s="189">
        <v>500</v>
      </c>
      <c r="O8" s="190"/>
      <c r="P8" s="189"/>
      <c r="Q8" s="190"/>
      <c r="R8" s="35">
        <v>60</v>
      </c>
      <c r="S8" s="6" t="s">
        <v>14</v>
      </c>
      <c r="T8" s="21" t="s">
        <v>53</v>
      </c>
      <c r="U8" s="194"/>
      <c r="V8" s="195"/>
      <c r="W8" s="196"/>
    </row>
    <row r="9" spans="1:23" ht="14.55" customHeight="1" x14ac:dyDescent="0.3">
      <c r="A9" s="209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35"/>
      <c r="S9" s="6" t="s">
        <v>14</v>
      </c>
      <c r="T9" s="21"/>
      <c r="U9" s="194"/>
      <c r="V9" s="195"/>
      <c r="W9" s="196"/>
    </row>
    <row r="10" spans="1:23" ht="14.55" customHeight="1" x14ac:dyDescent="0.3">
      <c r="A10" s="210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1700</v>
      </c>
      <c r="O10" s="169"/>
      <c r="P10" s="168">
        <f>SUM(P7:Q9)</f>
        <v>0</v>
      </c>
      <c r="Q10" s="169"/>
      <c r="R10" s="10">
        <f>SUM(R7:R9)</f>
        <v>120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208" t="s">
        <v>17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3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209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35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209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3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210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/>
      <c r="E15" s="1"/>
      <c r="F15" s="1"/>
      <c r="G15" s="1"/>
      <c r="H15" s="1"/>
      <c r="I15" s="1"/>
      <c r="R15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2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36">
        <f>N10+N14</f>
        <v>1700</v>
      </c>
      <c r="O17" s="14" t="s">
        <v>13</v>
      </c>
      <c r="P17" s="36">
        <f>P10+P14</f>
        <v>0</v>
      </c>
      <c r="Q17" s="15" t="s">
        <v>13</v>
      </c>
    </row>
    <row r="18" spans="1:23" ht="15" customHeight="1" x14ac:dyDescent="0.3">
      <c r="D18"/>
      <c r="J18"/>
      <c r="K18"/>
      <c r="L18"/>
      <c r="M18"/>
      <c r="N18"/>
      <c r="O18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208" t="s">
        <v>44</v>
      </c>
      <c r="B22" s="5">
        <v>0.33333333333333331</v>
      </c>
      <c r="C22" s="5"/>
      <c r="D22" s="4">
        <v>10925</v>
      </c>
      <c r="E22" s="3" t="s">
        <v>34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1100</v>
      </c>
      <c r="O22" s="198"/>
      <c r="P22" s="198"/>
      <c r="Q22" s="190"/>
      <c r="R22" s="35"/>
      <c r="S22" s="6" t="s">
        <v>14</v>
      </c>
      <c r="T22" s="21"/>
      <c r="U22" s="191" t="s">
        <v>55</v>
      </c>
      <c r="V22" s="192"/>
      <c r="W22" s="193"/>
    </row>
    <row r="23" spans="1:23" ht="14.55" customHeight="1" x14ac:dyDescent="0.3">
      <c r="A23" s="209"/>
      <c r="B23" s="5"/>
      <c r="C23" s="5"/>
      <c r="D23" s="4">
        <v>10925</v>
      </c>
      <c r="E23" s="3" t="s">
        <v>52</v>
      </c>
      <c r="F23" s="19">
        <v>430</v>
      </c>
      <c r="G23" s="20">
        <v>0.8</v>
      </c>
      <c r="H23" s="186"/>
      <c r="I23" s="187"/>
      <c r="J23" s="187"/>
      <c r="K23" s="187"/>
      <c r="L23" s="187"/>
      <c r="M23" s="188"/>
      <c r="N23" s="189">
        <v>250</v>
      </c>
      <c r="O23" s="198"/>
      <c r="P23" s="198"/>
      <c r="Q23" s="190"/>
      <c r="R23" s="3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209"/>
      <c r="B24" s="5"/>
      <c r="C24" s="5">
        <v>0.70833333333333337</v>
      </c>
      <c r="D24" s="4">
        <v>90725</v>
      </c>
      <c r="E24" s="3" t="s">
        <v>54</v>
      </c>
      <c r="F24" s="19">
        <v>304</v>
      </c>
      <c r="G24" s="20">
        <v>0.9</v>
      </c>
      <c r="H24" s="186"/>
      <c r="I24" s="187"/>
      <c r="J24" s="187"/>
      <c r="K24" s="187"/>
      <c r="L24" s="187"/>
      <c r="M24" s="188"/>
      <c r="N24" s="189">
        <v>400</v>
      </c>
      <c r="O24" s="198"/>
      <c r="P24" s="198"/>
      <c r="Q24" s="190"/>
      <c r="R24" s="35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209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35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210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1750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/>
      <c r="E27" s="1"/>
      <c r="F27" s="1"/>
      <c r="G27" s="1"/>
      <c r="H27" s="1"/>
      <c r="I27" s="1"/>
      <c r="R2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2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1750</v>
      </c>
      <c r="O29" s="201"/>
      <c r="P29" s="202" t="s">
        <v>13</v>
      </c>
      <c r="Q29" s="203"/>
    </row>
    <row r="30" spans="1:23" ht="15" customHeight="1" x14ac:dyDescent="0.3">
      <c r="D30"/>
      <c r="J30"/>
      <c r="K30"/>
      <c r="L30"/>
      <c r="M30"/>
      <c r="N30"/>
      <c r="O30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208" t="s">
        <v>46</v>
      </c>
      <c r="B34" s="5">
        <v>0.33333333333333331</v>
      </c>
      <c r="C34" s="5">
        <v>0.70833333333333337</v>
      </c>
      <c r="D34" s="4">
        <v>10925</v>
      </c>
      <c r="E34" s="3" t="s">
        <v>34</v>
      </c>
      <c r="F34" s="19">
        <v>430</v>
      </c>
      <c r="G34" s="20">
        <v>0.8</v>
      </c>
      <c r="H34" s="186" t="s">
        <v>56</v>
      </c>
      <c r="I34" s="187"/>
      <c r="J34" s="187"/>
      <c r="K34" s="187"/>
      <c r="L34" s="187"/>
      <c r="M34" s="188"/>
      <c r="N34" s="189">
        <v>1940</v>
      </c>
      <c r="O34" s="190"/>
      <c r="P34" s="189"/>
      <c r="Q34" s="190"/>
      <c r="R34" s="35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209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35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209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35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210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1940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/>
      <c r="E38" s="1"/>
      <c r="F38" s="1"/>
      <c r="G38" s="1"/>
      <c r="H38" s="1"/>
      <c r="I38" s="1"/>
      <c r="R38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2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36">
        <f>N37</f>
        <v>1940</v>
      </c>
      <c r="O40" s="14" t="s">
        <v>13</v>
      </c>
      <c r="P40" s="36">
        <f>P37</f>
        <v>0</v>
      </c>
      <c r="Q40" s="15" t="s">
        <v>13</v>
      </c>
    </row>
    <row r="41" spans="1:23" ht="15" customHeight="1" x14ac:dyDescent="0.3">
      <c r="D41"/>
      <c r="J41"/>
      <c r="K41"/>
      <c r="L41"/>
      <c r="M41"/>
      <c r="N41"/>
      <c r="O4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208" t="s">
        <v>45</v>
      </c>
      <c r="B45" s="5">
        <v>0.33333333333333331</v>
      </c>
      <c r="C45" s="5">
        <v>0.70833333333333337</v>
      </c>
      <c r="D45" s="4">
        <v>10925</v>
      </c>
      <c r="E45" s="3" t="s">
        <v>34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2100</v>
      </c>
      <c r="O45" s="198"/>
      <c r="P45" s="198"/>
      <c r="Q45" s="190"/>
      <c r="R45" s="35"/>
      <c r="S45" s="6" t="s">
        <v>14</v>
      </c>
      <c r="T45" s="21"/>
      <c r="U45" s="191" t="s">
        <v>57</v>
      </c>
      <c r="V45" s="192"/>
      <c r="W45" s="193"/>
    </row>
    <row r="46" spans="1:23" ht="14.55" customHeight="1" x14ac:dyDescent="0.3">
      <c r="A46" s="209"/>
      <c r="B46" s="5"/>
      <c r="C46" s="5"/>
      <c r="D46" s="4"/>
      <c r="E46" s="3"/>
      <c r="F46" s="19"/>
      <c r="G46" s="20"/>
      <c r="H46" s="186"/>
      <c r="I46" s="187"/>
      <c r="J46" s="187"/>
      <c r="K46" s="187"/>
      <c r="L46" s="187"/>
      <c r="M46" s="188"/>
      <c r="N46" s="189"/>
      <c r="O46" s="198"/>
      <c r="P46" s="198"/>
      <c r="Q46" s="190"/>
      <c r="R46" s="35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209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35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210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2100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/>
      <c r="E49" s="1"/>
      <c r="F49" s="1"/>
      <c r="G49" s="1"/>
      <c r="H49" s="1"/>
      <c r="I49" s="1"/>
      <c r="R4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2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2100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208" t="s">
        <v>47</v>
      </c>
      <c r="B56" s="5">
        <v>0.33333333333333331</v>
      </c>
      <c r="C56" s="5">
        <v>0.70833333333333337</v>
      </c>
      <c r="D56" s="4">
        <v>10925</v>
      </c>
      <c r="E56" s="3" t="s">
        <v>34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1500</v>
      </c>
      <c r="O56" s="198"/>
      <c r="P56" s="198"/>
      <c r="Q56" s="190"/>
      <c r="R56" s="35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209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35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209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3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210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1500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/>
      <c r="E60" s="1"/>
      <c r="F60" s="1"/>
      <c r="G60" s="1"/>
      <c r="H60" s="1"/>
      <c r="I60" s="1"/>
      <c r="R60"/>
    </row>
    <row r="61" spans="1:23" ht="14.55" customHeight="1" x14ac:dyDescent="0.3">
      <c r="D6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/>
    </row>
    <row r="62" spans="1:23" ht="14.55" customHeight="1" x14ac:dyDescent="0.3">
      <c r="D62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1500</v>
      </c>
      <c r="O62" s="201"/>
      <c r="P62" s="202" t="s">
        <v>13</v>
      </c>
      <c r="Q62" s="203"/>
      <c r="R62"/>
    </row>
    <row r="63" spans="1:23" ht="14.55" customHeight="1" x14ac:dyDescent="0.3">
      <c r="D63"/>
      <c r="E63" s="1"/>
      <c r="F63" s="1"/>
      <c r="G63" s="1"/>
      <c r="H63" s="1"/>
      <c r="I63" s="1"/>
      <c r="P63" s="31"/>
      <c r="Q63" s="31"/>
      <c r="R63" s="32"/>
      <c r="S63" s="32"/>
    </row>
    <row r="64" spans="1:23" s="8" customFormat="1" ht="30" customHeight="1" x14ac:dyDescent="0.3">
      <c r="A64" s="155" t="s">
        <v>58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/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208" t="s">
        <v>49</v>
      </c>
      <c r="B67" s="5">
        <v>0.33333333333333331</v>
      </c>
      <c r="C67" s="5"/>
      <c r="D67" s="4">
        <v>250825</v>
      </c>
      <c r="E67" s="3" t="s">
        <v>60</v>
      </c>
      <c r="F67" s="19">
        <v>430</v>
      </c>
      <c r="G67" s="20">
        <v>0.8</v>
      </c>
      <c r="H67" s="186" t="s">
        <v>61</v>
      </c>
      <c r="I67" s="187"/>
      <c r="J67" s="187"/>
      <c r="K67" s="187"/>
      <c r="L67" s="187"/>
      <c r="M67" s="188"/>
      <c r="N67" s="189">
        <v>42</v>
      </c>
      <c r="O67" s="198"/>
      <c r="P67" s="198"/>
      <c r="Q67" s="190"/>
      <c r="R67" s="35"/>
      <c r="S67" t="s">
        <v>14</v>
      </c>
      <c r="T67" s="21"/>
      <c r="U67" s="191" t="s">
        <v>64</v>
      </c>
      <c r="V67" s="192"/>
      <c r="W67" s="193"/>
    </row>
    <row r="68" spans="1:23" ht="14.55" customHeight="1" x14ac:dyDescent="0.3">
      <c r="A68" s="209"/>
      <c r="B68" s="5"/>
      <c r="C68" s="5"/>
      <c r="D68" s="4">
        <v>250825</v>
      </c>
      <c r="E68" s="3" t="s">
        <v>62</v>
      </c>
      <c r="F68" s="19">
        <v>430</v>
      </c>
      <c r="G68" s="20">
        <v>0.8</v>
      </c>
      <c r="H68" s="186" t="s">
        <v>61</v>
      </c>
      <c r="I68" s="187"/>
      <c r="J68" s="187"/>
      <c r="K68" s="187"/>
      <c r="L68" s="187"/>
      <c r="M68" s="188"/>
      <c r="N68" s="189">
        <v>1200</v>
      </c>
      <c r="O68" s="198"/>
      <c r="P68" s="198"/>
      <c r="Q68" s="190"/>
      <c r="R68" s="35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209"/>
      <c r="B69" s="5"/>
      <c r="C69" s="5">
        <v>0.70833333333333337</v>
      </c>
      <c r="D69" s="4">
        <v>90725</v>
      </c>
      <c r="E69" s="3" t="s">
        <v>63</v>
      </c>
      <c r="F69" s="19">
        <v>304</v>
      </c>
      <c r="G69" s="20">
        <v>0.9</v>
      </c>
      <c r="H69" s="186" t="s">
        <v>67</v>
      </c>
      <c r="I69" s="187"/>
      <c r="J69" s="187"/>
      <c r="K69" s="187"/>
      <c r="L69" s="187"/>
      <c r="M69" s="188"/>
      <c r="N69" s="189">
        <v>1440</v>
      </c>
      <c r="O69" s="198"/>
      <c r="P69" s="198"/>
      <c r="Q69" s="190"/>
      <c r="R69" s="37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209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8"/>
      <c r="P70" s="198"/>
      <c r="Q70" s="190"/>
      <c r="R70" s="37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209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8"/>
      <c r="P71" s="198"/>
      <c r="Q71" s="190"/>
      <c r="R71" s="37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209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8"/>
      <c r="P72" s="198"/>
      <c r="Q72" s="190"/>
      <c r="R72" s="37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209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8"/>
      <c r="P73" s="198"/>
      <c r="Q73" s="190"/>
      <c r="R73" s="37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209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8"/>
      <c r="P74" s="198"/>
      <c r="Q74" s="190"/>
      <c r="R74" s="37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209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8"/>
      <c r="P75" s="198"/>
      <c r="Q75" s="190"/>
      <c r="R75" s="35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209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8"/>
      <c r="P76" s="198"/>
      <c r="Q76" s="190"/>
      <c r="R76" s="35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209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35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210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2682</v>
      </c>
      <c r="O78" s="197"/>
      <c r="P78" s="197"/>
      <c r="Q78" s="169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/>
      <c r="E79" s="1"/>
      <c r="F79" s="1"/>
      <c r="G79" s="1"/>
      <c r="H79" s="1"/>
      <c r="I79" s="1"/>
      <c r="R79"/>
    </row>
    <row r="80" spans="1:23" ht="14.55" customHeight="1" x14ac:dyDescent="0.3">
      <c r="D80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99"/>
      <c r="P80" s="199"/>
      <c r="Q80" s="182"/>
      <c r="R80"/>
    </row>
    <row r="81" spans="1:23" ht="14.55" customHeight="1" x14ac:dyDescent="0.3">
      <c r="D81"/>
      <c r="E81" s="7"/>
      <c r="F81" s="7"/>
      <c r="G81" s="7"/>
      <c r="H81" s="7"/>
      <c r="I81" s="7"/>
      <c r="J81" s="22"/>
      <c r="K81" s="23"/>
      <c r="L81" s="22"/>
      <c r="M81" s="24"/>
      <c r="N81" s="200">
        <f>N78</f>
        <v>2682</v>
      </c>
      <c r="O81" s="201"/>
      <c r="P81" s="202" t="s">
        <v>13</v>
      </c>
      <c r="Q81" s="203"/>
      <c r="R81"/>
    </row>
    <row r="82" spans="1:23" x14ac:dyDescent="0.3">
      <c r="P82" s="31"/>
      <c r="Q82" s="31"/>
      <c r="R82" s="31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208" t="s">
        <v>49</v>
      </c>
      <c r="B86" s="5">
        <v>0.33333333333333331</v>
      </c>
      <c r="C86" s="5"/>
      <c r="D86" s="4">
        <v>250825</v>
      </c>
      <c r="E86" s="3" t="s">
        <v>59</v>
      </c>
      <c r="F86" s="19">
        <v>430</v>
      </c>
      <c r="G86" s="20">
        <v>0.8</v>
      </c>
      <c r="H86" s="186" t="s">
        <v>50</v>
      </c>
      <c r="I86" s="187"/>
      <c r="J86" s="187"/>
      <c r="K86" s="187"/>
      <c r="L86" s="187"/>
      <c r="M86" s="188"/>
      <c r="N86" s="189">
        <v>99</v>
      </c>
      <c r="O86" s="198"/>
      <c r="P86" s="198"/>
      <c r="Q86" s="190"/>
      <c r="R86" s="37"/>
      <c r="S86" t="s">
        <v>14</v>
      </c>
      <c r="T86" s="21"/>
      <c r="U86" s="204"/>
      <c r="V86" s="205"/>
      <c r="W86" s="206"/>
    </row>
    <row r="87" spans="1:23" ht="14.55" customHeight="1" x14ac:dyDescent="0.3">
      <c r="A87" s="209"/>
      <c r="B87" s="5"/>
      <c r="C87" s="5">
        <v>0.70833333333333337</v>
      </c>
      <c r="D87" s="4">
        <v>250825</v>
      </c>
      <c r="E87" s="3" t="s">
        <v>60</v>
      </c>
      <c r="F87" s="19">
        <v>430</v>
      </c>
      <c r="G87" s="20">
        <v>0.8</v>
      </c>
      <c r="H87" s="186" t="s">
        <v>50</v>
      </c>
      <c r="I87" s="187"/>
      <c r="J87" s="187"/>
      <c r="K87" s="187"/>
      <c r="L87" s="187"/>
      <c r="M87" s="188"/>
      <c r="N87" s="189">
        <v>379</v>
      </c>
      <c r="O87" s="198"/>
      <c r="P87" s="198"/>
      <c r="Q87" s="190"/>
      <c r="R87" s="37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209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37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209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37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209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37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210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478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/>
      <c r="E92" s="1"/>
      <c r="F92" s="1"/>
      <c r="G92" s="1"/>
      <c r="H92" s="1"/>
      <c r="I92" s="1"/>
      <c r="R92"/>
    </row>
    <row r="93" spans="1:23" ht="14.55" customHeight="1" x14ac:dyDescent="0.3">
      <c r="D93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/>
    </row>
    <row r="94" spans="1:23" ht="14.55" customHeight="1" x14ac:dyDescent="0.3">
      <c r="D94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478</v>
      </c>
      <c r="O94" s="201"/>
      <c r="P94" s="202" t="s">
        <v>13</v>
      </c>
      <c r="Q94" s="203"/>
      <c r="R94"/>
    </row>
  </sheetData>
  <mergeCells count="242">
    <mergeCell ref="N94:O94"/>
    <mergeCell ref="P94:Q94"/>
    <mergeCell ref="H69:M69"/>
    <mergeCell ref="N69:Q69"/>
    <mergeCell ref="H70:M70"/>
    <mergeCell ref="N70:Q70"/>
    <mergeCell ref="H71:M71"/>
    <mergeCell ref="N71:Q71"/>
    <mergeCell ref="H72:M72"/>
    <mergeCell ref="N72:Q72"/>
    <mergeCell ref="H73:M73"/>
    <mergeCell ref="N73:Q73"/>
    <mergeCell ref="H74:M74"/>
    <mergeCell ref="N74:Q74"/>
    <mergeCell ref="A83:W83"/>
    <mergeCell ref="A84:A85"/>
    <mergeCell ref="B84:B85"/>
    <mergeCell ref="C84:C85"/>
    <mergeCell ref="D84:D85"/>
    <mergeCell ref="E84:E85"/>
    <mergeCell ref="F84:F85"/>
    <mergeCell ref="G84:G85"/>
    <mergeCell ref="H84:M85"/>
    <mergeCell ref="N84:Q84"/>
    <mergeCell ref="N13:O13"/>
    <mergeCell ref="P13:Q13"/>
    <mergeCell ref="B14:M14"/>
    <mergeCell ref="N14:O14"/>
    <mergeCell ref="E93:M93"/>
    <mergeCell ref="N93:Q93"/>
    <mergeCell ref="A86:A91"/>
    <mergeCell ref="H86:M86"/>
    <mergeCell ref="N86:Q86"/>
    <mergeCell ref="A22:A26"/>
    <mergeCell ref="H22:M22"/>
    <mergeCell ref="N22:Q22"/>
    <mergeCell ref="N32:Q32"/>
    <mergeCell ref="A34:A37"/>
    <mergeCell ref="H34:M34"/>
    <mergeCell ref="N34:O34"/>
    <mergeCell ref="P34:Q34"/>
    <mergeCell ref="A42:W42"/>
    <mergeCell ref="A43:A44"/>
    <mergeCell ref="B43:B44"/>
    <mergeCell ref="C43:C44"/>
    <mergeCell ref="D43:D44"/>
    <mergeCell ref="U86:W91"/>
    <mergeCell ref="H87:M87"/>
    <mergeCell ref="N87:Q87"/>
    <mergeCell ref="H88:M88"/>
    <mergeCell ref="N88:Q88"/>
    <mergeCell ref="H89:M89"/>
    <mergeCell ref="N89:Q89"/>
    <mergeCell ref="H90:M90"/>
    <mergeCell ref="N90:Q90"/>
    <mergeCell ref="B91:M91"/>
    <mergeCell ref="N91:Q91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R84:S85"/>
    <mergeCell ref="T84:T85"/>
    <mergeCell ref="U84:W85"/>
    <mergeCell ref="N85:Q85"/>
    <mergeCell ref="U5:W6"/>
    <mergeCell ref="N6:O6"/>
    <mergeCell ref="P6:Q6"/>
    <mergeCell ref="H9:M9"/>
    <mergeCell ref="N9:O9"/>
    <mergeCell ref="P9:Q9"/>
    <mergeCell ref="E16:M16"/>
    <mergeCell ref="N16:O16"/>
    <mergeCell ref="P16:Q16"/>
    <mergeCell ref="U11:W14"/>
    <mergeCell ref="H12:M12"/>
    <mergeCell ref="N12:O12"/>
    <mergeCell ref="P12:Q12"/>
    <mergeCell ref="N7:O7"/>
    <mergeCell ref="P7:Q7"/>
    <mergeCell ref="B10:M10"/>
    <mergeCell ref="N10:O10"/>
    <mergeCell ref="P10:Q10"/>
    <mergeCell ref="U7:W10"/>
    <mergeCell ref="H8:M8"/>
    <mergeCell ref="N8:O8"/>
    <mergeCell ref="P8:Q8"/>
    <mergeCell ref="R20:S21"/>
    <mergeCell ref="T20:T21"/>
    <mergeCell ref="U20:W21"/>
    <mergeCell ref="N21:Q21"/>
    <mergeCell ref="A11:A14"/>
    <mergeCell ref="H11:M11"/>
    <mergeCell ref="N11:O11"/>
    <mergeCell ref="P14:Q14"/>
    <mergeCell ref="A19:W19"/>
    <mergeCell ref="A20:A21"/>
    <mergeCell ref="B20:B21"/>
    <mergeCell ref="C20:C21"/>
    <mergeCell ref="D20:D21"/>
    <mergeCell ref="E20:E21"/>
    <mergeCell ref="F20:F21"/>
    <mergeCell ref="G20:G21"/>
    <mergeCell ref="H20:M21"/>
    <mergeCell ref="N20:Q20"/>
    <mergeCell ref="A7:A10"/>
    <mergeCell ref="H7:M7"/>
    <mergeCell ref="P11:Q11"/>
    <mergeCell ref="H13:M13"/>
    <mergeCell ref="U22:W26"/>
    <mergeCell ref="H23:M23"/>
    <mergeCell ref="B26:M26"/>
    <mergeCell ref="N26:Q26"/>
    <mergeCell ref="E28:M28"/>
    <mergeCell ref="N28:Q28"/>
    <mergeCell ref="N29:O29"/>
    <mergeCell ref="P29:Q29"/>
    <mergeCell ref="N23:Q23"/>
    <mergeCell ref="H24:M24"/>
    <mergeCell ref="N24:Q24"/>
    <mergeCell ref="H25:M25"/>
    <mergeCell ref="N25:Q25"/>
    <mergeCell ref="R32:S33"/>
    <mergeCell ref="T32:T33"/>
    <mergeCell ref="U32:W33"/>
    <mergeCell ref="N33:O33"/>
    <mergeCell ref="P33:Q33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43:E44"/>
    <mergeCell ref="F43:F44"/>
    <mergeCell ref="G43:G44"/>
    <mergeCell ref="H43:M44"/>
    <mergeCell ref="N43:Q43"/>
    <mergeCell ref="R43:S44"/>
    <mergeCell ref="T43:T44"/>
    <mergeCell ref="U43:W44"/>
    <mergeCell ref="N44:Q44"/>
    <mergeCell ref="A45:A48"/>
    <mergeCell ref="H45:M45"/>
    <mergeCell ref="N45:Q45"/>
    <mergeCell ref="U45:W48"/>
    <mergeCell ref="B48:M48"/>
    <mergeCell ref="N48:Q48"/>
    <mergeCell ref="E50:M50"/>
    <mergeCell ref="N50:Q50"/>
    <mergeCell ref="N51:O51"/>
    <mergeCell ref="P51:Q51"/>
    <mergeCell ref="H46:M46"/>
    <mergeCell ref="N46:Q46"/>
    <mergeCell ref="H47:M47"/>
    <mergeCell ref="N47:Q47"/>
    <mergeCell ref="A53:W53"/>
    <mergeCell ref="A54:A55"/>
    <mergeCell ref="B54:B55"/>
    <mergeCell ref="C54:C55"/>
    <mergeCell ref="D54:D55"/>
    <mergeCell ref="E54:E55"/>
    <mergeCell ref="F54:F55"/>
    <mergeCell ref="G54:G55"/>
    <mergeCell ref="H54:M55"/>
    <mergeCell ref="N54:Q54"/>
    <mergeCell ref="R54:S55"/>
    <mergeCell ref="T54:T55"/>
    <mergeCell ref="U54:W55"/>
    <mergeCell ref="N55:Q55"/>
    <mergeCell ref="A56:A59"/>
    <mergeCell ref="H56:M56"/>
    <mergeCell ref="N56:Q56"/>
    <mergeCell ref="U56:W59"/>
    <mergeCell ref="B59:M59"/>
    <mergeCell ref="N59:Q59"/>
    <mergeCell ref="E61:M61"/>
    <mergeCell ref="N61:Q61"/>
    <mergeCell ref="N62:O62"/>
    <mergeCell ref="P62:Q62"/>
    <mergeCell ref="H57:M57"/>
    <mergeCell ref="N57:Q57"/>
    <mergeCell ref="H58:M58"/>
    <mergeCell ref="N58:Q58"/>
    <mergeCell ref="A64:W64"/>
    <mergeCell ref="A65:A66"/>
    <mergeCell ref="B65:B66"/>
    <mergeCell ref="C65:C66"/>
    <mergeCell ref="D65:D66"/>
    <mergeCell ref="E65:E66"/>
    <mergeCell ref="F65:F66"/>
    <mergeCell ref="G65:G66"/>
    <mergeCell ref="H65:M66"/>
    <mergeCell ref="N65:Q65"/>
    <mergeCell ref="R65:S66"/>
    <mergeCell ref="T65:T66"/>
    <mergeCell ref="U65:W66"/>
    <mergeCell ref="N66:Q66"/>
    <mergeCell ref="A67:A78"/>
    <mergeCell ref="H67:M67"/>
    <mergeCell ref="N67:Q67"/>
    <mergeCell ref="U67:W78"/>
    <mergeCell ref="H68:M68"/>
    <mergeCell ref="B78:M78"/>
    <mergeCell ref="N78:Q78"/>
    <mergeCell ref="E80:M80"/>
    <mergeCell ref="N80:Q80"/>
    <mergeCell ref="N81:O81"/>
    <mergeCell ref="P81:Q81"/>
    <mergeCell ref="N68:Q68"/>
    <mergeCell ref="H75:M75"/>
    <mergeCell ref="N75:Q75"/>
    <mergeCell ref="H76:M76"/>
    <mergeCell ref="N76:Q76"/>
    <mergeCell ref="H77:M77"/>
    <mergeCell ref="N77:Q77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W95"/>
  <sheetViews>
    <sheetView topLeftCell="A13" zoomScale="85" zoomScaleNormal="85" workbookViewId="0">
      <selection activeCell="D68" sqref="D68:M68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42.21875" bestFit="1" customWidth="1"/>
    <col min="6" max="6" width="5.6640625" customWidth="1"/>
    <col min="7" max="7" width="6.6640625" customWidth="1"/>
    <col min="8" max="9" width="3.6640625" customWidth="1"/>
    <col min="10" max="13" width="3.6640625" style="1" customWidth="1"/>
    <col min="14" max="14" width="6.6640625" style="1" customWidth="1"/>
    <col min="15" max="15" width="5.21875" style="1" customWidth="1"/>
    <col min="16" max="16" width="6.6640625" style="1" customWidth="1"/>
    <col min="17" max="17" width="5.21875" style="1" customWidth="1"/>
    <col min="18" max="18" width="5.6640625" style="1" customWidth="1"/>
    <col min="19" max="19" width="3.21875" customWidth="1"/>
    <col min="20" max="20" width="17.6640625" customWidth="1"/>
    <col min="21" max="23" width="6.6640625" customWidth="1"/>
  </cols>
  <sheetData>
    <row r="1" spans="1:23" x14ac:dyDescent="0.3">
      <c r="D1"/>
      <c r="J1"/>
      <c r="K1"/>
      <c r="L1"/>
      <c r="M1"/>
      <c r="N1"/>
      <c r="O1"/>
      <c r="P1"/>
      <c r="Q1"/>
      <c r="R1"/>
    </row>
    <row r="2" spans="1:23" x14ac:dyDescent="0.3">
      <c r="D2"/>
      <c r="J2"/>
      <c r="K2"/>
      <c r="L2"/>
      <c r="M2"/>
      <c r="N2"/>
      <c r="O2"/>
      <c r="P2"/>
      <c r="Q2"/>
      <c r="R2"/>
      <c r="T2" s="1"/>
      <c r="U2" s="1"/>
      <c r="V2" s="1"/>
      <c r="W2" s="1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4">
        <v>10925</v>
      </c>
      <c r="E7" s="3" t="s">
        <v>52</v>
      </c>
      <c r="F7" s="19">
        <v>430</v>
      </c>
      <c r="G7" s="20">
        <v>0.8</v>
      </c>
      <c r="H7" s="186" t="s">
        <v>51</v>
      </c>
      <c r="I7" s="187"/>
      <c r="J7" s="187"/>
      <c r="K7" s="187"/>
      <c r="L7" s="187"/>
      <c r="M7" s="188"/>
      <c r="N7" s="189">
        <v>2190</v>
      </c>
      <c r="O7" s="190"/>
      <c r="P7" s="189"/>
      <c r="Q7" s="190"/>
      <c r="R7" s="40">
        <v>60</v>
      </c>
      <c r="S7" s="6" t="s">
        <v>14</v>
      </c>
      <c r="T7" s="21" t="s">
        <v>53</v>
      </c>
      <c r="U7" s="194" t="s">
        <v>75</v>
      </c>
      <c r="V7" s="195"/>
      <c r="W7" s="196"/>
    </row>
    <row r="8" spans="1:23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37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37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2190</v>
      </c>
      <c r="O10" s="169"/>
      <c r="P10" s="168">
        <f>SUM(P7:Q9)</f>
        <v>0</v>
      </c>
      <c r="Q10" s="169"/>
      <c r="R10" s="10">
        <f>SUM(R7:R9)</f>
        <v>60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37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37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37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/>
      <c r="E15" s="1"/>
      <c r="F15" s="1"/>
      <c r="G15" s="1"/>
      <c r="H15" s="1"/>
      <c r="I15" s="1"/>
      <c r="R15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2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38">
        <f>N10+N14</f>
        <v>2190</v>
      </c>
      <c r="O17" s="14" t="s">
        <v>13</v>
      </c>
      <c r="P17" s="38">
        <f>P10+P14</f>
        <v>0</v>
      </c>
      <c r="Q17" s="15" t="s">
        <v>13</v>
      </c>
    </row>
    <row r="18" spans="1:23" ht="15" customHeight="1" x14ac:dyDescent="0.3">
      <c r="D18"/>
      <c r="J18"/>
      <c r="K18"/>
      <c r="L18"/>
      <c r="M18"/>
      <c r="N18"/>
      <c r="O18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4">
        <v>10925</v>
      </c>
      <c r="E22" s="3" t="s">
        <v>52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2200</v>
      </c>
      <c r="O22" s="198"/>
      <c r="P22" s="198"/>
      <c r="Q22" s="190"/>
      <c r="R22" s="4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37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37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37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2200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/>
      <c r="E27" s="1"/>
      <c r="F27" s="1"/>
      <c r="G27" s="1"/>
      <c r="H27" s="1"/>
      <c r="I27" s="1"/>
      <c r="R2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2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2200</v>
      </c>
      <c r="O29" s="201"/>
      <c r="P29" s="202" t="s">
        <v>13</v>
      </c>
      <c r="Q29" s="203"/>
    </row>
    <row r="30" spans="1:23" ht="15" customHeight="1" x14ac:dyDescent="0.3">
      <c r="D30"/>
      <c r="J30"/>
      <c r="K30"/>
      <c r="L30"/>
      <c r="M30"/>
      <c r="N30"/>
      <c r="O30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4">
        <v>10925</v>
      </c>
      <c r="E34" s="3" t="s">
        <v>52</v>
      </c>
      <c r="F34" s="19">
        <v>430</v>
      </c>
      <c r="G34" s="20">
        <v>0.8</v>
      </c>
      <c r="H34" s="186" t="s">
        <v>56</v>
      </c>
      <c r="I34" s="187"/>
      <c r="J34" s="187"/>
      <c r="K34" s="187"/>
      <c r="L34" s="187"/>
      <c r="M34" s="188"/>
      <c r="N34" s="189">
        <v>2000</v>
      </c>
      <c r="O34" s="190"/>
      <c r="P34" s="189"/>
      <c r="Q34" s="190"/>
      <c r="R34" s="37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37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37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/>
      <c r="E38" s="1"/>
      <c r="F38" s="1"/>
      <c r="G38" s="1"/>
      <c r="H38" s="1"/>
      <c r="I38" s="1"/>
      <c r="R38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2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38">
        <f>N37</f>
        <v>2000</v>
      </c>
      <c r="O40" s="14" t="s">
        <v>13</v>
      </c>
      <c r="P40" s="38">
        <f>P37</f>
        <v>0</v>
      </c>
      <c r="Q40" s="15" t="s">
        <v>13</v>
      </c>
    </row>
    <row r="41" spans="1:23" ht="15" customHeight="1" x14ac:dyDescent="0.3">
      <c r="D41"/>
      <c r="J41"/>
      <c r="K41"/>
      <c r="L41"/>
      <c r="M41"/>
      <c r="N41"/>
      <c r="O4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">
        <v>10925</v>
      </c>
      <c r="E45" s="3" t="s">
        <v>34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740</v>
      </c>
      <c r="O45" s="198"/>
      <c r="P45" s="198"/>
      <c r="Q45" s="190"/>
      <c r="R45" s="37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4">
        <v>10925</v>
      </c>
      <c r="E46" s="3" t="s">
        <v>52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1080</v>
      </c>
      <c r="O46" s="198"/>
      <c r="P46" s="198"/>
      <c r="Q46" s="190"/>
      <c r="R46" s="37">
        <v>45</v>
      </c>
      <c r="S46" s="6" t="s">
        <v>14</v>
      </c>
      <c r="T46" s="21" t="s">
        <v>77</v>
      </c>
      <c r="U46" s="191"/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4">
        <v>90725</v>
      </c>
      <c r="E47" s="3" t="s">
        <v>54</v>
      </c>
      <c r="F47" s="19">
        <v>304</v>
      </c>
      <c r="G47" s="20">
        <v>0.9</v>
      </c>
      <c r="H47" s="186" t="s">
        <v>76</v>
      </c>
      <c r="I47" s="187"/>
      <c r="J47" s="187"/>
      <c r="K47" s="187"/>
      <c r="L47" s="187"/>
      <c r="M47" s="188"/>
      <c r="N47" s="189">
        <v>200</v>
      </c>
      <c r="O47" s="198"/>
      <c r="P47" s="198"/>
      <c r="Q47" s="190"/>
      <c r="R47" s="40">
        <v>45</v>
      </c>
      <c r="S47" s="6" t="s">
        <v>14</v>
      </c>
      <c r="T47" s="21" t="s">
        <v>77</v>
      </c>
      <c r="U47" s="191"/>
      <c r="V47" s="192"/>
      <c r="W47" s="193"/>
    </row>
    <row r="48" spans="1:23" ht="14.55" customHeight="1" x14ac:dyDescent="0.3">
      <c r="A48" s="184"/>
      <c r="B48" s="5"/>
      <c r="C48" s="5"/>
      <c r="D48" s="4"/>
      <c r="E48" s="3"/>
      <c r="F48" s="19"/>
      <c r="G48" s="20"/>
      <c r="H48" s="186"/>
      <c r="I48" s="187"/>
      <c r="J48" s="187"/>
      <c r="K48" s="187"/>
      <c r="L48" s="187"/>
      <c r="M48" s="188"/>
      <c r="N48" s="189"/>
      <c r="O48" s="198"/>
      <c r="P48" s="198"/>
      <c r="Q48" s="190"/>
      <c r="R48" s="37"/>
      <c r="S48" s="6" t="s">
        <v>14</v>
      </c>
      <c r="T48" s="21"/>
      <c r="U48" s="191"/>
      <c r="V48" s="192"/>
      <c r="W48" s="193"/>
    </row>
    <row r="49" spans="1:23" ht="14.55" customHeight="1" x14ac:dyDescent="0.3">
      <c r="A49" s="185"/>
      <c r="B49" s="165" t="s">
        <v>0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8">
        <f>SUM(N45:O48)</f>
        <v>2020</v>
      </c>
      <c r="O49" s="197"/>
      <c r="P49" s="197"/>
      <c r="Q49" s="169"/>
      <c r="R49" s="10">
        <f>SUM(R45:R48)</f>
        <v>90</v>
      </c>
      <c r="S49" s="11" t="s">
        <v>14</v>
      </c>
      <c r="T49" s="9"/>
      <c r="U49" s="191"/>
      <c r="V49" s="192"/>
      <c r="W49" s="193"/>
    </row>
    <row r="50" spans="1:23" ht="14.55" customHeight="1" x14ac:dyDescent="0.3">
      <c r="D50"/>
      <c r="E50" s="1"/>
      <c r="F50" s="1"/>
      <c r="G50" s="1"/>
      <c r="H50" s="1"/>
      <c r="I50" s="1"/>
      <c r="R50"/>
    </row>
    <row r="51" spans="1:23" x14ac:dyDescent="0.3">
      <c r="E51" s="165" t="s">
        <v>31</v>
      </c>
      <c r="F51" s="166"/>
      <c r="G51" s="166"/>
      <c r="H51" s="166"/>
      <c r="I51" s="166"/>
      <c r="J51" s="166"/>
      <c r="K51" s="166"/>
      <c r="L51" s="166"/>
      <c r="M51" s="167"/>
      <c r="N51" s="181" t="s">
        <v>7</v>
      </c>
      <c r="O51" s="199"/>
      <c r="P51" s="199"/>
      <c r="Q51" s="182"/>
    </row>
    <row r="52" spans="1:23" s="2" customFormat="1" x14ac:dyDescent="0.3">
      <c r="E52" s="7"/>
      <c r="F52" s="7"/>
      <c r="G52" s="7"/>
      <c r="H52" s="7"/>
      <c r="I52" s="7"/>
      <c r="J52" s="22"/>
      <c r="K52" s="23"/>
      <c r="L52" s="22"/>
      <c r="M52" s="24"/>
      <c r="N52" s="200">
        <f>N49</f>
        <v>2020</v>
      </c>
      <c r="O52" s="201"/>
      <c r="P52" s="202" t="s">
        <v>13</v>
      </c>
      <c r="Q52" s="203"/>
    </row>
    <row r="53" spans="1:23" s="26" customFormat="1" ht="15" customHeight="1" x14ac:dyDescent="0.3">
      <c r="D53" s="27"/>
      <c r="E53" s="28"/>
      <c r="F53" s="28"/>
      <c r="G53" s="28"/>
      <c r="H53" s="28"/>
      <c r="I53" s="28"/>
      <c r="J53" s="25"/>
      <c r="K53" s="25"/>
      <c r="L53" s="25"/>
      <c r="M53" s="25"/>
      <c r="N53" s="30"/>
      <c r="O53" s="30"/>
      <c r="P53" s="29"/>
      <c r="Q53" s="29"/>
      <c r="R53" s="33"/>
      <c r="S53" s="34"/>
    </row>
    <row r="54" spans="1:23" s="8" customFormat="1" ht="30" customHeight="1" x14ac:dyDescent="0.3">
      <c r="A54" s="155" t="s">
        <v>28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7"/>
      <c r="Q54" s="157"/>
      <c r="R54" s="157"/>
      <c r="S54" s="157"/>
      <c r="T54" s="156"/>
      <c r="U54" s="156"/>
      <c r="V54" s="156"/>
      <c r="W54" s="158"/>
    </row>
    <row r="55" spans="1:23" s="12" customFormat="1" ht="14.55" customHeight="1" x14ac:dyDescent="0.3">
      <c r="A55" s="159" t="s">
        <v>1</v>
      </c>
      <c r="B55" s="160" t="s">
        <v>2</v>
      </c>
      <c r="C55" s="160" t="s">
        <v>3</v>
      </c>
      <c r="D55" s="160" t="s">
        <v>4</v>
      </c>
      <c r="E55" s="161" t="s">
        <v>5</v>
      </c>
      <c r="F55" s="163" t="s">
        <v>15</v>
      </c>
      <c r="G55" s="163" t="s">
        <v>16</v>
      </c>
      <c r="H55" s="170" t="s">
        <v>24</v>
      </c>
      <c r="I55" s="171"/>
      <c r="J55" s="171"/>
      <c r="K55" s="171"/>
      <c r="L55" s="171"/>
      <c r="M55" s="172"/>
      <c r="N55" s="176" t="s">
        <v>6</v>
      </c>
      <c r="O55" s="177"/>
      <c r="P55" s="177"/>
      <c r="Q55" s="178"/>
      <c r="R55" s="161" t="s">
        <v>8</v>
      </c>
      <c r="S55" s="179"/>
      <c r="T55" s="159" t="s">
        <v>9</v>
      </c>
      <c r="U55" s="159" t="s">
        <v>10</v>
      </c>
      <c r="V55" s="159"/>
      <c r="W55" s="159"/>
    </row>
    <row r="56" spans="1:23" s="12" customFormat="1" ht="13.05" customHeight="1" x14ac:dyDescent="0.3">
      <c r="A56" s="159"/>
      <c r="B56" s="160"/>
      <c r="C56" s="160"/>
      <c r="D56" s="160"/>
      <c r="E56" s="162"/>
      <c r="F56" s="164"/>
      <c r="G56" s="164"/>
      <c r="H56" s="173"/>
      <c r="I56" s="174"/>
      <c r="J56" s="174"/>
      <c r="K56" s="174"/>
      <c r="L56" s="174"/>
      <c r="M56" s="175"/>
      <c r="N56" s="176" t="s">
        <v>7</v>
      </c>
      <c r="O56" s="177"/>
      <c r="P56" s="177"/>
      <c r="Q56" s="178"/>
      <c r="R56" s="162"/>
      <c r="S56" s="180"/>
      <c r="T56" s="159"/>
      <c r="U56" s="159"/>
      <c r="V56" s="159"/>
      <c r="W56" s="159"/>
    </row>
    <row r="57" spans="1:23" ht="14.55" customHeight="1" x14ac:dyDescent="0.3">
      <c r="A57" s="183" t="s">
        <v>68</v>
      </c>
      <c r="B57" s="5">
        <v>0.33333333333333331</v>
      </c>
      <c r="C57" s="5"/>
      <c r="D57" s="4">
        <v>10925</v>
      </c>
      <c r="E57" s="3" t="s">
        <v>34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1120</v>
      </c>
      <c r="O57" s="198"/>
      <c r="P57" s="198"/>
      <c r="Q57" s="190"/>
      <c r="R57" s="37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>
        <v>0.70833333333333337</v>
      </c>
      <c r="D58" s="4">
        <v>10925</v>
      </c>
      <c r="E58" s="3" t="s">
        <v>52</v>
      </c>
      <c r="F58" s="19">
        <v>430</v>
      </c>
      <c r="G58" s="20">
        <v>0.8</v>
      </c>
      <c r="H58" s="186"/>
      <c r="I58" s="187"/>
      <c r="J58" s="187"/>
      <c r="K58" s="187"/>
      <c r="L58" s="187"/>
      <c r="M58" s="188"/>
      <c r="N58" s="189">
        <v>950</v>
      </c>
      <c r="O58" s="198"/>
      <c r="P58" s="198"/>
      <c r="Q58" s="190"/>
      <c r="R58" s="37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4"/>
      <c r="B59" s="5"/>
      <c r="C59" s="5"/>
      <c r="D59" s="4"/>
      <c r="E59" s="3"/>
      <c r="F59" s="19"/>
      <c r="G59" s="20"/>
      <c r="H59" s="186"/>
      <c r="I59" s="187"/>
      <c r="J59" s="187"/>
      <c r="K59" s="187"/>
      <c r="L59" s="187"/>
      <c r="M59" s="188"/>
      <c r="N59" s="189"/>
      <c r="O59" s="198"/>
      <c r="P59" s="198"/>
      <c r="Q59" s="190"/>
      <c r="R59" s="37"/>
      <c r="S59" s="6" t="s">
        <v>14</v>
      </c>
      <c r="T59" s="21"/>
      <c r="U59" s="204"/>
      <c r="V59" s="205"/>
      <c r="W59" s="206"/>
    </row>
    <row r="60" spans="1:23" ht="14.55" customHeight="1" x14ac:dyDescent="0.3">
      <c r="A60" s="185"/>
      <c r="B60" s="165" t="s">
        <v>0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8">
        <f>SUM(N57:O59)</f>
        <v>2070</v>
      </c>
      <c r="O60" s="197"/>
      <c r="P60" s="197"/>
      <c r="Q60" s="169"/>
      <c r="R60" s="10">
        <f>SUM(R57:R59)</f>
        <v>0</v>
      </c>
      <c r="S60" s="11" t="s">
        <v>14</v>
      </c>
      <c r="T60" s="9"/>
      <c r="U60" s="204"/>
      <c r="V60" s="205"/>
      <c r="W60" s="206"/>
    </row>
    <row r="61" spans="1:23" ht="14.55" customHeight="1" x14ac:dyDescent="0.3">
      <c r="D61"/>
      <c r="E61" s="1"/>
      <c r="F61" s="1"/>
      <c r="G61" s="1"/>
      <c r="H61" s="1"/>
      <c r="I61" s="1"/>
      <c r="R61"/>
    </row>
    <row r="62" spans="1:23" ht="14.55" customHeight="1" x14ac:dyDescent="0.3">
      <c r="D62"/>
      <c r="E62" s="165" t="s">
        <v>32</v>
      </c>
      <c r="F62" s="166"/>
      <c r="G62" s="166"/>
      <c r="H62" s="166"/>
      <c r="I62" s="166"/>
      <c r="J62" s="166"/>
      <c r="K62" s="166"/>
      <c r="L62" s="166"/>
      <c r="M62" s="167"/>
      <c r="N62" s="181" t="s">
        <v>7</v>
      </c>
      <c r="O62" s="199"/>
      <c r="P62" s="199"/>
      <c r="Q62" s="182"/>
      <c r="R62"/>
    </row>
    <row r="63" spans="1:23" ht="14.55" customHeight="1" x14ac:dyDescent="0.3">
      <c r="D63"/>
      <c r="E63" s="7"/>
      <c r="F63" s="7"/>
      <c r="G63" s="7"/>
      <c r="H63" s="7"/>
      <c r="I63" s="7"/>
      <c r="J63" s="22"/>
      <c r="K63" s="23"/>
      <c r="L63" s="22"/>
      <c r="M63" s="24"/>
      <c r="N63" s="200">
        <f>N60</f>
        <v>2070</v>
      </c>
      <c r="O63" s="201"/>
      <c r="P63" s="202" t="s">
        <v>13</v>
      </c>
      <c r="Q63" s="203"/>
      <c r="R63"/>
    </row>
    <row r="64" spans="1:23" ht="14.55" customHeight="1" x14ac:dyDescent="0.3">
      <c r="D64"/>
      <c r="E64" s="1"/>
      <c r="F64" s="1"/>
      <c r="G64" s="1"/>
      <c r="H64" s="1"/>
      <c r="I64" s="1"/>
      <c r="P64" s="31"/>
      <c r="Q64" s="31"/>
      <c r="R64" s="32"/>
      <c r="S64" s="32"/>
    </row>
    <row r="65" spans="1:23" s="8" customFormat="1" ht="30" customHeight="1" x14ac:dyDescent="0.3">
      <c r="A65" s="155" t="s">
        <v>73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7"/>
      <c r="Q65" s="157"/>
      <c r="R65" s="157"/>
      <c r="S65" s="157"/>
      <c r="T65" s="156"/>
      <c r="U65" s="156"/>
      <c r="V65" s="156"/>
      <c r="W65" s="158"/>
    </row>
    <row r="66" spans="1:23" s="12" customFormat="1" ht="14.55" customHeight="1" x14ac:dyDescent="0.3">
      <c r="A66" s="159" t="s">
        <v>1</v>
      </c>
      <c r="B66" s="160" t="s">
        <v>2</v>
      </c>
      <c r="C66" s="160" t="s">
        <v>3</v>
      </c>
      <c r="D66" s="160" t="s">
        <v>4</v>
      </c>
      <c r="E66" s="161" t="s">
        <v>5</v>
      </c>
      <c r="F66" s="163" t="s">
        <v>15</v>
      </c>
      <c r="G66" s="163" t="s">
        <v>16</v>
      </c>
      <c r="H66" s="170" t="s">
        <v>30</v>
      </c>
      <c r="I66" s="171"/>
      <c r="J66" s="171"/>
      <c r="K66" s="171"/>
      <c r="L66" s="171"/>
      <c r="M66" s="172"/>
      <c r="N66" s="176" t="s">
        <v>6</v>
      </c>
      <c r="O66" s="177"/>
      <c r="P66" s="177"/>
      <c r="Q66" s="178"/>
      <c r="R66" s="161" t="s">
        <v>8</v>
      </c>
      <c r="S66" s="179"/>
      <c r="T66" s="159" t="s">
        <v>9</v>
      </c>
      <c r="U66" s="159" t="s">
        <v>10</v>
      </c>
      <c r="V66" s="159"/>
      <c r="W66" s="159"/>
    </row>
    <row r="67" spans="1:23" s="12" customFormat="1" ht="13.05" customHeight="1" x14ac:dyDescent="0.3">
      <c r="A67" s="159"/>
      <c r="B67" s="160"/>
      <c r="C67" s="160"/>
      <c r="D67" s="160"/>
      <c r="E67" s="162"/>
      <c r="F67" s="164"/>
      <c r="G67" s="164"/>
      <c r="H67" s="173"/>
      <c r="I67" s="174"/>
      <c r="J67" s="174"/>
      <c r="K67" s="174"/>
      <c r="L67" s="174"/>
      <c r="M67" s="175"/>
      <c r="N67" s="176" t="s">
        <v>7</v>
      </c>
      <c r="O67" s="177"/>
      <c r="P67" s="177" t="s">
        <v>74</v>
      </c>
      <c r="Q67" s="178"/>
      <c r="R67" s="162"/>
      <c r="S67" s="180"/>
      <c r="T67" s="159"/>
      <c r="U67" s="159"/>
      <c r="V67" s="159"/>
      <c r="W67" s="159"/>
    </row>
    <row r="68" spans="1:23" ht="14.55" customHeight="1" x14ac:dyDescent="0.3">
      <c r="A68" s="183" t="s">
        <v>49</v>
      </c>
      <c r="B68" s="5">
        <v>0.33333333333333331</v>
      </c>
      <c r="C68" s="5"/>
      <c r="D68" s="4">
        <v>10925</v>
      </c>
      <c r="E68" s="3" t="s">
        <v>34</v>
      </c>
      <c r="F68" s="19">
        <v>430</v>
      </c>
      <c r="G68" s="20">
        <v>0.8</v>
      </c>
      <c r="H68" s="186" t="s">
        <v>78</v>
      </c>
      <c r="I68" s="187"/>
      <c r="J68" s="187"/>
      <c r="K68" s="187"/>
      <c r="L68" s="187"/>
      <c r="M68" s="188"/>
      <c r="N68" s="189">
        <v>1366</v>
      </c>
      <c r="O68" s="190"/>
      <c r="P68" s="189"/>
      <c r="Q68" s="190"/>
      <c r="R68" s="37"/>
      <c r="S68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250075</v>
      </c>
      <c r="E69" s="3" t="s">
        <v>42</v>
      </c>
      <c r="F69" s="19">
        <v>304</v>
      </c>
      <c r="G69" s="20">
        <v>0.9</v>
      </c>
      <c r="H69" s="186" t="s">
        <v>78</v>
      </c>
      <c r="I69" s="187"/>
      <c r="J69" s="187"/>
      <c r="K69" s="187"/>
      <c r="L69" s="187"/>
      <c r="M69" s="188"/>
      <c r="N69" s="189">
        <v>837</v>
      </c>
      <c r="O69" s="190"/>
      <c r="P69" s="189"/>
      <c r="Q69" s="190"/>
      <c r="R69" s="37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250075</v>
      </c>
      <c r="E70" s="3" t="s">
        <v>48</v>
      </c>
      <c r="F70" s="19">
        <v>304</v>
      </c>
      <c r="G70" s="20">
        <v>0.9</v>
      </c>
      <c r="H70" s="186" t="s">
        <v>78</v>
      </c>
      <c r="I70" s="187"/>
      <c r="J70" s="187"/>
      <c r="K70" s="187"/>
      <c r="L70" s="187"/>
      <c r="M70" s="188"/>
      <c r="N70" s="189">
        <v>837</v>
      </c>
      <c r="O70" s="190"/>
      <c r="P70" s="189"/>
      <c r="Q70" s="190"/>
      <c r="R70" s="37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>
        <v>10925</v>
      </c>
      <c r="E71" s="3" t="s">
        <v>79</v>
      </c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>
        <v>1500</v>
      </c>
      <c r="Q71" s="190"/>
      <c r="R71" s="37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>
        <v>0.70833333333333337</v>
      </c>
      <c r="D72" s="4">
        <v>90725</v>
      </c>
      <c r="E72" s="3" t="s">
        <v>63</v>
      </c>
      <c r="F72" s="19">
        <v>304</v>
      </c>
      <c r="G72" s="20">
        <v>0.9</v>
      </c>
      <c r="H72" s="186" t="s">
        <v>67</v>
      </c>
      <c r="I72" s="187"/>
      <c r="J72" s="187"/>
      <c r="K72" s="187"/>
      <c r="L72" s="187"/>
      <c r="M72" s="188"/>
      <c r="N72" s="189">
        <v>800</v>
      </c>
      <c r="O72" s="190"/>
      <c r="P72" s="189"/>
      <c r="Q72" s="190"/>
      <c r="R72" s="37"/>
      <c r="S72" s="6" t="s">
        <v>14</v>
      </c>
      <c r="T72" s="21"/>
      <c r="U72" s="191"/>
      <c r="V72" s="192"/>
      <c r="W72" s="193"/>
    </row>
    <row r="73" spans="1:23" ht="14.55" hidden="1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37"/>
      <c r="S73" s="6" t="s">
        <v>14</v>
      </c>
      <c r="T73" s="21"/>
      <c r="U73" s="191"/>
      <c r="V73" s="192"/>
      <c r="W73" s="193"/>
    </row>
    <row r="74" spans="1:23" ht="14.55" hidden="1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37"/>
      <c r="S74" s="6" t="s">
        <v>14</v>
      </c>
      <c r="T74" s="21"/>
      <c r="U74" s="191"/>
      <c r="V74" s="192"/>
      <c r="W74" s="193"/>
    </row>
    <row r="75" spans="1:23" ht="14.55" hidden="1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37"/>
      <c r="S75" s="6" t="s">
        <v>14</v>
      </c>
      <c r="T75" s="21"/>
      <c r="U75" s="191"/>
      <c r="V75" s="192"/>
      <c r="W75" s="193"/>
    </row>
    <row r="76" spans="1:23" ht="14.55" hidden="1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37"/>
      <c r="S76" s="6" t="s">
        <v>14</v>
      </c>
      <c r="T76" s="21"/>
      <c r="U76" s="191"/>
      <c r="V76" s="192"/>
      <c r="W76" s="193"/>
    </row>
    <row r="77" spans="1:23" ht="14.55" hidden="1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37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4"/>
      <c r="B78" s="5"/>
      <c r="C78" s="5"/>
      <c r="D78" s="4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0"/>
      <c r="P78" s="189"/>
      <c r="Q78" s="190"/>
      <c r="R78" s="37"/>
      <c r="S78" s="6" t="s">
        <v>14</v>
      </c>
      <c r="T78" s="21"/>
      <c r="U78" s="191"/>
      <c r="V78" s="192"/>
      <c r="W78" s="193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SUM(N68:O78)</f>
        <v>3840</v>
      </c>
      <c r="O79" s="197"/>
      <c r="P79" s="168">
        <f>SUM(P68:Q78)</f>
        <v>1500</v>
      </c>
      <c r="Q79" s="197"/>
      <c r="R79" s="10">
        <f>SUM(R68:R78)</f>
        <v>0</v>
      </c>
      <c r="S79" s="11" t="s">
        <v>14</v>
      </c>
      <c r="T79" s="9"/>
      <c r="U79" s="191"/>
      <c r="V79" s="192"/>
      <c r="W79" s="193"/>
    </row>
    <row r="80" spans="1:23" ht="14.55" customHeight="1" x14ac:dyDescent="0.3">
      <c r="D80"/>
      <c r="E80" s="1"/>
      <c r="F80" s="1"/>
      <c r="G80" s="1"/>
      <c r="H80" s="1"/>
      <c r="I80" s="1"/>
      <c r="R80"/>
    </row>
    <row r="81" spans="1:23" ht="14.55" customHeight="1" x14ac:dyDescent="0.3">
      <c r="D81"/>
      <c r="E81" s="165" t="s">
        <v>65</v>
      </c>
      <c r="F81" s="166"/>
      <c r="G81" s="166"/>
      <c r="H81" s="166"/>
      <c r="I81" s="166"/>
      <c r="J81" s="166"/>
      <c r="K81" s="166"/>
      <c r="L81" s="166"/>
      <c r="M81" s="167"/>
      <c r="N81" s="181" t="s">
        <v>7</v>
      </c>
      <c r="O81" s="182"/>
      <c r="P81" s="181" t="s">
        <v>74</v>
      </c>
      <c r="Q81" s="182"/>
      <c r="R81"/>
    </row>
    <row r="82" spans="1:23" ht="14.55" customHeight="1" x14ac:dyDescent="0.3">
      <c r="D82"/>
      <c r="E82" s="7"/>
      <c r="F82" s="7"/>
      <c r="G82" s="7"/>
      <c r="H82" s="7"/>
      <c r="I82" s="7"/>
      <c r="J82" s="22"/>
      <c r="K82" s="23"/>
      <c r="L82" s="22"/>
      <c r="M82" s="24"/>
      <c r="N82" s="38">
        <f>N79</f>
        <v>3840</v>
      </c>
      <c r="O82" s="14" t="s">
        <v>13</v>
      </c>
      <c r="P82" s="38">
        <f>P79</f>
        <v>1500</v>
      </c>
      <c r="Q82" s="15" t="s">
        <v>13</v>
      </c>
      <c r="R82"/>
    </row>
    <row r="83" spans="1:23" x14ac:dyDescent="0.3">
      <c r="P83" s="31"/>
      <c r="Q83" s="31"/>
      <c r="R83" s="31"/>
      <c r="S83" s="32"/>
    </row>
    <row r="84" spans="1:23" s="8" customFormat="1" ht="30" customHeight="1" x14ac:dyDescent="0.3">
      <c r="A84" s="155" t="s">
        <v>29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/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37"/>
      <c r="S87" t="s">
        <v>14</v>
      </c>
      <c r="T87" s="21"/>
      <c r="U87" s="191" t="s">
        <v>80</v>
      </c>
      <c r="V87" s="192"/>
      <c r="W87" s="193"/>
    </row>
    <row r="88" spans="1:23" ht="14.55" hidden="1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37"/>
      <c r="S88" s="6" t="s">
        <v>14</v>
      </c>
      <c r="T88" s="21"/>
      <c r="U88" s="191"/>
      <c r="V88" s="192"/>
      <c r="W88" s="193"/>
    </row>
    <row r="89" spans="1:23" ht="14.55" hidden="1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37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37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4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8"/>
      <c r="P91" s="198"/>
      <c r="Q91" s="190"/>
      <c r="R91" s="37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5"/>
      <c r="B92" s="165" t="s">
        <v>0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8">
        <f>SUM(N87:O91)</f>
        <v>0</v>
      </c>
      <c r="O92" s="197"/>
      <c r="P92" s="197"/>
      <c r="Q92" s="169"/>
      <c r="R92" s="10">
        <f>SUM(R87:R91)</f>
        <v>0</v>
      </c>
      <c r="S92" s="11" t="s">
        <v>14</v>
      </c>
      <c r="T92" s="9"/>
      <c r="U92" s="191"/>
      <c r="V92" s="192"/>
      <c r="W92" s="193"/>
    </row>
    <row r="93" spans="1:23" ht="14.55" customHeight="1" x14ac:dyDescent="0.3">
      <c r="D93"/>
      <c r="E93" s="1"/>
      <c r="F93" s="1"/>
      <c r="G93" s="1"/>
      <c r="H93" s="1"/>
      <c r="I93" s="1"/>
      <c r="R93"/>
    </row>
    <row r="94" spans="1:23" ht="14.55" customHeight="1" x14ac:dyDescent="0.3">
      <c r="D94"/>
      <c r="E94" s="165" t="s">
        <v>33</v>
      </c>
      <c r="F94" s="166"/>
      <c r="G94" s="166"/>
      <c r="H94" s="166"/>
      <c r="I94" s="166"/>
      <c r="J94" s="166"/>
      <c r="K94" s="166"/>
      <c r="L94" s="166"/>
      <c r="M94" s="167"/>
      <c r="N94" s="181" t="s">
        <v>7</v>
      </c>
      <c r="O94" s="199"/>
      <c r="P94" s="199"/>
      <c r="Q94" s="182"/>
      <c r="R94"/>
    </row>
    <row r="95" spans="1:23" ht="14.55" customHeight="1" x14ac:dyDescent="0.3">
      <c r="D95"/>
      <c r="E95" s="7"/>
      <c r="F95" s="7"/>
      <c r="G95" s="7"/>
      <c r="H95" s="7"/>
      <c r="I95" s="7"/>
      <c r="J95" s="22"/>
      <c r="K95" s="23"/>
      <c r="L95" s="22"/>
      <c r="M95" s="24"/>
      <c r="N95" s="200">
        <f>N92</f>
        <v>0</v>
      </c>
      <c r="O95" s="201"/>
      <c r="P95" s="202" t="s">
        <v>13</v>
      </c>
      <c r="Q95" s="203"/>
      <c r="R95"/>
    </row>
  </sheetData>
  <mergeCells count="256">
    <mergeCell ref="N81:O81"/>
    <mergeCell ref="P81:Q81"/>
    <mergeCell ref="N70:O70"/>
    <mergeCell ref="P70:Q70"/>
    <mergeCell ref="N71:O71"/>
    <mergeCell ref="N72:O72"/>
    <mergeCell ref="N73:O73"/>
    <mergeCell ref="N74:O74"/>
    <mergeCell ref="P71:Q71"/>
    <mergeCell ref="P72:Q72"/>
    <mergeCell ref="P73:Q73"/>
    <mergeCell ref="P74:Q74"/>
    <mergeCell ref="P78:Q78"/>
    <mergeCell ref="E94:M94"/>
    <mergeCell ref="N94:Q94"/>
    <mergeCell ref="N95:O95"/>
    <mergeCell ref="P95:Q95"/>
    <mergeCell ref="N67:O67"/>
    <mergeCell ref="P67:Q67"/>
    <mergeCell ref="N68:O68"/>
    <mergeCell ref="P68:Q68"/>
    <mergeCell ref="N69:O69"/>
    <mergeCell ref="P69:Q69"/>
    <mergeCell ref="H90:M90"/>
    <mergeCell ref="N90:Q90"/>
    <mergeCell ref="H91:M91"/>
    <mergeCell ref="N91:Q91"/>
    <mergeCell ref="B92:M92"/>
    <mergeCell ref="N92:Q92"/>
    <mergeCell ref="E81:M81"/>
    <mergeCell ref="A84:W84"/>
    <mergeCell ref="H77:M77"/>
    <mergeCell ref="H78:M78"/>
    <mergeCell ref="B79:M79"/>
    <mergeCell ref="N77:O77"/>
    <mergeCell ref="N78:O78"/>
    <mergeCell ref="P77:Q77"/>
    <mergeCell ref="U85:W86"/>
    <mergeCell ref="N86:Q86"/>
    <mergeCell ref="A87:A92"/>
    <mergeCell ref="H87:M87"/>
    <mergeCell ref="N87:Q87"/>
    <mergeCell ref="U87:W92"/>
    <mergeCell ref="H88:M88"/>
    <mergeCell ref="N88:Q88"/>
    <mergeCell ref="H89:M89"/>
    <mergeCell ref="N89:Q89"/>
    <mergeCell ref="F85:F86"/>
    <mergeCell ref="G85:G86"/>
    <mergeCell ref="H85:M86"/>
    <mergeCell ref="N85:Q85"/>
    <mergeCell ref="R85:S86"/>
    <mergeCell ref="T85:T86"/>
    <mergeCell ref="A85:A86"/>
    <mergeCell ref="B85:B86"/>
    <mergeCell ref="C85:C86"/>
    <mergeCell ref="D85:D86"/>
    <mergeCell ref="E85:E86"/>
    <mergeCell ref="A68:A79"/>
    <mergeCell ref="H68:M68"/>
    <mergeCell ref="U68:W79"/>
    <mergeCell ref="H69:M69"/>
    <mergeCell ref="H70:M70"/>
    <mergeCell ref="F66:F67"/>
    <mergeCell ref="G66:G67"/>
    <mergeCell ref="H66:M67"/>
    <mergeCell ref="N66:Q66"/>
    <mergeCell ref="R66:S67"/>
    <mergeCell ref="T66:T67"/>
    <mergeCell ref="H74:M74"/>
    <mergeCell ref="H75:M75"/>
    <mergeCell ref="H76:M76"/>
    <mergeCell ref="N75:O75"/>
    <mergeCell ref="N76:O76"/>
    <mergeCell ref="P75:Q75"/>
    <mergeCell ref="P76:Q76"/>
    <mergeCell ref="H71:M71"/>
    <mergeCell ref="H72:M72"/>
    <mergeCell ref="H73:M73"/>
    <mergeCell ref="N79:O79"/>
    <mergeCell ref="P79:Q79"/>
    <mergeCell ref="E62:M62"/>
    <mergeCell ref="N62:Q62"/>
    <mergeCell ref="N63:O63"/>
    <mergeCell ref="P63:Q63"/>
    <mergeCell ref="A65:W65"/>
    <mergeCell ref="A66:A67"/>
    <mergeCell ref="B66:B67"/>
    <mergeCell ref="C66:C67"/>
    <mergeCell ref="D66:D67"/>
    <mergeCell ref="E66:E67"/>
    <mergeCell ref="U66:W67"/>
    <mergeCell ref="A57:A60"/>
    <mergeCell ref="H57:M57"/>
    <mergeCell ref="N57:Q57"/>
    <mergeCell ref="U57:W60"/>
    <mergeCell ref="H58:M58"/>
    <mergeCell ref="N58:Q58"/>
    <mergeCell ref="H59:M59"/>
    <mergeCell ref="N59:Q59"/>
    <mergeCell ref="B60:M60"/>
    <mergeCell ref="N60:Q60"/>
    <mergeCell ref="E51:M51"/>
    <mergeCell ref="N51:Q51"/>
    <mergeCell ref="R43:S44"/>
    <mergeCell ref="T43:T44"/>
    <mergeCell ref="U43:W44"/>
    <mergeCell ref="N44:Q44"/>
    <mergeCell ref="H55:M56"/>
    <mergeCell ref="N55:Q55"/>
    <mergeCell ref="R55:S56"/>
    <mergeCell ref="T55:T56"/>
    <mergeCell ref="U55:W56"/>
    <mergeCell ref="N56:Q56"/>
    <mergeCell ref="N52:O52"/>
    <mergeCell ref="P52:Q52"/>
    <mergeCell ref="A54:W54"/>
    <mergeCell ref="A55:A56"/>
    <mergeCell ref="B55:B56"/>
    <mergeCell ref="C55:C56"/>
    <mergeCell ref="D55:D56"/>
    <mergeCell ref="E55:E56"/>
    <mergeCell ref="F55:F56"/>
    <mergeCell ref="G55:G56"/>
    <mergeCell ref="H47:M47"/>
    <mergeCell ref="N47:Q47"/>
    <mergeCell ref="A45:A49"/>
    <mergeCell ref="H45:M45"/>
    <mergeCell ref="N45:Q45"/>
    <mergeCell ref="U45:W49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8:M48"/>
    <mergeCell ref="N48:Q48"/>
    <mergeCell ref="B49:M49"/>
    <mergeCell ref="N49:Q49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94"/>
  <sheetViews>
    <sheetView zoomScale="85" zoomScaleNormal="85" workbookViewId="0">
      <selection activeCell="B45" sqref="B45:G45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42.21875" bestFit="1" customWidth="1"/>
    <col min="6" max="6" width="5.6640625" customWidth="1"/>
    <col min="7" max="7" width="6.6640625" customWidth="1"/>
    <col min="8" max="9" width="3.6640625" customWidth="1"/>
    <col min="10" max="13" width="3.6640625" style="1" customWidth="1"/>
    <col min="14" max="14" width="6.6640625" style="1" customWidth="1"/>
    <col min="15" max="15" width="5.21875" style="1" customWidth="1"/>
    <col min="16" max="16" width="6.6640625" style="1" customWidth="1"/>
    <col min="17" max="17" width="5.21875" style="1" customWidth="1"/>
    <col min="18" max="18" width="5.6640625" style="1" customWidth="1"/>
    <col min="19" max="19" width="3.21875" customWidth="1"/>
    <col min="20" max="20" width="17.6640625" customWidth="1"/>
    <col min="21" max="23" width="6.6640625" customWidth="1"/>
  </cols>
  <sheetData>
    <row r="1" spans="1:23" x14ac:dyDescent="0.3">
      <c r="D1"/>
      <c r="J1"/>
      <c r="K1"/>
      <c r="L1"/>
      <c r="M1"/>
      <c r="N1"/>
      <c r="O1"/>
      <c r="P1"/>
      <c r="Q1"/>
      <c r="R1"/>
    </row>
    <row r="2" spans="1:23" x14ac:dyDescent="0.3">
      <c r="D2"/>
      <c r="J2"/>
      <c r="K2"/>
      <c r="L2"/>
      <c r="M2"/>
      <c r="N2"/>
      <c r="O2"/>
      <c r="P2"/>
      <c r="Q2"/>
      <c r="R2"/>
      <c r="T2" s="1"/>
      <c r="U2" s="1"/>
      <c r="V2" s="1"/>
      <c r="W2" s="1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45918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">
        <v>10925</v>
      </c>
      <c r="E7" s="3" t="s">
        <v>52</v>
      </c>
      <c r="F7" s="19">
        <v>430</v>
      </c>
      <c r="G7" s="20">
        <v>0.8</v>
      </c>
      <c r="H7" s="186" t="s">
        <v>51</v>
      </c>
      <c r="I7" s="187"/>
      <c r="J7" s="187"/>
      <c r="K7" s="187"/>
      <c r="L7" s="187"/>
      <c r="M7" s="188"/>
      <c r="N7" s="189">
        <v>600</v>
      </c>
      <c r="O7" s="190"/>
      <c r="P7" s="189"/>
      <c r="Q7" s="190"/>
      <c r="R7" s="40">
        <v>30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4">
        <v>10925</v>
      </c>
      <c r="E8" s="3" t="s">
        <v>81</v>
      </c>
      <c r="F8" s="19">
        <v>430</v>
      </c>
      <c r="G8" s="20">
        <v>0.8</v>
      </c>
      <c r="H8" s="186" t="s">
        <v>51</v>
      </c>
      <c r="I8" s="187"/>
      <c r="J8" s="187"/>
      <c r="K8" s="187"/>
      <c r="L8" s="187"/>
      <c r="M8" s="188"/>
      <c r="N8" s="189">
        <v>1600</v>
      </c>
      <c r="O8" s="190"/>
      <c r="P8" s="189"/>
      <c r="Q8" s="190"/>
      <c r="R8" s="40">
        <v>30</v>
      </c>
      <c r="S8" s="6" t="s">
        <v>14</v>
      </c>
      <c r="T8" s="45" t="s">
        <v>82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40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2200</v>
      </c>
      <c r="O10" s="169"/>
      <c r="P10" s="168">
        <f>SUM(P7:Q9)</f>
        <v>0</v>
      </c>
      <c r="Q10" s="169"/>
      <c r="R10" s="10">
        <f>SUM(R7:R9)</f>
        <v>60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4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40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40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/>
      <c r="E15" s="1"/>
      <c r="F15" s="1"/>
      <c r="G15" s="1"/>
      <c r="H15" s="1"/>
      <c r="I15" s="1"/>
      <c r="R15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2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39">
        <f>N10+N14</f>
        <v>2200</v>
      </c>
      <c r="O17" s="14" t="s">
        <v>13</v>
      </c>
      <c r="P17" s="39">
        <f>P10+P14</f>
        <v>0</v>
      </c>
      <c r="Q17" s="15" t="s">
        <v>13</v>
      </c>
    </row>
    <row r="18" spans="1:23" ht="15" customHeight="1" x14ac:dyDescent="0.3">
      <c r="D18"/>
      <c r="J18"/>
      <c r="K18"/>
      <c r="L18"/>
      <c r="M18"/>
      <c r="N18"/>
      <c r="O18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">
        <v>10925</v>
      </c>
      <c r="E22" s="3" t="s">
        <v>52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900</v>
      </c>
      <c r="O22" s="198"/>
      <c r="P22" s="198"/>
      <c r="Q22" s="190"/>
      <c r="R22" s="4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">
        <v>10925</v>
      </c>
      <c r="E23" s="3" t="s">
        <v>81</v>
      </c>
      <c r="F23" s="19">
        <v>430</v>
      </c>
      <c r="G23" s="20">
        <v>0.8</v>
      </c>
      <c r="H23" s="186"/>
      <c r="I23" s="187"/>
      <c r="J23" s="187"/>
      <c r="K23" s="187"/>
      <c r="L23" s="187"/>
      <c r="M23" s="188"/>
      <c r="N23" s="189">
        <v>1150</v>
      </c>
      <c r="O23" s="198"/>
      <c r="P23" s="198"/>
      <c r="Q23" s="190"/>
      <c r="R23" s="4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40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40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2050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/>
      <c r="E27" s="1"/>
      <c r="F27" s="1"/>
      <c r="G27" s="1"/>
      <c r="H27" s="1"/>
      <c r="I27" s="1"/>
      <c r="R2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2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2050</v>
      </c>
      <c r="O29" s="201"/>
      <c r="P29" s="202" t="s">
        <v>13</v>
      </c>
      <c r="Q29" s="203"/>
    </row>
    <row r="30" spans="1:23" ht="15" customHeight="1" x14ac:dyDescent="0.3">
      <c r="D30"/>
      <c r="J30"/>
      <c r="K30"/>
      <c r="L30"/>
      <c r="M30"/>
      <c r="N30"/>
      <c r="O30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">
        <v>10925</v>
      </c>
      <c r="E34" s="3" t="s">
        <v>52</v>
      </c>
      <c r="F34" s="19">
        <v>430</v>
      </c>
      <c r="G34" s="20">
        <v>0.8</v>
      </c>
      <c r="H34" s="186"/>
      <c r="I34" s="187"/>
      <c r="J34" s="187"/>
      <c r="K34" s="187"/>
      <c r="L34" s="187"/>
      <c r="M34" s="188"/>
      <c r="N34" s="189">
        <v>1235</v>
      </c>
      <c r="O34" s="190"/>
      <c r="P34" s="189"/>
      <c r="Q34" s="190"/>
      <c r="R34" s="4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">
        <v>10925</v>
      </c>
      <c r="E35" s="3" t="s">
        <v>81</v>
      </c>
      <c r="F35" s="19">
        <v>430</v>
      </c>
      <c r="G35" s="20">
        <v>0.8</v>
      </c>
      <c r="H35" s="186"/>
      <c r="I35" s="187"/>
      <c r="J35" s="187"/>
      <c r="K35" s="187"/>
      <c r="L35" s="187"/>
      <c r="M35" s="188"/>
      <c r="N35" s="189">
        <v>765</v>
      </c>
      <c r="O35" s="190"/>
      <c r="P35" s="189"/>
      <c r="Q35" s="190"/>
      <c r="R35" s="40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40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/>
      <c r="E38" s="1"/>
      <c r="F38" s="1"/>
      <c r="G38" s="1"/>
      <c r="H38" s="1"/>
      <c r="I38" s="1"/>
      <c r="R38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2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39">
        <f>N37</f>
        <v>2000</v>
      </c>
      <c r="O40" s="14" t="s">
        <v>13</v>
      </c>
      <c r="P40" s="39">
        <f>P37</f>
        <v>0</v>
      </c>
      <c r="Q40" s="15" t="s">
        <v>13</v>
      </c>
    </row>
    <row r="41" spans="1:23" ht="15" customHeight="1" x14ac:dyDescent="0.3">
      <c r="D41"/>
      <c r="J41"/>
      <c r="K41"/>
      <c r="L41"/>
      <c r="M41"/>
      <c r="N41"/>
      <c r="O4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90725</v>
      </c>
      <c r="E45" s="3" t="s">
        <v>83</v>
      </c>
      <c r="F45" s="19">
        <v>304</v>
      </c>
      <c r="G45" s="20">
        <v>0.9</v>
      </c>
      <c r="H45" s="186" t="s">
        <v>84</v>
      </c>
      <c r="I45" s="187"/>
      <c r="J45" s="187"/>
      <c r="K45" s="187"/>
      <c r="L45" s="187"/>
      <c r="M45" s="188"/>
      <c r="N45" s="189">
        <v>450</v>
      </c>
      <c r="O45" s="198"/>
      <c r="P45" s="198"/>
      <c r="Q45" s="190"/>
      <c r="R45" s="40" t="s">
        <v>85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/>
      <c r="D46" s="4">
        <v>10925</v>
      </c>
      <c r="E46" s="3" t="s">
        <v>52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2200</v>
      </c>
      <c r="O46" s="198"/>
      <c r="P46" s="198"/>
      <c r="Q46" s="190"/>
      <c r="R46" s="40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40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2650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/>
      <c r="E49" s="1"/>
      <c r="F49" s="1"/>
      <c r="G49" s="1"/>
      <c r="H49" s="1"/>
      <c r="I49" s="1"/>
      <c r="R4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2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2650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">
        <v>10925</v>
      </c>
      <c r="E56" s="3" t="s">
        <v>34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430</v>
      </c>
      <c r="O56" s="198"/>
      <c r="P56" s="198"/>
      <c r="Q56" s="190"/>
      <c r="R56" s="4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">
        <v>10925</v>
      </c>
      <c r="E57" s="3" t="s">
        <v>52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1820</v>
      </c>
      <c r="O57" s="198"/>
      <c r="P57" s="198"/>
      <c r="Q57" s="190"/>
      <c r="R57" s="40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40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2250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/>
      <c r="E60" s="1"/>
      <c r="F60" s="1"/>
      <c r="G60" s="1"/>
      <c r="H60" s="1"/>
      <c r="I60" s="1"/>
      <c r="R60"/>
    </row>
    <row r="61" spans="1:23" ht="14.55" customHeight="1" x14ac:dyDescent="0.3">
      <c r="D6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/>
    </row>
    <row r="62" spans="1:23" ht="14.55" customHeight="1" x14ac:dyDescent="0.3">
      <c r="D62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2250</v>
      </c>
      <c r="O62" s="201"/>
      <c r="P62" s="202" t="s">
        <v>13</v>
      </c>
      <c r="Q62" s="203"/>
      <c r="R62"/>
    </row>
    <row r="63" spans="1:23" ht="14.55" customHeight="1" x14ac:dyDescent="0.3">
      <c r="D63"/>
      <c r="E63" s="1"/>
      <c r="F63" s="1"/>
      <c r="G63" s="1"/>
      <c r="H63" s="1"/>
      <c r="I63" s="1"/>
      <c r="P63" s="31"/>
      <c r="Q63" s="31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10925</v>
      </c>
      <c r="E67" s="3" t="s">
        <v>89</v>
      </c>
      <c r="F67" s="19">
        <v>430</v>
      </c>
      <c r="G67" s="20">
        <v>0.8</v>
      </c>
      <c r="H67" s="186" t="s">
        <v>90</v>
      </c>
      <c r="I67" s="187"/>
      <c r="J67" s="187"/>
      <c r="K67" s="187"/>
      <c r="L67" s="187"/>
      <c r="M67" s="188"/>
      <c r="N67" s="189">
        <v>1200</v>
      </c>
      <c r="O67" s="190"/>
      <c r="P67" s="189"/>
      <c r="Q67" s="190"/>
      <c r="R67" s="40"/>
      <c r="S6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51">
        <v>250039</v>
      </c>
      <c r="E68" s="3" t="s">
        <v>91</v>
      </c>
      <c r="F68" s="19">
        <v>304</v>
      </c>
      <c r="G68" s="20">
        <v>0.7</v>
      </c>
      <c r="H68" s="186" t="s">
        <v>90</v>
      </c>
      <c r="I68" s="187"/>
      <c r="J68" s="187"/>
      <c r="K68" s="187"/>
      <c r="L68" s="187"/>
      <c r="M68" s="188"/>
      <c r="N68" s="189">
        <v>1201</v>
      </c>
      <c r="O68" s="190"/>
      <c r="P68" s="189"/>
      <c r="Q68" s="190"/>
      <c r="R68" s="40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/>
      <c r="E69" s="3" t="s">
        <v>92</v>
      </c>
      <c r="F69" s="19">
        <v>304</v>
      </c>
      <c r="G69" s="20">
        <v>0.7</v>
      </c>
      <c r="H69" s="186" t="s">
        <v>90</v>
      </c>
      <c r="I69" s="187"/>
      <c r="J69" s="187"/>
      <c r="K69" s="187"/>
      <c r="L69" s="187"/>
      <c r="M69" s="188"/>
      <c r="N69" s="189">
        <v>1202</v>
      </c>
      <c r="O69" s="190"/>
      <c r="P69" s="189"/>
      <c r="Q69" s="190"/>
      <c r="R69" s="40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250039</v>
      </c>
      <c r="E70" s="3" t="s">
        <v>93</v>
      </c>
      <c r="F70" s="19">
        <v>304</v>
      </c>
      <c r="G70" s="20">
        <v>0.7</v>
      </c>
      <c r="H70" s="186" t="s">
        <v>90</v>
      </c>
      <c r="I70" s="187"/>
      <c r="J70" s="187"/>
      <c r="K70" s="187"/>
      <c r="L70" s="187"/>
      <c r="M70" s="188"/>
      <c r="N70" s="189">
        <v>1203</v>
      </c>
      <c r="O70" s="190"/>
      <c r="P70" s="189"/>
      <c r="Q70" s="190"/>
      <c r="R70" s="40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>
        <v>10925</v>
      </c>
      <c r="E71" s="3" t="s">
        <v>89</v>
      </c>
      <c r="F71" s="19">
        <v>430</v>
      </c>
      <c r="G71" s="20">
        <v>0.8</v>
      </c>
      <c r="H71" s="186" t="s">
        <v>94</v>
      </c>
      <c r="I71" s="187"/>
      <c r="J71" s="187"/>
      <c r="K71" s="187"/>
      <c r="L71" s="187"/>
      <c r="M71" s="188"/>
      <c r="N71" s="189">
        <v>1204</v>
      </c>
      <c r="O71" s="190"/>
      <c r="P71" s="189"/>
      <c r="Q71" s="190"/>
      <c r="R71" s="40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>
        <v>250039</v>
      </c>
      <c r="E72" s="3" t="s">
        <v>93</v>
      </c>
      <c r="F72" s="19">
        <v>304</v>
      </c>
      <c r="G72" s="20">
        <v>0.7</v>
      </c>
      <c r="H72" s="186" t="s">
        <v>94</v>
      </c>
      <c r="I72" s="187"/>
      <c r="J72" s="187"/>
      <c r="K72" s="187"/>
      <c r="L72" s="187"/>
      <c r="M72" s="188"/>
      <c r="N72" s="189">
        <v>1205</v>
      </c>
      <c r="O72" s="190"/>
      <c r="P72" s="189"/>
      <c r="Q72" s="190"/>
      <c r="R72" s="40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40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40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40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40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40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7215</v>
      </c>
      <c r="O78" s="197"/>
      <c r="P78" s="168">
        <f>SUM(P67:Q77)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/>
      <c r="E79" s="1"/>
      <c r="F79" s="1"/>
      <c r="G79" s="1"/>
      <c r="H79" s="1"/>
      <c r="I79" s="1"/>
      <c r="R79"/>
    </row>
    <row r="80" spans="1:23" ht="14.55" customHeight="1" x14ac:dyDescent="0.3">
      <c r="D80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/>
    </row>
    <row r="81" spans="1:23" ht="14.55" customHeight="1" x14ac:dyDescent="0.3">
      <c r="D81"/>
      <c r="E81" s="7"/>
      <c r="F81" s="7"/>
      <c r="G81" s="7"/>
      <c r="H81" s="7"/>
      <c r="I81" s="7"/>
      <c r="J81" s="22"/>
      <c r="K81" s="23"/>
      <c r="L81" s="22"/>
      <c r="M81" s="24"/>
      <c r="N81" s="39">
        <f>N78</f>
        <v>7215</v>
      </c>
      <c r="O81" s="14" t="s">
        <v>13</v>
      </c>
      <c r="P81" s="39">
        <f>P78</f>
        <v>0</v>
      </c>
      <c r="Q81" s="15" t="s">
        <v>13</v>
      </c>
      <c r="R81"/>
    </row>
    <row r="82" spans="1:23" x14ac:dyDescent="0.3">
      <c r="P82" s="31"/>
      <c r="Q82" s="31"/>
      <c r="R82" s="31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>
        <v>0.70833333333333337</v>
      </c>
      <c r="D86" s="4">
        <v>10925</v>
      </c>
      <c r="E86" s="3" t="s">
        <v>86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1200</v>
      </c>
      <c r="O86" s="198"/>
      <c r="P86" s="198"/>
      <c r="Q86" s="190"/>
      <c r="R86" s="40"/>
      <c r="S86" t="s">
        <v>14</v>
      </c>
      <c r="T86" s="21"/>
      <c r="U86" s="191" t="s">
        <v>88</v>
      </c>
      <c r="V86" s="192"/>
      <c r="W86" s="193"/>
    </row>
    <row r="87" spans="1:23" ht="14.55" customHeight="1" x14ac:dyDescent="0.3">
      <c r="A87" s="184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40"/>
      <c r="S87" s="6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40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40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40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1200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191"/>
      <c r="V91" s="192"/>
      <c r="W91" s="193"/>
    </row>
    <row r="92" spans="1:23" ht="14.55" customHeight="1" x14ac:dyDescent="0.3">
      <c r="D92"/>
      <c r="E92" s="1"/>
      <c r="F92" s="1"/>
      <c r="G92" s="1"/>
      <c r="H92" s="1"/>
      <c r="I92" s="1"/>
      <c r="R92"/>
    </row>
    <row r="93" spans="1:23" ht="14.55" customHeight="1" x14ac:dyDescent="0.3">
      <c r="D93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/>
    </row>
    <row r="94" spans="1:23" ht="14.55" customHeight="1" x14ac:dyDescent="0.3">
      <c r="D94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1200</v>
      </c>
      <c r="O94" s="201"/>
      <c r="P94" s="202" t="s">
        <v>13</v>
      </c>
      <c r="Q94" s="203"/>
      <c r="R94"/>
    </row>
  </sheetData>
  <mergeCells count="254"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94"/>
  <sheetViews>
    <sheetView topLeftCell="A31" zoomScale="85" zoomScaleNormal="85" workbookViewId="0">
      <selection activeCell="D45" sqref="D45:G45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45919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">
        <v>10925</v>
      </c>
      <c r="E7" s="3" t="s">
        <v>81</v>
      </c>
      <c r="F7" s="19">
        <v>430</v>
      </c>
      <c r="G7" s="20">
        <v>0.8</v>
      </c>
      <c r="H7" s="186" t="s">
        <v>51</v>
      </c>
      <c r="I7" s="187"/>
      <c r="J7" s="187"/>
      <c r="K7" s="187"/>
      <c r="L7" s="187"/>
      <c r="M7" s="188"/>
      <c r="N7" s="189">
        <v>1600</v>
      </c>
      <c r="O7" s="190"/>
      <c r="P7" s="189"/>
      <c r="Q7" s="190"/>
      <c r="R7" s="41">
        <v>30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4">
        <v>210825</v>
      </c>
      <c r="E8" s="3" t="s">
        <v>95</v>
      </c>
      <c r="F8" s="19">
        <v>304</v>
      </c>
      <c r="G8" s="20">
        <v>0.7</v>
      </c>
      <c r="H8" s="186"/>
      <c r="I8" s="187"/>
      <c r="J8" s="187"/>
      <c r="K8" s="187"/>
      <c r="L8" s="187"/>
      <c r="M8" s="188"/>
      <c r="N8" s="189">
        <v>650</v>
      </c>
      <c r="O8" s="190"/>
      <c r="P8" s="189"/>
      <c r="Q8" s="190"/>
      <c r="R8" s="41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41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2250</v>
      </c>
      <c r="O10" s="169"/>
      <c r="P10" s="168">
        <f>SUM(P7:Q9)</f>
        <v>0</v>
      </c>
      <c r="Q10" s="169"/>
      <c r="R10" s="10">
        <f>SUM(R7:R9)</f>
        <v>30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0.39583333333333331</v>
      </c>
      <c r="C11" s="5">
        <v>0.70833333333333337</v>
      </c>
      <c r="D11" s="4">
        <v>290725</v>
      </c>
      <c r="E11" s="3" t="s">
        <v>96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800</v>
      </c>
      <c r="O11" s="190"/>
      <c r="P11" s="189"/>
      <c r="Q11" s="190"/>
      <c r="R11" s="41"/>
      <c r="S11" s="6" t="s">
        <v>14</v>
      </c>
      <c r="T11" s="21"/>
      <c r="U11" s="191" t="s">
        <v>97</v>
      </c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41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41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800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42">
        <f>N10+N14</f>
        <v>3050</v>
      </c>
      <c r="O17" s="14" t="s">
        <v>13</v>
      </c>
      <c r="P17" s="42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">
        <v>10925</v>
      </c>
      <c r="E22" s="3" t="s">
        <v>81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1350</v>
      </c>
      <c r="O22" s="198"/>
      <c r="P22" s="198"/>
      <c r="Q22" s="190"/>
      <c r="R22" s="41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">
        <v>210825</v>
      </c>
      <c r="E23" s="3" t="s">
        <v>95</v>
      </c>
      <c r="F23" s="19">
        <v>304</v>
      </c>
      <c r="G23" s="20">
        <v>0.7</v>
      </c>
      <c r="H23" s="186"/>
      <c r="I23" s="187"/>
      <c r="J23" s="187"/>
      <c r="K23" s="187"/>
      <c r="L23" s="187"/>
      <c r="M23" s="188"/>
      <c r="N23" s="189">
        <v>650</v>
      </c>
      <c r="O23" s="198"/>
      <c r="P23" s="198"/>
      <c r="Q23" s="190"/>
      <c r="R23" s="41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41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41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2000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2000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4">
        <v>10925</v>
      </c>
      <c r="E34" s="3" t="s">
        <v>81</v>
      </c>
      <c r="F34" s="19">
        <v>430</v>
      </c>
      <c r="G34" s="20">
        <v>0.8</v>
      </c>
      <c r="H34" s="186" t="s">
        <v>56</v>
      </c>
      <c r="I34" s="187"/>
      <c r="J34" s="187"/>
      <c r="K34" s="187"/>
      <c r="L34" s="187"/>
      <c r="M34" s="188"/>
      <c r="N34" s="189">
        <v>2000</v>
      </c>
      <c r="O34" s="190"/>
      <c r="P34" s="189"/>
      <c r="Q34" s="190"/>
      <c r="R34" s="41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41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41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42">
        <f>N37</f>
        <v>2000</v>
      </c>
      <c r="O40" s="14" t="s">
        <v>13</v>
      </c>
      <c r="P40" s="42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>
        <v>0.70833333333333337</v>
      </c>
      <c r="D45" s="4">
        <v>10925</v>
      </c>
      <c r="E45" s="3" t="s">
        <v>81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1600</v>
      </c>
      <c r="O45" s="198"/>
      <c r="P45" s="198"/>
      <c r="Q45" s="190"/>
      <c r="R45" s="41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4"/>
      <c r="E46" s="3"/>
      <c r="F46" s="19"/>
      <c r="G46" s="20"/>
      <c r="H46" s="186"/>
      <c r="I46" s="187"/>
      <c r="J46" s="187"/>
      <c r="K46" s="187"/>
      <c r="L46" s="187"/>
      <c r="M46" s="188"/>
      <c r="N46" s="189"/>
      <c r="O46" s="198"/>
      <c r="P46" s="198"/>
      <c r="Q46" s="190"/>
      <c r="R46" s="41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41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1600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1600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">
        <v>10925</v>
      </c>
      <c r="E56" s="3" t="s">
        <v>52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455</v>
      </c>
      <c r="O56" s="198"/>
      <c r="P56" s="198"/>
      <c r="Q56" s="190"/>
      <c r="R56" s="41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">
        <v>10925</v>
      </c>
      <c r="E57" s="3" t="s">
        <v>81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1165</v>
      </c>
      <c r="O57" s="198"/>
      <c r="P57" s="198"/>
      <c r="Q57" s="190"/>
      <c r="R57" s="41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41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1620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1620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/>
      <c r="C67" s="5"/>
      <c r="D67" s="4">
        <v>250039</v>
      </c>
      <c r="E67" s="3" t="s">
        <v>98</v>
      </c>
      <c r="F67" s="19">
        <v>304</v>
      </c>
      <c r="G67" s="20">
        <v>0.7</v>
      </c>
      <c r="H67" s="186" t="s">
        <v>78</v>
      </c>
      <c r="I67" s="187"/>
      <c r="J67" s="187"/>
      <c r="K67" s="187"/>
      <c r="L67" s="187"/>
      <c r="M67" s="188"/>
      <c r="N67" s="189">
        <v>400</v>
      </c>
      <c r="O67" s="190"/>
      <c r="P67" s="189"/>
      <c r="Q67" s="190"/>
      <c r="R67" s="41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250039</v>
      </c>
      <c r="E68" s="3" t="s">
        <v>98</v>
      </c>
      <c r="F68" s="19">
        <v>304</v>
      </c>
      <c r="G68" s="20">
        <v>0.7</v>
      </c>
      <c r="H68" s="186" t="s">
        <v>100</v>
      </c>
      <c r="I68" s="187"/>
      <c r="J68" s="187"/>
      <c r="K68" s="187"/>
      <c r="L68" s="187"/>
      <c r="M68" s="188"/>
      <c r="N68" s="189">
        <v>400</v>
      </c>
      <c r="O68" s="190"/>
      <c r="P68" s="189"/>
      <c r="Q68" s="190"/>
      <c r="R68" s="41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10925</v>
      </c>
      <c r="E69" s="3" t="s">
        <v>52</v>
      </c>
      <c r="F69" s="19">
        <v>430</v>
      </c>
      <c r="G69" s="20">
        <v>0.8</v>
      </c>
      <c r="H69" s="186" t="s">
        <v>78</v>
      </c>
      <c r="I69" s="187"/>
      <c r="J69" s="187"/>
      <c r="K69" s="187"/>
      <c r="L69" s="187"/>
      <c r="M69" s="188"/>
      <c r="N69" s="189">
        <v>838</v>
      </c>
      <c r="O69" s="190"/>
      <c r="P69" s="189"/>
      <c r="Q69" s="190"/>
      <c r="R69" s="41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 t="s">
        <v>99</v>
      </c>
      <c r="F70" s="19">
        <v>304</v>
      </c>
      <c r="G70" s="20"/>
      <c r="H70" s="186" t="s">
        <v>78</v>
      </c>
      <c r="I70" s="187"/>
      <c r="J70" s="187"/>
      <c r="K70" s="187"/>
      <c r="L70" s="187"/>
      <c r="M70" s="188"/>
      <c r="N70" s="189">
        <v>400</v>
      </c>
      <c r="O70" s="190"/>
      <c r="P70" s="189"/>
      <c r="Q70" s="190"/>
      <c r="R70" s="41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 t="s">
        <v>99</v>
      </c>
      <c r="F71" s="19">
        <v>304</v>
      </c>
      <c r="G71" s="20"/>
      <c r="H71" s="186" t="s">
        <v>100</v>
      </c>
      <c r="I71" s="187"/>
      <c r="J71" s="187"/>
      <c r="K71" s="187"/>
      <c r="L71" s="187"/>
      <c r="M71" s="188"/>
      <c r="N71" s="189">
        <v>400</v>
      </c>
      <c r="O71" s="190"/>
      <c r="P71" s="189"/>
      <c r="Q71" s="190"/>
      <c r="R71" s="41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>
        <v>10925</v>
      </c>
      <c r="E72" s="3" t="s">
        <v>34</v>
      </c>
      <c r="F72" s="19">
        <v>430</v>
      </c>
      <c r="G72" s="20">
        <v>0.8</v>
      </c>
      <c r="H72" s="186" t="s">
        <v>78</v>
      </c>
      <c r="I72" s="187"/>
      <c r="J72" s="187"/>
      <c r="K72" s="187"/>
      <c r="L72" s="187"/>
      <c r="M72" s="188"/>
      <c r="N72" s="189">
        <v>475</v>
      </c>
      <c r="O72" s="190"/>
      <c r="P72" s="189"/>
      <c r="Q72" s="190"/>
      <c r="R72" s="41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41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41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41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41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41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/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42">
        <f ca="1">N78</f>
        <v>0</v>
      </c>
      <c r="O81" s="14" t="s">
        <v>13</v>
      </c>
      <c r="P81" s="42">
        <f ca="1">P78</f>
        <v>0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>
        <v>0.70833333333333337</v>
      </c>
      <c r="D86" s="4">
        <v>10925</v>
      </c>
      <c r="E86" s="3" t="s">
        <v>86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890</v>
      </c>
      <c r="O86" s="198"/>
      <c r="P86" s="198"/>
      <c r="Q86" s="190"/>
      <c r="R86" s="41"/>
      <c r="S86" s="47" t="s">
        <v>14</v>
      </c>
      <c r="T86" s="21"/>
      <c r="U86" s="191" t="s">
        <v>101</v>
      </c>
      <c r="V86" s="192"/>
      <c r="W86" s="193"/>
    </row>
    <row r="87" spans="1:23" ht="14.55" customHeight="1" x14ac:dyDescent="0.3">
      <c r="A87" s="184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41"/>
      <c r="S87" s="6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41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41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41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890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191"/>
      <c r="V91" s="192"/>
      <c r="W91" s="193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890</v>
      </c>
      <c r="O94" s="201"/>
      <c r="P94" s="202" t="s">
        <v>13</v>
      </c>
      <c r="Q94" s="203"/>
      <c r="R94" s="47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W95"/>
  <sheetViews>
    <sheetView topLeftCell="A21" zoomScale="85" zoomScaleNormal="85" workbookViewId="0">
      <selection activeCell="U87" sqref="U87:W92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45917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0.58333333333333337</v>
      </c>
      <c r="D7" s="4">
        <v>210825</v>
      </c>
      <c r="E7" s="3" t="s">
        <v>95</v>
      </c>
      <c r="F7" s="19">
        <v>304</v>
      </c>
      <c r="G7" s="20">
        <v>0.7</v>
      </c>
      <c r="H7" s="186"/>
      <c r="I7" s="187"/>
      <c r="J7" s="187"/>
      <c r="K7" s="187"/>
      <c r="L7" s="187"/>
      <c r="M7" s="188"/>
      <c r="N7" s="189">
        <v>1350</v>
      </c>
      <c r="O7" s="190"/>
      <c r="P7" s="189"/>
      <c r="Q7" s="190"/>
      <c r="R7" s="44">
        <v>15</v>
      </c>
      <c r="S7" s="6" t="s">
        <v>14</v>
      </c>
      <c r="T7" s="21" t="s">
        <v>102</v>
      </c>
      <c r="U7" s="194"/>
      <c r="V7" s="195"/>
      <c r="W7" s="196"/>
    </row>
    <row r="8" spans="1:23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44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44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1350</v>
      </c>
      <c r="O10" s="169"/>
      <c r="P10" s="168">
        <f>SUM(P7:Q9)</f>
        <v>0</v>
      </c>
      <c r="Q10" s="169"/>
      <c r="R10" s="10">
        <f>SUM(R7:R9)</f>
        <v>15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0.33333333333333331</v>
      </c>
      <c r="C11" s="5">
        <v>0.58333333333333337</v>
      </c>
      <c r="D11" s="4">
        <v>290725</v>
      </c>
      <c r="E11" s="3" t="s">
        <v>96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500</v>
      </c>
      <c r="O11" s="190"/>
      <c r="P11" s="189"/>
      <c r="Q11" s="190"/>
      <c r="R11" s="44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44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44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500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43">
        <f>N10+N14</f>
        <v>1850</v>
      </c>
      <c r="O17" s="14" t="s">
        <v>13</v>
      </c>
      <c r="P17" s="43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0.58333333333333337</v>
      </c>
      <c r="D22" s="4">
        <v>210825</v>
      </c>
      <c r="E22" s="3" t="s">
        <v>95</v>
      </c>
      <c r="F22" s="19">
        <v>304</v>
      </c>
      <c r="G22" s="20">
        <v>0.7</v>
      </c>
      <c r="H22" s="186"/>
      <c r="I22" s="187"/>
      <c r="J22" s="187"/>
      <c r="K22" s="187"/>
      <c r="L22" s="187"/>
      <c r="M22" s="188"/>
      <c r="N22" s="189">
        <v>1300</v>
      </c>
      <c r="O22" s="198"/>
      <c r="P22" s="198"/>
      <c r="Q22" s="190"/>
      <c r="R22" s="44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44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44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44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1300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1300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0.58333333333333337</v>
      </c>
      <c r="D34" s="4">
        <v>10925</v>
      </c>
      <c r="E34" s="3" t="s">
        <v>81</v>
      </c>
      <c r="F34" s="19">
        <v>430</v>
      </c>
      <c r="G34" s="20">
        <v>0.8</v>
      </c>
      <c r="H34" s="186" t="s">
        <v>103</v>
      </c>
      <c r="I34" s="187"/>
      <c r="J34" s="187"/>
      <c r="K34" s="187"/>
      <c r="L34" s="187"/>
      <c r="M34" s="188"/>
      <c r="N34" s="189">
        <v>550</v>
      </c>
      <c r="O34" s="190"/>
      <c r="P34" s="189"/>
      <c r="Q34" s="190"/>
      <c r="R34" s="44"/>
      <c r="S34" s="6" t="s">
        <v>14</v>
      </c>
      <c r="T34" s="21"/>
      <c r="U34" s="191" t="s">
        <v>104</v>
      </c>
      <c r="V34" s="192"/>
      <c r="W34" s="193"/>
    </row>
    <row r="35" spans="1:23" ht="14.55" customHeight="1" x14ac:dyDescent="0.3">
      <c r="A35" s="207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52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44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4"/>
      <c r="B37" s="5"/>
      <c r="C37" s="5"/>
      <c r="D37" s="4"/>
      <c r="E37" s="3"/>
      <c r="F37" s="19"/>
      <c r="G37" s="20"/>
      <c r="H37" s="186"/>
      <c r="I37" s="187"/>
      <c r="J37" s="187"/>
      <c r="K37" s="187"/>
      <c r="L37" s="187"/>
      <c r="M37" s="188"/>
      <c r="N37" s="189"/>
      <c r="O37" s="190"/>
      <c r="P37" s="189"/>
      <c r="Q37" s="190"/>
      <c r="R37" s="44"/>
      <c r="S37" s="6" t="s">
        <v>14</v>
      </c>
      <c r="T37" s="21"/>
      <c r="U37" s="191"/>
      <c r="V37" s="192"/>
      <c r="W37" s="193"/>
    </row>
    <row r="38" spans="1:23" ht="14.55" customHeight="1" x14ac:dyDescent="0.3">
      <c r="A38" s="185"/>
      <c r="B38" s="165" t="s">
        <v>0</v>
      </c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7"/>
      <c r="N38" s="168">
        <f>SUM(N34:O37)</f>
        <v>550</v>
      </c>
      <c r="O38" s="169"/>
      <c r="P38" s="168">
        <f>SUM(P34:Q37)</f>
        <v>0</v>
      </c>
      <c r="Q38" s="169"/>
      <c r="R38" s="10">
        <f>SUM(R34:R37)</f>
        <v>0</v>
      </c>
      <c r="S38" s="11" t="s">
        <v>14</v>
      </c>
      <c r="T38" s="9"/>
      <c r="U38" s="191"/>
      <c r="V38" s="192"/>
      <c r="W38" s="193"/>
    </row>
    <row r="39" spans="1:23" ht="14.55" customHeight="1" x14ac:dyDescent="0.3">
      <c r="D39" s="47"/>
      <c r="E39" s="48"/>
      <c r="F39" s="48"/>
      <c r="G39" s="48"/>
      <c r="H39" s="48"/>
      <c r="I39" s="48"/>
      <c r="R39" s="47"/>
    </row>
    <row r="40" spans="1:23" x14ac:dyDescent="0.3">
      <c r="E40" s="165" t="s">
        <v>22</v>
      </c>
      <c r="F40" s="166"/>
      <c r="G40" s="166"/>
      <c r="H40" s="166"/>
      <c r="I40" s="166"/>
      <c r="J40" s="166"/>
      <c r="K40" s="166"/>
      <c r="L40" s="166"/>
      <c r="M40" s="167"/>
      <c r="N40" s="181" t="s">
        <v>7</v>
      </c>
      <c r="O40" s="182"/>
      <c r="P40" s="181" t="s">
        <v>12</v>
      </c>
      <c r="Q40" s="182"/>
    </row>
    <row r="41" spans="1:23" s="50" customFormat="1" x14ac:dyDescent="0.3">
      <c r="E41" s="7"/>
      <c r="F41" s="7"/>
      <c r="G41" s="7"/>
      <c r="H41" s="7"/>
      <c r="I41" s="7"/>
      <c r="J41" s="22"/>
      <c r="K41" s="23"/>
      <c r="L41" s="22"/>
      <c r="M41" s="24"/>
      <c r="N41" s="43">
        <f>N38</f>
        <v>550</v>
      </c>
      <c r="O41" s="14" t="s">
        <v>13</v>
      </c>
      <c r="P41" s="43">
        <f>P38</f>
        <v>0</v>
      </c>
      <c r="Q41" s="15" t="s">
        <v>13</v>
      </c>
    </row>
    <row r="42" spans="1:23" ht="15" customHeight="1" x14ac:dyDescent="0.3">
      <c r="D42" s="47"/>
      <c r="J42" s="47"/>
      <c r="K42" s="47"/>
      <c r="L42" s="47"/>
      <c r="M42" s="47"/>
      <c r="N42" s="47"/>
      <c r="O42" s="47"/>
      <c r="P42" s="32"/>
      <c r="Q42" s="32"/>
      <c r="R42" s="32"/>
      <c r="S42" s="32"/>
    </row>
    <row r="43" spans="1:23" s="8" customFormat="1" ht="30" customHeight="1" x14ac:dyDescent="0.3">
      <c r="A43" s="155" t="s">
        <v>27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7"/>
      <c r="Q43" s="157"/>
      <c r="R43" s="157"/>
      <c r="S43" s="157"/>
      <c r="T43" s="156"/>
      <c r="U43" s="156"/>
      <c r="V43" s="156"/>
      <c r="W43" s="158"/>
    </row>
    <row r="44" spans="1:23" s="12" customFormat="1" ht="14.55" customHeight="1" x14ac:dyDescent="0.3">
      <c r="A44" s="159" t="s">
        <v>1</v>
      </c>
      <c r="B44" s="160" t="s">
        <v>2</v>
      </c>
      <c r="C44" s="160" t="s">
        <v>3</v>
      </c>
      <c r="D44" s="160" t="s">
        <v>4</v>
      </c>
      <c r="E44" s="161" t="s">
        <v>5</v>
      </c>
      <c r="F44" s="163" t="s">
        <v>15</v>
      </c>
      <c r="G44" s="163" t="s">
        <v>16</v>
      </c>
      <c r="H44" s="170" t="s">
        <v>24</v>
      </c>
      <c r="I44" s="171"/>
      <c r="J44" s="171"/>
      <c r="K44" s="171"/>
      <c r="L44" s="171"/>
      <c r="M44" s="172"/>
      <c r="N44" s="176" t="s">
        <v>6</v>
      </c>
      <c r="O44" s="177"/>
      <c r="P44" s="177"/>
      <c r="Q44" s="178"/>
      <c r="R44" s="161" t="s">
        <v>8</v>
      </c>
      <c r="S44" s="179"/>
      <c r="T44" s="159" t="s">
        <v>9</v>
      </c>
      <c r="U44" s="159" t="s">
        <v>10</v>
      </c>
      <c r="V44" s="159"/>
      <c r="W44" s="159"/>
    </row>
    <row r="45" spans="1:23" s="12" customFormat="1" ht="13.05" customHeight="1" x14ac:dyDescent="0.3">
      <c r="A45" s="159"/>
      <c r="B45" s="160"/>
      <c r="C45" s="160"/>
      <c r="D45" s="160"/>
      <c r="E45" s="162"/>
      <c r="F45" s="164"/>
      <c r="G45" s="164"/>
      <c r="H45" s="173"/>
      <c r="I45" s="174"/>
      <c r="J45" s="174"/>
      <c r="K45" s="174"/>
      <c r="L45" s="174"/>
      <c r="M45" s="175"/>
      <c r="N45" s="176" t="s">
        <v>7</v>
      </c>
      <c r="O45" s="177"/>
      <c r="P45" s="177"/>
      <c r="Q45" s="178"/>
      <c r="R45" s="162"/>
      <c r="S45" s="180"/>
      <c r="T45" s="159"/>
      <c r="U45" s="159"/>
      <c r="V45" s="159"/>
      <c r="W45" s="159"/>
    </row>
    <row r="46" spans="1:23" ht="14.55" customHeight="1" x14ac:dyDescent="0.3">
      <c r="A46" s="183" t="s">
        <v>69</v>
      </c>
      <c r="B46" s="5">
        <v>0.33333333333333331</v>
      </c>
      <c r="C46" s="5"/>
      <c r="D46" s="46">
        <v>90725</v>
      </c>
      <c r="E46" s="3" t="s">
        <v>83</v>
      </c>
      <c r="F46" s="19">
        <v>304</v>
      </c>
      <c r="G46" s="20">
        <v>0.9</v>
      </c>
      <c r="H46" s="186" t="s">
        <v>105</v>
      </c>
      <c r="I46" s="187"/>
      <c r="J46" s="187"/>
      <c r="K46" s="187"/>
      <c r="L46" s="187"/>
      <c r="M46" s="188"/>
      <c r="N46" s="189">
        <v>930</v>
      </c>
      <c r="O46" s="198"/>
      <c r="P46" s="198"/>
      <c r="Q46" s="190"/>
      <c r="R46" s="44">
        <v>45</v>
      </c>
      <c r="S46" s="6" t="s">
        <v>14</v>
      </c>
      <c r="T46" s="21" t="s">
        <v>77</v>
      </c>
      <c r="U46" s="191"/>
      <c r="V46" s="192"/>
      <c r="W46" s="193"/>
    </row>
    <row r="47" spans="1:23" ht="14.55" customHeight="1" x14ac:dyDescent="0.3">
      <c r="A47" s="184"/>
      <c r="B47" s="5"/>
      <c r="C47" s="5">
        <v>0.58333333333333337</v>
      </c>
      <c r="D47" s="4">
        <v>10925</v>
      </c>
      <c r="E47" s="3" t="s">
        <v>81</v>
      </c>
      <c r="F47" s="19">
        <v>430</v>
      </c>
      <c r="G47" s="20">
        <v>0.8</v>
      </c>
      <c r="H47" s="186"/>
      <c r="I47" s="187"/>
      <c r="J47" s="187"/>
      <c r="K47" s="187"/>
      <c r="L47" s="187"/>
      <c r="M47" s="188"/>
      <c r="N47" s="189">
        <v>70</v>
      </c>
      <c r="O47" s="198"/>
      <c r="P47" s="198"/>
      <c r="Q47" s="190"/>
      <c r="R47" s="44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4"/>
      <c r="B48" s="5"/>
      <c r="C48" s="5"/>
      <c r="D48" s="4"/>
      <c r="E48" s="3"/>
      <c r="F48" s="19"/>
      <c r="G48" s="20"/>
      <c r="H48" s="186"/>
      <c r="I48" s="187"/>
      <c r="J48" s="187"/>
      <c r="K48" s="187"/>
      <c r="L48" s="187"/>
      <c r="M48" s="188"/>
      <c r="N48" s="189"/>
      <c r="O48" s="198"/>
      <c r="P48" s="198"/>
      <c r="Q48" s="190"/>
      <c r="R48" s="44"/>
      <c r="S48" s="6" t="s">
        <v>14</v>
      </c>
      <c r="T48" s="21"/>
      <c r="U48" s="191"/>
      <c r="V48" s="192"/>
      <c r="W48" s="193"/>
    </row>
    <row r="49" spans="1:23" ht="14.55" customHeight="1" x14ac:dyDescent="0.3">
      <c r="A49" s="185"/>
      <c r="B49" s="165" t="s">
        <v>0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8">
        <f>SUM(N46:O48)</f>
        <v>1000</v>
      </c>
      <c r="O49" s="197"/>
      <c r="P49" s="197"/>
      <c r="Q49" s="169"/>
      <c r="R49" s="10">
        <f>SUM(R46:R48)</f>
        <v>45</v>
      </c>
      <c r="S49" s="11" t="s">
        <v>14</v>
      </c>
      <c r="T49" s="9"/>
      <c r="U49" s="191"/>
      <c r="V49" s="192"/>
      <c r="W49" s="193"/>
    </row>
    <row r="50" spans="1:23" ht="14.55" customHeight="1" x14ac:dyDescent="0.3">
      <c r="D50" s="47"/>
      <c r="E50" s="48"/>
      <c r="F50" s="48"/>
      <c r="G50" s="48"/>
      <c r="H50" s="48"/>
      <c r="I50" s="48"/>
      <c r="R50" s="47"/>
    </row>
    <row r="51" spans="1:23" x14ac:dyDescent="0.3">
      <c r="E51" s="165" t="s">
        <v>31</v>
      </c>
      <c r="F51" s="166"/>
      <c r="G51" s="166"/>
      <c r="H51" s="166"/>
      <c r="I51" s="166"/>
      <c r="J51" s="166"/>
      <c r="K51" s="166"/>
      <c r="L51" s="166"/>
      <c r="M51" s="167"/>
      <c r="N51" s="181" t="s">
        <v>7</v>
      </c>
      <c r="O51" s="199"/>
      <c r="P51" s="199"/>
      <c r="Q51" s="182"/>
    </row>
    <row r="52" spans="1:23" s="50" customFormat="1" x14ac:dyDescent="0.3">
      <c r="E52" s="7"/>
      <c r="F52" s="7"/>
      <c r="G52" s="7"/>
      <c r="H52" s="7"/>
      <c r="I52" s="7"/>
      <c r="J52" s="22"/>
      <c r="K52" s="23"/>
      <c r="L52" s="22"/>
      <c r="M52" s="24"/>
      <c r="N52" s="200">
        <f>N49</f>
        <v>1000</v>
      </c>
      <c r="O52" s="201"/>
      <c r="P52" s="202" t="s">
        <v>13</v>
      </c>
      <c r="Q52" s="203"/>
    </row>
    <row r="53" spans="1:23" s="26" customFormat="1" ht="15" customHeight="1" x14ac:dyDescent="0.3">
      <c r="D53" s="27"/>
      <c r="E53" s="28"/>
      <c r="F53" s="28"/>
      <c r="G53" s="28"/>
      <c r="H53" s="28"/>
      <c r="I53" s="28"/>
      <c r="J53" s="25"/>
      <c r="K53" s="25"/>
      <c r="L53" s="25"/>
      <c r="M53" s="25"/>
      <c r="N53" s="30"/>
      <c r="O53" s="30"/>
      <c r="P53" s="29"/>
      <c r="Q53" s="29"/>
      <c r="R53" s="33"/>
      <c r="S53" s="34"/>
    </row>
    <row r="54" spans="1:23" s="8" customFormat="1" ht="30" customHeight="1" x14ac:dyDescent="0.3">
      <c r="A54" s="155" t="s">
        <v>28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7"/>
      <c r="Q54" s="157"/>
      <c r="R54" s="157"/>
      <c r="S54" s="157"/>
      <c r="T54" s="156"/>
      <c r="U54" s="156"/>
      <c r="V54" s="156"/>
      <c r="W54" s="158"/>
    </row>
    <row r="55" spans="1:23" s="12" customFormat="1" ht="14.55" customHeight="1" x14ac:dyDescent="0.3">
      <c r="A55" s="159" t="s">
        <v>1</v>
      </c>
      <c r="B55" s="160" t="s">
        <v>2</v>
      </c>
      <c r="C55" s="160" t="s">
        <v>3</v>
      </c>
      <c r="D55" s="160" t="s">
        <v>4</v>
      </c>
      <c r="E55" s="161" t="s">
        <v>5</v>
      </c>
      <c r="F55" s="163" t="s">
        <v>15</v>
      </c>
      <c r="G55" s="163" t="s">
        <v>16</v>
      </c>
      <c r="H55" s="170" t="s">
        <v>24</v>
      </c>
      <c r="I55" s="171"/>
      <c r="J55" s="171"/>
      <c r="K55" s="171"/>
      <c r="L55" s="171"/>
      <c r="M55" s="172"/>
      <c r="N55" s="176" t="s">
        <v>6</v>
      </c>
      <c r="O55" s="177"/>
      <c r="P55" s="177"/>
      <c r="Q55" s="178"/>
      <c r="R55" s="161" t="s">
        <v>8</v>
      </c>
      <c r="S55" s="179"/>
      <c r="T55" s="159" t="s">
        <v>9</v>
      </c>
      <c r="U55" s="159" t="s">
        <v>10</v>
      </c>
      <c r="V55" s="159"/>
      <c r="W55" s="159"/>
    </row>
    <row r="56" spans="1:23" s="12" customFormat="1" ht="13.05" customHeight="1" x14ac:dyDescent="0.3">
      <c r="A56" s="159"/>
      <c r="B56" s="160"/>
      <c r="C56" s="160"/>
      <c r="D56" s="160"/>
      <c r="E56" s="162"/>
      <c r="F56" s="164"/>
      <c r="G56" s="164"/>
      <c r="H56" s="173"/>
      <c r="I56" s="174"/>
      <c r="J56" s="174"/>
      <c r="K56" s="174"/>
      <c r="L56" s="174"/>
      <c r="M56" s="175"/>
      <c r="N56" s="176" t="s">
        <v>7</v>
      </c>
      <c r="O56" s="177"/>
      <c r="P56" s="177"/>
      <c r="Q56" s="178"/>
      <c r="R56" s="162"/>
      <c r="S56" s="180"/>
      <c r="T56" s="159"/>
      <c r="U56" s="159"/>
      <c r="V56" s="159"/>
      <c r="W56" s="159"/>
    </row>
    <row r="57" spans="1:23" ht="14.55" customHeight="1" x14ac:dyDescent="0.3">
      <c r="A57" s="183" t="s">
        <v>68</v>
      </c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44"/>
      <c r="S57" s="6" t="s">
        <v>14</v>
      </c>
      <c r="T57" s="21"/>
      <c r="U57" s="191" t="s">
        <v>106</v>
      </c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44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4"/>
      <c r="B59" s="5"/>
      <c r="C59" s="5"/>
      <c r="D59" s="4"/>
      <c r="E59" s="3"/>
      <c r="F59" s="19"/>
      <c r="G59" s="20"/>
      <c r="H59" s="186"/>
      <c r="I59" s="187"/>
      <c r="J59" s="187"/>
      <c r="K59" s="187"/>
      <c r="L59" s="187"/>
      <c r="M59" s="188"/>
      <c r="N59" s="189"/>
      <c r="O59" s="198"/>
      <c r="P59" s="198"/>
      <c r="Q59" s="190"/>
      <c r="R59" s="44"/>
      <c r="S59" s="6" t="s">
        <v>14</v>
      </c>
      <c r="T59" s="21"/>
      <c r="U59" s="204"/>
      <c r="V59" s="205"/>
      <c r="W59" s="206"/>
    </row>
    <row r="60" spans="1:23" ht="14.55" customHeight="1" x14ac:dyDescent="0.3">
      <c r="A60" s="185"/>
      <c r="B60" s="165" t="s">
        <v>0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8">
        <f>SUM(N57:O59)</f>
        <v>0</v>
      </c>
      <c r="O60" s="197"/>
      <c r="P60" s="197"/>
      <c r="Q60" s="169"/>
      <c r="R60" s="10">
        <f>SUM(R57:R59)</f>
        <v>0</v>
      </c>
      <c r="S60" s="11" t="s">
        <v>14</v>
      </c>
      <c r="T60" s="9"/>
      <c r="U60" s="204"/>
      <c r="V60" s="205"/>
      <c r="W60" s="206"/>
    </row>
    <row r="61" spans="1:23" ht="14.55" customHeight="1" x14ac:dyDescent="0.3">
      <c r="D61" s="47"/>
      <c r="E61" s="48"/>
      <c r="F61" s="48"/>
      <c r="G61" s="48"/>
      <c r="H61" s="48"/>
      <c r="I61" s="48"/>
      <c r="R61" s="47"/>
    </row>
    <row r="62" spans="1:23" ht="14.55" customHeight="1" x14ac:dyDescent="0.3">
      <c r="D62" s="47"/>
      <c r="E62" s="165" t="s">
        <v>32</v>
      </c>
      <c r="F62" s="166"/>
      <c r="G62" s="166"/>
      <c r="H62" s="166"/>
      <c r="I62" s="166"/>
      <c r="J62" s="166"/>
      <c r="K62" s="166"/>
      <c r="L62" s="166"/>
      <c r="M62" s="167"/>
      <c r="N62" s="181" t="s">
        <v>7</v>
      </c>
      <c r="O62" s="199"/>
      <c r="P62" s="199"/>
      <c r="Q62" s="182"/>
      <c r="R62" s="47"/>
    </row>
    <row r="63" spans="1:23" ht="14.55" customHeight="1" x14ac:dyDescent="0.3">
      <c r="D63" s="47"/>
      <c r="E63" s="7"/>
      <c r="F63" s="7"/>
      <c r="G63" s="7"/>
      <c r="H63" s="7"/>
      <c r="I63" s="7"/>
      <c r="J63" s="22"/>
      <c r="K63" s="23"/>
      <c r="L63" s="22"/>
      <c r="M63" s="24"/>
      <c r="N63" s="200">
        <f>N60</f>
        <v>0</v>
      </c>
      <c r="O63" s="201"/>
      <c r="P63" s="202" t="s">
        <v>13</v>
      </c>
      <c r="Q63" s="203"/>
      <c r="R63" s="47"/>
    </row>
    <row r="64" spans="1:23" ht="14.55" customHeight="1" x14ac:dyDescent="0.3">
      <c r="D64" s="47"/>
      <c r="E64" s="48"/>
      <c r="F64" s="48"/>
      <c r="G64" s="48"/>
      <c r="H64" s="48"/>
      <c r="I64" s="48"/>
      <c r="P64" s="49"/>
      <c r="Q64" s="49"/>
      <c r="R64" s="32"/>
      <c r="S64" s="32"/>
    </row>
    <row r="65" spans="1:23" s="8" customFormat="1" ht="30" customHeight="1" x14ac:dyDescent="0.3">
      <c r="A65" s="155" t="s">
        <v>73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7"/>
      <c r="Q65" s="157"/>
      <c r="R65" s="157"/>
      <c r="S65" s="157"/>
      <c r="T65" s="156"/>
      <c r="U65" s="156"/>
      <c r="V65" s="156"/>
      <c r="W65" s="158"/>
    </row>
    <row r="66" spans="1:23" s="12" customFormat="1" ht="14.55" customHeight="1" x14ac:dyDescent="0.3">
      <c r="A66" s="159" t="s">
        <v>1</v>
      </c>
      <c r="B66" s="160" t="s">
        <v>2</v>
      </c>
      <c r="C66" s="160" t="s">
        <v>3</v>
      </c>
      <c r="D66" s="160" t="s">
        <v>4</v>
      </c>
      <c r="E66" s="161" t="s">
        <v>5</v>
      </c>
      <c r="F66" s="163" t="s">
        <v>15</v>
      </c>
      <c r="G66" s="163" t="s">
        <v>16</v>
      </c>
      <c r="H66" s="170" t="s">
        <v>30</v>
      </c>
      <c r="I66" s="171"/>
      <c r="J66" s="171"/>
      <c r="K66" s="171"/>
      <c r="L66" s="171"/>
      <c r="M66" s="172"/>
      <c r="N66" s="176" t="s">
        <v>6</v>
      </c>
      <c r="O66" s="177"/>
      <c r="P66" s="177"/>
      <c r="Q66" s="178"/>
      <c r="R66" s="161" t="s">
        <v>8</v>
      </c>
      <c r="S66" s="179"/>
      <c r="T66" s="159" t="s">
        <v>9</v>
      </c>
      <c r="U66" s="159" t="s">
        <v>10</v>
      </c>
      <c r="V66" s="159"/>
      <c r="W66" s="159"/>
    </row>
    <row r="67" spans="1:23" s="12" customFormat="1" ht="13.05" customHeight="1" x14ac:dyDescent="0.3">
      <c r="A67" s="159"/>
      <c r="B67" s="160"/>
      <c r="C67" s="160"/>
      <c r="D67" s="160"/>
      <c r="E67" s="162"/>
      <c r="F67" s="164"/>
      <c r="G67" s="164"/>
      <c r="H67" s="173"/>
      <c r="I67" s="174"/>
      <c r="J67" s="174"/>
      <c r="K67" s="174"/>
      <c r="L67" s="174"/>
      <c r="M67" s="175"/>
      <c r="N67" s="176" t="s">
        <v>7</v>
      </c>
      <c r="O67" s="177"/>
      <c r="P67" s="177" t="s">
        <v>74</v>
      </c>
      <c r="Q67" s="178"/>
      <c r="R67" s="162"/>
      <c r="S67" s="180"/>
      <c r="T67" s="159"/>
      <c r="U67" s="159"/>
      <c r="V67" s="159"/>
      <c r="W67" s="159"/>
    </row>
    <row r="68" spans="1:23" ht="14.55" customHeight="1" x14ac:dyDescent="0.3">
      <c r="A68" s="183" t="s">
        <v>49</v>
      </c>
      <c r="B68" s="5">
        <v>0.33333333333333331</v>
      </c>
      <c r="C68" s="5"/>
      <c r="D68" s="4">
        <v>10925</v>
      </c>
      <c r="E68" s="3" t="s">
        <v>52</v>
      </c>
      <c r="F68" s="19">
        <v>430</v>
      </c>
      <c r="G68" s="20">
        <v>0.8</v>
      </c>
      <c r="H68" s="186" t="s">
        <v>78</v>
      </c>
      <c r="I68" s="187"/>
      <c r="J68" s="187"/>
      <c r="K68" s="187"/>
      <c r="L68" s="187"/>
      <c r="M68" s="188"/>
      <c r="N68" s="189">
        <v>52</v>
      </c>
      <c r="O68" s="190"/>
      <c r="P68" s="189"/>
      <c r="Q68" s="190"/>
      <c r="R68" s="44"/>
      <c r="S68" s="47" t="s">
        <v>14</v>
      </c>
      <c r="T68" s="21"/>
      <c r="U68" s="191" t="s">
        <v>109</v>
      </c>
      <c r="V68" s="192"/>
      <c r="W68" s="193"/>
    </row>
    <row r="69" spans="1:23" ht="14.55" customHeight="1" x14ac:dyDescent="0.3">
      <c r="A69" s="184"/>
      <c r="B69" s="5"/>
      <c r="C69" s="5"/>
      <c r="D69" s="4">
        <v>10925</v>
      </c>
      <c r="E69" s="3" t="s">
        <v>81</v>
      </c>
      <c r="F69" s="19">
        <v>430</v>
      </c>
      <c r="G69" s="20">
        <v>0.8</v>
      </c>
      <c r="H69" s="186" t="s">
        <v>100</v>
      </c>
      <c r="I69" s="187"/>
      <c r="J69" s="187"/>
      <c r="K69" s="187"/>
      <c r="L69" s="187"/>
      <c r="M69" s="188"/>
      <c r="N69" s="189">
        <v>1048</v>
      </c>
      <c r="O69" s="190"/>
      <c r="P69" s="189"/>
      <c r="Q69" s="190"/>
      <c r="R69" s="44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250040</v>
      </c>
      <c r="E70" s="3" t="s">
        <v>107</v>
      </c>
      <c r="F70" s="19">
        <v>304</v>
      </c>
      <c r="G70" s="20">
        <v>0.7</v>
      </c>
      <c r="H70" s="186" t="s">
        <v>108</v>
      </c>
      <c r="I70" s="187"/>
      <c r="J70" s="187"/>
      <c r="K70" s="187"/>
      <c r="L70" s="187"/>
      <c r="M70" s="188"/>
      <c r="N70" s="189">
        <v>400</v>
      </c>
      <c r="O70" s="190"/>
      <c r="P70" s="189"/>
      <c r="Q70" s="190"/>
      <c r="R70" s="44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>
        <v>250040</v>
      </c>
      <c r="E71" s="3" t="s">
        <v>107</v>
      </c>
      <c r="F71" s="19">
        <v>304</v>
      </c>
      <c r="G71" s="20">
        <v>0.7</v>
      </c>
      <c r="H71" s="186" t="s">
        <v>100</v>
      </c>
      <c r="I71" s="187"/>
      <c r="J71" s="187"/>
      <c r="K71" s="187"/>
      <c r="L71" s="187"/>
      <c r="M71" s="188"/>
      <c r="N71" s="189">
        <v>400</v>
      </c>
      <c r="O71" s="190"/>
      <c r="P71" s="189"/>
      <c r="Q71" s="190"/>
      <c r="R71" s="44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>
        <v>0.58333333333333337</v>
      </c>
      <c r="D72" s="4"/>
      <c r="E72" s="3" t="s">
        <v>99</v>
      </c>
      <c r="F72" s="19">
        <v>304</v>
      </c>
      <c r="G72" s="20">
        <v>0.7</v>
      </c>
      <c r="H72" s="186" t="s">
        <v>78</v>
      </c>
      <c r="I72" s="187"/>
      <c r="J72" s="187"/>
      <c r="K72" s="187"/>
      <c r="L72" s="187"/>
      <c r="M72" s="188"/>
      <c r="N72" s="189">
        <v>400</v>
      </c>
      <c r="O72" s="190"/>
      <c r="P72" s="189"/>
      <c r="Q72" s="190"/>
      <c r="R72" s="44"/>
      <c r="S72" s="6" t="s">
        <v>14</v>
      </c>
      <c r="T72" s="21"/>
      <c r="U72" s="191"/>
      <c r="V72" s="192"/>
      <c r="W72" s="193"/>
    </row>
    <row r="73" spans="1:23" ht="14.55" hidden="1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44"/>
      <c r="S73" s="6" t="s">
        <v>14</v>
      </c>
      <c r="T73" s="21"/>
      <c r="U73" s="191"/>
      <c r="V73" s="192"/>
      <c r="W73" s="193"/>
    </row>
    <row r="74" spans="1:23" ht="14.55" hidden="1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44"/>
      <c r="S74" s="6" t="s">
        <v>14</v>
      </c>
      <c r="T74" s="21"/>
      <c r="U74" s="191"/>
      <c r="V74" s="192"/>
      <c r="W74" s="193"/>
    </row>
    <row r="75" spans="1:23" ht="14.55" hidden="1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44"/>
      <c r="S75" s="6" t="s">
        <v>14</v>
      </c>
      <c r="T75" s="21"/>
      <c r="U75" s="191"/>
      <c r="V75" s="192"/>
      <c r="W75" s="193"/>
    </row>
    <row r="76" spans="1:23" ht="14.55" hidden="1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44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44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4"/>
      <c r="B78" s="5"/>
      <c r="C78" s="5"/>
      <c r="D78" s="4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0"/>
      <c r="P78" s="189"/>
      <c r="Q78" s="190"/>
      <c r="R78" s="44"/>
      <c r="S78" s="6" t="s">
        <v>14</v>
      </c>
      <c r="T78" s="21"/>
      <c r="U78" s="191"/>
      <c r="V78" s="192"/>
      <c r="W78" s="193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SUM(N68:O78)</f>
        <v>2300</v>
      </c>
      <c r="O79" s="197"/>
      <c r="P79" s="168">
        <f ca="1">SUM(P68:Q79)</f>
        <v>0</v>
      </c>
      <c r="Q79" s="197"/>
      <c r="R79" s="10">
        <f>SUM(R68:R78)</f>
        <v>0</v>
      </c>
      <c r="S79" s="11" t="s">
        <v>14</v>
      </c>
      <c r="T79" s="9"/>
      <c r="U79" s="191"/>
      <c r="V79" s="192"/>
      <c r="W79" s="193"/>
    </row>
    <row r="80" spans="1:23" ht="14.55" customHeight="1" x14ac:dyDescent="0.3">
      <c r="D80" s="47"/>
      <c r="E80" s="48"/>
      <c r="F80" s="48"/>
      <c r="G80" s="48"/>
      <c r="H80" s="48"/>
      <c r="I80" s="48"/>
      <c r="R80" s="47"/>
    </row>
    <row r="81" spans="1:23" ht="14.55" customHeight="1" x14ac:dyDescent="0.3">
      <c r="D81" s="47"/>
      <c r="E81" s="165" t="s">
        <v>65</v>
      </c>
      <c r="F81" s="166"/>
      <c r="G81" s="166"/>
      <c r="H81" s="166"/>
      <c r="I81" s="166"/>
      <c r="J81" s="166"/>
      <c r="K81" s="166"/>
      <c r="L81" s="166"/>
      <c r="M81" s="167"/>
      <c r="N81" s="181" t="s">
        <v>7</v>
      </c>
      <c r="O81" s="182"/>
      <c r="P81" s="181" t="s">
        <v>74</v>
      </c>
      <c r="Q81" s="182"/>
      <c r="R81" s="47"/>
    </row>
    <row r="82" spans="1:23" ht="14.55" customHeight="1" x14ac:dyDescent="0.3">
      <c r="D82" s="47"/>
      <c r="E82" s="7"/>
      <c r="F82" s="7"/>
      <c r="G82" s="7"/>
      <c r="H82" s="7"/>
      <c r="I82" s="7"/>
      <c r="J82" s="22"/>
      <c r="K82" s="23"/>
      <c r="L82" s="22"/>
      <c r="M82" s="24"/>
      <c r="N82" s="43">
        <f>N79</f>
        <v>2300</v>
      </c>
      <c r="O82" s="14" t="s">
        <v>13</v>
      </c>
      <c r="P82" s="43">
        <f ca="1">P79</f>
        <v>0</v>
      </c>
      <c r="Q82" s="15" t="s">
        <v>13</v>
      </c>
      <c r="R82" s="47"/>
    </row>
    <row r="83" spans="1:23" x14ac:dyDescent="0.3">
      <c r="P83" s="49"/>
      <c r="Q83" s="49"/>
      <c r="R83" s="49"/>
      <c r="S83" s="32"/>
    </row>
    <row r="84" spans="1:23" s="8" customFormat="1" ht="30" customHeight="1" x14ac:dyDescent="0.3">
      <c r="A84" s="155" t="s">
        <v>29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/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>
        <v>0.58333333333333337</v>
      </c>
      <c r="D87" s="4">
        <v>10925</v>
      </c>
      <c r="E87" s="3" t="s">
        <v>110</v>
      </c>
      <c r="F87" s="19">
        <v>430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800</v>
      </c>
      <c r="O87" s="198"/>
      <c r="P87" s="198"/>
      <c r="Q87" s="190"/>
      <c r="R87" s="44"/>
      <c r="S87" s="47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44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44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44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4"/>
      <c r="B91" s="5"/>
      <c r="C91" s="5"/>
      <c r="D91" s="4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8"/>
      <c r="P91" s="198"/>
      <c r="Q91" s="190"/>
      <c r="R91" s="44"/>
      <c r="S91" s="6" t="s">
        <v>14</v>
      </c>
      <c r="T91" s="21"/>
      <c r="U91" s="204"/>
      <c r="V91" s="205"/>
      <c r="W91" s="206"/>
    </row>
    <row r="92" spans="1:23" ht="14.55" customHeight="1" x14ac:dyDescent="0.3">
      <c r="A92" s="185"/>
      <c r="B92" s="165" t="s">
        <v>0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8">
        <f>SUM(N87:O91)</f>
        <v>800</v>
      </c>
      <c r="O92" s="197"/>
      <c r="P92" s="197"/>
      <c r="Q92" s="169"/>
      <c r="R92" s="10">
        <f>SUM(R87:R91)</f>
        <v>0</v>
      </c>
      <c r="S92" s="11" t="s">
        <v>14</v>
      </c>
      <c r="T92" s="9"/>
      <c r="U92" s="204"/>
      <c r="V92" s="205"/>
      <c r="W92" s="206"/>
    </row>
    <row r="93" spans="1:23" ht="14.55" customHeight="1" x14ac:dyDescent="0.3">
      <c r="D93" s="47"/>
      <c r="E93" s="48"/>
      <c r="F93" s="48"/>
      <c r="G93" s="48"/>
      <c r="H93" s="48"/>
      <c r="I93" s="48"/>
      <c r="R93" s="47"/>
    </row>
    <row r="94" spans="1:23" ht="14.55" customHeight="1" x14ac:dyDescent="0.3">
      <c r="D94" s="47"/>
      <c r="E94" s="165" t="s">
        <v>33</v>
      </c>
      <c r="F94" s="166"/>
      <c r="G94" s="166"/>
      <c r="H94" s="166"/>
      <c r="I94" s="166"/>
      <c r="J94" s="166"/>
      <c r="K94" s="166"/>
      <c r="L94" s="166"/>
      <c r="M94" s="167"/>
      <c r="N94" s="181" t="s">
        <v>7</v>
      </c>
      <c r="O94" s="199"/>
      <c r="P94" s="199"/>
      <c r="Q94" s="182"/>
      <c r="R94" s="47"/>
    </row>
    <row r="95" spans="1:23" ht="14.55" customHeight="1" x14ac:dyDescent="0.3">
      <c r="D95" s="47"/>
      <c r="E95" s="7"/>
      <c r="F95" s="7"/>
      <c r="G95" s="7"/>
      <c r="H95" s="7"/>
      <c r="I95" s="7"/>
      <c r="J95" s="22"/>
      <c r="K95" s="23"/>
      <c r="L95" s="22"/>
      <c r="M95" s="24"/>
      <c r="N95" s="200">
        <f>N92</f>
        <v>800</v>
      </c>
      <c r="O95" s="201"/>
      <c r="P95" s="202" t="s">
        <v>13</v>
      </c>
      <c r="Q95" s="203"/>
      <c r="R95" s="47"/>
    </row>
  </sheetData>
  <mergeCells count="257">
    <mergeCell ref="N95:O95"/>
    <mergeCell ref="P95:Q95"/>
    <mergeCell ref="H91:M91"/>
    <mergeCell ref="N91:Q91"/>
    <mergeCell ref="B92:M92"/>
    <mergeCell ref="N92:Q92"/>
    <mergeCell ref="E94:M94"/>
    <mergeCell ref="N94:Q94"/>
    <mergeCell ref="A87:A92"/>
    <mergeCell ref="H87:M87"/>
    <mergeCell ref="N87:Q87"/>
    <mergeCell ref="U87:W92"/>
    <mergeCell ref="H88:M88"/>
    <mergeCell ref="N88:Q88"/>
    <mergeCell ref="H89:M89"/>
    <mergeCell ref="N89:Q89"/>
    <mergeCell ref="H90:M90"/>
    <mergeCell ref="N90:Q90"/>
    <mergeCell ref="G85:G86"/>
    <mergeCell ref="H85:M86"/>
    <mergeCell ref="N85:Q85"/>
    <mergeCell ref="R85:S86"/>
    <mergeCell ref="T85:T86"/>
    <mergeCell ref="U85:W86"/>
    <mergeCell ref="N86:Q86"/>
    <mergeCell ref="E81:M81"/>
    <mergeCell ref="N81:O81"/>
    <mergeCell ref="P81:Q81"/>
    <mergeCell ref="A84:W84"/>
    <mergeCell ref="A85:A86"/>
    <mergeCell ref="B85:B86"/>
    <mergeCell ref="C85:C86"/>
    <mergeCell ref="D85:D86"/>
    <mergeCell ref="E85:E86"/>
    <mergeCell ref="F85:F86"/>
    <mergeCell ref="H78:M78"/>
    <mergeCell ref="N78:O78"/>
    <mergeCell ref="P78:Q78"/>
    <mergeCell ref="B79:M79"/>
    <mergeCell ref="N79:O79"/>
    <mergeCell ref="P79:Q79"/>
    <mergeCell ref="H76:M76"/>
    <mergeCell ref="N76:O76"/>
    <mergeCell ref="P76:Q76"/>
    <mergeCell ref="H77:M77"/>
    <mergeCell ref="N77:O77"/>
    <mergeCell ref="P77:Q77"/>
    <mergeCell ref="N74:O74"/>
    <mergeCell ref="P74:Q74"/>
    <mergeCell ref="H75:M75"/>
    <mergeCell ref="N75:O75"/>
    <mergeCell ref="P75:Q75"/>
    <mergeCell ref="H72:M72"/>
    <mergeCell ref="N72:O72"/>
    <mergeCell ref="P72:Q72"/>
    <mergeCell ref="H73:M73"/>
    <mergeCell ref="N73:O73"/>
    <mergeCell ref="P73:Q73"/>
    <mergeCell ref="A68:A79"/>
    <mergeCell ref="H68:M68"/>
    <mergeCell ref="N68:O68"/>
    <mergeCell ref="P68:Q68"/>
    <mergeCell ref="U68:W79"/>
    <mergeCell ref="H69:M69"/>
    <mergeCell ref="N69:O69"/>
    <mergeCell ref="F66:F67"/>
    <mergeCell ref="G66:G67"/>
    <mergeCell ref="H66:M67"/>
    <mergeCell ref="N66:Q66"/>
    <mergeCell ref="R66:S67"/>
    <mergeCell ref="T66:T67"/>
    <mergeCell ref="P69:Q69"/>
    <mergeCell ref="H70:M70"/>
    <mergeCell ref="N70:O70"/>
    <mergeCell ref="P70:Q70"/>
    <mergeCell ref="H71:M71"/>
    <mergeCell ref="N71:O71"/>
    <mergeCell ref="P71:Q71"/>
    <mergeCell ref="U66:W67"/>
    <mergeCell ref="N67:O67"/>
    <mergeCell ref="P67:Q67"/>
    <mergeCell ref="H74:M74"/>
    <mergeCell ref="E62:M62"/>
    <mergeCell ref="N62:Q62"/>
    <mergeCell ref="N63:O63"/>
    <mergeCell ref="P63:Q63"/>
    <mergeCell ref="A65:W65"/>
    <mergeCell ref="A66:A67"/>
    <mergeCell ref="B66:B67"/>
    <mergeCell ref="C66:C67"/>
    <mergeCell ref="D66:D67"/>
    <mergeCell ref="E66:E67"/>
    <mergeCell ref="A57:A60"/>
    <mergeCell ref="H57:M57"/>
    <mergeCell ref="N57:Q57"/>
    <mergeCell ref="U57:W60"/>
    <mergeCell ref="H58:M58"/>
    <mergeCell ref="N58:Q58"/>
    <mergeCell ref="H59:M59"/>
    <mergeCell ref="N59:Q59"/>
    <mergeCell ref="B60:M60"/>
    <mergeCell ref="N60:Q60"/>
    <mergeCell ref="E51:M51"/>
    <mergeCell ref="N51:Q51"/>
    <mergeCell ref="R44:S45"/>
    <mergeCell ref="T44:T45"/>
    <mergeCell ref="U44:W45"/>
    <mergeCell ref="N45:Q45"/>
    <mergeCell ref="H55:M56"/>
    <mergeCell ref="N55:Q55"/>
    <mergeCell ref="R55:S56"/>
    <mergeCell ref="T55:T56"/>
    <mergeCell ref="U55:W56"/>
    <mergeCell ref="N56:Q56"/>
    <mergeCell ref="N52:O52"/>
    <mergeCell ref="P52:Q52"/>
    <mergeCell ref="A54:W54"/>
    <mergeCell ref="A55:A56"/>
    <mergeCell ref="B55:B56"/>
    <mergeCell ref="C55:C56"/>
    <mergeCell ref="D55:D56"/>
    <mergeCell ref="E55:E56"/>
    <mergeCell ref="F55:F56"/>
    <mergeCell ref="G55:G56"/>
    <mergeCell ref="A46:A49"/>
    <mergeCell ref="H46:M46"/>
    <mergeCell ref="N46:Q46"/>
    <mergeCell ref="U46:W49"/>
    <mergeCell ref="H47:M47"/>
    <mergeCell ref="N47:Q47"/>
    <mergeCell ref="A43:W43"/>
    <mergeCell ref="A44:A45"/>
    <mergeCell ref="B44:B45"/>
    <mergeCell ref="C44:C45"/>
    <mergeCell ref="D44:D45"/>
    <mergeCell ref="E44:E45"/>
    <mergeCell ref="F44:F45"/>
    <mergeCell ref="G44:G45"/>
    <mergeCell ref="H44:M45"/>
    <mergeCell ref="N44:Q44"/>
    <mergeCell ref="H48:M48"/>
    <mergeCell ref="N48:Q48"/>
    <mergeCell ref="B49:M49"/>
    <mergeCell ref="N49:Q49"/>
    <mergeCell ref="A34:A38"/>
    <mergeCell ref="H34:M34"/>
    <mergeCell ref="N34:O34"/>
    <mergeCell ref="P34:Q34"/>
    <mergeCell ref="U34:W38"/>
    <mergeCell ref="B38:M38"/>
    <mergeCell ref="N38:O38"/>
    <mergeCell ref="P38:Q38"/>
    <mergeCell ref="E40:M40"/>
    <mergeCell ref="N40:O40"/>
    <mergeCell ref="P40:Q40"/>
    <mergeCell ref="H36:M36"/>
    <mergeCell ref="N36:O36"/>
    <mergeCell ref="P36:Q36"/>
    <mergeCell ref="H37:M37"/>
    <mergeCell ref="N37:O37"/>
    <mergeCell ref="P37:Q37"/>
    <mergeCell ref="H35:M35"/>
    <mergeCell ref="N35:O35"/>
    <mergeCell ref="P35:Q35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Y95"/>
  <sheetViews>
    <sheetView topLeftCell="A64" zoomScale="85" zoomScaleNormal="85" workbookViewId="0">
      <selection activeCell="D72" sqref="D72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5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5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5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45922</v>
      </c>
      <c r="U3" s="153"/>
      <c r="V3" s="153"/>
      <c r="W3" s="154"/>
    </row>
    <row r="4" spans="1:25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5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5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5" ht="14.55" customHeight="1" x14ac:dyDescent="0.3">
      <c r="A7" s="183" t="s">
        <v>71</v>
      </c>
      <c r="B7" s="5">
        <v>0.33333333333333331</v>
      </c>
      <c r="C7" s="5">
        <v>0.70833333333333337</v>
      </c>
      <c r="D7" s="4">
        <v>210825</v>
      </c>
      <c r="E7" s="3" t="s">
        <v>95</v>
      </c>
      <c r="F7" s="19">
        <v>304</v>
      </c>
      <c r="G7" s="20">
        <v>0.7</v>
      </c>
      <c r="H7" s="186"/>
      <c r="I7" s="187"/>
      <c r="J7" s="187"/>
      <c r="K7" s="187"/>
      <c r="L7" s="187"/>
      <c r="M7" s="188"/>
      <c r="N7" s="189">
        <v>1870</v>
      </c>
      <c r="O7" s="190"/>
      <c r="P7" s="189"/>
      <c r="Q7" s="190"/>
      <c r="R7" s="57">
        <v>50</v>
      </c>
      <c r="S7" s="6" t="s">
        <v>14</v>
      </c>
      <c r="T7" s="21" t="s">
        <v>111</v>
      </c>
      <c r="U7" s="214" t="s">
        <v>113</v>
      </c>
      <c r="V7" s="215"/>
      <c r="W7" s="216"/>
    </row>
    <row r="8" spans="1:25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57">
        <v>30</v>
      </c>
      <c r="S8" s="6" t="s">
        <v>14</v>
      </c>
      <c r="T8" s="21" t="s">
        <v>112</v>
      </c>
      <c r="U8" s="217"/>
      <c r="V8" s="218"/>
      <c r="W8" s="219"/>
    </row>
    <row r="9" spans="1:25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57"/>
      <c r="S9" s="6" t="s">
        <v>14</v>
      </c>
      <c r="T9" s="21"/>
      <c r="U9" s="217"/>
      <c r="V9" s="218"/>
      <c r="W9" s="219"/>
    </row>
    <row r="10" spans="1:25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1870</v>
      </c>
      <c r="O10" s="169"/>
      <c r="P10" s="168">
        <f>SUM(P7:Q9)</f>
        <v>0</v>
      </c>
      <c r="Q10" s="169"/>
      <c r="R10" s="10">
        <f>SUM(R7:R9)</f>
        <v>80</v>
      </c>
      <c r="S10" s="11" t="s">
        <v>14</v>
      </c>
      <c r="T10" s="9"/>
      <c r="U10" s="220"/>
      <c r="V10" s="221"/>
      <c r="W10" s="222"/>
    </row>
    <row r="11" spans="1:25" ht="14.55" customHeight="1" x14ac:dyDescent="0.3">
      <c r="A11" s="183" t="s">
        <v>72</v>
      </c>
      <c r="B11" s="5">
        <v>0.33333333333333331</v>
      </c>
      <c r="C11" s="5">
        <v>0.70833333333333337</v>
      </c>
      <c r="D11" s="4">
        <v>290725</v>
      </c>
      <c r="E11" s="3" t="s">
        <v>96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700</v>
      </c>
      <c r="O11" s="190"/>
      <c r="P11" s="189"/>
      <c r="Q11" s="190"/>
      <c r="R11" s="57">
        <v>50</v>
      </c>
      <c r="S11" s="6" t="s">
        <v>14</v>
      </c>
      <c r="T11" s="21" t="s">
        <v>111</v>
      </c>
      <c r="U11" s="214" t="s">
        <v>113</v>
      </c>
      <c r="V11" s="215"/>
      <c r="W11" s="216"/>
    </row>
    <row r="12" spans="1:25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57"/>
      <c r="S12" s="6" t="s">
        <v>14</v>
      </c>
      <c r="T12" s="21"/>
      <c r="U12" s="217"/>
      <c r="V12" s="218"/>
      <c r="W12" s="219"/>
      <c r="Y12" s="47" t="s">
        <v>114</v>
      </c>
    </row>
    <row r="13" spans="1:25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57"/>
      <c r="S13" s="6" t="s">
        <v>14</v>
      </c>
      <c r="T13" s="21"/>
      <c r="U13" s="217"/>
      <c r="V13" s="218"/>
      <c r="W13" s="219"/>
    </row>
    <row r="14" spans="1:25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700</v>
      </c>
      <c r="O14" s="169"/>
      <c r="P14" s="168">
        <f>SUM(P11:Q13)</f>
        <v>0</v>
      </c>
      <c r="Q14" s="169"/>
      <c r="R14" s="10">
        <f>SUM(R11:R13)</f>
        <v>50</v>
      </c>
      <c r="S14" s="11" t="s">
        <v>14</v>
      </c>
      <c r="T14" s="9"/>
      <c r="U14" s="220"/>
      <c r="V14" s="221"/>
      <c r="W14" s="222"/>
    </row>
    <row r="15" spans="1:25" ht="14.55" customHeight="1" x14ac:dyDescent="0.3">
      <c r="D15" s="47"/>
      <c r="E15" s="48"/>
      <c r="F15" s="48"/>
      <c r="G15" s="48"/>
      <c r="H15" s="48"/>
      <c r="I15" s="48"/>
      <c r="R15" s="47"/>
    </row>
    <row r="16" spans="1:25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53">
        <f>N10+N14</f>
        <v>2570</v>
      </c>
      <c r="O17" s="14" t="s">
        <v>13</v>
      </c>
      <c r="P17" s="53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4">
        <v>210825</v>
      </c>
      <c r="E22" s="3" t="s">
        <v>95</v>
      </c>
      <c r="F22" s="19">
        <v>304</v>
      </c>
      <c r="G22" s="20">
        <v>0.7</v>
      </c>
      <c r="H22" s="186"/>
      <c r="I22" s="187"/>
      <c r="J22" s="187"/>
      <c r="K22" s="187"/>
      <c r="L22" s="187"/>
      <c r="M22" s="188"/>
      <c r="N22" s="189">
        <v>2150</v>
      </c>
      <c r="O22" s="198"/>
      <c r="P22" s="198"/>
      <c r="Q22" s="190"/>
      <c r="R22" s="57">
        <v>50</v>
      </c>
      <c r="S22" s="6" t="s">
        <v>14</v>
      </c>
      <c r="T22" s="21" t="s">
        <v>111</v>
      </c>
      <c r="U22" s="191" t="s">
        <v>113</v>
      </c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57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57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57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2150</v>
      </c>
      <c r="O26" s="197"/>
      <c r="P26" s="197"/>
      <c r="Q26" s="169"/>
      <c r="R26" s="10">
        <f>SUM(R22:R25)</f>
        <v>50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2150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/>
      <c r="C34" s="5"/>
      <c r="D34" s="4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57"/>
      <c r="S34" s="6" t="s">
        <v>14</v>
      </c>
      <c r="T34" s="21"/>
      <c r="U34" s="191" t="s">
        <v>115</v>
      </c>
      <c r="V34" s="192"/>
      <c r="W34" s="193"/>
    </row>
    <row r="35" spans="1:23" ht="14.55" customHeight="1" x14ac:dyDescent="0.3">
      <c r="A35" s="207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57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57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4"/>
      <c r="B37" s="5"/>
      <c r="C37" s="5"/>
      <c r="D37" s="4"/>
      <c r="E37" s="3"/>
      <c r="F37" s="19"/>
      <c r="G37" s="20"/>
      <c r="H37" s="186"/>
      <c r="I37" s="187"/>
      <c r="J37" s="187"/>
      <c r="K37" s="187"/>
      <c r="L37" s="187"/>
      <c r="M37" s="188"/>
      <c r="N37" s="189"/>
      <c r="O37" s="190"/>
      <c r="P37" s="189"/>
      <c r="Q37" s="190"/>
      <c r="R37" s="57"/>
      <c r="S37" s="6" t="s">
        <v>14</v>
      </c>
      <c r="T37" s="21"/>
      <c r="U37" s="191"/>
      <c r="V37" s="192"/>
      <c r="W37" s="193"/>
    </row>
    <row r="38" spans="1:23" ht="14.55" customHeight="1" x14ac:dyDescent="0.3">
      <c r="A38" s="185"/>
      <c r="B38" s="165" t="s">
        <v>0</v>
      </c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7"/>
      <c r="N38" s="168">
        <f>SUM(N34:O37)</f>
        <v>0</v>
      </c>
      <c r="O38" s="169"/>
      <c r="P38" s="168">
        <f>SUM(P34:Q37)</f>
        <v>0</v>
      </c>
      <c r="Q38" s="169"/>
      <c r="R38" s="10">
        <f>SUM(R34:R37)</f>
        <v>0</v>
      </c>
      <c r="S38" s="11" t="s">
        <v>14</v>
      </c>
      <c r="T38" s="9"/>
      <c r="U38" s="191"/>
      <c r="V38" s="192"/>
      <c r="W38" s="193"/>
    </row>
    <row r="39" spans="1:23" ht="14.55" customHeight="1" x14ac:dyDescent="0.3">
      <c r="D39" s="47"/>
      <c r="E39" s="48"/>
      <c r="F39" s="48"/>
      <c r="G39" s="48"/>
      <c r="H39" s="48"/>
      <c r="I39" s="48"/>
      <c r="R39" s="47"/>
    </row>
    <row r="40" spans="1:23" x14ac:dyDescent="0.3">
      <c r="E40" s="165" t="s">
        <v>22</v>
      </c>
      <c r="F40" s="166"/>
      <c r="G40" s="166"/>
      <c r="H40" s="166"/>
      <c r="I40" s="166"/>
      <c r="J40" s="166"/>
      <c r="K40" s="166"/>
      <c r="L40" s="166"/>
      <c r="M40" s="167"/>
      <c r="N40" s="181" t="s">
        <v>7</v>
      </c>
      <c r="O40" s="182"/>
      <c r="P40" s="181" t="s">
        <v>12</v>
      </c>
      <c r="Q40" s="182"/>
    </row>
    <row r="41" spans="1:23" s="50" customFormat="1" x14ac:dyDescent="0.3">
      <c r="E41" s="7"/>
      <c r="F41" s="7"/>
      <c r="G41" s="7"/>
      <c r="H41" s="7"/>
      <c r="I41" s="7"/>
      <c r="J41" s="22"/>
      <c r="K41" s="23"/>
      <c r="L41" s="22"/>
      <c r="M41" s="24"/>
      <c r="N41" s="53">
        <f>N38</f>
        <v>0</v>
      </c>
      <c r="O41" s="14" t="s">
        <v>13</v>
      </c>
      <c r="P41" s="53">
        <f>P38</f>
        <v>0</v>
      </c>
      <c r="Q41" s="15" t="s">
        <v>13</v>
      </c>
    </row>
    <row r="42" spans="1:23" ht="15" customHeight="1" x14ac:dyDescent="0.3">
      <c r="D42" s="47"/>
      <c r="J42" s="47"/>
      <c r="K42" s="47"/>
      <c r="L42" s="47"/>
      <c r="M42" s="47"/>
      <c r="N42" s="47"/>
      <c r="O42" s="47"/>
      <c r="P42" s="32"/>
      <c r="Q42" s="32"/>
      <c r="R42" s="32"/>
      <c r="S42" s="32"/>
    </row>
    <row r="43" spans="1:23" s="8" customFormat="1" ht="30" customHeight="1" x14ac:dyDescent="0.3">
      <c r="A43" s="155" t="s">
        <v>27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7"/>
      <c r="Q43" s="157"/>
      <c r="R43" s="157"/>
      <c r="S43" s="157"/>
      <c r="T43" s="156"/>
      <c r="U43" s="156"/>
      <c r="V43" s="156"/>
      <c r="W43" s="158"/>
    </row>
    <row r="44" spans="1:23" s="12" customFormat="1" ht="14.55" customHeight="1" x14ac:dyDescent="0.3">
      <c r="A44" s="159" t="s">
        <v>1</v>
      </c>
      <c r="B44" s="160" t="s">
        <v>2</v>
      </c>
      <c r="C44" s="160" t="s">
        <v>3</v>
      </c>
      <c r="D44" s="160" t="s">
        <v>4</v>
      </c>
      <c r="E44" s="161" t="s">
        <v>5</v>
      </c>
      <c r="F44" s="163" t="s">
        <v>15</v>
      </c>
      <c r="G44" s="163" t="s">
        <v>16</v>
      </c>
      <c r="H44" s="170" t="s">
        <v>24</v>
      </c>
      <c r="I44" s="171"/>
      <c r="J44" s="171"/>
      <c r="K44" s="171"/>
      <c r="L44" s="171"/>
      <c r="M44" s="172"/>
      <c r="N44" s="176" t="s">
        <v>6</v>
      </c>
      <c r="O44" s="177"/>
      <c r="P44" s="177"/>
      <c r="Q44" s="178"/>
      <c r="R44" s="161" t="s">
        <v>8</v>
      </c>
      <c r="S44" s="179"/>
      <c r="T44" s="159" t="s">
        <v>9</v>
      </c>
      <c r="U44" s="159" t="s">
        <v>10</v>
      </c>
      <c r="V44" s="159"/>
      <c r="W44" s="159"/>
    </row>
    <row r="45" spans="1:23" s="12" customFormat="1" ht="13.05" customHeight="1" x14ac:dyDescent="0.3">
      <c r="A45" s="159"/>
      <c r="B45" s="160"/>
      <c r="C45" s="160"/>
      <c r="D45" s="160"/>
      <c r="E45" s="162"/>
      <c r="F45" s="164"/>
      <c r="G45" s="164"/>
      <c r="H45" s="173"/>
      <c r="I45" s="174"/>
      <c r="J45" s="174"/>
      <c r="K45" s="174"/>
      <c r="L45" s="174"/>
      <c r="M45" s="175"/>
      <c r="N45" s="176" t="s">
        <v>7</v>
      </c>
      <c r="O45" s="177"/>
      <c r="P45" s="177"/>
      <c r="Q45" s="178"/>
      <c r="R45" s="162"/>
      <c r="S45" s="180"/>
      <c r="T45" s="159"/>
      <c r="U45" s="159"/>
      <c r="V45" s="159"/>
      <c r="W45" s="159"/>
    </row>
    <row r="46" spans="1:23" ht="14.55" customHeight="1" x14ac:dyDescent="0.3">
      <c r="A46" s="183" t="s">
        <v>69</v>
      </c>
      <c r="B46" s="5">
        <v>0.33333333333333331</v>
      </c>
      <c r="C46" s="5"/>
      <c r="D46" s="4">
        <v>10925</v>
      </c>
      <c r="E46" s="3" t="s">
        <v>81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1625</v>
      </c>
      <c r="O46" s="198"/>
      <c r="P46" s="198"/>
      <c r="Q46" s="190"/>
      <c r="R46" s="57">
        <v>45</v>
      </c>
      <c r="S46" s="6" t="s">
        <v>14</v>
      </c>
      <c r="T46" s="21" t="s">
        <v>77</v>
      </c>
      <c r="U46" s="191" t="s">
        <v>113</v>
      </c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4">
        <v>210825</v>
      </c>
      <c r="E47" s="3" t="s">
        <v>95</v>
      </c>
      <c r="F47" s="19">
        <v>304</v>
      </c>
      <c r="G47" s="20">
        <v>0.7</v>
      </c>
      <c r="H47" s="186"/>
      <c r="I47" s="187"/>
      <c r="J47" s="187"/>
      <c r="K47" s="187"/>
      <c r="L47" s="187"/>
      <c r="M47" s="188"/>
      <c r="N47" s="189">
        <v>1050</v>
      </c>
      <c r="O47" s="198"/>
      <c r="P47" s="198"/>
      <c r="Q47" s="190"/>
      <c r="R47" s="57">
        <v>50</v>
      </c>
      <c r="S47" s="6" t="s">
        <v>14</v>
      </c>
      <c r="T47" s="21" t="s">
        <v>111</v>
      </c>
      <c r="U47" s="191"/>
      <c r="V47" s="192"/>
      <c r="W47" s="193"/>
    </row>
    <row r="48" spans="1:23" ht="14.55" customHeight="1" x14ac:dyDescent="0.3">
      <c r="A48" s="184"/>
      <c r="B48" s="5"/>
      <c r="C48" s="5"/>
      <c r="D48" s="4"/>
      <c r="E48" s="3"/>
      <c r="F48" s="19"/>
      <c r="G48" s="20"/>
      <c r="H48" s="186"/>
      <c r="I48" s="187"/>
      <c r="J48" s="187"/>
      <c r="K48" s="187"/>
      <c r="L48" s="187"/>
      <c r="M48" s="188"/>
      <c r="N48" s="189"/>
      <c r="O48" s="198"/>
      <c r="P48" s="198"/>
      <c r="Q48" s="190"/>
      <c r="R48" s="57"/>
      <c r="S48" s="6" t="s">
        <v>14</v>
      </c>
      <c r="T48" s="21"/>
      <c r="U48" s="191"/>
      <c r="V48" s="192"/>
      <c r="W48" s="193"/>
    </row>
    <row r="49" spans="1:23" ht="14.55" customHeight="1" x14ac:dyDescent="0.3">
      <c r="A49" s="185"/>
      <c r="B49" s="165" t="s">
        <v>0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8">
        <f>SUM(N46:O48)</f>
        <v>2675</v>
      </c>
      <c r="O49" s="197"/>
      <c r="P49" s="197"/>
      <c r="Q49" s="169"/>
      <c r="R49" s="10">
        <f>SUM(R46:R48)</f>
        <v>95</v>
      </c>
      <c r="S49" s="11" t="s">
        <v>14</v>
      </c>
      <c r="T49" s="9"/>
      <c r="U49" s="191"/>
      <c r="V49" s="192"/>
      <c r="W49" s="193"/>
    </row>
    <row r="50" spans="1:23" ht="14.55" customHeight="1" x14ac:dyDescent="0.3">
      <c r="D50" s="47"/>
      <c r="E50" s="48"/>
      <c r="F50" s="48"/>
      <c r="G50" s="48"/>
      <c r="H50" s="48"/>
      <c r="I50" s="48"/>
      <c r="R50" s="47"/>
    </row>
    <row r="51" spans="1:23" x14ac:dyDescent="0.3">
      <c r="E51" s="165" t="s">
        <v>31</v>
      </c>
      <c r="F51" s="166"/>
      <c r="G51" s="166"/>
      <c r="H51" s="166"/>
      <c r="I51" s="166"/>
      <c r="J51" s="166"/>
      <c r="K51" s="166"/>
      <c r="L51" s="166"/>
      <c r="M51" s="167"/>
      <c r="N51" s="181" t="s">
        <v>7</v>
      </c>
      <c r="O51" s="199"/>
      <c r="P51" s="199"/>
      <c r="Q51" s="182"/>
    </row>
    <row r="52" spans="1:23" s="50" customFormat="1" x14ac:dyDescent="0.3">
      <c r="E52" s="7"/>
      <c r="F52" s="7"/>
      <c r="G52" s="7"/>
      <c r="H52" s="7"/>
      <c r="I52" s="7"/>
      <c r="J52" s="22"/>
      <c r="K52" s="23"/>
      <c r="L52" s="22"/>
      <c r="M52" s="24"/>
      <c r="N52" s="200">
        <f>N49</f>
        <v>2675</v>
      </c>
      <c r="O52" s="201"/>
      <c r="P52" s="202" t="s">
        <v>13</v>
      </c>
      <c r="Q52" s="203"/>
    </row>
    <row r="53" spans="1:23" s="26" customFormat="1" ht="15" customHeight="1" x14ac:dyDescent="0.3">
      <c r="D53" s="27"/>
      <c r="E53" s="28"/>
      <c r="F53" s="28"/>
      <c r="G53" s="28"/>
      <c r="H53" s="28"/>
      <c r="I53" s="28"/>
      <c r="J53" s="25"/>
      <c r="K53" s="25"/>
      <c r="L53" s="25"/>
      <c r="M53" s="25"/>
      <c r="N53" s="30"/>
      <c r="O53" s="30"/>
      <c r="P53" s="29"/>
      <c r="Q53" s="29"/>
      <c r="R53" s="33"/>
      <c r="S53" s="34"/>
    </row>
    <row r="54" spans="1:23" s="8" customFormat="1" ht="30" customHeight="1" x14ac:dyDescent="0.3">
      <c r="A54" s="155" t="s">
        <v>28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7"/>
      <c r="Q54" s="157"/>
      <c r="R54" s="157"/>
      <c r="S54" s="157"/>
      <c r="T54" s="156"/>
      <c r="U54" s="156"/>
      <c r="V54" s="156"/>
      <c r="W54" s="158"/>
    </row>
    <row r="55" spans="1:23" s="12" customFormat="1" ht="14.55" customHeight="1" x14ac:dyDescent="0.3">
      <c r="A55" s="159" t="s">
        <v>1</v>
      </c>
      <c r="B55" s="160" t="s">
        <v>2</v>
      </c>
      <c r="C55" s="160" t="s">
        <v>3</v>
      </c>
      <c r="D55" s="160" t="s">
        <v>4</v>
      </c>
      <c r="E55" s="161" t="s">
        <v>5</v>
      </c>
      <c r="F55" s="163" t="s">
        <v>15</v>
      </c>
      <c r="G55" s="163" t="s">
        <v>16</v>
      </c>
      <c r="H55" s="170" t="s">
        <v>24</v>
      </c>
      <c r="I55" s="171"/>
      <c r="J55" s="171"/>
      <c r="K55" s="171"/>
      <c r="L55" s="171"/>
      <c r="M55" s="172"/>
      <c r="N55" s="176" t="s">
        <v>6</v>
      </c>
      <c r="O55" s="177"/>
      <c r="P55" s="177"/>
      <c r="Q55" s="178"/>
      <c r="R55" s="161" t="s">
        <v>8</v>
      </c>
      <c r="S55" s="179"/>
      <c r="T55" s="159" t="s">
        <v>9</v>
      </c>
      <c r="U55" s="159" t="s">
        <v>10</v>
      </c>
      <c r="V55" s="159"/>
      <c r="W55" s="159"/>
    </row>
    <row r="56" spans="1:23" s="12" customFormat="1" ht="13.05" customHeight="1" x14ac:dyDescent="0.3">
      <c r="A56" s="159"/>
      <c r="B56" s="160"/>
      <c r="C56" s="160"/>
      <c r="D56" s="160"/>
      <c r="E56" s="162"/>
      <c r="F56" s="164"/>
      <c r="G56" s="164"/>
      <c r="H56" s="173"/>
      <c r="I56" s="174"/>
      <c r="J56" s="174"/>
      <c r="K56" s="174"/>
      <c r="L56" s="174"/>
      <c r="M56" s="175"/>
      <c r="N56" s="176" t="s">
        <v>7</v>
      </c>
      <c r="O56" s="177"/>
      <c r="P56" s="177"/>
      <c r="Q56" s="178"/>
      <c r="R56" s="162"/>
      <c r="S56" s="180"/>
      <c r="T56" s="159"/>
      <c r="U56" s="159"/>
      <c r="V56" s="159"/>
      <c r="W56" s="159"/>
    </row>
    <row r="57" spans="1:23" ht="14.55" customHeight="1" x14ac:dyDescent="0.3">
      <c r="A57" s="183" t="s">
        <v>68</v>
      </c>
      <c r="B57" s="5">
        <v>0.33333333333333331</v>
      </c>
      <c r="C57" s="5">
        <v>0.70833333333333337</v>
      </c>
      <c r="D57" s="4">
        <v>10925</v>
      </c>
      <c r="E57" s="3" t="s">
        <v>81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1860</v>
      </c>
      <c r="O57" s="198"/>
      <c r="P57" s="198"/>
      <c r="Q57" s="190"/>
      <c r="R57" s="57">
        <v>50</v>
      </c>
      <c r="S57" s="6" t="s">
        <v>14</v>
      </c>
      <c r="T57" s="21" t="s">
        <v>111</v>
      </c>
      <c r="U57" s="191" t="s">
        <v>113</v>
      </c>
      <c r="V57" s="192"/>
      <c r="W57" s="193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57"/>
      <c r="S58" s="6" t="s">
        <v>14</v>
      </c>
      <c r="T58" s="21"/>
      <c r="U58" s="191"/>
      <c r="V58" s="192"/>
      <c r="W58" s="193"/>
    </row>
    <row r="59" spans="1:23" ht="14.55" customHeight="1" x14ac:dyDescent="0.3">
      <c r="A59" s="184"/>
      <c r="B59" s="5"/>
      <c r="C59" s="5"/>
      <c r="D59" s="4"/>
      <c r="E59" s="3"/>
      <c r="F59" s="19"/>
      <c r="G59" s="20"/>
      <c r="H59" s="186"/>
      <c r="I59" s="187"/>
      <c r="J59" s="187"/>
      <c r="K59" s="187"/>
      <c r="L59" s="187"/>
      <c r="M59" s="188"/>
      <c r="N59" s="189"/>
      <c r="O59" s="198"/>
      <c r="P59" s="198"/>
      <c r="Q59" s="190"/>
      <c r="R59" s="57"/>
      <c r="S59" s="6" t="s">
        <v>14</v>
      </c>
      <c r="T59" s="21"/>
      <c r="U59" s="191"/>
      <c r="V59" s="192"/>
      <c r="W59" s="193"/>
    </row>
    <row r="60" spans="1:23" ht="14.55" customHeight="1" x14ac:dyDescent="0.3">
      <c r="A60" s="185"/>
      <c r="B60" s="165" t="s">
        <v>0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8">
        <f>SUM(N57:O59)</f>
        <v>1860</v>
      </c>
      <c r="O60" s="197"/>
      <c r="P60" s="197"/>
      <c r="Q60" s="169"/>
      <c r="R60" s="10">
        <f>SUM(R57:R59)</f>
        <v>50</v>
      </c>
      <c r="S60" s="11" t="s">
        <v>14</v>
      </c>
      <c r="T60" s="9"/>
      <c r="U60" s="191"/>
      <c r="V60" s="192"/>
      <c r="W60" s="193"/>
    </row>
    <row r="61" spans="1:23" ht="14.55" customHeight="1" x14ac:dyDescent="0.3">
      <c r="D61" s="47"/>
      <c r="E61" s="48"/>
      <c r="F61" s="48"/>
      <c r="G61" s="48"/>
      <c r="H61" s="48"/>
      <c r="I61" s="48"/>
      <c r="R61" s="47"/>
    </row>
    <row r="62" spans="1:23" ht="14.55" customHeight="1" x14ac:dyDescent="0.3">
      <c r="D62" s="47"/>
      <c r="E62" s="165" t="s">
        <v>32</v>
      </c>
      <c r="F62" s="166"/>
      <c r="G62" s="166"/>
      <c r="H62" s="166"/>
      <c r="I62" s="166"/>
      <c r="J62" s="166"/>
      <c r="K62" s="166"/>
      <c r="L62" s="166"/>
      <c r="M62" s="167"/>
      <c r="N62" s="181" t="s">
        <v>7</v>
      </c>
      <c r="O62" s="199"/>
      <c r="P62" s="199"/>
      <c r="Q62" s="182"/>
      <c r="R62" s="47"/>
    </row>
    <row r="63" spans="1:23" ht="14.55" customHeight="1" x14ac:dyDescent="0.3">
      <c r="D63" s="47"/>
      <c r="E63" s="7"/>
      <c r="F63" s="7"/>
      <c r="G63" s="7"/>
      <c r="H63" s="7"/>
      <c r="I63" s="7"/>
      <c r="J63" s="22"/>
      <c r="K63" s="23"/>
      <c r="L63" s="22"/>
      <c r="M63" s="24"/>
      <c r="N63" s="200">
        <f>N60</f>
        <v>1860</v>
      </c>
      <c r="O63" s="201"/>
      <c r="P63" s="202" t="s">
        <v>13</v>
      </c>
      <c r="Q63" s="203"/>
      <c r="R63" s="47"/>
    </row>
    <row r="64" spans="1:23" ht="14.55" customHeight="1" x14ac:dyDescent="0.3">
      <c r="D64" s="47"/>
      <c r="E64" s="48"/>
      <c r="F64" s="48"/>
      <c r="G64" s="48"/>
      <c r="H64" s="48"/>
      <c r="I64" s="48"/>
      <c r="P64" s="49"/>
      <c r="Q64" s="49"/>
      <c r="R64" s="32"/>
      <c r="S64" s="32"/>
    </row>
    <row r="65" spans="1:23" s="8" customFormat="1" ht="30" customHeight="1" x14ac:dyDescent="0.3">
      <c r="A65" s="155" t="s">
        <v>73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7"/>
      <c r="Q65" s="157"/>
      <c r="R65" s="157"/>
      <c r="S65" s="157"/>
      <c r="T65" s="156"/>
      <c r="U65" s="156"/>
      <c r="V65" s="156"/>
      <c r="W65" s="158"/>
    </row>
    <row r="66" spans="1:23" s="12" customFormat="1" ht="14.55" customHeight="1" x14ac:dyDescent="0.3">
      <c r="A66" s="159" t="s">
        <v>1</v>
      </c>
      <c r="B66" s="160" t="s">
        <v>2</v>
      </c>
      <c r="C66" s="160" t="s">
        <v>3</v>
      </c>
      <c r="D66" s="160" t="s">
        <v>4</v>
      </c>
      <c r="E66" s="161" t="s">
        <v>5</v>
      </c>
      <c r="F66" s="163" t="s">
        <v>15</v>
      </c>
      <c r="G66" s="163" t="s">
        <v>16</v>
      </c>
      <c r="H66" s="170" t="s">
        <v>30</v>
      </c>
      <c r="I66" s="171"/>
      <c r="J66" s="171"/>
      <c r="K66" s="171"/>
      <c r="L66" s="171"/>
      <c r="M66" s="172"/>
      <c r="N66" s="176" t="s">
        <v>6</v>
      </c>
      <c r="O66" s="177"/>
      <c r="P66" s="177"/>
      <c r="Q66" s="178"/>
      <c r="R66" s="161" t="s">
        <v>8</v>
      </c>
      <c r="S66" s="179"/>
      <c r="T66" s="159" t="s">
        <v>9</v>
      </c>
      <c r="U66" s="159" t="s">
        <v>10</v>
      </c>
      <c r="V66" s="159"/>
      <c r="W66" s="159"/>
    </row>
    <row r="67" spans="1:23" s="12" customFormat="1" ht="13.05" customHeight="1" x14ac:dyDescent="0.3">
      <c r="A67" s="159"/>
      <c r="B67" s="160"/>
      <c r="C67" s="160"/>
      <c r="D67" s="160"/>
      <c r="E67" s="162"/>
      <c r="F67" s="164"/>
      <c r="G67" s="164"/>
      <c r="H67" s="173"/>
      <c r="I67" s="174"/>
      <c r="J67" s="174"/>
      <c r="K67" s="174"/>
      <c r="L67" s="174"/>
      <c r="M67" s="175"/>
      <c r="N67" s="176" t="s">
        <v>7</v>
      </c>
      <c r="O67" s="177"/>
      <c r="P67" s="177" t="s">
        <v>74</v>
      </c>
      <c r="Q67" s="178"/>
      <c r="R67" s="162"/>
      <c r="S67" s="180"/>
      <c r="T67" s="159"/>
      <c r="U67" s="159"/>
      <c r="V67" s="159"/>
      <c r="W67" s="159"/>
    </row>
    <row r="68" spans="1:23" ht="14.55" customHeight="1" x14ac:dyDescent="0.3">
      <c r="A68" s="183" t="s">
        <v>49</v>
      </c>
      <c r="B68" s="5">
        <v>0.33333333333333331</v>
      </c>
      <c r="C68" s="5"/>
      <c r="D68" s="4"/>
      <c r="E68" s="3" t="s">
        <v>99</v>
      </c>
      <c r="F68" s="19">
        <v>304</v>
      </c>
      <c r="G68" s="20">
        <v>0.7</v>
      </c>
      <c r="H68" s="186" t="s">
        <v>100</v>
      </c>
      <c r="I68" s="187"/>
      <c r="J68" s="187"/>
      <c r="K68" s="187"/>
      <c r="L68" s="187"/>
      <c r="M68" s="188"/>
      <c r="N68" s="189">
        <v>400</v>
      </c>
      <c r="O68" s="190"/>
      <c r="P68" s="189"/>
      <c r="Q68" s="190"/>
      <c r="R68" s="57">
        <v>50</v>
      </c>
      <c r="S68" s="47" t="s">
        <v>14</v>
      </c>
      <c r="T68" s="21"/>
      <c r="U68" s="191" t="s">
        <v>113</v>
      </c>
      <c r="V68" s="192"/>
      <c r="W68" s="193"/>
    </row>
    <row r="69" spans="1:23" ht="14.55" customHeight="1" x14ac:dyDescent="0.3">
      <c r="A69" s="184"/>
      <c r="B69" s="5"/>
      <c r="C69" s="5"/>
      <c r="D69" s="4">
        <v>10925</v>
      </c>
      <c r="E69" s="3" t="s">
        <v>81</v>
      </c>
      <c r="F69" s="19">
        <v>430</v>
      </c>
      <c r="G69" s="20">
        <v>0.8</v>
      </c>
      <c r="H69" s="186" t="s">
        <v>100</v>
      </c>
      <c r="I69" s="187"/>
      <c r="J69" s="187"/>
      <c r="K69" s="187"/>
      <c r="L69" s="187"/>
      <c r="M69" s="188"/>
      <c r="N69" s="189">
        <v>152</v>
      </c>
      <c r="O69" s="190"/>
      <c r="P69" s="189"/>
      <c r="Q69" s="190"/>
      <c r="R69" s="57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 t="s">
        <v>116</v>
      </c>
      <c r="F70" s="19">
        <v>304</v>
      </c>
      <c r="G70" s="20">
        <v>0.7</v>
      </c>
      <c r="H70" s="54" t="s">
        <v>78</v>
      </c>
      <c r="I70" s="55"/>
      <c r="J70" s="55"/>
      <c r="K70" s="55"/>
      <c r="L70" s="55"/>
      <c r="M70" s="56"/>
      <c r="N70" s="189">
        <v>400</v>
      </c>
      <c r="O70" s="190"/>
      <c r="P70" s="189"/>
      <c r="Q70" s="190"/>
      <c r="R70" s="57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 t="s">
        <v>116</v>
      </c>
      <c r="F71" s="19">
        <v>304</v>
      </c>
      <c r="G71" s="20">
        <v>0.7</v>
      </c>
      <c r="H71" s="186" t="s">
        <v>100</v>
      </c>
      <c r="I71" s="187"/>
      <c r="J71" s="187"/>
      <c r="K71" s="187"/>
      <c r="L71" s="187"/>
      <c r="M71" s="188"/>
      <c r="N71" s="189">
        <v>800</v>
      </c>
      <c r="O71" s="190"/>
      <c r="P71" s="189"/>
      <c r="Q71" s="190"/>
      <c r="R71" s="57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>
        <v>0.70833333333333337</v>
      </c>
      <c r="D72" s="4">
        <v>250041</v>
      </c>
      <c r="E72" s="3" t="s">
        <v>117</v>
      </c>
      <c r="F72" s="19">
        <v>304</v>
      </c>
      <c r="G72" s="20">
        <v>0.9</v>
      </c>
      <c r="H72" s="186" t="s">
        <v>118</v>
      </c>
      <c r="I72" s="187"/>
      <c r="J72" s="187"/>
      <c r="K72" s="187"/>
      <c r="L72" s="187"/>
      <c r="M72" s="188"/>
      <c r="N72" s="189">
        <v>600</v>
      </c>
      <c r="O72" s="190"/>
      <c r="P72" s="189"/>
      <c r="Q72" s="190"/>
      <c r="R72" s="57"/>
      <c r="S72" s="6" t="s">
        <v>14</v>
      </c>
      <c r="T72" s="21"/>
      <c r="U72" s="191"/>
      <c r="V72" s="192"/>
      <c r="W72" s="193"/>
    </row>
    <row r="73" spans="1:23" ht="14.55" hidden="1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57"/>
      <c r="S73" s="6" t="s">
        <v>14</v>
      </c>
      <c r="T73" s="21"/>
      <c r="U73" s="191"/>
      <c r="V73" s="192"/>
      <c r="W73" s="193"/>
    </row>
    <row r="74" spans="1:23" ht="14.55" hidden="1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57"/>
      <c r="S74" s="6" t="s">
        <v>14</v>
      </c>
      <c r="T74" s="21"/>
      <c r="U74" s="191"/>
      <c r="V74" s="192"/>
      <c r="W74" s="193"/>
    </row>
    <row r="75" spans="1:23" ht="14.55" hidden="1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57"/>
      <c r="S75" s="6" t="s">
        <v>14</v>
      </c>
      <c r="T75" s="21"/>
      <c r="U75" s="191"/>
      <c r="V75" s="192"/>
      <c r="W75" s="193"/>
    </row>
    <row r="76" spans="1:23" ht="14.55" hidden="1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57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57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4"/>
      <c r="B78" s="5"/>
      <c r="C78" s="5"/>
      <c r="D78" s="4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0"/>
      <c r="P78" s="189"/>
      <c r="Q78" s="190"/>
      <c r="R78" s="57"/>
      <c r="S78" s="6" t="s">
        <v>14</v>
      </c>
      <c r="T78" s="21"/>
      <c r="U78" s="191"/>
      <c r="V78" s="192"/>
      <c r="W78" s="193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SUM(N68:O78)</f>
        <v>2352</v>
      </c>
      <c r="O79" s="197"/>
      <c r="P79" s="168">
        <f ca="1">SUM(P68:Q79)</f>
        <v>0</v>
      </c>
      <c r="Q79" s="197"/>
      <c r="R79" s="10">
        <f>SUM(R68:R78)</f>
        <v>50</v>
      </c>
      <c r="S79" s="11" t="s">
        <v>14</v>
      </c>
      <c r="T79" s="9"/>
      <c r="U79" s="191"/>
      <c r="V79" s="192"/>
      <c r="W79" s="193"/>
    </row>
    <row r="80" spans="1:23" ht="14.55" customHeight="1" x14ac:dyDescent="0.3">
      <c r="D80" s="47"/>
      <c r="E80" s="48"/>
      <c r="F80" s="48"/>
      <c r="G80" s="48"/>
      <c r="H80" s="48"/>
      <c r="I80" s="48"/>
      <c r="R80" s="47"/>
    </row>
    <row r="81" spans="1:23" ht="14.55" customHeight="1" x14ac:dyDescent="0.3">
      <c r="D81" s="47"/>
      <c r="E81" s="165" t="s">
        <v>65</v>
      </c>
      <c r="F81" s="166"/>
      <c r="G81" s="166"/>
      <c r="H81" s="166"/>
      <c r="I81" s="166"/>
      <c r="J81" s="166"/>
      <c r="K81" s="166"/>
      <c r="L81" s="166"/>
      <c r="M81" s="167"/>
      <c r="N81" s="181" t="s">
        <v>7</v>
      </c>
      <c r="O81" s="182"/>
      <c r="P81" s="181" t="s">
        <v>74</v>
      </c>
      <c r="Q81" s="182"/>
      <c r="R81" s="47"/>
    </row>
    <row r="82" spans="1:23" ht="14.55" customHeight="1" x14ac:dyDescent="0.3">
      <c r="D82" s="47"/>
      <c r="E82" s="7"/>
      <c r="F82" s="7"/>
      <c r="G82" s="7"/>
      <c r="H82" s="7"/>
      <c r="I82" s="7"/>
      <c r="J82" s="22"/>
      <c r="K82" s="23"/>
      <c r="L82" s="22"/>
      <c r="M82" s="24"/>
      <c r="N82" s="53">
        <f>N79</f>
        <v>2352</v>
      </c>
      <c r="O82" s="14" t="s">
        <v>13</v>
      </c>
      <c r="P82" s="53">
        <f ca="1">P79</f>
        <v>0</v>
      </c>
      <c r="Q82" s="15" t="s">
        <v>13</v>
      </c>
      <c r="R82" s="47"/>
    </row>
    <row r="83" spans="1:23" x14ac:dyDescent="0.3">
      <c r="P83" s="49"/>
      <c r="Q83" s="49"/>
      <c r="R83" s="49"/>
      <c r="S83" s="32"/>
    </row>
    <row r="84" spans="1:23" s="8" customFormat="1" ht="30" customHeight="1" x14ac:dyDescent="0.3">
      <c r="A84" s="155" t="s">
        <v>29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/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>
        <v>0.70833333333333337</v>
      </c>
      <c r="D87" s="4">
        <v>10925</v>
      </c>
      <c r="E87" s="3" t="s">
        <v>110</v>
      </c>
      <c r="F87" s="19">
        <v>430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114</v>
      </c>
      <c r="O87" s="198"/>
      <c r="P87" s="198"/>
      <c r="Q87" s="190"/>
      <c r="R87" s="57"/>
      <c r="S87" s="47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57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57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57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4"/>
      <c r="B91" s="5"/>
      <c r="C91" s="5"/>
      <c r="D91" s="4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8"/>
      <c r="P91" s="198"/>
      <c r="Q91" s="190"/>
      <c r="R91" s="57"/>
      <c r="S91" s="6" t="s">
        <v>14</v>
      </c>
      <c r="T91" s="21"/>
      <c r="U91" s="204"/>
      <c r="V91" s="205"/>
      <c r="W91" s="206"/>
    </row>
    <row r="92" spans="1:23" ht="14.55" customHeight="1" x14ac:dyDescent="0.3">
      <c r="A92" s="185"/>
      <c r="B92" s="165" t="s">
        <v>0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8">
        <f>SUM(N87:O91)</f>
        <v>114</v>
      </c>
      <c r="O92" s="197"/>
      <c r="P92" s="197"/>
      <c r="Q92" s="169"/>
      <c r="R92" s="10">
        <f>SUM(R87:R91)</f>
        <v>0</v>
      </c>
      <c r="S92" s="11" t="s">
        <v>14</v>
      </c>
      <c r="T92" s="9"/>
      <c r="U92" s="204"/>
      <c r="V92" s="205"/>
      <c r="W92" s="206"/>
    </row>
    <row r="93" spans="1:23" ht="14.55" customHeight="1" x14ac:dyDescent="0.3">
      <c r="D93" s="47"/>
      <c r="E93" s="48"/>
      <c r="F93" s="48"/>
      <c r="G93" s="48"/>
      <c r="H93" s="48"/>
      <c r="I93" s="48"/>
      <c r="R93" s="47"/>
    </row>
    <row r="94" spans="1:23" ht="14.55" customHeight="1" x14ac:dyDescent="0.3">
      <c r="D94" s="47"/>
      <c r="E94" s="165" t="s">
        <v>33</v>
      </c>
      <c r="F94" s="166"/>
      <c r="G94" s="166"/>
      <c r="H94" s="166"/>
      <c r="I94" s="166"/>
      <c r="J94" s="166"/>
      <c r="K94" s="166"/>
      <c r="L94" s="166"/>
      <c r="M94" s="167"/>
      <c r="N94" s="181" t="s">
        <v>7</v>
      </c>
      <c r="O94" s="199"/>
      <c r="P94" s="199"/>
      <c r="Q94" s="182"/>
      <c r="R94" s="47"/>
    </row>
    <row r="95" spans="1:23" ht="14.55" customHeight="1" x14ac:dyDescent="0.3">
      <c r="D95" s="47"/>
      <c r="E95" s="7"/>
      <c r="F95" s="7"/>
      <c r="G95" s="7"/>
      <c r="H95" s="7"/>
      <c r="I95" s="7"/>
      <c r="J95" s="22"/>
      <c r="K95" s="23"/>
      <c r="L95" s="22"/>
      <c r="M95" s="24"/>
      <c r="N95" s="200">
        <f>N92</f>
        <v>114</v>
      </c>
      <c r="O95" s="201"/>
      <c r="P95" s="202" t="s">
        <v>13</v>
      </c>
      <c r="Q95" s="203"/>
      <c r="R95" s="47"/>
    </row>
  </sheetData>
  <mergeCells count="256">
    <mergeCell ref="N95:O95"/>
    <mergeCell ref="P95:Q95"/>
    <mergeCell ref="H89:M89"/>
    <mergeCell ref="N89:Q89"/>
    <mergeCell ref="H90:M90"/>
    <mergeCell ref="N90:Q90"/>
    <mergeCell ref="H91:M91"/>
    <mergeCell ref="N91:Q91"/>
    <mergeCell ref="A87:A92"/>
    <mergeCell ref="H87:M87"/>
    <mergeCell ref="N87:Q87"/>
    <mergeCell ref="U87:W92"/>
    <mergeCell ref="H88:M88"/>
    <mergeCell ref="N88:Q88"/>
    <mergeCell ref="B92:M92"/>
    <mergeCell ref="N92:Q92"/>
    <mergeCell ref="E94:M94"/>
    <mergeCell ref="N94:Q94"/>
    <mergeCell ref="A84:W84"/>
    <mergeCell ref="A85:A86"/>
    <mergeCell ref="B85:B86"/>
    <mergeCell ref="C85:C86"/>
    <mergeCell ref="D85:D86"/>
    <mergeCell ref="E85:E86"/>
    <mergeCell ref="F85:F86"/>
    <mergeCell ref="G85:G86"/>
    <mergeCell ref="H85:M86"/>
    <mergeCell ref="N85:Q85"/>
    <mergeCell ref="R85:S86"/>
    <mergeCell ref="T85:T86"/>
    <mergeCell ref="U85:W86"/>
    <mergeCell ref="N86:Q86"/>
    <mergeCell ref="P73:Q73"/>
    <mergeCell ref="H74:M74"/>
    <mergeCell ref="N74:O74"/>
    <mergeCell ref="P74:Q74"/>
    <mergeCell ref="B79:M79"/>
    <mergeCell ref="N79:O79"/>
    <mergeCell ref="P79:Q79"/>
    <mergeCell ref="E81:M81"/>
    <mergeCell ref="N81:O81"/>
    <mergeCell ref="P81:Q81"/>
    <mergeCell ref="H77:M77"/>
    <mergeCell ref="N77:O77"/>
    <mergeCell ref="P77:Q77"/>
    <mergeCell ref="H78:M78"/>
    <mergeCell ref="N78:O78"/>
    <mergeCell ref="P78:Q78"/>
    <mergeCell ref="A68:A79"/>
    <mergeCell ref="H68:M68"/>
    <mergeCell ref="N68:O68"/>
    <mergeCell ref="P68:Q68"/>
    <mergeCell ref="U68:W79"/>
    <mergeCell ref="H71:M71"/>
    <mergeCell ref="N71:O71"/>
    <mergeCell ref="P71:Q71"/>
    <mergeCell ref="H72:M72"/>
    <mergeCell ref="N72:O72"/>
    <mergeCell ref="P72:Q72"/>
    <mergeCell ref="H69:M69"/>
    <mergeCell ref="N69:O69"/>
    <mergeCell ref="P69:Q69"/>
    <mergeCell ref="N70:O70"/>
    <mergeCell ref="P70:Q70"/>
    <mergeCell ref="H75:M75"/>
    <mergeCell ref="N75:O75"/>
    <mergeCell ref="P75:Q75"/>
    <mergeCell ref="H76:M76"/>
    <mergeCell ref="N76:O76"/>
    <mergeCell ref="P76:Q76"/>
    <mergeCell ref="H73:M73"/>
    <mergeCell ref="N73:O73"/>
    <mergeCell ref="A65:W65"/>
    <mergeCell ref="A66:A67"/>
    <mergeCell ref="B66:B67"/>
    <mergeCell ref="C66:C67"/>
    <mergeCell ref="D66:D67"/>
    <mergeCell ref="E66:E67"/>
    <mergeCell ref="F66:F67"/>
    <mergeCell ref="G66:G67"/>
    <mergeCell ref="H66:M67"/>
    <mergeCell ref="N66:Q66"/>
    <mergeCell ref="R66:S67"/>
    <mergeCell ref="T66:T67"/>
    <mergeCell ref="U66:W67"/>
    <mergeCell ref="N67:O67"/>
    <mergeCell ref="P67:Q67"/>
    <mergeCell ref="B60:M60"/>
    <mergeCell ref="N60:Q60"/>
    <mergeCell ref="E62:M62"/>
    <mergeCell ref="N62:Q62"/>
    <mergeCell ref="N63:O63"/>
    <mergeCell ref="P63:Q63"/>
    <mergeCell ref="U55:W56"/>
    <mergeCell ref="N56:Q56"/>
    <mergeCell ref="A57:A60"/>
    <mergeCell ref="H57:M57"/>
    <mergeCell ref="N57:Q57"/>
    <mergeCell ref="U57:W60"/>
    <mergeCell ref="H58:M58"/>
    <mergeCell ref="N58:Q58"/>
    <mergeCell ref="H59:M59"/>
    <mergeCell ref="N59:Q59"/>
    <mergeCell ref="F55:F56"/>
    <mergeCell ref="G55:G56"/>
    <mergeCell ref="H55:M56"/>
    <mergeCell ref="N55:Q55"/>
    <mergeCell ref="R55:S56"/>
    <mergeCell ref="T55:T56"/>
    <mergeCell ref="E51:M51"/>
    <mergeCell ref="N51:Q51"/>
    <mergeCell ref="N52:O52"/>
    <mergeCell ref="P52:Q52"/>
    <mergeCell ref="A54:W54"/>
    <mergeCell ref="A55:A56"/>
    <mergeCell ref="B55:B56"/>
    <mergeCell ref="C55:C56"/>
    <mergeCell ref="D55:D56"/>
    <mergeCell ref="E55:E56"/>
    <mergeCell ref="A46:A49"/>
    <mergeCell ref="H46:M46"/>
    <mergeCell ref="N46:Q46"/>
    <mergeCell ref="U46:W49"/>
    <mergeCell ref="H47:M47"/>
    <mergeCell ref="N47:Q47"/>
    <mergeCell ref="H48:M48"/>
    <mergeCell ref="N48:Q48"/>
    <mergeCell ref="B49:M49"/>
    <mergeCell ref="N49:Q49"/>
    <mergeCell ref="G44:G45"/>
    <mergeCell ref="H44:M45"/>
    <mergeCell ref="N44:Q44"/>
    <mergeCell ref="R44:S45"/>
    <mergeCell ref="T44:T45"/>
    <mergeCell ref="U44:W45"/>
    <mergeCell ref="N45:Q45"/>
    <mergeCell ref="E40:M40"/>
    <mergeCell ref="N40:O40"/>
    <mergeCell ref="P40:Q40"/>
    <mergeCell ref="A43:W43"/>
    <mergeCell ref="A44:A45"/>
    <mergeCell ref="B44:B45"/>
    <mergeCell ref="C44:C45"/>
    <mergeCell ref="D44:D45"/>
    <mergeCell ref="E44:E45"/>
    <mergeCell ref="F44:F45"/>
    <mergeCell ref="A34:A38"/>
    <mergeCell ref="H34:M34"/>
    <mergeCell ref="N34:O34"/>
    <mergeCell ref="P34:Q34"/>
    <mergeCell ref="U34:W38"/>
    <mergeCell ref="H37:M37"/>
    <mergeCell ref="N37:O37"/>
    <mergeCell ref="P37:Q37"/>
    <mergeCell ref="B38:M38"/>
    <mergeCell ref="N38:O38"/>
    <mergeCell ref="P38:Q38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W94"/>
  <sheetViews>
    <sheetView topLeftCell="A73" zoomScale="85" zoomScaleNormal="85" workbookViewId="0">
      <selection activeCell="D69" sqref="D69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44140625" style="47" bestFit="1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45923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>
        <v>210825</v>
      </c>
      <c r="E7" s="46" t="s">
        <v>119</v>
      </c>
      <c r="F7" s="60">
        <v>304</v>
      </c>
      <c r="G7" s="61">
        <v>0.8</v>
      </c>
      <c r="H7" s="223"/>
      <c r="I7" s="224"/>
      <c r="J7" s="224"/>
      <c r="K7" s="224"/>
      <c r="L7" s="224"/>
      <c r="M7" s="225"/>
      <c r="N7" s="189">
        <v>130</v>
      </c>
      <c r="O7" s="190"/>
      <c r="P7" s="189"/>
      <c r="Q7" s="190"/>
      <c r="R7" s="57">
        <v>20</v>
      </c>
      <c r="S7" s="6" t="s">
        <v>14</v>
      </c>
      <c r="T7" s="21" t="s">
        <v>112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62">
        <v>100925</v>
      </c>
      <c r="E8" s="3" t="s">
        <v>120</v>
      </c>
      <c r="F8" s="19">
        <v>430</v>
      </c>
      <c r="G8" s="20">
        <v>0.8</v>
      </c>
      <c r="H8" s="186"/>
      <c r="I8" s="187"/>
      <c r="J8" s="187"/>
      <c r="K8" s="187"/>
      <c r="L8" s="187"/>
      <c r="M8" s="188"/>
      <c r="N8" s="189">
        <v>1800</v>
      </c>
      <c r="O8" s="190"/>
      <c r="P8" s="189"/>
      <c r="Q8" s="190"/>
      <c r="R8" s="57">
        <v>30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57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1930</v>
      </c>
      <c r="O10" s="169"/>
      <c r="P10" s="168">
        <f>SUM(P7:Q9)</f>
        <v>0</v>
      </c>
      <c r="Q10" s="169"/>
      <c r="R10" s="10">
        <f>SUM(R7:R9)</f>
        <v>50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57"/>
      <c r="S11" s="6" t="s">
        <v>14</v>
      </c>
      <c r="T11" s="21"/>
      <c r="U11" s="226" t="s">
        <v>121</v>
      </c>
      <c r="V11" s="227"/>
      <c r="W11" s="228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57"/>
      <c r="S12" s="6" t="s">
        <v>14</v>
      </c>
      <c r="T12" s="21"/>
      <c r="U12" s="226"/>
      <c r="V12" s="227"/>
      <c r="W12" s="228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57"/>
      <c r="S13" s="6" t="s">
        <v>14</v>
      </c>
      <c r="T13" s="21"/>
      <c r="U13" s="226"/>
      <c r="V13" s="227"/>
      <c r="W13" s="228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226"/>
      <c r="V14" s="227"/>
      <c r="W14" s="228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53">
        <f>N10+N14</f>
        <v>1930</v>
      </c>
      <c r="O17" s="14" t="s">
        <v>13</v>
      </c>
      <c r="P17" s="53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>
        <v>210825</v>
      </c>
      <c r="E22" s="3" t="s">
        <v>119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500</v>
      </c>
      <c r="O22" s="198"/>
      <c r="P22" s="198"/>
      <c r="Q22" s="190"/>
      <c r="R22" s="57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">
        <v>100925</v>
      </c>
      <c r="E23" s="3" t="s">
        <v>120</v>
      </c>
      <c r="F23" s="19">
        <v>430</v>
      </c>
      <c r="G23" s="20">
        <v>0.8</v>
      </c>
      <c r="H23" s="186"/>
      <c r="I23" s="187"/>
      <c r="J23" s="187"/>
      <c r="K23" s="187"/>
      <c r="L23" s="187"/>
      <c r="M23" s="188"/>
      <c r="N23" s="189">
        <v>1615</v>
      </c>
      <c r="O23" s="198"/>
      <c r="P23" s="198"/>
      <c r="Q23" s="190"/>
      <c r="R23" s="57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57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57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2115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2115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4">
        <v>100925</v>
      </c>
      <c r="E34" s="3" t="s">
        <v>120</v>
      </c>
      <c r="F34" s="19">
        <v>430</v>
      </c>
      <c r="G34" s="20">
        <v>0.8</v>
      </c>
      <c r="H34" s="186" t="s">
        <v>103</v>
      </c>
      <c r="I34" s="187"/>
      <c r="J34" s="187"/>
      <c r="K34" s="187"/>
      <c r="L34" s="187"/>
      <c r="M34" s="188"/>
      <c r="N34" s="189">
        <v>1570</v>
      </c>
      <c r="O34" s="190"/>
      <c r="P34" s="189"/>
      <c r="Q34" s="190"/>
      <c r="R34" s="57"/>
      <c r="S34" s="6" t="s">
        <v>14</v>
      </c>
      <c r="T34" s="21"/>
      <c r="U34" s="191" t="s">
        <v>125</v>
      </c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57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57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1570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53">
        <f>N37</f>
        <v>1570</v>
      </c>
      <c r="O40" s="14" t="s">
        <v>13</v>
      </c>
      <c r="P40" s="53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>
        <v>0.70833333333333337</v>
      </c>
      <c r="D45" s="46">
        <v>210825</v>
      </c>
      <c r="E45" s="46" t="s">
        <v>119</v>
      </c>
      <c r="F45" s="60">
        <v>304</v>
      </c>
      <c r="G45" s="61">
        <v>0.8</v>
      </c>
      <c r="H45" s="186"/>
      <c r="I45" s="187"/>
      <c r="J45" s="187"/>
      <c r="K45" s="187"/>
      <c r="L45" s="187"/>
      <c r="M45" s="188"/>
      <c r="N45" s="189">
        <v>2800</v>
      </c>
      <c r="O45" s="198"/>
      <c r="P45" s="198"/>
      <c r="Q45" s="190"/>
      <c r="R45" s="57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4"/>
      <c r="E46" s="3"/>
      <c r="F46" s="19"/>
      <c r="G46" s="20"/>
      <c r="H46" s="186"/>
      <c r="I46" s="187"/>
      <c r="J46" s="187"/>
      <c r="K46" s="187"/>
      <c r="L46" s="187"/>
      <c r="M46" s="188"/>
      <c r="N46" s="189"/>
      <c r="O46" s="198"/>
      <c r="P46" s="198"/>
      <c r="Q46" s="190"/>
      <c r="R46" s="57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57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2800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2800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46">
        <v>210825</v>
      </c>
      <c r="E56" s="46" t="s">
        <v>119</v>
      </c>
      <c r="F56" s="60">
        <v>304</v>
      </c>
      <c r="G56" s="61">
        <v>0.8</v>
      </c>
      <c r="H56" s="186"/>
      <c r="I56" s="187"/>
      <c r="J56" s="187"/>
      <c r="K56" s="187"/>
      <c r="L56" s="187"/>
      <c r="M56" s="188"/>
      <c r="N56" s="189">
        <v>3000</v>
      </c>
      <c r="O56" s="198"/>
      <c r="P56" s="198"/>
      <c r="Q56" s="190"/>
      <c r="R56" s="57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57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57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3000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3000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120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1552</v>
      </c>
      <c r="O67" s="190"/>
      <c r="P67" s="189"/>
      <c r="Q67" s="190"/>
      <c r="R67" s="57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250041</v>
      </c>
      <c r="E68" s="3" t="s">
        <v>117</v>
      </c>
      <c r="F68" s="19">
        <v>304</v>
      </c>
      <c r="G68" s="20">
        <v>0.9</v>
      </c>
      <c r="H68" s="229" t="s">
        <v>118</v>
      </c>
      <c r="I68" s="230"/>
      <c r="J68" s="230"/>
      <c r="K68" s="230"/>
      <c r="L68" s="230"/>
      <c r="M68" s="231"/>
      <c r="N68" s="189">
        <v>100</v>
      </c>
      <c r="O68" s="190"/>
      <c r="P68" s="189"/>
      <c r="Q68" s="190"/>
      <c r="R68" s="57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250825</v>
      </c>
      <c r="E69" s="3" t="s">
        <v>123</v>
      </c>
      <c r="F69" s="19">
        <v>430</v>
      </c>
      <c r="G69" s="20">
        <v>0.8</v>
      </c>
      <c r="H69" s="186" t="s">
        <v>124</v>
      </c>
      <c r="I69" s="187"/>
      <c r="J69" s="187"/>
      <c r="K69" s="187"/>
      <c r="L69" s="187"/>
      <c r="M69" s="188"/>
      <c r="N69" s="189">
        <v>122</v>
      </c>
      <c r="O69" s="190"/>
      <c r="P69" s="189"/>
      <c r="Q69" s="190"/>
      <c r="R69" s="57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>
        <v>0.70833333333333337</v>
      </c>
      <c r="D70" s="46">
        <v>210825</v>
      </c>
      <c r="E70" s="63" t="s">
        <v>119</v>
      </c>
      <c r="F70" s="60">
        <v>304</v>
      </c>
      <c r="G70" s="61">
        <v>0.8</v>
      </c>
      <c r="H70" s="186" t="s">
        <v>122</v>
      </c>
      <c r="I70" s="187"/>
      <c r="J70" s="187"/>
      <c r="K70" s="187"/>
      <c r="L70" s="187"/>
      <c r="M70" s="188"/>
      <c r="N70" s="189">
        <v>1025</v>
      </c>
      <c r="O70" s="190"/>
      <c r="P70" s="189"/>
      <c r="Q70" s="190"/>
      <c r="R70" s="57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57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57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57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57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57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57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57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2799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/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53">
        <f>N78</f>
        <v>2799</v>
      </c>
      <c r="O81" s="14" t="s">
        <v>13</v>
      </c>
      <c r="P81" s="53">
        <f ca="1">P78</f>
        <v>0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>
        <v>0.70833333333333337</v>
      </c>
      <c r="D86" s="4">
        <v>250825</v>
      </c>
      <c r="E86" s="3" t="s">
        <v>123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119</v>
      </c>
      <c r="O86" s="198"/>
      <c r="P86" s="198"/>
      <c r="Q86" s="190"/>
      <c r="R86" s="57"/>
      <c r="S86" s="47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57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57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57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57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119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119</v>
      </c>
      <c r="O94" s="201"/>
      <c r="P94" s="202" t="s">
        <v>13</v>
      </c>
      <c r="Q94" s="203"/>
      <c r="R94" s="47"/>
    </row>
  </sheetData>
  <mergeCells count="254"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W94"/>
  <sheetViews>
    <sheetView zoomScale="85" zoomScaleNormal="85" workbookViewId="0">
      <selection activeCell="D11" sqref="D11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20.88671875" style="47" bestFit="1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45924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62">
        <v>100925</v>
      </c>
      <c r="E7" s="3" t="s">
        <v>126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1400</v>
      </c>
      <c r="O7" s="190"/>
      <c r="P7" s="189"/>
      <c r="Q7" s="190"/>
      <c r="R7" s="59">
        <v>90</v>
      </c>
      <c r="S7" s="6" t="s">
        <v>14</v>
      </c>
      <c r="T7" s="21" t="s">
        <v>129</v>
      </c>
      <c r="U7" s="194" t="s">
        <v>128</v>
      </c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46">
        <v>10925</v>
      </c>
      <c r="E8" s="3" t="s">
        <v>127</v>
      </c>
      <c r="F8" s="19">
        <v>430</v>
      </c>
      <c r="G8" s="20">
        <v>0.8</v>
      </c>
      <c r="H8" s="186"/>
      <c r="I8" s="187"/>
      <c r="J8" s="187"/>
      <c r="K8" s="187"/>
      <c r="L8" s="187"/>
      <c r="M8" s="188"/>
      <c r="N8" s="189">
        <v>650</v>
      </c>
      <c r="O8" s="190"/>
      <c r="P8" s="189"/>
      <c r="Q8" s="190"/>
      <c r="R8" s="59">
        <v>30</v>
      </c>
      <c r="S8" s="6" t="s">
        <v>14</v>
      </c>
      <c r="T8" s="21" t="s">
        <v>130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59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2050</v>
      </c>
      <c r="O10" s="169"/>
      <c r="P10" s="168">
        <f>SUM(P7:Q9)</f>
        <v>0</v>
      </c>
      <c r="Q10" s="169"/>
      <c r="R10" s="10">
        <f>SUM(R7:R9)</f>
        <v>120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0.33333333333333331</v>
      </c>
      <c r="C11" s="5">
        <v>0.70833333333333337</v>
      </c>
      <c r="D11" s="46">
        <v>290825</v>
      </c>
      <c r="E11" s="3" t="s">
        <v>131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718</v>
      </c>
      <c r="O11" s="190"/>
      <c r="P11" s="189"/>
      <c r="Q11" s="190"/>
      <c r="R11" s="59"/>
      <c r="S11" s="6" t="s">
        <v>14</v>
      </c>
      <c r="T11" s="21"/>
      <c r="U11" s="191" t="s">
        <v>132</v>
      </c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59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59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718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58">
        <f>N10+N14</f>
        <v>2768</v>
      </c>
      <c r="O17" s="14" t="s">
        <v>13</v>
      </c>
      <c r="P17" s="58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62">
        <v>100925</v>
      </c>
      <c r="E22" s="3" t="s">
        <v>133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1570</v>
      </c>
      <c r="O22" s="198"/>
      <c r="P22" s="198"/>
      <c r="Q22" s="190"/>
      <c r="R22" s="59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6">
        <v>100925</v>
      </c>
      <c r="E23" s="3" t="s">
        <v>127</v>
      </c>
      <c r="F23" s="19">
        <v>430</v>
      </c>
      <c r="G23" s="20">
        <v>0.8</v>
      </c>
      <c r="H23" s="186"/>
      <c r="I23" s="187"/>
      <c r="J23" s="187"/>
      <c r="K23" s="187"/>
      <c r="L23" s="187"/>
      <c r="M23" s="188"/>
      <c r="N23" s="189">
        <v>330</v>
      </c>
      <c r="O23" s="198"/>
      <c r="P23" s="198"/>
      <c r="Q23" s="190"/>
      <c r="R23" s="59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>
        <v>0.70833333333333337</v>
      </c>
      <c r="D24" s="46">
        <v>290825</v>
      </c>
      <c r="E24" s="3" t="s">
        <v>131</v>
      </c>
      <c r="F24" s="19">
        <v>430</v>
      </c>
      <c r="G24" s="20">
        <v>0.8</v>
      </c>
      <c r="H24" s="186"/>
      <c r="I24" s="187"/>
      <c r="J24" s="187"/>
      <c r="K24" s="187"/>
      <c r="L24" s="187"/>
      <c r="M24" s="188"/>
      <c r="N24" s="189">
        <v>113</v>
      </c>
      <c r="O24" s="198"/>
      <c r="P24" s="198"/>
      <c r="Q24" s="190"/>
      <c r="R24" s="59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59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2013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2013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62">
        <v>100925</v>
      </c>
      <c r="E34" s="3" t="s">
        <v>133</v>
      </c>
      <c r="F34" s="19">
        <v>430</v>
      </c>
      <c r="G34" s="20">
        <v>0.8</v>
      </c>
      <c r="H34" s="186" t="s">
        <v>134</v>
      </c>
      <c r="I34" s="187"/>
      <c r="J34" s="187"/>
      <c r="K34" s="187"/>
      <c r="L34" s="187"/>
      <c r="M34" s="188"/>
      <c r="N34" s="189">
        <v>1530</v>
      </c>
      <c r="O34" s="190"/>
      <c r="P34" s="189"/>
      <c r="Q34" s="190"/>
      <c r="R34" s="59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62">
        <v>100925</v>
      </c>
      <c r="E35" s="3" t="s">
        <v>127</v>
      </c>
      <c r="F35" s="19">
        <v>430</v>
      </c>
      <c r="G35" s="20">
        <v>0.8</v>
      </c>
      <c r="H35" s="186"/>
      <c r="I35" s="187"/>
      <c r="J35" s="187"/>
      <c r="K35" s="187"/>
      <c r="L35" s="187"/>
      <c r="M35" s="188"/>
      <c r="N35" s="189">
        <v>225</v>
      </c>
      <c r="O35" s="190"/>
      <c r="P35" s="189"/>
      <c r="Q35" s="190"/>
      <c r="R35" s="59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59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1755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58">
        <f>N37</f>
        <v>1755</v>
      </c>
      <c r="O40" s="14" t="s">
        <v>13</v>
      </c>
      <c r="P40" s="58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210825</v>
      </c>
      <c r="E45" s="3" t="s">
        <v>119</v>
      </c>
      <c r="F45" s="19">
        <v>304</v>
      </c>
      <c r="G45" s="20">
        <v>0.8</v>
      </c>
      <c r="H45" s="186"/>
      <c r="I45" s="187"/>
      <c r="J45" s="187"/>
      <c r="K45" s="187"/>
      <c r="L45" s="187"/>
      <c r="M45" s="188"/>
      <c r="N45" s="189">
        <v>200</v>
      </c>
      <c r="O45" s="198"/>
      <c r="P45" s="198"/>
      <c r="Q45" s="190"/>
      <c r="R45" s="59">
        <v>45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62">
        <v>100925</v>
      </c>
      <c r="E46" s="3" t="s">
        <v>133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2500</v>
      </c>
      <c r="O46" s="198"/>
      <c r="P46" s="198"/>
      <c r="Q46" s="190"/>
      <c r="R46" s="59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59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2700</v>
      </c>
      <c r="O48" s="197"/>
      <c r="P48" s="197"/>
      <c r="Q48" s="169"/>
      <c r="R48" s="10">
        <f>SUM(R45:R47)</f>
        <v>45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2700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6">
        <v>210825</v>
      </c>
      <c r="E56" s="3" t="s">
        <v>135</v>
      </c>
      <c r="F56" s="19">
        <v>304</v>
      </c>
      <c r="G56" s="20">
        <v>0.8</v>
      </c>
      <c r="H56" s="186"/>
      <c r="I56" s="187"/>
      <c r="J56" s="187"/>
      <c r="K56" s="187"/>
      <c r="L56" s="187"/>
      <c r="M56" s="188"/>
      <c r="N56" s="189">
        <v>1000</v>
      </c>
      <c r="O56" s="198"/>
      <c r="P56" s="198"/>
      <c r="Q56" s="190"/>
      <c r="R56" s="59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66">
        <v>0.70833333333333337</v>
      </c>
      <c r="D57" s="62">
        <v>100925</v>
      </c>
      <c r="E57" s="3" t="s">
        <v>133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2330</v>
      </c>
      <c r="O57" s="198"/>
      <c r="P57" s="198"/>
      <c r="Q57" s="190"/>
      <c r="R57" s="59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59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3330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3330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250040</v>
      </c>
      <c r="E67" s="3" t="s">
        <v>136</v>
      </c>
      <c r="F67" s="19">
        <v>304</v>
      </c>
      <c r="G67" s="20">
        <v>0.7</v>
      </c>
      <c r="H67" s="186" t="s">
        <v>124</v>
      </c>
      <c r="I67" s="187"/>
      <c r="J67" s="187"/>
      <c r="K67" s="187"/>
      <c r="L67" s="187"/>
      <c r="M67" s="188"/>
      <c r="N67" s="189">
        <v>190</v>
      </c>
      <c r="O67" s="190"/>
      <c r="P67" s="189"/>
      <c r="Q67" s="190"/>
      <c r="R67" s="59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250040</v>
      </c>
      <c r="E68" s="3" t="s">
        <v>136</v>
      </c>
      <c r="F68" s="19">
        <v>304</v>
      </c>
      <c r="G68" s="20">
        <v>0.7</v>
      </c>
      <c r="H68" s="186" t="s">
        <v>137</v>
      </c>
      <c r="I68" s="187"/>
      <c r="J68" s="187"/>
      <c r="K68" s="187"/>
      <c r="L68" s="187"/>
      <c r="M68" s="188"/>
      <c r="N68" s="189">
        <v>190</v>
      </c>
      <c r="O68" s="190"/>
      <c r="P68" s="189"/>
      <c r="Q68" s="190"/>
      <c r="R68" s="59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250040</v>
      </c>
      <c r="E69" s="3" t="s">
        <v>136</v>
      </c>
      <c r="F69" s="19">
        <v>304</v>
      </c>
      <c r="G69" s="20">
        <v>0.7</v>
      </c>
      <c r="H69" s="186" t="s">
        <v>138</v>
      </c>
      <c r="I69" s="187"/>
      <c r="J69" s="187"/>
      <c r="K69" s="187"/>
      <c r="L69" s="187"/>
      <c r="M69" s="188"/>
      <c r="N69" s="189">
        <v>183</v>
      </c>
      <c r="O69" s="190"/>
      <c r="P69" s="189"/>
      <c r="Q69" s="190"/>
      <c r="R69" s="59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62">
        <v>100925</v>
      </c>
      <c r="E70" s="3" t="s">
        <v>139</v>
      </c>
      <c r="F70" s="19">
        <v>430</v>
      </c>
      <c r="G70" s="20">
        <v>0.8</v>
      </c>
      <c r="H70" s="186" t="s">
        <v>122</v>
      </c>
      <c r="I70" s="187"/>
      <c r="J70" s="187"/>
      <c r="K70" s="187"/>
      <c r="L70" s="187"/>
      <c r="M70" s="188"/>
      <c r="N70" s="189">
        <v>335</v>
      </c>
      <c r="O70" s="190"/>
      <c r="P70" s="189"/>
      <c r="Q70" s="190"/>
      <c r="R70" s="59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62">
        <v>100925</v>
      </c>
      <c r="E71" s="3" t="s">
        <v>140</v>
      </c>
      <c r="F71" s="19">
        <v>430</v>
      </c>
      <c r="G71" s="20">
        <v>0.8</v>
      </c>
      <c r="H71" s="186" t="s">
        <v>122</v>
      </c>
      <c r="I71" s="187"/>
      <c r="J71" s="187"/>
      <c r="K71" s="187"/>
      <c r="L71" s="187"/>
      <c r="M71" s="188"/>
      <c r="N71" s="189">
        <v>435</v>
      </c>
      <c r="O71" s="190"/>
      <c r="P71" s="189"/>
      <c r="Q71" s="190"/>
      <c r="R71" s="59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59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59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59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59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59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59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/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58">
        <f ca="1">N78</f>
        <v>0</v>
      </c>
      <c r="O81" s="14" t="s">
        <v>13</v>
      </c>
      <c r="P81" s="58">
        <f ca="1">P78</f>
        <v>0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62">
        <v>100925</v>
      </c>
      <c r="E86" s="3" t="s">
        <v>141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174</v>
      </c>
      <c r="O86" s="198"/>
      <c r="P86" s="198"/>
      <c r="Q86" s="190"/>
      <c r="R86" s="59"/>
      <c r="S86" s="47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250825</v>
      </c>
      <c r="E87" s="3" t="s">
        <v>142</v>
      </c>
      <c r="F87" s="19">
        <v>430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6</v>
      </c>
      <c r="O87" s="198"/>
      <c r="P87" s="198"/>
      <c r="Q87" s="190"/>
      <c r="R87" s="59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>
        <v>0.70833333333333337</v>
      </c>
      <c r="D88" s="4">
        <v>250075</v>
      </c>
      <c r="E88" s="3" t="s">
        <v>143</v>
      </c>
      <c r="F88" s="19">
        <v>304</v>
      </c>
      <c r="G88" s="20">
        <v>0.9</v>
      </c>
      <c r="H88" s="186" t="s">
        <v>87</v>
      </c>
      <c r="I88" s="187"/>
      <c r="J88" s="187"/>
      <c r="K88" s="187"/>
      <c r="L88" s="187"/>
      <c r="M88" s="188"/>
      <c r="N88" s="189">
        <v>420</v>
      </c>
      <c r="O88" s="198"/>
      <c r="P88" s="198"/>
      <c r="Q88" s="190"/>
      <c r="R88" s="59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59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59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600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600</v>
      </c>
      <c r="O94" s="201"/>
      <c r="P94" s="202" t="s">
        <v>13</v>
      </c>
      <c r="Q94" s="203"/>
      <c r="R94" s="47"/>
    </row>
  </sheetData>
  <mergeCells count="254"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W87"/>
  <sheetViews>
    <sheetView zoomScale="85" zoomScaleNormal="85" workbookViewId="0">
      <selection activeCell="D47" sqref="D47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20" style="47" bestFit="1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45925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62">
        <v>100925</v>
      </c>
      <c r="E7" s="3" t="s">
        <v>127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2450</v>
      </c>
      <c r="O7" s="190"/>
      <c r="P7" s="189"/>
      <c r="Q7" s="190"/>
      <c r="R7" s="65">
        <v>20</v>
      </c>
      <c r="S7" s="6" t="s">
        <v>14</v>
      </c>
      <c r="T7" s="21" t="s">
        <v>145</v>
      </c>
      <c r="U7" s="194"/>
      <c r="V7" s="195"/>
      <c r="W7" s="196"/>
    </row>
    <row r="8" spans="1:23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65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65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2450</v>
      </c>
      <c r="O10" s="169"/>
      <c r="P10" s="168">
        <f>SUM(P7:Q9)</f>
        <v>0</v>
      </c>
      <c r="Q10" s="169"/>
      <c r="R10" s="10">
        <f>SUM(R7:R9)</f>
        <v>20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6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65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6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64">
        <f>N10+N14</f>
        <v>2450</v>
      </c>
      <c r="O17" s="14" t="s">
        <v>13</v>
      </c>
      <c r="P17" s="64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62">
        <v>100925</v>
      </c>
      <c r="E22" s="3" t="s">
        <v>127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2350</v>
      </c>
      <c r="O22" s="198"/>
      <c r="P22" s="198"/>
      <c r="Q22" s="190"/>
      <c r="R22" s="65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6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65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65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2350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2350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62">
        <v>100925</v>
      </c>
      <c r="E34" s="3" t="s">
        <v>127</v>
      </c>
      <c r="F34" s="19">
        <v>430</v>
      </c>
      <c r="G34" s="20">
        <v>0.8</v>
      </c>
      <c r="H34" s="186" t="s">
        <v>146</v>
      </c>
      <c r="I34" s="187"/>
      <c r="J34" s="187"/>
      <c r="K34" s="187"/>
      <c r="L34" s="187"/>
      <c r="M34" s="188"/>
      <c r="N34" s="189">
        <v>2000</v>
      </c>
      <c r="O34" s="190"/>
      <c r="P34" s="189"/>
      <c r="Q34" s="190"/>
      <c r="R34" s="65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65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65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64">
        <f>N37</f>
        <v>2000</v>
      </c>
      <c r="O40" s="14" t="s">
        <v>13</v>
      </c>
      <c r="P40" s="64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62">
        <v>100925</v>
      </c>
      <c r="E45" s="3" t="s">
        <v>147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565</v>
      </c>
      <c r="O45" s="198"/>
      <c r="P45" s="198"/>
      <c r="Q45" s="190"/>
      <c r="R45" s="65">
        <v>25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/>
      <c r="D46" s="62">
        <v>100925</v>
      </c>
      <c r="E46" s="3" t="s">
        <v>127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1500</v>
      </c>
      <c r="O46" s="198"/>
      <c r="P46" s="198"/>
      <c r="Q46" s="190"/>
      <c r="R46" s="65">
        <v>25</v>
      </c>
      <c r="S46" s="6" t="s">
        <v>14</v>
      </c>
      <c r="T46" s="21" t="s">
        <v>77</v>
      </c>
      <c r="U46" s="191"/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46">
        <v>210825</v>
      </c>
      <c r="E47" s="3" t="s">
        <v>148</v>
      </c>
      <c r="F47" s="19">
        <v>304</v>
      </c>
      <c r="G47" s="20">
        <v>0.5</v>
      </c>
      <c r="H47" s="186"/>
      <c r="I47" s="187"/>
      <c r="J47" s="187"/>
      <c r="K47" s="187"/>
      <c r="L47" s="187"/>
      <c r="M47" s="188"/>
      <c r="N47" s="189">
        <v>250</v>
      </c>
      <c r="O47" s="198"/>
      <c r="P47" s="198"/>
      <c r="Q47" s="190"/>
      <c r="R47" s="65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2315</v>
      </c>
      <c r="O48" s="197"/>
      <c r="P48" s="197"/>
      <c r="Q48" s="169"/>
      <c r="R48" s="10">
        <f>SUM(R45:R47)</f>
        <v>50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2315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62">
        <v>100925</v>
      </c>
      <c r="E56" s="3" t="s">
        <v>147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950</v>
      </c>
      <c r="O56" s="198"/>
      <c r="P56" s="198"/>
      <c r="Q56" s="190"/>
      <c r="R56" s="65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62">
        <v>100925</v>
      </c>
      <c r="E57" s="3" t="s">
        <v>127</v>
      </c>
      <c r="F57" s="19">
        <v>430</v>
      </c>
      <c r="G57" s="20">
        <v>0.8</v>
      </c>
      <c r="H57" s="186"/>
      <c r="I57" s="187"/>
      <c r="J57" s="187"/>
      <c r="K57" s="187"/>
      <c r="L57" s="187"/>
      <c r="M57" s="188"/>
      <c r="N57" s="189">
        <v>900</v>
      </c>
      <c r="O57" s="198"/>
      <c r="P57" s="198"/>
      <c r="Q57" s="190"/>
      <c r="R57" s="65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6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1850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1850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62">
        <v>100925</v>
      </c>
      <c r="E67" s="3" t="s">
        <v>133</v>
      </c>
      <c r="F67" s="19">
        <v>430</v>
      </c>
      <c r="G67" s="20">
        <v>0.8</v>
      </c>
      <c r="H67" s="186" t="s">
        <v>124</v>
      </c>
      <c r="I67" s="187"/>
      <c r="J67" s="187"/>
      <c r="K67" s="187"/>
      <c r="L67" s="187"/>
      <c r="M67" s="188"/>
      <c r="N67" s="189">
        <v>1200</v>
      </c>
      <c r="O67" s="190"/>
      <c r="P67" s="189"/>
      <c r="Q67" s="190"/>
      <c r="R67" s="65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6">
        <v>210825</v>
      </c>
      <c r="E68" s="3" t="s">
        <v>119</v>
      </c>
      <c r="F68" s="19">
        <v>304</v>
      </c>
      <c r="G68" s="20">
        <v>0.8</v>
      </c>
      <c r="H68" s="186" t="s">
        <v>122</v>
      </c>
      <c r="I68" s="187"/>
      <c r="J68" s="187"/>
      <c r="K68" s="187"/>
      <c r="L68" s="187"/>
      <c r="M68" s="188"/>
      <c r="N68" s="189">
        <v>868</v>
      </c>
      <c r="O68" s="190"/>
      <c r="P68" s="189"/>
      <c r="Q68" s="190"/>
      <c r="R68" s="65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0.70833333333333337</v>
      </c>
      <c r="D69" s="62">
        <v>100925</v>
      </c>
      <c r="E69" s="3" t="s">
        <v>149</v>
      </c>
      <c r="F69" s="19">
        <v>430</v>
      </c>
      <c r="G69" s="20">
        <v>0.8</v>
      </c>
      <c r="H69" s="186" t="s">
        <v>122</v>
      </c>
      <c r="I69" s="187"/>
      <c r="J69" s="187"/>
      <c r="K69" s="187"/>
      <c r="L69" s="187"/>
      <c r="M69" s="188"/>
      <c r="N69" s="189">
        <v>750</v>
      </c>
      <c r="O69" s="190"/>
      <c r="P69" s="189"/>
      <c r="Q69" s="190"/>
      <c r="R69" s="65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65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5"/>
      <c r="B71" s="165" t="s">
        <v>0</v>
      </c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68">
        <f ca="1">SUM(N67:O71)</f>
        <v>0</v>
      </c>
      <c r="O71" s="197"/>
      <c r="P71" s="168">
        <f ca="1">SUM(P67:Q71)</f>
        <v>0</v>
      </c>
      <c r="Q71" s="197"/>
      <c r="R71" s="10">
        <f>SUM(R67:R70)</f>
        <v>0</v>
      </c>
      <c r="S71" s="11" t="s">
        <v>14</v>
      </c>
      <c r="T71" s="9"/>
      <c r="U71" s="191"/>
      <c r="V71" s="192"/>
      <c r="W71" s="193"/>
    </row>
    <row r="72" spans="1:23" ht="14.55" customHeight="1" x14ac:dyDescent="0.3">
      <c r="D72" s="47"/>
      <c r="E72" s="48"/>
      <c r="F72" s="48"/>
      <c r="G72" s="48"/>
      <c r="H72" s="48"/>
      <c r="I72" s="48"/>
      <c r="R72" s="47"/>
    </row>
    <row r="73" spans="1:23" ht="14.55" customHeight="1" x14ac:dyDescent="0.3">
      <c r="D73" s="47"/>
      <c r="E73" s="165" t="s">
        <v>65</v>
      </c>
      <c r="F73" s="166"/>
      <c r="G73" s="166"/>
      <c r="H73" s="166"/>
      <c r="I73" s="166"/>
      <c r="J73" s="166"/>
      <c r="K73" s="166"/>
      <c r="L73" s="166"/>
      <c r="M73" s="167"/>
      <c r="N73" s="181" t="s">
        <v>7</v>
      </c>
      <c r="O73" s="182"/>
      <c r="P73" s="181" t="s">
        <v>74</v>
      </c>
      <c r="Q73" s="182"/>
      <c r="R73" s="47"/>
    </row>
    <row r="74" spans="1:23" ht="14.55" customHeight="1" x14ac:dyDescent="0.3">
      <c r="D74" s="47"/>
      <c r="E74" s="7"/>
      <c r="F74" s="7"/>
      <c r="G74" s="7"/>
      <c r="H74" s="7"/>
      <c r="I74" s="7"/>
      <c r="J74" s="22"/>
      <c r="K74" s="23"/>
      <c r="L74" s="22"/>
      <c r="M74" s="24"/>
      <c r="N74" s="64">
        <f ca="1">N71</f>
        <v>0</v>
      </c>
      <c r="O74" s="14" t="s">
        <v>13</v>
      </c>
      <c r="P74" s="64">
        <f ca="1">P71</f>
        <v>0</v>
      </c>
      <c r="Q74" s="15" t="s">
        <v>13</v>
      </c>
      <c r="R74" s="47"/>
    </row>
    <row r="75" spans="1:23" x14ac:dyDescent="0.3">
      <c r="P75" s="49"/>
      <c r="Q75" s="49"/>
      <c r="R75" s="49"/>
      <c r="S75" s="32"/>
    </row>
    <row r="76" spans="1:23" s="8" customFormat="1" ht="30" customHeight="1" x14ac:dyDescent="0.3">
      <c r="A76" s="155" t="s">
        <v>29</v>
      </c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7"/>
      <c r="Q76" s="157"/>
      <c r="R76" s="157"/>
      <c r="S76" s="157"/>
      <c r="T76" s="156"/>
      <c r="U76" s="156"/>
      <c r="V76" s="156"/>
      <c r="W76" s="158"/>
    </row>
    <row r="77" spans="1:23" s="12" customFormat="1" ht="14.55" customHeight="1" x14ac:dyDescent="0.3">
      <c r="A77" s="159" t="s">
        <v>1</v>
      </c>
      <c r="B77" s="160" t="s">
        <v>2</v>
      </c>
      <c r="C77" s="160" t="s">
        <v>3</v>
      </c>
      <c r="D77" s="160" t="s">
        <v>4</v>
      </c>
      <c r="E77" s="161" t="s">
        <v>5</v>
      </c>
      <c r="F77" s="163" t="s">
        <v>15</v>
      </c>
      <c r="G77" s="163" t="s">
        <v>16</v>
      </c>
      <c r="H77" s="170" t="s">
        <v>30</v>
      </c>
      <c r="I77" s="171"/>
      <c r="J77" s="171"/>
      <c r="K77" s="171"/>
      <c r="L77" s="171"/>
      <c r="M77" s="172"/>
      <c r="N77" s="176" t="s">
        <v>6</v>
      </c>
      <c r="O77" s="177"/>
      <c r="P77" s="177"/>
      <c r="Q77" s="178"/>
      <c r="R77" s="161" t="s">
        <v>8</v>
      </c>
      <c r="S77" s="179"/>
      <c r="T77" s="159" t="s">
        <v>9</v>
      </c>
      <c r="U77" s="159" t="s">
        <v>10</v>
      </c>
      <c r="V77" s="159"/>
      <c r="W77" s="159"/>
    </row>
    <row r="78" spans="1:23" s="12" customFormat="1" ht="13.05" customHeight="1" x14ac:dyDescent="0.3">
      <c r="A78" s="159"/>
      <c r="B78" s="160"/>
      <c r="C78" s="160"/>
      <c r="D78" s="160"/>
      <c r="E78" s="162"/>
      <c r="F78" s="164"/>
      <c r="G78" s="164"/>
      <c r="H78" s="173"/>
      <c r="I78" s="174"/>
      <c r="J78" s="174"/>
      <c r="K78" s="174"/>
      <c r="L78" s="174"/>
      <c r="M78" s="175"/>
      <c r="N78" s="176" t="s">
        <v>7</v>
      </c>
      <c r="O78" s="177"/>
      <c r="P78" s="177"/>
      <c r="Q78" s="178"/>
      <c r="R78" s="162"/>
      <c r="S78" s="180"/>
      <c r="T78" s="159"/>
      <c r="U78" s="159"/>
      <c r="V78" s="159"/>
      <c r="W78" s="159"/>
    </row>
    <row r="79" spans="1:23" ht="14.55" customHeight="1" x14ac:dyDescent="0.3">
      <c r="A79" s="183" t="s">
        <v>49</v>
      </c>
      <c r="B79" s="5">
        <v>0.33333333333333331</v>
      </c>
      <c r="C79" s="5"/>
      <c r="D79" s="4">
        <v>250075</v>
      </c>
      <c r="E79" s="3" t="s">
        <v>150</v>
      </c>
      <c r="F79" s="19">
        <v>304</v>
      </c>
      <c r="G79" s="20">
        <v>0.9</v>
      </c>
      <c r="H79" s="186" t="s">
        <v>87</v>
      </c>
      <c r="I79" s="187"/>
      <c r="J79" s="187"/>
      <c r="K79" s="187"/>
      <c r="L79" s="187"/>
      <c r="M79" s="188"/>
      <c r="N79" s="189">
        <v>417</v>
      </c>
      <c r="O79" s="198"/>
      <c r="P79" s="198"/>
      <c r="Q79" s="190"/>
      <c r="R79" s="65"/>
      <c r="S79" s="47" t="s">
        <v>14</v>
      </c>
      <c r="T79" s="21"/>
      <c r="U79" s="204"/>
      <c r="V79" s="205"/>
      <c r="W79" s="206"/>
    </row>
    <row r="80" spans="1:23" ht="14.55" customHeight="1" x14ac:dyDescent="0.3">
      <c r="A80" s="184"/>
      <c r="B80" s="5"/>
      <c r="C80" s="5"/>
      <c r="D80" s="62">
        <v>100925</v>
      </c>
      <c r="E80" s="3" t="s">
        <v>151</v>
      </c>
      <c r="F80" s="19">
        <v>430</v>
      </c>
      <c r="G80" s="20">
        <v>0.8</v>
      </c>
      <c r="H80" s="186" t="s">
        <v>87</v>
      </c>
      <c r="I80" s="187"/>
      <c r="J80" s="187"/>
      <c r="K80" s="187"/>
      <c r="L80" s="187"/>
      <c r="M80" s="188"/>
      <c r="N80" s="189">
        <v>910</v>
      </c>
      <c r="O80" s="198"/>
      <c r="P80" s="198"/>
      <c r="Q80" s="190"/>
      <c r="R80" s="65"/>
      <c r="S80" s="6" t="s">
        <v>14</v>
      </c>
      <c r="T80" s="21"/>
      <c r="U80" s="204"/>
      <c r="V80" s="205"/>
      <c r="W80" s="206"/>
    </row>
    <row r="81" spans="1:23" ht="14.55" customHeight="1" x14ac:dyDescent="0.3">
      <c r="A81" s="184"/>
      <c r="B81" s="5"/>
      <c r="C81" s="5"/>
      <c r="D81" s="4"/>
      <c r="E81" s="3"/>
      <c r="F81" s="19"/>
      <c r="G81" s="20"/>
      <c r="H81" s="186"/>
      <c r="I81" s="187"/>
      <c r="J81" s="187"/>
      <c r="K81" s="187"/>
      <c r="L81" s="187"/>
      <c r="M81" s="188"/>
      <c r="N81" s="189"/>
      <c r="O81" s="198"/>
      <c r="P81" s="198"/>
      <c r="Q81" s="190"/>
      <c r="R81" s="65"/>
      <c r="S81" s="6" t="s">
        <v>14</v>
      </c>
      <c r="T81" s="21"/>
      <c r="U81" s="204"/>
      <c r="V81" s="205"/>
      <c r="W81" s="206"/>
    </row>
    <row r="82" spans="1:23" ht="14.55" customHeight="1" x14ac:dyDescent="0.3">
      <c r="A82" s="184"/>
      <c r="B82" s="5"/>
      <c r="C82" s="5"/>
      <c r="D82" s="4"/>
      <c r="E82" s="3"/>
      <c r="F82" s="19"/>
      <c r="G82" s="20"/>
      <c r="H82" s="186"/>
      <c r="I82" s="187"/>
      <c r="J82" s="187"/>
      <c r="K82" s="187"/>
      <c r="L82" s="187"/>
      <c r="M82" s="188"/>
      <c r="N82" s="189"/>
      <c r="O82" s="198"/>
      <c r="P82" s="198"/>
      <c r="Q82" s="190"/>
      <c r="R82" s="65"/>
      <c r="S82" s="6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/>
      <c r="D83" s="4"/>
      <c r="E83" s="3"/>
      <c r="F83" s="19"/>
      <c r="G83" s="20"/>
      <c r="H83" s="186"/>
      <c r="I83" s="187"/>
      <c r="J83" s="187"/>
      <c r="K83" s="187"/>
      <c r="L83" s="187"/>
      <c r="M83" s="188"/>
      <c r="N83" s="189"/>
      <c r="O83" s="198"/>
      <c r="P83" s="198"/>
      <c r="Q83" s="190"/>
      <c r="R83" s="65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5"/>
      <c r="B84" s="165" t="s">
        <v>0</v>
      </c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7"/>
      <c r="N84" s="168">
        <f>SUM(N79:O83)</f>
        <v>1327</v>
      </c>
      <c r="O84" s="197"/>
      <c r="P84" s="197"/>
      <c r="Q84" s="169"/>
      <c r="R84" s="10">
        <f>SUM(R79:R83)</f>
        <v>0</v>
      </c>
      <c r="S84" s="11" t="s">
        <v>14</v>
      </c>
      <c r="T84" s="9"/>
      <c r="U84" s="204"/>
      <c r="V84" s="205"/>
      <c r="W84" s="206"/>
    </row>
    <row r="85" spans="1:23" ht="14.55" customHeight="1" x14ac:dyDescent="0.3">
      <c r="D85" s="47"/>
      <c r="E85" s="48"/>
      <c r="F85" s="48"/>
      <c r="G85" s="48"/>
      <c r="H85" s="48"/>
      <c r="I85" s="48"/>
      <c r="R85" s="47"/>
    </row>
    <row r="86" spans="1:23" ht="14.55" customHeight="1" x14ac:dyDescent="0.3">
      <c r="D86" s="47"/>
      <c r="E86" s="165" t="s">
        <v>33</v>
      </c>
      <c r="F86" s="166"/>
      <c r="G86" s="166"/>
      <c r="H86" s="166"/>
      <c r="I86" s="166"/>
      <c r="J86" s="166"/>
      <c r="K86" s="166"/>
      <c r="L86" s="166"/>
      <c r="M86" s="167"/>
      <c r="N86" s="181" t="s">
        <v>7</v>
      </c>
      <c r="O86" s="199"/>
      <c r="P86" s="199"/>
      <c r="Q86" s="182"/>
      <c r="R86" s="47"/>
    </row>
    <row r="87" spans="1:23" ht="14.55" customHeight="1" x14ac:dyDescent="0.3">
      <c r="D87" s="47"/>
      <c r="E87" s="7"/>
      <c r="F87" s="7"/>
      <c r="G87" s="7"/>
      <c r="H87" s="7"/>
      <c r="I87" s="7"/>
      <c r="J87" s="22"/>
      <c r="K87" s="23"/>
      <c r="L87" s="22"/>
      <c r="M87" s="24"/>
      <c r="N87" s="200">
        <f>N84</f>
        <v>1327</v>
      </c>
      <c r="O87" s="201"/>
      <c r="P87" s="202" t="s">
        <v>13</v>
      </c>
      <c r="Q87" s="203"/>
      <c r="R87" s="47"/>
    </row>
  </sheetData>
  <mergeCells count="233">
    <mergeCell ref="N87:O87"/>
    <mergeCell ref="P87:Q87"/>
    <mergeCell ref="H83:M83"/>
    <mergeCell ref="N83:Q83"/>
    <mergeCell ref="B84:M84"/>
    <mergeCell ref="N84:Q84"/>
    <mergeCell ref="E86:M86"/>
    <mergeCell ref="N86:Q86"/>
    <mergeCell ref="A79:A84"/>
    <mergeCell ref="H79:M79"/>
    <mergeCell ref="N79:Q79"/>
    <mergeCell ref="U79:W84"/>
    <mergeCell ref="H80:M80"/>
    <mergeCell ref="N80:Q80"/>
    <mergeCell ref="H81:M81"/>
    <mergeCell ref="N81:Q81"/>
    <mergeCell ref="H82:M82"/>
    <mergeCell ref="N82:Q82"/>
    <mergeCell ref="G77:G78"/>
    <mergeCell ref="H77:M78"/>
    <mergeCell ref="N77:Q77"/>
    <mergeCell ref="R77:S78"/>
    <mergeCell ref="T77:T78"/>
    <mergeCell ref="U77:W78"/>
    <mergeCell ref="N78:Q78"/>
    <mergeCell ref="N71:O71"/>
    <mergeCell ref="P71:Q71"/>
    <mergeCell ref="E73:M73"/>
    <mergeCell ref="N73:O73"/>
    <mergeCell ref="P73:Q73"/>
    <mergeCell ref="A76:W76"/>
    <mergeCell ref="A77:A78"/>
    <mergeCell ref="B77:B78"/>
    <mergeCell ref="C77:C78"/>
    <mergeCell ref="D77:D78"/>
    <mergeCell ref="E77:E78"/>
    <mergeCell ref="F77:F78"/>
    <mergeCell ref="A67:A71"/>
    <mergeCell ref="H67:M67"/>
    <mergeCell ref="N67:O67"/>
    <mergeCell ref="P67:Q67"/>
    <mergeCell ref="U67:W71"/>
    <mergeCell ref="H68:M68"/>
    <mergeCell ref="N68:O68"/>
    <mergeCell ref="H70:M70"/>
    <mergeCell ref="N70:O70"/>
    <mergeCell ref="P70:Q70"/>
    <mergeCell ref="U65:W66"/>
    <mergeCell ref="N66:O66"/>
    <mergeCell ref="P66:Q66"/>
    <mergeCell ref="B71:M71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W94"/>
  <sheetViews>
    <sheetView zoomScale="85" zoomScaleNormal="85" workbookViewId="0">
      <selection activeCell="D69" sqref="D69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45926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62">
        <v>100925</v>
      </c>
      <c r="E7" s="3" t="s">
        <v>127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300</v>
      </c>
      <c r="O7" s="190"/>
      <c r="P7" s="189"/>
      <c r="Q7" s="190"/>
      <c r="R7" s="65">
        <v>40</v>
      </c>
      <c r="S7" s="6" t="s">
        <v>14</v>
      </c>
      <c r="T7" s="21" t="s">
        <v>153</v>
      </c>
      <c r="U7" s="194" t="s">
        <v>154</v>
      </c>
      <c r="V7" s="195"/>
      <c r="W7" s="196"/>
    </row>
    <row r="8" spans="1:23" ht="14.55" customHeight="1" x14ac:dyDescent="0.3">
      <c r="A8" s="184"/>
      <c r="B8" s="5"/>
      <c r="C8" s="5"/>
      <c r="D8" s="46">
        <v>100925</v>
      </c>
      <c r="E8" s="3" t="s">
        <v>152</v>
      </c>
      <c r="F8" s="19">
        <v>304</v>
      </c>
      <c r="G8" s="20">
        <v>0.8</v>
      </c>
      <c r="H8" s="186"/>
      <c r="I8" s="187"/>
      <c r="J8" s="187"/>
      <c r="K8" s="187"/>
      <c r="L8" s="187"/>
      <c r="M8" s="188"/>
      <c r="N8" s="189">
        <v>1750</v>
      </c>
      <c r="O8" s="190"/>
      <c r="P8" s="189"/>
      <c r="Q8" s="190"/>
      <c r="R8" s="65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65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2050</v>
      </c>
      <c r="O10" s="169"/>
      <c r="P10" s="168">
        <f>SUM(P7:Q9)</f>
        <v>0</v>
      </c>
      <c r="Q10" s="169"/>
      <c r="R10" s="10">
        <f>SUM(R7:R9)</f>
        <v>40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6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65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6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64">
        <f>N10+N14</f>
        <v>2050</v>
      </c>
      <c r="O17" s="14" t="s">
        <v>13</v>
      </c>
      <c r="P17" s="64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62">
        <v>100925</v>
      </c>
      <c r="E22" s="3" t="s">
        <v>127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550</v>
      </c>
      <c r="O22" s="198"/>
      <c r="P22" s="198"/>
      <c r="Q22" s="190"/>
      <c r="R22" s="65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6">
        <v>100925</v>
      </c>
      <c r="E23" s="3" t="s">
        <v>152</v>
      </c>
      <c r="F23" s="19">
        <v>304</v>
      </c>
      <c r="G23" s="20">
        <v>0.8</v>
      </c>
      <c r="H23" s="186"/>
      <c r="I23" s="187"/>
      <c r="J23" s="187"/>
      <c r="K23" s="187"/>
      <c r="L23" s="187"/>
      <c r="M23" s="188"/>
      <c r="N23" s="189">
        <v>1400</v>
      </c>
      <c r="O23" s="198"/>
      <c r="P23" s="198"/>
      <c r="Q23" s="190"/>
      <c r="R23" s="6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65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65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1950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1950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62">
        <v>100925</v>
      </c>
      <c r="E34" s="3" t="s">
        <v>127</v>
      </c>
      <c r="F34" s="19">
        <v>430</v>
      </c>
      <c r="G34" s="20">
        <v>0.8</v>
      </c>
      <c r="H34" s="186" t="s">
        <v>103</v>
      </c>
      <c r="I34" s="187"/>
      <c r="J34" s="187"/>
      <c r="K34" s="187"/>
      <c r="L34" s="187"/>
      <c r="M34" s="188"/>
      <c r="N34" s="189">
        <v>1080</v>
      </c>
      <c r="O34" s="190"/>
      <c r="P34" s="189"/>
      <c r="Q34" s="190"/>
      <c r="R34" s="65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6">
        <v>100925</v>
      </c>
      <c r="E35" s="3" t="s">
        <v>155</v>
      </c>
      <c r="F35" s="19">
        <v>304</v>
      </c>
      <c r="G35" s="20">
        <v>0.8</v>
      </c>
      <c r="H35" s="186" t="s">
        <v>156</v>
      </c>
      <c r="I35" s="187"/>
      <c r="J35" s="187"/>
      <c r="K35" s="187"/>
      <c r="L35" s="187"/>
      <c r="M35" s="188"/>
      <c r="N35" s="189">
        <v>920</v>
      </c>
      <c r="O35" s="190"/>
      <c r="P35" s="189"/>
      <c r="Q35" s="190"/>
      <c r="R35" s="65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65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64">
        <f>N37</f>
        <v>2000</v>
      </c>
      <c r="O40" s="14" t="s">
        <v>13</v>
      </c>
      <c r="P40" s="64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62">
        <v>100925</v>
      </c>
      <c r="E45" s="3" t="s">
        <v>157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1800</v>
      </c>
      <c r="O45" s="198"/>
      <c r="P45" s="198"/>
      <c r="Q45" s="190"/>
      <c r="R45" s="65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6">
        <v>100925</v>
      </c>
      <c r="E46" s="3" t="s">
        <v>152</v>
      </c>
      <c r="F46" s="19">
        <v>304</v>
      </c>
      <c r="G46" s="20">
        <v>0.8</v>
      </c>
      <c r="H46" s="186"/>
      <c r="I46" s="187"/>
      <c r="J46" s="187"/>
      <c r="K46" s="187"/>
      <c r="L46" s="187"/>
      <c r="M46" s="188"/>
      <c r="N46" s="189">
        <v>110</v>
      </c>
      <c r="O46" s="198"/>
      <c r="P46" s="198"/>
      <c r="Q46" s="190"/>
      <c r="R46" s="65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65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1910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1910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62">
        <v>100925</v>
      </c>
      <c r="E56" s="3" t="s">
        <v>127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2000</v>
      </c>
      <c r="O56" s="198"/>
      <c r="P56" s="198"/>
      <c r="Q56" s="190"/>
      <c r="R56" s="65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65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6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2000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2000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62">
        <v>100925</v>
      </c>
      <c r="E67" s="3" t="s">
        <v>158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756</v>
      </c>
      <c r="O67" s="190"/>
      <c r="P67" s="189"/>
      <c r="Q67" s="190"/>
      <c r="R67" s="65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250041</v>
      </c>
      <c r="E68" s="3" t="s">
        <v>159</v>
      </c>
      <c r="F68" s="19">
        <v>304</v>
      </c>
      <c r="G68" s="20">
        <v>0.9</v>
      </c>
      <c r="H68" s="186" t="s">
        <v>160</v>
      </c>
      <c r="I68" s="187"/>
      <c r="J68" s="187"/>
      <c r="K68" s="187"/>
      <c r="L68" s="187"/>
      <c r="M68" s="188"/>
      <c r="N68" s="189">
        <v>353</v>
      </c>
      <c r="O68" s="190"/>
      <c r="P68" s="189"/>
      <c r="Q68" s="190"/>
      <c r="R68" s="65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250041</v>
      </c>
      <c r="E69" s="3" t="s">
        <v>161</v>
      </c>
      <c r="F69" s="19">
        <v>304</v>
      </c>
      <c r="G69" s="20">
        <v>0.9</v>
      </c>
      <c r="H69" s="186" t="s">
        <v>160</v>
      </c>
      <c r="I69" s="187"/>
      <c r="J69" s="187"/>
      <c r="K69" s="187"/>
      <c r="L69" s="187"/>
      <c r="M69" s="188"/>
      <c r="N69" s="189">
        <v>618</v>
      </c>
      <c r="O69" s="190"/>
      <c r="P69" s="189"/>
      <c r="Q69" s="190"/>
      <c r="R69" s="65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>
        <v>0.70833333333333337</v>
      </c>
      <c r="D70" s="62">
        <v>100925</v>
      </c>
      <c r="E70" s="3" t="s">
        <v>127</v>
      </c>
      <c r="F70" s="19">
        <v>430</v>
      </c>
      <c r="G70" s="20">
        <v>0.8</v>
      </c>
      <c r="H70" s="186" t="s">
        <v>124</v>
      </c>
      <c r="I70" s="187"/>
      <c r="J70" s="187"/>
      <c r="K70" s="187"/>
      <c r="L70" s="187"/>
      <c r="M70" s="188"/>
      <c r="N70" s="189">
        <v>800</v>
      </c>
      <c r="O70" s="190"/>
      <c r="P70" s="189"/>
      <c r="Q70" s="190"/>
      <c r="R70" s="65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65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65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65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65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65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65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65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 t="s">
        <v>144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/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64">
        <f ca="1">N78</f>
        <v>0</v>
      </c>
      <c r="O81" s="14" t="s">
        <v>13</v>
      </c>
      <c r="P81" s="64" t="str">
        <f>P78</f>
        <v>d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62">
        <v>100925</v>
      </c>
      <c r="E86" s="3" t="s">
        <v>162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290</v>
      </c>
      <c r="O86" s="198"/>
      <c r="P86" s="198"/>
      <c r="Q86" s="190"/>
      <c r="R86" s="65"/>
      <c r="S86" s="47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>
        <v>0.70833333333333337</v>
      </c>
      <c r="D87" s="62">
        <v>100925</v>
      </c>
      <c r="E87" s="3" t="s">
        <v>163</v>
      </c>
      <c r="F87" s="19">
        <v>430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1250</v>
      </c>
      <c r="O87" s="198"/>
      <c r="P87" s="198"/>
      <c r="Q87" s="190"/>
      <c r="R87" s="65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65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65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65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1540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1540</v>
      </c>
      <c r="O94" s="201"/>
      <c r="P94" s="202" t="s">
        <v>13</v>
      </c>
      <c r="Q94" s="203"/>
      <c r="R94" s="47"/>
    </row>
  </sheetData>
  <mergeCells count="254"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W94"/>
  <sheetViews>
    <sheetView topLeftCell="A19" zoomScale="85" zoomScaleNormal="85" workbookViewId="0">
      <selection activeCell="D46" sqref="D46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4.664062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>
        <v>100925</v>
      </c>
      <c r="E7" s="3" t="s">
        <v>152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1300</v>
      </c>
      <c r="O7" s="190"/>
      <c r="P7" s="189"/>
      <c r="Q7" s="190"/>
      <c r="R7" s="67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>
        <v>0.58333333333333337</v>
      </c>
      <c r="D8" s="4">
        <v>50925</v>
      </c>
      <c r="E8" s="3" t="s">
        <v>164</v>
      </c>
      <c r="F8" s="19">
        <v>430</v>
      </c>
      <c r="G8" s="20">
        <v>0.8</v>
      </c>
      <c r="H8" s="186"/>
      <c r="I8" s="187"/>
      <c r="J8" s="187"/>
      <c r="K8" s="187"/>
      <c r="L8" s="187"/>
      <c r="M8" s="188"/>
      <c r="N8" s="189">
        <v>685</v>
      </c>
      <c r="O8" s="190"/>
      <c r="P8" s="189"/>
      <c r="Q8" s="190"/>
      <c r="R8" s="67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67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1985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67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67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67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68">
        <f>N10+N14</f>
        <v>1985</v>
      </c>
      <c r="O17" s="14" t="s">
        <v>13</v>
      </c>
      <c r="P17" s="68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0.58333333333333337</v>
      </c>
      <c r="D22" s="46">
        <v>100925</v>
      </c>
      <c r="E22" s="3" t="s">
        <v>152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1020</v>
      </c>
      <c r="O22" s="198"/>
      <c r="P22" s="198"/>
      <c r="Q22" s="190"/>
      <c r="R22" s="67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67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67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67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1020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1020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0.58333333333333337</v>
      </c>
      <c r="D34" s="46">
        <v>100925</v>
      </c>
      <c r="E34" s="3" t="s">
        <v>152</v>
      </c>
      <c r="F34" s="19">
        <v>304</v>
      </c>
      <c r="G34" s="20">
        <v>0.8</v>
      </c>
      <c r="H34" s="186"/>
      <c r="I34" s="187"/>
      <c r="J34" s="187"/>
      <c r="K34" s="187"/>
      <c r="L34" s="187"/>
      <c r="M34" s="188"/>
      <c r="N34" s="189">
        <v>1100</v>
      </c>
      <c r="O34" s="190"/>
      <c r="P34" s="189"/>
      <c r="Q34" s="190"/>
      <c r="R34" s="67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67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67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1100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68">
        <f>N37</f>
        <v>1100</v>
      </c>
      <c r="O40" s="14" t="s">
        <v>13</v>
      </c>
      <c r="P40" s="68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210825</v>
      </c>
      <c r="E45" s="4" t="s">
        <v>148</v>
      </c>
      <c r="F45" s="19">
        <v>304</v>
      </c>
      <c r="G45" s="20">
        <v>0.5</v>
      </c>
      <c r="H45" s="186"/>
      <c r="I45" s="187"/>
      <c r="J45" s="187"/>
      <c r="K45" s="187"/>
      <c r="L45" s="187"/>
      <c r="M45" s="188"/>
      <c r="N45" s="189">
        <v>1100</v>
      </c>
      <c r="O45" s="198"/>
      <c r="P45" s="198"/>
      <c r="Q45" s="190"/>
      <c r="R45" s="67"/>
      <c r="S45" s="6" t="s">
        <v>14</v>
      </c>
      <c r="T45" s="21"/>
      <c r="U45" s="191" t="s">
        <v>166</v>
      </c>
      <c r="V45" s="192"/>
      <c r="W45" s="193"/>
    </row>
    <row r="46" spans="1:23" ht="14.55" customHeight="1" x14ac:dyDescent="0.3">
      <c r="A46" s="184"/>
      <c r="B46" s="5"/>
      <c r="C46" s="5"/>
      <c r="D46" s="46">
        <v>210825</v>
      </c>
      <c r="E46" s="4" t="s">
        <v>148</v>
      </c>
      <c r="F46" s="19">
        <v>304</v>
      </c>
      <c r="G46" s="20">
        <v>0.5</v>
      </c>
      <c r="H46" s="186"/>
      <c r="I46" s="187"/>
      <c r="J46" s="187"/>
      <c r="K46" s="187"/>
      <c r="L46" s="187"/>
      <c r="M46" s="188"/>
      <c r="N46" s="189">
        <v>1000</v>
      </c>
      <c r="O46" s="198"/>
      <c r="P46" s="198"/>
      <c r="Q46" s="190"/>
      <c r="R46" s="67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>
        <v>100925</v>
      </c>
      <c r="E47" s="3" t="s">
        <v>152</v>
      </c>
      <c r="F47" s="19">
        <v>304</v>
      </c>
      <c r="G47" s="20">
        <v>0.8</v>
      </c>
      <c r="H47" s="186"/>
      <c r="I47" s="187"/>
      <c r="J47" s="187"/>
      <c r="K47" s="187"/>
      <c r="L47" s="187"/>
      <c r="M47" s="188"/>
      <c r="N47" s="189">
        <v>200</v>
      </c>
      <c r="O47" s="198"/>
      <c r="P47" s="198"/>
      <c r="Q47" s="190"/>
      <c r="R47" s="67">
        <v>40</v>
      </c>
      <c r="S47" s="6" t="s">
        <v>14</v>
      </c>
      <c r="T47" s="21" t="s">
        <v>77</v>
      </c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2300</v>
      </c>
      <c r="O48" s="197"/>
      <c r="P48" s="197"/>
      <c r="Q48" s="169"/>
      <c r="R48" s="10">
        <f>SUM(R45:R47)</f>
        <v>40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2300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/>
      <c r="C56" s="5"/>
      <c r="D56" s="4"/>
      <c r="E56" s="4" t="s">
        <v>165</v>
      </c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67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67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67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62">
        <v>100925</v>
      </c>
      <c r="E67" s="3" t="s">
        <v>167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800</v>
      </c>
      <c r="O67" s="190"/>
      <c r="P67" s="189"/>
      <c r="Q67" s="190"/>
      <c r="R67" s="67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62">
        <v>100925</v>
      </c>
      <c r="E68" s="3" t="s">
        <v>167</v>
      </c>
      <c r="F68" s="19">
        <v>430</v>
      </c>
      <c r="G68" s="20">
        <v>0.5</v>
      </c>
      <c r="H68" s="186" t="s">
        <v>124</v>
      </c>
      <c r="I68" s="187"/>
      <c r="J68" s="187"/>
      <c r="K68" s="187"/>
      <c r="L68" s="187"/>
      <c r="M68" s="188"/>
      <c r="N68" s="189">
        <v>400</v>
      </c>
      <c r="O68" s="190"/>
      <c r="P68" s="189"/>
      <c r="Q68" s="190"/>
      <c r="R68" s="67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0.58333333333333337</v>
      </c>
      <c r="D69" s="4">
        <v>250041</v>
      </c>
      <c r="E69" s="3" t="s">
        <v>168</v>
      </c>
      <c r="F69" s="19">
        <v>304</v>
      </c>
      <c r="G69" s="20">
        <v>0.9</v>
      </c>
      <c r="H69" s="186" t="s">
        <v>160</v>
      </c>
      <c r="I69" s="187"/>
      <c r="J69" s="187"/>
      <c r="K69" s="187"/>
      <c r="L69" s="187"/>
      <c r="M69" s="188"/>
      <c r="N69" s="189">
        <v>480</v>
      </c>
      <c r="O69" s="190"/>
      <c r="P69" s="189"/>
      <c r="Q69" s="190"/>
      <c r="R69" s="67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67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67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67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67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67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67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67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67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/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68">
        <f ca="1">N78</f>
        <v>0</v>
      </c>
      <c r="O81" s="14" t="s">
        <v>13</v>
      </c>
      <c r="P81" s="68">
        <f ca="1">P78</f>
        <v>0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62">
        <v>100925</v>
      </c>
      <c r="E86" s="3" t="s">
        <v>169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252</v>
      </c>
      <c r="O86" s="198"/>
      <c r="P86" s="198"/>
      <c r="Q86" s="190"/>
      <c r="R86" s="67"/>
      <c r="S86" s="47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>
        <v>0.58333333333333337</v>
      </c>
      <c r="D87" s="46">
        <v>210825</v>
      </c>
      <c r="E87" s="3" t="s">
        <v>170</v>
      </c>
      <c r="F87" s="19">
        <v>304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1280</v>
      </c>
      <c r="O87" s="198"/>
      <c r="P87" s="198"/>
      <c r="Q87" s="190"/>
      <c r="R87" s="67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67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67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67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1532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1532</v>
      </c>
      <c r="O94" s="201"/>
      <c r="P94" s="202" t="s">
        <v>13</v>
      </c>
      <c r="Q94" s="203"/>
      <c r="R94" s="47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W94"/>
  <sheetViews>
    <sheetView topLeftCell="A61" zoomScale="85" zoomScaleNormal="85" workbookViewId="0">
      <selection activeCell="D86" sqref="D86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9.886718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45929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>
        <v>100925</v>
      </c>
      <c r="E7" s="3" t="s">
        <v>152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200</v>
      </c>
      <c r="O7" s="190"/>
      <c r="P7" s="189"/>
      <c r="Q7" s="190"/>
      <c r="R7" s="69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62">
        <v>100925</v>
      </c>
      <c r="E8" s="3" t="s">
        <v>171</v>
      </c>
      <c r="F8" s="19">
        <v>430</v>
      </c>
      <c r="G8" s="20">
        <v>0.8</v>
      </c>
      <c r="H8" s="186"/>
      <c r="I8" s="187"/>
      <c r="J8" s="187"/>
      <c r="K8" s="187"/>
      <c r="L8" s="187"/>
      <c r="M8" s="188"/>
      <c r="N8" s="189">
        <v>1700</v>
      </c>
      <c r="O8" s="190"/>
      <c r="P8" s="189"/>
      <c r="Q8" s="190"/>
      <c r="R8" s="69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69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1900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>
        <v>0.70833333333333337</v>
      </c>
      <c r="D11" s="4">
        <v>50925</v>
      </c>
      <c r="E11" s="3" t="s">
        <v>131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1150</v>
      </c>
      <c r="O11" s="190"/>
      <c r="P11" s="189"/>
      <c r="Q11" s="190"/>
      <c r="R11" s="69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69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69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1150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70">
        <f>N10+N14</f>
        <v>3050</v>
      </c>
      <c r="O17" s="14" t="s">
        <v>13</v>
      </c>
      <c r="P17" s="70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>
        <v>100925</v>
      </c>
      <c r="E22" s="3" t="s">
        <v>152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916</v>
      </c>
      <c r="O22" s="198"/>
      <c r="P22" s="198"/>
      <c r="Q22" s="190"/>
      <c r="R22" s="69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62">
        <v>100925</v>
      </c>
      <c r="E23" s="3" t="s">
        <v>171</v>
      </c>
      <c r="F23" s="19">
        <v>430</v>
      </c>
      <c r="G23" s="20">
        <v>0.8</v>
      </c>
      <c r="H23" s="186"/>
      <c r="I23" s="187"/>
      <c r="J23" s="187"/>
      <c r="K23" s="187"/>
      <c r="L23" s="187"/>
      <c r="M23" s="188"/>
      <c r="N23" s="189">
        <v>1085</v>
      </c>
      <c r="O23" s="198"/>
      <c r="P23" s="198"/>
      <c r="Q23" s="190"/>
      <c r="R23" s="69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69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69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2001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2001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>
        <v>100925</v>
      </c>
      <c r="E34" s="3" t="s">
        <v>152</v>
      </c>
      <c r="F34" s="19">
        <v>304</v>
      </c>
      <c r="G34" s="20">
        <v>0.8</v>
      </c>
      <c r="H34" s="186" t="s">
        <v>172</v>
      </c>
      <c r="I34" s="187"/>
      <c r="J34" s="187"/>
      <c r="K34" s="187"/>
      <c r="L34" s="187"/>
      <c r="M34" s="188"/>
      <c r="N34" s="189">
        <v>1310</v>
      </c>
      <c r="O34" s="190"/>
      <c r="P34" s="189"/>
      <c r="Q34" s="190"/>
      <c r="R34" s="69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62">
        <v>100925</v>
      </c>
      <c r="E35" s="3" t="s">
        <v>171</v>
      </c>
      <c r="F35" s="19">
        <v>430</v>
      </c>
      <c r="G35" s="20">
        <v>80</v>
      </c>
      <c r="H35" s="186" t="s">
        <v>103</v>
      </c>
      <c r="I35" s="187"/>
      <c r="J35" s="187"/>
      <c r="K35" s="187"/>
      <c r="L35" s="187"/>
      <c r="M35" s="188"/>
      <c r="N35" s="189">
        <v>700</v>
      </c>
      <c r="O35" s="190"/>
      <c r="P35" s="189"/>
      <c r="Q35" s="190"/>
      <c r="R35" s="69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69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2010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70">
        <f>N37</f>
        <v>2010</v>
      </c>
      <c r="O40" s="14" t="s">
        <v>13</v>
      </c>
      <c r="P40" s="70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100925</v>
      </c>
      <c r="E45" s="3" t="s">
        <v>152</v>
      </c>
      <c r="F45" s="19">
        <v>304</v>
      </c>
      <c r="G45" s="20">
        <v>0.8</v>
      </c>
      <c r="H45" s="186"/>
      <c r="I45" s="187"/>
      <c r="J45" s="187"/>
      <c r="K45" s="187"/>
      <c r="L45" s="187"/>
      <c r="M45" s="188"/>
      <c r="N45" s="189">
        <v>1800</v>
      </c>
      <c r="O45" s="198"/>
      <c r="P45" s="198"/>
      <c r="Q45" s="190"/>
      <c r="R45" s="69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">
        <v>50925</v>
      </c>
      <c r="E46" s="3" t="s">
        <v>131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200</v>
      </c>
      <c r="O46" s="198"/>
      <c r="P46" s="198"/>
      <c r="Q46" s="190"/>
      <c r="R46" s="69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69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2000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2000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46">
        <v>100925</v>
      </c>
      <c r="E56" s="3" t="s">
        <v>152</v>
      </c>
      <c r="F56" s="19">
        <v>304</v>
      </c>
      <c r="G56" s="20">
        <v>0.8</v>
      </c>
      <c r="H56" s="186"/>
      <c r="I56" s="187"/>
      <c r="J56" s="187"/>
      <c r="K56" s="187"/>
      <c r="L56" s="187"/>
      <c r="M56" s="188"/>
      <c r="N56" s="189">
        <v>1880</v>
      </c>
      <c r="O56" s="198"/>
      <c r="P56" s="198"/>
      <c r="Q56" s="190"/>
      <c r="R56" s="69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69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69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1880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1880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62">
        <v>100925</v>
      </c>
      <c r="E67" s="3" t="s">
        <v>175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2027</v>
      </c>
      <c r="O67" s="190"/>
      <c r="P67" s="189"/>
      <c r="Q67" s="190"/>
      <c r="R67" s="69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90725</v>
      </c>
      <c r="E68" s="3" t="s">
        <v>173</v>
      </c>
      <c r="F68" s="19">
        <v>304</v>
      </c>
      <c r="G68" s="20">
        <v>0.9</v>
      </c>
      <c r="H68" s="186" t="s">
        <v>174</v>
      </c>
      <c r="I68" s="187"/>
      <c r="J68" s="187"/>
      <c r="K68" s="187"/>
      <c r="L68" s="187"/>
      <c r="M68" s="188"/>
      <c r="N68" s="189">
        <v>37</v>
      </c>
      <c r="O68" s="190"/>
      <c r="P68" s="189"/>
      <c r="Q68" s="190"/>
      <c r="R68" s="69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62">
        <v>100925</v>
      </c>
      <c r="E69" s="3" t="s">
        <v>176</v>
      </c>
      <c r="F69" s="19">
        <v>430</v>
      </c>
      <c r="G69" s="20">
        <v>0.8</v>
      </c>
      <c r="H69" s="186" t="s">
        <v>122</v>
      </c>
      <c r="I69" s="187"/>
      <c r="J69" s="187"/>
      <c r="K69" s="187"/>
      <c r="L69" s="187"/>
      <c r="M69" s="188"/>
      <c r="N69" s="189">
        <v>257</v>
      </c>
      <c r="O69" s="190"/>
      <c r="P69" s="189"/>
      <c r="Q69" s="190"/>
      <c r="R69" s="69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 t="s">
        <v>179</v>
      </c>
      <c r="E70" s="3" t="s">
        <v>180</v>
      </c>
      <c r="F70" s="19">
        <v>304</v>
      </c>
      <c r="G70" s="20">
        <v>0.9</v>
      </c>
      <c r="H70" s="186" t="s">
        <v>122</v>
      </c>
      <c r="I70" s="187"/>
      <c r="J70" s="187"/>
      <c r="K70" s="187"/>
      <c r="L70" s="187"/>
      <c r="M70" s="188"/>
      <c r="N70" s="189">
        <v>126</v>
      </c>
      <c r="O70" s="190"/>
      <c r="P70" s="189"/>
      <c r="Q70" s="190"/>
      <c r="R70" s="69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4" t="s">
        <v>179</v>
      </c>
      <c r="E71" s="3" t="s">
        <v>182</v>
      </c>
      <c r="F71" s="19">
        <v>304</v>
      </c>
      <c r="G71" s="20">
        <v>0.9</v>
      </c>
      <c r="H71" s="186" t="s">
        <v>122</v>
      </c>
      <c r="I71" s="187"/>
      <c r="J71" s="187"/>
      <c r="K71" s="187"/>
      <c r="L71" s="187"/>
      <c r="M71" s="188"/>
      <c r="N71" s="189">
        <v>122</v>
      </c>
      <c r="O71" s="190"/>
      <c r="P71" s="189"/>
      <c r="Q71" s="190"/>
      <c r="R71" s="69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69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69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69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69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69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69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47"/>
      <c r="E79" s="48" t="s">
        <v>181</v>
      </c>
      <c r="F79" s="48"/>
      <c r="G79" s="48"/>
      <c r="H79" s="48"/>
      <c r="I79" s="48"/>
      <c r="R79" s="47"/>
    </row>
    <row r="80" spans="1:23" ht="14.55" customHeight="1" x14ac:dyDescent="0.3">
      <c r="D80" s="47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47"/>
    </row>
    <row r="81" spans="1:23" ht="14.55" customHeight="1" x14ac:dyDescent="0.3">
      <c r="D81" s="47"/>
      <c r="E81" s="7"/>
      <c r="F81" s="7"/>
      <c r="G81" s="7"/>
      <c r="H81" s="7"/>
      <c r="I81" s="7"/>
      <c r="J81" s="22"/>
      <c r="K81" s="23"/>
      <c r="L81" s="22"/>
      <c r="M81" s="24"/>
      <c r="N81" s="70">
        <f ca="1">N78</f>
        <v>0</v>
      </c>
      <c r="O81" s="14" t="s">
        <v>13</v>
      </c>
      <c r="P81" s="70">
        <f ca="1">P78</f>
        <v>0</v>
      </c>
      <c r="Q81" s="15" t="s">
        <v>13</v>
      </c>
      <c r="R81" s="47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46">
        <v>210825</v>
      </c>
      <c r="E86" s="3" t="s">
        <v>178</v>
      </c>
      <c r="F86" s="19">
        <v>304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720</v>
      </c>
      <c r="O86" s="198"/>
      <c r="P86" s="198"/>
      <c r="Q86" s="190"/>
      <c r="R86" s="69"/>
      <c r="S86" s="47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62">
        <v>100925</v>
      </c>
      <c r="E87" s="3" t="s">
        <v>177</v>
      </c>
      <c r="F87" s="19">
        <v>430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258</v>
      </c>
      <c r="O87" s="198"/>
      <c r="P87" s="198"/>
      <c r="Q87" s="190"/>
      <c r="R87" s="69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69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69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69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978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47"/>
      <c r="E92" s="48"/>
      <c r="F92" s="48"/>
      <c r="G92" s="48"/>
      <c r="H92" s="48"/>
      <c r="I92" s="48"/>
      <c r="R92" s="47"/>
    </row>
    <row r="93" spans="1:23" ht="14.55" customHeight="1" x14ac:dyDescent="0.3">
      <c r="D93" s="47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47"/>
    </row>
    <row r="94" spans="1:23" ht="14.55" customHeight="1" x14ac:dyDescent="0.3">
      <c r="D94" s="47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978</v>
      </c>
      <c r="O94" s="201"/>
      <c r="P94" s="202" t="s">
        <v>13</v>
      </c>
      <c r="Q94" s="203"/>
      <c r="R94" s="47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W88"/>
  <sheetViews>
    <sheetView zoomScale="85" zoomScaleNormal="85" workbookViewId="0">
      <selection activeCell="N23" sqref="N23:Q23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5.5546875" style="48" bestFit="1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45930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62">
        <v>100925</v>
      </c>
      <c r="E7" s="3" t="s">
        <v>183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1700</v>
      </c>
      <c r="O7" s="190"/>
      <c r="P7" s="189"/>
      <c r="Q7" s="190"/>
      <c r="R7" s="71">
        <v>50</v>
      </c>
      <c r="S7" s="6" t="s">
        <v>14</v>
      </c>
      <c r="T7" s="21" t="s">
        <v>185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46">
        <v>100925</v>
      </c>
      <c r="E8" s="3" t="s">
        <v>184</v>
      </c>
      <c r="F8" s="19">
        <v>304</v>
      </c>
      <c r="G8" s="20">
        <v>0.8</v>
      </c>
      <c r="H8" s="186"/>
      <c r="I8" s="187"/>
      <c r="J8" s="187"/>
      <c r="K8" s="187"/>
      <c r="L8" s="187"/>
      <c r="M8" s="188"/>
      <c r="N8" s="189">
        <v>450</v>
      </c>
      <c r="O8" s="190"/>
      <c r="P8" s="189"/>
      <c r="Q8" s="190"/>
      <c r="R8" s="71">
        <v>10</v>
      </c>
      <c r="S8" s="6" t="s">
        <v>14</v>
      </c>
      <c r="T8" s="21" t="s">
        <v>186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71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2150</v>
      </c>
      <c r="O10" s="169"/>
      <c r="P10" s="168">
        <f>SUM(P7:Q9)</f>
        <v>0</v>
      </c>
      <c r="Q10" s="169"/>
      <c r="R10" s="10">
        <f>SUM(R7:R9)</f>
        <v>60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0.33333333333333331</v>
      </c>
      <c r="C11" s="5">
        <v>0.70833333333333337</v>
      </c>
      <c r="D11" s="46">
        <v>290825</v>
      </c>
      <c r="E11" s="3" t="s">
        <v>131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1000</v>
      </c>
      <c r="O11" s="190"/>
      <c r="P11" s="189"/>
      <c r="Q11" s="190"/>
      <c r="R11" s="71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71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71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1000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72">
        <f>N10+N14</f>
        <v>3150</v>
      </c>
      <c r="O17" s="14" t="s">
        <v>13</v>
      </c>
      <c r="P17" s="72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62">
        <v>100925</v>
      </c>
      <c r="E22" s="3" t="s">
        <v>187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2500</v>
      </c>
      <c r="O22" s="198"/>
      <c r="P22" s="198"/>
      <c r="Q22" s="190"/>
      <c r="R22" s="71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71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71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71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2500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2500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62">
        <v>100925</v>
      </c>
      <c r="E34" s="3" t="s">
        <v>187</v>
      </c>
      <c r="F34" s="19">
        <v>430</v>
      </c>
      <c r="G34" s="20">
        <v>0.8</v>
      </c>
      <c r="H34" s="186"/>
      <c r="I34" s="187"/>
      <c r="J34" s="187"/>
      <c r="K34" s="187"/>
      <c r="L34" s="187"/>
      <c r="M34" s="188"/>
      <c r="N34" s="189">
        <v>2000</v>
      </c>
      <c r="O34" s="190"/>
      <c r="P34" s="189"/>
      <c r="Q34" s="190"/>
      <c r="R34" s="71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71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71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72">
        <f>N37</f>
        <v>2000</v>
      </c>
      <c r="O40" s="14" t="s">
        <v>13</v>
      </c>
      <c r="P40" s="72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62">
        <v>100925</v>
      </c>
      <c r="E45" s="3" t="s">
        <v>183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600</v>
      </c>
      <c r="O45" s="198"/>
      <c r="P45" s="198"/>
      <c r="Q45" s="190"/>
      <c r="R45" s="71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6">
        <v>100925</v>
      </c>
      <c r="E46" s="3" t="s">
        <v>188</v>
      </c>
      <c r="F46" s="19">
        <v>304</v>
      </c>
      <c r="G46" s="20">
        <v>0.8</v>
      </c>
      <c r="H46" s="186"/>
      <c r="I46" s="187"/>
      <c r="J46" s="187"/>
      <c r="K46" s="187"/>
      <c r="L46" s="187"/>
      <c r="M46" s="188"/>
      <c r="N46" s="189">
        <v>1400</v>
      </c>
      <c r="O46" s="198"/>
      <c r="P46" s="198"/>
      <c r="Q46" s="190"/>
      <c r="R46" s="71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71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2000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2000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46">
        <v>100925</v>
      </c>
      <c r="E56" s="3" t="s">
        <v>188</v>
      </c>
      <c r="F56" s="19">
        <v>304</v>
      </c>
      <c r="G56" s="20">
        <v>0.8</v>
      </c>
      <c r="H56" s="186"/>
      <c r="I56" s="187"/>
      <c r="J56" s="187"/>
      <c r="K56" s="187"/>
      <c r="L56" s="187"/>
      <c r="M56" s="188"/>
      <c r="N56" s="189">
        <v>1850</v>
      </c>
      <c r="O56" s="198"/>
      <c r="P56" s="198"/>
      <c r="Q56" s="190"/>
      <c r="R56" s="71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71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71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1850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1850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62">
        <v>100925</v>
      </c>
      <c r="E67" s="3" t="s">
        <v>189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158</v>
      </c>
      <c r="O67" s="190"/>
      <c r="P67" s="189"/>
      <c r="Q67" s="190"/>
      <c r="R67" s="71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250039</v>
      </c>
      <c r="E68" s="3" t="s">
        <v>190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17</v>
      </c>
      <c r="O68" s="190"/>
      <c r="P68" s="189"/>
      <c r="Q68" s="190"/>
      <c r="R68" s="71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250039</v>
      </c>
      <c r="E69" s="3" t="s">
        <v>191</v>
      </c>
      <c r="F69" s="19">
        <v>304</v>
      </c>
      <c r="G69" s="20">
        <v>0.9</v>
      </c>
      <c r="H69" s="186" t="s">
        <v>122</v>
      </c>
      <c r="I69" s="187"/>
      <c r="J69" s="187"/>
      <c r="K69" s="187"/>
      <c r="L69" s="187"/>
      <c r="M69" s="188"/>
      <c r="N69" s="189">
        <v>58</v>
      </c>
      <c r="O69" s="190"/>
      <c r="P69" s="189"/>
      <c r="Q69" s="190"/>
      <c r="R69" s="71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250039</v>
      </c>
      <c r="E70" s="3" t="s">
        <v>192</v>
      </c>
      <c r="F70" s="19">
        <v>304</v>
      </c>
      <c r="G70" s="20">
        <v>0.9</v>
      </c>
      <c r="H70" s="186" t="s">
        <v>122</v>
      </c>
      <c r="I70" s="187"/>
      <c r="J70" s="187"/>
      <c r="K70" s="187"/>
      <c r="L70" s="187"/>
      <c r="M70" s="188"/>
      <c r="N70" s="189">
        <v>71</v>
      </c>
      <c r="O70" s="190"/>
      <c r="P70" s="189"/>
      <c r="Q70" s="190"/>
      <c r="R70" s="71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>
        <v>250040</v>
      </c>
      <c r="E71" s="3" t="s">
        <v>193</v>
      </c>
      <c r="F71" s="19">
        <v>304</v>
      </c>
      <c r="G71" s="20">
        <v>0.9</v>
      </c>
      <c r="H71" s="186" t="s">
        <v>122</v>
      </c>
      <c r="I71" s="187"/>
      <c r="J71" s="187"/>
      <c r="K71" s="187"/>
      <c r="L71" s="187"/>
      <c r="M71" s="188"/>
      <c r="N71" s="189">
        <v>62</v>
      </c>
      <c r="O71" s="190"/>
      <c r="P71" s="189"/>
      <c r="Q71" s="190"/>
      <c r="R71" s="71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>
        <v>0.70833333333333337</v>
      </c>
      <c r="D72" s="4">
        <v>250040</v>
      </c>
      <c r="E72" s="3" t="s">
        <v>136</v>
      </c>
      <c r="F72" s="19">
        <v>304</v>
      </c>
      <c r="G72" s="20">
        <v>0.9</v>
      </c>
      <c r="H72" s="186" t="s">
        <v>122</v>
      </c>
      <c r="I72" s="187"/>
      <c r="J72" s="187"/>
      <c r="K72" s="187"/>
      <c r="L72" s="187"/>
      <c r="M72" s="188"/>
      <c r="N72" s="189">
        <v>67</v>
      </c>
      <c r="O72" s="190"/>
      <c r="P72" s="189"/>
      <c r="Q72" s="190"/>
      <c r="R72" s="71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71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5"/>
      <c r="B74" s="165" t="s">
        <v>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8">
        <f>SUM(N67:O73)</f>
        <v>433</v>
      </c>
      <c r="O74" s="197"/>
      <c r="P74" s="168">
        <f ca="1">SUM(P67:Q74)</f>
        <v>0</v>
      </c>
      <c r="Q74" s="197"/>
      <c r="R74" s="10">
        <f>SUM(R67:R73)</f>
        <v>0</v>
      </c>
      <c r="S74" s="11" t="s">
        <v>14</v>
      </c>
      <c r="T74" s="9"/>
      <c r="U74" s="191"/>
      <c r="V74" s="192"/>
      <c r="W74" s="193"/>
    </row>
    <row r="75" spans="1:23" ht="14.55" customHeight="1" x14ac:dyDescent="0.3">
      <c r="D75" s="47"/>
      <c r="E75" s="48"/>
      <c r="F75" s="48"/>
      <c r="G75" s="48"/>
      <c r="H75" s="48"/>
      <c r="I75" s="48"/>
      <c r="R75" s="47"/>
    </row>
    <row r="76" spans="1:23" ht="14.55" customHeight="1" x14ac:dyDescent="0.3">
      <c r="D76" s="47"/>
      <c r="E76" s="165" t="s">
        <v>65</v>
      </c>
      <c r="F76" s="166"/>
      <c r="G76" s="166"/>
      <c r="H76" s="166"/>
      <c r="I76" s="166"/>
      <c r="J76" s="166"/>
      <c r="K76" s="166"/>
      <c r="L76" s="166"/>
      <c r="M76" s="167"/>
      <c r="N76" s="181" t="s">
        <v>7</v>
      </c>
      <c r="O76" s="182"/>
      <c r="P76" s="181" t="s">
        <v>74</v>
      </c>
      <c r="Q76" s="182"/>
      <c r="R76" s="47"/>
    </row>
    <row r="77" spans="1:23" ht="14.55" customHeight="1" x14ac:dyDescent="0.3">
      <c r="D77" s="47"/>
      <c r="E77" s="7"/>
      <c r="F77" s="7"/>
      <c r="G77" s="7"/>
      <c r="H77" s="7"/>
      <c r="I77" s="7"/>
      <c r="J77" s="22"/>
      <c r="K77" s="23"/>
      <c r="L77" s="22"/>
      <c r="M77" s="24"/>
      <c r="N77" s="72">
        <f>N74</f>
        <v>433</v>
      </c>
      <c r="O77" s="14" t="s">
        <v>13</v>
      </c>
      <c r="P77" s="72">
        <f ca="1">P74</f>
        <v>0</v>
      </c>
      <c r="Q77" s="15" t="s">
        <v>13</v>
      </c>
      <c r="R77" s="47"/>
    </row>
    <row r="78" spans="1:23" x14ac:dyDescent="0.3">
      <c r="P78" s="49"/>
      <c r="Q78" s="49"/>
      <c r="R78" s="49"/>
      <c r="S78" s="32"/>
    </row>
    <row r="79" spans="1:23" s="8" customFormat="1" ht="30" customHeight="1" x14ac:dyDescent="0.3">
      <c r="A79" s="155" t="s">
        <v>29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7"/>
      <c r="Q79" s="157"/>
      <c r="R79" s="157"/>
      <c r="S79" s="157"/>
      <c r="T79" s="156"/>
      <c r="U79" s="156"/>
      <c r="V79" s="156"/>
      <c r="W79" s="158"/>
    </row>
    <row r="80" spans="1:23" s="12" customFormat="1" ht="14.55" customHeight="1" x14ac:dyDescent="0.3">
      <c r="A80" s="159" t="s">
        <v>1</v>
      </c>
      <c r="B80" s="160" t="s">
        <v>2</v>
      </c>
      <c r="C80" s="160" t="s">
        <v>3</v>
      </c>
      <c r="D80" s="160" t="s">
        <v>4</v>
      </c>
      <c r="E80" s="161" t="s">
        <v>5</v>
      </c>
      <c r="F80" s="163" t="s">
        <v>15</v>
      </c>
      <c r="G80" s="163" t="s">
        <v>16</v>
      </c>
      <c r="H80" s="170" t="s">
        <v>30</v>
      </c>
      <c r="I80" s="171"/>
      <c r="J80" s="171"/>
      <c r="K80" s="171"/>
      <c r="L80" s="171"/>
      <c r="M80" s="172"/>
      <c r="N80" s="176" t="s">
        <v>6</v>
      </c>
      <c r="O80" s="177"/>
      <c r="P80" s="177"/>
      <c r="Q80" s="178"/>
      <c r="R80" s="161" t="s">
        <v>8</v>
      </c>
      <c r="S80" s="179"/>
      <c r="T80" s="159" t="s">
        <v>9</v>
      </c>
      <c r="U80" s="159" t="s">
        <v>10</v>
      </c>
      <c r="V80" s="159"/>
      <c r="W80" s="159"/>
    </row>
    <row r="81" spans="1:23" s="12" customFormat="1" ht="13.05" customHeight="1" x14ac:dyDescent="0.3">
      <c r="A81" s="159"/>
      <c r="B81" s="160"/>
      <c r="C81" s="160"/>
      <c r="D81" s="160"/>
      <c r="E81" s="162"/>
      <c r="F81" s="164"/>
      <c r="G81" s="164"/>
      <c r="H81" s="173"/>
      <c r="I81" s="174"/>
      <c r="J81" s="174"/>
      <c r="K81" s="174"/>
      <c r="L81" s="174"/>
      <c r="M81" s="175"/>
      <c r="N81" s="176" t="s">
        <v>7</v>
      </c>
      <c r="O81" s="177"/>
      <c r="P81" s="177"/>
      <c r="Q81" s="178"/>
      <c r="R81" s="162"/>
      <c r="S81" s="180"/>
      <c r="T81" s="159"/>
      <c r="U81" s="159"/>
      <c r="V81" s="159"/>
      <c r="W81" s="159"/>
    </row>
    <row r="82" spans="1:23" ht="14.55" customHeight="1" x14ac:dyDescent="0.3">
      <c r="A82" s="183" t="s">
        <v>49</v>
      </c>
      <c r="B82" s="5">
        <v>0.33333333333333331</v>
      </c>
      <c r="C82" s="5"/>
      <c r="D82" s="46">
        <v>250039</v>
      </c>
      <c r="E82" s="3" t="s">
        <v>194</v>
      </c>
      <c r="F82" s="19">
        <v>304</v>
      </c>
      <c r="G82" s="20">
        <v>0.7</v>
      </c>
      <c r="H82" s="186" t="s">
        <v>87</v>
      </c>
      <c r="I82" s="187"/>
      <c r="J82" s="187"/>
      <c r="K82" s="187"/>
      <c r="L82" s="187"/>
      <c r="M82" s="188"/>
      <c r="N82" s="189">
        <v>289</v>
      </c>
      <c r="O82" s="198"/>
      <c r="P82" s="198"/>
      <c r="Q82" s="190"/>
      <c r="R82" s="71"/>
      <c r="S82" s="47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>
        <v>0.70833333333333337</v>
      </c>
      <c r="D83" s="46">
        <v>250039</v>
      </c>
      <c r="E83" s="3" t="s">
        <v>195</v>
      </c>
      <c r="F83" s="19">
        <v>304</v>
      </c>
      <c r="G83" s="20">
        <v>0.7</v>
      </c>
      <c r="H83" s="186" t="s">
        <v>87</v>
      </c>
      <c r="I83" s="187"/>
      <c r="J83" s="187"/>
      <c r="K83" s="187"/>
      <c r="L83" s="187"/>
      <c r="M83" s="188"/>
      <c r="N83" s="189">
        <v>550</v>
      </c>
      <c r="O83" s="198"/>
      <c r="P83" s="198"/>
      <c r="Q83" s="190"/>
      <c r="R83" s="71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4"/>
      <c r="B84" s="5"/>
      <c r="C84" s="5"/>
      <c r="D84" s="4"/>
      <c r="E84" s="3"/>
      <c r="F84" s="19"/>
      <c r="G84" s="20"/>
      <c r="H84" s="186"/>
      <c r="I84" s="187"/>
      <c r="J84" s="187"/>
      <c r="K84" s="187"/>
      <c r="L84" s="187"/>
      <c r="M84" s="188"/>
      <c r="N84" s="189"/>
      <c r="O84" s="198"/>
      <c r="P84" s="198"/>
      <c r="Q84" s="190"/>
      <c r="R84" s="71"/>
      <c r="S84" s="6" t="s">
        <v>14</v>
      </c>
      <c r="T84" s="21"/>
      <c r="U84" s="204"/>
      <c r="V84" s="205"/>
      <c r="W84" s="206"/>
    </row>
    <row r="85" spans="1:23" ht="14.55" customHeight="1" x14ac:dyDescent="0.3">
      <c r="A85" s="185"/>
      <c r="B85" s="165" t="s">
        <v>0</v>
      </c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7"/>
      <c r="N85" s="168">
        <f>SUM(N82:O84)</f>
        <v>839</v>
      </c>
      <c r="O85" s="197"/>
      <c r="P85" s="197"/>
      <c r="Q85" s="169"/>
      <c r="R85" s="10">
        <f>SUM(R82:R84)</f>
        <v>0</v>
      </c>
      <c r="S85" s="11" t="s">
        <v>14</v>
      </c>
      <c r="T85" s="9"/>
      <c r="U85" s="204"/>
      <c r="V85" s="205"/>
      <c r="W85" s="206"/>
    </row>
    <row r="86" spans="1:23" ht="14.55" customHeight="1" x14ac:dyDescent="0.3">
      <c r="D86" s="47"/>
      <c r="E86" s="48"/>
      <c r="F86" s="48"/>
      <c r="G86" s="48"/>
      <c r="H86" s="48"/>
      <c r="I86" s="48"/>
      <c r="R86" s="47"/>
    </row>
    <row r="87" spans="1:23" ht="14.55" customHeight="1" x14ac:dyDescent="0.3">
      <c r="D87" s="47"/>
      <c r="E87" s="165" t="s">
        <v>33</v>
      </c>
      <c r="F87" s="166"/>
      <c r="G87" s="166"/>
      <c r="H87" s="166"/>
      <c r="I87" s="166"/>
      <c r="J87" s="166"/>
      <c r="K87" s="166"/>
      <c r="L87" s="166"/>
      <c r="M87" s="167"/>
      <c r="N87" s="181" t="s">
        <v>7</v>
      </c>
      <c r="O87" s="199"/>
      <c r="P87" s="199"/>
      <c r="Q87" s="182"/>
      <c r="R87" s="47"/>
    </row>
    <row r="88" spans="1:23" ht="14.55" customHeight="1" x14ac:dyDescent="0.3">
      <c r="D88" s="47"/>
      <c r="E88" s="7"/>
      <c r="F88" s="7"/>
      <c r="G88" s="7"/>
      <c r="H88" s="7"/>
      <c r="I88" s="7"/>
      <c r="J88" s="22"/>
      <c r="K88" s="23"/>
      <c r="L88" s="22"/>
      <c r="M88" s="24"/>
      <c r="N88" s="200">
        <f>N85</f>
        <v>839</v>
      </c>
      <c r="O88" s="201"/>
      <c r="P88" s="202" t="s">
        <v>13</v>
      </c>
      <c r="Q88" s="203"/>
      <c r="R88" s="47"/>
    </row>
  </sheetData>
  <mergeCells count="238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4"/>
    <mergeCell ref="H67:M67"/>
    <mergeCell ref="N67:O67"/>
    <mergeCell ref="P67:Q67"/>
    <mergeCell ref="U67:W74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B74:M74"/>
    <mergeCell ref="N74:O74"/>
    <mergeCell ref="P74:Q74"/>
    <mergeCell ref="H71:M71"/>
    <mergeCell ref="N71:O71"/>
    <mergeCell ref="P71:Q71"/>
    <mergeCell ref="H72:M72"/>
    <mergeCell ref="N72:O72"/>
    <mergeCell ref="P72:Q72"/>
    <mergeCell ref="E76:M76"/>
    <mergeCell ref="N76:O76"/>
    <mergeCell ref="P76:Q76"/>
    <mergeCell ref="A79:W79"/>
    <mergeCell ref="A80:A81"/>
    <mergeCell ref="B80:B81"/>
    <mergeCell ref="C80:C81"/>
    <mergeCell ref="D80:D81"/>
    <mergeCell ref="E80:E81"/>
    <mergeCell ref="F80:F81"/>
    <mergeCell ref="U82:W85"/>
    <mergeCell ref="H83:M83"/>
    <mergeCell ref="N83:Q83"/>
    <mergeCell ref="G80:G81"/>
    <mergeCell ref="H80:M81"/>
    <mergeCell ref="N80:Q80"/>
    <mergeCell ref="R80:S81"/>
    <mergeCell ref="T80:T81"/>
    <mergeCell ref="U80:W81"/>
    <mergeCell ref="N81:Q81"/>
    <mergeCell ref="N88:O88"/>
    <mergeCell ref="P88:Q88"/>
    <mergeCell ref="H84:M84"/>
    <mergeCell ref="N84:Q84"/>
    <mergeCell ref="B85:M85"/>
    <mergeCell ref="N85:Q85"/>
    <mergeCell ref="E87:M87"/>
    <mergeCell ref="N87:Q87"/>
    <mergeCell ref="A82:A85"/>
    <mergeCell ref="H82:M82"/>
    <mergeCell ref="N82:Q82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W94"/>
  <sheetViews>
    <sheetView zoomScale="85" zoomScaleNormal="85" workbookViewId="0">
      <selection activeCell="S10" sqref="S10"/>
    </sheetView>
  </sheetViews>
  <sheetFormatPr defaultColWidth="8.88671875" defaultRowHeight="14.4" x14ac:dyDescent="0.3"/>
  <cols>
    <col min="1" max="1" width="12.6640625" style="79" customWidth="1"/>
    <col min="2" max="3" width="7.6640625" style="79" customWidth="1"/>
    <col min="4" max="4" width="8.109375" style="48" bestFit="1" customWidth="1"/>
    <col min="5" max="5" width="42.21875" style="79" bestFit="1" customWidth="1"/>
    <col min="6" max="6" width="5.6640625" style="79" customWidth="1"/>
    <col min="7" max="7" width="6.6640625" style="79" customWidth="1"/>
    <col min="8" max="9" width="3.6640625" style="79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79" customWidth="1"/>
    <col min="20" max="20" width="17.6640625" style="79" customWidth="1"/>
    <col min="21" max="23" width="6.6640625" style="79" customWidth="1"/>
    <col min="24" max="16384" width="8.88671875" style="79"/>
  </cols>
  <sheetData>
    <row r="1" spans="1:23" x14ac:dyDescent="0.3">
      <c r="D1" s="79"/>
      <c r="J1" s="79"/>
      <c r="K1" s="79"/>
      <c r="L1" s="79"/>
      <c r="M1" s="79"/>
      <c r="N1" s="79"/>
      <c r="O1" s="79"/>
      <c r="P1" s="79"/>
      <c r="Q1" s="79"/>
      <c r="R1" s="79"/>
    </row>
    <row r="2" spans="1:23" x14ac:dyDescent="0.3">
      <c r="D2" s="79"/>
      <c r="J2" s="79"/>
      <c r="K2" s="79"/>
      <c r="L2" s="79"/>
      <c r="M2" s="79"/>
      <c r="N2" s="79"/>
      <c r="O2" s="79"/>
      <c r="P2" s="79"/>
      <c r="Q2" s="79"/>
      <c r="R2" s="79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45931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4" t="s">
        <v>227</v>
      </c>
      <c r="E7" s="3" t="s">
        <v>184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2400</v>
      </c>
      <c r="O7" s="190"/>
      <c r="P7" s="189"/>
      <c r="Q7" s="190"/>
      <c r="R7" s="80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82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80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80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2400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0.33333333333333331</v>
      </c>
      <c r="C11" s="5">
        <v>0.70833333333333337</v>
      </c>
      <c r="D11" s="46">
        <v>290825</v>
      </c>
      <c r="E11" s="3" t="s">
        <v>131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500</v>
      </c>
      <c r="O11" s="190"/>
      <c r="P11" s="189"/>
      <c r="Q11" s="190"/>
      <c r="R11" s="8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80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80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500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79"/>
      <c r="E15" s="48"/>
      <c r="F15" s="48"/>
      <c r="G15" s="48"/>
      <c r="H15" s="48"/>
      <c r="I15" s="48"/>
      <c r="R15" s="79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81">
        <f>N10+N14</f>
        <v>2900</v>
      </c>
      <c r="O17" s="14" t="s">
        <v>13</v>
      </c>
      <c r="P17" s="81">
        <f>P10+P14</f>
        <v>0</v>
      </c>
      <c r="Q17" s="15" t="s">
        <v>13</v>
      </c>
    </row>
    <row r="18" spans="1:23" ht="15" customHeight="1" x14ac:dyDescent="0.3">
      <c r="D18" s="79"/>
      <c r="J18" s="79"/>
      <c r="K18" s="79"/>
      <c r="L18" s="79"/>
      <c r="M18" s="79"/>
      <c r="N18" s="79"/>
      <c r="O18" s="79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4" t="s">
        <v>227</v>
      </c>
      <c r="E22" s="3" t="s">
        <v>184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2200</v>
      </c>
      <c r="O22" s="198"/>
      <c r="P22" s="198"/>
      <c r="Q22" s="190"/>
      <c r="R22" s="8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8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80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80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2200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79"/>
      <c r="E27" s="48"/>
      <c r="F27" s="48"/>
      <c r="G27" s="48"/>
      <c r="H27" s="48"/>
      <c r="I27" s="48"/>
      <c r="R27" s="79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2200</v>
      </c>
      <c r="O29" s="201"/>
      <c r="P29" s="202" t="s">
        <v>13</v>
      </c>
      <c r="Q29" s="203"/>
    </row>
    <row r="30" spans="1:23" ht="15" customHeight="1" x14ac:dyDescent="0.3">
      <c r="D30" s="79"/>
      <c r="J30" s="79"/>
      <c r="K30" s="79"/>
      <c r="L30" s="79"/>
      <c r="M30" s="79"/>
      <c r="N30" s="79"/>
      <c r="O30" s="79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">
        <v>100925</v>
      </c>
      <c r="E34" s="3" t="s">
        <v>183</v>
      </c>
      <c r="F34" s="19">
        <v>430</v>
      </c>
      <c r="G34" s="20">
        <v>0.8</v>
      </c>
      <c r="H34" s="186" t="s">
        <v>103</v>
      </c>
      <c r="I34" s="187"/>
      <c r="J34" s="187"/>
      <c r="K34" s="187"/>
      <c r="L34" s="187"/>
      <c r="M34" s="188"/>
      <c r="N34" s="189">
        <v>625</v>
      </c>
      <c r="O34" s="190"/>
      <c r="P34" s="189"/>
      <c r="Q34" s="190"/>
      <c r="R34" s="8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" t="s">
        <v>227</v>
      </c>
      <c r="E35" s="3" t="s">
        <v>184</v>
      </c>
      <c r="F35" s="19">
        <v>304</v>
      </c>
      <c r="G35" s="20">
        <v>0.8</v>
      </c>
      <c r="H35" s="186" t="s">
        <v>201</v>
      </c>
      <c r="I35" s="187"/>
      <c r="J35" s="187"/>
      <c r="K35" s="187"/>
      <c r="L35" s="187"/>
      <c r="M35" s="188"/>
      <c r="N35" s="189">
        <v>1400</v>
      </c>
      <c r="O35" s="190"/>
      <c r="P35" s="189"/>
      <c r="Q35" s="190"/>
      <c r="R35" s="80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80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2025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79"/>
      <c r="E38" s="48"/>
      <c r="F38" s="48"/>
      <c r="G38" s="48"/>
      <c r="H38" s="48"/>
      <c r="I38" s="48"/>
      <c r="R38" s="79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81">
        <f>N37</f>
        <v>2025</v>
      </c>
      <c r="O40" s="14" t="s">
        <v>13</v>
      </c>
      <c r="P40" s="81">
        <f>P37</f>
        <v>0</v>
      </c>
      <c r="Q40" s="15" t="s">
        <v>13</v>
      </c>
    </row>
    <row r="41" spans="1:23" ht="15" customHeight="1" x14ac:dyDescent="0.3">
      <c r="D41" s="79"/>
      <c r="J41" s="79"/>
      <c r="K41" s="79"/>
      <c r="L41" s="79"/>
      <c r="M41" s="79"/>
      <c r="N41" s="79"/>
      <c r="O41" s="79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290825</v>
      </c>
      <c r="E45" s="3" t="s">
        <v>131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750</v>
      </c>
      <c r="O45" s="198"/>
      <c r="P45" s="198"/>
      <c r="Q45" s="190"/>
      <c r="R45" s="80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">
        <v>100925</v>
      </c>
      <c r="E46" s="3" t="s">
        <v>228</v>
      </c>
      <c r="F46" s="19">
        <v>430</v>
      </c>
      <c r="G46" s="20">
        <v>0.8</v>
      </c>
      <c r="H46" s="186"/>
      <c r="I46" s="187"/>
      <c r="J46" s="187"/>
      <c r="K46" s="187"/>
      <c r="L46" s="187"/>
      <c r="M46" s="188"/>
      <c r="N46" s="189">
        <v>2150</v>
      </c>
      <c r="O46" s="198"/>
      <c r="P46" s="198"/>
      <c r="Q46" s="190"/>
      <c r="R46" s="80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6">
        <v>290825</v>
      </c>
      <c r="E47" s="3" t="s">
        <v>229</v>
      </c>
      <c r="F47" s="19">
        <v>430</v>
      </c>
      <c r="G47" s="20">
        <v>0.8</v>
      </c>
      <c r="H47" s="186"/>
      <c r="I47" s="187"/>
      <c r="J47" s="187"/>
      <c r="K47" s="187"/>
      <c r="L47" s="187"/>
      <c r="M47" s="188"/>
      <c r="N47" s="189">
        <v>800</v>
      </c>
      <c r="O47" s="198"/>
      <c r="P47" s="198"/>
      <c r="Q47" s="190"/>
      <c r="R47" s="80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3700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79"/>
      <c r="E49" s="48"/>
      <c r="F49" s="48"/>
      <c r="G49" s="48"/>
      <c r="H49" s="48"/>
      <c r="I49" s="48"/>
      <c r="R49" s="7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3700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4">
        <v>100925</v>
      </c>
      <c r="E56" s="3" t="s">
        <v>183</v>
      </c>
      <c r="F56" s="19">
        <v>430</v>
      </c>
      <c r="G56" s="20">
        <v>0.8</v>
      </c>
      <c r="H56" s="186"/>
      <c r="I56" s="187"/>
      <c r="J56" s="187"/>
      <c r="K56" s="187"/>
      <c r="L56" s="187"/>
      <c r="M56" s="188"/>
      <c r="N56" s="189">
        <v>2400</v>
      </c>
      <c r="O56" s="198"/>
      <c r="P56" s="198"/>
      <c r="Q56" s="190"/>
      <c r="R56" s="8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80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80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2400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79"/>
      <c r="E60" s="48"/>
      <c r="F60" s="48"/>
      <c r="G60" s="48"/>
      <c r="H60" s="48"/>
      <c r="I60" s="48"/>
      <c r="R60" s="79"/>
    </row>
    <row r="61" spans="1:23" ht="14.55" customHeight="1" x14ac:dyDescent="0.3">
      <c r="D61" s="79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79"/>
    </row>
    <row r="62" spans="1:23" ht="14.55" customHeight="1" x14ac:dyDescent="0.3">
      <c r="D62" s="79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2400</v>
      </c>
      <c r="O62" s="201"/>
      <c r="P62" s="202" t="s">
        <v>13</v>
      </c>
      <c r="Q62" s="203"/>
      <c r="R62" s="79"/>
    </row>
    <row r="63" spans="1:23" ht="14.55" customHeight="1" x14ac:dyDescent="0.3">
      <c r="D63" s="79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10925</v>
      </c>
      <c r="E67" s="3" t="s">
        <v>183</v>
      </c>
      <c r="F67" s="19">
        <v>430</v>
      </c>
      <c r="G67" s="20">
        <v>0.8</v>
      </c>
      <c r="H67" s="186" t="s">
        <v>124</v>
      </c>
      <c r="I67" s="187"/>
      <c r="J67" s="187"/>
      <c r="K67" s="187"/>
      <c r="L67" s="187"/>
      <c r="M67" s="188"/>
      <c r="N67" s="189">
        <v>1200</v>
      </c>
      <c r="O67" s="190"/>
      <c r="P67" s="189"/>
      <c r="Q67" s="190"/>
      <c r="R67" s="80"/>
      <c r="S67" s="79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>
        <v>0.70833333333333337</v>
      </c>
      <c r="D68" s="4">
        <v>10925</v>
      </c>
      <c r="E68" s="3" t="s">
        <v>183</v>
      </c>
      <c r="F68" s="19">
        <v>430</v>
      </c>
      <c r="G68" s="20">
        <v>0.8</v>
      </c>
      <c r="H68" s="186" t="s">
        <v>122</v>
      </c>
      <c r="I68" s="187"/>
      <c r="J68" s="187"/>
      <c r="K68" s="187"/>
      <c r="L68" s="187"/>
      <c r="M68" s="188"/>
      <c r="N68" s="189">
        <v>200</v>
      </c>
      <c r="O68" s="190"/>
      <c r="P68" s="189"/>
      <c r="Q68" s="190"/>
      <c r="R68" s="80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0"/>
      <c r="P69" s="189"/>
      <c r="Q69" s="190"/>
      <c r="R69" s="80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80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80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80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80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80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80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80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80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79"/>
      <c r="E79" s="48"/>
      <c r="F79" s="48"/>
      <c r="G79" s="48"/>
      <c r="H79" s="48"/>
      <c r="I79" s="48"/>
      <c r="R79" s="79"/>
    </row>
    <row r="80" spans="1:23" ht="14.55" customHeight="1" x14ac:dyDescent="0.3">
      <c r="D80" s="79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79"/>
    </row>
    <row r="81" spans="1:23" ht="14.55" customHeight="1" x14ac:dyDescent="0.3">
      <c r="D81" s="79"/>
      <c r="E81" s="7"/>
      <c r="F81" s="7"/>
      <c r="G81" s="7"/>
      <c r="H81" s="7"/>
      <c r="I81" s="7"/>
      <c r="J81" s="22"/>
      <c r="K81" s="23"/>
      <c r="L81" s="22"/>
      <c r="M81" s="24"/>
      <c r="N81" s="81">
        <f ca="1">N78</f>
        <v>0</v>
      </c>
      <c r="O81" s="14" t="s">
        <v>13</v>
      </c>
      <c r="P81" s="81">
        <f ca="1">P78</f>
        <v>0</v>
      </c>
      <c r="Q81" s="15" t="s">
        <v>13</v>
      </c>
      <c r="R81" s="79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>
        <v>0.70833333333333337</v>
      </c>
      <c r="D86" s="4">
        <v>10925</v>
      </c>
      <c r="E86" s="3" t="s">
        <v>230</v>
      </c>
      <c r="F86" s="19">
        <v>430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1200</v>
      </c>
      <c r="O86" s="198"/>
      <c r="P86" s="198"/>
      <c r="Q86" s="190"/>
      <c r="R86" s="80"/>
      <c r="S86" s="79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80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80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80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80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1200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79"/>
      <c r="E92" s="48"/>
      <c r="F92" s="48"/>
      <c r="G92" s="48"/>
      <c r="H92" s="48"/>
      <c r="I92" s="48"/>
      <c r="R92" s="79"/>
    </row>
    <row r="93" spans="1:23" ht="14.55" customHeight="1" x14ac:dyDescent="0.3">
      <c r="D93" s="79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79"/>
    </row>
    <row r="94" spans="1:23" ht="14.55" customHeight="1" x14ac:dyDescent="0.3">
      <c r="D94" s="79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1200</v>
      </c>
      <c r="O94" s="201"/>
      <c r="P94" s="202" t="s">
        <v>13</v>
      </c>
      <c r="Q94" s="203"/>
      <c r="R94" s="79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W88"/>
  <sheetViews>
    <sheetView zoomScale="85" zoomScaleNormal="85" workbookViewId="0">
      <selection activeCell="N8" sqref="B8:O9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9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45932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>
        <v>100925</v>
      </c>
      <c r="E7" s="3" t="s">
        <v>184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450</v>
      </c>
      <c r="O7" s="190"/>
      <c r="P7" s="189"/>
      <c r="Q7" s="190"/>
      <c r="R7" s="74"/>
      <c r="S7" s="6" t="s">
        <v>14</v>
      </c>
      <c r="T7" s="21"/>
      <c r="U7" s="232"/>
      <c r="V7" s="233"/>
      <c r="W7" s="234"/>
    </row>
    <row r="8" spans="1:23" ht="14.55" customHeight="1" x14ac:dyDescent="0.3">
      <c r="A8" s="184"/>
      <c r="B8" s="5"/>
      <c r="C8" s="5"/>
      <c r="D8" s="77">
        <v>250074</v>
      </c>
      <c r="E8" s="3" t="s">
        <v>199</v>
      </c>
      <c r="F8" s="19">
        <v>304</v>
      </c>
      <c r="G8" s="20">
        <v>0.7</v>
      </c>
      <c r="H8" s="186"/>
      <c r="I8" s="187"/>
      <c r="J8" s="187"/>
      <c r="K8" s="187"/>
      <c r="L8" s="187"/>
      <c r="M8" s="188"/>
      <c r="N8" s="189">
        <v>780</v>
      </c>
      <c r="O8" s="190"/>
      <c r="P8" s="189"/>
      <c r="Q8" s="190"/>
      <c r="R8" s="74"/>
      <c r="S8" s="6" t="s">
        <v>14</v>
      </c>
      <c r="T8" s="21"/>
      <c r="U8" s="232"/>
      <c r="V8" s="233"/>
      <c r="W8" s="234"/>
    </row>
    <row r="9" spans="1:23" ht="14.55" customHeight="1" x14ac:dyDescent="0.3">
      <c r="A9" s="184"/>
      <c r="B9" s="5"/>
      <c r="C9" s="5">
        <v>0.70833333333333337</v>
      </c>
      <c r="D9" s="4">
        <v>250074</v>
      </c>
      <c r="E9" s="3" t="s">
        <v>200</v>
      </c>
      <c r="F9" s="19">
        <v>304</v>
      </c>
      <c r="G9" s="20">
        <v>0.7</v>
      </c>
      <c r="H9" s="186"/>
      <c r="I9" s="187"/>
      <c r="J9" s="187"/>
      <c r="K9" s="187"/>
      <c r="L9" s="187"/>
      <c r="M9" s="188"/>
      <c r="N9" s="189">
        <v>780</v>
      </c>
      <c r="O9" s="190"/>
      <c r="P9" s="189"/>
      <c r="Q9" s="190"/>
      <c r="R9" s="74"/>
      <c r="S9" s="6" t="s">
        <v>14</v>
      </c>
      <c r="T9" s="21"/>
      <c r="U9" s="232"/>
      <c r="V9" s="233"/>
      <c r="W9" s="234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2010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232"/>
      <c r="V10" s="233"/>
      <c r="W10" s="234"/>
    </row>
    <row r="11" spans="1:23" ht="14.55" customHeight="1" x14ac:dyDescent="0.3">
      <c r="A11" s="183" t="s">
        <v>72</v>
      </c>
      <c r="B11" s="5">
        <v>0.33333333333333331</v>
      </c>
      <c r="C11" s="5"/>
      <c r="D11" s="4" t="s">
        <v>196</v>
      </c>
      <c r="E11" s="3" t="s">
        <v>197</v>
      </c>
      <c r="F11" s="19">
        <v>430</v>
      </c>
      <c r="G11" s="20">
        <v>0.8</v>
      </c>
      <c r="H11" s="186"/>
      <c r="I11" s="187"/>
      <c r="J11" s="187"/>
      <c r="K11" s="187"/>
      <c r="L11" s="187"/>
      <c r="M11" s="188"/>
      <c r="N11" s="189">
        <v>100</v>
      </c>
      <c r="O11" s="190"/>
      <c r="P11" s="189"/>
      <c r="Q11" s="190"/>
      <c r="R11" s="74"/>
      <c r="S11" s="6" t="s">
        <v>14</v>
      </c>
      <c r="T11" s="21"/>
      <c r="U11" s="235"/>
      <c r="V11" s="236"/>
      <c r="W11" s="237"/>
    </row>
    <row r="12" spans="1:23" ht="14.55" customHeight="1" x14ac:dyDescent="0.3">
      <c r="A12" s="184"/>
      <c r="B12" s="5"/>
      <c r="C12" s="5"/>
      <c r="D12" s="4" t="s">
        <v>196</v>
      </c>
      <c r="E12" s="3" t="s">
        <v>54</v>
      </c>
      <c r="F12" s="19">
        <v>304</v>
      </c>
      <c r="G12" s="20">
        <v>0.9</v>
      </c>
      <c r="H12" s="186"/>
      <c r="I12" s="187"/>
      <c r="J12" s="187"/>
      <c r="K12" s="187"/>
      <c r="L12" s="187"/>
      <c r="M12" s="188"/>
      <c r="N12" s="189">
        <v>250</v>
      </c>
      <c r="O12" s="190"/>
      <c r="P12" s="189"/>
      <c r="Q12" s="190"/>
      <c r="R12" s="74"/>
      <c r="S12" s="6" t="s">
        <v>14</v>
      </c>
      <c r="T12" s="21"/>
      <c r="U12" s="235"/>
      <c r="V12" s="236"/>
      <c r="W12" s="237"/>
    </row>
    <row r="13" spans="1:23" ht="14.55" customHeight="1" x14ac:dyDescent="0.3">
      <c r="A13" s="184"/>
      <c r="B13" s="5"/>
      <c r="C13" s="5">
        <v>0.70833333333333337</v>
      </c>
      <c r="D13" s="4" t="s">
        <v>196</v>
      </c>
      <c r="E13" s="3" t="s">
        <v>198</v>
      </c>
      <c r="F13" s="19">
        <v>304</v>
      </c>
      <c r="G13" s="20">
        <v>0.8</v>
      </c>
      <c r="H13" s="186"/>
      <c r="I13" s="187"/>
      <c r="J13" s="187"/>
      <c r="K13" s="187"/>
      <c r="L13" s="187"/>
      <c r="M13" s="188"/>
      <c r="N13" s="189">
        <v>30</v>
      </c>
      <c r="O13" s="190"/>
      <c r="P13" s="189"/>
      <c r="Q13" s="190"/>
      <c r="R13" s="74"/>
      <c r="S13" s="6" t="s">
        <v>14</v>
      </c>
      <c r="T13" s="21"/>
      <c r="U13" s="235"/>
      <c r="V13" s="236"/>
      <c r="W13" s="237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380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235"/>
      <c r="V14" s="236"/>
      <c r="W14" s="237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73">
        <f>N10+N14</f>
        <v>2390</v>
      </c>
      <c r="O17" s="14" t="s">
        <v>13</v>
      </c>
      <c r="P17" s="73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>
        <v>100925</v>
      </c>
      <c r="E22" s="3" t="s">
        <v>184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680</v>
      </c>
      <c r="O22" s="198"/>
      <c r="P22" s="198"/>
      <c r="Q22" s="190"/>
      <c r="R22" s="74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77">
        <v>250074</v>
      </c>
      <c r="E23" s="3" t="s">
        <v>199</v>
      </c>
      <c r="F23" s="19">
        <v>304</v>
      </c>
      <c r="G23" s="20">
        <v>0.7</v>
      </c>
      <c r="H23" s="186"/>
      <c r="I23" s="187"/>
      <c r="J23" s="187"/>
      <c r="K23" s="187"/>
      <c r="L23" s="187"/>
      <c r="M23" s="188"/>
      <c r="N23" s="189">
        <v>780</v>
      </c>
      <c r="O23" s="198"/>
      <c r="P23" s="198"/>
      <c r="Q23" s="190"/>
      <c r="R23" s="74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>
        <v>0.70833333333333337</v>
      </c>
      <c r="D24" s="4">
        <v>250074</v>
      </c>
      <c r="E24" s="3" t="s">
        <v>200</v>
      </c>
      <c r="F24" s="19">
        <v>304</v>
      </c>
      <c r="G24" s="20">
        <v>0.7</v>
      </c>
      <c r="H24" s="186"/>
      <c r="I24" s="187"/>
      <c r="J24" s="187"/>
      <c r="K24" s="187"/>
      <c r="L24" s="187"/>
      <c r="M24" s="188"/>
      <c r="N24" s="189">
        <v>780</v>
      </c>
      <c r="O24" s="198"/>
      <c r="P24" s="198"/>
      <c r="Q24" s="190"/>
      <c r="R24" s="74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74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2240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47"/>
      <c r="E27" s="48"/>
      <c r="F27" s="48"/>
      <c r="G27" s="48"/>
      <c r="H27" s="48"/>
      <c r="I27" s="48"/>
      <c r="R27" s="47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2240</v>
      </c>
      <c r="O29" s="201"/>
      <c r="P29" s="202" t="s">
        <v>13</v>
      </c>
      <c r="Q29" s="203"/>
    </row>
    <row r="30" spans="1:23" ht="15" customHeight="1" x14ac:dyDescent="0.3">
      <c r="D30" s="47"/>
      <c r="J30" s="47"/>
      <c r="K30" s="47"/>
      <c r="L30" s="47"/>
      <c r="M30" s="47"/>
      <c r="N30" s="47"/>
      <c r="O30" s="47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>
        <v>100925</v>
      </c>
      <c r="E34" s="3" t="s">
        <v>184</v>
      </c>
      <c r="F34" s="19">
        <v>304</v>
      </c>
      <c r="G34" s="20">
        <v>0.8</v>
      </c>
      <c r="H34" s="186" t="s">
        <v>201</v>
      </c>
      <c r="I34" s="187"/>
      <c r="J34" s="187"/>
      <c r="K34" s="187"/>
      <c r="L34" s="187"/>
      <c r="M34" s="188"/>
      <c r="N34" s="189">
        <v>1875</v>
      </c>
      <c r="O34" s="190"/>
      <c r="P34" s="189"/>
      <c r="Q34" s="190"/>
      <c r="R34" s="74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77">
        <v>250074</v>
      </c>
      <c r="E35" s="3" t="s">
        <v>199</v>
      </c>
      <c r="F35" s="19">
        <v>304</v>
      </c>
      <c r="G35" s="20">
        <v>0.7</v>
      </c>
      <c r="H35" s="186" t="s">
        <v>202</v>
      </c>
      <c r="I35" s="187"/>
      <c r="J35" s="187"/>
      <c r="K35" s="187"/>
      <c r="L35" s="187"/>
      <c r="M35" s="188"/>
      <c r="N35" s="189">
        <v>225</v>
      </c>
      <c r="O35" s="190"/>
      <c r="P35" s="189"/>
      <c r="Q35" s="190"/>
      <c r="R35" s="74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74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2100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47"/>
      <c r="E38" s="48"/>
      <c r="F38" s="48"/>
      <c r="G38" s="48"/>
      <c r="H38" s="48"/>
      <c r="I38" s="48"/>
      <c r="R38" s="47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73">
        <f>N37</f>
        <v>2100</v>
      </c>
      <c r="O40" s="14" t="s">
        <v>13</v>
      </c>
      <c r="P40" s="73">
        <f>P37</f>
        <v>0</v>
      </c>
      <c r="Q40" s="15" t="s">
        <v>13</v>
      </c>
    </row>
    <row r="41" spans="1:23" ht="15" customHeight="1" x14ac:dyDescent="0.3">
      <c r="D41" s="47"/>
      <c r="J41" s="47"/>
      <c r="K41" s="47"/>
      <c r="L41" s="47"/>
      <c r="M41" s="47"/>
      <c r="N41" s="47"/>
      <c r="O41" s="47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>
        <v>0.70833333333333337</v>
      </c>
      <c r="D45" s="46">
        <v>100925</v>
      </c>
      <c r="E45" s="3" t="s">
        <v>184</v>
      </c>
      <c r="F45" s="19">
        <v>304</v>
      </c>
      <c r="G45" s="20">
        <v>0.8</v>
      </c>
      <c r="H45" s="186"/>
      <c r="I45" s="187"/>
      <c r="J45" s="187"/>
      <c r="K45" s="187"/>
      <c r="L45" s="187"/>
      <c r="M45" s="188"/>
      <c r="N45" s="189">
        <v>2450</v>
      </c>
      <c r="O45" s="198"/>
      <c r="P45" s="198"/>
      <c r="Q45" s="190"/>
      <c r="R45" s="74">
        <v>30</v>
      </c>
      <c r="S45" s="6" t="s">
        <v>14</v>
      </c>
      <c r="T45" s="21"/>
      <c r="U45" s="191" t="s">
        <v>203</v>
      </c>
      <c r="V45" s="192"/>
      <c r="W45" s="193"/>
    </row>
    <row r="46" spans="1:23" ht="14.55" customHeight="1" x14ac:dyDescent="0.3">
      <c r="A46" s="184"/>
      <c r="B46" s="5"/>
      <c r="C46" s="5"/>
      <c r="D46" s="4"/>
      <c r="E46" s="3"/>
      <c r="F46" s="19"/>
      <c r="G46" s="20"/>
      <c r="H46" s="186"/>
      <c r="I46" s="187"/>
      <c r="J46" s="187"/>
      <c r="K46" s="187"/>
      <c r="L46" s="187"/>
      <c r="M46" s="188"/>
      <c r="N46" s="189"/>
      <c r="O46" s="198"/>
      <c r="P46" s="198"/>
      <c r="Q46" s="190"/>
      <c r="R46" s="74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74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2450</v>
      </c>
      <c r="O48" s="197"/>
      <c r="P48" s="197"/>
      <c r="Q48" s="169"/>
      <c r="R48" s="10">
        <f>SUM(R45:R47)</f>
        <v>30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47"/>
      <c r="E49" s="48"/>
      <c r="F49" s="48"/>
      <c r="G49" s="48"/>
      <c r="H49" s="48"/>
      <c r="I49" s="48"/>
      <c r="R49" s="47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2450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46">
        <v>100925</v>
      </c>
      <c r="E56" s="3" t="s">
        <v>184</v>
      </c>
      <c r="F56" s="19">
        <v>304</v>
      </c>
      <c r="G56" s="20">
        <v>0.8</v>
      </c>
      <c r="H56" s="186"/>
      <c r="I56" s="187"/>
      <c r="J56" s="187"/>
      <c r="K56" s="187"/>
      <c r="L56" s="187"/>
      <c r="M56" s="188"/>
      <c r="N56" s="189">
        <v>2010</v>
      </c>
      <c r="O56" s="198"/>
      <c r="P56" s="198"/>
      <c r="Q56" s="190"/>
      <c r="R56" s="74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74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74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2010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47"/>
      <c r="E60" s="48"/>
      <c r="F60" s="48"/>
      <c r="G60" s="48"/>
      <c r="H60" s="48"/>
      <c r="I60" s="48"/>
      <c r="R60" s="47"/>
    </row>
    <row r="61" spans="1:23" ht="14.55" customHeight="1" x14ac:dyDescent="0.3">
      <c r="D61" s="47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47"/>
    </row>
    <row r="62" spans="1:23" ht="14.55" customHeight="1" x14ac:dyDescent="0.3">
      <c r="D62" s="47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2010</v>
      </c>
      <c r="O62" s="201"/>
      <c r="P62" s="202" t="s">
        <v>13</v>
      </c>
      <c r="Q62" s="203"/>
      <c r="R62" s="47"/>
    </row>
    <row r="63" spans="1:23" ht="14.55" customHeight="1" x14ac:dyDescent="0.3">
      <c r="D63" s="47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10925</v>
      </c>
      <c r="E67" s="3" t="s">
        <v>204</v>
      </c>
      <c r="F67" s="19">
        <v>430</v>
      </c>
      <c r="G67" s="20">
        <v>0.8</v>
      </c>
      <c r="H67" s="186" t="s">
        <v>122</v>
      </c>
      <c r="I67" s="187"/>
      <c r="J67" s="187"/>
      <c r="K67" s="187"/>
      <c r="L67" s="187"/>
      <c r="M67" s="188"/>
      <c r="N67" s="189">
        <v>780</v>
      </c>
      <c r="O67" s="190"/>
      <c r="P67" s="189"/>
      <c r="Q67" s="190"/>
      <c r="R67" s="74"/>
      <c r="S67" s="47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>
        <v>0.70833333333333337</v>
      </c>
      <c r="D68" s="4" t="s">
        <v>205</v>
      </c>
      <c r="E68" s="3" t="s">
        <v>152</v>
      </c>
      <c r="F68" s="19">
        <v>304</v>
      </c>
      <c r="G68" s="20">
        <v>0.8</v>
      </c>
      <c r="H68" s="186" t="s">
        <v>122</v>
      </c>
      <c r="I68" s="187"/>
      <c r="J68" s="187"/>
      <c r="K68" s="187"/>
      <c r="L68" s="187"/>
      <c r="M68" s="188"/>
      <c r="N68" s="189">
        <v>1000</v>
      </c>
      <c r="O68" s="190"/>
      <c r="P68" s="189"/>
      <c r="Q68" s="190"/>
      <c r="R68" s="74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0"/>
      <c r="P69" s="189"/>
      <c r="Q69" s="190"/>
      <c r="R69" s="74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74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74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5"/>
      <c r="B72" s="165" t="s">
        <v>0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8">
        <f ca="1">SUM(N67:O72)</f>
        <v>0</v>
      </c>
      <c r="O72" s="197"/>
      <c r="P72" s="168">
        <f ca="1">SUM(P67:Q72)</f>
        <v>0</v>
      </c>
      <c r="Q72" s="197"/>
      <c r="R72" s="10">
        <f>SUM(R67:R71)</f>
        <v>0</v>
      </c>
      <c r="S72" s="11" t="s">
        <v>14</v>
      </c>
      <c r="T72" s="9"/>
      <c r="U72" s="191"/>
      <c r="V72" s="192"/>
      <c r="W72" s="193"/>
    </row>
    <row r="73" spans="1:23" ht="14.55" customHeight="1" x14ac:dyDescent="0.3">
      <c r="D73" s="47"/>
      <c r="E73" s="48"/>
      <c r="F73" s="48"/>
      <c r="G73" s="48"/>
      <c r="H73" s="48"/>
      <c r="I73" s="48"/>
      <c r="R73" s="47"/>
    </row>
    <row r="74" spans="1:23" ht="14.55" customHeight="1" x14ac:dyDescent="0.3">
      <c r="D74" s="47"/>
      <c r="E74" s="165" t="s">
        <v>65</v>
      </c>
      <c r="F74" s="166"/>
      <c r="G74" s="166"/>
      <c r="H74" s="166"/>
      <c r="I74" s="166"/>
      <c r="J74" s="166"/>
      <c r="K74" s="166"/>
      <c r="L74" s="166"/>
      <c r="M74" s="167"/>
      <c r="N74" s="181" t="s">
        <v>7</v>
      </c>
      <c r="O74" s="182"/>
      <c r="P74" s="181" t="s">
        <v>74</v>
      </c>
      <c r="Q74" s="182"/>
      <c r="R74" s="47"/>
    </row>
    <row r="75" spans="1:23" ht="14.55" customHeight="1" x14ac:dyDescent="0.3">
      <c r="D75" s="47"/>
      <c r="E75" s="7"/>
      <c r="F75" s="7"/>
      <c r="G75" s="7"/>
      <c r="H75" s="7"/>
      <c r="I75" s="7"/>
      <c r="J75" s="22"/>
      <c r="K75" s="23"/>
      <c r="L75" s="22"/>
      <c r="M75" s="24"/>
      <c r="N75" s="73">
        <f ca="1">N72</f>
        <v>0</v>
      </c>
      <c r="O75" s="14" t="s">
        <v>13</v>
      </c>
      <c r="P75" s="73">
        <f ca="1">P72</f>
        <v>0</v>
      </c>
      <c r="Q75" s="15" t="s">
        <v>13</v>
      </c>
      <c r="R75" s="47"/>
    </row>
    <row r="76" spans="1:23" x14ac:dyDescent="0.3">
      <c r="P76" s="49"/>
      <c r="Q76" s="49"/>
      <c r="R76" s="49"/>
      <c r="S76" s="32"/>
    </row>
    <row r="77" spans="1:23" s="8" customFormat="1" ht="30" customHeight="1" x14ac:dyDescent="0.3">
      <c r="A77" s="155" t="s">
        <v>29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7"/>
      <c r="Q77" s="157"/>
      <c r="R77" s="157"/>
      <c r="S77" s="157"/>
      <c r="T77" s="156"/>
      <c r="U77" s="156"/>
      <c r="V77" s="156"/>
      <c r="W77" s="158"/>
    </row>
    <row r="78" spans="1:23" s="12" customFormat="1" ht="14.55" customHeight="1" x14ac:dyDescent="0.3">
      <c r="A78" s="159" t="s">
        <v>1</v>
      </c>
      <c r="B78" s="160" t="s">
        <v>2</v>
      </c>
      <c r="C78" s="160" t="s">
        <v>3</v>
      </c>
      <c r="D78" s="160" t="s">
        <v>4</v>
      </c>
      <c r="E78" s="161" t="s">
        <v>5</v>
      </c>
      <c r="F78" s="163" t="s">
        <v>15</v>
      </c>
      <c r="G78" s="163" t="s">
        <v>16</v>
      </c>
      <c r="H78" s="170" t="s">
        <v>30</v>
      </c>
      <c r="I78" s="171"/>
      <c r="J78" s="171"/>
      <c r="K78" s="171"/>
      <c r="L78" s="171"/>
      <c r="M78" s="172"/>
      <c r="N78" s="176" t="s">
        <v>6</v>
      </c>
      <c r="O78" s="177"/>
      <c r="P78" s="177"/>
      <c r="Q78" s="178"/>
      <c r="R78" s="161" t="s">
        <v>8</v>
      </c>
      <c r="S78" s="179"/>
      <c r="T78" s="159" t="s">
        <v>9</v>
      </c>
      <c r="U78" s="159" t="s">
        <v>10</v>
      </c>
      <c r="V78" s="159"/>
      <c r="W78" s="159"/>
    </row>
    <row r="79" spans="1:23" s="12" customFormat="1" ht="13.05" customHeight="1" x14ac:dyDescent="0.3">
      <c r="A79" s="159"/>
      <c r="B79" s="160"/>
      <c r="C79" s="160"/>
      <c r="D79" s="160"/>
      <c r="E79" s="162"/>
      <c r="F79" s="164"/>
      <c r="G79" s="164"/>
      <c r="H79" s="173"/>
      <c r="I79" s="174"/>
      <c r="J79" s="174"/>
      <c r="K79" s="174"/>
      <c r="L79" s="174"/>
      <c r="M79" s="175"/>
      <c r="N79" s="176" t="s">
        <v>7</v>
      </c>
      <c r="O79" s="177"/>
      <c r="P79" s="177"/>
      <c r="Q79" s="178"/>
      <c r="R79" s="162"/>
      <c r="S79" s="180"/>
      <c r="T79" s="159"/>
      <c r="U79" s="159"/>
      <c r="V79" s="159"/>
      <c r="W79" s="159"/>
    </row>
    <row r="80" spans="1:23" ht="14.55" customHeight="1" x14ac:dyDescent="0.3">
      <c r="A80" s="183" t="s">
        <v>49</v>
      </c>
      <c r="B80" s="5">
        <v>0.33333333333333331</v>
      </c>
      <c r="C80" s="5"/>
      <c r="D80" s="4">
        <v>10925</v>
      </c>
      <c r="E80" s="3" t="s">
        <v>206</v>
      </c>
      <c r="F80" s="19">
        <v>430</v>
      </c>
      <c r="G80" s="20">
        <v>0.8</v>
      </c>
      <c r="H80" s="186" t="s">
        <v>87</v>
      </c>
      <c r="I80" s="187"/>
      <c r="J80" s="187"/>
      <c r="K80" s="187"/>
      <c r="L80" s="187"/>
      <c r="M80" s="188"/>
      <c r="N80" s="189">
        <v>480</v>
      </c>
      <c r="O80" s="198"/>
      <c r="P80" s="198"/>
      <c r="Q80" s="190"/>
      <c r="R80" s="74"/>
      <c r="S80" s="47" t="s">
        <v>14</v>
      </c>
      <c r="T80" s="21"/>
      <c r="U80" s="204"/>
      <c r="V80" s="205"/>
      <c r="W80" s="206"/>
    </row>
    <row r="81" spans="1:23" ht="14.55" customHeight="1" x14ac:dyDescent="0.3">
      <c r="A81" s="184"/>
      <c r="B81" s="5"/>
      <c r="C81" s="5"/>
      <c r="D81" s="4">
        <v>250040</v>
      </c>
      <c r="E81" s="3" t="s">
        <v>207</v>
      </c>
      <c r="F81" s="19">
        <v>304</v>
      </c>
      <c r="G81" s="20">
        <v>0.7</v>
      </c>
      <c r="H81" s="186" t="s">
        <v>87</v>
      </c>
      <c r="I81" s="187"/>
      <c r="J81" s="187"/>
      <c r="K81" s="187"/>
      <c r="L81" s="187"/>
      <c r="M81" s="188"/>
      <c r="N81" s="189">
        <v>598</v>
      </c>
      <c r="O81" s="198"/>
      <c r="P81" s="198"/>
      <c r="Q81" s="190"/>
      <c r="R81" s="74"/>
      <c r="S81" s="6" t="s">
        <v>14</v>
      </c>
      <c r="T81" s="21"/>
      <c r="U81" s="204"/>
      <c r="V81" s="205"/>
      <c r="W81" s="206"/>
    </row>
    <row r="82" spans="1:23" ht="14.55" customHeight="1" x14ac:dyDescent="0.3">
      <c r="A82" s="184"/>
      <c r="B82" s="5"/>
      <c r="C82" s="5"/>
      <c r="D82" s="4">
        <v>250040</v>
      </c>
      <c r="E82" s="3" t="s">
        <v>208</v>
      </c>
      <c r="F82" s="19">
        <v>304</v>
      </c>
      <c r="G82" s="20">
        <v>0.7</v>
      </c>
      <c r="H82" s="186" t="s">
        <v>87</v>
      </c>
      <c r="I82" s="187"/>
      <c r="J82" s="187"/>
      <c r="K82" s="187"/>
      <c r="L82" s="187"/>
      <c r="M82" s="188"/>
      <c r="N82" s="189">
        <v>598</v>
      </c>
      <c r="O82" s="198"/>
      <c r="P82" s="198"/>
      <c r="Q82" s="190"/>
      <c r="R82" s="74"/>
      <c r="S82" s="6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>
        <v>0.70833333333333337</v>
      </c>
      <c r="D83" s="4">
        <v>250040</v>
      </c>
      <c r="E83" s="3" t="s">
        <v>209</v>
      </c>
      <c r="F83" s="19">
        <v>304</v>
      </c>
      <c r="G83" s="20">
        <v>0.7</v>
      </c>
      <c r="H83" s="186" t="s">
        <v>87</v>
      </c>
      <c r="I83" s="187"/>
      <c r="J83" s="187"/>
      <c r="K83" s="187"/>
      <c r="L83" s="187"/>
      <c r="M83" s="188"/>
      <c r="N83" s="189">
        <v>600</v>
      </c>
      <c r="O83" s="198"/>
      <c r="P83" s="198"/>
      <c r="Q83" s="190"/>
      <c r="R83" s="74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4"/>
      <c r="B84" s="5"/>
      <c r="C84" s="5"/>
      <c r="D84" s="4"/>
      <c r="E84" s="3"/>
      <c r="F84" s="19"/>
      <c r="G84" s="20"/>
      <c r="H84" s="186"/>
      <c r="I84" s="187"/>
      <c r="J84" s="187"/>
      <c r="K84" s="187"/>
      <c r="L84" s="187"/>
      <c r="M84" s="188"/>
      <c r="N84" s="189"/>
      <c r="O84" s="198"/>
      <c r="P84" s="198"/>
      <c r="Q84" s="190"/>
      <c r="R84" s="74"/>
      <c r="S84" s="6" t="s">
        <v>14</v>
      </c>
      <c r="T84" s="21"/>
      <c r="U84" s="204"/>
      <c r="V84" s="205"/>
      <c r="W84" s="206"/>
    </row>
    <row r="85" spans="1:23" ht="14.55" customHeight="1" x14ac:dyDescent="0.3">
      <c r="A85" s="185"/>
      <c r="B85" s="165" t="s">
        <v>0</v>
      </c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7"/>
      <c r="N85" s="168">
        <f>SUM(N80:O84)</f>
        <v>2276</v>
      </c>
      <c r="O85" s="197"/>
      <c r="P85" s="197"/>
      <c r="Q85" s="169"/>
      <c r="R85" s="10">
        <f>SUM(R80:R84)</f>
        <v>0</v>
      </c>
      <c r="S85" s="11" t="s">
        <v>14</v>
      </c>
      <c r="T85" s="9"/>
      <c r="U85" s="204"/>
      <c r="V85" s="205"/>
      <c r="W85" s="206"/>
    </row>
    <row r="86" spans="1:23" ht="14.55" customHeight="1" x14ac:dyDescent="0.3">
      <c r="D86" s="47"/>
      <c r="E86" s="48"/>
      <c r="F86" s="48"/>
      <c r="G86" s="48"/>
      <c r="H86" s="48"/>
      <c r="I86" s="48"/>
      <c r="R86" s="47"/>
    </row>
    <row r="87" spans="1:23" ht="14.55" customHeight="1" x14ac:dyDescent="0.3">
      <c r="D87" s="47"/>
      <c r="E87" s="165" t="s">
        <v>33</v>
      </c>
      <c r="F87" s="166"/>
      <c r="G87" s="166"/>
      <c r="H87" s="166"/>
      <c r="I87" s="166"/>
      <c r="J87" s="166"/>
      <c r="K87" s="166"/>
      <c r="L87" s="166"/>
      <c r="M87" s="167"/>
      <c r="N87" s="181" t="s">
        <v>7</v>
      </c>
      <c r="O87" s="199"/>
      <c r="P87" s="199"/>
      <c r="Q87" s="182"/>
      <c r="R87" s="47"/>
    </row>
    <row r="88" spans="1:23" ht="14.55" customHeight="1" x14ac:dyDescent="0.3">
      <c r="D88" s="47"/>
      <c r="E88" s="7"/>
      <c r="F88" s="7"/>
      <c r="G88" s="7"/>
      <c r="H88" s="7"/>
      <c r="I88" s="7"/>
      <c r="J88" s="22"/>
      <c r="K88" s="23"/>
      <c r="L88" s="22"/>
      <c r="M88" s="24"/>
      <c r="N88" s="200">
        <f>N85</f>
        <v>2276</v>
      </c>
      <c r="O88" s="201"/>
      <c r="P88" s="202" t="s">
        <v>13</v>
      </c>
      <c r="Q88" s="203"/>
      <c r="R88" s="47"/>
    </row>
  </sheetData>
  <mergeCells count="236">
    <mergeCell ref="N88:O88"/>
    <mergeCell ref="P88:Q88"/>
    <mergeCell ref="H84:M84"/>
    <mergeCell ref="N84:Q84"/>
    <mergeCell ref="B85:M85"/>
    <mergeCell ref="N85:Q85"/>
    <mergeCell ref="E87:M87"/>
    <mergeCell ref="N87:Q87"/>
    <mergeCell ref="A80:A85"/>
    <mergeCell ref="H80:M80"/>
    <mergeCell ref="N80:Q80"/>
    <mergeCell ref="A78:A79"/>
    <mergeCell ref="B78:B79"/>
    <mergeCell ref="C78:C79"/>
    <mergeCell ref="D78:D79"/>
    <mergeCell ref="E78:E79"/>
    <mergeCell ref="F78:F79"/>
    <mergeCell ref="U80:W85"/>
    <mergeCell ref="H81:M81"/>
    <mergeCell ref="N81:Q81"/>
    <mergeCell ref="H82:M82"/>
    <mergeCell ref="N82:Q82"/>
    <mergeCell ref="H83:M83"/>
    <mergeCell ref="N83:Q83"/>
    <mergeCell ref="G78:G79"/>
    <mergeCell ref="H78:M79"/>
    <mergeCell ref="N78:Q78"/>
    <mergeCell ref="R78:S79"/>
    <mergeCell ref="T78:T79"/>
    <mergeCell ref="U78:W79"/>
    <mergeCell ref="N79:Q79"/>
    <mergeCell ref="N69:O69"/>
    <mergeCell ref="P69:Q69"/>
    <mergeCell ref="H70:M70"/>
    <mergeCell ref="N70:O70"/>
    <mergeCell ref="P70:Q70"/>
    <mergeCell ref="E74:M74"/>
    <mergeCell ref="N74:O74"/>
    <mergeCell ref="P74:Q74"/>
    <mergeCell ref="A77:W77"/>
    <mergeCell ref="P68:Q68"/>
    <mergeCell ref="U65:W66"/>
    <mergeCell ref="N66:O66"/>
    <mergeCell ref="P66:Q66"/>
    <mergeCell ref="A67:A72"/>
    <mergeCell ref="H67:M67"/>
    <mergeCell ref="N67:O67"/>
    <mergeCell ref="P67:Q67"/>
    <mergeCell ref="U67:W72"/>
    <mergeCell ref="H68:M68"/>
    <mergeCell ref="N68:O68"/>
    <mergeCell ref="F65:F66"/>
    <mergeCell ref="G65:G66"/>
    <mergeCell ref="H65:M66"/>
    <mergeCell ref="N65:Q65"/>
    <mergeCell ref="R65:S66"/>
    <mergeCell ref="T65:T66"/>
    <mergeCell ref="H71:M71"/>
    <mergeCell ref="N71:O71"/>
    <mergeCell ref="P71:Q71"/>
    <mergeCell ref="B72:M72"/>
    <mergeCell ref="N72:O72"/>
    <mergeCell ref="P72:Q72"/>
    <mergeCell ref="H69:M6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W96"/>
  <sheetViews>
    <sheetView zoomScale="85" zoomScaleNormal="85" workbookViewId="0">
      <selection activeCell="N9" sqref="N9:O9"/>
    </sheetView>
  </sheetViews>
  <sheetFormatPr defaultColWidth="8.88671875" defaultRowHeight="14.4" x14ac:dyDescent="0.3"/>
  <cols>
    <col min="1" max="1" width="12.6640625" style="47" customWidth="1"/>
    <col min="2" max="3" width="7.6640625" style="47" customWidth="1"/>
    <col min="4" max="4" width="8.109375" style="48" bestFit="1" customWidth="1"/>
    <col min="5" max="5" width="42.21875" style="47" bestFit="1" customWidth="1"/>
    <col min="6" max="6" width="5.6640625" style="47" customWidth="1"/>
    <col min="7" max="7" width="6.6640625" style="47" customWidth="1"/>
    <col min="8" max="9" width="3.6640625" style="47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47" customWidth="1"/>
    <col min="20" max="20" width="17.6640625" style="47" customWidth="1"/>
    <col min="21" max="23" width="6.6640625" style="47" customWidth="1"/>
    <col min="24" max="16384" width="8.88671875" style="47"/>
  </cols>
  <sheetData>
    <row r="1" spans="1:23" x14ac:dyDescent="0.3">
      <c r="D1" s="47"/>
      <c r="J1" s="47"/>
      <c r="K1" s="47"/>
      <c r="L1" s="47"/>
      <c r="M1" s="47"/>
      <c r="N1" s="47"/>
      <c r="O1" s="47"/>
      <c r="P1" s="47"/>
      <c r="Q1" s="47"/>
      <c r="R1" s="47"/>
    </row>
    <row r="2" spans="1:23" x14ac:dyDescent="0.3">
      <c r="D2" s="47"/>
      <c r="J2" s="47"/>
      <c r="K2" s="47"/>
      <c r="L2" s="47"/>
      <c r="M2" s="47"/>
      <c r="N2" s="47"/>
      <c r="O2" s="47"/>
      <c r="P2" s="47"/>
      <c r="Q2" s="47"/>
      <c r="R2" s="47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45933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">
        <v>250074</v>
      </c>
      <c r="E7" s="3" t="s">
        <v>210</v>
      </c>
      <c r="F7" s="19">
        <v>304</v>
      </c>
      <c r="G7" s="20">
        <v>0.7</v>
      </c>
      <c r="H7" s="186"/>
      <c r="I7" s="187"/>
      <c r="J7" s="187"/>
      <c r="K7" s="187"/>
      <c r="L7" s="187"/>
      <c r="M7" s="188"/>
      <c r="N7" s="189">
        <v>780</v>
      </c>
      <c r="O7" s="190"/>
      <c r="P7" s="189"/>
      <c r="Q7" s="190"/>
      <c r="R7" s="75">
        <v>40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/>
      <c r="D8" s="77">
        <v>100925</v>
      </c>
      <c r="E8" s="3" t="s">
        <v>211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1280</v>
      </c>
      <c r="O8" s="190"/>
      <c r="P8" s="189"/>
      <c r="Q8" s="190"/>
      <c r="R8" s="75">
        <v>40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4"/>
      <c r="B9" s="5"/>
      <c r="C9" s="5">
        <v>0.70833333333333337</v>
      </c>
      <c r="D9" s="77">
        <v>100925</v>
      </c>
      <c r="E9" s="3" t="s">
        <v>212</v>
      </c>
      <c r="F9" s="19">
        <v>304</v>
      </c>
      <c r="G9" s="20">
        <v>0.9</v>
      </c>
      <c r="H9" s="186"/>
      <c r="I9" s="187"/>
      <c r="J9" s="187"/>
      <c r="K9" s="187"/>
      <c r="L9" s="187"/>
      <c r="M9" s="188"/>
      <c r="N9" s="189">
        <v>300</v>
      </c>
      <c r="O9" s="190"/>
      <c r="P9" s="189"/>
      <c r="Q9" s="190"/>
      <c r="R9" s="75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2360</v>
      </c>
      <c r="O10" s="169"/>
      <c r="P10" s="168">
        <f>SUM(P7:Q9)</f>
        <v>0</v>
      </c>
      <c r="Q10" s="169"/>
      <c r="R10" s="10">
        <f>SUM(R7:R9)</f>
        <v>80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7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75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7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47"/>
      <c r="E15" s="48"/>
      <c r="F15" s="48"/>
      <c r="G15" s="48"/>
      <c r="H15" s="48"/>
      <c r="I15" s="48"/>
      <c r="R15" s="47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76">
        <f>N10+N14</f>
        <v>2360</v>
      </c>
      <c r="O17" s="14" t="s">
        <v>13</v>
      </c>
      <c r="P17" s="76">
        <f>P10+P14</f>
        <v>0</v>
      </c>
      <c r="Q17" s="15" t="s">
        <v>13</v>
      </c>
    </row>
    <row r="18" spans="1:23" ht="15" customHeight="1" x14ac:dyDescent="0.3">
      <c r="D18" s="47"/>
      <c r="J18" s="47"/>
      <c r="K18" s="47"/>
      <c r="L18" s="47"/>
      <c r="M18" s="47"/>
      <c r="N18" s="47"/>
      <c r="O18" s="47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77">
        <v>250074</v>
      </c>
      <c r="E22" s="3" t="s">
        <v>200</v>
      </c>
      <c r="F22" s="19">
        <v>304</v>
      </c>
      <c r="G22" s="20">
        <v>0.7</v>
      </c>
      <c r="H22" s="186"/>
      <c r="I22" s="187"/>
      <c r="J22" s="187"/>
      <c r="K22" s="187"/>
      <c r="L22" s="187"/>
      <c r="M22" s="188"/>
      <c r="N22" s="189">
        <v>110</v>
      </c>
      <c r="O22" s="198"/>
      <c r="P22" s="198"/>
      <c r="Q22" s="190"/>
      <c r="R22" s="75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77">
        <v>250074</v>
      </c>
      <c r="E23" s="3" t="s">
        <v>210</v>
      </c>
      <c r="F23" s="19">
        <v>304</v>
      </c>
      <c r="G23" s="20">
        <v>0.7</v>
      </c>
      <c r="H23" s="186"/>
      <c r="I23" s="187"/>
      <c r="J23" s="187"/>
      <c r="K23" s="187"/>
      <c r="L23" s="187"/>
      <c r="M23" s="188"/>
      <c r="N23" s="189">
        <v>740</v>
      </c>
      <c r="O23" s="198"/>
      <c r="P23" s="198"/>
      <c r="Q23" s="190"/>
      <c r="R23" s="7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77">
        <v>100925</v>
      </c>
      <c r="E24" s="3" t="s">
        <v>211</v>
      </c>
      <c r="F24" s="19">
        <v>304</v>
      </c>
      <c r="G24" s="20">
        <v>0.9</v>
      </c>
      <c r="H24" s="186"/>
      <c r="I24" s="187"/>
      <c r="J24" s="187"/>
      <c r="K24" s="187"/>
      <c r="L24" s="187"/>
      <c r="M24" s="188"/>
      <c r="N24" s="189">
        <v>1275</v>
      </c>
      <c r="O24" s="198"/>
      <c r="P24" s="198"/>
      <c r="Q24" s="190"/>
      <c r="R24" s="75"/>
      <c r="S24" s="6" t="s">
        <v>14</v>
      </c>
      <c r="T24" s="21"/>
      <c r="U24" s="191"/>
      <c r="V24" s="192"/>
      <c r="W24" s="193"/>
    </row>
    <row r="25" spans="1:23" s="78" customFormat="1" ht="14.55" customHeight="1" x14ac:dyDescent="0.3">
      <c r="A25" s="184"/>
      <c r="B25" s="5"/>
      <c r="C25" s="5">
        <v>0.70833333333333337</v>
      </c>
      <c r="D25" s="77">
        <v>100925</v>
      </c>
      <c r="E25" s="3" t="s">
        <v>212</v>
      </c>
      <c r="F25" s="19">
        <v>304</v>
      </c>
      <c r="G25" s="20">
        <v>0.9</v>
      </c>
      <c r="H25" s="186"/>
      <c r="I25" s="187"/>
      <c r="J25" s="187"/>
      <c r="K25" s="187"/>
      <c r="L25" s="187"/>
      <c r="M25" s="188"/>
      <c r="N25" s="189">
        <v>120</v>
      </c>
      <c r="O25" s="198"/>
      <c r="P25" s="198"/>
      <c r="Q25" s="190"/>
      <c r="R25" s="75"/>
      <c r="S25" s="6"/>
      <c r="T25" s="21"/>
      <c r="U25" s="191"/>
      <c r="V25" s="192"/>
      <c r="W25" s="193"/>
    </row>
    <row r="26" spans="1:23" ht="14.55" customHeight="1" x14ac:dyDescent="0.3">
      <c r="A26" s="184"/>
      <c r="B26" s="5"/>
      <c r="C26" s="5"/>
      <c r="D26" s="4"/>
      <c r="E26" s="3"/>
      <c r="F26" s="19"/>
      <c r="G26" s="20"/>
      <c r="H26" s="186"/>
      <c r="I26" s="187"/>
      <c r="J26" s="187"/>
      <c r="K26" s="187"/>
      <c r="L26" s="187"/>
      <c r="M26" s="188"/>
      <c r="N26" s="189"/>
      <c r="O26" s="198"/>
      <c r="P26" s="198"/>
      <c r="Q26" s="190"/>
      <c r="R26" s="75"/>
      <c r="S26" s="6" t="s">
        <v>14</v>
      </c>
      <c r="T26" s="21"/>
      <c r="U26" s="191"/>
      <c r="V26" s="192"/>
      <c r="W26" s="193"/>
    </row>
    <row r="27" spans="1:23" ht="14.55" customHeight="1" x14ac:dyDescent="0.3">
      <c r="A27" s="185"/>
      <c r="B27" s="165" t="s">
        <v>0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7"/>
      <c r="N27" s="168">
        <f>SUM(N22:O26)</f>
        <v>2245</v>
      </c>
      <c r="O27" s="197"/>
      <c r="P27" s="197"/>
      <c r="Q27" s="169"/>
      <c r="R27" s="10">
        <f>SUM(R22:R26)</f>
        <v>0</v>
      </c>
      <c r="S27" s="11" t="s">
        <v>14</v>
      </c>
      <c r="T27" s="9"/>
      <c r="U27" s="191"/>
      <c r="V27" s="192"/>
      <c r="W27" s="193"/>
    </row>
    <row r="28" spans="1:23" ht="14.55" customHeight="1" x14ac:dyDescent="0.3">
      <c r="D28" s="47"/>
      <c r="E28" s="48"/>
      <c r="F28" s="48"/>
      <c r="G28" s="48"/>
      <c r="H28" s="48"/>
      <c r="I28" s="48"/>
      <c r="R28" s="47"/>
    </row>
    <row r="29" spans="1:23" x14ac:dyDescent="0.3">
      <c r="E29" s="165" t="s">
        <v>23</v>
      </c>
      <c r="F29" s="166"/>
      <c r="G29" s="166"/>
      <c r="H29" s="166"/>
      <c r="I29" s="166"/>
      <c r="J29" s="166"/>
      <c r="K29" s="166"/>
      <c r="L29" s="166"/>
      <c r="M29" s="167"/>
      <c r="N29" s="181" t="s">
        <v>7</v>
      </c>
      <c r="O29" s="199"/>
      <c r="P29" s="199"/>
      <c r="Q29" s="182"/>
    </row>
    <row r="30" spans="1:23" s="50" customFormat="1" x14ac:dyDescent="0.3">
      <c r="E30" s="7"/>
      <c r="F30" s="7"/>
      <c r="G30" s="7"/>
      <c r="H30" s="7"/>
      <c r="I30" s="7"/>
      <c r="J30" s="22"/>
      <c r="K30" s="23"/>
      <c r="L30" s="22"/>
      <c r="M30" s="24"/>
      <c r="N30" s="200">
        <f>N27</f>
        <v>2245</v>
      </c>
      <c r="O30" s="201"/>
      <c r="P30" s="202" t="s">
        <v>13</v>
      </c>
      <c r="Q30" s="203"/>
    </row>
    <row r="31" spans="1:23" ht="15" customHeight="1" x14ac:dyDescent="0.3">
      <c r="D31" s="47"/>
      <c r="J31" s="47"/>
      <c r="K31" s="47"/>
      <c r="L31" s="47"/>
      <c r="M31" s="47"/>
      <c r="N31" s="47"/>
      <c r="O31" s="47"/>
      <c r="P31" s="32"/>
      <c r="Q31" s="32"/>
      <c r="R31" s="32"/>
      <c r="S31" s="32"/>
    </row>
    <row r="32" spans="1:23" s="8" customFormat="1" ht="30" customHeight="1" x14ac:dyDescent="0.3">
      <c r="A32" s="155" t="s">
        <v>25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7"/>
      <c r="Q32" s="157"/>
      <c r="R32" s="157"/>
      <c r="S32" s="157"/>
      <c r="T32" s="156"/>
      <c r="U32" s="156"/>
      <c r="V32" s="156"/>
      <c r="W32" s="158"/>
    </row>
    <row r="33" spans="1:23" s="12" customFormat="1" ht="14.55" customHeight="1" x14ac:dyDescent="0.3">
      <c r="A33" s="159" t="s">
        <v>1</v>
      </c>
      <c r="B33" s="160" t="s">
        <v>2</v>
      </c>
      <c r="C33" s="160" t="s">
        <v>3</v>
      </c>
      <c r="D33" s="160" t="s">
        <v>4</v>
      </c>
      <c r="E33" s="161" t="s">
        <v>5</v>
      </c>
      <c r="F33" s="163" t="s">
        <v>15</v>
      </c>
      <c r="G33" s="163" t="s">
        <v>16</v>
      </c>
      <c r="H33" s="170" t="s">
        <v>21</v>
      </c>
      <c r="I33" s="171"/>
      <c r="J33" s="171"/>
      <c r="K33" s="171"/>
      <c r="L33" s="171"/>
      <c r="M33" s="172"/>
      <c r="N33" s="176" t="s">
        <v>6</v>
      </c>
      <c r="O33" s="177"/>
      <c r="P33" s="177"/>
      <c r="Q33" s="178"/>
      <c r="R33" s="161" t="s">
        <v>8</v>
      </c>
      <c r="S33" s="179"/>
      <c r="T33" s="159" t="s">
        <v>9</v>
      </c>
      <c r="U33" s="159" t="s">
        <v>10</v>
      </c>
      <c r="V33" s="159"/>
      <c r="W33" s="159"/>
    </row>
    <row r="34" spans="1:23" s="12" customFormat="1" ht="13.05" customHeight="1" x14ac:dyDescent="0.3">
      <c r="A34" s="159"/>
      <c r="B34" s="160"/>
      <c r="C34" s="160"/>
      <c r="D34" s="160"/>
      <c r="E34" s="162"/>
      <c r="F34" s="164"/>
      <c r="G34" s="164"/>
      <c r="H34" s="173"/>
      <c r="I34" s="174"/>
      <c r="J34" s="174"/>
      <c r="K34" s="174"/>
      <c r="L34" s="174"/>
      <c r="M34" s="175"/>
      <c r="N34" s="176" t="s">
        <v>7</v>
      </c>
      <c r="O34" s="178"/>
      <c r="P34" s="176" t="s">
        <v>12</v>
      </c>
      <c r="Q34" s="178"/>
      <c r="R34" s="162"/>
      <c r="S34" s="180"/>
      <c r="T34" s="159"/>
      <c r="U34" s="159"/>
      <c r="V34" s="159"/>
      <c r="W34" s="159"/>
    </row>
    <row r="35" spans="1:23" ht="14.55" customHeight="1" x14ac:dyDescent="0.3">
      <c r="A35" s="183" t="s">
        <v>70</v>
      </c>
      <c r="B35" s="5">
        <v>0.33333333333333331</v>
      </c>
      <c r="C35" s="5"/>
      <c r="D35" s="77">
        <v>250074</v>
      </c>
      <c r="E35" s="3" t="s">
        <v>199</v>
      </c>
      <c r="F35" s="19">
        <v>304</v>
      </c>
      <c r="G35" s="20">
        <v>0.7</v>
      </c>
      <c r="H35" s="186" t="s">
        <v>202</v>
      </c>
      <c r="I35" s="187"/>
      <c r="J35" s="187"/>
      <c r="K35" s="187"/>
      <c r="L35" s="187"/>
      <c r="M35" s="188"/>
      <c r="N35" s="189">
        <v>560</v>
      </c>
      <c r="O35" s="190"/>
      <c r="P35" s="189"/>
      <c r="Q35" s="190"/>
      <c r="R35" s="75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77">
        <v>250074</v>
      </c>
      <c r="E36" s="3" t="s">
        <v>200</v>
      </c>
      <c r="F36" s="19">
        <v>304</v>
      </c>
      <c r="G36" s="20">
        <v>0.7</v>
      </c>
      <c r="H36" s="186" t="s">
        <v>213</v>
      </c>
      <c r="I36" s="187"/>
      <c r="J36" s="187"/>
      <c r="K36" s="187"/>
      <c r="L36" s="187"/>
      <c r="M36" s="188"/>
      <c r="N36" s="189">
        <v>755</v>
      </c>
      <c r="O36" s="190"/>
      <c r="P36" s="189"/>
      <c r="Q36" s="190"/>
      <c r="R36" s="75"/>
      <c r="S36" s="6" t="s">
        <v>14</v>
      </c>
      <c r="T36" s="21"/>
      <c r="U36" s="191"/>
      <c r="V36" s="192"/>
      <c r="W36" s="193"/>
    </row>
    <row r="37" spans="1:23" s="78" customFormat="1" ht="14.55" customHeight="1" x14ac:dyDescent="0.3">
      <c r="A37" s="184"/>
      <c r="B37" s="5"/>
      <c r="C37" s="5"/>
      <c r="D37" s="77">
        <v>250074</v>
      </c>
      <c r="E37" s="3" t="s">
        <v>210</v>
      </c>
      <c r="F37" s="19">
        <v>304</v>
      </c>
      <c r="G37" s="20">
        <v>0.7</v>
      </c>
      <c r="H37" s="186" t="s">
        <v>213</v>
      </c>
      <c r="I37" s="187"/>
      <c r="J37" s="187"/>
      <c r="K37" s="187"/>
      <c r="L37" s="187"/>
      <c r="M37" s="188"/>
      <c r="N37" s="189">
        <v>740</v>
      </c>
      <c r="O37" s="190"/>
      <c r="P37" s="189"/>
      <c r="Q37" s="190"/>
      <c r="R37" s="75"/>
      <c r="S37" s="6"/>
      <c r="T37" s="21"/>
      <c r="U37" s="191"/>
      <c r="V37" s="192"/>
      <c r="W37" s="193"/>
    </row>
    <row r="38" spans="1:23" ht="14.55" customHeight="1" x14ac:dyDescent="0.3">
      <c r="A38" s="184"/>
      <c r="B38" s="5"/>
      <c r="C38" s="5">
        <v>0.70833333333333337</v>
      </c>
      <c r="D38" s="77">
        <v>100925</v>
      </c>
      <c r="E38" s="3" t="s">
        <v>211</v>
      </c>
      <c r="F38" s="19">
        <v>304</v>
      </c>
      <c r="G38" s="20">
        <v>0.9</v>
      </c>
      <c r="H38" s="186" t="s">
        <v>172</v>
      </c>
      <c r="I38" s="187"/>
      <c r="J38" s="187"/>
      <c r="K38" s="187"/>
      <c r="L38" s="187"/>
      <c r="M38" s="188"/>
      <c r="N38" s="189">
        <v>60</v>
      </c>
      <c r="O38" s="190"/>
      <c r="P38" s="189"/>
      <c r="Q38" s="190"/>
      <c r="R38" s="75"/>
      <c r="S38" s="6" t="s">
        <v>14</v>
      </c>
      <c r="T38" s="21"/>
      <c r="U38" s="191"/>
      <c r="V38" s="192"/>
      <c r="W38" s="193"/>
    </row>
    <row r="39" spans="1:23" ht="14.55" customHeight="1" x14ac:dyDescent="0.3">
      <c r="A39" s="185"/>
      <c r="B39" s="165" t="s">
        <v>0</v>
      </c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7"/>
      <c r="N39" s="168">
        <f>SUM(N35:O38)</f>
        <v>2115</v>
      </c>
      <c r="O39" s="169"/>
      <c r="P39" s="168">
        <f>SUM(P35:Q38)</f>
        <v>0</v>
      </c>
      <c r="Q39" s="169"/>
      <c r="R39" s="10">
        <f>SUM(R35:R38)</f>
        <v>0</v>
      </c>
      <c r="S39" s="11" t="s">
        <v>14</v>
      </c>
      <c r="T39" s="9"/>
      <c r="U39" s="191"/>
      <c r="V39" s="192"/>
      <c r="W39" s="193"/>
    </row>
    <row r="40" spans="1:23" ht="14.55" customHeight="1" x14ac:dyDescent="0.3">
      <c r="D40" s="47"/>
      <c r="E40" s="48"/>
      <c r="F40" s="48"/>
      <c r="G40" s="48"/>
      <c r="H40" s="48"/>
      <c r="I40" s="48"/>
      <c r="R40" s="47"/>
    </row>
    <row r="41" spans="1:23" x14ac:dyDescent="0.3">
      <c r="E41" s="165" t="s">
        <v>22</v>
      </c>
      <c r="F41" s="166"/>
      <c r="G41" s="166"/>
      <c r="H41" s="166"/>
      <c r="I41" s="166"/>
      <c r="J41" s="166"/>
      <c r="K41" s="166"/>
      <c r="L41" s="166"/>
      <c r="M41" s="167"/>
      <c r="N41" s="181" t="s">
        <v>7</v>
      </c>
      <c r="O41" s="182"/>
      <c r="P41" s="181" t="s">
        <v>12</v>
      </c>
      <c r="Q41" s="182"/>
    </row>
    <row r="42" spans="1:23" s="50" customFormat="1" x14ac:dyDescent="0.3">
      <c r="E42" s="7"/>
      <c r="F42" s="7"/>
      <c r="G42" s="7"/>
      <c r="H42" s="7"/>
      <c r="I42" s="7"/>
      <c r="J42" s="22"/>
      <c r="K42" s="23"/>
      <c r="L42" s="22"/>
      <c r="M42" s="24"/>
      <c r="N42" s="76">
        <f>N39</f>
        <v>2115</v>
      </c>
      <c r="O42" s="14" t="s">
        <v>13</v>
      </c>
      <c r="P42" s="76">
        <f>P39</f>
        <v>0</v>
      </c>
      <c r="Q42" s="15" t="s">
        <v>13</v>
      </c>
    </row>
    <row r="43" spans="1:23" ht="15" customHeight="1" x14ac:dyDescent="0.3">
      <c r="D43" s="47"/>
      <c r="J43" s="47"/>
      <c r="K43" s="47"/>
      <c r="L43" s="47"/>
      <c r="M43" s="47"/>
      <c r="N43" s="47"/>
      <c r="O43" s="47"/>
      <c r="P43" s="32"/>
      <c r="Q43" s="32"/>
      <c r="R43" s="32"/>
      <c r="S43" s="32"/>
    </row>
    <row r="44" spans="1:23" s="8" customFormat="1" ht="30" customHeight="1" x14ac:dyDescent="0.3">
      <c r="A44" s="155" t="s">
        <v>27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7"/>
      <c r="Q44" s="157"/>
      <c r="R44" s="157"/>
      <c r="S44" s="157"/>
      <c r="T44" s="156"/>
      <c r="U44" s="156"/>
      <c r="V44" s="156"/>
      <c r="W44" s="158"/>
    </row>
    <row r="45" spans="1:23" s="12" customFormat="1" ht="14.55" customHeight="1" x14ac:dyDescent="0.3">
      <c r="A45" s="159" t="s">
        <v>1</v>
      </c>
      <c r="B45" s="160" t="s">
        <v>2</v>
      </c>
      <c r="C45" s="160" t="s">
        <v>3</v>
      </c>
      <c r="D45" s="160" t="s">
        <v>4</v>
      </c>
      <c r="E45" s="161" t="s">
        <v>5</v>
      </c>
      <c r="F45" s="163" t="s">
        <v>15</v>
      </c>
      <c r="G45" s="163" t="s">
        <v>16</v>
      </c>
      <c r="H45" s="170" t="s">
        <v>24</v>
      </c>
      <c r="I45" s="171"/>
      <c r="J45" s="171"/>
      <c r="K45" s="171"/>
      <c r="L45" s="171"/>
      <c r="M45" s="172"/>
      <c r="N45" s="176" t="s">
        <v>6</v>
      </c>
      <c r="O45" s="177"/>
      <c r="P45" s="177"/>
      <c r="Q45" s="178"/>
      <c r="R45" s="161" t="s">
        <v>8</v>
      </c>
      <c r="S45" s="179"/>
      <c r="T45" s="159" t="s">
        <v>9</v>
      </c>
      <c r="U45" s="159" t="s">
        <v>10</v>
      </c>
      <c r="V45" s="159"/>
      <c r="W45" s="159"/>
    </row>
    <row r="46" spans="1:23" s="12" customFormat="1" ht="13.05" customHeight="1" x14ac:dyDescent="0.3">
      <c r="A46" s="159"/>
      <c r="B46" s="160"/>
      <c r="C46" s="160"/>
      <c r="D46" s="160"/>
      <c r="E46" s="162"/>
      <c r="F46" s="164"/>
      <c r="G46" s="164"/>
      <c r="H46" s="173"/>
      <c r="I46" s="174"/>
      <c r="J46" s="174"/>
      <c r="K46" s="174"/>
      <c r="L46" s="174"/>
      <c r="M46" s="175"/>
      <c r="N46" s="176" t="s">
        <v>7</v>
      </c>
      <c r="O46" s="177"/>
      <c r="P46" s="177"/>
      <c r="Q46" s="178"/>
      <c r="R46" s="162"/>
      <c r="S46" s="180"/>
      <c r="T46" s="159"/>
      <c r="U46" s="159"/>
      <c r="V46" s="159"/>
      <c r="W46" s="159"/>
    </row>
    <row r="47" spans="1:23" ht="14.55" customHeight="1" x14ac:dyDescent="0.3">
      <c r="A47" s="183" t="s">
        <v>69</v>
      </c>
      <c r="B47" s="5">
        <v>0.33333333333333331</v>
      </c>
      <c r="C47" s="5"/>
      <c r="D47" s="46">
        <v>290825</v>
      </c>
      <c r="E47" s="3" t="s">
        <v>131</v>
      </c>
      <c r="F47" s="19">
        <v>430</v>
      </c>
      <c r="G47" s="20">
        <v>0.8</v>
      </c>
      <c r="H47" s="186"/>
      <c r="I47" s="187"/>
      <c r="J47" s="187"/>
      <c r="K47" s="187"/>
      <c r="L47" s="187"/>
      <c r="M47" s="188"/>
      <c r="N47" s="189">
        <v>900</v>
      </c>
      <c r="O47" s="198"/>
      <c r="P47" s="198"/>
      <c r="Q47" s="190"/>
      <c r="R47" s="75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4"/>
      <c r="B48" s="5"/>
      <c r="C48" s="5">
        <v>0.70833333333333337</v>
      </c>
      <c r="D48" s="46">
        <v>100925</v>
      </c>
      <c r="E48" s="3" t="s">
        <v>215</v>
      </c>
      <c r="F48" s="19">
        <v>304</v>
      </c>
      <c r="G48" s="20">
        <v>0.8</v>
      </c>
      <c r="H48" s="186"/>
      <c r="I48" s="187"/>
      <c r="J48" s="187"/>
      <c r="K48" s="187"/>
      <c r="L48" s="187"/>
      <c r="M48" s="188"/>
      <c r="N48" s="189">
        <v>1400</v>
      </c>
      <c r="O48" s="198"/>
      <c r="P48" s="198"/>
      <c r="Q48" s="190"/>
      <c r="R48" s="75"/>
      <c r="S48" s="6" t="s">
        <v>14</v>
      </c>
      <c r="T48" s="21"/>
      <c r="U48" s="191"/>
      <c r="V48" s="192"/>
      <c r="W48" s="193"/>
    </row>
    <row r="49" spans="1:23" ht="14.55" customHeight="1" x14ac:dyDescent="0.3">
      <c r="A49" s="184"/>
      <c r="B49" s="5"/>
      <c r="C49" s="5"/>
      <c r="D49" s="4"/>
      <c r="E49" s="3"/>
      <c r="F49" s="19"/>
      <c r="G49" s="20"/>
      <c r="H49" s="186"/>
      <c r="I49" s="187"/>
      <c r="J49" s="187"/>
      <c r="K49" s="187"/>
      <c r="L49" s="187"/>
      <c r="M49" s="188"/>
      <c r="N49" s="189"/>
      <c r="O49" s="198"/>
      <c r="P49" s="198"/>
      <c r="Q49" s="190"/>
      <c r="R49" s="75"/>
      <c r="S49" s="6" t="s">
        <v>14</v>
      </c>
      <c r="T49" s="21"/>
      <c r="U49" s="191"/>
      <c r="V49" s="192"/>
      <c r="W49" s="193"/>
    </row>
    <row r="50" spans="1:23" ht="14.55" customHeight="1" x14ac:dyDescent="0.3">
      <c r="A50" s="185"/>
      <c r="B50" s="165" t="s">
        <v>0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7"/>
      <c r="N50" s="168">
        <f>SUM(N47:O49)</f>
        <v>2300</v>
      </c>
      <c r="O50" s="197"/>
      <c r="P50" s="197"/>
      <c r="Q50" s="169"/>
      <c r="R50" s="10">
        <f>SUM(R47:R49)</f>
        <v>0</v>
      </c>
      <c r="S50" s="11" t="s">
        <v>14</v>
      </c>
      <c r="T50" s="9"/>
      <c r="U50" s="191"/>
      <c r="V50" s="192"/>
      <c r="W50" s="193"/>
    </row>
    <row r="51" spans="1:23" ht="14.55" customHeight="1" x14ac:dyDescent="0.3">
      <c r="D51" s="47"/>
      <c r="E51" s="48"/>
      <c r="F51" s="48"/>
      <c r="G51" s="48"/>
      <c r="H51" s="48"/>
      <c r="I51" s="48"/>
      <c r="R51" s="47"/>
    </row>
    <row r="52" spans="1:23" x14ac:dyDescent="0.3">
      <c r="E52" s="165" t="s">
        <v>31</v>
      </c>
      <c r="F52" s="166"/>
      <c r="G52" s="166"/>
      <c r="H52" s="166"/>
      <c r="I52" s="166"/>
      <c r="J52" s="166"/>
      <c r="K52" s="166"/>
      <c r="L52" s="166"/>
      <c r="M52" s="167"/>
      <c r="N52" s="181" t="s">
        <v>7</v>
      </c>
      <c r="O52" s="199"/>
      <c r="P52" s="199"/>
      <c r="Q52" s="182"/>
    </row>
    <row r="53" spans="1:23" s="50" customFormat="1" x14ac:dyDescent="0.3">
      <c r="E53" s="7"/>
      <c r="F53" s="7"/>
      <c r="G53" s="7"/>
      <c r="H53" s="7"/>
      <c r="I53" s="7"/>
      <c r="J53" s="22"/>
      <c r="K53" s="23"/>
      <c r="L53" s="22"/>
      <c r="M53" s="24"/>
      <c r="N53" s="200">
        <f>N50</f>
        <v>2300</v>
      </c>
      <c r="O53" s="201"/>
      <c r="P53" s="202" t="s">
        <v>13</v>
      </c>
      <c r="Q53" s="203"/>
    </row>
    <row r="54" spans="1:23" s="26" customFormat="1" ht="15" customHeight="1" x14ac:dyDescent="0.3">
      <c r="D54" s="27"/>
      <c r="E54" s="28"/>
      <c r="F54" s="28"/>
      <c r="G54" s="28"/>
      <c r="H54" s="28"/>
      <c r="I54" s="28"/>
      <c r="J54" s="25"/>
      <c r="K54" s="25"/>
      <c r="L54" s="25"/>
      <c r="M54" s="25"/>
      <c r="N54" s="30"/>
      <c r="O54" s="30"/>
      <c r="P54" s="29"/>
      <c r="Q54" s="29"/>
      <c r="R54" s="33"/>
      <c r="S54" s="34"/>
    </row>
    <row r="55" spans="1:23" s="8" customFormat="1" ht="30" customHeight="1" x14ac:dyDescent="0.3">
      <c r="A55" s="155" t="s">
        <v>28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7"/>
      <c r="Q55" s="157"/>
      <c r="R55" s="157"/>
      <c r="S55" s="157"/>
      <c r="T55" s="156"/>
      <c r="U55" s="156"/>
      <c r="V55" s="156"/>
      <c r="W55" s="158"/>
    </row>
    <row r="56" spans="1:23" s="12" customFormat="1" ht="14.55" customHeight="1" x14ac:dyDescent="0.3">
      <c r="A56" s="159" t="s">
        <v>1</v>
      </c>
      <c r="B56" s="160" t="s">
        <v>2</v>
      </c>
      <c r="C56" s="160" t="s">
        <v>3</v>
      </c>
      <c r="D56" s="160" t="s">
        <v>4</v>
      </c>
      <c r="E56" s="161" t="s">
        <v>5</v>
      </c>
      <c r="F56" s="163" t="s">
        <v>15</v>
      </c>
      <c r="G56" s="163" t="s">
        <v>16</v>
      </c>
      <c r="H56" s="170" t="s">
        <v>24</v>
      </c>
      <c r="I56" s="171"/>
      <c r="J56" s="171"/>
      <c r="K56" s="171"/>
      <c r="L56" s="171"/>
      <c r="M56" s="172"/>
      <c r="N56" s="176" t="s">
        <v>6</v>
      </c>
      <c r="O56" s="177"/>
      <c r="P56" s="177"/>
      <c r="Q56" s="178"/>
      <c r="R56" s="161" t="s">
        <v>8</v>
      </c>
      <c r="S56" s="179"/>
      <c r="T56" s="159" t="s">
        <v>9</v>
      </c>
      <c r="U56" s="159" t="s">
        <v>10</v>
      </c>
      <c r="V56" s="159"/>
      <c r="W56" s="159"/>
    </row>
    <row r="57" spans="1:23" s="12" customFormat="1" ht="13.05" customHeight="1" x14ac:dyDescent="0.3">
      <c r="A57" s="159"/>
      <c r="B57" s="160"/>
      <c r="C57" s="160"/>
      <c r="D57" s="160"/>
      <c r="E57" s="162"/>
      <c r="F57" s="164"/>
      <c r="G57" s="164"/>
      <c r="H57" s="173"/>
      <c r="I57" s="174"/>
      <c r="J57" s="174"/>
      <c r="K57" s="174"/>
      <c r="L57" s="174"/>
      <c r="M57" s="175"/>
      <c r="N57" s="176" t="s">
        <v>7</v>
      </c>
      <c r="O57" s="177"/>
      <c r="P57" s="177"/>
      <c r="Q57" s="178"/>
      <c r="R57" s="162"/>
      <c r="S57" s="180"/>
      <c r="T57" s="159"/>
      <c r="U57" s="159"/>
      <c r="V57" s="159"/>
      <c r="W57" s="159"/>
    </row>
    <row r="58" spans="1:23" ht="14.55" customHeight="1" x14ac:dyDescent="0.3">
      <c r="A58" s="183" t="s">
        <v>68</v>
      </c>
      <c r="B58" s="5">
        <v>0.33333333333333331</v>
      </c>
      <c r="C58" s="5">
        <v>0.70833333333333337</v>
      </c>
      <c r="D58" s="46">
        <v>100925</v>
      </c>
      <c r="E58" s="3" t="s">
        <v>214</v>
      </c>
      <c r="F58" s="19">
        <v>304</v>
      </c>
      <c r="G58" s="20">
        <v>0.8</v>
      </c>
      <c r="H58" s="186"/>
      <c r="I58" s="187"/>
      <c r="J58" s="187"/>
      <c r="K58" s="187"/>
      <c r="L58" s="187"/>
      <c r="M58" s="188"/>
      <c r="N58" s="189">
        <v>2120</v>
      </c>
      <c r="O58" s="198"/>
      <c r="P58" s="198"/>
      <c r="Q58" s="190"/>
      <c r="R58" s="7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4"/>
      <c r="B59" s="5"/>
      <c r="C59" s="5"/>
      <c r="D59" s="4"/>
      <c r="E59" s="3"/>
      <c r="F59" s="19"/>
      <c r="G59" s="20"/>
      <c r="H59" s="186"/>
      <c r="I59" s="187"/>
      <c r="J59" s="187"/>
      <c r="K59" s="187"/>
      <c r="L59" s="187"/>
      <c r="M59" s="188"/>
      <c r="N59" s="189"/>
      <c r="O59" s="198"/>
      <c r="P59" s="198"/>
      <c r="Q59" s="190"/>
      <c r="R59" s="75"/>
      <c r="S59" s="6" t="s">
        <v>14</v>
      </c>
      <c r="T59" s="21"/>
      <c r="U59" s="204"/>
      <c r="V59" s="205"/>
      <c r="W59" s="206"/>
    </row>
    <row r="60" spans="1:23" ht="14.55" customHeight="1" x14ac:dyDescent="0.3">
      <c r="A60" s="184"/>
      <c r="B60" s="5"/>
      <c r="C60" s="5"/>
      <c r="D60" s="4"/>
      <c r="E60" s="3"/>
      <c r="F60" s="19"/>
      <c r="G60" s="20"/>
      <c r="H60" s="186"/>
      <c r="I60" s="187"/>
      <c r="J60" s="187"/>
      <c r="K60" s="187"/>
      <c r="L60" s="187"/>
      <c r="M60" s="188"/>
      <c r="N60" s="189"/>
      <c r="O60" s="198"/>
      <c r="P60" s="198"/>
      <c r="Q60" s="190"/>
      <c r="R60" s="75"/>
      <c r="S60" s="6" t="s">
        <v>14</v>
      </c>
      <c r="T60" s="21"/>
      <c r="U60" s="204"/>
      <c r="V60" s="205"/>
      <c r="W60" s="206"/>
    </row>
    <row r="61" spans="1:23" ht="14.55" customHeight="1" x14ac:dyDescent="0.3">
      <c r="A61" s="185"/>
      <c r="B61" s="165" t="s">
        <v>0</v>
      </c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7"/>
      <c r="N61" s="168">
        <f>SUM(N58:O60)</f>
        <v>2120</v>
      </c>
      <c r="O61" s="197"/>
      <c r="P61" s="197"/>
      <c r="Q61" s="169"/>
      <c r="R61" s="10">
        <f>SUM(R58:R60)</f>
        <v>0</v>
      </c>
      <c r="S61" s="11" t="s">
        <v>14</v>
      </c>
      <c r="T61" s="9"/>
      <c r="U61" s="204"/>
      <c r="V61" s="205"/>
      <c r="W61" s="206"/>
    </row>
    <row r="62" spans="1:23" ht="14.55" customHeight="1" x14ac:dyDescent="0.3">
      <c r="D62" s="47"/>
      <c r="E62" s="48"/>
      <c r="F62" s="48"/>
      <c r="G62" s="48"/>
      <c r="H62" s="48"/>
      <c r="I62" s="48"/>
      <c r="R62" s="47"/>
    </row>
    <row r="63" spans="1:23" ht="14.55" customHeight="1" x14ac:dyDescent="0.3">
      <c r="D63" s="47"/>
      <c r="E63" s="165" t="s">
        <v>32</v>
      </c>
      <c r="F63" s="166"/>
      <c r="G63" s="166"/>
      <c r="H63" s="166"/>
      <c r="I63" s="166"/>
      <c r="J63" s="166"/>
      <c r="K63" s="166"/>
      <c r="L63" s="166"/>
      <c r="M63" s="167"/>
      <c r="N63" s="181" t="s">
        <v>7</v>
      </c>
      <c r="O63" s="199"/>
      <c r="P63" s="199"/>
      <c r="Q63" s="182"/>
      <c r="R63" s="47"/>
    </row>
    <row r="64" spans="1:23" ht="14.55" customHeight="1" x14ac:dyDescent="0.3">
      <c r="D64" s="47"/>
      <c r="E64" s="7"/>
      <c r="F64" s="7"/>
      <c r="G64" s="7"/>
      <c r="H64" s="7"/>
      <c r="I64" s="7"/>
      <c r="J64" s="22"/>
      <c r="K64" s="23"/>
      <c r="L64" s="22"/>
      <c r="M64" s="24"/>
      <c r="N64" s="200">
        <f>N61</f>
        <v>2120</v>
      </c>
      <c r="O64" s="201"/>
      <c r="P64" s="202" t="s">
        <v>13</v>
      </c>
      <c r="Q64" s="203"/>
      <c r="R64" s="47"/>
    </row>
    <row r="65" spans="1:23" ht="14.55" customHeight="1" x14ac:dyDescent="0.3">
      <c r="D65" s="47"/>
      <c r="E65" s="48"/>
      <c r="F65" s="48"/>
      <c r="G65" s="48"/>
      <c r="H65" s="48"/>
      <c r="I65" s="48"/>
      <c r="P65" s="49"/>
      <c r="Q65" s="49"/>
      <c r="R65" s="32"/>
      <c r="S65" s="32"/>
    </row>
    <row r="66" spans="1:23" s="8" customFormat="1" ht="30" customHeight="1" x14ac:dyDescent="0.3">
      <c r="A66" s="155" t="s">
        <v>73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57"/>
      <c r="R66" s="157"/>
      <c r="S66" s="157"/>
      <c r="T66" s="156"/>
      <c r="U66" s="156"/>
      <c r="V66" s="156"/>
      <c r="W66" s="158"/>
    </row>
    <row r="67" spans="1:23" s="12" customFormat="1" ht="14.55" customHeight="1" x14ac:dyDescent="0.3">
      <c r="A67" s="159" t="s">
        <v>1</v>
      </c>
      <c r="B67" s="160" t="s">
        <v>2</v>
      </c>
      <c r="C67" s="160" t="s">
        <v>3</v>
      </c>
      <c r="D67" s="160" t="s">
        <v>4</v>
      </c>
      <c r="E67" s="161" t="s">
        <v>5</v>
      </c>
      <c r="F67" s="163" t="s">
        <v>15</v>
      </c>
      <c r="G67" s="163" t="s">
        <v>16</v>
      </c>
      <c r="H67" s="170" t="s">
        <v>30</v>
      </c>
      <c r="I67" s="171"/>
      <c r="J67" s="171"/>
      <c r="K67" s="171"/>
      <c r="L67" s="171"/>
      <c r="M67" s="172"/>
      <c r="N67" s="176" t="s">
        <v>6</v>
      </c>
      <c r="O67" s="177"/>
      <c r="P67" s="177"/>
      <c r="Q67" s="178"/>
      <c r="R67" s="161" t="s">
        <v>8</v>
      </c>
      <c r="S67" s="179"/>
      <c r="T67" s="159" t="s">
        <v>9</v>
      </c>
      <c r="U67" s="159" t="s">
        <v>10</v>
      </c>
      <c r="V67" s="159"/>
      <c r="W67" s="159"/>
    </row>
    <row r="68" spans="1:23" s="12" customFormat="1" ht="13.05" customHeight="1" x14ac:dyDescent="0.3">
      <c r="A68" s="159"/>
      <c r="B68" s="160"/>
      <c r="C68" s="160"/>
      <c r="D68" s="160"/>
      <c r="E68" s="162"/>
      <c r="F68" s="164"/>
      <c r="G68" s="164"/>
      <c r="H68" s="173"/>
      <c r="I68" s="174"/>
      <c r="J68" s="174"/>
      <c r="K68" s="174"/>
      <c r="L68" s="174"/>
      <c r="M68" s="175"/>
      <c r="N68" s="176" t="s">
        <v>7</v>
      </c>
      <c r="O68" s="177"/>
      <c r="P68" s="177" t="s">
        <v>74</v>
      </c>
      <c r="Q68" s="178"/>
      <c r="R68" s="162"/>
      <c r="S68" s="180"/>
      <c r="T68" s="159"/>
      <c r="U68" s="159"/>
      <c r="V68" s="159"/>
      <c r="W68" s="159"/>
    </row>
    <row r="69" spans="1:23" ht="14.55" customHeight="1" x14ac:dyDescent="0.3">
      <c r="A69" s="183" t="s">
        <v>49</v>
      </c>
      <c r="B69" s="5">
        <v>0.33333333333333331</v>
      </c>
      <c r="C69" s="5"/>
      <c r="D69" s="4" t="s">
        <v>205</v>
      </c>
      <c r="E69" s="3" t="s">
        <v>216</v>
      </c>
      <c r="F69" s="19">
        <v>304</v>
      </c>
      <c r="G69" s="20">
        <v>0.8</v>
      </c>
      <c r="H69" s="186" t="s">
        <v>122</v>
      </c>
      <c r="I69" s="187"/>
      <c r="J69" s="187"/>
      <c r="K69" s="187"/>
      <c r="L69" s="187"/>
      <c r="M69" s="188"/>
      <c r="N69" s="189">
        <v>600</v>
      </c>
      <c r="O69" s="190"/>
      <c r="P69" s="189"/>
      <c r="Q69" s="190"/>
      <c r="R69" s="75"/>
      <c r="S69" s="47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10925</v>
      </c>
      <c r="E70" s="3" t="s">
        <v>217</v>
      </c>
      <c r="F70" s="19">
        <v>430</v>
      </c>
      <c r="G70" s="20">
        <v>0.8</v>
      </c>
      <c r="H70" s="186" t="s">
        <v>122</v>
      </c>
      <c r="I70" s="187"/>
      <c r="J70" s="187"/>
      <c r="K70" s="187"/>
      <c r="L70" s="187"/>
      <c r="M70" s="188"/>
      <c r="N70" s="189">
        <v>1008</v>
      </c>
      <c r="O70" s="190"/>
      <c r="P70" s="189"/>
      <c r="Q70" s="190"/>
      <c r="R70" s="75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 t="s">
        <v>205</v>
      </c>
      <c r="E71" s="3" t="s">
        <v>216</v>
      </c>
      <c r="F71" s="19">
        <v>304</v>
      </c>
      <c r="G71" s="20">
        <v>0.8</v>
      </c>
      <c r="H71" s="186" t="s">
        <v>124</v>
      </c>
      <c r="I71" s="187"/>
      <c r="J71" s="187"/>
      <c r="K71" s="187"/>
      <c r="L71" s="187"/>
      <c r="M71" s="188"/>
      <c r="N71" s="189">
        <v>800</v>
      </c>
      <c r="O71" s="190"/>
      <c r="P71" s="189"/>
      <c r="Q71" s="190"/>
      <c r="R71" s="75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>
        <v>100925</v>
      </c>
      <c r="E72" s="3" t="s">
        <v>218</v>
      </c>
      <c r="F72" s="19">
        <v>430</v>
      </c>
      <c r="G72" s="20">
        <v>0.8</v>
      </c>
      <c r="H72" s="186" t="s">
        <v>122</v>
      </c>
      <c r="I72" s="187"/>
      <c r="J72" s="187"/>
      <c r="K72" s="187"/>
      <c r="L72" s="187"/>
      <c r="M72" s="188"/>
      <c r="N72" s="189">
        <v>24</v>
      </c>
      <c r="O72" s="190"/>
      <c r="P72" s="189"/>
      <c r="Q72" s="190"/>
      <c r="R72" s="75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>
        <v>100925</v>
      </c>
      <c r="E73" s="3" t="s">
        <v>219</v>
      </c>
      <c r="F73" s="19">
        <v>430</v>
      </c>
      <c r="G73" s="20">
        <v>0.8</v>
      </c>
      <c r="H73" s="186" t="s">
        <v>122</v>
      </c>
      <c r="I73" s="187"/>
      <c r="J73" s="187"/>
      <c r="K73" s="187"/>
      <c r="L73" s="187"/>
      <c r="M73" s="188"/>
      <c r="N73" s="189">
        <v>30</v>
      </c>
      <c r="O73" s="190"/>
      <c r="P73" s="189"/>
      <c r="Q73" s="190"/>
      <c r="R73" s="75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>
        <v>0.70833333333333337</v>
      </c>
      <c r="D74" s="4">
        <v>250039</v>
      </c>
      <c r="E74" s="3" t="s">
        <v>220</v>
      </c>
      <c r="F74" s="19">
        <v>304</v>
      </c>
      <c r="G74" s="20">
        <v>0.9</v>
      </c>
      <c r="H74" s="186" t="s">
        <v>122</v>
      </c>
      <c r="I74" s="187"/>
      <c r="J74" s="187"/>
      <c r="K74" s="187"/>
      <c r="L74" s="187"/>
      <c r="M74" s="188"/>
      <c r="N74" s="189">
        <v>131</v>
      </c>
      <c r="O74" s="190"/>
      <c r="P74" s="189"/>
      <c r="Q74" s="190"/>
      <c r="R74" s="75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75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75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5"/>
      <c r="B77" s="165" t="s">
        <v>0</v>
      </c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7"/>
      <c r="N77" s="168">
        <f ca="1">SUM(N69:O77)</f>
        <v>0</v>
      </c>
      <c r="O77" s="197"/>
      <c r="P77" s="168">
        <f ca="1">SUM(P69:Q77)</f>
        <v>0</v>
      </c>
      <c r="Q77" s="197"/>
      <c r="R77" s="10">
        <f>SUM(R69:R76)</f>
        <v>0</v>
      </c>
      <c r="S77" s="11" t="s">
        <v>14</v>
      </c>
      <c r="T77" s="9"/>
      <c r="U77" s="191"/>
      <c r="V77" s="192"/>
      <c r="W77" s="193"/>
    </row>
    <row r="78" spans="1:23" ht="14.55" customHeight="1" x14ac:dyDescent="0.3">
      <c r="D78" s="47"/>
      <c r="E78" s="48"/>
      <c r="F78" s="48"/>
      <c r="G78" s="48"/>
      <c r="H78" s="48"/>
      <c r="I78" s="48"/>
      <c r="R78" s="47"/>
    </row>
    <row r="79" spans="1:23" ht="14.55" customHeight="1" x14ac:dyDescent="0.3">
      <c r="D79" s="47"/>
      <c r="E79" s="165" t="s">
        <v>65</v>
      </c>
      <c r="F79" s="166"/>
      <c r="G79" s="166"/>
      <c r="H79" s="166"/>
      <c r="I79" s="166"/>
      <c r="J79" s="166"/>
      <c r="K79" s="166"/>
      <c r="L79" s="166"/>
      <c r="M79" s="167"/>
      <c r="N79" s="181" t="s">
        <v>7</v>
      </c>
      <c r="O79" s="182"/>
      <c r="P79" s="181" t="s">
        <v>74</v>
      </c>
      <c r="Q79" s="182"/>
      <c r="R79" s="47"/>
    </row>
    <row r="80" spans="1:23" ht="14.55" customHeight="1" x14ac:dyDescent="0.3">
      <c r="D80" s="47"/>
      <c r="E80" s="7"/>
      <c r="F80" s="7"/>
      <c r="G80" s="7"/>
      <c r="H80" s="7"/>
      <c r="I80" s="7"/>
      <c r="J80" s="22"/>
      <c r="K80" s="23"/>
      <c r="L80" s="22"/>
      <c r="M80" s="24"/>
      <c r="N80" s="76">
        <f ca="1">N77</f>
        <v>0</v>
      </c>
      <c r="O80" s="14" t="s">
        <v>13</v>
      </c>
      <c r="P80" s="76">
        <f ca="1">P77</f>
        <v>0</v>
      </c>
      <c r="Q80" s="15" t="s">
        <v>13</v>
      </c>
      <c r="R80" s="47"/>
    </row>
    <row r="81" spans="1:23" x14ac:dyDescent="0.3">
      <c r="P81" s="49"/>
      <c r="Q81" s="49"/>
      <c r="R81" s="49"/>
      <c r="S81" s="32"/>
    </row>
    <row r="82" spans="1:23" s="8" customFormat="1" ht="30" customHeight="1" x14ac:dyDescent="0.3">
      <c r="A82" s="155" t="s">
        <v>29</v>
      </c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7"/>
      <c r="Q82" s="157"/>
      <c r="R82" s="157"/>
      <c r="S82" s="157"/>
      <c r="T82" s="156"/>
      <c r="U82" s="156"/>
      <c r="V82" s="156"/>
      <c r="W82" s="158"/>
    </row>
    <row r="83" spans="1:23" s="12" customFormat="1" ht="14.55" customHeight="1" x14ac:dyDescent="0.3">
      <c r="A83" s="159" t="s">
        <v>1</v>
      </c>
      <c r="B83" s="160" t="s">
        <v>2</v>
      </c>
      <c r="C83" s="160" t="s">
        <v>3</v>
      </c>
      <c r="D83" s="160" t="s">
        <v>4</v>
      </c>
      <c r="E83" s="161" t="s">
        <v>5</v>
      </c>
      <c r="F83" s="163" t="s">
        <v>15</v>
      </c>
      <c r="G83" s="163" t="s">
        <v>16</v>
      </c>
      <c r="H83" s="170" t="s">
        <v>30</v>
      </c>
      <c r="I83" s="171"/>
      <c r="J83" s="171"/>
      <c r="K83" s="171"/>
      <c r="L83" s="171"/>
      <c r="M83" s="172"/>
      <c r="N83" s="176" t="s">
        <v>6</v>
      </c>
      <c r="O83" s="177"/>
      <c r="P83" s="177"/>
      <c r="Q83" s="178"/>
      <c r="R83" s="161" t="s">
        <v>8</v>
      </c>
      <c r="S83" s="179"/>
      <c r="T83" s="159" t="s">
        <v>9</v>
      </c>
      <c r="U83" s="159" t="s">
        <v>10</v>
      </c>
      <c r="V83" s="159"/>
      <c r="W83" s="159"/>
    </row>
    <row r="84" spans="1:23" s="12" customFormat="1" ht="13.05" customHeight="1" x14ac:dyDescent="0.3">
      <c r="A84" s="159"/>
      <c r="B84" s="160"/>
      <c r="C84" s="160"/>
      <c r="D84" s="160"/>
      <c r="E84" s="162"/>
      <c r="F84" s="164"/>
      <c r="G84" s="164"/>
      <c r="H84" s="173"/>
      <c r="I84" s="174"/>
      <c r="J84" s="174"/>
      <c r="K84" s="174"/>
      <c r="L84" s="174"/>
      <c r="M84" s="175"/>
      <c r="N84" s="176" t="s">
        <v>7</v>
      </c>
      <c r="O84" s="177"/>
      <c r="P84" s="177"/>
      <c r="Q84" s="178"/>
      <c r="R84" s="162"/>
      <c r="S84" s="180"/>
      <c r="T84" s="159"/>
      <c r="U84" s="159"/>
      <c r="V84" s="159"/>
      <c r="W84" s="159"/>
    </row>
    <row r="85" spans="1:23" ht="14.55" customHeight="1" x14ac:dyDescent="0.3">
      <c r="A85" s="183" t="s">
        <v>49</v>
      </c>
      <c r="B85" s="5">
        <v>0.33333333333333331</v>
      </c>
      <c r="C85" s="5"/>
      <c r="D85" s="4">
        <v>10925</v>
      </c>
      <c r="E85" s="3" t="s">
        <v>221</v>
      </c>
      <c r="F85" s="19">
        <v>430</v>
      </c>
      <c r="G85" s="20">
        <v>0.8</v>
      </c>
      <c r="H85" s="186" t="s">
        <v>87</v>
      </c>
      <c r="I85" s="187"/>
      <c r="J85" s="187"/>
      <c r="K85" s="187"/>
      <c r="L85" s="187"/>
      <c r="M85" s="188"/>
      <c r="N85" s="189">
        <v>1251</v>
      </c>
      <c r="O85" s="198"/>
      <c r="P85" s="198"/>
      <c r="Q85" s="190"/>
      <c r="R85" s="75"/>
      <c r="S85" s="47" t="s">
        <v>14</v>
      </c>
      <c r="T85" s="21"/>
      <c r="U85" s="204"/>
      <c r="V85" s="205"/>
      <c r="W85" s="206"/>
    </row>
    <row r="86" spans="1:23" ht="14.55" customHeight="1" x14ac:dyDescent="0.3">
      <c r="A86" s="184"/>
      <c r="B86" s="5"/>
      <c r="C86" s="5"/>
      <c r="D86" s="4">
        <v>250040</v>
      </c>
      <c r="E86" s="3" t="s">
        <v>222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399</v>
      </c>
      <c r="O86" s="198"/>
      <c r="P86" s="198"/>
      <c r="Q86" s="190"/>
      <c r="R86" s="75"/>
      <c r="S86" s="6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250040</v>
      </c>
      <c r="E87" s="3" t="s">
        <v>223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405</v>
      </c>
      <c r="O87" s="198"/>
      <c r="P87" s="198"/>
      <c r="Q87" s="190"/>
      <c r="R87" s="75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>
        <v>250040</v>
      </c>
      <c r="E88" s="3" t="s">
        <v>224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399</v>
      </c>
      <c r="O88" s="198"/>
      <c r="P88" s="198"/>
      <c r="Q88" s="190"/>
      <c r="R88" s="75"/>
      <c r="S88" s="6" t="s">
        <v>14</v>
      </c>
      <c r="T88" s="21"/>
      <c r="U88" s="204"/>
      <c r="V88" s="205"/>
      <c r="W88" s="206"/>
    </row>
    <row r="89" spans="1:23" s="79" customFormat="1" ht="14.55" customHeight="1" x14ac:dyDescent="0.3">
      <c r="A89" s="184"/>
      <c r="B89" s="5"/>
      <c r="C89" s="5"/>
      <c r="D89" s="4">
        <v>250040</v>
      </c>
      <c r="E89" s="3" t="s">
        <v>225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373</v>
      </c>
      <c r="O89" s="198"/>
      <c r="P89" s="198"/>
      <c r="Q89" s="190"/>
      <c r="R89" s="75"/>
      <c r="S89" s="6"/>
      <c r="T89" s="21"/>
      <c r="U89" s="204"/>
      <c r="V89" s="205"/>
      <c r="W89" s="206"/>
    </row>
    <row r="90" spans="1:23" s="79" customFormat="1" ht="14.55" customHeight="1" x14ac:dyDescent="0.3">
      <c r="A90" s="184"/>
      <c r="B90" s="5"/>
      <c r="C90" s="5"/>
      <c r="D90" s="4">
        <v>100925</v>
      </c>
      <c r="E90" s="3" t="s">
        <v>226</v>
      </c>
      <c r="F90" s="19">
        <v>430</v>
      </c>
      <c r="G90" s="20">
        <v>0.8</v>
      </c>
      <c r="H90" s="186" t="s">
        <v>87</v>
      </c>
      <c r="I90" s="187"/>
      <c r="J90" s="187"/>
      <c r="K90" s="187"/>
      <c r="L90" s="187"/>
      <c r="M90" s="188"/>
      <c r="N90" s="189">
        <v>24</v>
      </c>
      <c r="O90" s="198"/>
      <c r="P90" s="198"/>
      <c r="Q90" s="190"/>
      <c r="R90" s="75"/>
      <c r="S90" s="6"/>
      <c r="T90" s="21"/>
      <c r="U90" s="204"/>
      <c r="V90" s="205"/>
      <c r="W90" s="206"/>
    </row>
    <row r="91" spans="1:23" s="79" customFormat="1" ht="14.55" customHeight="1" x14ac:dyDescent="0.3">
      <c r="A91" s="184"/>
      <c r="B91" s="5"/>
      <c r="C91" s="5">
        <v>0.70833333333333337</v>
      </c>
      <c r="D91" s="4">
        <v>100925</v>
      </c>
      <c r="E91" s="3" t="s">
        <v>221</v>
      </c>
      <c r="F91" s="19">
        <v>430</v>
      </c>
      <c r="G91" s="20">
        <v>0.8</v>
      </c>
      <c r="H91" s="186" t="s">
        <v>87</v>
      </c>
      <c r="I91" s="187"/>
      <c r="J91" s="187"/>
      <c r="K91" s="187"/>
      <c r="L91" s="187"/>
      <c r="M91" s="188"/>
      <c r="N91" s="189">
        <v>38</v>
      </c>
      <c r="O91" s="198"/>
      <c r="P91" s="198"/>
      <c r="Q91" s="190"/>
      <c r="R91" s="75"/>
      <c r="S91" s="6"/>
      <c r="T91" s="21"/>
      <c r="U91" s="204"/>
      <c r="V91" s="205"/>
      <c r="W91" s="206"/>
    </row>
    <row r="92" spans="1:23" ht="14.55" customHeight="1" x14ac:dyDescent="0.3">
      <c r="A92" s="184"/>
      <c r="B92" s="5"/>
      <c r="C92" s="5"/>
      <c r="D92" s="4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8"/>
      <c r="P92" s="198"/>
      <c r="Q92" s="190"/>
      <c r="R92" s="75"/>
      <c r="S92" s="6" t="s">
        <v>14</v>
      </c>
      <c r="T92" s="21"/>
      <c r="U92" s="204"/>
      <c r="V92" s="205"/>
      <c r="W92" s="206"/>
    </row>
    <row r="93" spans="1:23" ht="14.55" customHeight="1" x14ac:dyDescent="0.3">
      <c r="A93" s="185"/>
      <c r="B93" s="165" t="s">
        <v>0</v>
      </c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7"/>
      <c r="N93" s="168">
        <f>SUM(N85:O92)</f>
        <v>2889</v>
      </c>
      <c r="O93" s="197"/>
      <c r="P93" s="197"/>
      <c r="Q93" s="169"/>
      <c r="R93" s="10">
        <f>SUM(R85:R92)</f>
        <v>0</v>
      </c>
      <c r="S93" s="11" t="s">
        <v>14</v>
      </c>
      <c r="T93" s="9"/>
      <c r="U93" s="204"/>
      <c r="V93" s="205"/>
      <c r="W93" s="206"/>
    </row>
    <row r="94" spans="1:23" ht="14.55" customHeight="1" x14ac:dyDescent="0.3">
      <c r="D94" s="47"/>
      <c r="E94" s="48"/>
      <c r="F94" s="48"/>
      <c r="G94" s="48"/>
      <c r="H94" s="48"/>
      <c r="I94" s="48"/>
      <c r="R94" s="47"/>
    </row>
    <row r="95" spans="1:23" ht="14.55" customHeight="1" x14ac:dyDescent="0.3">
      <c r="D95" s="47"/>
      <c r="E95" s="165" t="s">
        <v>33</v>
      </c>
      <c r="F95" s="166"/>
      <c r="G95" s="166"/>
      <c r="H95" s="166"/>
      <c r="I95" s="166"/>
      <c r="J95" s="166"/>
      <c r="K95" s="166"/>
      <c r="L95" s="166"/>
      <c r="M95" s="167"/>
      <c r="N95" s="181" t="s">
        <v>7</v>
      </c>
      <c r="O95" s="199"/>
      <c r="P95" s="199"/>
      <c r="Q95" s="182"/>
      <c r="R95" s="47"/>
    </row>
    <row r="96" spans="1:23" ht="14.55" customHeight="1" x14ac:dyDescent="0.3">
      <c r="D96" s="47"/>
      <c r="E96" s="7"/>
      <c r="F96" s="7"/>
      <c r="G96" s="7"/>
      <c r="H96" s="7"/>
      <c r="I96" s="7"/>
      <c r="J96" s="22"/>
      <c r="K96" s="23"/>
      <c r="L96" s="22"/>
      <c r="M96" s="24"/>
      <c r="N96" s="200">
        <f>N93</f>
        <v>2889</v>
      </c>
      <c r="O96" s="201"/>
      <c r="P96" s="202" t="s">
        <v>13</v>
      </c>
      <c r="Q96" s="203"/>
      <c r="R96" s="47"/>
    </row>
  </sheetData>
  <mergeCells count="256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7:M27"/>
    <mergeCell ref="N27:Q27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6:M26"/>
    <mergeCell ref="N26:Q26"/>
    <mergeCell ref="G20:G21"/>
    <mergeCell ref="H20:M21"/>
    <mergeCell ref="N20:Q20"/>
    <mergeCell ref="R20:S21"/>
    <mergeCell ref="E29:M29"/>
    <mergeCell ref="N29:Q29"/>
    <mergeCell ref="N30:O30"/>
    <mergeCell ref="P30:Q30"/>
    <mergeCell ref="A22:A27"/>
    <mergeCell ref="H22:M22"/>
    <mergeCell ref="N22:Q22"/>
    <mergeCell ref="A32:W32"/>
    <mergeCell ref="A33:A34"/>
    <mergeCell ref="B33:B34"/>
    <mergeCell ref="C33:C34"/>
    <mergeCell ref="D33:D34"/>
    <mergeCell ref="E33:E34"/>
    <mergeCell ref="F33:F34"/>
    <mergeCell ref="G33:G34"/>
    <mergeCell ref="H33:M34"/>
    <mergeCell ref="N33:Q33"/>
    <mergeCell ref="R33:S34"/>
    <mergeCell ref="T33:T34"/>
    <mergeCell ref="U33:W34"/>
    <mergeCell ref="N34:O34"/>
    <mergeCell ref="P34:Q34"/>
    <mergeCell ref="U22:W27"/>
    <mergeCell ref="H23:M23"/>
    <mergeCell ref="A35:A39"/>
    <mergeCell ref="H35:M35"/>
    <mergeCell ref="N35:O35"/>
    <mergeCell ref="P35:Q35"/>
    <mergeCell ref="U35:W39"/>
    <mergeCell ref="B39:M39"/>
    <mergeCell ref="N39:O39"/>
    <mergeCell ref="P39:Q39"/>
    <mergeCell ref="E41:M41"/>
    <mergeCell ref="N41:O41"/>
    <mergeCell ref="P41:Q41"/>
    <mergeCell ref="H36:M36"/>
    <mergeCell ref="N36:O36"/>
    <mergeCell ref="P36:Q36"/>
    <mergeCell ref="H38:M38"/>
    <mergeCell ref="N38:O38"/>
    <mergeCell ref="P38:Q38"/>
    <mergeCell ref="N47:Q47"/>
    <mergeCell ref="U47:W50"/>
    <mergeCell ref="H48:M48"/>
    <mergeCell ref="N48:Q48"/>
    <mergeCell ref="A44:W44"/>
    <mergeCell ref="A45:A46"/>
    <mergeCell ref="B45:B46"/>
    <mergeCell ref="C45:C46"/>
    <mergeCell ref="D45:D46"/>
    <mergeCell ref="E45:E46"/>
    <mergeCell ref="F45:F46"/>
    <mergeCell ref="G45:G46"/>
    <mergeCell ref="H45:M46"/>
    <mergeCell ref="N45:Q45"/>
    <mergeCell ref="H49:M49"/>
    <mergeCell ref="N49:Q49"/>
    <mergeCell ref="B50:M50"/>
    <mergeCell ref="N50:Q50"/>
    <mergeCell ref="E52:M52"/>
    <mergeCell ref="N52:Q52"/>
    <mergeCell ref="R45:S46"/>
    <mergeCell ref="T45:T46"/>
    <mergeCell ref="U45:W46"/>
    <mergeCell ref="N46:Q46"/>
    <mergeCell ref="H56:M57"/>
    <mergeCell ref="N56:Q56"/>
    <mergeCell ref="R56:S57"/>
    <mergeCell ref="T56:T57"/>
    <mergeCell ref="U56:W57"/>
    <mergeCell ref="N57:Q57"/>
    <mergeCell ref="N53:O53"/>
    <mergeCell ref="P53:Q53"/>
    <mergeCell ref="A55:W55"/>
    <mergeCell ref="A56:A57"/>
    <mergeCell ref="B56:B57"/>
    <mergeCell ref="C56:C57"/>
    <mergeCell ref="D56:D57"/>
    <mergeCell ref="E56:E57"/>
    <mergeCell ref="F56:F57"/>
    <mergeCell ref="G56:G57"/>
    <mergeCell ref="A47:A50"/>
    <mergeCell ref="H47:M47"/>
    <mergeCell ref="A58:A61"/>
    <mergeCell ref="H58:M58"/>
    <mergeCell ref="N58:Q58"/>
    <mergeCell ref="U58:W61"/>
    <mergeCell ref="H59:M59"/>
    <mergeCell ref="N59:Q59"/>
    <mergeCell ref="H60:M60"/>
    <mergeCell ref="N60:Q60"/>
    <mergeCell ref="B61:M61"/>
    <mergeCell ref="N61:Q61"/>
    <mergeCell ref="E63:M63"/>
    <mergeCell ref="N63:Q63"/>
    <mergeCell ref="N64:O64"/>
    <mergeCell ref="P64:Q64"/>
    <mergeCell ref="A66:W66"/>
    <mergeCell ref="A67:A68"/>
    <mergeCell ref="B67:B68"/>
    <mergeCell ref="C67:C68"/>
    <mergeCell ref="D67:D68"/>
    <mergeCell ref="E67:E68"/>
    <mergeCell ref="A69:A77"/>
    <mergeCell ref="H69:M69"/>
    <mergeCell ref="N69:O69"/>
    <mergeCell ref="P69:Q69"/>
    <mergeCell ref="U69:W77"/>
    <mergeCell ref="H70:M70"/>
    <mergeCell ref="N70:O70"/>
    <mergeCell ref="F67:F68"/>
    <mergeCell ref="G67:G68"/>
    <mergeCell ref="H67:M68"/>
    <mergeCell ref="N67:Q67"/>
    <mergeCell ref="R67:S68"/>
    <mergeCell ref="T67:T68"/>
    <mergeCell ref="P70:Q70"/>
    <mergeCell ref="H71:M71"/>
    <mergeCell ref="N71:O71"/>
    <mergeCell ref="P71:Q71"/>
    <mergeCell ref="H72:M72"/>
    <mergeCell ref="N72:O72"/>
    <mergeCell ref="P72:Q72"/>
    <mergeCell ref="U67:W68"/>
    <mergeCell ref="N68:O68"/>
    <mergeCell ref="P68:Q68"/>
    <mergeCell ref="P76:Q76"/>
    <mergeCell ref="B77:M77"/>
    <mergeCell ref="N77:O77"/>
    <mergeCell ref="P77:Q77"/>
    <mergeCell ref="H75:M75"/>
    <mergeCell ref="N75:O75"/>
    <mergeCell ref="P75:Q75"/>
    <mergeCell ref="H73:M73"/>
    <mergeCell ref="N73:O73"/>
    <mergeCell ref="P73:Q73"/>
    <mergeCell ref="H74:M74"/>
    <mergeCell ref="N74:O74"/>
    <mergeCell ref="P74:Q74"/>
    <mergeCell ref="R83:S84"/>
    <mergeCell ref="T83:T84"/>
    <mergeCell ref="U83:W84"/>
    <mergeCell ref="N84:Q84"/>
    <mergeCell ref="E79:M79"/>
    <mergeCell ref="N79:O79"/>
    <mergeCell ref="P79:Q79"/>
    <mergeCell ref="A82:W82"/>
    <mergeCell ref="A83:A84"/>
    <mergeCell ref="B83:B84"/>
    <mergeCell ref="C83:C84"/>
    <mergeCell ref="D83:D84"/>
    <mergeCell ref="E83:E84"/>
    <mergeCell ref="F83:F84"/>
    <mergeCell ref="A85:A93"/>
    <mergeCell ref="H85:M85"/>
    <mergeCell ref="N85:Q85"/>
    <mergeCell ref="U85:W93"/>
    <mergeCell ref="H86:M86"/>
    <mergeCell ref="N86:Q86"/>
    <mergeCell ref="H87:M87"/>
    <mergeCell ref="N87:Q87"/>
    <mergeCell ref="H88:M88"/>
    <mergeCell ref="N88:Q88"/>
    <mergeCell ref="N96:O96"/>
    <mergeCell ref="P96:Q96"/>
    <mergeCell ref="H25:M25"/>
    <mergeCell ref="N25:Q25"/>
    <mergeCell ref="H37:M37"/>
    <mergeCell ref="N37:O37"/>
    <mergeCell ref="P37:Q37"/>
    <mergeCell ref="H89:M89"/>
    <mergeCell ref="N89:Q89"/>
    <mergeCell ref="H90:M90"/>
    <mergeCell ref="N90:Q90"/>
    <mergeCell ref="H91:M91"/>
    <mergeCell ref="N91:Q91"/>
    <mergeCell ref="H92:M92"/>
    <mergeCell ref="N92:Q92"/>
    <mergeCell ref="B93:M93"/>
    <mergeCell ref="N93:Q93"/>
    <mergeCell ref="E95:M95"/>
    <mergeCell ref="N95:Q95"/>
    <mergeCell ref="G83:G84"/>
    <mergeCell ref="H83:M84"/>
    <mergeCell ref="N83:Q83"/>
    <mergeCell ref="H76:M76"/>
    <mergeCell ref="N76:O7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W94"/>
  <sheetViews>
    <sheetView zoomScale="85" zoomScaleNormal="85" workbookViewId="0">
      <selection activeCell="N7" sqref="N7:O7"/>
    </sheetView>
  </sheetViews>
  <sheetFormatPr defaultColWidth="8.88671875" defaultRowHeight="14.4" x14ac:dyDescent="0.3"/>
  <cols>
    <col min="1" max="1" width="12.6640625" style="79" customWidth="1"/>
    <col min="2" max="3" width="7.6640625" style="79" customWidth="1"/>
    <col min="4" max="4" width="8.109375" style="48" bestFit="1" customWidth="1"/>
    <col min="5" max="5" width="42.21875" style="79" bestFit="1" customWidth="1"/>
    <col min="6" max="6" width="5.6640625" style="79" customWidth="1"/>
    <col min="7" max="7" width="6.6640625" style="79" customWidth="1"/>
    <col min="8" max="9" width="3.6640625" style="79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79" customWidth="1"/>
    <col min="20" max="20" width="17.6640625" style="79" customWidth="1"/>
    <col min="21" max="23" width="6.6640625" style="79" customWidth="1"/>
    <col min="24" max="16384" width="8.88671875" style="79"/>
  </cols>
  <sheetData>
    <row r="1" spans="1:23" x14ac:dyDescent="0.3">
      <c r="D1" s="79"/>
      <c r="J1" s="79"/>
      <c r="K1" s="79"/>
      <c r="L1" s="79"/>
      <c r="M1" s="79"/>
      <c r="N1" s="79"/>
      <c r="O1" s="79"/>
      <c r="P1" s="79"/>
      <c r="Q1" s="79"/>
      <c r="R1" s="79"/>
    </row>
    <row r="2" spans="1:23" x14ac:dyDescent="0.3">
      <c r="D2" s="79"/>
      <c r="J2" s="79"/>
      <c r="K2" s="79"/>
      <c r="L2" s="79"/>
      <c r="M2" s="79"/>
      <c r="N2" s="79"/>
      <c r="O2" s="79"/>
      <c r="P2" s="79"/>
      <c r="Q2" s="79"/>
      <c r="R2" s="79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45934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77">
        <v>100925</v>
      </c>
      <c r="E7" s="3" t="s">
        <v>231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980</v>
      </c>
      <c r="O7" s="190"/>
      <c r="P7" s="189"/>
      <c r="Q7" s="190"/>
      <c r="R7" s="83">
        <v>40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0.58333333333333337</v>
      </c>
      <c r="D8" s="77">
        <v>100925</v>
      </c>
      <c r="E8" s="3" t="s">
        <v>232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250</v>
      </c>
      <c r="O8" s="190"/>
      <c r="P8" s="189"/>
      <c r="Q8" s="190"/>
      <c r="R8" s="83">
        <v>10</v>
      </c>
      <c r="S8" s="6" t="s">
        <v>14</v>
      </c>
      <c r="T8" s="21" t="s">
        <v>112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83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1230</v>
      </c>
      <c r="O10" s="169"/>
      <c r="P10" s="168">
        <f>SUM(P7:Q9)</f>
        <v>0</v>
      </c>
      <c r="Q10" s="169"/>
      <c r="R10" s="10">
        <f>SUM(R7:R9)</f>
        <v>50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83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83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83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79"/>
      <c r="E15" s="48"/>
      <c r="F15" s="48"/>
      <c r="G15" s="48"/>
      <c r="H15" s="48"/>
      <c r="I15" s="48"/>
      <c r="R15" s="79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84">
        <f>N10+N14</f>
        <v>1230</v>
      </c>
      <c r="O17" s="14" t="s">
        <v>13</v>
      </c>
      <c r="P17" s="84">
        <f>P10+P14</f>
        <v>0</v>
      </c>
      <c r="Q17" s="15" t="s">
        <v>13</v>
      </c>
    </row>
    <row r="18" spans="1:23" ht="15" customHeight="1" x14ac:dyDescent="0.3">
      <c r="D18" s="79"/>
      <c r="J18" s="79"/>
      <c r="K18" s="79"/>
      <c r="L18" s="79"/>
      <c r="M18" s="79"/>
      <c r="N18" s="79"/>
      <c r="O18" s="79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0.58333333333333337</v>
      </c>
      <c r="D22" s="77">
        <v>100925</v>
      </c>
      <c r="E22" s="3" t="s">
        <v>231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1168</v>
      </c>
      <c r="O22" s="198"/>
      <c r="P22" s="198"/>
      <c r="Q22" s="190"/>
      <c r="R22" s="83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83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83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83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1168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79"/>
      <c r="E27" s="48"/>
      <c r="F27" s="48"/>
      <c r="G27" s="48"/>
      <c r="H27" s="48"/>
      <c r="I27" s="48"/>
      <c r="R27" s="79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1168</v>
      </c>
      <c r="O29" s="201"/>
      <c r="P29" s="202" t="s">
        <v>13</v>
      </c>
      <c r="Q29" s="203"/>
    </row>
    <row r="30" spans="1:23" ht="15" customHeight="1" x14ac:dyDescent="0.3">
      <c r="D30" s="79"/>
      <c r="J30" s="79"/>
      <c r="K30" s="79"/>
      <c r="L30" s="79"/>
      <c r="M30" s="79"/>
      <c r="N30" s="79"/>
      <c r="O30" s="79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0.58333333333333337</v>
      </c>
      <c r="D34" s="77">
        <v>100925</v>
      </c>
      <c r="E34" s="3" t="s">
        <v>231</v>
      </c>
      <c r="F34" s="19">
        <v>304</v>
      </c>
      <c r="G34" s="20">
        <v>0.9</v>
      </c>
      <c r="H34" s="186" t="s">
        <v>172</v>
      </c>
      <c r="I34" s="187"/>
      <c r="J34" s="187"/>
      <c r="K34" s="187"/>
      <c r="L34" s="187"/>
      <c r="M34" s="188"/>
      <c r="N34" s="189">
        <v>1100</v>
      </c>
      <c r="O34" s="190"/>
      <c r="P34" s="189"/>
      <c r="Q34" s="190"/>
      <c r="R34" s="83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83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83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1100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79"/>
      <c r="E38" s="48"/>
      <c r="F38" s="48"/>
      <c r="G38" s="48"/>
      <c r="H38" s="48"/>
      <c r="I38" s="48"/>
      <c r="R38" s="79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84">
        <f>N37</f>
        <v>1100</v>
      </c>
      <c r="O40" s="14" t="s">
        <v>13</v>
      </c>
      <c r="P40" s="84">
        <f>P37</f>
        <v>0</v>
      </c>
      <c r="Q40" s="15" t="s">
        <v>13</v>
      </c>
    </row>
    <row r="41" spans="1:23" ht="15" customHeight="1" x14ac:dyDescent="0.3">
      <c r="D41" s="79"/>
      <c r="J41" s="79"/>
      <c r="K41" s="79"/>
      <c r="L41" s="79"/>
      <c r="M41" s="79"/>
      <c r="N41" s="79"/>
      <c r="O41" s="79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>
        <v>290825</v>
      </c>
      <c r="E45" s="3" t="s">
        <v>131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1000</v>
      </c>
      <c r="O45" s="198"/>
      <c r="P45" s="198"/>
      <c r="Q45" s="190"/>
      <c r="R45" s="83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0.58333333333333337</v>
      </c>
      <c r="D46" s="4">
        <v>250074</v>
      </c>
      <c r="E46" s="3" t="s">
        <v>199</v>
      </c>
      <c r="F46" s="19">
        <v>304</v>
      </c>
      <c r="G46" s="20">
        <v>0.7</v>
      </c>
      <c r="H46" s="186"/>
      <c r="I46" s="187"/>
      <c r="J46" s="187"/>
      <c r="K46" s="187"/>
      <c r="L46" s="187"/>
      <c r="M46" s="188"/>
      <c r="N46" s="189">
        <v>500</v>
      </c>
      <c r="O46" s="198"/>
      <c r="P46" s="198"/>
      <c r="Q46" s="190"/>
      <c r="R46" s="83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83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1500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79"/>
      <c r="E49" s="48"/>
      <c r="F49" s="48"/>
      <c r="G49" s="48"/>
      <c r="H49" s="48"/>
      <c r="I49" s="48"/>
      <c r="R49" s="7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1500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/>
      <c r="C56" s="5"/>
      <c r="D56" s="4"/>
      <c r="E56" s="3" t="s">
        <v>165</v>
      </c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83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83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83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79"/>
      <c r="E60" s="48"/>
      <c r="F60" s="48"/>
      <c r="G60" s="48"/>
      <c r="H60" s="48"/>
      <c r="I60" s="48"/>
      <c r="R60" s="79"/>
    </row>
    <row r="61" spans="1:23" ht="14.55" customHeight="1" x14ac:dyDescent="0.3">
      <c r="D61" s="79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79"/>
    </row>
    <row r="62" spans="1:23" ht="14.55" customHeight="1" x14ac:dyDescent="0.3">
      <c r="D62" s="79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0</v>
      </c>
      <c r="O62" s="201"/>
      <c r="P62" s="202" t="s">
        <v>13</v>
      </c>
      <c r="Q62" s="203"/>
      <c r="R62" s="79"/>
    </row>
    <row r="63" spans="1:23" ht="14.55" customHeight="1" x14ac:dyDescent="0.3">
      <c r="D63" s="79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/>
      <c r="C67" s="5"/>
      <c r="D67" s="4"/>
      <c r="E67" s="3" t="s">
        <v>233</v>
      </c>
      <c r="F67" s="19"/>
      <c r="G67" s="20"/>
      <c r="H67" s="186"/>
      <c r="I67" s="187"/>
      <c r="J67" s="187"/>
      <c r="K67" s="187"/>
      <c r="L67" s="187"/>
      <c r="M67" s="188"/>
      <c r="N67" s="189"/>
      <c r="O67" s="190"/>
      <c r="P67" s="189"/>
      <c r="Q67" s="190"/>
      <c r="R67" s="83"/>
      <c r="S67" s="79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/>
      <c r="E68" s="3"/>
      <c r="F68" s="19"/>
      <c r="G68" s="20"/>
      <c r="H68" s="186"/>
      <c r="I68" s="187"/>
      <c r="J68" s="187"/>
      <c r="K68" s="187"/>
      <c r="L68" s="187"/>
      <c r="M68" s="188"/>
      <c r="N68" s="189"/>
      <c r="O68" s="190"/>
      <c r="P68" s="189"/>
      <c r="Q68" s="190"/>
      <c r="R68" s="83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0"/>
      <c r="P69" s="189"/>
      <c r="Q69" s="190"/>
      <c r="R69" s="83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83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83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83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83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83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83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83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83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 ca="1">SUM(N67:O78)</f>
        <v>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79"/>
      <c r="E79" s="48"/>
      <c r="F79" s="48"/>
      <c r="G79" s="48"/>
      <c r="H79" s="48"/>
      <c r="I79" s="48"/>
      <c r="R79" s="79"/>
    </row>
    <row r="80" spans="1:23" ht="14.55" customHeight="1" x14ac:dyDescent="0.3">
      <c r="D80" s="79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79"/>
    </row>
    <row r="81" spans="1:23" ht="14.55" customHeight="1" x14ac:dyDescent="0.3">
      <c r="D81" s="79"/>
      <c r="E81" s="7"/>
      <c r="F81" s="7"/>
      <c r="G81" s="7"/>
      <c r="H81" s="7"/>
      <c r="I81" s="7"/>
      <c r="J81" s="22"/>
      <c r="K81" s="23"/>
      <c r="L81" s="22"/>
      <c r="M81" s="24"/>
      <c r="N81" s="84">
        <f ca="1">N78</f>
        <v>0</v>
      </c>
      <c r="O81" s="14" t="s">
        <v>13</v>
      </c>
      <c r="P81" s="84">
        <f ca="1">P78</f>
        <v>0</v>
      </c>
      <c r="Q81" s="15" t="s">
        <v>13</v>
      </c>
      <c r="R81" s="79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4">
        <v>250040</v>
      </c>
      <c r="E86" s="3" t="s">
        <v>234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400</v>
      </c>
      <c r="O86" s="198"/>
      <c r="P86" s="198"/>
      <c r="Q86" s="190"/>
      <c r="R86" s="83"/>
      <c r="S86" s="79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250040</v>
      </c>
      <c r="E87" s="3" t="s">
        <v>235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600</v>
      </c>
      <c r="O87" s="198"/>
      <c r="P87" s="198"/>
      <c r="Q87" s="190"/>
      <c r="R87" s="83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>
        <v>250040</v>
      </c>
      <c r="E88" s="3" t="s">
        <v>236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400</v>
      </c>
      <c r="O88" s="198"/>
      <c r="P88" s="198"/>
      <c r="Q88" s="190"/>
      <c r="R88" s="83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>
        <v>0.58333333333333337</v>
      </c>
      <c r="D89" s="4">
        <v>250040</v>
      </c>
      <c r="E89" s="3" t="s">
        <v>237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36</v>
      </c>
      <c r="O89" s="198"/>
      <c r="P89" s="198"/>
      <c r="Q89" s="190"/>
      <c r="R89" s="83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83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1436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79"/>
      <c r="E92" s="48"/>
      <c r="F92" s="48"/>
      <c r="G92" s="48"/>
      <c r="H92" s="48"/>
      <c r="I92" s="48"/>
      <c r="R92" s="79"/>
    </row>
    <row r="93" spans="1:23" ht="14.55" customHeight="1" x14ac:dyDescent="0.3">
      <c r="D93" s="79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79"/>
    </row>
    <row r="94" spans="1:23" ht="14.55" customHeight="1" x14ac:dyDescent="0.3">
      <c r="D94" s="79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1436</v>
      </c>
      <c r="O94" s="201"/>
      <c r="P94" s="202" t="s">
        <v>13</v>
      </c>
      <c r="Q94" s="203"/>
      <c r="R94" s="79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W95"/>
  <sheetViews>
    <sheetView topLeftCell="A67" zoomScale="85" zoomScaleNormal="85" workbookViewId="0">
      <selection activeCell="D69" sqref="D69"/>
    </sheetView>
  </sheetViews>
  <sheetFormatPr defaultColWidth="8.88671875" defaultRowHeight="14.4" x14ac:dyDescent="0.3"/>
  <cols>
    <col min="1" max="1" width="12.6640625" style="79" customWidth="1"/>
    <col min="2" max="3" width="7.6640625" style="79" customWidth="1"/>
    <col min="4" max="4" width="8.109375" style="48" bestFit="1" customWidth="1"/>
    <col min="5" max="5" width="42.21875" style="79" bestFit="1" customWidth="1"/>
    <col min="6" max="6" width="5.6640625" style="79" customWidth="1"/>
    <col min="7" max="7" width="6.6640625" style="79" customWidth="1"/>
    <col min="8" max="9" width="3.6640625" style="79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79" customWidth="1"/>
    <col min="20" max="20" width="17.6640625" style="79" customWidth="1"/>
    <col min="21" max="23" width="6.6640625" style="79" customWidth="1"/>
    <col min="24" max="16384" width="8.88671875" style="79"/>
  </cols>
  <sheetData>
    <row r="1" spans="1:23" x14ac:dyDescent="0.3">
      <c r="D1" s="79"/>
      <c r="J1" s="79"/>
      <c r="K1" s="79"/>
      <c r="L1" s="79"/>
      <c r="M1" s="79"/>
      <c r="N1" s="79"/>
      <c r="O1" s="79"/>
      <c r="P1" s="79"/>
      <c r="Q1" s="79"/>
      <c r="R1" s="79"/>
    </row>
    <row r="2" spans="1:23" x14ac:dyDescent="0.3">
      <c r="D2" s="79"/>
      <c r="J2" s="79"/>
      <c r="K2" s="79"/>
      <c r="L2" s="79"/>
      <c r="M2" s="79"/>
      <c r="N2" s="79"/>
      <c r="O2" s="79"/>
      <c r="P2" s="79"/>
      <c r="Q2" s="79"/>
      <c r="R2" s="79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45936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77">
        <v>100925</v>
      </c>
      <c r="E7" s="3" t="s">
        <v>232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2000</v>
      </c>
      <c r="O7" s="190"/>
      <c r="P7" s="189"/>
      <c r="Q7" s="190"/>
      <c r="R7" s="86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77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86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77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86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86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86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86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79"/>
      <c r="E15" s="48"/>
      <c r="F15" s="48"/>
      <c r="G15" s="48"/>
      <c r="H15" s="48"/>
      <c r="I15" s="48"/>
      <c r="R15" s="79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85">
        <f>N10+N14</f>
        <v>2000</v>
      </c>
      <c r="O17" s="14" t="s">
        <v>13</v>
      </c>
      <c r="P17" s="85">
        <f>P10+P14</f>
        <v>0</v>
      </c>
      <c r="Q17" s="15" t="s">
        <v>13</v>
      </c>
    </row>
    <row r="18" spans="1:23" ht="15" customHeight="1" x14ac:dyDescent="0.3">
      <c r="D18" s="79"/>
      <c r="J18" s="79"/>
      <c r="K18" s="79"/>
      <c r="L18" s="79"/>
      <c r="M18" s="79"/>
      <c r="N18" s="79"/>
      <c r="O18" s="79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77">
        <v>100925</v>
      </c>
      <c r="E22" s="3" t="s">
        <v>232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1900</v>
      </c>
      <c r="O22" s="198"/>
      <c r="P22" s="198"/>
      <c r="Q22" s="190"/>
      <c r="R22" s="8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8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86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86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1900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79"/>
      <c r="E27" s="48"/>
      <c r="F27" s="48"/>
      <c r="G27" s="48"/>
      <c r="H27" s="48"/>
      <c r="I27" s="48"/>
      <c r="R27" s="79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1900</v>
      </c>
      <c r="O29" s="201"/>
      <c r="P29" s="202" t="s">
        <v>13</v>
      </c>
      <c r="Q29" s="203"/>
    </row>
    <row r="30" spans="1:23" ht="15" customHeight="1" x14ac:dyDescent="0.3">
      <c r="D30" s="79"/>
      <c r="J30" s="79"/>
      <c r="K30" s="79"/>
      <c r="L30" s="79"/>
      <c r="M30" s="79"/>
      <c r="N30" s="79"/>
      <c r="O30" s="79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77">
        <v>100925</v>
      </c>
      <c r="E34" s="3" t="s">
        <v>231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130</v>
      </c>
      <c r="O34" s="190"/>
      <c r="P34" s="189"/>
      <c r="Q34" s="190"/>
      <c r="R34" s="8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77">
        <v>100925</v>
      </c>
      <c r="E35" s="3" t="s">
        <v>238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1325</v>
      </c>
      <c r="O35" s="190"/>
      <c r="P35" s="189"/>
      <c r="Q35" s="190"/>
      <c r="R35" s="86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>
        <v>0.70833333333333337</v>
      </c>
      <c r="D36" s="77">
        <v>100925</v>
      </c>
      <c r="E36" s="3" t="s">
        <v>232</v>
      </c>
      <c r="F36" s="19">
        <v>304</v>
      </c>
      <c r="G36" s="20">
        <v>0.9</v>
      </c>
      <c r="H36" s="186"/>
      <c r="I36" s="187"/>
      <c r="J36" s="187"/>
      <c r="K36" s="187"/>
      <c r="L36" s="187"/>
      <c r="M36" s="188"/>
      <c r="N36" s="189">
        <v>545</v>
      </c>
      <c r="O36" s="190"/>
      <c r="P36" s="189"/>
      <c r="Q36" s="190"/>
      <c r="R36" s="86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79"/>
      <c r="E38" s="48"/>
      <c r="F38" s="48"/>
      <c r="G38" s="48"/>
      <c r="H38" s="48"/>
      <c r="I38" s="48"/>
      <c r="R38" s="79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85">
        <f>N37</f>
        <v>2000</v>
      </c>
      <c r="O40" s="14" t="s">
        <v>13</v>
      </c>
      <c r="P40" s="85">
        <f>P37</f>
        <v>0</v>
      </c>
      <c r="Q40" s="15" t="s">
        <v>13</v>
      </c>
    </row>
    <row r="41" spans="1:23" ht="15" customHeight="1" x14ac:dyDescent="0.3">
      <c r="D41" s="79"/>
      <c r="J41" s="79"/>
      <c r="K41" s="79"/>
      <c r="L41" s="79"/>
      <c r="M41" s="79"/>
      <c r="N41" s="79"/>
      <c r="O41" s="79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77">
        <v>250074</v>
      </c>
      <c r="E45" s="3" t="s">
        <v>199</v>
      </c>
      <c r="F45" s="19">
        <v>304</v>
      </c>
      <c r="G45" s="20">
        <v>0.7</v>
      </c>
      <c r="H45" s="186"/>
      <c r="I45" s="187"/>
      <c r="J45" s="187"/>
      <c r="K45" s="187"/>
      <c r="L45" s="187"/>
      <c r="M45" s="188"/>
      <c r="N45" s="189">
        <v>250</v>
      </c>
      <c r="O45" s="198"/>
      <c r="P45" s="198"/>
      <c r="Q45" s="190"/>
      <c r="R45" s="86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207"/>
      <c r="B46" s="5"/>
      <c r="C46" s="5"/>
      <c r="D46" s="77">
        <v>250074</v>
      </c>
      <c r="E46" s="3" t="s">
        <v>239</v>
      </c>
      <c r="F46" s="19">
        <v>304</v>
      </c>
      <c r="G46" s="20">
        <v>0.7</v>
      </c>
      <c r="H46" s="186"/>
      <c r="I46" s="187"/>
      <c r="J46" s="187"/>
      <c r="K46" s="187"/>
      <c r="L46" s="187"/>
      <c r="M46" s="188"/>
      <c r="N46" s="189">
        <v>760</v>
      </c>
      <c r="O46" s="198"/>
      <c r="P46" s="198"/>
      <c r="Q46" s="190"/>
      <c r="R46" s="86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77">
        <v>250074</v>
      </c>
      <c r="E47" s="3" t="s">
        <v>210</v>
      </c>
      <c r="F47" s="19">
        <v>304</v>
      </c>
      <c r="G47" s="20">
        <v>0.7</v>
      </c>
      <c r="H47" s="186"/>
      <c r="I47" s="187"/>
      <c r="J47" s="187"/>
      <c r="K47" s="187"/>
      <c r="L47" s="187"/>
      <c r="M47" s="188"/>
      <c r="N47" s="189">
        <v>760</v>
      </c>
      <c r="O47" s="198"/>
      <c r="P47" s="198"/>
      <c r="Q47" s="190"/>
      <c r="R47" s="86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4"/>
      <c r="B48" s="5"/>
      <c r="C48" s="5">
        <v>0.70833333333333337</v>
      </c>
      <c r="D48" s="77">
        <v>100925</v>
      </c>
      <c r="E48" s="3" t="s">
        <v>231</v>
      </c>
      <c r="F48" s="19">
        <v>304</v>
      </c>
      <c r="G48" s="20">
        <v>0.9</v>
      </c>
      <c r="H48" s="186"/>
      <c r="I48" s="187"/>
      <c r="J48" s="187"/>
      <c r="K48" s="187"/>
      <c r="L48" s="187"/>
      <c r="M48" s="188"/>
      <c r="N48" s="189">
        <v>700</v>
      </c>
      <c r="O48" s="198"/>
      <c r="P48" s="198"/>
      <c r="Q48" s="190"/>
      <c r="R48" s="86"/>
      <c r="S48" s="6" t="s">
        <v>14</v>
      </c>
      <c r="T48" s="21"/>
      <c r="U48" s="191"/>
      <c r="V48" s="192"/>
      <c r="W48" s="193"/>
    </row>
    <row r="49" spans="1:23" ht="14.55" customHeight="1" x14ac:dyDescent="0.3">
      <c r="A49" s="185"/>
      <c r="B49" s="165" t="s">
        <v>0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8">
        <f>SUM(N45:O48)</f>
        <v>2470</v>
      </c>
      <c r="O49" s="197"/>
      <c r="P49" s="197"/>
      <c r="Q49" s="169"/>
      <c r="R49" s="10">
        <f>SUM(R45:R48)</f>
        <v>0</v>
      </c>
      <c r="S49" s="11" t="s">
        <v>14</v>
      </c>
      <c r="T49" s="9"/>
      <c r="U49" s="191"/>
      <c r="V49" s="192"/>
      <c r="W49" s="193"/>
    </row>
    <row r="50" spans="1:23" ht="14.55" customHeight="1" x14ac:dyDescent="0.3">
      <c r="D50" s="79"/>
      <c r="E50" s="48"/>
      <c r="F50" s="48"/>
      <c r="G50" s="48"/>
      <c r="H50" s="48"/>
      <c r="I50" s="48"/>
      <c r="R50" s="79"/>
    </row>
    <row r="51" spans="1:23" x14ac:dyDescent="0.3">
      <c r="E51" s="165" t="s">
        <v>31</v>
      </c>
      <c r="F51" s="166"/>
      <c r="G51" s="166"/>
      <c r="H51" s="166"/>
      <c r="I51" s="166"/>
      <c r="J51" s="166"/>
      <c r="K51" s="166"/>
      <c r="L51" s="166"/>
      <c r="M51" s="167"/>
      <c r="N51" s="181" t="s">
        <v>7</v>
      </c>
      <c r="O51" s="199"/>
      <c r="P51" s="199"/>
      <c r="Q51" s="182"/>
    </row>
    <row r="52" spans="1:23" s="50" customFormat="1" x14ac:dyDescent="0.3">
      <c r="E52" s="7"/>
      <c r="F52" s="7"/>
      <c r="G52" s="7"/>
      <c r="H52" s="7"/>
      <c r="I52" s="7"/>
      <c r="J52" s="22"/>
      <c r="K52" s="23"/>
      <c r="L52" s="22"/>
      <c r="M52" s="24"/>
      <c r="N52" s="200">
        <f>N49</f>
        <v>2470</v>
      </c>
      <c r="O52" s="201"/>
      <c r="P52" s="202" t="s">
        <v>13</v>
      </c>
      <c r="Q52" s="203"/>
    </row>
    <row r="53" spans="1:23" s="26" customFormat="1" ht="15" customHeight="1" x14ac:dyDescent="0.3">
      <c r="D53" s="27"/>
      <c r="E53" s="28"/>
      <c r="F53" s="28"/>
      <c r="G53" s="28"/>
      <c r="H53" s="28"/>
      <c r="I53" s="28"/>
      <c r="J53" s="25"/>
      <c r="K53" s="25"/>
      <c r="L53" s="25"/>
      <c r="M53" s="25"/>
      <c r="N53" s="30"/>
      <c r="O53" s="30"/>
      <c r="P53" s="29"/>
      <c r="Q53" s="29"/>
      <c r="R53" s="33"/>
      <c r="S53" s="34"/>
    </row>
    <row r="54" spans="1:23" s="8" customFormat="1" ht="30" customHeight="1" x14ac:dyDescent="0.3">
      <c r="A54" s="155" t="s">
        <v>28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7"/>
      <c r="Q54" s="157"/>
      <c r="R54" s="157"/>
      <c r="S54" s="157"/>
      <c r="T54" s="156"/>
      <c r="U54" s="156"/>
      <c r="V54" s="156"/>
      <c r="W54" s="158"/>
    </row>
    <row r="55" spans="1:23" s="12" customFormat="1" ht="14.55" customHeight="1" x14ac:dyDescent="0.3">
      <c r="A55" s="159" t="s">
        <v>1</v>
      </c>
      <c r="B55" s="160" t="s">
        <v>2</v>
      </c>
      <c r="C55" s="160" t="s">
        <v>3</v>
      </c>
      <c r="D55" s="160" t="s">
        <v>4</v>
      </c>
      <c r="E55" s="161" t="s">
        <v>5</v>
      </c>
      <c r="F55" s="163" t="s">
        <v>15</v>
      </c>
      <c r="G55" s="163" t="s">
        <v>16</v>
      </c>
      <c r="H55" s="170" t="s">
        <v>24</v>
      </c>
      <c r="I55" s="171"/>
      <c r="J55" s="171"/>
      <c r="K55" s="171"/>
      <c r="L55" s="171"/>
      <c r="M55" s="172"/>
      <c r="N55" s="176" t="s">
        <v>6</v>
      </c>
      <c r="O55" s="177"/>
      <c r="P55" s="177"/>
      <c r="Q55" s="178"/>
      <c r="R55" s="161" t="s">
        <v>8</v>
      </c>
      <c r="S55" s="179"/>
      <c r="T55" s="159" t="s">
        <v>9</v>
      </c>
      <c r="U55" s="159" t="s">
        <v>10</v>
      </c>
      <c r="V55" s="159"/>
      <c r="W55" s="159"/>
    </row>
    <row r="56" spans="1:23" s="12" customFormat="1" ht="13.05" customHeight="1" x14ac:dyDescent="0.3">
      <c r="A56" s="159"/>
      <c r="B56" s="160"/>
      <c r="C56" s="160"/>
      <c r="D56" s="160"/>
      <c r="E56" s="162"/>
      <c r="F56" s="164"/>
      <c r="G56" s="164"/>
      <c r="H56" s="173"/>
      <c r="I56" s="174"/>
      <c r="J56" s="174"/>
      <c r="K56" s="174"/>
      <c r="L56" s="174"/>
      <c r="M56" s="175"/>
      <c r="N56" s="176" t="s">
        <v>7</v>
      </c>
      <c r="O56" s="177"/>
      <c r="P56" s="177"/>
      <c r="Q56" s="178"/>
      <c r="R56" s="162"/>
      <c r="S56" s="180"/>
      <c r="T56" s="159"/>
      <c r="U56" s="159"/>
      <c r="V56" s="159"/>
      <c r="W56" s="159"/>
    </row>
    <row r="57" spans="1:23" ht="14.55" customHeight="1" x14ac:dyDescent="0.3">
      <c r="A57" s="183" t="s">
        <v>68</v>
      </c>
      <c r="B57" s="5">
        <v>0.33333333333333331</v>
      </c>
      <c r="C57" s="5"/>
      <c r="D57" s="77">
        <v>250074</v>
      </c>
      <c r="E57" s="3" t="s">
        <v>199</v>
      </c>
      <c r="F57" s="19">
        <v>304</v>
      </c>
      <c r="G57" s="20">
        <v>0.7</v>
      </c>
      <c r="H57" s="186"/>
      <c r="I57" s="187"/>
      <c r="J57" s="187"/>
      <c r="K57" s="187"/>
      <c r="L57" s="187"/>
      <c r="M57" s="188"/>
      <c r="N57" s="189">
        <v>775</v>
      </c>
      <c r="O57" s="198"/>
      <c r="P57" s="198"/>
      <c r="Q57" s="190"/>
      <c r="R57" s="86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77">
        <v>250074</v>
      </c>
      <c r="E58" s="3" t="s">
        <v>239</v>
      </c>
      <c r="F58" s="19">
        <v>304</v>
      </c>
      <c r="G58" s="20">
        <v>0.7</v>
      </c>
      <c r="H58" s="186"/>
      <c r="I58" s="187"/>
      <c r="J58" s="187"/>
      <c r="K58" s="187"/>
      <c r="L58" s="187"/>
      <c r="M58" s="188"/>
      <c r="N58" s="189">
        <v>750</v>
      </c>
      <c r="O58" s="198"/>
      <c r="P58" s="198"/>
      <c r="Q58" s="190"/>
      <c r="R58" s="86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4"/>
      <c r="B59" s="5"/>
      <c r="C59" s="5">
        <v>0.70833333333333337</v>
      </c>
      <c r="D59" s="77">
        <v>250074</v>
      </c>
      <c r="E59" s="3" t="s">
        <v>210</v>
      </c>
      <c r="F59" s="19">
        <v>304</v>
      </c>
      <c r="G59" s="20">
        <v>0.7</v>
      </c>
      <c r="H59" s="186"/>
      <c r="I59" s="187"/>
      <c r="J59" s="187"/>
      <c r="K59" s="187"/>
      <c r="L59" s="187"/>
      <c r="M59" s="188"/>
      <c r="N59" s="189">
        <v>730</v>
      </c>
      <c r="O59" s="198"/>
      <c r="P59" s="198"/>
      <c r="Q59" s="190"/>
      <c r="R59" s="86"/>
      <c r="S59" s="6" t="s">
        <v>14</v>
      </c>
      <c r="T59" s="21"/>
      <c r="U59" s="204"/>
      <c r="V59" s="205"/>
      <c r="W59" s="206"/>
    </row>
    <row r="60" spans="1:23" ht="14.55" customHeight="1" x14ac:dyDescent="0.3">
      <c r="A60" s="185"/>
      <c r="B60" s="165" t="s">
        <v>0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8">
        <f>SUM(N57:O59)</f>
        <v>2255</v>
      </c>
      <c r="O60" s="197"/>
      <c r="P60" s="197"/>
      <c r="Q60" s="169"/>
      <c r="R60" s="10">
        <f>SUM(R57:R59)</f>
        <v>0</v>
      </c>
      <c r="S60" s="11" t="s">
        <v>14</v>
      </c>
      <c r="T60" s="9"/>
      <c r="U60" s="204"/>
      <c r="V60" s="205"/>
      <c r="W60" s="206"/>
    </row>
    <row r="61" spans="1:23" ht="14.55" customHeight="1" x14ac:dyDescent="0.3">
      <c r="D61" s="79"/>
      <c r="E61" s="48"/>
      <c r="F61" s="48"/>
      <c r="G61" s="48"/>
      <c r="H61" s="48"/>
      <c r="I61" s="48"/>
      <c r="R61" s="79"/>
    </row>
    <row r="62" spans="1:23" ht="14.55" customHeight="1" x14ac:dyDescent="0.3">
      <c r="D62" s="79"/>
      <c r="E62" s="165" t="s">
        <v>32</v>
      </c>
      <c r="F62" s="166"/>
      <c r="G62" s="166"/>
      <c r="H62" s="166"/>
      <c r="I62" s="166"/>
      <c r="J62" s="166"/>
      <c r="K62" s="166"/>
      <c r="L62" s="166"/>
      <c r="M62" s="167"/>
      <c r="N62" s="181" t="s">
        <v>7</v>
      </c>
      <c r="O62" s="199"/>
      <c r="P62" s="199"/>
      <c r="Q62" s="182"/>
      <c r="R62" s="79"/>
    </row>
    <row r="63" spans="1:23" ht="14.55" customHeight="1" x14ac:dyDescent="0.3">
      <c r="D63" s="79"/>
      <c r="E63" s="7"/>
      <c r="F63" s="7"/>
      <c r="G63" s="7"/>
      <c r="H63" s="7"/>
      <c r="I63" s="7"/>
      <c r="J63" s="22"/>
      <c r="K63" s="23"/>
      <c r="L63" s="22"/>
      <c r="M63" s="24"/>
      <c r="N63" s="200">
        <f>N60</f>
        <v>2255</v>
      </c>
      <c r="O63" s="201"/>
      <c r="P63" s="202" t="s">
        <v>13</v>
      </c>
      <c r="Q63" s="203"/>
      <c r="R63" s="79"/>
    </row>
    <row r="64" spans="1:23" ht="14.55" customHeight="1" x14ac:dyDescent="0.3">
      <c r="D64" s="79"/>
      <c r="E64" s="48"/>
      <c r="F64" s="48"/>
      <c r="G64" s="48"/>
      <c r="H64" s="48"/>
      <c r="I64" s="48"/>
      <c r="P64" s="49"/>
      <c r="Q64" s="49"/>
      <c r="R64" s="32"/>
      <c r="S64" s="32"/>
    </row>
    <row r="65" spans="1:23" s="8" customFormat="1" ht="30" customHeight="1" x14ac:dyDescent="0.3">
      <c r="A65" s="155" t="s">
        <v>73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7"/>
      <c r="Q65" s="157"/>
      <c r="R65" s="157"/>
      <c r="S65" s="157"/>
      <c r="T65" s="156"/>
      <c r="U65" s="156"/>
      <c r="V65" s="156"/>
      <c r="W65" s="158"/>
    </row>
    <row r="66" spans="1:23" s="12" customFormat="1" ht="14.55" customHeight="1" x14ac:dyDescent="0.3">
      <c r="A66" s="159" t="s">
        <v>1</v>
      </c>
      <c r="B66" s="160" t="s">
        <v>2</v>
      </c>
      <c r="C66" s="160" t="s">
        <v>3</v>
      </c>
      <c r="D66" s="160" t="s">
        <v>4</v>
      </c>
      <c r="E66" s="161" t="s">
        <v>5</v>
      </c>
      <c r="F66" s="163" t="s">
        <v>15</v>
      </c>
      <c r="G66" s="163" t="s">
        <v>16</v>
      </c>
      <c r="H66" s="170" t="s">
        <v>30</v>
      </c>
      <c r="I66" s="171"/>
      <c r="J66" s="171"/>
      <c r="K66" s="171"/>
      <c r="L66" s="171"/>
      <c r="M66" s="172"/>
      <c r="N66" s="176" t="s">
        <v>6</v>
      </c>
      <c r="O66" s="177"/>
      <c r="P66" s="177"/>
      <c r="Q66" s="178"/>
      <c r="R66" s="161" t="s">
        <v>8</v>
      </c>
      <c r="S66" s="179"/>
      <c r="T66" s="159" t="s">
        <v>9</v>
      </c>
      <c r="U66" s="159" t="s">
        <v>10</v>
      </c>
      <c r="V66" s="159"/>
      <c r="W66" s="159"/>
    </row>
    <row r="67" spans="1:23" s="12" customFormat="1" ht="13.05" customHeight="1" x14ac:dyDescent="0.3">
      <c r="A67" s="159"/>
      <c r="B67" s="160"/>
      <c r="C67" s="160"/>
      <c r="D67" s="160"/>
      <c r="E67" s="162"/>
      <c r="F67" s="164"/>
      <c r="G67" s="164"/>
      <c r="H67" s="173"/>
      <c r="I67" s="174"/>
      <c r="J67" s="174"/>
      <c r="K67" s="174"/>
      <c r="L67" s="174"/>
      <c r="M67" s="175"/>
      <c r="N67" s="176" t="s">
        <v>7</v>
      </c>
      <c r="O67" s="177"/>
      <c r="P67" s="177" t="s">
        <v>74</v>
      </c>
      <c r="Q67" s="178"/>
      <c r="R67" s="162"/>
      <c r="S67" s="180"/>
      <c r="T67" s="159"/>
      <c r="U67" s="159"/>
      <c r="V67" s="159"/>
      <c r="W67" s="159"/>
    </row>
    <row r="68" spans="1:23" ht="14.55" customHeight="1" x14ac:dyDescent="0.3">
      <c r="A68" s="183" t="s">
        <v>49</v>
      </c>
      <c r="B68" s="5">
        <v>0.33333333333333331</v>
      </c>
      <c r="C68" s="5"/>
      <c r="D68" s="4" t="s">
        <v>205</v>
      </c>
      <c r="E68" s="3" t="s">
        <v>240</v>
      </c>
      <c r="F68" s="19">
        <v>304</v>
      </c>
      <c r="G68" s="20">
        <v>0.8</v>
      </c>
      <c r="H68" s="186" t="s">
        <v>122</v>
      </c>
      <c r="I68" s="187"/>
      <c r="J68" s="187"/>
      <c r="K68" s="187"/>
      <c r="L68" s="187"/>
      <c r="M68" s="188"/>
      <c r="N68" s="189">
        <v>1300</v>
      </c>
      <c r="O68" s="190"/>
      <c r="P68" s="189"/>
      <c r="Q68" s="190"/>
      <c r="R68" s="86"/>
      <c r="S68" s="79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0.70833333333333337</v>
      </c>
      <c r="D69" s="4" t="s">
        <v>205</v>
      </c>
      <c r="E69" s="3" t="s">
        <v>240</v>
      </c>
      <c r="F69" s="19">
        <v>304</v>
      </c>
      <c r="G69" s="20">
        <v>0.8</v>
      </c>
      <c r="H69" s="186" t="s">
        <v>124</v>
      </c>
      <c r="I69" s="187"/>
      <c r="J69" s="187"/>
      <c r="K69" s="187"/>
      <c r="L69" s="187"/>
      <c r="M69" s="188"/>
      <c r="N69" s="189">
        <v>500</v>
      </c>
      <c r="O69" s="190"/>
      <c r="P69" s="189"/>
      <c r="Q69" s="190"/>
      <c r="R69" s="86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86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86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86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5"/>
      <c r="B73" s="165" t="s">
        <v>0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68">
        <f ca="1">SUM(N68:O73)</f>
        <v>0</v>
      </c>
      <c r="O73" s="197"/>
      <c r="P73" s="168">
        <f ca="1">SUM(P68:Q73)</f>
        <v>0</v>
      </c>
      <c r="Q73" s="197"/>
      <c r="R73" s="10">
        <f>SUM(R68:R72)</f>
        <v>0</v>
      </c>
      <c r="S73" s="11" t="s">
        <v>14</v>
      </c>
      <c r="T73" s="9"/>
      <c r="U73" s="191"/>
      <c r="V73" s="192"/>
      <c r="W73" s="193"/>
    </row>
    <row r="74" spans="1:23" ht="14.55" customHeight="1" x14ac:dyDescent="0.3">
      <c r="D74" s="79"/>
      <c r="E74" s="48"/>
      <c r="F74" s="48"/>
      <c r="G74" s="48"/>
      <c r="H74" s="48"/>
      <c r="I74" s="48"/>
      <c r="R74" s="79"/>
    </row>
    <row r="75" spans="1:23" ht="14.55" customHeight="1" x14ac:dyDescent="0.3">
      <c r="D75" s="79"/>
      <c r="E75" s="165" t="s">
        <v>65</v>
      </c>
      <c r="F75" s="166"/>
      <c r="G75" s="166"/>
      <c r="H75" s="166"/>
      <c r="I75" s="166"/>
      <c r="J75" s="166"/>
      <c r="K75" s="166"/>
      <c r="L75" s="166"/>
      <c r="M75" s="167"/>
      <c r="N75" s="181" t="s">
        <v>7</v>
      </c>
      <c r="O75" s="182"/>
      <c r="P75" s="181" t="s">
        <v>74</v>
      </c>
      <c r="Q75" s="182"/>
      <c r="R75" s="79"/>
    </row>
    <row r="76" spans="1:23" ht="14.55" customHeight="1" x14ac:dyDescent="0.3">
      <c r="D76" s="79"/>
      <c r="E76" s="7"/>
      <c r="F76" s="7"/>
      <c r="G76" s="7"/>
      <c r="H76" s="7"/>
      <c r="I76" s="7"/>
      <c r="J76" s="22"/>
      <c r="K76" s="23"/>
      <c r="L76" s="22"/>
      <c r="M76" s="24"/>
      <c r="N76" s="85">
        <f ca="1">N73</f>
        <v>0</v>
      </c>
      <c r="O76" s="14" t="s">
        <v>13</v>
      </c>
      <c r="P76" s="85">
        <f ca="1">P73</f>
        <v>0</v>
      </c>
      <c r="Q76" s="15" t="s">
        <v>13</v>
      </c>
      <c r="R76" s="79"/>
    </row>
    <row r="77" spans="1:23" x14ac:dyDescent="0.3">
      <c r="P77" s="49"/>
      <c r="Q77" s="49"/>
      <c r="R77" s="49"/>
      <c r="S77" s="32"/>
    </row>
    <row r="78" spans="1:23" s="8" customFormat="1" ht="30" customHeight="1" x14ac:dyDescent="0.3">
      <c r="A78" s="155" t="s">
        <v>29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7"/>
      <c r="Q78" s="157"/>
      <c r="R78" s="157"/>
      <c r="S78" s="157"/>
      <c r="T78" s="156"/>
      <c r="U78" s="156"/>
      <c r="V78" s="156"/>
      <c r="W78" s="158"/>
    </row>
    <row r="79" spans="1:23" s="12" customFormat="1" ht="14.55" customHeight="1" x14ac:dyDescent="0.3">
      <c r="A79" s="159" t="s">
        <v>1</v>
      </c>
      <c r="B79" s="160" t="s">
        <v>2</v>
      </c>
      <c r="C79" s="160" t="s">
        <v>3</v>
      </c>
      <c r="D79" s="160" t="s">
        <v>4</v>
      </c>
      <c r="E79" s="161" t="s">
        <v>5</v>
      </c>
      <c r="F79" s="163" t="s">
        <v>15</v>
      </c>
      <c r="G79" s="163" t="s">
        <v>16</v>
      </c>
      <c r="H79" s="170" t="s">
        <v>30</v>
      </c>
      <c r="I79" s="171"/>
      <c r="J79" s="171"/>
      <c r="K79" s="171"/>
      <c r="L79" s="171"/>
      <c r="M79" s="172"/>
      <c r="N79" s="176" t="s">
        <v>6</v>
      </c>
      <c r="O79" s="177"/>
      <c r="P79" s="177"/>
      <c r="Q79" s="178"/>
      <c r="R79" s="161" t="s">
        <v>8</v>
      </c>
      <c r="S79" s="179"/>
      <c r="T79" s="159" t="s">
        <v>9</v>
      </c>
      <c r="U79" s="159" t="s">
        <v>10</v>
      </c>
      <c r="V79" s="159"/>
      <c r="W79" s="159"/>
    </row>
    <row r="80" spans="1:23" s="12" customFormat="1" ht="13.05" customHeight="1" x14ac:dyDescent="0.3">
      <c r="A80" s="159"/>
      <c r="B80" s="160"/>
      <c r="C80" s="160"/>
      <c r="D80" s="160"/>
      <c r="E80" s="162"/>
      <c r="F80" s="164"/>
      <c r="G80" s="164"/>
      <c r="H80" s="173"/>
      <c r="I80" s="174"/>
      <c r="J80" s="174"/>
      <c r="K80" s="174"/>
      <c r="L80" s="174"/>
      <c r="M80" s="175"/>
      <c r="N80" s="176" t="s">
        <v>7</v>
      </c>
      <c r="O80" s="177"/>
      <c r="P80" s="177"/>
      <c r="Q80" s="178"/>
      <c r="R80" s="162"/>
      <c r="S80" s="180"/>
      <c r="T80" s="159"/>
      <c r="U80" s="159"/>
      <c r="V80" s="159"/>
      <c r="W80" s="159"/>
    </row>
    <row r="81" spans="1:23" ht="14.55" customHeight="1" x14ac:dyDescent="0.3">
      <c r="A81" s="183" t="s">
        <v>49</v>
      </c>
      <c r="B81" s="5">
        <v>0.33333333333333331</v>
      </c>
      <c r="C81" s="5"/>
      <c r="D81" s="4">
        <v>250039</v>
      </c>
      <c r="E81" s="3" t="s">
        <v>241</v>
      </c>
      <c r="F81" s="19">
        <v>304</v>
      </c>
      <c r="G81" s="20">
        <v>0.7</v>
      </c>
      <c r="H81" s="186" t="s">
        <v>87</v>
      </c>
      <c r="I81" s="187"/>
      <c r="J81" s="187"/>
      <c r="K81" s="187"/>
      <c r="L81" s="187"/>
      <c r="M81" s="188"/>
      <c r="N81" s="189">
        <v>400</v>
      </c>
      <c r="O81" s="198"/>
      <c r="P81" s="198"/>
      <c r="Q81" s="190"/>
      <c r="R81" s="86"/>
      <c r="S81" s="79" t="s">
        <v>14</v>
      </c>
      <c r="T81" s="21"/>
      <c r="U81" s="204"/>
      <c r="V81" s="205"/>
      <c r="W81" s="206"/>
    </row>
    <row r="82" spans="1:23" ht="14.55" customHeight="1" x14ac:dyDescent="0.3">
      <c r="A82" s="207"/>
      <c r="B82" s="5"/>
      <c r="C82" s="5"/>
      <c r="D82" s="4">
        <v>250039</v>
      </c>
      <c r="E82" s="3" t="s">
        <v>242</v>
      </c>
      <c r="F82" s="19">
        <v>304</v>
      </c>
      <c r="G82" s="20">
        <v>0.7</v>
      </c>
      <c r="H82" s="186" t="s">
        <v>87</v>
      </c>
      <c r="I82" s="187"/>
      <c r="J82" s="187"/>
      <c r="K82" s="187"/>
      <c r="L82" s="187"/>
      <c r="M82" s="188"/>
      <c r="N82" s="189">
        <v>600</v>
      </c>
      <c r="O82" s="198"/>
      <c r="P82" s="198"/>
      <c r="Q82" s="190"/>
      <c r="R82" s="86"/>
      <c r="S82" s="79" t="s">
        <v>14</v>
      </c>
      <c r="T82" s="21"/>
      <c r="U82" s="204"/>
      <c r="V82" s="205"/>
      <c r="W82" s="206"/>
    </row>
    <row r="83" spans="1:23" ht="14.55" customHeight="1" x14ac:dyDescent="0.3">
      <c r="A83" s="207"/>
      <c r="B83" s="5"/>
      <c r="C83" s="5"/>
      <c r="D83" s="4">
        <v>250039</v>
      </c>
      <c r="E83" s="3" t="s">
        <v>243</v>
      </c>
      <c r="F83" s="19">
        <v>304</v>
      </c>
      <c r="G83" s="20">
        <v>0.7</v>
      </c>
      <c r="H83" s="186" t="s">
        <v>87</v>
      </c>
      <c r="I83" s="187"/>
      <c r="J83" s="187"/>
      <c r="K83" s="187"/>
      <c r="L83" s="187"/>
      <c r="M83" s="188"/>
      <c r="N83" s="189">
        <v>400</v>
      </c>
      <c r="O83" s="198"/>
      <c r="P83" s="198"/>
      <c r="Q83" s="190"/>
      <c r="R83" s="86"/>
      <c r="S83" s="79" t="s">
        <v>14</v>
      </c>
      <c r="T83" s="21"/>
      <c r="U83" s="204"/>
      <c r="V83" s="205"/>
      <c r="W83" s="206"/>
    </row>
    <row r="84" spans="1:23" ht="14.55" customHeight="1" x14ac:dyDescent="0.3">
      <c r="A84" s="207"/>
      <c r="B84" s="5"/>
      <c r="C84" s="5"/>
      <c r="D84" s="4">
        <v>250039</v>
      </c>
      <c r="E84" s="3" t="s">
        <v>244</v>
      </c>
      <c r="F84" s="19">
        <v>304</v>
      </c>
      <c r="G84" s="20">
        <v>0.7</v>
      </c>
      <c r="H84" s="186" t="s">
        <v>87</v>
      </c>
      <c r="I84" s="187"/>
      <c r="J84" s="187"/>
      <c r="K84" s="187"/>
      <c r="L84" s="187"/>
      <c r="M84" s="188"/>
      <c r="N84" s="189">
        <v>402</v>
      </c>
      <c r="O84" s="198"/>
      <c r="P84" s="198"/>
      <c r="Q84" s="190"/>
      <c r="R84" s="86"/>
      <c r="S84" s="79" t="s">
        <v>14</v>
      </c>
      <c r="T84" s="21"/>
      <c r="U84" s="204"/>
      <c r="V84" s="205"/>
      <c r="W84" s="206"/>
    </row>
    <row r="85" spans="1:23" ht="14.55" customHeight="1" x14ac:dyDescent="0.3">
      <c r="A85" s="184"/>
      <c r="B85" s="5"/>
      <c r="C85" s="5"/>
      <c r="D85" s="4">
        <v>250039</v>
      </c>
      <c r="E85" s="3" t="s">
        <v>245</v>
      </c>
      <c r="F85" s="19">
        <v>304</v>
      </c>
      <c r="G85" s="20">
        <v>0.7</v>
      </c>
      <c r="H85" s="186" t="s">
        <v>87</v>
      </c>
      <c r="I85" s="187"/>
      <c r="J85" s="187"/>
      <c r="K85" s="187"/>
      <c r="L85" s="187"/>
      <c r="M85" s="188"/>
      <c r="N85" s="189">
        <v>400</v>
      </c>
      <c r="O85" s="198"/>
      <c r="P85" s="198"/>
      <c r="Q85" s="190"/>
      <c r="R85" s="86"/>
      <c r="S85" s="6" t="s">
        <v>14</v>
      </c>
      <c r="T85" s="21"/>
      <c r="U85" s="204"/>
      <c r="V85" s="205"/>
      <c r="W85" s="206"/>
    </row>
    <row r="86" spans="1:23" ht="14.55" customHeight="1" x14ac:dyDescent="0.3">
      <c r="A86" s="184"/>
      <c r="B86" s="5"/>
      <c r="C86" s="5"/>
      <c r="D86" s="4">
        <v>250039</v>
      </c>
      <c r="E86" s="3" t="s">
        <v>246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410</v>
      </c>
      <c r="O86" s="198"/>
      <c r="P86" s="198"/>
      <c r="Q86" s="190"/>
      <c r="R86" s="86"/>
      <c r="S86" s="6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250039</v>
      </c>
      <c r="E87" s="3" t="s">
        <v>247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400</v>
      </c>
      <c r="O87" s="198"/>
      <c r="P87" s="198"/>
      <c r="Q87" s="190"/>
      <c r="R87" s="86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>
        <v>250039</v>
      </c>
      <c r="E88" s="3" t="s">
        <v>248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400</v>
      </c>
      <c r="O88" s="198"/>
      <c r="P88" s="198"/>
      <c r="Q88" s="190"/>
      <c r="R88" s="86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>
        <v>0.70833333333333337</v>
      </c>
      <c r="D89" s="4">
        <v>250039</v>
      </c>
      <c r="E89" s="3" t="s">
        <v>249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400</v>
      </c>
      <c r="O89" s="198"/>
      <c r="P89" s="198"/>
      <c r="Q89" s="190"/>
      <c r="R89" s="86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204"/>
      <c r="I90" s="205"/>
      <c r="J90" s="205"/>
      <c r="K90" s="205"/>
      <c r="L90" s="205"/>
      <c r="M90" s="206"/>
      <c r="N90" s="189"/>
      <c r="O90" s="198"/>
      <c r="P90" s="198"/>
      <c r="Q90" s="190"/>
      <c r="R90" s="86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4"/>
      <c r="B91" s="5"/>
      <c r="C91" s="5"/>
      <c r="D91" s="4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8"/>
      <c r="P91" s="198"/>
      <c r="Q91" s="190"/>
      <c r="R91" s="86"/>
      <c r="S91" s="6" t="s">
        <v>14</v>
      </c>
      <c r="T91" s="21"/>
      <c r="U91" s="204"/>
      <c r="V91" s="205"/>
      <c r="W91" s="206"/>
    </row>
    <row r="92" spans="1:23" ht="14.55" customHeight="1" x14ac:dyDescent="0.3">
      <c r="A92" s="185"/>
      <c r="B92" s="165" t="s">
        <v>0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8">
        <f>SUM(N81:O91)</f>
        <v>3812</v>
      </c>
      <c r="O92" s="197"/>
      <c r="P92" s="197"/>
      <c r="Q92" s="169"/>
      <c r="R92" s="10">
        <f>SUM(R81:R91)</f>
        <v>0</v>
      </c>
      <c r="S92" s="11" t="s">
        <v>14</v>
      </c>
      <c r="T92" s="9"/>
      <c r="U92" s="204"/>
      <c r="V92" s="205"/>
      <c r="W92" s="206"/>
    </row>
    <row r="93" spans="1:23" ht="14.55" customHeight="1" x14ac:dyDescent="0.3">
      <c r="D93" s="79"/>
      <c r="E93" s="48"/>
      <c r="F93" s="48"/>
      <c r="G93" s="48"/>
      <c r="H93" s="48"/>
      <c r="I93" s="48"/>
      <c r="R93" s="79"/>
    </row>
    <row r="94" spans="1:23" ht="14.55" customHeight="1" x14ac:dyDescent="0.3">
      <c r="D94" s="79"/>
      <c r="E94" s="165" t="s">
        <v>33</v>
      </c>
      <c r="F94" s="166"/>
      <c r="G94" s="166"/>
      <c r="H94" s="166"/>
      <c r="I94" s="166"/>
      <c r="J94" s="166"/>
      <c r="K94" s="166"/>
      <c r="L94" s="166"/>
      <c r="M94" s="167"/>
      <c r="N94" s="181" t="s">
        <v>7</v>
      </c>
      <c r="O94" s="199"/>
      <c r="P94" s="199"/>
      <c r="Q94" s="182"/>
      <c r="R94" s="79"/>
    </row>
    <row r="95" spans="1:23" ht="14.55" customHeight="1" x14ac:dyDescent="0.3">
      <c r="D95" s="79"/>
      <c r="E95" s="7"/>
      <c r="F95" s="7"/>
      <c r="G95" s="7"/>
      <c r="H95" s="7"/>
      <c r="I95" s="7"/>
      <c r="J95" s="22"/>
      <c r="K95" s="23"/>
      <c r="L95" s="22"/>
      <c r="M95" s="24"/>
      <c r="N95" s="200">
        <f>N92</f>
        <v>3812</v>
      </c>
      <c r="O95" s="201"/>
      <c r="P95" s="202" t="s">
        <v>13</v>
      </c>
      <c r="Q95" s="203"/>
      <c r="R95" s="79"/>
    </row>
  </sheetData>
  <mergeCells count="250">
    <mergeCell ref="N95:O95"/>
    <mergeCell ref="P95:Q95"/>
    <mergeCell ref="H46:M46"/>
    <mergeCell ref="N46:Q46"/>
    <mergeCell ref="H82:M82"/>
    <mergeCell ref="N82:Q82"/>
    <mergeCell ref="H83:M83"/>
    <mergeCell ref="N83:Q83"/>
    <mergeCell ref="H84:M84"/>
    <mergeCell ref="N84:Q84"/>
    <mergeCell ref="H91:M91"/>
    <mergeCell ref="N91:Q91"/>
    <mergeCell ref="B92:M92"/>
    <mergeCell ref="N92:Q92"/>
    <mergeCell ref="E94:M94"/>
    <mergeCell ref="N94:Q94"/>
    <mergeCell ref="G79:G80"/>
    <mergeCell ref="H79:M80"/>
    <mergeCell ref="N73:O73"/>
    <mergeCell ref="P73:Q73"/>
    <mergeCell ref="H71:M71"/>
    <mergeCell ref="N71:O71"/>
    <mergeCell ref="P71:Q71"/>
    <mergeCell ref="N79:Q79"/>
    <mergeCell ref="A81:A92"/>
    <mergeCell ref="H81:M81"/>
    <mergeCell ref="N81:Q81"/>
    <mergeCell ref="U81:W92"/>
    <mergeCell ref="H85:M85"/>
    <mergeCell ref="N85:Q85"/>
    <mergeCell ref="H86:M86"/>
    <mergeCell ref="N86:Q86"/>
    <mergeCell ref="H87:M87"/>
    <mergeCell ref="N87:Q87"/>
    <mergeCell ref="H88:M88"/>
    <mergeCell ref="N88:Q88"/>
    <mergeCell ref="H89:M89"/>
    <mergeCell ref="N89:Q89"/>
    <mergeCell ref="H90:M90"/>
    <mergeCell ref="N90:Q90"/>
    <mergeCell ref="R79:S80"/>
    <mergeCell ref="T79:T80"/>
    <mergeCell ref="U79:W80"/>
    <mergeCell ref="N80:Q80"/>
    <mergeCell ref="E75:M75"/>
    <mergeCell ref="N75:O75"/>
    <mergeCell ref="P75:Q75"/>
    <mergeCell ref="A78:W78"/>
    <mergeCell ref="A79:A80"/>
    <mergeCell ref="B79:B80"/>
    <mergeCell ref="C79:C80"/>
    <mergeCell ref="D79:D80"/>
    <mergeCell ref="E79:E80"/>
    <mergeCell ref="F79:F80"/>
    <mergeCell ref="P69:Q69"/>
    <mergeCell ref="H70:M70"/>
    <mergeCell ref="N70:O70"/>
    <mergeCell ref="P70:Q70"/>
    <mergeCell ref="U66:W67"/>
    <mergeCell ref="N67:O67"/>
    <mergeCell ref="P67:Q67"/>
    <mergeCell ref="A68:A73"/>
    <mergeCell ref="H68:M68"/>
    <mergeCell ref="N68:O68"/>
    <mergeCell ref="P68:Q68"/>
    <mergeCell ref="U68:W73"/>
    <mergeCell ref="H69:M69"/>
    <mergeCell ref="N69:O69"/>
    <mergeCell ref="F66:F67"/>
    <mergeCell ref="G66:G67"/>
    <mergeCell ref="H66:M67"/>
    <mergeCell ref="N66:Q66"/>
    <mergeCell ref="R66:S67"/>
    <mergeCell ref="T66:T67"/>
    <mergeCell ref="H72:M72"/>
    <mergeCell ref="N72:O72"/>
    <mergeCell ref="P72:Q72"/>
    <mergeCell ref="B73:M73"/>
    <mergeCell ref="E62:M62"/>
    <mergeCell ref="N62:Q62"/>
    <mergeCell ref="N63:O63"/>
    <mergeCell ref="P63:Q63"/>
    <mergeCell ref="A65:W65"/>
    <mergeCell ref="A66:A67"/>
    <mergeCell ref="B66:B67"/>
    <mergeCell ref="C66:C67"/>
    <mergeCell ref="D66:D67"/>
    <mergeCell ref="E66:E67"/>
    <mergeCell ref="A57:A60"/>
    <mergeCell ref="H57:M57"/>
    <mergeCell ref="N57:Q57"/>
    <mergeCell ref="U57:W60"/>
    <mergeCell ref="H58:M58"/>
    <mergeCell ref="N58:Q58"/>
    <mergeCell ref="H59:M59"/>
    <mergeCell ref="N59:Q59"/>
    <mergeCell ref="B60:M60"/>
    <mergeCell ref="N60:Q60"/>
    <mergeCell ref="E51:M51"/>
    <mergeCell ref="N51:Q51"/>
    <mergeCell ref="R43:S44"/>
    <mergeCell ref="T43:T44"/>
    <mergeCell ref="U43:W44"/>
    <mergeCell ref="N44:Q44"/>
    <mergeCell ref="H55:M56"/>
    <mergeCell ref="N55:Q55"/>
    <mergeCell ref="R55:S56"/>
    <mergeCell ref="T55:T56"/>
    <mergeCell ref="U55:W56"/>
    <mergeCell ref="N56:Q56"/>
    <mergeCell ref="N52:O52"/>
    <mergeCell ref="P52:Q52"/>
    <mergeCell ref="A54:W54"/>
    <mergeCell ref="A55:A56"/>
    <mergeCell ref="B55:B56"/>
    <mergeCell ref="C55:C56"/>
    <mergeCell ref="D55:D56"/>
    <mergeCell ref="E55:E56"/>
    <mergeCell ref="F55:F56"/>
    <mergeCell ref="G55:G56"/>
    <mergeCell ref="A45:A49"/>
    <mergeCell ref="H45:M45"/>
    <mergeCell ref="N45:Q45"/>
    <mergeCell ref="U45:W49"/>
    <mergeCell ref="H47:M47"/>
    <mergeCell ref="N47:Q47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8:M48"/>
    <mergeCell ref="N48:Q48"/>
    <mergeCell ref="B49:M49"/>
    <mergeCell ref="N49:Q49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W103"/>
  <sheetViews>
    <sheetView topLeftCell="A58" zoomScale="85" zoomScaleNormal="85" workbookViewId="0">
      <selection activeCell="D67" sqref="D67"/>
    </sheetView>
  </sheetViews>
  <sheetFormatPr defaultColWidth="8.88671875" defaultRowHeight="14.4" x14ac:dyDescent="0.3"/>
  <cols>
    <col min="1" max="1" width="12.6640625" style="79" customWidth="1"/>
    <col min="2" max="3" width="7.6640625" style="79" customWidth="1"/>
    <col min="4" max="4" width="10" style="48" bestFit="1" customWidth="1"/>
    <col min="5" max="5" width="42.21875" style="79" bestFit="1" customWidth="1"/>
    <col min="6" max="6" width="5.6640625" style="79" customWidth="1"/>
    <col min="7" max="7" width="6.6640625" style="79" customWidth="1"/>
    <col min="8" max="9" width="3.6640625" style="79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79" customWidth="1"/>
    <col min="20" max="20" width="17.6640625" style="79" customWidth="1"/>
    <col min="21" max="23" width="6.6640625" style="79" customWidth="1"/>
    <col min="24" max="16384" width="8.88671875" style="79"/>
  </cols>
  <sheetData>
    <row r="1" spans="1:23" x14ac:dyDescent="0.3">
      <c r="D1" s="79"/>
      <c r="J1" s="79"/>
      <c r="K1" s="79"/>
      <c r="L1" s="79"/>
      <c r="M1" s="79"/>
      <c r="N1" s="79"/>
      <c r="O1" s="79"/>
      <c r="P1" s="79"/>
      <c r="Q1" s="79"/>
      <c r="R1" s="79"/>
    </row>
    <row r="2" spans="1:23" x14ac:dyDescent="0.3">
      <c r="D2" s="79"/>
      <c r="J2" s="79"/>
      <c r="K2" s="79"/>
      <c r="L2" s="79"/>
      <c r="M2" s="79"/>
      <c r="N2" s="79"/>
      <c r="O2" s="79"/>
      <c r="P2" s="79"/>
      <c r="Q2" s="79"/>
      <c r="R2" s="79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77">
        <v>100925</v>
      </c>
      <c r="E7" s="3" t="s">
        <v>231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2000</v>
      </c>
      <c r="O7" s="190"/>
      <c r="P7" s="189"/>
      <c r="Q7" s="190"/>
      <c r="R7" s="88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46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88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6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88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88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88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88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79"/>
      <c r="E15" s="48"/>
      <c r="F15" s="48"/>
      <c r="G15" s="48"/>
      <c r="H15" s="48"/>
      <c r="I15" s="48"/>
      <c r="R15" s="79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87">
        <f>N10+N14</f>
        <v>2000</v>
      </c>
      <c r="O17" s="14" t="s">
        <v>13</v>
      </c>
      <c r="P17" s="87">
        <f>P10+P14</f>
        <v>0</v>
      </c>
      <c r="Q17" s="15" t="s">
        <v>13</v>
      </c>
    </row>
    <row r="18" spans="1:23" ht="15" customHeight="1" x14ac:dyDescent="0.3">
      <c r="D18" s="79"/>
      <c r="J18" s="79"/>
      <c r="K18" s="79"/>
      <c r="L18" s="79"/>
      <c r="M18" s="79"/>
      <c r="N18" s="79"/>
      <c r="O18" s="79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77">
        <v>100925</v>
      </c>
      <c r="E22" s="3" t="s">
        <v>232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425</v>
      </c>
      <c r="O22" s="198"/>
      <c r="P22" s="198"/>
      <c r="Q22" s="190"/>
      <c r="R22" s="88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77">
        <v>100925</v>
      </c>
      <c r="E23" s="3" t="s">
        <v>250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1725</v>
      </c>
      <c r="O23" s="198"/>
      <c r="P23" s="198"/>
      <c r="Q23" s="190"/>
      <c r="R23" s="88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88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88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2150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79"/>
      <c r="E27" s="48"/>
      <c r="F27" s="48"/>
      <c r="G27" s="48"/>
      <c r="H27" s="48"/>
      <c r="I27" s="48"/>
      <c r="R27" s="79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2150</v>
      </c>
      <c r="O29" s="201"/>
      <c r="P29" s="202" t="s">
        <v>13</v>
      </c>
      <c r="Q29" s="203"/>
    </row>
    <row r="30" spans="1:23" ht="15" customHeight="1" x14ac:dyDescent="0.3">
      <c r="D30" s="79"/>
      <c r="J30" s="79"/>
      <c r="K30" s="79"/>
      <c r="L30" s="79"/>
      <c r="M30" s="79"/>
      <c r="N30" s="79"/>
      <c r="O30" s="79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77">
        <v>100925</v>
      </c>
      <c r="E34" s="3" t="s">
        <v>232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1755</v>
      </c>
      <c r="O34" s="190"/>
      <c r="P34" s="189"/>
      <c r="Q34" s="190"/>
      <c r="R34" s="88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77">
        <v>100925</v>
      </c>
      <c r="E35" s="3" t="s">
        <v>250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245</v>
      </c>
      <c r="O35" s="190"/>
      <c r="P35" s="189"/>
      <c r="Q35" s="190"/>
      <c r="R35" s="88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88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79"/>
      <c r="E38" s="48"/>
      <c r="F38" s="48"/>
      <c r="G38" s="48"/>
      <c r="H38" s="48"/>
      <c r="I38" s="48"/>
      <c r="R38" s="79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87">
        <f>N37</f>
        <v>2000</v>
      </c>
      <c r="O40" s="14" t="s">
        <v>13</v>
      </c>
      <c r="P40" s="87">
        <f>P37</f>
        <v>0</v>
      </c>
      <c r="Q40" s="15" t="s">
        <v>13</v>
      </c>
    </row>
    <row r="41" spans="1:23" ht="15" customHeight="1" x14ac:dyDescent="0.3">
      <c r="D41" s="79"/>
      <c r="J41" s="79"/>
      <c r="K41" s="79"/>
      <c r="L41" s="79"/>
      <c r="M41" s="79"/>
      <c r="N41" s="79"/>
      <c r="O41" s="79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77">
        <v>100925</v>
      </c>
      <c r="E45" s="3" t="s">
        <v>231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630</v>
      </c>
      <c r="O45" s="198"/>
      <c r="P45" s="198"/>
      <c r="Q45" s="190"/>
      <c r="R45" s="88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77">
        <v>100925</v>
      </c>
      <c r="E46" s="3" t="s">
        <v>238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1280</v>
      </c>
      <c r="O46" s="198"/>
      <c r="P46" s="198"/>
      <c r="Q46" s="190"/>
      <c r="R46" s="88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77">
        <v>100925</v>
      </c>
      <c r="E47" s="3" t="s">
        <v>232</v>
      </c>
      <c r="F47" s="19">
        <v>304</v>
      </c>
      <c r="G47" s="20">
        <v>0.9</v>
      </c>
      <c r="H47" s="186"/>
      <c r="I47" s="187"/>
      <c r="J47" s="187"/>
      <c r="K47" s="187"/>
      <c r="L47" s="187"/>
      <c r="M47" s="188"/>
      <c r="N47" s="189">
        <v>300</v>
      </c>
      <c r="O47" s="198"/>
      <c r="P47" s="198"/>
      <c r="Q47" s="190"/>
      <c r="R47" s="88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2210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79"/>
      <c r="E49" s="48"/>
      <c r="F49" s="48"/>
      <c r="G49" s="48"/>
      <c r="H49" s="48"/>
      <c r="I49" s="48"/>
      <c r="R49" s="7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2210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77">
        <v>100925</v>
      </c>
      <c r="E56" s="3" t="s">
        <v>231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1300</v>
      </c>
      <c r="O56" s="198"/>
      <c r="P56" s="198"/>
      <c r="Q56" s="190"/>
      <c r="R56" s="88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77">
        <v>100925</v>
      </c>
      <c r="E57" s="3" t="s">
        <v>238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700</v>
      </c>
      <c r="O57" s="198"/>
      <c r="P57" s="198"/>
      <c r="Q57" s="190"/>
      <c r="R57" s="88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88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2000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79"/>
      <c r="E60" s="48"/>
      <c r="F60" s="48"/>
      <c r="G60" s="48"/>
      <c r="H60" s="48"/>
      <c r="I60" s="48"/>
      <c r="R60" s="79"/>
    </row>
    <row r="61" spans="1:23" ht="14.55" customHeight="1" x14ac:dyDescent="0.3">
      <c r="D61" s="79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79"/>
    </row>
    <row r="62" spans="1:23" ht="14.55" customHeight="1" x14ac:dyDescent="0.3">
      <c r="D62" s="79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2000</v>
      </c>
      <c r="O62" s="201"/>
      <c r="P62" s="202" t="s">
        <v>13</v>
      </c>
      <c r="Q62" s="203"/>
      <c r="R62" s="79"/>
    </row>
    <row r="63" spans="1:23" ht="14.55" customHeight="1" x14ac:dyDescent="0.3">
      <c r="D63" s="79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 t="s">
        <v>205</v>
      </c>
      <c r="E67" s="3" t="s">
        <v>184</v>
      </c>
      <c r="F67" s="19">
        <v>304</v>
      </c>
      <c r="G67" s="20">
        <v>0.8</v>
      </c>
      <c r="H67" s="186" t="s">
        <v>124</v>
      </c>
      <c r="I67" s="187"/>
      <c r="J67" s="187"/>
      <c r="K67" s="187"/>
      <c r="L67" s="187"/>
      <c r="M67" s="188"/>
      <c r="N67" s="189">
        <v>1025</v>
      </c>
      <c r="O67" s="190"/>
      <c r="P67" s="189"/>
      <c r="Q67" s="190"/>
      <c r="R67" s="88"/>
      <c r="S67" s="79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100925</v>
      </c>
      <c r="E68" s="3" t="s">
        <v>251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700</v>
      </c>
      <c r="O68" s="190"/>
      <c r="P68" s="189"/>
      <c r="Q68" s="190"/>
      <c r="R68" s="88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0.70833333333333337</v>
      </c>
      <c r="D69" s="46">
        <v>210825</v>
      </c>
      <c r="E69" s="3" t="s">
        <v>252</v>
      </c>
      <c r="F69" s="19">
        <v>304</v>
      </c>
      <c r="G69" s="20">
        <v>0.8</v>
      </c>
      <c r="H69" s="186" t="s">
        <v>122</v>
      </c>
      <c r="I69" s="187"/>
      <c r="J69" s="187"/>
      <c r="K69" s="187"/>
      <c r="L69" s="187"/>
      <c r="M69" s="188"/>
      <c r="N69" s="189">
        <v>54</v>
      </c>
      <c r="O69" s="190"/>
      <c r="P69" s="189"/>
      <c r="Q69" s="190"/>
      <c r="R69" s="88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88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88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88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88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88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88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88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88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1779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79"/>
      <c r="E79" s="48"/>
      <c r="F79" s="48"/>
      <c r="G79" s="48"/>
      <c r="H79" s="48"/>
      <c r="I79" s="48"/>
      <c r="R79" s="79"/>
    </row>
    <row r="80" spans="1:23" ht="14.55" customHeight="1" x14ac:dyDescent="0.3">
      <c r="D80" s="79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79"/>
    </row>
    <row r="81" spans="1:23" ht="14.55" customHeight="1" x14ac:dyDescent="0.3">
      <c r="D81" s="79"/>
      <c r="E81" s="7"/>
      <c r="F81" s="7"/>
      <c r="G81" s="7"/>
      <c r="H81" s="7"/>
      <c r="I81" s="7"/>
      <c r="J81" s="22"/>
      <c r="K81" s="23"/>
      <c r="L81" s="22"/>
      <c r="M81" s="24"/>
      <c r="N81" s="87">
        <f>N78</f>
        <v>1779</v>
      </c>
      <c r="O81" s="14" t="s">
        <v>13</v>
      </c>
      <c r="P81" s="87">
        <f ca="1">P78</f>
        <v>0</v>
      </c>
      <c r="Q81" s="15" t="s">
        <v>13</v>
      </c>
      <c r="R81" s="79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4">
        <v>250039</v>
      </c>
      <c r="E86" s="3" t="s">
        <v>253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400</v>
      </c>
      <c r="O86" s="198"/>
      <c r="P86" s="198"/>
      <c r="Q86" s="190"/>
      <c r="R86" s="88"/>
      <c r="S86" s="79" t="s">
        <v>14</v>
      </c>
      <c r="T86" s="21"/>
      <c r="U86" s="204"/>
      <c r="V86" s="205"/>
      <c r="W86" s="206"/>
    </row>
    <row r="87" spans="1:23" ht="14.55" customHeight="1" x14ac:dyDescent="0.3">
      <c r="A87" s="207"/>
      <c r="B87" s="5"/>
      <c r="C87" s="5"/>
      <c r="D87" s="4">
        <v>250039</v>
      </c>
      <c r="E87" s="3" t="s">
        <v>254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401</v>
      </c>
      <c r="O87" s="198"/>
      <c r="P87" s="198"/>
      <c r="Q87" s="190"/>
      <c r="R87" s="88"/>
      <c r="S87" s="79" t="s">
        <v>14</v>
      </c>
      <c r="T87" s="21"/>
      <c r="U87" s="204"/>
      <c r="V87" s="205"/>
      <c r="W87" s="206"/>
    </row>
    <row r="88" spans="1:23" ht="14.55" customHeight="1" x14ac:dyDescent="0.3">
      <c r="A88" s="207"/>
      <c r="B88" s="5"/>
      <c r="C88" s="5"/>
      <c r="D88" s="4">
        <v>250039</v>
      </c>
      <c r="E88" s="3" t="s">
        <v>255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400</v>
      </c>
      <c r="O88" s="198"/>
      <c r="P88" s="198"/>
      <c r="Q88" s="190"/>
      <c r="R88" s="88"/>
      <c r="S88" s="79" t="s">
        <v>14</v>
      </c>
      <c r="T88" s="21"/>
      <c r="U88" s="204"/>
      <c r="V88" s="205"/>
      <c r="W88" s="206"/>
    </row>
    <row r="89" spans="1:23" ht="14.55" customHeight="1" x14ac:dyDescent="0.3">
      <c r="A89" s="207"/>
      <c r="B89" s="5"/>
      <c r="C89" s="5"/>
      <c r="D89" s="4">
        <v>250039</v>
      </c>
      <c r="E89" s="3" t="s">
        <v>256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248</v>
      </c>
      <c r="O89" s="198"/>
      <c r="P89" s="198"/>
      <c r="Q89" s="190"/>
      <c r="R89" s="88"/>
      <c r="S89" s="79" t="s">
        <v>14</v>
      </c>
      <c r="T89" s="21"/>
      <c r="U89" s="204"/>
      <c r="V89" s="205"/>
      <c r="W89" s="206"/>
    </row>
    <row r="90" spans="1:23" ht="14.55" customHeight="1" x14ac:dyDescent="0.3">
      <c r="A90" s="207"/>
      <c r="B90" s="5"/>
      <c r="C90" s="5"/>
      <c r="D90" s="4">
        <v>250039</v>
      </c>
      <c r="E90" s="3" t="s">
        <v>257</v>
      </c>
      <c r="F90" s="19">
        <v>304</v>
      </c>
      <c r="G90" s="20">
        <v>0.7</v>
      </c>
      <c r="H90" s="186" t="s">
        <v>87</v>
      </c>
      <c r="I90" s="187"/>
      <c r="J90" s="187"/>
      <c r="K90" s="187"/>
      <c r="L90" s="187"/>
      <c r="M90" s="188"/>
      <c r="N90" s="189">
        <v>400</v>
      </c>
      <c r="O90" s="198"/>
      <c r="P90" s="198"/>
      <c r="Q90" s="190"/>
      <c r="R90" s="88"/>
      <c r="S90" s="79" t="s">
        <v>14</v>
      </c>
      <c r="T90" s="21"/>
      <c r="U90" s="204"/>
      <c r="V90" s="205"/>
      <c r="W90" s="206"/>
    </row>
    <row r="91" spans="1:23" ht="14.55" customHeight="1" x14ac:dyDescent="0.3">
      <c r="A91" s="207"/>
      <c r="B91" s="5"/>
      <c r="C91" s="5"/>
      <c r="D91" s="4">
        <v>250039</v>
      </c>
      <c r="E91" s="3" t="s">
        <v>258</v>
      </c>
      <c r="F91" s="19">
        <v>304</v>
      </c>
      <c r="G91" s="20">
        <v>0.7</v>
      </c>
      <c r="H91" s="186" t="s">
        <v>87</v>
      </c>
      <c r="I91" s="187"/>
      <c r="J91" s="187"/>
      <c r="K91" s="187"/>
      <c r="L91" s="187"/>
      <c r="M91" s="188"/>
      <c r="N91" s="189">
        <v>600</v>
      </c>
      <c r="O91" s="198"/>
      <c r="P91" s="198"/>
      <c r="Q91" s="190"/>
      <c r="R91" s="88"/>
      <c r="S91" s="79" t="s">
        <v>14</v>
      </c>
      <c r="T91" s="21"/>
      <c r="U91" s="204"/>
      <c r="V91" s="205"/>
      <c r="W91" s="206"/>
    </row>
    <row r="92" spans="1:23" ht="14.55" customHeight="1" x14ac:dyDescent="0.3">
      <c r="A92" s="207"/>
      <c r="B92" s="5"/>
      <c r="C92" s="5"/>
      <c r="D92" s="4">
        <v>250039</v>
      </c>
      <c r="E92" s="3" t="s">
        <v>259</v>
      </c>
      <c r="F92" s="19">
        <v>304</v>
      </c>
      <c r="G92" s="20">
        <v>0.7</v>
      </c>
      <c r="H92" s="186" t="s">
        <v>87</v>
      </c>
      <c r="I92" s="187"/>
      <c r="J92" s="187"/>
      <c r="K92" s="187"/>
      <c r="L92" s="187"/>
      <c r="M92" s="188"/>
      <c r="N92" s="189">
        <v>400</v>
      </c>
      <c r="O92" s="198"/>
      <c r="P92" s="198"/>
      <c r="Q92" s="190"/>
      <c r="R92" s="88"/>
      <c r="S92" s="79" t="s">
        <v>14</v>
      </c>
      <c r="T92" s="21"/>
      <c r="U92" s="204"/>
      <c r="V92" s="205"/>
      <c r="W92" s="206"/>
    </row>
    <row r="93" spans="1:23" ht="14.55" customHeight="1" x14ac:dyDescent="0.3">
      <c r="A93" s="207"/>
      <c r="B93" s="5"/>
      <c r="C93" s="5"/>
      <c r="D93" s="4">
        <v>250039</v>
      </c>
      <c r="E93" s="3" t="s">
        <v>260</v>
      </c>
      <c r="F93" s="19">
        <v>304</v>
      </c>
      <c r="G93" s="20">
        <v>0.7</v>
      </c>
      <c r="H93" s="186" t="s">
        <v>87</v>
      </c>
      <c r="I93" s="187"/>
      <c r="J93" s="187"/>
      <c r="K93" s="187"/>
      <c r="L93" s="187"/>
      <c r="M93" s="188"/>
      <c r="N93" s="189">
        <v>600</v>
      </c>
      <c r="O93" s="198"/>
      <c r="P93" s="198"/>
      <c r="Q93" s="190"/>
      <c r="R93" s="88"/>
      <c r="S93" s="79" t="s">
        <v>14</v>
      </c>
      <c r="T93" s="21"/>
      <c r="U93" s="204"/>
      <c r="V93" s="205"/>
      <c r="W93" s="206"/>
    </row>
    <row r="94" spans="1:23" ht="14.55" customHeight="1" x14ac:dyDescent="0.3">
      <c r="A94" s="207"/>
      <c r="B94" s="5"/>
      <c r="C94" s="5"/>
      <c r="D94" s="4">
        <v>250039</v>
      </c>
      <c r="E94" s="3" t="s">
        <v>261</v>
      </c>
      <c r="F94" s="19">
        <v>304</v>
      </c>
      <c r="G94" s="20">
        <v>0.7</v>
      </c>
      <c r="H94" s="186" t="s">
        <v>87</v>
      </c>
      <c r="I94" s="187"/>
      <c r="J94" s="187"/>
      <c r="K94" s="187"/>
      <c r="L94" s="187"/>
      <c r="M94" s="188"/>
      <c r="N94" s="189">
        <v>400</v>
      </c>
      <c r="O94" s="198"/>
      <c r="P94" s="198"/>
      <c r="Q94" s="190"/>
      <c r="R94" s="88"/>
      <c r="S94" s="79" t="s">
        <v>14</v>
      </c>
      <c r="T94" s="21"/>
      <c r="U94" s="204"/>
      <c r="V94" s="205"/>
      <c r="W94" s="206"/>
    </row>
    <row r="95" spans="1:23" ht="14.55" customHeight="1" x14ac:dyDescent="0.3">
      <c r="A95" s="207"/>
      <c r="B95" s="5"/>
      <c r="C95" s="5"/>
      <c r="D95" s="4">
        <v>250039</v>
      </c>
      <c r="E95" s="3" t="s">
        <v>262</v>
      </c>
      <c r="F95" s="19">
        <v>304</v>
      </c>
      <c r="G95" s="20">
        <v>0.7</v>
      </c>
      <c r="H95" s="186" t="s">
        <v>87</v>
      </c>
      <c r="I95" s="187"/>
      <c r="J95" s="187"/>
      <c r="K95" s="187"/>
      <c r="L95" s="187"/>
      <c r="M95" s="188"/>
      <c r="N95" s="189">
        <v>400</v>
      </c>
      <c r="O95" s="198"/>
      <c r="P95" s="198"/>
      <c r="Q95" s="190"/>
      <c r="R95" s="88"/>
      <c r="S95" s="79" t="s">
        <v>14</v>
      </c>
      <c r="T95" s="21"/>
      <c r="U95" s="204"/>
      <c r="V95" s="205"/>
      <c r="W95" s="206"/>
    </row>
    <row r="96" spans="1:23" ht="14.55" customHeight="1" x14ac:dyDescent="0.3">
      <c r="A96" s="184"/>
      <c r="B96" s="5"/>
      <c r="C96" s="5">
        <v>0.70833333333333337</v>
      </c>
      <c r="D96" s="4">
        <v>250039</v>
      </c>
      <c r="E96" s="3" t="s">
        <v>263</v>
      </c>
      <c r="F96" s="19">
        <v>304</v>
      </c>
      <c r="G96" s="20">
        <v>0.7</v>
      </c>
      <c r="H96" s="186" t="s">
        <v>87</v>
      </c>
      <c r="I96" s="187"/>
      <c r="J96" s="187"/>
      <c r="K96" s="187"/>
      <c r="L96" s="187"/>
      <c r="M96" s="188"/>
      <c r="N96" s="189">
        <v>400</v>
      </c>
      <c r="O96" s="198"/>
      <c r="P96" s="198"/>
      <c r="Q96" s="190"/>
      <c r="R96" s="88"/>
      <c r="S96" s="6" t="s">
        <v>14</v>
      </c>
      <c r="T96" s="21"/>
      <c r="U96" s="204"/>
      <c r="V96" s="205"/>
      <c r="W96" s="206"/>
    </row>
    <row r="97" spans="1:23" ht="14.55" customHeight="1" x14ac:dyDescent="0.3">
      <c r="A97" s="184"/>
      <c r="B97" s="5"/>
      <c r="C97" s="5"/>
      <c r="D97" s="4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8"/>
      <c r="P97" s="198"/>
      <c r="Q97" s="190"/>
      <c r="R97" s="88"/>
      <c r="S97" s="6" t="s">
        <v>14</v>
      </c>
      <c r="T97" s="21"/>
      <c r="U97" s="204"/>
      <c r="V97" s="205"/>
      <c r="W97" s="206"/>
    </row>
    <row r="98" spans="1:23" ht="14.55" customHeight="1" x14ac:dyDescent="0.3">
      <c r="A98" s="184"/>
      <c r="B98" s="5"/>
      <c r="C98" s="5"/>
      <c r="D98" s="4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8"/>
      <c r="P98" s="198"/>
      <c r="Q98" s="190"/>
      <c r="R98" s="88"/>
      <c r="S98" s="6" t="s">
        <v>14</v>
      </c>
      <c r="T98" s="21"/>
      <c r="U98" s="204"/>
      <c r="V98" s="205"/>
      <c r="W98" s="206"/>
    </row>
    <row r="99" spans="1:23" ht="14.55" customHeight="1" x14ac:dyDescent="0.3">
      <c r="A99" s="184"/>
      <c r="B99" s="5"/>
      <c r="C99" s="5"/>
      <c r="D99" s="4"/>
      <c r="E99" s="3"/>
      <c r="F99" s="19"/>
      <c r="G99" s="20"/>
      <c r="H99" s="186"/>
      <c r="I99" s="187"/>
      <c r="J99" s="187"/>
      <c r="K99" s="187"/>
      <c r="L99" s="187"/>
      <c r="M99" s="188"/>
      <c r="N99" s="189"/>
      <c r="O99" s="198"/>
      <c r="P99" s="198"/>
      <c r="Q99" s="190"/>
      <c r="R99" s="88"/>
      <c r="S99" s="6" t="s">
        <v>14</v>
      </c>
      <c r="T99" s="21"/>
      <c r="U99" s="204"/>
      <c r="V99" s="205"/>
      <c r="W99" s="206"/>
    </row>
    <row r="100" spans="1:23" ht="14.55" customHeight="1" x14ac:dyDescent="0.3">
      <c r="A100" s="185"/>
      <c r="B100" s="165" t="s">
        <v>0</v>
      </c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7"/>
      <c r="N100" s="168">
        <f>SUM(N86:O99)</f>
        <v>4649</v>
      </c>
      <c r="O100" s="197"/>
      <c r="P100" s="197"/>
      <c r="Q100" s="169"/>
      <c r="R100" s="10">
        <f>SUM(R86:R99)</f>
        <v>0</v>
      </c>
      <c r="S100" s="11" t="s">
        <v>14</v>
      </c>
      <c r="T100" s="9"/>
      <c r="U100" s="204"/>
      <c r="V100" s="205"/>
      <c r="W100" s="206"/>
    </row>
    <row r="101" spans="1:23" ht="14.55" customHeight="1" x14ac:dyDescent="0.3">
      <c r="D101" s="79"/>
      <c r="E101" s="48"/>
      <c r="F101" s="48"/>
      <c r="G101" s="48"/>
      <c r="H101" s="48"/>
      <c r="I101" s="48"/>
      <c r="R101" s="79"/>
    </row>
    <row r="102" spans="1:23" ht="14.55" customHeight="1" x14ac:dyDescent="0.3">
      <c r="D102" s="79"/>
      <c r="E102" s="165" t="s">
        <v>33</v>
      </c>
      <c r="F102" s="166"/>
      <c r="G102" s="166"/>
      <c r="H102" s="166"/>
      <c r="I102" s="166"/>
      <c r="J102" s="166"/>
      <c r="K102" s="166"/>
      <c r="L102" s="166"/>
      <c r="M102" s="167"/>
      <c r="N102" s="181" t="s">
        <v>7</v>
      </c>
      <c r="O102" s="199"/>
      <c r="P102" s="199"/>
      <c r="Q102" s="182"/>
      <c r="R102" s="79"/>
    </row>
    <row r="103" spans="1:23" ht="14.55" customHeight="1" x14ac:dyDescent="0.3">
      <c r="D103" s="79"/>
      <c r="E103" s="7"/>
      <c r="F103" s="7"/>
      <c r="G103" s="7"/>
      <c r="H103" s="7"/>
      <c r="I103" s="7"/>
      <c r="J103" s="22"/>
      <c r="K103" s="23"/>
      <c r="L103" s="22"/>
      <c r="M103" s="24"/>
      <c r="N103" s="200">
        <f>N100</f>
        <v>4649</v>
      </c>
      <c r="O103" s="201"/>
      <c r="P103" s="202" t="s">
        <v>13</v>
      </c>
      <c r="Q103" s="203"/>
      <c r="R103" s="79"/>
    </row>
  </sheetData>
  <mergeCells count="272">
    <mergeCell ref="N103:O103"/>
    <mergeCell ref="P103:Q103"/>
    <mergeCell ref="H87:M87"/>
    <mergeCell ref="N87:Q87"/>
    <mergeCell ref="H88:M88"/>
    <mergeCell ref="N88:Q88"/>
    <mergeCell ref="H89:M89"/>
    <mergeCell ref="N89:Q89"/>
    <mergeCell ref="H90:M90"/>
    <mergeCell ref="N90:Q90"/>
    <mergeCell ref="H99:M99"/>
    <mergeCell ref="N99:Q99"/>
    <mergeCell ref="B100:M100"/>
    <mergeCell ref="N100:Q100"/>
    <mergeCell ref="E102:M102"/>
    <mergeCell ref="N102:Q102"/>
    <mergeCell ref="H94:M94"/>
    <mergeCell ref="N94:Q94"/>
    <mergeCell ref="H95:M95"/>
    <mergeCell ref="N95:Q95"/>
    <mergeCell ref="H91:M91"/>
    <mergeCell ref="N91:Q91"/>
    <mergeCell ref="H92:M92"/>
    <mergeCell ref="N92:Q92"/>
    <mergeCell ref="A86:A100"/>
    <mergeCell ref="H86:M86"/>
    <mergeCell ref="N86:Q86"/>
    <mergeCell ref="U86:W100"/>
    <mergeCell ref="H96:M96"/>
    <mergeCell ref="N96:Q96"/>
    <mergeCell ref="H97:M97"/>
    <mergeCell ref="N97:Q97"/>
    <mergeCell ref="H98:M98"/>
    <mergeCell ref="N98:Q98"/>
    <mergeCell ref="H93:M93"/>
    <mergeCell ref="N93:Q93"/>
    <mergeCell ref="G84:G85"/>
    <mergeCell ref="H84:M85"/>
    <mergeCell ref="N84:Q84"/>
    <mergeCell ref="R84:S85"/>
    <mergeCell ref="T84:T85"/>
    <mergeCell ref="U84:W85"/>
    <mergeCell ref="N85:Q85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W98"/>
  <sheetViews>
    <sheetView zoomScale="85" zoomScaleNormal="85" workbookViewId="0">
      <selection activeCell="N9" sqref="N9:O9"/>
    </sheetView>
  </sheetViews>
  <sheetFormatPr defaultColWidth="8.88671875" defaultRowHeight="14.4" x14ac:dyDescent="0.3"/>
  <cols>
    <col min="1" max="1" width="12.6640625" style="79" customWidth="1"/>
    <col min="2" max="3" width="7.6640625" style="79" customWidth="1"/>
    <col min="4" max="4" width="10" style="48" bestFit="1" customWidth="1"/>
    <col min="5" max="5" width="44" style="79" bestFit="1" customWidth="1"/>
    <col min="6" max="6" width="5.6640625" style="79" customWidth="1"/>
    <col min="7" max="7" width="6.6640625" style="79" customWidth="1"/>
    <col min="8" max="9" width="3.6640625" style="79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79" customWidth="1"/>
    <col min="20" max="20" width="17.6640625" style="79" customWidth="1"/>
    <col min="21" max="23" width="6.6640625" style="79" customWidth="1"/>
    <col min="24" max="16384" width="8.88671875" style="79"/>
  </cols>
  <sheetData>
    <row r="1" spans="1:23" x14ac:dyDescent="0.3">
      <c r="D1" s="79"/>
      <c r="J1" s="79"/>
      <c r="K1" s="79"/>
      <c r="L1" s="79"/>
      <c r="M1" s="79"/>
      <c r="N1" s="79"/>
      <c r="O1" s="79"/>
      <c r="P1" s="79"/>
      <c r="Q1" s="79"/>
      <c r="R1" s="79"/>
    </row>
    <row r="2" spans="1:23" x14ac:dyDescent="0.3">
      <c r="D2" s="79"/>
      <c r="J2" s="79"/>
      <c r="K2" s="79"/>
      <c r="L2" s="79"/>
      <c r="M2" s="79"/>
      <c r="N2" s="79"/>
      <c r="O2" s="79"/>
      <c r="P2" s="79"/>
      <c r="Q2" s="79"/>
      <c r="R2" s="79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45938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77">
        <v>100925</v>
      </c>
      <c r="E7" s="3" t="s">
        <v>250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200</v>
      </c>
      <c r="O7" s="190"/>
      <c r="P7" s="189"/>
      <c r="Q7" s="190"/>
      <c r="R7" s="90">
        <v>40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/>
      <c r="D8" s="46" t="s">
        <v>205</v>
      </c>
      <c r="E8" s="3" t="s">
        <v>264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1300</v>
      </c>
      <c r="O8" s="190"/>
      <c r="P8" s="189"/>
      <c r="Q8" s="190"/>
      <c r="R8" s="90">
        <v>40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4"/>
      <c r="B9" s="5"/>
      <c r="C9" s="5">
        <v>0.70833333333333337</v>
      </c>
      <c r="D9" s="46" t="s">
        <v>205</v>
      </c>
      <c r="E9" s="3" t="s">
        <v>265</v>
      </c>
      <c r="F9" s="19">
        <v>304</v>
      </c>
      <c r="G9" s="20">
        <v>0.9</v>
      </c>
      <c r="H9" s="186"/>
      <c r="I9" s="187"/>
      <c r="J9" s="187"/>
      <c r="K9" s="187"/>
      <c r="L9" s="187"/>
      <c r="M9" s="188"/>
      <c r="N9" s="189">
        <v>900</v>
      </c>
      <c r="O9" s="190"/>
      <c r="P9" s="189"/>
      <c r="Q9" s="190"/>
      <c r="R9" s="90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2400</v>
      </c>
      <c r="O10" s="169"/>
      <c r="P10" s="168">
        <f>SUM(P7:Q9)</f>
        <v>0</v>
      </c>
      <c r="Q10" s="169"/>
      <c r="R10" s="10">
        <f>SUM(R7:R9)</f>
        <v>80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9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90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90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79"/>
      <c r="E15" s="48"/>
      <c r="F15" s="48"/>
      <c r="G15" s="48"/>
      <c r="H15" s="48"/>
      <c r="I15" s="48"/>
      <c r="R15" s="79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89">
        <f>N10+N14</f>
        <v>2400</v>
      </c>
      <c r="O17" s="14" t="s">
        <v>13</v>
      </c>
      <c r="P17" s="89">
        <f>P10+P14</f>
        <v>0</v>
      </c>
      <c r="Q17" s="15" t="s">
        <v>13</v>
      </c>
    </row>
    <row r="18" spans="1:23" ht="15" customHeight="1" x14ac:dyDescent="0.3">
      <c r="D18" s="79"/>
      <c r="J18" s="79"/>
      <c r="K18" s="79"/>
      <c r="L18" s="79"/>
      <c r="M18" s="79"/>
      <c r="N18" s="79"/>
      <c r="O18" s="79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77">
        <v>100925</v>
      </c>
      <c r="E22" s="3" t="s">
        <v>250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460</v>
      </c>
      <c r="O22" s="198"/>
      <c r="P22" s="198"/>
      <c r="Q22" s="190"/>
      <c r="R22" s="9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6" t="s">
        <v>205</v>
      </c>
      <c r="E23" s="3" t="s">
        <v>264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1358</v>
      </c>
      <c r="O23" s="198"/>
      <c r="P23" s="198"/>
      <c r="Q23" s="190"/>
      <c r="R23" s="9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>
        <v>17</v>
      </c>
      <c r="D24" s="46" t="s">
        <v>205</v>
      </c>
      <c r="E24" s="3" t="s">
        <v>265</v>
      </c>
      <c r="F24" s="19">
        <v>304</v>
      </c>
      <c r="G24" s="20">
        <v>0.9</v>
      </c>
      <c r="H24" s="186"/>
      <c r="I24" s="187"/>
      <c r="J24" s="187"/>
      <c r="K24" s="187"/>
      <c r="L24" s="187"/>
      <c r="M24" s="188"/>
      <c r="N24" s="189">
        <v>100</v>
      </c>
      <c r="O24" s="198"/>
      <c r="P24" s="198"/>
      <c r="Q24" s="190"/>
      <c r="R24" s="90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90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1918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79"/>
      <c r="E27" s="48"/>
      <c r="F27" s="48"/>
      <c r="G27" s="48"/>
      <c r="H27" s="48"/>
      <c r="I27" s="48"/>
      <c r="R27" s="79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1918</v>
      </c>
      <c r="O29" s="201"/>
      <c r="P29" s="202" t="s">
        <v>13</v>
      </c>
      <c r="Q29" s="203"/>
    </row>
    <row r="30" spans="1:23" ht="15" customHeight="1" x14ac:dyDescent="0.3">
      <c r="D30" s="79"/>
      <c r="J30" s="79"/>
      <c r="K30" s="79"/>
      <c r="L30" s="79"/>
      <c r="M30" s="79"/>
      <c r="N30" s="79"/>
      <c r="O30" s="79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77">
        <v>100925</v>
      </c>
      <c r="E34" s="3" t="s">
        <v>250</v>
      </c>
      <c r="F34" s="19">
        <v>304</v>
      </c>
      <c r="G34" s="20">
        <v>0.9</v>
      </c>
      <c r="H34" s="186" t="s">
        <v>201</v>
      </c>
      <c r="I34" s="187"/>
      <c r="J34" s="187"/>
      <c r="K34" s="187"/>
      <c r="L34" s="187"/>
      <c r="M34" s="188"/>
      <c r="N34" s="189">
        <v>1875</v>
      </c>
      <c r="O34" s="190"/>
      <c r="P34" s="189"/>
      <c r="Q34" s="190"/>
      <c r="R34" s="9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6" t="s">
        <v>205</v>
      </c>
      <c r="E35" s="3" t="s">
        <v>264</v>
      </c>
      <c r="F35" s="19">
        <v>304</v>
      </c>
      <c r="G35" s="20">
        <v>0.9</v>
      </c>
      <c r="H35" s="186" t="s">
        <v>266</v>
      </c>
      <c r="I35" s="187"/>
      <c r="J35" s="187"/>
      <c r="K35" s="187"/>
      <c r="L35" s="187"/>
      <c r="M35" s="188"/>
      <c r="N35" s="189">
        <v>125</v>
      </c>
      <c r="O35" s="190"/>
      <c r="P35" s="189"/>
      <c r="Q35" s="190"/>
      <c r="R35" s="90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90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79"/>
      <c r="E38" s="48"/>
      <c r="F38" s="48"/>
      <c r="G38" s="48"/>
      <c r="H38" s="48"/>
      <c r="I38" s="48"/>
      <c r="R38" s="79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89">
        <f>N37</f>
        <v>2000</v>
      </c>
      <c r="O40" s="14" t="s">
        <v>13</v>
      </c>
      <c r="P40" s="89">
        <f>P37</f>
        <v>0</v>
      </c>
      <c r="Q40" s="15" t="s">
        <v>13</v>
      </c>
    </row>
    <row r="41" spans="1:23" ht="15" customHeight="1" x14ac:dyDescent="0.3">
      <c r="D41" s="79"/>
      <c r="J41" s="79"/>
      <c r="K41" s="79"/>
      <c r="L41" s="79"/>
      <c r="M41" s="79"/>
      <c r="N41" s="79"/>
      <c r="O41" s="79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>
        <v>0.70833333333333337</v>
      </c>
      <c r="D45" s="77">
        <v>100925</v>
      </c>
      <c r="E45" s="3" t="s">
        <v>267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2100</v>
      </c>
      <c r="O45" s="198"/>
      <c r="P45" s="198"/>
      <c r="Q45" s="190"/>
      <c r="R45" s="90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4"/>
      <c r="E46" s="3"/>
      <c r="F46" s="19"/>
      <c r="G46" s="20"/>
      <c r="H46" s="186"/>
      <c r="I46" s="187"/>
      <c r="J46" s="187"/>
      <c r="K46" s="187"/>
      <c r="L46" s="187"/>
      <c r="M46" s="188"/>
      <c r="N46" s="189"/>
      <c r="O46" s="198"/>
      <c r="P46" s="198"/>
      <c r="Q46" s="190"/>
      <c r="R46" s="90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90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2100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79"/>
      <c r="E49" s="48"/>
      <c r="F49" s="48"/>
      <c r="G49" s="48"/>
      <c r="H49" s="48"/>
      <c r="I49" s="48"/>
      <c r="R49" s="79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2100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77">
        <v>100925</v>
      </c>
      <c r="E56" s="3" t="s">
        <v>238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565</v>
      </c>
      <c r="O56" s="198"/>
      <c r="P56" s="198"/>
      <c r="Q56" s="190"/>
      <c r="R56" s="9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">
        <v>100925</v>
      </c>
      <c r="E57" s="3" t="s">
        <v>232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1435</v>
      </c>
      <c r="O57" s="198"/>
      <c r="P57" s="198"/>
      <c r="Q57" s="190"/>
      <c r="R57" s="90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90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2000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79"/>
      <c r="E60" s="48"/>
      <c r="F60" s="48"/>
      <c r="G60" s="48"/>
      <c r="H60" s="48"/>
      <c r="I60" s="48"/>
      <c r="R60" s="79"/>
    </row>
    <row r="61" spans="1:23" ht="14.55" customHeight="1" x14ac:dyDescent="0.3">
      <c r="D61" s="79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79"/>
    </row>
    <row r="62" spans="1:23" ht="14.55" customHeight="1" x14ac:dyDescent="0.3">
      <c r="D62" s="79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2000</v>
      </c>
      <c r="O62" s="201"/>
      <c r="P62" s="202" t="s">
        <v>13</v>
      </c>
      <c r="Q62" s="203"/>
      <c r="R62" s="79"/>
    </row>
    <row r="63" spans="1:23" ht="14.55" customHeight="1" x14ac:dyDescent="0.3">
      <c r="D63" s="79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212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526</v>
      </c>
      <c r="O67" s="190"/>
      <c r="P67" s="189"/>
      <c r="Q67" s="190"/>
      <c r="R67" s="90"/>
      <c r="S67" s="79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100925</v>
      </c>
      <c r="E68" s="3" t="s">
        <v>211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700</v>
      </c>
      <c r="O68" s="190"/>
      <c r="P68" s="189"/>
      <c r="Q68" s="190"/>
      <c r="R68" s="90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0.70833333333333337</v>
      </c>
      <c r="D69" s="4">
        <v>250074</v>
      </c>
      <c r="E69" s="3" t="s">
        <v>268</v>
      </c>
      <c r="F69" s="19">
        <v>304</v>
      </c>
      <c r="G69" s="20">
        <v>0.7</v>
      </c>
      <c r="H69" s="186" t="s">
        <v>269</v>
      </c>
      <c r="I69" s="187"/>
      <c r="J69" s="187"/>
      <c r="K69" s="187"/>
      <c r="L69" s="187"/>
      <c r="M69" s="188"/>
      <c r="N69" s="189">
        <v>774</v>
      </c>
      <c r="O69" s="190"/>
      <c r="P69" s="189"/>
      <c r="Q69" s="190"/>
      <c r="R69" s="90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90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90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5"/>
      <c r="B72" s="165" t="s">
        <v>0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8">
        <f>SUM(N67:O71)</f>
        <v>2000</v>
      </c>
      <c r="O72" s="197"/>
      <c r="P72" s="168">
        <f ca="1">SUM(P67:Q72)</f>
        <v>0</v>
      </c>
      <c r="Q72" s="197"/>
      <c r="R72" s="10">
        <f>SUM(R67:R71)</f>
        <v>0</v>
      </c>
      <c r="S72" s="11" t="s">
        <v>14</v>
      </c>
      <c r="T72" s="9"/>
      <c r="U72" s="191"/>
      <c r="V72" s="192"/>
      <c r="W72" s="193"/>
    </row>
    <row r="73" spans="1:23" ht="14.55" customHeight="1" x14ac:dyDescent="0.3">
      <c r="D73" s="79"/>
      <c r="E73" s="48"/>
      <c r="F73" s="48"/>
      <c r="G73" s="48"/>
      <c r="H73" s="48"/>
      <c r="I73" s="48"/>
      <c r="R73" s="79"/>
    </row>
    <row r="74" spans="1:23" ht="14.55" customHeight="1" x14ac:dyDescent="0.3">
      <c r="D74" s="79"/>
      <c r="E74" s="165" t="s">
        <v>65</v>
      </c>
      <c r="F74" s="166"/>
      <c r="G74" s="166"/>
      <c r="H74" s="166"/>
      <c r="I74" s="166"/>
      <c r="J74" s="166"/>
      <c r="K74" s="166"/>
      <c r="L74" s="166"/>
      <c r="M74" s="167"/>
      <c r="N74" s="181" t="s">
        <v>7</v>
      </c>
      <c r="O74" s="182"/>
      <c r="P74" s="181" t="s">
        <v>74</v>
      </c>
      <c r="Q74" s="182"/>
      <c r="R74" s="79"/>
    </row>
    <row r="75" spans="1:23" ht="14.55" customHeight="1" x14ac:dyDescent="0.3">
      <c r="D75" s="79"/>
      <c r="E75" s="7"/>
      <c r="F75" s="7"/>
      <c r="G75" s="7"/>
      <c r="H75" s="7"/>
      <c r="I75" s="7"/>
      <c r="J75" s="22"/>
      <c r="K75" s="23"/>
      <c r="L75" s="22"/>
      <c r="M75" s="24"/>
      <c r="N75" s="89">
        <f>N72</f>
        <v>2000</v>
      </c>
      <c r="O75" s="14" t="s">
        <v>13</v>
      </c>
      <c r="P75" s="89">
        <f ca="1">P72</f>
        <v>0</v>
      </c>
      <c r="Q75" s="15" t="s">
        <v>13</v>
      </c>
      <c r="R75" s="79"/>
    </row>
    <row r="76" spans="1:23" x14ac:dyDescent="0.3">
      <c r="P76" s="49"/>
      <c r="Q76" s="49"/>
      <c r="R76" s="49"/>
      <c r="S76" s="32"/>
    </row>
    <row r="77" spans="1:23" s="8" customFormat="1" ht="30" customHeight="1" x14ac:dyDescent="0.3">
      <c r="A77" s="155" t="s">
        <v>29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7"/>
      <c r="Q77" s="157"/>
      <c r="R77" s="157"/>
      <c r="S77" s="157"/>
      <c r="T77" s="156"/>
      <c r="U77" s="156"/>
      <c r="V77" s="156"/>
      <c r="W77" s="158"/>
    </row>
    <row r="78" spans="1:23" s="12" customFormat="1" ht="14.55" customHeight="1" x14ac:dyDescent="0.3">
      <c r="A78" s="159" t="s">
        <v>1</v>
      </c>
      <c r="B78" s="160" t="s">
        <v>2</v>
      </c>
      <c r="C78" s="160" t="s">
        <v>3</v>
      </c>
      <c r="D78" s="160" t="s">
        <v>4</v>
      </c>
      <c r="E78" s="161" t="s">
        <v>5</v>
      </c>
      <c r="F78" s="163" t="s">
        <v>15</v>
      </c>
      <c r="G78" s="163" t="s">
        <v>16</v>
      </c>
      <c r="H78" s="170" t="s">
        <v>30</v>
      </c>
      <c r="I78" s="171"/>
      <c r="J78" s="171"/>
      <c r="K78" s="171"/>
      <c r="L78" s="171"/>
      <c r="M78" s="172"/>
      <c r="N78" s="176" t="s">
        <v>6</v>
      </c>
      <c r="O78" s="177"/>
      <c r="P78" s="177"/>
      <c r="Q78" s="178"/>
      <c r="R78" s="161" t="s">
        <v>8</v>
      </c>
      <c r="S78" s="179"/>
      <c r="T78" s="159" t="s">
        <v>9</v>
      </c>
      <c r="U78" s="159" t="s">
        <v>10</v>
      </c>
      <c r="V78" s="159"/>
      <c r="W78" s="159"/>
    </row>
    <row r="79" spans="1:23" s="12" customFormat="1" ht="13.05" customHeight="1" x14ac:dyDescent="0.3">
      <c r="A79" s="159"/>
      <c r="B79" s="160"/>
      <c r="C79" s="160"/>
      <c r="D79" s="160"/>
      <c r="E79" s="162"/>
      <c r="F79" s="164"/>
      <c r="G79" s="164"/>
      <c r="H79" s="173"/>
      <c r="I79" s="174"/>
      <c r="J79" s="174"/>
      <c r="K79" s="174"/>
      <c r="L79" s="174"/>
      <c r="M79" s="175"/>
      <c r="N79" s="176" t="s">
        <v>7</v>
      </c>
      <c r="O79" s="177"/>
      <c r="P79" s="177"/>
      <c r="Q79" s="178"/>
      <c r="R79" s="162"/>
      <c r="S79" s="180"/>
      <c r="T79" s="159"/>
      <c r="U79" s="159"/>
      <c r="V79" s="159"/>
      <c r="W79" s="159"/>
    </row>
    <row r="80" spans="1:23" ht="14.55" customHeight="1" x14ac:dyDescent="0.3">
      <c r="A80" s="183" t="s">
        <v>49</v>
      </c>
      <c r="B80" s="5">
        <v>0.33333333333333331</v>
      </c>
      <c r="C80" s="5"/>
      <c r="D80" s="4">
        <v>250075</v>
      </c>
      <c r="E80" s="3" t="s">
        <v>270</v>
      </c>
      <c r="F80" s="19">
        <v>304</v>
      </c>
      <c r="G80" s="20">
        <v>0.9</v>
      </c>
      <c r="H80" s="186" t="s">
        <v>87</v>
      </c>
      <c r="I80" s="187"/>
      <c r="J80" s="187"/>
      <c r="K80" s="187"/>
      <c r="L80" s="187"/>
      <c r="M80" s="188"/>
      <c r="N80" s="189">
        <v>835</v>
      </c>
      <c r="O80" s="198"/>
      <c r="P80" s="198"/>
      <c r="Q80" s="190"/>
      <c r="R80" s="90"/>
      <c r="S80" s="79" t="s">
        <v>14</v>
      </c>
      <c r="T80" s="21"/>
      <c r="U80" s="204"/>
      <c r="V80" s="205"/>
      <c r="W80" s="206"/>
    </row>
    <row r="81" spans="1:23" s="91" customFormat="1" ht="14.55" customHeight="1" x14ac:dyDescent="0.3">
      <c r="A81" s="207"/>
      <c r="B81" s="5"/>
      <c r="C81" s="5"/>
      <c r="D81" s="4">
        <v>250039</v>
      </c>
      <c r="E81" s="3" t="s">
        <v>271</v>
      </c>
      <c r="F81" s="19">
        <v>304</v>
      </c>
      <c r="G81" s="20">
        <v>0.7</v>
      </c>
      <c r="H81" s="186" t="s">
        <v>87</v>
      </c>
      <c r="I81" s="187"/>
      <c r="J81" s="187"/>
      <c r="K81" s="187"/>
      <c r="L81" s="187"/>
      <c r="M81" s="188"/>
      <c r="N81" s="189">
        <v>360</v>
      </c>
      <c r="O81" s="198"/>
      <c r="P81" s="198"/>
      <c r="Q81" s="190"/>
      <c r="R81" s="90"/>
      <c r="S81" s="91" t="s">
        <v>14</v>
      </c>
      <c r="T81" s="21"/>
      <c r="U81" s="204"/>
      <c r="V81" s="205"/>
      <c r="W81" s="206"/>
    </row>
    <row r="82" spans="1:23" s="91" customFormat="1" ht="14.55" customHeight="1" x14ac:dyDescent="0.3">
      <c r="A82" s="207"/>
      <c r="B82" s="5"/>
      <c r="C82" s="5"/>
      <c r="D82" s="4">
        <v>250039</v>
      </c>
      <c r="E82" s="3" t="s">
        <v>272</v>
      </c>
      <c r="F82" s="19">
        <v>304</v>
      </c>
      <c r="G82" s="20">
        <v>0.7</v>
      </c>
      <c r="H82" s="186" t="s">
        <v>87</v>
      </c>
      <c r="I82" s="187"/>
      <c r="J82" s="187"/>
      <c r="K82" s="187"/>
      <c r="L82" s="187"/>
      <c r="M82" s="188"/>
      <c r="N82" s="189">
        <v>400</v>
      </c>
      <c r="O82" s="198"/>
      <c r="P82" s="198"/>
      <c r="Q82" s="190"/>
      <c r="R82" s="90"/>
      <c r="S82" s="91" t="s">
        <v>14</v>
      </c>
      <c r="T82" s="21"/>
      <c r="U82" s="204"/>
      <c r="V82" s="205"/>
      <c r="W82" s="206"/>
    </row>
    <row r="83" spans="1:23" s="91" customFormat="1" ht="14.55" customHeight="1" x14ac:dyDescent="0.3">
      <c r="A83" s="207"/>
      <c r="B83" s="5"/>
      <c r="C83" s="5"/>
      <c r="D83" s="4">
        <v>250039</v>
      </c>
      <c r="E83" s="3" t="s">
        <v>273</v>
      </c>
      <c r="F83" s="19">
        <v>304</v>
      </c>
      <c r="G83" s="20">
        <v>0.7</v>
      </c>
      <c r="H83" s="186" t="s">
        <v>87</v>
      </c>
      <c r="I83" s="187"/>
      <c r="J83" s="187"/>
      <c r="K83" s="187"/>
      <c r="L83" s="187"/>
      <c r="M83" s="188"/>
      <c r="N83" s="189">
        <v>400</v>
      </c>
      <c r="O83" s="198"/>
      <c r="P83" s="198"/>
      <c r="Q83" s="190"/>
      <c r="R83" s="90"/>
      <c r="S83" s="91" t="s">
        <v>14</v>
      </c>
      <c r="T83" s="21"/>
      <c r="U83" s="204"/>
      <c r="V83" s="205"/>
      <c r="W83" s="206"/>
    </row>
    <row r="84" spans="1:23" s="91" customFormat="1" ht="14.55" customHeight="1" x14ac:dyDescent="0.3">
      <c r="A84" s="207"/>
      <c r="B84" s="5"/>
      <c r="C84" s="5"/>
      <c r="D84" s="4">
        <v>250040</v>
      </c>
      <c r="E84" s="3" t="s">
        <v>274</v>
      </c>
      <c r="F84" s="19">
        <v>304</v>
      </c>
      <c r="G84" s="20">
        <v>0.7</v>
      </c>
      <c r="H84" s="186" t="s">
        <v>87</v>
      </c>
      <c r="I84" s="187"/>
      <c r="J84" s="187"/>
      <c r="K84" s="187"/>
      <c r="L84" s="187"/>
      <c r="M84" s="188"/>
      <c r="N84" s="189">
        <v>400</v>
      </c>
      <c r="O84" s="198"/>
      <c r="P84" s="198"/>
      <c r="Q84" s="190"/>
      <c r="R84" s="90"/>
      <c r="S84" s="91" t="s">
        <v>14</v>
      </c>
      <c r="T84" s="21"/>
      <c r="U84" s="204"/>
      <c r="V84" s="205"/>
      <c r="W84" s="206"/>
    </row>
    <row r="85" spans="1:23" s="91" customFormat="1" ht="14.55" customHeight="1" x14ac:dyDescent="0.3">
      <c r="A85" s="207"/>
      <c r="B85" s="5"/>
      <c r="C85" s="5"/>
      <c r="D85" s="4">
        <v>250040</v>
      </c>
      <c r="E85" s="3" t="s">
        <v>275</v>
      </c>
      <c r="F85" s="19">
        <v>304</v>
      </c>
      <c r="G85" s="20">
        <v>0.7</v>
      </c>
      <c r="H85" s="186" t="s">
        <v>87</v>
      </c>
      <c r="I85" s="187"/>
      <c r="J85" s="187"/>
      <c r="K85" s="187"/>
      <c r="L85" s="187"/>
      <c r="M85" s="188"/>
      <c r="N85" s="189">
        <v>400</v>
      </c>
      <c r="O85" s="198"/>
      <c r="P85" s="198"/>
      <c r="Q85" s="190"/>
      <c r="R85" s="90"/>
      <c r="S85" s="91" t="s">
        <v>14</v>
      </c>
      <c r="T85" s="21"/>
      <c r="U85" s="204"/>
      <c r="V85" s="205"/>
      <c r="W85" s="206"/>
    </row>
    <row r="86" spans="1:23" s="91" customFormat="1" ht="14.55" customHeight="1" x14ac:dyDescent="0.3">
      <c r="A86" s="207"/>
      <c r="B86" s="5"/>
      <c r="C86" s="5"/>
      <c r="D86" s="4">
        <v>250040</v>
      </c>
      <c r="E86" s="3" t="s">
        <v>276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400</v>
      </c>
      <c r="O86" s="198"/>
      <c r="P86" s="198"/>
      <c r="Q86" s="190"/>
      <c r="R86" s="90"/>
      <c r="S86" s="91" t="s">
        <v>14</v>
      </c>
      <c r="T86" s="21"/>
      <c r="U86" s="204"/>
      <c r="V86" s="205"/>
      <c r="W86" s="206"/>
    </row>
    <row r="87" spans="1:23" s="91" customFormat="1" ht="14.55" customHeight="1" x14ac:dyDescent="0.3">
      <c r="A87" s="207"/>
      <c r="B87" s="5"/>
      <c r="C87" s="5"/>
      <c r="D87" s="4">
        <v>250040</v>
      </c>
      <c r="E87" s="3" t="s">
        <v>277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403</v>
      </c>
      <c r="O87" s="198"/>
      <c r="P87" s="198"/>
      <c r="Q87" s="190"/>
      <c r="R87" s="90"/>
      <c r="S87" s="91" t="s">
        <v>14</v>
      </c>
      <c r="T87" s="21"/>
      <c r="U87" s="204"/>
      <c r="V87" s="205"/>
      <c r="W87" s="206"/>
    </row>
    <row r="88" spans="1:23" s="91" customFormat="1" ht="14.55" customHeight="1" x14ac:dyDescent="0.3">
      <c r="A88" s="207"/>
      <c r="B88" s="5"/>
      <c r="C88" s="5"/>
      <c r="D88" s="4">
        <v>250040</v>
      </c>
      <c r="E88" s="3" t="s">
        <v>278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400</v>
      </c>
      <c r="O88" s="198"/>
      <c r="P88" s="198"/>
      <c r="Q88" s="190"/>
      <c r="R88" s="90"/>
      <c r="S88" s="91" t="s">
        <v>14</v>
      </c>
      <c r="T88" s="21"/>
      <c r="U88" s="204"/>
      <c r="V88" s="205"/>
      <c r="W88" s="206"/>
    </row>
    <row r="89" spans="1:23" s="91" customFormat="1" ht="14.55" customHeight="1" x14ac:dyDescent="0.3">
      <c r="A89" s="207"/>
      <c r="B89" s="5"/>
      <c r="C89" s="5"/>
      <c r="D89" s="4">
        <v>250040</v>
      </c>
      <c r="E89" s="3" t="s">
        <v>279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400</v>
      </c>
      <c r="O89" s="198"/>
      <c r="P89" s="198"/>
      <c r="Q89" s="190"/>
      <c r="R89" s="90"/>
      <c r="S89" s="91" t="s">
        <v>14</v>
      </c>
      <c r="T89" s="21"/>
      <c r="U89" s="204"/>
      <c r="V89" s="205"/>
      <c r="W89" s="206"/>
    </row>
    <row r="90" spans="1:23" s="91" customFormat="1" ht="14.55" customHeight="1" x14ac:dyDescent="0.3">
      <c r="A90" s="207"/>
      <c r="B90" s="5"/>
      <c r="C90" s="5"/>
      <c r="D90" s="4">
        <v>250040</v>
      </c>
      <c r="E90" s="3" t="s">
        <v>280</v>
      </c>
      <c r="F90" s="19">
        <v>304</v>
      </c>
      <c r="G90" s="20">
        <v>0.7</v>
      </c>
      <c r="H90" s="186" t="s">
        <v>87</v>
      </c>
      <c r="I90" s="187"/>
      <c r="J90" s="187"/>
      <c r="K90" s="187"/>
      <c r="L90" s="187"/>
      <c r="M90" s="188"/>
      <c r="N90" s="189">
        <v>400</v>
      </c>
      <c r="O90" s="198"/>
      <c r="P90" s="198"/>
      <c r="Q90" s="190"/>
      <c r="R90" s="90"/>
      <c r="S90" s="91" t="s">
        <v>14</v>
      </c>
      <c r="T90" s="21"/>
      <c r="U90" s="204"/>
      <c r="V90" s="205"/>
      <c r="W90" s="206"/>
    </row>
    <row r="91" spans="1:23" s="91" customFormat="1" ht="14.55" customHeight="1" x14ac:dyDescent="0.3">
      <c r="A91" s="207"/>
      <c r="B91" s="5"/>
      <c r="C91" s="5"/>
      <c r="D91" s="4">
        <v>250040</v>
      </c>
      <c r="E91" s="3" t="s">
        <v>281</v>
      </c>
      <c r="F91" s="19">
        <v>304</v>
      </c>
      <c r="G91" s="20">
        <v>0.7</v>
      </c>
      <c r="H91" s="186" t="s">
        <v>87</v>
      </c>
      <c r="I91" s="187"/>
      <c r="J91" s="187"/>
      <c r="K91" s="187"/>
      <c r="L91" s="187"/>
      <c r="M91" s="188"/>
      <c r="N91" s="189">
        <v>400</v>
      </c>
      <c r="O91" s="198"/>
      <c r="P91" s="198"/>
      <c r="Q91" s="190"/>
      <c r="R91" s="90"/>
      <c r="S91" s="91" t="s">
        <v>14</v>
      </c>
      <c r="T91" s="21"/>
      <c r="U91" s="204"/>
      <c r="V91" s="205"/>
      <c r="W91" s="206"/>
    </row>
    <row r="92" spans="1:23" s="91" customFormat="1" ht="14.55" customHeight="1" x14ac:dyDescent="0.3">
      <c r="A92" s="207"/>
      <c r="B92" s="5"/>
      <c r="C92" s="5">
        <v>0.70833333333333337</v>
      </c>
      <c r="D92" s="4">
        <v>250040</v>
      </c>
      <c r="E92" s="3" t="s">
        <v>282</v>
      </c>
      <c r="F92" s="19">
        <v>304</v>
      </c>
      <c r="G92" s="20">
        <v>0.7</v>
      </c>
      <c r="H92" s="186" t="s">
        <v>87</v>
      </c>
      <c r="I92" s="187"/>
      <c r="J92" s="187"/>
      <c r="K92" s="187"/>
      <c r="L92" s="187"/>
      <c r="M92" s="188"/>
      <c r="N92" s="189">
        <v>400</v>
      </c>
      <c r="O92" s="198"/>
      <c r="P92" s="198"/>
      <c r="Q92" s="190"/>
      <c r="R92" s="90"/>
      <c r="S92" s="91" t="s">
        <v>14</v>
      </c>
      <c r="T92" s="21"/>
      <c r="U92" s="204"/>
      <c r="V92" s="205"/>
      <c r="W92" s="206"/>
    </row>
    <row r="93" spans="1:23" ht="14.55" customHeight="1" x14ac:dyDescent="0.3">
      <c r="A93" s="184"/>
      <c r="B93" s="5"/>
      <c r="C93" s="5"/>
      <c r="D93" s="4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8"/>
      <c r="P93" s="198"/>
      <c r="Q93" s="190"/>
      <c r="R93" s="90"/>
      <c r="S93" s="6" t="s">
        <v>14</v>
      </c>
      <c r="T93" s="21"/>
      <c r="U93" s="204"/>
      <c r="V93" s="205"/>
      <c r="W93" s="206"/>
    </row>
    <row r="94" spans="1:23" ht="14.55" customHeight="1" x14ac:dyDescent="0.3">
      <c r="A94" s="184"/>
      <c r="B94" s="5"/>
      <c r="C94" s="5"/>
      <c r="D94" s="4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8"/>
      <c r="P94" s="198"/>
      <c r="Q94" s="190"/>
      <c r="R94" s="90"/>
      <c r="S94" s="6" t="s">
        <v>14</v>
      </c>
      <c r="T94" s="21"/>
      <c r="U94" s="204"/>
      <c r="V94" s="205"/>
      <c r="W94" s="206"/>
    </row>
    <row r="95" spans="1:23" ht="14.55" customHeight="1" x14ac:dyDescent="0.3">
      <c r="A95" s="185"/>
      <c r="B95" s="165" t="s">
        <v>0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7"/>
      <c r="N95" s="168">
        <f>SUM(N80:O94)</f>
        <v>5598</v>
      </c>
      <c r="O95" s="197"/>
      <c r="P95" s="197"/>
      <c r="Q95" s="169"/>
      <c r="R95" s="10">
        <f>SUM(R80:R94)</f>
        <v>0</v>
      </c>
      <c r="S95" s="11" t="s">
        <v>14</v>
      </c>
      <c r="T95" s="9"/>
      <c r="U95" s="204"/>
      <c r="V95" s="205"/>
      <c r="W95" s="206"/>
    </row>
    <row r="96" spans="1:23" ht="14.55" customHeight="1" x14ac:dyDescent="0.3">
      <c r="D96" s="79"/>
      <c r="E96" s="48"/>
      <c r="F96" s="48"/>
      <c r="G96" s="48"/>
      <c r="H96" s="48"/>
      <c r="I96" s="48"/>
      <c r="R96" s="79"/>
    </row>
    <row r="97" spans="4:18" ht="14.55" customHeight="1" x14ac:dyDescent="0.3">
      <c r="D97" s="79"/>
      <c r="E97" s="165" t="s">
        <v>33</v>
      </c>
      <c r="F97" s="166"/>
      <c r="G97" s="166"/>
      <c r="H97" s="166"/>
      <c r="I97" s="166"/>
      <c r="J97" s="166"/>
      <c r="K97" s="166"/>
      <c r="L97" s="166"/>
      <c r="M97" s="167"/>
      <c r="N97" s="181" t="s">
        <v>7</v>
      </c>
      <c r="O97" s="199"/>
      <c r="P97" s="199"/>
      <c r="Q97" s="182"/>
      <c r="R97" s="79"/>
    </row>
    <row r="98" spans="4:18" ht="14.55" customHeight="1" x14ac:dyDescent="0.3">
      <c r="D98" s="79"/>
      <c r="E98" s="7"/>
      <c r="F98" s="7"/>
      <c r="G98" s="7"/>
      <c r="H98" s="7"/>
      <c r="I98" s="7"/>
      <c r="J98" s="22"/>
      <c r="K98" s="23"/>
      <c r="L98" s="22"/>
      <c r="M98" s="24"/>
      <c r="N98" s="200">
        <f>N95</f>
        <v>5598</v>
      </c>
      <c r="O98" s="201"/>
      <c r="P98" s="202" t="s">
        <v>13</v>
      </c>
      <c r="Q98" s="203"/>
      <c r="R98" s="79"/>
    </row>
  </sheetData>
  <mergeCells count="256">
    <mergeCell ref="N98:O98"/>
    <mergeCell ref="P98:Q98"/>
    <mergeCell ref="H94:M94"/>
    <mergeCell ref="N94:Q94"/>
    <mergeCell ref="B95:M95"/>
    <mergeCell ref="N95:Q95"/>
    <mergeCell ref="E97:M97"/>
    <mergeCell ref="N97:Q97"/>
    <mergeCell ref="A80:A95"/>
    <mergeCell ref="H80:M80"/>
    <mergeCell ref="N80:Q80"/>
    <mergeCell ref="H84:M84"/>
    <mergeCell ref="N84:Q84"/>
    <mergeCell ref="H85:M85"/>
    <mergeCell ref="N85:Q85"/>
    <mergeCell ref="H86:M86"/>
    <mergeCell ref="N86:Q86"/>
    <mergeCell ref="H81:M81"/>
    <mergeCell ref="N81:Q81"/>
    <mergeCell ref="H82:M82"/>
    <mergeCell ref="N82:Q82"/>
    <mergeCell ref="H83:M83"/>
    <mergeCell ref="N83:Q83"/>
    <mergeCell ref="H90:M90"/>
    <mergeCell ref="U80:W95"/>
    <mergeCell ref="H93:M93"/>
    <mergeCell ref="N93:Q93"/>
    <mergeCell ref="G78:G79"/>
    <mergeCell ref="H78:M79"/>
    <mergeCell ref="N78:Q78"/>
    <mergeCell ref="R78:S79"/>
    <mergeCell ref="T78:T79"/>
    <mergeCell ref="U78:W79"/>
    <mergeCell ref="N79:Q79"/>
    <mergeCell ref="N90:Q90"/>
    <mergeCell ref="H91:M91"/>
    <mergeCell ref="N91:Q91"/>
    <mergeCell ref="H92:M92"/>
    <mergeCell ref="N92:Q92"/>
    <mergeCell ref="H87:M87"/>
    <mergeCell ref="N87:Q87"/>
    <mergeCell ref="H88:M88"/>
    <mergeCell ref="N88:Q88"/>
    <mergeCell ref="H89:M89"/>
    <mergeCell ref="N89:Q89"/>
    <mergeCell ref="A67:A72"/>
    <mergeCell ref="H67:M67"/>
    <mergeCell ref="N67:O67"/>
    <mergeCell ref="P67:Q67"/>
    <mergeCell ref="U67:W72"/>
    <mergeCell ref="H68:M68"/>
    <mergeCell ref="N68:O68"/>
    <mergeCell ref="B72:M72"/>
    <mergeCell ref="N72:O72"/>
    <mergeCell ref="P72:Q72"/>
    <mergeCell ref="H71:M71"/>
    <mergeCell ref="N71:O71"/>
    <mergeCell ref="P71:Q71"/>
    <mergeCell ref="P68:Q68"/>
    <mergeCell ref="H69:M69"/>
    <mergeCell ref="N69:O69"/>
    <mergeCell ref="P69:Q69"/>
    <mergeCell ref="H70:M70"/>
    <mergeCell ref="N70:O70"/>
    <mergeCell ref="P70:Q70"/>
    <mergeCell ref="E74:M74"/>
    <mergeCell ref="N74:O74"/>
    <mergeCell ref="P74:Q74"/>
    <mergeCell ref="A77:W77"/>
    <mergeCell ref="A78:A79"/>
    <mergeCell ref="B78:B79"/>
    <mergeCell ref="C78:C79"/>
    <mergeCell ref="D78:D79"/>
    <mergeCell ref="E78:E79"/>
    <mergeCell ref="F78:F7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U65:W66"/>
    <mergeCell ref="N66:O66"/>
    <mergeCell ref="P66:Q66"/>
    <mergeCell ref="F65:F66"/>
    <mergeCell ref="G65:G66"/>
    <mergeCell ref="H65:M66"/>
    <mergeCell ref="N65:Q65"/>
    <mergeCell ref="R65:S66"/>
    <mergeCell ref="T65:T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W94"/>
  <sheetViews>
    <sheetView topLeftCell="A70" zoomScale="85" zoomScaleNormal="85" workbookViewId="0">
      <selection activeCell="N9" sqref="N9:O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45939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 t="s">
        <v>205</v>
      </c>
      <c r="E7" s="3" t="s">
        <v>298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400</v>
      </c>
      <c r="O7" s="190"/>
      <c r="P7" s="189"/>
      <c r="Q7" s="190"/>
      <c r="R7" s="93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/>
      <c r="D8" s="46" t="s">
        <v>205</v>
      </c>
      <c r="E8" s="3" t="s">
        <v>297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1600</v>
      </c>
      <c r="O8" s="190"/>
      <c r="P8" s="189"/>
      <c r="Q8" s="190"/>
      <c r="R8" s="93">
        <v>45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4"/>
      <c r="B9" s="5"/>
      <c r="C9" s="5">
        <v>0.70833333333333337</v>
      </c>
      <c r="D9" s="46" t="s">
        <v>205</v>
      </c>
      <c r="E9" s="3" t="s">
        <v>295</v>
      </c>
      <c r="F9" s="19">
        <v>304</v>
      </c>
      <c r="G9" s="20">
        <v>0.9</v>
      </c>
      <c r="H9" s="186"/>
      <c r="I9" s="187"/>
      <c r="J9" s="187"/>
      <c r="K9" s="187"/>
      <c r="L9" s="187"/>
      <c r="M9" s="188"/>
      <c r="N9" s="189">
        <v>200</v>
      </c>
      <c r="O9" s="190"/>
      <c r="P9" s="189"/>
      <c r="Q9" s="190"/>
      <c r="R9" s="93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2200</v>
      </c>
      <c r="O10" s="169"/>
      <c r="P10" s="168">
        <f>SUM(P7:Q9)</f>
        <v>0</v>
      </c>
      <c r="Q10" s="169"/>
      <c r="R10" s="10">
        <f>SUM(R7:R9)</f>
        <v>90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93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93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93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92">
        <f>N10+N14</f>
        <v>2200</v>
      </c>
      <c r="O17" s="14" t="s">
        <v>13</v>
      </c>
      <c r="P17" s="92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 t="s">
        <v>205</v>
      </c>
      <c r="E22" s="3" t="s">
        <v>298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1231</v>
      </c>
      <c r="O22" s="198"/>
      <c r="P22" s="198"/>
      <c r="Q22" s="190"/>
      <c r="R22" s="93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6" t="s">
        <v>205</v>
      </c>
      <c r="E23" s="3" t="s">
        <v>297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1000</v>
      </c>
      <c r="O23" s="198"/>
      <c r="P23" s="198"/>
      <c r="Q23" s="190"/>
      <c r="R23" s="93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93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93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2231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2231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205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 t="s">
        <v>205</v>
      </c>
      <c r="E34" s="3" t="s">
        <v>299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1205</v>
      </c>
      <c r="O34" s="190"/>
      <c r="P34" s="189"/>
      <c r="Q34" s="190"/>
      <c r="R34" s="93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6" t="s">
        <v>205</v>
      </c>
      <c r="E35" s="3" t="s">
        <v>298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800</v>
      </c>
      <c r="O35" s="190"/>
      <c r="P35" s="189"/>
      <c r="Q35" s="190"/>
      <c r="R35" s="93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93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2005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92">
        <f>N37</f>
        <v>2005</v>
      </c>
      <c r="O40" s="14" t="s">
        <v>13</v>
      </c>
      <c r="P40" s="92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77">
        <v>100925</v>
      </c>
      <c r="E45" s="3" t="s">
        <v>300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2150</v>
      </c>
      <c r="O45" s="198"/>
      <c r="P45" s="198"/>
      <c r="Q45" s="190"/>
      <c r="R45" s="93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77" t="s">
        <v>205</v>
      </c>
      <c r="E46" s="3" t="s">
        <v>299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500</v>
      </c>
      <c r="O46" s="198"/>
      <c r="P46" s="198"/>
      <c r="Q46" s="190"/>
      <c r="R46" s="93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93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2650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2650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77">
        <v>100925</v>
      </c>
      <c r="E56" s="3" t="s">
        <v>301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895</v>
      </c>
      <c r="O56" s="198"/>
      <c r="P56" s="198"/>
      <c r="Q56" s="190"/>
      <c r="R56" s="93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77">
        <v>100925</v>
      </c>
      <c r="E57" s="3" t="s">
        <v>302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1855</v>
      </c>
      <c r="O57" s="198"/>
      <c r="P57" s="198"/>
      <c r="Q57" s="190"/>
      <c r="R57" s="93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93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2750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2750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284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526</v>
      </c>
      <c r="O67" s="190"/>
      <c r="P67" s="189"/>
      <c r="Q67" s="190"/>
      <c r="R67" s="93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250074</v>
      </c>
      <c r="E68" s="3" t="s">
        <v>283</v>
      </c>
      <c r="F68" s="19">
        <v>304</v>
      </c>
      <c r="G68" s="20">
        <v>0.7</v>
      </c>
      <c r="H68" s="186" t="s">
        <v>269</v>
      </c>
      <c r="I68" s="187"/>
      <c r="J68" s="187"/>
      <c r="K68" s="187"/>
      <c r="L68" s="187"/>
      <c r="M68" s="188"/>
      <c r="N68" s="189">
        <v>200</v>
      </c>
      <c r="O68" s="190"/>
      <c r="P68" s="189"/>
      <c r="Q68" s="190"/>
      <c r="R68" s="93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100925</v>
      </c>
      <c r="E69" s="3" t="s">
        <v>285</v>
      </c>
      <c r="F69" s="19">
        <v>304</v>
      </c>
      <c r="G69" s="20">
        <v>0.9</v>
      </c>
      <c r="H69" s="186" t="s">
        <v>122</v>
      </c>
      <c r="I69" s="187"/>
      <c r="J69" s="187"/>
      <c r="K69" s="187"/>
      <c r="L69" s="187"/>
      <c r="M69" s="188"/>
      <c r="N69" s="189">
        <v>900</v>
      </c>
      <c r="O69" s="190"/>
      <c r="P69" s="189"/>
      <c r="Q69" s="190"/>
      <c r="R69" s="93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100925</v>
      </c>
      <c r="E70" s="3" t="s">
        <v>286</v>
      </c>
      <c r="F70" s="19">
        <v>304</v>
      </c>
      <c r="G70" s="20">
        <v>0.9</v>
      </c>
      <c r="H70" s="186" t="s">
        <v>124</v>
      </c>
      <c r="I70" s="187"/>
      <c r="J70" s="187"/>
      <c r="K70" s="187"/>
      <c r="L70" s="187"/>
      <c r="M70" s="188"/>
      <c r="N70" s="189">
        <v>200</v>
      </c>
      <c r="O70" s="190"/>
      <c r="P70" s="189"/>
      <c r="Q70" s="190"/>
      <c r="R70" s="93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4">
        <v>250041</v>
      </c>
      <c r="E71" s="3" t="s">
        <v>287</v>
      </c>
      <c r="F71" s="19">
        <v>304</v>
      </c>
      <c r="G71" s="20">
        <v>0.9</v>
      </c>
      <c r="H71" s="186" t="s">
        <v>160</v>
      </c>
      <c r="I71" s="187"/>
      <c r="J71" s="187"/>
      <c r="K71" s="187"/>
      <c r="L71" s="187"/>
      <c r="M71" s="188"/>
      <c r="N71" s="189">
        <v>389</v>
      </c>
      <c r="O71" s="190"/>
      <c r="P71" s="189"/>
      <c r="Q71" s="190"/>
      <c r="R71" s="93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93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93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5"/>
      <c r="B74" s="165" t="s">
        <v>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8">
        <f>SUM(N67:O73)</f>
        <v>2215</v>
      </c>
      <c r="O74" s="197"/>
      <c r="P74" s="168">
        <f ca="1">SUM(P67:Q74)</f>
        <v>0</v>
      </c>
      <c r="Q74" s="197"/>
      <c r="R74" s="10">
        <f>SUM(R67:R73)</f>
        <v>0</v>
      </c>
      <c r="S74" s="11" t="s">
        <v>14</v>
      </c>
      <c r="T74" s="9"/>
      <c r="U74" s="191"/>
      <c r="V74" s="192"/>
      <c r="W74" s="193"/>
    </row>
    <row r="75" spans="1:23" ht="14.55" customHeight="1" x14ac:dyDescent="0.3">
      <c r="D75" s="91"/>
      <c r="E75" s="48"/>
      <c r="F75" s="48"/>
      <c r="G75" s="48"/>
      <c r="H75" s="48"/>
      <c r="I75" s="48"/>
      <c r="R75" s="91"/>
    </row>
    <row r="76" spans="1:23" ht="14.55" customHeight="1" x14ac:dyDescent="0.3">
      <c r="D76" s="91"/>
      <c r="E76" s="165" t="s">
        <v>65</v>
      </c>
      <c r="F76" s="166"/>
      <c r="G76" s="166"/>
      <c r="H76" s="166"/>
      <c r="I76" s="166"/>
      <c r="J76" s="166"/>
      <c r="K76" s="166"/>
      <c r="L76" s="166"/>
      <c r="M76" s="167"/>
      <c r="N76" s="181" t="s">
        <v>7</v>
      </c>
      <c r="O76" s="182"/>
      <c r="P76" s="181" t="s">
        <v>74</v>
      </c>
      <c r="Q76" s="182"/>
      <c r="R76" s="91"/>
    </row>
    <row r="77" spans="1:23" ht="14.55" customHeight="1" x14ac:dyDescent="0.3">
      <c r="D77" s="91"/>
      <c r="E77" s="7"/>
      <c r="F77" s="7"/>
      <c r="G77" s="7"/>
      <c r="H77" s="7"/>
      <c r="I77" s="7"/>
      <c r="J77" s="22"/>
      <c r="K77" s="23"/>
      <c r="L77" s="22"/>
      <c r="M77" s="24"/>
      <c r="N77" s="92">
        <f>N74</f>
        <v>2215</v>
      </c>
      <c r="O77" s="14" t="s">
        <v>13</v>
      </c>
      <c r="P77" s="92">
        <f ca="1">P74</f>
        <v>0</v>
      </c>
      <c r="Q77" s="15" t="s">
        <v>13</v>
      </c>
      <c r="R77" s="91"/>
    </row>
    <row r="78" spans="1:23" x14ac:dyDescent="0.3">
      <c r="P78" s="49"/>
      <c r="Q78" s="49"/>
      <c r="R78" s="49"/>
      <c r="S78" s="32"/>
    </row>
    <row r="79" spans="1:23" s="8" customFormat="1" ht="30" customHeight="1" x14ac:dyDescent="0.3">
      <c r="A79" s="155" t="s">
        <v>29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7"/>
      <c r="Q79" s="157"/>
      <c r="R79" s="157"/>
      <c r="S79" s="157"/>
      <c r="T79" s="156"/>
      <c r="U79" s="156"/>
      <c r="V79" s="156"/>
      <c r="W79" s="158"/>
    </row>
    <row r="80" spans="1:23" s="12" customFormat="1" ht="14.55" customHeight="1" x14ac:dyDescent="0.3">
      <c r="A80" s="159" t="s">
        <v>1</v>
      </c>
      <c r="B80" s="160" t="s">
        <v>2</v>
      </c>
      <c r="C80" s="160" t="s">
        <v>3</v>
      </c>
      <c r="D80" s="160" t="s">
        <v>4</v>
      </c>
      <c r="E80" s="161" t="s">
        <v>5</v>
      </c>
      <c r="F80" s="163" t="s">
        <v>15</v>
      </c>
      <c r="G80" s="163" t="s">
        <v>16</v>
      </c>
      <c r="H80" s="170" t="s">
        <v>30</v>
      </c>
      <c r="I80" s="171"/>
      <c r="J80" s="171"/>
      <c r="K80" s="171"/>
      <c r="L80" s="171"/>
      <c r="M80" s="172"/>
      <c r="N80" s="176" t="s">
        <v>6</v>
      </c>
      <c r="O80" s="177"/>
      <c r="P80" s="177"/>
      <c r="Q80" s="178"/>
      <c r="R80" s="161" t="s">
        <v>8</v>
      </c>
      <c r="S80" s="179"/>
      <c r="T80" s="159" t="s">
        <v>9</v>
      </c>
      <c r="U80" s="159" t="s">
        <v>10</v>
      </c>
      <c r="V80" s="159"/>
      <c r="W80" s="159"/>
    </row>
    <row r="81" spans="1:23" s="12" customFormat="1" ht="13.05" customHeight="1" x14ac:dyDescent="0.3">
      <c r="A81" s="159"/>
      <c r="B81" s="160"/>
      <c r="C81" s="160"/>
      <c r="D81" s="160"/>
      <c r="E81" s="162"/>
      <c r="F81" s="164"/>
      <c r="G81" s="164"/>
      <c r="H81" s="173"/>
      <c r="I81" s="174"/>
      <c r="J81" s="174"/>
      <c r="K81" s="174"/>
      <c r="L81" s="174"/>
      <c r="M81" s="175"/>
      <c r="N81" s="176" t="s">
        <v>7</v>
      </c>
      <c r="O81" s="177"/>
      <c r="P81" s="177"/>
      <c r="Q81" s="178"/>
      <c r="R81" s="162"/>
      <c r="S81" s="180"/>
      <c r="T81" s="159"/>
      <c r="U81" s="159"/>
      <c r="V81" s="159"/>
      <c r="W81" s="159"/>
    </row>
    <row r="82" spans="1:23" ht="14.55" customHeight="1" x14ac:dyDescent="0.3">
      <c r="A82" s="183" t="s">
        <v>49</v>
      </c>
      <c r="B82" s="5">
        <v>0.33333333333333331</v>
      </c>
      <c r="C82" s="5"/>
      <c r="D82" s="4">
        <v>250040</v>
      </c>
      <c r="E82" s="3" t="s">
        <v>288</v>
      </c>
      <c r="F82" s="19">
        <v>304</v>
      </c>
      <c r="G82" s="20">
        <v>0.7</v>
      </c>
      <c r="H82" s="186" t="s">
        <v>87</v>
      </c>
      <c r="I82" s="187"/>
      <c r="J82" s="187"/>
      <c r="K82" s="187"/>
      <c r="L82" s="187"/>
      <c r="M82" s="188"/>
      <c r="N82" s="189">
        <v>400</v>
      </c>
      <c r="O82" s="198"/>
      <c r="P82" s="198"/>
      <c r="Q82" s="190"/>
      <c r="R82" s="93"/>
      <c r="S82" s="91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/>
      <c r="D83" s="4">
        <v>250040</v>
      </c>
      <c r="E83" s="3" t="s">
        <v>289</v>
      </c>
      <c r="F83" s="19">
        <v>304</v>
      </c>
      <c r="G83" s="20">
        <v>0.7</v>
      </c>
      <c r="H83" s="186" t="s">
        <v>87</v>
      </c>
      <c r="I83" s="187"/>
      <c r="J83" s="187"/>
      <c r="K83" s="187"/>
      <c r="L83" s="187"/>
      <c r="M83" s="188"/>
      <c r="N83" s="189">
        <v>325</v>
      </c>
      <c r="O83" s="198"/>
      <c r="P83" s="198"/>
      <c r="Q83" s="190"/>
      <c r="R83" s="93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4"/>
      <c r="B84" s="5"/>
      <c r="C84" s="5"/>
      <c r="D84" s="4">
        <v>250040</v>
      </c>
      <c r="E84" s="3" t="s">
        <v>290</v>
      </c>
      <c r="F84" s="19">
        <v>304</v>
      </c>
      <c r="G84" s="20">
        <v>0.7</v>
      </c>
      <c r="H84" s="186" t="s">
        <v>87</v>
      </c>
      <c r="I84" s="187"/>
      <c r="J84" s="187"/>
      <c r="K84" s="187"/>
      <c r="L84" s="187"/>
      <c r="M84" s="188"/>
      <c r="N84" s="189">
        <v>400</v>
      </c>
      <c r="O84" s="198"/>
      <c r="P84" s="198"/>
      <c r="Q84" s="190"/>
      <c r="R84" s="93"/>
      <c r="S84" s="6" t="s">
        <v>14</v>
      </c>
      <c r="T84" s="21"/>
      <c r="U84" s="204"/>
      <c r="V84" s="205"/>
      <c r="W84" s="206"/>
    </row>
    <row r="85" spans="1:23" ht="14.55" customHeight="1" x14ac:dyDescent="0.3">
      <c r="A85" s="184"/>
      <c r="B85" s="5"/>
      <c r="C85" s="5"/>
      <c r="D85" s="4">
        <v>10925</v>
      </c>
      <c r="E85" s="3" t="s">
        <v>291</v>
      </c>
      <c r="F85" s="19">
        <v>430</v>
      </c>
      <c r="G85" s="20">
        <v>0.8</v>
      </c>
      <c r="H85" s="186" t="s">
        <v>87</v>
      </c>
      <c r="I85" s="187"/>
      <c r="J85" s="187"/>
      <c r="K85" s="187"/>
      <c r="L85" s="187"/>
      <c r="M85" s="188"/>
      <c r="N85" s="189">
        <v>20</v>
      </c>
      <c r="O85" s="198"/>
      <c r="P85" s="198"/>
      <c r="Q85" s="190"/>
      <c r="R85" s="93"/>
      <c r="S85" s="6" t="s">
        <v>14</v>
      </c>
      <c r="T85" s="21"/>
      <c r="U85" s="204"/>
      <c r="V85" s="205"/>
      <c r="W85" s="206"/>
    </row>
    <row r="86" spans="1:23" ht="14.55" customHeight="1" x14ac:dyDescent="0.3">
      <c r="A86" s="184"/>
      <c r="B86" s="5"/>
      <c r="C86" s="5"/>
      <c r="D86" s="4">
        <v>10925</v>
      </c>
      <c r="E86" s="3" t="s">
        <v>292</v>
      </c>
      <c r="F86" s="19">
        <v>480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20</v>
      </c>
      <c r="O86" s="198"/>
      <c r="P86" s="198"/>
      <c r="Q86" s="190"/>
      <c r="R86" s="93"/>
      <c r="S86" s="6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>
        <v>0.70833333333333337</v>
      </c>
      <c r="D87" s="4">
        <v>210825</v>
      </c>
      <c r="E87" s="3" t="s">
        <v>293</v>
      </c>
      <c r="F87" s="19">
        <v>304</v>
      </c>
      <c r="G87" s="20">
        <v>0.8</v>
      </c>
      <c r="H87" s="186" t="s">
        <v>87</v>
      </c>
      <c r="I87" s="187"/>
      <c r="J87" s="187"/>
      <c r="K87" s="187"/>
      <c r="L87" s="187"/>
      <c r="M87" s="188"/>
      <c r="N87" s="189">
        <v>1240</v>
      </c>
      <c r="O87" s="198"/>
      <c r="P87" s="198"/>
      <c r="Q87" s="190"/>
      <c r="R87" s="93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93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93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93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SUM(N82:O90)</f>
        <v>2405</v>
      </c>
      <c r="O91" s="197"/>
      <c r="P91" s="197"/>
      <c r="Q91" s="169"/>
      <c r="R91" s="10">
        <f>SUM(R82:R90)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91"/>
      <c r="E92" s="48"/>
      <c r="F92" s="48"/>
      <c r="G92" s="48"/>
      <c r="H92" s="48"/>
      <c r="I92" s="48"/>
      <c r="R92" s="91"/>
    </row>
    <row r="93" spans="1:23" ht="14.55" customHeight="1" x14ac:dyDescent="0.3">
      <c r="D93" s="91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91"/>
    </row>
    <row r="94" spans="1:23" ht="14.55" customHeight="1" x14ac:dyDescent="0.3">
      <c r="D94" s="91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2405</v>
      </c>
      <c r="O94" s="201"/>
      <c r="P94" s="202" t="s">
        <v>13</v>
      </c>
      <c r="Q94" s="203"/>
      <c r="R94" s="91"/>
    </row>
  </sheetData>
  <mergeCells count="250">
    <mergeCell ref="N94:O94"/>
    <mergeCell ref="P94:Q94"/>
    <mergeCell ref="H85:M85"/>
    <mergeCell ref="N85:Q85"/>
    <mergeCell ref="H86:M86"/>
    <mergeCell ref="N86:Q86"/>
    <mergeCell ref="H87:M87"/>
    <mergeCell ref="N87:Q87"/>
    <mergeCell ref="H88:M88"/>
    <mergeCell ref="N88:Q88"/>
    <mergeCell ref="H90:M90"/>
    <mergeCell ref="N90:Q90"/>
    <mergeCell ref="B91:M91"/>
    <mergeCell ref="N91:Q91"/>
    <mergeCell ref="E93:M93"/>
    <mergeCell ref="N93:Q93"/>
    <mergeCell ref="A82:A91"/>
    <mergeCell ref="H82:M82"/>
    <mergeCell ref="N82:Q82"/>
    <mergeCell ref="U82:W91"/>
    <mergeCell ref="H83:M83"/>
    <mergeCell ref="N83:Q83"/>
    <mergeCell ref="H84:M84"/>
    <mergeCell ref="N84:Q84"/>
    <mergeCell ref="H89:M89"/>
    <mergeCell ref="N89:Q89"/>
    <mergeCell ref="G80:G81"/>
    <mergeCell ref="H80:M81"/>
    <mergeCell ref="N80:Q80"/>
    <mergeCell ref="R80:S81"/>
    <mergeCell ref="T80:T81"/>
    <mergeCell ref="U80:W81"/>
    <mergeCell ref="N81:Q81"/>
    <mergeCell ref="E76:M76"/>
    <mergeCell ref="N76:O76"/>
    <mergeCell ref="P76:Q76"/>
    <mergeCell ref="A79:W79"/>
    <mergeCell ref="A80:A81"/>
    <mergeCell ref="B80:B81"/>
    <mergeCell ref="C80:C81"/>
    <mergeCell ref="D80:D81"/>
    <mergeCell ref="E80:E81"/>
    <mergeCell ref="F80:F81"/>
    <mergeCell ref="N73:O73"/>
    <mergeCell ref="P73:Q73"/>
    <mergeCell ref="B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4"/>
    <mergeCell ref="H67:M67"/>
    <mergeCell ref="N67:O67"/>
    <mergeCell ref="P67:Q67"/>
    <mergeCell ref="U67:W74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W93"/>
  <sheetViews>
    <sheetView topLeftCell="A70" zoomScale="85" zoomScaleNormal="85" workbookViewId="0">
      <selection activeCell="D81" sqref="D81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45940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 t="s">
        <v>205</v>
      </c>
      <c r="E7" s="3" t="s">
        <v>295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1400</v>
      </c>
      <c r="O7" s="190"/>
      <c r="P7" s="189"/>
      <c r="Q7" s="190"/>
      <c r="R7" s="94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46" t="s">
        <v>205</v>
      </c>
      <c r="E8" s="3" t="s">
        <v>296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500</v>
      </c>
      <c r="O8" s="190"/>
      <c r="P8" s="189"/>
      <c r="Q8" s="190"/>
      <c r="R8" s="94">
        <v>40</v>
      </c>
      <c r="S8" s="6" t="s">
        <v>14</v>
      </c>
      <c r="T8" s="21" t="s">
        <v>294</v>
      </c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94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1900</v>
      </c>
      <c r="O10" s="169"/>
      <c r="P10" s="168">
        <f>SUM(P7:Q9)</f>
        <v>0</v>
      </c>
      <c r="Q10" s="169"/>
      <c r="R10" s="10">
        <f>SUM(R7:R9)</f>
        <v>85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94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94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94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95">
        <f>N10+N14</f>
        <v>1900</v>
      </c>
      <c r="O17" s="14" t="s">
        <v>13</v>
      </c>
      <c r="P17" s="95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 t="s">
        <v>205</v>
      </c>
      <c r="E22" s="3" t="s">
        <v>297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640</v>
      </c>
      <c r="O22" s="198"/>
      <c r="P22" s="198"/>
      <c r="Q22" s="190"/>
      <c r="R22" s="94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6" t="s">
        <v>205</v>
      </c>
      <c r="E23" s="3" t="s">
        <v>295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1600</v>
      </c>
      <c r="O23" s="198"/>
      <c r="P23" s="198"/>
      <c r="Q23" s="190"/>
      <c r="R23" s="94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94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94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2240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2240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 t="s">
        <v>205</v>
      </c>
      <c r="E34" s="3" t="s">
        <v>298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485</v>
      </c>
      <c r="O34" s="190"/>
      <c r="P34" s="189"/>
      <c r="Q34" s="190"/>
      <c r="R34" s="94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6" t="s">
        <v>205</v>
      </c>
      <c r="E35" s="3" t="s">
        <v>297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1515</v>
      </c>
      <c r="O35" s="190"/>
      <c r="P35" s="189"/>
      <c r="Q35" s="190"/>
      <c r="R35" s="94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94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95">
        <f>N37</f>
        <v>2000</v>
      </c>
      <c r="O40" s="14" t="s">
        <v>13</v>
      </c>
      <c r="P40" s="95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46"/>
      <c r="D45" s="46" t="s">
        <v>205</v>
      </c>
      <c r="E45" s="3" t="s">
        <v>299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820</v>
      </c>
      <c r="O45" s="198"/>
      <c r="P45" s="198"/>
      <c r="Q45" s="190"/>
      <c r="R45" s="94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/>
      <c r="D46" s="46" t="s">
        <v>205</v>
      </c>
      <c r="E46" s="3" t="s">
        <v>298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1285</v>
      </c>
      <c r="O46" s="198"/>
      <c r="P46" s="198"/>
      <c r="Q46" s="190"/>
      <c r="R46" s="94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46" t="s">
        <v>205</v>
      </c>
      <c r="E47" s="3" t="s">
        <v>297</v>
      </c>
      <c r="F47" s="19">
        <v>304</v>
      </c>
      <c r="G47" s="20">
        <v>0.9</v>
      </c>
      <c r="H47" s="186"/>
      <c r="I47" s="187"/>
      <c r="J47" s="187"/>
      <c r="K47" s="187"/>
      <c r="L47" s="187"/>
      <c r="M47" s="188"/>
      <c r="N47" s="189">
        <v>565</v>
      </c>
      <c r="O47" s="198"/>
      <c r="P47" s="198"/>
      <c r="Q47" s="190"/>
      <c r="R47" s="94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2670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2670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6" t="s">
        <v>205</v>
      </c>
      <c r="E56" s="3" t="s">
        <v>298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955</v>
      </c>
      <c r="O56" s="198"/>
      <c r="P56" s="198"/>
      <c r="Q56" s="190"/>
      <c r="R56" s="94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6" t="s">
        <v>205</v>
      </c>
      <c r="E57" s="3" t="s">
        <v>299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1295</v>
      </c>
      <c r="O57" s="198"/>
      <c r="P57" s="198"/>
      <c r="Q57" s="190"/>
      <c r="R57" s="94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94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2250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2250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211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432</v>
      </c>
      <c r="O67" s="190"/>
      <c r="P67" s="189"/>
      <c r="Q67" s="190"/>
      <c r="R67" s="94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100925</v>
      </c>
      <c r="E68" s="3" t="s">
        <v>303</v>
      </c>
      <c r="F68" s="19">
        <v>304</v>
      </c>
      <c r="G68" s="20">
        <v>0.9</v>
      </c>
      <c r="H68" s="186" t="s">
        <v>124</v>
      </c>
      <c r="I68" s="187"/>
      <c r="J68" s="187"/>
      <c r="K68" s="187"/>
      <c r="L68" s="187"/>
      <c r="M68" s="188"/>
      <c r="N68" s="189">
        <v>368</v>
      </c>
      <c r="O68" s="190"/>
      <c r="P68" s="189"/>
      <c r="Q68" s="190"/>
      <c r="R68" s="94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0.70833333333333337</v>
      </c>
      <c r="D69" s="4">
        <v>100925</v>
      </c>
      <c r="E69" s="3" t="s">
        <v>303</v>
      </c>
      <c r="F69" s="19">
        <v>304</v>
      </c>
      <c r="G69" s="20">
        <v>0.9</v>
      </c>
      <c r="H69" s="186" t="s">
        <v>122</v>
      </c>
      <c r="I69" s="187"/>
      <c r="J69" s="187"/>
      <c r="K69" s="187"/>
      <c r="L69" s="187"/>
      <c r="M69" s="188"/>
      <c r="N69" s="189">
        <v>161</v>
      </c>
      <c r="O69" s="190"/>
      <c r="P69" s="189"/>
      <c r="Q69" s="190"/>
      <c r="R69" s="94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94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94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94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5"/>
      <c r="B73" s="165" t="s">
        <v>0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68">
        <f>SUM(N67:O72)</f>
        <v>961</v>
      </c>
      <c r="O73" s="197"/>
      <c r="P73" s="168">
        <f ca="1">SUM(P67:Q73)</f>
        <v>0</v>
      </c>
      <c r="Q73" s="197"/>
      <c r="R73" s="10">
        <f>SUM(R67:R72)</f>
        <v>0</v>
      </c>
      <c r="S73" s="11" t="s">
        <v>14</v>
      </c>
      <c r="T73" s="9"/>
      <c r="U73" s="191"/>
      <c r="V73" s="192"/>
      <c r="W73" s="193"/>
    </row>
    <row r="74" spans="1:23" ht="14.55" customHeight="1" x14ac:dyDescent="0.3">
      <c r="D74" s="91"/>
      <c r="E74" s="48"/>
      <c r="F74" s="48"/>
      <c r="G74" s="48"/>
      <c r="H74" s="48"/>
      <c r="I74" s="48"/>
      <c r="R74" s="91"/>
    </row>
    <row r="75" spans="1:23" ht="14.55" customHeight="1" x14ac:dyDescent="0.3">
      <c r="D75" s="91"/>
      <c r="E75" s="165" t="s">
        <v>65</v>
      </c>
      <c r="F75" s="166"/>
      <c r="G75" s="166"/>
      <c r="H75" s="166"/>
      <c r="I75" s="166"/>
      <c r="J75" s="166"/>
      <c r="K75" s="166"/>
      <c r="L75" s="166"/>
      <c r="M75" s="167"/>
      <c r="N75" s="181" t="s">
        <v>7</v>
      </c>
      <c r="O75" s="182"/>
      <c r="P75" s="181" t="s">
        <v>74</v>
      </c>
      <c r="Q75" s="182"/>
      <c r="R75" s="91"/>
    </row>
    <row r="76" spans="1:23" ht="14.55" customHeight="1" x14ac:dyDescent="0.3">
      <c r="D76" s="91"/>
      <c r="E76" s="7"/>
      <c r="F76" s="7"/>
      <c r="G76" s="7"/>
      <c r="H76" s="7"/>
      <c r="I76" s="7"/>
      <c r="J76" s="22"/>
      <c r="K76" s="23"/>
      <c r="L76" s="22"/>
      <c r="M76" s="24"/>
      <c r="N76" s="95">
        <f>N73</f>
        <v>961</v>
      </c>
      <c r="O76" s="14" t="s">
        <v>13</v>
      </c>
      <c r="P76" s="95">
        <f ca="1">P73</f>
        <v>0</v>
      </c>
      <c r="Q76" s="15" t="s">
        <v>13</v>
      </c>
      <c r="R76" s="91"/>
    </row>
    <row r="77" spans="1:23" x14ac:dyDescent="0.3">
      <c r="P77" s="49"/>
      <c r="Q77" s="49"/>
      <c r="R77" s="49"/>
      <c r="S77" s="32"/>
    </row>
    <row r="78" spans="1:23" s="8" customFormat="1" ht="30" customHeight="1" x14ac:dyDescent="0.3">
      <c r="A78" s="155" t="s">
        <v>29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7"/>
      <c r="Q78" s="157"/>
      <c r="R78" s="157"/>
      <c r="S78" s="157"/>
      <c r="T78" s="156"/>
      <c r="U78" s="156"/>
      <c r="V78" s="156"/>
      <c r="W78" s="158"/>
    </row>
    <row r="79" spans="1:23" s="12" customFormat="1" ht="14.55" customHeight="1" x14ac:dyDescent="0.3">
      <c r="A79" s="159" t="s">
        <v>1</v>
      </c>
      <c r="B79" s="160" t="s">
        <v>2</v>
      </c>
      <c r="C79" s="160" t="s">
        <v>3</v>
      </c>
      <c r="D79" s="160" t="s">
        <v>4</v>
      </c>
      <c r="E79" s="161" t="s">
        <v>5</v>
      </c>
      <c r="F79" s="163" t="s">
        <v>15</v>
      </c>
      <c r="G79" s="163" t="s">
        <v>16</v>
      </c>
      <c r="H79" s="170" t="s">
        <v>30</v>
      </c>
      <c r="I79" s="171"/>
      <c r="J79" s="171"/>
      <c r="K79" s="171"/>
      <c r="L79" s="171"/>
      <c r="M79" s="172"/>
      <c r="N79" s="176" t="s">
        <v>6</v>
      </c>
      <c r="O79" s="177"/>
      <c r="P79" s="177"/>
      <c r="Q79" s="178"/>
      <c r="R79" s="161" t="s">
        <v>8</v>
      </c>
      <c r="S79" s="179"/>
      <c r="T79" s="159" t="s">
        <v>9</v>
      </c>
      <c r="U79" s="159" t="s">
        <v>10</v>
      </c>
      <c r="V79" s="159"/>
      <c r="W79" s="159"/>
    </row>
    <row r="80" spans="1:23" s="12" customFormat="1" ht="13.05" customHeight="1" x14ac:dyDescent="0.3">
      <c r="A80" s="159"/>
      <c r="B80" s="160"/>
      <c r="C80" s="160"/>
      <c r="D80" s="160"/>
      <c r="E80" s="162"/>
      <c r="F80" s="164"/>
      <c r="G80" s="164"/>
      <c r="H80" s="173"/>
      <c r="I80" s="174"/>
      <c r="J80" s="174"/>
      <c r="K80" s="174"/>
      <c r="L80" s="174"/>
      <c r="M80" s="175"/>
      <c r="N80" s="176" t="s">
        <v>7</v>
      </c>
      <c r="O80" s="177"/>
      <c r="P80" s="177"/>
      <c r="Q80" s="178"/>
      <c r="R80" s="162"/>
      <c r="S80" s="180"/>
      <c r="T80" s="159"/>
      <c r="U80" s="159"/>
      <c r="V80" s="159"/>
      <c r="W80" s="159"/>
    </row>
    <row r="81" spans="1:23" ht="14.55" customHeight="1" x14ac:dyDescent="0.3">
      <c r="A81" s="183" t="s">
        <v>49</v>
      </c>
      <c r="B81" s="5">
        <v>0.33333333333333331</v>
      </c>
      <c r="C81" s="5"/>
      <c r="D81" s="4" t="s">
        <v>205</v>
      </c>
      <c r="E81" s="3" t="s">
        <v>304</v>
      </c>
      <c r="F81" s="19">
        <v>304</v>
      </c>
      <c r="G81" s="20">
        <v>0.8</v>
      </c>
      <c r="H81" s="186" t="s">
        <v>87</v>
      </c>
      <c r="I81" s="187"/>
      <c r="J81" s="187"/>
      <c r="K81" s="187"/>
      <c r="L81" s="187"/>
      <c r="M81" s="188"/>
      <c r="N81" s="189">
        <v>1600</v>
      </c>
      <c r="O81" s="198"/>
      <c r="P81" s="198"/>
      <c r="Q81" s="190"/>
      <c r="R81" s="94"/>
      <c r="S81" s="91" t="s">
        <v>14</v>
      </c>
      <c r="T81" s="21"/>
      <c r="U81" s="204"/>
      <c r="V81" s="205"/>
      <c r="W81" s="206"/>
    </row>
    <row r="82" spans="1:23" ht="14.55" customHeight="1" x14ac:dyDescent="0.3">
      <c r="A82" s="184"/>
      <c r="B82" s="5"/>
      <c r="C82" s="5"/>
      <c r="D82" s="4">
        <v>250039</v>
      </c>
      <c r="E82" s="3" t="s">
        <v>305</v>
      </c>
      <c r="F82" s="19">
        <v>304</v>
      </c>
      <c r="G82" s="20">
        <v>0.9</v>
      </c>
      <c r="H82" s="186" t="s">
        <v>87</v>
      </c>
      <c r="I82" s="187"/>
      <c r="J82" s="187"/>
      <c r="K82" s="187"/>
      <c r="L82" s="187"/>
      <c r="M82" s="188"/>
      <c r="N82" s="189">
        <v>58</v>
      </c>
      <c r="O82" s="198"/>
      <c r="P82" s="198"/>
      <c r="Q82" s="190"/>
      <c r="R82" s="94"/>
      <c r="S82" s="6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/>
      <c r="D83" s="4">
        <v>250039</v>
      </c>
      <c r="E83" s="3" t="s">
        <v>306</v>
      </c>
      <c r="F83" s="19">
        <v>304</v>
      </c>
      <c r="G83" s="20">
        <v>0.9</v>
      </c>
      <c r="H83" s="186" t="s">
        <v>87</v>
      </c>
      <c r="I83" s="187"/>
      <c r="J83" s="187"/>
      <c r="K83" s="187"/>
      <c r="L83" s="187"/>
      <c r="M83" s="188"/>
      <c r="N83" s="189">
        <v>60</v>
      </c>
      <c r="O83" s="198"/>
      <c r="P83" s="198"/>
      <c r="Q83" s="190"/>
      <c r="R83" s="94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4"/>
      <c r="B84" s="5"/>
      <c r="C84" s="5"/>
      <c r="D84" s="4">
        <v>250040</v>
      </c>
      <c r="E84" s="3" t="s">
        <v>307</v>
      </c>
      <c r="F84" s="19">
        <v>304</v>
      </c>
      <c r="G84" s="20">
        <v>0.9</v>
      </c>
      <c r="H84" s="186"/>
      <c r="I84" s="187"/>
      <c r="J84" s="187"/>
      <c r="K84" s="187"/>
      <c r="L84" s="187"/>
      <c r="M84" s="188"/>
      <c r="N84" s="189">
        <v>60</v>
      </c>
      <c r="O84" s="198"/>
      <c r="P84" s="198"/>
      <c r="Q84" s="190"/>
      <c r="R84" s="94"/>
      <c r="S84" s="6" t="s">
        <v>14</v>
      </c>
      <c r="T84" s="21"/>
      <c r="U84" s="204"/>
      <c r="V84" s="205"/>
      <c r="W84" s="206"/>
    </row>
    <row r="85" spans="1:23" ht="14.55" customHeight="1" x14ac:dyDescent="0.3">
      <c r="A85" s="184"/>
      <c r="B85" s="5"/>
      <c r="C85" s="5"/>
      <c r="D85" s="4">
        <v>250040</v>
      </c>
      <c r="E85" s="3" t="s">
        <v>308</v>
      </c>
      <c r="F85" s="19">
        <v>304</v>
      </c>
      <c r="G85" s="20">
        <v>0.9</v>
      </c>
      <c r="H85" s="186"/>
      <c r="I85" s="187"/>
      <c r="J85" s="187"/>
      <c r="K85" s="187"/>
      <c r="L85" s="187"/>
      <c r="M85" s="188"/>
      <c r="N85" s="189">
        <v>60</v>
      </c>
      <c r="O85" s="198"/>
      <c r="P85" s="198"/>
      <c r="Q85" s="190"/>
      <c r="R85" s="94"/>
      <c r="S85" s="6" t="s">
        <v>14</v>
      </c>
      <c r="T85" s="21"/>
      <c r="U85" s="204"/>
      <c r="V85" s="205"/>
      <c r="W85" s="206"/>
    </row>
    <row r="86" spans="1:23" ht="14.55" customHeight="1" x14ac:dyDescent="0.3">
      <c r="A86" s="184"/>
      <c r="B86" s="5"/>
      <c r="C86" s="5"/>
      <c r="D86" s="4">
        <v>250040</v>
      </c>
      <c r="E86" s="3" t="s">
        <v>309</v>
      </c>
      <c r="F86" s="19">
        <v>304</v>
      </c>
      <c r="G86" s="20">
        <v>0.9</v>
      </c>
      <c r="H86" s="186"/>
      <c r="I86" s="187"/>
      <c r="J86" s="187"/>
      <c r="K86" s="187"/>
      <c r="L86" s="187"/>
      <c r="M86" s="188"/>
      <c r="N86" s="189">
        <v>120</v>
      </c>
      <c r="O86" s="198"/>
      <c r="P86" s="198"/>
      <c r="Q86" s="190"/>
      <c r="R86" s="94"/>
      <c r="S86" s="6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250040</v>
      </c>
      <c r="E87" s="3" t="s">
        <v>310</v>
      </c>
      <c r="F87" s="19">
        <v>304</v>
      </c>
      <c r="G87" s="20">
        <v>0.9</v>
      </c>
      <c r="H87" s="186"/>
      <c r="I87" s="187"/>
      <c r="J87" s="187"/>
      <c r="K87" s="187"/>
      <c r="L87" s="187"/>
      <c r="M87" s="188"/>
      <c r="N87" s="189">
        <v>120</v>
      </c>
      <c r="O87" s="198"/>
      <c r="P87" s="198"/>
      <c r="Q87" s="190"/>
      <c r="R87" s="94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>
        <v>0.70833333333333337</v>
      </c>
      <c r="D88" s="4">
        <v>250040</v>
      </c>
      <c r="E88" s="3" t="s">
        <v>311</v>
      </c>
      <c r="F88" s="19">
        <v>304</v>
      </c>
      <c r="G88" s="20">
        <v>0.9</v>
      </c>
      <c r="H88" s="186"/>
      <c r="I88" s="187"/>
      <c r="J88" s="187"/>
      <c r="K88" s="187"/>
      <c r="L88" s="187"/>
      <c r="M88" s="188"/>
      <c r="N88" s="189">
        <v>120</v>
      </c>
      <c r="O88" s="198"/>
      <c r="P88" s="198"/>
      <c r="Q88" s="190"/>
      <c r="R88" s="94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94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5"/>
      <c r="B90" s="165" t="s">
        <v>0</v>
      </c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7"/>
      <c r="N90" s="168">
        <f>SUM(N81:O89)</f>
        <v>2198</v>
      </c>
      <c r="O90" s="197"/>
      <c r="P90" s="197"/>
      <c r="Q90" s="169"/>
      <c r="R90" s="10">
        <f>SUM(R81:R89)</f>
        <v>0</v>
      </c>
      <c r="S90" s="11" t="s">
        <v>14</v>
      </c>
      <c r="T90" s="9"/>
      <c r="U90" s="204"/>
      <c r="V90" s="205"/>
      <c r="W90" s="206"/>
    </row>
    <row r="91" spans="1:23" ht="14.55" customHeight="1" x14ac:dyDescent="0.3">
      <c r="D91" s="91"/>
      <c r="E91" s="48"/>
      <c r="F91" s="48"/>
      <c r="G91" s="48"/>
      <c r="H91" s="48"/>
      <c r="I91" s="48"/>
      <c r="R91" s="91"/>
    </row>
    <row r="92" spans="1:23" ht="14.55" customHeight="1" x14ac:dyDescent="0.3">
      <c r="D92" s="91"/>
      <c r="E92" s="165" t="s">
        <v>33</v>
      </c>
      <c r="F92" s="166"/>
      <c r="G92" s="166"/>
      <c r="H92" s="166"/>
      <c r="I92" s="166"/>
      <c r="J92" s="166"/>
      <c r="K92" s="166"/>
      <c r="L92" s="166"/>
      <c r="M92" s="167"/>
      <c r="N92" s="181" t="s">
        <v>7</v>
      </c>
      <c r="O92" s="199"/>
      <c r="P92" s="199"/>
      <c r="Q92" s="182"/>
      <c r="R92" s="91"/>
    </row>
    <row r="93" spans="1:23" ht="14.55" customHeight="1" x14ac:dyDescent="0.3">
      <c r="D93" s="91"/>
      <c r="E93" s="7"/>
      <c r="F93" s="7"/>
      <c r="G93" s="7"/>
      <c r="H93" s="7"/>
      <c r="I93" s="7"/>
      <c r="J93" s="22"/>
      <c r="K93" s="23"/>
      <c r="L93" s="22"/>
      <c r="M93" s="24"/>
      <c r="N93" s="200">
        <f>N90</f>
        <v>2198</v>
      </c>
      <c r="O93" s="201"/>
      <c r="P93" s="202" t="s">
        <v>13</v>
      </c>
      <c r="Q93" s="203"/>
      <c r="R93" s="91"/>
    </row>
  </sheetData>
  <mergeCells count="247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3"/>
    <mergeCell ref="H67:M67"/>
    <mergeCell ref="N67:O67"/>
    <mergeCell ref="P67:Q67"/>
    <mergeCell ref="U67:W73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2:M72"/>
    <mergeCell ref="N72:O72"/>
    <mergeCell ref="P72:Q72"/>
    <mergeCell ref="B73:M73"/>
    <mergeCell ref="N73:O73"/>
    <mergeCell ref="P73:Q73"/>
    <mergeCell ref="H71:M71"/>
    <mergeCell ref="N71:O71"/>
    <mergeCell ref="P71:Q71"/>
    <mergeCell ref="G79:G80"/>
    <mergeCell ref="H79:M80"/>
    <mergeCell ref="N79:Q79"/>
    <mergeCell ref="R79:S80"/>
    <mergeCell ref="T79:T80"/>
    <mergeCell ref="U79:W80"/>
    <mergeCell ref="N80:Q80"/>
    <mergeCell ref="E75:M75"/>
    <mergeCell ref="N75:O75"/>
    <mergeCell ref="P75:Q75"/>
    <mergeCell ref="A78:W78"/>
    <mergeCell ref="A79:A80"/>
    <mergeCell ref="B79:B80"/>
    <mergeCell ref="C79:C80"/>
    <mergeCell ref="D79:D80"/>
    <mergeCell ref="E79:E80"/>
    <mergeCell ref="F79:F80"/>
    <mergeCell ref="A81:A90"/>
    <mergeCell ref="H81:M81"/>
    <mergeCell ref="N81:Q81"/>
    <mergeCell ref="U81:W90"/>
    <mergeCell ref="H82:M82"/>
    <mergeCell ref="N82:Q82"/>
    <mergeCell ref="H87:M87"/>
    <mergeCell ref="N87:Q87"/>
    <mergeCell ref="H88:M88"/>
    <mergeCell ref="N88:Q88"/>
    <mergeCell ref="N93:O93"/>
    <mergeCell ref="P93:Q93"/>
    <mergeCell ref="H83:M83"/>
    <mergeCell ref="N83:Q83"/>
    <mergeCell ref="H84:M84"/>
    <mergeCell ref="N84:Q84"/>
    <mergeCell ref="H85:M85"/>
    <mergeCell ref="N85:Q85"/>
    <mergeCell ref="H86:M86"/>
    <mergeCell ref="N86:Q86"/>
    <mergeCell ref="H89:M89"/>
    <mergeCell ref="N89:Q89"/>
    <mergeCell ref="B90:M90"/>
    <mergeCell ref="N90:Q90"/>
    <mergeCell ref="E92:M92"/>
    <mergeCell ref="N92:Q92"/>
  </mergeCells>
  <pageMargins left="0.39370078740157483" right="0.19685039370078741" top="0.19685039370078741" bottom="0.19685039370078741" header="0.31496062992125984" footer="0.31496062992125984"/>
  <pageSetup paperSize="9" scale="53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W94"/>
  <sheetViews>
    <sheetView topLeftCell="A64" zoomScale="85" zoomScaleNormal="85" workbookViewId="0">
      <selection activeCell="D86" sqref="D86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45941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0.58333333333333337</v>
      </c>
      <c r="D7" s="46" t="s">
        <v>205</v>
      </c>
      <c r="E7" s="3" t="s">
        <v>296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1100</v>
      </c>
      <c r="O7" s="190"/>
      <c r="P7" s="189"/>
      <c r="Q7" s="190"/>
      <c r="R7" s="96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96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96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1100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96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96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96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97">
        <f>N10+N14</f>
        <v>1100</v>
      </c>
      <c r="O17" s="14" t="s">
        <v>13</v>
      </c>
      <c r="P17" s="97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0.58333333333333337</v>
      </c>
      <c r="D22" s="46" t="s">
        <v>205</v>
      </c>
      <c r="E22" s="3" t="s">
        <v>296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900</v>
      </c>
      <c r="O22" s="198"/>
      <c r="P22" s="198"/>
      <c r="Q22" s="190"/>
      <c r="R22" s="9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9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96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96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900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900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 t="s">
        <v>205</v>
      </c>
      <c r="E34" s="3" t="s">
        <v>297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100</v>
      </c>
      <c r="O34" s="190"/>
      <c r="P34" s="189"/>
      <c r="Q34" s="190"/>
      <c r="R34" s="9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0.58333333333333337</v>
      </c>
      <c r="D35" s="46" t="s">
        <v>205</v>
      </c>
      <c r="E35" s="3" t="s">
        <v>295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1000</v>
      </c>
      <c r="O35" s="190"/>
      <c r="P35" s="189"/>
      <c r="Q35" s="190"/>
      <c r="R35" s="96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96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1100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97">
        <f>N37</f>
        <v>1100</v>
      </c>
      <c r="O40" s="14" t="s">
        <v>13</v>
      </c>
      <c r="P40" s="97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 t="s">
        <v>205</v>
      </c>
      <c r="E45" s="3" t="s">
        <v>297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1085</v>
      </c>
      <c r="O45" s="198"/>
      <c r="P45" s="198"/>
      <c r="Q45" s="190"/>
      <c r="R45" s="96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0.58333333333333337</v>
      </c>
      <c r="D46" s="46" t="s">
        <v>205</v>
      </c>
      <c r="E46" s="3" t="s">
        <v>295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350</v>
      </c>
      <c r="O46" s="198"/>
      <c r="P46" s="198"/>
      <c r="Q46" s="190"/>
      <c r="R46" s="96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96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1435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1435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/>
      <c r="C56" s="5"/>
      <c r="D56" s="4"/>
      <c r="E56" s="3" t="s">
        <v>165</v>
      </c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96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4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96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96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212</v>
      </c>
      <c r="F67" s="19">
        <v>304</v>
      </c>
      <c r="G67" s="20">
        <v>0.9</v>
      </c>
      <c r="H67" s="186" t="s">
        <v>122</v>
      </c>
      <c r="I67" s="187"/>
      <c r="J67" s="187"/>
      <c r="K67" s="187"/>
      <c r="L67" s="187"/>
      <c r="M67" s="188"/>
      <c r="N67" s="189">
        <v>900</v>
      </c>
      <c r="O67" s="190"/>
      <c r="P67" s="189"/>
      <c r="Q67" s="190"/>
      <c r="R67" s="96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250074</v>
      </c>
      <c r="E68" s="3" t="s">
        <v>283</v>
      </c>
      <c r="F68" s="19">
        <v>304</v>
      </c>
      <c r="G68" s="20">
        <v>0.7</v>
      </c>
      <c r="H68" s="186" t="s">
        <v>269</v>
      </c>
      <c r="I68" s="187"/>
      <c r="J68" s="187"/>
      <c r="K68" s="187"/>
      <c r="L68" s="187"/>
      <c r="M68" s="188"/>
      <c r="N68" s="189">
        <v>540</v>
      </c>
      <c r="O68" s="190"/>
      <c r="P68" s="189"/>
      <c r="Q68" s="190"/>
      <c r="R68" s="96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>
        <v>0.58333333333333337</v>
      </c>
      <c r="D69" s="4">
        <v>100925</v>
      </c>
      <c r="E69" s="3" t="s">
        <v>212</v>
      </c>
      <c r="F69" s="19">
        <v>304</v>
      </c>
      <c r="G69" s="20">
        <v>0.9</v>
      </c>
      <c r="H69" s="186" t="s">
        <v>312</v>
      </c>
      <c r="I69" s="187"/>
      <c r="J69" s="187"/>
      <c r="K69" s="187"/>
      <c r="L69" s="187"/>
      <c r="M69" s="188"/>
      <c r="N69" s="189">
        <v>200</v>
      </c>
      <c r="O69" s="190"/>
      <c r="P69" s="189"/>
      <c r="Q69" s="190"/>
      <c r="R69" s="96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/>
      <c r="E70" s="3"/>
      <c r="F70" s="19"/>
      <c r="G70" s="20"/>
      <c r="H70" s="186"/>
      <c r="I70" s="187"/>
      <c r="J70" s="187"/>
      <c r="K70" s="187"/>
      <c r="L70" s="187"/>
      <c r="M70" s="188"/>
      <c r="N70" s="189"/>
      <c r="O70" s="190"/>
      <c r="P70" s="189"/>
      <c r="Q70" s="190"/>
      <c r="R70" s="96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/>
      <c r="D71" s="4"/>
      <c r="E71" s="3"/>
      <c r="F71" s="19"/>
      <c r="G71" s="20"/>
      <c r="H71" s="186"/>
      <c r="I71" s="187"/>
      <c r="J71" s="187"/>
      <c r="K71" s="187"/>
      <c r="L71" s="187"/>
      <c r="M71" s="188"/>
      <c r="N71" s="189"/>
      <c r="O71" s="190"/>
      <c r="P71" s="189"/>
      <c r="Q71" s="190"/>
      <c r="R71" s="96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96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96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96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96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96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96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1640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91"/>
      <c r="E79" s="48"/>
      <c r="F79" s="48"/>
      <c r="G79" s="48"/>
      <c r="H79" s="48"/>
      <c r="I79" s="48"/>
      <c r="R79" s="91"/>
    </row>
    <row r="80" spans="1:23" ht="14.55" customHeight="1" x14ac:dyDescent="0.3">
      <c r="D80" s="91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91"/>
    </row>
    <row r="81" spans="1:23" ht="14.55" customHeight="1" x14ac:dyDescent="0.3">
      <c r="D81" s="91"/>
      <c r="E81" s="7"/>
      <c r="F81" s="7"/>
      <c r="G81" s="7"/>
      <c r="H81" s="7"/>
      <c r="I81" s="7"/>
      <c r="J81" s="22"/>
      <c r="K81" s="23"/>
      <c r="L81" s="22"/>
      <c r="M81" s="24"/>
      <c r="N81" s="97">
        <f>N78</f>
        <v>1640</v>
      </c>
      <c r="O81" s="14" t="s">
        <v>13</v>
      </c>
      <c r="P81" s="97">
        <f ca="1">P78</f>
        <v>0</v>
      </c>
      <c r="Q81" s="15" t="s">
        <v>13</v>
      </c>
      <c r="R81" s="91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4" t="s">
        <v>205</v>
      </c>
      <c r="E86" s="3" t="s">
        <v>313</v>
      </c>
      <c r="F86" s="19">
        <v>304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1298</v>
      </c>
      <c r="O86" s="198"/>
      <c r="P86" s="198"/>
      <c r="Q86" s="190"/>
      <c r="R86" s="96"/>
      <c r="S86" s="91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250039</v>
      </c>
      <c r="E87" s="3" t="s">
        <v>246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11</v>
      </c>
      <c r="O87" s="198"/>
      <c r="P87" s="198"/>
      <c r="Q87" s="190"/>
      <c r="R87" s="96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>
        <v>0.58333333333333337</v>
      </c>
      <c r="D88" s="4">
        <v>250039</v>
      </c>
      <c r="E88" s="3" t="s">
        <v>314</v>
      </c>
      <c r="F88" s="19">
        <v>304</v>
      </c>
      <c r="G88" s="20">
        <v>0.7</v>
      </c>
      <c r="H88" s="186" t="s">
        <v>87</v>
      </c>
      <c r="I88" s="187"/>
      <c r="J88" s="187"/>
      <c r="K88" s="187"/>
      <c r="L88" s="187"/>
      <c r="M88" s="188"/>
      <c r="N88" s="189">
        <v>5</v>
      </c>
      <c r="O88" s="198"/>
      <c r="P88" s="198"/>
      <c r="Q88" s="190"/>
      <c r="R88" s="96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96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96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1314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91"/>
      <c r="E92" s="48"/>
      <c r="F92" s="48"/>
      <c r="G92" s="48"/>
      <c r="H92" s="48"/>
      <c r="I92" s="48"/>
      <c r="R92" s="91"/>
    </row>
    <row r="93" spans="1:23" ht="14.55" customHeight="1" x14ac:dyDescent="0.3">
      <c r="D93" s="91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91"/>
    </row>
    <row r="94" spans="1:23" ht="14.55" customHeight="1" x14ac:dyDescent="0.3">
      <c r="D94" s="91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1314</v>
      </c>
      <c r="O94" s="201"/>
      <c r="P94" s="202" t="s">
        <v>13</v>
      </c>
      <c r="Q94" s="203"/>
      <c r="R94" s="91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A49" zoomScale="85" zoomScaleNormal="85" workbookViewId="0">
      <selection activeCell="D67" sqref="D67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45943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46" t="s">
        <v>205</v>
      </c>
      <c r="E7" s="3" t="s">
        <v>315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1620</v>
      </c>
      <c r="O7" s="190"/>
      <c r="P7" s="189"/>
      <c r="Q7" s="190"/>
      <c r="R7" s="98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77">
        <v>160925</v>
      </c>
      <c r="E8" s="3" t="s">
        <v>316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200</v>
      </c>
      <c r="O8" s="190"/>
      <c r="P8" s="189"/>
      <c r="Q8" s="190"/>
      <c r="R8" s="98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98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1820</v>
      </c>
      <c r="O10" s="169"/>
      <c r="P10" s="168">
        <f>SUM(P7:Q9)</f>
        <v>0</v>
      </c>
      <c r="Q10" s="169"/>
      <c r="R10" s="10">
        <f>SUM(R7:R9)</f>
        <v>45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98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98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98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99">
        <f>N10+N14</f>
        <v>1820</v>
      </c>
      <c r="O17" s="14" t="s">
        <v>13</v>
      </c>
      <c r="P17" s="99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 t="s">
        <v>205</v>
      </c>
      <c r="E22" s="3" t="s">
        <v>296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615</v>
      </c>
      <c r="O22" s="198"/>
      <c r="P22" s="198"/>
      <c r="Q22" s="190"/>
      <c r="R22" s="98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46" t="s">
        <v>205</v>
      </c>
      <c r="E23" s="3" t="s">
        <v>317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1800</v>
      </c>
      <c r="O23" s="198"/>
      <c r="P23" s="198"/>
      <c r="Q23" s="190"/>
      <c r="R23" s="98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98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98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2415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2415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 t="s">
        <v>205</v>
      </c>
      <c r="E34" s="3" t="s">
        <v>295</v>
      </c>
      <c r="F34" s="19">
        <v>304</v>
      </c>
      <c r="G34" s="20">
        <v>0.9</v>
      </c>
      <c r="H34" s="186" t="s">
        <v>318</v>
      </c>
      <c r="I34" s="187"/>
      <c r="J34" s="187"/>
      <c r="K34" s="187"/>
      <c r="L34" s="187"/>
      <c r="M34" s="188"/>
      <c r="N34" s="189">
        <v>600</v>
      </c>
      <c r="O34" s="190"/>
      <c r="P34" s="189"/>
      <c r="Q34" s="190"/>
      <c r="R34" s="98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46" t="s">
        <v>205</v>
      </c>
      <c r="E35" s="3" t="s">
        <v>296</v>
      </c>
      <c r="F35" s="19">
        <v>304</v>
      </c>
      <c r="G35" s="20">
        <v>0.9</v>
      </c>
      <c r="H35" s="186" t="s">
        <v>319</v>
      </c>
      <c r="I35" s="187"/>
      <c r="J35" s="187"/>
      <c r="K35" s="187"/>
      <c r="L35" s="187"/>
      <c r="M35" s="188"/>
      <c r="N35" s="189">
        <v>1240</v>
      </c>
      <c r="O35" s="190"/>
      <c r="P35" s="189"/>
      <c r="Q35" s="190"/>
      <c r="R35" s="98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98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1840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99">
        <f>N37</f>
        <v>1840</v>
      </c>
      <c r="O40" s="14" t="s">
        <v>13</v>
      </c>
      <c r="P40" s="99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 t="s">
        <v>205</v>
      </c>
      <c r="E45" s="3" t="s">
        <v>295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1260</v>
      </c>
      <c r="O45" s="198"/>
      <c r="P45" s="198"/>
      <c r="Q45" s="190"/>
      <c r="R45" s="98">
        <v>40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6" t="s">
        <v>205</v>
      </c>
      <c r="E46" s="3" t="s">
        <v>296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800</v>
      </c>
      <c r="O46" s="198"/>
      <c r="P46" s="198"/>
      <c r="Q46" s="190"/>
      <c r="R46" s="98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98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2060</v>
      </c>
      <c r="O48" s="197"/>
      <c r="P48" s="197"/>
      <c r="Q48" s="169"/>
      <c r="R48" s="10">
        <f>SUM(R45:R47)</f>
        <v>40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2060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6" t="s">
        <v>205</v>
      </c>
      <c r="E56" s="3" t="s">
        <v>297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1600</v>
      </c>
      <c r="O56" s="198"/>
      <c r="P56" s="198"/>
      <c r="Q56" s="190"/>
      <c r="R56" s="98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6" t="s">
        <v>205</v>
      </c>
      <c r="E57" s="3" t="s">
        <v>295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900</v>
      </c>
      <c r="O57" s="198"/>
      <c r="P57" s="198"/>
      <c r="Q57" s="190"/>
      <c r="R57" s="98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98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2500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2500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>
        <v>100925</v>
      </c>
      <c r="E67" s="3" t="s">
        <v>320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432</v>
      </c>
      <c r="O67" s="190"/>
      <c r="P67" s="189"/>
      <c r="Q67" s="190"/>
      <c r="R67" s="98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100925</v>
      </c>
      <c r="E68" s="3" t="s">
        <v>321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161</v>
      </c>
      <c r="O68" s="190"/>
      <c r="P68" s="189"/>
      <c r="Q68" s="190"/>
      <c r="R68" s="98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>
        <v>100925</v>
      </c>
      <c r="E69" s="3" t="s">
        <v>321</v>
      </c>
      <c r="F69" s="19">
        <v>304</v>
      </c>
      <c r="G69" s="20">
        <v>0.9</v>
      </c>
      <c r="H69" s="186" t="s">
        <v>124</v>
      </c>
      <c r="I69" s="187"/>
      <c r="J69" s="187"/>
      <c r="K69" s="187"/>
      <c r="L69" s="187"/>
      <c r="M69" s="188"/>
      <c r="N69" s="189">
        <v>385</v>
      </c>
      <c r="O69" s="190"/>
      <c r="P69" s="189"/>
      <c r="Q69" s="190"/>
      <c r="R69" s="98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>
        <v>250074</v>
      </c>
      <c r="E70" s="3" t="s">
        <v>322</v>
      </c>
      <c r="F70" s="19">
        <v>304</v>
      </c>
      <c r="G70" s="20">
        <v>0.7</v>
      </c>
      <c r="H70" s="186" t="s">
        <v>269</v>
      </c>
      <c r="I70" s="187"/>
      <c r="J70" s="187"/>
      <c r="K70" s="187"/>
      <c r="L70" s="187"/>
      <c r="M70" s="188"/>
      <c r="N70" s="189">
        <v>200</v>
      </c>
      <c r="O70" s="190"/>
      <c r="P70" s="189"/>
      <c r="Q70" s="190"/>
      <c r="R70" s="98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4">
        <v>100925</v>
      </c>
      <c r="E71" s="3" t="s">
        <v>323</v>
      </c>
      <c r="F71" s="19">
        <v>304</v>
      </c>
      <c r="G71" s="20">
        <v>0.9</v>
      </c>
      <c r="H71" s="186" t="s">
        <v>124</v>
      </c>
      <c r="I71" s="187"/>
      <c r="J71" s="187"/>
      <c r="K71" s="187"/>
      <c r="L71" s="187"/>
      <c r="M71" s="188"/>
      <c r="N71" s="189">
        <v>17</v>
      </c>
      <c r="O71" s="190"/>
      <c r="P71" s="189"/>
      <c r="Q71" s="190"/>
      <c r="R71" s="98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98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98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98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98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98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98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1195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91"/>
      <c r="E79" s="48"/>
      <c r="F79" s="48"/>
      <c r="G79" s="48"/>
      <c r="H79" s="48"/>
      <c r="I79" s="48"/>
      <c r="R79" s="91"/>
    </row>
    <row r="80" spans="1:23" ht="14.55" customHeight="1" x14ac:dyDescent="0.3">
      <c r="D80" s="91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91"/>
    </row>
    <row r="81" spans="1:23" ht="14.55" customHeight="1" x14ac:dyDescent="0.3">
      <c r="D81" s="91"/>
      <c r="E81" s="7"/>
      <c r="F81" s="7"/>
      <c r="G81" s="7"/>
      <c r="H81" s="7"/>
      <c r="I81" s="7"/>
      <c r="J81" s="22"/>
      <c r="K81" s="23"/>
      <c r="L81" s="22"/>
      <c r="M81" s="24"/>
      <c r="N81" s="99">
        <f>N78</f>
        <v>1195</v>
      </c>
      <c r="O81" s="14" t="s">
        <v>13</v>
      </c>
      <c r="P81" s="99">
        <f ca="1">P78</f>
        <v>0</v>
      </c>
      <c r="Q81" s="15" t="s">
        <v>13</v>
      </c>
      <c r="R81" s="91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>
        <v>0.70833333333333337</v>
      </c>
      <c r="D86" s="4" t="s">
        <v>205</v>
      </c>
      <c r="E86" s="3" t="s">
        <v>324</v>
      </c>
      <c r="F86" s="19">
        <v>304</v>
      </c>
      <c r="G86" s="20">
        <v>0.8</v>
      </c>
      <c r="H86" s="186" t="s">
        <v>87</v>
      </c>
      <c r="I86" s="187"/>
      <c r="J86" s="187"/>
      <c r="K86" s="187"/>
      <c r="L86" s="187"/>
      <c r="M86" s="188"/>
      <c r="N86" s="189">
        <v>158</v>
      </c>
      <c r="O86" s="198"/>
      <c r="P86" s="198"/>
      <c r="Q86" s="190"/>
      <c r="R86" s="98"/>
      <c r="S86" s="91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/>
      <c r="E87" s="3"/>
      <c r="F87" s="19"/>
      <c r="G87" s="20"/>
      <c r="H87" s="186"/>
      <c r="I87" s="187"/>
      <c r="J87" s="187"/>
      <c r="K87" s="187"/>
      <c r="L87" s="187"/>
      <c r="M87" s="188"/>
      <c r="N87" s="189"/>
      <c r="O87" s="198"/>
      <c r="P87" s="198"/>
      <c r="Q87" s="190"/>
      <c r="R87" s="98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/>
      <c r="E88" s="3"/>
      <c r="F88" s="19"/>
      <c r="G88" s="20"/>
      <c r="H88" s="186"/>
      <c r="I88" s="187"/>
      <c r="J88" s="187"/>
      <c r="K88" s="187"/>
      <c r="L88" s="187"/>
      <c r="M88" s="188"/>
      <c r="N88" s="189"/>
      <c r="O88" s="198"/>
      <c r="P88" s="198"/>
      <c r="Q88" s="190"/>
      <c r="R88" s="98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/>
      <c r="D89" s="4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8"/>
      <c r="P89" s="198"/>
      <c r="Q89" s="190"/>
      <c r="R89" s="98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98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158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91"/>
      <c r="E92" s="48"/>
      <c r="F92" s="48"/>
      <c r="G92" s="48"/>
      <c r="H92" s="48"/>
      <c r="I92" s="48"/>
      <c r="R92" s="91"/>
    </row>
    <row r="93" spans="1:23" ht="14.55" customHeight="1" x14ac:dyDescent="0.3">
      <c r="D93" s="91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91"/>
    </row>
    <row r="94" spans="1:23" ht="14.55" customHeight="1" x14ac:dyDescent="0.3">
      <c r="D94" s="91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158</v>
      </c>
      <c r="O94" s="201"/>
      <c r="P94" s="202" t="s">
        <v>13</v>
      </c>
      <c r="Q94" s="203"/>
      <c r="R94" s="91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7"/>
  <sheetViews>
    <sheetView topLeftCell="A43" zoomScale="85" zoomScaleNormal="85" workbookViewId="0">
      <selection activeCell="D69" sqref="D6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6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45944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77">
        <v>160925</v>
      </c>
      <c r="E7" s="3" t="s">
        <v>316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900</v>
      </c>
      <c r="O7" s="190"/>
      <c r="P7" s="189"/>
      <c r="Q7" s="190"/>
      <c r="R7" s="101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/>
      <c r="D8" s="77">
        <v>160925</v>
      </c>
      <c r="E8" s="3" t="s">
        <v>325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1100</v>
      </c>
      <c r="O8" s="190"/>
      <c r="P8" s="189"/>
      <c r="Q8" s="190"/>
      <c r="R8" s="101">
        <v>45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4"/>
      <c r="B9" s="5"/>
      <c r="C9" s="5">
        <v>0.70833333333333337</v>
      </c>
      <c r="D9" s="46">
        <v>290925</v>
      </c>
      <c r="E9" s="3" t="s">
        <v>326</v>
      </c>
      <c r="F9" s="19">
        <v>304</v>
      </c>
      <c r="G9" s="20">
        <v>0.9</v>
      </c>
      <c r="H9" s="186"/>
      <c r="I9" s="187"/>
      <c r="J9" s="187"/>
      <c r="K9" s="187"/>
      <c r="L9" s="187"/>
      <c r="M9" s="188"/>
      <c r="N9" s="189">
        <v>100</v>
      </c>
      <c r="O9" s="190"/>
      <c r="P9" s="189"/>
      <c r="Q9" s="190"/>
      <c r="R9" s="101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2100</v>
      </c>
      <c r="O10" s="169"/>
      <c r="P10" s="168">
        <f>SUM(P7:Q9)</f>
        <v>0</v>
      </c>
      <c r="Q10" s="169"/>
      <c r="R10" s="10">
        <f>SUM(R7:R9)</f>
        <v>90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01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01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01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00">
        <f>N10+N14</f>
        <v>2100</v>
      </c>
      <c r="O17" s="14" t="s">
        <v>13</v>
      </c>
      <c r="P17" s="100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46" t="s">
        <v>205</v>
      </c>
      <c r="E22" s="3" t="s">
        <v>317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100</v>
      </c>
      <c r="O22" s="198"/>
      <c r="P22" s="198"/>
      <c r="Q22" s="190"/>
      <c r="R22" s="101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77">
        <v>160925</v>
      </c>
      <c r="E23" s="3" t="s">
        <v>316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1140</v>
      </c>
      <c r="O23" s="198"/>
      <c r="P23" s="198"/>
      <c r="Q23" s="190"/>
      <c r="R23" s="101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>
        <v>0.70833333333333337</v>
      </c>
      <c r="D24" s="77">
        <v>160925</v>
      </c>
      <c r="E24" s="3" t="s">
        <v>325</v>
      </c>
      <c r="F24" s="19">
        <v>304</v>
      </c>
      <c r="G24" s="20">
        <v>0.9</v>
      </c>
      <c r="H24" s="186"/>
      <c r="I24" s="187"/>
      <c r="J24" s="187"/>
      <c r="K24" s="187"/>
      <c r="L24" s="187"/>
      <c r="M24" s="188"/>
      <c r="N24" s="189">
        <v>1145</v>
      </c>
      <c r="O24" s="198"/>
      <c r="P24" s="198"/>
      <c r="Q24" s="190"/>
      <c r="R24" s="101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01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2385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2385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46" t="s">
        <v>205</v>
      </c>
      <c r="E34" s="3" t="s">
        <v>317</v>
      </c>
      <c r="F34" s="19">
        <v>304</v>
      </c>
      <c r="G34" s="20">
        <v>0.9</v>
      </c>
      <c r="H34" s="186" t="s">
        <v>327</v>
      </c>
      <c r="I34" s="187"/>
      <c r="J34" s="187"/>
      <c r="K34" s="187"/>
      <c r="L34" s="187"/>
      <c r="M34" s="188"/>
      <c r="N34" s="189">
        <v>1460</v>
      </c>
      <c r="O34" s="190"/>
      <c r="P34" s="189"/>
      <c r="Q34" s="190"/>
      <c r="R34" s="101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77">
        <v>160925</v>
      </c>
      <c r="E35" s="3" t="s">
        <v>316</v>
      </c>
      <c r="F35" s="19">
        <v>304</v>
      </c>
      <c r="G35" s="20">
        <v>0.9</v>
      </c>
      <c r="H35" s="186" t="s">
        <v>213</v>
      </c>
      <c r="I35" s="187"/>
      <c r="J35" s="187"/>
      <c r="K35" s="187"/>
      <c r="L35" s="187"/>
      <c r="M35" s="188"/>
      <c r="N35" s="189">
        <v>200</v>
      </c>
      <c r="O35" s="190"/>
      <c r="P35" s="189"/>
      <c r="Q35" s="190"/>
      <c r="R35" s="101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>
        <v>0.70833333333333337</v>
      </c>
      <c r="D36" s="46" t="s">
        <v>205</v>
      </c>
      <c r="E36" s="3" t="s">
        <v>296</v>
      </c>
      <c r="F36" s="19">
        <v>304</v>
      </c>
      <c r="G36" s="20">
        <v>0.9</v>
      </c>
      <c r="H36" s="186" t="s">
        <v>328</v>
      </c>
      <c r="I36" s="187"/>
      <c r="J36" s="187"/>
      <c r="K36" s="187"/>
      <c r="L36" s="187"/>
      <c r="M36" s="188"/>
      <c r="N36" s="189">
        <v>260</v>
      </c>
      <c r="O36" s="190"/>
      <c r="P36" s="189"/>
      <c r="Q36" s="190"/>
      <c r="R36" s="101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1920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00">
        <f>N37</f>
        <v>1920</v>
      </c>
      <c r="O40" s="14" t="s">
        <v>13</v>
      </c>
      <c r="P40" s="100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 t="s">
        <v>205</v>
      </c>
      <c r="E45" s="3" t="s">
        <v>296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750</v>
      </c>
      <c r="O45" s="198"/>
      <c r="P45" s="198"/>
      <c r="Q45" s="190"/>
      <c r="R45" s="101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6" t="s">
        <v>205</v>
      </c>
      <c r="E46" s="3" t="s">
        <v>317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900</v>
      </c>
      <c r="O46" s="198"/>
      <c r="P46" s="198"/>
      <c r="Q46" s="190"/>
      <c r="R46" s="101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01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1650</v>
      </c>
      <c r="O48" s="197"/>
      <c r="P48" s="197"/>
      <c r="Q48" s="169"/>
      <c r="R48" s="10">
        <f>SUM(R45:R47)</f>
        <v>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1650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6" t="s">
        <v>205</v>
      </c>
      <c r="E56" s="3" t="s">
        <v>295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1310</v>
      </c>
      <c r="O56" s="198"/>
      <c r="P56" s="198"/>
      <c r="Q56" s="190"/>
      <c r="R56" s="101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6" t="s">
        <v>205</v>
      </c>
      <c r="E57" s="3" t="s">
        <v>296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940</v>
      </c>
      <c r="O57" s="198"/>
      <c r="P57" s="198"/>
      <c r="Q57" s="190"/>
      <c r="R57" s="101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01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2250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2250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 t="s">
        <v>205</v>
      </c>
      <c r="E67" s="3" t="s">
        <v>299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514</v>
      </c>
      <c r="O67" s="190"/>
      <c r="P67" s="189"/>
      <c r="Q67" s="190"/>
      <c r="R67" s="101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 t="s">
        <v>205</v>
      </c>
      <c r="E68" s="3" t="s">
        <v>299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736</v>
      </c>
      <c r="O68" s="190"/>
      <c r="P68" s="189"/>
      <c r="Q68" s="190"/>
      <c r="R68" s="101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 t="s">
        <v>205</v>
      </c>
      <c r="E69" s="3" t="s">
        <v>297</v>
      </c>
      <c r="F69" s="19">
        <v>304</v>
      </c>
      <c r="G69" s="20">
        <v>0.9</v>
      </c>
      <c r="H69" s="186" t="s">
        <v>124</v>
      </c>
      <c r="I69" s="187"/>
      <c r="J69" s="187"/>
      <c r="K69" s="187"/>
      <c r="L69" s="187"/>
      <c r="M69" s="188"/>
      <c r="N69" s="189">
        <v>600</v>
      </c>
      <c r="O69" s="190"/>
      <c r="P69" s="189"/>
      <c r="Q69" s="190"/>
      <c r="R69" s="101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 t="s">
        <v>205</v>
      </c>
      <c r="E70" s="3" t="s">
        <v>297</v>
      </c>
      <c r="F70" s="19">
        <v>304</v>
      </c>
      <c r="G70" s="20">
        <v>0.9</v>
      </c>
      <c r="H70" s="186" t="s">
        <v>122</v>
      </c>
      <c r="I70" s="187"/>
      <c r="J70" s="187"/>
      <c r="K70" s="187"/>
      <c r="L70" s="187"/>
      <c r="M70" s="188"/>
      <c r="N70" s="189">
        <v>903</v>
      </c>
      <c r="O70" s="190"/>
      <c r="P70" s="189"/>
      <c r="Q70" s="190"/>
      <c r="R70" s="101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4" t="s">
        <v>205</v>
      </c>
      <c r="E71" s="3" t="s">
        <v>298</v>
      </c>
      <c r="F71" s="19">
        <v>304</v>
      </c>
      <c r="G71" s="20">
        <v>0.9</v>
      </c>
      <c r="H71" s="186" t="s">
        <v>124</v>
      </c>
      <c r="I71" s="187"/>
      <c r="J71" s="187"/>
      <c r="K71" s="187"/>
      <c r="L71" s="187"/>
      <c r="M71" s="188"/>
      <c r="N71" s="189">
        <v>200</v>
      </c>
      <c r="O71" s="190"/>
      <c r="P71" s="189"/>
      <c r="Q71" s="190"/>
      <c r="R71" s="101"/>
      <c r="S71" s="6" t="s">
        <v>14</v>
      </c>
      <c r="T71" s="21"/>
      <c r="U71" s="191"/>
      <c r="V71" s="192"/>
      <c r="W71" s="193"/>
    </row>
    <row r="72" spans="1:23" ht="14.4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101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101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5"/>
      <c r="B74" s="165" t="s">
        <v>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8">
        <f>SUM(N67:O73)</f>
        <v>2953</v>
      </c>
      <c r="O74" s="197"/>
      <c r="P74" s="168">
        <f ca="1">SUM(P67:Q74)</f>
        <v>0</v>
      </c>
      <c r="Q74" s="197"/>
      <c r="R74" s="10">
        <f>SUM(R67:R73)</f>
        <v>0</v>
      </c>
      <c r="S74" s="11" t="s">
        <v>14</v>
      </c>
      <c r="T74" s="9"/>
      <c r="U74" s="191"/>
      <c r="V74" s="192"/>
      <c r="W74" s="193"/>
    </row>
    <row r="75" spans="1:23" ht="14.55" customHeight="1" x14ac:dyDescent="0.3">
      <c r="D75" s="91"/>
      <c r="E75" s="48"/>
      <c r="F75" s="48"/>
      <c r="G75" s="48"/>
      <c r="H75" s="48"/>
      <c r="I75" s="48"/>
      <c r="R75" s="91"/>
    </row>
    <row r="76" spans="1:23" ht="14.55" customHeight="1" x14ac:dyDescent="0.3">
      <c r="D76" s="91"/>
      <c r="E76" s="165" t="s">
        <v>65</v>
      </c>
      <c r="F76" s="166"/>
      <c r="G76" s="166"/>
      <c r="H76" s="166"/>
      <c r="I76" s="166"/>
      <c r="J76" s="166"/>
      <c r="K76" s="166"/>
      <c r="L76" s="166"/>
      <c r="M76" s="167"/>
      <c r="N76" s="181" t="s">
        <v>7</v>
      </c>
      <c r="O76" s="182"/>
      <c r="P76" s="181" t="s">
        <v>74</v>
      </c>
      <c r="Q76" s="182"/>
      <c r="R76" s="91"/>
    </row>
    <row r="77" spans="1:23" ht="14.55" customHeight="1" x14ac:dyDescent="0.3">
      <c r="D77" s="91"/>
      <c r="E77" s="7"/>
      <c r="F77" s="7"/>
      <c r="G77" s="7"/>
      <c r="H77" s="7"/>
      <c r="I77" s="7"/>
      <c r="J77" s="22"/>
      <c r="K77" s="23"/>
      <c r="L77" s="22"/>
      <c r="M77" s="24"/>
      <c r="N77" s="100">
        <f>N74</f>
        <v>2953</v>
      </c>
      <c r="O77" s="14" t="s">
        <v>13</v>
      </c>
      <c r="P77" s="100">
        <f ca="1">P74</f>
        <v>0</v>
      </c>
      <c r="Q77" s="15" t="s">
        <v>13</v>
      </c>
      <c r="R77" s="91"/>
    </row>
    <row r="78" spans="1:23" x14ac:dyDescent="0.3">
      <c r="P78" s="49"/>
      <c r="Q78" s="49"/>
      <c r="R78" s="49"/>
      <c r="S78" s="32"/>
    </row>
    <row r="79" spans="1:23" s="8" customFormat="1" ht="30" customHeight="1" x14ac:dyDescent="0.3">
      <c r="A79" s="155" t="s">
        <v>29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7"/>
      <c r="Q79" s="157"/>
      <c r="R79" s="157"/>
      <c r="S79" s="157"/>
      <c r="T79" s="156"/>
      <c r="U79" s="156"/>
      <c r="V79" s="156"/>
      <c r="W79" s="158"/>
    </row>
    <row r="80" spans="1:23" s="12" customFormat="1" ht="14.55" customHeight="1" x14ac:dyDescent="0.3">
      <c r="A80" s="159" t="s">
        <v>1</v>
      </c>
      <c r="B80" s="160" t="s">
        <v>2</v>
      </c>
      <c r="C80" s="160" t="s">
        <v>3</v>
      </c>
      <c r="D80" s="160" t="s">
        <v>4</v>
      </c>
      <c r="E80" s="161" t="s">
        <v>5</v>
      </c>
      <c r="F80" s="163" t="s">
        <v>15</v>
      </c>
      <c r="G80" s="163" t="s">
        <v>16</v>
      </c>
      <c r="H80" s="170" t="s">
        <v>30</v>
      </c>
      <c r="I80" s="171"/>
      <c r="J80" s="171"/>
      <c r="K80" s="171"/>
      <c r="L80" s="171"/>
      <c r="M80" s="172"/>
      <c r="N80" s="176" t="s">
        <v>6</v>
      </c>
      <c r="O80" s="177"/>
      <c r="P80" s="177"/>
      <c r="Q80" s="178"/>
      <c r="R80" s="161" t="s">
        <v>8</v>
      </c>
      <c r="S80" s="179"/>
      <c r="T80" s="159" t="s">
        <v>9</v>
      </c>
      <c r="U80" s="159" t="s">
        <v>10</v>
      </c>
      <c r="V80" s="159"/>
      <c r="W80" s="159"/>
    </row>
    <row r="81" spans="1:23" s="12" customFormat="1" ht="13.05" customHeight="1" x14ac:dyDescent="0.3">
      <c r="A81" s="159"/>
      <c r="B81" s="160"/>
      <c r="C81" s="160"/>
      <c r="D81" s="160"/>
      <c r="E81" s="162"/>
      <c r="F81" s="164"/>
      <c r="G81" s="164"/>
      <c r="H81" s="173"/>
      <c r="I81" s="174"/>
      <c r="J81" s="174"/>
      <c r="K81" s="174"/>
      <c r="L81" s="174"/>
      <c r="M81" s="175"/>
      <c r="N81" s="176" t="s">
        <v>7</v>
      </c>
      <c r="O81" s="177"/>
      <c r="P81" s="177"/>
      <c r="Q81" s="178"/>
      <c r="R81" s="162"/>
      <c r="S81" s="180"/>
      <c r="T81" s="159"/>
      <c r="U81" s="159"/>
      <c r="V81" s="159"/>
      <c r="W81" s="159"/>
    </row>
    <row r="82" spans="1:23" ht="14.55" customHeight="1" x14ac:dyDescent="0.3">
      <c r="A82" s="183" t="s">
        <v>49</v>
      </c>
      <c r="B82" s="5">
        <v>0.33333333333333331</v>
      </c>
      <c r="C82" s="5"/>
      <c r="D82" s="4">
        <v>100925</v>
      </c>
      <c r="E82" s="3" t="s">
        <v>329</v>
      </c>
      <c r="F82" s="19">
        <v>304</v>
      </c>
      <c r="G82" s="20">
        <v>0.9</v>
      </c>
      <c r="H82" s="186" t="s">
        <v>87</v>
      </c>
      <c r="I82" s="187"/>
      <c r="J82" s="187"/>
      <c r="K82" s="187"/>
      <c r="L82" s="187"/>
      <c r="M82" s="188"/>
      <c r="N82" s="189">
        <v>526</v>
      </c>
      <c r="O82" s="198"/>
      <c r="P82" s="198"/>
      <c r="Q82" s="190"/>
      <c r="R82" s="101"/>
      <c r="S82" s="91" t="s">
        <v>14</v>
      </c>
      <c r="T82" s="21"/>
      <c r="U82" s="204"/>
      <c r="V82" s="205"/>
      <c r="W82" s="206"/>
    </row>
    <row r="83" spans="1:23" ht="14.55" customHeight="1" x14ac:dyDescent="0.3">
      <c r="A83" s="184"/>
      <c r="B83" s="5"/>
      <c r="C83" s="5"/>
      <c r="D83" s="4"/>
      <c r="E83" s="3"/>
      <c r="F83" s="19"/>
      <c r="G83" s="20"/>
      <c r="H83" s="186"/>
      <c r="I83" s="187"/>
      <c r="J83" s="187"/>
      <c r="K83" s="187"/>
      <c r="L83" s="187"/>
      <c r="M83" s="188"/>
      <c r="N83" s="189"/>
      <c r="O83" s="198"/>
      <c r="P83" s="198"/>
      <c r="Q83" s="190"/>
      <c r="R83" s="101"/>
      <c r="S83" s="6" t="s">
        <v>14</v>
      </c>
      <c r="T83" s="21"/>
      <c r="U83" s="204"/>
      <c r="V83" s="205"/>
      <c r="W83" s="206"/>
    </row>
    <row r="84" spans="1:23" ht="14.55" customHeight="1" x14ac:dyDescent="0.3">
      <c r="A84" s="185"/>
      <c r="B84" s="165" t="s">
        <v>0</v>
      </c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7"/>
      <c r="N84" s="168">
        <f>SUM(N82:O83)</f>
        <v>526</v>
      </c>
      <c r="O84" s="197"/>
      <c r="P84" s="197"/>
      <c r="Q84" s="169"/>
      <c r="R84" s="10">
        <f>SUM(R82:R83)</f>
        <v>0</v>
      </c>
      <c r="S84" s="11" t="s">
        <v>14</v>
      </c>
      <c r="T84" s="9"/>
      <c r="U84" s="204"/>
      <c r="V84" s="205"/>
      <c r="W84" s="206"/>
    </row>
    <row r="85" spans="1:23" ht="14.55" customHeight="1" x14ac:dyDescent="0.3">
      <c r="D85" s="91"/>
      <c r="E85" s="48"/>
      <c r="F85" s="48"/>
      <c r="G85" s="48"/>
      <c r="H85" s="48"/>
      <c r="I85" s="48"/>
      <c r="R85" s="91"/>
    </row>
    <row r="86" spans="1:23" ht="14.55" customHeight="1" x14ac:dyDescent="0.3">
      <c r="D86" s="91"/>
      <c r="E86" s="165" t="s">
        <v>33</v>
      </c>
      <c r="F86" s="166"/>
      <c r="G86" s="166"/>
      <c r="H86" s="166"/>
      <c r="I86" s="166"/>
      <c r="J86" s="166"/>
      <c r="K86" s="166"/>
      <c r="L86" s="166"/>
      <c r="M86" s="167"/>
      <c r="N86" s="181" t="s">
        <v>7</v>
      </c>
      <c r="O86" s="199"/>
      <c r="P86" s="199"/>
      <c r="Q86" s="182"/>
      <c r="R86" s="91"/>
    </row>
    <row r="87" spans="1:23" ht="14.55" customHeight="1" x14ac:dyDescent="0.3">
      <c r="D87" s="91"/>
      <c r="E87" s="7"/>
      <c r="F87" s="7"/>
      <c r="G87" s="7"/>
      <c r="H87" s="7"/>
      <c r="I87" s="7"/>
      <c r="J87" s="22"/>
      <c r="K87" s="23"/>
      <c r="L87" s="22"/>
      <c r="M87" s="24"/>
      <c r="N87" s="200">
        <f>N84</f>
        <v>526</v>
      </c>
      <c r="O87" s="201"/>
      <c r="P87" s="202" t="s">
        <v>13</v>
      </c>
      <c r="Q87" s="203"/>
      <c r="R87" s="91"/>
    </row>
  </sheetData>
  <mergeCells count="236">
    <mergeCell ref="N87:O87"/>
    <mergeCell ref="P87:Q87"/>
    <mergeCell ref="H83:M83"/>
    <mergeCell ref="N83:Q83"/>
    <mergeCell ref="B84:M84"/>
    <mergeCell ref="N84:Q84"/>
    <mergeCell ref="E86:M86"/>
    <mergeCell ref="N86:Q86"/>
    <mergeCell ref="A82:A84"/>
    <mergeCell ref="H82:M82"/>
    <mergeCell ref="N82:Q82"/>
    <mergeCell ref="U82:W84"/>
    <mergeCell ref="G80:G81"/>
    <mergeCell ref="H80:M81"/>
    <mergeCell ref="N80:Q80"/>
    <mergeCell ref="R80:S81"/>
    <mergeCell ref="T80:T81"/>
    <mergeCell ref="U80:W81"/>
    <mergeCell ref="N81:Q81"/>
    <mergeCell ref="E76:M76"/>
    <mergeCell ref="N76:O76"/>
    <mergeCell ref="P76:Q76"/>
    <mergeCell ref="A79:W79"/>
    <mergeCell ref="A80:A81"/>
    <mergeCell ref="B80:B81"/>
    <mergeCell ref="C80:C81"/>
    <mergeCell ref="D80:D81"/>
    <mergeCell ref="E80:E81"/>
    <mergeCell ref="F80:F81"/>
    <mergeCell ref="N73:O73"/>
    <mergeCell ref="P73:Q73"/>
    <mergeCell ref="B74:M74"/>
    <mergeCell ref="N74:O74"/>
    <mergeCell ref="P74:Q74"/>
    <mergeCell ref="H71:M71"/>
    <mergeCell ref="N71:O71"/>
    <mergeCell ref="P71:Q71"/>
    <mergeCell ref="H72:M72"/>
    <mergeCell ref="N72:O72"/>
    <mergeCell ref="P72:Q72"/>
    <mergeCell ref="A67:A74"/>
    <mergeCell ref="H67:M67"/>
    <mergeCell ref="N67:O67"/>
    <mergeCell ref="P67:Q67"/>
    <mergeCell ref="U67:W74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A76" zoomScale="85" zoomScaleNormal="85" workbookViewId="0">
      <selection activeCell="D88" sqref="D88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45945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46">
        <v>290925</v>
      </c>
      <c r="E7" s="3" t="s">
        <v>326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2050</v>
      </c>
      <c r="O7" s="190"/>
      <c r="P7" s="189"/>
      <c r="Q7" s="190"/>
      <c r="R7" s="102">
        <v>40</v>
      </c>
      <c r="S7" s="6" t="s">
        <v>14</v>
      </c>
      <c r="T7" s="21" t="s">
        <v>330</v>
      </c>
      <c r="U7" s="194"/>
      <c r="V7" s="195"/>
      <c r="W7" s="196"/>
    </row>
    <row r="8" spans="1:23" ht="14.55" customHeight="1" x14ac:dyDescent="0.3">
      <c r="A8" s="184"/>
      <c r="B8" s="5"/>
      <c r="C8" s="5"/>
      <c r="D8" s="4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02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102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2050</v>
      </c>
      <c r="O10" s="169"/>
      <c r="P10" s="168">
        <f>SUM(P7:Q9)</f>
        <v>0</v>
      </c>
      <c r="Q10" s="169"/>
      <c r="R10" s="10">
        <f>SUM(R7:R9)</f>
        <v>40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02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02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02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03">
        <f>N10+N14</f>
        <v>2050</v>
      </c>
      <c r="O17" s="14" t="s">
        <v>13</v>
      </c>
      <c r="P17" s="103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46">
        <v>290925</v>
      </c>
      <c r="E22" s="3" t="s">
        <v>326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1870</v>
      </c>
      <c r="O22" s="198"/>
      <c r="P22" s="198"/>
      <c r="Q22" s="190"/>
      <c r="R22" s="102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02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02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02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1870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1870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77">
        <v>160925</v>
      </c>
      <c r="E34" s="3" t="s">
        <v>316</v>
      </c>
      <c r="F34" s="19">
        <v>304</v>
      </c>
      <c r="G34" s="20">
        <v>0.9</v>
      </c>
      <c r="H34" s="186" t="s">
        <v>213</v>
      </c>
      <c r="I34" s="187"/>
      <c r="J34" s="187"/>
      <c r="K34" s="187"/>
      <c r="L34" s="187"/>
      <c r="M34" s="188"/>
      <c r="N34" s="189">
        <v>960</v>
      </c>
      <c r="O34" s="190"/>
      <c r="P34" s="189"/>
      <c r="Q34" s="190"/>
      <c r="R34" s="102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77">
        <v>160925</v>
      </c>
      <c r="E35" s="3" t="s">
        <v>331</v>
      </c>
      <c r="F35" s="19">
        <v>304</v>
      </c>
      <c r="G35" s="20">
        <v>0.9</v>
      </c>
      <c r="H35" s="186" t="s">
        <v>202</v>
      </c>
      <c r="I35" s="187"/>
      <c r="J35" s="187"/>
      <c r="K35" s="187"/>
      <c r="L35" s="187"/>
      <c r="M35" s="188"/>
      <c r="N35" s="189">
        <v>1130</v>
      </c>
      <c r="O35" s="190"/>
      <c r="P35" s="189"/>
      <c r="Q35" s="190"/>
      <c r="R35" s="102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>
        <v>0.70833333333333337</v>
      </c>
      <c r="D36" s="46">
        <v>290925</v>
      </c>
      <c r="E36" s="3" t="s">
        <v>326</v>
      </c>
      <c r="F36" s="19">
        <v>304</v>
      </c>
      <c r="G36" s="20">
        <v>0.9</v>
      </c>
      <c r="H36" s="186"/>
      <c r="I36" s="187"/>
      <c r="J36" s="187"/>
      <c r="K36" s="187"/>
      <c r="L36" s="187"/>
      <c r="M36" s="188"/>
      <c r="N36" s="189">
        <v>10</v>
      </c>
      <c r="O36" s="190"/>
      <c r="P36" s="189"/>
      <c r="Q36" s="190"/>
      <c r="R36" s="102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2100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03">
        <f>N37</f>
        <v>2100</v>
      </c>
      <c r="O40" s="14" t="s">
        <v>13</v>
      </c>
      <c r="P40" s="103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46" t="s">
        <v>205</v>
      </c>
      <c r="E45" s="3" t="s">
        <v>332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600</v>
      </c>
      <c r="O45" s="198"/>
      <c r="P45" s="198"/>
      <c r="Q45" s="190"/>
      <c r="R45" s="102">
        <v>45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46" t="s">
        <v>205</v>
      </c>
      <c r="E46" s="3" t="s">
        <v>295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1300</v>
      </c>
      <c r="O46" s="198"/>
      <c r="P46" s="198"/>
      <c r="Q46" s="190"/>
      <c r="R46" s="102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4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02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1900</v>
      </c>
      <c r="O48" s="197"/>
      <c r="P48" s="197"/>
      <c r="Q48" s="169"/>
      <c r="R48" s="10">
        <f>SUM(R45:R47)</f>
        <v>45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1900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46" t="s">
        <v>205</v>
      </c>
      <c r="E56" s="3" t="s">
        <v>332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1040</v>
      </c>
      <c r="O56" s="198"/>
      <c r="P56" s="198"/>
      <c r="Q56" s="190"/>
      <c r="R56" s="102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46" t="s">
        <v>205</v>
      </c>
      <c r="E57" s="3" t="s">
        <v>296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560</v>
      </c>
      <c r="O57" s="198"/>
      <c r="P57" s="198"/>
      <c r="Q57" s="190"/>
      <c r="R57" s="102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02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1600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1600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 t="s">
        <v>205</v>
      </c>
      <c r="E67" s="3" t="s">
        <v>298</v>
      </c>
      <c r="F67" s="19">
        <v>304</v>
      </c>
      <c r="G67" s="20">
        <v>0.9</v>
      </c>
      <c r="H67" s="186" t="s">
        <v>124</v>
      </c>
      <c r="I67" s="187"/>
      <c r="J67" s="187"/>
      <c r="K67" s="187"/>
      <c r="L67" s="187"/>
      <c r="M67" s="188"/>
      <c r="N67" s="189">
        <v>314</v>
      </c>
      <c r="O67" s="190"/>
      <c r="P67" s="189"/>
      <c r="Q67" s="190"/>
      <c r="R67" s="102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/>
      <c r="D68" s="4">
        <v>250074</v>
      </c>
      <c r="E68" s="3" t="s">
        <v>333</v>
      </c>
      <c r="F68" s="19">
        <v>304</v>
      </c>
      <c r="G68" s="20">
        <v>0.9</v>
      </c>
      <c r="H68" s="186" t="s">
        <v>269</v>
      </c>
      <c r="I68" s="187"/>
      <c r="J68" s="187"/>
      <c r="K68" s="187"/>
      <c r="L68" s="187"/>
      <c r="M68" s="188"/>
      <c r="N68" s="189">
        <v>530</v>
      </c>
      <c r="O68" s="190"/>
      <c r="P68" s="189"/>
      <c r="Q68" s="190"/>
      <c r="R68" s="102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 t="s">
        <v>205</v>
      </c>
      <c r="E69" s="3" t="s">
        <v>298</v>
      </c>
      <c r="F69" s="19">
        <v>304</v>
      </c>
      <c r="G69" s="20">
        <v>0.9</v>
      </c>
      <c r="H69" s="186" t="s">
        <v>122</v>
      </c>
      <c r="I69" s="187"/>
      <c r="J69" s="187"/>
      <c r="K69" s="187"/>
      <c r="L69" s="187"/>
      <c r="M69" s="188"/>
      <c r="N69" s="189">
        <v>716</v>
      </c>
      <c r="O69" s="190"/>
      <c r="P69" s="189"/>
      <c r="Q69" s="190"/>
      <c r="R69" s="102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4"/>
      <c r="B70" s="5"/>
      <c r="C70" s="5"/>
      <c r="D70" s="4" t="s">
        <v>205</v>
      </c>
      <c r="E70" s="3" t="s">
        <v>296</v>
      </c>
      <c r="F70" s="19">
        <v>304</v>
      </c>
      <c r="G70" s="20">
        <v>0.9</v>
      </c>
      <c r="H70" s="186" t="s">
        <v>124</v>
      </c>
      <c r="I70" s="187"/>
      <c r="J70" s="187"/>
      <c r="K70" s="187"/>
      <c r="L70" s="187"/>
      <c r="M70" s="188"/>
      <c r="N70" s="189">
        <v>600</v>
      </c>
      <c r="O70" s="190"/>
      <c r="P70" s="189"/>
      <c r="Q70" s="190"/>
      <c r="R70" s="102"/>
      <c r="S70" s="6" t="s">
        <v>14</v>
      </c>
      <c r="T70" s="21"/>
      <c r="U70" s="191"/>
      <c r="V70" s="192"/>
      <c r="W70" s="193"/>
    </row>
    <row r="71" spans="1:23" ht="14.55" customHeight="1" x14ac:dyDescent="0.3">
      <c r="A71" s="184"/>
      <c r="B71" s="5"/>
      <c r="C71" s="5">
        <v>0.70833333333333337</v>
      </c>
      <c r="D71" s="4" t="s">
        <v>205</v>
      </c>
      <c r="E71" s="3" t="s">
        <v>317</v>
      </c>
      <c r="F71" s="19">
        <v>304</v>
      </c>
      <c r="G71" s="20">
        <v>0.9</v>
      </c>
      <c r="H71" s="186" t="s">
        <v>124</v>
      </c>
      <c r="I71" s="187"/>
      <c r="J71" s="187"/>
      <c r="K71" s="187"/>
      <c r="L71" s="187"/>
      <c r="M71" s="188"/>
      <c r="N71" s="189">
        <v>600</v>
      </c>
      <c r="O71" s="190"/>
      <c r="P71" s="189"/>
      <c r="Q71" s="190"/>
      <c r="R71" s="102"/>
      <c r="S71" s="6" t="s">
        <v>14</v>
      </c>
      <c r="T71" s="21"/>
      <c r="U71" s="191"/>
      <c r="V71" s="192"/>
      <c r="W71" s="193"/>
    </row>
    <row r="72" spans="1:23" ht="14.55" customHeight="1" x14ac:dyDescent="0.3">
      <c r="A72" s="184"/>
      <c r="B72" s="5"/>
      <c r="C72" s="5"/>
      <c r="D72" s="4"/>
      <c r="E72" s="3"/>
      <c r="F72" s="19"/>
      <c r="G72" s="20"/>
      <c r="H72" s="186"/>
      <c r="I72" s="187"/>
      <c r="J72" s="187"/>
      <c r="K72" s="187"/>
      <c r="L72" s="187"/>
      <c r="M72" s="188"/>
      <c r="N72" s="189"/>
      <c r="O72" s="190"/>
      <c r="P72" s="189"/>
      <c r="Q72" s="190"/>
      <c r="R72" s="102"/>
      <c r="S72" s="6" t="s">
        <v>14</v>
      </c>
      <c r="T72" s="21"/>
      <c r="U72" s="191"/>
      <c r="V72" s="192"/>
      <c r="W72" s="193"/>
    </row>
    <row r="73" spans="1:23" ht="14.55" customHeight="1" x14ac:dyDescent="0.3">
      <c r="A73" s="184"/>
      <c r="B73" s="5"/>
      <c r="C73" s="5"/>
      <c r="D73" s="4"/>
      <c r="E73" s="3"/>
      <c r="F73" s="19"/>
      <c r="G73" s="20"/>
      <c r="H73" s="186"/>
      <c r="I73" s="187"/>
      <c r="J73" s="187"/>
      <c r="K73" s="187"/>
      <c r="L73" s="187"/>
      <c r="M73" s="188"/>
      <c r="N73" s="189"/>
      <c r="O73" s="190"/>
      <c r="P73" s="189"/>
      <c r="Q73" s="190"/>
      <c r="R73" s="102"/>
      <c r="S73" s="6" t="s">
        <v>14</v>
      </c>
      <c r="T73" s="21"/>
      <c r="U73" s="191"/>
      <c r="V73" s="192"/>
      <c r="W73" s="193"/>
    </row>
    <row r="74" spans="1:23" ht="14.55" customHeight="1" x14ac:dyDescent="0.3">
      <c r="A74" s="184"/>
      <c r="B74" s="5"/>
      <c r="C74" s="5"/>
      <c r="D74" s="4"/>
      <c r="E74" s="3"/>
      <c r="F74" s="19"/>
      <c r="G74" s="20"/>
      <c r="H74" s="186"/>
      <c r="I74" s="187"/>
      <c r="J74" s="187"/>
      <c r="K74" s="187"/>
      <c r="L74" s="187"/>
      <c r="M74" s="188"/>
      <c r="N74" s="189"/>
      <c r="O74" s="190"/>
      <c r="P74" s="189"/>
      <c r="Q74" s="190"/>
      <c r="R74" s="102"/>
      <c r="S74" s="6" t="s">
        <v>14</v>
      </c>
      <c r="T74" s="21"/>
      <c r="U74" s="191"/>
      <c r="V74" s="192"/>
      <c r="W74" s="193"/>
    </row>
    <row r="75" spans="1:23" ht="14.55" customHeight="1" x14ac:dyDescent="0.3">
      <c r="A75" s="184"/>
      <c r="B75" s="5"/>
      <c r="C75" s="5"/>
      <c r="D75" s="4"/>
      <c r="E75" s="3"/>
      <c r="F75" s="19"/>
      <c r="G75" s="20"/>
      <c r="H75" s="186"/>
      <c r="I75" s="187"/>
      <c r="J75" s="187"/>
      <c r="K75" s="187"/>
      <c r="L75" s="187"/>
      <c r="M75" s="188"/>
      <c r="N75" s="189"/>
      <c r="O75" s="190"/>
      <c r="P75" s="189"/>
      <c r="Q75" s="190"/>
      <c r="R75" s="102"/>
      <c r="S75" s="6" t="s">
        <v>14</v>
      </c>
      <c r="T75" s="21"/>
      <c r="U75" s="191"/>
      <c r="V75" s="192"/>
      <c r="W75" s="193"/>
    </row>
    <row r="76" spans="1:23" ht="14.55" customHeight="1" x14ac:dyDescent="0.3">
      <c r="A76" s="184"/>
      <c r="B76" s="5"/>
      <c r="C76" s="5"/>
      <c r="D76" s="4"/>
      <c r="E76" s="3"/>
      <c r="F76" s="19"/>
      <c r="G76" s="20"/>
      <c r="H76" s="186"/>
      <c r="I76" s="187"/>
      <c r="J76" s="187"/>
      <c r="K76" s="187"/>
      <c r="L76" s="187"/>
      <c r="M76" s="188"/>
      <c r="N76" s="189"/>
      <c r="O76" s="190"/>
      <c r="P76" s="189"/>
      <c r="Q76" s="190"/>
      <c r="R76" s="102"/>
      <c r="S76" s="6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4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0"/>
      <c r="P77" s="189"/>
      <c r="Q77" s="190"/>
      <c r="R77" s="102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5"/>
      <c r="B78" s="165" t="s">
        <v>0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8">
        <f>SUM(N67:O77)</f>
        <v>2760</v>
      </c>
      <c r="O78" s="197"/>
      <c r="P78" s="168">
        <f ca="1">SUM(P67:Q78)</f>
        <v>0</v>
      </c>
      <c r="Q78" s="197"/>
      <c r="R78" s="10">
        <f>SUM(R67:R77)</f>
        <v>0</v>
      </c>
      <c r="S78" s="11" t="s">
        <v>14</v>
      </c>
      <c r="T78" s="9"/>
      <c r="U78" s="191"/>
      <c r="V78" s="192"/>
      <c r="W78" s="193"/>
    </row>
    <row r="79" spans="1:23" ht="14.55" customHeight="1" x14ac:dyDescent="0.3">
      <c r="D79" s="91"/>
      <c r="E79" s="48"/>
      <c r="F79" s="48"/>
      <c r="G79" s="48"/>
      <c r="H79" s="48"/>
      <c r="I79" s="48"/>
      <c r="R79" s="91"/>
    </row>
    <row r="80" spans="1:23" ht="14.55" customHeight="1" x14ac:dyDescent="0.3">
      <c r="D80" s="91"/>
      <c r="E80" s="165" t="s">
        <v>65</v>
      </c>
      <c r="F80" s="166"/>
      <c r="G80" s="166"/>
      <c r="H80" s="166"/>
      <c r="I80" s="166"/>
      <c r="J80" s="166"/>
      <c r="K80" s="166"/>
      <c r="L80" s="166"/>
      <c r="M80" s="167"/>
      <c r="N80" s="181" t="s">
        <v>7</v>
      </c>
      <c r="O80" s="182"/>
      <c r="P80" s="181" t="s">
        <v>74</v>
      </c>
      <c r="Q80" s="182"/>
      <c r="R80" s="91"/>
    </row>
    <row r="81" spans="1:23" ht="14.55" customHeight="1" x14ac:dyDescent="0.3">
      <c r="D81" s="91"/>
      <c r="E81" s="7"/>
      <c r="F81" s="7"/>
      <c r="G81" s="7"/>
      <c r="H81" s="7"/>
      <c r="I81" s="7"/>
      <c r="J81" s="22"/>
      <c r="K81" s="23"/>
      <c r="L81" s="22"/>
      <c r="M81" s="24"/>
      <c r="N81" s="103">
        <f>N78</f>
        <v>2760</v>
      </c>
      <c r="O81" s="14" t="s">
        <v>13</v>
      </c>
      <c r="P81" s="103">
        <f ca="1">P78</f>
        <v>0</v>
      </c>
      <c r="Q81" s="15" t="s">
        <v>13</v>
      </c>
      <c r="R81" s="91"/>
    </row>
    <row r="82" spans="1:23" x14ac:dyDescent="0.3">
      <c r="P82" s="49"/>
      <c r="Q82" s="49"/>
      <c r="R82" s="49"/>
      <c r="S82" s="32"/>
    </row>
    <row r="83" spans="1:23" s="8" customFormat="1" ht="30" customHeight="1" x14ac:dyDescent="0.3">
      <c r="A83" s="155" t="s">
        <v>29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7"/>
      <c r="Q83" s="157"/>
      <c r="R83" s="157"/>
      <c r="S83" s="157"/>
      <c r="T83" s="156"/>
      <c r="U83" s="156"/>
      <c r="V83" s="156"/>
      <c r="W83" s="158"/>
    </row>
    <row r="84" spans="1:23" s="12" customFormat="1" ht="14.55" customHeight="1" x14ac:dyDescent="0.3">
      <c r="A84" s="159" t="s">
        <v>1</v>
      </c>
      <c r="B84" s="160" t="s">
        <v>2</v>
      </c>
      <c r="C84" s="160" t="s">
        <v>3</v>
      </c>
      <c r="D84" s="160" t="s">
        <v>4</v>
      </c>
      <c r="E84" s="161" t="s">
        <v>5</v>
      </c>
      <c r="F84" s="163" t="s">
        <v>15</v>
      </c>
      <c r="G84" s="163" t="s">
        <v>16</v>
      </c>
      <c r="H84" s="170" t="s">
        <v>30</v>
      </c>
      <c r="I84" s="171"/>
      <c r="J84" s="171"/>
      <c r="K84" s="171"/>
      <c r="L84" s="171"/>
      <c r="M84" s="172"/>
      <c r="N84" s="176" t="s">
        <v>6</v>
      </c>
      <c r="O84" s="177"/>
      <c r="P84" s="177"/>
      <c r="Q84" s="178"/>
      <c r="R84" s="161" t="s">
        <v>8</v>
      </c>
      <c r="S84" s="179"/>
      <c r="T84" s="159" t="s">
        <v>9</v>
      </c>
      <c r="U84" s="159" t="s">
        <v>10</v>
      </c>
      <c r="V84" s="159"/>
      <c r="W84" s="159"/>
    </row>
    <row r="85" spans="1:23" s="12" customFormat="1" ht="13.05" customHeight="1" x14ac:dyDescent="0.3">
      <c r="A85" s="159"/>
      <c r="B85" s="160"/>
      <c r="C85" s="160"/>
      <c r="D85" s="160"/>
      <c r="E85" s="162"/>
      <c r="F85" s="164"/>
      <c r="G85" s="164"/>
      <c r="H85" s="173"/>
      <c r="I85" s="174"/>
      <c r="J85" s="174"/>
      <c r="K85" s="174"/>
      <c r="L85" s="174"/>
      <c r="M85" s="175"/>
      <c r="N85" s="176" t="s">
        <v>7</v>
      </c>
      <c r="O85" s="177"/>
      <c r="P85" s="177"/>
      <c r="Q85" s="178"/>
      <c r="R85" s="162"/>
      <c r="S85" s="180"/>
      <c r="T85" s="159"/>
      <c r="U85" s="159"/>
      <c r="V85" s="159"/>
      <c r="W85" s="159"/>
    </row>
    <row r="86" spans="1:23" ht="14.55" customHeight="1" x14ac:dyDescent="0.3">
      <c r="A86" s="183" t="s">
        <v>49</v>
      </c>
      <c r="B86" s="5">
        <v>0.33333333333333331</v>
      </c>
      <c r="C86" s="5"/>
      <c r="D86" s="4">
        <v>250074</v>
      </c>
      <c r="E86" s="3" t="s">
        <v>334</v>
      </c>
      <c r="F86" s="19">
        <v>304</v>
      </c>
      <c r="G86" s="20">
        <v>0.7</v>
      </c>
      <c r="H86" s="186" t="s">
        <v>87</v>
      </c>
      <c r="I86" s="187"/>
      <c r="J86" s="187"/>
      <c r="K86" s="187"/>
      <c r="L86" s="187"/>
      <c r="M86" s="188"/>
      <c r="N86" s="189">
        <v>600</v>
      </c>
      <c r="O86" s="198"/>
      <c r="P86" s="198"/>
      <c r="Q86" s="190"/>
      <c r="R86" s="102"/>
      <c r="S86" s="91" t="s">
        <v>14</v>
      </c>
      <c r="T86" s="21"/>
      <c r="U86" s="204"/>
      <c r="V86" s="205"/>
      <c r="W86" s="206"/>
    </row>
    <row r="87" spans="1:23" ht="14.55" customHeight="1" x14ac:dyDescent="0.3">
      <c r="A87" s="184"/>
      <c r="B87" s="5"/>
      <c r="C87" s="5"/>
      <c r="D87" s="4">
        <v>250074</v>
      </c>
      <c r="E87" s="3" t="s">
        <v>335</v>
      </c>
      <c r="F87" s="19">
        <v>304</v>
      </c>
      <c r="G87" s="20">
        <v>0.7</v>
      </c>
      <c r="H87" s="186" t="s">
        <v>87</v>
      </c>
      <c r="I87" s="187"/>
      <c r="J87" s="187"/>
      <c r="K87" s="187"/>
      <c r="L87" s="187"/>
      <c r="M87" s="188"/>
      <c r="N87" s="189">
        <v>590</v>
      </c>
      <c r="O87" s="198"/>
      <c r="P87" s="198"/>
      <c r="Q87" s="190"/>
      <c r="R87" s="102"/>
      <c r="S87" s="6" t="s">
        <v>14</v>
      </c>
      <c r="T87" s="21"/>
      <c r="U87" s="204"/>
      <c r="V87" s="205"/>
      <c r="W87" s="206"/>
    </row>
    <row r="88" spans="1:23" ht="14.55" customHeight="1" x14ac:dyDescent="0.3">
      <c r="A88" s="184"/>
      <c r="B88" s="5"/>
      <c r="C88" s="5"/>
      <c r="D88" s="4" t="s">
        <v>205</v>
      </c>
      <c r="E88" s="3" t="s">
        <v>336</v>
      </c>
      <c r="F88" s="19">
        <v>304</v>
      </c>
      <c r="G88" s="20">
        <v>0.9</v>
      </c>
      <c r="H88" s="186" t="s">
        <v>87</v>
      </c>
      <c r="I88" s="187"/>
      <c r="J88" s="187"/>
      <c r="K88" s="187"/>
      <c r="L88" s="187"/>
      <c r="M88" s="188"/>
      <c r="N88" s="189">
        <v>698</v>
      </c>
      <c r="O88" s="198"/>
      <c r="P88" s="198"/>
      <c r="Q88" s="190"/>
      <c r="R88" s="102"/>
      <c r="S88" s="6" t="s">
        <v>14</v>
      </c>
      <c r="T88" s="21"/>
      <c r="U88" s="204"/>
      <c r="V88" s="205"/>
      <c r="W88" s="206"/>
    </row>
    <row r="89" spans="1:23" ht="14.55" customHeight="1" x14ac:dyDescent="0.3">
      <c r="A89" s="184"/>
      <c r="B89" s="5"/>
      <c r="C89" s="5">
        <v>0.70833333333333337</v>
      </c>
      <c r="D89" s="4">
        <v>250074</v>
      </c>
      <c r="E89" s="3" t="s">
        <v>337</v>
      </c>
      <c r="F89" s="19">
        <v>304</v>
      </c>
      <c r="G89" s="20">
        <v>0.7</v>
      </c>
      <c r="H89" s="186" t="s">
        <v>87</v>
      </c>
      <c r="I89" s="187"/>
      <c r="J89" s="187"/>
      <c r="K89" s="187"/>
      <c r="L89" s="187"/>
      <c r="M89" s="188"/>
      <c r="N89" s="189">
        <v>398</v>
      </c>
      <c r="O89" s="198"/>
      <c r="P89" s="198"/>
      <c r="Q89" s="190"/>
      <c r="R89" s="102"/>
      <c r="S89" s="6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4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8"/>
      <c r="P90" s="198"/>
      <c r="Q90" s="190"/>
      <c r="R90" s="102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5"/>
      <c r="B91" s="165" t="s">
        <v>0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8">
        <f>SUM(N86:O90)</f>
        <v>2286</v>
      </c>
      <c r="O91" s="197"/>
      <c r="P91" s="197"/>
      <c r="Q91" s="169"/>
      <c r="R91" s="10">
        <f>SUM(R86:R90)</f>
        <v>0</v>
      </c>
      <c r="S91" s="11" t="s">
        <v>14</v>
      </c>
      <c r="T91" s="9"/>
      <c r="U91" s="204"/>
      <c r="V91" s="205"/>
      <c r="W91" s="206"/>
    </row>
    <row r="92" spans="1:23" ht="14.55" customHeight="1" x14ac:dyDescent="0.3">
      <c r="D92" s="91"/>
      <c r="E92" s="48"/>
      <c r="F92" s="48"/>
      <c r="G92" s="48"/>
      <c r="H92" s="48"/>
      <c r="I92" s="48"/>
      <c r="R92" s="91"/>
    </row>
    <row r="93" spans="1:23" ht="14.55" customHeight="1" x14ac:dyDescent="0.3">
      <c r="D93" s="91"/>
      <c r="E93" s="165" t="s">
        <v>33</v>
      </c>
      <c r="F93" s="166"/>
      <c r="G93" s="166"/>
      <c r="H93" s="166"/>
      <c r="I93" s="166"/>
      <c r="J93" s="166"/>
      <c r="K93" s="166"/>
      <c r="L93" s="166"/>
      <c r="M93" s="167"/>
      <c r="N93" s="181" t="s">
        <v>7</v>
      </c>
      <c r="O93" s="199"/>
      <c r="P93" s="199"/>
      <c r="Q93" s="182"/>
      <c r="R93" s="91"/>
    </row>
    <row r="94" spans="1:23" ht="14.55" customHeight="1" x14ac:dyDescent="0.3">
      <c r="D94" s="91"/>
      <c r="E94" s="7"/>
      <c r="F94" s="7"/>
      <c r="G94" s="7"/>
      <c r="H94" s="7"/>
      <c r="I94" s="7"/>
      <c r="J94" s="22"/>
      <c r="K94" s="23"/>
      <c r="L94" s="22"/>
      <c r="M94" s="24"/>
      <c r="N94" s="200">
        <f>N91</f>
        <v>2286</v>
      </c>
      <c r="O94" s="201"/>
      <c r="P94" s="202" t="s">
        <v>13</v>
      </c>
      <c r="Q94" s="203"/>
      <c r="R94" s="91"/>
    </row>
  </sheetData>
  <mergeCells count="254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67:A78"/>
    <mergeCell ref="H67:M67"/>
    <mergeCell ref="N67:O67"/>
    <mergeCell ref="P67:Q67"/>
    <mergeCell ref="U67:W78"/>
    <mergeCell ref="H68:M68"/>
    <mergeCell ref="N68:O68"/>
    <mergeCell ref="F65:F66"/>
    <mergeCell ref="G65:G66"/>
    <mergeCell ref="H65:M66"/>
    <mergeCell ref="N65:Q65"/>
    <mergeCell ref="R65:S66"/>
    <mergeCell ref="T65:T66"/>
    <mergeCell ref="P68:Q68"/>
    <mergeCell ref="H69:M69"/>
    <mergeCell ref="N69:O69"/>
    <mergeCell ref="P69:Q69"/>
    <mergeCell ref="H70:M70"/>
    <mergeCell ref="N70:O70"/>
    <mergeCell ref="P70:Q70"/>
    <mergeCell ref="U65:W66"/>
    <mergeCell ref="N66:O66"/>
    <mergeCell ref="P66:Q66"/>
    <mergeCell ref="H73:M73"/>
    <mergeCell ref="N73:O73"/>
    <mergeCell ref="P73:Q73"/>
    <mergeCell ref="H74:M74"/>
    <mergeCell ref="N74:O74"/>
    <mergeCell ref="P74:Q74"/>
    <mergeCell ref="H71:M71"/>
    <mergeCell ref="N71:O71"/>
    <mergeCell ref="P71:Q71"/>
    <mergeCell ref="H72:M72"/>
    <mergeCell ref="N72:O72"/>
    <mergeCell ref="P72:Q72"/>
    <mergeCell ref="H77:M77"/>
    <mergeCell ref="N77:O77"/>
    <mergeCell ref="P77:Q77"/>
    <mergeCell ref="B78:M78"/>
    <mergeCell ref="N78:O78"/>
    <mergeCell ref="P78:Q78"/>
    <mergeCell ref="H75:M75"/>
    <mergeCell ref="N75:O75"/>
    <mergeCell ref="P75:Q75"/>
    <mergeCell ref="H76:M76"/>
    <mergeCell ref="N76:O76"/>
    <mergeCell ref="P76:Q76"/>
    <mergeCell ref="E80:M80"/>
    <mergeCell ref="N80:O80"/>
    <mergeCell ref="P80:Q80"/>
    <mergeCell ref="A83:W83"/>
    <mergeCell ref="A84:A85"/>
    <mergeCell ref="B84:B85"/>
    <mergeCell ref="C84:C85"/>
    <mergeCell ref="D84:D85"/>
    <mergeCell ref="E84:E85"/>
    <mergeCell ref="F84:F85"/>
    <mergeCell ref="U86:W91"/>
    <mergeCell ref="H87:M87"/>
    <mergeCell ref="N87:Q87"/>
    <mergeCell ref="H88:M88"/>
    <mergeCell ref="N88:Q88"/>
    <mergeCell ref="H89:M89"/>
    <mergeCell ref="N89:Q89"/>
    <mergeCell ref="G84:G85"/>
    <mergeCell ref="H84:M85"/>
    <mergeCell ref="N84:Q84"/>
    <mergeCell ref="R84:S85"/>
    <mergeCell ref="T84:T85"/>
    <mergeCell ref="U84:W85"/>
    <mergeCell ref="N85:Q85"/>
    <mergeCell ref="N94:O94"/>
    <mergeCell ref="P94:Q94"/>
    <mergeCell ref="H90:M90"/>
    <mergeCell ref="N90:Q90"/>
    <mergeCell ref="B91:M91"/>
    <mergeCell ref="N91:Q91"/>
    <mergeCell ref="E93:M93"/>
    <mergeCell ref="N93:Q93"/>
    <mergeCell ref="A86:A91"/>
    <mergeCell ref="H86:M86"/>
    <mergeCell ref="N86:Q8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6"/>
  <sheetViews>
    <sheetView topLeftCell="A58" zoomScale="85" zoomScaleNormal="85" workbookViewId="0">
      <selection activeCell="D79" sqref="D7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8.109375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45946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46">
        <v>290925</v>
      </c>
      <c r="E7" s="3" t="s">
        <v>326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2000</v>
      </c>
      <c r="O7" s="190"/>
      <c r="P7" s="189"/>
      <c r="Q7" s="190"/>
      <c r="R7" s="105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9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05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4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105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2000</v>
      </c>
      <c r="O10" s="169"/>
      <c r="P10" s="168">
        <f>SUM(P7:Q9)</f>
        <v>0</v>
      </c>
      <c r="Q10" s="169"/>
      <c r="R10" s="10">
        <f>SUM(R7:R9)</f>
        <v>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4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0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4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05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4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05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04">
        <f>N10+N14</f>
        <v>2000</v>
      </c>
      <c r="O17" s="14" t="s">
        <v>13</v>
      </c>
      <c r="P17" s="104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46">
        <v>290925</v>
      </c>
      <c r="E22" s="3" t="s">
        <v>326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2174</v>
      </c>
      <c r="O22" s="198"/>
      <c r="P22" s="198"/>
      <c r="Q22" s="190"/>
      <c r="R22" s="105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4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0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4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05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4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05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2174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2174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110">
        <v>290925</v>
      </c>
      <c r="E34" s="3" t="s">
        <v>326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1860</v>
      </c>
      <c r="O34" s="190"/>
      <c r="P34" s="189"/>
      <c r="Q34" s="190"/>
      <c r="R34" s="105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4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105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4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105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1860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04">
        <f>N37</f>
        <v>1860</v>
      </c>
      <c r="O40" s="14" t="s">
        <v>13</v>
      </c>
      <c r="P40" s="104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110">
        <v>160925</v>
      </c>
      <c r="E45" s="3" t="s">
        <v>316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1150</v>
      </c>
      <c r="O45" s="198"/>
      <c r="P45" s="198"/>
      <c r="Q45" s="190"/>
      <c r="R45" s="105">
        <v>40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/>
      <c r="D46" s="110">
        <v>160925</v>
      </c>
      <c r="E46" s="3" t="s">
        <v>325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750</v>
      </c>
      <c r="O46" s="198"/>
      <c r="P46" s="198"/>
      <c r="Q46" s="190"/>
      <c r="R46" s="105">
        <v>40</v>
      </c>
      <c r="S46" s="6" t="s">
        <v>14</v>
      </c>
      <c r="T46" s="21" t="s">
        <v>77</v>
      </c>
      <c r="U46" s="191"/>
      <c r="V46" s="192"/>
      <c r="W46" s="193"/>
    </row>
    <row r="47" spans="1:23" ht="14.55" customHeight="1" x14ac:dyDescent="0.3">
      <c r="A47" s="184"/>
      <c r="B47" s="5"/>
      <c r="C47" s="5">
        <v>0.70833333333333337</v>
      </c>
      <c r="D47" s="110" t="s">
        <v>205</v>
      </c>
      <c r="E47" s="3" t="s">
        <v>338</v>
      </c>
      <c r="F47" s="19">
        <v>304</v>
      </c>
      <c r="G47" s="20">
        <v>0.9</v>
      </c>
      <c r="H47" s="186"/>
      <c r="I47" s="187"/>
      <c r="J47" s="187"/>
      <c r="K47" s="187"/>
      <c r="L47" s="187"/>
      <c r="M47" s="188"/>
      <c r="N47" s="189">
        <v>300</v>
      </c>
      <c r="O47" s="198"/>
      <c r="P47" s="198"/>
      <c r="Q47" s="190"/>
      <c r="R47" s="105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2200</v>
      </c>
      <c r="O48" s="197"/>
      <c r="P48" s="197"/>
      <c r="Q48" s="169"/>
      <c r="R48" s="10">
        <f>SUM(R45:R47)</f>
        <v>80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2200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238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239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110">
        <v>160925</v>
      </c>
      <c r="E56" s="3" t="s">
        <v>316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1150</v>
      </c>
      <c r="O56" s="198"/>
      <c r="P56" s="198"/>
      <c r="Q56" s="190"/>
      <c r="R56" s="105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110" t="s">
        <v>205</v>
      </c>
      <c r="E57" s="3" t="s">
        <v>339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340</v>
      </c>
      <c r="O57" s="198"/>
      <c r="P57" s="198"/>
      <c r="Q57" s="190"/>
      <c r="R57" s="105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4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05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1490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1490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73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30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7</v>
      </c>
      <c r="O66" s="177"/>
      <c r="P66" s="177" t="s">
        <v>74</v>
      </c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49</v>
      </c>
      <c r="B67" s="5">
        <v>0.33333333333333331</v>
      </c>
      <c r="C67" s="5"/>
      <c r="D67" s="4" t="s">
        <v>205</v>
      </c>
      <c r="E67" s="3" t="s">
        <v>317</v>
      </c>
      <c r="F67" s="19">
        <v>304</v>
      </c>
      <c r="G67" s="20">
        <v>0.9</v>
      </c>
      <c r="H67" s="186" t="s">
        <v>122</v>
      </c>
      <c r="I67" s="187"/>
      <c r="J67" s="187"/>
      <c r="K67" s="187"/>
      <c r="L67" s="187"/>
      <c r="M67" s="188"/>
      <c r="N67" s="189">
        <v>735</v>
      </c>
      <c r="O67" s="190"/>
      <c r="P67" s="189"/>
      <c r="Q67" s="190"/>
      <c r="R67" s="105"/>
      <c r="S67" s="91" t="s">
        <v>14</v>
      </c>
      <c r="T67" s="21"/>
      <c r="U67" s="191"/>
      <c r="V67" s="192"/>
      <c r="W67" s="193"/>
    </row>
    <row r="68" spans="1:23" ht="14.55" customHeight="1" x14ac:dyDescent="0.3">
      <c r="A68" s="184"/>
      <c r="B68" s="5"/>
      <c r="C68" s="5">
        <v>0.70833333333333337</v>
      </c>
      <c r="D68" s="108" t="s">
        <v>205</v>
      </c>
      <c r="E68" s="3" t="s">
        <v>296</v>
      </c>
      <c r="F68" s="19">
        <v>304</v>
      </c>
      <c r="G68" s="20">
        <v>0.9</v>
      </c>
      <c r="H68" s="186" t="s">
        <v>122</v>
      </c>
      <c r="I68" s="187"/>
      <c r="J68" s="187"/>
      <c r="K68" s="187"/>
      <c r="L68" s="187"/>
      <c r="M68" s="188"/>
      <c r="N68" s="189">
        <v>860</v>
      </c>
      <c r="O68" s="190"/>
      <c r="P68" s="189"/>
      <c r="Q68" s="190"/>
      <c r="R68" s="105"/>
      <c r="S68" s="6" t="s">
        <v>14</v>
      </c>
      <c r="T68" s="21"/>
      <c r="U68" s="191"/>
      <c r="V68" s="192"/>
      <c r="W68" s="193"/>
    </row>
    <row r="69" spans="1:23" ht="14.55" customHeight="1" x14ac:dyDescent="0.3">
      <c r="A69" s="184"/>
      <c r="B69" s="5"/>
      <c r="C69" s="5"/>
      <c r="D69" s="4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0"/>
      <c r="P69" s="189"/>
      <c r="Q69" s="190"/>
      <c r="R69" s="105"/>
      <c r="S69" s="6" t="s">
        <v>14</v>
      </c>
      <c r="T69" s="21"/>
      <c r="U69" s="191"/>
      <c r="V69" s="192"/>
      <c r="W69" s="193"/>
    </row>
    <row r="70" spans="1:23" ht="14.55" customHeight="1" x14ac:dyDescent="0.3">
      <c r="A70" s="185"/>
      <c r="B70" s="165" t="s">
        <v>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8">
        <f>SUM(N67:O69)</f>
        <v>1595</v>
      </c>
      <c r="O70" s="197"/>
      <c r="P70" s="168">
        <f ca="1">SUM(P67:Q70)</f>
        <v>0</v>
      </c>
      <c r="Q70" s="197"/>
      <c r="R70" s="10">
        <f>SUM(R67:R69)</f>
        <v>0</v>
      </c>
      <c r="S70" s="11" t="s">
        <v>14</v>
      </c>
      <c r="T70" s="9"/>
      <c r="U70" s="191"/>
      <c r="V70" s="192"/>
      <c r="W70" s="193"/>
    </row>
    <row r="71" spans="1:23" ht="14.55" customHeight="1" x14ac:dyDescent="0.3">
      <c r="D71" s="91"/>
      <c r="E71" s="48"/>
      <c r="F71" s="48"/>
      <c r="G71" s="48"/>
      <c r="H71" s="48"/>
      <c r="I71" s="48"/>
      <c r="R71" s="91"/>
    </row>
    <row r="72" spans="1:23" ht="14.55" customHeight="1" x14ac:dyDescent="0.3">
      <c r="D72" s="91"/>
      <c r="E72" s="165" t="s">
        <v>65</v>
      </c>
      <c r="F72" s="166"/>
      <c r="G72" s="166"/>
      <c r="H72" s="166"/>
      <c r="I72" s="166"/>
      <c r="J72" s="166"/>
      <c r="K72" s="166"/>
      <c r="L72" s="166"/>
      <c r="M72" s="167"/>
      <c r="N72" s="181" t="s">
        <v>7</v>
      </c>
      <c r="O72" s="182"/>
      <c r="P72" s="181" t="s">
        <v>74</v>
      </c>
      <c r="Q72" s="182"/>
      <c r="R72" s="91"/>
    </row>
    <row r="73" spans="1:23" ht="14.55" customHeight="1" x14ac:dyDescent="0.3">
      <c r="D73" s="91"/>
      <c r="E73" s="7"/>
      <c r="F73" s="7"/>
      <c r="G73" s="7"/>
      <c r="H73" s="7"/>
      <c r="I73" s="7"/>
      <c r="J73" s="22"/>
      <c r="K73" s="23"/>
      <c r="L73" s="22"/>
      <c r="M73" s="24"/>
      <c r="N73" s="104">
        <f>N70</f>
        <v>1595</v>
      </c>
      <c r="O73" s="14" t="s">
        <v>13</v>
      </c>
      <c r="P73" s="104">
        <f ca="1">P70</f>
        <v>0</v>
      </c>
      <c r="Q73" s="15" t="s">
        <v>13</v>
      </c>
      <c r="R73" s="91"/>
    </row>
    <row r="74" spans="1:23" x14ac:dyDescent="0.3">
      <c r="P74" s="49"/>
      <c r="Q74" s="49"/>
      <c r="R74" s="49"/>
      <c r="S74" s="32"/>
    </row>
    <row r="75" spans="1:23" s="8" customFormat="1" ht="30" customHeight="1" x14ac:dyDescent="0.3">
      <c r="A75" s="155" t="s">
        <v>29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57"/>
      <c r="R75" s="157"/>
      <c r="S75" s="157"/>
      <c r="T75" s="156"/>
      <c r="U75" s="156"/>
      <c r="V75" s="156"/>
      <c r="W75" s="158"/>
    </row>
    <row r="76" spans="1:23" s="12" customFormat="1" ht="14.55" customHeight="1" x14ac:dyDescent="0.3">
      <c r="A76" s="159" t="s">
        <v>1</v>
      </c>
      <c r="B76" s="160" t="s">
        <v>2</v>
      </c>
      <c r="C76" s="160" t="s">
        <v>3</v>
      </c>
      <c r="D76" s="160" t="s">
        <v>4</v>
      </c>
      <c r="E76" s="161" t="s">
        <v>5</v>
      </c>
      <c r="F76" s="163" t="s">
        <v>15</v>
      </c>
      <c r="G76" s="163" t="s">
        <v>16</v>
      </c>
      <c r="H76" s="170" t="s">
        <v>30</v>
      </c>
      <c r="I76" s="171"/>
      <c r="J76" s="171"/>
      <c r="K76" s="171"/>
      <c r="L76" s="171"/>
      <c r="M76" s="172"/>
      <c r="N76" s="176" t="s">
        <v>6</v>
      </c>
      <c r="O76" s="177"/>
      <c r="P76" s="177"/>
      <c r="Q76" s="178"/>
      <c r="R76" s="161" t="s">
        <v>8</v>
      </c>
      <c r="S76" s="179"/>
      <c r="T76" s="159" t="s">
        <v>9</v>
      </c>
      <c r="U76" s="159" t="s">
        <v>10</v>
      </c>
      <c r="V76" s="159"/>
      <c r="W76" s="159"/>
    </row>
    <row r="77" spans="1:23" s="12" customFormat="1" ht="13.05" customHeight="1" x14ac:dyDescent="0.3">
      <c r="A77" s="159"/>
      <c r="B77" s="160"/>
      <c r="C77" s="160"/>
      <c r="D77" s="160"/>
      <c r="E77" s="162"/>
      <c r="F77" s="164"/>
      <c r="G77" s="164"/>
      <c r="H77" s="173"/>
      <c r="I77" s="174"/>
      <c r="J77" s="174"/>
      <c r="K77" s="174"/>
      <c r="L77" s="174"/>
      <c r="M77" s="175"/>
      <c r="N77" s="176" t="s">
        <v>7</v>
      </c>
      <c r="O77" s="177"/>
      <c r="P77" s="177"/>
      <c r="Q77" s="178"/>
      <c r="R77" s="162"/>
      <c r="S77" s="180"/>
      <c r="T77" s="159"/>
      <c r="U77" s="159"/>
      <c r="V77" s="159"/>
      <c r="W77" s="159"/>
    </row>
    <row r="78" spans="1:23" ht="14.55" customHeight="1" x14ac:dyDescent="0.3">
      <c r="A78" s="183" t="s">
        <v>49</v>
      </c>
      <c r="B78" s="5">
        <v>0.33333333333333331</v>
      </c>
      <c r="C78" s="5"/>
      <c r="D78" s="110">
        <v>210825</v>
      </c>
      <c r="E78" s="3" t="s">
        <v>340</v>
      </c>
      <c r="F78" s="19">
        <v>304</v>
      </c>
      <c r="G78" s="20">
        <v>0.8</v>
      </c>
      <c r="H78" s="186" t="s">
        <v>87</v>
      </c>
      <c r="I78" s="187"/>
      <c r="J78" s="187"/>
      <c r="K78" s="187"/>
      <c r="L78" s="187"/>
      <c r="M78" s="188"/>
      <c r="N78" s="189">
        <v>61</v>
      </c>
      <c r="O78" s="198"/>
      <c r="P78" s="198"/>
      <c r="Q78" s="190"/>
      <c r="R78" s="105"/>
      <c r="S78" s="91" t="s">
        <v>14</v>
      </c>
      <c r="T78" s="21"/>
      <c r="U78" s="204"/>
      <c r="V78" s="205"/>
      <c r="W78" s="206"/>
    </row>
    <row r="79" spans="1:23" ht="14.55" customHeight="1" x14ac:dyDescent="0.3">
      <c r="A79" s="184"/>
      <c r="B79" s="5"/>
      <c r="C79" s="5"/>
      <c r="D79" s="108">
        <v>250074</v>
      </c>
      <c r="E79" s="3" t="s">
        <v>337</v>
      </c>
      <c r="F79" s="19">
        <v>304</v>
      </c>
      <c r="G79" s="20">
        <v>0.7</v>
      </c>
      <c r="H79" s="186" t="s">
        <v>87</v>
      </c>
      <c r="I79" s="187"/>
      <c r="J79" s="187"/>
      <c r="K79" s="187"/>
      <c r="L79" s="187"/>
      <c r="M79" s="188"/>
      <c r="N79" s="189">
        <v>420</v>
      </c>
      <c r="O79" s="198"/>
      <c r="P79" s="198"/>
      <c r="Q79" s="190"/>
      <c r="R79" s="105"/>
      <c r="S79" s="6" t="s">
        <v>14</v>
      </c>
      <c r="T79" s="21"/>
      <c r="U79" s="204"/>
      <c r="V79" s="205"/>
      <c r="W79" s="206"/>
    </row>
    <row r="80" spans="1:23" ht="14.55" customHeight="1" x14ac:dyDescent="0.3">
      <c r="A80" s="184"/>
      <c r="B80" s="5"/>
      <c r="C80" s="5"/>
      <c r="D80" s="4">
        <v>250074</v>
      </c>
      <c r="E80" s="3" t="s">
        <v>341</v>
      </c>
      <c r="F80" s="19">
        <v>304</v>
      </c>
      <c r="G80" s="20">
        <v>0.7</v>
      </c>
      <c r="H80" s="186" t="s">
        <v>87</v>
      </c>
      <c r="I80" s="187"/>
      <c r="J80" s="187"/>
      <c r="K80" s="187"/>
      <c r="L80" s="187"/>
      <c r="M80" s="188"/>
      <c r="N80" s="189">
        <v>183</v>
      </c>
      <c r="O80" s="198"/>
      <c r="P80" s="198"/>
      <c r="Q80" s="190"/>
      <c r="R80" s="105"/>
      <c r="S80" s="6" t="s">
        <v>14</v>
      </c>
      <c r="T80" s="21"/>
      <c r="U80" s="204"/>
      <c r="V80" s="205"/>
      <c r="W80" s="206"/>
    </row>
    <row r="81" spans="1:23" ht="14.55" customHeight="1" x14ac:dyDescent="0.3">
      <c r="A81" s="184"/>
      <c r="B81" s="5"/>
      <c r="C81" s="5">
        <v>0.70833333333333337</v>
      </c>
      <c r="D81" s="108">
        <v>250074</v>
      </c>
      <c r="E81" s="3" t="s">
        <v>342</v>
      </c>
      <c r="F81" s="19">
        <v>304</v>
      </c>
      <c r="G81" s="20">
        <v>0.7</v>
      </c>
      <c r="H81" s="186" t="s">
        <v>87</v>
      </c>
      <c r="I81" s="187"/>
      <c r="J81" s="187"/>
      <c r="K81" s="187"/>
      <c r="L81" s="187"/>
      <c r="M81" s="188"/>
      <c r="N81" s="189">
        <v>79</v>
      </c>
      <c r="O81" s="198"/>
      <c r="P81" s="198"/>
      <c r="Q81" s="190"/>
      <c r="R81" s="105"/>
      <c r="S81" s="6" t="s">
        <v>14</v>
      </c>
      <c r="T81" s="21"/>
      <c r="U81" s="204"/>
      <c r="V81" s="205"/>
      <c r="W81" s="206"/>
    </row>
    <row r="82" spans="1:23" ht="14.55" customHeight="1" x14ac:dyDescent="0.3">
      <c r="A82" s="184"/>
      <c r="B82" s="5"/>
      <c r="C82" s="5"/>
      <c r="D82" s="4"/>
      <c r="E82" s="3"/>
      <c r="F82" s="19"/>
      <c r="G82" s="20"/>
      <c r="H82" s="186"/>
      <c r="I82" s="187"/>
      <c r="J82" s="187"/>
      <c r="K82" s="187"/>
      <c r="L82" s="187"/>
      <c r="M82" s="188"/>
      <c r="N82" s="189"/>
      <c r="O82" s="198"/>
      <c r="P82" s="198"/>
      <c r="Q82" s="190"/>
      <c r="R82" s="105"/>
      <c r="S82" s="6" t="s">
        <v>14</v>
      </c>
      <c r="T82" s="21"/>
      <c r="U82" s="204"/>
      <c r="V82" s="205"/>
      <c r="W82" s="206"/>
    </row>
    <row r="83" spans="1:23" ht="14.55" customHeight="1" x14ac:dyDescent="0.3">
      <c r="A83" s="185"/>
      <c r="B83" s="165" t="s">
        <v>0</v>
      </c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7"/>
      <c r="N83" s="168">
        <f>SUM(N78:O82)</f>
        <v>743</v>
      </c>
      <c r="O83" s="197"/>
      <c r="P83" s="197"/>
      <c r="Q83" s="169"/>
      <c r="R83" s="10">
        <f>SUM(R78:R82)</f>
        <v>0</v>
      </c>
      <c r="S83" s="11" t="s">
        <v>14</v>
      </c>
      <c r="T83" s="9"/>
      <c r="U83" s="204"/>
      <c r="V83" s="205"/>
      <c r="W83" s="206"/>
    </row>
    <row r="84" spans="1:23" ht="14.55" customHeight="1" x14ac:dyDescent="0.3">
      <c r="D84" s="91"/>
      <c r="E84" s="48"/>
      <c r="F84" s="48"/>
      <c r="G84" s="48"/>
      <c r="H84" s="48"/>
      <c r="I84" s="48"/>
      <c r="R84" s="91"/>
    </row>
    <row r="85" spans="1:23" ht="14.55" customHeight="1" x14ac:dyDescent="0.3">
      <c r="D85" s="91"/>
      <c r="E85" s="165" t="s">
        <v>33</v>
      </c>
      <c r="F85" s="166"/>
      <c r="G85" s="166"/>
      <c r="H85" s="166"/>
      <c r="I85" s="166"/>
      <c r="J85" s="166"/>
      <c r="K85" s="166"/>
      <c r="L85" s="166"/>
      <c r="M85" s="167"/>
      <c r="N85" s="181" t="s">
        <v>7</v>
      </c>
      <c r="O85" s="199"/>
      <c r="P85" s="199"/>
      <c r="Q85" s="182"/>
      <c r="R85" s="91"/>
    </row>
    <row r="86" spans="1:23" ht="14.55" customHeight="1" x14ac:dyDescent="0.3">
      <c r="D86" s="91"/>
      <c r="E86" s="7"/>
      <c r="F86" s="7"/>
      <c r="G86" s="7"/>
      <c r="H86" s="7"/>
      <c r="I86" s="7"/>
      <c r="J86" s="22"/>
      <c r="K86" s="23"/>
      <c r="L86" s="22"/>
      <c r="M86" s="24"/>
      <c r="N86" s="200">
        <f>N83</f>
        <v>743</v>
      </c>
      <c r="O86" s="201"/>
      <c r="P86" s="202" t="s">
        <v>13</v>
      </c>
      <c r="Q86" s="203"/>
      <c r="R86" s="91"/>
    </row>
  </sheetData>
  <mergeCells count="230">
    <mergeCell ref="N86:O86"/>
    <mergeCell ref="P86:Q86"/>
    <mergeCell ref="H82:M82"/>
    <mergeCell ref="N82:Q82"/>
    <mergeCell ref="B83:M83"/>
    <mergeCell ref="N83:Q83"/>
    <mergeCell ref="E85:M85"/>
    <mergeCell ref="N85:Q85"/>
    <mergeCell ref="A78:A83"/>
    <mergeCell ref="H78:M78"/>
    <mergeCell ref="N78:Q78"/>
    <mergeCell ref="U78:W83"/>
    <mergeCell ref="H79:M79"/>
    <mergeCell ref="N79:Q79"/>
    <mergeCell ref="H80:M80"/>
    <mergeCell ref="N80:Q80"/>
    <mergeCell ref="H81:M81"/>
    <mergeCell ref="N81:Q81"/>
    <mergeCell ref="G76:G77"/>
    <mergeCell ref="H76:M77"/>
    <mergeCell ref="N76:Q76"/>
    <mergeCell ref="R76:S77"/>
    <mergeCell ref="T76:T77"/>
    <mergeCell ref="U76:W77"/>
    <mergeCell ref="N77:Q77"/>
    <mergeCell ref="E72:M72"/>
    <mergeCell ref="N72:O72"/>
    <mergeCell ref="P72:Q72"/>
    <mergeCell ref="A75:W75"/>
    <mergeCell ref="A76:A77"/>
    <mergeCell ref="B76:B77"/>
    <mergeCell ref="C76:C77"/>
    <mergeCell ref="D76:D77"/>
    <mergeCell ref="E76:E77"/>
    <mergeCell ref="F76:F77"/>
    <mergeCell ref="A67:A70"/>
    <mergeCell ref="H67:M67"/>
    <mergeCell ref="N67:O67"/>
    <mergeCell ref="P67:Q67"/>
    <mergeCell ref="U67:W70"/>
    <mergeCell ref="H68:M68"/>
    <mergeCell ref="N68:O68"/>
    <mergeCell ref="F65:F66"/>
    <mergeCell ref="G65:G66"/>
    <mergeCell ref="H65:M66"/>
    <mergeCell ref="N65:Q65"/>
    <mergeCell ref="R65:S66"/>
    <mergeCell ref="T65:T66"/>
    <mergeCell ref="H69:M69"/>
    <mergeCell ref="N69:O69"/>
    <mergeCell ref="P69:Q69"/>
    <mergeCell ref="B70:M70"/>
    <mergeCell ref="N70:O70"/>
    <mergeCell ref="P70:Q70"/>
    <mergeCell ref="P68:Q68"/>
    <mergeCell ref="U65:W66"/>
    <mergeCell ref="N66:O66"/>
    <mergeCell ref="P66:Q66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8"/>
  <sheetViews>
    <sheetView topLeftCell="A73" zoomScale="85" zoomScaleNormal="85" workbookViewId="0">
      <selection activeCell="D46" sqref="D46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8.88671875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10">
        <v>290925</v>
      </c>
      <c r="E7" s="3" t="s">
        <v>326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1800</v>
      </c>
      <c r="O7" s="190"/>
      <c r="P7" s="189"/>
      <c r="Q7" s="190"/>
      <c r="R7" s="106">
        <v>100</v>
      </c>
      <c r="S7" s="6" t="s">
        <v>14</v>
      </c>
      <c r="T7" s="21" t="s">
        <v>343</v>
      </c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06"/>
      <c r="S8" s="6" t="s">
        <v>14</v>
      </c>
      <c r="T8" s="21"/>
      <c r="U8" s="194"/>
      <c r="V8" s="195"/>
      <c r="W8" s="196"/>
    </row>
    <row r="9" spans="1:23" ht="14.55" customHeight="1" x14ac:dyDescent="0.3">
      <c r="A9" s="184"/>
      <c r="B9" s="5"/>
      <c r="C9" s="5"/>
      <c r="D9" s="108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106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1800</v>
      </c>
      <c r="O10" s="169"/>
      <c r="P10" s="168">
        <f>SUM(P7:Q9)</f>
        <v>0</v>
      </c>
      <c r="Q10" s="169"/>
      <c r="R10" s="10">
        <f>SUM(R7:R9)</f>
        <v>100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06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108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06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108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06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07">
        <f>N10+N14</f>
        <v>1800</v>
      </c>
      <c r="O17" s="14" t="s">
        <v>13</v>
      </c>
      <c r="P17" s="107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110">
        <v>290925</v>
      </c>
      <c r="E22" s="3" t="s">
        <v>326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1715</v>
      </c>
      <c r="O22" s="198"/>
      <c r="P22" s="198"/>
      <c r="Q22" s="190"/>
      <c r="R22" s="10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0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108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06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108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06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1715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1715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110">
        <v>290925</v>
      </c>
      <c r="E34" s="3" t="s">
        <v>326</v>
      </c>
      <c r="F34" s="19">
        <v>304</v>
      </c>
      <c r="G34" s="20">
        <v>0.9</v>
      </c>
      <c r="H34" s="186" t="s">
        <v>344</v>
      </c>
      <c r="I34" s="187"/>
      <c r="J34" s="187"/>
      <c r="K34" s="187"/>
      <c r="L34" s="187"/>
      <c r="M34" s="188"/>
      <c r="N34" s="189">
        <v>1750</v>
      </c>
      <c r="O34" s="190"/>
      <c r="P34" s="189"/>
      <c r="Q34" s="190"/>
      <c r="R34" s="10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108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106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108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106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1750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07">
        <f>N37</f>
        <v>1750</v>
      </c>
      <c r="O40" s="14" t="s">
        <v>13</v>
      </c>
      <c r="P40" s="107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110">
        <v>290925</v>
      </c>
      <c r="E45" s="3" t="s">
        <v>326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1750</v>
      </c>
      <c r="O45" s="198"/>
      <c r="P45" s="198"/>
      <c r="Q45" s="190"/>
      <c r="R45" s="106">
        <v>40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110">
        <v>160925</v>
      </c>
      <c r="E46" s="3" t="s">
        <v>331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370</v>
      </c>
      <c r="O46" s="198"/>
      <c r="P46" s="198"/>
      <c r="Q46" s="190"/>
      <c r="R46" s="106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108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06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2120</v>
      </c>
      <c r="O48" s="197"/>
      <c r="P48" s="197"/>
      <c r="Q48" s="169"/>
      <c r="R48" s="10">
        <f>SUM(R45:R47)</f>
        <v>40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2120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110">
        <v>290925</v>
      </c>
      <c r="E56" s="3" t="s">
        <v>326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1140</v>
      </c>
      <c r="O56" s="198"/>
      <c r="P56" s="198"/>
      <c r="Q56" s="190"/>
      <c r="R56" s="106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110">
        <v>160925</v>
      </c>
      <c r="E57" s="3" t="s">
        <v>331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1040</v>
      </c>
      <c r="O57" s="198"/>
      <c r="P57" s="198"/>
      <c r="Q57" s="190"/>
      <c r="R57" s="106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108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06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2180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2180</v>
      </c>
      <c r="O62" s="201"/>
      <c r="P62" s="202" t="s">
        <v>13</v>
      </c>
      <c r="Q62" s="203"/>
      <c r="R62" s="91"/>
    </row>
    <row r="63" spans="1:23" s="26" customFormat="1" ht="14.55" customHeight="1" x14ac:dyDescent="0.3">
      <c r="E63" s="117"/>
      <c r="F63" s="117"/>
      <c r="G63" s="117"/>
      <c r="H63" s="117"/>
      <c r="I63" s="117"/>
      <c r="J63" s="114"/>
      <c r="K63" s="115"/>
      <c r="L63" s="114"/>
      <c r="M63" s="116"/>
      <c r="N63" s="115"/>
      <c r="O63" s="115"/>
      <c r="P63" s="118"/>
      <c r="Q63" s="118"/>
    </row>
    <row r="64" spans="1:23" s="8" customFormat="1" ht="30" customHeight="1" x14ac:dyDescent="0.3">
      <c r="A64" s="155" t="s">
        <v>348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24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351</v>
      </c>
      <c r="O66" s="177"/>
      <c r="P66" s="177"/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69</v>
      </c>
      <c r="B67" s="5"/>
      <c r="C67" s="5"/>
      <c r="D67" s="110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11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4"/>
      <c r="B68" s="5"/>
      <c r="C68" s="5"/>
      <c r="D68" s="110"/>
      <c r="E68" s="3"/>
      <c r="F68" s="19"/>
      <c r="G68" s="20"/>
      <c r="H68" s="186"/>
      <c r="I68" s="187"/>
      <c r="J68" s="187"/>
      <c r="K68" s="187"/>
      <c r="L68" s="187"/>
      <c r="M68" s="188"/>
      <c r="N68" s="189"/>
      <c r="O68" s="198"/>
      <c r="P68" s="198"/>
      <c r="Q68" s="190"/>
      <c r="R68" s="111"/>
      <c r="S68" s="6" t="s">
        <v>14</v>
      </c>
      <c r="T68" s="21"/>
      <c r="U68" s="204"/>
      <c r="V68" s="205"/>
      <c r="W68" s="206"/>
    </row>
    <row r="69" spans="1:23" ht="14.55" customHeight="1" x14ac:dyDescent="0.3">
      <c r="A69" s="184"/>
      <c r="B69" s="5"/>
      <c r="C69" s="5"/>
      <c r="D69" s="108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8"/>
      <c r="P69" s="198"/>
      <c r="Q69" s="190"/>
      <c r="R69" s="111"/>
      <c r="S69" s="6" t="s">
        <v>14</v>
      </c>
      <c r="T69" s="21"/>
      <c r="U69" s="204"/>
      <c r="V69" s="205"/>
      <c r="W69" s="206"/>
    </row>
    <row r="70" spans="1:23" ht="14.55" customHeight="1" x14ac:dyDescent="0.3">
      <c r="A70" s="185"/>
      <c r="B70" s="165" t="s">
        <v>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8">
        <f>SUM(N67:O69)</f>
        <v>0</v>
      </c>
      <c r="O70" s="197"/>
      <c r="P70" s="197"/>
      <c r="Q70" s="169"/>
      <c r="R70" s="10">
        <f>SUM(R67:R69)</f>
        <v>0</v>
      </c>
      <c r="S70" s="11" t="s">
        <v>14</v>
      </c>
      <c r="T70" s="9"/>
      <c r="U70" s="204"/>
      <c r="V70" s="205"/>
      <c r="W70" s="206"/>
    </row>
    <row r="71" spans="1:23" ht="14.55" customHeight="1" x14ac:dyDescent="0.3">
      <c r="D71" s="91"/>
      <c r="E71" s="48"/>
      <c r="F71" s="48"/>
      <c r="G71" s="48"/>
      <c r="H71" s="48"/>
      <c r="I71" s="48"/>
      <c r="R71" s="91"/>
    </row>
    <row r="72" spans="1:23" ht="14.55" customHeight="1" x14ac:dyDescent="0.3">
      <c r="D72" s="91"/>
      <c r="E72" s="165" t="s">
        <v>349</v>
      </c>
      <c r="F72" s="166"/>
      <c r="G72" s="166"/>
      <c r="H72" s="166"/>
      <c r="I72" s="166"/>
      <c r="J72" s="166"/>
      <c r="K72" s="166"/>
      <c r="L72" s="166"/>
      <c r="M72" s="167"/>
      <c r="N72" s="181" t="s">
        <v>350</v>
      </c>
      <c r="O72" s="199"/>
      <c r="P72" s="199"/>
      <c r="Q72" s="182"/>
      <c r="R72" s="91"/>
    </row>
    <row r="73" spans="1:23" ht="14.55" customHeight="1" x14ac:dyDescent="0.3">
      <c r="D73" s="91"/>
      <c r="E73" s="7"/>
      <c r="F73" s="7"/>
      <c r="G73" s="7"/>
      <c r="H73" s="7"/>
      <c r="I73" s="7"/>
      <c r="J73" s="22"/>
      <c r="K73" s="23"/>
      <c r="L73" s="22"/>
      <c r="M73" s="24"/>
      <c r="N73" s="200">
        <f>N70</f>
        <v>0</v>
      </c>
      <c r="O73" s="201"/>
      <c r="P73" s="202" t="s">
        <v>13</v>
      </c>
      <c r="Q73" s="203"/>
      <c r="R73" s="91"/>
    </row>
    <row r="74" spans="1:23" ht="14.55" customHeight="1" x14ac:dyDescent="0.3">
      <c r="D74" s="91"/>
      <c r="E74" s="48"/>
      <c r="F74" s="48"/>
      <c r="G74" s="48"/>
      <c r="H74" s="48"/>
      <c r="I74" s="48"/>
      <c r="P74" s="49"/>
      <c r="Q74" s="49"/>
      <c r="R74" s="32"/>
      <c r="S74" s="32"/>
    </row>
    <row r="75" spans="1:23" s="8" customFormat="1" ht="30" customHeight="1" x14ac:dyDescent="0.3">
      <c r="A75" s="155" t="s">
        <v>73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57"/>
      <c r="R75" s="157"/>
      <c r="S75" s="157"/>
      <c r="T75" s="156"/>
      <c r="U75" s="156"/>
      <c r="V75" s="156"/>
      <c r="W75" s="158"/>
    </row>
    <row r="76" spans="1:23" s="12" customFormat="1" ht="14.55" customHeight="1" x14ac:dyDescent="0.3">
      <c r="A76" s="159" t="s">
        <v>1</v>
      </c>
      <c r="B76" s="160" t="s">
        <v>2</v>
      </c>
      <c r="C76" s="160" t="s">
        <v>3</v>
      </c>
      <c r="D76" s="160" t="s">
        <v>4</v>
      </c>
      <c r="E76" s="161" t="s">
        <v>5</v>
      </c>
      <c r="F76" s="163" t="s">
        <v>15</v>
      </c>
      <c r="G76" s="163" t="s">
        <v>16</v>
      </c>
      <c r="H76" s="170" t="s">
        <v>30</v>
      </c>
      <c r="I76" s="171"/>
      <c r="J76" s="171"/>
      <c r="K76" s="171"/>
      <c r="L76" s="171"/>
      <c r="M76" s="172"/>
      <c r="N76" s="176" t="s">
        <v>6</v>
      </c>
      <c r="O76" s="177"/>
      <c r="P76" s="177"/>
      <c r="Q76" s="178"/>
      <c r="R76" s="161" t="s">
        <v>8</v>
      </c>
      <c r="S76" s="179"/>
      <c r="T76" s="159" t="s">
        <v>9</v>
      </c>
      <c r="U76" s="159" t="s">
        <v>10</v>
      </c>
      <c r="V76" s="159"/>
      <c r="W76" s="159"/>
    </row>
    <row r="77" spans="1:23" s="12" customFormat="1" ht="13.05" customHeight="1" x14ac:dyDescent="0.3">
      <c r="A77" s="159"/>
      <c r="B77" s="160"/>
      <c r="C77" s="160"/>
      <c r="D77" s="160"/>
      <c r="E77" s="162"/>
      <c r="F77" s="164"/>
      <c r="G77" s="164"/>
      <c r="H77" s="173"/>
      <c r="I77" s="174"/>
      <c r="J77" s="174"/>
      <c r="K77" s="174"/>
      <c r="L77" s="174"/>
      <c r="M77" s="175"/>
      <c r="N77" s="176" t="s">
        <v>7</v>
      </c>
      <c r="O77" s="177"/>
      <c r="P77" s="177" t="s">
        <v>74</v>
      </c>
      <c r="Q77" s="178"/>
      <c r="R77" s="162"/>
      <c r="S77" s="180"/>
      <c r="T77" s="159"/>
      <c r="U77" s="159"/>
      <c r="V77" s="159"/>
      <c r="W77" s="159"/>
    </row>
    <row r="78" spans="1:23" ht="14.55" customHeight="1" x14ac:dyDescent="0.3">
      <c r="A78" s="183" t="s">
        <v>49</v>
      </c>
      <c r="B78" s="5">
        <v>0.33333333333333331</v>
      </c>
      <c r="C78" s="5"/>
      <c r="D78" s="108">
        <v>160925</v>
      </c>
      <c r="E78" s="3" t="s">
        <v>345</v>
      </c>
      <c r="F78" s="19">
        <v>304</v>
      </c>
      <c r="G78" s="20">
        <v>0.9</v>
      </c>
      <c r="H78" s="186" t="s">
        <v>122</v>
      </c>
      <c r="I78" s="187"/>
      <c r="J78" s="187"/>
      <c r="K78" s="187"/>
      <c r="L78" s="187"/>
      <c r="M78" s="188"/>
      <c r="N78" s="189">
        <v>521</v>
      </c>
      <c r="O78" s="190"/>
      <c r="P78" s="189"/>
      <c r="Q78" s="190"/>
      <c r="R78" s="106"/>
      <c r="S78" s="91" t="s">
        <v>14</v>
      </c>
      <c r="T78" s="21"/>
      <c r="U78" s="191"/>
      <c r="V78" s="192"/>
      <c r="W78" s="193"/>
    </row>
    <row r="79" spans="1:23" ht="14.55" customHeight="1" x14ac:dyDescent="0.3">
      <c r="A79" s="184"/>
      <c r="B79" s="5"/>
      <c r="C79" s="5"/>
      <c r="D79" s="108">
        <v>100925</v>
      </c>
      <c r="E79" s="3" t="s">
        <v>295</v>
      </c>
      <c r="F79" s="19">
        <v>304</v>
      </c>
      <c r="G79" s="20">
        <v>0.9</v>
      </c>
      <c r="H79" s="186" t="s">
        <v>124</v>
      </c>
      <c r="I79" s="187"/>
      <c r="J79" s="187"/>
      <c r="K79" s="187"/>
      <c r="L79" s="187"/>
      <c r="M79" s="188"/>
      <c r="N79" s="189">
        <v>600</v>
      </c>
      <c r="O79" s="190"/>
      <c r="P79" s="189"/>
      <c r="Q79" s="190"/>
      <c r="R79" s="106"/>
      <c r="S79" s="6" t="s">
        <v>14</v>
      </c>
      <c r="T79" s="21"/>
      <c r="U79" s="191"/>
      <c r="V79" s="192"/>
      <c r="W79" s="193"/>
    </row>
    <row r="80" spans="1:23" ht="14.55" customHeight="1" x14ac:dyDescent="0.3">
      <c r="A80" s="184"/>
      <c r="B80" s="5"/>
      <c r="C80" s="5">
        <v>0.70833333333333337</v>
      </c>
      <c r="D80" s="108">
        <v>100925</v>
      </c>
      <c r="E80" s="3" t="s">
        <v>295</v>
      </c>
      <c r="F80" s="19">
        <v>304</v>
      </c>
      <c r="G80" s="20">
        <v>0.9</v>
      </c>
      <c r="H80" s="186" t="s">
        <v>122</v>
      </c>
      <c r="I80" s="187"/>
      <c r="J80" s="187"/>
      <c r="K80" s="187"/>
      <c r="L80" s="187"/>
      <c r="M80" s="188"/>
      <c r="N80" s="189">
        <v>500</v>
      </c>
      <c r="O80" s="190"/>
      <c r="P80" s="189"/>
      <c r="Q80" s="190"/>
      <c r="R80" s="106"/>
      <c r="S80" s="6" t="s">
        <v>14</v>
      </c>
      <c r="T80" s="21"/>
      <c r="U80" s="191"/>
      <c r="V80" s="192"/>
      <c r="W80" s="193"/>
    </row>
    <row r="81" spans="1:23" ht="14.55" customHeight="1" x14ac:dyDescent="0.3">
      <c r="A81" s="184"/>
      <c r="B81" s="5"/>
      <c r="C81" s="5"/>
      <c r="D81" s="108"/>
      <c r="E81" s="3"/>
      <c r="F81" s="19"/>
      <c r="G81" s="20"/>
      <c r="H81" s="186"/>
      <c r="I81" s="187"/>
      <c r="J81" s="187"/>
      <c r="K81" s="187"/>
      <c r="L81" s="187"/>
      <c r="M81" s="188"/>
      <c r="N81" s="189"/>
      <c r="O81" s="190"/>
      <c r="P81" s="189"/>
      <c r="Q81" s="190"/>
      <c r="R81" s="106"/>
      <c r="S81" s="6" t="s">
        <v>14</v>
      </c>
      <c r="T81" s="21"/>
      <c r="U81" s="191"/>
      <c r="V81" s="192"/>
      <c r="W81" s="193"/>
    </row>
    <row r="82" spans="1:23" ht="14.55" customHeight="1" x14ac:dyDescent="0.3">
      <c r="A82" s="185"/>
      <c r="B82" s="165" t="s">
        <v>0</v>
      </c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7"/>
      <c r="N82" s="168">
        <f>SUM(N78:O81)</f>
        <v>1621</v>
      </c>
      <c r="O82" s="197"/>
      <c r="P82" s="168">
        <f ca="1">SUM(P78:Q82)</f>
        <v>0</v>
      </c>
      <c r="Q82" s="197"/>
      <c r="R82" s="10">
        <f>SUM(R78:R81)</f>
        <v>0</v>
      </c>
      <c r="S82" s="11" t="s">
        <v>14</v>
      </c>
      <c r="T82" s="9"/>
      <c r="U82" s="191"/>
      <c r="V82" s="192"/>
      <c r="W82" s="193"/>
    </row>
    <row r="83" spans="1:23" ht="14.55" customHeight="1" x14ac:dyDescent="0.3">
      <c r="D83" s="91"/>
      <c r="E83" s="48"/>
      <c r="F83" s="48"/>
      <c r="G83" s="48"/>
      <c r="H83" s="48"/>
      <c r="I83" s="48"/>
      <c r="R83" s="91"/>
    </row>
    <row r="84" spans="1:23" ht="14.55" customHeight="1" x14ac:dyDescent="0.3">
      <c r="D84" s="91"/>
      <c r="E84" s="165" t="s">
        <v>65</v>
      </c>
      <c r="F84" s="166"/>
      <c r="G84" s="166"/>
      <c r="H84" s="166"/>
      <c r="I84" s="166"/>
      <c r="J84" s="166"/>
      <c r="K84" s="166"/>
      <c r="L84" s="166"/>
      <c r="M84" s="167"/>
      <c r="N84" s="181" t="s">
        <v>7</v>
      </c>
      <c r="O84" s="182"/>
      <c r="P84" s="181" t="s">
        <v>74</v>
      </c>
      <c r="Q84" s="182"/>
      <c r="R84" s="91"/>
    </row>
    <row r="85" spans="1:23" ht="14.55" customHeight="1" x14ac:dyDescent="0.3">
      <c r="D85" s="91"/>
      <c r="E85" s="7"/>
      <c r="F85" s="7"/>
      <c r="G85" s="7"/>
      <c r="H85" s="7"/>
      <c r="I85" s="7"/>
      <c r="J85" s="22"/>
      <c r="K85" s="23"/>
      <c r="L85" s="22"/>
      <c r="M85" s="24"/>
      <c r="N85" s="107">
        <f>N82</f>
        <v>1621</v>
      </c>
      <c r="O85" s="14" t="s">
        <v>13</v>
      </c>
      <c r="P85" s="107">
        <f ca="1">P82</f>
        <v>0</v>
      </c>
      <c r="Q85" s="15" t="s">
        <v>13</v>
      </c>
      <c r="R85" s="91"/>
    </row>
    <row r="86" spans="1:23" x14ac:dyDescent="0.3">
      <c r="P86" s="49"/>
      <c r="Q86" s="49"/>
      <c r="R86" s="49"/>
      <c r="S86" s="32"/>
    </row>
    <row r="87" spans="1:23" s="8" customFormat="1" ht="30" customHeight="1" x14ac:dyDescent="0.3">
      <c r="A87" s="155" t="s">
        <v>29</v>
      </c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7"/>
      <c r="Q87" s="157"/>
      <c r="R87" s="157"/>
      <c r="S87" s="157"/>
      <c r="T87" s="156"/>
      <c r="U87" s="156"/>
      <c r="V87" s="156"/>
      <c r="W87" s="158"/>
    </row>
    <row r="88" spans="1:23" s="12" customFormat="1" ht="14.55" customHeight="1" x14ac:dyDescent="0.3">
      <c r="A88" s="159" t="s">
        <v>1</v>
      </c>
      <c r="B88" s="160" t="s">
        <v>2</v>
      </c>
      <c r="C88" s="160" t="s">
        <v>3</v>
      </c>
      <c r="D88" s="160" t="s">
        <v>4</v>
      </c>
      <c r="E88" s="161" t="s">
        <v>5</v>
      </c>
      <c r="F88" s="163" t="s">
        <v>15</v>
      </c>
      <c r="G88" s="163" t="s">
        <v>16</v>
      </c>
      <c r="H88" s="170" t="s">
        <v>30</v>
      </c>
      <c r="I88" s="171"/>
      <c r="J88" s="171"/>
      <c r="K88" s="171"/>
      <c r="L88" s="171"/>
      <c r="M88" s="172"/>
      <c r="N88" s="176" t="s">
        <v>6</v>
      </c>
      <c r="O88" s="177"/>
      <c r="P88" s="177"/>
      <c r="Q88" s="178"/>
      <c r="R88" s="161" t="s">
        <v>8</v>
      </c>
      <c r="S88" s="179"/>
      <c r="T88" s="159" t="s">
        <v>9</v>
      </c>
      <c r="U88" s="159" t="s">
        <v>10</v>
      </c>
      <c r="V88" s="159"/>
      <c r="W88" s="159"/>
    </row>
    <row r="89" spans="1:23" s="12" customFormat="1" ht="13.05" customHeight="1" x14ac:dyDescent="0.3">
      <c r="A89" s="159"/>
      <c r="B89" s="160"/>
      <c r="C89" s="160"/>
      <c r="D89" s="160"/>
      <c r="E89" s="162"/>
      <c r="F89" s="164"/>
      <c r="G89" s="164"/>
      <c r="H89" s="173"/>
      <c r="I89" s="174"/>
      <c r="J89" s="174"/>
      <c r="K89" s="174"/>
      <c r="L89" s="174"/>
      <c r="M89" s="175"/>
      <c r="N89" s="176" t="s">
        <v>7</v>
      </c>
      <c r="O89" s="177"/>
      <c r="P89" s="177"/>
      <c r="Q89" s="178"/>
      <c r="R89" s="162"/>
      <c r="S89" s="180"/>
      <c r="T89" s="159"/>
      <c r="U89" s="159"/>
      <c r="V89" s="159"/>
      <c r="W89" s="159"/>
    </row>
    <row r="90" spans="1:23" ht="14.55" customHeight="1" x14ac:dyDescent="0.3">
      <c r="A90" s="183" t="s">
        <v>49</v>
      </c>
      <c r="B90" s="5">
        <v>0.33333333333333331</v>
      </c>
      <c r="C90" s="5"/>
      <c r="D90" s="108">
        <v>100925</v>
      </c>
      <c r="E90" s="3" t="s">
        <v>347</v>
      </c>
      <c r="F90" s="19">
        <v>304</v>
      </c>
      <c r="G90" s="20">
        <v>0.9</v>
      </c>
      <c r="H90" s="186" t="s">
        <v>87</v>
      </c>
      <c r="I90" s="187"/>
      <c r="J90" s="187"/>
      <c r="K90" s="187"/>
      <c r="L90" s="187"/>
      <c r="M90" s="188"/>
      <c r="N90" s="189">
        <v>893</v>
      </c>
      <c r="O90" s="198"/>
      <c r="P90" s="198"/>
      <c r="Q90" s="190"/>
      <c r="R90" s="106"/>
      <c r="S90" s="91" t="s">
        <v>14</v>
      </c>
      <c r="T90" s="21"/>
      <c r="U90" s="204"/>
      <c r="V90" s="205"/>
      <c r="W90" s="206"/>
    </row>
    <row r="91" spans="1:23" ht="14.55" customHeight="1" x14ac:dyDescent="0.3">
      <c r="A91" s="184"/>
      <c r="B91" s="5"/>
      <c r="C91" s="5"/>
      <c r="D91" s="108" t="s">
        <v>205</v>
      </c>
      <c r="E91" s="3" t="s">
        <v>313</v>
      </c>
      <c r="F91" s="19">
        <v>304</v>
      </c>
      <c r="G91" s="20">
        <v>0.8</v>
      </c>
      <c r="H91" s="186" t="s">
        <v>87</v>
      </c>
      <c r="I91" s="187"/>
      <c r="J91" s="187"/>
      <c r="K91" s="187"/>
      <c r="L91" s="187"/>
      <c r="M91" s="188"/>
      <c r="N91" s="189">
        <v>92</v>
      </c>
      <c r="O91" s="198"/>
      <c r="P91" s="198"/>
      <c r="Q91" s="190"/>
      <c r="R91" s="106"/>
      <c r="S91" s="6" t="s">
        <v>14</v>
      </c>
      <c r="T91" s="21"/>
      <c r="U91" s="204"/>
      <c r="V91" s="205"/>
      <c r="W91" s="206"/>
    </row>
    <row r="92" spans="1:23" ht="14.55" customHeight="1" x14ac:dyDescent="0.3">
      <c r="A92" s="184"/>
      <c r="B92" s="5"/>
      <c r="C92" s="5">
        <v>0.70833333333333337</v>
      </c>
      <c r="D92" s="108">
        <v>100925</v>
      </c>
      <c r="E92" s="3" t="s">
        <v>346</v>
      </c>
      <c r="F92" s="19">
        <v>304</v>
      </c>
      <c r="G92" s="20">
        <v>0.9</v>
      </c>
      <c r="H92" s="186" t="s">
        <v>87</v>
      </c>
      <c r="I92" s="187"/>
      <c r="J92" s="187"/>
      <c r="K92" s="187"/>
      <c r="L92" s="187"/>
      <c r="M92" s="188"/>
      <c r="N92" s="189">
        <v>623</v>
      </c>
      <c r="O92" s="198"/>
      <c r="P92" s="198"/>
      <c r="Q92" s="190"/>
      <c r="R92" s="106"/>
      <c r="S92" s="6" t="s">
        <v>14</v>
      </c>
      <c r="T92" s="21"/>
      <c r="U92" s="204"/>
      <c r="V92" s="205"/>
      <c r="W92" s="206"/>
    </row>
    <row r="93" spans="1:23" ht="14.55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8"/>
      <c r="P93" s="198"/>
      <c r="Q93" s="190"/>
      <c r="R93" s="106"/>
      <c r="S93" s="6" t="s">
        <v>14</v>
      </c>
      <c r="T93" s="21"/>
      <c r="U93" s="204"/>
      <c r="V93" s="205"/>
      <c r="W93" s="206"/>
    </row>
    <row r="94" spans="1:23" ht="14.55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8"/>
      <c r="P94" s="198"/>
      <c r="Q94" s="190"/>
      <c r="R94" s="106"/>
      <c r="S94" s="6" t="s">
        <v>14</v>
      </c>
      <c r="T94" s="21"/>
      <c r="U94" s="204"/>
      <c r="V94" s="205"/>
      <c r="W94" s="206"/>
    </row>
    <row r="95" spans="1:23" ht="14.55" customHeight="1" x14ac:dyDescent="0.3">
      <c r="A95" s="185"/>
      <c r="B95" s="165" t="s">
        <v>0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7"/>
      <c r="N95" s="168">
        <f>SUM(N90:O94)</f>
        <v>1608</v>
      </c>
      <c r="O95" s="197"/>
      <c r="P95" s="197"/>
      <c r="Q95" s="169"/>
      <c r="R95" s="10">
        <f>SUM(R90:R94)</f>
        <v>0</v>
      </c>
      <c r="S95" s="11" t="s">
        <v>14</v>
      </c>
      <c r="T95" s="9"/>
      <c r="U95" s="204"/>
      <c r="V95" s="205"/>
      <c r="W95" s="206"/>
    </row>
    <row r="96" spans="1:23" ht="14.55" customHeight="1" x14ac:dyDescent="0.3">
      <c r="D96" s="91"/>
      <c r="E96" s="48"/>
      <c r="F96" s="48"/>
      <c r="G96" s="48"/>
      <c r="H96" s="48"/>
      <c r="I96" s="48"/>
      <c r="R96" s="91"/>
    </row>
    <row r="97" spans="4:18" ht="14.55" customHeight="1" x14ac:dyDescent="0.3">
      <c r="D97" s="91"/>
      <c r="E97" s="165" t="s">
        <v>33</v>
      </c>
      <c r="F97" s="166"/>
      <c r="G97" s="166"/>
      <c r="H97" s="166"/>
      <c r="I97" s="166"/>
      <c r="J97" s="166"/>
      <c r="K97" s="166"/>
      <c r="L97" s="166"/>
      <c r="M97" s="167"/>
      <c r="N97" s="181" t="s">
        <v>7</v>
      </c>
      <c r="O97" s="199"/>
      <c r="P97" s="199"/>
      <c r="Q97" s="182"/>
      <c r="R97" s="91"/>
    </row>
    <row r="98" spans="4:18" ht="14.55" customHeight="1" x14ac:dyDescent="0.3">
      <c r="D98" s="91"/>
      <c r="E98" s="7"/>
      <c r="F98" s="7"/>
      <c r="G98" s="7"/>
      <c r="H98" s="7"/>
      <c r="I98" s="7"/>
      <c r="J98" s="22"/>
      <c r="K98" s="23"/>
      <c r="L98" s="22"/>
      <c r="M98" s="24"/>
      <c r="N98" s="200">
        <f>N95</f>
        <v>1608</v>
      </c>
      <c r="O98" s="201"/>
      <c r="P98" s="202" t="s">
        <v>13</v>
      </c>
      <c r="Q98" s="203"/>
      <c r="R98" s="91"/>
    </row>
  </sheetData>
  <mergeCells count="261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75:W75"/>
    <mergeCell ref="A76:A77"/>
    <mergeCell ref="B76:B77"/>
    <mergeCell ref="C76:C77"/>
    <mergeCell ref="D76:D77"/>
    <mergeCell ref="E76:E77"/>
    <mergeCell ref="U76:W77"/>
    <mergeCell ref="N77:O77"/>
    <mergeCell ref="P77:Q77"/>
    <mergeCell ref="A64:W64"/>
    <mergeCell ref="A65:A66"/>
    <mergeCell ref="B65:B66"/>
    <mergeCell ref="C65:C66"/>
    <mergeCell ref="D65:D66"/>
    <mergeCell ref="E65:E66"/>
    <mergeCell ref="F65:F66"/>
    <mergeCell ref="G65:G66"/>
    <mergeCell ref="H65:M66"/>
    <mergeCell ref="N65:Q65"/>
    <mergeCell ref="R65:S66"/>
    <mergeCell ref="A78:A82"/>
    <mergeCell ref="H78:M78"/>
    <mergeCell ref="N78:O78"/>
    <mergeCell ref="P78:Q78"/>
    <mergeCell ref="U78:W82"/>
    <mergeCell ref="H79:M79"/>
    <mergeCell ref="N79:O79"/>
    <mergeCell ref="F76:F77"/>
    <mergeCell ref="G76:G77"/>
    <mergeCell ref="H76:M77"/>
    <mergeCell ref="N76:Q76"/>
    <mergeCell ref="R76:S77"/>
    <mergeCell ref="T76:T77"/>
    <mergeCell ref="H81:M81"/>
    <mergeCell ref="N81:O81"/>
    <mergeCell ref="P81:Q81"/>
    <mergeCell ref="B82:M82"/>
    <mergeCell ref="N82:O82"/>
    <mergeCell ref="P82:Q82"/>
    <mergeCell ref="P79:Q79"/>
    <mergeCell ref="H80:M80"/>
    <mergeCell ref="N80:O80"/>
    <mergeCell ref="P80:Q80"/>
    <mergeCell ref="E84:M84"/>
    <mergeCell ref="N84:O84"/>
    <mergeCell ref="P84:Q84"/>
    <mergeCell ref="A87:W87"/>
    <mergeCell ref="A88:A89"/>
    <mergeCell ref="B88:B89"/>
    <mergeCell ref="C88:C89"/>
    <mergeCell ref="D88:D89"/>
    <mergeCell ref="E88:E89"/>
    <mergeCell ref="F88:F89"/>
    <mergeCell ref="U90:W95"/>
    <mergeCell ref="H91:M91"/>
    <mergeCell ref="N91:Q91"/>
    <mergeCell ref="H92:M92"/>
    <mergeCell ref="N92:Q92"/>
    <mergeCell ref="H93:M93"/>
    <mergeCell ref="N93:Q93"/>
    <mergeCell ref="G88:G89"/>
    <mergeCell ref="H88:M89"/>
    <mergeCell ref="N88:Q88"/>
    <mergeCell ref="R88:S89"/>
    <mergeCell ref="T88:T89"/>
    <mergeCell ref="U88:W89"/>
    <mergeCell ref="N89:Q89"/>
    <mergeCell ref="N98:O98"/>
    <mergeCell ref="P98:Q98"/>
    <mergeCell ref="H94:M94"/>
    <mergeCell ref="N94:Q94"/>
    <mergeCell ref="B95:M95"/>
    <mergeCell ref="N95:Q95"/>
    <mergeCell ref="E97:M97"/>
    <mergeCell ref="N97:Q97"/>
    <mergeCell ref="A90:A95"/>
    <mergeCell ref="H90:M90"/>
    <mergeCell ref="N90:Q90"/>
    <mergeCell ref="E72:M72"/>
    <mergeCell ref="N72:Q72"/>
    <mergeCell ref="N73:O73"/>
    <mergeCell ref="P73:Q73"/>
    <mergeCell ref="T65:T66"/>
    <mergeCell ref="U65:W66"/>
    <mergeCell ref="N66:Q66"/>
    <mergeCell ref="A67:A70"/>
    <mergeCell ref="H67:M67"/>
    <mergeCell ref="N67:Q67"/>
    <mergeCell ref="U67:W70"/>
    <mergeCell ref="H68:M68"/>
    <mergeCell ref="N68:Q68"/>
    <mergeCell ref="H69:M69"/>
    <mergeCell ref="N69:Q69"/>
    <mergeCell ref="B70:M70"/>
    <mergeCell ref="N70:Q70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7"/>
  <sheetViews>
    <sheetView topLeftCell="A52" zoomScale="85" zoomScaleNormal="85" workbookViewId="0">
      <selection activeCell="D79" sqref="D7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10" style="48" bestFit="1" customWidth="1"/>
    <col min="5" max="5" width="42.2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45948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0.58333333333333337</v>
      </c>
      <c r="D7" s="110">
        <v>290925</v>
      </c>
      <c r="E7" s="3" t="s">
        <v>352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1300</v>
      </c>
      <c r="O7" s="190"/>
      <c r="P7" s="189"/>
      <c r="Q7" s="190"/>
      <c r="R7" s="113">
        <v>60</v>
      </c>
      <c r="S7" s="6" t="s">
        <v>14</v>
      </c>
      <c r="T7" s="21" t="s">
        <v>343</v>
      </c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13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1300</v>
      </c>
      <c r="O9" s="169"/>
      <c r="P9" s="168">
        <f>SUM(P7:Q8)</f>
        <v>0</v>
      </c>
      <c r="Q9" s="169"/>
      <c r="R9" s="10">
        <f>SUM(R7:R8)</f>
        <v>60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>
        <v>0.33333333333333331</v>
      </c>
      <c r="C10" s="5">
        <v>0.58333333333333337</v>
      </c>
      <c r="D10" s="110">
        <v>131025</v>
      </c>
      <c r="E10" s="3" t="s">
        <v>54</v>
      </c>
      <c r="F10" s="19">
        <v>304</v>
      </c>
      <c r="G10" s="20">
        <v>0.9</v>
      </c>
      <c r="H10" s="186"/>
      <c r="I10" s="187"/>
      <c r="J10" s="187"/>
      <c r="K10" s="187"/>
      <c r="L10" s="187"/>
      <c r="M10" s="188"/>
      <c r="N10" s="189">
        <v>700</v>
      </c>
      <c r="O10" s="190"/>
      <c r="P10" s="189"/>
      <c r="Q10" s="190"/>
      <c r="R10" s="113">
        <v>40</v>
      </c>
      <c r="S10" s="6" t="s">
        <v>14</v>
      </c>
      <c r="T10" s="21" t="s">
        <v>294</v>
      </c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13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700</v>
      </c>
      <c r="O12" s="169"/>
      <c r="P12" s="168">
        <f>SUM(P10:Q11)</f>
        <v>0</v>
      </c>
      <c r="Q12" s="169"/>
      <c r="R12" s="10">
        <f>SUM(R10:R11)</f>
        <v>40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12">
        <f>N9+N12</f>
        <v>2000</v>
      </c>
      <c r="O15" s="14" t="s">
        <v>13</v>
      </c>
      <c r="P15" s="112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0.58333333333333337</v>
      </c>
      <c r="D20" s="110">
        <v>131025</v>
      </c>
      <c r="E20" s="3" t="s">
        <v>54</v>
      </c>
      <c r="F20" s="19">
        <v>304</v>
      </c>
      <c r="G20" s="20">
        <v>0.9</v>
      </c>
      <c r="H20" s="186"/>
      <c r="I20" s="187"/>
      <c r="J20" s="187"/>
      <c r="K20" s="187"/>
      <c r="L20" s="187"/>
      <c r="M20" s="188"/>
      <c r="N20" s="189">
        <v>700</v>
      </c>
      <c r="O20" s="198"/>
      <c r="P20" s="198"/>
      <c r="Q20" s="190"/>
      <c r="R20" s="113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08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13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13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13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700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700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10">
        <v>290925</v>
      </c>
      <c r="E32" s="3" t="s">
        <v>326</v>
      </c>
      <c r="F32" s="19">
        <v>304</v>
      </c>
      <c r="G32" s="20">
        <v>0.9</v>
      </c>
      <c r="H32" s="186"/>
      <c r="I32" s="187"/>
      <c r="J32" s="187"/>
      <c r="K32" s="187"/>
      <c r="L32" s="187"/>
      <c r="M32" s="188"/>
      <c r="N32" s="189">
        <v>540</v>
      </c>
      <c r="O32" s="190"/>
      <c r="P32" s="189"/>
      <c r="Q32" s="190"/>
      <c r="R32" s="113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>
        <v>0.58333333333333337</v>
      </c>
      <c r="D33" s="110">
        <v>290925</v>
      </c>
      <c r="E33" s="3" t="s">
        <v>352</v>
      </c>
      <c r="F33" s="19">
        <v>304</v>
      </c>
      <c r="G33" s="20">
        <v>0.9</v>
      </c>
      <c r="H33" s="186"/>
      <c r="I33" s="187"/>
      <c r="J33" s="187"/>
      <c r="K33" s="187"/>
      <c r="L33" s="187"/>
      <c r="M33" s="188"/>
      <c r="N33" s="189">
        <v>820</v>
      </c>
      <c r="O33" s="190"/>
      <c r="P33" s="189"/>
      <c r="Q33" s="190"/>
      <c r="R33" s="113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13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1360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12">
        <f>N35</f>
        <v>1360</v>
      </c>
      <c r="O38" s="14" t="s">
        <v>13</v>
      </c>
      <c r="P38" s="112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10">
        <v>290925</v>
      </c>
      <c r="E43" s="3" t="s">
        <v>326</v>
      </c>
      <c r="F43" s="19">
        <v>304</v>
      </c>
      <c r="G43" s="20">
        <v>0.9</v>
      </c>
      <c r="H43" s="186"/>
      <c r="I43" s="187"/>
      <c r="J43" s="187"/>
      <c r="K43" s="187"/>
      <c r="L43" s="187"/>
      <c r="M43" s="188"/>
      <c r="N43" s="189">
        <v>700</v>
      </c>
      <c r="O43" s="198"/>
      <c r="P43" s="198"/>
      <c r="Q43" s="190"/>
      <c r="R43" s="113">
        <v>45</v>
      </c>
      <c r="S43" s="6" t="s">
        <v>14</v>
      </c>
      <c r="T43" s="21" t="s">
        <v>77</v>
      </c>
      <c r="U43" s="191"/>
      <c r="V43" s="192"/>
      <c r="W43" s="193"/>
    </row>
    <row r="44" spans="1:23" ht="14.55" customHeight="1" x14ac:dyDescent="0.3">
      <c r="A44" s="184"/>
      <c r="B44" s="5"/>
      <c r="C44" s="5">
        <v>0.58333333333333337</v>
      </c>
      <c r="D44" s="110">
        <v>131025</v>
      </c>
      <c r="E44" s="3" t="s">
        <v>54</v>
      </c>
      <c r="F44" s="19">
        <v>304</v>
      </c>
      <c r="G44" s="20">
        <v>0.9</v>
      </c>
      <c r="H44" s="186"/>
      <c r="I44" s="187"/>
      <c r="J44" s="187"/>
      <c r="K44" s="187"/>
      <c r="L44" s="187"/>
      <c r="M44" s="188"/>
      <c r="N44" s="189">
        <v>10</v>
      </c>
      <c r="O44" s="198"/>
      <c r="P44" s="198"/>
      <c r="Q44" s="190"/>
      <c r="R44" s="113">
        <v>45</v>
      </c>
      <c r="S44" s="6" t="s">
        <v>14</v>
      </c>
      <c r="T44" s="21" t="s">
        <v>77</v>
      </c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13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710</v>
      </c>
      <c r="O46" s="197"/>
      <c r="P46" s="197"/>
      <c r="Q46" s="169"/>
      <c r="R46" s="10">
        <f>SUM(R43:R45)</f>
        <v>90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710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/>
      <c r="C54" s="5"/>
      <c r="D54" s="108"/>
      <c r="E54" s="3" t="s">
        <v>165</v>
      </c>
      <c r="F54" s="19"/>
      <c r="G54" s="20"/>
      <c r="H54" s="186"/>
      <c r="I54" s="187"/>
      <c r="J54" s="187"/>
      <c r="K54" s="187"/>
      <c r="L54" s="187"/>
      <c r="M54" s="188"/>
      <c r="N54" s="189"/>
      <c r="O54" s="198"/>
      <c r="P54" s="198"/>
      <c r="Q54" s="190"/>
      <c r="R54" s="113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13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13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>
        <v>0.58333333333333337</v>
      </c>
      <c r="D65" s="110" t="s">
        <v>205</v>
      </c>
      <c r="E65" s="3" t="s">
        <v>353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570</v>
      </c>
      <c r="O65" s="198"/>
      <c r="P65" s="198"/>
      <c r="Q65" s="190"/>
      <c r="R65" s="113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13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13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570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570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73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30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7</v>
      </c>
      <c r="O75" s="177"/>
      <c r="P75" s="177" t="s">
        <v>74</v>
      </c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>
        <v>0.33333333333333331</v>
      </c>
      <c r="C76" s="5"/>
      <c r="D76" s="108" t="s">
        <v>205</v>
      </c>
      <c r="E76" s="3" t="s">
        <v>354</v>
      </c>
      <c r="F76" s="19">
        <v>304</v>
      </c>
      <c r="G76" s="20">
        <v>0.9</v>
      </c>
      <c r="H76" s="186" t="s">
        <v>122</v>
      </c>
      <c r="I76" s="187"/>
      <c r="J76" s="187"/>
      <c r="K76" s="187"/>
      <c r="L76" s="187"/>
      <c r="M76" s="188"/>
      <c r="N76" s="189">
        <v>331</v>
      </c>
      <c r="O76" s="190"/>
      <c r="P76" s="189"/>
      <c r="Q76" s="190"/>
      <c r="R76" s="113"/>
      <c r="S76" s="91" t="s">
        <v>14</v>
      </c>
      <c r="T76" s="21"/>
      <c r="U76" s="191"/>
      <c r="V76" s="192"/>
      <c r="W76" s="193"/>
    </row>
    <row r="77" spans="1:23" ht="14.55" customHeight="1" x14ac:dyDescent="0.3">
      <c r="A77" s="184"/>
      <c r="B77" s="5"/>
      <c r="C77" s="5"/>
      <c r="D77" s="108">
        <v>160925</v>
      </c>
      <c r="E77" s="3" t="s">
        <v>325</v>
      </c>
      <c r="F77" s="19">
        <v>304</v>
      </c>
      <c r="G77" s="20">
        <v>0.9</v>
      </c>
      <c r="H77" s="186" t="s">
        <v>122</v>
      </c>
      <c r="I77" s="187"/>
      <c r="J77" s="187"/>
      <c r="K77" s="187"/>
      <c r="L77" s="187"/>
      <c r="M77" s="188"/>
      <c r="N77" s="189">
        <v>250</v>
      </c>
      <c r="O77" s="190"/>
      <c r="P77" s="189"/>
      <c r="Q77" s="190"/>
      <c r="R77" s="113"/>
      <c r="S77" s="6" t="s">
        <v>14</v>
      </c>
      <c r="T77" s="21"/>
      <c r="U77" s="191"/>
      <c r="V77" s="192"/>
      <c r="W77" s="193"/>
    </row>
    <row r="78" spans="1:23" ht="14.55" customHeight="1" x14ac:dyDescent="0.3">
      <c r="A78" s="184"/>
      <c r="B78" s="5"/>
      <c r="C78" s="5"/>
      <c r="D78" s="108" t="s">
        <v>205</v>
      </c>
      <c r="E78" s="3" t="s">
        <v>355</v>
      </c>
      <c r="F78" s="19">
        <v>304</v>
      </c>
      <c r="G78" s="20">
        <v>0.9</v>
      </c>
      <c r="H78" s="186" t="s">
        <v>122</v>
      </c>
      <c r="I78" s="187"/>
      <c r="J78" s="187"/>
      <c r="K78" s="187"/>
      <c r="L78" s="187"/>
      <c r="M78" s="188"/>
      <c r="N78" s="189">
        <v>57</v>
      </c>
      <c r="O78" s="190"/>
      <c r="P78" s="189"/>
      <c r="Q78" s="190"/>
      <c r="R78" s="113"/>
      <c r="S78" s="6" t="s">
        <v>14</v>
      </c>
      <c r="T78" s="21"/>
      <c r="U78" s="191"/>
      <c r="V78" s="192"/>
      <c r="W78" s="193"/>
    </row>
    <row r="79" spans="1:23" ht="14.55" customHeight="1" x14ac:dyDescent="0.3">
      <c r="A79" s="184"/>
      <c r="B79" s="5"/>
      <c r="C79" s="5">
        <v>0.58333333333333337</v>
      </c>
      <c r="D79" s="108" t="s">
        <v>205</v>
      </c>
      <c r="E79" s="3" t="s">
        <v>299</v>
      </c>
      <c r="F79" s="19">
        <v>304</v>
      </c>
      <c r="G79" s="20">
        <v>0.9</v>
      </c>
      <c r="H79" s="186" t="s">
        <v>122</v>
      </c>
      <c r="I79" s="187"/>
      <c r="J79" s="187"/>
      <c r="K79" s="187"/>
      <c r="L79" s="187"/>
      <c r="M79" s="188"/>
      <c r="N79" s="189">
        <v>57</v>
      </c>
      <c r="O79" s="190"/>
      <c r="P79" s="189"/>
      <c r="Q79" s="190"/>
      <c r="R79" s="113"/>
      <c r="S79" s="6" t="s">
        <v>14</v>
      </c>
      <c r="T79" s="21"/>
      <c r="U79" s="191"/>
      <c r="V79" s="192"/>
      <c r="W79" s="193"/>
    </row>
    <row r="80" spans="1:23" ht="14.55" customHeight="1" x14ac:dyDescent="0.3">
      <c r="A80" s="184"/>
      <c r="B80" s="5"/>
      <c r="C80" s="5"/>
      <c r="D80" s="108"/>
      <c r="E80" s="3"/>
      <c r="F80" s="19"/>
      <c r="G80" s="20"/>
      <c r="H80" s="186"/>
      <c r="I80" s="187"/>
      <c r="J80" s="187"/>
      <c r="K80" s="187"/>
      <c r="L80" s="187"/>
      <c r="M80" s="188"/>
      <c r="N80" s="189"/>
      <c r="O80" s="190"/>
      <c r="P80" s="189"/>
      <c r="Q80" s="190"/>
      <c r="R80" s="113"/>
      <c r="S80" s="6" t="s">
        <v>14</v>
      </c>
      <c r="T80" s="21"/>
      <c r="U80" s="191"/>
      <c r="V80" s="192"/>
      <c r="W80" s="193"/>
    </row>
    <row r="81" spans="1:23" ht="14.55" customHeight="1" x14ac:dyDescent="0.3">
      <c r="A81" s="185"/>
      <c r="B81" s="165" t="s">
        <v>0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8">
        <f>SUM(N76:O80)</f>
        <v>695</v>
      </c>
      <c r="O81" s="197"/>
      <c r="P81" s="168">
        <f ca="1">SUM(P76:Q81)</f>
        <v>0</v>
      </c>
      <c r="Q81" s="197"/>
      <c r="R81" s="10">
        <f>SUM(R76:R80)</f>
        <v>0</v>
      </c>
      <c r="S81" s="11" t="s">
        <v>14</v>
      </c>
      <c r="T81" s="9"/>
      <c r="U81" s="191"/>
      <c r="V81" s="192"/>
      <c r="W81" s="193"/>
    </row>
    <row r="82" spans="1:23" ht="14.55" customHeight="1" x14ac:dyDescent="0.3">
      <c r="D82" s="91"/>
      <c r="E82" s="48"/>
      <c r="F82" s="48"/>
      <c r="G82" s="48"/>
      <c r="H82" s="48"/>
      <c r="I82" s="48"/>
      <c r="R82" s="91"/>
    </row>
    <row r="83" spans="1:23" ht="14.55" customHeight="1" x14ac:dyDescent="0.3">
      <c r="D83" s="91"/>
      <c r="E83" s="165" t="s">
        <v>65</v>
      </c>
      <c r="F83" s="166"/>
      <c r="G83" s="166"/>
      <c r="H83" s="166"/>
      <c r="I83" s="166"/>
      <c r="J83" s="166"/>
      <c r="K83" s="166"/>
      <c r="L83" s="166"/>
      <c r="M83" s="167"/>
      <c r="N83" s="181" t="s">
        <v>7</v>
      </c>
      <c r="O83" s="182"/>
      <c r="P83" s="181" t="s">
        <v>74</v>
      </c>
      <c r="Q83" s="182"/>
      <c r="R83" s="91"/>
    </row>
    <row r="84" spans="1:23" ht="14.55" customHeight="1" x14ac:dyDescent="0.3">
      <c r="D84" s="91"/>
      <c r="E84" s="7"/>
      <c r="F84" s="7"/>
      <c r="G84" s="7"/>
      <c r="H84" s="7"/>
      <c r="I84" s="7"/>
      <c r="J84" s="22"/>
      <c r="K84" s="23"/>
      <c r="L84" s="22"/>
      <c r="M84" s="24"/>
      <c r="N84" s="112">
        <f>N81</f>
        <v>695</v>
      </c>
      <c r="O84" s="14" t="s">
        <v>13</v>
      </c>
      <c r="P84" s="112">
        <f ca="1">P81</f>
        <v>0</v>
      </c>
      <c r="Q84" s="15" t="s">
        <v>13</v>
      </c>
      <c r="R84" s="91"/>
    </row>
    <row r="85" spans="1:23" x14ac:dyDescent="0.3">
      <c r="P85" s="49"/>
      <c r="Q85" s="49"/>
      <c r="R85" s="49"/>
      <c r="S85" s="32"/>
    </row>
    <row r="86" spans="1:23" s="8" customFormat="1" ht="30" customHeight="1" x14ac:dyDescent="0.3">
      <c r="A86" s="155" t="s">
        <v>29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7"/>
      <c r="Q86" s="157"/>
      <c r="R86" s="157"/>
      <c r="S86" s="157"/>
      <c r="T86" s="156"/>
      <c r="U86" s="156"/>
      <c r="V86" s="156"/>
      <c r="W86" s="158"/>
    </row>
    <row r="87" spans="1:23" s="12" customFormat="1" ht="14.55" customHeight="1" x14ac:dyDescent="0.3">
      <c r="A87" s="159" t="s">
        <v>1</v>
      </c>
      <c r="B87" s="160" t="s">
        <v>2</v>
      </c>
      <c r="C87" s="160" t="s">
        <v>3</v>
      </c>
      <c r="D87" s="160" t="s">
        <v>4</v>
      </c>
      <c r="E87" s="161" t="s">
        <v>5</v>
      </c>
      <c r="F87" s="163" t="s">
        <v>15</v>
      </c>
      <c r="G87" s="163" t="s">
        <v>16</v>
      </c>
      <c r="H87" s="170" t="s">
        <v>30</v>
      </c>
      <c r="I87" s="171"/>
      <c r="J87" s="171"/>
      <c r="K87" s="171"/>
      <c r="L87" s="171"/>
      <c r="M87" s="172"/>
      <c r="N87" s="176" t="s">
        <v>6</v>
      </c>
      <c r="O87" s="177"/>
      <c r="P87" s="177"/>
      <c r="Q87" s="178"/>
      <c r="R87" s="161" t="s">
        <v>8</v>
      </c>
      <c r="S87" s="179"/>
      <c r="T87" s="159" t="s">
        <v>9</v>
      </c>
      <c r="U87" s="159" t="s">
        <v>10</v>
      </c>
      <c r="V87" s="159"/>
      <c r="W87" s="159"/>
    </row>
    <row r="88" spans="1:23" s="12" customFormat="1" ht="13.05" customHeight="1" x14ac:dyDescent="0.3">
      <c r="A88" s="159"/>
      <c r="B88" s="160"/>
      <c r="C88" s="160"/>
      <c r="D88" s="160"/>
      <c r="E88" s="162"/>
      <c r="F88" s="164"/>
      <c r="G88" s="164"/>
      <c r="H88" s="173"/>
      <c r="I88" s="174"/>
      <c r="J88" s="174"/>
      <c r="K88" s="174"/>
      <c r="L88" s="174"/>
      <c r="M88" s="175"/>
      <c r="N88" s="176" t="s">
        <v>7</v>
      </c>
      <c r="O88" s="177"/>
      <c r="P88" s="177"/>
      <c r="Q88" s="178"/>
      <c r="R88" s="162"/>
      <c r="S88" s="180"/>
      <c r="T88" s="159"/>
      <c r="U88" s="159"/>
      <c r="V88" s="159"/>
      <c r="W88" s="159"/>
    </row>
    <row r="89" spans="1:23" ht="14.55" customHeight="1" x14ac:dyDescent="0.3">
      <c r="A89" s="183" t="s">
        <v>49</v>
      </c>
      <c r="B89" s="5">
        <v>0.33333333333333331</v>
      </c>
      <c r="C89" s="5"/>
      <c r="D89" s="108">
        <v>250074</v>
      </c>
      <c r="E89" s="3" t="s">
        <v>356</v>
      </c>
      <c r="F89" s="19">
        <v>304</v>
      </c>
      <c r="G89" s="20" t="s">
        <v>357</v>
      </c>
      <c r="H89" s="186" t="s">
        <v>87</v>
      </c>
      <c r="I89" s="187"/>
      <c r="J89" s="187"/>
      <c r="K89" s="187"/>
      <c r="L89" s="187"/>
      <c r="M89" s="188"/>
      <c r="N89" s="189">
        <v>322</v>
      </c>
      <c r="O89" s="198"/>
      <c r="P89" s="198"/>
      <c r="Q89" s="190"/>
      <c r="R89" s="113"/>
      <c r="S89" s="91" t="s">
        <v>14</v>
      </c>
      <c r="T89" s="21"/>
      <c r="U89" s="204"/>
      <c r="V89" s="205"/>
      <c r="W89" s="206"/>
    </row>
    <row r="90" spans="1:23" ht="14.55" customHeight="1" x14ac:dyDescent="0.3">
      <c r="A90" s="184"/>
      <c r="B90" s="5"/>
      <c r="C90" s="5"/>
      <c r="D90" s="108" t="s">
        <v>205</v>
      </c>
      <c r="E90" s="3" t="s">
        <v>358</v>
      </c>
      <c r="F90" s="19">
        <v>304</v>
      </c>
      <c r="G90" s="20">
        <v>0.9</v>
      </c>
      <c r="H90" s="186" t="s">
        <v>87</v>
      </c>
      <c r="I90" s="187"/>
      <c r="J90" s="187"/>
      <c r="K90" s="187"/>
      <c r="L90" s="187"/>
      <c r="M90" s="188"/>
      <c r="N90" s="189">
        <v>600</v>
      </c>
      <c r="O90" s="198"/>
      <c r="P90" s="198"/>
      <c r="Q90" s="190"/>
      <c r="R90" s="113"/>
      <c r="S90" s="6" t="s">
        <v>14</v>
      </c>
      <c r="T90" s="21"/>
      <c r="U90" s="204"/>
      <c r="V90" s="205"/>
      <c r="W90" s="206"/>
    </row>
    <row r="91" spans="1:23" ht="14.55" customHeight="1" x14ac:dyDescent="0.3">
      <c r="A91" s="184"/>
      <c r="B91" s="5"/>
      <c r="C91" s="5">
        <v>0.58333333333333337</v>
      </c>
      <c r="D91" s="108" t="s">
        <v>205</v>
      </c>
      <c r="E91" s="3" t="s">
        <v>359</v>
      </c>
      <c r="F91" s="19">
        <v>304</v>
      </c>
      <c r="G91" s="20">
        <v>0.9</v>
      </c>
      <c r="H91" s="186" t="s">
        <v>87</v>
      </c>
      <c r="I91" s="187"/>
      <c r="J91" s="187"/>
      <c r="K91" s="187"/>
      <c r="L91" s="187"/>
      <c r="M91" s="188"/>
      <c r="N91" s="189">
        <v>288</v>
      </c>
      <c r="O91" s="198"/>
      <c r="P91" s="198"/>
      <c r="Q91" s="190"/>
      <c r="R91" s="113"/>
      <c r="S91" s="6" t="s">
        <v>14</v>
      </c>
      <c r="T91" s="21"/>
      <c r="U91" s="204"/>
      <c r="V91" s="205"/>
      <c r="W91" s="206"/>
    </row>
    <row r="92" spans="1:23" ht="14.55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8"/>
      <c r="P92" s="198"/>
      <c r="Q92" s="190"/>
      <c r="R92" s="113"/>
      <c r="S92" s="6" t="s">
        <v>14</v>
      </c>
      <c r="T92" s="21"/>
      <c r="U92" s="204"/>
      <c r="V92" s="205"/>
      <c r="W92" s="206"/>
    </row>
    <row r="93" spans="1:23" ht="14.55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8"/>
      <c r="P93" s="198"/>
      <c r="Q93" s="190"/>
      <c r="R93" s="113"/>
      <c r="S93" s="6" t="s">
        <v>14</v>
      </c>
      <c r="T93" s="21"/>
      <c r="U93" s="204"/>
      <c r="V93" s="205"/>
      <c r="W93" s="206"/>
    </row>
    <row r="94" spans="1:23" ht="14.55" customHeight="1" x14ac:dyDescent="0.3">
      <c r="A94" s="185"/>
      <c r="B94" s="165" t="s">
        <v>0</v>
      </c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7"/>
      <c r="N94" s="168">
        <f>SUM(N89:O93)</f>
        <v>1210</v>
      </c>
      <c r="O94" s="197"/>
      <c r="P94" s="197"/>
      <c r="Q94" s="169"/>
      <c r="R94" s="10">
        <f>SUM(R89:R93)</f>
        <v>0</v>
      </c>
      <c r="S94" s="11" t="s">
        <v>14</v>
      </c>
      <c r="T94" s="9"/>
      <c r="U94" s="204"/>
      <c r="V94" s="205"/>
      <c r="W94" s="206"/>
    </row>
    <row r="95" spans="1:23" ht="14.55" customHeight="1" x14ac:dyDescent="0.3">
      <c r="D95" s="91"/>
      <c r="E95" s="48"/>
      <c r="F95" s="48"/>
      <c r="G95" s="48"/>
      <c r="H95" s="48"/>
      <c r="I95" s="48"/>
      <c r="R95" s="91"/>
    </row>
    <row r="96" spans="1:23" ht="14.55" customHeight="1" x14ac:dyDescent="0.3">
      <c r="D96" s="91"/>
      <c r="E96" s="165" t="s">
        <v>33</v>
      </c>
      <c r="F96" s="166"/>
      <c r="G96" s="166"/>
      <c r="H96" s="166"/>
      <c r="I96" s="166"/>
      <c r="J96" s="166"/>
      <c r="K96" s="166"/>
      <c r="L96" s="166"/>
      <c r="M96" s="167"/>
      <c r="N96" s="181" t="s">
        <v>7</v>
      </c>
      <c r="O96" s="199"/>
      <c r="P96" s="199"/>
      <c r="Q96" s="182"/>
      <c r="R96" s="91"/>
    </row>
    <row r="97" spans="4:18" ht="14.55" customHeight="1" x14ac:dyDescent="0.3">
      <c r="D97" s="91"/>
      <c r="E97" s="7"/>
      <c r="F97" s="7"/>
      <c r="G97" s="7"/>
      <c r="H97" s="7"/>
      <c r="I97" s="7"/>
      <c r="J97" s="22"/>
      <c r="K97" s="23"/>
      <c r="L97" s="22"/>
      <c r="M97" s="24"/>
      <c r="N97" s="200">
        <f>N94</f>
        <v>1210</v>
      </c>
      <c r="O97" s="201"/>
      <c r="P97" s="202" t="s">
        <v>13</v>
      </c>
      <c r="Q97" s="203"/>
      <c r="R97" s="91"/>
    </row>
  </sheetData>
  <mergeCells count="258">
    <mergeCell ref="N97:O97"/>
    <mergeCell ref="P97:Q97"/>
    <mergeCell ref="H91:M91"/>
    <mergeCell ref="N91:Q91"/>
    <mergeCell ref="H92:M92"/>
    <mergeCell ref="N92:Q92"/>
    <mergeCell ref="H93:M93"/>
    <mergeCell ref="N93:Q93"/>
    <mergeCell ref="A89:A94"/>
    <mergeCell ref="H89:M89"/>
    <mergeCell ref="N89:Q89"/>
    <mergeCell ref="U89:W94"/>
    <mergeCell ref="H90:M90"/>
    <mergeCell ref="N90:Q90"/>
    <mergeCell ref="B94:M94"/>
    <mergeCell ref="N94:Q94"/>
    <mergeCell ref="E96:M96"/>
    <mergeCell ref="N96:Q96"/>
    <mergeCell ref="A86:W86"/>
    <mergeCell ref="A87:A88"/>
    <mergeCell ref="B87:B88"/>
    <mergeCell ref="C87:C88"/>
    <mergeCell ref="D87:D88"/>
    <mergeCell ref="E87:E88"/>
    <mergeCell ref="F87:F88"/>
    <mergeCell ref="G87:G88"/>
    <mergeCell ref="H87:M88"/>
    <mergeCell ref="N87:Q87"/>
    <mergeCell ref="R87:S88"/>
    <mergeCell ref="T87:T88"/>
    <mergeCell ref="U87:W88"/>
    <mergeCell ref="N88:Q88"/>
    <mergeCell ref="N75:O75"/>
    <mergeCell ref="P75:Q75"/>
    <mergeCell ref="B81:M81"/>
    <mergeCell ref="N81:O81"/>
    <mergeCell ref="P81:Q81"/>
    <mergeCell ref="E83:M83"/>
    <mergeCell ref="N83:O83"/>
    <mergeCell ref="P83:Q83"/>
    <mergeCell ref="H79:M79"/>
    <mergeCell ref="N79:O79"/>
    <mergeCell ref="P79:Q79"/>
    <mergeCell ref="H80:M80"/>
    <mergeCell ref="N80:O80"/>
    <mergeCell ref="P80:Q80"/>
    <mergeCell ref="A76:A81"/>
    <mergeCell ref="H76:M76"/>
    <mergeCell ref="N76:O76"/>
    <mergeCell ref="P76:Q76"/>
    <mergeCell ref="U76:W81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H77:M77"/>
    <mergeCell ref="N77:O77"/>
    <mergeCell ref="P77:Q77"/>
    <mergeCell ref="H78:M78"/>
    <mergeCell ref="N78:O78"/>
    <mergeCell ref="P78:Q78"/>
    <mergeCell ref="R74:S75"/>
    <mergeCell ref="T74:T75"/>
    <mergeCell ref="U74:W75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T18:T19"/>
    <mergeCell ref="U18:W19"/>
    <mergeCell ref="N19:Q19"/>
    <mergeCell ref="B24:M24"/>
    <mergeCell ref="N24:Q24"/>
    <mergeCell ref="E14:M14"/>
    <mergeCell ref="N14:O14"/>
    <mergeCell ref="P14:Q14"/>
    <mergeCell ref="A17:W17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A10:A12"/>
    <mergeCell ref="H10:M10"/>
    <mergeCell ref="N10:O10"/>
    <mergeCell ref="P10:Q10"/>
    <mergeCell ref="A7:A9"/>
    <mergeCell ref="H7:M7"/>
    <mergeCell ref="N7:O7"/>
    <mergeCell ref="P7:Q7"/>
    <mergeCell ref="U7:W9"/>
    <mergeCell ref="H8:M8"/>
    <mergeCell ref="N8:O8"/>
    <mergeCell ref="P8:Q8"/>
    <mergeCell ref="U10:W12"/>
    <mergeCell ref="H11:M11"/>
    <mergeCell ref="N11:O11"/>
    <mergeCell ref="P11:Q11"/>
    <mergeCell ref="B12:M12"/>
    <mergeCell ref="N12:O12"/>
    <mergeCell ref="P12:Q12"/>
    <mergeCell ref="B9:M9"/>
    <mergeCell ref="N9:O9"/>
    <mergeCell ref="P9:Q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4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6"/>
  <sheetViews>
    <sheetView topLeftCell="A49" zoomScale="85" zoomScaleNormal="85" workbookViewId="0">
      <selection activeCell="G49" sqref="G4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0.6640625" style="9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45950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10">
        <v>290925</v>
      </c>
      <c r="E7" s="3" t="s">
        <v>352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1100</v>
      </c>
      <c r="O7" s="190"/>
      <c r="P7" s="189"/>
      <c r="Q7" s="190"/>
      <c r="R7" s="120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110">
        <v>290925</v>
      </c>
      <c r="E8" s="3" t="s">
        <v>360</v>
      </c>
      <c r="F8" s="19">
        <v>304</v>
      </c>
      <c r="G8" s="20">
        <v>0.9</v>
      </c>
      <c r="H8" s="186"/>
      <c r="I8" s="187"/>
      <c r="J8" s="187"/>
      <c r="K8" s="187"/>
      <c r="L8" s="187"/>
      <c r="M8" s="188"/>
      <c r="N8" s="189">
        <v>1000</v>
      </c>
      <c r="O8" s="190"/>
      <c r="P8" s="189"/>
      <c r="Q8" s="190"/>
      <c r="R8" s="120">
        <v>15</v>
      </c>
      <c r="S8" s="6" t="s">
        <v>14</v>
      </c>
      <c r="T8" s="21" t="s">
        <v>343</v>
      </c>
      <c r="U8" s="194"/>
      <c r="V8" s="195"/>
      <c r="W8" s="196"/>
    </row>
    <row r="9" spans="1:23" ht="14.55" customHeight="1" x14ac:dyDescent="0.3">
      <c r="A9" s="184"/>
      <c r="B9" s="5"/>
      <c r="C9" s="5"/>
      <c r="D9" s="108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120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2100</v>
      </c>
      <c r="O10" s="169"/>
      <c r="P10" s="168">
        <f>SUM(P7:Q9)</f>
        <v>0</v>
      </c>
      <c r="Q10" s="169"/>
      <c r="R10" s="10">
        <f>SUM(R7:R9)</f>
        <v>60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2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108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20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108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20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19">
        <f>N10+N14</f>
        <v>2100</v>
      </c>
      <c r="O17" s="14" t="s">
        <v>13</v>
      </c>
      <c r="P17" s="119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110">
        <v>290925</v>
      </c>
      <c r="E22" s="3" t="s">
        <v>352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2375</v>
      </c>
      <c r="O22" s="198"/>
      <c r="P22" s="198"/>
      <c r="Q22" s="190"/>
      <c r="R22" s="12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2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108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20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108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20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2375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2375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>
        <v>0.70833333333333337</v>
      </c>
      <c r="D34" s="110">
        <v>290925</v>
      </c>
      <c r="E34" s="3" t="s">
        <v>352</v>
      </c>
      <c r="F34" s="19">
        <v>304</v>
      </c>
      <c r="G34" s="20">
        <v>0.9</v>
      </c>
      <c r="H34" s="186" t="s">
        <v>361</v>
      </c>
      <c r="I34" s="187"/>
      <c r="J34" s="187"/>
      <c r="K34" s="187"/>
      <c r="L34" s="187"/>
      <c r="M34" s="188"/>
      <c r="N34" s="189">
        <v>2000</v>
      </c>
      <c r="O34" s="190"/>
      <c r="P34" s="189"/>
      <c r="Q34" s="190"/>
      <c r="R34" s="12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/>
      <c r="D35" s="108"/>
      <c r="E35" s="3"/>
      <c r="F35" s="19"/>
      <c r="G35" s="20"/>
      <c r="H35" s="186"/>
      <c r="I35" s="187"/>
      <c r="J35" s="187"/>
      <c r="K35" s="187"/>
      <c r="L35" s="187"/>
      <c r="M35" s="188"/>
      <c r="N35" s="189"/>
      <c r="O35" s="190"/>
      <c r="P35" s="189"/>
      <c r="Q35" s="190"/>
      <c r="R35" s="120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108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120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19">
        <f>N37</f>
        <v>2000</v>
      </c>
      <c r="O40" s="14" t="s">
        <v>13</v>
      </c>
      <c r="P40" s="119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110">
        <v>290925</v>
      </c>
      <c r="E45" s="3" t="s">
        <v>326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1770</v>
      </c>
      <c r="O45" s="198"/>
      <c r="P45" s="198"/>
      <c r="Q45" s="190"/>
      <c r="R45" s="120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110">
        <v>290925</v>
      </c>
      <c r="E46" s="3" t="s">
        <v>352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250</v>
      </c>
      <c r="O46" s="198"/>
      <c r="P46" s="198"/>
      <c r="Q46" s="190"/>
      <c r="R46" s="120">
        <v>40</v>
      </c>
      <c r="S46" s="6" t="s">
        <v>14</v>
      </c>
      <c r="T46" s="21" t="s">
        <v>77</v>
      </c>
      <c r="U46" s="191"/>
      <c r="V46" s="192"/>
      <c r="W46" s="193"/>
    </row>
    <row r="47" spans="1:23" ht="14.55" customHeight="1" x14ac:dyDescent="0.3">
      <c r="A47" s="184"/>
      <c r="B47" s="5"/>
      <c r="C47" s="5"/>
      <c r="D47" s="108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20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2020</v>
      </c>
      <c r="O48" s="197"/>
      <c r="P48" s="197"/>
      <c r="Q48" s="169"/>
      <c r="R48" s="10">
        <f>SUM(R45:R47)</f>
        <v>40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2020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>
        <v>0.70833333333333337</v>
      </c>
      <c r="D56" s="110">
        <v>290925</v>
      </c>
      <c r="E56" s="3" t="s">
        <v>326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1850</v>
      </c>
      <c r="O56" s="198"/>
      <c r="P56" s="198"/>
      <c r="Q56" s="190"/>
      <c r="R56" s="12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/>
      <c r="D57" s="108"/>
      <c r="E57" s="3"/>
      <c r="F57" s="19"/>
      <c r="G57" s="20"/>
      <c r="H57" s="186"/>
      <c r="I57" s="187"/>
      <c r="J57" s="187"/>
      <c r="K57" s="187"/>
      <c r="L57" s="187"/>
      <c r="M57" s="188"/>
      <c r="N57" s="189"/>
      <c r="O57" s="198"/>
      <c r="P57" s="198"/>
      <c r="Q57" s="190"/>
      <c r="R57" s="120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108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20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1850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1850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348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24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351</v>
      </c>
      <c r="O66" s="177"/>
      <c r="P66" s="177"/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69</v>
      </c>
      <c r="B67" s="5">
        <v>0.33333333333333331</v>
      </c>
      <c r="C67" s="5">
        <v>0.70833333333333337</v>
      </c>
      <c r="D67" s="110">
        <v>160925</v>
      </c>
      <c r="E67" s="3" t="s">
        <v>362</v>
      </c>
      <c r="F67" s="19">
        <v>304</v>
      </c>
      <c r="G67" s="20">
        <v>0.6</v>
      </c>
      <c r="H67" s="186"/>
      <c r="I67" s="187"/>
      <c r="J67" s="187"/>
      <c r="K67" s="187"/>
      <c r="L67" s="187"/>
      <c r="M67" s="188"/>
      <c r="N67" s="189">
        <v>1300</v>
      </c>
      <c r="O67" s="198"/>
      <c r="P67" s="198"/>
      <c r="Q67" s="190"/>
      <c r="R67" s="120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4"/>
      <c r="B68" s="5"/>
      <c r="C68" s="5"/>
      <c r="D68" s="110"/>
      <c r="E68" s="3"/>
      <c r="F68" s="19"/>
      <c r="G68" s="20"/>
      <c r="H68" s="186"/>
      <c r="I68" s="187"/>
      <c r="J68" s="187"/>
      <c r="K68" s="187"/>
      <c r="L68" s="187"/>
      <c r="M68" s="188"/>
      <c r="N68" s="189"/>
      <c r="O68" s="198"/>
      <c r="P68" s="198"/>
      <c r="Q68" s="190"/>
      <c r="R68" s="120"/>
      <c r="S68" s="6" t="s">
        <v>14</v>
      </c>
      <c r="T68" s="21"/>
      <c r="U68" s="204"/>
      <c r="V68" s="205"/>
      <c r="W68" s="206"/>
    </row>
    <row r="69" spans="1:23" ht="14.55" customHeight="1" x14ac:dyDescent="0.3">
      <c r="A69" s="184"/>
      <c r="B69" s="5"/>
      <c r="C69" s="5"/>
      <c r="D69" s="108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8"/>
      <c r="P69" s="198"/>
      <c r="Q69" s="190"/>
      <c r="R69" s="120"/>
      <c r="S69" s="6" t="s">
        <v>14</v>
      </c>
      <c r="T69" s="21"/>
      <c r="U69" s="204"/>
      <c r="V69" s="205"/>
      <c r="W69" s="206"/>
    </row>
    <row r="70" spans="1:23" ht="14.55" customHeight="1" x14ac:dyDescent="0.3">
      <c r="A70" s="185"/>
      <c r="B70" s="165" t="s">
        <v>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8">
        <f>SUM(N67:O69)</f>
        <v>1300</v>
      </c>
      <c r="O70" s="197"/>
      <c r="P70" s="197"/>
      <c r="Q70" s="169"/>
      <c r="R70" s="10">
        <f>SUM(R67:R69)</f>
        <v>0</v>
      </c>
      <c r="S70" s="11" t="s">
        <v>14</v>
      </c>
      <c r="T70" s="9"/>
      <c r="U70" s="204"/>
      <c r="V70" s="205"/>
      <c r="W70" s="206"/>
    </row>
    <row r="71" spans="1:23" ht="14.55" customHeight="1" x14ac:dyDescent="0.3">
      <c r="D71" s="91"/>
      <c r="E71" s="48"/>
      <c r="F71" s="48"/>
      <c r="G71" s="48"/>
      <c r="H71" s="48"/>
      <c r="I71" s="48"/>
      <c r="R71" s="91"/>
    </row>
    <row r="72" spans="1:23" ht="14.55" customHeight="1" x14ac:dyDescent="0.3">
      <c r="D72" s="91"/>
      <c r="E72" s="165" t="s">
        <v>349</v>
      </c>
      <c r="F72" s="166"/>
      <c r="G72" s="166"/>
      <c r="H72" s="166"/>
      <c r="I72" s="166"/>
      <c r="J72" s="166"/>
      <c r="K72" s="166"/>
      <c r="L72" s="166"/>
      <c r="M72" s="167"/>
      <c r="N72" s="181" t="s">
        <v>350</v>
      </c>
      <c r="O72" s="199"/>
      <c r="P72" s="199"/>
      <c r="Q72" s="182"/>
      <c r="R72" s="91"/>
    </row>
    <row r="73" spans="1:23" ht="14.55" customHeight="1" x14ac:dyDescent="0.3">
      <c r="D73" s="91"/>
      <c r="E73" s="7"/>
      <c r="F73" s="7"/>
      <c r="G73" s="7"/>
      <c r="H73" s="7"/>
      <c r="I73" s="7"/>
      <c r="J73" s="22"/>
      <c r="K73" s="23"/>
      <c r="L73" s="22"/>
      <c r="M73" s="24"/>
      <c r="N73" s="200">
        <f>N70</f>
        <v>1300</v>
      </c>
      <c r="O73" s="201"/>
      <c r="P73" s="202" t="s">
        <v>13</v>
      </c>
      <c r="Q73" s="203"/>
      <c r="R73" s="91"/>
    </row>
    <row r="74" spans="1:23" ht="14.55" customHeight="1" x14ac:dyDescent="0.3">
      <c r="D74" s="91"/>
      <c r="E74" s="48"/>
      <c r="F74" s="48"/>
      <c r="G74" s="48"/>
      <c r="H74" s="48"/>
      <c r="I74" s="48"/>
      <c r="P74" s="49"/>
      <c r="Q74" s="49"/>
      <c r="R74" s="32"/>
      <c r="S74" s="32"/>
    </row>
    <row r="75" spans="1:23" s="8" customFormat="1" ht="30" customHeight="1" x14ac:dyDescent="0.3">
      <c r="A75" s="155" t="s">
        <v>370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57"/>
      <c r="R75" s="157"/>
      <c r="S75" s="157"/>
      <c r="T75" s="156"/>
      <c r="U75" s="156"/>
      <c r="V75" s="156"/>
      <c r="W75" s="158"/>
    </row>
    <row r="76" spans="1:23" s="12" customFormat="1" ht="14.55" customHeight="1" x14ac:dyDescent="0.3">
      <c r="A76" s="159" t="s">
        <v>1</v>
      </c>
      <c r="B76" s="160" t="s">
        <v>2</v>
      </c>
      <c r="C76" s="160" t="s">
        <v>3</v>
      </c>
      <c r="D76" s="160" t="s">
        <v>4</v>
      </c>
      <c r="E76" s="161" t="s">
        <v>5</v>
      </c>
      <c r="F76" s="163" t="s">
        <v>15</v>
      </c>
      <c r="G76" s="163" t="s">
        <v>16</v>
      </c>
      <c r="H76" s="170" t="s">
        <v>24</v>
      </c>
      <c r="I76" s="171"/>
      <c r="J76" s="171"/>
      <c r="K76" s="171"/>
      <c r="L76" s="171"/>
      <c r="M76" s="172"/>
      <c r="N76" s="176" t="s">
        <v>6</v>
      </c>
      <c r="O76" s="177"/>
      <c r="P76" s="177"/>
      <c r="Q76" s="178"/>
      <c r="R76" s="161" t="s">
        <v>8</v>
      </c>
      <c r="S76" s="179"/>
      <c r="T76" s="159" t="s">
        <v>9</v>
      </c>
      <c r="U76" s="159" t="s">
        <v>10</v>
      </c>
      <c r="V76" s="159"/>
      <c r="W76" s="159"/>
    </row>
    <row r="77" spans="1:23" s="12" customFormat="1" ht="13.05" customHeight="1" x14ac:dyDescent="0.3">
      <c r="A77" s="159"/>
      <c r="B77" s="160"/>
      <c r="C77" s="160"/>
      <c r="D77" s="160"/>
      <c r="E77" s="162"/>
      <c r="F77" s="164"/>
      <c r="G77" s="164"/>
      <c r="H77" s="173"/>
      <c r="I77" s="174"/>
      <c r="J77" s="174"/>
      <c r="K77" s="174"/>
      <c r="L77" s="174"/>
      <c r="M77" s="175"/>
      <c r="N77" s="176" t="s">
        <v>351</v>
      </c>
      <c r="O77" s="177"/>
      <c r="P77" s="177"/>
      <c r="Q77" s="178"/>
      <c r="R77" s="162"/>
      <c r="S77" s="180"/>
      <c r="T77" s="159"/>
      <c r="U77" s="159"/>
      <c r="V77" s="159"/>
      <c r="W77" s="159"/>
    </row>
    <row r="78" spans="1:23" ht="14.55" customHeight="1" x14ac:dyDescent="0.3">
      <c r="A78" s="183" t="s">
        <v>49</v>
      </c>
      <c r="B78" s="5"/>
      <c r="C78" s="5"/>
      <c r="D78" s="110"/>
      <c r="E78" s="3"/>
      <c r="F78" s="19"/>
      <c r="G78" s="20">
        <v>0.6</v>
      </c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22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4"/>
      <c r="B79" s="5"/>
      <c r="C79" s="5"/>
      <c r="D79" s="110"/>
      <c r="E79" s="3"/>
      <c r="F79" s="19"/>
      <c r="G79" s="20"/>
      <c r="H79" s="186"/>
      <c r="I79" s="187"/>
      <c r="J79" s="187"/>
      <c r="K79" s="187"/>
      <c r="L79" s="187"/>
      <c r="M79" s="188"/>
      <c r="N79" s="189"/>
      <c r="O79" s="198"/>
      <c r="P79" s="198"/>
      <c r="Q79" s="190"/>
      <c r="R79" s="122"/>
      <c r="S79" s="6" t="s">
        <v>14</v>
      </c>
      <c r="T79" s="21"/>
      <c r="U79" s="204"/>
      <c r="V79" s="205"/>
      <c r="W79" s="206"/>
    </row>
    <row r="80" spans="1:23" ht="14.55" customHeight="1" x14ac:dyDescent="0.3">
      <c r="A80" s="184"/>
      <c r="B80" s="5"/>
      <c r="C80" s="5"/>
      <c r="D80" s="108"/>
      <c r="E80" s="3"/>
      <c r="F80" s="19"/>
      <c r="G80" s="20"/>
      <c r="H80" s="186"/>
      <c r="I80" s="187"/>
      <c r="J80" s="187"/>
      <c r="K80" s="187"/>
      <c r="L80" s="187"/>
      <c r="M80" s="188"/>
      <c r="N80" s="189"/>
      <c r="O80" s="198"/>
      <c r="P80" s="198"/>
      <c r="Q80" s="190"/>
      <c r="R80" s="122"/>
      <c r="S80" s="6" t="s">
        <v>14</v>
      </c>
      <c r="T80" s="21"/>
      <c r="U80" s="204"/>
      <c r="V80" s="205"/>
      <c r="W80" s="206"/>
    </row>
    <row r="81" spans="1:23" ht="14.55" customHeight="1" x14ac:dyDescent="0.3">
      <c r="A81" s="185"/>
      <c r="B81" s="165" t="s">
        <v>0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8">
        <f>SUM(N78:O80)</f>
        <v>0</v>
      </c>
      <c r="O81" s="197"/>
      <c r="P81" s="197"/>
      <c r="Q81" s="169"/>
      <c r="R81" s="10">
        <f>SUM(R78:R80)</f>
        <v>0</v>
      </c>
      <c r="S81" s="11" t="s">
        <v>14</v>
      </c>
      <c r="T81" s="9"/>
      <c r="U81" s="204"/>
      <c r="V81" s="205"/>
      <c r="W81" s="206"/>
    </row>
    <row r="82" spans="1:23" ht="14.55" customHeight="1" x14ac:dyDescent="0.3">
      <c r="D82" s="91"/>
      <c r="E82" s="48"/>
      <c r="F82" s="48"/>
      <c r="G82" s="48"/>
      <c r="H82" s="48"/>
      <c r="I82" s="48"/>
      <c r="R82" s="91"/>
    </row>
    <row r="83" spans="1:23" ht="14.55" customHeight="1" x14ac:dyDescent="0.3">
      <c r="D83" s="91"/>
      <c r="E83" s="165" t="s">
        <v>349</v>
      </c>
      <c r="F83" s="166"/>
      <c r="G83" s="166"/>
      <c r="H83" s="166"/>
      <c r="I83" s="166"/>
      <c r="J83" s="166"/>
      <c r="K83" s="166"/>
      <c r="L83" s="166"/>
      <c r="M83" s="167"/>
      <c r="N83" s="181" t="s">
        <v>350</v>
      </c>
      <c r="O83" s="199"/>
      <c r="P83" s="199"/>
      <c r="Q83" s="182"/>
      <c r="R83" s="91"/>
    </row>
    <row r="84" spans="1:23" ht="14.55" customHeight="1" x14ac:dyDescent="0.3">
      <c r="D84" s="91"/>
      <c r="E84" s="7"/>
      <c r="F84" s="7"/>
      <c r="G84" s="7"/>
      <c r="H84" s="7"/>
      <c r="I84" s="7"/>
      <c r="J84" s="22"/>
      <c r="K84" s="23"/>
      <c r="L84" s="22"/>
      <c r="M84" s="24"/>
      <c r="N84" s="200">
        <f>N81</f>
        <v>0</v>
      </c>
      <c r="O84" s="201"/>
      <c r="P84" s="202" t="s">
        <v>13</v>
      </c>
      <c r="Q84" s="203"/>
      <c r="R84" s="91"/>
    </row>
    <row r="85" spans="1:23" ht="14.55" customHeight="1" x14ac:dyDescent="0.3">
      <c r="D85" s="91"/>
      <c r="E85" s="48"/>
      <c r="F85" s="48"/>
      <c r="G85" s="48"/>
      <c r="H85" s="48"/>
      <c r="I85" s="48"/>
      <c r="P85" s="49"/>
      <c r="Q85" s="49"/>
      <c r="R85" s="32"/>
      <c r="S85" s="32"/>
    </row>
    <row r="86" spans="1:23" s="8" customFormat="1" ht="30" customHeight="1" x14ac:dyDescent="0.3">
      <c r="A86" s="155" t="s">
        <v>73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7"/>
      <c r="Q86" s="157"/>
      <c r="R86" s="157"/>
      <c r="S86" s="157"/>
      <c r="T86" s="156"/>
      <c r="U86" s="156"/>
      <c r="V86" s="156"/>
      <c r="W86" s="158"/>
    </row>
    <row r="87" spans="1:23" s="12" customFormat="1" ht="14.55" customHeight="1" x14ac:dyDescent="0.3">
      <c r="A87" s="159" t="s">
        <v>1</v>
      </c>
      <c r="B87" s="160" t="s">
        <v>2</v>
      </c>
      <c r="C87" s="160" t="s">
        <v>3</v>
      </c>
      <c r="D87" s="160" t="s">
        <v>4</v>
      </c>
      <c r="E87" s="161" t="s">
        <v>5</v>
      </c>
      <c r="F87" s="163" t="s">
        <v>15</v>
      </c>
      <c r="G87" s="163" t="s">
        <v>16</v>
      </c>
      <c r="H87" s="170" t="s">
        <v>30</v>
      </c>
      <c r="I87" s="171"/>
      <c r="J87" s="171"/>
      <c r="K87" s="171"/>
      <c r="L87" s="171"/>
      <c r="M87" s="172"/>
      <c r="N87" s="176" t="s">
        <v>6</v>
      </c>
      <c r="O87" s="177"/>
      <c r="P87" s="177"/>
      <c r="Q87" s="178"/>
      <c r="R87" s="161" t="s">
        <v>8</v>
      </c>
      <c r="S87" s="179"/>
      <c r="T87" s="159" t="s">
        <v>9</v>
      </c>
      <c r="U87" s="159" t="s">
        <v>10</v>
      </c>
      <c r="V87" s="159"/>
      <c r="W87" s="159"/>
    </row>
    <row r="88" spans="1:23" s="12" customFormat="1" ht="13.05" customHeight="1" x14ac:dyDescent="0.3">
      <c r="A88" s="159"/>
      <c r="B88" s="160"/>
      <c r="C88" s="160"/>
      <c r="D88" s="160"/>
      <c r="E88" s="162"/>
      <c r="F88" s="164"/>
      <c r="G88" s="164"/>
      <c r="H88" s="173"/>
      <c r="I88" s="174"/>
      <c r="J88" s="174"/>
      <c r="K88" s="174"/>
      <c r="L88" s="174"/>
      <c r="M88" s="175"/>
      <c r="N88" s="176" t="s">
        <v>7</v>
      </c>
      <c r="O88" s="177"/>
      <c r="P88" s="177" t="s">
        <v>74</v>
      </c>
      <c r="Q88" s="178"/>
      <c r="R88" s="162"/>
      <c r="S88" s="180"/>
      <c r="T88" s="159"/>
      <c r="U88" s="159"/>
      <c r="V88" s="159"/>
      <c r="W88" s="159"/>
    </row>
    <row r="89" spans="1:23" ht="14.55" customHeight="1" x14ac:dyDescent="0.3">
      <c r="A89" s="183" t="s">
        <v>49</v>
      </c>
      <c r="B89" s="5">
        <v>0.33333333333333331</v>
      </c>
      <c r="C89" s="5"/>
      <c r="D89" s="108">
        <v>160925</v>
      </c>
      <c r="E89" s="3" t="s">
        <v>331</v>
      </c>
      <c r="F89" s="19">
        <v>304</v>
      </c>
      <c r="G89" s="20">
        <v>0.9</v>
      </c>
      <c r="H89" s="186" t="s">
        <v>122</v>
      </c>
      <c r="I89" s="187"/>
      <c r="J89" s="187"/>
      <c r="K89" s="187"/>
      <c r="L89" s="187"/>
      <c r="M89" s="188"/>
      <c r="N89" s="189">
        <v>271</v>
      </c>
      <c r="O89" s="190"/>
      <c r="P89" s="189"/>
      <c r="Q89" s="190"/>
      <c r="R89" s="120"/>
      <c r="S89" s="91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160925</v>
      </c>
      <c r="E90" s="3" t="s">
        <v>331</v>
      </c>
      <c r="F90" s="19">
        <v>304</v>
      </c>
      <c r="G90" s="20">
        <v>0.9</v>
      </c>
      <c r="H90" s="186" t="s">
        <v>124</v>
      </c>
      <c r="I90" s="187"/>
      <c r="J90" s="187"/>
      <c r="K90" s="187"/>
      <c r="L90" s="187"/>
      <c r="M90" s="188"/>
      <c r="N90" s="189">
        <v>591</v>
      </c>
      <c r="O90" s="190"/>
      <c r="P90" s="189"/>
      <c r="Q90" s="190"/>
      <c r="R90" s="120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290925</v>
      </c>
      <c r="E91" s="3" t="s">
        <v>326</v>
      </c>
      <c r="F91" s="19">
        <v>304</v>
      </c>
      <c r="G91" s="20">
        <v>0.9</v>
      </c>
      <c r="H91" s="186" t="s">
        <v>363</v>
      </c>
      <c r="I91" s="187"/>
      <c r="J91" s="187"/>
      <c r="K91" s="187"/>
      <c r="L91" s="187"/>
      <c r="M91" s="188"/>
      <c r="N91" s="189">
        <v>813</v>
      </c>
      <c r="O91" s="190"/>
      <c r="P91" s="189"/>
      <c r="Q91" s="190"/>
      <c r="R91" s="120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/>
      <c r="D92" s="108"/>
      <c r="E92" s="3" t="s">
        <v>364</v>
      </c>
      <c r="F92" s="19">
        <v>430</v>
      </c>
      <c r="G92" s="20">
        <v>0.8</v>
      </c>
      <c r="H92" s="186" t="s">
        <v>365</v>
      </c>
      <c r="I92" s="187"/>
      <c r="J92" s="187"/>
      <c r="K92" s="187"/>
      <c r="L92" s="187"/>
      <c r="M92" s="188"/>
      <c r="N92" s="189">
        <v>60</v>
      </c>
      <c r="O92" s="190"/>
      <c r="P92" s="189"/>
      <c r="Q92" s="190"/>
      <c r="R92" s="120"/>
      <c r="S92" s="6" t="s">
        <v>14</v>
      </c>
      <c r="T92" s="21"/>
      <c r="U92" s="191"/>
      <c r="V92" s="192"/>
      <c r="W92" s="193"/>
    </row>
    <row r="93" spans="1:23" ht="14.55" customHeight="1" x14ac:dyDescent="0.3">
      <c r="A93" s="184"/>
      <c r="B93" s="5"/>
      <c r="C93" s="5">
        <v>0.70833333333333337</v>
      </c>
      <c r="D93" s="108" t="s">
        <v>366</v>
      </c>
      <c r="E93" s="3" t="s">
        <v>216</v>
      </c>
      <c r="F93" s="19">
        <v>304</v>
      </c>
      <c r="G93" s="20">
        <v>0.9</v>
      </c>
      <c r="H93" s="186" t="s">
        <v>174</v>
      </c>
      <c r="I93" s="187"/>
      <c r="J93" s="187"/>
      <c r="K93" s="187"/>
      <c r="L93" s="187"/>
      <c r="M93" s="188"/>
      <c r="N93" s="189">
        <v>60</v>
      </c>
      <c r="O93" s="190"/>
      <c r="P93" s="189"/>
      <c r="Q93" s="190"/>
      <c r="R93" s="120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0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0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0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20"/>
      <c r="S97" s="6" t="s">
        <v>14</v>
      </c>
      <c r="T97" s="21"/>
      <c r="U97" s="191"/>
      <c r="V97" s="192"/>
      <c r="W97" s="193"/>
    </row>
    <row r="98" spans="1:23" ht="14.55" hidden="1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20"/>
      <c r="S98" s="6" t="s">
        <v>14</v>
      </c>
      <c r="T98" s="21"/>
      <c r="U98" s="191"/>
      <c r="V98" s="192"/>
      <c r="W98" s="193"/>
    </row>
    <row r="99" spans="1:23" ht="14.55" customHeight="1" x14ac:dyDescent="0.3">
      <c r="A99" s="184"/>
      <c r="B99" s="5"/>
      <c r="C99" s="5"/>
      <c r="D99" s="108"/>
      <c r="E99" s="3"/>
      <c r="F99" s="19"/>
      <c r="G99" s="20"/>
      <c r="H99" s="186"/>
      <c r="I99" s="187"/>
      <c r="J99" s="187"/>
      <c r="K99" s="187"/>
      <c r="L99" s="187"/>
      <c r="M99" s="188"/>
      <c r="N99" s="189"/>
      <c r="O99" s="190"/>
      <c r="P99" s="189"/>
      <c r="Q99" s="190"/>
      <c r="R99" s="120"/>
      <c r="S99" s="6" t="s">
        <v>14</v>
      </c>
      <c r="T99" s="21"/>
      <c r="U99" s="191"/>
      <c r="V99" s="192"/>
      <c r="W99" s="193"/>
    </row>
    <row r="100" spans="1:23" ht="14.55" customHeight="1" x14ac:dyDescent="0.3">
      <c r="A100" s="185"/>
      <c r="B100" s="165" t="s">
        <v>0</v>
      </c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7"/>
      <c r="N100" s="168">
        <f>SUM(N89:O99)</f>
        <v>1795</v>
      </c>
      <c r="O100" s="197"/>
      <c r="P100" s="168">
        <f ca="1">SUM(P89:Q100)</f>
        <v>0</v>
      </c>
      <c r="Q100" s="197"/>
      <c r="R100" s="10">
        <f>SUM(R89:R99)</f>
        <v>0</v>
      </c>
      <c r="S100" s="11" t="s">
        <v>14</v>
      </c>
      <c r="T100" s="9"/>
      <c r="U100" s="191"/>
      <c r="V100" s="192"/>
      <c r="W100" s="193"/>
    </row>
    <row r="101" spans="1:23" ht="14.55" customHeight="1" x14ac:dyDescent="0.3">
      <c r="D101" s="91"/>
      <c r="E101" s="48"/>
      <c r="F101" s="48"/>
      <c r="G101" s="48"/>
      <c r="H101" s="48"/>
      <c r="I101" s="48"/>
      <c r="R101" s="91"/>
    </row>
    <row r="102" spans="1:23" ht="14.55" customHeight="1" x14ac:dyDescent="0.3">
      <c r="D102" s="91"/>
      <c r="E102" s="165" t="s">
        <v>65</v>
      </c>
      <c r="F102" s="166"/>
      <c r="G102" s="166"/>
      <c r="H102" s="166"/>
      <c r="I102" s="166"/>
      <c r="J102" s="166"/>
      <c r="K102" s="166"/>
      <c r="L102" s="166"/>
      <c r="M102" s="167"/>
      <c r="N102" s="181" t="s">
        <v>7</v>
      </c>
      <c r="O102" s="182"/>
      <c r="P102" s="181" t="s">
        <v>74</v>
      </c>
      <c r="Q102" s="182"/>
      <c r="R102" s="91"/>
    </row>
    <row r="103" spans="1:23" ht="14.55" customHeight="1" x14ac:dyDescent="0.3">
      <c r="D103" s="91"/>
      <c r="E103" s="7"/>
      <c r="F103" s="7"/>
      <c r="G103" s="7"/>
      <c r="H103" s="7"/>
      <c r="I103" s="7"/>
      <c r="J103" s="22"/>
      <c r="K103" s="23"/>
      <c r="L103" s="22"/>
      <c r="M103" s="24"/>
      <c r="N103" s="119">
        <f>N100</f>
        <v>1795</v>
      </c>
      <c r="O103" s="14" t="s">
        <v>13</v>
      </c>
      <c r="P103" s="119">
        <f ca="1">P100</f>
        <v>0</v>
      </c>
      <c r="Q103" s="15" t="s">
        <v>13</v>
      </c>
      <c r="R103" s="91"/>
    </row>
    <row r="104" spans="1:23" x14ac:dyDescent="0.3">
      <c r="P104" s="49"/>
      <c r="Q104" s="49"/>
      <c r="R104" s="49"/>
      <c r="S104" s="32"/>
    </row>
    <row r="105" spans="1:23" s="8" customFormat="1" ht="30" customHeight="1" x14ac:dyDescent="0.3">
      <c r="A105" s="155" t="s">
        <v>29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7"/>
      <c r="Q105" s="157"/>
      <c r="R105" s="157"/>
      <c r="S105" s="157"/>
      <c r="T105" s="156"/>
      <c r="U105" s="156"/>
      <c r="V105" s="156"/>
      <c r="W105" s="158"/>
    </row>
    <row r="106" spans="1:23" s="12" customFormat="1" ht="14.55" customHeight="1" x14ac:dyDescent="0.3">
      <c r="A106" s="159" t="s">
        <v>1</v>
      </c>
      <c r="B106" s="160" t="s">
        <v>2</v>
      </c>
      <c r="C106" s="160" t="s">
        <v>3</v>
      </c>
      <c r="D106" s="160" t="s">
        <v>4</v>
      </c>
      <c r="E106" s="161" t="s">
        <v>5</v>
      </c>
      <c r="F106" s="163" t="s">
        <v>15</v>
      </c>
      <c r="G106" s="163" t="s">
        <v>16</v>
      </c>
      <c r="H106" s="170" t="s">
        <v>30</v>
      </c>
      <c r="I106" s="171"/>
      <c r="J106" s="171"/>
      <c r="K106" s="171"/>
      <c r="L106" s="171"/>
      <c r="M106" s="172"/>
      <c r="N106" s="176" t="s">
        <v>6</v>
      </c>
      <c r="O106" s="177"/>
      <c r="P106" s="177"/>
      <c r="Q106" s="178"/>
      <c r="R106" s="161" t="s">
        <v>8</v>
      </c>
      <c r="S106" s="179"/>
      <c r="T106" s="159" t="s">
        <v>9</v>
      </c>
      <c r="U106" s="159" t="s">
        <v>10</v>
      </c>
      <c r="V106" s="159"/>
      <c r="W106" s="159"/>
    </row>
    <row r="107" spans="1:23" s="12" customFormat="1" ht="13.05" customHeight="1" x14ac:dyDescent="0.3">
      <c r="A107" s="159"/>
      <c r="B107" s="160"/>
      <c r="C107" s="160"/>
      <c r="D107" s="160"/>
      <c r="E107" s="162"/>
      <c r="F107" s="164"/>
      <c r="G107" s="164"/>
      <c r="H107" s="173"/>
      <c r="I107" s="174"/>
      <c r="J107" s="174"/>
      <c r="K107" s="174"/>
      <c r="L107" s="174"/>
      <c r="M107" s="175"/>
      <c r="N107" s="176" t="s">
        <v>7</v>
      </c>
      <c r="O107" s="177"/>
      <c r="P107" s="177"/>
      <c r="Q107" s="178"/>
      <c r="R107" s="162"/>
      <c r="S107" s="180"/>
      <c r="T107" s="159"/>
      <c r="U107" s="159"/>
      <c r="V107" s="159"/>
      <c r="W107" s="159"/>
    </row>
    <row r="108" spans="1:23" ht="14.55" customHeight="1" x14ac:dyDescent="0.3">
      <c r="A108" s="183" t="s">
        <v>49</v>
      </c>
      <c r="B108" s="5">
        <v>0.33333333333333331</v>
      </c>
      <c r="C108" s="5"/>
      <c r="D108" s="108" t="s">
        <v>205</v>
      </c>
      <c r="E108" s="3" t="s">
        <v>367</v>
      </c>
      <c r="F108" s="19">
        <v>304</v>
      </c>
      <c r="G108" s="20">
        <v>0.9</v>
      </c>
      <c r="H108" s="186" t="s">
        <v>87</v>
      </c>
      <c r="I108" s="187"/>
      <c r="J108" s="187"/>
      <c r="K108" s="187"/>
      <c r="L108" s="187"/>
      <c r="M108" s="188"/>
      <c r="N108" s="189">
        <v>543</v>
      </c>
      <c r="O108" s="198"/>
      <c r="P108" s="198"/>
      <c r="Q108" s="190"/>
      <c r="R108" s="120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 t="s">
        <v>205</v>
      </c>
      <c r="E109" s="3" t="s">
        <v>368</v>
      </c>
      <c r="F109" s="19">
        <v>304</v>
      </c>
      <c r="G109" s="20">
        <v>0.9</v>
      </c>
      <c r="H109" s="186" t="s">
        <v>87</v>
      </c>
      <c r="I109" s="187"/>
      <c r="J109" s="187"/>
      <c r="K109" s="187"/>
      <c r="L109" s="187"/>
      <c r="M109" s="188"/>
      <c r="N109" s="189">
        <v>778</v>
      </c>
      <c r="O109" s="198"/>
      <c r="P109" s="198"/>
      <c r="Q109" s="190"/>
      <c r="R109" s="120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>
        <v>0.70833333333333337</v>
      </c>
      <c r="D110" s="108" t="s">
        <v>205</v>
      </c>
      <c r="E110" s="3" t="s">
        <v>369</v>
      </c>
      <c r="F110" s="19">
        <v>304</v>
      </c>
      <c r="G110" s="20">
        <v>0.9</v>
      </c>
      <c r="H110" s="186" t="s">
        <v>87</v>
      </c>
      <c r="I110" s="187"/>
      <c r="J110" s="187"/>
      <c r="K110" s="187"/>
      <c r="L110" s="187"/>
      <c r="M110" s="188"/>
      <c r="N110" s="189">
        <v>230</v>
      </c>
      <c r="O110" s="198"/>
      <c r="P110" s="198"/>
      <c r="Q110" s="190"/>
      <c r="R110" s="120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/>
      <c r="E111" s="3"/>
      <c r="F111" s="19"/>
      <c r="G111" s="20"/>
      <c r="H111" s="186"/>
      <c r="I111" s="187"/>
      <c r="J111" s="187"/>
      <c r="K111" s="187"/>
      <c r="L111" s="187"/>
      <c r="M111" s="188"/>
      <c r="N111" s="189"/>
      <c r="O111" s="198"/>
      <c r="P111" s="198"/>
      <c r="Q111" s="190"/>
      <c r="R111" s="120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20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5"/>
      <c r="B113" s="165" t="s">
        <v>0</v>
      </c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7"/>
      <c r="N113" s="168">
        <f>SUM(N108:O112)</f>
        <v>1551</v>
      </c>
      <c r="O113" s="197"/>
      <c r="P113" s="197"/>
      <c r="Q113" s="169"/>
      <c r="R113" s="10">
        <f>SUM(R108:R112)</f>
        <v>0</v>
      </c>
      <c r="S113" s="11" t="s">
        <v>14</v>
      </c>
      <c r="T113" s="9"/>
      <c r="U113" s="204"/>
      <c r="V113" s="205"/>
      <c r="W113" s="206"/>
    </row>
    <row r="114" spans="1:23" ht="14.55" customHeight="1" x14ac:dyDescent="0.3">
      <c r="D114" s="91"/>
      <c r="E114" s="48"/>
      <c r="F114" s="48"/>
      <c r="G114" s="48"/>
      <c r="H114" s="48"/>
      <c r="I114" s="48"/>
      <c r="R114" s="91"/>
    </row>
    <row r="115" spans="1:23" ht="14.55" customHeight="1" x14ac:dyDescent="0.3">
      <c r="D115" s="91"/>
      <c r="E115" s="165" t="s">
        <v>33</v>
      </c>
      <c r="F115" s="166"/>
      <c r="G115" s="166"/>
      <c r="H115" s="166"/>
      <c r="I115" s="166"/>
      <c r="J115" s="166"/>
      <c r="K115" s="166"/>
      <c r="L115" s="166"/>
      <c r="M115" s="167"/>
      <c r="N115" s="181" t="s">
        <v>7</v>
      </c>
      <c r="O115" s="199"/>
      <c r="P115" s="199"/>
      <c r="Q115" s="182"/>
      <c r="R115" s="91"/>
    </row>
    <row r="116" spans="1:23" ht="14.55" customHeight="1" x14ac:dyDescent="0.3">
      <c r="D116" s="91"/>
      <c r="E116" s="7"/>
      <c r="F116" s="7"/>
      <c r="G116" s="7"/>
      <c r="H116" s="7"/>
      <c r="I116" s="7"/>
      <c r="J116" s="22"/>
      <c r="K116" s="23"/>
      <c r="L116" s="22"/>
      <c r="M116" s="24"/>
      <c r="N116" s="200">
        <f>N113</f>
        <v>1551</v>
      </c>
      <c r="O116" s="201"/>
      <c r="P116" s="202" t="s">
        <v>13</v>
      </c>
      <c r="Q116" s="203"/>
      <c r="R116" s="91"/>
    </row>
  </sheetData>
  <mergeCells count="310">
    <mergeCell ref="E83:M83"/>
    <mergeCell ref="N83:Q83"/>
    <mergeCell ref="N84:O84"/>
    <mergeCell ref="P84:Q84"/>
    <mergeCell ref="A78:A81"/>
    <mergeCell ref="H78:M78"/>
    <mergeCell ref="N78:Q78"/>
    <mergeCell ref="U78:W81"/>
    <mergeCell ref="H79:M79"/>
    <mergeCell ref="N79:Q79"/>
    <mergeCell ref="H80:M80"/>
    <mergeCell ref="N80:Q80"/>
    <mergeCell ref="B81:M81"/>
    <mergeCell ref="N81:Q81"/>
    <mergeCell ref="A75:W75"/>
    <mergeCell ref="A76:A77"/>
    <mergeCell ref="B76:B77"/>
    <mergeCell ref="C76:C77"/>
    <mergeCell ref="D76:D77"/>
    <mergeCell ref="E76:E77"/>
    <mergeCell ref="F76:F77"/>
    <mergeCell ref="G76:G77"/>
    <mergeCell ref="H76:M77"/>
    <mergeCell ref="N76:Q76"/>
    <mergeCell ref="R76:S77"/>
    <mergeCell ref="T76:T77"/>
    <mergeCell ref="U76:W77"/>
    <mergeCell ref="N77:Q77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B70:M70"/>
    <mergeCell ref="N70:Q70"/>
    <mergeCell ref="E72:M72"/>
    <mergeCell ref="N72:Q72"/>
    <mergeCell ref="N73:O73"/>
    <mergeCell ref="P73:Q73"/>
    <mergeCell ref="U65:W66"/>
    <mergeCell ref="N66:Q66"/>
    <mergeCell ref="A67:A70"/>
    <mergeCell ref="H67:M67"/>
    <mergeCell ref="N67:Q67"/>
    <mergeCell ref="U67:W70"/>
    <mergeCell ref="H68:M68"/>
    <mergeCell ref="N68:Q68"/>
    <mergeCell ref="H69:M69"/>
    <mergeCell ref="N69:Q69"/>
    <mergeCell ref="F65:F66"/>
    <mergeCell ref="G65:G66"/>
    <mergeCell ref="H65:M66"/>
    <mergeCell ref="N65:Q65"/>
    <mergeCell ref="R65:S66"/>
    <mergeCell ref="T65:T66"/>
    <mergeCell ref="A86:W86"/>
    <mergeCell ref="A87:A88"/>
    <mergeCell ref="B87:B88"/>
    <mergeCell ref="C87:C88"/>
    <mergeCell ref="D87:D88"/>
    <mergeCell ref="E87:E88"/>
    <mergeCell ref="F87:F88"/>
    <mergeCell ref="G87:G88"/>
    <mergeCell ref="H87:M88"/>
    <mergeCell ref="N87:Q87"/>
    <mergeCell ref="R87:S88"/>
    <mergeCell ref="T87:T88"/>
    <mergeCell ref="U87:W88"/>
    <mergeCell ref="N88:O88"/>
    <mergeCell ref="P88:Q88"/>
    <mergeCell ref="A89:A100"/>
    <mergeCell ref="H89:M89"/>
    <mergeCell ref="N89:O89"/>
    <mergeCell ref="P89:Q89"/>
    <mergeCell ref="U89:W100"/>
    <mergeCell ref="H92:M92"/>
    <mergeCell ref="N92:O92"/>
    <mergeCell ref="P92:Q92"/>
    <mergeCell ref="H93:M93"/>
    <mergeCell ref="N93:O93"/>
    <mergeCell ref="P93:Q93"/>
    <mergeCell ref="H90:M90"/>
    <mergeCell ref="N90:O90"/>
    <mergeCell ref="P90:Q90"/>
    <mergeCell ref="H91:M91"/>
    <mergeCell ref="N91:O91"/>
    <mergeCell ref="P91:Q91"/>
    <mergeCell ref="H96:M96"/>
    <mergeCell ref="N96:O96"/>
    <mergeCell ref="P96:Q96"/>
    <mergeCell ref="H97:M97"/>
    <mergeCell ref="N97:O97"/>
    <mergeCell ref="P97:Q97"/>
    <mergeCell ref="H94:M94"/>
    <mergeCell ref="N94:O94"/>
    <mergeCell ref="P94:Q94"/>
    <mergeCell ref="H95:M95"/>
    <mergeCell ref="N95:O95"/>
    <mergeCell ref="P95:Q95"/>
    <mergeCell ref="B100:M100"/>
    <mergeCell ref="N100:O100"/>
    <mergeCell ref="P100:Q100"/>
    <mergeCell ref="E102:M102"/>
    <mergeCell ref="N102:O102"/>
    <mergeCell ref="P102:Q102"/>
    <mergeCell ref="H98:M98"/>
    <mergeCell ref="N98:O98"/>
    <mergeCell ref="P98:Q98"/>
    <mergeCell ref="H99:M99"/>
    <mergeCell ref="N99:O99"/>
    <mergeCell ref="P99:Q99"/>
    <mergeCell ref="U108:W113"/>
    <mergeCell ref="H109:M109"/>
    <mergeCell ref="N109:Q109"/>
    <mergeCell ref="B113:M113"/>
    <mergeCell ref="N113:Q113"/>
    <mergeCell ref="E115:M115"/>
    <mergeCell ref="N115:Q115"/>
    <mergeCell ref="A105:W105"/>
    <mergeCell ref="A106:A107"/>
    <mergeCell ref="B106:B107"/>
    <mergeCell ref="C106:C107"/>
    <mergeCell ref="D106:D107"/>
    <mergeCell ref="E106:E107"/>
    <mergeCell ref="F106:F107"/>
    <mergeCell ref="G106:G107"/>
    <mergeCell ref="H106:M107"/>
    <mergeCell ref="N106:Q106"/>
    <mergeCell ref="R106:S107"/>
    <mergeCell ref="T106:T107"/>
    <mergeCell ref="U106:W107"/>
    <mergeCell ref="N107:Q107"/>
    <mergeCell ref="N116:O116"/>
    <mergeCell ref="P116:Q116"/>
    <mergeCell ref="H110:M110"/>
    <mergeCell ref="N110:Q110"/>
    <mergeCell ref="H111:M111"/>
    <mergeCell ref="N111:Q111"/>
    <mergeCell ref="H112:M112"/>
    <mergeCell ref="N112:Q112"/>
    <mergeCell ref="A108:A113"/>
    <mergeCell ref="H108:M108"/>
    <mergeCell ref="N108:Q108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6"/>
  <sheetViews>
    <sheetView zoomScale="85" zoomScaleNormal="85" workbookViewId="0">
      <selection activeCell="D34" sqref="D34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0.6640625" style="9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45951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10">
        <v>290925</v>
      </c>
      <c r="E7" s="3" t="s">
        <v>360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2080</v>
      </c>
      <c r="O7" s="190"/>
      <c r="P7" s="189"/>
      <c r="Q7" s="190"/>
      <c r="R7" s="124">
        <v>45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/>
      <c r="D8" s="110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24">
        <v>20</v>
      </c>
      <c r="S8" s="6" t="s">
        <v>14</v>
      </c>
      <c r="T8" s="21" t="s">
        <v>343</v>
      </c>
      <c r="U8" s="194"/>
      <c r="V8" s="195"/>
      <c r="W8" s="196"/>
    </row>
    <row r="9" spans="1:23" ht="14.55" customHeight="1" x14ac:dyDescent="0.3">
      <c r="A9" s="184"/>
      <c r="B9" s="5"/>
      <c r="C9" s="5"/>
      <c r="D9" s="108"/>
      <c r="E9" s="3"/>
      <c r="F9" s="19"/>
      <c r="G9" s="20"/>
      <c r="H9" s="186"/>
      <c r="I9" s="187"/>
      <c r="J9" s="187"/>
      <c r="K9" s="187"/>
      <c r="L9" s="187"/>
      <c r="M9" s="188"/>
      <c r="N9" s="189"/>
      <c r="O9" s="190"/>
      <c r="P9" s="189"/>
      <c r="Q9" s="190"/>
      <c r="R9" s="124"/>
      <c r="S9" s="6" t="s">
        <v>14</v>
      </c>
      <c r="T9" s="21"/>
      <c r="U9" s="194"/>
      <c r="V9" s="195"/>
      <c r="W9" s="196"/>
    </row>
    <row r="10" spans="1:23" ht="14.55" customHeight="1" x14ac:dyDescent="0.3">
      <c r="A10" s="185"/>
      <c r="B10" s="165" t="s">
        <v>0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7"/>
      <c r="N10" s="168">
        <f>SUM(N7:O9)</f>
        <v>2080</v>
      </c>
      <c r="O10" s="169"/>
      <c r="P10" s="168">
        <f>SUM(P7:Q9)</f>
        <v>0</v>
      </c>
      <c r="Q10" s="169"/>
      <c r="R10" s="10">
        <f>SUM(R7:R9)</f>
        <v>65</v>
      </c>
      <c r="S10" s="11" t="s">
        <v>14</v>
      </c>
      <c r="T10" s="9"/>
      <c r="U10" s="194"/>
      <c r="V10" s="195"/>
      <c r="W10" s="196"/>
    </row>
    <row r="11" spans="1:23" ht="14.55" customHeight="1" x14ac:dyDescent="0.3">
      <c r="A11" s="183" t="s">
        <v>72</v>
      </c>
      <c r="B11" s="5">
        <v>0.33333333333333331</v>
      </c>
      <c r="C11" s="5">
        <v>0.70833333333333337</v>
      </c>
      <c r="D11" s="108">
        <v>131025</v>
      </c>
      <c r="E11" s="3" t="s">
        <v>83</v>
      </c>
      <c r="F11" s="19">
        <v>304</v>
      </c>
      <c r="G11" s="20">
        <v>0.9</v>
      </c>
      <c r="H11" s="186"/>
      <c r="I11" s="187"/>
      <c r="J11" s="187"/>
      <c r="K11" s="187"/>
      <c r="L11" s="187"/>
      <c r="M11" s="188"/>
      <c r="N11" s="189">
        <v>1200</v>
      </c>
      <c r="O11" s="190"/>
      <c r="P11" s="189"/>
      <c r="Q11" s="190"/>
      <c r="R11" s="124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4"/>
      <c r="B12" s="5"/>
      <c r="C12" s="5"/>
      <c r="D12" s="108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24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108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24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SUM(N11:O13)</f>
        <v>1200</v>
      </c>
      <c r="O14" s="169"/>
      <c r="P14" s="168">
        <f>SUM(P11:Q13)</f>
        <v>0</v>
      </c>
      <c r="Q14" s="169"/>
      <c r="R14" s="10">
        <f>SUM(R11:R13)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23">
        <f>N10+N14</f>
        <v>3280</v>
      </c>
      <c r="O17" s="14" t="s">
        <v>13</v>
      </c>
      <c r="P17" s="123">
        <f>P10+P14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/>
      <c r="D22" s="110">
        <v>290925</v>
      </c>
      <c r="E22" s="3" t="s">
        <v>360</v>
      </c>
      <c r="F22" s="19">
        <v>304</v>
      </c>
      <c r="G22" s="20">
        <v>0.8</v>
      </c>
      <c r="H22" s="186"/>
      <c r="I22" s="187"/>
      <c r="J22" s="187"/>
      <c r="K22" s="187"/>
      <c r="L22" s="187"/>
      <c r="M22" s="188"/>
      <c r="N22" s="189">
        <v>1280</v>
      </c>
      <c r="O22" s="198"/>
      <c r="P22" s="198"/>
      <c r="Q22" s="190"/>
      <c r="R22" s="124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108">
        <v>131025</v>
      </c>
      <c r="E23" s="3" t="s">
        <v>54</v>
      </c>
      <c r="F23" s="19">
        <v>304</v>
      </c>
      <c r="G23" s="20">
        <v>0.9</v>
      </c>
      <c r="H23" s="186"/>
      <c r="I23" s="187"/>
      <c r="J23" s="187"/>
      <c r="K23" s="187"/>
      <c r="L23" s="187"/>
      <c r="M23" s="188"/>
      <c r="N23" s="189">
        <v>770</v>
      </c>
      <c r="O23" s="198"/>
      <c r="P23" s="198"/>
      <c r="Q23" s="190"/>
      <c r="R23" s="124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108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24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108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24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2050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2050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110">
        <v>290925</v>
      </c>
      <c r="E34" s="3" t="s">
        <v>352</v>
      </c>
      <c r="F34" s="19">
        <v>304</v>
      </c>
      <c r="G34" s="20">
        <v>0.9</v>
      </c>
      <c r="H34" s="186"/>
      <c r="I34" s="187"/>
      <c r="J34" s="187"/>
      <c r="K34" s="187"/>
      <c r="L34" s="187"/>
      <c r="M34" s="188"/>
      <c r="N34" s="189">
        <v>1230</v>
      </c>
      <c r="O34" s="190"/>
      <c r="P34" s="189"/>
      <c r="Q34" s="190"/>
      <c r="R34" s="124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110">
        <v>290925</v>
      </c>
      <c r="E35" s="3" t="s">
        <v>360</v>
      </c>
      <c r="F35" s="19">
        <v>304</v>
      </c>
      <c r="G35" s="20">
        <v>0.8</v>
      </c>
      <c r="H35" s="186"/>
      <c r="I35" s="187"/>
      <c r="J35" s="187"/>
      <c r="K35" s="187"/>
      <c r="L35" s="187"/>
      <c r="M35" s="188"/>
      <c r="N35" s="189">
        <v>770</v>
      </c>
      <c r="O35" s="190"/>
      <c r="P35" s="189"/>
      <c r="Q35" s="190"/>
      <c r="R35" s="124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108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124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23">
        <f>N37</f>
        <v>2000</v>
      </c>
      <c r="O40" s="14" t="s">
        <v>13</v>
      </c>
      <c r="P40" s="123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110">
        <v>290925</v>
      </c>
      <c r="E45" s="3" t="s">
        <v>352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1500</v>
      </c>
      <c r="O45" s="198"/>
      <c r="P45" s="198"/>
      <c r="Q45" s="190"/>
      <c r="R45" s="124">
        <v>45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108">
        <v>131025</v>
      </c>
      <c r="E46" s="3" t="s">
        <v>54</v>
      </c>
      <c r="F46" s="19">
        <v>304</v>
      </c>
      <c r="G46" s="20">
        <v>0.9</v>
      </c>
      <c r="H46" s="186"/>
      <c r="I46" s="187"/>
      <c r="J46" s="187"/>
      <c r="K46" s="187"/>
      <c r="L46" s="187"/>
      <c r="M46" s="188"/>
      <c r="N46" s="189">
        <v>600</v>
      </c>
      <c r="O46" s="198"/>
      <c r="P46" s="198"/>
      <c r="Q46" s="190"/>
      <c r="R46" s="124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108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24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2100</v>
      </c>
      <c r="O48" s="197"/>
      <c r="P48" s="197"/>
      <c r="Q48" s="169"/>
      <c r="R48" s="10">
        <f>SUM(R45:R47)</f>
        <v>45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2100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110">
        <v>290925</v>
      </c>
      <c r="E56" s="3" t="s">
        <v>326</v>
      </c>
      <c r="F56" s="19">
        <v>304</v>
      </c>
      <c r="G56" s="20">
        <v>0.9</v>
      </c>
      <c r="H56" s="186"/>
      <c r="I56" s="187"/>
      <c r="J56" s="187"/>
      <c r="K56" s="187"/>
      <c r="L56" s="187"/>
      <c r="M56" s="188"/>
      <c r="N56" s="189">
        <v>1140</v>
      </c>
      <c r="O56" s="198"/>
      <c r="P56" s="198"/>
      <c r="Q56" s="190"/>
      <c r="R56" s="124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110">
        <v>290925</v>
      </c>
      <c r="E57" s="3" t="s">
        <v>352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1110</v>
      </c>
      <c r="O57" s="198"/>
      <c r="P57" s="198"/>
      <c r="Q57" s="190"/>
      <c r="R57" s="124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108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24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2250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2250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348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24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351</v>
      </c>
      <c r="O66" s="177"/>
      <c r="P66" s="177"/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69</v>
      </c>
      <c r="B67" s="5">
        <v>0.33333333333333331</v>
      </c>
      <c r="C67" s="5"/>
      <c r="D67" s="108">
        <v>131025</v>
      </c>
      <c r="E67" s="3" t="s">
        <v>372</v>
      </c>
      <c r="F67" s="19">
        <v>304</v>
      </c>
      <c r="G67" s="20">
        <v>0.6</v>
      </c>
      <c r="H67" s="186" t="s">
        <v>374</v>
      </c>
      <c r="I67" s="187"/>
      <c r="J67" s="187"/>
      <c r="K67" s="187"/>
      <c r="L67" s="187"/>
      <c r="M67" s="188"/>
      <c r="N67" s="189">
        <v>1000</v>
      </c>
      <c r="O67" s="198"/>
      <c r="P67" s="198"/>
      <c r="Q67" s="190"/>
      <c r="R67" s="124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4"/>
      <c r="B68" s="5"/>
      <c r="C68" s="5">
        <v>0.70833333333333337</v>
      </c>
      <c r="D68" s="110">
        <v>290925</v>
      </c>
      <c r="E68" s="3" t="s">
        <v>373</v>
      </c>
      <c r="F68" s="19">
        <v>304</v>
      </c>
      <c r="G68" s="20">
        <v>0.6</v>
      </c>
      <c r="H68" s="186"/>
      <c r="I68" s="187"/>
      <c r="J68" s="187"/>
      <c r="K68" s="187"/>
      <c r="L68" s="187"/>
      <c r="M68" s="188"/>
      <c r="N68" s="189">
        <v>600</v>
      </c>
      <c r="O68" s="198"/>
      <c r="P68" s="198"/>
      <c r="Q68" s="190"/>
      <c r="R68" s="124"/>
      <c r="S68" s="6" t="s">
        <v>14</v>
      </c>
      <c r="T68" s="21"/>
      <c r="U68" s="204"/>
      <c r="V68" s="205"/>
      <c r="W68" s="206"/>
    </row>
    <row r="69" spans="1:23" ht="14.55" customHeight="1" x14ac:dyDescent="0.3">
      <c r="A69" s="184"/>
      <c r="B69" s="5"/>
      <c r="C69" s="5"/>
      <c r="D69" s="108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8"/>
      <c r="P69" s="198"/>
      <c r="Q69" s="190"/>
      <c r="R69" s="124"/>
      <c r="S69" s="6" t="s">
        <v>14</v>
      </c>
      <c r="T69" s="21"/>
      <c r="U69" s="204"/>
      <c r="V69" s="205"/>
      <c r="W69" s="206"/>
    </row>
    <row r="70" spans="1:23" ht="14.55" customHeight="1" x14ac:dyDescent="0.3">
      <c r="A70" s="185"/>
      <c r="B70" s="165" t="s">
        <v>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8">
        <f>SUM(N67:O69)</f>
        <v>1600</v>
      </c>
      <c r="O70" s="197"/>
      <c r="P70" s="197"/>
      <c r="Q70" s="169"/>
      <c r="R70" s="10">
        <f>SUM(R67:R69)</f>
        <v>0</v>
      </c>
      <c r="S70" s="11" t="s">
        <v>14</v>
      </c>
      <c r="T70" s="9"/>
      <c r="U70" s="204"/>
      <c r="V70" s="205"/>
      <c r="W70" s="206"/>
    </row>
    <row r="71" spans="1:23" ht="14.55" customHeight="1" x14ac:dyDescent="0.3">
      <c r="D71" s="91"/>
      <c r="E71" s="48"/>
      <c r="F71" s="48"/>
      <c r="G71" s="48"/>
      <c r="H71" s="48"/>
      <c r="I71" s="48"/>
      <c r="R71" s="91"/>
    </row>
    <row r="72" spans="1:23" ht="14.55" customHeight="1" x14ac:dyDescent="0.3">
      <c r="D72" s="91"/>
      <c r="E72" s="165" t="s">
        <v>349</v>
      </c>
      <c r="F72" s="166"/>
      <c r="G72" s="166"/>
      <c r="H72" s="166"/>
      <c r="I72" s="166"/>
      <c r="J72" s="166"/>
      <c r="K72" s="166"/>
      <c r="L72" s="166"/>
      <c r="M72" s="167"/>
      <c r="N72" s="181" t="s">
        <v>350</v>
      </c>
      <c r="O72" s="199"/>
      <c r="P72" s="199"/>
      <c r="Q72" s="182"/>
      <c r="R72" s="91"/>
    </row>
    <row r="73" spans="1:23" ht="14.55" customHeight="1" x14ac:dyDescent="0.3">
      <c r="D73" s="91"/>
      <c r="E73" s="7"/>
      <c r="F73" s="7"/>
      <c r="G73" s="7"/>
      <c r="H73" s="7"/>
      <c r="I73" s="7"/>
      <c r="J73" s="22"/>
      <c r="K73" s="23"/>
      <c r="L73" s="22"/>
      <c r="M73" s="24"/>
      <c r="N73" s="200">
        <f>N70</f>
        <v>1600</v>
      </c>
      <c r="O73" s="201"/>
      <c r="P73" s="202" t="s">
        <v>13</v>
      </c>
      <c r="Q73" s="203"/>
      <c r="R73" s="91"/>
    </row>
    <row r="74" spans="1:23" ht="14.55" customHeight="1" x14ac:dyDescent="0.3">
      <c r="D74" s="91"/>
      <c r="E74" s="48"/>
      <c r="F74" s="48"/>
      <c r="G74" s="48"/>
      <c r="H74" s="48"/>
      <c r="I74" s="48"/>
      <c r="P74" s="49"/>
      <c r="Q74" s="49"/>
      <c r="R74" s="32"/>
      <c r="S74" s="32"/>
    </row>
    <row r="75" spans="1:23" s="8" customFormat="1" ht="30" customHeight="1" x14ac:dyDescent="0.3">
      <c r="A75" s="155" t="s">
        <v>370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57"/>
      <c r="R75" s="157"/>
      <c r="S75" s="157"/>
      <c r="T75" s="156"/>
      <c r="U75" s="156"/>
      <c r="V75" s="156"/>
      <c r="W75" s="158"/>
    </row>
    <row r="76" spans="1:23" s="12" customFormat="1" ht="14.55" customHeight="1" x14ac:dyDescent="0.3">
      <c r="A76" s="159" t="s">
        <v>1</v>
      </c>
      <c r="B76" s="160" t="s">
        <v>2</v>
      </c>
      <c r="C76" s="160" t="s">
        <v>3</v>
      </c>
      <c r="D76" s="160" t="s">
        <v>4</v>
      </c>
      <c r="E76" s="161" t="s">
        <v>5</v>
      </c>
      <c r="F76" s="163" t="s">
        <v>15</v>
      </c>
      <c r="G76" s="163" t="s">
        <v>16</v>
      </c>
      <c r="H76" s="170" t="s">
        <v>24</v>
      </c>
      <c r="I76" s="171"/>
      <c r="J76" s="171"/>
      <c r="K76" s="171"/>
      <c r="L76" s="171"/>
      <c r="M76" s="172"/>
      <c r="N76" s="176" t="s">
        <v>6</v>
      </c>
      <c r="O76" s="177"/>
      <c r="P76" s="177"/>
      <c r="Q76" s="178"/>
      <c r="R76" s="161" t="s">
        <v>8</v>
      </c>
      <c r="S76" s="179"/>
      <c r="T76" s="159" t="s">
        <v>9</v>
      </c>
      <c r="U76" s="159" t="s">
        <v>10</v>
      </c>
      <c r="V76" s="159"/>
      <c r="W76" s="159"/>
    </row>
    <row r="77" spans="1:23" s="12" customFormat="1" ht="13.05" customHeight="1" x14ac:dyDescent="0.3">
      <c r="A77" s="159"/>
      <c r="B77" s="160"/>
      <c r="C77" s="160"/>
      <c r="D77" s="160"/>
      <c r="E77" s="162"/>
      <c r="F77" s="164"/>
      <c r="G77" s="164"/>
      <c r="H77" s="173"/>
      <c r="I77" s="174"/>
      <c r="J77" s="174"/>
      <c r="K77" s="174"/>
      <c r="L77" s="174"/>
      <c r="M77" s="175"/>
      <c r="N77" s="176" t="s">
        <v>351</v>
      </c>
      <c r="O77" s="177"/>
      <c r="P77" s="177"/>
      <c r="Q77" s="178"/>
      <c r="R77" s="162"/>
      <c r="S77" s="180"/>
      <c r="T77" s="159"/>
      <c r="U77" s="159"/>
      <c r="V77" s="159"/>
      <c r="W77" s="159"/>
    </row>
    <row r="78" spans="1:23" ht="14.55" customHeight="1" x14ac:dyDescent="0.3">
      <c r="A78" s="183" t="s">
        <v>49</v>
      </c>
      <c r="B78" s="5">
        <v>0.33333333333333331</v>
      </c>
      <c r="C78" s="5">
        <v>0.70833333333333337</v>
      </c>
      <c r="D78" s="110"/>
      <c r="E78" s="3"/>
      <c r="F78" s="19"/>
      <c r="G78" s="20"/>
      <c r="H78" s="186"/>
      <c r="I78" s="187"/>
      <c r="J78" s="187"/>
      <c r="K78" s="187"/>
      <c r="L78" s="187"/>
      <c r="M78" s="188"/>
      <c r="N78" s="189">
        <v>2000</v>
      </c>
      <c r="O78" s="198"/>
      <c r="P78" s="198"/>
      <c r="Q78" s="190"/>
      <c r="R78" s="124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4"/>
      <c r="B79" s="5"/>
      <c r="C79" s="5"/>
      <c r="D79" s="110"/>
      <c r="E79" s="3"/>
      <c r="F79" s="19"/>
      <c r="G79" s="20"/>
      <c r="H79" s="186"/>
      <c r="I79" s="187"/>
      <c r="J79" s="187"/>
      <c r="K79" s="187"/>
      <c r="L79" s="187"/>
      <c r="M79" s="188"/>
      <c r="N79" s="189"/>
      <c r="O79" s="198"/>
      <c r="P79" s="198"/>
      <c r="Q79" s="190"/>
      <c r="R79" s="124"/>
      <c r="S79" s="6" t="s">
        <v>14</v>
      </c>
      <c r="T79" s="21"/>
      <c r="U79" s="204"/>
      <c r="V79" s="205"/>
      <c r="W79" s="206"/>
    </row>
    <row r="80" spans="1:23" ht="14.55" customHeight="1" x14ac:dyDescent="0.3">
      <c r="A80" s="184"/>
      <c r="B80" s="5"/>
      <c r="C80" s="5"/>
      <c r="D80" s="108"/>
      <c r="E80" s="3"/>
      <c r="F80" s="19"/>
      <c r="G80" s="20"/>
      <c r="H80" s="186"/>
      <c r="I80" s="187"/>
      <c r="J80" s="187"/>
      <c r="K80" s="187"/>
      <c r="L80" s="187"/>
      <c r="M80" s="188"/>
      <c r="N80" s="189"/>
      <c r="O80" s="198"/>
      <c r="P80" s="198"/>
      <c r="Q80" s="190"/>
      <c r="R80" s="124"/>
      <c r="S80" s="6" t="s">
        <v>14</v>
      </c>
      <c r="T80" s="21"/>
      <c r="U80" s="204"/>
      <c r="V80" s="205"/>
      <c r="W80" s="206"/>
    </row>
    <row r="81" spans="1:23" ht="14.55" customHeight="1" x14ac:dyDescent="0.3">
      <c r="A81" s="185"/>
      <c r="B81" s="165" t="s">
        <v>0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8">
        <f>SUM(N78:O80)</f>
        <v>2000</v>
      </c>
      <c r="O81" s="197"/>
      <c r="P81" s="197"/>
      <c r="Q81" s="169"/>
      <c r="R81" s="10">
        <f>SUM(R78:R80)</f>
        <v>0</v>
      </c>
      <c r="S81" s="11" t="s">
        <v>14</v>
      </c>
      <c r="T81" s="9"/>
      <c r="U81" s="204"/>
      <c r="V81" s="205"/>
      <c r="W81" s="206"/>
    </row>
    <row r="82" spans="1:23" ht="14.55" customHeight="1" x14ac:dyDescent="0.3">
      <c r="D82" s="91"/>
      <c r="E82" s="48"/>
      <c r="F82" s="48"/>
      <c r="G82" s="48"/>
      <c r="H82" s="48"/>
      <c r="I82" s="48"/>
      <c r="R82" s="91"/>
    </row>
    <row r="83" spans="1:23" ht="14.55" customHeight="1" x14ac:dyDescent="0.3">
      <c r="D83" s="91"/>
      <c r="E83" s="165" t="s">
        <v>371</v>
      </c>
      <c r="F83" s="166"/>
      <c r="G83" s="166"/>
      <c r="H83" s="166"/>
      <c r="I83" s="166"/>
      <c r="J83" s="166"/>
      <c r="K83" s="166"/>
      <c r="L83" s="166"/>
      <c r="M83" s="167"/>
      <c r="N83" s="181" t="s">
        <v>350</v>
      </c>
      <c r="O83" s="199"/>
      <c r="P83" s="199"/>
      <c r="Q83" s="182"/>
      <c r="R83" s="91"/>
    </row>
    <row r="84" spans="1:23" ht="14.55" customHeight="1" x14ac:dyDescent="0.3">
      <c r="D84" s="91"/>
      <c r="E84" s="7"/>
      <c r="F84" s="7"/>
      <c r="G84" s="7"/>
      <c r="H84" s="7"/>
      <c r="I84" s="7"/>
      <c r="J84" s="22"/>
      <c r="K84" s="23"/>
      <c r="L84" s="22"/>
      <c r="M84" s="24"/>
      <c r="N84" s="200">
        <f>N81</f>
        <v>2000</v>
      </c>
      <c r="O84" s="201"/>
      <c r="P84" s="202" t="s">
        <v>13</v>
      </c>
      <c r="Q84" s="203"/>
      <c r="R84" s="91"/>
    </row>
    <row r="85" spans="1:23" ht="14.55" customHeight="1" x14ac:dyDescent="0.3">
      <c r="D85" s="91"/>
      <c r="E85" s="48"/>
      <c r="F85" s="48"/>
      <c r="G85" s="48"/>
      <c r="H85" s="48"/>
      <c r="I85" s="48"/>
      <c r="P85" s="49"/>
      <c r="Q85" s="49"/>
      <c r="R85" s="32"/>
      <c r="S85" s="32"/>
    </row>
    <row r="86" spans="1:23" s="8" customFormat="1" ht="30" customHeight="1" x14ac:dyDescent="0.3">
      <c r="A86" s="155" t="s">
        <v>73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7"/>
      <c r="Q86" s="157"/>
      <c r="R86" s="157"/>
      <c r="S86" s="157"/>
      <c r="T86" s="156"/>
      <c r="U86" s="156"/>
      <c r="V86" s="156"/>
      <c r="W86" s="158"/>
    </row>
    <row r="87" spans="1:23" s="12" customFormat="1" ht="14.55" customHeight="1" x14ac:dyDescent="0.3">
      <c r="A87" s="159" t="s">
        <v>1</v>
      </c>
      <c r="B87" s="160" t="s">
        <v>2</v>
      </c>
      <c r="C87" s="160" t="s">
        <v>3</v>
      </c>
      <c r="D87" s="160" t="s">
        <v>4</v>
      </c>
      <c r="E87" s="161" t="s">
        <v>5</v>
      </c>
      <c r="F87" s="163" t="s">
        <v>15</v>
      </c>
      <c r="G87" s="163" t="s">
        <v>16</v>
      </c>
      <c r="H87" s="170" t="s">
        <v>30</v>
      </c>
      <c r="I87" s="171"/>
      <c r="J87" s="171"/>
      <c r="K87" s="171"/>
      <c r="L87" s="171"/>
      <c r="M87" s="172"/>
      <c r="N87" s="176" t="s">
        <v>6</v>
      </c>
      <c r="O87" s="177"/>
      <c r="P87" s="177"/>
      <c r="Q87" s="178"/>
      <c r="R87" s="161" t="s">
        <v>8</v>
      </c>
      <c r="S87" s="179"/>
      <c r="T87" s="159" t="s">
        <v>9</v>
      </c>
      <c r="U87" s="159" t="s">
        <v>10</v>
      </c>
      <c r="V87" s="159"/>
      <c r="W87" s="159"/>
    </row>
    <row r="88" spans="1:23" s="12" customFormat="1" ht="13.05" customHeight="1" x14ac:dyDescent="0.3">
      <c r="A88" s="159"/>
      <c r="B88" s="160"/>
      <c r="C88" s="160"/>
      <c r="D88" s="160"/>
      <c r="E88" s="162"/>
      <c r="F88" s="164"/>
      <c r="G88" s="164"/>
      <c r="H88" s="173"/>
      <c r="I88" s="174"/>
      <c r="J88" s="174"/>
      <c r="K88" s="174"/>
      <c r="L88" s="174"/>
      <c r="M88" s="175"/>
      <c r="N88" s="176" t="s">
        <v>7</v>
      </c>
      <c r="O88" s="177"/>
      <c r="P88" s="177" t="s">
        <v>74</v>
      </c>
      <c r="Q88" s="178"/>
      <c r="R88" s="162"/>
      <c r="S88" s="180"/>
      <c r="T88" s="159"/>
      <c r="U88" s="159"/>
      <c r="V88" s="159"/>
      <c r="W88" s="159"/>
    </row>
    <row r="89" spans="1:23" ht="14.55" customHeight="1" x14ac:dyDescent="0.3">
      <c r="A89" s="183" t="s">
        <v>49</v>
      </c>
      <c r="B89" s="5">
        <v>0.33333333333333331</v>
      </c>
      <c r="C89" s="5"/>
      <c r="D89" s="108">
        <v>290925</v>
      </c>
      <c r="E89" s="3" t="s">
        <v>326</v>
      </c>
      <c r="F89" s="19">
        <v>304</v>
      </c>
      <c r="G89" s="20">
        <v>0.9</v>
      </c>
      <c r="H89" s="186" t="s">
        <v>375</v>
      </c>
      <c r="I89" s="187"/>
      <c r="J89" s="187"/>
      <c r="K89" s="187"/>
      <c r="L89" s="187"/>
      <c r="M89" s="188"/>
      <c r="N89" s="189">
        <v>700</v>
      </c>
      <c r="O89" s="190"/>
      <c r="P89" s="189"/>
      <c r="Q89" s="190"/>
      <c r="R89" s="124"/>
      <c r="S89" s="91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160925</v>
      </c>
      <c r="E90" s="3" t="s">
        <v>316</v>
      </c>
      <c r="F90" s="19">
        <v>304</v>
      </c>
      <c r="G90" s="20">
        <v>0.9</v>
      </c>
      <c r="H90" s="186" t="s">
        <v>124</v>
      </c>
      <c r="I90" s="187"/>
      <c r="J90" s="187"/>
      <c r="K90" s="187"/>
      <c r="L90" s="187"/>
      <c r="M90" s="188"/>
      <c r="N90" s="189">
        <v>600</v>
      </c>
      <c r="O90" s="190"/>
      <c r="P90" s="189"/>
      <c r="Q90" s="190"/>
      <c r="R90" s="124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290925</v>
      </c>
      <c r="E91" s="3" t="s">
        <v>352</v>
      </c>
      <c r="F91" s="19">
        <v>304</v>
      </c>
      <c r="G91" s="20">
        <v>0.9</v>
      </c>
      <c r="H91" s="186" t="s">
        <v>124</v>
      </c>
      <c r="I91" s="187"/>
      <c r="J91" s="187"/>
      <c r="K91" s="187"/>
      <c r="L91" s="187"/>
      <c r="M91" s="188"/>
      <c r="N91" s="189">
        <v>492</v>
      </c>
      <c r="O91" s="190"/>
      <c r="P91" s="189"/>
      <c r="Q91" s="190"/>
      <c r="R91" s="124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/>
      <c r="D92" s="108" t="s">
        <v>205</v>
      </c>
      <c r="E92" s="3" t="s">
        <v>297</v>
      </c>
      <c r="F92" s="19">
        <v>304</v>
      </c>
      <c r="G92" s="20">
        <v>0.9</v>
      </c>
      <c r="H92" s="186" t="s">
        <v>122</v>
      </c>
      <c r="I92" s="187"/>
      <c r="J92" s="187"/>
      <c r="K92" s="187"/>
      <c r="L92" s="187"/>
      <c r="M92" s="188"/>
      <c r="N92" s="189">
        <v>70</v>
      </c>
      <c r="O92" s="190"/>
      <c r="P92" s="189"/>
      <c r="Q92" s="190"/>
      <c r="R92" s="124"/>
      <c r="S92" s="6" t="s">
        <v>14</v>
      </c>
      <c r="T92" s="21"/>
      <c r="U92" s="191"/>
      <c r="V92" s="192"/>
      <c r="W92" s="193"/>
    </row>
    <row r="93" spans="1:23" ht="14.55" customHeight="1" x14ac:dyDescent="0.3">
      <c r="A93" s="184"/>
      <c r="B93" s="5"/>
      <c r="C93" s="5">
        <v>0.70833333333333337</v>
      </c>
      <c r="D93" s="108" t="s">
        <v>205</v>
      </c>
      <c r="E93" s="3" t="s">
        <v>295</v>
      </c>
      <c r="F93" s="19">
        <v>304</v>
      </c>
      <c r="G93" s="20">
        <v>0.9</v>
      </c>
      <c r="H93" s="186" t="s">
        <v>122</v>
      </c>
      <c r="I93" s="187"/>
      <c r="J93" s="187"/>
      <c r="K93" s="187"/>
      <c r="L93" s="187"/>
      <c r="M93" s="188"/>
      <c r="N93" s="189">
        <v>138</v>
      </c>
      <c r="O93" s="190"/>
      <c r="P93" s="189"/>
      <c r="Q93" s="190"/>
      <c r="R93" s="124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4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4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4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24"/>
      <c r="S97" s="6" t="s">
        <v>14</v>
      </c>
      <c r="T97" s="21"/>
      <c r="U97" s="191"/>
      <c r="V97" s="192"/>
      <c r="W97" s="193"/>
    </row>
    <row r="98" spans="1:23" ht="14.55" hidden="1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24"/>
      <c r="S98" s="6" t="s">
        <v>14</v>
      </c>
      <c r="T98" s="21"/>
      <c r="U98" s="191"/>
      <c r="V98" s="192"/>
      <c r="W98" s="193"/>
    </row>
    <row r="99" spans="1:23" ht="14.55" customHeight="1" x14ac:dyDescent="0.3">
      <c r="A99" s="184"/>
      <c r="B99" s="5"/>
      <c r="C99" s="5"/>
      <c r="D99" s="108"/>
      <c r="E99" s="3"/>
      <c r="F99" s="19"/>
      <c r="G99" s="20"/>
      <c r="H99" s="186"/>
      <c r="I99" s="187"/>
      <c r="J99" s="187"/>
      <c r="K99" s="187"/>
      <c r="L99" s="187"/>
      <c r="M99" s="188"/>
      <c r="N99" s="189"/>
      <c r="O99" s="190"/>
      <c r="P99" s="189"/>
      <c r="Q99" s="190"/>
      <c r="R99" s="124"/>
      <c r="S99" s="6" t="s">
        <v>14</v>
      </c>
      <c r="T99" s="21"/>
      <c r="U99" s="191"/>
      <c r="V99" s="192"/>
      <c r="W99" s="193"/>
    </row>
    <row r="100" spans="1:23" ht="14.55" customHeight="1" x14ac:dyDescent="0.3">
      <c r="A100" s="185"/>
      <c r="B100" s="165" t="s">
        <v>0</v>
      </c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7"/>
      <c r="N100" s="168">
        <f>SUM(N89:O99)</f>
        <v>2000</v>
      </c>
      <c r="O100" s="197"/>
      <c r="P100" s="168">
        <f ca="1">SUM(P89:Q100)</f>
        <v>0</v>
      </c>
      <c r="Q100" s="197"/>
      <c r="R100" s="10">
        <f>SUM(R89:R99)</f>
        <v>0</v>
      </c>
      <c r="S100" s="11" t="s">
        <v>14</v>
      </c>
      <c r="T100" s="9"/>
      <c r="U100" s="191"/>
      <c r="V100" s="192"/>
      <c r="W100" s="193"/>
    </row>
    <row r="101" spans="1:23" ht="14.55" customHeight="1" x14ac:dyDescent="0.3">
      <c r="D101" s="91"/>
      <c r="E101" s="48"/>
      <c r="F101" s="48"/>
      <c r="G101" s="48"/>
      <c r="H101" s="48"/>
      <c r="I101" s="48"/>
      <c r="R101" s="91"/>
    </row>
    <row r="102" spans="1:23" ht="14.55" customHeight="1" x14ac:dyDescent="0.3">
      <c r="D102" s="91"/>
      <c r="E102" s="165" t="s">
        <v>65</v>
      </c>
      <c r="F102" s="166"/>
      <c r="G102" s="166"/>
      <c r="H102" s="166"/>
      <c r="I102" s="166"/>
      <c r="J102" s="166"/>
      <c r="K102" s="166"/>
      <c r="L102" s="166"/>
      <c r="M102" s="167"/>
      <c r="N102" s="181" t="s">
        <v>7</v>
      </c>
      <c r="O102" s="182"/>
      <c r="P102" s="181" t="s">
        <v>74</v>
      </c>
      <c r="Q102" s="182"/>
      <c r="R102" s="91"/>
    </row>
    <row r="103" spans="1:23" ht="14.55" customHeight="1" x14ac:dyDescent="0.3">
      <c r="D103" s="91"/>
      <c r="E103" s="7"/>
      <c r="F103" s="7"/>
      <c r="G103" s="7"/>
      <c r="H103" s="7"/>
      <c r="I103" s="7"/>
      <c r="J103" s="22"/>
      <c r="K103" s="23"/>
      <c r="L103" s="22"/>
      <c r="M103" s="24"/>
      <c r="N103" s="123">
        <f>N100</f>
        <v>2000</v>
      </c>
      <c r="O103" s="14" t="s">
        <v>13</v>
      </c>
      <c r="P103" s="123">
        <f ca="1">P100</f>
        <v>0</v>
      </c>
      <c r="Q103" s="15" t="s">
        <v>13</v>
      </c>
      <c r="R103" s="91"/>
    </row>
    <row r="104" spans="1:23" x14ac:dyDescent="0.3">
      <c r="P104" s="49"/>
      <c r="Q104" s="49"/>
      <c r="R104" s="49"/>
      <c r="S104" s="32"/>
    </row>
    <row r="105" spans="1:23" s="8" customFormat="1" ht="30" customHeight="1" x14ac:dyDescent="0.3">
      <c r="A105" s="155" t="s">
        <v>29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7"/>
      <c r="Q105" s="157"/>
      <c r="R105" s="157"/>
      <c r="S105" s="157"/>
      <c r="T105" s="156"/>
      <c r="U105" s="156"/>
      <c r="V105" s="156"/>
      <c r="W105" s="158"/>
    </row>
    <row r="106" spans="1:23" s="12" customFormat="1" ht="14.55" customHeight="1" x14ac:dyDescent="0.3">
      <c r="A106" s="159" t="s">
        <v>1</v>
      </c>
      <c r="B106" s="160" t="s">
        <v>2</v>
      </c>
      <c r="C106" s="160" t="s">
        <v>3</v>
      </c>
      <c r="D106" s="160" t="s">
        <v>4</v>
      </c>
      <c r="E106" s="161" t="s">
        <v>5</v>
      </c>
      <c r="F106" s="163" t="s">
        <v>15</v>
      </c>
      <c r="G106" s="163" t="s">
        <v>16</v>
      </c>
      <c r="H106" s="170" t="s">
        <v>30</v>
      </c>
      <c r="I106" s="171"/>
      <c r="J106" s="171"/>
      <c r="K106" s="171"/>
      <c r="L106" s="171"/>
      <c r="M106" s="172"/>
      <c r="N106" s="176" t="s">
        <v>6</v>
      </c>
      <c r="O106" s="177"/>
      <c r="P106" s="177"/>
      <c r="Q106" s="178"/>
      <c r="R106" s="161" t="s">
        <v>8</v>
      </c>
      <c r="S106" s="179"/>
      <c r="T106" s="159" t="s">
        <v>9</v>
      </c>
      <c r="U106" s="159" t="s">
        <v>10</v>
      </c>
      <c r="V106" s="159"/>
      <c r="W106" s="159"/>
    </row>
    <row r="107" spans="1:23" s="12" customFormat="1" ht="13.05" customHeight="1" x14ac:dyDescent="0.3">
      <c r="A107" s="159"/>
      <c r="B107" s="160"/>
      <c r="C107" s="160"/>
      <c r="D107" s="160"/>
      <c r="E107" s="162"/>
      <c r="F107" s="164"/>
      <c r="G107" s="164"/>
      <c r="H107" s="173"/>
      <c r="I107" s="174"/>
      <c r="J107" s="174"/>
      <c r="K107" s="174"/>
      <c r="L107" s="174"/>
      <c r="M107" s="175"/>
      <c r="N107" s="176" t="s">
        <v>7</v>
      </c>
      <c r="O107" s="177"/>
      <c r="P107" s="177"/>
      <c r="Q107" s="178"/>
      <c r="R107" s="162"/>
      <c r="S107" s="180"/>
      <c r="T107" s="159"/>
      <c r="U107" s="159"/>
      <c r="V107" s="159"/>
      <c r="W107" s="159"/>
    </row>
    <row r="108" spans="1:23" ht="14.55" customHeight="1" x14ac:dyDescent="0.3">
      <c r="A108" s="183" t="s">
        <v>49</v>
      </c>
      <c r="B108" s="5">
        <v>0.33333333333333331</v>
      </c>
      <c r="C108" s="5"/>
      <c r="D108" s="108" t="s">
        <v>205</v>
      </c>
      <c r="E108" s="3" t="s">
        <v>376</v>
      </c>
      <c r="F108" s="19">
        <v>304</v>
      </c>
      <c r="G108" s="20">
        <v>0.9</v>
      </c>
      <c r="H108" s="186" t="s">
        <v>87</v>
      </c>
      <c r="I108" s="187"/>
      <c r="J108" s="187"/>
      <c r="K108" s="187"/>
      <c r="L108" s="187"/>
      <c r="M108" s="188"/>
      <c r="N108" s="189">
        <v>284</v>
      </c>
      <c r="O108" s="198"/>
      <c r="P108" s="198"/>
      <c r="Q108" s="190"/>
      <c r="R108" s="124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 t="s">
        <v>205</v>
      </c>
      <c r="E109" s="3" t="s">
        <v>377</v>
      </c>
      <c r="F109" s="19">
        <v>304</v>
      </c>
      <c r="G109" s="20">
        <v>0.9</v>
      </c>
      <c r="H109" s="186" t="s">
        <v>87</v>
      </c>
      <c r="I109" s="187"/>
      <c r="J109" s="187"/>
      <c r="K109" s="187"/>
      <c r="L109" s="187"/>
      <c r="M109" s="188"/>
      <c r="N109" s="189">
        <v>749</v>
      </c>
      <c r="O109" s="198"/>
      <c r="P109" s="198"/>
      <c r="Q109" s="190"/>
      <c r="R109" s="124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>
        <v>0.70833333333333337</v>
      </c>
      <c r="D110" s="108" t="s">
        <v>205</v>
      </c>
      <c r="E110" s="3" t="s">
        <v>378</v>
      </c>
      <c r="F110" s="19">
        <v>304</v>
      </c>
      <c r="G110" s="20">
        <v>0.9</v>
      </c>
      <c r="H110" s="186" t="s">
        <v>87</v>
      </c>
      <c r="I110" s="187"/>
      <c r="J110" s="187"/>
      <c r="K110" s="187"/>
      <c r="L110" s="187"/>
      <c r="M110" s="188"/>
      <c r="N110" s="189">
        <v>420</v>
      </c>
      <c r="O110" s="198"/>
      <c r="P110" s="198"/>
      <c r="Q110" s="190"/>
      <c r="R110" s="124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/>
      <c r="E111" s="3"/>
      <c r="F111" s="19"/>
      <c r="G111" s="20"/>
      <c r="H111" s="186"/>
      <c r="I111" s="187"/>
      <c r="J111" s="187"/>
      <c r="K111" s="187"/>
      <c r="L111" s="187"/>
      <c r="M111" s="188"/>
      <c r="N111" s="189"/>
      <c r="O111" s="198"/>
      <c r="P111" s="198"/>
      <c r="Q111" s="190"/>
      <c r="R111" s="124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24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5"/>
      <c r="B113" s="165" t="s">
        <v>0</v>
      </c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7"/>
      <c r="N113" s="168">
        <f>SUM(N108:O112)</f>
        <v>1453</v>
      </c>
      <c r="O113" s="197"/>
      <c r="P113" s="197"/>
      <c r="Q113" s="169"/>
      <c r="R113" s="10">
        <f>SUM(R108:R112)</f>
        <v>0</v>
      </c>
      <c r="S113" s="11" t="s">
        <v>14</v>
      </c>
      <c r="T113" s="9"/>
      <c r="U113" s="204"/>
      <c r="V113" s="205"/>
      <c r="W113" s="206"/>
    </row>
    <row r="114" spans="1:23" ht="14.55" customHeight="1" x14ac:dyDescent="0.3">
      <c r="D114" s="91"/>
      <c r="E114" s="48"/>
      <c r="F114" s="48"/>
      <c r="G114" s="48"/>
      <c r="H114" s="48"/>
      <c r="I114" s="48"/>
      <c r="R114" s="91"/>
    </row>
    <row r="115" spans="1:23" ht="14.55" customHeight="1" x14ac:dyDescent="0.3">
      <c r="D115" s="91"/>
      <c r="E115" s="165" t="s">
        <v>33</v>
      </c>
      <c r="F115" s="166"/>
      <c r="G115" s="166"/>
      <c r="H115" s="166"/>
      <c r="I115" s="166"/>
      <c r="J115" s="166"/>
      <c r="K115" s="166"/>
      <c r="L115" s="166"/>
      <c r="M115" s="167"/>
      <c r="N115" s="181" t="s">
        <v>7</v>
      </c>
      <c r="O115" s="199"/>
      <c r="P115" s="199"/>
      <c r="Q115" s="182"/>
      <c r="R115" s="91"/>
    </row>
    <row r="116" spans="1:23" ht="14.55" customHeight="1" x14ac:dyDescent="0.3">
      <c r="D116" s="91"/>
      <c r="E116" s="7"/>
      <c r="F116" s="7"/>
      <c r="G116" s="7"/>
      <c r="H116" s="7"/>
      <c r="I116" s="7"/>
      <c r="J116" s="22"/>
      <c r="K116" s="23"/>
      <c r="L116" s="22"/>
      <c r="M116" s="24"/>
      <c r="N116" s="200">
        <f>N113</f>
        <v>1453</v>
      </c>
      <c r="O116" s="201"/>
      <c r="P116" s="202" t="s">
        <v>13</v>
      </c>
      <c r="Q116" s="203"/>
      <c r="R116" s="91"/>
    </row>
  </sheetData>
  <mergeCells count="310"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  <mergeCell ref="A11:A14"/>
    <mergeCell ref="H11:M11"/>
    <mergeCell ref="N11:O11"/>
    <mergeCell ref="P11:Q11"/>
    <mergeCell ref="A7:A10"/>
    <mergeCell ref="H7:M7"/>
    <mergeCell ref="N7:O7"/>
    <mergeCell ref="P7:Q7"/>
    <mergeCell ref="Q3:S3"/>
    <mergeCell ref="U7:W10"/>
    <mergeCell ref="H8:M8"/>
    <mergeCell ref="N8:O8"/>
    <mergeCell ref="P8:Q8"/>
    <mergeCell ref="H9:M9"/>
    <mergeCell ref="N9:O9"/>
    <mergeCell ref="T20:T21"/>
    <mergeCell ref="U20:W21"/>
    <mergeCell ref="N21:Q21"/>
    <mergeCell ref="U11:W14"/>
    <mergeCell ref="H12:M12"/>
    <mergeCell ref="N12:O12"/>
    <mergeCell ref="P12:Q12"/>
    <mergeCell ref="H13:M13"/>
    <mergeCell ref="N13:O13"/>
    <mergeCell ref="P13:Q13"/>
    <mergeCell ref="B14:M14"/>
    <mergeCell ref="N14:O14"/>
    <mergeCell ref="P14:Q14"/>
    <mergeCell ref="P9:Q9"/>
    <mergeCell ref="B10:M10"/>
    <mergeCell ref="N10:O10"/>
    <mergeCell ref="P10:Q10"/>
    <mergeCell ref="B26:M26"/>
    <mergeCell ref="N26:Q26"/>
    <mergeCell ref="E16:M16"/>
    <mergeCell ref="N16:O16"/>
    <mergeCell ref="P16:Q16"/>
    <mergeCell ref="A19:W19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B70:M70"/>
    <mergeCell ref="N70:Q70"/>
    <mergeCell ref="E72:M72"/>
    <mergeCell ref="N72:Q72"/>
    <mergeCell ref="N73:O73"/>
    <mergeCell ref="P73:Q73"/>
    <mergeCell ref="U65:W66"/>
    <mergeCell ref="N66:Q66"/>
    <mergeCell ref="A67:A70"/>
    <mergeCell ref="H67:M67"/>
    <mergeCell ref="N67:Q67"/>
    <mergeCell ref="U67:W70"/>
    <mergeCell ref="H68:M68"/>
    <mergeCell ref="N68:Q68"/>
    <mergeCell ref="H69:M69"/>
    <mergeCell ref="N69:Q69"/>
    <mergeCell ref="F65:F66"/>
    <mergeCell ref="G65:G66"/>
    <mergeCell ref="H65:M66"/>
    <mergeCell ref="N65:Q65"/>
    <mergeCell ref="R65:S66"/>
    <mergeCell ref="T65:T66"/>
    <mergeCell ref="A75:W75"/>
    <mergeCell ref="A76:A77"/>
    <mergeCell ref="B76:B77"/>
    <mergeCell ref="C76:C77"/>
    <mergeCell ref="D76:D77"/>
    <mergeCell ref="E76:E77"/>
    <mergeCell ref="F76:F77"/>
    <mergeCell ref="G76:G77"/>
    <mergeCell ref="H76:M77"/>
    <mergeCell ref="N76:Q76"/>
    <mergeCell ref="E83:M83"/>
    <mergeCell ref="N83:Q83"/>
    <mergeCell ref="R76:S77"/>
    <mergeCell ref="T76:T77"/>
    <mergeCell ref="U76:W77"/>
    <mergeCell ref="N77:Q77"/>
    <mergeCell ref="N84:O84"/>
    <mergeCell ref="P84:Q84"/>
    <mergeCell ref="A86:W86"/>
    <mergeCell ref="A78:A81"/>
    <mergeCell ref="H78:M78"/>
    <mergeCell ref="N78:Q78"/>
    <mergeCell ref="U78:W81"/>
    <mergeCell ref="H79:M79"/>
    <mergeCell ref="N79:Q79"/>
    <mergeCell ref="H80:M80"/>
    <mergeCell ref="N80:Q80"/>
    <mergeCell ref="B81:M81"/>
    <mergeCell ref="N81:Q81"/>
    <mergeCell ref="A87:A88"/>
    <mergeCell ref="B87:B88"/>
    <mergeCell ref="C87:C88"/>
    <mergeCell ref="D87:D88"/>
    <mergeCell ref="E87:E88"/>
    <mergeCell ref="F87:F88"/>
    <mergeCell ref="G87:G88"/>
    <mergeCell ref="U89:W100"/>
    <mergeCell ref="H90:M90"/>
    <mergeCell ref="N90:O90"/>
    <mergeCell ref="P90:Q90"/>
    <mergeCell ref="H91:M91"/>
    <mergeCell ref="N91:O91"/>
    <mergeCell ref="H87:M88"/>
    <mergeCell ref="N87:Q87"/>
    <mergeCell ref="R87:S88"/>
    <mergeCell ref="T87:T88"/>
    <mergeCell ref="U87:W88"/>
    <mergeCell ref="N88:O88"/>
    <mergeCell ref="P88:Q88"/>
    <mergeCell ref="P91:Q91"/>
    <mergeCell ref="H92:M92"/>
    <mergeCell ref="N92:O92"/>
    <mergeCell ref="P92:Q92"/>
    <mergeCell ref="H93:M93"/>
    <mergeCell ref="N93:O93"/>
    <mergeCell ref="P93:Q93"/>
    <mergeCell ref="A89:A100"/>
    <mergeCell ref="H89:M89"/>
    <mergeCell ref="N89:O89"/>
    <mergeCell ref="P89:Q89"/>
    <mergeCell ref="H96:M96"/>
    <mergeCell ref="N96:O96"/>
    <mergeCell ref="P96:Q96"/>
    <mergeCell ref="H97:M97"/>
    <mergeCell ref="N97:O97"/>
    <mergeCell ref="P97:Q97"/>
    <mergeCell ref="H94:M94"/>
    <mergeCell ref="N94:O94"/>
    <mergeCell ref="P94:Q94"/>
    <mergeCell ref="H95:M95"/>
    <mergeCell ref="N95:O95"/>
    <mergeCell ref="P95:Q95"/>
    <mergeCell ref="B100:M100"/>
    <mergeCell ref="N100:O100"/>
    <mergeCell ref="P100:Q100"/>
    <mergeCell ref="E102:M102"/>
    <mergeCell ref="N102:O102"/>
    <mergeCell ref="P102:Q102"/>
    <mergeCell ref="H98:M98"/>
    <mergeCell ref="N98:O98"/>
    <mergeCell ref="P98:Q98"/>
    <mergeCell ref="H99:M99"/>
    <mergeCell ref="N99:O99"/>
    <mergeCell ref="P99:Q99"/>
    <mergeCell ref="U108:W113"/>
    <mergeCell ref="H109:M109"/>
    <mergeCell ref="N109:Q109"/>
    <mergeCell ref="B113:M113"/>
    <mergeCell ref="N113:Q113"/>
    <mergeCell ref="E115:M115"/>
    <mergeCell ref="N115:Q115"/>
    <mergeCell ref="A105:W105"/>
    <mergeCell ref="A106:A107"/>
    <mergeCell ref="B106:B107"/>
    <mergeCell ref="C106:C107"/>
    <mergeCell ref="D106:D107"/>
    <mergeCell ref="E106:E107"/>
    <mergeCell ref="F106:F107"/>
    <mergeCell ref="G106:G107"/>
    <mergeCell ref="H106:M107"/>
    <mergeCell ref="N106:Q106"/>
    <mergeCell ref="R106:S107"/>
    <mergeCell ref="T106:T107"/>
    <mergeCell ref="U106:W107"/>
    <mergeCell ref="N107:Q107"/>
    <mergeCell ref="N116:O116"/>
    <mergeCell ref="P116:Q116"/>
    <mergeCell ref="H110:M110"/>
    <mergeCell ref="N110:Q110"/>
    <mergeCell ref="H111:M111"/>
    <mergeCell ref="N111:Q111"/>
    <mergeCell ref="H112:M112"/>
    <mergeCell ref="N112:Q112"/>
    <mergeCell ref="A108:A113"/>
    <mergeCell ref="H108:M108"/>
    <mergeCell ref="N108:Q108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opLeftCell="A7" zoomScale="85" zoomScaleNormal="85" workbookViewId="0">
      <selection activeCell="N20" sqref="N20:Q20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4.664062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45952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08">
        <v>131025</v>
      </c>
      <c r="E7" s="3" t="s">
        <v>381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2150</v>
      </c>
      <c r="O7" s="190"/>
      <c r="P7" s="189"/>
      <c r="Q7" s="190"/>
      <c r="R7" s="122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22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2150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>
        <v>0.33333333333333331</v>
      </c>
      <c r="C10" s="5">
        <v>0.70833333333333337</v>
      </c>
      <c r="D10" s="108">
        <v>131025</v>
      </c>
      <c r="E10" s="3" t="s">
        <v>379</v>
      </c>
      <c r="F10" s="19">
        <v>304</v>
      </c>
      <c r="G10" s="20">
        <v>0.9</v>
      </c>
      <c r="H10" s="186"/>
      <c r="I10" s="187"/>
      <c r="J10" s="187"/>
      <c r="K10" s="187"/>
      <c r="L10" s="187"/>
      <c r="M10" s="188"/>
      <c r="N10" s="189">
        <v>1280</v>
      </c>
      <c r="O10" s="190"/>
      <c r="P10" s="189"/>
      <c r="Q10" s="190"/>
      <c r="R10" s="122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22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1280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21">
        <f>N9+N12</f>
        <v>3430</v>
      </c>
      <c r="O15" s="14" t="s">
        <v>13</v>
      </c>
      <c r="P15" s="121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10">
        <v>131025</v>
      </c>
      <c r="E20" s="3" t="s">
        <v>380</v>
      </c>
      <c r="F20" s="19">
        <v>304</v>
      </c>
      <c r="G20" s="20">
        <v>0.9</v>
      </c>
      <c r="H20" s="186"/>
      <c r="I20" s="187"/>
      <c r="J20" s="187"/>
      <c r="K20" s="187"/>
      <c r="L20" s="187"/>
      <c r="M20" s="188"/>
      <c r="N20" s="189">
        <v>410</v>
      </c>
      <c r="O20" s="198"/>
      <c r="P20" s="198"/>
      <c r="Q20" s="190"/>
      <c r="R20" s="122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>
        <v>0.70833333333333337</v>
      </c>
      <c r="D21" s="110">
        <v>290925</v>
      </c>
      <c r="E21" s="3" t="s">
        <v>360</v>
      </c>
      <c r="F21" s="19">
        <v>304</v>
      </c>
      <c r="G21" s="20">
        <v>0.8</v>
      </c>
      <c r="H21" s="186"/>
      <c r="I21" s="187"/>
      <c r="J21" s="187"/>
      <c r="K21" s="187"/>
      <c r="L21" s="187"/>
      <c r="M21" s="188"/>
      <c r="N21" s="189">
        <v>1840</v>
      </c>
      <c r="O21" s="198"/>
      <c r="P21" s="198"/>
      <c r="Q21" s="190"/>
      <c r="R21" s="122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22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22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2250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2250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10">
        <v>290925</v>
      </c>
      <c r="E32" s="3" t="s">
        <v>360</v>
      </c>
      <c r="F32" s="19">
        <v>304</v>
      </c>
      <c r="G32" s="20">
        <v>0.8</v>
      </c>
      <c r="H32" s="186" t="s">
        <v>172</v>
      </c>
      <c r="I32" s="187"/>
      <c r="J32" s="187"/>
      <c r="K32" s="187"/>
      <c r="L32" s="187"/>
      <c r="M32" s="188"/>
      <c r="N32" s="189">
        <v>2000</v>
      </c>
      <c r="O32" s="190"/>
      <c r="P32" s="189"/>
      <c r="Q32" s="190"/>
      <c r="R32" s="122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22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22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2000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21">
        <f>N35</f>
        <v>2000</v>
      </c>
      <c r="O38" s="14" t="s">
        <v>13</v>
      </c>
      <c r="P38" s="121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10">
        <v>290925</v>
      </c>
      <c r="E43" s="3" t="s">
        <v>382</v>
      </c>
      <c r="F43" s="19">
        <v>304</v>
      </c>
      <c r="G43" s="20">
        <v>0.9</v>
      </c>
      <c r="H43" s="186"/>
      <c r="I43" s="187"/>
      <c r="J43" s="187"/>
      <c r="K43" s="187"/>
      <c r="L43" s="187"/>
      <c r="M43" s="188"/>
      <c r="N43" s="189">
        <v>1700</v>
      </c>
      <c r="O43" s="198"/>
      <c r="P43" s="198"/>
      <c r="Q43" s="190"/>
      <c r="R43" s="122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>
        <v>0.70833333333333337</v>
      </c>
      <c r="D44" s="110">
        <v>131025</v>
      </c>
      <c r="E44" s="3" t="s">
        <v>54</v>
      </c>
      <c r="F44" s="19">
        <v>304</v>
      </c>
      <c r="G44" s="20">
        <v>0.9</v>
      </c>
      <c r="H44" s="186"/>
      <c r="I44" s="187"/>
      <c r="J44" s="187"/>
      <c r="K44" s="187"/>
      <c r="L44" s="187"/>
      <c r="M44" s="188"/>
      <c r="N44" s="189">
        <v>380</v>
      </c>
      <c r="O44" s="198"/>
      <c r="P44" s="198"/>
      <c r="Q44" s="190"/>
      <c r="R44" s="122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22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2080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2080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>
        <v>0.70833333333333337</v>
      </c>
      <c r="D54" s="110">
        <v>290925</v>
      </c>
      <c r="E54" s="3" t="s">
        <v>382</v>
      </c>
      <c r="F54" s="19">
        <v>304</v>
      </c>
      <c r="G54" s="20">
        <v>0.9</v>
      </c>
      <c r="H54" s="186"/>
      <c r="I54" s="187"/>
      <c r="J54" s="187"/>
      <c r="K54" s="187"/>
      <c r="L54" s="187"/>
      <c r="M54" s="188"/>
      <c r="N54" s="189">
        <v>2300</v>
      </c>
      <c r="O54" s="198"/>
      <c r="P54" s="198"/>
      <c r="Q54" s="190"/>
      <c r="R54" s="122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22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22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2300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2300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290925</v>
      </c>
      <c r="E65" s="3" t="s">
        <v>383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2750</v>
      </c>
      <c r="O65" s="198"/>
      <c r="P65" s="198"/>
      <c r="Q65" s="190"/>
      <c r="R65" s="122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22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22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2750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2750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 t="s">
        <v>384</v>
      </c>
      <c r="F76" s="19"/>
      <c r="G76" s="20"/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22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22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22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2000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91"/>
      <c r="E80" s="48"/>
      <c r="F80" s="48"/>
      <c r="G80" s="48"/>
      <c r="H80" s="48"/>
      <c r="I80" s="48"/>
      <c r="R80" s="91"/>
    </row>
    <row r="81" spans="1:23" ht="14.55" customHeight="1" x14ac:dyDescent="0.3">
      <c r="D81" s="91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91"/>
    </row>
    <row r="82" spans="1:23" ht="14.55" customHeight="1" x14ac:dyDescent="0.3">
      <c r="D82" s="91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2000</v>
      </c>
      <c r="O82" s="201"/>
      <c r="P82" s="202" t="s">
        <v>13</v>
      </c>
      <c r="Q82" s="203"/>
      <c r="R82" s="91"/>
    </row>
    <row r="83" spans="1:23" ht="14.55" customHeight="1" x14ac:dyDescent="0.3">
      <c r="D83" s="91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290925</v>
      </c>
      <c r="E87" s="3" t="s">
        <v>382</v>
      </c>
      <c r="F87" s="19">
        <v>304</v>
      </c>
      <c r="G87" s="20">
        <v>0.9</v>
      </c>
      <c r="H87" s="186" t="s">
        <v>122</v>
      </c>
      <c r="I87" s="187"/>
      <c r="J87" s="187"/>
      <c r="K87" s="187"/>
      <c r="L87" s="187"/>
      <c r="M87" s="188"/>
      <c r="N87" s="189">
        <v>1500</v>
      </c>
      <c r="O87" s="190"/>
      <c r="P87" s="189"/>
      <c r="Q87" s="190"/>
      <c r="R87" s="122"/>
      <c r="S87" s="91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08">
        <v>100925</v>
      </c>
      <c r="E88" s="3" t="s">
        <v>385</v>
      </c>
      <c r="F88" s="19">
        <v>304</v>
      </c>
      <c r="G88" s="20">
        <v>0.9</v>
      </c>
      <c r="H88" s="186" t="s">
        <v>122</v>
      </c>
      <c r="I88" s="187"/>
      <c r="J88" s="187"/>
      <c r="K88" s="187"/>
      <c r="L88" s="187"/>
      <c r="M88" s="188"/>
      <c r="N88" s="189">
        <v>109</v>
      </c>
      <c r="O88" s="190"/>
      <c r="P88" s="189"/>
      <c r="Q88" s="190"/>
      <c r="R88" s="122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100925</v>
      </c>
      <c r="E89" s="3" t="s">
        <v>386</v>
      </c>
      <c r="F89" s="19">
        <v>304</v>
      </c>
      <c r="G89" s="20">
        <v>0.9</v>
      </c>
      <c r="H89" s="186" t="s">
        <v>122</v>
      </c>
      <c r="I89" s="187"/>
      <c r="J89" s="187"/>
      <c r="K89" s="187"/>
      <c r="L89" s="187"/>
      <c r="M89" s="188"/>
      <c r="N89" s="189">
        <v>96</v>
      </c>
      <c r="O89" s="190"/>
      <c r="P89" s="189"/>
      <c r="Q89" s="190"/>
      <c r="R89" s="122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100925</v>
      </c>
      <c r="E90" s="3" t="s">
        <v>387</v>
      </c>
      <c r="F90" s="19">
        <v>304</v>
      </c>
      <c r="G90" s="20">
        <v>0.9</v>
      </c>
      <c r="H90" s="186" t="s">
        <v>122</v>
      </c>
      <c r="I90" s="187"/>
      <c r="J90" s="187"/>
      <c r="K90" s="187"/>
      <c r="L90" s="187"/>
      <c r="M90" s="188"/>
      <c r="N90" s="189">
        <v>49</v>
      </c>
      <c r="O90" s="190"/>
      <c r="P90" s="189"/>
      <c r="Q90" s="190"/>
      <c r="R90" s="122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100925</v>
      </c>
      <c r="E91" s="3" t="s">
        <v>388</v>
      </c>
      <c r="F91" s="19">
        <v>304</v>
      </c>
      <c r="G91" s="20">
        <v>0.9</v>
      </c>
      <c r="H91" s="186" t="s">
        <v>122</v>
      </c>
      <c r="I91" s="187"/>
      <c r="J91" s="187"/>
      <c r="K91" s="187"/>
      <c r="L91" s="187"/>
      <c r="M91" s="188"/>
      <c r="N91" s="189">
        <v>22</v>
      </c>
      <c r="O91" s="190"/>
      <c r="P91" s="189"/>
      <c r="Q91" s="190"/>
      <c r="R91" s="122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22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22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2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2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2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>
        <v>0.70833333333333337</v>
      </c>
      <c r="D97" s="108" t="s">
        <v>205</v>
      </c>
      <c r="E97" s="3" t="s">
        <v>317</v>
      </c>
      <c r="F97" s="19">
        <v>304</v>
      </c>
      <c r="G97" s="20">
        <v>0.9</v>
      </c>
      <c r="H97" s="186" t="s">
        <v>122</v>
      </c>
      <c r="I97" s="187"/>
      <c r="J97" s="187"/>
      <c r="K97" s="187"/>
      <c r="L97" s="187"/>
      <c r="M97" s="188"/>
      <c r="N97" s="189">
        <v>25</v>
      </c>
      <c r="O97" s="190"/>
      <c r="P97" s="189"/>
      <c r="Q97" s="190"/>
      <c r="R97" s="122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1801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91"/>
      <c r="E99" s="48"/>
      <c r="F99" s="48"/>
      <c r="G99" s="48"/>
      <c r="H99" s="48"/>
      <c r="I99" s="48"/>
      <c r="R99" s="91"/>
    </row>
    <row r="100" spans="1:23" ht="14.55" customHeight="1" x14ac:dyDescent="0.3">
      <c r="D100" s="91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91"/>
    </row>
    <row r="101" spans="1:23" ht="14.55" customHeight="1" x14ac:dyDescent="0.3">
      <c r="D101" s="91"/>
      <c r="E101" s="7"/>
      <c r="F101" s="7"/>
      <c r="G101" s="7"/>
      <c r="H101" s="7"/>
      <c r="I101" s="7"/>
      <c r="J101" s="22"/>
      <c r="K101" s="23"/>
      <c r="L101" s="22"/>
      <c r="M101" s="24"/>
      <c r="N101" s="121">
        <f>N98</f>
        <v>1801</v>
      </c>
      <c r="O101" s="14" t="s">
        <v>13</v>
      </c>
      <c r="P101" s="121">
        <f ca="1">P98</f>
        <v>0</v>
      </c>
      <c r="Q101" s="15" t="s">
        <v>13</v>
      </c>
      <c r="R101" s="91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08" t="s">
        <v>205</v>
      </c>
      <c r="E106" s="3" t="s">
        <v>389</v>
      </c>
      <c r="F106" s="19">
        <v>304</v>
      </c>
      <c r="G106" s="20">
        <v>0.9</v>
      </c>
      <c r="H106" s="186" t="s">
        <v>87</v>
      </c>
      <c r="I106" s="187"/>
      <c r="J106" s="187"/>
      <c r="K106" s="187"/>
      <c r="L106" s="187"/>
      <c r="M106" s="188"/>
      <c r="N106" s="189">
        <v>80</v>
      </c>
      <c r="O106" s="198"/>
      <c r="P106" s="198"/>
      <c r="Q106" s="190"/>
      <c r="R106" s="122"/>
      <c r="S106" s="91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/>
      <c r="D107" s="108" t="s">
        <v>205</v>
      </c>
      <c r="E107" s="3" t="s">
        <v>390</v>
      </c>
      <c r="F107" s="19">
        <v>304</v>
      </c>
      <c r="G107" s="20">
        <v>0.9</v>
      </c>
      <c r="H107" s="186" t="s">
        <v>87</v>
      </c>
      <c r="I107" s="187"/>
      <c r="J107" s="187"/>
      <c r="K107" s="187"/>
      <c r="L107" s="187"/>
      <c r="M107" s="188"/>
      <c r="N107" s="189">
        <v>142</v>
      </c>
      <c r="O107" s="198"/>
      <c r="P107" s="198"/>
      <c r="Q107" s="190"/>
      <c r="R107" s="125"/>
      <c r="S107" s="91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>
        <v>100925</v>
      </c>
      <c r="E108" s="3" t="s">
        <v>391</v>
      </c>
      <c r="F108" s="19">
        <v>304</v>
      </c>
      <c r="G108" s="20">
        <v>0.9</v>
      </c>
      <c r="H108" s="186" t="s">
        <v>87</v>
      </c>
      <c r="I108" s="187"/>
      <c r="J108" s="187"/>
      <c r="K108" s="187"/>
      <c r="L108" s="187"/>
      <c r="M108" s="188"/>
      <c r="N108" s="189">
        <v>161</v>
      </c>
      <c r="O108" s="198"/>
      <c r="P108" s="198"/>
      <c r="Q108" s="190"/>
      <c r="R108" s="125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/>
      <c r="D109" s="108">
        <v>100925</v>
      </c>
      <c r="E109" s="3" t="s">
        <v>392</v>
      </c>
      <c r="F109" s="19">
        <v>304</v>
      </c>
      <c r="G109" s="20">
        <v>0.9</v>
      </c>
      <c r="H109" s="186" t="s">
        <v>87</v>
      </c>
      <c r="I109" s="187"/>
      <c r="J109" s="187"/>
      <c r="K109" s="187"/>
      <c r="L109" s="187"/>
      <c r="M109" s="188"/>
      <c r="N109" s="189">
        <v>368</v>
      </c>
      <c r="O109" s="198"/>
      <c r="P109" s="198"/>
      <c r="Q109" s="190"/>
      <c r="R109" s="125"/>
      <c r="S109" s="91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>
        <v>100925</v>
      </c>
      <c r="E110" s="3" t="s">
        <v>393</v>
      </c>
      <c r="F110" s="19">
        <v>304</v>
      </c>
      <c r="G110" s="20">
        <v>0.9</v>
      </c>
      <c r="H110" s="186" t="s">
        <v>87</v>
      </c>
      <c r="I110" s="187"/>
      <c r="J110" s="187"/>
      <c r="K110" s="187"/>
      <c r="L110" s="187"/>
      <c r="M110" s="188"/>
      <c r="N110" s="189">
        <v>22</v>
      </c>
      <c r="O110" s="198"/>
      <c r="P110" s="198"/>
      <c r="Q110" s="190"/>
      <c r="R110" s="122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>
        <v>100925</v>
      </c>
      <c r="E111" s="3" t="s">
        <v>394</v>
      </c>
      <c r="F111" s="19">
        <v>304</v>
      </c>
      <c r="G111" s="20">
        <v>0.9</v>
      </c>
      <c r="H111" s="186" t="s">
        <v>87</v>
      </c>
      <c r="I111" s="187"/>
      <c r="J111" s="187"/>
      <c r="K111" s="187"/>
      <c r="L111" s="187"/>
      <c r="M111" s="188"/>
      <c r="N111" s="189">
        <v>41</v>
      </c>
      <c r="O111" s="198"/>
      <c r="P111" s="198"/>
      <c r="Q111" s="190"/>
      <c r="R111" s="122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 t="s">
        <v>205</v>
      </c>
      <c r="E112" s="3" t="s">
        <v>395</v>
      </c>
      <c r="F112" s="19">
        <v>304</v>
      </c>
      <c r="G112" s="20">
        <v>0.9</v>
      </c>
      <c r="H112" s="186" t="s">
        <v>87</v>
      </c>
      <c r="I112" s="187"/>
      <c r="J112" s="187"/>
      <c r="K112" s="187"/>
      <c r="L112" s="187"/>
      <c r="M112" s="188"/>
      <c r="N112" s="189">
        <v>25</v>
      </c>
      <c r="O112" s="198"/>
      <c r="P112" s="198"/>
      <c r="Q112" s="190"/>
      <c r="R112" s="122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4"/>
      <c r="B113" s="5"/>
      <c r="C113" s="5"/>
      <c r="D113" s="108"/>
      <c r="E113" s="3"/>
      <c r="F113" s="19"/>
      <c r="G113" s="20"/>
      <c r="H113" s="186"/>
      <c r="I113" s="187"/>
      <c r="J113" s="187"/>
      <c r="K113" s="187"/>
      <c r="L113" s="187"/>
      <c r="M113" s="188"/>
      <c r="N113" s="189"/>
      <c r="O113" s="198"/>
      <c r="P113" s="198"/>
      <c r="Q113" s="190"/>
      <c r="R113" s="122"/>
      <c r="S113" s="6" t="s">
        <v>14</v>
      </c>
      <c r="T113" s="21"/>
      <c r="U113" s="204"/>
      <c r="V113" s="205"/>
      <c r="W113" s="206"/>
    </row>
    <row r="114" spans="1:23" ht="14.55" customHeight="1" x14ac:dyDescent="0.3">
      <c r="A114" s="185"/>
      <c r="B114" s="165" t="s">
        <v>0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8">
        <f>SUM(N106:O113)</f>
        <v>839</v>
      </c>
      <c r="O114" s="197"/>
      <c r="P114" s="197"/>
      <c r="Q114" s="169"/>
      <c r="R114" s="10">
        <f>SUM(R106:R113)</f>
        <v>0</v>
      </c>
      <c r="S114" s="11" t="s">
        <v>14</v>
      </c>
      <c r="T114" s="9"/>
      <c r="U114" s="204"/>
      <c r="V114" s="205"/>
      <c r="W114" s="206"/>
    </row>
    <row r="115" spans="1:23" ht="14.55" customHeight="1" x14ac:dyDescent="0.3">
      <c r="D115" s="91"/>
      <c r="E115" s="48"/>
      <c r="F115" s="48"/>
      <c r="G115" s="48"/>
      <c r="H115" s="48"/>
      <c r="I115" s="48"/>
      <c r="R115" s="91"/>
    </row>
    <row r="116" spans="1:23" ht="14.55" customHeight="1" x14ac:dyDescent="0.3">
      <c r="D116" s="91"/>
      <c r="E116" s="165" t="s">
        <v>33</v>
      </c>
      <c r="F116" s="166"/>
      <c r="G116" s="166"/>
      <c r="H116" s="166"/>
      <c r="I116" s="166"/>
      <c r="J116" s="166"/>
      <c r="K116" s="166"/>
      <c r="L116" s="166"/>
      <c r="M116" s="167"/>
      <c r="N116" s="181" t="s">
        <v>7</v>
      </c>
      <c r="O116" s="199"/>
      <c r="P116" s="199"/>
      <c r="Q116" s="182"/>
      <c r="R116" s="91"/>
    </row>
    <row r="117" spans="1:23" ht="14.55" customHeight="1" x14ac:dyDescent="0.3">
      <c r="D117" s="91"/>
      <c r="E117" s="7"/>
      <c r="F117" s="7"/>
      <c r="G117" s="7"/>
      <c r="H117" s="7"/>
      <c r="I117" s="7"/>
      <c r="J117" s="22"/>
      <c r="K117" s="23"/>
      <c r="L117" s="22"/>
      <c r="M117" s="24"/>
      <c r="N117" s="200">
        <f>N114</f>
        <v>839</v>
      </c>
      <c r="O117" s="201"/>
      <c r="P117" s="202" t="s">
        <v>13</v>
      </c>
      <c r="Q117" s="203"/>
      <c r="R117" s="91"/>
    </row>
  </sheetData>
  <mergeCells count="310">
    <mergeCell ref="N117:O117"/>
    <mergeCell ref="P117:Q117"/>
    <mergeCell ref="H111:M111"/>
    <mergeCell ref="N111:Q111"/>
    <mergeCell ref="H112:M112"/>
    <mergeCell ref="N112:Q112"/>
    <mergeCell ref="H113:M113"/>
    <mergeCell ref="N113:Q113"/>
    <mergeCell ref="H107:M107"/>
    <mergeCell ref="N107:Q107"/>
    <mergeCell ref="H108:M108"/>
    <mergeCell ref="N108:Q108"/>
    <mergeCell ref="H109:M109"/>
    <mergeCell ref="N109:Q109"/>
    <mergeCell ref="A106:A114"/>
    <mergeCell ref="H106:M106"/>
    <mergeCell ref="N106:Q106"/>
    <mergeCell ref="U106:W114"/>
    <mergeCell ref="H110:M110"/>
    <mergeCell ref="N110:Q110"/>
    <mergeCell ref="B114:M114"/>
    <mergeCell ref="N114:Q114"/>
    <mergeCell ref="E116:M116"/>
    <mergeCell ref="N116:Q116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R104:S105"/>
    <mergeCell ref="T104:T105"/>
    <mergeCell ref="U104:W105"/>
    <mergeCell ref="N105:Q105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T18:T19"/>
    <mergeCell ref="U18:W19"/>
    <mergeCell ref="N19:Q19"/>
    <mergeCell ref="B24:M24"/>
    <mergeCell ref="N24:Q24"/>
    <mergeCell ref="E14:M14"/>
    <mergeCell ref="N14:O14"/>
    <mergeCell ref="P14:Q14"/>
    <mergeCell ref="A17:W17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U10:W12"/>
    <mergeCell ref="H11:M11"/>
    <mergeCell ref="N11:O11"/>
    <mergeCell ref="P11:Q11"/>
    <mergeCell ref="B12:M12"/>
    <mergeCell ref="N12:O12"/>
    <mergeCell ref="P12:Q12"/>
    <mergeCell ref="U7:W9"/>
    <mergeCell ref="H8:M8"/>
    <mergeCell ref="N8:O8"/>
    <mergeCell ref="P8:Q8"/>
    <mergeCell ref="B9:M9"/>
    <mergeCell ref="N9:O9"/>
    <mergeCell ref="P9:Q9"/>
    <mergeCell ref="A10:A12"/>
    <mergeCell ref="H10:M10"/>
    <mergeCell ref="N10:O10"/>
    <mergeCell ref="P10:Q10"/>
    <mergeCell ref="A7:A9"/>
    <mergeCell ref="H7:M7"/>
    <mergeCell ref="N7:O7"/>
    <mergeCell ref="P7:Q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M6"/>
    <mergeCell ref="N5:Q5"/>
    <mergeCell ref="R5:S6"/>
    <mergeCell ref="T5:T6"/>
    <mergeCell ref="U5:W6"/>
    <mergeCell ref="N6:O6"/>
    <mergeCell ref="P6:Q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4"/>
  <sheetViews>
    <sheetView topLeftCell="A57" zoomScale="85" zoomScaleNormal="85" workbookViewId="0">
      <selection activeCell="D8" sqref="D8:D9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4.6640625" style="91" bestFit="1" customWidth="1"/>
    <col min="6" max="6" width="5.6640625" style="91" customWidth="1"/>
    <col min="7" max="7" width="6.5546875" style="91" bestFit="1" customWidth="1"/>
    <col min="8" max="9" width="3.6640625" style="91" customWidth="1"/>
    <col min="10" max="12" width="3.6640625" style="48" customWidth="1"/>
    <col min="13" max="13" width="7.10937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45953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10">
        <v>131025</v>
      </c>
      <c r="E7" s="3" t="s">
        <v>396</v>
      </c>
      <c r="F7" s="19">
        <v>304</v>
      </c>
      <c r="G7" s="20">
        <v>0.9</v>
      </c>
      <c r="H7" s="186"/>
      <c r="I7" s="187"/>
      <c r="J7" s="187"/>
      <c r="K7" s="187"/>
      <c r="L7" s="187"/>
      <c r="M7" s="188"/>
      <c r="N7" s="189">
        <v>550</v>
      </c>
      <c r="O7" s="190"/>
      <c r="P7" s="189"/>
      <c r="Q7" s="190"/>
      <c r="R7" s="126">
        <v>40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207"/>
      <c r="B8" s="5"/>
      <c r="C8" s="5"/>
      <c r="D8" s="108">
        <v>250057</v>
      </c>
      <c r="E8" s="3" t="s">
        <v>397</v>
      </c>
      <c r="F8" s="19">
        <v>304</v>
      </c>
      <c r="G8" s="20">
        <v>0.7</v>
      </c>
      <c r="H8" s="186"/>
      <c r="I8" s="187"/>
      <c r="J8" s="187"/>
      <c r="K8" s="187"/>
      <c r="L8" s="187"/>
      <c r="M8" s="188"/>
      <c r="N8" s="189">
        <v>510</v>
      </c>
      <c r="O8" s="190"/>
      <c r="P8" s="189"/>
      <c r="Q8" s="190"/>
      <c r="R8" s="126">
        <v>40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207"/>
      <c r="B9" s="5"/>
      <c r="C9" s="5"/>
      <c r="D9" s="108">
        <v>250061</v>
      </c>
      <c r="E9" s="3" t="s">
        <v>398</v>
      </c>
      <c r="F9" s="19">
        <v>304</v>
      </c>
      <c r="G9" s="20">
        <v>0.7</v>
      </c>
      <c r="H9" s="186"/>
      <c r="I9" s="187"/>
      <c r="J9" s="187"/>
      <c r="K9" s="187"/>
      <c r="L9" s="187"/>
      <c r="M9" s="188"/>
      <c r="N9" s="189">
        <v>600</v>
      </c>
      <c r="O9" s="190"/>
      <c r="P9" s="189"/>
      <c r="Q9" s="190"/>
      <c r="R9" s="126">
        <v>40</v>
      </c>
      <c r="S9" s="6" t="s">
        <v>14</v>
      </c>
      <c r="T9" s="21" t="s">
        <v>77</v>
      </c>
      <c r="U9" s="194"/>
      <c r="V9" s="195"/>
      <c r="W9" s="196"/>
    </row>
    <row r="10" spans="1:23" ht="14.55" customHeight="1" x14ac:dyDescent="0.3">
      <c r="A10" s="184"/>
      <c r="B10" s="5"/>
      <c r="C10" s="5">
        <v>0.70833333333333337</v>
      </c>
      <c r="D10" s="110">
        <v>290925</v>
      </c>
      <c r="E10" s="3" t="s">
        <v>399</v>
      </c>
      <c r="F10" s="19">
        <v>304</v>
      </c>
      <c r="G10" s="20">
        <v>0.8</v>
      </c>
      <c r="H10" s="186"/>
      <c r="I10" s="187"/>
      <c r="J10" s="187"/>
      <c r="K10" s="187"/>
      <c r="L10" s="187"/>
      <c r="M10" s="188"/>
      <c r="N10" s="189">
        <v>500</v>
      </c>
      <c r="O10" s="190"/>
      <c r="P10" s="189"/>
      <c r="Q10" s="190"/>
      <c r="R10" s="126"/>
      <c r="S10" s="6" t="s">
        <v>14</v>
      </c>
      <c r="T10" s="21"/>
      <c r="U10" s="194"/>
      <c r="V10" s="195"/>
      <c r="W10" s="196"/>
    </row>
    <row r="11" spans="1:23" ht="14.55" customHeight="1" x14ac:dyDescent="0.3">
      <c r="A11" s="185"/>
      <c r="B11" s="165" t="s">
        <v>0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7"/>
      <c r="N11" s="168">
        <f>SUM(N7:O10)</f>
        <v>2160</v>
      </c>
      <c r="O11" s="169"/>
      <c r="P11" s="168">
        <f>SUM(P7:Q10)</f>
        <v>0</v>
      </c>
      <c r="Q11" s="169"/>
      <c r="R11" s="10">
        <f>SUM(R7:R10)</f>
        <v>120</v>
      </c>
      <c r="S11" s="11" t="s">
        <v>14</v>
      </c>
      <c r="T11" s="9"/>
      <c r="U11" s="194"/>
      <c r="V11" s="195"/>
      <c r="W11" s="196"/>
    </row>
    <row r="12" spans="1:23" ht="14.55" customHeight="1" x14ac:dyDescent="0.3">
      <c r="A12" s="183" t="s">
        <v>72</v>
      </c>
      <c r="B12" s="5"/>
      <c r="C12" s="5"/>
      <c r="D12" s="108"/>
      <c r="E12" s="3"/>
      <c r="F12" s="19"/>
      <c r="G12" s="20"/>
      <c r="H12" s="186"/>
      <c r="I12" s="187"/>
      <c r="J12" s="187"/>
      <c r="K12" s="187"/>
      <c r="L12" s="187"/>
      <c r="M12" s="188"/>
      <c r="N12" s="189"/>
      <c r="O12" s="190"/>
      <c r="P12" s="189"/>
      <c r="Q12" s="190"/>
      <c r="R12" s="126"/>
      <c r="S12" s="6" t="s">
        <v>14</v>
      </c>
      <c r="T12" s="21"/>
      <c r="U12" s="191"/>
      <c r="V12" s="192"/>
      <c r="W12" s="193"/>
    </row>
    <row r="13" spans="1:23" ht="14.55" customHeight="1" x14ac:dyDescent="0.3">
      <c r="A13" s="184"/>
      <c r="B13" s="5"/>
      <c r="C13" s="5"/>
      <c r="D13" s="108"/>
      <c r="E13" s="3"/>
      <c r="F13" s="19"/>
      <c r="G13" s="20"/>
      <c r="H13" s="186"/>
      <c r="I13" s="187"/>
      <c r="J13" s="187"/>
      <c r="K13" s="187"/>
      <c r="L13" s="187"/>
      <c r="M13" s="188"/>
      <c r="N13" s="189"/>
      <c r="O13" s="190"/>
      <c r="P13" s="189"/>
      <c r="Q13" s="190"/>
      <c r="R13" s="126"/>
      <c r="S13" s="6" t="s">
        <v>14</v>
      </c>
      <c r="T13" s="21"/>
      <c r="U13" s="191"/>
      <c r="V13" s="192"/>
      <c r="W13" s="193"/>
    </row>
    <row r="14" spans="1:23" ht="14.55" customHeight="1" x14ac:dyDescent="0.3">
      <c r="A14" s="185"/>
      <c r="B14" s="165" t="s">
        <v>0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7"/>
      <c r="N14" s="168">
        <f>SUM(N12:O13)</f>
        <v>0</v>
      </c>
      <c r="O14" s="169"/>
      <c r="P14" s="168">
        <f>SUM(P12:Q13)</f>
        <v>0</v>
      </c>
      <c r="Q14" s="169"/>
      <c r="R14" s="10">
        <f>SUM(R12:R13)</f>
        <v>0</v>
      </c>
      <c r="S14" s="11" t="s">
        <v>14</v>
      </c>
      <c r="T14" s="9"/>
      <c r="U14" s="191"/>
      <c r="V14" s="192"/>
      <c r="W14" s="193"/>
    </row>
    <row r="15" spans="1:23" ht="14.55" customHeight="1" x14ac:dyDescent="0.3">
      <c r="D15" s="91"/>
      <c r="E15" s="48"/>
      <c r="F15" s="48"/>
      <c r="G15" s="48"/>
      <c r="H15" s="48"/>
      <c r="I15" s="48"/>
      <c r="R15" s="91"/>
    </row>
    <row r="16" spans="1:23" x14ac:dyDescent="0.3">
      <c r="E16" s="165" t="s">
        <v>20</v>
      </c>
      <c r="F16" s="166"/>
      <c r="G16" s="166"/>
      <c r="H16" s="166"/>
      <c r="I16" s="166"/>
      <c r="J16" s="166"/>
      <c r="K16" s="166"/>
      <c r="L16" s="166"/>
      <c r="M16" s="167"/>
      <c r="N16" s="181" t="s">
        <v>7</v>
      </c>
      <c r="O16" s="182"/>
      <c r="P16" s="181" t="s">
        <v>12</v>
      </c>
      <c r="Q16" s="182"/>
    </row>
    <row r="17" spans="1:23" s="50" customFormat="1" x14ac:dyDescent="0.3">
      <c r="E17" s="7"/>
      <c r="F17" s="7"/>
      <c r="G17" s="7"/>
      <c r="H17" s="7"/>
      <c r="I17" s="7"/>
      <c r="J17" s="22"/>
      <c r="K17" s="23"/>
      <c r="L17" s="22"/>
      <c r="M17" s="24"/>
      <c r="N17" s="127">
        <f>N11+N14</f>
        <v>2160</v>
      </c>
      <c r="O17" s="14" t="s">
        <v>13</v>
      </c>
      <c r="P17" s="127">
        <f>P11+P14</f>
        <v>0</v>
      </c>
      <c r="Q17" s="15" t="s">
        <v>13</v>
      </c>
    </row>
    <row r="18" spans="1:23" ht="15" customHeight="1" x14ac:dyDescent="0.3">
      <c r="D18" s="91"/>
      <c r="J18" s="91"/>
      <c r="K18" s="91"/>
      <c r="L18" s="91"/>
      <c r="M18" s="91"/>
      <c r="N18" s="91"/>
      <c r="O18" s="91"/>
      <c r="P18" s="32"/>
      <c r="Q18" s="32"/>
      <c r="R18" s="32"/>
      <c r="S18" s="32"/>
    </row>
    <row r="19" spans="1:23" s="8" customFormat="1" ht="30" customHeight="1" x14ac:dyDescent="0.3">
      <c r="A19" s="155" t="s">
        <v>26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6"/>
      <c r="U19" s="156"/>
      <c r="V19" s="156"/>
      <c r="W19" s="158"/>
    </row>
    <row r="20" spans="1:23" s="12" customFormat="1" ht="14.55" customHeight="1" x14ac:dyDescent="0.3">
      <c r="A20" s="159" t="s">
        <v>1</v>
      </c>
      <c r="B20" s="160" t="s">
        <v>2</v>
      </c>
      <c r="C20" s="160" t="s">
        <v>3</v>
      </c>
      <c r="D20" s="160" t="s">
        <v>4</v>
      </c>
      <c r="E20" s="161" t="s">
        <v>5</v>
      </c>
      <c r="F20" s="163" t="s">
        <v>15</v>
      </c>
      <c r="G20" s="163" t="s">
        <v>16</v>
      </c>
      <c r="H20" s="170" t="s">
        <v>24</v>
      </c>
      <c r="I20" s="171"/>
      <c r="J20" s="171"/>
      <c r="K20" s="171"/>
      <c r="L20" s="171"/>
      <c r="M20" s="172"/>
      <c r="N20" s="176" t="s">
        <v>6</v>
      </c>
      <c r="O20" s="177"/>
      <c r="P20" s="177"/>
      <c r="Q20" s="178"/>
      <c r="R20" s="161" t="s">
        <v>8</v>
      </c>
      <c r="S20" s="179"/>
      <c r="T20" s="159" t="s">
        <v>9</v>
      </c>
      <c r="U20" s="159" t="s">
        <v>10</v>
      </c>
      <c r="V20" s="159"/>
      <c r="W20" s="159"/>
    </row>
    <row r="21" spans="1:23" s="12" customFormat="1" ht="13.05" customHeight="1" x14ac:dyDescent="0.3">
      <c r="A21" s="159"/>
      <c r="B21" s="160"/>
      <c r="C21" s="160"/>
      <c r="D21" s="160"/>
      <c r="E21" s="162"/>
      <c r="F21" s="164"/>
      <c r="G21" s="164"/>
      <c r="H21" s="173"/>
      <c r="I21" s="174"/>
      <c r="J21" s="174"/>
      <c r="K21" s="174"/>
      <c r="L21" s="174"/>
      <c r="M21" s="175"/>
      <c r="N21" s="176" t="s">
        <v>7</v>
      </c>
      <c r="O21" s="177"/>
      <c r="P21" s="177"/>
      <c r="Q21" s="178"/>
      <c r="R21" s="162"/>
      <c r="S21" s="180"/>
      <c r="T21" s="159"/>
      <c r="U21" s="159"/>
      <c r="V21" s="159"/>
      <c r="W21" s="159"/>
    </row>
    <row r="22" spans="1:23" ht="14.55" customHeight="1" x14ac:dyDescent="0.3">
      <c r="A22" s="183" t="s">
        <v>68</v>
      </c>
      <c r="B22" s="5">
        <v>0.33333333333333331</v>
      </c>
      <c r="C22" s="5">
        <v>0.70833333333333337</v>
      </c>
      <c r="D22" s="110">
        <v>131025</v>
      </c>
      <c r="E22" s="3" t="s">
        <v>380</v>
      </c>
      <c r="F22" s="19">
        <v>304</v>
      </c>
      <c r="G22" s="20">
        <v>0.9</v>
      </c>
      <c r="H22" s="186"/>
      <c r="I22" s="187"/>
      <c r="J22" s="187"/>
      <c r="K22" s="187"/>
      <c r="L22" s="187"/>
      <c r="M22" s="188"/>
      <c r="N22" s="189">
        <v>2350</v>
      </c>
      <c r="O22" s="198"/>
      <c r="P22" s="198"/>
      <c r="Q22" s="190"/>
      <c r="R22" s="12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10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2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4"/>
      <c r="B24" s="5"/>
      <c r="C24" s="5"/>
      <c r="D24" s="108"/>
      <c r="E24" s="3"/>
      <c r="F24" s="19"/>
      <c r="G24" s="20"/>
      <c r="H24" s="186"/>
      <c r="I24" s="187"/>
      <c r="J24" s="187"/>
      <c r="K24" s="187"/>
      <c r="L24" s="187"/>
      <c r="M24" s="188"/>
      <c r="N24" s="189"/>
      <c r="O24" s="198"/>
      <c r="P24" s="198"/>
      <c r="Q24" s="190"/>
      <c r="R24" s="126"/>
      <c r="S24" s="6" t="s">
        <v>14</v>
      </c>
      <c r="T24" s="21"/>
      <c r="U24" s="191"/>
      <c r="V24" s="192"/>
      <c r="W24" s="193"/>
    </row>
    <row r="25" spans="1:23" ht="14.55" customHeight="1" x14ac:dyDescent="0.3">
      <c r="A25" s="184"/>
      <c r="B25" s="5"/>
      <c r="C25" s="5"/>
      <c r="D25" s="108"/>
      <c r="E25" s="3"/>
      <c r="F25" s="19"/>
      <c r="G25" s="20"/>
      <c r="H25" s="186"/>
      <c r="I25" s="187"/>
      <c r="J25" s="187"/>
      <c r="K25" s="187"/>
      <c r="L25" s="187"/>
      <c r="M25" s="188"/>
      <c r="N25" s="189"/>
      <c r="O25" s="198"/>
      <c r="P25" s="198"/>
      <c r="Q25" s="190"/>
      <c r="R25" s="126"/>
      <c r="S25" s="6" t="s">
        <v>14</v>
      </c>
      <c r="T25" s="21"/>
      <c r="U25" s="191"/>
      <c r="V25" s="192"/>
      <c r="W25" s="193"/>
    </row>
    <row r="26" spans="1:23" ht="14.55" customHeight="1" x14ac:dyDescent="0.3">
      <c r="A26" s="185"/>
      <c r="B26" s="165" t="s">
        <v>0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8">
        <f>SUM(N22:O25)</f>
        <v>2350</v>
      </c>
      <c r="O26" s="197"/>
      <c r="P26" s="197"/>
      <c r="Q26" s="169"/>
      <c r="R26" s="10">
        <f>SUM(R22:R25)</f>
        <v>0</v>
      </c>
      <c r="S26" s="11" t="s">
        <v>14</v>
      </c>
      <c r="T26" s="9"/>
      <c r="U26" s="191"/>
      <c r="V26" s="192"/>
      <c r="W26" s="193"/>
    </row>
    <row r="27" spans="1:23" ht="14.55" customHeight="1" x14ac:dyDescent="0.3">
      <c r="D27" s="91"/>
      <c r="E27" s="48"/>
      <c r="F27" s="48"/>
      <c r="G27" s="48"/>
      <c r="H27" s="48"/>
      <c r="I27" s="48"/>
      <c r="R27" s="91"/>
    </row>
    <row r="28" spans="1:23" x14ac:dyDescent="0.3">
      <c r="E28" s="165" t="s">
        <v>23</v>
      </c>
      <c r="F28" s="166"/>
      <c r="G28" s="166"/>
      <c r="H28" s="166"/>
      <c r="I28" s="166"/>
      <c r="J28" s="166"/>
      <c r="K28" s="166"/>
      <c r="L28" s="166"/>
      <c r="M28" s="167"/>
      <c r="N28" s="181" t="s">
        <v>7</v>
      </c>
      <c r="O28" s="199"/>
      <c r="P28" s="199"/>
      <c r="Q28" s="182"/>
    </row>
    <row r="29" spans="1:23" s="50" customFormat="1" x14ac:dyDescent="0.3">
      <c r="E29" s="7"/>
      <c r="F29" s="7"/>
      <c r="G29" s="7"/>
      <c r="H29" s="7"/>
      <c r="I29" s="7"/>
      <c r="J29" s="22"/>
      <c r="K29" s="23"/>
      <c r="L29" s="22"/>
      <c r="M29" s="24"/>
      <c r="N29" s="200">
        <f>N26</f>
        <v>2350</v>
      </c>
      <c r="O29" s="201"/>
      <c r="P29" s="202" t="s">
        <v>13</v>
      </c>
      <c r="Q29" s="203"/>
    </row>
    <row r="30" spans="1:23" ht="15" customHeight="1" x14ac:dyDescent="0.3">
      <c r="D30" s="91"/>
      <c r="J30" s="91"/>
      <c r="K30" s="91"/>
      <c r="L30" s="91"/>
      <c r="M30" s="91"/>
      <c r="N30" s="91"/>
      <c r="O30" s="91"/>
      <c r="P30" s="32"/>
      <c r="Q30" s="32"/>
      <c r="R30" s="32"/>
      <c r="S30" s="32"/>
    </row>
    <row r="31" spans="1:23" s="8" customFormat="1" ht="30" customHeight="1" x14ac:dyDescent="0.3">
      <c r="A31" s="155" t="s">
        <v>25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7"/>
      <c r="Q31" s="157"/>
      <c r="R31" s="157"/>
      <c r="S31" s="157"/>
      <c r="T31" s="156"/>
      <c r="U31" s="156"/>
      <c r="V31" s="156"/>
      <c r="W31" s="158"/>
    </row>
    <row r="32" spans="1:23" s="12" customFormat="1" ht="14.55" customHeight="1" x14ac:dyDescent="0.3">
      <c r="A32" s="159" t="s">
        <v>1</v>
      </c>
      <c r="B32" s="160" t="s">
        <v>2</v>
      </c>
      <c r="C32" s="160" t="s">
        <v>3</v>
      </c>
      <c r="D32" s="160" t="s">
        <v>4</v>
      </c>
      <c r="E32" s="161" t="s">
        <v>5</v>
      </c>
      <c r="F32" s="163" t="s">
        <v>15</v>
      </c>
      <c r="G32" s="163" t="s">
        <v>16</v>
      </c>
      <c r="H32" s="170" t="s">
        <v>21</v>
      </c>
      <c r="I32" s="171"/>
      <c r="J32" s="171"/>
      <c r="K32" s="171"/>
      <c r="L32" s="171"/>
      <c r="M32" s="172"/>
      <c r="N32" s="176" t="s">
        <v>6</v>
      </c>
      <c r="O32" s="177"/>
      <c r="P32" s="177"/>
      <c r="Q32" s="178"/>
      <c r="R32" s="161" t="s">
        <v>8</v>
      </c>
      <c r="S32" s="179"/>
      <c r="T32" s="159" t="s">
        <v>9</v>
      </c>
      <c r="U32" s="159" t="s">
        <v>10</v>
      </c>
      <c r="V32" s="159"/>
      <c r="W32" s="159"/>
    </row>
    <row r="33" spans="1:23" s="12" customFormat="1" ht="13.05" customHeight="1" x14ac:dyDescent="0.3">
      <c r="A33" s="159"/>
      <c r="B33" s="160"/>
      <c r="C33" s="160"/>
      <c r="D33" s="160"/>
      <c r="E33" s="162"/>
      <c r="F33" s="164"/>
      <c r="G33" s="164"/>
      <c r="H33" s="173"/>
      <c r="I33" s="174"/>
      <c r="J33" s="174"/>
      <c r="K33" s="174"/>
      <c r="L33" s="174"/>
      <c r="M33" s="175"/>
      <c r="N33" s="176" t="s">
        <v>7</v>
      </c>
      <c r="O33" s="178"/>
      <c r="P33" s="176" t="s">
        <v>12</v>
      </c>
      <c r="Q33" s="178"/>
      <c r="R33" s="162"/>
      <c r="S33" s="180"/>
      <c r="T33" s="159"/>
      <c r="U33" s="159"/>
      <c r="V33" s="159"/>
      <c r="W33" s="159"/>
    </row>
    <row r="34" spans="1:23" ht="14.55" customHeight="1" x14ac:dyDescent="0.3">
      <c r="A34" s="183" t="s">
        <v>70</v>
      </c>
      <c r="B34" s="5">
        <v>0.33333333333333331</v>
      </c>
      <c r="C34" s="5"/>
      <c r="D34" s="110">
        <v>290925</v>
      </c>
      <c r="E34" s="3" t="s">
        <v>360</v>
      </c>
      <c r="F34" s="19">
        <v>304</v>
      </c>
      <c r="G34" s="20">
        <v>0.8</v>
      </c>
      <c r="H34" s="186" t="s">
        <v>402</v>
      </c>
      <c r="I34" s="187"/>
      <c r="J34" s="187"/>
      <c r="K34" s="187"/>
      <c r="L34" s="187"/>
      <c r="M34" s="188"/>
      <c r="N34" s="189">
        <v>355</v>
      </c>
      <c r="O34" s="190"/>
      <c r="P34" s="189"/>
      <c r="Q34" s="190"/>
      <c r="R34" s="12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4"/>
      <c r="B35" s="5"/>
      <c r="C35" s="5">
        <v>0.70833333333333337</v>
      </c>
      <c r="D35" s="110">
        <v>131025</v>
      </c>
      <c r="E35" s="3" t="s">
        <v>403</v>
      </c>
      <c r="F35" s="19">
        <v>304</v>
      </c>
      <c r="G35" s="20">
        <v>0.9</v>
      </c>
      <c r="H35" s="186"/>
      <c r="I35" s="187"/>
      <c r="J35" s="187"/>
      <c r="K35" s="187"/>
      <c r="L35" s="187"/>
      <c r="M35" s="188"/>
      <c r="N35" s="189">
        <v>1645</v>
      </c>
      <c r="O35" s="190"/>
      <c r="P35" s="189"/>
      <c r="Q35" s="190"/>
      <c r="R35" s="126"/>
      <c r="S35" s="6" t="s">
        <v>14</v>
      </c>
      <c r="T35" s="21"/>
      <c r="U35" s="191"/>
      <c r="V35" s="192"/>
      <c r="W35" s="193"/>
    </row>
    <row r="36" spans="1:23" ht="14.55" customHeight="1" x14ac:dyDescent="0.3">
      <c r="A36" s="184"/>
      <c r="B36" s="5"/>
      <c r="C36" s="5"/>
      <c r="D36" s="108"/>
      <c r="E36" s="3"/>
      <c r="F36" s="19"/>
      <c r="G36" s="20"/>
      <c r="H36" s="186"/>
      <c r="I36" s="187"/>
      <c r="J36" s="187"/>
      <c r="K36" s="187"/>
      <c r="L36" s="187"/>
      <c r="M36" s="188"/>
      <c r="N36" s="189"/>
      <c r="O36" s="190"/>
      <c r="P36" s="189"/>
      <c r="Q36" s="190"/>
      <c r="R36" s="126"/>
      <c r="S36" s="6" t="s">
        <v>14</v>
      </c>
      <c r="T36" s="21"/>
      <c r="U36" s="191"/>
      <c r="V36" s="192"/>
      <c r="W36" s="193"/>
    </row>
    <row r="37" spans="1:23" ht="14.55" customHeight="1" x14ac:dyDescent="0.3">
      <c r="A37" s="185"/>
      <c r="B37" s="165" t="s">
        <v>0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7"/>
      <c r="N37" s="168">
        <f>SUM(N34:O36)</f>
        <v>2000</v>
      </c>
      <c r="O37" s="169"/>
      <c r="P37" s="168">
        <f>SUM(P34:Q36)</f>
        <v>0</v>
      </c>
      <c r="Q37" s="169"/>
      <c r="R37" s="10">
        <f>SUM(R34:R36)</f>
        <v>0</v>
      </c>
      <c r="S37" s="11" t="s">
        <v>14</v>
      </c>
      <c r="T37" s="9"/>
      <c r="U37" s="191"/>
      <c r="V37" s="192"/>
      <c r="W37" s="193"/>
    </row>
    <row r="38" spans="1:23" ht="14.55" customHeight="1" x14ac:dyDescent="0.3">
      <c r="D38" s="91"/>
      <c r="E38" s="48"/>
      <c r="F38" s="48"/>
      <c r="G38" s="48"/>
      <c r="H38" s="48"/>
      <c r="I38" s="48"/>
      <c r="R38" s="91"/>
    </row>
    <row r="39" spans="1:23" x14ac:dyDescent="0.3">
      <c r="E39" s="165" t="s">
        <v>22</v>
      </c>
      <c r="F39" s="166"/>
      <c r="G39" s="166"/>
      <c r="H39" s="166"/>
      <c r="I39" s="166"/>
      <c r="J39" s="166"/>
      <c r="K39" s="166"/>
      <c r="L39" s="166"/>
      <c r="M39" s="167"/>
      <c r="N39" s="181" t="s">
        <v>7</v>
      </c>
      <c r="O39" s="182"/>
      <c r="P39" s="181" t="s">
        <v>12</v>
      </c>
      <c r="Q39" s="182"/>
    </row>
    <row r="40" spans="1:23" s="50" customFormat="1" x14ac:dyDescent="0.3">
      <c r="E40" s="7"/>
      <c r="F40" s="7"/>
      <c r="G40" s="7"/>
      <c r="H40" s="7"/>
      <c r="I40" s="7"/>
      <c r="J40" s="22"/>
      <c r="K40" s="23"/>
      <c r="L40" s="22"/>
      <c r="M40" s="24"/>
      <c r="N40" s="127">
        <f>N37</f>
        <v>2000</v>
      </c>
      <c r="O40" s="14" t="s">
        <v>13</v>
      </c>
      <c r="P40" s="127">
        <f>P37</f>
        <v>0</v>
      </c>
      <c r="Q40" s="15" t="s">
        <v>13</v>
      </c>
    </row>
    <row r="41" spans="1:23" ht="15" customHeight="1" x14ac:dyDescent="0.3">
      <c r="D41" s="91"/>
      <c r="J41" s="91"/>
      <c r="K41" s="91"/>
      <c r="L41" s="91"/>
      <c r="M41" s="91"/>
      <c r="N41" s="91"/>
      <c r="O41" s="91"/>
      <c r="P41" s="32"/>
      <c r="Q41" s="32"/>
      <c r="R41" s="32"/>
      <c r="S41" s="32"/>
    </row>
    <row r="42" spans="1:23" s="8" customFormat="1" ht="30" customHeight="1" x14ac:dyDescent="0.3">
      <c r="A42" s="155" t="s">
        <v>27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57"/>
      <c r="R42" s="157"/>
      <c r="S42" s="157"/>
      <c r="T42" s="156"/>
      <c r="U42" s="156"/>
      <c r="V42" s="156"/>
      <c r="W42" s="158"/>
    </row>
    <row r="43" spans="1:23" s="12" customFormat="1" ht="14.55" customHeight="1" x14ac:dyDescent="0.3">
      <c r="A43" s="159" t="s">
        <v>1</v>
      </c>
      <c r="B43" s="160" t="s">
        <v>2</v>
      </c>
      <c r="C43" s="160" t="s">
        <v>3</v>
      </c>
      <c r="D43" s="160" t="s">
        <v>4</v>
      </c>
      <c r="E43" s="161" t="s">
        <v>5</v>
      </c>
      <c r="F43" s="163" t="s">
        <v>15</v>
      </c>
      <c r="G43" s="163" t="s">
        <v>16</v>
      </c>
      <c r="H43" s="170" t="s">
        <v>24</v>
      </c>
      <c r="I43" s="171"/>
      <c r="J43" s="171"/>
      <c r="K43" s="171"/>
      <c r="L43" s="171"/>
      <c r="M43" s="172"/>
      <c r="N43" s="176" t="s">
        <v>6</v>
      </c>
      <c r="O43" s="177"/>
      <c r="P43" s="177"/>
      <c r="Q43" s="178"/>
      <c r="R43" s="161" t="s">
        <v>8</v>
      </c>
      <c r="S43" s="179"/>
      <c r="T43" s="159" t="s">
        <v>9</v>
      </c>
      <c r="U43" s="159" t="s">
        <v>10</v>
      </c>
      <c r="V43" s="159"/>
      <c r="W43" s="159"/>
    </row>
    <row r="44" spans="1:23" s="12" customFormat="1" ht="13.05" customHeight="1" x14ac:dyDescent="0.3">
      <c r="A44" s="159"/>
      <c r="B44" s="160"/>
      <c r="C44" s="160"/>
      <c r="D44" s="160"/>
      <c r="E44" s="162"/>
      <c r="F44" s="164"/>
      <c r="G44" s="164"/>
      <c r="H44" s="173"/>
      <c r="I44" s="174"/>
      <c r="J44" s="174"/>
      <c r="K44" s="174"/>
      <c r="L44" s="174"/>
      <c r="M44" s="175"/>
      <c r="N44" s="176" t="s">
        <v>7</v>
      </c>
      <c r="O44" s="177"/>
      <c r="P44" s="177"/>
      <c r="Q44" s="178"/>
      <c r="R44" s="162"/>
      <c r="S44" s="180"/>
      <c r="T44" s="159"/>
      <c r="U44" s="159"/>
      <c r="V44" s="159"/>
      <c r="W44" s="159"/>
    </row>
    <row r="45" spans="1:23" ht="14.55" customHeight="1" x14ac:dyDescent="0.3">
      <c r="A45" s="183" t="s">
        <v>69</v>
      </c>
      <c r="B45" s="5">
        <v>0.33333333333333331</v>
      </c>
      <c r="C45" s="5"/>
      <c r="D45" s="110">
        <v>290925</v>
      </c>
      <c r="E45" s="3" t="s">
        <v>352</v>
      </c>
      <c r="F45" s="19">
        <v>304</v>
      </c>
      <c r="G45" s="20">
        <v>0.9</v>
      </c>
      <c r="H45" s="186"/>
      <c r="I45" s="187"/>
      <c r="J45" s="187"/>
      <c r="K45" s="187"/>
      <c r="L45" s="187"/>
      <c r="M45" s="188"/>
      <c r="N45" s="189">
        <v>620</v>
      </c>
      <c r="O45" s="198"/>
      <c r="P45" s="198"/>
      <c r="Q45" s="190"/>
      <c r="R45" s="126">
        <v>40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4"/>
      <c r="B46" s="5"/>
      <c r="C46" s="5">
        <v>0.70833333333333337</v>
      </c>
      <c r="D46" s="110">
        <v>290925</v>
      </c>
      <c r="E46" s="3" t="s">
        <v>360</v>
      </c>
      <c r="F46" s="19">
        <v>304</v>
      </c>
      <c r="G46" s="20">
        <v>0.8</v>
      </c>
      <c r="H46" s="186"/>
      <c r="I46" s="187"/>
      <c r="J46" s="187"/>
      <c r="K46" s="187"/>
      <c r="L46" s="187"/>
      <c r="M46" s="188"/>
      <c r="N46" s="189">
        <v>2150</v>
      </c>
      <c r="O46" s="198"/>
      <c r="P46" s="198"/>
      <c r="Q46" s="190"/>
      <c r="R46" s="126"/>
      <c r="S46" s="6" t="s">
        <v>14</v>
      </c>
      <c r="T46" s="21"/>
      <c r="U46" s="191"/>
      <c r="V46" s="192"/>
      <c r="W46" s="193"/>
    </row>
    <row r="47" spans="1:23" ht="14.55" customHeight="1" x14ac:dyDescent="0.3">
      <c r="A47" s="184"/>
      <c r="B47" s="5"/>
      <c r="C47" s="5"/>
      <c r="D47" s="108"/>
      <c r="E47" s="3"/>
      <c r="F47" s="19"/>
      <c r="G47" s="20"/>
      <c r="H47" s="186"/>
      <c r="I47" s="187"/>
      <c r="J47" s="187"/>
      <c r="K47" s="187"/>
      <c r="L47" s="187"/>
      <c r="M47" s="188"/>
      <c r="N47" s="189"/>
      <c r="O47" s="198"/>
      <c r="P47" s="198"/>
      <c r="Q47" s="190"/>
      <c r="R47" s="126"/>
      <c r="S47" s="6" t="s">
        <v>14</v>
      </c>
      <c r="T47" s="21"/>
      <c r="U47" s="191"/>
      <c r="V47" s="192"/>
      <c r="W47" s="193"/>
    </row>
    <row r="48" spans="1:23" ht="14.55" customHeight="1" x14ac:dyDescent="0.3">
      <c r="A48" s="185"/>
      <c r="B48" s="165" t="s">
        <v>0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8">
        <f>SUM(N45:O47)</f>
        <v>2770</v>
      </c>
      <c r="O48" s="197"/>
      <c r="P48" s="197"/>
      <c r="Q48" s="169"/>
      <c r="R48" s="10">
        <f>SUM(R45:R47)</f>
        <v>40</v>
      </c>
      <c r="S48" s="11" t="s">
        <v>14</v>
      </c>
      <c r="T48" s="9"/>
      <c r="U48" s="191"/>
      <c r="V48" s="192"/>
      <c r="W48" s="193"/>
    </row>
    <row r="49" spans="1:23" ht="14.55" customHeight="1" x14ac:dyDescent="0.3">
      <c r="D49" s="91"/>
      <c r="E49" s="48"/>
      <c r="F49" s="48"/>
      <c r="G49" s="48"/>
      <c r="H49" s="48"/>
      <c r="I49" s="48"/>
      <c r="R49" s="91"/>
    </row>
    <row r="50" spans="1:23" x14ac:dyDescent="0.3">
      <c r="E50" s="165" t="s">
        <v>31</v>
      </c>
      <c r="F50" s="166"/>
      <c r="G50" s="166"/>
      <c r="H50" s="166"/>
      <c r="I50" s="166"/>
      <c r="J50" s="166"/>
      <c r="K50" s="166"/>
      <c r="L50" s="166"/>
      <c r="M50" s="167"/>
      <c r="N50" s="181" t="s">
        <v>7</v>
      </c>
      <c r="O50" s="199"/>
      <c r="P50" s="199"/>
      <c r="Q50" s="182"/>
    </row>
    <row r="51" spans="1:23" s="50" customFormat="1" x14ac:dyDescent="0.3">
      <c r="E51" s="7"/>
      <c r="F51" s="7"/>
      <c r="G51" s="7"/>
      <c r="H51" s="7"/>
      <c r="I51" s="7"/>
      <c r="J51" s="22"/>
      <c r="K51" s="23"/>
      <c r="L51" s="22"/>
      <c r="M51" s="24"/>
      <c r="N51" s="200">
        <f>N48</f>
        <v>2770</v>
      </c>
      <c r="O51" s="201"/>
      <c r="P51" s="202" t="s">
        <v>13</v>
      </c>
      <c r="Q51" s="203"/>
    </row>
    <row r="52" spans="1:23" s="26" customFormat="1" ht="15" customHeight="1" x14ac:dyDescent="0.3">
      <c r="D52" s="27"/>
      <c r="E52" s="28"/>
      <c r="F52" s="28"/>
      <c r="G52" s="28"/>
      <c r="H52" s="28"/>
      <c r="I52" s="28"/>
      <c r="J52" s="25"/>
      <c r="K52" s="25"/>
      <c r="L52" s="25"/>
      <c r="M52" s="25"/>
      <c r="N52" s="30"/>
      <c r="O52" s="30"/>
      <c r="P52" s="29"/>
      <c r="Q52" s="29"/>
      <c r="R52" s="33"/>
      <c r="S52" s="34"/>
    </row>
    <row r="53" spans="1:23" s="8" customFormat="1" ht="30" customHeight="1" x14ac:dyDescent="0.3">
      <c r="A53" s="155" t="s">
        <v>28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Q53" s="157"/>
      <c r="R53" s="157"/>
      <c r="S53" s="157"/>
      <c r="T53" s="156"/>
      <c r="U53" s="156"/>
      <c r="V53" s="156"/>
      <c r="W53" s="158"/>
    </row>
    <row r="54" spans="1:23" s="12" customFormat="1" ht="14.55" customHeight="1" x14ac:dyDescent="0.3">
      <c r="A54" s="159" t="s">
        <v>1</v>
      </c>
      <c r="B54" s="160" t="s">
        <v>2</v>
      </c>
      <c r="C54" s="160" t="s">
        <v>3</v>
      </c>
      <c r="D54" s="160" t="s">
        <v>4</v>
      </c>
      <c r="E54" s="161" t="s">
        <v>5</v>
      </c>
      <c r="F54" s="163" t="s">
        <v>15</v>
      </c>
      <c r="G54" s="163" t="s">
        <v>16</v>
      </c>
      <c r="H54" s="170" t="s">
        <v>24</v>
      </c>
      <c r="I54" s="171"/>
      <c r="J54" s="171"/>
      <c r="K54" s="171"/>
      <c r="L54" s="171"/>
      <c r="M54" s="172"/>
      <c r="N54" s="176" t="s">
        <v>6</v>
      </c>
      <c r="O54" s="177"/>
      <c r="P54" s="177"/>
      <c r="Q54" s="178"/>
      <c r="R54" s="161" t="s">
        <v>8</v>
      </c>
      <c r="S54" s="179"/>
      <c r="T54" s="159" t="s">
        <v>9</v>
      </c>
      <c r="U54" s="159" t="s">
        <v>10</v>
      </c>
      <c r="V54" s="159"/>
      <c r="W54" s="159"/>
    </row>
    <row r="55" spans="1:23" s="12" customFormat="1" ht="13.05" customHeight="1" x14ac:dyDescent="0.3">
      <c r="A55" s="159"/>
      <c r="B55" s="160"/>
      <c r="C55" s="160"/>
      <c r="D55" s="160"/>
      <c r="E55" s="162"/>
      <c r="F55" s="164"/>
      <c r="G55" s="164"/>
      <c r="H55" s="173"/>
      <c r="I55" s="174"/>
      <c r="J55" s="174"/>
      <c r="K55" s="174"/>
      <c r="L55" s="174"/>
      <c r="M55" s="175"/>
      <c r="N55" s="176" t="s">
        <v>7</v>
      </c>
      <c r="O55" s="177"/>
      <c r="P55" s="177"/>
      <c r="Q55" s="178"/>
      <c r="R55" s="162"/>
      <c r="S55" s="180"/>
      <c r="T55" s="159"/>
      <c r="U55" s="159"/>
      <c r="V55" s="159"/>
      <c r="W55" s="159"/>
    </row>
    <row r="56" spans="1:23" ht="14.55" customHeight="1" x14ac:dyDescent="0.3">
      <c r="A56" s="183" t="s">
        <v>68</v>
      </c>
      <c r="B56" s="5">
        <v>0.33333333333333331</v>
      </c>
      <c r="C56" s="5"/>
      <c r="D56" s="110">
        <v>290925</v>
      </c>
      <c r="E56" s="3" t="s">
        <v>360</v>
      </c>
      <c r="F56" s="19">
        <v>304</v>
      </c>
      <c r="G56" s="20">
        <v>0.8</v>
      </c>
      <c r="H56" s="186"/>
      <c r="I56" s="187"/>
      <c r="J56" s="187"/>
      <c r="K56" s="187"/>
      <c r="L56" s="187"/>
      <c r="M56" s="188"/>
      <c r="N56" s="189">
        <v>1380</v>
      </c>
      <c r="O56" s="198"/>
      <c r="P56" s="198"/>
      <c r="Q56" s="190"/>
      <c r="R56" s="126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D57" s="110">
        <v>290925</v>
      </c>
      <c r="E57" s="3" t="s">
        <v>352</v>
      </c>
      <c r="F57" s="19">
        <v>304</v>
      </c>
      <c r="G57" s="20">
        <v>0.9</v>
      </c>
      <c r="H57" s="186"/>
      <c r="I57" s="187"/>
      <c r="J57" s="187"/>
      <c r="K57" s="187"/>
      <c r="L57" s="187"/>
      <c r="M57" s="188"/>
      <c r="N57" s="189">
        <v>620</v>
      </c>
      <c r="O57" s="198"/>
      <c r="P57" s="198"/>
      <c r="Q57" s="190"/>
      <c r="R57" s="126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4"/>
      <c r="B58" s="5"/>
      <c r="C58" s="5"/>
      <c r="D58" s="108"/>
      <c r="E58" s="3"/>
      <c r="F58" s="19"/>
      <c r="G58" s="20"/>
      <c r="H58" s="186"/>
      <c r="I58" s="187"/>
      <c r="J58" s="187"/>
      <c r="K58" s="187"/>
      <c r="L58" s="187"/>
      <c r="M58" s="188"/>
      <c r="N58" s="189"/>
      <c r="O58" s="198"/>
      <c r="P58" s="198"/>
      <c r="Q58" s="190"/>
      <c r="R58" s="126"/>
      <c r="S58" s="6" t="s">
        <v>14</v>
      </c>
      <c r="T58" s="21"/>
      <c r="U58" s="204"/>
      <c r="V58" s="205"/>
      <c r="W58" s="206"/>
    </row>
    <row r="59" spans="1:23" ht="14.55" customHeight="1" x14ac:dyDescent="0.3">
      <c r="A59" s="185"/>
      <c r="B59" s="165" t="s">
        <v>0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8">
        <f>SUM(N56:O58)</f>
        <v>2000</v>
      </c>
      <c r="O59" s="197"/>
      <c r="P59" s="197"/>
      <c r="Q59" s="169"/>
      <c r="R59" s="10">
        <f>SUM(R56:R58)</f>
        <v>0</v>
      </c>
      <c r="S59" s="11" t="s">
        <v>14</v>
      </c>
      <c r="T59" s="9"/>
      <c r="U59" s="204"/>
      <c r="V59" s="205"/>
      <c r="W59" s="206"/>
    </row>
    <row r="60" spans="1:23" ht="14.55" customHeight="1" x14ac:dyDescent="0.3">
      <c r="D60" s="91"/>
      <c r="E60" s="48"/>
      <c r="F60" s="48"/>
      <c r="G60" s="48"/>
      <c r="H60" s="48"/>
      <c r="I60" s="48"/>
      <c r="R60" s="91"/>
    </row>
    <row r="61" spans="1:23" ht="14.55" customHeight="1" x14ac:dyDescent="0.3">
      <c r="D61" s="91"/>
      <c r="E61" s="165" t="s">
        <v>32</v>
      </c>
      <c r="F61" s="166"/>
      <c r="G61" s="166"/>
      <c r="H61" s="166"/>
      <c r="I61" s="166"/>
      <c r="J61" s="166"/>
      <c r="K61" s="166"/>
      <c r="L61" s="166"/>
      <c r="M61" s="167"/>
      <c r="N61" s="181" t="s">
        <v>7</v>
      </c>
      <c r="O61" s="199"/>
      <c r="P61" s="199"/>
      <c r="Q61" s="182"/>
      <c r="R61" s="91"/>
    </row>
    <row r="62" spans="1:23" ht="14.55" customHeight="1" x14ac:dyDescent="0.3">
      <c r="D62" s="91"/>
      <c r="E62" s="7"/>
      <c r="F62" s="7"/>
      <c r="G62" s="7"/>
      <c r="H62" s="7"/>
      <c r="I62" s="7"/>
      <c r="J62" s="22"/>
      <c r="K62" s="23"/>
      <c r="L62" s="22"/>
      <c r="M62" s="24"/>
      <c r="N62" s="200">
        <f>N59</f>
        <v>2000</v>
      </c>
      <c r="O62" s="201"/>
      <c r="P62" s="202" t="s">
        <v>13</v>
      </c>
      <c r="Q62" s="203"/>
      <c r="R62" s="91"/>
    </row>
    <row r="63" spans="1:23" ht="14.55" customHeight="1" x14ac:dyDescent="0.3">
      <c r="D63" s="91"/>
      <c r="E63" s="48"/>
      <c r="F63" s="48"/>
      <c r="G63" s="48"/>
      <c r="H63" s="48"/>
      <c r="I63" s="48"/>
      <c r="P63" s="49"/>
      <c r="Q63" s="49"/>
      <c r="R63" s="32"/>
      <c r="S63" s="32"/>
    </row>
    <row r="64" spans="1:23" s="8" customFormat="1" ht="30" customHeight="1" x14ac:dyDescent="0.3">
      <c r="A64" s="155" t="s">
        <v>348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Q64" s="157"/>
      <c r="R64" s="157"/>
      <c r="S64" s="157"/>
      <c r="T64" s="156"/>
      <c r="U64" s="156"/>
      <c r="V64" s="156"/>
      <c r="W64" s="158"/>
    </row>
    <row r="65" spans="1:23" s="12" customFormat="1" ht="14.55" customHeight="1" x14ac:dyDescent="0.3">
      <c r="A65" s="159" t="s">
        <v>1</v>
      </c>
      <c r="B65" s="160" t="s">
        <v>2</v>
      </c>
      <c r="C65" s="160" t="s">
        <v>3</v>
      </c>
      <c r="D65" s="160" t="s">
        <v>4</v>
      </c>
      <c r="E65" s="161" t="s">
        <v>5</v>
      </c>
      <c r="F65" s="163" t="s">
        <v>15</v>
      </c>
      <c r="G65" s="163" t="s">
        <v>16</v>
      </c>
      <c r="H65" s="170" t="s">
        <v>24</v>
      </c>
      <c r="I65" s="171"/>
      <c r="J65" s="171"/>
      <c r="K65" s="171"/>
      <c r="L65" s="171"/>
      <c r="M65" s="172"/>
      <c r="N65" s="176" t="s">
        <v>6</v>
      </c>
      <c r="O65" s="177"/>
      <c r="P65" s="177"/>
      <c r="Q65" s="178"/>
      <c r="R65" s="161" t="s">
        <v>8</v>
      </c>
      <c r="S65" s="179"/>
      <c r="T65" s="159" t="s">
        <v>9</v>
      </c>
      <c r="U65" s="159" t="s">
        <v>10</v>
      </c>
      <c r="V65" s="159"/>
      <c r="W65" s="159"/>
    </row>
    <row r="66" spans="1:23" s="12" customFormat="1" ht="13.05" customHeight="1" x14ac:dyDescent="0.3">
      <c r="A66" s="159"/>
      <c r="B66" s="160"/>
      <c r="C66" s="160"/>
      <c r="D66" s="160"/>
      <c r="E66" s="162"/>
      <c r="F66" s="164"/>
      <c r="G66" s="164"/>
      <c r="H66" s="173"/>
      <c r="I66" s="174"/>
      <c r="J66" s="174"/>
      <c r="K66" s="174"/>
      <c r="L66" s="174"/>
      <c r="M66" s="175"/>
      <c r="N66" s="176" t="s">
        <v>351</v>
      </c>
      <c r="O66" s="177"/>
      <c r="P66" s="177"/>
      <c r="Q66" s="178"/>
      <c r="R66" s="162"/>
      <c r="S66" s="180"/>
      <c r="T66" s="159"/>
      <c r="U66" s="159"/>
      <c r="V66" s="159"/>
      <c r="W66" s="159"/>
    </row>
    <row r="67" spans="1:23" ht="14.55" customHeight="1" x14ac:dyDescent="0.3">
      <c r="A67" s="183" t="s">
        <v>69</v>
      </c>
      <c r="B67" s="5">
        <v>0.33333333333333331</v>
      </c>
      <c r="C67" s="5"/>
      <c r="D67" s="110">
        <v>290925</v>
      </c>
      <c r="E67" s="3" t="s">
        <v>400</v>
      </c>
      <c r="F67" s="19">
        <v>304</v>
      </c>
      <c r="G67" s="20">
        <v>0.7</v>
      </c>
      <c r="H67" s="186"/>
      <c r="I67" s="187"/>
      <c r="J67" s="187"/>
      <c r="K67" s="187"/>
      <c r="L67" s="187"/>
      <c r="M67" s="188"/>
      <c r="N67" s="189">
        <v>500</v>
      </c>
      <c r="O67" s="198"/>
      <c r="P67" s="198"/>
      <c r="Q67" s="190"/>
      <c r="R67" s="126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4"/>
      <c r="B68" s="5"/>
      <c r="C68" s="5">
        <v>0.70833333333333337</v>
      </c>
      <c r="D68" s="110">
        <v>290925</v>
      </c>
      <c r="E68" s="3" t="s">
        <v>401</v>
      </c>
      <c r="F68" s="19">
        <v>304</v>
      </c>
      <c r="G68" s="20">
        <v>0.7</v>
      </c>
      <c r="H68" s="186"/>
      <c r="I68" s="187"/>
      <c r="J68" s="187"/>
      <c r="K68" s="187"/>
      <c r="L68" s="187"/>
      <c r="M68" s="188"/>
      <c r="N68" s="189">
        <v>2000</v>
      </c>
      <c r="O68" s="198"/>
      <c r="P68" s="198"/>
      <c r="Q68" s="190"/>
      <c r="R68" s="126"/>
      <c r="S68" s="6" t="s">
        <v>14</v>
      </c>
      <c r="T68" s="21"/>
      <c r="U68" s="204"/>
      <c r="V68" s="205"/>
      <c r="W68" s="206"/>
    </row>
    <row r="69" spans="1:23" ht="14.55" customHeight="1" x14ac:dyDescent="0.3">
      <c r="A69" s="184"/>
      <c r="B69" s="5"/>
      <c r="C69" s="5"/>
      <c r="D69" s="108"/>
      <c r="E69" s="3"/>
      <c r="F69" s="19"/>
      <c r="G69" s="20"/>
      <c r="H69" s="186"/>
      <c r="I69" s="187"/>
      <c r="J69" s="187"/>
      <c r="K69" s="187"/>
      <c r="L69" s="187"/>
      <c r="M69" s="188"/>
      <c r="N69" s="189"/>
      <c r="O69" s="198"/>
      <c r="P69" s="198"/>
      <c r="Q69" s="190"/>
      <c r="R69" s="126"/>
      <c r="S69" s="6" t="s">
        <v>14</v>
      </c>
      <c r="T69" s="21"/>
      <c r="U69" s="204"/>
      <c r="V69" s="205"/>
      <c r="W69" s="206"/>
    </row>
    <row r="70" spans="1:23" ht="14.55" customHeight="1" x14ac:dyDescent="0.3">
      <c r="A70" s="185"/>
      <c r="B70" s="165" t="s">
        <v>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8">
        <f>SUM(N67:O69)</f>
        <v>2500</v>
      </c>
      <c r="O70" s="197"/>
      <c r="P70" s="197"/>
      <c r="Q70" s="169"/>
      <c r="R70" s="10">
        <f>SUM(R67:R69)</f>
        <v>0</v>
      </c>
      <c r="S70" s="11" t="s">
        <v>14</v>
      </c>
      <c r="T70" s="9"/>
      <c r="U70" s="204"/>
      <c r="V70" s="205"/>
      <c r="W70" s="206"/>
    </row>
    <row r="71" spans="1:23" ht="14.55" customHeight="1" x14ac:dyDescent="0.3">
      <c r="D71" s="91"/>
      <c r="E71" s="48"/>
      <c r="F71" s="48"/>
      <c r="G71" s="48"/>
      <c r="H71" s="48"/>
      <c r="I71" s="48"/>
      <c r="R71" s="91"/>
    </row>
    <row r="72" spans="1:23" ht="14.55" customHeight="1" x14ac:dyDescent="0.3">
      <c r="D72" s="91"/>
      <c r="E72" s="165" t="s">
        <v>349</v>
      </c>
      <c r="F72" s="166"/>
      <c r="G72" s="166"/>
      <c r="H72" s="166"/>
      <c r="I72" s="166"/>
      <c r="J72" s="166"/>
      <c r="K72" s="166"/>
      <c r="L72" s="166"/>
      <c r="M72" s="167"/>
      <c r="N72" s="181" t="s">
        <v>350</v>
      </c>
      <c r="O72" s="199"/>
      <c r="P72" s="199"/>
      <c r="Q72" s="182"/>
      <c r="R72" s="91"/>
    </row>
    <row r="73" spans="1:23" ht="14.55" customHeight="1" x14ac:dyDescent="0.3">
      <c r="D73" s="91"/>
      <c r="E73" s="7"/>
      <c r="F73" s="7"/>
      <c r="G73" s="7"/>
      <c r="H73" s="7"/>
      <c r="I73" s="7"/>
      <c r="J73" s="22"/>
      <c r="K73" s="23"/>
      <c r="L73" s="22"/>
      <c r="M73" s="24"/>
      <c r="N73" s="200">
        <f>N70</f>
        <v>2500</v>
      </c>
      <c r="O73" s="201"/>
      <c r="P73" s="202" t="s">
        <v>13</v>
      </c>
      <c r="Q73" s="203"/>
      <c r="R73" s="91"/>
    </row>
    <row r="74" spans="1:23" ht="14.55" customHeight="1" x14ac:dyDescent="0.3">
      <c r="D74" s="91"/>
      <c r="E74" s="48"/>
      <c r="F74" s="48"/>
      <c r="G74" s="48"/>
      <c r="H74" s="48"/>
      <c r="I74" s="48"/>
      <c r="P74" s="49"/>
      <c r="Q74" s="49"/>
      <c r="R74" s="32"/>
      <c r="S74" s="32"/>
    </row>
    <row r="75" spans="1:23" s="8" customFormat="1" ht="30" customHeight="1" x14ac:dyDescent="0.3">
      <c r="A75" s="155" t="s">
        <v>370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57"/>
      <c r="R75" s="157"/>
      <c r="S75" s="157"/>
      <c r="T75" s="156"/>
      <c r="U75" s="156"/>
      <c r="V75" s="156"/>
      <c r="W75" s="158"/>
    </row>
    <row r="76" spans="1:23" s="12" customFormat="1" ht="14.55" customHeight="1" x14ac:dyDescent="0.3">
      <c r="A76" s="159" t="s">
        <v>1</v>
      </c>
      <c r="B76" s="160" t="s">
        <v>2</v>
      </c>
      <c r="C76" s="160" t="s">
        <v>3</v>
      </c>
      <c r="D76" s="160" t="s">
        <v>4</v>
      </c>
      <c r="E76" s="161" t="s">
        <v>5</v>
      </c>
      <c r="F76" s="163" t="s">
        <v>15</v>
      </c>
      <c r="G76" s="163" t="s">
        <v>16</v>
      </c>
      <c r="H76" s="170" t="s">
        <v>24</v>
      </c>
      <c r="I76" s="171"/>
      <c r="J76" s="171"/>
      <c r="K76" s="171"/>
      <c r="L76" s="171"/>
      <c r="M76" s="172"/>
      <c r="N76" s="176" t="s">
        <v>6</v>
      </c>
      <c r="O76" s="177"/>
      <c r="P76" s="177"/>
      <c r="Q76" s="178"/>
      <c r="R76" s="161" t="s">
        <v>8</v>
      </c>
      <c r="S76" s="179"/>
      <c r="T76" s="159" t="s">
        <v>9</v>
      </c>
      <c r="U76" s="159" t="s">
        <v>10</v>
      </c>
      <c r="V76" s="159"/>
      <c r="W76" s="159"/>
    </row>
    <row r="77" spans="1:23" s="12" customFormat="1" ht="13.05" customHeight="1" x14ac:dyDescent="0.3">
      <c r="A77" s="159"/>
      <c r="B77" s="160"/>
      <c r="C77" s="160"/>
      <c r="D77" s="160"/>
      <c r="E77" s="162"/>
      <c r="F77" s="164"/>
      <c r="G77" s="164"/>
      <c r="H77" s="173"/>
      <c r="I77" s="174"/>
      <c r="J77" s="174"/>
      <c r="K77" s="174"/>
      <c r="L77" s="174"/>
      <c r="M77" s="175"/>
      <c r="N77" s="176" t="s">
        <v>351</v>
      </c>
      <c r="O77" s="177"/>
      <c r="P77" s="177"/>
      <c r="Q77" s="178"/>
      <c r="R77" s="162"/>
      <c r="S77" s="180"/>
      <c r="T77" s="159"/>
      <c r="U77" s="159"/>
      <c r="V77" s="159"/>
      <c r="W77" s="159"/>
    </row>
    <row r="78" spans="1:23" ht="14.55" customHeight="1" x14ac:dyDescent="0.3">
      <c r="A78" s="183" t="s">
        <v>49</v>
      </c>
      <c r="B78" s="5"/>
      <c r="C78" s="5"/>
      <c r="D78" s="110"/>
      <c r="E78" s="3" t="s">
        <v>404</v>
      </c>
      <c r="F78" s="19"/>
      <c r="G78" s="20"/>
      <c r="H78" s="186"/>
      <c r="I78" s="187"/>
      <c r="J78" s="187"/>
      <c r="K78" s="187"/>
      <c r="L78" s="187"/>
      <c r="M78" s="188"/>
      <c r="N78" s="189">
        <v>2000</v>
      </c>
      <c r="O78" s="198"/>
      <c r="P78" s="198"/>
      <c r="Q78" s="190"/>
      <c r="R78" s="126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4"/>
      <c r="B79" s="5"/>
      <c r="C79" s="5"/>
      <c r="D79" s="110"/>
      <c r="E79" s="3"/>
      <c r="F79" s="19"/>
      <c r="G79" s="20"/>
      <c r="H79" s="186"/>
      <c r="I79" s="187"/>
      <c r="J79" s="187"/>
      <c r="K79" s="187"/>
      <c r="L79" s="187"/>
      <c r="M79" s="188"/>
      <c r="N79" s="189"/>
      <c r="O79" s="198"/>
      <c r="P79" s="198"/>
      <c r="Q79" s="190"/>
      <c r="R79" s="126"/>
      <c r="S79" s="6" t="s">
        <v>14</v>
      </c>
      <c r="T79" s="21"/>
      <c r="U79" s="204"/>
      <c r="V79" s="205"/>
      <c r="W79" s="206"/>
    </row>
    <row r="80" spans="1:23" ht="14.55" customHeight="1" x14ac:dyDescent="0.3">
      <c r="A80" s="184"/>
      <c r="B80" s="5"/>
      <c r="C80" s="5"/>
      <c r="D80" s="108"/>
      <c r="E80" s="3"/>
      <c r="F80" s="19"/>
      <c r="G80" s="20"/>
      <c r="H80" s="186"/>
      <c r="I80" s="187"/>
      <c r="J80" s="187"/>
      <c r="K80" s="187"/>
      <c r="L80" s="187"/>
      <c r="M80" s="188"/>
      <c r="N80" s="189"/>
      <c r="O80" s="198"/>
      <c r="P80" s="198"/>
      <c r="Q80" s="190"/>
      <c r="R80" s="126"/>
      <c r="S80" s="6" t="s">
        <v>14</v>
      </c>
      <c r="T80" s="21"/>
      <c r="U80" s="204"/>
      <c r="V80" s="205"/>
      <c r="W80" s="206"/>
    </row>
    <row r="81" spans="1:23" ht="14.55" customHeight="1" x14ac:dyDescent="0.3">
      <c r="A81" s="185"/>
      <c r="B81" s="165" t="s">
        <v>0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8">
        <f>SUM(N78:O80)</f>
        <v>2000</v>
      </c>
      <c r="O81" s="197"/>
      <c r="P81" s="197"/>
      <c r="Q81" s="169"/>
      <c r="R81" s="10">
        <f>SUM(R78:R80)</f>
        <v>0</v>
      </c>
      <c r="S81" s="11" t="s">
        <v>14</v>
      </c>
      <c r="T81" s="9"/>
      <c r="U81" s="204"/>
      <c r="V81" s="205"/>
      <c r="W81" s="206"/>
    </row>
    <row r="82" spans="1:23" ht="14.55" customHeight="1" x14ac:dyDescent="0.3">
      <c r="D82" s="91"/>
      <c r="E82" s="48"/>
      <c r="F82" s="48"/>
      <c r="G82" s="48"/>
      <c r="H82" s="48"/>
      <c r="I82" s="48"/>
      <c r="R82" s="91"/>
    </row>
    <row r="83" spans="1:23" ht="14.55" customHeight="1" x14ac:dyDescent="0.3">
      <c r="D83" s="91"/>
      <c r="E83" s="165" t="s">
        <v>371</v>
      </c>
      <c r="F83" s="166"/>
      <c r="G83" s="166"/>
      <c r="H83" s="166"/>
      <c r="I83" s="166"/>
      <c r="J83" s="166"/>
      <c r="K83" s="166"/>
      <c r="L83" s="166"/>
      <c r="M83" s="167"/>
      <c r="N83" s="181" t="s">
        <v>350</v>
      </c>
      <c r="O83" s="199"/>
      <c r="P83" s="199"/>
      <c r="Q83" s="182"/>
      <c r="R83" s="91"/>
    </row>
    <row r="84" spans="1:23" ht="14.55" customHeight="1" x14ac:dyDescent="0.3">
      <c r="D84" s="91"/>
      <c r="E84" s="7"/>
      <c r="F84" s="7"/>
      <c r="G84" s="7"/>
      <c r="H84" s="7"/>
      <c r="I84" s="7"/>
      <c r="J84" s="22"/>
      <c r="K84" s="23"/>
      <c r="L84" s="22"/>
      <c r="M84" s="24"/>
      <c r="N84" s="200">
        <f>N81</f>
        <v>2000</v>
      </c>
      <c r="O84" s="201"/>
      <c r="P84" s="202" t="s">
        <v>13</v>
      </c>
      <c r="Q84" s="203"/>
      <c r="R84" s="91"/>
    </row>
    <row r="85" spans="1:23" ht="14.55" customHeight="1" x14ac:dyDescent="0.3">
      <c r="D85" s="91"/>
      <c r="E85" s="48"/>
      <c r="F85" s="48"/>
      <c r="G85" s="48"/>
      <c r="H85" s="48"/>
      <c r="I85" s="48"/>
      <c r="P85" s="49"/>
      <c r="Q85" s="49"/>
      <c r="R85" s="32"/>
      <c r="S85" s="32"/>
    </row>
    <row r="86" spans="1:23" s="8" customFormat="1" ht="30" customHeight="1" x14ac:dyDescent="0.3">
      <c r="A86" s="155" t="s">
        <v>73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7"/>
      <c r="Q86" s="157"/>
      <c r="R86" s="157"/>
      <c r="S86" s="157"/>
      <c r="T86" s="156"/>
      <c r="U86" s="156"/>
      <c r="V86" s="156"/>
      <c r="W86" s="158"/>
    </row>
    <row r="87" spans="1:23" s="12" customFormat="1" ht="14.55" customHeight="1" x14ac:dyDescent="0.3">
      <c r="A87" s="159" t="s">
        <v>1</v>
      </c>
      <c r="B87" s="160" t="s">
        <v>2</v>
      </c>
      <c r="C87" s="160" t="s">
        <v>3</v>
      </c>
      <c r="D87" s="160" t="s">
        <v>4</v>
      </c>
      <c r="E87" s="161" t="s">
        <v>5</v>
      </c>
      <c r="F87" s="163" t="s">
        <v>15</v>
      </c>
      <c r="G87" s="163" t="s">
        <v>16</v>
      </c>
      <c r="H87" s="170" t="s">
        <v>30</v>
      </c>
      <c r="I87" s="171"/>
      <c r="J87" s="171"/>
      <c r="K87" s="171"/>
      <c r="L87" s="171"/>
      <c r="M87" s="172"/>
      <c r="N87" s="176" t="s">
        <v>6</v>
      </c>
      <c r="O87" s="177"/>
      <c r="P87" s="177"/>
      <c r="Q87" s="178"/>
      <c r="R87" s="161" t="s">
        <v>8</v>
      </c>
      <c r="S87" s="179"/>
      <c r="T87" s="159" t="s">
        <v>9</v>
      </c>
      <c r="U87" s="159" t="s">
        <v>10</v>
      </c>
      <c r="V87" s="159"/>
      <c r="W87" s="159"/>
    </row>
    <row r="88" spans="1:23" s="12" customFormat="1" ht="13.05" customHeight="1" x14ac:dyDescent="0.3">
      <c r="A88" s="159"/>
      <c r="B88" s="160"/>
      <c r="C88" s="160"/>
      <c r="D88" s="160"/>
      <c r="E88" s="162"/>
      <c r="F88" s="164"/>
      <c r="G88" s="164"/>
      <c r="H88" s="173"/>
      <c r="I88" s="174"/>
      <c r="J88" s="174"/>
      <c r="K88" s="174"/>
      <c r="L88" s="174"/>
      <c r="M88" s="175"/>
      <c r="N88" s="176" t="s">
        <v>7</v>
      </c>
      <c r="O88" s="177"/>
      <c r="P88" s="177" t="s">
        <v>74</v>
      </c>
      <c r="Q88" s="178"/>
      <c r="R88" s="162"/>
      <c r="S88" s="180"/>
      <c r="T88" s="159"/>
      <c r="U88" s="159"/>
      <c r="V88" s="159"/>
      <c r="W88" s="159"/>
    </row>
    <row r="89" spans="1:23" ht="14.55" customHeight="1" x14ac:dyDescent="0.3">
      <c r="A89" s="183" t="s">
        <v>49</v>
      </c>
      <c r="B89" s="5">
        <v>0.33333333333333331</v>
      </c>
      <c r="C89" s="5"/>
      <c r="D89" s="108">
        <v>290925</v>
      </c>
      <c r="E89" s="3" t="s">
        <v>405</v>
      </c>
      <c r="F89" s="19">
        <v>304</v>
      </c>
      <c r="G89" s="20">
        <v>0.9</v>
      </c>
      <c r="H89" s="186" t="s">
        <v>406</v>
      </c>
      <c r="I89" s="187"/>
      <c r="J89" s="187"/>
      <c r="K89" s="187"/>
      <c r="L89" s="187"/>
      <c r="M89" s="188"/>
      <c r="N89" s="189">
        <v>700</v>
      </c>
      <c r="O89" s="190"/>
      <c r="P89" s="189"/>
      <c r="Q89" s="190"/>
      <c r="R89" s="126"/>
      <c r="S89" s="91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250041</v>
      </c>
      <c r="E90" s="3" t="s">
        <v>287</v>
      </c>
      <c r="F90" s="19">
        <v>304</v>
      </c>
      <c r="G90" s="20">
        <v>0.7</v>
      </c>
      <c r="H90" s="186" t="s">
        <v>407</v>
      </c>
      <c r="I90" s="187"/>
      <c r="J90" s="187"/>
      <c r="K90" s="187"/>
      <c r="L90" s="187"/>
      <c r="M90" s="188"/>
      <c r="N90" s="189">
        <v>451</v>
      </c>
      <c r="O90" s="190"/>
      <c r="P90" s="189"/>
      <c r="Q90" s="190"/>
      <c r="R90" s="126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250041</v>
      </c>
      <c r="E91" s="3" t="s">
        <v>408</v>
      </c>
      <c r="F91" s="19">
        <v>304</v>
      </c>
      <c r="G91" s="20">
        <v>0.7</v>
      </c>
      <c r="H91" s="186" t="s">
        <v>407</v>
      </c>
      <c r="I91" s="187"/>
      <c r="J91" s="187"/>
      <c r="K91" s="187"/>
      <c r="L91" s="187"/>
      <c r="M91" s="188"/>
      <c r="N91" s="189">
        <v>444</v>
      </c>
      <c r="O91" s="190"/>
      <c r="P91" s="189"/>
      <c r="Q91" s="190"/>
      <c r="R91" s="126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>
        <v>0.70833333333333337</v>
      </c>
      <c r="D92" s="108">
        <v>290925</v>
      </c>
      <c r="E92" s="3" t="s">
        <v>409</v>
      </c>
      <c r="F92" s="19">
        <v>304</v>
      </c>
      <c r="G92" s="20">
        <v>0.9</v>
      </c>
      <c r="H92" s="186" t="s">
        <v>122</v>
      </c>
      <c r="I92" s="187"/>
      <c r="J92" s="187"/>
      <c r="K92" s="187"/>
      <c r="L92" s="187"/>
      <c r="M92" s="188"/>
      <c r="N92" s="189">
        <v>750</v>
      </c>
      <c r="O92" s="190"/>
      <c r="P92" s="189"/>
      <c r="Q92" s="190"/>
      <c r="R92" s="126"/>
      <c r="S92" s="6" t="s">
        <v>14</v>
      </c>
      <c r="T92" s="21"/>
      <c r="U92" s="191"/>
      <c r="V92" s="192"/>
      <c r="W92" s="193"/>
    </row>
    <row r="93" spans="1:23" ht="14.55" customHeight="1" x14ac:dyDescent="0.3">
      <c r="A93" s="184"/>
      <c r="B93" s="5"/>
      <c r="C93" s="5"/>
      <c r="D93" s="108"/>
      <c r="E93" s="3" t="s">
        <v>412</v>
      </c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26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6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6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6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26"/>
      <c r="S97" s="6" t="s">
        <v>14</v>
      </c>
      <c r="T97" s="21"/>
      <c r="U97" s="191"/>
      <c r="V97" s="192"/>
      <c r="W97" s="193"/>
    </row>
    <row r="98" spans="1:23" ht="14.55" hidden="1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26"/>
      <c r="S98" s="6" t="s">
        <v>14</v>
      </c>
      <c r="T98" s="21"/>
      <c r="U98" s="191"/>
      <c r="V98" s="192"/>
      <c r="W98" s="193"/>
    </row>
    <row r="99" spans="1:23" ht="14.55" customHeight="1" x14ac:dyDescent="0.3">
      <c r="A99" s="185"/>
      <c r="B99" s="165" t="s">
        <v>0</v>
      </c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8">
        <f>SUM(N89:O98)</f>
        <v>2345</v>
      </c>
      <c r="O99" s="197"/>
      <c r="P99" s="168">
        <f ca="1">SUM(P89:Q99)</f>
        <v>0</v>
      </c>
      <c r="Q99" s="197"/>
      <c r="R99" s="10">
        <f>SUM(R89:R98)</f>
        <v>0</v>
      </c>
      <c r="S99" s="11" t="s">
        <v>14</v>
      </c>
      <c r="T99" s="9"/>
      <c r="U99" s="191"/>
      <c r="V99" s="192"/>
      <c r="W99" s="193"/>
    </row>
    <row r="100" spans="1:23" ht="14.55" customHeight="1" x14ac:dyDescent="0.3">
      <c r="D100" s="91"/>
      <c r="E100" s="48"/>
      <c r="F100" s="48"/>
      <c r="G100" s="48"/>
      <c r="H100" s="48"/>
      <c r="I100" s="48"/>
      <c r="R100" s="91"/>
    </row>
    <row r="101" spans="1:23" ht="14.55" customHeight="1" x14ac:dyDescent="0.3">
      <c r="D101" s="91"/>
      <c r="E101" s="165" t="s">
        <v>65</v>
      </c>
      <c r="F101" s="166"/>
      <c r="G101" s="166"/>
      <c r="H101" s="166"/>
      <c r="I101" s="166"/>
      <c r="J101" s="166"/>
      <c r="K101" s="166"/>
      <c r="L101" s="166"/>
      <c r="M101" s="167"/>
      <c r="N101" s="181" t="s">
        <v>7</v>
      </c>
      <c r="O101" s="182"/>
      <c r="P101" s="181" t="s">
        <v>74</v>
      </c>
      <c r="Q101" s="182"/>
      <c r="R101" s="91"/>
    </row>
    <row r="102" spans="1:23" ht="14.55" customHeight="1" x14ac:dyDescent="0.3">
      <c r="D102" s="91"/>
      <c r="E102" s="7"/>
      <c r="F102" s="7"/>
      <c r="G102" s="7"/>
      <c r="H102" s="7"/>
      <c r="I102" s="7"/>
      <c r="J102" s="22"/>
      <c r="K102" s="23"/>
      <c r="L102" s="22"/>
      <c r="M102" s="24"/>
      <c r="N102" s="127">
        <f>N99</f>
        <v>2345</v>
      </c>
      <c r="O102" s="14" t="s">
        <v>13</v>
      </c>
      <c r="P102" s="127">
        <f ca="1">P99</f>
        <v>0</v>
      </c>
      <c r="Q102" s="15" t="s">
        <v>13</v>
      </c>
      <c r="R102" s="91"/>
    </row>
    <row r="103" spans="1:23" x14ac:dyDescent="0.3">
      <c r="P103" s="49"/>
      <c r="Q103" s="49"/>
      <c r="R103" s="49"/>
      <c r="S103" s="32"/>
    </row>
    <row r="104" spans="1:23" s="8" customFormat="1" ht="30" customHeight="1" x14ac:dyDescent="0.3">
      <c r="A104" s="155" t="s">
        <v>29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7"/>
      <c r="Q104" s="157"/>
      <c r="R104" s="157"/>
      <c r="S104" s="157"/>
      <c r="T104" s="156"/>
      <c r="U104" s="156"/>
      <c r="V104" s="156"/>
      <c r="W104" s="158"/>
    </row>
    <row r="105" spans="1:23" s="12" customFormat="1" ht="14.55" customHeight="1" x14ac:dyDescent="0.3">
      <c r="A105" s="159" t="s">
        <v>1</v>
      </c>
      <c r="B105" s="160" t="s">
        <v>2</v>
      </c>
      <c r="C105" s="160" t="s">
        <v>3</v>
      </c>
      <c r="D105" s="160" t="s">
        <v>4</v>
      </c>
      <c r="E105" s="161" t="s">
        <v>5</v>
      </c>
      <c r="F105" s="163" t="s">
        <v>15</v>
      </c>
      <c r="G105" s="163" t="s">
        <v>16</v>
      </c>
      <c r="H105" s="170" t="s">
        <v>30</v>
      </c>
      <c r="I105" s="171"/>
      <c r="J105" s="171"/>
      <c r="K105" s="171"/>
      <c r="L105" s="171"/>
      <c r="M105" s="172"/>
      <c r="N105" s="176" t="s">
        <v>6</v>
      </c>
      <c r="O105" s="177"/>
      <c r="P105" s="177"/>
      <c r="Q105" s="178"/>
      <c r="R105" s="161" t="s">
        <v>8</v>
      </c>
      <c r="S105" s="179"/>
      <c r="T105" s="159" t="s">
        <v>9</v>
      </c>
      <c r="U105" s="159" t="s">
        <v>10</v>
      </c>
      <c r="V105" s="159"/>
      <c r="W105" s="159"/>
    </row>
    <row r="106" spans="1:23" s="12" customFormat="1" ht="13.05" customHeight="1" x14ac:dyDescent="0.3">
      <c r="A106" s="159"/>
      <c r="B106" s="160"/>
      <c r="C106" s="160"/>
      <c r="D106" s="160"/>
      <c r="E106" s="162"/>
      <c r="F106" s="164"/>
      <c r="G106" s="164"/>
      <c r="H106" s="173"/>
      <c r="I106" s="174"/>
      <c r="J106" s="174"/>
      <c r="K106" s="174"/>
      <c r="L106" s="174"/>
      <c r="M106" s="175"/>
      <c r="N106" s="176" t="s">
        <v>7</v>
      </c>
      <c r="O106" s="177"/>
      <c r="P106" s="177"/>
      <c r="Q106" s="178"/>
      <c r="R106" s="162"/>
      <c r="S106" s="180"/>
      <c r="T106" s="159"/>
      <c r="U106" s="159"/>
      <c r="V106" s="159"/>
      <c r="W106" s="159"/>
    </row>
    <row r="107" spans="1:23" ht="14.55" customHeight="1" x14ac:dyDescent="0.3">
      <c r="A107" s="183" t="s">
        <v>49</v>
      </c>
      <c r="B107" s="5">
        <v>0.33333333333333331</v>
      </c>
      <c r="C107" s="5"/>
      <c r="D107" s="110">
        <v>160925</v>
      </c>
      <c r="E107" s="3" t="s">
        <v>410</v>
      </c>
      <c r="F107" s="19">
        <v>304</v>
      </c>
      <c r="G107" s="20">
        <v>0.9</v>
      </c>
      <c r="H107" s="186" t="s">
        <v>87</v>
      </c>
      <c r="I107" s="187"/>
      <c r="J107" s="187"/>
      <c r="K107" s="187"/>
      <c r="L107" s="187"/>
      <c r="M107" s="188"/>
      <c r="N107" s="189">
        <v>593</v>
      </c>
      <c r="O107" s="198"/>
      <c r="P107" s="198"/>
      <c r="Q107" s="190"/>
      <c r="R107" s="126"/>
      <c r="S107" s="91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10">
        <v>160925</v>
      </c>
      <c r="E108" s="3" t="s">
        <v>411</v>
      </c>
      <c r="F108" s="19">
        <v>304</v>
      </c>
      <c r="G108" s="20">
        <v>0.9</v>
      </c>
      <c r="H108" s="186" t="s">
        <v>87</v>
      </c>
      <c r="I108" s="187"/>
      <c r="J108" s="187"/>
      <c r="K108" s="187"/>
      <c r="L108" s="187"/>
      <c r="M108" s="188"/>
      <c r="N108" s="189">
        <v>521</v>
      </c>
      <c r="O108" s="198"/>
      <c r="P108" s="198"/>
      <c r="Q108" s="190"/>
      <c r="R108" s="126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>
        <v>0.70833333333333337</v>
      </c>
      <c r="D109" s="108" t="s">
        <v>205</v>
      </c>
      <c r="E109" s="3" t="s">
        <v>313</v>
      </c>
      <c r="F109" s="19">
        <v>304</v>
      </c>
      <c r="G109" s="20">
        <v>0.8</v>
      </c>
      <c r="H109" s="186" t="s">
        <v>87</v>
      </c>
      <c r="I109" s="187"/>
      <c r="J109" s="187"/>
      <c r="K109" s="187"/>
      <c r="L109" s="187"/>
      <c r="M109" s="188"/>
      <c r="N109" s="189">
        <v>13</v>
      </c>
      <c r="O109" s="198"/>
      <c r="P109" s="198"/>
      <c r="Q109" s="190"/>
      <c r="R109" s="126"/>
      <c r="S109" s="91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26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5"/>
      <c r="B111" s="165" t="s">
        <v>0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8">
        <f>SUM(N107:O110)</f>
        <v>1127</v>
      </c>
      <c r="O111" s="197"/>
      <c r="P111" s="197"/>
      <c r="Q111" s="169"/>
      <c r="R111" s="10">
        <f>SUM(R107:R110)</f>
        <v>0</v>
      </c>
      <c r="S111" s="11" t="s">
        <v>14</v>
      </c>
      <c r="T111" s="9"/>
      <c r="U111" s="204"/>
      <c r="V111" s="205"/>
      <c r="W111" s="206"/>
    </row>
    <row r="112" spans="1:23" ht="14.55" customHeight="1" x14ac:dyDescent="0.3">
      <c r="D112" s="91"/>
      <c r="E112" s="48"/>
      <c r="F112" s="48"/>
      <c r="G112" s="48"/>
      <c r="H112" s="48"/>
      <c r="I112" s="48"/>
      <c r="R112" s="91"/>
    </row>
    <row r="113" spans="4:18" ht="14.55" customHeight="1" x14ac:dyDescent="0.3">
      <c r="D113" s="91"/>
      <c r="E113" s="165" t="s">
        <v>33</v>
      </c>
      <c r="F113" s="166"/>
      <c r="G113" s="166"/>
      <c r="H113" s="166"/>
      <c r="I113" s="166"/>
      <c r="J113" s="166"/>
      <c r="K113" s="166"/>
      <c r="L113" s="166"/>
      <c r="M113" s="167"/>
      <c r="N113" s="181" t="s">
        <v>7</v>
      </c>
      <c r="O113" s="199"/>
      <c r="P113" s="199"/>
      <c r="Q113" s="182"/>
      <c r="R113" s="91"/>
    </row>
    <row r="114" spans="4:18" ht="14.55" customHeight="1" x14ac:dyDescent="0.3">
      <c r="D114" s="91"/>
      <c r="E114" s="7"/>
      <c r="F114" s="7"/>
      <c r="G114" s="7"/>
      <c r="H114" s="7"/>
      <c r="I114" s="7"/>
      <c r="J114" s="22"/>
      <c r="K114" s="23"/>
      <c r="L114" s="22"/>
      <c r="M114" s="24"/>
      <c r="N114" s="200">
        <f>N111</f>
        <v>1127</v>
      </c>
      <c r="O114" s="201"/>
      <c r="P114" s="202" t="s">
        <v>13</v>
      </c>
      <c r="Q114" s="203"/>
      <c r="R114" s="91"/>
    </row>
  </sheetData>
  <mergeCells count="305">
    <mergeCell ref="H96:M96"/>
    <mergeCell ref="N96:O96"/>
    <mergeCell ref="P96:Q96"/>
    <mergeCell ref="H97:M97"/>
    <mergeCell ref="N97:O97"/>
    <mergeCell ref="E83:M83"/>
    <mergeCell ref="N83:Q83"/>
    <mergeCell ref="B70:M70"/>
    <mergeCell ref="N70:Q70"/>
    <mergeCell ref="H87:M88"/>
    <mergeCell ref="N87:Q87"/>
    <mergeCell ref="E72:M72"/>
    <mergeCell ref="N72:Q72"/>
    <mergeCell ref="N73:O73"/>
    <mergeCell ref="P73:Q73"/>
    <mergeCell ref="B99:M99"/>
    <mergeCell ref="N99:O99"/>
    <mergeCell ref="P99:Q99"/>
    <mergeCell ref="E101:M101"/>
    <mergeCell ref="N101:O101"/>
    <mergeCell ref="P101:Q101"/>
    <mergeCell ref="H98:M98"/>
    <mergeCell ref="N98:O98"/>
    <mergeCell ref="P98:Q98"/>
    <mergeCell ref="N114:O114"/>
    <mergeCell ref="P114:Q114"/>
    <mergeCell ref="H110:M110"/>
    <mergeCell ref="N110:Q110"/>
    <mergeCell ref="H109:M109"/>
    <mergeCell ref="N109:Q109"/>
    <mergeCell ref="R105:S106"/>
    <mergeCell ref="T105:T106"/>
    <mergeCell ref="U105:W106"/>
    <mergeCell ref="N106:Q106"/>
    <mergeCell ref="B111:M111"/>
    <mergeCell ref="N111:Q111"/>
    <mergeCell ref="E113:M113"/>
    <mergeCell ref="N113:Q113"/>
    <mergeCell ref="A107:A111"/>
    <mergeCell ref="H107:M107"/>
    <mergeCell ref="N107:Q107"/>
    <mergeCell ref="U107:W111"/>
    <mergeCell ref="H108:M108"/>
    <mergeCell ref="N108:Q108"/>
    <mergeCell ref="A104:W104"/>
    <mergeCell ref="A105:A106"/>
    <mergeCell ref="B105:B106"/>
    <mergeCell ref="C105:C106"/>
    <mergeCell ref="D105:D106"/>
    <mergeCell ref="E105:E106"/>
    <mergeCell ref="F105:F106"/>
    <mergeCell ref="G105:G106"/>
    <mergeCell ref="H105:M106"/>
    <mergeCell ref="N105:Q105"/>
    <mergeCell ref="A89:A99"/>
    <mergeCell ref="H89:M89"/>
    <mergeCell ref="N89:O89"/>
    <mergeCell ref="P89:Q89"/>
    <mergeCell ref="U89:W99"/>
    <mergeCell ref="H90:M90"/>
    <mergeCell ref="N90:O90"/>
    <mergeCell ref="P90:Q90"/>
    <mergeCell ref="H91:M91"/>
    <mergeCell ref="N91:O91"/>
    <mergeCell ref="P97:Q97"/>
    <mergeCell ref="H94:M94"/>
    <mergeCell ref="N94:O94"/>
    <mergeCell ref="P94:Q94"/>
    <mergeCell ref="H95:M95"/>
    <mergeCell ref="N95:O95"/>
    <mergeCell ref="P95:Q95"/>
    <mergeCell ref="P91:Q91"/>
    <mergeCell ref="H92:M92"/>
    <mergeCell ref="N92:O92"/>
    <mergeCell ref="P92:Q92"/>
    <mergeCell ref="H93:M93"/>
    <mergeCell ref="N93:O93"/>
    <mergeCell ref="P93:Q93"/>
    <mergeCell ref="R87:S88"/>
    <mergeCell ref="T87:T88"/>
    <mergeCell ref="U87:W88"/>
    <mergeCell ref="N88:O88"/>
    <mergeCell ref="P88:Q88"/>
    <mergeCell ref="N84:O84"/>
    <mergeCell ref="P84:Q84"/>
    <mergeCell ref="A86:W86"/>
    <mergeCell ref="A87:A88"/>
    <mergeCell ref="B87:B88"/>
    <mergeCell ref="C87:C88"/>
    <mergeCell ref="D87:D88"/>
    <mergeCell ref="E87:E88"/>
    <mergeCell ref="F87:F88"/>
    <mergeCell ref="G87:G88"/>
    <mergeCell ref="U78:W81"/>
    <mergeCell ref="H79:M79"/>
    <mergeCell ref="N79:Q79"/>
    <mergeCell ref="A75:W75"/>
    <mergeCell ref="A76:A77"/>
    <mergeCell ref="B76:B77"/>
    <mergeCell ref="C76:C77"/>
    <mergeCell ref="D76:D77"/>
    <mergeCell ref="E76:E77"/>
    <mergeCell ref="F76:F77"/>
    <mergeCell ref="G76:G77"/>
    <mergeCell ref="H76:M77"/>
    <mergeCell ref="N76:Q76"/>
    <mergeCell ref="H80:M80"/>
    <mergeCell ref="N80:Q80"/>
    <mergeCell ref="B81:M81"/>
    <mergeCell ref="N81:Q81"/>
    <mergeCell ref="R76:S77"/>
    <mergeCell ref="T76:T77"/>
    <mergeCell ref="U76:W77"/>
    <mergeCell ref="N77:Q77"/>
    <mergeCell ref="A78:A81"/>
    <mergeCell ref="H78:M78"/>
    <mergeCell ref="N78:Q78"/>
    <mergeCell ref="A67:A70"/>
    <mergeCell ref="H67:M67"/>
    <mergeCell ref="N67:Q67"/>
    <mergeCell ref="U67:W70"/>
    <mergeCell ref="H68:M68"/>
    <mergeCell ref="N68:Q68"/>
    <mergeCell ref="H69:M69"/>
    <mergeCell ref="N69:Q69"/>
    <mergeCell ref="F65:F66"/>
    <mergeCell ref="G65:G66"/>
    <mergeCell ref="H65:M66"/>
    <mergeCell ref="N65:Q65"/>
    <mergeCell ref="R65:S66"/>
    <mergeCell ref="T65:T66"/>
    <mergeCell ref="E61:M61"/>
    <mergeCell ref="N61:Q61"/>
    <mergeCell ref="N62:O62"/>
    <mergeCell ref="P62:Q62"/>
    <mergeCell ref="A64:W64"/>
    <mergeCell ref="A65:A66"/>
    <mergeCell ref="B65:B66"/>
    <mergeCell ref="C65:C66"/>
    <mergeCell ref="D65:D66"/>
    <mergeCell ref="E65:E66"/>
    <mergeCell ref="U65:W66"/>
    <mergeCell ref="N66:Q66"/>
    <mergeCell ref="A56:A59"/>
    <mergeCell ref="H56:M56"/>
    <mergeCell ref="N56:Q56"/>
    <mergeCell ref="U56:W59"/>
    <mergeCell ref="H57:M57"/>
    <mergeCell ref="N57:Q57"/>
    <mergeCell ref="H58:M58"/>
    <mergeCell ref="N58:Q58"/>
    <mergeCell ref="B59:M59"/>
    <mergeCell ref="N59:Q59"/>
    <mergeCell ref="E50:M50"/>
    <mergeCell ref="N50:Q50"/>
    <mergeCell ref="R43:S44"/>
    <mergeCell ref="T43:T44"/>
    <mergeCell ref="U43:W44"/>
    <mergeCell ref="N44:Q44"/>
    <mergeCell ref="H54:M55"/>
    <mergeCell ref="N54:Q54"/>
    <mergeCell ref="R54:S55"/>
    <mergeCell ref="T54:T55"/>
    <mergeCell ref="U54:W55"/>
    <mergeCell ref="N55:Q55"/>
    <mergeCell ref="N51:O51"/>
    <mergeCell ref="P51:Q51"/>
    <mergeCell ref="A53:W53"/>
    <mergeCell ref="A54:A55"/>
    <mergeCell ref="B54:B55"/>
    <mergeCell ref="C54:C55"/>
    <mergeCell ref="D54:D55"/>
    <mergeCell ref="E54:E55"/>
    <mergeCell ref="F54:F55"/>
    <mergeCell ref="G54:G55"/>
    <mergeCell ref="A45:A48"/>
    <mergeCell ref="H45:M45"/>
    <mergeCell ref="N45:Q45"/>
    <mergeCell ref="U45:W48"/>
    <mergeCell ref="H46:M46"/>
    <mergeCell ref="N46:Q46"/>
    <mergeCell ref="A42:W42"/>
    <mergeCell ref="A43:A44"/>
    <mergeCell ref="B43:B44"/>
    <mergeCell ref="C43:C44"/>
    <mergeCell ref="D43:D44"/>
    <mergeCell ref="E43:E44"/>
    <mergeCell ref="F43:F44"/>
    <mergeCell ref="G43:G44"/>
    <mergeCell ref="H43:M44"/>
    <mergeCell ref="N43:Q43"/>
    <mergeCell ref="H47:M47"/>
    <mergeCell ref="N47:Q47"/>
    <mergeCell ref="B48:M48"/>
    <mergeCell ref="N48:Q48"/>
    <mergeCell ref="A34:A37"/>
    <mergeCell ref="H34:M34"/>
    <mergeCell ref="N34:O34"/>
    <mergeCell ref="P34:Q34"/>
    <mergeCell ref="U34:W37"/>
    <mergeCell ref="B37:M37"/>
    <mergeCell ref="N37:O37"/>
    <mergeCell ref="P37:Q37"/>
    <mergeCell ref="E39:M39"/>
    <mergeCell ref="N39:O39"/>
    <mergeCell ref="P39:Q39"/>
    <mergeCell ref="H35:M35"/>
    <mergeCell ref="N35:O35"/>
    <mergeCell ref="P35:Q35"/>
    <mergeCell ref="H36:M36"/>
    <mergeCell ref="N36:O36"/>
    <mergeCell ref="P36:Q36"/>
    <mergeCell ref="E28:M28"/>
    <mergeCell ref="N28:Q28"/>
    <mergeCell ref="N29:O29"/>
    <mergeCell ref="P29:Q29"/>
    <mergeCell ref="A22:A26"/>
    <mergeCell ref="H22:M22"/>
    <mergeCell ref="N22:Q22"/>
    <mergeCell ref="A31:W31"/>
    <mergeCell ref="A32:A33"/>
    <mergeCell ref="B32:B33"/>
    <mergeCell ref="C32:C33"/>
    <mergeCell ref="D32:D33"/>
    <mergeCell ref="E32:E33"/>
    <mergeCell ref="F32:F33"/>
    <mergeCell ref="G32:G33"/>
    <mergeCell ref="H32:M33"/>
    <mergeCell ref="N32:Q32"/>
    <mergeCell ref="R32:S33"/>
    <mergeCell ref="T32:T33"/>
    <mergeCell ref="U32:W33"/>
    <mergeCell ref="N33:O33"/>
    <mergeCell ref="P33:Q33"/>
    <mergeCell ref="U22:W26"/>
    <mergeCell ref="H23:M23"/>
    <mergeCell ref="T20:T21"/>
    <mergeCell ref="U20:W21"/>
    <mergeCell ref="N21:Q21"/>
    <mergeCell ref="B26:M26"/>
    <mergeCell ref="N26:Q26"/>
    <mergeCell ref="A20:A21"/>
    <mergeCell ref="B20:B21"/>
    <mergeCell ref="C20:C21"/>
    <mergeCell ref="D20:D21"/>
    <mergeCell ref="E20:E21"/>
    <mergeCell ref="F20:F21"/>
    <mergeCell ref="N23:Q23"/>
    <mergeCell ref="H24:M24"/>
    <mergeCell ref="N24:Q24"/>
    <mergeCell ref="H25:M25"/>
    <mergeCell ref="N25:Q25"/>
    <mergeCell ref="G20:G21"/>
    <mergeCell ref="H20:M21"/>
    <mergeCell ref="N20:Q20"/>
    <mergeCell ref="R20:S21"/>
    <mergeCell ref="N14:O14"/>
    <mergeCell ref="P14:Q14"/>
    <mergeCell ref="E16:M16"/>
    <mergeCell ref="N16:O16"/>
    <mergeCell ref="P16:Q16"/>
    <mergeCell ref="A19:W19"/>
    <mergeCell ref="P11:Q11"/>
    <mergeCell ref="A12:A14"/>
    <mergeCell ref="H12:M12"/>
    <mergeCell ref="N12:O12"/>
    <mergeCell ref="P12:Q12"/>
    <mergeCell ref="U12:W14"/>
    <mergeCell ref="H13:M13"/>
    <mergeCell ref="N13:O13"/>
    <mergeCell ref="P13:Q13"/>
    <mergeCell ref="B14:M14"/>
    <mergeCell ref="A7:A11"/>
    <mergeCell ref="H7:M7"/>
    <mergeCell ref="N7:O7"/>
    <mergeCell ref="P7:Q7"/>
    <mergeCell ref="U7:W11"/>
    <mergeCell ref="H10:M10"/>
    <mergeCell ref="N10:O10"/>
    <mergeCell ref="P10:Q10"/>
    <mergeCell ref="B11:M11"/>
    <mergeCell ref="N11:O11"/>
    <mergeCell ref="H8:M8"/>
    <mergeCell ref="N8:O8"/>
    <mergeCell ref="P8:Q8"/>
    <mergeCell ref="H9:M9"/>
    <mergeCell ref="H5:M6"/>
    <mergeCell ref="N5:Q5"/>
    <mergeCell ref="R5:S6"/>
    <mergeCell ref="N9:O9"/>
    <mergeCell ref="P9:Q9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topLeftCell="A19" zoomScale="85" zoomScaleNormal="85" workbookViewId="0">
      <selection activeCell="D23" sqref="D23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52.4414062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45954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10">
        <v>290925</v>
      </c>
      <c r="E7" s="3" t="s">
        <v>413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2400</v>
      </c>
      <c r="O7" s="190"/>
      <c r="P7" s="189"/>
      <c r="Q7" s="190"/>
      <c r="R7" s="129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29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2400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29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29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28">
        <f>N9+N12</f>
        <v>2400</v>
      </c>
      <c r="O15" s="14" t="s">
        <v>13</v>
      </c>
      <c r="P15" s="128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10">
        <v>131025</v>
      </c>
      <c r="E20" s="3" t="s">
        <v>380</v>
      </c>
      <c r="F20" s="19">
        <v>304</v>
      </c>
      <c r="G20" s="20">
        <v>0.9</v>
      </c>
      <c r="H20" s="186"/>
      <c r="I20" s="187"/>
      <c r="J20" s="187"/>
      <c r="K20" s="187"/>
      <c r="L20" s="187"/>
      <c r="M20" s="188"/>
      <c r="N20" s="189">
        <v>230</v>
      </c>
      <c r="O20" s="198"/>
      <c r="P20" s="198"/>
      <c r="Q20" s="190"/>
      <c r="R20" s="129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08">
        <v>250057</v>
      </c>
      <c r="E21" s="3" t="s">
        <v>414</v>
      </c>
      <c r="F21" s="19">
        <v>304</v>
      </c>
      <c r="G21" s="20">
        <v>0.7</v>
      </c>
      <c r="H21" s="186"/>
      <c r="I21" s="187"/>
      <c r="J21" s="187"/>
      <c r="K21" s="187"/>
      <c r="L21" s="187"/>
      <c r="M21" s="188"/>
      <c r="N21" s="189">
        <v>630</v>
      </c>
      <c r="O21" s="198"/>
      <c r="P21" s="198"/>
      <c r="Q21" s="190"/>
      <c r="R21" s="129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>
        <v>250061</v>
      </c>
      <c r="E22" s="3" t="s">
        <v>415</v>
      </c>
      <c r="F22" s="19">
        <v>304</v>
      </c>
      <c r="G22" s="20">
        <v>0.7</v>
      </c>
      <c r="H22" s="186"/>
      <c r="I22" s="187"/>
      <c r="J22" s="187"/>
      <c r="K22" s="187"/>
      <c r="L22" s="187"/>
      <c r="M22" s="188"/>
      <c r="N22" s="189">
        <v>500</v>
      </c>
      <c r="O22" s="198"/>
      <c r="P22" s="198"/>
      <c r="Q22" s="190"/>
      <c r="R22" s="129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>
        <v>0.70833333333333337</v>
      </c>
      <c r="D23" s="110">
        <v>290925</v>
      </c>
      <c r="E23" s="3" t="s">
        <v>416</v>
      </c>
      <c r="F23" s="19">
        <v>304</v>
      </c>
      <c r="G23" s="20">
        <v>0.8</v>
      </c>
      <c r="H23" s="186"/>
      <c r="I23" s="187"/>
      <c r="J23" s="187"/>
      <c r="K23" s="187"/>
      <c r="L23" s="187"/>
      <c r="M23" s="188"/>
      <c r="N23" s="189">
        <v>1000</v>
      </c>
      <c r="O23" s="198"/>
      <c r="P23" s="198"/>
      <c r="Q23" s="190"/>
      <c r="R23" s="129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2360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2360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10">
        <v>131025</v>
      </c>
      <c r="E32" s="3" t="s">
        <v>380</v>
      </c>
      <c r="F32" s="19">
        <v>304</v>
      </c>
      <c r="G32" s="20">
        <v>0.9</v>
      </c>
      <c r="H32" s="186"/>
      <c r="I32" s="187"/>
      <c r="J32" s="187"/>
      <c r="K32" s="187"/>
      <c r="L32" s="187"/>
      <c r="M32" s="188"/>
      <c r="N32" s="189">
        <v>905</v>
      </c>
      <c r="O32" s="190"/>
      <c r="P32" s="189"/>
      <c r="Q32" s="190"/>
      <c r="R32" s="129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>
        <v>250057</v>
      </c>
      <c r="E33" s="3" t="s">
        <v>414</v>
      </c>
      <c r="F33" s="19">
        <v>304</v>
      </c>
      <c r="G33" s="20">
        <v>0.7</v>
      </c>
      <c r="H33" s="186"/>
      <c r="I33" s="187"/>
      <c r="J33" s="187"/>
      <c r="K33" s="187"/>
      <c r="L33" s="187"/>
      <c r="M33" s="188"/>
      <c r="N33" s="189">
        <v>620</v>
      </c>
      <c r="O33" s="190"/>
      <c r="P33" s="189"/>
      <c r="Q33" s="190"/>
      <c r="R33" s="129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>
        <v>0.70833333333333337</v>
      </c>
      <c r="D34" s="108">
        <v>250061</v>
      </c>
      <c r="E34" s="3" t="s">
        <v>415</v>
      </c>
      <c r="F34" s="19">
        <v>304</v>
      </c>
      <c r="G34" s="20">
        <v>0.7</v>
      </c>
      <c r="H34" s="186"/>
      <c r="I34" s="187"/>
      <c r="J34" s="187"/>
      <c r="K34" s="187"/>
      <c r="L34" s="187"/>
      <c r="M34" s="188"/>
      <c r="N34" s="189">
        <v>330</v>
      </c>
      <c r="O34" s="190"/>
      <c r="P34" s="189"/>
      <c r="Q34" s="190"/>
      <c r="R34" s="129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1855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28">
        <f>N35</f>
        <v>1855</v>
      </c>
      <c r="O38" s="14" t="s">
        <v>13</v>
      </c>
      <c r="P38" s="128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10">
        <v>290925</v>
      </c>
      <c r="E43" s="3" t="s">
        <v>360</v>
      </c>
      <c r="F43" s="19">
        <v>304</v>
      </c>
      <c r="G43" s="20">
        <v>0.8</v>
      </c>
      <c r="H43" s="186"/>
      <c r="I43" s="187"/>
      <c r="J43" s="187"/>
      <c r="K43" s="187"/>
      <c r="L43" s="187"/>
      <c r="M43" s="188"/>
      <c r="N43" s="189">
        <v>900</v>
      </c>
      <c r="O43" s="198"/>
      <c r="P43" s="198"/>
      <c r="Q43" s="190"/>
      <c r="R43" s="129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>
        <v>0.70833333333333337</v>
      </c>
      <c r="D44" s="110">
        <v>131025</v>
      </c>
      <c r="E44" s="3" t="s">
        <v>54</v>
      </c>
      <c r="F44" s="19">
        <v>304</v>
      </c>
      <c r="G44" s="20">
        <v>0.9</v>
      </c>
      <c r="H44" s="186"/>
      <c r="I44" s="187"/>
      <c r="J44" s="187"/>
      <c r="K44" s="187"/>
      <c r="L44" s="187"/>
      <c r="M44" s="188"/>
      <c r="N44" s="189">
        <v>1350</v>
      </c>
      <c r="O44" s="198"/>
      <c r="P44" s="198"/>
      <c r="Q44" s="190"/>
      <c r="R44" s="129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29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2250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2250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>
        <v>0.70833333333333337</v>
      </c>
      <c r="D54" s="110">
        <v>290925</v>
      </c>
      <c r="E54" s="3" t="s">
        <v>360</v>
      </c>
      <c r="F54" s="19">
        <v>304</v>
      </c>
      <c r="G54" s="20">
        <v>0.8</v>
      </c>
      <c r="H54" s="186"/>
      <c r="I54" s="187"/>
      <c r="J54" s="187"/>
      <c r="K54" s="187"/>
      <c r="L54" s="187"/>
      <c r="M54" s="188"/>
      <c r="N54" s="189">
        <v>1680</v>
      </c>
      <c r="O54" s="198"/>
      <c r="P54" s="198"/>
      <c r="Q54" s="190"/>
      <c r="R54" s="129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29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29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1680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1680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</v>
      </c>
      <c r="C65" s="5"/>
      <c r="D65" s="110">
        <v>290925</v>
      </c>
      <c r="E65" s="3" t="s">
        <v>417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1500</v>
      </c>
      <c r="O65" s="198"/>
      <c r="P65" s="198"/>
      <c r="Q65" s="190"/>
      <c r="R65" s="129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0.70833333333333337</v>
      </c>
      <c r="D66" s="110">
        <v>290925</v>
      </c>
      <c r="E66" s="3" t="s">
        <v>418</v>
      </c>
      <c r="F66" s="19">
        <v>304</v>
      </c>
      <c r="G66" s="20">
        <v>0.6</v>
      </c>
      <c r="H66" s="186"/>
      <c r="I66" s="187"/>
      <c r="J66" s="187"/>
      <c r="K66" s="187"/>
      <c r="L66" s="187"/>
      <c r="M66" s="188"/>
      <c r="N66" s="189">
        <v>1500</v>
      </c>
      <c r="O66" s="198"/>
      <c r="P66" s="198"/>
      <c r="Q66" s="190"/>
      <c r="R66" s="129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29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3000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3000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 t="s">
        <v>419</v>
      </c>
      <c r="F76" s="19"/>
      <c r="G76" s="20"/>
      <c r="H76" s="186"/>
      <c r="I76" s="187"/>
      <c r="J76" s="187"/>
      <c r="K76" s="187"/>
      <c r="L76" s="187"/>
      <c r="M76" s="188"/>
      <c r="N76" s="189">
        <v>2500</v>
      </c>
      <c r="O76" s="198"/>
      <c r="P76" s="198"/>
      <c r="Q76" s="190"/>
      <c r="R76" s="129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29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29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2500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91"/>
      <c r="E80" s="48"/>
      <c r="F80" s="48"/>
      <c r="G80" s="48"/>
      <c r="H80" s="48"/>
      <c r="I80" s="48"/>
      <c r="R80" s="91"/>
    </row>
    <row r="81" spans="1:23" ht="14.55" customHeight="1" x14ac:dyDescent="0.3">
      <c r="D81" s="91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91"/>
    </row>
    <row r="82" spans="1:23" ht="14.55" customHeight="1" x14ac:dyDescent="0.3">
      <c r="D82" s="91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2500</v>
      </c>
      <c r="O82" s="201"/>
      <c r="P82" s="202" t="s">
        <v>13</v>
      </c>
      <c r="Q82" s="203"/>
      <c r="R82" s="91"/>
    </row>
    <row r="83" spans="1:23" ht="14.55" customHeight="1" x14ac:dyDescent="0.3">
      <c r="D83" s="91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290925</v>
      </c>
      <c r="E87" s="3" t="s">
        <v>409</v>
      </c>
      <c r="F87" s="19">
        <v>304</v>
      </c>
      <c r="G87" s="20">
        <v>0.9</v>
      </c>
      <c r="H87" s="186" t="s">
        <v>122</v>
      </c>
      <c r="I87" s="187"/>
      <c r="J87" s="187"/>
      <c r="K87" s="187"/>
      <c r="L87" s="187"/>
      <c r="M87" s="188"/>
      <c r="N87" s="189">
        <v>356</v>
      </c>
      <c r="O87" s="190"/>
      <c r="P87" s="189"/>
      <c r="Q87" s="190"/>
      <c r="R87" s="129"/>
      <c r="S87" s="91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08">
        <v>290925</v>
      </c>
      <c r="E88" s="3" t="s">
        <v>423</v>
      </c>
      <c r="F88" s="19">
        <v>304</v>
      </c>
      <c r="G88" s="20">
        <v>0.8</v>
      </c>
      <c r="H88" s="186" t="s">
        <v>122</v>
      </c>
      <c r="I88" s="187"/>
      <c r="J88" s="187"/>
      <c r="K88" s="187"/>
      <c r="L88" s="187"/>
      <c r="M88" s="188"/>
      <c r="N88" s="189">
        <v>1000</v>
      </c>
      <c r="O88" s="190"/>
      <c r="P88" s="189"/>
      <c r="Q88" s="190"/>
      <c r="R88" s="129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290925</v>
      </c>
      <c r="E89" s="3" t="s">
        <v>409</v>
      </c>
      <c r="F89" s="19">
        <v>304</v>
      </c>
      <c r="G89" s="20">
        <v>0.9</v>
      </c>
      <c r="H89" s="186" t="s">
        <v>124</v>
      </c>
      <c r="I89" s="187"/>
      <c r="J89" s="187"/>
      <c r="K89" s="187"/>
      <c r="L89" s="187"/>
      <c r="M89" s="188"/>
      <c r="N89" s="189">
        <v>691</v>
      </c>
      <c r="O89" s="190"/>
      <c r="P89" s="189"/>
      <c r="Q89" s="190"/>
      <c r="R89" s="129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>
        <v>0.70833333333333337</v>
      </c>
      <c r="D90" s="108">
        <v>290925</v>
      </c>
      <c r="E90" s="3" t="s">
        <v>420</v>
      </c>
      <c r="F90" s="19">
        <v>304</v>
      </c>
      <c r="G90" s="20">
        <v>0.8</v>
      </c>
      <c r="H90" s="186" t="s">
        <v>124</v>
      </c>
      <c r="I90" s="187"/>
      <c r="J90" s="187"/>
      <c r="K90" s="187"/>
      <c r="L90" s="187"/>
      <c r="M90" s="188"/>
      <c r="N90" s="189">
        <v>1000</v>
      </c>
      <c r="O90" s="190"/>
      <c r="P90" s="189"/>
      <c r="Q90" s="190"/>
      <c r="R90" s="129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29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29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29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29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29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29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29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3047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91"/>
      <c r="E99" s="48"/>
      <c r="F99" s="48"/>
      <c r="G99" s="48"/>
      <c r="H99" s="48"/>
      <c r="I99" s="48"/>
      <c r="R99" s="91"/>
    </row>
    <row r="100" spans="1:23" ht="14.55" customHeight="1" x14ac:dyDescent="0.3">
      <c r="D100" s="91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91"/>
    </row>
    <row r="101" spans="1:23" ht="14.55" customHeight="1" x14ac:dyDescent="0.3">
      <c r="D101" s="91"/>
      <c r="E101" s="7"/>
      <c r="F101" s="7"/>
      <c r="G101" s="7"/>
      <c r="H101" s="7"/>
      <c r="I101" s="7"/>
      <c r="J101" s="22"/>
      <c r="K101" s="23"/>
      <c r="L101" s="22"/>
      <c r="M101" s="24"/>
      <c r="N101" s="128">
        <f>N98</f>
        <v>3047</v>
      </c>
      <c r="O101" s="14" t="s">
        <v>13</v>
      </c>
      <c r="P101" s="128">
        <f ca="1">P98</f>
        <v>0</v>
      </c>
      <c r="Q101" s="15" t="s">
        <v>13</v>
      </c>
      <c r="R101" s="91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08">
        <v>290925</v>
      </c>
      <c r="E106" s="3" t="s">
        <v>421</v>
      </c>
      <c r="F106" s="19">
        <v>304</v>
      </c>
      <c r="G106" s="20">
        <v>0.9</v>
      </c>
      <c r="H106" s="186" t="s">
        <v>87</v>
      </c>
      <c r="I106" s="187"/>
      <c r="J106" s="187"/>
      <c r="K106" s="187"/>
      <c r="L106" s="187"/>
      <c r="M106" s="188"/>
      <c r="N106" s="189">
        <v>1111</v>
      </c>
      <c r="O106" s="198"/>
      <c r="P106" s="198"/>
      <c r="Q106" s="190"/>
      <c r="R106" s="129"/>
      <c r="S106" s="91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>
        <v>0.70833333333333337</v>
      </c>
      <c r="D107" s="108">
        <v>290925</v>
      </c>
      <c r="E107" s="3" t="s">
        <v>422</v>
      </c>
      <c r="F107" s="19">
        <v>304</v>
      </c>
      <c r="G107" s="20">
        <v>0.9</v>
      </c>
      <c r="H107" s="186" t="s">
        <v>87</v>
      </c>
      <c r="I107" s="187"/>
      <c r="J107" s="187"/>
      <c r="K107" s="187"/>
      <c r="L107" s="187"/>
      <c r="M107" s="188"/>
      <c r="N107" s="189">
        <v>169</v>
      </c>
      <c r="O107" s="198"/>
      <c r="P107" s="198"/>
      <c r="Q107" s="190"/>
      <c r="R107" s="129"/>
      <c r="S107" s="91" t="s">
        <v>14</v>
      </c>
      <c r="T107" s="21"/>
      <c r="U107" s="204"/>
      <c r="V107" s="205"/>
      <c r="W107" s="206"/>
    </row>
    <row r="108" spans="1:23" ht="14.4" customHeight="1" x14ac:dyDescent="0.3">
      <c r="A108" s="207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29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29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5"/>
      <c r="B110" s="165" t="s">
        <v>0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7"/>
      <c r="N110" s="168">
        <f>SUM(N106:O109)</f>
        <v>1280</v>
      </c>
      <c r="O110" s="197"/>
      <c r="P110" s="197"/>
      <c r="Q110" s="169"/>
      <c r="R110" s="10">
        <f>SUM(R106:R109)</f>
        <v>0</v>
      </c>
      <c r="S110" s="11" t="s">
        <v>14</v>
      </c>
      <c r="T110" s="9"/>
      <c r="U110" s="204"/>
      <c r="V110" s="205"/>
      <c r="W110" s="206"/>
    </row>
    <row r="111" spans="1:23" ht="14.55" customHeight="1" x14ac:dyDescent="0.3">
      <c r="D111" s="91"/>
      <c r="E111" s="48"/>
      <c r="F111" s="48"/>
      <c r="G111" s="48"/>
      <c r="H111" s="48"/>
      <c r="I111" s="48"/>
      <c r="R111" s="91"/>
    </row>
    <row r="112" spans="1:23" ht="14.55" customHeight="1" x14ac:dyDescent="0.3">
      <c r="D112" s="91"/>
      <c r="E112" s="165" t="s">
        <v>33</v>
      </c>
      <c r="F112" s="166"/>
      <c r="G112" s="166"/>
      <c r="H112" s="166"/>
      <c r="I112" s="166"/>
      <c r="J112" s="166"/>
      <c r="K112" s="166"/>
      <c r="L112" s="166"/>
      <c r="M112" s="167"/>
      <c r="N112" s="181" t="s">
        <v>7</v>
      </c>
      <c r="O112" s="199"/>
      <c r="P112" s="199"/>
      <c r="Q112" s="182"/>
      <c r="R112" s="91"/>
    </row>
    <row r="113" spans="4:18" ht="14.55" customHeight="1" x14ac:dyDescent="0.3">
      <c r="D113" s="91"/>
      <c r="E113" s="7"/>
      <c r="F113" s="7"/>
      <c r="G113" s="7"/>
      <c r="H113" s="7"/>
      <c r="I113" s="7"/>
      <c r="J113" s="22"/>
      <c r="K113" s="23"/>
      <c r="L113" s="22"/>
      <c r="M113" s="24"/>
      <c r="N113" s="200">
        <f>N110</f>
        <v>1280</v>
      </c>
      <c r="O113" s="201"/>
      <c r="P113" s="202" t="s">
        <v>13</v>
      </c>
      <c r="Q113" s="203"/>
      <c r="R113" s="91"/>
    </row>
  </sheetData>
  <mergeCells count="302">
    <mergeCell ref="N113:O113"/>
    <mergeCell ref="P113:Q113"/>
    <mergeCell ref="H109:M109"/>
    <mergeCell ref="N109:Q109"/>
    <mergeCell ref="H108:M108"/>
    <mergeCell ref="N108:Q108"/>
    <mergeCell ref="A106:A110"/>
    <mergeCell ref="H106:M106"/>
    <mergeCell ref="N106:Q106"/>
    <mergeCell ref="U106:W110"/>
    <mergeCell ref="H107:M107"/>
    <mergeCell ref="N107:Q107"/>
    <mergeCell ref="B110:M110"/>
    <mergeCell ref="N110:Q110"/>
    <mergeCell ref="E112:M112"/>
    <mergeCell ref="N112:Q112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R104:S105"/>
    <mergeCell ref="T104:T105"/>
    <mergeCell ref="U104:W105"/>
    <mergeCell ref="N105:Q105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zoomScale="85" zoomScaleNormal="85" workbookViewId="0">
      <selection activeCell="D66" sqref="D66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4.664062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45955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10">
        <v>290925</v>
      </c>
      <c r="E7" s="3" t="s">
        <v>429</v>
      </c>
      <c r="F7" s="19">
        <v>304</v>
      </c>
      <c r="G7" s="20">
        <v>0.8</v>
      </c>
      <c r="H7" s="186"/>
      <c r="I7" s="187"/>
      <c r="J7" s="187"/>
      <c r="K7" s="187"/>
      <c r="L7" s="187"/>
      <c r="M7" s="188"/>
      <c r="N7" s="189">
        <v>200</v>
      </c>
      <c r="O7" s="190"/>
      <c r="P7" s="189"/>
      <c r="Q7" s="190"/>
      <c r="R7" s="130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>
        <v>0.58333333333333337</v>
      </c>
      <c r="D8" s="108" t="s">
        <v>196</v>
      </c>
      <c r="E8" s="3" t="s">
        <v>430</v>
      </c>
      <c r="F8" s="19">
        <v>304</v>
      </c>
      <c r="G8" s="20">
        <v>0.8</v>
      </c>
      <c r="H8" s="186"/>
      <c r="I8" s="187"/>
      <c r="J8" s="187"/>
      <c r="K8" s="187"/>
      <c r="L8" s="187"/>
      <c r="M8" s="188"/>
      <c r="N8" s="189">
        <v>260</v>
      </c>
      <c r="O8" s="190"/>
      <c r="P8" s="189"/>
      <c r="Q8" s="190"/>
      <c r="R8" s="130">
        <v>320</v>
      </c>
      <c r="S8" s="6" t="s">
        <v>14</v>
      </c>
      <c r="T8" s="21" t="s">
        <v>77</v>
      </c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460</v>
      </c>
      <c r="O9" s="169"/>
      <c r="P9" s="168">
        <f>SUM(P7:Q8)</f>
        <v>0</v>
      </c>
      <c r="Q9" s="169"/>
      <c r="R9" s="10">
        <f>SUM(R7:R8)</f>
        <v>320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30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3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31">
        <f>N9+N12</f>
        <v>460</v>
      </c>
      <c r="O15" s="14" t="s">
        <v>13</v>
      </c>
      <c r="P15" s="131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0.58333333333333337</v>
      </c>
      <c r="D20" s="110">
        <v>290925</v>
      </c>
      <c r="E20" s="3" t="s">
        <v>413</v>
      </c>
      <c r="F20" s="19">
        <v>304</v>
      </c>
      <c r="G20" s="20">
        <v>0.8</v>
      </c>
      <c r="H20" s="186"/>
      <c r="I20" s="187"/>
      <c r="J20" s="187"/>
      <c r="K20" s="187"/>
      <c r="L20" s="187"/>
      <c r="M20" s="188"/>
      <c r="N20" s="189">
        <v>1450</v>
      </c>
      <c r="O20" s="198"/>
      <c r="P20" s="198"/>
      <c r="Q20" s="190"/>
      <c r="R20" s="130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30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3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3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1450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1450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08">
        <v>250061</v>
      </c>
      <c r="E32" s="3" t="s">
        <v>415</v>
      </c>
      <c r="F32" s="19">
        <v>304</v>
      </c>
      <c r="G32" s="20">
        <v>0.7</v>
      </c>
      <c r="H32" s="186" t="s">
        <v>213</v>
      </c>
      <c r="I32" s="187"/>
      <c r="J32" s="187"/>
      <c r="K32" s="187"/>
      <c r="L32" s="187"/>
      <c r="M32" s="188"/>
      <c r="N32" s="189">
        <v>175</v>
      </c>
      <c r="O32" s="190"/>
      <c r="P32" s="189"/>
      <c r="Q32" s="190"/>
      <c r="R32" s="130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>
        <v>0.58333333333333337</v>
      </c>
      <c r="D33" s="110">
        <v>290925</v>
      </c>
      <c r="E33" s="3" t="s">
        <v>413</v>
      </c>
      <c r="F33" s="19">
        <v>304</v>
      </c>
      <c r="G33" s="20">
        <v>0.8</v>
      </c>
      <c r="H33" s="186" t="s">
        <v>201</v>
      </c>
      <c r="I33" s="187"/>
      <c r="J33" s="187"/>
      <c r="K33" s="187"/>
      <c r="L33" s="187"/>
      <c r="M33" s="188"/>
      <c r="N33" s="189">
        <v>925</v>
      </c>
      <c r="O33" s="190"/>
      <c r="P33" s="189"/>
      <c r="Q33" s="190"/>
      <c r="R33" s="130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3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1100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31">
        <f>N35</f>
        <v>1100</v>
      </c>
      <c r="O38" s="14" t="s">
        <v>13</v>
      </c>
      <c r="P38" s="131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10">
        <v>131025</v>
      </c>
      <c r="E43" s="3" t="s">
        <v>54</v>
      </c>
      <c r="F43" s="19">
        <v>304</v>
      </c>
      <c r="G43" s="20">
        <v>0.9</v>
      </c>
      <c r="H43" s="186"/>
      <c r="I43" s="187"/>
      <c r="J43" s="187"/>
      <c r="K43" s="187"/>
      <c r="L43" s="187"/>
      <c r="M43" s="188"/>
      <c r="N43" s="189">
        <v>850</v>
      </c>
      <c r="O43" s="198"/>
      <c r="P43" s="198"/>
      <c r="Q43" s="190"/>
      <c r="R43" s="130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>
        <v>0.58333333333333337</v>
      </c>
      <c r="D44" s="110">
        <v>131025</v>
      </c>
      <c r="E44" s="3" t="s">
        <v>380</v>
      </c>
      <c r="F44" s="19">
        <v>304</v>
      </c>
      <c r="G44" s="20">
        <v>0.9</v>
      </c>
      <c r="H44" s="186"/>
      <c r="I44" s="187"/>
      <c r="J44" s="187"/>
      <c r="K44" s="187"/>
      <c r="L44" s="187"/>
      <c r="M44" s="188"/>
      <c r="N44" s="189">
        <v>50</v>
      </c>
      <c r="O44" s="198"/>
      <c r="P44" s="198"/>
      <c r="Q44" s="190"/>
      <c r="R44" s="130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30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900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900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/>
      <c r="C54" s="5"/>
      <c r="D54" s="110"/>
      <c r="E54" s="3" t="s">
        <v>165</v>
      </c>
      <c r="F54" s="19"/>
      <c r="G54" s="20"/>
      <c r="H54" s="186"/>
      <c r="I54" s="187"/>
      <c r="J54" s="187"/>
      <c r="K54" s="187"/>
      <c r="L54" s="187"/>
      <c r="M54" s="188"/>
      <c r="N54" s="189"/>
      <c r="O54" s="198"/>
      <c r="P54" s="198"/>
      <c r="Q54" s="190"/>
      <c r="R54" s="130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30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3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290925</v>
      </c>
      <c r="E65" s="3" t="s">
        <v>401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750</v>
      </c>
      <c r="O65" s="198"/>
      <c r="P65" s="198"/>
      <c r="Q65" s="190"/>
      <c r="R65" s="130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0.58333333333333337</v>
      </c>
      <c r="D66" s="110">
        <v>131025</v>
      </c>
      <c r="E66" s="3" t="s">
        <v>424</v>
      </c>
      <c r="F66" s="19">
        <v>304</v>
      </c>
      <c r="G66" s="20">
        <v>0.6</v>
      </c>
      <c r="H66" s="186"/>
      <c r="I66" s="187"/>
      <c r="J66" s="187"/>
      <c r="K66" s="187"/>
      <c r="L66" s="187"/>
      <c r="M66" s="188"/>
      <c r="N66" s="189">
        <v>500</v>
      </c>
      <c r="O66" s="198"/>
      <c r="P66" s="198"/>
      <c r="Q66" s="190"/>
      <c r="R66" s="130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30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1250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1250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>
        <v>0.33333333333333331</v>
      </c>
      <c r="C76" s="5">
        <v>0.58333333333333337</v>
      </c>
      <c r="D76" s="110"/>
      <c r="E76" s="3"/>
      <c r="F76" s="19"/>
      <c r="G76" s="20"/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30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>
        <v>0.33333333333333331</v>
      </c>
      <c r="C77" s="5"/>
      <c r="D77" s="110">
        <v>290925</v>
      </c>
      <c r="E77" s="3" t="s">
        <v>383</v>
      </c>
      <c r="F77" s="19">
        <v>304</v>
      </c>
      <c r="G77" s="20">
        <v>0.6</v>
      </c>
      <c r="H77" s="186" t="s">
        <v>427</v>
      </c>
      <c r="I77" s="187"/>
      <c r="J77" s="187"/>
      <c r="K77" s="187"/>
      <c r="L77" s="187"/>
      <c r="M77" s="188"/>
      <c r="N77" s="189">
        <v>1500</v>
      </c>
      <c r="O77" s="198"/>
      <c r="P77" s="198"/>
      <c r="Q77" s="190"/>
      <c r="R77" s="130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>
        <v>0.875</v>
      </c>
      <c r="D78" s="110">
        <v>290925</v>
      </c>
      <c r="E78" s="3" t="s">
        <v>428</v>
      </c>
      <c r="F78" s="19">
        <v>304</v>
      </c>
      <c r="G78" s="20">
        <v>0.6</v>
      </c>
      <c r="H78" s="186" t="s">
        <v>427</v>
      </c>
      <c r="I78" s="187"/>
      <c r="J78" s="187"/>
      <c r="K78" s="187"/>
      <c r="L78" s="187"/>
      <c r="M78" s="188"/>
      <c r="N78" s="189">
        <v>800</v>
      </c>
      <c r="O78" s="198"/>
      <c r="P78" s="198"/>
      <c r="Q78" s="190"/>
      <c r="R78" s="130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4300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91"/>
      <c r="E80" s="48"/>
      <c r="F80" s="48"/>
      <c r="G80" s="48"/>
      <c r="H80" s="48"/>
      <c r="I80" s="48"/>
      <c r="R80" s="91"/>
    </row>
    <row r="81" spans="1:23" ht="14.55" customHeight="1" x14ac:dyDescent="0.3">
      <c r="D81" s="91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91"/>
    </row>
    <row r="82" spans="1:23" ht="14.55" customHeight="1" x14ac:dyDescent="0.3">
      <c r="D82" s="91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4300</v>
      </c>
      <c r="O82" s="201"/>
      <c r="P82" s="202" t="s">
        <v>13</v>
      </c>
      <c r="Q82" s="203"/>
      <c r="R82" s="91"/>
    </row>
    <row r="83" spans="1:23" ht="14.55" customHeight="1" x14ac:dyDescent="0.3">
      <c r="D83" s="91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10">
        <v>290925</v>
      </c>
      <c r="E87" s="3" t="s">
        <v>326</v>
      </c>
      <c r="F87" s="19">
        <v>304</v>
      </c>
      <c r="G87" s="20">
        <v>0.9</v>
      </c>
      <c r="H87" s="186" t="s">
        <v>122</v>
      </c>
      <c r="I87" s="187"/>
      <c r="J87" s="187"/>
      <c r="K87" s="187"/>
      <c r="L87" s="187"/>
      <c r="M87" s="188"/>
      <c r="N87" s="189">
        <v>365</v>
      </c>
      <c r="O87" s="190"/>
      <c r="P87" s="189"/>
      <c r="Q87" s="190"/>
      <c r="R87" s="130"/>
      <c r="S87" s="91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10">
        <v>290925</v>
      </c>
      <c r="E88" s="3" t="s">
        <v>352</v>
      </c>
      <c r="F88" s="19">
        <v>304</v>
      </c>
      <c r="G88" s="20">
        <v>0.9</v>
      </c>
      <c r="H88" s="186" t="s">
        <v>124</v>
      </c>
      <c r="I88" s="187"/>
      <c r="J88" s="187"/>
      <c r="K88" s="187"/>
      <c r="L88" s="187"/>
      <c r="M88" s="188"/>
      <c r="N88" s="189">
        <v>1012</v>
      </c>
      <c r="O88" s="190"/>
      <c r="P88" s="189"/>
      <c r="Q88" s="190"/>
      <c r="R88" s="130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>
        <v>0.58333333333333337</v>
      </c>
      <c r="D89" s="110">
        <v>290925</v>
      </c>
      <c r="E89" s="3" t="s">
        <v>360</v>
      </c>
      <c r="F89" s="19">
        <v>304</v>
      </c>
      <c r="G89" s="20">
        <v>0.8</v>
      </c>
      <c r="H89" s="186" t="s">
        <v>406</v>
      </c>
      <c r="I89" s="187"/>
      <c r="J89" s="187"/>
      <c r="K89" s="187"/>
      <c r="L89" s="187"/>
      <c r="M89" s="188"/>
      <c r="N89" s="189">
        <v>250</v>
      </c>
      <c r="O89" s="190"/>
      <c r="P89" s="189"/>
      <c r="Q89" s="190"/>
      <c r="R89" s="130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0"/>
      <c r="P90" s="189"/>
      <c r="Q90" s="190"/>
      <c r="R90" s="130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30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30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30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30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30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30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30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1627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91"/>
      <c r="E99" s="48"/>
      <c r="F99" s="48"/>
      <c r="G99" s="48"/>
      <c r="H99" s="48"/>
      <c r="I99" s="48"/>
      <c r="R99" s="91"/>
    </row>
    <row r="100" spans="1:23" ht="14.55" customHeight="1" x14ac:dyDescent="0.3">
      <c r="D100" s="91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91"/>
    </row>
    <row r="101" spans="1:23" ht="14.55" customHeight="1" x14ac:dyDescent="0.3">
      <c r="D101" s="91"/>
      <c r="E101" s="7"/>
      <c r="F101" s="7"/>
      <c r="G101" s="7"/>
      <c r="H101" s="7"/>
      <c r="I101" s="7"/>
      <c r="J101" s="22"/>
      <c r="K101" s="23"/>
      <c r="L101" s="22"/>
      <c r="M101" s="24"/>
      <c r="N101" s="131">
        <f>N98</f>
        <v>1627</v>
      </c>
      <c r="O101" s="14" t="s">
        <v>13</v>
      </c>
      <c r="P101" s="131">
        <f ca="1">P98</f>
        <v>0</v>
      </c>
      <c r="Q101" s="15" t="s">
        <v>13</v>
      </c>
      <c r="R101" s="91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10">
        <v>290925</v>
      </c>
      <c r="E106" s="3" t="s">
        <v>425</v>
      </c>
      <c r="F106" s="19">
        <v>304</v>
      </c>
      <c r="G106" s="20">
        <v>0.9</v>
      </c>
      <c r="H106" s="186" t="s">
        <v>87</v>
      </c>
      <c r="I106" s="187"/>
      <c r="J106" s="187"/>
      <c r="K106" s="187"/>
      <c r="L106" s="187"/>
      <c r="M106" s="188"/>
      <c r="N106" s="189">
        <v>460</v>
      </c>
      <c r="O106" s="198"/>
      <c r="P106" s="198"/>
      <c r="Q106" s="190"/>
      <c r="R106" s="130"/>
      <c r="S106" s="91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>
        <v>0.58333333333333337</v>
      </c>
      <c r="D107" s="110">
        <v>290925</v>
      </c>
      <c r="E107" s="3" t="s">
        <v>426</v>
      </c>
      <c r="F107" s="19">
        <v>304</v>
      </c>
      <c r="G107" s="20">
        <v>0.9</v>
      </c>
      <c r="H107" s="186" t="s">
        <v>87</v>
      </c>
      <c r="I107" s="187"/>
      <c r="J107" s="187"/>
      <c r="K107" s="187"/>
      <c r="L107" s="187"/>
      <c r="M107" s="188"/>
      <c r="N107" s="189">
        <v>970</v>
      </c>
      <c r="O107" s="198"/>
      <c r="P107" s="198"/>
      <c r="Q107" s="190"/>
      <c r="R107" s="130"/>
      <c r="S107" s="91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30"/>
      <c r="S108" s="91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30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5"/>
      <c r="B110" s="165" t="s">
        <v>0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7"/>
      <c r="N110" s="168">
        <f>SUM(N106:O109)</f>
        <v>1430</v>
      </c>
      <c r="O110" s="197"/>
      <c r="P110" s="197"/>
      <c r="Q110" s="169"/>
      <c r="R110" s="10">
        <f>SUM(R106:R109)</f>
        <v>0</v>
      </c>
      <c r="S110" s="11" t="s">
        <v>14</v>
      </c>
      <c r="T110" s="9"/>
      <c r="U110" s="204"/>
      <c r="V110" s="205"/>
      <c r="W110" s="206"/>
    </row>
    <row r="111" spans="1:23" ht="14.55" customHeight="1" x14ac:dyDescent="0.3">
      <c r="D111" s="91"/>
      <c r="E111" s="48"/>
      <c r="F111" s="48"/>
      <c r="G111" s="48"/>
      <c r="H111" s="48"/>
      <c r="I111" s="48"/>
      <c r="R111" s="91"/>
    </row>
    <row r="112" spans="1:23" ht="14.55" customHeight="1" x14ac:dyDescent="0.3">
      <c r="D112" s="91"/>
      <c r="E112" s="165" t="s">
        <v>33</v>
      </c>
      <c r="F112" s="166"/>
      <c r="G112" s="166"/>
      <c r="H112" s="166"/>
      <c r="I112" s="166"/>
      <c r="J112" s="166"/>
      <c r="K112" s="166"/>
      <c r="L112" s="166"/>
      <c r="M112" s="167"/>
      <c r="N112" s="181" t="s">
        <v>7</v>
      </c>
      <c r="O112" s="199"/>
      <c r="P112" s="199"/>
      <c r="Q112" s="182"/>
      <c r="R112" s="91"/>
    </row>
    <row r="113" spans="4:18" ht="14.55" customHeight="1" x14ac:dyDescent="0.3">
      <c r="D113" s="91"/>
      <c r="E113" s="7"/>
      <c r="F113" s="7"/>
      <c r="G113" s="7"/>
      <c r="H113" s="7"/>
      <c r="I113" s="7"/>
      <c r="J113" s="22"/>
      <c r="K113" s="23"/>
      <c r="L113" s="22"/>
      <c r="M113" s="24"/>
      <c r="N113" s="200">
        <f>N110</f>
        <v>1430</v>
      </c>
      <c r="O113" s="201"/>
      <c r="P113" s="202" t="s">
        <v>13</v>
      </c>
      <c r="Q113" s="203"/>
      <c r="R113" s="91"/>
    </row>
  </sheetData>
  <mergeCells count="302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U106:W110"/>
    <mergeCell ref="H107:M107"/>
    <mergeCell ref="N107:Q107"/>
    <mergeCell ref="B110:M110"/>
    <mergeCell ref="N110:Q110"/>
    <mergeCell ref="E112:M112"/>
    <mergeCell ref="N112:Q112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R104:S105"/>
    <mergeCell ref="T104:T105"/>
    <mergeCell ref="U104:W105"/>
    <mergeCell ref="N105:Q105"/>
    <mergeCell ref="N113:O113"/>
    <mergeCell ref="P113:Q113"/>
    <mergeCell ref="H109:M109"/>
    <mergeCell ref="N109:Q109"/>
    <mergeCell ref="H108:M108"/>
    <mergeCell ref="N108:Q108"/>
    <mergeCell ref="A106:A110"/>
    <mergeCell ref="H106:M106"/>
    <mergeCell ref="N106:Q10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opLeftCell="A7" zoomScale="85" zoomScaleNormal="85" workbookViewId="0">
      <selection activeCell="E20" sqref="E20:G22"/>
    </sheetView>
  </sheetViews>
  <sheetFormatPr defaultColWidth="8.88671875" defaultRowHeight="14.4" x14ac:dyDescent="0.3"/>
  <cols>
    <col min="1" max="1" width="12.6640625" style="91" customWidth="1"/>
    <col min="2" max="3" width="7.6640625" style="91" customWidth="1"/>
    <col min="4" max="4" width="9.109375" style="48" bestFit="1" customWidth="1"/>
    <col min="5" max="5" width="46.88671875" style="91" bestFit="1" customWidth="1"/>
    <col min="6" max="6" width="5.6640625" style="91" customWidth="1"/>
    <col min="7" max="7" width="6.6640625" style="91" customWidth="1"/>
    <col min="8" max="9" width="3.6640625" style="91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91" customWidth="1"/>
    <col min="20" max="20" width="17.6640625" style="91" customWidth="1"/>
    <col min="21" max="23" width="6.6640625" style="91" customWidth="1"/>
    <col min="24" max="16384" width="8.88671875" style="91"/>
  </cols>
  <sheetData>
    <row r="1" spans="1:23" x14ac:dyDescent="0.3">
      <c r="D1" s="91"/>
      <c r="J1" s="91"/>
      <c r="K1" s="91"/>
      <c r="L1" s="91"/>
      <c r="M1" s="91"/>
      <c r="N1" s="91"/>
      <c r="O1" s="91"/>
      <c r="P1" s="91"/>
      <c r="Q1" s="91"/>
      <c r="R1" s="91"/>
    </row>
    <row r="2" spans="1:23" x14ac:dyDescent="0.3">
      <c r="D2" s="91"/>
      <c r="J2" s="91"/>
      <c r="K2" s="91"/>
      <c r="L2" s="91"/>
      <c r="M2" s="91"/>
      <c r="N2" s="91"/>
      <c r="O2" s="91"/>
      <c r="P2" s="91"/>
      <c r="Q2" s="91"/>
      <c r="R2" s="91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45957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35">
        <v>230925</v>
      </c>
      <c r="E7" s="3" t="s">
        <v>432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1700</v>
      </c>
      <c r="O7" s="190"/>
      <c r="P7" s="189"/>
      <c r="Q7" s="190"/>
      <c r="R7" s="132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32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1700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32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32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91"/>
      <c r="E13" s="48"/>
      <c r="F13" s="48"/>
      <c r="G13" s="48"/>
      <c r="H13" s="48"/>
      <c r="I13" s="48"/>
      <c r="R13" s="91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33">
        <f>N9+N12</f>
        <v>1700</v>
      </c>
      <c r="O15" s="14" t="s">
        <v>13</v>
      </c>
      <c r="P15" s="133">
        <f>P9+P12</f>
        <v>0</v>
      </c>
      <c r="Q15" s="15" t="s">
        <v>13</v>
      </c>
    </row>
    <row r="16" spans="1:23" ht="15" customHeight="1" x14ac:dyDescent="0.3">
      <c r="D16" s="91"/>
      <c r="J16" s="91"/>
      <c r="K16" s="91"/>
      <c r="L16" s="91"/>
      <c r="M16" s="91"/>
      <c r="N16" s="91"/>
      <c r="O16" s="91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10">
        <v>290925</v>
      </c>
      <c r="E20" s="3" t="s">
        <v>431</v>
      </c>
      <c r="F20" s="19">
        <v>304</v>
      </c>
      <c r="G20" s="20">
        <v>0.8</v>
      </c>
      <c r="H20" s="186"/>
      <c r="I20" s="187"/>
      <c r="J20" s="187"/>
      <c r="K20" s="187"/>
      <c r="L20" s="187"/>
      <c r="M20" s="188"/>
      <c r="N20" s="189">
        <v>655</v>
      </c>
      <c r="O20" s="198"/>
      <c r="P20" s="198"/>
      <c r="Q20" s="190"/>
      <c r="R20" s="132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08" t="s">
        <v>205</v>
      </c>
      <c r="E21" s="3" t="s">
        <v>317</v>
      </c>
      <c r="F21" s="19">
        <v>304</v>
      </c>
      <c r="G21" s="20">
        <v>0.9</v>
      </c>
      <c r="H21" s="186"/>
      <c r="I21" s="187"/>
      <c r="J21" s="187"/>
      <c r="K21" s="187"/>
      <c r="L21" s="187"/>
      <c r="M21" s="188"/>
      <c r="N21" s="189">
        <v>125</v>
      </c>
      <c r="O21" s="198"/>
      <c r="P21" s="198"/>
      <c r="Q21" s="190"/>
      <c r="R21" s="132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>
        <v>0.70833333333333337</v>
      </c>
      <c r="D22" s="135">
        <v>230925</v>
      </c>
      <c r="E22" s="3" t="s">
        <v>39</v>
      </c>
      <c r="F22" s="19">
        <v>430</v>
      </c>
      <c r="G22" s="20">
        <v>0.8</v>
      </c>
      <c r="H22" s="186"/>
      <c r="I22" s="187"/>
      <c r="J22" s="187"/>
      <c r="K22" s="187"/>
      <c r="L22" s="187"/>
      <c r="M22" s="188"/>
      <c r="N22" s="189">
        <v>600</v>
      </c>
      <c r="O22" s="198"/>
      <c r="P22" s="198"/>
      <c r="Q22" s="190"/>
      <c r="R22" s="132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32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1380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91"/>
      <c r="E25" s="48"/>
      <c r="F25" s="48"/>
      <c r="G25" s="48"/>
      <c r="H25" s="48"/>
      <c r="I25" s="48"/>
      <c r="R25" s="91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1380</v>
      </c>
      <c r="O27" s="201"/>
      <c r="P27" s="202" t="s">
        <v>13</v>
      </c>
      <c r="Q27" s="203"/>
    </row>
    <row r="28" spans="1:23" ht="15" customHeight="1" x14ac:dyDescent="0.3">
      <c r="D28" s="91"/>
      <c r="J28" s="91"/>
      <c r="K28" s="91"/>
      <c r="L28" s="91"/>
      <c r="M28" s="91"/>
      <c r="N28" s="91"/>
      <c r="O28" s="91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10">
        <v>290925</v>
      </c>
      <c r="E32" s="3" t="s">
        <v>431</v>
      </c>
      <c r="F32" s="19">
        <v>304</v>
      </c>
      <c r="G32" s="20">
        <v>0.8</v>
      </c>
      <c r="H32" s="186"/>
      <c r="I32" s="187"/>
      <c r="J32" s="187"/>
      <c r="K32" s="187"/>
      <c r="L32" s="187"/>
      <c r="M32" s="188"/>
      <c r="N32" s="189">
        <v>2000</v>
      </c>
      <c r="O32" s="190"/>
      <c r="P32" s="189"/>
      <c r="Q32" s="190"/>
      <c r="R32" s="132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32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32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2000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91"/>
      <c r="E36" s="48"/>
      <c r="F36" s="48"/>
      <c r="G36" s="48"/>
      <c r="H36" s="48"/>
      <c r="I36" s="48"/>
      <c r="R36" s="91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33">
        <f>N35</f>
        <v>2000</v>
      </c>
      <c r="O38" s="14" t="s">
        <v>13</v>
      </c>
      <c r="P38" s="133">
        <f>P35</f>
        <v>0</v>
      </c>
      <c r="Q38" s="15" t="s">
        <v>13</v>
      </c>
    </row>
    <row r="39" spans="1:23" ht="15" customHeight="1" x14ac:dyDescent="0.3">
      <c r="D39" s="91"/>
      <c r="J39" s="91"/>
      <c r="K39" s="91"/>
      <c r="L39" s="91"/>
      <c r="M39" s="91"/>
      <c r="N39" s="91"/>
      <c r="O39" s="91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>
        <v>0.70833333333333337</v>
      </c>
      <c r="D43" s="110">
        <v>131025</v>
      </c>
      <c r="E43" s="3" t="s">
        <v>380</v>
      </c>
      <c r="F43" s="19">
        <v>304</v>
      </c>
      <c r="G43" s="20">
        <v>0.9</v>
      </c>
      <c r="H43" s="186"/>
      <c r="I43" s="187"/>
      <c r="J43" s="187"/>
      <c r="K43" s="187"/>
      <c r="L43" s="187"/>
      <c r="M43" s="188"/>
      <c r="N43" s="189">
        <v>2500</v>
      </c>
      <c r="O43" s="198"/>
      <c r="P43" s="198"/>
      <c r="Q43" s="190"/>
      <c r="R43" s="132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32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32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2500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91"/>
      <c r="E47" s="48"/>
      <c r="F47" s="48"/>
      <c r="G47" s="48"/>
      <c r="H47" s="48"/>
      <c r="I47" s="48"/>
      <c r="R47" s="91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2500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>
        <v>0.70833333333333337</v>
      </c>
      <c r="D54" s="110">
        <v>131025</v>
      </c>
      <c r="E54" s="3" t="s">
        <v>54</v>
      </c>
      <c r="F54" s="19">
        <v>304</v>
      </c>
      <c r="G54" s="20">
        <v>0.9</v>
      </c>
      <c r="H54" s="186"/>
      <c r="I54" s="187"/>
      <c r="J54" s="187"/>
      <c r="K54" s="187"/>
      <c r="L54" s="187"/>
      <c r="M54" s="188"/>
      <c r="N54" s="189">
        <v>2000</v>
      </c>
      <c r="O54" s="198"/>
      <c r="P54" s="198"/>
      <c r="Q54" s="190"/>
      <c r="R54" s="132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32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32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2000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91"/>
      <c r="E58" s="48"/>
      <c r="F58" s="48"/>
      <c r="G58" s="48"/>
      <c r="H58" s="48"/>
      <c r="I58" s="48"/>
      <c r="R58" s="91"/>
    </row>
    <row r="59" spans="1:23" ht="14.55" customHeight="1" x14ac:dyDescent="0.3">
      <c r="D59" s="91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91"/>
    </row>
    <row r="60" spans="1:23" ht="14.55" customHeight="1" x14ac:dyDescent="0.3">
      <c r="D60" s="91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2000</v>
      </c>
      <c r="O60" s="201"/>
      <c r="P60" s="202" t="s">
        <v>13</v>
      </c>
      <c r="Q60" s="203"/>
      <c r="R60" s="91"/>
    </row>
    <row r="61" spans="1:23" ht="14.55" customHeight="1" x14ac:dyDescent="0.3">
      <c r="D61" s="91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131025</v>
      </c>
      <c r="E65" s="3" t="s">
        <v>372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1700</v>
      </c>
      <c r="O65" s="198"/>
      <c r="P65" s="198"/>
      <c r="Q65" s="190"/>
      <c r="R65" s="132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0.70833333333333337</v>
      </c>
      <c r="D66" s="110"/>
      <c r="E66" s="3" t="s">
        <v>433</v>
      </c>
      <c r="F66" s="19">
        <v>304</v>
      </c>
      <c r="G66" s="20">
        <v>0.6</v>
      </c>
      <c r="H66" s="186"/>
      <c r="I66" s="187"/>
      <c r="J66" s="187"/>
      <c r="K66" s="187"/>
      <c r="L66" s="187"/>
      <c r="M66" s="188"/>
      <c r="N66" s="189">
        <v>500</v>
      </c>
      <c r="O66" s="198"/>
      <c r="P66" s="198"/>
      <c r="Q66" s="190"/>
      <c r="R66" s="132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32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2200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91"/>
      <c r="E69" s="48"/>
      <c r="F69" s="48"/>
      <c r="G69" s="48"/>
      <c r="H69" s="48"/>
      <c r="I69" s="48"/>
      <c r="R69" s="91"/>
    </row>
    <row r="70" spans="1:23" ht="14.55" customHeight="1" x14ac:dyDescent="0.3">
      <c r="D70" s="91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91"/>
    </row>
    <row r="71" spans="1:23" ht="14.55" customHeight="1" x14ac:dyDescent="0.3">
      <c r="D71" s="91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2200</v>
      </c>
      <c r="O71" s="201"/>
      <c r="P71" s="202" t="s">
        <v>13</v>
      </c>
      <c r="Q71" s="203"/>
      <c r="R71" s="91"/>
    </row>
    <row r="72" spans="1:23" ht="14.55" customHeight="1" x14ac:dyDescent="0.3">
      <c r="D72" s="91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 t="s">
        <v>404</v>
      </c>
      <c r="F76" s="19"/>
      <c r="G76" s="20"/>
      <c r="H76" s="186"/>
      <c r="I76" s="187"/>
      <c r="J76" s="187"/>
      <c r="K76" s="187"/>
      <c r="L76" s="187"/>
      <c r="M76" s="188"/>
      <c r="N76" s="189">
        <v>2250</v>
      </c>
      <c r="O76" s="198"/>
      <c r="P76" s="198"/>
      <c r="Q76" s="190"/>
      <c r="R76" s="132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32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32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2250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91"/>
      <c r="E80" s="48"/>
      <c r="F80" s="48"/>
      <c r="G80" s="48"/>
      <c r="H80" s="48"/>
      <c r="I80" s="48"/>
      <c r="R80" s="91"/>
    </row>
    <row r="81" spans="1:23" ht="14.55" customHeight="1" x14ac:dyDescent="0.3">
      <c r="D81" s="91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91"/>
    </row>
    <row r="82" spans="1:23" ht="14.55" customHeight="1" x14ac:dyDescent="0.3">
      <c r="D82" s="91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2250</v>
      </c>
      <c r="O82" s="201"/>
      <c r="P82" s="202" t="s">
        <v>13</v>
      </c>
      <c r="Q82" s="203"/>
      <c r="R82" s="91"/>
    </row>
    <row r="83" spans="1:23" ht="14.55" customHeight="1" x14ac:dyDescent="0.3">
      <c r="D83" s="91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290925</v>
      </c>
      <c r="E87" s="3" t="s">
        <v>434</v>
      </c>
      <c r="F87" s="19">
        <v>304</v>
      </c>
      <c r="G87" s="20">
        <v>0.8</v>
      </c>
      <c r="H87" s="186" t="s">
        <v>435</v>
      </c>
      <c r="I87" s="187"/>
      <c r="J87" s="187"/>
      <c r="K87" s="187"/>
      <c r="L87" s="187"/>
      <c r="M87" s="188"/>
      <c r="N87" s="189">
        <v>675</v>
      </c>
      <c r="O87" s="190"/>
      <c r="P87" s="189"/>
      <c r="Q87" s="190"/>
      <c r="R87" s="132"/>
      <c r="S87" s="91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08">
        <v>290925</v>
      </c>
      <c r="E88" s="3" t="s">
        <v>436</v>
      </c>
      <c r="F88" s="19">
        <v>304</v>
      </c>
      <c r="G88" s="20">
        <v>0.9</v>
      </c>
      <c r="H88" s="186" t="s">
        <v>124</v>
      </c>
      <c r="I88" s="187"/>
      <c r="J88" s="187"/>
      <c r="K88" s="187"/>
      <c r="L88" s="187"/>
      <c r="M88" s="188"/>
      <c r="N88" s="189">
        <v>219</v>
      </c>
      <c r="O88" s="190"/>
      <c r="P88" s="189"/>
      <c r="Q88" s="190"/>
      <c r="R88" s="132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290925</v>
      </c>
      <c r="E89" s="3" t="s">
        <v>437</v>
      </c>
      <c r="F89" s="19">
        <v>304</v>
      </c>
      <c r="G89" s="20">
        <v>0.9</v>
      </c>
      <c r="H89" s="186" t="s">
        <v>122</v>
      </c>
      <c r="I89" s="187"/>
      <c r="J89" s="187"/>
      <c r="K89" s="187"/>
      <c r="L89" s="187"/>
      <c r="M89" s="188"/>
      <c r="N89" s="189">
        <v>188</v>
      </c>
      <c r="O89" s="190"/>
      <c r="P89" s="189"/>
      <c r="Q89" s="190"/>
      <c r="R89" s="132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290925</v>
      </c>
      <c r="E90" s="3" t="s">
        <v>437</v>
      </c>
      <c r="F90" s="19">
        <v>304</v>
      </c>
      <c r="G90" s="20">
        <v>0.9</v>
      </c>
      <c r="H90" s="186" t="s">
        <v>124</v>
      </c>
      <c r="I90" s="187"/>
      <c r="J90" s="187"/>
      <c r="K90" s="187"/>
      <c r="L90" s="187"/>
      <c r="M90" s="188"/>
      <c r="N90" s="189">
        <v>97</v>
      </c>
      <c r="O90" s="190"/>
      <c r="P90" s="189"/>
      <c r="Q90" s="190"/>
      <c r="R90" s="132"/>
      <c r="S90" s="6" t="s">
        <v>14</v>
      </c>
      <c r="T90" s="21"/>
      <c r="U90" s="191"/>
      <c r="V90" s="192"/>
      <c r="W90" s="193"/>
    </row>
    <row r="91" spans="1:23" s="134" customFormat="1" ht="14.55" customHeight="1" x14ac:dyDescent="0.3">
      <c r="A91" s="184"/>
      <c r="B91" s="5"/>
      <c r="C91" s="5"/>
      <c r="D91" s="108">
        <v>290925</v>
      </c>
      <c r="E91" s="3" t="s">
        <v>326</v>
      </c>
      <c r="F91" s="19">
        <v>304</v>
      </c>
      <c r="G91" s="20">
        <v>0.9</v>
      </c>
      <c r="H91" s="186" t="s">
        <v>124</v>
      </c>
      <c r="I91" s="187"/>
      <c r="J91" s="187"/>
      <c r="K91" s="187"/>
      <c r="L91" s="187"/>
      <c r="M91" s="188"/>
      <c r="N91" s="189">
        <v>130</v>
      </c>
      <c r="O91" s="190"/>
      <c r="P91" s="189"/>
      <c r="Q91" s="190"/>
      <c r="R91" s="132"/>
      <c r="S91" s="6" t="s">
        <v>14</v>
      </c>
      <c r="T91" s="21"/>
      <c r="U91" s="191"/>
      <c r="V91" s="192"/>
      <c r="W91" s="193"/>
    </row>
    <row r="92" spans="1:23" s="134" customFormat="1" ht="14.55" customHeight="1" x14ac:dyDescent="0.3">
      <c r="A92" s="184"/>
      <c r="B92" s="5"/>
      <c r="C92" s="5"/>
      <c r="D92" s="108">
        <v>290925</v>
      </c>
      <c r="E92" s="3" t="s">
        <v>438</v>
      </c>
      <c r="F92" s="19">
        <v>304</v>
      </c>
      <c r="G92" s="20">
        <v>0.9</v>
      </c>
      <c r="H92" s="186" t="s">
        <v>122</v>
      </c>
      <c r="I92" s="187"/>
      <c r="J92" s="187"/>
      <c r="K92" s="187"/>
      <c r="L92" s="187"/>
      <c r="M92" s="188"/>
      <c r="N92" s="189">
        <v>79</v>
      </c>
      <c r="O92" s="190"/>
      <c r="P92" s="189"/>
      <c r="Q92" s="190"/>
      <c r="R92" s="132"/>
      <c r="S92" s="6" t="s">
        <v>14</v>
      </c>
      <c r="T92" s="21"/>
      <c r="U92" s="191"/>
      <c r="V92" s="192"/>
      <c r="W92" s="193"/>
    </row>
    <row r="93" spans="1:23" s="134" customFormat="1" ht="14.55" customHeight="1" x14ac:dyDescent="0.3">
      <c r="A93" s="184"/>
      <c r="B93" s="5"/>
      <c r="C93" s="5">
        <v>0.70833333333333337</v>
      </c>
      <c r="D93" s="110">
        <v>131025</v>
      </c>
      <c r="E93" s="3" t="s">
        <v>439</v>
      </c>
      <c r="F93" s="19">
        <v>304</v>
      </c>
      <c r="G93" s="20">
        <v>0.9</v>
      </c>
      <c r="H93" s="186" t="s">
        <v>122</v>
      </c>
      <c r="I93" s="187"/>
      <c r="J93" s="187"/>
      <c r="K93" s="187"/>
      <c r="L93" s="187"/>
      <c r="M93" s="188"/>
      <c r="N93" s="189">
        <v>500</v>
      </c>
      <c r="O93" s="190"/>
      <c r="P93" s="189"/>
      <c r="Q93" s="190"/>
      <c r="R93" s="132"/>
      <c r="S93" s="6" t="s">
        <v>14</v>
      </c>
      <c r="T93" s="21"/>
      <c r="U93" s="191"/>
      <c r="V93" s="192"/>
      <c r="W93" s="193"/>
    </row>
    <row r="94" spans="1:23" ht="14.55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32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32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32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32"/>
      <c r="S97" s="6" t="s">
        <v>14</v>
      </c>
      <c r="T97" s="21"/>
      <c r="U97" s="191"/>
      <c r="V97" s="192"/>
      <c r="W97" s="193"/>
    </row>
    <row r="98" spans="1:23" ht="14.55" hidden="1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32"/>
      <c r="S98" s="6" t="s">
        <v>14</v>
      </c>
      <c r="T98" s="21"/>
      <c r="U98" s="191"/>
      <c r="V98" s="192"/>
      <c r="W98" s="193"/>
    </row>
    <row r="99" spans="1:23" ht="14.55" hidden="1" customHeight="1" x14ac:dyDescent="0.3">
      <c r="A99" s="184"/>
      <c r="B99" s="5"/>
      <c r="C99" s="5"/>
      <c r="D99" s="108"/>
      <c r="E99" s="3"/>
      <c r="F99" s="19"/>
      <c r="G99" s="20"/>
      <c r="H99" s="186"/>
      <c r="I99" s="187"/>
      <c r="J99" s="187"/>
      <c r="K99" s="187"/>
      <c r="L99" s="187"/>
      <c r="M99" s="188"/>
      <c r="N99" s="189"/>
      <c r="O99" s="190"/>
      <c r="P99" s="189"/>
      <c r="Q99" s="190"/>
      <c r="R99" s="132"/>
      <c r="S99" s="6" t="s">
        <v>14</v>
      </c>
      <c r="T99" s="21"/>
      <c r="U99" s="191"/>
      <c r="V99" s="192"/>
      <c r="W99" s="193"/>
    </row>
    <row r="100" spans="1:23" ht="14.55" customHeight="1" x14ac:dyDescent="0.3">
      <c r="A100" s="184"/>
      <c r="B100" s="5"/>
      <c r="C100" s="5"/>
      <c r="D100" s="108"/>
      <c r="E100" s="3"/>
      <c r="F100" s="19"/>
      <c r="G100" s="20"/>
      <c r="H100" s="186"/>
      <c r="I100" s="187"/>
      <c r="J100" s="187"/>
      <c r="K100" s="187"/>
      <c r="L100" s="187"/>
      <c r="M100" s="188"/>
      <c r="N100" s="189"/>
      <c r="O100" s="190"/>
      <c r="P100" s="189"/>
      <c r="Q100" s="190"/>
      <c r="R100" s="132"/>
      <c r="S100" s="6" t="s">
        <v>14</v>
      </c>
      <c r="T100" s="21"/>
      <c r="U100" s="191"/>
      <c r="V100" s="192"/>
      <c r="W100" s="193"/>
    </row>
    <row r="101" spans="1:23" ht="14.55" customHeight="1" x14ac:dyDescent="0.3">
      <c r="A101" s="185"/>
      <c r="B101" s="165" t="s">
        <v>0</v>
      </c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7"/>
      <c r="N101" s="168">
        <f>SUM(N87:O100)</f>
        <v>1888</v>
      </c>
      <c r="O101" s="197"/>
      <c r="P101" s="168">
        <f ca="1">SUM(P87:Q101)</f>
        <v>0</v>
      </c>
      <c r="Q101" s="197"/>
      <c r="R101" s="10">
        <f>SUM(R87:R100)</f>
        <v>0</v>
      </c>
      <c r="S101" s="11" t="s">
        <v>14</v>
      </c>
      <c r="T101" s="9"/>
      <c r="U101" s="191"/>
      <c r="V101" s="192"/>
      <c r="W101" s="193"/>
    </row>
    <row r="102" spans="1:23" ht="14.55" customHeight="1" x14ac:dyDescent="0.3">
      <c r="D102" s="91"/>
      <c r="E102" s="48"/>
      <c r="F102" s="48"/>
      <c r="G102" s="48"/>
      <c r="H102" s="48"/>
      <c r="I102" s="48"/>
      <c r="R102" s="91"/>
    </row>
    <row r="103" spans="1:23" ht="14.55" customHeight="1" x14ac:dyDescent="0.3">
      <c r="D103" s="91"/>
      <c r="E103" s="165" t="s">
        <v>65</v>
      </c>
      <c r="F103" s="166"/>
      <c r="G103" s="166"/>
      <c r="H103" s="166"/>
      <c r="I103" s="166"/>
      <c r="J103" s="166"/>
      <c r="K103" s="166"/>
      <c r="L103" s="166"/>
      <c r="M103" s="167"/>
      <c r="N103" s="181" t="s">
        <v>7</v>
      </c>
      <c r="O103" s="182"/>
      <c r="P103" s="181" t="s">
        <v>74</v>
      </c>
      <c r="Q103" s="182"/>
      <c r="R103" s="91"/>
    </row>
    <row r="104" spans="1:23" ht="14.55" customHeight="1" x14ac:dyDescent="0.3">
      <c r="D104" s="91"/>
      <c r="E104" s="7"/>
      <c r="F104" s="7"/>
      <c r="G104" s="7"/>
      <c r="H104" s="7"/>
      <c r="I104" s="7"/>
      <c r="J104" s="22"/>
      <c r="K104" s="23"/>
      <c r="L104" s="22"/>
      <c r="M104" s="24"/>
      <c r="N104" s="133">
        <f>N101</f>
        <v>1888</v>
      </c>
      <c r="O104" s="14" t="s">
        <v>13</v>
      </c>
      <c r="P104" s="133">
        <f ca="1">P101</f>
        <v>0</v>
      </c>
      <c r="Q104" s="15" t="s">
        <v>13</v>
      </c>
      <c r="R104" s="91"/>
    </row>
    <row r="105" spans="1:23" x14ac:dyDescent="0.3">
      <c r="P105" s="49"/>
      <c r="Q105" s="49"/>
      <c r="R105" s="49"/>
      <c r="S105" s="32"/>
    </row>
    <row r="106" spans="1:23" s="8" customFormat="1" ht="30" customHeight="1" x14ac:dyDescent="0.3">
      <c r="A106" s="155" t="s">
        <v>29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  <c r="T106" s="156"/>
      <c r="U106" s="156"/>
      <c r="V106" s="156"/>
      <c r="W106" s="158"/>
    </row>
    <row r="107" spans="1:23" s="12" customFormat="1" ht="14.55" customHeight="1" x14ac:dyDescent="0.3">
      <c r="A107" s="159" t="s">
        <v>1</v>
      </c>
      <c r="B107" s="160" t="s">
        <v>2</v>
      </c>
      <c r="C107" s="160" t="s">
        <v>3</v>
      </c>
      <c r="D107" s="160" t="s">
        <v>4</v>
      </c>
      <c r="E107" s="161" t="s">
        <v>5</v>
      </c>
      <c r="F107" s="163" t="s">
        <v>15</v>
      </c>
      <c r="G107" s="163" t="s">
        <v>16</v>
      </c>
      <c r="H107" s="170" t="s">
        <v>30</v>
      </c>
      <c r="I107" s="171"/>
      <c r="J107" s="171"/>
      <c r="K107" s="171"/>
      <c r="L107" s="171"/>
      <c r="M107" s="172"/>
      <c r="N107" s="176" t="s">
        <v>6</v>
      </c>
      <c r="O107" s="177"/>
      <c r="P107" s="177"/>
      <c r="Q107" s="178"/>
      <c r="R107" s="161" t="s">
        <v>8</v>
      </c>
      <c r="S107" s="179"/>
      <c r="T107" s="159" t="s">
        <v>9</v>
      </c>
      <c r="U107" s="159" t="s">
        <v>10</v>
      </c>
      <c r="V107" s="159"/>
      <c r="W107" s="159"/>
    </row>
    <row r="108" spans="1:23" s="12" customFormat="1" ht="13.05" customHeight="1" x14ac:dyDescent="0.3">
      <c r="A108" s="159"/>
      <c r="B108" s="160"/>
      <c r="C108" s="160"/>
      <c r="D108" s="160"/>
      <c r="E108" s="162"/>
      <c r="F108" s="164"/>
      <c r="G108" s="164"/>
      <c r="H108" s="173"/>
      <c r="I108" s="174"/>
      <c r="J108" s="174"/>
      <c r="K108" s="174"/>
      <c r="L108" s="174"/>
      <c r="M108" s="175"/>
      <c r="N108" s="176" t="s">
        <v>7</v>
      </c>
      <c r="O108" s="177"/>
      <c r="P108" s="177"/>
      <c r="Q108" s="178"/>
      <c r="R108" s="162"/>
      <c r="S108" s="180"/>
      <c r="T108" s="159"/>
      <c r="U108" s="159"/>
      <c r="V108" s="159"/>
      <c r="W108" s="159"/>
    </row>
    <row r="109" spans="1:23" ht="14.55" customHeight="1" x14ac:dyDescent="0.3">
      <c r="A109" s="183" t="s">
        <v>49</v>
      </c>
      <c r="B109" s="5">
        <v>0.33333333333333331</v>
      </c>
      <c r="C109" s="5"/>
      <c r="D109" s="108">
        <v>290925</v>
      </c>
      <c r="E109" s="3" t="s">
        <v>440</v>
      </c>
      <c r="F109" s="19">
        <v>304</v>
      </c>
      <c r="G109" s="20">
        <v>0.9</v>
      </c>
      <c r="H109" s="186" t="s">
        <v>87</v>
      </c>
      <c r="I109" s="187"/>
      <c r="J109" s="187"/>
      <c r="K109" s="187"/>
      <c r="L109" s="187"/>
      <c r="M109" s="188"/>
      <c r="N109" s="189">
        <v>654</v>
      </c>
      <c r="O109" s="198"/>
      <c r="P109" s="198"/>
      <c r="Q109" s="190"/>
      <c r="R109" s="132"/>
      <c r="S109" s="91" t="s">
        <v>14</v>
      </c>
      <c r="T109" s="21"/>
      <c r="U109" s="204"/>
      <c r="V109" s="205"/>
      <c r="W109" s="206"/>
    </row>
    <row r="110" spans="1:23" ht="14.55" customHeight="1" x14ac:dyDescent="0.3">
      <c r="A110" s="207"/>
      <c r="B110" s="5"/>
      <c r="C110" s="5"/>
      <c r="D110" s="108">
        <v>290925</v>
      </c>
      <c r="E110" s="3" t="s">
        <v>441</v>
      </c>
      <c r="F110" s="19">
        <v>304</v>
      </c>
      <c r="G110" s="20">
        <v>0.9</v>
      </c>
      <c r="H110" s="186" t="s">
        <v>87</v>
      </c>
      <c r="I110" s="187"/>
      <c r="J110" s="187"/>
      <c r="K110" s="187"/>
      <c r="L110" s="187"/>
      <c r="M110" s="188"/>
      <c r="N110" s="189">
        <v>389</v>
      </c>
      <c r="O110" s="198"/>
      <c r="P110" s="198"/>
      <c r="Q110" s="190"/>
      <c r="R110" s="132"/>
      <c r="S110" s="91" t="s">
        <v>14</v>
      </c>
      <c r="T110" s="21"/>
      <c r="U110" s="204"/>
      <c r="V110" s="205"/>
      <c r="W110" s="206"/>
    </row>
    <row r="111" spans="1:23" ht="14.55" customHeight="1" x14ac:dyDescent="0.3">
      <c r="A111" s="207"/>
      <c r="B111" s="5"/>
      <c r="C111" s="5">
        <v>0.70833333333333337</v>
      </c>
      <c r="D111" s="108">
        <v>290925</v>
      </c>
      <c r="E111" s="3" t="s">
        <v>442</v>
      </c>
      <c r="F111" s="19">
        <v>304</v>
      </c>
      <c r="G111" s="20">
        <v>0.9</v>
      </c>
      <c r="H111" s="186" t="s">
        <v>87</v>
      </c>
      <c r="I111" s="187"/>
      <c r="J111" s="187"/>
      <c r="K111" s="187"/>
      <c r="L111" s="187"/>
      <c r="M111" s="188"/>
      <c r="N111" s="189">
        <v>97</v>
      </c>
      <c r="O111" s="198"/>
      <c r="P111" s="198"/>
      <c r="Q111" s="190"/>
      <c r="R111" s="132"/>
      <c r="S111" s="91" t="s">
        <v>14</v>
      </c>
      <c r="T111" s="21"/>
      <c r="U111" s="204"/>
      <c r="V111" s="205"/>
      <c r="W111" s="206"/>
    </row>
    <row r="112" spans="1:23" ht="14.55" customHeight="1" x14ac:dyDescent="0.3">
      <c r="A112" s="207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32"/>
      <c r="S112" s="91" t="s">
        <v>14</v>
      </c>
      <c r="T112" s="21"/>
      <c r="U112" s="204"/>
      <c r="V112" s="205"/>
      <c r="W112" s="206"/>
    </row>
    <row r="113" spans="1:23" ht="14.55" customHeight="1" x14ac:dyDescent="0.3">
      <c r="A113" s="184"/>
      <c r="B113" s="5"/>
      <c r="C113" s="5"/>
      <c r="D113" s="108"/>
      <c r="E113" s="3"/>
      <c r="F113" s="19"/>
      <c r="G113" s="20"/>
      <c r="H113" s="186"/>
      <c r="I113" s="187"/>
      <c r="J113" s="187"/>
      <c r="K113" s="187"/>
      <c r="L113" s="187"/>
      <c r="M113" s="188"/>
      <c r="N113" s="189"/>
      <c r="O113" s="198"/>
      <c r="P113" s="198"/>
      <c r="Q113" s="190"/>
      <c r="R113" s="132"/>
      <c r="S113" s="6" t="s">
        <v>14</v>
      </c>
      <c r="T113" s="21"/>
      <c r="U113" s="204"/>
      <c r="V113" s="205"/>
      <c r="W113" s="206"/>
    </row>
    <row r="114" spans="1:23" ht="14.55" customHeight="1" x14ac:dyDescent="0.3">
      <c r="A114" s="185"/>
      <c r="B114" s="165" t="s">
        <v>0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8">
        <f>SUM(N109:O113)</f>
        <v>1140</v>
      </c>
      <c r="O114" s="197"/>
      <c r="P114" s="197"/>
      <c r="Q114" s="169"/>
      <c r="R114" s="10">
        <f>SUM(R109:R113)</f>
        <v>0</v>
      </c>
      <c r="S114" s="11" t="s">
        <v>14</v>
      </c>
      <c r="T114" s="9"/>
      <c r="U114" s="204"/>
      <c r="V114" s="205"/>
      <c r="W114" s="206"/>
    </row>
    <row r="115" spans="1:23" ht="14.55" customHeight="1" x14ac:dyDescent="0.3">
      <c r="D115" s="91"/>
      <c r="E115" s="48"/>
      <c r="F115" s="48"/>
      <c r="G115" s="48"/>
      <c r="H115" s="48"/>
      <c r="I115" s="48"/>
      <c r="R115" s="91"/>
    </row>
    <row r="116" spans="1:23" ht="14.55" customHeight="1" x14ac:dyDescent="0.3">
      <c r="D116" s="91"/>
      <c r="E116" s="165" t="s">
        <v>33</v>
      </c>
      <c r="F116" s="166"/>
      <c r="G116" s="166"/>
      <c r="H116" s="166"/>
      <c r="I116" s="166"/>
      <c r="J116" s="166"/>
      <c r="K116" s="166"/>
      <c r="L116" s="166"/>
      <c r="M116" s="167"/>
      <c r="N116" s="181" t="s">
        <v>7</v>
      </c>
      <c r="O116" s="199"/>
      <c r="P116" s="199"/>
      <c r="Q116" s="182"/>
      <c r="R116" s="91"/>
    </row>
    <row r="117" spans="1:23" ht="14.55" customHeight="1" x14ac:dyDescent="0.3">
      <c r="D117" s="91"/>
      <c r="E117" s="7"/>
      <c r="F117" s="7"/>
      <c r="G117" s="7"/>
      <c r="H117" s="7"/>
      <c r="I117" s="7"/>
      <c r="J117" s="22"/>
      <c r="K117" s="23"/>
      <c r="L117" s="22"/>
      <c r="M117" s="24"/>
      <c r="N117" s="200">
        <f>N114</f>
        <v>1140</v>
      </c>
      <c r="O117" s="201"/>
      <c r="P117" s="202" t="s">
        <v>13</v>
      </c>
      <c r="Q117" s="203"/>
      <c r="R117" s="91"/>
    </row>
  </sheetData>
  <mergeCells count="313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H76:M76"/>
    <mergeCell ref="N76:Q76"/>
    <mergeCell ref="U76:W79"/>
    <mergeCell ref="H77:M77"/>
    <mergeCell ref="N77:Q77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H78:M78"/>
    <mergeCell ref="N78:Q78"/>
    <mergeCell ref="B79:M79"/>
    <mergeCell ref="N79:Q79"/>
    <mergeCell ref="E81:M81"/>
    <mergeCell ref="N81:Q81"/>
    <mergeCell ref="R74:S75"/>
    <mergeCell ref="T74:T75"/>
    <mergeCell ref="U74:W75"/>
    <mergeCell ref="N75:Q75"/>
    <mergeCell ref="H85:M86"/>
    <mergeCell ref="N85:Q85"/>
    <mergeCell ref="R85:S86"/>
    <mergeCell ref="T85:T86"/>
    <mergeCell ref="U85:W86"/>
    <mergeCell ref="N86:O86"/>
    <mergeCell ref="P86:Q86"/>
    <mergeCell ref="N82:O82"/>
    <mergeCell ref="P82:Q82"/>
    <mergeCell ref="A84:W84"/>
    <mergeCell ref="A85:A86"/>
    <mergeCell ref="B85:B86"/>
    <mergeCell ref="C85:C86"/>
    <mergeCell ref="D85:D86"/>
    <mergeCell ref="E85:E86"/>
    <mergeCell ref="F85:F86"/>
    <mergeCell ref="G85:G86"/>
    <mergeCell ref="A76:A79"/>
    <mergeCell ref="A87:A101"/>
    <mergeCell ref="H87:M87"/>
    <mergeCell ref="N87:O87"/>
    <mergeCell ref="P87:Q87"/>
    <mergeCell ref="U87:W101"/>
    <mergeCell ref="H88:M88"/>
    <mergeCell ref="N88:O88"/>
    <mergeCell ref="P88:Q88"/>
    <mergeCell ref="H89:M89"/>
    <mergeCell ref="N89:O89"/>
    <mergeCell ref="P89:Q89"/>
    <mergeCell ref="H90:M90"/>
    <mergeCell ref="N90:O90"/>
    <mergeCell ref="P90:Q90"/>
    <mergeCell ref="H94:M94"/>
    <mergeCell ref="N94:O94"/>
    <mergeCell ref="P94:Q94"/>
    <mergeCell ref="H91:M91"/>
    <mergeCell ref="N91:O91"/>
    <mergeCell ref="P91:Q91"/>
    <mergeCell ref="H92:M92"/>
    <mergeCell ref="N92:O92"/>
    <mergeCell ref="P92:Q92"/>
    <mergeCell ref="H93:M93"/>
    <mergeCell ref="N93:O93"/>
    <mergeCell ref="P93:Q93"/>
    <mergeCell ref="H97:M97"/>
    <mergeCell ref="N97:O97"/>
    <mergeCell ref="P97:Q97"/>
    <mergeCell ref="H98:M98"/>
    <mergeCell ref="N98:O98"/>
    <mergeCell ref="P98:Q98"/>
    <mergeCell ref="H95:M95"/>
    <mergeCell ref="N95:O95"/>
    <mergeCell ref="P95:Q95"/>
    <mergeCell ref="H96:M96"/>
    <mergeCell ref="N96:O96"/>
    <mergeCell ref="P96:Q96"/>
    <mergeCell ref="B101:M101"/>
    <mergeCell ref="N101:O101"/>
    <mergeCell ref="P101:Q101"/>
    <mergeCell ref="E103:M103"/>
    <mergeCell ref="N103:O103"/>
    <mergeCell ref="P103:Q103"/>
    <mergeCell ref="H99:M99"/>
    <mergeCell ref="N99:O99"/>
    <mergeCell ref="P99:Q99"/>
    <mergeCell ref="H100:M100"/>
    <mergeCell ref="N100:O100"/>
    <mergeCell ref="P100:Q100"/>
    <mergeCell ref="U109:W114"/>
    <mergeCell ref="H110:M110"/>
    <mergeCell ref="N110:Q110"/>
    <mergeCell ref="B114:M114"/>
    <mergeCell ref="N114:Q114"/>
    <mergeCell ref="E116:M116"/>
    <mergeCell ref="N116:Q116"/>
    <mergeCell ref="A106:W106"/>
    <mergeCell ref="A107:A108"/>
    <mergeCell ref="B107:B108"/>
    <mergeCell ref="C107:C108"/>
    <mergeCell ref="D107:D108"/>
    <mergeCell ref="E107:E108"/>
    <mergeCell ref="F107:F108"/>
    <mergeCell ref="G107:G108"/>
    <mergeCell ref="H107:M108"/>
    <mergeCell ref="N107:Q107"/>
    <mergeCell ref="R107:S108"/>
    <mergeCell ref="T107:T108"/>
    <mergeCell ref="U107:W108"/>
    <mergeCell ref="N108:Q108"/>
    <mergeCell ref="N117:O117"/>
    <mergeCell ref="P117:Q117"/>
    <mergeCell ref="H113:M113"/>
    <mergeCell ref="N113:Q113"/>
    <mergeCell ref="H111:M111"/>
    <mergeCell ref="N111:Q111"/>
    <mergeCell ref="H112:M112"/>
    <mergeCell ref="N112:Q112"/>
    <mergeCell ref="A109:A114"/>
    <mergeCell ref="H109:M109"/>
    <mergeCell ref="N109:Q109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4"/>
  <sheetViews>
    <sheetView topLeftCell="A50" zoomScale="85" zoomScaleNormal="85" workbookViewId="0">
      <selection activeCell="D57" sqref="D57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45958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35">
        <v>230925</v>
      </c>
      <c r="E7" s="3" t="s">
        <v>443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1600</v>
      </c>
      <c r="O7" s="190"/>
      <c r="P7" s="189"/>
      <c r="Q7" s="190"/>
      <c r="R7" s="136">
        <v>60</v>
      </c>
      <c r="S7" s="6" t="s">
        <v>14</v>
      </c>
      <c r="T7" s="21" t="s">
        <v>444</v>
      </c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36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1600</v>
      </c>
      <c r="O9" s="169"/>
      <c r="P9" s="168">
        <f>SUM(P7:Q8)</f>
        <v>0</v>
      </c>
      <c r="Q9" s="169"/>
      <c r="R9" s="10">
        <f>SUM(R7:R8)</f>
        <v>60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36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36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37">
        <f>N9+N12</f>
        <v>1600</v>
      </c>
      <c r="O15" s="14" t="s">
        <v>13</v>
      </c>
      <c r="P15" s="137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0.70833333333333337</v>
      </c>
      <c r="D20" s="135">
        <v>230925</v>
      </c>
      <c r="E20" s="3" t="s">
        <v>39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1665</v>
      </c>
      <c r="O20" s="198"/>
      <c r="P20" s="198"/>
      <c r="Q20" s="190"/>
      <c r="R20" s="136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36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36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36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1665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1665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10">
        <v>290925</v>
      </c>
      <c r="E32" s="3" t="s">
        <v>431</v>
      </c>
      <c r="F32" s="19">
        <v>304</v>
      </c>
      <c r="G32" s="20">
        <v>0.8</v>
      </c>
      <c r="H32" s="186"/>
      <c r="I32" s="187"/>
      <c r="J32" s="187"/>
      <c r="K32" s="187"/>
      <c r="L32" s="187"/>
      <c r="M32" s="188"/>
      <c r="N32" s="189">
        <v>160</v>
      </c>
      <c r="O32" s="190"/>
      <c r="P32" s="189"/>
      <c r="Q32" s="190"/>
      <c r="R32" s="136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 t="s">
        <v>205</v>
      </c>
      <c r="E33" s="3" t="s">
        <v>317</v>
      </c>
      <c r="F33" s="19">
        <v>304</v>
      </c>
      <c r="G33" s="20">
        <v>0.9</v>
      </c>
      <c r="H33" s="186"/>
      <c r="I33" s="187"/>
      <c r="J33" s="187"/>
      <c r="K33" s="187"/>
      <c r="L33" s="187"/>
      <c r="M33" s="188"/>
      <c r="N33" s="189">
        <v>115</v>
      </c>
      <c r="O33" s="190"/>
      <c r="P33" s="189"/>
      <c r="Q33" s="190"/>
      <c r="R33" s="136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>
        <v>0.70833333333333337</v>
      </c>
      <c r="D34" s="135">
        <v>230925</v>
      </c>
      <c r="E34" s="3" t="s">
        <v>39</v>
      </c>
      <c r="F34" s="19">
        <v>430</v>
      </c>
      <c r="G34" s="20">
        <v>0.8</v>
      </c>
      <c r="H34" s="186"/>
      <c r="I34" s="187"/>
      <c r="J34" s="187"/>
      <c r="K34" s="187"/>
      <c r="L34" s="187"/>
      <c r="M34" s="188"/>
      <c r="N34" s="189">
        <v>1725</v>
      </c>
      <c r="O34" s="190"/>
      <c r="P34" s="189"/>
      <c r="Q34" s="190"/>
      <c r="R34" s="136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2000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37">
        <f>N35</f>
        <v>2000</v>
      </c>
      <c r="O38" s="14" t="s">
        <v>13</v>
      </c>
      <c r="P38" s="137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08">
        <v>250057</v>
      </c>
      <c r="E43" s="3" t="s">
        <v>414</v>
      </c>
      <c r="F43" s="19">
        <v>304</v>
      </c>
      <c r="G43" s="20">
        <v>0.7</v>
      </c>
      <c r="H43" s="186"/>
      <c r="I43" s="187"/>
      <c r="J43" s="187"/>
      <c r="K43" s="187"/>
      <c r="L43" s="187"/>
      <c r="M43" s="188"/>
      <c r="N43" s="189">
        <v>610</v>
      </c>
      <c r="O43" s="198"/>
      <c r="P43" s="198"/>
      <c r="Q43" s="190"/>
      <c r="R43" s="136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08">
        <v>250061</v>
      </c>
      <c r="E44" s="3" t="s">
        <v>415</v>
      </c>
      <c r="F44" s="19">
        <v>304</v>
      </c>
      <c r="G44" s="20">
        <v>0.7</v>
      </c>
      <c r="H44" s="186"/>
      <c r="I44" s="187"/>
      <c r="J44" s="187"/>
      <c r="K44" s="187"/>
      <c r="L44" s="187"/>
      <c r="M44" s="188"/>
      <c r="N44" s="189">
        <v>470</v>
      </c>
      <c r="O44" s="198"/>
      <c r="P44" s="198"/>
      <c r="Q44" s="190"/>
      <c r="R44" s="136">
        <v>40</v>
      </c>
      <c r="S44" s="6" t="s">
        <v>14</v>
      </c>
      <c r="T44" s="21" t="s">
        <v>77</v>
      </c>
      <c r="U44" s="191"/>
      <c r="V44" s="192"/>
      <c r="W44" s="193"/>
    </row>
    <row r="45" spans="1:23" ht="14.55" customHeight="1" x14ac:dyDescent="0.3">
      <c r="A45" s="184"/>
      <c r="B45" s="5"/>
      <c r="C45" s="5">
        <v>0.70833333333333337</v>
      </c>
      <c r="D45" s="110">
        <v>290925</v>
      </c>
      <c r="E45" s="3" t="s">
        <v>431</v>
      </c>
      <c r="F45" s="19">
        <v>304</v>
      </c>
      <c r="G45" s="20">
        <v>0.8</v>
      </c>
      <c r="H45" s="186"/>
      <c r="I45" s="187"/>
      <c r="J45" s="187"/>
      <c r="K45" s="187"/>
      <c r="L45" s="187"/>
      <c r="M45" s="188"/>
      <c r="N45" s="189">
        <v>1350</v>
      </c>
      <c r="O45" s="198"/>
      <c r="P45" s="198"/>
      <c r="Q45" s="190"/>
      <c r="R45" s="136">
        <v>40</v>
      </c>
      <c r="S45" s="6" t="s">
        <v>14</v>
      </c>
      <c r="T45" s="21" t="s">
        <v>77</v>
      </c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2430</v>
      </c>
      <c r="O46" s="197"/>
      <c r="P46" s="197"/>
      <c r="Q46" s="169"/>
      <c r="R46" s="10">
        <f>SUM(R43:R45)</f>
        <v>80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2430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/>
      <c r="D54" s="110">
        <v>131025</v>
      </c>
      <c r="E54" s="3" t="s">
        <v>380</v>
      </c>
      <c r="F54" s="19">
        <v>304</v>
      </c>
      <c r="G54" s="20">
        <v>0.9</v>
      </c>
      <c r="H54" s="186"/>
      <c r="I54" s="187"/>
      <c r="J54" s="187"/>
      <c r="K54" s="187"/>
      <c r="L54" s="187"/>
      <c r="M54" s="188"/>
      <c r="N54" s="189">
        <v>525</v>
      </c>
      <c r="O54" s="198"/>
      <c r="P54" s="198"/>
      <c r="Q54" s="190"/>
      <c r="R54" s="136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>
        <v>250057</v>
      </c>
      <c r="E55" s="3" t="s">
        <v>414</v>
      </c>
      <c r="F55" s="19">
        <v>304</v>
      </c>
      <c r="G55" s="20">
        <v>0.7</v>
      </c>
      <c r="H55" s="186"/>
      <c r="I55" s="187"/>
      <c r="J55" s="187"/>
      <c r="K55" s="187"/>
      <c r="L55" s="187"/>
      <c r="M55" s="188"/>
      <c r="N55" s="189">
        <v>615</v>
      </c>
      <c r="O55" s="198"/>
      <c r="P55" s="198"/>
      <c r="Q55" s="190"/>
      <c r="R55" s="136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>
        <v>250061</v>
      </c>
      <c r="E56" s="3" t="s">
        <v>415</v>
      </c>
      <c r="F56" s="19">
        <v>304</v>
      </c>
      <c r="G56" s="20">
        <v>0.7</v>
      </c>
      <c r="H56" s="186"/>
      <c r="I56" s="187"/>
      <c r="J56" s="187"/>
      <c r="K56" s="187"/>
      <c r="L56" s="187"/>
      <c r="M56" s="188"/>
      <c r="N56" s="189">
        <v>470</v>
      </c>
      <c r="O56" s="198"/>
      <c r="P56" s="198"/>
      <c r="Q56" s="190"/>
      <c r="R56" s="136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4"/>
      <c r="B57" s="5"/>
      <c r="C57" s="5">
        <v>0.70833333333333337</v>
      </c>
      <c r="E57" s="3" t="s">
        <v>431</v>
      </c>
      <c r="F57" s="19">
        <v>304</v>
      </c>
      <c r="G57" s="20">
        <v>0.8</v>
      </c>
      <c r="H57" s="186"/>
      <c r="I57" s="187"/>
      <c r="J57" s="187"/>
      <c r="K57" s="187"/>
      <c r="L57" s="187"/>
      <c r="M57" s="188"/>
      <c r="N57" s="189">
        <v>500</v>
      </c>
      <c r="O57" s="198"/>
      <c r="P57" s="198"/>
      <c r="Q57" s="190"/>
      <c r="R57" s="136"/>
      <c r="S57" s="6" t="s">
        <v>14</v>
      </c>
      <c r="T57" s="21"/>
      <c r="U57" s="204"/>
      <c r="V57" s="205"/>
      <c r="W57" s="206"/>
    </row>
    <row r="58" spans="1:23" ht="14.55" customHeight="1" x14ac:dyDescent="0.3">
      <c r="A58" s="185"/>
      <c r="B58" s="165" t="s">
        <v>0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7"/>
      <c r="N58" s="168">
        <f>SUM(N54:O57)</f>
        <v>2110</v>
      </c>
      <c r="O58" s="197"/>
      <c r="P58" s="197"/>
      <c r="Q58" s="169"/>
      <c r="R58" s="10">
        <f>SUM(R54:R57)</f>
        <v>0</v>
      </c>
      <c r="S58" s="11" t="s">
        <v>14</v>
      </c>
      <c r="T58" s="9"/>
      <c r="U58" s="204"/>
      <c r="V58" s="205"/>
      <c r="W58" s="206"/>
    </row>
    <row r="59" spans="1:23" ht="14.55" customHeight="1" x14ac:dyDescent="0.3">
      <c r="D59" s="134"/>
      <c r="E59" s="48"/>
      <c r="F59" s="48"/>
      <c r="G59" s="48"/>
      <c r="H59" s="48"/>
      <c r="I59" s="48"/>
      <c r="R59" s="134"/>
    </row>
    <row r="60" spans="1:23" ht="14.55" customHeight="1" x14ac:dyDescent="0.3">
      <c r="D60" s="134"/>
      <c r="E60" s="165" t="s">
        <v>32</v>
      </c>
      <c r="F60" s="166"/>
      <c r="G60" s="166"/>
      <c r="H60" s="166"/>
      <c r="I60" s="166"/>
      <c r="J60" s="166"/>
      <c r="K60" s="166"/>
      <c r="L60" s="166"/>
      <c r="M60" s="167"/>
      <c r="N60" s="181" t="s">
        <v>7</v>
      </c>
      <c r="O60" s="199"/>
      <c r="P60" s="199"/>
      <c r="Q60" s="182"/>
      <c r="R60" s="134"/>
    </row>
    <row r="61" spans="1:23" ht="14.55" customHeight="1" x14ac:dyDescent="0.3">
      <c r="D61" s="134"/>
      <c r="E61" s="7"/>
      <c r="F61" s="7"/>
      <c r="G61" s="7"/>
      <c r="H61" s="7"/>
      <c r="I61" s="7"/>
      <c r="J61" s="22"/>
      <c r="K61" s="23"/>
      <c r="L61" s="22"/>
      <c r="M61" s="24"/>
      <c r="N61" s="200">
        <f>N58</f>
        <v>2110</v>
      </c>
      <c r="O61" s="201"/>
      <c r="P61" s="202" t="s">
        <v>13</v>
      </c>
      <c r="Q61" s="203"/>
      <c r="R61" s="134"/>
    </row>
    <row r="62" spans="1:23" ht="14.55" customHeight="1" x14ac:dyDescent="0.3">
      <c r="D62" s="134"/>
      <c r="E62" s="48"/>
      <c r="F62" s="48"/>
      <c r="G62" s="48"/>
      <c r="H62" s="48"/>
      <c r="I62" s="48"/>
      <c r="P62" s="49"/>
      <c r="Q62" s="49"/>
      <c r="R62" s="32"/>
      <c r="S62" s="32"/>
    </row>
    <row r="63" spans="1:23" s="8" customFormat="1" ht="30" customHeight="1" x14ac:dyDescent="0.3">
      <c r="A63" s="155" t="s">
        <v>348</v>
      </c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7"/>
      <c r="Q63" s="157"/>
      <c r="R63" s="157"/>
      <c r="S63" s="157"/>
      <c r="T63" s="156"/>
      <c r="U63" s="156"/>
      <c r="V63" s="156"/>
      <c r="W63" s="158"/>
    </row>
    <row r="64" spans="1:23" s="12" customFormat="1" ht="14.55" customHeight="1" x14ac:dyDescent="0.3">
      <c r="A64" s="159" t="s">
        <v>1</v>
      </c>
      <c r="B64" s="160" t="s">
        <v>2</v>
      </c>
      <c r="C64" s="160" t="s">
        <v>3</v>
      </c>
      <c r="D64" s="160" t="s">
        <v>4</v>
      </c>
      <c r="E64" s="161" t="s">
        <v>5</v>
      </c>
      <c r="F64" s="163" t="s">
        <v>15</v>
      </c>
      <c r="G64" s="163" t="s">
        <v>16</v>
      </c>
      <c r="H64" s="170" t="s">
        <v>24</v>
      </c>
      <c r="I64" s="171"/>
      <c r="J64" s="171"/>
      <c r="K64" s="171"/>
      <c r="L64" s="171"/>
      <c r="M64" s="172"/>
      <c r="N64" s="176" t="s">
        <v>6</v>
      </c>
      <c r="O64" s="177"/>
      <c r="P64" s="177"/>
      <c r="Q64" s="178"/>
      <c r="R64" s="161" t="s">
        <v>8</v>
      </c>
      <c r="S64" s="179"/>
      <c r="T64" s="159" t="s">
        <v>9</v>
      </c>
      <c r="U64" s="159" t="s">
        <v>10</v>
      </c>
      <c r="V64" s="159"/>
      <c r="W64" s="159"/>
    </row>
    <row r="65" spans="1:23" s="12" customFormat="1" ht="13.05" customHeight="1" x14ac:dyDescent="0.3">
      <c r="A65" s="159"/>
      <c r="B65" s="160"/>
      <c r="C65" s="160"/>
      <c r="D65" s="160"/>
      <c r="E65" s="162"/>
      <c r="F65" s="164"/>
      <c r="G65" s="164"/>
      <c r="H65" s="173"/>
      <c r="I65" s="174"/>
      <c r="J65" s="174"/>
      <c r="K65" s="174"/>
      <c r="L65" s="174"/>
      <c r="M65" s="175"/>
      <c r="N65" s="176" t="s">
        <v>351</v>
      </c>
      <c r="O65" s="177"/>
      <c r="P65" s="177"/>
      <c r="Q65" s="178"/>
      <c r="R65" s="162"/>
      <c r="S65" s="180"/>
      <c r="T65" s="159"/>
      <c r="U65" s="159"/>
      <c r="V65" s="159"/>
      <c r="W65" s="159"/>
    </row>
    <row r="66" spans="1:23" ht="14.55" customHeight="1" x14ac:dyDescent="0.3">
      <c r="A66" s="183" t="s">
        <v>69</v>
      </c>
      <c r="B66" s="5">
        <v>0.33333333333333331</v>
      </c>
      <c r="C66" s="5"/>
      <c r="D66" s="110">
        <v>250079</v>
      </c>
      <c r="E66" s="3" t="s">
        <v>433</v>
      </c>
      <c r="F66" s="19">
        <v>304</v>
      </c>
      <c r="G66" s="20">
        <v>0.6</v>
      </c>
      <c r="H66" s="186"/>
      <c r="I66" s="187"/>
      <c r="J66" s="187"/>
      <c r="K66" s="187"/>
      <c r="L66" s="187"/>
      <c r="M66" s="188"/>
      <c r="N66" s="189">
        <v>500</v>
      </c>
      <c r="O66" s="198"/>
      <c r="P66" s="198"/>
      <c r="Q66" s="190"/>
      <c r="R66" s="136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>
        <v>0.70833333333333337</v>
      </c>
      <c r="D67" s="110">
        <v>290925</v>
      </c>
      <c r="E67" s="3" t="s">
        <v>418</v>
      </c>
      <c r="F67" s="19">
        <v>304</v>
      </c>
      <c r="G67" s="20">
        <v>0.6</v>
      </c>
      <c r="H67" s="186"/>
      <c r="I67" s="187"/>
      <c r="J67" s="187"/>
      <c r="K67" s="187"/>
      <c r="L67" s="187"/>
      <c r="M67" s="188"/>
      <c r="N67" s="189">
        <v>1800</v>
      </c>
      <c r="O67" s="198"/>
      <c r="P67" s="198"/>
      <c r="Q67" s="190"/>
      <c r="R67" s="136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4"/>
      <c r="B68" s="5"/>
      <c r="C68" s="5"/>
      <c r="D68" s="108"/>
      <c r="E68" s="3"/>
      <c r="F68" s="19"/>
      <c r="G68" s="20"/>
      <c r="H68" s="186"/>
      <c r="I68" s="187"/>
      <c r="J68" s="187"/>
      <c r="K68" s="187"/>
      <c r="L68" s="187"/>
      <c r="M68" s="188"/>
      <c r="N68" s="189"/>
      <c r="O68" s="198"/>
      <c r="P68" s="198"/>
      <c r="Q68" s="190"/>
      <c r="R68" s="136"/>
      <c r="S68" s="6" t="s">
        <v>14</v>
      </c>
      <c r="T68" s="21"/>
      <c r="U68" s="204"/>
      <c r="V68" s="205"/>
      <c r="W68" s="206"/>
    </row>
    <row r="69" spans="1:23" ht="14.55" customHeight="1" x14ac:dyDescent="0.3">
      <c r="A69" s="185"/>
      <c r="B69" s="165" t="s">
        <v>0</v>
      </c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7"/>
      <c r="N69" s="168">
        <f>SUM(N66:O68)</f>
        <v>2300</v>
      </c>
      <c r="O69" s="197"/>
      <c r="P69" s="197"/>
      <c r="Q69" s="169"/>
      <c r="R69" s="10">
        <f>SUM(R66:R68)</f>
        <v>0</v>
      </c>
      <c r="S69" s="11" t="s">
        <v>14</v>
      </c>
      <c r="T69" s="9"/>
      <c r="U69" s="204"/>
      <c r="V69" s="205"/>
      <c r="W69" s="206"/>
    </row>
    <row r="70" spans="1:23" ht="14.55" customHeight="1" x14ac:dyDescent="0.3">
      <c r="D70" s="134"/>
      <c r="E70" s="48"/>
      <c r="F70" s="48"/>
      <c r="G70" s="48"/>
      <c r="H70" s="48"/>
      <c r="I70" s="48"/>
      <c r="R70" s="134"/>
    </row>
    <row r="71" spans="1:23" ht="14.55" customHeight="1" x14ac:dyDescent="0.3">
      <c r="D71" s="134"/>
      <c r="E71" s="165" t="s">
        <v>349</v>
      </c>
      <c r="F71" s="166"/>
      <c r="G71" s="166"/>
      <c r="H71" s="166"/>
      <c r="I71" s="166"/>
      <c r="J71" s="166"/>
      <c r="K71" s="166"/>
      <c r="L71" s="166"/>
      <c r="M71" s="167"/>
      <c r="N71" s="181" t="s">
        <v>350</v>
      </c>
      <c r="O71" s="199"/>
      <c r="P71" s="199"/>
      <c r="Q71" s="182"/>
      <c r="R71" s="134"/>
    </row>
    <row r="72" spans="1:23" ht="14.55" customHeight="1" x14ac:dyDescent="0.3">
      <c r="D72" s="134"/>
      <c r="E72" s="7"/>
      <c r="F72" s="7"/>
      <c r="G72" s="7"/>
      <c r="H72" s="7"/>
      <c r="I72" s="7"/>
      <c r="J72" s="22"/>
      <c r="K72" s="23"/>
      <c r="L72" s="22"/>
      <c r="M72" s="24"/>
      <c r="N72" s="200">
        <f>N69</f>
        <v>2300</v>
      </c>
      <c r="O72" s="201"/>
      <c r="P72" s="202" t="s">
        <v>13</v>
      </c>
      <c r="Q72" s="203"/>
      <c r="R72" s="134"/>
    </row>
    <row r="73" spans="1:23" ht="14.55" customHeight="1" x14ac:dyDescent="0.3">
      <c r="D73" s="134"/>
      <c r="E73" s="48"/>
      <c r="F73" s="48"/>
      <c r="G73" s="48"/>
      <c r="H73" s="48"/>
      <c r="I73" s="48"/>
      <c r="P73" s="49"/>
      <c r="Q73" s="49"/>
      <c r="R73" s="32"/>
      <c r="S73" s="32"/>
    </row>
    <row r="74" spans="1:23" s="8" customFormat="1" ht="30" customHeight="1" x14ac:dyDescent="0.3">
      <c r="A74" s="155" t="s">
        <v>370</v>
      </c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7"/>
      <c r="Q74" s="157"/>
      <c r="R74" s="157"/>
      <c r="S74" s="157"/>
      <c r="T74" s="156"/>
      <c r="U74" s="156"/>
      <c r="V74" s="156"/>
      <c r="W74" s="158"/>
    </row>
    <row r="75" spans="1:23" s="12" customFormat="1" ht="14.55" customHeight="1" x14ac:dyDescent="0.3">
      <c r="A75" s="159" t="s">
        <v>1</v>
      </c>
      <c r="B75" s="160" t="s">
        <v>2</v>
      </c>
      <c r="C75" s="160" t="s">
        <v>3</v>
      </c>
      <c r="D75" s="160" t="s">
        <v>4</v>
      </c>
      <c r="E75" s="161" t="s">
        <v>5</v>
      </c>
      <c r="F75" s="163" t="s">
        <v>15</v>
      </c>
      <c r="G75" s="163" t="s">
        <v>16</v>
      </c>
      <c r="H75" s="170" t="s">
        <v>24</v>
      </c>
      <c r="I75" s="171"/>
      <c r="J75" s="171"/>
      <c r="K75" s="171"/>
      <c r="L75" s="171"/>
      <c r="M75" s="172"/>
      <c r="N75" s="176" t="s">
        <v>6</v>
      </c>
      <c r="O75" s="177"/>
      <c r="P75" s="177"/>
      <c r="Q75" s="178"/>
      <c r="R75" s="161" t="s">
        <v>8</v>
      </c>
      <c r="S75" s="179"/>
      <c r="T75" s="159" t="s">
        <v>9</v>
      </c>
      <c r="U75" s="159" t="s">
        <v>10</v>
      </c>
      <c r="V75" s="159"/>
      <c r="W75" s="159"/>
    </row>
    <row r="76" spans="1:23" s="12" customFormat="1" ht="13.05" customHeight="1" x14ac:dyDescent="0.3">
      <c r="A76" s="159"/>
      <c r="B76" s="160"/>
      <c r="C76" s="160"/>
      <c r="D76" s="160"/>
      <c r="E76" s="162"/>
      <c r="F76" s="164"/>
      <c r="G76" s="164"/>
      <c r="H76" s="173"/>
      <c r="I76" s="174"/>
      <c r="J76" s="174"/>
      <c r="K76" s="174"/>
      <c r="L76" s="174"/>
      <c r="M76" s="175"/>
      <c r="N76" s="176" t="s">
        <v>351</v>
      </c>
      <c r="O76" s="177"/>
      <c r="P76" s="177"/>
      <c r="Q76" s="178"/>
      <c r="R76" s="162"/>
      <c r="S76" s="180"/>
      <c r="T76" s="159"/>
      <c r="U76" s="159"/>
      <c r="V76" s="159"/>
      <c r="W76" s="159"/>
    </row>
    <row r="77" spans="1:23" ht="14.55" customHeight="1" x14ac:dyDescent="0.3">
      <c r="A77" s="183" t="s">
        <v>49</v>
      </c>
      <c r="B77" s="5"/>
      <c r="C77" s="5"/>
      <c r="D77" s="110"/>
      <c r="E77" s="3" t="s">
        <v>404</v>
      </c>
      <c r="F77" s="19"/>
      <c r="G77" s="20"/>
      <c r="H77" s="186"/>
      <c r="I77" s="187"/>
      <c r="J77" s="187"/>
      <c r="K77" s="187"/>
      <c r="L77" s="187"/>
      <c r="M77" s="188"/>
      <c r="N77" s="189">
        <v>1600</v>
      </c>
      <c r="O77" s="198"/>
      <c r="P77" s="198"/>
      <c r="Q77" s="190"/>
      <c r="R77" s="136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10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36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4"/>
      <c r="B79" s="5"/>
      <c r="C79" s="5"/>
      <c r="D79" s="108"/>
      <c r="E79" s="3"/>
      <c r="F79" s="19"/>
      <c r="G79" s="20"/>
      <c r="H79" s="186"/>
      <c r="I79" s="187"/>
      <c r="J79" s="187"/>
      <c r="K79" s="187"/>
      <c r="L79" s="187"/>
      <c r="M79" s="188"/>
      <c r="N79" s="189"/>
      <c r="O79" s="198"/>
      <c r="P79" s="198"/>
      <c r="Q79" s="190"/>
      <c r="R79" s="136"/>
      <c r="S79" s="6" t="s">
        <v>14</v>
      </c>
      <c r="T79" s="21"/>
      <c r="U79" s="204"/>
      <c r="V79" s="205"/>
      <c r="W79" s="206"/>
    </row>
    <row r="80" spans="1:23" ht="14.55" customHeight="1" x14ac:dyDescent="0.3">
      <c r="A80" s="185"/>
      <c r="B80" s="165" t="s">
        <v>0</v>
      </c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7"/>
      <c r="N80" s="168">
        <f>SUM(N77:O79)</f>
        <v>1600</v>
      </c>
      <c r="O80" s="197"/>
      <c r="P80" s="197"/>
      <c r="Q80" s="169"/>
      <c r="R80" s="10">
        <f>SUM(R77:R79)</f>
        <v>0</v>
      </c>
      <c r="S80" s="11" t="s">
        <v>14</v>
      </c>
      <c r="T80" s="9"/>
      <c r="U80" s="204"/>
      <c r="V80" s="205"/>
      <c r="W80" s="206"/>
    </row>
    <row r="81" spans="1:23" ht="14.55" customHeight="1" x14ac:dyDescent="0.3">
      <c r="D81" s="134"/>
      <c r="E81" s="48"/>
      <c r="F81" s="48"/>
      <c r="G81" s="48"/>
      <c r="H81" s="48"/>
      <c r="I81" s="48"/>
      <c r="R81" s="134"/>
    </row>
    <row r="82" spans="1:23" ht="14.55" customHeight="1" x14ac:dyDescent="0.3">
      <c r="D82" s="134"/>
      <c r="E82" s="165" t="s">
        <v>371</v>
      </c>
      <c r="F82" s="166"/>
      <c r="G82" s="166"/>
      <c r="H82" s="166"/>
      <c r="I82" s="166"/>
      <c r="J82" s="166"/>
      <c r="K82" s="166"/>
      <c r="L82" s="166"/>
      <c r="M82" s="167"/>
      <c r="N82" s="181" t="s">
        <v>350</v>
      </c>
      <c r="O82" s="199"/>
      <c r="P82" s="199"/>
      <c r="Q82" s="182"/>
      <c r="R82" s="134"/>
    </row>
    <row r="83" spans="1:23" ht="14.55" customHeight="1" x14ac:dyDescent="0.3">
      <c r="D83" s="134"/>
      <c r="E83" s="7"/>
      <c r="F83" s="7"/>
      <c r="G83" s="7"/>
      <c r="H83" s="7"/>
      <c r="I83" s="7"/>
      <c r="J83" s="22"/>
      <c r="K83" s="23"/>
      <c r="L83" s="22"/>
      <c r="M83" s="24"/>
      <c r="N83" s="200">
        <f>N80</f>
        <v>1600</v>
      </c>
      <c r="O83" s="201"/>
      <c r="P83" s="202" t="s">
        <v>13</v>
      </c>
      <c r="Q83" s="203"/>
      <c r="R83" s="134"/>
    </row>
    <row r="84" spans="1:23" ht="14.55" customHeight="1" x14ac:dyDescent="0.3">
      <c r="D84" s="134"/>
      <c r="E84" s="48"/>
      <c r="F84" s="48"/>
      <c r="G84" s="48"/>
      <c r="H84" s="48"/>
      <c r="I84" s="48"/>
      <c r="P84" s="49"/>
      <c r="Q84" s="49"/>
      <c r="R84" s="32"/>
      <c r="S84" s="32"/>
    </row>
    <row r="85" spans="1:23" s="8" customFormat="1" ht="30" customHeight="1" x14ac:dyDescent="0.3">
      <c r="A85" s="155" t="s">
        <v>73</v>
      </c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7"/>
      <c r="Q85" s="157"/>
      <c r="R85" s="157"/>
      <c r="S85" s="157"/>
      <c r="T85" s="156"/>
      <c r="U85" s="156"/>
      <c r="V85" s="156"/>
      <c r="W85" s="158"/>
    </row>
    <row r="86" spans="1:23" s="12" customFormat="1" ht="14.55" customHeight="1" x14ac:dyDescent="0.3">
      <c r="A86" s="159" t="s">
        <v>1</v>
      </c>
      <c r="B86" s="160" t="s">
        <v>2</v>
      </c>
      <c r="C86" s="160" t="s">
        <v>3</v>
      </c>
      <c r="D86" s="160" t="s">
        <v>4</v>
      </c>
      <c r="E86" s="161" t="s">
        <v>5</v>
      </c>
      <c r="F86" s="163" t="s">
        <v>15</v>
      </c>
      <c r="G86" s="163" t="s">
        <v>16</v>
      </c>
      <c r="H86" s="170" t="s">
        <v>30</v>
      </c>
      <c r="I86" s="171"/>
      <c r="J86" s="171"/>
      <c r="K86" s="171"/>
      <c r="L86" s="171"/>
      <c r="M86" s="172"/>
      <c r="N86" s="176" t="s">
        <v>6</v>
      </c>
      <c r="O86" s="177"/>
      <c r="P86" s="177"/>
      <c r="Q86" s="178"/>
      <c r="R86" s="161" t="s">
        <v>8</v>
      </c>
      <c r="S86" s="179"/>
      <c r="T86" s="159" t="s">
        <v>9</v>
      </c>
      <c r="U86" s="159" t="s">
        <v>10</v>
      </c>
      <c r="V86" s="159"/>
      <c r="W86" s="159"/>
    </row>
    <row r="87" spans="1:23" s="12" customFormat="1" ht="13.05" customHeight="1" x14ac:dyDescent="0.3">
      <c r="A87" s="159"/>
      <c r="B87" s="160"/>
      <c r="C87" s="160"/>
      <c r="D87" s="160"/>
      <c r="E87" s="162"/>
      <c r="F87" s="164"/>
      <c r="G87" s="164"/>
      <c r="H87" s="173"/>
      <c r="I87" s="174"/>
      <c r="J87" s="174"/>
      <c r="K87" s="174"/>
      <c r="L87" s="174"/>
      <c r="M87" s="175"/>
      <c r="N87" s="176" t="s">
        <v>7</v>
      </c>
      <c r="O87" s="177"/>
      <c r="P87" s="177" t="s">
        <v>74</v>
      </c>
      <c r="Q87" s="178"/>
      <c r="R87" s="162"/>
      <c r="S87" s="180"/>
      <c r="T87" s="159"/>
      <c r="U87" s="159"/>
      <c r="V87" s="159"/>
      <c r="W87" s="159"/>
    </row>
    <row r="88" spans="1:23" ht="14.55" customHeight="1" x14ac:dyDescent="0.3">
      <c r="A88" s="183" t="s">
        <v>49</v>
      </c>
      <c r="B88" s="5">
        <v>0.33333333333333331</v>
      </c>
      <c r="C88" s="5"/>
      <c r="D88" s="110">
        <v>131025</v>
      </c>
      <c r="E88" s="3" t="s">
        <v>380</v>
      </c>
      <c r="F88" s="19">
        <v>304</v>
      </c>
      <c r="G88" s="20">
        <v>0.9</v>
      </c>
      <c r="H88" s="186" t="s">
        <v>122</v>
      </c>
      <c r="I88" s="187"/>
      <c r="J88" s="187"/>
      <c r="K88" s="187"/>
      <c r="L88" s="187"/>
      <c r="M88" s="188"/>
      <c r="N88" s="189">
        <v>1500</v>
      </c>
      <c r="O88" s="190"/>
      <c r="P88" s="189"/>
      <c r="Q88" s="190"/>
      <c r="R88" s="136"/>
      <c r="S88" s="134" t="s">
        <v>14</v>
      </c>
      <c r="T88" s="21"/>
      <c r="U88" s="191" t="s">
        <v>451</v>
      </c>
      <c r="V88" s="192"/>
      <c r="W88" s="193"/>
    </row>
    <row r="89" spans="1:23" ht="14.55" customHeight="1" x14ac:dyDescent="0.3">
      <c r="A89" s="184"/>
      <c r="B89" s="5"/>
      <c r="C89" s="5"/>
      <c r="D89" s="108"/>
      <c r="E89" s="3" t="s">
        <v>445</v>
      </c>
      <c r="F89" s="19"/>
      <c r="G89" s="20"/>
      <c r="H89" s="186" t="s">
        <v>446</v>
      </c>
      <c r="I89" s="187"/>
      <c r="J89" s="187"/>
      <c r="K89" s="187"/>
      <c r="L89" s="187"/>
      <c r="M89" s="188"/>
      <c r="N89" s="189">
        <f>550+550</f>
        <v>1100</v>
      </c>
      <c r="O89" s="190"/>
      <c r="P89" s="189"/>
      <c r="Q89" s="190"/>
      <c r="R89" s="136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/>
      <c r="E90" s="3" t="s">
        <v>447</v>
      </c>
      <c r="F90" s="19">
        <v>304</v>
      </c>
      <c r="G90" s="20">
        <v>0.9</v>
      </c>
      <c r="H90" s="186" t="s">
        <v>122</v>
      </c>
      <c r="I90" s="187"/>
      <c r="J90" s="187"/>
      <c r="K90" s="187"/>
      <c r="L90" s="187"/>
      <c r="M90" s="188"/>
      <c r="N90" s="189">
        <v>90</v>
      </c>
      <c r="O90" s="190"/>
      <c r="P90" s="189"/>
      <c r="Q90" s="190"/>
      <c r="R90" s="136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>
        <v>0.70833333333333337</v>
      </c>
      <c r="D91" s="108"/>
      <c r="E91" s="3" t="s">
        <v>448</v>
      </c>
      <c r="F91" s="19">
        <v>304</v>
      </c>
      <c r="G91" s="20">
        <v>0.9</v>
      </c>
      <c r="H91" s="186" t="s">
        <v>122</v>
      </c>
      <c r="I91" s="187"/>
      <c r="J91" s="187"/>
      <c r="K91" s="187"/>
      <c r="L91" s="187"/>
      <c r="M91" s="188"/>
      <c r="N91" s="189">
        <f>700+700</f>
        <v>1400</v>
      </c>
      <c r="O91" s="190"/>
      <c r="P91" s="189"/>
      <c r="Q91" s="190"/>
      <c r="R91" s="136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36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36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36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36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36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36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36"/>
      <c r="S98" s="6" t="s">
        <v>14</v>
      </c>
      <c r="T98" s="21"/>
      <c r="U98" s="191"/>
      <c r="V98" s="192"/>
      <c r="W98" s="193"/>
    </row>
    <row r="99" spans="1:23" ht="14.55" customHeight="1" x14ac:dyDescent="0.3">
      <c r="A99" s="185"/>
      <c r="B99" s="165" t="s">
        <v>0</v>
      </c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8">
        <f>SUM(N88:O98)</f>
        <v>4090</v>
      </c>
      <c r="O99" s="197"/>
      <c r="P99" s="168">
        <f ca="1">SUM(P88:Q99)</f>
        <v>0</v>
      </c>
      <c r="Q99" s="197"/>
      <c r="R99" s="10">
        <f>SUM(R88:R98)</f>
        <v>0</v>
      </c>
      <c r="S99" s="11" t="s">
        <v>14</v>
      </c>
      <c r="T99" s="9"/>
      <c r="U99" s="191"/>
      <c r="V99" s="192"/>
      <c r="W99" s="193"/>
    </row>
    <row r="100" spans="1:23" ht="14.55" customHeight="1" x14ac:dyDescent="0.3">
      <c r="D100" s="134"/>
      <c r="E100" s="48"/>
      <c r="F100" s="48"/>
      <c r="G100" s="48"/>
      <c r="H100" s="48"/>
      <c r="I100" s="48"/>
      <c r="R100" s="134"/>
    </row>
    <row r="101" spans="1:23" ht="14.55" customHeight="1" x14ac:dyDescent="0.3">
      <c r="D101" s="134"/>
      <c r="E101" s="165" t="s">
        <v>65</v>
      </c>
      <c r="F101" s="166"/>
      <c r="G101" s="166"/>
      <c r="H101" s="166"/>
      <c r="I101" s="166"/>
      <c r="J101" s="166"/>
      <c r="K101" s="166"/>
      <c r="L101" s="166"/>
      <c r="M101" s="167"/>
      <c r="N101" s="181" t="s">
        <v>7</v>
      </c>
      <c r="O101" s="182"/>
      <c r="P101" s="181" t="s">
        <v>74</v>
      </c>
      <c r="Q101" s="182"/>
      <c r="R101" s="134"/>
    </row>
    <row r="102" spans="1:23" ht="14.55" customHeight="1" x14ac:dyDescent="0.3">
      <c r="D102" s="134"/>
      <c r="E102" s="7"/>
      <c r="F102" s="7"/>
      <c r="G102" s="7"/>
      <c r="H102" s="7"/>
      <c r="I102" s="7"/>
      <c r="J102" s="22"/>
      <c r="K102" s="23"/>
      <c r="L102" s="22"/>
      <c r="M102" s="24"/>
      <c r="N102" s="137">
        <f>N99</f>
        <v>4090</v>
      </c>
      <c r="O102" s="14" t="s">
        <v>13</v>
      </c>
      <c r="P102" s="137">
        <f ca="1">P99</f>
        <v>0</v>
      </c>
      <c r="Q102" s="15" t="s">
        <v>13</v>
      </c>
      <c r="R102" s="134"/>
    </row>
    <row r="103" spans="1:23" x14ac:dyDescent="0.3">
      <c r="P103" s="49"/>
      <c r="Q103" s="49"/>
      <c r="R103" s="49"/>
      <c r="S103" s="32"/>
    </row>
    <row r="104" spans="1:23" s="8" customFormat="1" ht="30" customHeight="1" x14ac:dyDescent="0.3">
      <c r="A104" s="155" t="s">
        <v>29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7"/>
      <c r="Q104" s="157"/>
      <c r="R104" s="157"/>
      <c r="S104" s="157"/>
      <c r="T104" s="156"/>
      <c r="U104" s="156"/>
      <c r="V104" s="156"/>
      <c r="W104" s="158"/>
    </row>
    <row r="105" spans="1:23" s="12" customFormat="1" ht="14.55" customHeight="1" x14ac:dyDescent="0.3">
      <c r="A105" s="159" t="s">
        <v>1</v>
      </c>
      <c r="B105" s="160" t="s">
        <v>2</v>
      </c>
      <c r="C105" s="160" t="s">
        <v>3</v>
      </c>
      <c r="D105" s="160" t="s">
        <v>4</v>
      </c>
      <c r="E105" s="161" t="s">
        <v>5</v>
      </c>
      <c r="F105" s="163" t="s">
        <v>15</v>
      </c>
      <c r="G105" s="163" t="s">
        <v>16</v>
      </c>
      <c r="H105" s="170" t="s">
        <v>30</v>
      </c>
      <c r="I105" s="171"/>
      <c r="J105" s="171"/>
      <c r="K105" s="171"/>
      <c r="L105" s="171"/>
      <c r="M105" s="172"/>
      <c r="N105" s="176" t="s">
        <v>6</v>
      </c>
      <c r="O105" s="177"/>
      <c r="P105" s="177"/>
      <c r="Q105" s="178"/>
      <c r="R105" s="161" t="s">
        <v>8</v>
      </c>
      <c r="S105" s="179"/>
      <c r="T105" s="159" t="s">
        <v>9</v>
      </c>
      <c r="U105" s="159" t="s">
        <v>10</v>
      </c>
      <c r="V105" s="159"/>
      <c r="W105" s="159"/>
    </row>
    <row r="106" spans="1:23" s="12" customFormat="1" ht="13.05" customHeight="1" x14ac:dyDescent="0.3">
      <c r="A106" s="159"/>
      <c r="B106" s="160"/>
      <c r="C106" s="160"/>
      <c r="D106" s="160"/>
      <c r="E106" s="162"/>
      <c r="F106" s="164"/>
      <c r="G106" s="164"/>
      <c r="H106" s="173"/>
      <c r="I106" s="174"/>
      <c r="J106" s="174"/>
      <c r="K106" s="174"/>
      <c r="L106" s="174"/>
      <c r="M106" s="175"/>
      <c r="N106" s="176" t="s">
        <v>7</v>
      </c>
      <c r="O106" s="177"/>
      <c r="P106" s="177"/>
      <c r="Q106" s="178"/>
      <c r="R106" s="162"/>
      <c r="S106" s="180"/>
      <c r="T106" s="159"/>
      <c r="U106" s="159"/>
      <c r="V106" s="159"/>
      <c r="W106" s="159"/>
    </row>
    <row r="107" spans="1:23" ht="14.55" customHeight="1" x14ac:dyDescent="0.3">
      <c r="A107" s="183" t="s">
        <v>49</v>
      </c>
      <c r="B107" s="5">
        <v>0.33333333333333331</v>
      </c>
      <c r="C107" s="5"/>
      <c r="D107" s="108">
        <v>290925</v>
      </c>
      <c r="E107" s="3" t="s">
        <v>449</v>
      </c>
      <c r="F107" s="19">
        <v>304</v>
      </c>
      <c r="G107" s="20">
        <v>0.9</v>
      </c>
      <c r="H107" s="186" t="s">
        <v>87</v>
      </c>
      <c r="I107" s="187"/>
      <c r="J107" s="187"/>
      <c r="K107" s="187"/>
      <c r="L107" s="187"/>
      <c r="M107" s="188"/>
      <c r="N107" s="189">
        <v>1888</v>
      </c>
      <c r="O107" s="198"/>
      <c r="P107" s="198"/>
      <c r="Q107" s="190"/>
      <c r="R107" s="136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/>
      <c r="E108" s="3" t="s">
        <v>438</v>
      </c>
      <c r="F108" s="19">
        <v>304</v>
      </c>
      <c r="G108" s="20">
        <v>0.9</v>
      </c>
      <c r="H108" s="186" t="s">
        <v>87</v>
      </c>
      <c r="I108" s="187"/>
      <c r="J108" s="187"/>
      <c r="K108" s="187"/>
      <c r="L108" s="187"/>
      <c r="M108" s="188"/>
      <c r="N108" s="189">
        <v>80</v>
      </c>
      <c r="O108" s="198"/>
      <c r="P108" s="198"/>
      <c r="Q108" s="190"/>
      <c r="R108" s="136"/>
      <c r="S108" s="134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>
        <v>0.70833333333333337</v>
      </c>
      <c r="D109" s="108"/>
      <c r="E109" s="3" t="s">
        <v>450</v>
      </c>
      <c r="F109" s="19">
        <v>304</v>
      </c>
      <c r="G109" s="20">
        <v>0.8</v>
      </c>
      <c r="H109" s="186" t="s">
        <v>87</v>
      </c>
      <c r="I109" s="187"/>
      <c r="J109" s="187"/>
      <c r="K109" s="187"/>
      <c r="L109" s="187"/>
      <c r="M109" s="188"/>
      <c r="N109" s="189">
        <v>16</v>
      </c>
      <c r="O109" s="198"/>
      <c r="P109" s="198"/>
      <c r="Q109" s="190"/>
      <c r="R109" s="136"/>
      <c r="S109" s="134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36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5"/>
      <c r="B111" s="165" t="s">
        <v>0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8">
        <f>SUM(N107:O110)</f>
        <v>1984</v>
      </c>
      <c r="O111" s="197"/>
      <c r="P111" s="197"/>
      <c r="Q111" s="169"/>
      <c r="R111" s="10">
        <f>SUM(R107:R110)</f>
        <v>0</v>
      </c>
      <c r="S111" s="11" t="s">
        <v>14</v>
      </c>
      <c r="T111" s="9"/>
      <c r="U111" s="204"/>
      <c r="V111" s="205"/>
      <c r="W111" s="206"/>
    </row>
    <row r="112" spans="1:23" ht="14.55" customHeight="1" x14ac:dyDescent="0.3">
      <c r="D112" s="134"/>
      <c r="E112" s="48"/>
      <c r="F112" s="48"/>
      <c r="G112" s="48"/>
      <c r="H112" s="48"/>
      <c r="I112" s="48"/>
      <c r="R112" s="134"/>
    </row>
    <row r="113" spans="4:18" ht="14.55" customHeight="1" x14ac:dyDescent="0.3">
      <c r="D113" s="134"/>
      <c r="E113" s="165" t="s">
        <v>33</v>
      </c>
      <c r="F113" s="166"/>
      <c r="G113" s="166"/>
      <c r="H113" s="166"/>
      <c r="I113" s="166"/>
      <c r="J113" s="166"/>
      <c r="K113" s="166"/>
      <c r="L113" s="166"/>
      <c r="M113" s="167"/>
      <c r="N113" s="181" t="s">
        <v>7</v>
      </c>
      <c r="O113" s="199"/>
      <c r="P113" s="199"/>
      <c r="Q113" s="182"/>
      <c r="R113" s="134"/>
    </row>
    <row r="114" spans="4:18" ht="14.55" customHeight="1" x14ac:dyDescent="0.3">
      <c r="D114" s="134"/>
      <c r="E114" s="7"/>
      <c r="F114" s="7"/>
      <c r="G114" s="7"/>
      <c r="H114" s="7"/>
      <c r="I114" s="7"/>
      <c r="J114" s="22"/>
      <c r="K114" s="23"/>
      <c r="L114" s="22"/>
      <c r="M114" s="24"/>
      <c r="N114" s="200">
        <f>N111</f>
        <v>1984</v>
      </c>
      <c r="O114" s="201"/>
      <c r="P114" s="202" t="s">
        <v>13</v>
      </c>
      <c r="Q114" s="203"/>
      <c r="R114" s="134"/>
    </row>
  </sheetData>
  <mergeCells count="304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8"/>
    <mergeCell ref="H54:M54"/>
    <mergeCell ref="N54:Q54"/>
    <mergeCell ref="U54:W58"/>
    <mergeCell ref="H55:M55"/>
    <mergeCell ref="N55:Q55"/>
    <mergeCell ref="H57:M57"/>
    <mergeCell ref="N57:Q57"/>
    <mergeCell ref="B58:M58"/>
    <mergeCell ref="N58:Q58"/>
    <mergeCell ref="H56:M56"/>
    <mergeCell ref="N56:Q56"/>
    <mergeCell ref="E60:M60"/>
    <mergeCell ref="N60:Q60"/>
    <mergeCell ref="N61:O61"/>
    <mergeCell ref="P61:Q61"/>
    <mergeCell ref="A63:W63"/>
    <mergeCell ref="A64:A65"/>
    <mergeCell ref="B64:B65"/>
    <mergeCell ref="C64:C65"/>
    <mergeCell ref="D64:D65"/>
    <mergeCell ref="E64:E65"/>
    <mergeCell ref="B69:M69"/>
    <mergeCell ref="N69:Q69"/>
    <mergeCell ref="E71:M71"/>
    <mergeCell ref="N71:Q71"/>
    <mergeCell ref="N72:O72"/>
    <mergeCell ref="P72:Q72"/>
    <mergeCell ref="U64:W65"/>
    <mergeCell ref="N65:Q65"/>
    <mergeCell ref="A66:A69"/>
    <mergeCell ref="H66:M66"/>
    <mergeCell ref="N66:Q66"/>
    <mergeCell ref="U66:W69"/>
    <mergeCell ref="H67:M67"/>
    <mergeCell ref="N67:Q67"/>
    <mergeCell ref="H68:M68"/>
    <mergeCell ref="N68:Q68"/>
    <mergeCell ref="F64:F65"/>
    <mergeCell ref="G64:G65"/>
    <mergeCell ref="H64:M65"/>
    <mergeCell ref="N64:Q64"/>
    <mergeCell ref="R64:S65"/>
    <mergeCell ref="T64:T65"/>
    <mergeCell ref="A74:W74"/>
    <mergeCell ref="A75:A76"/>
    <mergeCell ref="B75:B76"/>
    <mergeCell ref="C75:C76"/>
    <mergeCell ref="D75:D76"/>
    <mergeCell ref="E75:E76"/>
    <mergeCell ref="F75:F76"/>
    <mergeCell ref="G75:G76"/>
    <mergeCell ref="H75:M76"/>
    <mergeCell ref="N75:Q75"/>
    <mergeCell ref="E82:M82"/>
    <mergeCell ref="N82:Q82"/>
    <mergeCell ref="R75:S76"/>
    <mergeCell ref="T75:T76"/>
    <mergeCell ref="U75:W76"/>
    <mergeCell ref="N76:Q76"/>
    <mergeCell ref="N83:O83"/>
    <mergeCell ref="P83:Q83"/>
    <mergeCell ref="A85:W85"/>
    <mergeCell ref="A77:A80"/>
    <mergeCell ref="H77:M77"/>
    <mergeCell ref="N77:Q77"/>
    <mergeCell ref="U77:W80"/>
    <mergeCell ref="H78:M78"/>
    <mergeCell ref="N78:Q78"/>
    <mergeCell ref="H79:M79"/>
    <mergeCell ref="N79:Q79"/>
    <mergeCell ref="B80:M80"/>
    <mergeCell ref="N80:Q80"/>
    <mergeCell ref="A86:A87"/>
    <mergeCell ref="B86:B87"/>
    <mergeCell ref="C86:C87"/>
    <mergeCell ref="D86:D87"/>
    <mergeCell ref="E86:E87"/>
    <mergeCell ref="F86:F87"/>
    <mergeCell ref="G86:G87"/>
    <mergeCell ref="U88:W99"/>
    <mergeCell ref="H89:M89"/>
    <mergeCell ref="N89:O89"/>
    <mergeCell ref="P89:Q89"/>
    <mergeCell ref="H90:M90"/>
    <mergeCell ref="N90:O90"/>
    <mergeCell ref="H86:M87"/>
    <mergeCell ref="N86:Q86"/>
    <mergeCell ref="R86:S87"/>
    <mergeCell ref="T86:T87"/>
    <mergeCell ref="U86:W87"/>
    <mergeCell ref="N87:O87"/>
    <mergeCell ref="P87:Q87"/>
    <mergeCell ref="P90:Q90"/>
    <mergeCell ref="H91:M91"/>
    <mergeCell ref="N91:O91"/>
    <mergeCell ref="P91:Q91"/>
    <mergeCell ref="H92:M92"/>
    <mergeCell ref="N92:O92"/>
    <mergeCell ref="P92:Q92"/>
    <mergeCell ref="A88:A99"/>
    <mergeCell ref="H88:M88"/>
    <mergeCell ref="N88:O88"/>
    <mergeCell ref="P88:Q88"/>
    <mergeCell ref="P98:Q98"/>
    <mergeCell ref="H95:M95"/>
    <mergeCell ref="N95:O95"/>
    <mergeCell ref="P95:Q95"/>
    <mergeCell ref="H96:M96"/>
    <mergeCell ref="N96:O96"/>
    <mergeCell ref="P96:Q96"/>
    <mergeCell ref="H93:M93"/>
    <mergeCell ref="N93:O93"/>
    <mergeCell ref="P93:Q93"/>
    <mergeCell ref="H94:M94"/>
    <mergeCell ref="N94:O94"/>
    <mergeCell ref="P94:Q94"/>
    <mergeCell ref="B99:M99"/>
    <mergeCell ref="N99:O99"/>
    <mergeCell ref="P99:Q99"/>
    <mergeCell ref="N114:O114"/>
    <mergeCell ref="P114:Q114"/>
    <mergeCell ref="H110:M110"/>
    <mergeCell ref="N110:Q110"/>
    <mergeCell ref="H109:M109"/>
    <mergeCell ref="N109:Q109"/>
    <mergeCell ref="A104:W104"/>
    <mergeCell ref="R105:S106"/>
    <mergeCell ref="T105:T106"/>
    <mergeCell ref="U105:W106"/>
    <mergeCell ref="N106:Q106"/>
    <mergeCell ref="A107:A111"/>
    <mergeCell ref="H107:M107"/>
    <mergeCell ref="N107:Q107"/>
    <mergeCell ref="U107:W111"/>
    <mergeCell ref="H108:M108"/>
    <mergeCell ref="N108:Q108"/>
    <mergeCell ref="A105:A106"/>
    <mergeCell ref="B105:B106"/>
    <mergeCell ref="C105:C106"/>
    <mergeCell ref="D105:D106"/>
    <mergeCell ref="E105:E106"/>
    <mergeCell ref="F105:F106"/>
    <mergeCell ref="G105:G106"/>
    <mergeCell ref="E101:M101"/>
    <mergeCell ref="N101:O101"/>
    <mergeCell ref="P101:Q101"/>
    <mergeCell ref="H97:M97"/>
    <mergeCell ref="N97:O97"/>
    <mergeCell ref="P97:Q97"/>
    <mergeCell ref="H98:M98"/>
    <mergeCell ref="N98:O98"/>
    <mergeCell ref="E113:M113"/>
    <mergeCell ref="N113:Q113"/>
    <mergeCell ref="H105:M106"/>
    <mergeCell ref="N105:Q105"/>
    <mergeCell ref="B111:M111"/>
    <mergeCell ref="N111:Q111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topLeftCell="A31" zoomScale="85" zoomScaleNormal="85" workbookViewId="0">
      <selection activeCell="D54" sqref="D54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45960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08">
        <v>230925</v>
      </c>
      <c r="E7" s="3" t="s">
        <v>452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1950</v>
      </c>
      <c r="O7" s="190"/>
      <c r="P7" s="189"/>
      <c r="Q7" s="190"/>
      <c r="R7" s="138">
        <v>40</v>
      </c>
      <c r="S7" s="6" t="s">
        <v>14</v>
      </c>
      <c r="T7" s="21" t="s">
        <v>343</v>
      </c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38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1950</v>
      </c>
      <c r="O9" s="169"/>
      <c r="P9" s="168">
        <f>SUM(P7:Q8)</f>
        <v>0</v>
      </c>
      <c r="Q9" s="169"/>
      <c r="R9" s="10">
        <f>SUM(R7:R8)</f>
        <v>40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38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38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39">
        <f>N9+N12</f>
        <v>1950</v>
      </c>
      <c r="O15" s="14" t="s">
        <v>13</v>
      </c>
      <c r="P15" s="139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0.70833333333333337</v>
      </c>
      <c r="D20" s="110">
        <v>230925</v>
      </c>
      <c r="E20" s="3" t="s">
        <v>123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1800</v>
      </c>
      <c r="O20" s="198"/>
      <c r="P20" s="198"/>
      <c r="Q20" s="190"/>
      <c r="R20" s="138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38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38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38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1800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1800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10">
        <v>230925</v>
      </c>
      <c r="E32" s="3" t="s">
        <v>123</v>
      </c>
      <c r="F32" s="19">
        <v>430</v>
      </c>
      <c r="G32" s="20">
        <v>0.8</v>
      </c>
      <c r="H32" s="186" t="s">
        <v>453</v>
      </c>
      <c r="I32" s="187"/>
      <c r="J32" s="187"/>
      <c r="K32" s="187"/>
      <c r="L32" s="187"/>
      <c r="M32" s="188"/>
      <c r="N32" s="189">
        <v>1800</v>
      </c>
      <c r="O32" s="190"/>
      <c r="P32" s="189"/>
      <c r="Q32" s="190"/>
      <c r="R32" s="138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38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38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1800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39">
        <f>N35</f>
        <v>1800</v>
      </c>
      <c r="O38" s="14" t="s">
        <v>13</v>
      </c>
      <c r="P38" s="139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10">
        <v>290925</v>
      </c>
      <c r="E43" s="3" t="s">
        <v>431</v>
      </c>
      <c r="F43" s="19">
        <v>304</v>
      </c>
      <c r="G43" s="20">
        <v>0.8</v>
      </c>
      <c r="H43" s="186"/>
      <c r="I43" s="187"/>
      <c r="J43" s="187"/>
      <c r="K43" s="187"/>
      <c r="L43" s="187"/>
      <c r="M43" s="188"/>
      <c r="N43" s="189">
        <v>1730</v>
      </c>
      <c r="O43" s="198"/>
      <c r="P43" s="198"/>
      <c r="Q43" s="190"/>
      <c r="R43" s="138">
        <v>40</v>
      </c>
      <c r="S43" s="6" t="s">
        <v>14</v>
      </c>
      <c r="T43" s="21" t="s">
        <v>77</v>
      </c>
      <c r="U43" s="191"/>
      <c r="V43" s="192"/>
      <c r="W43" s="193"/>
    </row>
    <row r="44" spans="1:23" ht="14.55" customHeight="1" x14ac:dyDescent="0.3">
      <c r="A44" s="184"/>
      <c r="B44" s="5"/>
      <c r="C44" s="5"/>
      <c r="D44" s="108">
        <v>100925</v>
      </c>
      <c r="E44" s="3" t="s">
        <v>454</v>
      </c>
      <c r="F44" s="19">
        <v>304</v>
      </c>
      <c r="G44" s="20">
        <v>0.9</v>
      </c>
      <c r="H44" s="186"/>
      <c r="I44" s="187"/>
      <c r="J44" s="187"/>
      <c r="K44" s="187"/>
      <c r="L44" s="187"/>
      <c r="M44" s="188"/>
      <c r="N44" s="189">
        <v>115</v>
      </c>
      <c r="O44" s="198"/>
      <c r="P44" s="198"/>
      <c r="Q44" s="190"/>
      <c r="R44" s="138">
        <v>40</v>
      </c>
      <c r="S44" s="6" t="s">
        <v>14</v>
      </c>
      <c r="T44" s="21" t="s">
        <v>77</v>
      </c>
      <c r="U44" s="191"/>
      <c r="V44" s="192"/>
      <c r="W44" s="193"/>
    </row>
    <row r="45" spans="1:23" ht="14.55" customHeight="1" x14ac:dyDescent="0.3">
      <c r="A45" s="184"/>
      <c r="B45" s="5"/>
      <c r="C45" s="5">
        <v>0.70833333333333337</v>
      </c>
      <c r="D45" s="135">
        <v>230925</v>
      </c>
      <c r="E45" s="3" t="s">
        <v>123</v>
      </c>
      <c r="F45" s="19">
        <v>430</v>
      </c>
      <c r="G45" s="20">
        <v>0.8</v>
      </c>
      <c r="H45" s="186"/>
      <c r="I45" s="187"/>
      <c r="J45" s="187"/>
      <c r="K45" s="187"/>
      <c r="L45" s="187"/>
      <c r="M45" s="188"/>
      <c r="N45" s="189">
        <v>200</v>
      </c>
      <c r="O45" s="198"/>
      <c r="P45" s="198"/>
      <c r="Q45" s="190"/>
      <c r="R45" s="138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2045</v>
      </c>
      <c r="O46" s="197"/>
      <c r="P46" s="197"/>
      <c r="Q46" s="169"/>
      <c r="R46" s="10">
        <f>SUM(R43:R45)</f>
        <v>80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2045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140">
        <v>0.70833333333333337</v>
      </c>
      <c r="D54" s="110">
        <v>290925</v>
      </c>
      <c r="E54" s="3" t="s">
        <v>431</v>
      </c>
      <c r="F54" s="19">
        <v>304</v>
      </c>
      <c r="G54" s="20">
        <v>0.8</v>
      </c>
      <c r="H54" s="186"/>
      <c r="I54" s="187"/>
      <c r="J54" s="187"/>
      <c r="K54" s="187"/>
      <c r="L54" s="187"/>
      <c r="M54" s="188"/>
      <c r="N54" s="189">
        <v>2580</v>
      </c>
      <c r="O54" s="198"/>
      <c r="P54" s="198"/>
      <c r="Q54" s="190"/>
      <c r="R54" s="138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38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38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2580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2580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238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239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290925</v>
      </c>
      <c r="E65" s="3" t="s">
        <v>455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500</v>
      </c>
      <c r="O65" s="198"/>
      <c r="P65" s="198"/>
      <c r="Q65" s="190"/>
      <c r="R65" s="138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0.70833333333333337</v>
      </c>
      <c r="D66" s="110">
        <v>290925</v>
      </c>
      <c r="E66" s="3" t="s">
        <v>456</v>
      </c>
      <c r="F66" s="19">
        <v>304</v>
      </c>
      <c r="G66" s="20">
        <v>0.6</v>
      </c>
      <c r="H66" s="186"/>
      <c r="I66" s="187"/>
      <c r="J66" s="187"/>
      <c r="K66" s="187"/>
      <c r="L66" s="187"/>
      <c r="M66" s="188"/>
      <c r="N66" s="189">
        <v>2300</v>
      </c>
      <c r="O66" s="198"/>
      <c r="P66" s="198"/>
      <c r="Q66" s="190"/>
      <c r="R66" s="138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38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2800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2800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/>
      <c r="F76" s="19"/>
      <c r="G76" s="20"/>
      <c r="H76" s="186"/>
      <c r="I76" s="187"/>
      <c r="J76" s="187"/>
      <c r="K76" s="187"/>
      <c r="L76" s="187"/>
      <c r="M76" s="188"/>
      <c r="N76" s="189">
        <v>1500</v>
      </c>
      <c r="O76" s="198"/>
      <c r="P76" s="198"/>
      <c r="Q76" s="190"/>
      <c r="R76" s="138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38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38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1500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1500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131025</v>
      </c>
      <c r="E87" s="3" t="s">
        <v>380</v>
      </c>
      <c r="F87" s="19">
        <v>304</v>
      </c>
      <c r="G87" s="20">
        <v>0.9</v>
      </c>
      <c r="H87" s="186" t="s">
        <v>124</v>
      </c>
      <c r="I87" s="187"/>
      <c r="J87" s="187"/>
      <c r="K87" s="187"/>
      <c r="L87" s="187"/>
      <c r="M87" s="188"/>
      <c r="N87" s="189">
        <v>100</v>
      </c>
      <c r="O87" s="190"/>
      <c r="P87" s="189"/>
      <c r="Q87" s="190"/>
      <c r="R87" s="138"/>
      <c r="S87" s="134" t="s">
        <v>14</v>
      </c>
      <c r="T87" s="21"/>
      <c r="U87" s="191" t="s">
        <v>461</v>
      </c>
      <c r="V87" s="192"/>
      <c r="W87" s="193"/>
    </row>
    <row r="88" spans="1:23" ht="14.55" customHeight="1" x14ac:dyDescent="0.3">
      <c r="A88" s="184"/>
      <c r="B88" s="5"/>
      <c r="C88" s="5"/>
      <c r="D88" s="108">
        <v>290925</v>
      </c>
      <c r="E88" s="3" t="s">
        <v>416</v>
      </c>
      <c r="F88" s="19">
        <v>304</v>
      </c>
      <c r="G88" s="20">
        <v>0.8</v>
      </c>
      <c r="H88" s="186" t="s">
        <v>122</v>
      </c>
      <c r="I88" s="187"/>
      <c r="J88" s="187"/>
      <c r="K88" s="187"/>
      <c r="L88" s="187"/>
      <c r="M88" s="188"/>
      <c r="N88" s="189">
        <v>700</v>
      </c>
      <c r="O88" s="190"/>
      <c r="P88" s="189"/>
      <c r="Q88" s="190"/>
      <c r="R88" s="138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 t="s">
        <v>457</v>
      </c>
      <c r="E89" s="3" t="s">
        <v>458</v>
      </c>
      <c r="F89" s="19">
        <v>304</v>
      </c>
      <c r="G89" s="20">
        <v>0.8</v>
      </c>
      <c r="H89" s="186" t="s">
        <v>124</v>
      </c>
      <c r="I89" s="187"/>
      <c r="J89" s="187"/>
      <c r="K89" s="187"/>
      <c r="L89" s="187"/>
      <c r="M89" s="188"/>
      <c r="N89" s="189">
        <f>85+85</f>
        <v>170</v>
      </c>
      <c r="O89" s="190"/>
      <c r="P89" s="189"/>
      <c r="Q89" s="190"/>
      <c r="R89" s="138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 t="s">
        <v>457</v>
      </c>
      <c r="E90" s="3" t="s">
        <v>459</v>
      </c>
      <c r="F90" s="19">
        <v>304</v>
      </c>
      <c r="G90" s="20">
        <v>0.8</v>
      </c>
      <c r="H90" s="186" t="s">
        <v>122</v>
      </c>
      <c r="I90" s="187"/>
      <c r="J90" s="187"/>
      <c r="K90" s="187"/>
      <c r="L90" s="187"/>
      <c r="M90" s="188"/>
      <c r="N90" s="189">
        <f>15+15</f>
        <v>30</v>
      </c>
      <c r="O90" s="190"/>
      <c r="P90" s="189"/>
      <c r="Q90" s="190"/>
      <c r="R90" s="138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 t="s">
        <v>457</v>
      </c>
      <c r="E91" s="3" t="s">
        <v>460</v>
      </c>
      <c r="F91" s="19">
        <v>304</v>
      </c>
      <c r="G91" s="20">
        <v>0.9</v>
      </c>
      <c r="H91" s="186" t="s">
        <v>124</v>
      </c>
      <c r="I91" s="187"/>
      <c r="J91" s="187"/>
      <c r="K91" s="187"/>
      <c r="L91" s="187"/>
      <c r="M91" s="188"/>
      <c r="N91" s="189">
        <f>14+14</f>
        <v>28</v>
      </c>
      <c r="O91" s="190"/>
      <c r="P91" s="189"/>
      <c r="Q91" s="190"/>
      <c r="R91" s="138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>
        <v>0.70833333333333337</v>
      </c>
      <c r="D92" s="108">
        <v>290925</v>
      </c>
      <c r="E92" s="3" t="s">
        <v>431</v>
      </c>
      <c r="F92" s="19">
        <v>304</v>
      </c>
      <c r="G92" s="20">
        <v>0.8</v>
      </c>
      <c r="H92" s="186" t="s">
        <v>435</v>
      </c>
      <c r="I92" s="187"/>
      <c r="J92" s="187"/>
      <c r="K92" s="187"/>
      <c r="L92" s="187"/>
      <c r="M92" s="188"/>
      <c r="N92" s="189">
        <v>450</v>
      </c>
      <c r="O92" s="190"/>
      <c r="P92" s="189"/>
      <c r="Q92" s="190"/>
      <c r="R92" s="138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38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38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38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38"/>
      <c r="S96" s="6" t="s">
        <v>14</v>
      </c>
      <c r="T96" s="21"/>
      <c r="U96" s="191"/>
      <c r="V96" s="192"/>
      <c r="W96" s="193"/>
    </row>
    <row r="97" spans="1:23" ht="14.55" hidden="1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38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4"/>
      <c r="B98" s="5"/>
      <c r="C98" s="5"/>
      <c r="D98" s="108"/>
      <c r="E98" s="3"/>
      <c r="F98" s="19"/>
      <c r="G98" s="20"/>
      <c r="H98" s="186"/>
      <c r="I98" s="187"/>
      <c r="J98" s="187"/>
      <c r="K98" s="187"/>
      <c r="L98" s="187"/>
      <c r="M98" s="188"/>
      <c r="N98" s="189"/>
      <c r="O98" s="190"/>
      <c r="P98" s="189"/>
      <c r="Q98" s="190"/>
      <c r="R98" s="138"/>
      <c r="S98" s="6" t="s">
        <v>14</v>
      </c>
      <c r="T98" s="21"/>
      <c r="U98" s="191"/>
      <c r="V98" s="192"/>
      <c r="W98" s="193"/>
    </row>
    <row r="99" spans="1:23" ht="14.55" customHeight="1" x14ac:dyDescent="0.3">
      <c r="A99" s="185"/>
      <c r="B99" s="165" t="s">
        <v>0</v>
      </c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8">
        <f>SUM(N87:O98)</f>
        <v>1478</v>
      </c>
      <c r="O99" s="197"/>
      <c r="P99" s="168">
        <f ca="1">SUM(P87:Q99)</f>
        <v>0</v>
      </c>
      <c r="Q99" s="197"/>
      <c r="R99" s="10">
        <f>SUM(R87:R98)</f>
        <v>0</v>
      </c>
      <c r="S99" s="11" t="s">
        <v>14</v>
      </c>
      <c r="T99" s="9"/>
      <c r="U99" s="191"/>
      <c r="V99" s="192"/>
      <c r="W99" s="193"/>
    </row>
    <row r="100" spans="1:23" ht="14.55" customHeight="1" x14ac:dyDescent="0.3">
      <c r="D100" s="134"/>
      <c r="E100" s="48"/>
      <c r="F100" s="48"/>
      <c r="G100" s="48"/>
      <c r="H100" s="48"/>
      <c r="I100" s="48"/>
      <c r="R100" s="134"/>
    </row>
    <row r="101" spans="1:23" ht="14.55" customHeight="1" x14ac:dyDescent="0.3">
      <c r="D101" s="134"/>
      <c r="E101" s="165" t="s">
        <v>65</v>
      </c>
      <c r="F101" s="166"/>
      <c r="G101" s="166"/>
      <c r="H101" s="166"/>
      <c r="I101" s="166"/>
      <c r="J101" s="166"/>
      <c r="K101" s="166"/>
      <c r="L101" s="166"/>
      <c r="M101" s="167"/>
      <c r="N101" s="181" t="s">
        <v>7</v>
      </c>
      <c r="O101" s="182"/>
      <c r="P101" s="181" t="s">
        <v>74</v>
      </c>
      <c r="Q101" s="182"/>
      <c r="R101" s="134"/>
    </row>
    <row r="102" spans="1:23" ht="14.55" customHeight="1" x14ac:dyDescent="0.3">
      <c r="D102" s="134"/>
      <c r="E102" s="7"/>
      <c r="F102" s="7"/>
      <c r="G102" s="7"/>
      <c r="H102" s="7"/>
      <c r="I102" s="7"/>
      <c r="J102" s="22"/>
      <c r="K102" s="23"/>
      <c r="L102" s="22"/>
      <c r="M102" s="24"/>
      <c r="N102" s="139">
        <f>N99</f>
        <v>1478</v>
      </c>
      <c r="O102" s="14" t="s">
        <v>13</v>
      </c>
      <c r="P102" s="139">
        <f ca="1">P99</f>
        <v>0</v>
      </c>
      <c r="Q102" s="15" t="s">
        <v>13</v>
      </c>
      <c r="R102" s="134"/>
    </row>
    <row r="103" spans="1:23" x14ac:dyDescent="0.3">
      <c r="P103" s="49"/>
      <c r="Q103" s="49"/>
      <c r="R103" s="49"/>
      <c r="S103" s="32"/>
    </row>
    <row r="104" spans="1:23" s="8" customFormat="1" ht="30" customHeight="1" x14ac:dyDescent="0.3">
      <c r="A104" s="155" t="s">
        <v>29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7"/>
      <c r="Q104" s="157"/>
      <c r="R104" s="157"/>
      <c r="S104" s="157"/>
      <c r="T104" s="156"/>
      <c r="U104" s="156"/>
      <c r="V104" s="156"/>
      <c r="W104" s="158"/>
    </row>
    <row r="105" spans="1:23" s="12" customFormat="1" ht="14.55" customHeight="1" x14ac:dyDescent="0.3">
      <c r="A105" s="159" t="s">
        <v>1</v>
      </c>
      <c r="B105" s="160" t="s">
        <v>2</v>
      </c>
      <c r="C105" s="160" t="s">
        <v>3</v>
      </c>
      <c r="D105" s="160" t="s">
        <v>4</v>
      </c>
      <c r="E105" s="161" t="s">
        <v>5</v>
      </c>
      <c r="F105" s="163" t="s">
        <v>15</v>
      </c>
      <c r="G105" s="163" t="s">
        <v>16</v>
      </c>
      <c r="H105" s="170" t="s">
        <v>30</v>
      </c>
      <c r="I105" s="171"/>
      <c r="J105" s="171"/>
      <c r="K105" s="171"/>
      <c r="L105" s="171"/>
      <c r="M105" s="172"/>
      <c r="N105" s="176" t="s">
        <v>6</v>
      </c>
      <c r="O105" s="177"/>
      <c r="P105" s="177"/>
      <c r="Q105" s="178"/>
      <c r="R105" s="161" t="s">
        <v>8</v>
      </c>
      <c r="S105" s="179"/>
      <c r="T105" s="159" t="s">
        <v>9</v>
      </c>
      <c r="U105" s="159" t="s">
        <v>10</v>
      </c>
      <c r="V105" s="159"/>
      <c r="W105" s="159"/>
    </row>
    <row r="106" spans="1:23" s="12" customFormat="1" ht="13.05" customHeight="1" x14ac:dyDescent="0.3">
      <c r="A106" s="159"/>
      <c r="B106" s="160"/>
      <c r="C106" s="160"/>
      <c r="D106" s="160"/>
      <c r="E106" s="162"/>
      <c r="F106" s="164"/>
      <c r="G106" s="164"/>
      <c r="H106" s="173"/>
      <c r="I106" s="174"/>
      <c r="J106" s="174"/>
      <c r="K106" s="174"/>
      <c r="L106" s="174"/>
      <c r="M106" s="175"/>
      <c r="N106" s="176" t="s">
        <v>7</v>
      </c>
      <c r="O106" s="177"/>
      <c r="P106" s="177"/>
      <c r="Q106" s="178"/>
      <c r="R106" s="162"/>
      <c r="S106" s="180"/>
      <c r="T106" s="159"/>
      <c r="U106" s="159"/>
      <c r="V106" s="159"/>
      <c r="W106" s="159"/>
    </row>
    <row r="107" spans="1:23" ht="14.55" customHeight="1" x14ac:dyDescent="0.3">
      <c r="A107" s="183" t="s">
        <v>49</v>
      </c>
      <c r="B107" s="5">
        <v>0.33333333333333331</v>
      </c>
      <c r="C107" s="5"/>
      <c r="D107" s="108">
        <v>290925</v>
      </c>
      <c r="E107" s="3" t="s">
        <v>462</v>
      </c>
      <c r="F107" s="19">
        <v>304</v>
      </c>
      <c r="G107" s="20">
        <v>0.8</v>
      </c>
      <c r="H107" s="186" t="s">
        <v>87</v>
      </c>
      <c r="I107" s="187"/>
      <c r="J107" s="187"/>
      <c r="K107" s="187"/>
      <c r="L107" s="187"/>
      <c r="M107" s="188"/>
      <c r="N107" s="189">
        <v>510</v>
      </c>
      <c r="O107" s="198"/>
      <c r="P107" s="198"/>
      <c r="Q107" s="190"/>
      <c r="R107" s="138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>
        <v>0.70833333333333337</v>
      </c>
      <c r="D108" s="108">
        <v>290925</v>
      </c>
      <c r="E108" s="3" t="s">
        <v>463</v>
      </c>
      <c r="F108" s="19">
        <v>304</v>
      </c>
      <c r="G108" s="20">
        <v>0.8</v>
      </c>
      <c r="H108" s="186" t="s">
        <v>87</v>
      </c>
      <c r="I108" s="187"/>
      <c r="J108" s="187"/>
      <c r="K108" s="187"/>
      <c r="L108" s="187"/>
      <c r="M108" s="188"/>
      <c r="N108" s="189">
        <v>250</v>
      </c>
      <c r="O108" s="198"/>
      <c r="P108" s="198"/>
      <c r="Q108" s="190"/>
      <c r="R108" s="138"/>
      <c r="S108" s="134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38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5"/>
      <c r="B110" s="165" t="s">
        <v>0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7"/>
      <c r="N110" s="168">
        <f>SUM(N107:O109)</f>
        <v>760</v>
      </c>
      <c r="O110" s="197"/>
      <c r="P110" s="197"/>
      <c r="Q110" s="169"/>
      <c r="R110" s="10">
        <f>SUM(R107:R109)</f>
        <v>0</v>
      </c>
      <c r="S110" s="11" t="s">
        <v>14</v>
      </c>
      <c r="T110" s="9"/>
      <c r="U110" s="204"/>
      <c r="V110" s="205"/>
      <c r="W110" s="206"/>
    </row>
    <row r="111" spans="1:23" ht="14.55" customHeight="1" x14ac:dyDescent="0.3">
      <c r="D111" s="134"/>
      <c r="E111" s="48"/>
      <c r="F111" s="48"/>
      <c r="G111" s="48"/>
      <c r="H111" s="48"/>
      <c r="I111" s="48"/>
      <c r="R111" s="134"/>
    </row>
    <row r="112" spans="1:23" ht="14.55" customHeight="1" x14ac:dyDescent="0.3">
      <c r="D112" s="134"/>
      <c r="E112" s="165" t="s">
        <v>33</v>
      </c>
      <c r="F112" s="166"/>
      <c r="G112" s="166"/>
      <c r="H112" s="166"/>
      <c r="I112" s="166"/>
      <c r="J112" s="166"/>
      <c r="K112" s="166"/>
      <c r="L112" s="166"/>
      <c r="M112" s="167"/>
      <c r="N112" s="181" t="s">
        <v>7</v>
      </c>
      <c r="O112" s="199"/>
      <c r="P112" s="199"/>
      <c r="Q112" s="182"/>
      <c r="R112" s="134"/>
    </row>
    <row r="113" spans="4:18" ht="14.55" customHeight="1" x14ac:dyDescent="0.3">
      <c r="D113" s="134"/>
      <c r="E113" s="7"/>
      <c r="F113" s="7"/>
      <c r="G113" s="7"/>
      <c r="H113" s="7"/>
      <c r="I113" s="7"/>
      <c r="J113" s="22"/>
      <c r="K113" s="23"/>
      <c r="L113" s="22"/>
      <c r="M113" s="24"/>
      <c r="N113" s="200">
        <f>N110</f>
        <v>760</v>
      </c>
      <c r="O113" s="201"/>
      <c r="P113" s="202" t="s">
        <v>13</v>
      </c>
      <c r="Q113" s="203"/>
      <c r="R113" s="134"/>
    </row>
  </sheetData>
  <mergeCells count="303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85:A86"/>
    <mergeCell ref="B85:B86"/>
    <mergeCell ref="C85:C86"/>
    <mergeCell ref="D85:D86"/>
    <mergeCell ref="E85:E86"/>
    <mergeCell ref="F85:F86"/>
    <mergeCell ref="G85:G86"/>
    <mergeCell ref="U87:W99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H91:M91"/>
    <mergeCell ref="N91:O91"/>
    <mergeCell ref="P91:Q91"/>
    <mergeCell ref="A87:A99"/>
    <mergeCell ref="H87:M87"/>
    <mergeCell ref="N87:O87"/>
    <mergeCell ref="P87:Q87"/>
    <mergeCell ref="H95:M95"/>
    <mergeCell ref="N95:O95"/>
    <mergeCell ref="P95:Q95"/>
    <mergeCell ref="H96:M96"/>
    <mergeCell ref="N96:O96"/>
    <mergeCell ref="P96:Q96"/>
    <mergeCell ref="H93:M93"/>
    <mergeCell ref="N93:O93"/>
    <mergeCell ref="P93:Q93"/>
    <mergeCell ref="H94:M94"/>
    <mergeCell ref="N94:O94"/>
    <mergeCell ref="P94:Q94"/>
    <mergeCell ref="H92:M92"/>
    <mergeCell ref="N92:O92"/>
    <mergeCell ref="P92:Q92"/>
    <mergeCell ref="H97:M97"/>
    <mergeCell ref="N97:O97"/>
    <mergeCell ref="U107:W110"/>
    <mergeCell ref="H108:M108"/>
    <mergeCell ref="N108:Q108"/>
    <mergeCell ref="A105:A106"/>
    <mergeCell ref="B105:B106"/>
    <mergeCell ref="C105:C106"/>
    <mergeCell ref="D105:D106"/>
    <mergeCell ref="E105:E106"/>
    <mergeCell ref="F105:F106"/>
    <mergeCell ref="G105:G106"/>
    <mergeCell ref="H105:M106"/>
    <mergeCell ref="N105:Q105"/>
    <mergeCell ref="B110:M110"/>
    <mergeCell ref="N110:Q110"/>
    <mergeCell ref="P97:Q97"/>
    <mergeCell ref="H98:M98"/>
    <mergeCell ref="N98:O98"/>
    <mergeCell ref="P98:Q98"/>
    <mergeCell ref="E112:M112"/>
    <mergeCell ref="N112:Q112"/>
    <mergeCell ref="N113:O113"/>
    <mergeCell ref="P113:Q113"/>
    <mergeCell ref="H109:M109"/>
    <mergeCell ref="N109:Q109"/>
    <mergeCell ref="A104:W104"/>
    <mergeCell ref="B99:M99"/>
    <mergeCell ref="N99:O99"/>
    <mergeCell ref="P99:Q99"/>
    <mergeCell ref="E101:M101"/>
    <mergeCell ref="N101:O101"/>
    <mergeCell ref="P101:Q101"/>
    <mergeCell ref="R105:S106"/>
    <mergeCell ref="T105:T106"/>
    <mergeCell ref="U105:W106"/>
    <mergeCell ref="N106:Q106"/>
    <mergeCell ref="A107:A110"/>
    <mergeCell ref="H107:M107"/>
    <mergeCell ref="N107:Q107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4"/>
  <sheetViews>
    <sheetView topLeftCell="A79" zoomScale="85" zoomScaleNormal="85" workbookViewId="0">
      <selection activeCell="D7" sqref="D7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45961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08">
        <v>230925</v>
      </c>
      <c r="E7" s="3" t="s">
        <v>464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880</v>
      </c>
      <c r="O7" s="190"/>
      <c r="P7" s="189"/>
      <c r="Q7" s="190"/>
      <c r="R7" s="142">
        <v>40</v>
      </c>
      <c r="S7" s="6" t="s">
        <v>14</v>
      </c>
      <c r="T7" s="21" t="s">
        <v>77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108">
        <v>230925</v>
      </c>
      <c r="E8" s="3" t="s">
        <v>465</v>
      </c>
      <c r="F8" s="19">
        <v>430</v>
      </c>
      <c r="G8" s="20">
        <v>0.8</v>
      </c>
      <c r="H8" s="186"/>
      <c r="I8" s="187"/>
      <c r="J8" s="187"/>
      <c r="K8" s="187"/>
      <c r="L8" s="187"/>
      <c r="M8" s="188"/>
      <c r="N8" s="189">
        <v>700</v>
      </c>
      <c r="O8" s="190"/>
      <c r="P8" s="189"/>
      <c r="Q8" s="190"/>
      <c r="R8" s="142">
        <v>90</v>
      </c>
      <c r="S8" s="6" t="s">
        <v>14</v>
      </c>
      <c r="T8" s="21" t="s">
        <v>466</v>
      </c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1580</v>
      </c>
      <c r="O9" s="169"/>
      <c r="P9" s="168">
        <f>SUM(P7:Q8)</f>
        <v>0</v>
      </c>
      <c r="Q9" s="169"/>
      <c r="R9" s="10">
        <f>SUM(R7:R8)</f>
        <v>130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42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42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41">
        <f>N9+N12</f>
        <v>1580</v>
      </c>
      <c r="O15" s="14" t="s">
        <v>13</v>
      </c>
      <c r="P15" s="141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08">
        <v>230925</v>
      </c>
      <c r="E20" s="3" t="s">
        <v>39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1570</v>
      </c>
      <c r="O20" s="198"/>
      <c r="P20" s="198"/>
      <c r="Q20" s="190"/>
      <c r="R20" s="142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>
        <v>0.70833333333333337</v>
      </c>
      <c r="D21" s="108">
        <v>230925</v>
      </c>
      <c r="E21" s="3" t="s">
        <v>467</v>
      </c>
      <c r="F21" s="19">
        <v>430</v>
      </c>
      <c r="G21" s="20">
        <v>0.8</v>
      </c>
      <c r="H21" s="186"/>
      <c r="I21" s="187"/>
      <c r="J21" s="187"/>
      <c r="K21" s="187"/>
      <c r="L21" s="187"/>
      <c r="M21" s="188"/>
      <c r="N21" s="189">
        <v>50</v>
      </c>
      <c r="O21" s="198"/>
      <c r="P21" s="198"/>
      <c r="Q21" s="190"/>
      <c r="R21" s="142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42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42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1620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1620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08">
        <v>230925</v>
      </c>
      <c r="E32" s="3" t="s">
        <v>39</v>
      </c>
      <c r="F32" s="19">
        <v>430</v>
      </c>
      <c r="G32" s="20">
        <v>0.8</v>
      </c>
      <c r="H32" s="186" t="s">
        <v>468</v>
      </c>
      <c r="I32" s="187"/>
      <c r="J32" s="187"/>
      <c r="K32" s="187"/>
      <c r="L32" s="187"/>
      <c r="M32" s="188"/>
      <c r="N32" s="189">
        <v>1775</v>
      </c>
      <c r="O32" s="190"/>
      <c r="P32" s="189"/>
      <c r="Q32" s="190"/>
      <c r="R32" s="142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42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42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1775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41">
        <f>N35</f>
        <v>1775</v>
      </c>
      <c r="O38" s="14" t="s">
        <v>13</v>
      </c>
      <c r="P38" s="141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>
        <v>0.70833333333333337</v>
      </c>
      <c r="D43" s="108">
        <v>230925</v>
      </c>
      <c r="E43" s="3" t="s">
        <v>39</v>
      </c>
      <c r="F43" s="19">
        <v>430</v>
      </c>
      <c r="G43" s="20">
        <v>0.8</v>
      </c>
      <c r="H43" s="186"/>
      <c r="I43" s="187"/>
      <c r="J43" s="187"/>
      <c r="K43" s="187"/>
      <c r="L43" s="187"/>
      <c r="M43" s="188"/>
      <c r="N43" s="189">
        <v>1500</v>
      </c>
      <c r="O43" s="198"/>
      <c r="P43" s="198"/>
      <c r="Q43" s="190"/>
      <c r="R43" s="142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42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42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1500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1500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/>
      <c r="D54" s="108">
        <v>100925</v>
      </c>
      <c r="E54" s="3" t="s">
        <v>300</v>
      </c>
      <c r="F54" s="19">
        <v>304</v>
      </c>
      <c r="G54" s="20">
        <v>0.9</v>
      </c>
      <c r="H54" s="186"/>
      <c r="I54" s="187"/>
      <c r="J54" s="187"/>
      <c r="K54" s="187"/>
      <c r="L54" s="187"/>
      <c r="M54" s="188"/>
      <c r="N54" s="189">
        <v>120</v>
      </c>
      <c r="O54" s="198"/>
      <c r="P54" s="198"/>
      <c r="Q54" s="190"/>
      <c r="R54" s="142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>
        <v>0.70833333333333337</v>
      </c>
      <c r="D55" s="108">
        <v>230925</v>
      </c>
      <c r="E55" s="3" t="s">
        <v>39</v>
      </c>
      <c r="F55" s="19">
        <v>430</v>
      </c>
      <c r="G55" s="20">
        <v>0.8</v>
      </c>
      <c r="H55" s="186"/>
      <c r="I55" s="187"/>
      <c r="J55" s="187"/>
      <c r="K55" s="187"/>
      <c r="L55" s="187"/>
      <c r="M55" s="188"/>
      <c r="N55" s="189">
        <v>1250</v>
      </c>
      <c r="O55" s="198"/>
      <c r="P55" s="198"/>
      <c r="Q55" s="190"/>
      <c r="R55" s="142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42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1370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1370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290925</v>
      </c>
      <c r="E65" s="3" t="s">
        <v>469</v>
      </c>
      <c r="F65" s="19">
        <v>304</v>
      </c>
      <c r="G65" s="20">
        <v>0.6</v>
      </c>
      <c r="H65" s="186"/>
      <c r="I65" s="187"/>
      <c r="J65" s="187"/>
      <c r="K65" s="187"/>
      <c r="L65" s="187"/>
      <c r="M65" s="188"/>
      <c r="N65" s="189">
        <v>1500</v>
      </c>
      <c r="O65" s="198"/>
      <c r="P65" s="198"/>
      <c r="Q65" s="190"/>
      <c r="R65" s="142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0.70833333333333337</v>
      </c>
      <c r="D66" s="108">
        <v>230925</v>
      </c>
      <c r="E66" s="3" t="s">
        <v>470</v>
      </c>
      <c r="F66" s="19">
        <v>430</v>
      </c>
      <c r="G66" s="20">
        <v>0.6</v>
      </c>
      <c r="H66" s="186"/>
      <c r="I66" s="187"/>
      <c r="J66" s="187"/>
      <c r="K66" s="187"/>
      <c r="L66" s="187"/>
      <c r="M66" s="188"/>
      <c r="N66" s="189">
        <v>1000</v>
      </c>
      <c r="O66" s="198"/>
      <c r="P66" s="198"/>
      <c r="Q66" s="190"/>
      <c r="R66" s="142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42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2500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2500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/>
      <c r="F76" s="19"/>
      <c r="G76" s="20"/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42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42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42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2000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2000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290925</v>
      </c>
      <c r="E87" s="3" t="s">
        <v>431</v>
      </c>
      <c r="F87" s="19">
        <v>304</v>
      </c>
      <c r="G87" s="20">
        <v>0.8</v>
      </c>
      <c r="H87" s="186" t="s">
        <v>124</v>
      </c>
      <c r="I87" s="187"/>
      <c r="J87" s="187"/>
      <c r="K87" s="187"/>
      <c r="L87" s="187"/>
      <c r="M87" s="188"/>
      <c r="N87" s="189">
        <v>300</v>
      </c>
      <c r="O87" s="190"/>
      <c r="P87" s="189"/>
      <c r="Q87" s="190"/>
      <c r="R87" s="142"/>
      <c r="S87" s="134" t="s">
        <v>14</v>
      </c>
      <c r="T87" s="21"/>
      <c r="U87" s="191" t="s">
        <v>471</v>
      </c>
      <c r="V87" s="192"/>
      <c r="W87" s="193"/>
    </row>
    <row r="88" spans="1:23" ht="14.55" customHeight="1" x14ac:dyDescent="0.3">
      <c r="A88" s="184"/>
      <c r="B88" s="5"/>
      <c r="C88" s="5"/>
      <c r="D88" s="108">
        <v>290925</v>
      </c>
      <c r="E88" s="3" t="s">
        <v>431</v>
      </c>
      <c r="F88" s="19">
        <v>304</v>
      </c>
      <c r="G88" s="20">
        <v>0.8</v>
      </c>
      <c r="H88" s="186" t="s">
        <v>122</v>
      </c>
      <c r="I88" s="187"/>
      <c r="J88" s="187"/>
      <c r="K88" s="187"/>
      <c r="L88" s="187"/>
      <c r="M88" s="188"/>
      <c r="N88" s="189">
        <v>300</v>
      </c>
      <c r="O88" s="190"/>
      <c r="P88" s="189"/>
      <c r="Q88" s="190"/>
      <c r="R88" s="142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290925</v>
      </c>
      <c r="E89" s="3" t="s">
        <v>431</v>
      </c>
      <c r="F89" s="19">
        <v>304</v>
      </c>
      <c r="G89" s="20">
        <v>0.8</v>
      </c>
      <c r="H89" s="186" t="s">
        <v>435</v>
      </c>
      <c r="I89" s="187"/>
      <c r="J89" s="187"/>
      <c r="K89" s="187"/>
      <c r="L89" s="187"/>
      <c r="M89" s="188"/>
      <c r="N89" s="189">
        <v>550</v>
      </c>
      <c r="O89" s="190"/>
      <c r="P89" s="189"/>
      <c r="Q89" s="190"/>
      <c r="R89" s="142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100925</v>
      </c>
      <c r="E90" s="3" t="s">
        <v>317</v>
      </c>
      <c r="F90" s="19">
        <v>304</v>
      </c>
      <c r="G90" s="20">
        <v>0.9</v>
      </c>
      <c r="H90" s="186" t="s">
        <v>122</v>
      </c>
      <c r="I90" s="187"/>
      <c r="J90" s="187"/>
      <c r="K90" s="187"/>
      <c r="L90" s="187"/>
      <c r="M90" s="188"/>
      <c r="N90" s="189">
        <v>103</v>
      </c>
      <c r="O90" s="190"/>
      <c r="P90" s="189"/>
      <c r="Q90" s="190"/>
      <c r="R90" s="142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250057</v>
      </c>
      <c r="E91" s="3" t="s">
        <v>415</v>
      </c>
      <c r="F91" s="19">
        <v>304</v>
      </c>
      <c r="G91" s="20">
        <v>0.7</v>
      </c>
      <c r="H91" s="186" t="s">
        <v>124</v>
      </c>
      <c r="I91" s="187"/>
      <c r="J91" s="187"/>
      <c r="K91" s="187"/>
      <c r="L91" s="187"/>
      <c r="M91" s="188"/>
      <c r="N91" s="189">
        <v>144</v>
      </c>
      <c r="O91" s="190"/>
      <c r="P91" s="189"/>
      <c r="Q91" s="190"/>
      <c r="R91" s="142"/>
      <c r="S91" s="6" t="s">
        <v>14</v>
      </c>
      <c r="T91" s="21"/>
      <c r="U91" s="191"/>
      <c r="V91" s="192"/>
      <c r="W91" s="193"/>
    </row>
    <row r="92" spans="1:23" ht="14.55" customHeight="1" x14ac:dyDescent="0.3">
      <c r="A92" s="184"/>
      <c r="B92" s="5"/>
      <c r="C92" s="5"/>
      <c r="D92" s="108">
        <v>250057</v>
      </c>
      <c r="E92" s="3" t="s">
        <v>415</v>
      </c>
      <c r="F92" s="19">
        <v>304</v>
      </c>
      <c r="G92" s="20">
        <v>0.7</v>
      </c>
      <c r="H92" s="186" t="s">
        <v>122</v>
      </c>
      <c r="I92" s="187"/>
      <c r="J92" s="187"/>
      <c r="K92" s="187"/>
      <c r="L92" s="187"/>
      <c r="M92" s="188"/>
      <c r="N92" s="189">
        <v>339</v>
      </c>
      <c r="O92" s="190"/>
      <c r="P92" s="189"/>
      <c r="Q92" s="190"/>
      <c r="R92" s="142"/>
      <c r="S92" s="6" t="s">
        <v>14</v>
      </c>
      <c r="T92" s="21"/>
      <c r="U92" s="191"/>
      <c r="V92" s="192"/>
      <c r="W92" s="193"/>
    </row>
    <row r="93" spans="1:23" ht="14.55" customHeight="1" x14ac:dyDescent="0.3">
      <c r="A93" s="184"/>
      <c r="B93" s="5"/>
      <c r="C93" s="5">
        <v>0.70833333333333337</v>
      </c>
      <c r="D93" s="108">
        <v>230925</v>
      </c>
      <c r="E93" s="3" t="s">
        <v>39</v>
      </c>
      <c r="F93" s="19">
        <v>430</v>
      </c>
      <c r="G93" s="20">
        <v>0.8</v>
      </c>
      <c r="H93" s="186" t="s">
        <v>122</v>
      </c>
      <c r="I93" s="187"/>
      <c r="J93" s="187"/>
      <c r="K93" s="187"/>
      <c r="L93" s="187"/>
      <c r="M93" s="188"/>
      <c r="N93" s="189">
        <v>223</v>
      </c>
      <c r="O93" s="190"/>
      <c r="P93" s="189"/>
      <c r="Q93" s="190"/>
      <c r="R93" s="142"/>
      <c r="S93" s="6" t="s">
        <v>14</v>
      </c>
      <c r="T93" s="21"/>
      <c r="U93" s="191"/>
      <c r="V93" s="192"/>
      <c r="W93" s="193"/>
    </row>
    <row r="94" spans="1:23" ht="14.55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42"/>
      <c r="S94" s="6" t="s">
        <v>14</v>
      </c>
      <c r="T94" s="21"/>
      <c r="U94" s="191"/>
      <c r="V94" s="192"/>
      <c r="W94" s="193"/>
    </row>
    <row r="95" spans="1:23" ht="14.55" customHeight="1" x14ac:dyDescent="0.3">
      <c r="A95" s="185"/>
      <c r="B95" s="165" t="s">
        <v>0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7"/>
      <c r="N95" s="168">
        <f>SUM(N87:O94)</f>
        <v>1959</v>
      </c>
      <c r="O95" s="197"/>
      <c r="P95" s="168">
        <f ca="1">SUM(P87:Q95)</f>
        <v>0</v>
      </c>
      <c r="Q95" s="197"/>
      <c r="R95" s="10">
        <f>SUM(R87:R94)</f>
        <v>0</v>
      </c>
      <c r="S95" s="11" t="s">
        <v>14</v>
      </c>
      <c r="T95" s="9"/>
      <c r="U95" s="191"/>
      <c r="V95" s="192"/>
      <c r="W95" s="193"/>
    </row>
    <row r="96" spans="1:23" ht="14.55" customHeight="1" x14ac:dyDescent="0.3">
      <c r="D96" s="134"/>
      <c r="E96" s="48"/>
      <c r="F96" s="48"/>
      <c r="G96" s="48"/>
      <c r="H96" s="48"/>
      <c r="I96" s="48"/>
      <c r="R96" s="134"/>
    </row>
    <row r="97" spans="1:23" ht="14.55" customHeight="1" x14ac:dyDescent="0.3">
      <c r="D97" s="134"/>
      <c r="E97" s="165" t="s">
        <v>65</v>
      </c>
      <c r="F97" s="166"/>
      <c r="G97" s="166"/>
      <c r="H97" s="166"/>
      <c r="I97" s="166"/>
      <c r="J97" s="166"/>
      <c r="K97" s="166"/>
      <c r="L97" s="166"/>
      <c r="M97" s="167"/>
      <c r="N97" s="181" t="s">
        <v>7</v>
      </c>
      <c r="O97" s="182"/>
      <c r="P97" s="181" t="s">
        <v>74</v>
      </c>
      <c r="Q97" s="182"/>
      <c r="R97" s="134"/>
    </row>
    <row r="98" spans="1:23" ht="14.55" customHeight="1" x14ac:dyDescent="0.3">
      <c r="D98" s="134"/>
      <c r="E98" s="7"/>
      <c r="F98" s="7"/>
      <c r="G98" s="7"/>
      <c r="H98" s="7"/>
      <c r="I98" s="7"/>
      <c r="J98" s="22"/>
      <c r="K98" s="23"/>
      <c r="L98" s="22"/>
      <c r="M98" s="24"/>
      <c r="N98" s="141">
        <f>N95</f>
        <v>1959</v>
      </c>
      <c r="O98" s="14" t="s">
        <v>13</v>
      </c>
      <c r="P98" s="141">
        <f ca="1">P95</f>
        <v>0</v>
      </c>
      <c r="Q98" s="15" t="s">
        <v>13</v>
      </c>
      <c r="R98" s="134"/>
    </row>
    <row r="99" spans="1:23" x14ac:dyDescent="0.3">
      <c r="P99" s="49"/>
      <c r="Q99" s="49"/>
      <c r="R99" s="49"/>
      <c r="S99" s="32"/>
    </row>
    <row r="100" spans="1:23" s="8" customFormat="1" ht="30" customHeight="1" x14ac:dyDescent="0.3">
      <c r="A100" s="155" t="s">
        <v>29</v>
      </c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7"/>
      <c r="Q100" s="157"/>
      <c r="R100" s="157"/>
      <c r="S100" s="157"/>
      <c r="T100" s="156"/>
      <c r="U100" s="156"/>
      <c r="V100" s="156"/>
      <c r="W100" s="158"/>
    </row>
    <row r="101" spans="1:23" s="12" customFormat="1" ht="14.55" customHeight="1" x14ac:dyDescent="0.3">
      <c r="A101" s="159" t="s">
        <v>1</v>
      </c>
      <c r="B101" s="160" t="s">
        <v>2</v>
      </c>
      <c r="C101" s="160" t="s">
        <v>3</v>
      </c>
      <c r="D101" s="160" t="s">
        <v>4</v>
      </c>
      <c r="E101" s="161" t="s">
        <v>5</v>
      </c>
      <c r="F101" s="163" t="s">
        <v>15</v>
      </c>
      <c r="G101" s="163" t="s">
        <v>16</v>
      </c>
      <c r="H101" s="170" t="s">
        <v>30</v>
      </c>
      <c r="I101" s="171"/>
      <c r="J101" s="171"/>
      <c r="K101" s="171"/>
      <c r="L101" s="171"/>
      <c r="M101" s="172"/>
      <c r="N101" s="176" t="s">
        <v>6</v>
      </c>
      <c r="O101" s="177"/>
      <c r="P101" s="177"/>
      <c r="Q101" s="178"/>
      <c r="R101" s="161" t="s">
        <v>8</v>
      </c>
      <c r="S101" s="179"/>
      <c r="T101" s="159" t="s">
        <v>9</v>
      </c>
      <c r="U101" s="159" t="s">
        <v>10</v>
      </c>
      <c r="V101" s="159"/>
      <c r="W101" s="159"/>
    </row>
    <row r="102" spans="1:23" s="12" customFormat="1" ht="13.05" customHeight="1" x14ac:dyDescent="0.3">
      <c r="A102" s="159"/>
      <c r="B102" s="160"/>
      <c r="C102" s="160"/>
      <c r="D102" s="160"/>
      <c r="E102" s="162"/>
      <c r="F102" s="164"/>
      <c r="G102" s="164"/>
      <c r="H102" s="173"/>
      <c r="I102" s="174"/>
      <c r="J102" s="174"/>
      <c r="K102" s="174"/>
      <c r="L102" s="174"/>
      <c r="M102" s="175"/>
      <c r="N102" s="176" t="s">
        <v>7</v>
      </c>
      <c r="O102" s="177"/>
      <c r="P102" s="177"/>
      <c r="Q102" s="178"/>
      <c r="R102" s="162"/>
      <c r="S102" s="180"/>
      <c r="T102" s="159"/>
      <c r="U102" s="159"/>
      <c r="V102" s="159"/>
      <c r="W102" s="159"/>
    </row>
    <row r="103" spans="1:23" ht="14.55" customHeight="1" x14ac:dyDescent="0.3">
      <c r="A103" s="183" t="s">
        <v>49</v>
      </c>
      <c r="B103" s="5">
        <v>0.33333333333333331</v>
      </c>
      <c r="C103" s="5"/>
      <c r="D103" s="108">
        <v>290925</v>
      </c>
      <c r="E103" s="3" t="s">
        <v>472</v>
      </c>
      <c r="F103" s="19">
        <v>304</v>
      </c>
      <c r="G103" s="20">
        <v>0.8</v>
      </c>
      <c r="H103" s="186" t="s">
        <v>87</v>
      </c>
      <c r="I103" s="187"/>
      <c r="J103" s="187"/>
      <c r="K103" s="187"/>
      <c r="L103" s="187"/>
      <c r="M103" s="188"/>
      <c r="N103" s="189">
        <v>490</v>
      </c>
      <c r="O103" s="198"/>
      <c r="P103" s="198"/>
      <c r="Q103" s="190"/>
      <c r="R103" s="142"/>
      <c r="S103" s="134" t="s">
        <v>14</v>
      </c>
      <c r="T103" s="21"/>
      <c r="U103" s="204"/>
      <c r="V103" s="205"/>
      <c r="W103" s="206"/>
    </row>
    <row r="104" spans="1:23" ht="14.55" customHeight="1" x14ac:dyDescent="0.3">
      <c r="A104" s="207"/>
      <c r="B104" s="5"/>
      <c r="C104" s="5"/>
      <c r="D104" s="108">
        <v>290925</v>
      </c>
      <c r="E104" s="3" t="s">
        <v>473</v>
      </c>
      <c r="F104" s="19">
        <v>304</v>
      </c>
      <c r="G104" s="20">
        <v>0.8</v>
      </c>
      <c r="H104" s="186" t="s">
        <v>87</v>
      </c>
      <c r="I104" s="187"/>
      <c r="J104" s="187"/>
      <c r="K104" s="187"/>
      <c r="L104" s="187"/>
      <c r="M104" s="188"/>
      <c r="N104" s="189">
        <v>750</v>
      </c>
      <c r="O104" s="198"/>
      <c r="P104" s="198"/>
      <c r="Q104" s="190"/>
      <c r="R104" s="142"/>
      <c r="S104" s="134" t="s">
        <v>14</v>
      </c>
      <c r="T104" s="21"/>
      <c r="U104" s="204"/>
      <c r="V104" s="205"/>
      <c r="W104" s="206"/>
    </row>
    <row r="105" spans="1:23" ht="14.55" customHeight="1" x14ac:dyDescent="0.3">
      <c r="A105" s="207"/>
      <c r="B105" s="5"/>
      <c r="C105" s="5">
        <v>0.70833333333333337</v>
      </c>
      <c r="D105" s="108"/>
      <c r="E105" s="3" t="s">
        <v>474</v>
      </c>
      <c r="F105" s="19">
        <v>304</v>
      </c>
      <c r="G105" s="20">
        <v>0.9</v>
      </c>
      <c r="H105" s="186" t="s">
        <v>87</v>
      </c>
      <c r="I105" s="187"/>
      <c r="J105" s="187"/>
      <c r="K105" s="187"/>
      <c r="L105" s="187"/>
      <c r="M105" s="188"/>
      <c r="N105" s="189">
        <v>38</v>
      </c>
      <c r="O105" s="198"/>
      <c r="P105" s="198"/>
      <c r="Q105" s="190"/>
      <c r="R105" s="142"/>
      <c r="S105" s="134" t="s">
        <v>14</v>
      </c>
      <c r="T105" s="21"/>
      <c r="U105" s="204"/>
      <c r="V105" s="205"/>
      <c r="W105" s="206"/>
    </row>
    <row r="106" spans="1:23" ht="14.55" customHeight="1" x14ac:dyDescent="0.3">
      <c r="A106" s="207"/>
      <c r="B106" s="5"/>
      <c r="C106" s="5"/>
      <c r="D106" s="108"/>
      <c r="E106" s="3"/>
      <c r="F106" s="19"/>
      <c r="G106" s="20"/>
      <c r="H106" s="186"/>
      <c r="I106" s="187"/>
      <c r="J106" s="187"/>
      <c r="K106" s="187"/>
      <c r="L106" s="187"/>
      <c r="M106" s="188"/>
      <c r="N106" s="189"/>
      <c r="O106" s="198"/>
      <c r="P106" s="198"/>
      <c r="Q106" s="190"/>
      <c r="R106" s="142"/>
      <c r="S106" s="134" t="s">
        <v>14</v>
      </c>
      <c r="T106" s="21"/>
      <c r="U106" s="204"/>
      <c r="V106" s="205"/>
      <c r="W106" s="206"/>
    </row>
    <row r="107" spans="1:23" ht="14.55" customHeight="1" x14ac:dyDescent="0.3">
      <c r="A107" s="184"/>
      <c r="B107" s="5"/>
      <c r="C107" s="5"/>
      <c r="D107" s="108"/>
      <c r="E107" s="3"/>
      <c r="F107" s="19"/>
      <c r="G107" s="20"/>
      <c r="H107" s="186"/>
      <c r="I107" s="187"/>
      <c r="J107" s="187"/>
      <c r="K107" s="187"/>
      <c r="L107" s="187"/>
      <c r="M107" s="188"/>
      <c r="N107" s="189"/>
      <c r="O107" s="198"/>
      <c r="P107" s="198"/>
      <c r="Q107" s="190"/>
      <c r="R107" s="142"/>
      <c r="S107" s="6" t="s">
        <v>14</v>
      </c>
      <c r="T107" s="21"/>
      <c r="U107" s="204"/>
      <c r="V107" s="205"/>
      <c r="W107" s="206"/>
    </row>
    <row r="108" spans="1:23" ht="14.55" customHeight="1" x14ac:dyDescent="0.3">
      <c r="A108" s="184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42"/>
      <c r="S108" s="6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42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42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5"/>
      <c r="B111" s="165" t="s">
        <v>0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8">
        <f>SUM(N103:O110)</f>
        <v>1278</v>
      </c>
      <c r="O111" s="197"/>
      <c r="P111" s="197"/>
      <c r="Q111" s="169"/>
      <c r="R111" s="10">
        <f>SUM(R103:R110)</f>
        <v>0</v>
      </c>
      <c r="S111" s="11" t="s">
        <v>14</v>
      </c>
      <c r="T111" s="9"/>
      <c r="U111" s="204"/>
      <c r="V111" s="205"/>
      <c r="W111" s="206"/>
    </row>
    <row r="112" spans="1:23" ht="14.55" customHeight="1" x14ac:dyDescent="0.3">
      <c r="D112" s="134"/>
      <c r="E112" s="48"/>
      <c r="F112" s="48"/>
      <c r="G112" s="48"/>
      <c r="H112" s="48"/>
      <c r="I112" s="48"/>
      <c r="R112" s="134"/>
    </row>
    <row r="113" spans="4:18" ht="14.55" customHeight="1" x14ac:dyDescent="0.3">
      <c r="D113" s="134"/>
      <c r="E113" s="165" t="s">
        <v>33</v>
      </c>
      <c r="F113" s="166"/>
      <c r="G113" s="166"/>
      <c r="H113" s="166"/>
      <c r="I113" s="166"/>
      <c r="J113" s="166"/>
      <c r="K113" s="166"/>
      <c r="L113" s="166"/>
      <c r="M113" s="167"/>
      <c r="N113" s="181" t="s">
        <v>7</v>
      </c>
      <c r="O113" s="199"/>
      <c r="P113" s="199"/>
      <c r="Q113" s="182"/>
      <c r="R113" s="134"/>
    </row>
    <row r="114" spans="4:18" ht="14.55" customHeight="1" x14ac:dyDescent="0.3">
      <c r="D114" s="134"/>
      <c r="E114" s="7"/>
      <c r="F114" s="7"/>
      <c r="G114" s="7"/>
      <c r="H114" s="7"/>
      <c r="I114" s="7"/>
      <c r="J114" s="22"/>
      <c r="K114" s="23"/>
      <c r="L114" s="22"/>
      <c r="M114" s="24"/>
      <c r="N114" s="200">
        <f>N111</f>
        <v>1278</v>
      </c>
      <c r="O114" s="201"/>
      <c r="P114" s="202" t="s">
        <v>13</v>
      </c>
      <c r="Q114" s="203"/>
      <c r="R114" s="134"/>
    </row>
  </sheetData>
  <mergeCells count="301">
    <mergeCell ref="U101:W102"/>
    <mergeCell ref="N102:Q102"/>
    <mergeCell ref="B111:M111"/>
    <mergeCell ref="N111:Q111"/>
    <mergeCell ref="E113:M113"/>
    <mergeCell ref="N113:Q113"/>
    <mergeCell ref="N114:O114"/>
    <mergeCell ref="P114:Q114"/>
    <mergeCell ref="H108:M108"/>
    <mergeCell ref="N108:Q108"/>
    <mergeCell ref="H109:M109"/>
    <mergeCell ref="N109:Q109"/>
    <mergeCell ref="H110:M110"/>
    <mergeCell ref="N110:Q110"/>
    <mergeCell ref="A103:A111"/>
    <mergeCell ref="H103:M103"/>
    <mergeCell ref="N103:Q103"/>
    <mergeCell ref="U103:W111"/>
    <mergeCell ref="H104:M104"/>
    <mergeCell ref="N104:Q104"/>
    <mergeCell ref="A100:W100"/>
    <mergeCell ref="A101:A102"/>
    <mergeCell ref="B101:B102"/>
    <mergeCell ref="C101:C102"/>
    <mergeCell ref="D101:D102"/>
    <mergeCell ref="E101:E102"/>
    <mergeCell ref="F101:F102"/>
    <mergeCell ref="G101:G102"/>
    <mergeCell ref="H101:M102"/>
    <mergeCell ref="N101:Q101"/>
    <mergeCell ref="H105:M105"/>
    <mergeCell ref="N105:Q105"/>
    <mergeCell ref="H106:M106"/>
    <mergeCell ref="N106:Q106"/>
    <mergeCell ref="H107:M107"/>
    <mergeCell ref="N107:Q107"/>
    <mergeCell ref="R101:S102"/>
    <mergeCell ref="T101:T102"/>
    <mergeCell ref="E97:M97"/>
    <mergeCell ref="N97:O97"/>
    <mergeCell ref="P97:Q97"/>
    <mergeCell ref="P89:Q89"/>
    <mergeCell ref="H90:M90"/>
    <mergeCell ref="N90:O90"/>
    <mergeCell ref="P90:Q90"/>
    <mergeCell ref="H91:M91"/>
    <mergeCell ref="N91:O91"/>
    <mergeCell ref="P91:Q91"/>
    <mergeCell ref="H94:M94"/>
    <mergeCell ref="N94:O94"/>
    <mergeCell ref="P94:Q94"/>
    <mergeCell ref="H92:M92"/>
    <mergeCell ref="N92:O92"/>
    <mergeCell ref="P92:Q92"/>
    <mergeCell ref="H93:M93"/>
    <mergeCell ref="N93:O93"/>
    <mergeCell ref="P93:Q93"/>
    <mergeCell ref="A87:A95"/>
    <mergeCell ref="H87:M87"/>
    <mergeCell ref="N87:O87"/>
    <mergeCell ref="P87:Q87"/>
    <mergeCell ref="U87:W95"/>
    <mergeCell ref="H88:M88"/>
    <mergeCell ref="N88:O88"/>
    <mergeCell ref="P88:Q88"/>
    <mergeCell ref="H89:M89"/>
    <mergeCell ref="N89:O89"/>
    <mergeCell ref="B95:M95"/>
    <mergeCell ref="N95:O95"/>
    <mergeCell ref="P95:Q95"/>
    <mergeCell ref="E81:M81"/>
    <mergeCell ref="N81:Q81"/>
    <mergeCell ref="R74:S75"/>
    <mergeCell ref="T74:T75"/>
    <mergeCell ref="U74:W75"/>
    <mergeCell ref="N75:Q75"/>
    <mergeCell ref="H85:M86"/>
    <mergeCell ref="N85:Q85"/>
    <mergeCell ref="R85:S86"/>
    <mergeCell ref="T85:T86"/>
    <mergeCell ref="U85:W86"/>
    <mergeCell ref="N86:O86"/>
    <mergeCell ref="P86:Q86"/>
    <mergeCell ref="N82:O82"/>
    <mergeCell ref="P82:Q82"/>
    <mergeCell ref="A84:W84"/>
    <mergeCell ref="A85:A86"/>
    <mergeCell ref="B85:B86"/>
    <mergeCell ref="C85:C86"/>
    <mergeCell ref="D85:D86"/>
    <mergeCell ref="E85:E86"/>
    <mergeCell ref="F85:F86"/>
    <mergeCell ref="G85:G86"/>
    <mergeCell ref="A76:A79"/>
    <mergeCell ref="H76:M76"/>
    <mergeCell ref="N76:Q76"/>
    <mergeCell ref="U76:W79"/>
    <mergeCell ref="H77:M77"/>
    <mergeCell ref="N77:Q77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H78:M78"/>
    <mergeCell ref="N78:Q78"/>
    <mergeCell ref="B79:M79"/>
    <mergeCell ref="N79:Q79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opLeftCell="A64" zoomScale="85" zoomScaleNormal="85" workbookViewId="0">
      <selection activeCell="E65" sqref="E65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45962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0.58333333333333337</v>
      </c>
      <c r="D7" s="108">
        <v>230925</v>
      </c>
      <c r="E7" s="3" t="s">
        <v>475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1500</v>
      </c>
      <c r="O7" s="190"/>
      <c r="P7" s="189"/>
      <c r="Q7" s="190"/>
      <c r="R7" s="143">
        <v>20</v>
      </c>
      <c r="S7" s="6" t="s">
        <v>14</v>
      </c>
      <c r="T7" s="21" t="s">
        <v>476</v>
      </c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43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1500</v>
      </c>
      <c r="O9" s="169"/>
      <c r="P9" s="168">
        <f>SUM(P7:Q8)</f>
        <v>0</v>
      </c>
      <c r="Q9" s="169"/>
      <c r="R9" s="10">
        <f>SUM(R7:R8)</f>
        <v>20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43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43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44">
        <f>N9+N12</f>
        <v>1500</v>
      </c>
      <c r="O15" s="14" t="s">
        <v>13</v>
      </c>
      <c r="P15" s="144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0.58333333333333337</v>
      </c>
      <c r="D20" s="108">
        <v>230925</v>
      </c>
      <c r="E20" s="3" t="s">
        <v>475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1050</v>
      </c>
      <c r="O20" s="198"/>
      <c r="P20" s="198"/>
      <c r="Q20" s="190"/>
      <c r="R20" s="143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43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43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43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1050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1050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08">
        <v>230925</v>
      </c>
      <c r="E32" s="3" t="s">
        <v>39</v>
      </c>
      <c r="F32" s="19">
        <v>430</v>
      </c>
      <c r="G32" s="20">
        <v>0.8</v>
      </c>
      <c r="H32" s="186" t="s">
        <v>478</v>
      </c>
      <c r="I32" s="187"/>
      <c r="J32" s="187"/>
      <c r="K32" s="187"/>
      <c r="L32" s="187"/>
      <c r="M32" s="188"/>
      <c r="N32" s="189">
        <v>385</v>
      </c>
      <c r="O32" s="190"/>
      <c r="P32" s="189"/>
      <c r="Q32" s="190"/>
      <c r="R32" s="143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>
        <v>0.58333333333333337</v>
      </c>
      <c r="D33" s="108">
        <v>230925</v>
      </c>
      <c r="E33" s="3" t="s">
        <v>479</v>
      </c>
      <c r="F33" s="19">
        <v>430</v>
      </c>
      <c r="G33" s="20">
        <v>0.8</v>
      </c>
      <c r="H33" s="186" t="s">
        <v>480</v>
      </c>
      <c r="I33" s="187"/>
      <c r="J33" s="187"/>
      <c r="K33" s="187"/>
      <c r="L33" s="187"/>
      <c r="M33" s="188"/>
      <c r="N33" s="189">
        <v>715</v>
      </c>
      <c r="O33" s="190"/>
      <c r="P33" s="189"/>
      <c r="Q33" s="190"/>
      <c r="R33" s="143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43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1100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44">
        <f>N35</f>
        <v>1100</v>
      </c>
      <c r="O38" s="14" t="s">
        <v>13</v>
      </c>
      <c r="P38" s="144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>
        <v>0.58333333333333337</v>
      </c>
      <c r="D43" s="108">
        <v>230925</v>
      </c>
      <c r="E43" s="3" t="s">
        <v>39</v>
      </c>
      <c r="F43" s="19">
        <v>430</v>
      </c>
      <c r="G43" s="20">
        <v>0.8</v>
      </c>
      <c r="H43" s="186"/>
      <c r="I43" s="187"/>
      <c r="J43" s="187"/>
      <c r="K43" s="187"/>
      <c r="L43" s="187"/>
      <c r="M43" s="188"/>
      <c r="N43" s="189">
        <v>1000</v>
      </c>
      <c r="O43" s="198"/>
      <c r="P43" s="198"/>
      <c r="Q43" s="190"/>
      <c r="R43" s="143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43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43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1000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1000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/>
      <c r="C54" s="5"/>
      <c r="D54" s="110"/>
      <c r="E54" s="3" t="s">
        <v>165</v>
      </c>
      <c r="F54" s="19"/>
      <c r="G54" s="20"/>
      <c r="H54" s="186"/>
      <c r="I54" s="187"/>
      <c r="J54" s="187"/>
      <c r="K54" s="187"/>
      <c r="L54" s="187"/>
      <c r="M54" s="188"/>
      <c r="N54" s="189"/>
      <c r="O54" s="198"/>
      <c r="P54" s="198"/>
      <c r="Q54" s="190"/>
      <c r="R54" s="143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43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43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>
        <v>14</v>
      </c>
      <c r="D65" s="108">
        <v>230925</v>
      </c>
      <c r="E65" s="3" t="s">
        <v>477</v>
      </c>
      <c r="F65" s="19">
        <v>430</v>
      </c>
      <c r="G65" s="20">
        <v>0.6</v>
      </c>
      <c r="H65" s="186"/>
      <c r="I65" s="187"/>
      <c r="J65" s="187"/>
      <c r="K65" s="187"/>
      <c r="L65" s="187"/>
      <c r="M65" s="188"/>
      <c r="N65" s="189">
        <v>1600</v>
      </c>
      <c r="O65" s="198"/>
      <c r="P65" s="198"/>
      <c r="Q65" s="190"/>
      <c r="R65" s="143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43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43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1600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1600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/>
      <c r="C76" s="5"/>
      <c r="D76" s="110"/>
      <c r="E76" s="3"/>
      <c r="F76" s="19"/>
      <c r="G76" s="20"/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43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43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43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2000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2000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250041</v>
      </c>
      <c r="E87" s="3" t="s">
        <v>481</v>
      </c>
      <c r="F87" s="19">
        <v>304</v>
      </c>
      <c r="G87" s="20">
        <v>0.7</v>
      </c>
      <c r="H87" s="186" t="s">
        <v>122</v>
      </c>
      <c r="I87" s="187"/>
      <c r="J87" s="187"/>
      <c r="K87" s="187"/>
      <c r="L87" s="187"/>
      <c r="M87" s="188"/>
      <c r="N87" s="189">
        <v>405</v>
      </c>
      <c r="O87" s="190"/>
      <c r="P87" s="189"/>
      <c r="Q87" s="190"/>
      <c r="R87" s="143"/>
      <c r="S87" s="134" t="s">
        <v>14</v>
      </c>
      <c r="T87" s="21"/>
      <c r="U87" s="191"/>
      <c r="V87" s="192"/>
      <c r="W87" s="193"/>
    </row>
    <row r="88" spans="1:23" ht="14.55" customHeight="1" x14ac:dyDescent="0.3">
      <c r="A88" s="184"/>
      <c r="B88" s="5"/>
      <c r="C88" s="5"/>
      <c r="D88" s="108">
        <v>250041</v>
      </c>
      <c r="E88" s="3" t="s">
        <v>482</v>
      </c>
      <c r="F88" s="19">
        <v>304</v>
      </c>
      <c r="G88" s="20">
        <v>0.7</v>
      </c>
      <c r="H88" s="186" t="s">
        <v>122</v>
      </c>
      <c r="I88" s="187"/>
      <c r="J88" s="187"/>
      <c r="K88" s="187"/>
      <c r="L88" s="187"/>
      <c r="M88" s="188"/>
      <c r="N88" s="189">
        <v>430</v>
      </c>
      <c r="O88" s="190"/>
      <c r="P88" s="189"/>
      <c r="Q88" s="190"/>
      <c r="R88" s="143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>
        <v>0.58333333333333337</v>
      </c>
      <c r="D89" s="108">
        <v>250041</v>
      </c>
      <c r="E89" s="3" t="s">
        <v>483</v>
      </c>
      <c r="F89" s="19">
        <v>304</v>
      </c>
      <c r="G89" s="20">
        <v>0.7</v>
      </c>
      <c r="H89" s="186" t="s">
        <v>124</v>
      </c>
      <c r="I89" s="187"/>
      <c r="J89" s="187"/>
      <c r="K89" s="187"/>
      <c r="L89" s="187"/>
      <c r="M89" s="188"/>
      <c r="N89" s="189">
        <v>77</v>
      </c>
      <c r="O89" s="190"/>
      <c r="P89" s="189"/>
      <c r="Q89" s="190"/>
      <c r="R89" s="143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0"/>
      <c r="P90" s="189"/>
      <c r="Q90" s="190"/>
      <c r="R90" s="143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43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43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43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43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43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43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43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912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134"/>
      <c r="E99" s="48"/>
      <c r="F99" s="48"/>
      <c r="G99" s="48"/>
      <c r="H99" s="48"/>
      <c r="I99" s="48"/>
      <c r="R99" s="134"/>
    </row>
    <row r="100" spans="1:23" ht="14.55" customHeight="1" x14ac:dyDescent="0.3">
      <c r="D100" s="134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134"/>
    </row>
    <row r="101" spans="1:23" ht="14.55" customHeight="1" x14ac:dyDescent="0.3">
      <c r="D101" s="134"/>
      <c r="E101" s="7"/>
      <c r="F101" s="7"/>
      <c r="G101" s="7"/>
      <c r="H101" s="7"/>
      <c r="I101" s="7"/>
      <c r="J101" s="22"/>
      <c r="K101" s="23"/>
      <c r="L101" s="22"/>
      <c r="M101" s="24"/>
      <c r="N101" s="144">
        <f>N98</f>
        <v>912</v>
      </c>
      <c r="O101" s="14" t="s">
        <v>13</v>
      </c>
      <c r="P101" s="144">
        <f ca="1">P98</f>
        <v>0</v>
      </c>
      <c r="Q101" s="15" t="s">
        <v>13</v>
      </c>
      <c r="R101" s="134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08" t="s">
        <v>457</v>
      </c>
      <c r="E106" s="3" t="s">
        <v>484</v>
      </c>
      <c r="F106" s="19"/>
      <c r="G106" s="20"/>
      <c r="H106" s="186" t="s">
        <v>87</v>
      </c>
      <c r="I106" s="187"/>
      <c r="J106" s="187"/>
      <c r="K106" s="187"/>
      <c r="L106" s="187"/>
      <c r="M106" s="188"/>
      <c r="N106" s="189">
        <v>732</v>
      </c>
      <c r="O106" s="198"/>
      <c r="P106" s="198"/>
      <c r="Q106" s="190"/>
      <c r="R106" s="143"/>
      <c r="S106" s="134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>
        <v>0.58333333333333337</v>
      </c>
      <c r="D107" s="110">
        <v>290925</v>
      </c>
      <c r="E107" s="3" t="s">
        <v>485</v>
      </c>
      <c r="F107" s="19">
        <v>304</v>
      </c>
      <c r="G107" s="20">
        <v>0.8</v>
      </c>
      <c r="H107" s="186" t="s">
        <v>87</v>
      </c>
      <c r="I107" s="187"/>
      <c r="J107" s="187"/>
      <c r="K107" s="187"/>
      <c r="L107" s="187"/>
      <c r="M107" s="188"/>
      <c r="N107" s="189">
        <v>230</v>
      </c>
      <c r="O107" s="198"/>
      <c r="P107" s="198"/>
      <c r="Q107" s="190"/>
      <c r="R107" s="143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43"/>
      <c r="S108" s="134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43"/>
      <c r="S109" s="134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43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/>
      <c r="E111" s="3"/>
      <c r="F111" s="19"/>
      <c r="G111" s="20"/>
      <c r="H111" s="186"/>
      <c r="I111" s="187"/>
      <c r="J111" s="187"/>
      <c r="K111" s="187"/>
      <c r="L111" s="187"/>
      <c r="M111" s="188"/>
      <c r="N111" s="189"/>
      <c r="O111" s="198"/>
      <c r="P111" s="198"/>
      <c r="Q111" s="190"/>
      <c r="R111" s="143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43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4"/>
      <c r="B113" s="5"/>
      <c r="C113" s="5"/>
      <c r="D113" s="108"/>
      <c r="E113" s="3"/>
      <c r="F113" s="19"/>
      <c r="G113" s="20"/>
      <c r="H113" s="186"/>
      <c r="I113" s="187"/>
      <c r="J113" s="187"/>
      <c r="K113" s="187"/>
      <c r="L113" s="187"/>
      <c r="M113" s="188"/>
      <c r="N113" s="189"/>
      <c r="O113" s="198"/>
      <c r="P113" s="198"/>
      <c r="Q113" s="190"/>
      <c r="R113" s="143"/>
      <c r="S113" s="6" t="s">
        <v>14</v>
      </c>
      <c r="T113" s="21"/>
      <c r="U113" s="204"/>
      <c r="V113" s="205"/>
      <c r="W113" s="206"/>
    </row>
    <row r="114" spans="1:23" ht="14.55" customHeight="1" x14ac:dyDescent="0.3">
      <c r="A114" s="185"/>
      <c r="B114" s="165" t="s">
        <v>0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8">
        <f>SUM(N106:O113)</f>
        <v>962</v>
      </c>
      <c r="O114" s="197"/>
      <c r="P114" s="197"/>
      <c r="Q114" s="169"/>
      <c r="R114" s="10">
        <f>SUM(R106:R113)</f>
        <v>0</v>
      </c>
      <c r="S114" s="11" t="s">
        <v>14</v>
      </c>
      <c r="T114" s="9"/>
      <c r="U114" s="204"/>
      <c r="V114" s="205"/>
      <c r="W114" s="206"/>
    </row>
    <row r="115" spans="1:23" ht="14.55" customHeight="1" x14ac:dyDescent="0.3">
      <c r="D115" s="134"/>
      <c r="E115" s="48"/>
      <c r="F115" s="48"/>
      <c r="G115" s="48"/>
      <c r="H115" s="48"/>
      <c r="I115" s="48"/>
      <c r="R115" s="134"/>
    </row>
    <row r="116" spans="1:23" ht="14.55" customHeight="1" x14ac:dyDescent="0.3">
      <c r="D116" s="134"/>
      <c r="E116" s="165" t="s">
        <v>33</v>
      </c>
      <c r="F116" s="166"/>
      <c r="G116" s="166"/>
      <c r="H116" s="166"/>
      <c r="I116" s="166"/>
      <c r="J116" s="166"/>
      <c r="K116" s="166"/>
      <c r="L116" s="166"/>
      <c r="M116" s="167"/>
      <c r="N116" s="181" t="s">
        <v>7</v>
      </c>
      <c r="O116" s="199"/>
      <c r="P116" s="199"/>
      <c r="Q116" s="182"/>
      <c r="R116" s="134"/>
    </row>
    <row r="117" spans="1:23" ht="14.55" customHeight="1" x14ac:dyDescent="0.3">
      <c r="D117" s="134"/>
      <c r="E117" s="7"/>
      <c r="F117" s="7"/>
      <c r="G117" s="7"/>
      <c r="H117" s="7"/>
      <c r="I117" s="7"/>
      <c r="J117" s="22"/>
      <c r="K117" s="23"/>
      <c r="L117" s="22"/>
      <c r="M117" s="24"/>
      <c r="N117" s="200">
        <f>N114</f>
        <v>962</v>
      </c>
      <c r="O117" s="201"/>
      <c r="P117" s="202" t="s">
        <v>13</v>
      </c>
      <c r="Q117" s="203"/>
      <c r="R117" s="134"/>
    </row>
  </sheetData>
  <mergeCells count="310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A106:A114"/>
    <mergeCell ref="H106:M106"/>
    <mergeCell ref="N106:Q106"/>
    <mergeCell ref="U106:W114"/>
    <mergeCell ref="H107:M107"/>
    <mergeCell ref="N107:Q107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H108:M108"/>
    <mergeCell ref="N108:Q108"/>
    <mergeCell ref="H109:M109"/>
    <mergeCell ref="N109:Q109"/>
    <mergeCell ref="H110:M110"/>
    <mergeCell ref="N110:Q110"/>
    <mergeCell ref="R104:S105"/>
    <mergeCell ref="T104:T105"/>
    <mergeCell ref="U104:W105"/>
    <mergeCell ref="N105:Q105"/>
    <mergeCell ref="B114:M114"/>
    <mergeCell ref="N114:Q114"/>
    <mergeCell ref="E116:M116"/>
    <mergeCell ref="N116:Q116"/>
    <mergeCell ref="N117:O117"/>
    <mergeCell ref="P117:Q117"/>
    <mergeCell ref="H111:M111"/>
    <mergeCell ref="N111:Q111"/>
    <mergeCell ref="H112:M112"/>
    <mergeCell ref="N112:Q112"/>
    <mergeCell ref="H113:M113"/>
    <mergeCell ref="N113:Q113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opLeftCell="A79" zoomScale="85" zoomScaleNormal="85" workbookViewId="0">
      <selection activeCell="D7" sqref="D7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53.2187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45964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>
        <v>0.70833333333333337</v>
      </c>
      <c r="D7" s="108">
        <v>230925</v>
      </c>
      <c r="E7" s="3" t="s">
        <v>486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2400</v>
      </c>
      <c r="O7" s="190"/>
      <c r="P7" s="189"/>
      <c r="Q7" s="190"/>
      <c r="R7" s="145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/>
      <c r="D8" s="108"/>
      <c r="E8" s="3"/>
      <c r="F8" s="19"/>
      <c r="G8" s="20"/>
      <c r="H8" s="186"/>
      <c r="I8" s="187"/>
      <c r="J8" s="187"/>
      <c r="K8" s="187"/>
      <c r="L8" s="187"/>
      <c r="M8" s="188"/>
      <c r="N8" s="189"/>
      <c r="O8" s="190"/>
      <c r="P8" s="189"/>
      <c r="Q8" s="190"/>
      <c r="R8" s="145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2400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45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45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46">
        <f>N9+N12</f>
        <v>2400</v>
      </c>
      <c r="O15" s="14" t="s">
        <v>13</v>
      </c>
      <c r="P15" s="146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>
        <v>0.70833333333333337</v>
      </c>
      <c r="D20" s="108">
        <v>230925</v>
      </c>
      <c r="E20" s="3" t="s">
        <v>497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2100</v>
      </c>
      <c r="O20" s="198"/>
      <c r="P20" s="198"/>
      <c r="Q20" s="190"/>
      <c r="R20" s="145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/>
      <c r="E21" s="3"/>
      <c r="F21" s="19"/>
      <c r="G21" s="20"/>
      <c r="H21" s="186"/>
      <c r="I21" s="187"/>
      <c r="J21" s="187"/>
      <c r="K21" s="187"/>
      <c r="L21" s="187"/>
      <c r="M21" s="188"/>
      <c r="N21" s="189"/>
      <c r="O21" s="198"/>
      <c r="P21" s="198"/>
      <c r="Q21" s="190"/>
      <c r="R21" s="145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45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45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2100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2100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08">
        <v>230925</v>
      </c>
      <c r="E32" s="3" t="s">
        <v>477</v>
      </c>
      <c r="F32" s="19">
        <v>430</v>
      </c>
      <c r="G32" s="20">
        <v>0.8</v>
      </c>
      <c r="H32" s="186" t="s">
        <v>487</v>
      </c>
      <c r="I32" s="187"/>
      <c r="J32" s="187"/>
      <c r="K32" s="187"/>
      <c r="L32" s="187"/>
      <c r="M32" s="188"/>
      <c r="N32" s="189">
        <v>2000</v>
      </c>
      <c r="O32" s="190"/>
      <c r="P32" s="189"/>
      <c r="Q32" s="190"/>
      <c r="R32" s="145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45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45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2000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46">
        <f>N35</f>
        <v>2000</v>
      </c>
      <c r="O38" s="14" t="s">
        <v>13</v>
      </c>
      <c r="P38" s="146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>
        <v>0.70833333333333337</v>
      </c>
      <c r="D43" s="108">
        <v>230925</v>
      </c>
      <c r="E43" s="3" t="s">
        <v>39</v>
      </c>
      <c r="F43" s="19">
        <v>430</v>
      </c>
      <c r="G43" s="20">
        <v>0.8</v>
      </c>
      <c r="H43" s="186"/>
      <c r="I43" s="187"/>
      <c r="J43" s="187"/>
      <c r="K43" s="187"/>
      <c r="L43" s="187"/>
      <c r="M43" s="188"/>
      <c r="N43" s="189">
        <v>1800</v>
      </c>
      <c r="O43" s="198"/>
      <c r="P43" s="198"/>
      <c r="Q43" s="190"/>
      <c r="R43" s="145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45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45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1800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1800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>
        <v>0.70833333333333337</v>
      </c>
      <c r="D54" s="108">
        <v>230925</v>
      </c>
      <c r="E54" s="3" t="s">
        <v>39</v>
      </c>
      <c r="F54" s="19">
        <v>430</v>
      </c>
      <c r="G54" s="20">
        <v>0.8</v>
      </c>
      <c r="H54" s="186"/>
      <c r="I54" s="187"/>
      <c r="J54" s="187"/>
      <c r="K54" s="187"/>
      <c r="L54" s="187"/>
      <c r="M54" s="188"/>
      <c r="N54" s="189">
        <v>2150</v>
      </c>
      <c r="O54" s="198"/>
      <c r="P54" s="198"/>
      <c r="Q54" s="190"/>
      <c r="R54" s="145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45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45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2150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2150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>
        <v>0.70833333333333337</v>
      </c>
      <c r="D65" s="108">
        <v>230925</v>
      </c>
      <c r="E65" s="3" t="s">
        <v>498</v>
      </c>
      <c r="F65" s="19">
        <v>430</v>
      </c>
      <c r="G65" s="20">
        <v>0.5</v>
      </c>
      <c r="H65" s="186"/>
      <c r="I65" s="187"/>
      <c r="J65" s="187"/>
      <c r="K65" s="187"/>
      <c r="L65" s="187"/>
      <c r="M65" s="188"/>
      <c r="N65" s="189">
        <v>2550</v>
      </c>
      <c r="O65" s="198"/>
      <c r="P65" s="198"/>
      <c r="Q65" s="190"/>
      <c r="R65" s="145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45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45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2550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2550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>
        <v>0.33333333333333331</v>
      </c>
      <c r="C76" s="5">
        <v>0.70833333333333337</v>
      </c>
      <c r="D76" s="108">
        <v>230925</v>
      </c>
      <c r="E76" s="3" t="s">
        <v>498</v>
      </c>
      <c r="F76" s="19">
        <v>430</v>
      </c>
      <c r="G76" s="20">
        <v>0.5</v>
      </c>
      <c r="H76" s="186"/>
      <c r="I76" s="187"/>
      <c r="J76" s="187"/>
      <c r="K76" s="187"/>
      <c r="L76" s="187"/>
      <c r="M76" s="188"/>
      <c r="N76" s="189">
        <v>2000</v>
      </c>
      <c r="O76" s="198"/>
      <c r="P76" s="198"/>
      <c r="Q76" s="190"/>
      <c r="R76" s="145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45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45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2000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2000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230925</v>
      </c>
      <c r="E87" s="3" t="s">
        <v>495</v>
      </c>
      <c r="F87" s="19">
        <v>430</v>
      </c>
      <c r="G87" s="20">
        <v>0.8</v>
      </c>
      <c r="H87" s="186" t="s">
        <v>124</v>
      </c>
      <c r="I87" s="187"/>
      <c r="J87" s="187"/>
      <c r="K87" s="187"/>
      <c r="L87" s="187"/>
      <c r="M87" s="188"/>
      <c r="N87" s="189">
        <v>714</v>
      </c>
      <c r="O87" s="190"/>
      <c r="P87" s="189"/>
      <c r="Q87" s="190"/>
      <c r="R87" s="145"/>
      <c r="S87" s="134" t="s">
        <v>14</v>
      </c>
      <c r="T87" s="21"/>
      <c r="U87" s="191" t="s">
        <v>496</v>
      </c>
      <c r="V87" s="192"/>
      <c r="W87" s="193"/>
    </row>
    <row r="88" spans="1:23" ht="14.55" customHeight="1" x14ac:dyDescent="0.3">
      <c r="A88" s="184"/>
      <c r="B88" s="5"/>
      <c r="C88" s="5"/>
      <c r="D88" s="108">
        <v>250041</v>
      </c>
      <c r="E88" s="3" t="s">
        <v>488</v>
      </c>
      <c r="F88" s="19">
        <v>304</v>
      </c>
      <c r="G88" s="20">
        <v>0.7</v>
      </c>
      <c r="H88" s="186" t="s">
        <v>124</v>
      </c>
      <c r="I88" s="187"/>
      <c r="J88" s="187"/>
      <c r="K88" s="187"/>
      <c r="L88" s="187"/>
      <c r="M88" s="188"/>
      <c r="N88" s="189">
        <v>1098</v>
      </c>
      <c r="O88" s="190"/>
      <c r="P88" s="189"/>
      <c r="Q88" s="190"/>
      <c r="R88" s="145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230925</v>
      </c>
      <c r="E89" s="3" t="s">
        <v>39</v>
      </c>
      <c r="F89" s="19">
        <v>430</v>
      </c>
      <c r="G89" s="20">
        <v>0.8</v>
      </c>
      <c r="H89" s="186" t="s">
        <v>122</v>
      </c>
      <c r="I89" s="187"/>
      <c r="J89" s="187"/>
      <c r="K89" s="187"/>
      <c r="L89" s="187"/>
      <c r="M89" s="188"/>
      <c r="N89" s="189">
        <v>250</v>
      </c>
      <c r="O89" s="190"/>
      <c r="P89" s="189"/>
      <c r="Q89" s="190"/>
      <c r="R89" s="145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>
        <v>0.70833333333333337</v>
      </c>
      <c r="D90" s="108">
        <v>250041</v>
      </c>
      <c r="E90" s="3" t="s">
        <v>489</v>
      </c>
      <c r="F90" s="19">
        <v>304</v>
      </c>
      <c r="G90" s="20">
        <v>0.7</v>
      </c>
      <c r="H90" s="186" t="s">
        <v>124</v>
      </c>
      <c r="I90" s="187"/>
      <c r="J90" s="187"/>
      <c r="K90" s="187"/>
      <c r="L90" s="187"/>
      <c r="M90" s="188"/>
      <c r="N90" s="189">
        <v>500</v>
      </c>
      <c r="O90" s="190"/>
      <c r="P90" s="189"/>
      <c r="Q90" s="190"/>
      <c r="R90" s="145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45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45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45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45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45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45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/>
      <c r="D97" s="108"/>
      <c r="E97" s="3"/>
      <c r="F97" s="19"/>
      <c r="G97" s="20"/>
      <c r="H97" s="186"/>
      <c r="I97" s="187"/>
      <c r="J97" s="187"/>
      <c r="K97" s="187"/>
      <c r="L97" s="187"/>
      <c r="M97" s="188"/>
      <c r="N97" s="189"/>
      <c r="O97" s="190"/>
      <c r="P97" s="189"/>
      <c r="Q97" s="190"/>
      <c r="R97" s="145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2562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134"/>
      <c r="E99" s="48"/>
      <c r="F99" s="48"/>
      <c r="G99" s="48"/>
      <c r="H99" s="48"/>
      <c r="I99" s="48"/>
      <c r="R99" s="134"/>
    </row>
    <row r="100" spans="1:23" ht="14.55" customHeight="1" x14ac:dyDescent="0.3">
      <c r="D100" s="134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134"/>
    </row>
    <row r="101" spans="1:23" ht="14.55" customHeight="1" x14ac:dyDescent="0.3">
      <c r="D101" s="134"/>
      <c r="E101" s="7"/>
      <c r="F101" s="7"/>
      <c r="G101" s="7"/>
      <c r="H101" s="7"/>
      <c r="I101" s="7"/>
      <c r="J101" s="22"/>
      <c r="K101" s="23"/>
      <c r="L101" s="22"/>
      <c r="M101" s="24"/>
      <c r="N101" s="146">
        <f>N98</f>
        <v>2562</v>
      </c>
      <c r="O101" s="14" t="s">
        <v>13</v>
      </c>
      <c r="P101" s="146">
        <f ca="1">P98</f>
        <v>0</v>
      </c>
      <c r="Q101" s="15" t="s">
        <v>13</v>
      </c>
      <c r="R101" s="134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10">
        <v>290925</v>
      </c>
      <c r="E106" s="3" t="s">
        <v>490</v>
      </c>
      <c r="F106" s="19">
        <v>304</v>
      </c>
      <c r="G106" s="20">
        <v>0.8</v>
      </c>
      <c r="H106" s="186" t="s">
        <v>87</v>
      </c>
      <c r="I106" s="187"/>
      <c r="J106" s="187"/>
      <c r="K106" s="187"/>
      <c r="L106" s="187"/>
      <c r="M106" s="188"/>
      <c r="N106" s="189">
        <v>243</v>
      </c>
      <c r="O106" s="198"/>
      <c r="P106" s="198"/>
      <c r="Q106" s="190"/>
      <c r="R106" s="145"/>
      <c r="S106" s="134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/>
      <c r="D107" s="110">
        <v>290925</v>
      </c>
      <c r="E107" s="3" t="s">
        <v>491</v>
      </c>
      <c r="F107" s="19">
        <v>304</v>
      </c>
      <c r="G107" s="20">
        <v>0.8</v>
      </c>
      <c r="H107" s="186" t="s">
        <v>87</v>
      </c>
      <c r="I107" s="187"/>
      <c r="J107" s="187"/>
      <c r="K107" s="187"/>
      <c r="L107" s="187"/>
      <c r="M107" s="188"/>
      <c r="N107" s="189">
        <v>341</v>
      </c>
      <c r="O107" s="198"/>
      <c r="P107" s="198"/>
      <c r="Q107" s="190"/>
      <c r="R107" s="145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/>
      <c r="D108" s="108">
        <v>250048</v>
      </c>
      <c r="E108" s="3" t="s">
        <v>492</v>
      </c>
      <c r="F108" s="19">
        <v>304</v>
      </c>
      <c r="G108" s="20">
        <v>0.7</v>
      </c>
      <c r="H108" s="186" t="s">
        <v>87</v>
      </c>
      <c r="I108" s="187"/>
      <c r="J108" s="187"/>
      <c r="K108" s="187"/>
      <c r="L108" s="187"/>
      <c r="M108" s="188"/>
      <c r="N108" s="189">
        <v>190</v>
      </c>
      <c r="O108" s="198"/>
      <c r="P108" s="198"/>
      <c r="Q108" s="190"/>
      <c r="R108" s="145"/>
      <c r="S108" s="134" t="s">
        <v>14</v>
      </c>
      <c r="T108" s="21"/>
      <c r="U108" s="204"/>
      <c r="V108" s="205"/>
      <c r="W108" s="206"/>
    </row>
    <row r="109" spans="1:23" ht="14.55" customHeight="1" x14ac:dyDescent="0.3">
      <c r="A109" s="207"/>
      <c r="B109" s="5"/>
      <c r="C109" s="5"/>
      <c r="D109" s="108">
        <v>250048</v>
      </c>
      <c r="E109" s="3" t="s">
        <v>494</v>
      </c>
      <c r="F109" s="19">
        <v>304</v>
      </c>
      <c r="G109" s="20">
        <v>0.7</v>
      </c>
      <c r="H109" s="186" t="s">
        <v>87</v>
      </c>
      <c r="I109" s="187"/>
      <c r="J109" s="187"/>
      <c r="K109" s="187"/>
      <c r="L109" s="187"/>
      <c r="M109" s="188"/>
      <c r="N109" s="189">
        <v>183</v>
      </c>
      <c r="O109" s="198"/>
      <c r="P109" s="198"/>
      <c r="Q109" s="190"/>
      <c r="R109" s="145"/>
      <c r="S109" s="134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>
        <v>0.70833333333333337</v>
      </c>
      <c r="D110" s="108">
        <v>250048</v>
      </c>
      <c r="E110" s="3" t="s">
        <v>493</v>
      </c>
      <c r="F110" s="19">
        <v>304</v>
      </c>
      <c r="G110" s="20">
        <v>0.7</v>
      </c>
      <c r="H110" s="186" t="s">
        <v>87</v>
      </c>
      <c r="I110" s="187"/>
      <c r="J110" s="187"/>
      <c r="K110" s="187"/>
      <c r="L110" s="187"/>
      <c r="M110" s="188"/>
      <c r="N110" s="189">
        <v>190</v>
      </c>
      <c r="O110" s="198"/>
      <c r="P110" s="198"/>
      <c r="Q110" s="190"/>
      <c r="R110" s="145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4"/>
      <c r="B111" s="5"/>
      <c r="C111" s="5"/>
      <c r="D111" s="108"/>
      <c r="E111" s="3"/>
      <c r="F111" s="19"/>
      <c r="G111" s="20"/>
      <c r="H111" s="186"/>
      <c r="I111" s="187"/>
      <c r="J111" s="187"/>
      <c r="K111" s="187"/>
      <c r="L111" s="187"/>
      <c r="M111" s="188"/>
      <c r="N111" s="189"/>
      <c r="O111" s="198"/>
      <c r="P111" s="198"/>
      <c r="Q111" s="190"/>
      <c r="R111" s="145"/>
      <c r="S111" s="6" t="s">
        <v>14</v>
      </c>
      <c r="T111" s="21"/>
      <c r="U111" s="204"/>
      <c r="V111" s="205"/>
      <c r="W111" s="206"/>
    </row>
    <row r="112" spans="1:23" ht="14.55" customHeight="1" x14ac:dyDescent="0.3">
      <c r="A112" s="184"/>
      <c r="B112" s="5"/>
      <c r="C112" s="5"/>
      <c r="D112" s="108"/>
      <c r="E112" s="3"/>
      <c r="F112" s="19"/>
      <c r="G112" s="20"/>
      <c r="H112" s="186"/>
      <c r="I112" s="187"/>
      <c r="J112" s="187"/>
      <c r="K112" s="187"/>
      <c r="L112" s="187"/>
      <c r="M112" s="188"/>
      <c r="N112" s="189"/>
      <c r="O112" s="198"/>
      <c r="P112" s="198"/>
      <c r="Q112" s="190"/>
      <c r="R112" s="145"/>
      <c r="S112" s="6" t="s">
        <v>14</v>
      </c>
      <c r="T112" s="21"/>
      <c r="U112" s="204"/>
      <c r="V112" s="205"/>
      <c r="W112" s="206"/>
    </row>
    <row r="113" spans="1:23" ht="14.55" customHeight="1" x14ac:dyDescent="0.3">
      <c r="A113" s="184"/>
      <c r="B113" s="5"/>
      <c r="C113" s="5"/>
      <c r="D113" s="108"/>
      <c r="E113" s="3"/>
      <c r="F113" s="19"/>
      <c r="G113" s="20"/>
      <c r="H113" s="186"/>
      <c r="I113" s="187"/>
      <c r="J113" s="187"/>
      <c r="K113" s="187"/>
      <c r="L113" s="187"/>
      <c r="M113" s="188"/>
      <c r="N113" s="189"/>
      <c r="O113" s="198"/>
      <c r="P113" s="198"/>
      <c r="Q113" s="190"/>
      <c r="R113" s="145"/>
      <c r="S113" s="6" t="s">
        <v>14</v>
      </c>
      <c r="T113" s="21"/>
      <c r="U113" s="204"/>
      <c r="V113" s="205"/>
      <c r="W113" s="206"/>
    </row>
    <row r="114" spans="1:23" ht="14.55" customHeight="1" x14ac:dyDescent="0.3">
      <c r="A114" s="185"/>
      <c r="B114" s="165" t="s">
        <v>0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8">
        <f>SUM(N106:O113)</f>
        <v>1147</v>
      </c>
      <c r="O114" s="197"/>
      <c r="P114" s="197"/>
      <c r="Q114" s="169"/>
      <c r="R114" s="10">
        <f>SUM(R106:R113)</f>
        <v>0</v>
      </c>
      <c r="S114" s="11" t="s">
        <v>14</v>
      </c>
      <c r="T114" s="9"/>
      <c r="U114" s="204"/>
      <c r="V114" s="205"/>
      <c r="W114" s="206"/>
    </row>
    <row r="115" spans="1:23" ht="14.55" customHeight="1" x14ac:dyDescent="0.3">
      <c r="D115" s="134"/>
      <c r="E115" s="48"/>
      <c r="F115" s="48"/>
      <c r="G115" s="48"/>
      <c r="H115" s="48"/>
      <c r="I115" s="48"/>
      <c r="R115" s="134"/>
    </row>
    <row r="116" spans="1:23" ht="14.55" customHeight="1" x14ac:dyDescent="0.3">
      <c r="D116" s="134"/>
      <c r="E116" s="165" t="s">
        <v>33</v>
      </c>
      <c r="F116" s="166"/>
      <c r="G116" s="166"/>
      <c r="H116" s="166"/>
      <c r="I116" s="166"/>
      <c r="J116" s="166"/>
      <c r="K116" s="166"/>
      <c r="L116" s="166"/>
      <c r="M116" s="167"/>
      <c r="N116" s="181" t="s">
        <v>7</v>
      </c>
      <c r="O116" s="199"/>
      <c r="P116" s="199"/>
      <c r="Q116" s="182"/>
      <c r="R116" s="134"/>
    </row>
    <row r="117" spans="1:23" ht="14.55" customHeight="1" x14ac:dyDescent="0.3">
      <c r="D117" s="134"/>
      <c r="E117" s="7"/>
      <c r="F117" s="7"/>
      <c r="G117" s="7"/>
      <c r="H117" s="7"/>
      <c r="I117" s="7"/>
      <c r="J117" s="22"/>
      <c r="K117" s="23"/>
      <c r="L117" s="22"/>
      <c r="M117" s="24"/>
      <c r="N117" s="200">
        <f>N114</f>
        <v>1147</v>
      </c>
      <c r="O117" s="201"/>
      <c r="P117" s="202" t="s">
        <v>13</v>
      </c>
      <c r="Q117" s="203"/>
      <c r="R117" s="134"/>
    </row>
  </sheetData>
  <mergeCells count="310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H78:M78"/>
    <mergeCell ref="N78:Q78"/>
    <mergeCell ref="B79:M79"/>
    <mergeCell ref="N79:Q79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A106:A114"/>
    <mergeCell ref="H106:M106"/>
    <mergeCell ref="N106:Q106"/>
    <mergeCell ref="U106:W114"/>
    <mergeCell ref="H107:M107"/>
    <mergeCell ref="N107:Q107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H108:M108"/>
    <mergeCell ref="N108:Q108"/>
    <mergeCell ref="H109:M109"/>
    <mergeCell ref="N109:Q109"/>
    <mergeCell ref="H110:M110"/>
    <mergeCell ref="N110:Q110"/>
    <mergeCell ref="R104:S105"/>
    <mergeCell ref="T104:T105"/>
    <mergeCell ref="U104:W105"/>
    <mergeCell ref="N105:Q105"/>
    <mergeCell ref="B114:M114"/>
    <mergeCell ref="N114:Q114"/>
    <mergeCell ref="E116:M116"/>
    <mergeCell ref="N116:Q116"/>
    <mergeCell ref="N117:O117"/>
    <mergeCell ref="P117:Q117"/>
    <mergeCell ref="H111:M111"/>
    <mergeCell ref="N111:Q111"/>
    <mergeCell ref="H112:M112"/>
    <mergeCell ref="N112:Q112"/>
    <mergeCell ref="H113:M113"/>
    <mergeCell ref="N113:Q113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4"/>
  <sheetViews>
    <sheetView zoomScale="85" zoomScaleNormal="85" workbookViewId="0">
      <selection activeCell="D20" sqref="D20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45965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08">
        <v>230925</v>
      </c>
      <c r="E7" s="3" t="s">
        <v>499</v>
      </c>
      <c r="F7" s="19">
        <v>430</v>
      </c>
      <c r="G7" s="20">
        <v>0.8</v>
      </c>
      <c r="H7" s="186"/>
      <c r="I7" s="187"/>
      <c r="J7" s="187"/>
      <c r="K7" s="187"/>
      <c r="L7" s="187"/>
      <c r="M7" s="188"/>
      <c r="N7" s="189">
        <v>950</v>
      </c>
      <c r="O7" s="190"/>
      <c r="P7" s="189"/>
      <c r="Q7" s="190"/>
      <c r="R7" s="148">
        <v>40</v>
      </c>
      <c r="S7" s="6" t="s">
        <v>14</v>
      </c>
      <c r="T7" s="21" t="s">
        <v>501</v>
      </c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108">
        <v>250079</v>
      </c>
      <c r="E8" s="3" t="s">
        <v>500</v>
      </c>
      <c r="F8" s="19">
        <v>304</v>
      </c>
      <c r="G8" s="20">
        <v>0.7</v>
      </c>
      <c r="H8" s="186"/>
      <c r="I8" s="187"/>
      <c r="J8" s="187"/>
      <c r="K8" s="187"/>
      <c r="L8" s="187"/>
      <c r="M8" s="188"/>
      <c r="N8" s="189">
        <v>1065</v>
      </c>
      <c r="O8" s="190"/>
      <c r="P8" s="189"/>
      <c r="Q8" s="190"/>
      <c r="R8" s="148">
        <v>60</v>
      </c>
      <c r="S8" s="6" t="s">
        <v>14</v>
      </c>
      <c r="T8" s="21" t="s">
        <v>502</v>
      </c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2015</v>
      </c>
      <c r="O9" s="169"/>
      <c r="P9" s="168">
        <f>SUM(P7:Q8)</f>
        <v>0</v>
      </c>
      <c r="Q9" s="169"/>
      <c r="R9" s="10">
        <f>SUM(R7:R8)</f>
        <v>100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48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48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47">
        <f>N9+N12</f>
        <v>2015</v>
      </c>
      <c r="O15" s="14" t="s">
        <v>13</v>
      </c>
      <c r="P15" s="147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08">
        <v>230925</v>
      </c>
      <c r="E20" s="3" t="s">
        <v>479</v>
      </c>
      <c r="F20" s="19">
        <v>430</v>
      </c>
      <c r="G20" s="20">
        <v>0.8</v>
      </c>
      <c r="H20" s="186"/>
      <c r="I20" s="187"/>
      <c r="J20" s="187"/>
      <c r="K20" s="187"/>
      <c r="L20" s="187"/>
      <c r="M20" s="188"/>
      <c r="N20" s="189">
        <v>1950</v>
      </c>
      <c r="O20" s="198"/>
      <c r="P20" s="198"/>
      <c r="Q20" s="190"/>
      <c r="R20" s="148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>
        <v>0.70833333333333337</v>
      </c>
      <c r="D21" s="108">
        <v>250079</v>
      </c>
      <c r="E21" s="3" t="s">
        <v>511</v>
      </c>
      <c r="F21" s="19">
        <v>304</v>
      </c>
      <c r="G21" s="20">
        <v>0.7</v>
      </c>
      <c r="H21" s="186"/>
      <c r="I21" s="187"/>
      <c r="J21" s="187"/>
      <c r="K21" s="187"/>
      <c r="L21" s="187"/>
      <c r="M21" s="188"/>
      <c r="N21" s="189">
        <v>270</v>
      </c>
      <c r="O21" s="198"/>
      <c r="P21" s="198"/>
      <c r="Q21" s="190"/>
      <c r="R21" s="148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/>
      <c r="D22" s="108"/>
      <c r="E22" s="3"/>
      <c r="F22" s="19"/>
      <c r="G22" s="20"/>
      <c r="H22" s="186"/>
      <c r="I22" s="187"/>
      <c r="J22" s="187"/>
      <c r="K22" s="187"/>
      <c r="L22" s="187"/>
      <c r="M22" s="188"/>
      <c r="N22" s="189"/>
      <c r="O22" s="198"/>
      <c r="P22" s="198"/>
      <c r="Q22" s="190"/>
      <c r="R22" s="148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48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2220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2220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>
        <v>0.70833333333333337</v>
      </c>
      <c r="D32" s="108">
        <v>230925</v>
      </c>
      <c r="E32" s="3" t="s">
        <v>479</v>
      </c>
      <c r="F32" s="19">
        <v>430</v>
      </c>
      <c r="G32" s="20">
        <v>0.8</v>
      </c>
      <c r="H32" s="186"/>
      <c r="I32" s="187"/>
      <c r="J32" s="187"/>
      <c r="K32" s="187"/>
      <c r="L32" s="187"/>
      <c r="M32" s="188"/>
      <c r="N32" s="189">
        <v>1900</v>
      </c>
      <c r="O32" s="190"/>
      <c r="P32" s="189"/>
      <c r="Q32" s="190"/>
      <c r="R32" s="148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/>
      <c r="E33" s="3"/>
      <c r="F33" s="19"/>
      <c r="G33" s="20"/>
      <c r="H33" s="186"/>
      <c r="I33" s="187"/>
      <c r="J33" s="187"/>
      <c r="K33" s="187"/>
      <c r="L33" s="187"/>
      <c r="M33" s="188"/>
      <c r="N33" s="189"/>
      <c r="O33" s="190"/>
      <c r="P33" s="189"/>
      <c r="Q33" s="190"/>
      <c r="R33" s="148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/>
      <c r="D34" s="108"/>
      <c r="E34" s="3"/>
      <c r="F34" s="19"/>
      <c r="G34" s="20"/>
      <c r="H34" s="186"/>
      <c r="I34" s="187"/>
      <c r="J34" s="187"/>
      <c r="K34" s="187"/>
      <c r="L34" s="187"/>
      <c r="M34" s="188"/>
      <c r="N34" s="189"/>
      <c r="O34" s="190"/>
      <c r="P34" s="189"/>
      <c r="Q34" s="190"/>
      <c r="R34" s="148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1900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47">
        <f>N35</f>
        <v>1900</v>
      </c>
      <c r="O38" s="14" t="s">
        <v>13</v>
      </c>
      <c r="P38" s="147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/>
      <c r="D43" s="108">
        <v>230925</v>
      </c>
      <c r="E43" s="3" t="s">
        <v>39</v>
      </c>
      <c r="F43" s="19">
        <v>430</v>
      </c>
      <c r="G43" s="20">
        <v>0.8</v>
      </c>
      <c r="H43" s="186"/>
      <c r="I43" s="187"/>
      <c r="J43" s="187"/>
      <c r="K43" s="187"/>
      <c r="L43" s="187"/>
      <c r="M43" s="188"/>
      <c r="N43" s="189">
        <v>1100</v>
      </c>
      <c r="O43" s="198"/>
      <c r="P43" s="198"/>
      <c r="Q43" s="190"/>
      <c r="R43" s="148">
        <v>40</v>
      </c>
      <c r="S43" s="6" t="s">
        <v>14</v>
      </c>
      <c r="T43" s="21" t="s">
        <v>77</v>
      </c>
      <c r="U43" s="191"/>
      <c r="V43" s="192"/>
      <c r="W43" s="193"/>
    </row>
    <row r="44" spans="1:23" ht="14.55" customHeight="1" x14ac:dyDescent="0.3">
      <c r="A44" s="184"/>
      <c r="B44" s="5"/>
      <c r="C44" s="5">
        <v>0.70833333333333337</v>
      </c>
      <c r="D44" s="108">
        <v>230925</v>
      </c>
      <c r="E44" s="3" t="s">
        <v>479</v>
      </c>
      <c r="F44" s="19">
        <v>430</v>
      </c>
      <c r="G44" s="20">
        <v>0.8</v>
      </c>
      <c r="H44" s="186"/>
      <c r="I44" s="187"/>
      <c r="J44" s="187"/>
      <c r="K44" s="187"/>
      <c r="L44" s="187"/>
      <c r="M44" s="188"/>
      <c r="N44" s="189">
        <v>750</v>
      </c>
      <c r="O44" s="198"/>
      <c r="P44" s="198"/>
      <c r="Q44" s="190"/>
      <c r="R44" s="148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48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1850</v>
      </c>
      <c r="O46" s="197"/>
      <c r="P46" s="197"/>
      <c r="Q46" s="169"/>
      <c r="R46" s="10">
        <f>SUM(R43:R45)</f>
        <v>40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1850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>
        <v>0.70833333333333337</v>
      </c>
      <c r="D54" s="110">
        <v>230925</v>
      </c>
      <c r="E54" s="3" t="s">
        <v>39</v>
      </c>
      <c r="F54" s="19">
        <v>430</v>
      </c>
      <c r="G54" s="20">
        <v>0.8</v>
      </c>
      <c r="H54" s="186"/>
      <c r="I54" s="187"/>
      <c r="J54" s="187"/>
      <c r="K54" s="187"/>
      <c r="L54" s="187"/>
      <c r="M54" s="188"/>
      <c r="N54" s="189">
        <v>2050</v>
      </c>
      <c r="O54" s="198"/>
      <c r="P54" s="198"/>
      <c r="Q54" s="190"/>
      <c r="R54" s="148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/>
      <c r="D55" s="108"/>
      <c r="E55" s="3"/>
      <c r="F55" s="19"/>
      <c r="G55" s="20"/>
      <c r="H55" s="186"/>
      <c r="I55" s="187"/>
      <c r="J55" s="187"/>
      <c r="K55" s="187"/>
      <c r="L55" s="187"/>
      <c r="M55" s="188"/>
      <c r="N55" s="189"/>
      <c r="O55" s="198"/>
      <c r="P55" s="198"/>
      <c r="Q55" s="190"/>
      <c r="R55" s="148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48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2050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2050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/>
      <c r="D65" s="110">
        <v>230925</v>
      </c>
      <c r="E65" s="3" t="s">
        <v>503</v>
      </c>
      <c r="F65" s="19">
        <v>430</v>
      </c>
      <c r="G65" s="20">
        <v>0.6</v>
      </c>
      <c r="H65" s="186"/>
      <c r="I65" s="187"/>
      <c r="J65" s="187"/>
      <c r="K65" s="187"/>
      <c r="L65" s="187"/>
      <c r="M65" s="188"/>
      <c r="N65" s="189">
        <v>550</v>
      </c>
      <c r="O65" s="198"/>
      <c r="P65" s="198"/>
      <c r="Q65" s="190"/>
      <c r="R65" s="148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>
        <v>0.70833333333333337</v>
      </c>
      <c r="D66" s="110">
        <v>230925</v>
      </c>
      <c r="E66" s="3" t="s">
        <v>504</v>
      </c>
      <c r="F66" s="19">
        <v>430</v>
      </c>
      <c r="G66" s="20">
        <v>0.6</v>
      </c>
      <c r="H66" s="186"/>
      <c r="I66" s="187"/>
      <c r="J66" s="187"/>
      <c r="K66" s="187"/>
      <c r="L66" s="187"/>
      <c r="M66" s="188"/>
      <c r="N66" s="189">
        <v>2100</v>
      </c>
      <c r="O66" s="198"/>
      <c r="P66" s="198"/>
      <c r="Q66" s="190"/>
      <c r="R66" s="148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48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2650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2650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>
        <v>0.33333333333333331</v>
      </c>
      <c r="C76" s="5">
        <v>0.70833333333333337</v>
      </c>
      <c r="D76" s="110"/>
      <c r="E76" s="3" t="s">
        <v>404</v>
      </c>
      <c r="F76" s="19"/>
      <c r="G76" s="20"/>
      <c r="H76" s="186"/>
      <c r="I76" s="187"/>
      <c r="J76" s="187"/>
      <c r="K76" s="187"/>
      <c r="L76" s="187"/>
      <c r="M76" s="188"/>
      <c r="N76" s="189">
        <v>2200</v>
      </c>
      <c r="O76" s="198"/>
      <c r="P76" s="198"/>
      <c r="Q76" s="190"/>
      <c r="R76" s="148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/>
      <c r="D77" s="110"/>
      <c r="E77" s="3"/>
      <c r="F77" s="19"/>
      <c r="G77" s="20"/>
      <c r="H77" s="186"/>
      <c r="I77" s="187"/>
      <c r="J77" s="187"/>
      <c r="K77" s="187"/>
      <c r="L77" s="187"/>
      <c r="M77" s="188"/>
      <c r="N77" s="189"/>
      <c r="O77" s="198"/>
      <c r="P77" s="198"/>
      <c r="Q77" s="190"/>
      <c r="R77" s="148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48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2200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2200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230925</v>
      </c>
      <c r="E87" s="3" t="s">
        <v>495</v>
      </c>
      <c r="F87" s="19">
        <v>430</v>
      </c>
      <c r="G87" s="20">
        <v>0.8</v>
      </c>
      <c r="H87" s="186" t="s">
        <v>122</v>
      </c>
      <c r="I87" s="187"/>
      <c r="J87" s="187"/>
      <c r="K87" s="187"/>
      <c r="L87" s="187"/>
      <c r="M87" s="188"/>
      <c r="N87" s="189">
        <v>1500</v>
      </c>
      <c r="O87" s="190"/>
      <c r="P87" s="189"/>
      <c r="Q87" s="190"/>
      <c r="R87" s="148"/>
      <c r="S87" s="134" t="s">
        <v>14</v>
      </c>
      <c r="T87" s="21"/>
      <c r="U87" s="191" t="s">
        <v>512</v>
      </c>
      <c r="V87" s="192"/>
      <c r="W87" s="193"/>
    </row>
    <row r="88" spans="1:23" ht="14.55" customHeight="1" x14ac:dyDescent="0.3">
      <c r="A88" s="184"/>
      <c r="B88" s="5"/>
      <c r="C88" s="5"/>
      <c r="D88" s="108">
        <v>250041</v>
      </c>
      <c r="E88" s="3" t="s">
        <v>505</v>
      </c>
      <c r="F88" s="19">
        <v>304</v>
      </c>
      <c r="G88" s="20">
        <v>0.9</v>
      </c>
      <c r="H88" s="186" t="s">
        <v>124</v>
      </c>
      <c r="I88" s="187"/>
      <c r="J88" s="187"/>
      <c r="K88" s="187"/>
      <c r="L88" s="187"/>
      <c r="M88" s="188"/>
      <c r="N88" s="189">
        <v>553</v>
      </c>
      <c r="O88" s="190"/>
      <c r="P88" s="189"/>
      <c r="Q88" s="190"/>
      <c r="R88" s="148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>
        <v>250061</v>
      </c>
      <c r="E89" s="3" t="s">
        <v>506</v>
      </c>
      <c r="F89" s="19">
        <v>304</v>
      </c>
      <c r="G89" s="20">
        <v>0.7</v>
      </c>
      <c r="H89" s="186" t="s">
        <v>124</v>
      </c>
      <c r="I89" s="187"/>
      <c r="J89" s="187"/>
      <c r="K89" s="187"/>
      <c r="L89" s="187"/>
      <c r="M89" s="188"/>
      <c r="N89" s="189">
        <v>190</v>
      </c>
      <c r="O89" s="190"/>
      <c r="P89" s="189"/>
      <c r="Q89" s="190"/>
      <c r="R89" s="148"/>
      <c r="S89" s="6" t="s">
        <v>14</v>
      </c>
      <c r="T89" s="21"/>
      <c r="U89" s="191"/>
      <c r="V89" s="192"/>
      <c r="W89" s="193"/>
    </row>
    <row r="90" spans="1:23" ht="14.55" customHeight="1" x14ac:dyDescent="0.3">
      <c r="A90" s="184"/>
      <c r="B90" s="5"/>
      <c r="C90" s="5"/>
      <c r="D90" s="108">
        <v>250061</v>
      </c>
      <c r="E90" s="3" t="s">
        <v>506</v>
      </c>
      <c r="F90" s="19">
        <v>304</v>
      </c>
      <c r="G90" s="20">
        <v>0.7</v>
      </c>
      <c r="H90" s="186" t="s">
        <v>122</v>
      </c>
      <c r="I90" s="187"/>
      <c r="J90" s="187"/>
      <c r="K90" s="187"/>
      <c r="L90" s="187"/>
      <c r="M90" s="188"/>
      <c r="N90" s="189">
        <v>391</v>
      </c>
      <c r="O90" s="190"/>
      <c r="P90" s="189"/>
      <c r="Q90" s="190"/>
      <c r="R90" s="148"/>
      <c r="S90" s="6" t="s">
        <v>14</v>
      </c>
      <c r="T90" s="21"/>
      <c r="U90" s="191"/>
      <c r="V90" s="192"/>
      <c r="W90" s="193"/>
    </row>
    <row r="91" spans="1:23" ht="14.55" customHeight="1" x14ac:dyDescent="0.3">
      <c r="A91" s="184"/>
      <c r="B91" s="5"/>
      <c r="C91" s="5"/>
      <c r="D91" s="108">
        <v>250061</v>
      </c>
      <c r="E91" s="3" t="s">
        <v>507</v>
      </c>
      <c r="F91" s="19">
        <v>304</v>
      </c>
      <c r="G91" s="20">
        <v>0.7</v>
      </c>
      <c r="H91" s="186" t="s">
        <v>122</v>
      </c>
      <c r="I91" s="187"/>
      <c r="J91" s="187"/>
      <c r="K91" s="187"/>
      <c r="L91" s="187"/>
      <c r="M91" s="188"/>
      <c r="N91" s="189">
        <v>29</v>
      </c>
      <c r="O91" s="190"/>
      <c r="P91" s="189"/>
      <c r="Q91" s="190"/>
      <c r="R91" s="148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48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48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48"/>
      <c r="S94" s="6" t="s">
        <v>14</v>
      </c>
      <c r="T94" s="21"/>
      <c r="U94" s="191"/>
      <c r="V94" s="192"/>
      <c r="W94" s="193"/>
    </row>
    <row r="95" spans="1:23" ht="14.55" hidden="1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48"/>
      <c r="S95" s="6" t="s">
        <v>14</v>
      </c>
      <c r="T95" s="21"/>
      <c r="U95" s="191"/>
      <c r="V95" s="192"/>
      <c r="W95" s="193"/>
    </row>
    <row r="96" spans="1:23" ht="14.55" hidden="1" customHeight="1" x14ac:dyDescent="0.3">
      <c r="A96" s="184"/>
      <c r="B96" s="5"/>
      <c r="C96" s="5"/>
      <c r="D96" s="108"/>
      <c r="E96" s="3"/>
      <c r="F96" s="19"/>
      <c r="G96" s="20"/>
      <c r="H96" s="186"/>
      <c r="I96" s="187"/>
      <c r="J96" s="187"/>
      <c r="K96" s="187"/>
      <c r="L96" s="187"/>
      <c r="M96" s="188"/>
      <c r="N96" s="189"/>
      <c r="O96" s="190"/>
      <c r="P96" s="189"/>
      <c r="Q96" s="190"/>
      <c r="R96" s="148"/>
      <c r="S96" s="6" t="s">
        <v>14</v>
      </c>
      <c r="T96" s="21"/>
      <c r="U96" s="191"/>
      <c r="V96" s="192"/>
      <c r="W96" s="193"/>
    </row>
    <row r="97" spans="1:23" ht="14.55" customHeight="1" x14ac:dyDescent="0.3">
      <c r="A97" s="184"/>
      <c r="B97" s="5"/>
      <c r="C97" s="5">
        <v>0.70833333333333337</v>
      </c>
      <c r="D97" s="108">
        <v>131025</v>
      </c>
      <c r="E97" s="3" t="s">
        <v>173</v>
      </c>
      <c r="F97" s="19">
        <v>304</v>
      </c>
      <c r="G97" s="20">
        <v>0.9</v>
      </c>
      <c r="H97" s="186" t="s">
        <v>124</v>
      </c>
      <c r="I97" s="187"/>
      <c r="J97" s="187"/>
      <c r="K97" s="187"/>
      <c r="L97" s="187"/>
      <c r="M97" s="188"/>
      <c r="N97" s="189">
        <v>373</v>
      </c>
      <c r="O97" s="190"/>
      <c r="P97" s="189"/>
      <c r="Q97" s="190"/>
      <c r="R97" s="148"/>
      <c r="S97" s="6" t="s">
        <v>14</v>
      </c>
      <c r="T97" s="21"/>
      <c r="U97" s="191"/>
      <c r="V97" s="192"/>
      <c r="W97" s="193"/>
    </row>
    <row r="98" spans="1:23" ht="14.55" customHeight="1" x14ac:dyDescent="0.3">
      <c r="A98" s="185"/>
      <c r="B98" s="165" t="s">
        <v>0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8">
        <f>SUM(N87:O97)</f>
        <v>3036</v>
      </c>
      <c r="O98" s="197"/>
      <c r="P98" s="168">
        <f ca="1">SUM(P87:Q98)</f>
        <v>0</v>
      </c>
      <c r="Q98" s="197"/>
      <c r="R98" s="10">
        <f>SUM(R87:R97)</f>
        <v>0</v>
      </c>
      <c r="S98" s="11" t="s">
        <v>14</v>
      </c>
      <c r="T98" s="9"/>
      <c r="U98" s="191"/>
      <c r="V98" s="192"/>
      <c r="W98" s="193"/>
    </row>
    <row r="99" spans="1:23" ht="14.55" customHeight="1" x14ac:dyDescent="0.3">
      <c r="D99" s="134"/>
      <c r="E99" s="48"/>
      <c r="F99" s="48"/>
      <c r="G99" s="48"/>
      <c r="H99" s="48"/>
      <c r="I99" s="48"/>
      <c r="R99" s="134"/>
    </row>
    <row r="100" spans="1:23" ht="14.55" customHeight="1" x14ac:dyDescent="0.3">
      <c r="D100" s="134"/>
      <c r="E100" s="165" t="s">
        <v>65</v>
      </c>
      <c r="F100" s="166"/>
      <c r="G100" s="166"/>
      <c r="H100" s="166"/>
      <c r="I100" s="166"/>
      <c r="J100" s="166"/>
      <c r="K100" s="166"/>
      <c r="L100" s="166"/>
      <c r="M100" s="167"/>
      <c r="N100" s="181" t="s">
        <v>7</v>
      </c>
      <c r="O100" s="182"/>
      <c r="P100" s="181" t="s">
        <v>74</v>
      </c>
      <c r="Q100" s="182"/>
      <c r="R100" s="134"/>
    </row>
    <row r="101" spans="1:23" ht="14.55" customHeight="1" x14ac:dyDescent="0.3">
      <c r="D101" s="134"/>
      <c r="E101" s="7"/>
      <c r="F101" s="7"/>
      <c r="G101" s="7"/>
      <c r="H101" s="7"/>
      <c r="I101" s="7"/>
      <c r="J101" s="22"/>
      <c r="K101" s="23"/>
      <c r="L101" s="22"/>
      <c r="M101" s="24"/>
      <c r="N101" s="147">
        <f>N98</f>
        <v>3036</v>
      </c>
      <c r="O101" s="14" t="s">
        <v>13</v>
      </c>
      <c r="P101" s="147">
        <f ca="1">P98</f>
        <v>0</v>
      </c>
      <c r="Q101" s="15" t="s">
        <v>13</v>
      </c>
      <c r="R101" s="134"/>
    </row>
    <row r="102" spans="1:23" x14ac:dyDescent="0.3">
      <c r="P102" s="49"/>
      <c r="Q102" s="49"/>
      <c r="R102" s="49"/>
      <c r="S102" s="32"/>
    </row>
    <row r="103" spans="1:23" s="8" customFormat="1" ht="30" customHeight="1" x14ac:dyDescent="0.3">
      <c r="A103" s="155" t="s">
        <v>29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  <c r="T103" s="156"/>
      <c r="U103" s="156"/>
      <c r="V103" s="156"/>
      <c r="W103" s="158"/>
    </row>
    <row r="104" spans="1:23" s="12" customFormat="1" ht="14.55" customHeight="1" x14ac:dyDescent="0.3">
      <c r="A104" s="159" t="s">
        <v>1</v>
      </c>
      <c r="B104" s="160" t="s">
        <v>2</v>
      </c>
      <c r="C104" s="160" t="s">
        <v>3</v>
      </c>
      <c r="D104" s="160" t="s">
        <v>4</v>
      </c>
      <c r="E104" s="161" t="s">
        <v>5</v>
      </c>
      <c r="F104" s="163" t="s">
        <v>15</v>
      </c>
      <c r="G104" s="163" t="s">
        <v>16</v>
      </c>
      <c r="H104" s="170" t="s">
        <v>30</v>
      </c>
      <c r="I104" s="171"/>
      <c r="J104" s="171"/>
      <c r="K104" s="171"/>
      <c r="L104" s="171"/>
      <c r="M104" s="172"/>
      <c r="N104" s="176" t="s">
        <v>6</v>
      </c>
      <c r="O104" s="177"/>
      <c r="P104" s="177"/>
      <c r="Q104" s="178"/>
      <c r="R104" s="161" t="s">
        <v>8</v>
      </c>
      <c r="S104" s="179"/>
      <c r="T104" s="159" t="s">
        <v>9</v>
      </c>
      <c r="U104" s="159" t="s">
        <v>10</v>
      </c>
      <c r="V104" s="159"/>
      <c r="W104" s="159"/>
    </row>
    <row r="105" spans="1:23" s="12" customFormat="1" ht="13.05" customHeight="1" x14ac:dyDescent="0.3">
      <c r="A105" s="159"/>
      <c r="B105" s="160"/>
      <c r="C105" s="160"/>
      <c r="D105" s="160"/>
      <c r="E105" s="162"/>
      <c r="F105" s="164"/>
      <c r="G105" s="164"/>
      <c r="H105" s="173"/>
      <c r="I105" s="174"/>
      <c r="J105" s="174"/>
      <c r="K105" s="174"/>
      <c r="L105" s="174"/>
      <c r="M105" s="175"/>
      <c r="N105" s="176" t="s">
        <v>7</v>
      </c>
      <c r="O105" s="177"/>
      <c r="P105" s="177"/>
      <c r="Q105" s="178"/>
      <c r="R105" s="162"/>
      <c r="S105" s="180"/>
      <c r="T105" s="159"/>
      <c r="U105" s="159"/>
      <c r="V105" s="159"/>
      <c r="W105" s="159"/>
    </row>
    <row r="106" spans="1:23" ht="14.55" customHeight="1" x14ac:dyDescent="0.3">
      <c r="A106" s="183" t="s">
        <v>49</v>
      </c>
      <c r="B106" s="5">
        <v>0.33333333333333331</v>
      </c>
      <c r="C106" s="5"/>
      <c r="D106" s="108">
        <v>230925</v>
      </c>
      <c r="E106" s="3" t="s">
        <v>508</v>
      </c>
      <c r="F106" s="19">
        <v>430</v>
      </c>
      <c r="G106" s="20">
        <v>0.8</v>
      </c>
      <c r="H106" s="186" t="s">
        <v>87</v>
      </c>
      <c r="I106" s="187"/>
      <c r="J106" s="187"/>
      <c r="K106" s="187"/>
      <c r="L106" s="187"/>
      <c r="M106" s="188"/>
      <c r="N106" s="189">
        <v>713</v>
      </c>
      <c r="O106" s="198"/>
      <c r="P106" s="198"/>
      <c r="Q106" s="190"/>
      <c r="R106" s="148"/>
      <c r="S106" s="134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/>
      <c r="D107" s="108">
        <v>250057</v>
      </c>
      <c r="E107" s="3" t="s">
        <v>509</v>
      </c>
      <c r="F107" s="19">
        <v>304</v>
      </c>
      <c r="G107" s="20">
        <v>0.7</v>
      </c>
      <c r="H107" s="186" t="s">
        <v>87</v>
      </c>
      <c r="I107" s="187"/>
      <c r="J107" s="187"/>
      <c r="K107" s="187"/>
      <c r="L107" s="187"/>
      <c r="M107" s="188"/>
      <c r="N107" s="189">
        <v>339</v>
      </c>
      <c r="O107" s="198"/>
      <c r="P107" s="198"/>
      <c r="Q107" s="190"/>
      <c r="R107" s="148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207"/>
      <c r="B108" s="5"/>
      <c r="C108" s="5">
        <v>0.70833333333333337</v>
      </c>
      <c r="D108" s="108">
        <v>250057</v>
      </c>
      <c r="E108" s="3" t="s">
        <v>510</v>
      </c>
      <c r="F108" s="19">
        <v>304</v>
      </c>
      <c r="G108" s="20">
        <v>0.7</v>
      </c>
      <c r="H108" s="186" t="s">
        <v>87</v>
      </c>
      <c r="I108" s="187"/>
      <c r="J108" s="187"/>
      <c r="K108" s="187"/>
      <c r="L108" s="187"/>
      <c r="M108" s="188"/>
      <c r="N108" s="189">
        <v>144</v>
      </c>
      <c r="O108" s="198"/>
      <c r="P108" s="198"/>
      <c r="Q108" s="190"/>
      <c r="R108" s="148"/>
      <c r="S108" s="134" t="s">
        <v>14</v>
      </c>
      <c r="T108" s="21"/>
      <c r="U108" s="204"/>
      <c r="V108" s="205"/>
      <c r="W108" s="206"/>
    </row>
    <row r="109" spans="1:23" ht="14.55" customHeight="1" x14ac:dyDescent="0.3">
      <c r="A109" s="184"/>
      <c r="B109" s="5"/>
      <c r="C109" s="5"/>
      <c r="D109" s="108"/>
      <c r="E109" s="3"/>
      <c r="F109" s="19"/>
      <c r="G109" s="20"/>
      <c r="H109" s="186"/>
      <c r="I109" s="187"/>
      <c r="J109" s="187"/>
      <c r="K109" s="187"/>
      <c r="L109" s="187"/>
      <c r="M109" s="188"/>
      <c r="N109" s="189"/>
      <c r="O109" s="198"/>
      <c r="P109" s="198"/>
      <c r="Q109" s="190"/>
      <c r="R109" s="148"/>
      <c r="S109" s="6" t="s">
        <v>14</v>
      </c>
      <c r="T109" s="21"/>
      <c r="U109" s="204"/>
      <c r="V109" s="205"/>
      <c r="W109" s="206"/>
    </row>
    <row r="110" spans="1:23" ht="14.55" customHeight="1" x14ac:dyDescent="0.3">
      <c r="A110" s="184"/>
      <c r="B110" s="5"/>
      <c r="C110" s="5"/>
      <c r="D110" s="108"/>
      <c r="E110" s="3"/>
      <c r="F110" s="19"/>
      <c r="G110" s="20"/>
      <c r="H110" s="186"/>
      <c r="I110" s="187"/>
      <c r="J110" s="187"/>
      <c r="K110" s="187"/>
      <c r="L110" s="187"/>
      <c r="M110" s="188"/>
      <c r="N110" s="189"/>
      <c r="O110" s="198"/>
      <c r="P110" s="198"/>
      <c r="Q110" s="190"/>
      <c r="R110" s="148"/>
      <c r="S110" s="6" t="s">
        <v>14</v>
      </c>
      <c r="T110" s="21"/>
      <c r="U110" s="204"/>
      <c r="V110" s="205"/>
      <c r="W110" s="206"/>
    </row>
    <row r="111" spans="1:23" ht="14.55" customHeight="1" x14ac:dyDescent="0.3">
      <c r="A111" s="185"/>
      <c r="B111" s="165" t="s">
        <v>0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8">
        <f>SUM(N106:O110)</f>
        <v>1196</v>
      </c>
      <c r="O111" s="197"/>
      <c r="P111" s="197"/>
      <c r="Q111" s="169"/>
      <c r="R111" s="10">
        <f>SUM(R106:R110)</f>
        <v>0</v>
      </c>
      <c r="S111" s="11" t="s">
        <v>14</v>
      </c>
      <c r="T111" s="9"/>
      <c r="U111" s="204"/>
      <c r="V111" s="205"/>
      <c r="W111" s="206"/>
    </row>
    <row r="112" spans="1:23" ht="14.55" customHeight="1" x14ac:dyDescent="0.3">
      <c r="D112" s="134"/>
      <c r="E112" s="48"/>
      <c r="F112" s="48"/>
      <c r="G112" s="48"/>
      <c r="H112" s="48"/>
      <c r="I112" s="48"/>
      <c r="R112" s="134"/>
    </row>
    <row r="113" spans="4:18" ht="14.55" customHeight="1" x14ac:dyDescent="0.3">
      <c r="D113" s="134"/>
      <c r="E113" s="165" t="s">
        <v>33</v>
      </c>
      <c r="F113" s="166"/>
      <c r="G113" s="166"/>
      <c r="H113" s="166"/>
      <c r="I113" s="166"/>
      <c r="J113" s="166"/>
      <c r="K113" s="166"/>
      <c r="L113" s="166"/>
      <c r="M113" s="167"/>
      <c r="N113" s="181" t="s">
        <v>7</v>
      </c>
      <c r="O113" s="199"/>
      <c r="P113" s="199"/>
      <c r="Q113" s="182"/>
      <c r="R113" s="134"/>
    </row>
    <row r="114" spans="4:18" ht="14.55" customHeight="1" x14ac:dyDescent="0.3">
      <c r="D114" s="134"/>
      <c r="E114" s="7"/>
      <c r="F114" s="7"/>
      <c r="G114" s="7"/>
      <c r="H114" s="7"/>
      <c r="I114" s="7"/>
      <c r="J114" s="22"/>
      <c r="K114" s="23"/>
      <c r="L114" s="22"/>
      <c r="M114" s="24"/>
      <c r="N114" s="200">
        <f>N111</f>
        <v>1196</v>
      </c>
      <c r="O114" s="201"/>
      <c r="P114" s="202" t="s">
        <v>13</v>
      </c>
      <c r="Q114" s="203"/>
      <c r="R114" s="134"/>
    </row>
  </sheetData>
  <mergeCells count="304">
    <mergeCell ref="E113:M113"/>
    <mergeCell ref="N113:Q113"/>
    <mergeCell ref="N114:O114"/>
    <mergeCell ref="P114:Q114"/>
    <mergeCell ref="H109:M109"/>
    <mergeCell ref="N109:Q109"/>
    <mergeCell ref="H110:M110"/>
    <mergeCell ref="N110:Q110"/>
    <mergeCell ref="H108:M108"/>
    <mergeCell ref="N108:Q108"/>
    <mergeCell ref="R104:S105"/>
    <mergeCell ref="T104:T105"/>
    <mergeCell ref="U104:W105"/>
    <mergeCell ref="N105:Q105"/>
    <mergeCell ref="A106:A111"/>
    <mergeCell ref="H106:M106"/>
    <mergeCell ref="N106:Q106"/>
    <mergeCell ref="U106:W111"/>
    <mergeCell ref="H107:M107"/>
    <mergeCell ref="N107:Q107"/>
    <mergeCell ref="B111:M111"/>
    <mergeCell ref="N111:Q111"/>
    <mergeCell ref="A103:W103"/>
    <mergeCell ref="A104:A105"/>
    <mergeCell ref="B104:B105"/>
    <mergeCell ref="C104:C105"/>
    <mergeCell ref="D104:D105"/>
    <mergeCell ref="E104:E105"/>
    <mergeCell ref="F104:F105"/>
    <mergeCell ref="G104:G105"/>
    <mergeCell ref="H104:M105"/>
    <mergeCell ref="N104:Q104"/>
    <mergeCell ref="E100:M100"/>
    <mergeCell ref="N100:O100"/>
    <mergeCell ref="P100:Q100"/>
    <mergeCell ref="H96:M96"/>
    <mergeCell ref="N96:O96"/>
    <mergeCell ref="P96:Q96"/>
    <mergeCell ref="H97:M97"/>
    <mergeCell ref="N97:O97"/>
    <mergeCell ref="P97:Q97"/>
    <mergeCell ref="H91:M91"/>
    <mergeCell ref="N91:O91"/>
    <mergeCell ref="P91:Q91"/>
    <mergeCell ref="A87:A98"/>
    <mergeCell ref="H87:M87"/>
    <mergeCell ref="N87:O87"/>
    <mergeCell ref="P87:Q87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B98:M98"/>
    <mergeCell ref="N98:O98"/>
    <mergeCell ref="P98:Q98"/>
    <mergeCell ref="A85:A86"/>
    <mergeCell ref="B85:B86"/>
    <mergeCell ref="C85:C86"/>
    <mergeCell ref="D85:D86"/>
    <mergeCell ref="E85:E86"/>
    <mergeCell ref="F85:F86"/>
    <mergeCell ref="G85:G86"/>
    <mergeCell ref="U87:W98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P89:Q89"/>
    <mergeCell ref="H90:M90"/>
    <mergeCell ref="N90:O90"/>
    <mergeCell ref="P90:Q90"/>
    <mergeCell ref="E81:M81"/>
    <mergeCell ref="N81:Q81"/>
    <mergeCell ref="R74:S75"/>
    <mergeCell ref="T74:T75"/>
    <mergeCell ref="U74:W75"/>
    <mergeCell ref="N75:Q75"/>
    <mergeCell ref="N82:O82"/>
    <mergeCell ref="P82:Q82"/>
    <mergeCell ref="A84:W84"/>
    <mergeCell ref="A76:A79"/>
    <mergeCell ref="H76:M76"/>
    <mergeCell ref="N76:Q76"/>
    <mergeCell ref="U76:W79"/>
    <mergeCell ref="H77:M77"/>
    <mergeCell ref="N77:Q77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H78:M78"/>
    <mergeCell ref="N78:Q78"/>
    <mergeCell ref="B79:M79"/>
    <mergeCell ref="N79:Q79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E48:M48"/>
    <mergeCell ref="N48:Q48"/>
    <mergeCell ref="R41:S42"/>
    <mergeCell ref="T41:T42"/>
    <mergeCell ref="U41:W42"/>
    <mergeCell ref="N42:Q42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H45:M45"/>
    <mergeCell ref="N45:Q45"/>
    <mergeCell ref="B46:M46"/>
    <mergeCell ref="N46:Q46"/>
    <mergeCell ref="A32:A35"/>
    <mergeCell ref="H32:M32"/>
    <mergeCell ref="N32:O32"/>
    <mergeCell ref="P32:Q32"/>
    <mergeCell ref="U32:W35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E26:M26"/>
    <mergeCell ref="N26:Q26"/>
    <mergeCell ref="N27:O27"/>
    <mergeCell ref="P27:Q27"/>
    <mergeCell ref="A20:A24"/>
    <mergeCell ref="H20:M20"/>
    <mergeCell ref="N20:Q20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R30:S31"/>
    <mergeCell ref="T30:T31"/>
    <mergeCell ref="U30:W31"/>
    <mergeCell ref="N31:O31"/>
    <mergeCell ref="P31:Q31"/>
    <mergeCell ref="U20:W24"/>
    <mergeCell ref="H21:M21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T18:T19"/>
    <mergeCell ref="U18:W19"/>
    <mergeCell ref="N19:Q19"/>
    <mergeCell ref="B24:M24"/>
    <mergeCell ref="N24:Q24"/>
    <mergeCell ref="A18:A19"/>
    <mergeCell ref="B18:B19"/>
    <mergeCell ref="C18:C19"/>
    <mergeCell ref="D18:D19"/>
    <mergeCell ref="E18:E19"/>
    <mergeCell ref="F18:F19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2"/>
  <sheetViews>
    <sheetView tabSelected="1" topLeftCell="A55" zoomScale="85" zoomScaleNormal="85" workbookViewId="0">
      <selection activeCell="Z100" sqref="Z100"/>
    </sheetView>
  </sheetViews>
  <sheetFormatPr defaultColWidth="8.88671875" defaultRowHeight="14.4" x14ac:dyDescent="0.3"/>
  <cols>
    <col min="1" max="1" width="12.6640625" style="134" customWidth="1"/>
    <col min="2" max="3" width="7.6640625" style="134" customWidth="1"/>
    <col min="4" max="4" width="9.109375" style="48" bestFit="1" customWidth="1"/>
    <col min="5" max="5" width="44.6640625" style="134" bestFit="1" customWidth="1"/>
    <col min="6" max="6" width="5.6640625" style="134" customWidth="1"/>
    <col min="7" max="7" width="6.6640625" style="134" customWidth="1"/>
    <col min="8" max="9" width="3.6640625" style="134" customWidth="1"/>
    <col min="10" max="13" width="3.6640625" style="48" customWidth="1"/>
    <col min="14" max="14" width="6.6640625" style="48" customWidth="1"/>
    <col min="15" max="15" width="5.21875" style="48" customWidth="1"/>
    <col min="16" max="16" width="6.6640625" style="48" customWidth="1"/>
    <col min="17" max="17" width="5.21875" style="48" customWidth="1"/>
    <col min="18" max="18" width="5.6640625" style="48" customWidth="1"/>
    <col min="19" max="19" width="3.21875" style="134" customWidth="1"/>
    <col min="20" max="20" width="17.6640625" style="134" customWidth="1"/>
    <col min="21" max="23" width="6.6640625" style="134" customWidth="1"/>
    <col min="24" max="16384" width="8.88671875" style="134"/>
  </cols>
  <sheetData>
    <row r="1" spans="1:23" x14ac:dyDescent="0.3">
      <c r="D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23" x14ac:dyDescent="0.3">
      <c r="D2" s="134"/>
      <c r="J2" s="134"/>
      <c r="K2" s="134"/>
      <c r="L2" s="134"/>
      <c r="M2" s="134"/>
      <c r="N2" s="134"/>
      <c r="O2" s="134"/>
      <c r="P2" s="134"/>
      <c r="Q2" s="134"/>
      <c r="R2" s="134"/>
      <c r="T2" s="48"/>
      <c r="U2" s="48"/>
      <c r="V2" s="48"/>
      <c r="W2" s="48"/>
    </row>
    <row r="3" spans="1:23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51" t="s">
        <v>11</v>
      </c>
      <c r="R3" s="151"/>
      <c r="S3" s="151"/>
      <c r="T3" s="152">
        <v>45966</v>
      </c>
      <c r="U3" s="153"/>
      <c r="V3" s="153"/>
      <c r="W3" s="154"/>
    </row>
    <row r="4" spans="1:23" s="8" customFormat="1" ht="30" customHeight="1" x14ac:dyDescent="0.3">
      <c r="A4" s="155" t="s">
        <v>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57"/>
      <c r="S4" s="157"/>
      <c r="T4" s="156"/>
      <c r="U4" s="156"/>
      <c r="V4" s="156"/>
      <c r="W4" s="158"/>
    </row>
    <row r="5" spans="1:23" s="12" customFormat="1" ht="14.55" customHeight="1" x14ac:dyDescent="0.3">
      <c r="A5" s="159" t="s">
        <v>1</v>
      </c>
      <c r="B5" s="160" t="s">
        <v>2</v>
      </c>
      <c r="C5" s="160" t="s">
        <v>3</v>
      </c>
      <c r="D5" s="160" t="s">
        <v>4</v>
      </c>
      <c r="E5" s="161" t="s">
        <v>5</v>
      </c>
      <c r="F5" s="163" t="s">
        <v>15</v>
      </c>
      <c r="G5" s="163" t="s">
        <v>16</v>
      </c>
      <c r="H5" s="170" t="s">
        <v>19</v>
      </c>
      <c r="I5" s="171"/>
      <c r="J5" s="171"/>
      <c r="K5" s="171"/>
      <c r="L5" s="171"/>
      <c r="M5" s="172"/>
      <c r="N5" s="176" t="s">
        <v>6</v>
      </c>
      <c r="O5" s="177"/>
      <c r="P5" s="177"/>
      <c r="Q5" s="178"/>
      <c r="R5" s="161" t="s">
        <v>8</v>
      </c>
      <c r="S5" s="179"/>
      <c r="T5" s="159" t="s">
        <v>9</v>
      </c>
      <c r="U5" s="159" t="s">
        <v>10</v>
      </c>
      <c r="V5" s="159"/>
      <c r="W5" s="159"/>
    </row>
    <row r="6" spans="1:23" s="12" customFormat="1" ht="13.05" customHeight="1" x14ac:dyDescent="0.3">
      <c r="A6" s="159"/>
      <c r="B6" s="160"/>
      <c r="C6" s="160"/>
      <c r="D6" s="160"/>
      <c r="E6" s="162"/>
      <c r="F6" s="164"/>
      <c r="G6" s="164"/>
      <c r="H6" s="173"/>
      <c r="I6" s="174"/>
      <c r="J6" s="174"/>
      <c r="K6" s="174"/>
      <c r="L6" s="174"/>
      <c r="M6" s="175"/>
      <c r="N6" s="176" t="s">
        <v>7</v>
      </c>
      <c r="O6" s="178"/>
      <c r="P6" s="176" t="s">
        <v>12</v>
      </c>
      <c r="Q6" s="178"/>
      <c r="R6" s="162"/>
      <c r="S6" s="180"/>
      <c r="T6" s="159"/>
      <c r="U6" s="159"/>
      <c r="V6" s="159"/>
      <c r="W6" s="159"/>
    </row>
    <row r="7" spans="1:23" ht="14.55" customHeight="1" x14ac:dyDescent="0.3">
      <c r="A7" s="183" t="s">
        <v>71</v>
      </c>
      <c r="B7" s="5">
        <v>0.33333333333333331</v>
      </c>
      <c r="C7" s="5"/>
      <c r="D7" s="108">
        <v>250080</v>
      </c>
      <c r="E7" s="3" t="s">
        <v>513</v>
      </c>
      <c r="F7" s="19">
        <v>304</v>
      </c>
      <c r="G7" s="20">
        <v>0.7</v>
      </c>
      <c r="H7" s="186"/>
      <c r="I7" s="187"/>
      <c r="J7" s="187"/>
      <c r="K7" s="187"/>
      <c r="L7" s="187"/>
      <c r="M7" s="188"/>
      <c r="N7" s="189">
        <v>1350</v>
      </c>
      <c r="O7" s="190"/>
      <c r="P7" s="189"/>
      <c r="Q7" s="190"/>
      <c r="R7" s="150"/>
      <c r="S7" s="6" t="s">
        <v>14</v>
      </c>
      <c r="T7" s="21"/>
      <c r="U7" s="194"/>
      <c r="V7" s="195"/>
      <c r="W7" s="196"/>
    </row>
    <row r="8" spans="1:23" ht="14.55" customHeight="1" x14ac:dyDescent="0.3">
      <c r="A8" s="184"/>
      <c r="B8" s="5"/>
      <c r="C8" s="5">
        <v>0.70833333333333337</v>
      </c>
      <c r="D8" s="108">
        <v>250079</v>
      </c>
      <c r="E8" s="3" t="s">
        <v>515</v>
      </c>
      <c r="F8" s="19">
        <v>304</v>
      </c>
      <c r="G8" s="20">
        <v>0.7</v>
      </c>
      <c r="H8" s="186"/>
      <c r="I8" s="187"/>
      <c r="J8" s="187"/>
      <c r="K8" s="187"/>
      <c r="L8" s="187"/>
      <c r="M8" s="188"/>
      <c r="N8" s="189">
        <v>1100</v>
      </c>
      <c r="O8" s="190"/>
      <c r="P8" s="189"/>
      <c r="Q8" s="190"/>
      <c r="R8" s="150"/>
      <c r="S8" s="6" t="s">
        <v>14</v>
      </c>
      <c r="T8" s="21"/>
      <c r="U8" s="194"/>
      <c r="V8" s="195"/>
      <c r="W8" s="196"/>
    </row>
    <row r="9" spans="1:23" ht="14.55" customHeight="1" x14ac:dyDescent="0.3">
      <c r="A9" s="185"/>
      <c r="B9" s="165" t="s">
        <v>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68">
        <f>SUM(N7:O8)</f>
        <v>2450</v>
      </c>
      <c r="O9" s="169"/>
      <c r="P9" s="168">
        <f>SUM(P7:Q8)</f>
        <v>0</v>
      </c>
      <c r="Q9" s="169"/>
      <c r="R9" s="10">
        <f>SUM(R7:R8)</f>
        <v>0</v>
      </c>
      <c r="S9" s="11" t="s">
        <v>14</v>
      </c>
      <c r="T9" s="9"/>
      <c r="U9" s="194"/>
      <c r="V9" s="195"/>
      <c r="W9" s="196"/>
    </row>
    <row r="10" spans="1:23" ht="14.55" customHeight="1" x14ac:dyDescent="0.3">
      <c r="A10" s="183" t="s">
        <v>72</v>
      </c>
      <c r="B10" s="5"/>
      <c r="C10" s="5"/>
      <c r="D10" s="108"/>
      <c r="E10" s="3"/>
      <c r="F10" s="19"/>
      <c r="G10" s="20"/>
      <c r="H10" s="186"/>
      <c r="I10" s="187"/>
      <c r="J10" s="187"/>
      <c r="K10" s="187"/>
      <c r="L10" s="187"/>
      <c r="M10" s="188"/>
      <c r="N10" s="189"/>
      <c r="O10" s="190"/>
      <c r="P10" s="189"/>
      <c r="Q10" s="190"/>
      <c r="R10" s="150"/>
      <c r="S10" s="6" t="s">
        <v>14</v>
      </c>
      <c r="T10" s="21"/>
      <c r="U10" s="191"/>
      <c r="V10" s="192"/>
      <c r="W10" s="193"/>
    </row>
    <row r="11" spans="1:23" ht="14.55" customHeight="1" x14ac:dyDescent="0.3">
      <c r="A11" s="184"/>
      <c r="B11" s="5"/>
      <c r="C11" s="5"/>
      <c r="D11" s="108"/>
      <c r="E11" s="3"/>
      <c r="F11" s="19"/>
      <c r="G11" s="20"/>
      <c r="H11" s="186"/>
      <c r="I11" s="187"/>
      <c r="J11" s="187"/>
      <c r="K11" s="187"/>
      <c r="L11" s="187"/>
      <c r="M11" s="188"/>
      <c r="N11" s="189"/>
      <c r="O11" s="190"/>
      <c r="P11" s="189"/>
      <c r="Q11" s="190"/>
      <c r="R11" s="150"/>
      <c r="S11" s="6" t="s">
        <v>14</v>
      </c>
      <c r="T11" s="21"/>
      <c r="U11" s="191"/>
      <c r="V11" s="192"/>
      <c r="W11" s="193"/>
    </row>
    <row r="12" spans="1:23" ht="14.55" customHeight="1" x14ac:dyDescent="0.3">
      <c r="A12" s="185"/>
      <c r="B12" s="165" t="s">
        <v>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N12" s="168">
        <f>SUM(N10:O11)</f>
        <v>0</v>
      </c>
      <c r="O12" s="169"/>
      <c r="P12" s="168">
        <f>SUM(P10:Q11)</f>
        <v>0</v>
      </c>
      <c r="Q12" s="169"/>
      <c r="R12" s="10">
        <f>SUM(R10:R11)</f>
        <v>0</v>
      </c>
      <c r="S12" s="11" t="s">
        <v>14</v>
      </c>
      <c r="T12" s="9"/>
      <c r="U12" s="191"/>
      <c r="V12" s="192"/>
      <c r="W12" s="193"/>
    </row>
    <row r="13" spans="1:23" ht="14.55" customHeight="1" x14ac:dyDescent="0.3">
      <c r="D13" s="134"/>
      <c r="E13" s="48"/>
      <c r="F13" s="48"/>
      <c r="G13" s="48"/>
      <c r="H13" s="48"/>
      <c r="I13" s="48"/>
      <c r="R13" s="134"/>
    </row>
    <row r="14" spans="1:23" x14ac:dyDescent="0.3">
      <c r="E14" s="165" t="s">
        <v>20</v>
      </c>
      <c r="F14" s="166"/>
      <c r="G14" s="166"/>
      <c r="H14" s="166"/>
      <c r="I14" s="166"/>
      <c r="J14" s="166"/>
      <c r="K14" s="166"/>
      <c r="L14" s="166"/>
      <c r="M14" s="167"/>
      <c r="N14" s="181" t="s">
        <v>7</v>
      </c>
      <c r="O14" s="182"/>
      <c r="P14" s="181" t="s">
        <v>12</v>
      </c>
      <c r="Q14" s="182"/>
    </row>
    <row r="15" spans="1:23" s="50" customFormat="1" x14ac:dyDescent="0.3">
      <c r="E15" s="7"/>
      <c r="F15" s="7"/>
      <c r="G15" s="7"/>
      <c r="H15" s="7"/>
      <c r="I15" s="7"/>
      <c r="J15" s="22"/>
      <c r="K15" s="23"/>
      <c r="L15" s="22"/>
      <c r="M15" s="24"/>
      <c r="N15" s="149">
        <f>N9+N12</f>
        <v>2450</v>
      </c>
      <c r="O15" s="14" t="s">
        <v>13</v>
      </c>
      <c r="P15" s="149">
        <f>P9+P12</f>
        <v>0</v>
      </c>
      <c r="Q15" s="15" t="s">
        <v>13</v>
      </c>
    </row>
    <row r="16" spans="1:23" ht="15" customHeight="1" x14ac:dyDescent="0.3">
      <c r="D16" s="134"/>
      <c r="J16" s="134"/>
      <c r="K16" s="134"/>
      <c r="L16" s="134"/>
      <c r="M16" s="134"/>
      <c r="N16" s="134"/>
      <c r="O16" s="134"/>
      <c r="P16" s="32"/>
      <c r="Q16" s="32"/>
      <c r="R16" s="32"/>
      <c r="S16" s="32"/>
    </row>
    <row r="17" spans="1:23" s="8" customFormat="1" ht="30" customHeight="1" x14ac:dyDescent="0.3">
      <c r="A17" s="155" t="s">
        <v>26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157"/>
      <c r="R17" s="157"/>
      <c r="S17" s="157"/>
      <c r="T17" s="156"/>
      <c r="U17" s="156"/>
      <c r="V17" s="156"/>
      <c r="W17" s="158"/>
    </row>
    <row r="18" spans="1:23" s="12" customFormat="1" ht="14.55" customHeight="1" x14ac:dyDescent="0.3">
      <c r="A18" s="159" t="s">
        <v>1</v>
      </c>
      <c r="B18" s="160" t="s">
        <v>2</v>
      </c>
      <c r="C18" s="160" t="s">
        <v>3</v>
      </c>
      <c r="D18" s="160" t="s">
        <v>4</v>
      </c>
      <c r="E18" s="161" t="s">
        <v>5</v>
      </c>
      <c r="F18" s="163" t="s">
        <v>15</v>
      </c>
      <c r="G18" s="163" t="s">
        <v>16</v>
      </c>
      <c r="H18" s="170" t="s">
        <v>24</v>
      </c>
      <c r="I18" s="171"/>
      <c r="J18" s="171"/>
      <c r="K18" s="171"/>
      <c r="L18" s="171"/>
      <c r="M18" s="172"/>
      <c r="N18" s="176" t="s">
        <v>6</v>
      </c>
      <c r="O18" s="177"/>
      <c r="P18" s="177"/>
      <c r="Q18" s="178"/>
      <c r="R18" s="161" t="s">
        <v>8</v>
      </c>
      <c r="S18" s="179"/>
      <c r="T18" s="159" t="s">
        <v>9</v>
      </c>
      <c r="U18" s="159" t="s">
        <v>10</v>
      </c>
      <c r="V18" s="159"/>
      <c r="W18" s="159"/>
    </row>
    <row r="19" spans="1:23" s="12" customFormat="1" ht="13.05" customHeight="1" x14ac:dyDescent="0.3">
      <c r="A19" s="159"/>
      <c r="B19" s="160"/>
      <c r="C19" s="160"/>
      <c r="D19" s="160"/>
      <c r="E19" s="162"/>
      <c r="F19" s="164"/>
      <c r="G19" s="164"/>
      <c r="H19" s="173"/>
      <c r="I19" s="174"/>
      <c r="J19" s="174"/>
      <c r="K19" s="174"/>
      <c r="L19" s="174"/>
      <c r="M19" s="175"/>
      <c r="N19" s="176" t="s">
        <v>7</v>
      </c>
      <c r="O19" s="177"/>
      <c r="P19" s="177"/>
      <c r="Q19" s="178"/>
      <c r="R19" s="162"/>
      <c r="S19" s="180"/>
      <c r="T19" s="159"/>
      <c r="U19" s="159"/>
      <c r="V19" s="159"/>
      <c r="W19" s="159"/>
    </row>
    <row r="20" spans="1:23" ht="14.55" customHeight="1" x14ac:dyDescent="0.3">
      <c r="A20" s="183" t="s">
        <v>68</v>
      </c>
      <c r="B20" s="5">
        <v>0.33333333333333331</v>
      </c>
      <c r="C20" s="5"/>
      <c r="D20" s="110">
        <v>250079</v>
      </c>
      <c r="E20" s="3" t="s">
        <v>511</v>
      </c>
      <c r="F20" s="19">
        <v>304</v>
      </c>
      <c r="G20" s="20">
        <v>0.7</v>
      </c>
      <c r="H20" s="186"/>
      <c r="I20" s="187"/>
      <c r="J20" s="187"/>
      <c r="K20" s="187"/>
      <c r="L20" s="187"/>
      <c r="M20" s="188"/>
      <c r="N20" s="189">
        <v>785</v>
      </c>
      <c r="O20" s="198"/>
      <c r="P20" s="198"/>
      <c r="Q20" s="190"/>
      <c r="R20" s="150"/>
      <c r="S20" s="6" t="s">
        <v>14</v>
      </c>
      <c r="T20" s="21"/>
      <c r="U20" s="191"/>
      <c r="V20" s="192"/>
      <c r="W20" s="193"/>
    </row>
    <row r="21" spans="1:23" ht="14.55" customHeight="1" x14ac:dyDescent="0.3">
      <c r="A21" s="184"/>
      <c r="B21" s="5"/>
      <c r="C21" s="5"/>
      <c r="D21" s="110">
        <v>250079</v>
      </c>
      <c r="E21" s="3" t="s">
        <v>514</v>
      </c>
      <c r="F21" s="19">
        <v>304</v>
      </c>
      <c r="G21" s="20">
        <v>0.7</v>
      </c>
      <c r="H21" s="186"/>
      <c r="I21" s="187"/>
      <c r="J21" s="187"/>
      <c r="K21" s="187"/>
      <c r="L21" s="187"/>
      <c r="M21" s="188"/>
      <c r="N21" s="189">
        <v>1350</v>
      </c>
      <c r="O21" s="198"/>
      <c r="P21" s="198"/>
      <c r="Q21" s="190"/>
      <c r="R21" s="150"/>
      <c r="S21" s="6" t="s">
        <v>14</v>
      </c>
      <c r="T21" s="21"/>
      <c r="U21" s="191"/>
      <c r="V21" s="192"/>
      <c r="W21" s="193"/>
    </row>
    <row r="22" spans="1:23" ht="14.55" customHeight="1" x14ac:dyDescent="0.3">
      <c r="A22" s="184"/>
      <c r="B22" s="5"/>
      <c r="C22" s="5">
        <v>0.70833333333333337</v>
      </c>
      <c r="D22" s="108">
        <v>280080</v>
      </c>
      <c r="E22" s="3" t="s">
        <v>415</v>
      </c>
      <c r="F22" s="19">
        <v>304</v>
      </c>
      <c r="G22" s="20">
        <v>0.7</v>
      </c>
      <c r="H22" s="186"/>
      <c r="I22" s="187"/>
      <c r="J22" s="187"/>
      <c r="K22" s="187"/>
      <c r="L22" s="187"/>
      <c r="M22" s="188"/>
      <c r="N22" s="189">
        <v>50</v>
      </c>
      <c r="O22" s="198"/>
      <c r="P22" s="198"/>
      <c r="Q22" s="190"/>
      <c r="R22" s="150"/>
      <c r="S22" s="6" t="s">
        <v>14</v>
      </c>
      <c r="T22" s="21"/>
      <c r="U22" s="191"/>
      <c r="V22" s="192"/>
      <c r="W22" s="193"/>
    </row>
    <row r="23" spans="1:23" ht="14.55" customHeight="1" x14ac:dyDescent="0.3">
      <c r="A23" s="184"/>
      <c r="B23" s="5"/>
      <c r="C23" s="5"/>
      <c r="D23" s="108"/>
      <c r="E23" s="3"/>
      <c r="F23" s="19"/>
      <c r="G23" s="20"/>
      <c r="H23" s="186"/>
      <c r="I23" s="187"/>
      <c r="J23" s="187"/>
      <c r="K23" s="187"/>
      <c r="L23" s="187"/>
      <c r="M23" s="188"/>
      <c r="N23" s="189"/>
      <c r="O23" s="198"/>
      <c r="P23" s="198"/>
      <c r="Q23" s="190"/>
      <c r="R23" s="150"/>
      <c r="S23" s="6" t="s">
        <v>14</v>
      </c>
      <c r="T23" s="21"/>
      <c r="U23" s="191"/>
      <c r="V23" s="192"/>
      <c r="W23" s="193"/>
    </row>
    <row r="24" spans="1:23" ht="14.55" customHeight="1" x14ac:dyDescent="0.3">
      <c r="A24" s="185"/>
      <c r="B24" s="165" t="s">
        <v>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7"/>
      <c r="N24" s="168">
        <f>SUM(N20:O23)</f>
        <v>2185</v>
      </c>
      <c r="O24" s="197"/>
      <c r="P24" s="197"/>
      <c r="Q24" s="169"/>
      <c r="R24" s="10">
        <f>SUM(R20:R23)</f>
        <v>0</v>
      </c>
      <c r="S24" s="11" t="s">
        <v>14</v>
      </c>
      <c r="T24" s="9"/>
      <c r="U24" s="191"/>
      <c r="V24" s="192"/>
      <c r="W24" s="193"/>
    </row>
    <row r="25" spans="1:23" ht="14.55" customHeight="1" x14ac:dyDescent="0.3">
      <c r="D25" s="134"/>
      <c r="E25" s="48"/>
      <c r="F25" s="48"/>
      <c r="G25" s="48"/>
      <c r="H25" s="48"/>
      <c r="I25" s="48"/>
      <c r="R25" s="134"/>
    </row>
    <row r="26" spans="1:23" x14ac:dyDescent="0.3">
      <c r="E26" s="165" t="s">
        <v>23</v>
      </c>
      <c r="F26" s="166"/>
      <c r="G26" s="166"/>
      <c r="H26" s="166"/>
      <c r="I26" s="166"/>
      <c r="J26" s="166"/>
      <c r="K26" s="166"/>
      <c r="L26" s="166"/>
      <c r="M26" s="167"/>
      <c r="N26" s="181" t="s">
        <v>7</v>
      </c>
      <c r="O26" s="199"/>
      <c r="P26" s="199"/>
      <c r="Q26" s="182"/>
    </row>
    <row r="27" spans="1:23" s="50" customFormat="1" x14ac:dyDescent="0.3">
      <c r="E27" s="7"/>
      <c r="F27" s="7"/>
      <c r="G27" s="7"/>
      <c r="H27" s="7"/>
      <c r="I27" s="7"/>
      <c r="J27" s="22"/>
      <c r="K27" s="23"/>
      <c r="L27" s="22"/>
      <c r="M27" s="24"/>
      <c r="N27" s="200">
        <f>N24</f>
        <v>2185</v>
      </c>
      <c r="O27" s="201"/>
      <c r="P27" s="202" t="s">
        <v>13</v>
      </c>
      <c r="Q27" s="203"/>
    </row>
    <row r="28" spans="1:23" ht="15" customHeight="1" x14ac:dyDescent="0.3">
      <c r="D28" s="134"/>
      <c r="J28" s="134"/>
      <c r="K28" s="134"/>
      <c r="L28" s="134"/>
      <c r="M28" s="134"/>
      <c r="N28" s="134"/>
      <c r="O28" s="134"/>
      <c r="P28" s="32"/>
      <c r="Q28" s="32"/>
      <c r="R28" s="32"/>
      <c r="S28" s="32"/>
    </row>
    <row r="29" spans="1:23" s="8" customFormat="1" ht="30" customHeight="1" x14ac:dyDescent="0.3">
      <c r="A29" s="155" t="s">
        <v>25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7"/>
      <c r="Q29" s="157"/>
      <c r="R29" s="157"/>
      <c r="S29" s="157"/>
      <c r="T29" s="156"/>
      <c r="U29" s="156"/>
      <c r="V29" s="156"/>
      <c r="W29" s="158"/>
    </row>
    <row r="30" spans="1:23" s="12" customFormat="1" ht="14.55" customHeight="1" x14ac:dyDescent="0.3">
      <c r="A30" s="159" t="s">
        <v>1</v>
      </c>
      <c r="B30" s="160" t="s">
        <v>2</v>
      </c>
      <c r="C30" s="160" t="s">
        <v>3</v>
      </c>
      <c r="D30" s="160" t="s">
        <v>4</v>
      </c>
      <c r="E30" s="161" t="s">
        <v>5</v>
      </c>
      <c r="F30" s="163" t="s">
        <v>15</v>
      </c>
      <c r="G30" s="163" t="s">
        <v>16</v>
      </c>
      <c r="H30" s="170" t="s">
        <v>21</v>
      </c>
      <c r="I30" s="171"/>
      <c r="J30" s="171"/>
      <c r="K30" s="171"/>
      <c r="L30" s="171"/>
      <c r="M30" s="172"/>
      <c r="N30" s="176" t="s">
        <v>6</v>
      </c>
      <c r="O30" s="177"/>
      <c r="P30" s="177"/>
      <c r="Q30" s="178"/>
      <c r="R30" s="161" t="s">
        <v>8</v>
      </c>
      <c r="S30" s="179"/>
      <c r="T30" s="159" t="s">
        <v>9</v>
      </c>
      <c r="U30" s="159" t="s">
        <v>10</v>
      </c>
      <c r="V30" s="159"/>
      <c r="W30" s="159"/>
    </row>
    <row r="31" spans="1:23" s="12" customFormat="1" ht="13.05" customHeight="1" x14ac:dyDescent="0.3">
      <c r="A31" s="159"/>
      <c r="B31" s="160"/>
      <c r="C31" s="160"/>
      <c r="D31" s="160"/>
      <c r="E31" s="162"/>
      <c r="F31" s="164"/>
      <c r="G31" s="164"/>
      <c r="H31" s="173"/>
      <c r="I31" s="174"/>
      <c r="J31" s="174"/>
      <c r="K31" s="174"/>
      <c r="L31" s="174"/>
      <c r="M31" s="175"/>
      <c r="N31" s="176" t="s">
        <v>7</v>
      </c>
      <c r="O31" s="178"/>
      <c r="P31" s="176" t="s">
        <v>12</v>
      </c>
      <c r="Q31" s="178"/>
      <c r="R31" s="162"/>
      <c r="S31" s="180"/>
      <c r="T31" s="159"/>
      <c r="U31" s="159"/>
      <c r="V31" s="159"/>
      <c r="W31" s="159"/>
    </row>
    <row r="32" spans="1:23" ht="14.55" customHeight="1" x14ac:dyDescent="0.3">
      <c r="A32" s="183" t="s">
        <v>70</v>
      </c>
      <c r="B32" s="5">
        <v>0.33333333333333331</v>
      </c>
      <c r="C32" s="5"/>
      <c r="D32" s="108">
        <v>230925</v>
      </c>
      <c r="E32" s="3" t="s">
        <v>479</v>
      </c>
      <c r="F32" s="19">
        <v>430</v>
      </c>
      <c r="G32" s="20">
        <v>0.8</v>
      </c>
      <c r="H32" s="186" t="s">
        <v>516</v>
      </c>
      <c r="I32" s="187"/>
      <c r="J32" s="187"/>
      <c r="K32" s="187"/>
      <c r="L32" s="187"/>
      <c r="M32" s="188"/>
      <c r="N32" s="189">
        <v>535</v>
      </c>
      <c r="O32" s="190"/>
      <c r="P32" s="189"/>
      <c r="Q32" s="190"/>
      <c r="R32" s="150"/>
      <c r="S32" s="6" t="s">
        <v>14</v>
      </c>
      <c r="T32" s="21"/>
      <c r="U32" s="191"/>
      <c r="V32" s="192"/>
      <c r="W32" s="193"/>
    </row>
    <row r="33" spans="1:23" ht="14.55" customHeight="1" x14ac:dyDescent="0.3">
      <c r="A33" s="184"/>
      <c r="B33" s="5"/>
      <c r="C33" s="5"/>
      <c r="D33" s="108">
        <v>250079</v>
      </c>
      <c r="E33" s="3" t="s">
        <v>517</v>
      </c>
      <c r="F33" s="19">
        <v>304</v>
      </c>
      <c r="G33" s="20">
        <v>0.7</v>
      </c>
      <c r="H33" s="186"/>
      <c r="I33" s="187"/>
      <c r="J33" s="187"/>
      <c r="K33" s="187"/>
      <c r="L33" s="187"/>
      <c r="M33" s="188"/>
      <c r="N33" s="189">
        <v>1040</v>
      </c>
      <c r="O33" s="190"/>
      <c r="P33" s="189"/>
      <c r="Q33" s="190"/>
      <c r="R33" s="150"/>
      <c r="S33" s="6" t="s">
        <v>14</v>
      </c>
      <c r="T33" s="21"/>
      <c r="U33" s="191"/>
      <c r="V33" s="192"/>
      <c r="W33" s="193"/>
    </row>
    <row r="34" spans="1:23" ht="14.55" customHeight="1" x14ac:dyDescent="0.3">
      <c r="A34" s="184"/>
      <c r="B34" s="5"/>
      <c r="C34" s="5">
        <v>0.70833333333333337</v>
      </c>
      <c r="D34" s="108">
        <v>250079</v>
      </c>
      <c r="E34" s="3" t="s">
        <v>514</v>
      </c>
      <c r="F34" s="19">
        <v>304</v>
      </c>
      <c r="G34" s="20">
        <v>0.7</v>
      </c>
      <c r="H34" s="186"/>
      <c r="I34" s="187"/>
      <c r="J34" s="187"/>
      <c r="K34" s="187"/>
      <c r="L34" s="187"/>
      <c r="M34" s="188"/>
      <c r="N34" s="189">
        <v>425</v>
      </c>
      <c r="O34" s="190"/>
      <c r="P34" s="189"/>
      <c r="Q34" s="190"/>
      <c r="R34" s="150"/>
      <c r="S34" s="6" t="s">
        <v>14</v>
      </c>
      <c r="T34" s="21"/>
      <c r="U34" s="191"/>
      <c r="V34" s="192"/>
      <c r="W34" s="193"/>
    </row>
    <row r="35" spans="1:23" ht="14.55" customHeight="1" x14ac:dyDescent="0.3">
      <c r="A35" s="185"/>
      <c r="B35" s="165" t="s">
        <v>0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8">
        <f>SUM(N32:O34)</f>
        <v>2000</v>
      </c>
      <c r="O35" s="169"/>
      <c r="P35" s="168">
        <f>SUM(P32:Q34)</f>
        <v>0</v>
      </c>
      <c r="Q35" s="169"/>
      <c r="R35" s="10">
        <f>SUM(R32:R34)</f>
        <v>0</v>
      </c>
      <c r="S35" s="11" t="s">
        <v>14</v>
      </c>
      <c r="T35" s="9"/>
      <c r="U35" s="191"/>
      <c r="V35" s="192"/>
      <c r="W35" s="193"/>
    </row>
    <row r="36" spans="1:23" ht="14.55" customHeight="1" x14ac:dyDescent="0.3">
      <c r="D36" s="134"/>
      <c r="E36" s="48"/>
      <c r="F36" s="48"/>
      <c r="G36" s="48"/>
      <c r="H36" s="48"/>
      <c r="I36" s="48"/>
      <c r="R36" s="134"/>
    </row>
    <row r="37" spans="1:23" x14ac:dyDescent="0.3">
      <c r="E37" s="165" t="s">
        <v>22</v>
      </c>
      <c r="F37" s="166"/>
      <c r="G37" s="166"/>
      <c r="H37" s="166"/>
      <c r="I37" s="166"/>
      <c r="J37" s="166"/>
      <c r="K37" s="166"/>
      <c r="L37" s="166"/>
      <c r="M37" s="167"/>
      <c r="N37" s="181" t="s">
        <v>7</v>
      </c>
      <c r="O37" s="182"/>
      <c r="P37" s="181" t="s">
        <v>12</v>
      </c>
      <c r="Q37" s="182"/>
    </row>
    <row r="38" spans="1:23" s="50" customFormat="1" x14ac:dyDescent="0.3">
      <c r="E38" s="7"/>
      <c r="F38" s="7"/>
      <c r="G38" s="7"/>
      <c r="H38" s="7"/>
      <c r="I38" s="7"/>
      <c r="J38" s="22"/>
      <c r="K38" s="23"/>
      <c r="L38" s="22"/>
      <c r="M38" s="24"/>
      <c r="N38" s="149">
        <f>N35</f>
        <v>2000</v>
      </c>
      <c r="O38" s="14" t="s">
        <v>13</v>
      </c>
      <c r="P38" s="149">
        <f>P35</f>
        <v>0</v>
      </c>
      <c r="Q38" s="15" t="s">
        <v>13</v>
      </c>
    </row>
    <row r="39" spans="1:23" ht="15" customHeight="1" x14ac:dyDescent="0.3">
      <c r="D39" s="134"/>
      <c r="J39" s="134"/>
      <c r="K39" s="134"/>
      <c r="L39" s="134"/>
      <c r="M39" s="134"/>
      <c r="N39" s="134"/>
      <c r="O39" s="134"/>
      <c r="P39" s="32"/>
      <c r="Q39" s="32"/>
      <c r="R39" s="32"/>
      <c r="S39" s="32"/>
    </row>
    <row r="40" spans="1:23" s="8" customFormat="1" ht="30" customHeight="1" x14ac:dyDescent="0.3">
      <c r="A40" s="155" t="s">
        <v>27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57"/>
      <c r="R40" s="157"/>
      <c r="S40" s="157"/>
      <c r="T40" s="156"/>
      <c r="U40" s="156"/>
      <c r="V40" s="156"/>
      <c r="W40" s="158"/>
    </row>
    <row r="41" spans="1:23" s="12" customFormat="1" ht="14.55" customHeight="1" x14ac:dyDescent="0.3">
      <c r="A41" s="159" t="s">
        <v>1</v>
      </c>
      <c r="B41" s="160" t="s">
        <v>2</v>
      </c>
      <c r="C41" s="160" t="s">
        <v>3</v>
      </c>
      <c r="D41" s="160" t="s">
        <v>4</v>
      </c>
      <c r="E41" s="161" t="s">
        <v>5</v>
      </c>
      <c r="F41" s="163" t="s">
        <v>15</v>
      </c>
      <c r="G41" s="163" t="s">
        <v>16</v>
      </c>
      <c r="H41" s="170" t="s">
        <v>24</v>
      </c>
      <c r="I41" s="171"/>
      <c r="J41" s="171"/>
      <c r="K41" s="171"/>
      <c r="L41" s="171"/>
      <c r="M41" s="172"/>
      <c r="N41" s="176" t="s">
        <v>6</v>
      </c>
      <c r="O41" s="177"/>
      <c r="P41" s="177"/>
      <c r="Q41" s="178"/>
      <c r="R41" s="161" t="s">
        <v>8</v>
      </c>
      <c r="S41" s="179"/>
      <c r="T41" s="159" t="s">
        <v>9</v>
      </c>
      <c r="U41" s="159" t="s">
        <v>10</v>
      </c>
      <c r="V41" s="159"/>
      <c r="W41" s="159"/>
    </row>
    <row r="42" spans="1:23" s="12" customFormat="1" ht="13.05" customHeight="1" x14ac:dyDescent="0.3">
      <c r="A42" s="159"/>
      <c r="B42" s="160"/>
      <c r="C42" s="160"/>
      <c r="D42" s="160"/>
      <c r="E42" s="162"/>
      <c r="F42" s="164"/>
      <c r="G42" s="164"/>
      <c r="H42" s="173"/>
      <c r="I42" s="174"/>
      <c r="J42" s="174"/>
      <c r="K42" s="174"/>
      <c r="L42" s="174"/>
      <c r="M42" s="175"/>
      <c r="N42" s="176" t="s">
        <v>7</v>
      </c>
      <c r="O42" s="177"/>
      <c r="P42" s="177"/>
      <c r="Q42" s="178"/>
      <c r="R42" s="162"/>
      <c r="S42" s="180"/>
      <c r="T42" s="159"/>
      <c r="U42" s="159"/>
      <c r="V42" s="159"/>
      <c r="W42" s="159"/>
    </row>
    <row r="43" spans="1:23" ht="14.55" customHeight="1" x14ac:dyDescent="0.3">
      <c r="A43" s="183" t="s">
        <v>69</v>
      </c>
      <c r="B43" s="5">
        <v>0.33333333333333331</v>
      </c>
      <c r="C43" s="5">
        <v>0.70833333333333337</v>
      </c>
      <c r="D43" s="108">
        <v>230925</v>
      </c>
      <c r="E43" s="3" t="s">
        <v>479</v>
      </c>
      <c r="F43" s="19">
        <v>430</v>
      </c>
      <c r="G43" s="20">
        <v>0.8</v>
      </c>
      <c r="H43" s="186"/>
      <c r="I43" s="187"/>
      <c r="J43" s="187"/>
      <c r="K43" s="187"/>
      <c r="L43" s="187"/>
      <c r="M43" s="188"/>
      <c r="N43" s="189">
        <v>2900</v>
      </c>
      <c r="O43" s="198"/>
      <c r="P43" s="198"/>
      <c r="Q43" s="190"/>
      <c r="R43" s="150"/>
      <c r="S43" s="6" t="s">
        <v>14</v>
      </c>
      <c r="T43" s="21"/>
      <c r="U43" s="191"/>
      <c r="V43" s="192"/>
      <c r="W43" s="193"/>
    </row>
    <row r="44" spans="1:23" ht="14.55" customHeight="1" x14ac:dyDescent="0.3">
      <c r="A44" s="184"/>
      <c r="B44" s="5"/>
      <c r="C44" s="5"/>
      <c r="D44" s="110"/>
      <c r="E44" s="3"/>
      <c r="F44" s="19"/>
      <c r="G44" s="20"/>
      <c r="H44" s="186"/>
      <c r="I44" s="187"/>
      <c r="J44" s="187"/>
      <c r="K44" s="187"/>
      <c r="L44" s="187"/>
      <c r="M44" s="188"/>
      <c r="N44" s="189"/>
      <c r="O44" s="198"/>
      <c r="P44" s="198"/>
      <c r="Q44" s="190"/>
      <c r="R44" s="150"/>
      <c r="S44" s="6" t="s">
        <v>14</v>
      </c>
      <c r="T44" s="21"/>
      <c r="U44" s="191"/>
      <c r="V44" s="192"/>
      <c r="W44" s="193"/>
    </row>
    <row r="45" spans="1:23" ht="14.55" customHeight="1" x14ac:dyDescent="0.3">
      <c r="A45" s="184"/>
      <c r="B45" s="5"/>
      <c r="C45" s="5"/>
      <c r="D45" s="108"/>
      <c r="E45" s="3"/>
      <c r="F45" s="19"/>
      <c r="G45" s="20"/>
      <c r="H45" s="186"/>
      <c r="I45" s="187"/>
      <c r="J45" s="187"/>
      <c r="K45" s="187"/>
      <c r="L45" s="187"/>
      <c r="M45" s="188"/>
      <c r="N45" s="189"/>
      <c r="O45" s="198"/>
      <c r="P45" s="198"/>
      <c r="Q45" s="190"/>
      <c r="R45" s="150"/>
      <c r="S45" s="6" t="s">
        <v>14</v>
      </c>
      <c r="T45" s="21"/>
      <c r="U45" s="191"/>
      <c r="V45" s="192"/>
      <c r="W45" s="193"/>
    </row>
    <row r="46" spans="1:23" ht="14.55" customHeight="1" x14ac:dyDescent="0.3">
      <c r="A46" s="185"/>
      <c r="B46" s="165" t="s">
        <v>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8">
        <f>SUM(N43:O45)</f>
        <v>2900</v>
      </c>
      <c r="O46" s="197"/>
      <c r="P46" s="197"/>
      <c r="Q46" s="169"/>
      <c r="R46" s="10">
        <f>SUM(R43:R45)</f>
        <v>0</v>
      </c>
      <c r="S46" s="11" t="s">
        <v>14</v>
      </c>
      <c r="T46" s="9"/>
      <c r="U46" s="191"/>
      <c r="V46" s="192"/>
      <c r="W46" s="193"/>
    </row>
    <row r="47" spans="1:23" ht="14.55" customHeight="1" x14ac:dyDescent="0.3">
      <c r="D47" s="134"/>
      <c r="E47" s="48"/>
      <c r="F47" s="48"/>
      <c r="G47" s="48"/>
      <c r="H47" s="48"/>
      <c r="I47" s="48"/>
      <c r="R47" s="134"/>
    </row>
    <row r="48" spans="1:23" x14ac:dyDescent="0.3">
      <c r="E48" s="165" t="s">
        <v>31</v>
      </c>
      <c r="F48" s="166"/>
      <c r="G48" s="166"/>
      <c r="H48" s="166"/>
      <c r="I48" s="166"/>
      <c r="J48" s="166"/>
      <c r="K48" s="166"/>
      <c r="L48" s="166"/>
      <c r="M48" s="167"/>
      <c r="N48" s="181" t="s">
        <v>7</v>
      </c>
      <c r="O48" s="199"/>
      <c r="P48" s="199"/>
      <c r="Q48" s="182"/>
    </row>
    <row r="49" spans="1:23" s="50" customFormat="1" x14ac:dyDescent="0.3">
      <c r="E49" s="7"/>
      <c r="F49" s="7"/>
      <c r="G49" s="7"/>
      <c r="H49" s="7"/>
      <c r="I49" s="7"/>
      <c r="J49" s="22"/>
      <c r="K49" s="23"/>
      <c r="L49" s="22"/>
      <c r="M49" s="24"/>
      <c r="N49" s="200">
        <f>N46</f>
        <v>2900</v>
      </c>
      <c r="O49" s="201"/>
      <c r="P49" s="202" t="s">
        <v>13</v>
      </c>
      <c r="Q49" s="203"/>
    </row>
    <row r="50" spans="1:23" s="26" customFormat="1" ht="15" customHeight="1" x14ac:dyDescent="0.3">
      <c r="D50" s="27"/>
      <c r="E50" s="28"/>
      <c r="F50" s="28"/>
      <c r="G50" s="28"/>
      <c r="H50" s="28"/>
      <c r="I50" s="28"/>
      <c r="J50" s="25"/>
      <c r="K50" s="25"/>
      <c r="L50" s="25"/>
      <c r="M50" s="25"/>
      <c r="N50" s="30"/>
      <c r="O50" s="30"/>
      <c r="P50" s="29"/>
      <c r="Q50" s="29"/>
      <c r="R50" s="33"/>
      <c r="S50" s="34"/>
    </row>
    <row r="51" spans="1:23" s="8" customFormat="1" ht="30" customHeight="1" x14ac:dyDescent="0.3">
      <c r="A51" s="155" t="s">
        <v>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7"/>
      <c r="Q51" s="157"/>
      <c r="R51" s="157"/>
      <c r="S51" s="157"/>
      <c r="T51" s="156"/>
      <c r="U51" s="156"/>
      <c r="V51" s="156"/>
      <c r="W51" s="158"/>
    </row>
    <row r="52" spans="1:23" s="12" customFormat="1" ht="14.55" customHeight="1" x14ac:dyDescent="0.3">
      <c r="A52" s="159" t="s">
        <v>1</v>
      </c>
      <c r="B52" s="160" t="s">
        <v>2</v>
      </c>
      <c r="C52" s="160" t="s">
        <v>3</v>
      </c>
      <c r="D52" s="160" t="s">
        <v>4</v>
      </c>
      <c r="E52" s="161" t="s">
        <v>5</v>
      </c>
      <c r="F52" s="163" t="s">
        <v>15</v>
      </c>
      <c r="G52" s="163" t="s">
        <v>16</v>
      </c>
      <c r="H52" s="170" t="s">
        <v>24</v>
      </c>
      <c r="I52" s="171"/>
      <c r="J52" s="171"/>
      <c r="K52" s="171"/>
      <c r="L52" s="171"/>
      <c r="M52" s="172"/>
      <c r="N52" s="176" t="s">
        <v>6</v>
      </c>
      <c r="O52" s="177"/>
      <c r="P52" s="177"/>
      <c r="Q52" s="178"/>
      <c r="R52" s="161" t="s">
        <v>8</v>
      </c>
      <c r="S52" s="179"/>
      <c r="T52" s="159" t="s">
        <v>9</v>
      </c>
      <c r="U52" s="159" t="s">
        <v>10</v>
      </c>
      <c r="V52" s="159"/>
      <c r="W52" s="159"/>
    </row>
    <row r="53" spans="1:23" s="12" customFormat="1" ht="13.05" customHeight="1" x14ac:dyDescent="0.3">
      <c r="A53" s="159"/>
      <c r="B53" s="160"/>
      <c r="C53" s="160"/>
      <c r="D53" s="160"/>
      <c r="E53" s="162"/>
      <c r="F53" s="164"/>
      <c r="G53" s="164"/>
      <c r="H53" s="173"/>
      <c r="I53" s="174"/>
      <c r="J53" s="174"/>
      <c r="K53" s="174"/>
      <c r="L53" s="174"/>
      <c r="M53" s="175"/>
      <c r="N53" s="176" t="s">
        <v>7</v>
      </c>
      <c r="O53" s="177"/>
      <c r="P53" s="177"/>
      <c r="Q53" s="178"/>
      <c r="R53" s="162"/>
      <c r="S53" s="180"/>
      <c r="T53" s="159"/>
      <c r="U53" s="159"/>
      <c r="V53" s="159"/>
      <c r="W53" s="159"/>
    </row>
    <row r="54" spans="1:23" ht="14.55" customHeight="1" x14ac:dyDescent="0.3">
      <c r="A54" s="183" t="s">
        <v>68</v>
      </c>
      <c r="B54" s="5">
        <v>0.33333333333333331</v>
      </c>
      <c r="C54" s="5"/>
      <c r="D54" s="108">
        <v>230925</v>
      </c>
      <c r="E54" s="3" t="s">
        <v>39</v>
      </c>
      <c r="F54" s="19">
        <v>430</v>
      </c>
      <c r="G54" s="20">
        <v>0.8</v>
      </c>
      <c r="H54" s="186"/>
      <c r="I54" s="187"/>
      <c r="J54" s="187"/>
      <c r="K54" s="187"/>
      <c r="L54" s="187"/>
      <c r="M54" s="188"/>
      <c r="N54" s="189">
        <v>215</v>
      </c>
      <c r="O54" s="198"/>
      <c r="P54" s="198"/>
      <c r="Q54" s="190"/>
      <c r="R54" s="150"/>
      <c r="S54" s="6" t="s">
        <v>14</v>
      </c>
      <c r="T54" s="21"/>
      <c r="U54" s="204"/>
      <c r="V54" s="205"/>
      <c r="W54" s="206"/>
    </row>
    <row r="55" spans="1:23" ht="14.55" customHeight="1" x14ac:dyDescent="0.3">
      <c r="A55" s="184"/>
      <c r="B55" s="5"/>
      <c r="C55" s="5">
        <v>0.70833333333333337</v>
      </c>
      <c r="D55" s="108">
        <v>230925</v>
      </c>
      <c r="E55" s="3" t="s">
        <v>479</v>
      </c>
      <c r="F55" s="19">
        <v>430</v>
      </c>
      <c r="G55" s="20">
        <v>0.8</v>
      </c>
      <c r="H55" s="186"/>
      <c r="I55" s="187"/>
      <c r="J55" s="187"/>
      <c r="K55" s="187"/>
      <c r="L55" s="187"/>
      <c r="M55" s="188"/>
      <c r="N55" s="189">
        <v>2185</v>
      </c>
      <c r="O55" s="198"/>
      <c r="P55" s="198"/>
      <c r="Q55" s="190"/>
      <c r="R55" s="150"/>
      <c r="S55" s="6" t="s">
        <v>14</v>
      </c>
      <c r="T55" s="21"/>
      <c r="U55" s="204"/>
      <c r="V55" s="205"/>
      <c r="W55" s="206"/>
    </row>
    <row r="56" spans="1:23" ht="14.55" customHeight="1" x14ac:dyDescent="0.3">
      <c r="A56" s="184"/>
      <c r="B56" s="5"/>
      <c r="C56" s="5"/>
      <c r="D56" s="108"/>
      <c r="E56" s="3"/>
      <c r="F56" s="19"/>
      <c r="G56" s="20"/>
      <c r="H56" s="186"/>
      <c r="I56" s="187"/>
      <c r="J56" s="187"/>
      <c r="K56" s="187"/>
      <c r="L56" s="187"/>
      <c r="M56" s="188"/>
      <c r="N56" s="189"/>
      <c r="O56" s="198"/>
      <c r="P56" s="198"/>
      <c r="Q56" s="190"/>
      <c r="R56" s="150"/>
      <c r="S56" s="6" t="s">
        <v>14</v>
      </c>
      <c r="T56" s="21"/>
      <c r="U56" s="204"/>
      <c r="V56" s="205"/>
      <c r="W56" s="206"/>
    </row>
    <row r="57" spans="1:23" ht="14.55" customHeight="1" x14ac:dyDescent="0.3">
      <c r="A57" s="185"/>
      <c r="B57" s="165" t="s">
        <v>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8">
        <f>SUM(N54:O56)</f>
        <v>2400</v>
      </c>
      <c r="O57" s="197"/>
      <c r="P57" s="197"/>
      <c r="Q57" s="169"/>
      <c r="R57" s="10">
        <f>SUM(R54:R56)</f>
        <v>0</v>
      </c>
      <c r="S57" s="11" t="s">
        <v>14</v>
      </c>
      <c r="T57" s="9"/>
      <c r="U57" s="204"/>
      <c r="V57" s="205"/>
      <c r="W57" s="206"/>
    </row>
    <row r="58" spans="1:23" ht="14.55" customHeight="1" x14ac:dyDescent="0.3">
      <c r="D58" s="134"/>
      <c r="E58" s="48"/>
      <c r="F58" s="48"/>
      <c r="G58" s="48"/>
      <c r="H58" s="48"/>
      <c r="I58" s="48"/>
      <c r="R58" s="134"/>
    </row>
    <row r="59" spans="1:23" ht="14.55" customHeight="1" x14ac:dyDescent="0.3">
      <c r="D59" s="134"/>
      <c r="E59" s="165" t="s">
        <v>32</v>
      </c>
      <c r="F59" s="166"/>
      <c r="G59" s="166"/>
      <c r="H59" s="166"/>
      <c r="I59" s="166"/>
      <c r="J59" s="166"/>
      <c r="K59" s="166"/>
      <c r="L59" s="166"/>
      <c r="M59" s="167"/>
      <c r="N59" s="181" t="s">
        <v>7</v>
      </c>
      <c r="O59" s="199"/>
      <c r="P59" s="199"/>
      <c r="Q59" s="182"/>
      <c r="R59" s="134"/>
    </row>
    <row r="60" spans="1:23" ht="14.55" customHeight="1" x14ac:dyDescent="0.3">
      <c r="D60" s="134"/>
      <c r="E60" s="7"/>
      <c r="F60" s="7"/>
      <c r="G60" s="7"/>
      <c r="H60" s="7"/>
      <c r="I60" s="7"/>
      <c r="J60" s="22"/>
      <c r="K60" s="23"/>
      <c r="L60" s="22"/>
      <c r="M60" s="24"/>
      <c r="N60" s="200">
        <f>N57</f>
        <v>2400</v>
      </c>
      <c r="O60" s="201"/>
      <c r="P60" s="202" t="s">
        <v>13</v>
      </c>
      <c r="Q60" s="203"/>
      <c r="R60" s="134"/>
    </row>
    <row r="61" spans="1:23" ht="14.55" customHeight="1" x14ac:dyDescent="0.3">
      <c r="D61" s="134"/>
      <c r="E61" s="48"/>
      <c r="F61" s="48"/>
      <c r="G61" s="48"/>
      <c r="H61" s="48"/>
      <c r="I61" s="48"/>
      <c r="P61" s="49"/>
      <c r="Q61" s="49"/>
      <c r="R61" s="32"/>
      <c r="S61" s="32"/>
    </row>
    <row r="62" spans="1:23" s="8" customFormat="1" ht="30" customHeight="1" x14ac:dyDescent="0.3">
      <c r="A62" s="155" t="s">
        <v>348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7"/>
      <c r="Q62" s="157"/>
      <c r="R62" s="157"/>
      <c r="S62" s="157"/>
      <c r="T62" s="156"/>
      <c r="U62" s="156"/>
      <c r="V62" s="156"/>
      <c r="W62" s="158"/>
    </row>
    <row r="63" spans="1:23" s="12" customFormat="1" ht="14.55" customHeight="1" x14ac:dyDescent="0.3">
      <c r="A63" s="159" t="s">
        <v>1</v>
      </c>
      <c r="B63" s="160" t="s">
        <v>2</v>
      </c>
      <c r="C63" s="160" t="s">
        <v>3</v>
      </c>
      <c r="D63" s="160" t="s">
        <v>4</v>
      </c>
      <c r="E63" s="161" t="s">
        <v>5</v>
      </c>
      <c r="F63" s="163" t="s">
        <v>15</v>
      </c>
      <c r="G63" s="163" t="s">
        <v>16</v>
      </c>
      <c r="H63" s="170" t="s">
        <v>24</v>
      </c>
      <c r="I63" s="171"/>
      <c r="J63" s="171"/>
      <c r="K63" s="171"/>
      <c r="L63" s="171"/>
      <c r="M63" s="172"/>
      <c r="N63" s="176" t="s">
        <v>6</v>
      </c>
      <c r="O63" s="177"/>
      <c r="P63" s="177"/>
      <c r="Q63" s="178"/>
      <c r="R63" s="161" t="s">
        <v>8</v>
      </c>
      <c r="S63" s="179"/>
      <c r="T63" s="159" t="s">
        <v>9</v>
      </c>
      <c r="U63" s="159" t="s">
        <v>10</v>
      </c>
      <c r="V63" s="159"/>
      <c r="W63" s="159"/>
    </row>
    <row r="64" spans="1:23" s="12" customFormat="1" ht="13.05" customHeight="1" x14ac:dyDescent="0.3">
      <c r="A64" s="159"/>
      <c r="B64" s="160"/>
      <c r="C64" s="160"/>
      <c r="D64" s="160"/>
      <c r="E64" s="162"/>
      <c r="F64" s="164"/>
      <c r="G64" s="164"/>
      <c r="H64" s="173"/>
      <c r="I64" s="174"/>
      <c r="J64" s="174"/>
      <c r="K64" s="174"/>
      <c r="L64" s="174"/>
      <c r="M64" s="175"/>
      <c r="N64" s="176" t="s">
        <v>351</v>
      </c>
      <c r="O64" s="177"/>
      <c r="P64" s="177"/>
      <c r="Q64" s="178"/>
      <c r="R64" s="162"/>
      <c r="S64" s="180"/>
      <c r="T64" s="159"/>
      <c r="U64" s="159"/>
      <c r="V64" s="159"/>
      <c r="W64" s="159"/>
    </row>
    <row r="65" spans="1:23" ht="14.55" customHeight="1" x14ac:dyDescent="0.3">
      <c r="A65" s="183" t="s">
        <v>69</v>
      </c>
      <c r="B65" s="5">
        <v>0.33333333333333331</v>
      </c>
      <c r="C65" s="5">
        <v>0.70833333333333337</v>
      </c>
      <c r="D65" s="108">
        <v>230925</v>
      </c>
      <c r="E65" s="3" t="s">
        <v>518</v>
      </c>
      <c r="F65" s="19">
        <v>430</v>
      </c>
      <c r="G65" s="20">
        <v>0.6</v>
      </c>
      <c r="H65" s="186"/>
      <c r="I65" s="187"/>
      <c r="J65" s="187"/>
      <c r="K65" s="187"/>
      <c r="L65" s="187"/>
      <c r="M65" s="188"/>
      <c r="N65" s="189">
        <v>3000</v>
      </c>
      <c r="O65" s="198"/>
      <c r="P65" s="198"/>
      <c r="Q65" s="190"/>
      <c r="R65" s="150"/>
      <c r="S65" s="6" t="s">
        <v>14</v>
      </c>
      <c r="T65" s="21"/>
      <c r="U65" s="204"/>
      <c r="V65" s="205"/>
      <c r="W65" s="206"/>
    </row>
    <row r="66" spans="1:23" ht="14.55" customHeight="1" x14ac:dyDescent="0.3">
      <c r="A66" s="184"/>
      <c r="B66" s="5"/>
      <c r="C66" s="5"/>
      <c r="D66" s="110"/>
      <c r="E66" s="3"/>
      <c r="F66" s="19"/>
      <c r="G66" s="20"/>
      <c r="H66" s="186"/>
      <c r="I66" s="187"/>
      <c r="J66" s="187"/>
      <c r="K66" s="187"/>
      <c r="L66" s="187"/>
      <c r="M66" s="188"/>
      <c r="N66" s="189"/>
      <c r="O66" s="198"/>
      <c r="P66" s="198"/>
      <c r="Q66" s="190"/>
      <c r="R66" s="150"/>
      <c r="S66" s="6" t="s">
        <v>14</v>
      </c>
      <c r="T66" s="21"/>
      <c r="U66" s="204"/>
      <c r="V66" s="205"/>
      <c r="W66" s="206"/>
    </row>
    <row r="67" spans="1:23" ht="14.55" customHeight="1" x14ac:dyDescent="0.3">
      <c r="A67" s="184"/>
      <c r="B67" s="5"/>
      <c r="C67" s="5"/>
      <c r="D67" s="108"/>
      <c r="E67" s="3"/>
      <c r="F67" s="19"/>
      <c r="G67" s="20"/>
      <c r="H67" s="186"/>
      <c r="I67" s="187"/>
      <c r="J67" s="187"/>
      <c r="K67" s="187"/>
      <c r="L67" s="187"/>
      <c r="M67" s="188"/>
      <c r="N67" s="189"/>
      <c r="O67" s="198"/>
      <c r="P67" s="198"/>
      <c r="Q67" s="190"/>
      <c r="R67" s="150"/>
      <c r="S67" s="6" t="s">
        <v>14</v>
      </c>
      <c r="T67" s="21"/>
      <c r="U67" s="204"/>
      <c r="V67" s="205"/>
      <c r="W67" s="206"/>
    </row>
    <row r="68" spans="1:23" ht="14.55" customHeight="1" x14ac:dyDescent="0.3">
      <c r="A68" s="185"/>
      <c r="B68" s="165" t="s">
        <v>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8">
        <f>SUM(N65:O67)</f>
        <v>3000</v>
      </c>
      <c r="O68" s="197"/>
      <c r="P68" s="197"/>
      <c r="Q68" s="169"/>
      <c r="R68" s="10">
        <f>SUM(R65:R67)</f>
        <v>0</v>
      </c>
      <c r="S68" s="11" t="s">
        <v>14</v>
      </c>
      <c r="T68" s="9"/>
      <c r="U68" s="204"/>
      <c r="V68" s="205"/>
      <c r="W68" s="206"/>
    </row>
    <row r="69" spans="1:23" ht="14.55" customHeight="1" x14ac:dyDescent="0.3">
      <c r="D69" s="134"/>
      <c r="E69" s="48"/>
      <c r="F69" s="48"/>
      <c r="G69" s="48"/>
      <c r="H69" s="48"/>
      <c r="I69" s="48"/>
      <c r="R69" s="134"/>
    </row>
    <row r="70" spans="1:23" ht="14.55" customHeight="1" x14ac:dyDescent="0.3">
      <c r="D70" s="134"/>
      <c r="E70" s="165" t="s">
        <v>349</v>
      </c>
      <c r="F70" s="166"/>
      <c r="G70" s="166"/>
      <c r="H70" s="166"/>
      <c r="I70" s="166"/>
      <c r="J70" s="166"/>
      <c r="K70" s="166"/>
      <c r="L70" s="166"/>
      <c r="M70" s="167"/>
      <c r="N70" s="181" t="s">
        <v>350</v>
      </c>
      <c r="O70" s="199"/>
      <c r="P70" s="199"/>
      <c r="Q70" s="182"/>
      <c r="R70" s="134"/>
    </row>
    <row r="71" spans="1:23" ht="14.55" customHeight="1" x14ac:dyDescent="0.3">
      <c r="D71" s="134"/>
      <c r="E71" s="7"/>
      <c r="F71" s="7"/>
      <c r="G71" s="7"/>
      <c r="H71" s="7"/>
      <c r="I71" s="7"/>
      <c r="J71" s="22"/>
      <c r="K71" s="23"/>
      <c r="L71" s="22"/>
      <c r="M71" s="24"/>
      <c r="N71" s="200">
        <f>N68</f>
        <v>3000</v>
      </c>
      <c r="O71" s="201"/>
      <c r="P71" s="202" t="s">
        <v>13</v>
      </c>
      <c r="Q71" s="203"/>
      <c r="R71" s="134"/>
    </row>
    <row r="72" spans="1:23" ht="14.55" customHeight="1" x14ac:dyDescent="0.3">
      <c r="D72" s="134"/>
      <c r="E72" s="48"/>
      <c r="F72" s="48"/>
      <c r="G72" s="48"/>
      <c r="H72" s="48"/>
      <c r="I72" s="48"/>
      <c r="P72" s="49"/>
      <c r="Q72" s="49"/>
      <c r="R72" s="32"/>
      <c r="S72" s="32"/>
    </row>
    <row r="73" spans="1:23" s="8" customFormat="1" ht="30" customHeight="1" x14ac:dyDescent="0.3">
      <c r="A73" s="155" t="s">
        <v>370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7"/>
      <c r="Q73" s="157"/>
      <c r="R73" s="157"/>
      <c r="S73" s="157"/>
      <c r="T73" s="156"/>
      <c r="U73" s="156"/>
      <c r="V73" s="156"/>
      <c r="W73" s="158"/>
    </row>
    <row r="74" spans="1:23" s="12" customFormat="1" ht="14.55" customHeight="1" x14ac:dyDescent="0.3">
      <c r="A74" s="159" t="s">
        <v>1</v>
      </c>
      <c r="B74" s="160" t="s">
        <v>2</v>
      </c>
      <c r="C74" s="160" t="s">
        <v>3</v>
      </c>
      <c r="D74" s="160" t="s">
        <v>4</v>
      </c>
      <c r="E74" s="161" t="s">
        <v>5</v>
      </c>
      <c r="F74" s="163" t="s">
        <v>15</v>
      </c>
      <c r="G74" s="163" t="s">
        <v>16</v>
      </c>
      <c r="H74" s="170" t="s">
        <v>24</v>
      </c>
      <c r="I74" s="171"/>
      <c r="J74" s="171"/>
      <c r="K74" s="171"/>
      <c r="L74" s="171"/>
      <c r="M74" s="172"/>
      <c r="N74" s="176" t="s">
        <v>6</v>
      </c>
      <c r="O74" s="177"/>
      <c r="P74" s="177"/>
      <c r="Q74" s="178"/>
      <c r="R74" s="161" t="s">
        <v>8</v>
      </c>
      <c r="S74" s="179"/>
      <c r="T74" s="159" t="s">
        <v>9</v>
      </c>
      <c r="U74" s="159" t="s">
        <v>10</v>
      </c>
      <c r="V74" s="159"/>
      <c r="W74" s="159"/>
    </row>
    <row r="75" spans="1:23" s="12" customFormat="1" ht="13.05" customHeight="1" x14ac:dyDescent="0.3">
      <c r="A75" s="159"/>
      <c r="B75" s="160"/>
      <c r="C75" s="160"/>
      <c r="D75" s="160"/>
      <c r="E75" s="162"/>
      <c r="F75" s="164"/>
      <c r="G75" s="164"/>
      <c r="H75" s="173"/>
      <c r="I75" s="174"/>
      <c r="J75" s="174"/>
      <c r="K75" s="174"/>
      <c r="L75" s="174"/>
      <c r="M75" s="175"/>
      <c r="N75" s="176" t="s">
        <v>351</v>
      </c>
      <c r="O75" s="177"/>
      <c r="P75" s="177"/>
      <c r="Q75" s="178"/>
      <c r="R75" s="162"/>
      <c r="S75" s="180"/>
      <c r="T75" s="159"/>
      <c r="U75" s="159"/>
      <c r="V75" s="159"/>
      <c r="W75" s="159"/>
    </row>
    <row r="76" spans="1:23" ht="14.55" customHeight="1" x14ac:dyDescent="0.3">
      <c r="A76" s="183" t="s">
        <v>49</v>
      </c>
      <c r="B76" s="5">
        <v>0.33333333333333331</v>
      </c>
      <c r="C76" s="5"/>
      <c r="D76" s="108">
        <v>230925</v>
      </c>
      <c r="E76" s="3" t="s">
        <v>519</v>
      </c>
      <c r="F76" s="19">
        <v>430</v>
      </c>
      <c r="G76" s="20">
        <v>0.6</v>
      </c>
      <c r="H76" s="186"/>
      <c r="I76" s="187"/>
      <c r="J76" s="187"/>
      <c r="K76" s="187"/>
      <c r="L76" s="187"/>
      <c r="M76" s="188"/>
      <c r="N76" s="189">
        <v>1100</v>
      </c>
      <c r="O76" s="198"/>
      <c r="P76" s="198"/>
      <c r="Q76" s="190"/>
      <c r="R76" s="150"/>
      <c r="S76" s="6" t="s">
        <v>14</v>
      </c>
      <c r="T76" s="21"/>
      <c r="U76" s="204"/>
      <c r="V76" s="205"/>
      <c r="W76" s="206"/>
    </row>
    <row r="77" spans="1:23" ht="14.55" customHeight="1" x14ac:dyDescent="0.3">
      <c r="A77" s="184"/>
      <c r="B77" s="5"/>
      <c r="C77" s="5">
        <v>0.70833333333333337</v>
      </c>
      <c r="D77" s="108">
        <v>230925</v>
      </c>
      <c r="E77" s="3" t="s">
        <v>518</v>
      </c>
      <c r="F77" s="19">
        <v>430</v>
      </c>
      <c r="G77" s="20">
        <v>0.6</v>
      </c>
      <c r="H77" s="186"/>
      <c r="I77" s="187"/>
      <c r="J77" s="187"/>
      <c r="K77" s="187"/>
      <c r="L77" s="187"/>
      <c r="M77" s="188"/>
      <c r="N77" s="189">
        <v>700</v>
      </c>
      <c r="O77" s="198"/>
      <c r="P77" s="198"/>
      <c r="Q77" s="190"/>
      <c r="R77" s="150"/>
      <c r="S77" s="6" t="s">
        <v>14</v>
      </c>
      <c r="T77" s="21"/>
      <c r="U77" s="204"/>
      <c r="V77" s="205"/>
      <c r="W77" s="206"/>
    </row>
    <row r="78" spans="1:23" ht="14.55" customHeight="1" x14ac:dyDescent="0.3">
      <c r="A78" s="184"/>
      <c r="B78" s="5"/>
      <c r="C78" s="5"/>
      <c r="D78" s="108"/>
      <c r="E78" s="3"/>
      <c r="F78" s="19"/>
      <c r="G78" s="20"/>
      <c r="H78" s="186"/>
      <c r="I78" s="187"/>
      <c r="J78" s="187"/>
      <c r="K78" s="187"/>
      <c r="L78" s="187"/>
      <c r="M78" s="188"/>
      <c r="N78" s="189"/>
      <c r="O78" s="198"/>
      <c r="P78" s="198"/>
      <c r="Q78" s="190"/>
      <c r="R78" s="150"/>
      <c r="S78" s="6" t="s">
        <v>14</v>
      </c>
      <c r="T78" s="21"/>
      <c r="U78" s="204"/>
      <c r="V78" s="205"/>
      <c r="W78" s="206"/>
    </row>
    <row r="79" spans="1:23" ht="14.55" customHeight="1" x14ac:dyDescent="0.3">
      <c r="A79" s="185"/>
      <c r="B79" s="165" t="s">
        <v>0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8">
        <f>SUM(N76:O78)</f>
        <v>1800</v>
      </c>
      <c r="O79" s="197"/>
      <c r="P79" s="197"/>
      <c r="Q79" s="169"/>
      <c r="R79" s="10">
        <f>SUM(R76:R78)</f>
        <v>0</v>
      </c>
      <c r="S79" s="11" t="s">
        <v>14</v>
      </c>
      <c r="T79" s="9"/>
      <c r="U79" s="204"/>
      <c r="V79" s="205"/>
      <c r="W79" s="206"/>
    </row>
    <row r="80" spans="1:23" ht="14.55" customHeight="1" x14ac:dyDescent="0.3">
      <c r="D80" s="134"/>
      <c r="E80" s="48"/>
      <c r="F80" s="48"/>
      <c r="G80" s="48"/>
      <c r="H80" s="48"/>
      <c r="I80" s="48"/>
      <c r="R80" s="134"/>
    </row>
    <row r="81" spans="1:23" ht="14.55" customHeight="1" x14ac:dyDescent="0.3">
      <c r="D81" s="134"/>
      <c r="E81" s="165" t="s">
        <v>371</v>
      </c>
      <c r="F81" s="166"/>
      <c r="G81" s="166"/>
      <c r="H81" s="166"/>
      <c r="I81" s="166"/>
      <c r="J81" s="166"/>
      <c r="K81" s="166"/>
      <c r="L81" s="166"/>
      <c r="M81" s="167"/>
      <c r="N81" s="181" t="s">
        <v>350</v>
      </c>
      <c r="O81" s="199"/>
      <c r="P81" s="199"/>
      <c r="Q81" s="182"/>
      <c r="R81" s="134"/>
    </row>
    <row r="82" spans="1:23" ht="14.55" customHeight="1" x14ac:dyDescent="0.3">
      <c r="D82" s="134"/>
      <c r="E82" s="7"/>
      <c r="F82" s="7"/>
      <c r="G82" s="7"/>
      <c r="H82" s="7"/>
      <c r="I82" s="7"/>
      <c r="J82" s="22"/>
      <c r="K82" s="23"/>
      <c r="L82" s="22"/>
      <c r="M82" s="24"/>
      <c r="N82" s="200">
        <f>N79</f>
        <v>1800</v>
      </c>
      <c r="O82" s="201"/>
      <c r="P82" s="202" t="s">
        <v>13</v>
      </c>
      <c r="Q82" s="203"/>
      <c r="R82" s="134"/>
    </row>
    <row r="83" spans="1:23" ht="14.55" customHeight="1" x14ac:dyDescent="0.3">
      <c r="D83" s="134"/>
      <c r="E83" s="48"/>
      <c r="F83" s="48"/>
      <c r="G83" s="48"/>
      <c r="H83" s="48"/>
      <c r="I83" s="48"/>
      <c r="P83" s="49"/>
      <c r="Q83" s="49"/>
      <c r="R83" s="32"/>
      <c r="S83" s="32"/>
    </row>
    <row r="84" spans="1:23" s="8" customFormat="1" ht="30" customHeight="1" x14ac:dyDescent="0.3">
      <c r="A84" s="155" t="s">
        <v>73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7"/>
      <c r="Q84" s="157"/>
      <c r="R84" s="157"/>
      <c r="S84" s="157"/>
      <c r="T84" s="156"/>
      <c r="U84" s="156"/>
      <c r="V84" s="156"/>
      <c r="W84" s="158"/>
    </row>
    <row r="85" spans="1:23" s="12" customFormat="1" ht="14.55" customHeight="1" x14ac:dyDescent="0.3">
      <c r="A85" s="159" t="s">
        <v>1</v>
      </c>
      <c r="B85" s="160" t="s">
        <v>2</v>
      </c>
      <c r="C85" s="160" t="s">
        <v>3</v>
      </c>
      <c r="D85" s="160" t="s">
        <v>4</v>
      </c>
      <c r="E85" s="161" t="s">
        <v>5</v>
      </c>
      <c r="F85" s="163" t="s">
        <v>15</v>
      </c>
      <c r="G85" s="163" t="s">
        <v>16</v>
      </c>
      <c r="H85" s="170" t="s">
        <v>30</v>
      </c>
      <c r="I85" s="171"/>
      <c r="J85" s="171"/>
      <c r="K85" s="171"/>
      <c r="L85" s="171"/>
      <c r="M85" s="172"/>
      <c r="N85" s="176" t="s">
        <v>6</v>
      </c>
      <c r="O85" s="177"/>
      <c r="P85" s="177"/>
      <c r="Q85" s="178"/>
      <c r="R85" s="161" t="s">
        <v>8</v>
      </c>
      <c r="S85" s="179"/>
      <c r="T85" s="159" t="s">
        <v>9</v>
      </c>
      <c r="U85" s="159" t="s">
        <v>10</v>
      </c>
      <c r="V85" s="159"/>
      <c r="W85" s="159"/>
    </row>
    <row r="86" spans="1:23" s="12" customFormat="1" ht="13.05" customHeight="1" x14ac:dyDescent="0.3">
      <c r="A86" s="159"/>
      <c r="B86" s="160"/>
      <c r="C86" s="160"/>
      <c r="D86" s="160"/>
      <c r="E86" s="162"/>
      <c r="F86" s="164"/>
      <c r="G86" s="164"/>
      <c r="H86" s="173"/>
      <c r="I86" s="174"/>
      <c r="J86" s="174"/>
      <c r="K86" s="174"/>
      <c r="L86" s="174"/>
      <c r="M86" s="175"/>
      <c r="N86" s="176" t="s">
        <v>7</v>
      </c>
      <c r="O86" s="177"/>
      <c r="P86" s="177" t="s">
        <v>74</v>
      </c>
      <c r="Q86" s="178"/>
      <c r="R86" s="162"/>
      <c r="S86" s="180"/>
      <c r="T86" s="159"/>
      <c r="U86" s="159"/>
      <c r="V86" s="159"/>
      <c r="W86" s="159"/>
    </row>
    <row r="87" spans="1:23" ht="14.55" customHeight="1" x14ac:dyDescent="0.3">
      <c r="A87" s="183" t="s">
        <v>49</v>
      </c>
      <c r="B87" s="5">
        <v>0.33333333333333331</v>
      </c>
      <c r="C87" s="5"/>
      <c r="D87" s="108">
        <v>230925</v>
      </c>
      <c r="E87" s="3" t="s">
        <v>39</v>
      </c>
      <c r="F87" s="19">
        <v>430</v>
      </c>
      <c r="G87" s="20">
        <v>0.8</v>
      </c>
      <c r="H87" s="186" t="s">
        <v>122</v>
      </c>
      <c r="I87" s="187"/>
      <c r="J87" s="187"/>
      <c r="K87" s="187"/>
      <c r="L87" s="187"/>
      <c r="M87" s="188"/>
      <c r="N87" s="189">
        <v>1300</v>
      </c>
      <c r="O87" s="190"/>
      <c r="P87" s="189"/>
      <c r="Q87" s="190"/>
      <c r="R87" s="150"/>
      <c r="S87" s="134" t="s">
        <v>14</v>
      </c>
      <c r="T87" s="21"/>
      <c r="U87" s="191" t="s">
        <v>520</v>
      </c>
      <c r="V87" s="192"/>
      <c r="W87" s="193"/>
    </row>
    <row r="88" spans="1:23" ht="14.55" customHeight="1" x14ac:dyDescent="0.3">
      <c r="A88" s="184"/>
      <c r="B88" s="5"/>
      <c r="C88" s="5">
        <v>0.70833333333333337</v>
      </c>
      <c r="D88" s="108">
        <v>230925</v>
      </c>
      <c r="E88" s="3" t="s">
        <v>479</v>
      </c>
      <c r="F88" s="19">
        <v>430</v>
      </c>
      <c r="G88" s="20">
        <v>0.8</v>
      </c>
      <c r="H88" s="186" t="s">
        <v>122</v>
      </c>
      <c r="I88" s="187"/>
      <c r="J88" s="187"/>
      <c r="K88" s="187"/>
      <c r="L88" s="187"/>
      <c r="M88" s="188"/>
      <c r="N88" s="189">
        <v>1500</v>
      </c>
      <c r="O88" s="190"/>
      <c r="P88" s="189"/>
      <c r="Q88" s="190"/>
      <c r="R88" s="150"/>
      <c r="S88" s="6" t="s">
        <v>14</v>
      </c>
      <c r="T88" s="21"/>
      <c r="U88" s="191"/>
      <c r="V88" s="192"/>
      <c r="W88" s="193"/>
    </row>
    <row r="89" spans="1:23" ht="14.55" customHeight="1" x14ac:dyDescent="0.3">
      <c r="A89" s="184"/>
      <c r="B89" s="5"/>
      <c r="C89" s="5"/>
      <c r="D89" s="108"/>
      <c r="E89" s="3"/>
      <c r="F89" s="19"/>
      <c r="G89" s="20"/>
      <c r="H89" s="186"/>
      <c r="I89" s="187"/>
      <c r="J89" s="187"/>
      <c r="K89" s="187"/>
      <c r="L89" s="187"/>
      <c r="M89" s="188"/>
      <c r="N89" s="189"/>
      <c r="O89" s="190"/>
      <c r="P89" s="189"/>
      <c r="Q89" s="190"/>
      <c r="R89" s="150"/>
      <c r="S89" s="6" t="s">
        <v>14</v>
      </c>
      <c r="T89" s="21"/>
      <c r="U89" s="191"/>
      <c r="V89" s="192"/>
      <c r="W89" s="193"/>
    </row>
    <row r="90" spans="1:23" ht="14.55" hidden="1" customHeight="1" x14ac:dyDescent="0.3">
      <c r="A90" s="184"/>
      <c r="B90" s="5"/>
      <c r="C90" s="5"/>
      <c r="D90" s="108"/>
      <c r="E90" s="3"/>
      <c r="F90" s="19"/>
      <c r="G90" s="20"/>
      <c r="H90" s="186"/>
      <c r="I90" s="187"/>
      <c r="J90" s="187"/>
      <c r="K90" s="187"/>
      <c r="L90" s="187"/>
      <c r="M90" s="188"/>
      <c r="N90" s="189"/>
      <c r="O90" s="190"/>
      <c r="P90" s="189"/>
      <c r="Q90" s="190"/>
      <c r="R90" s="150"/>
      <c r="S90" s="6" t="s">
        <v>14</v>
      </c>
      <c r="T90" s="21"/>
      <c r="U90" s="191"/>
      <c r="V90" s="192"/>
      <c r="W90" s="193"/>
    </row>
    <row r="91" spans="1:23" ht="14.55" hidden="1" customHeight="1" x14ac:dyDescent="0.3">
      <c r="A91" s="184"/>
      <c r="B91" s="5"/>
      <c r="C91" s="5"/>
      <c r="D91" s="108"/>
      <c r="E91" s="3"/>
      <c r="F91" s="19"/>
      <c r="G91" s="20"/>
      <c r="H91" s="186"/>
      <c r="I91" s="187"/>
      <c r="J91" s="187"/>
      <c r="K91" s="187"/>
      <c r="L91" s="187"/>
      <c r="M91" s="188"/>
      <c r="N91" s="189"/>
      <c r="O91" s="190"/>
      <c r="P91" s="189"/>
      <c r="Q91" s="190"/>
      <c r="R91" s="150"/>
      <c r="S91" s="6" t="s">
        <v>14</v>
      </c>
      <c r="T91" s="21"/>
      <c r="U91" s="191"/>
      <c r="V91" s="192"/>
      <c r="W91" s="193"/>
    </row>
    <row r="92" spans="1:23" ht="14.55" hidden="1" customHeight="1" x14ac:dyDescent="0.3">
      <c r="A92" s="184"/>
      <c r="B92" s="5"/>
      <c r="C92" s="5"/>
      <c r="D92" s="108"/>
      <c r="E92" s="3"/>
      <c r="F92" s="19"/>
      <c r="G92" s="20"/>
      <c r="H92" s="186"/>
      <c r="I92" s="187"/>
      <c r="J92" s="187"/>
      <c r="K92" s="187"/>
      <c r="L92" s="187"/>
      <c r="M92" s="188"/>
      <c r="N92" s="189"/>
      <c r="O92" s="190"/>
      <c r="P92" s="189"/>
      <c r="Q92" s="190"/>
      <c r="R92" s="150"/>
      <c r="S92" s="6" t="s">
        <v>14</v>
      </c>
      <c r="T92" s="21"/>
      <c r="U92" s="191"/>
      <c r="V92" s="192"/>
      <c r="W92" s="193"/>
    </row>
    <row r="93" spans="1:23" ht="14.55" hidden="1" customHeight="1" x14ac:dyDescent="0.3">
      <c r="A93" s="184"/>
      <c r="B93" s="5"/>
      <c r="C93" s="5"/>
      <c r="D93" s="108"/>
      <c r="E93" s="3"/>
      <c r="F93" s="19"/>
      <c r="G93" s="20"/>
      <c r="H93" s="186"/>
      <c r="I93" s="187"/>
      <c r="J93" s="187"/>
      <c r="K93" s="187"/>
      <c r="L93" s="187"/>
      <c r="M93" s="188"/>
      <c r="N93" s="189"/>
      <c r="O93" s="190"/>
      <c r="P93" s="189"/>
      <c r="Q93" s="190"/>
      <c r="R93" s="150"/>
      <c r="S93" s="6" t="s">
        <v>14</v>
      </c>
      <c r="T93" s="21"/>
      <c r="U93" s="191"/>
      <c r="V93" s="192"/>
      <c r="W93" s="193"/>
    </row>
    <row r="94" spans="1:23" ht="14.55" hidden="1" customHeight="1" x14ac:dyDescent="0.3">
      <c r="A94" s="184"/>
      <c r="B94" s="5"/>
      <c r="C94" s="5"/>
      <c r="D94" s="108"/>
      <c r="E94" s="3"/>
      <c r="F94" s="19"/>
      <c r="G94" s="20"/>
      <c r="H94" s="186"/>
      <c r="I94" s="187"/>
      <c r="J94" s="187"/>
      <c r="K94" s="187"/>
      <c r="L94" s="187"/>
      <c r="M94" s="188"/>
      <c r="N94" s="189"/>
      <c r="O94" s="190"/>
      <c r="P94" s="189"/>
      <c r="Q94" s="190"/>
      <c r="R94" s="150"/>
      <c r="S94" s="6" t="s">
        <v>14</v>
      </c>
      <c r="T94" s="21"/>
      <c r="U94" s="191"/>
      <c r="V94" s="192"/>
      <c r="W94" s="193"/>
    </row>
    <row r="95" spans="1:23" ht="14.55" customHeight="1" x14ac:dyDescent="0.3">
      <c r="A95" s="184"/>
      <c r="B95" s="5"/>
      <c r="C95" s="5"/>
      <c r="D95" s="108"/>
      <c r="E95" s="3"/>
      <c r="F95" s="19"/>
      <c r="G95" s="20"/>
      <c r="H95" s="186"/>
      <c r="I95" s="187"/>
      <c r="J95" s="187"/>
      <c r="K95" s="187"/>
      <c r="L95" s="187"/>
      <c r="M95" s="188"/>
      <c r="N95" s="189"/>
      <c r="O95" s="190"/>
      <c r="P95" s="189"/>
      <c r="Q95" s="190"/>
      <c r="R95" s="150"/>
      <c r="S95" s="6" t="s">
        <v>14</v>
      </c>
      <c r="T95" s="21"/>
      <c r="U95" s="191"/>
      <c r="V95" s="192"/>
      <c r="W95" s="193"/>
    </row>
    <row r="96" spans="1:23" ht="14.55" customHeight="1" x14ac:dyDescent="0.3">
      <c r="A96" s="185"/>
      <c r="B96" s="165" t="s">
        <v>0</v>
      </c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7"/>
      <c r="N96" s="168">
        <f>SUM(N87:O95)</f>
        <v>2800</v>
      </c>
      <c r="O96" s="197"/>
      <c r="P96" s="168">
        <f ca="1">SUM(P87:Q96)</f>
        <v>0</v>
      </c>
      <c r="Q96" s="197"/>
      <c r="R96" s="10">
        <f>SUM(R87:R95)</f>
        <v>0</v>
      </c>
      <c r="S96" s="11" t="s">
        <v>14</v>
      </c>
      <c r="T96" s="9"/>
      <c r="U96" s="191"/>
      <c r="V96" s="192"/>
      <c r="W96" s="193"/>
    </row>
    <row r="97" spans="1:23" ht="14.55" customHeight="1" x14ac:dyDescent="0.3">
      <c r="D97" s="134"/>
      <c r="E97" s="48"/>
      <c r="F97" s="48"/>
      <c r="G97" s="48"/>
      <c r="H97" s="48"/>
      <c r="I97" s="48"/>
      <c r="R97" s="134"/>
    </row>
    <row r="98" spans="1:23" ht="14.55" customHeight="1" x14ac:dyDescent="0.3">
      <c r="D98" s="134"/>
      <c r="E98" s="165" t="s">
        <v>65</v>
      </c>
      <c r="F98" s="166"/>
      <c r="G98" s="166"/>
      <c r="H98" s="166"/>
      <c r="I98" s="166"/>
      <c r="J98" s="166"/>
      <c r="K98" s="166"/>
      <c r="L98" s="166"/>
      <c r="M98" s="167"/>
      <c r="N98" s="181" t="s">
        <v>7</v>
      </c>
      <c r="O98" s="182"/>
      <c r="P98" s="181" t="s">
        <v>74</v>
      </c>
      <c r="Q98" s="182"/>
      <c r="R98" s="134"/>
    </row>
    <row r="99" spans="1:23" ht="14.55" customHeight="1" x14ac:dyDescent="0.3">
      <c r="D99" s="134"/>
      <c r="E99" s="7"/>
      <c r="F99" s="7"/>
      <c r="G99" s="7"/>
      <c r="H99" s="7"/>
      <c r="I99" s="7"/>
      <c r="J99" s="22"/>
      <c r="K99" s="23"/>
      <c r="L99" s="22"/>
      <c r="M99" s="24"/>
      <c r="N99" s="149">
        <f>N96</f>
        <v>2800</v>
      </c>
      <c r="O99" s="14" t="s">
        <v>13</v>
      </c>
      <c r="P99" s="149">
        <f ca="1">P96</f>
        <v>0</v>
      </c>
      <c r="Q99" s="15" t="s">
        <v>13</v>
      </c>
      <c r="R99" s="134"/>
    </row>
    <row r="100" spans="1:23" x14ac:dyDescent="0.3">
      <c r="P100" s="49"/>
      <c r="Q100" s="49"/>
      <c r="R100" s="49"/>
      <c r="S100" s="32"/>
    </row>
    <row r="101" spans="1:23" s="8" customFormat="1" ht="30" customHeight="1" x14ac:dyDescent="0.3">
      <c r="A101" s="155" t="s">
        <v>29</v>
      </c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7"/>
      <c r="Q101" s="157"/>
      <c r="R101" s="157"/>
      <c r="S101" s="157"/>
      <c r="T101" s="156"/>
      <c r="U101" s="156"/>
      <c r="V101" s="156"/>
      <c r="W101" s="158"/>
    </row>
    <row r="102" spans="1:23" s="12" customFormat="1" ht="14.55" customHeight="1" x14ac:dyDescent="0.3">
      <c r="A102" s="159" t="s">
        <v>1</v>
      </c>
      <c r="B102" s="160" t="s">
        <v>2</v>
      </c>
      <c r="C102" s="160" t="s">
        <v>3</v>
      </c>
      <c r="D102" s="160" t="s">
        <v>4</v>
      </c>
      <c r="E102" s="161" t="s">
        <v>5</v>
      </c>
      <c r="F102" s="163" t="s">
        <v>15</v>
      </c>
      <c r="G102" s="163" t="s">
        <v>16</v>
      </c>
      <c r="H102" s="170" t="s">
        <v>30</v>
      </c>
      <c r="I102" s="171"/>
      <c r="J102" s="171"/>
      <c r="K102" s="171"/>
      <c r="L102" s="171"/>
      <c r="M102" s="172"/>
      <c r="N102" s="176" t="s">
        <v>6</v>
      </c>
      <c r="O102" s="177"/>
      <c r="P102" s="177"/>
      <c r="Q102" s="178"/>
      <c r="R102" s="161" t="s">
        <v>8</v>
      </c>
      <c r="S102" s="179"/>
      <c r="T102" s="159" t="s">
        <v>9</v>
      </c>
      <c r="U102" s="159" t="s">
        <v>10</v>
      </c>
      <c r="V102" s="159"/>
      <c r="W102" s="159"/>
    </row>
    <row r="103" spans="1:23" s="12" customFormat="1" ht="13.05" customHeight="1" x14ac:dyDescent="0.3">
      <c r="A103" s="159"/>
      <c r="B103" s="160"/>
      <c r="C103" s="160"/>
      <c r="D103" s="160"/>
      <c r="E103" s="162"/>
      <c r="F103" s="164"/>
      <c r="G103" s="164"/>
      <c r="H103" s="173"/>
      <c r="I103" s="174"/>
      <c r="J103" s="174"/>
      <c r="K103" s="174"/>
      <c r="L103" s="174"/>
      <c r="M103" s="175"/>
      <c r="N103" s="176" t="s">
        <v>7</v>
      </c>
      <c r="O103" s="177"/>
      <c r="P103" s="177"/>
      <c r="Q103" s="178"/>
      <c r="R103" s="162"/>
      <c r="S103" s="180"/>
      <c r="T103" s="159"/>
      <c r="U103" s="159"/>
      <c r="V103" s="159"/>
      <c r="W103" s="159"/>
    </row>
    <row r="104" spans="1:23" ht="14.55" customHeight="1" x14ac:dyDescent="0.3">
      <c r="A104" s="183" t="s">
        <v>49</v>
      </c>
      <c r="B104" s="5">
        <v>0.33333333333333331</v>
      </c>
      <c r="C104" s="5"/>
      <c r="D104" s="108" t="s">
        <v>457</v>
      </c>
      <c r="E104" s="3" t="s">
        <v>521</v>
      </c>
      <c r="F104" s="19">
        <v>304</v>
      </c>
      <c r="G104" s="20">
        <v>0.9</v>
      </c>
      <c r="H104" s="186" t="s">
        <v>87</v>
      </c>
      <c r="I104" s="187"/>
      <c r="J104" s="187"/>
      <c r="K104" s="187"/>
      <c r="L104" s="187"/>
      <c r="M104" s="188"/>
      <c r="N104" s="189">
        <v>7</v>
      </c>
      <c r="O104" s="198"/>
      <c r="P104" s="198"/>
      <c r="Q104" s="190"/>
      <c r="R104" s="150"/>
      <c r="S104" s="134" t="s">
        <v>14</v>
      </c>
      <c r="T104" s="21"/>
      <c r="U104" s="204"/>
      <c r="V104" s="205"/>
      <c r="W104" s="206"/>
    </row>
    <row r="105" spans="1:23" ht="14.55" customHeight="1" x14ac:dyDescent="0.3">
      <c r="A105" s="207"/>
      <c r="B105" s="5"/>
      <c r="C105" s="5"/>
      <c r="D105" s="108" t="s">
        <v>457</v>
      </c>
      <c r="E105" s="3" t="s">
        <v>522</v>
      </c>
      <c r="F105" s="19">
        <v>304</v>
      </c>
      <c r="G105" s="20">
        <v>0.9</v>
      </c>
      <c r="H105" s="186" t="s">
        <v>87</v>
      </c>
      <c r="I105" s="187"/>
      <c r="J105" s="187"/>
      <c r="K105" s="187"/>
      <c r="L105" s="187"/>
      <c r="M105" s="188"/>
      <c r="N105" s="189">
        <v>39</v>
      </c>
      <c r="O105" s="198"/>
      <c r="P105" s="198"/>
      <c r="Q105" s="190"/>
      <c r="R105" s="150"/>
      <c r="S105" s="134" t="s">
        <v>14</v>
      </c>
      <c r="T105" s="21"/>
      <c r="U105" s="204"/>
      <c r="V105" s="205"/>
      <c r="W105" s="206"/>
    </row>
    <row r="106" spans="1:23" ht="14.55" customHeight="1" x14ac:dyDescent="0.3">
      <c r="A106" s="207"/>
      <c r="B106" s="5"/>
      <c r="C106" s="5"/>
      <c r="D106" s="108">
        <v>250061</v>
      </c>
      <c r="E106" s="3" t="s">
        <v>523</v>
      </c>
      <c r="F106" s="19">
        <v>304</v>
      </c>
      <c r="G106" s="20">
        <v>0.7</v>
      </c>
      <c r="H106" s="186" t="s">
        <v>87</v>
      </c>
      <c r="I106" s="187"/>
      <c r="J106" s="187"/>
      <c r="K106" s="187"/>
      <c r="L106" s="187"/>
      <c r="M106" s="188"/>
      <c r="N106" s="189">
        <v>419</v>
      </c>
      <c r="O106" s="198"/>
      <c r="P106" s="198"/>
      <c r="Q106" s="190"/>
      <c r="R106" s="150"/>
      <c r="S106" s="134" t="s">
        <v>14</v>
      </c>
      <c r="T106" s="21"/>
      <c r="U106" s="204"/>
      <c r="V106" s="205"/>
      <c r="W106" s="206"/>
    </row>
    <row r="107" spans="1:23" ht="14.55" customHeight="1" x14ac:dyDescent="0.3">
      <c r="A107" s="207"/>
      <c r="B107" s="5"/>
      <c r="C107" s="5">
        <v>0.70833333333333337</v>
      </c>
      <c r="D107" s="108">
        <v>250061</v>
      </c>
      <c r="E107" s="3" t="s">
        <v>524</v>
      </c>
      <c r="F107" s="19">
        <v>304</v>
      </c>
      <c r="G107" s="20">
        <v>0.7</v>
      </c>
      <c r="H107" s="186" t="s">
        <v>87</v>
      </c>
      <c r="I107" s="187"/>
      <c r="J107" s="187"/>
      <c r="K107" s="187"/>
      <c r="L107" s="187"/>
      <c r="M107" s="188"/>
      <c r="N107" s="189">
        <v>190</v>
      </c>
      <c r="O107" s="198"/>
      <c r="P107" s="198"/>
      <c r="Q107" s="190"/>
      <c r="R107" s="150"/>
      <c r="S107" s="134" t="s">
        <v>14</v>
      </c>
      <c r="T107" s="21"/>
      <c r="U107" s="204"/>
      <c r="V107" s="205"/>
      <c r="W107" s="206"/>
    </row>
    <row r="108" spans="1:23" ht="14.55" customHeight="1" x14ac:dyDescent="0.3">
      <c r="A108" s="184"/>
      <c r="B108" s="5"/>
      <c r="C108" s="5"/>
      <c r="D108" s="108"/>
      <c r="E108" s="3"/>
      <c r="F108" s="19"/>
      <c r="G108" s="20"/>
      <c r="H108" s="186"/>
      <c r="I108" s="187"/>
      <c r="J108" s="187"/>
      <c r="K108" s="187"/>
      <c r="L108" s="187"/>
      <c r="M108" s="188"/>
      <c r="N108" s="189"/>
      <c r="O108" s="198"/>
      <c r="P108" s="198"/>
      <c r="Q108" s="190"/>
      <c r="R108" s="150"/>
      <c r="S108" s="6" t="s">
        <v>14</v>
      </c>
      <c r="T108" s="21"/>
      <c r="U108" s="204"/>
      <c r="V108" s="205"/>
      <c r="W108" s="206"/>
    </row>
    <row r="109" spans="1:23" ht="14.55" customHeight="1" x14ac:dyDescent="0.3">
      <c r="A109" s="185"/>
      <c r="B109" s="165" t="s">
        <v>0</v>
      </c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7"/>
      <c r="N109" s="168">
        <f>SUM(N104:O108)</f>
        <v>655</v>
      </c>
      <c r="O109" s="197"/>
      <c r="P109" s="197"/>
      <c r="Q109" s="169"/>
      <c r="R109" s="10">
        <f>SUM(R104:R108)</f>
        <v>0</v>
      </c>
      <c r="S109" s="11" t="s">
        <v>14</v>
      </c>
      <c r="T109" s="9"/>
      <c r="U109" s="204"/>
      <c r="V109" s="205"/>
      <c r="W109" s="206"/>
    </row>
    <row r="110" spans="1:23" ht="14.55" customHeight="1" x14ac:dyDescent="0.3">
      <c r="D110" s="134"/>
      <c r="E110" s="48"/>
      <c r="F110" s="48"/>
      <c r="G110" s="48"/>
      <c r="H110" s="48"/>
      <c r="I110" s="48"/>
      <c r="R110" s="134"/>
    </row>
    <row r="111" spans="1:23" ht="14.55" customHeight="1" x14ac:dyDescent="0.3">
      <c r="D111" s="134"/>
      <c r="E111" s="165" t="s">
        <v>33</v>
      </c>
      <c r="F111" s="166"/>
      <c r="G111" s="166"/>
      <c r="H111" s="166"/>
      <c r="I111" s="166"/>
      <c r="J111" s="166"/>
      <c r="K111" s="166"/>
      <c r="L111" s="166"/>
      <c r="M111" s="167"/>
      <c r="N111" s="181" t="s">
        <v>7</v>
      </c>
      <c r="O111" s="199"/>
      <c r="P111" s="199"/>
      <c r="Q111" s="182"/>
      <c r="R111" s="134"/>
    </row>
    <row r="112" spans="1:23" ht="14.55" customHeight="1" x14ac:dyDescent="0.3">
      <c r="D112" s="134"/>
      <c r="E112" s="7"/>
      <c r="F112" s="7"/>
      <c r="G112" s="7"/>
      <c r="H112" s="7"/>
      <c r="I112" s="7"/>
      <c r="J112" s="22"/>
      <c r="K112" s="23"/>
      <c r="L112" s="22"/>
      <c r="M112" s="24"/>
      <c r="N112" s="200">
        <f>N109</f>
        <v>655</v>
      </c>
      <c r="O112" s="201"/>
      <c r="P112" s="202" t="s">
        <v>13</v>
      </c>
      <c r="Q112" s="203"/>
      <c r="R112" s="134"/>
    </row>
  </sheetData>
  <mergeCells count="298">
    <mergeCell ref="B109:M109"/>
    <mergeCell ref="N109:Q109"/>
    <mergeCell ref="E111:M111"/>
    <mergeCell ref="N111:Q111"/>
    <mergeCell ref="N112:O112"/>
    <mergeCell ref="P112:Q112"/>
    <mergeCell ref="H106:M106"/>
    <mergeCell ref="N106:Q106"/>
    <mergeCell ref="H107:M107"/>
    <mergeCell ref="N107:Q107"/>
    <mergeCell ref="H108:M108"/>
    <mergeCell ref="N108:Q108"/>
    <mergeCell ref="R102:S103"/>
    <mergeCell ref="T102:T103"/>
    <mergeCell ref="U102:W103"/>
    <mergeCell ref="N103:Q103"/>
    <mergeCell ref="A104:A109"/>
    <mergeCell ref="H104:M104"/>
    <mergeCell ref="N104:Q104"/>
    <mergeCell ref="U104:W109"/>
    <mergeCell ref="H105:M105"/>
    <mergeCell ref="N105:Q105"/>
    <mergeCell ref="A101:W101"/>
    <mergeCell ref="A102:A103"/>
    <mergeCell ref="B102:B103"/>
    <mergeCell ref="C102:C103"/>
    <mergeCell ref="D102:D103"/>
    <mergeCell ref="E102:E103"/>
    <mergeCell ref="F102:F103"/>
    <mergeCell ref="G102:G103"/>
    <mergeCell ref="H102:M103"/>
    <mergeCell ref="N102:Q102"/>
    <mergeCell ref="B96:M96"/>
    <mergeCell ref="N96:O96"/>
    <mergeCell ref="P96:Q96"/>
    <mergeCell ref="E98:M98"/>
    <mergeCell ref="N98:O98"/>
    <mergeCell ref="P98:Q98"/>
    <mergeCell ref="H94:M94"/>
    <mergeCell ref="N94:O94"/>
    <mergeCell ref="P94:Q94"/>
    <mergeCell ref="H95:M95"/>
    <mergeCell ref="N95:O95"/>
    <mergeCell ref="P95:Q95"/>
    <mergeCell ref="H92:M92"/>
    <mergeCell ref="N92:O92"/>
    <mergeCell ref="P92:Q92"/>
    <mergeCell ref="H93:M93"/>
    <mergeCell ref="N93:O93"/>
    <mergeCell ref="P93:Q93"/>
    <mergeCell ref="H90:M90"/>
    <mergeCell ref="N90:O90"/>
    <mergeCell ref="P90:Q90"/>
    <mergeCell ref="H91:M91"/>
    <mergeCell ref="N91:O91"/>
    <mergeCell ref="P91:Q91"/>
    <mergeCell ref="P89:Q89"/>
    <mergeCell ref="A87:A96"/>
    <mergeCell ref="H87:M87"/>
    <mergeCell ref="N87:O87"/>
    <mergeCell ref="P87:Q87"/>
    <mergeCell ref="U87:W96"/>
    <mergeCell ref="H88:M88"/>
    <mergeCell ref="N88:O88"/>
    <mergeCell ref="P88:Q88"/>
    <mergeCell ref="H89:M89"/>
    <mergeCell ref="N89:O89"/>
    <mergeCell ref="H85:M86"/>
    <mergeCell ref="N85:Q85"/>
    <mergeCell ref="R85:S86"/>
    <mergeCell ref="T85:T86"/>
    <mergeCell ref="U85:W86"/>
    <mergeCell ref="N86:O86"/>
    <mergeCell ref="P86:Q86"/>
    <mergeCell ref="N82:O82"/>
    <mergeCell ref="P82:Q82"/>
    <mergeCell ref="A84:W84"/>
    <mergeCell ref="A85:A86"/>
    <mergeCell ref="B85:B86"/>
    <mergeCell ref="C85:C86"/>
    <mergeCell ref="D85:D86"/>
    <mergeCell ref="E85:E86"/>
    <mergeCell ref="F85:F86"/>
    <mergeCell ref="G85:G86"/>
    <mergeCell ref="H78:M78"/>
    <mergeCell ref="N78:Q78"/>
    <mergeCell ref="B79:M79"/>
    <mergeCell ref="N79:Q79"/>
    <mergeCell ref="E81:M81"/>
    <mergeCell ref="N81:Q81"/>
    <mergeCell ref="R74:S75"/>
    <mergeCell ref="T74:T75"/>
    <mergeCell ref="U74:W75"/>
    <mergeCell ref="N75:Q75"/>
    <mergeCell ref="A76:A79"/>
    <mergeCell ref="H76:M76"/>
    <mergeCell ref="N76:Q76"/>
    <mergeCell ref="U76:W79"/>
    <mergeCell ref="H77:M77"/>
    <mergeCell ref="N77:Q77"/>
    <mergeCell ref="A73:W73"/>
    <mergeCell ref="A74:A75"/>
    <mergeCell ref="B74:B75"/>
    <mergeCell ref="C74:C75"/>
    <mergeCell ref="D74:D75"/>
    <mergeCell ref="E74:E75"/>
    <mergeCell ref="F74:F75"/>
    <mergeCell ref="G74:G75"/>
    <mergeCell ref="H74:M75"/>
    <mergeCell ref="N74:Q74"/>
    <mergeCell ref="B68:M68"/>
    <mergeCell ref="N68:Q68"/>
    <mergeCell ref="E70:M70"/>
    <mergeCell ref="N70:Q70"/>
    <mergeCell ref="N71:O71"/>
    <mergeCell ref="P71:Q71"/>
    <mergeCell ref="U63:W64"/>
    <mergeCell ref="N64:Q64"/>
    <mergeCell ref="A65:A68"/>
    <mergeCell ref="H65:M65"/>
    <mergeCell ref="N65:Q65"/>
    <mergeCell ref="U65:W68"/>
    <mergeCell ref="H66:M66"/>
    <mergeCell ref="N66:Q66"/>
    <mergeCell ref="H67:M67"/>
    <mergeCell ref="N67:Q67"/>
    <mergeCell ref="F63:F64"/>
    <mergeCell ref="G63:G64"/>
    <mergeCell ref="H63:M64"/>
    <mergeCell ref="N63:Q63"/>
    <mergeCell ref="R63:S64"/>
    <mergeCell ref="T63:T64"/>
    <mergeCell ref="E59:M59"/>
    <mergeCell ref="N59:Q59"/>
    <mergeCell ref="N60:O60"/>
    <mergeCell ref="P60:Q60"/>
    <mergeCell ref="A62:W62"/>
    <mergeCell ref="A63:A64"/>
    <mergeCell ref="B63:B64"/>
    <mergeCell ref="C63:C64"/>
    <mergeCell ref="D63:D64"/>
    <mergeCell ref="E63:E64"/>
    <mergeCell ref="A54:A57"/>
    <mergeCell ref="H54:M54"/>
    <mergeCell ref="N54:Q54"/>
    <mergeCell ref="U54:W57"/>
    <mergeCell ref="H55:M55"/>
    <mergeCell ref="N55:Q55"/>
    <mergeCell ref="H56:M56"/>
    <mergeCell ref="N56:Q56"/>
    <mergeCell ref="B57:M57"/>
    <mergeCell ref="N57:Q57"/>
    <mergeCell ref="H52:M53"/>
    <mergeCell ref="N52:Q52"/>
    <mergeCell ref="R52:S53"/>
    <mergeCell ref="T52:T53"/>
    <mergeCell ref="U52:W53"/>
    <mergeCell ref="N53:Q53"/>
    <mergeCell ref="N49:O49"/>
    <mergeCell ref="P49:Q49"/>
    <mergeCell ref="A51:W51"/>
    <mergeCell ref="A52:A53"/>
    <mergeCell ref="B52:B53"/>
    <mergeCell ref="C52:C53"/>
    <mergeCell ref="D52:D53"/>
    <mergeCell ref="E52:E53"/>
    <mergeCell ref="F52:F53"/>
    <mergeCell ref="G52:G53"/>
    <mergeCell ref="H45:M45"/>
    <mergeCell ref="N45:Q45"/>
    <mergeCell ref="B46:M46"/>
    <mergeCell ref="N46:Q46"/>
    <mergeCell ref="E48:M48"/>
    <mergeCell ref="N48:Q48"/>
    <mergeCell ref="R41:S42"/>
    <mergeCell ref="T41:T42"/>
    <mergeCell ref="U41:W42"/>
    <mergeCell ref="N42:Q42"/>
    <mergeCell ref="A43:A46"/>
    <mergeCell ref="H43:M43"/>
    <mergeCell ref="N43:Q43"/>
    <mergeCell ref="U43:W46"/>
    <mergeCell ref="H44:M44"/>
    <mergeCell ref="N44:Q44"/>
    <mergeCell ref="A40:W40"/>
    <mergeCell ref="A41:A42"/>
    <mergeCell ref="B41:B42"/>
    <mergeCell ref="C41:C42"/>
    <mergeCell ref="D41:D42"/>
    <mergeCell ref="E41:E42"/>
    <mergeCell ref="F41:F42"/>
    <mergeCell ref="G41:G42"/>
    <mergeCell ref="H41:M42"/>
    <mergeCell ref="N41:Q41"/>
    <mergeCell ref="B35:M35"/>
    <mergeCell ref="N35:O35"/>
    <mergeCell ref="P35:Q35"/>
    <mergeCell ref="E37:M37"/>
    <mergeCell ref="N37:O37"/>
    <mergeCell ref="P37:Q37"/>
    <mergeCell ref="H33:M33"/>
    <mergeCell ref="N33:O33"/>
    <mergeCell ref="P33:Q33"/>
    <mergeCell ref="H34:M34"/>
    <mergeCell ref="N34:O34"/>
    <mergeCell ref="P34:Q34"/>
    <mergeCell ref="R30:S31"/>
    <mergeCell ref="T30:T31"/>
    <mergeCell ref="U30:W31"/>
    <mergeCell ref="N31:O31"/>
    <mergeCell ref="P31:Q31"/>
    <mergeCell ref="A32:A35"/>
    <mergeCell ref="H32:M32"/>
    <mergeCell ref="N32:O32"/>
    <mergeCell ref="P32:Q32"/>
    <mergeCell ref="U32:W35"/>
    <mergeCell ref="A29:W29"/>
    <mergeCell ref="A30:A31"/>
    <mergeCell ref="B30:B31"/>
    <mergeCell ref="C30:C31"/>
    <mergeCell ref="D30:D31"/>
    <mergeCell ref="E30:E31"/>
    <mergeCell ref="F30:F31"/>
    <mergeCell ref="G30:G31"/>
    <mergeCell ref="H30:M31"/>
    <mergeCell ref="N30:Q30"/>
    <mergeCell ref="B24:M24"/>
    <mergeCell ref="N24:Q24"/>
    <mergeCell ref="E26:M26"/>
    <mergeCell ref="N26:Q26"/>
    <mergeCell ref="N27:O27"/>
    <mergeCell ref="P27:Q27"/>
    <mergeCell ref="A20:A24"/>
    <mergeCell ref="H20:M20"/>
    <mergeCell ref="N20:Q20"/>
    <mergeCell ref="U20:W24"/>
    <mergeCell ref="H21:M21"/>
    <mergeCell ref="N21:Q21"/>
    <mergeCell ref="H22:M22"/>
    <mergeCell ref="N22:Q22"/>
    <mergeCell ref="H23:M23"/>
    <mergeCell ref="N23:Q23"/>
    <mergeCell ref="G18:G19"/>
    <mergeCell ref="H18:M19"/>
    <mergeCell ref="N18:Q18"/>
    <mergeCell ref="R18:S19"/>
    <mergeCell ref="T18:T19"/>
    <mergeCell ref="U18:W19"/>
    <mergeCell ref="N19:Q19"/>
    <mergeCell ref="A18:A19"/>
    <mergeCell ref="B18:B19"/>
    <mergeCell ref="C18:C19"/>
    <mergeCell ref="D18:D19"/>
    <mergeCell ref="E18:E19"/>
    <mergeCell ref="F18:F19"/>
    <mergeCell ref="N12:O12"/>
    <mergeCell ref="P12:Q12"/>
    <mergeCell ref="E14:M14"/>
    <mergeCell ref="N14:O14"/>
    <mergeCell ref="P14:Q14"/>
    <mergeCell ref="A17:W17"/>
    <mergeCell ref="P9:Q9"/>
    <mergeCell ref="A10:A12"/>
    <mergeCell ref="H10:M10"/>
    <mergeCell ref="N10:O10"/>
    <mergeCell ref="P10:Q10"/>
    <mergeCell ref="U10:W12"/>
    <mergeCell ref="H11:M11"/>
    <mergeCell ref="N11:O11"/>
    <mergeCell ref="P11:Q11"/>
    <mergeCell ref="B12:M12"/>
    <mergeCell ref="A7:A9"/>
    <mergeCell ref="H7:M7"/>
    <mergeCell ref="N7:O7"/>
    <mergeCell ref="P7:Q7"/>
    <mergeCell ref="U7:W9"/>
    <mergeCell ref="H8:M8"/>
    <mergeCell ref="N8:O8"/>
    <mergeCell ref="P8:Q8"/>
    <mergeCell ref="B9:M9"/>
    <mergeCell ref="N9:O9"/>
    <mergeCell ref="H5:M6"/>
    <mergeCell ref="N5:Q5"/>
    <mergeCell ref="R5:S6"/>
    <mergeCell ref="T5:T6"/>
    <mergeCell ref="U5:W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ANA LİSTE</vt:lpstr>
      <vt:lpstr>15.09.2025</vt:lpstr>
      <vt:lpstr>16.09.2025</vt:lpstr>
      <vt:lpstr>17.09.2025</vt:lpstr>
      <vt:lpstr>18.09.2025</vt:lpstr>
      <vt:lpstr>19.09.2025</vt:lpstr>
      <vt:lpstr>20.09.2025</vt:lpstr>
      <vt:lpstr>22.09.2025</vt:lpstr>
      <vt:lpstr>23.09.2025</vt:lpstr>
      <vt:lpstr>24.09.2025</vt:lpstr>
      <vt:lpstr>25.09.2025</vt:lpstr>
      <vt:lpstr>26.09.2025</vt:lpstr>
      <vt:lpstr>27.09.2025</vt:lpstr>
      <vt:lpstr>29.09.2025</vt:lpstr>
      <vt:lpstr>30.09.2025</vt:lpstr>
      <vt:lpstr>1.10.2025</vt:lpstr>
      <vt:lpstr>02.10.2025</vt:lpstr>
      <vt:lpstr>03.10.2025</vt:lpstr>
      <vt:lpstr>04.10.2025</vt:lpstr>
      <vt:lpstr>06.10.2025</vt:lpstr>
      <vt:lpstr>07.10.2025</vt:lpstr>
      <vt:lpstr>08.10.2025</vt:lpstr>
      <vt:lpstr>09.10.2025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LİNES İŞLETME</dc:creator>
  <cp:lastModifiedBy>DELL</cp:lastModifiedBy>
  <cp:lastPrinted>2025-11-05T10:14:08Z</cp:lastPrinted>
  <dcterms:created xsi:type="dcterms:W3CDTF">2015-06-05T18:17:20Z</dcterms:created>
  <dcterms:modified xsi:type="dcterms:W3CDTF">2025-11-06T06:49:51Z</dcterms:modified>
</cp:coreProperties>
</file>