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8.5\ortak\İşletme Üretim Ve Planlama\ÜRETİM VE PLANLAMA\GÜNLÜK ÜRETİM RAPOLARI\2025 - Genel Günlük Ürün Üretim Raporu\11 - Kasım 2025\"/>
    </mc:Choice>
  </mc:AlternateContent>
  <bookViews>
    <workbookView xWindow="0" yWindow="0" windowWidth="23040" windowHeight="9192" firstSheet="38" activeTab="45"/>
  </bookViews>
  <sheets>
    <sheet name="ANA TASLAK" sheetId="36" r:id="rId1"/>
    <sheet name="15.09.2025" sheetId="2" r:id="rId2"/>
    <sheet name="16.09.2025" sheetId="3" r:id="rId3"/>
    <sheet name="17.09.2025" sheetId="4" r:id="rId4"/>
    <sheet name="18.09.2025" sheetId="6" r:id="rId5"/>
    <sheet name="19.09.2025" sheetId="7" r:id="rId6"/>
    <sheet name="20.09.2025" sheetId="8" r:id="rId7"/>
    <sheet name="22.09.2025" sheetId="11" r:id="rId8"/>
    <sheet name="23.09.2025" sheetId="12" r:id="rId9"/>
    <sheet name="24.09.2025" sheetId="13" r:id="rId10"/>
    <sheet name="25.09.2025" sheetId="14" r:id="rId11"/>
    <sheet name="26.09.2025" sheetId="15" r:id="rId12"/>
    <sheet name="27.09.2025" sheetId="16" r:id="rId13"/>
    <sheet name="29.09.2025" sheetId="17" r:id="rId14"/>
    <sheet name="30.092025" sheetId="18" r:id="rId15"/>
    <sheet name="01.10.2025" sheetId="19" r:id="rId16"/>
    <sheet name="02.10.2025" sheetId="20" r:id="rId17"/>
    <sheet name="03.10.2025" sheetId="21" r:id="rId18"/>
    <sheet name="04.10.2025" sheetId="10" r:id="rId19"/>
    <sheet name="06.10.2025" sheetId="22" r:id="rId20"/>
    <sheet name="07.10.2025" sheetId="23" r:id="rId21"/>
    <sheet name="08.10.2025" sheetId="24" r:id="rId22"/>
    <sheet name="09.10.2025" sheetId="25" r:id="rId23"/>
    <sheet name="10.10.2025" sheetId="26" r:id="rId24"/>
    <sheet name="11.10.2025" sheetId="27" r:id="rId25"/>
    <sheet name="13.10.2025" sheetId="28" r:id="rId26"/>
    <sheet name="14.10.2025" sheetId="29" r:id="rId27"/>
    <sheet name="15.10.2025" sheetId="30" r:id="rId28"/>
    <sheet name="16.10.2025" sheetId="31" r:id="rId29"/>
    <sheet name="17.10.2025" sheetId="32" r:id="rId30"/>
    <sheet name="18.10.2025" sheetId="33" r:id="rId31"/>
    <sheet name="19.10.2025" sheetId="34" r:id="rId32"/>
    <sheet name="20.10.2025" sheetId="35" r:id="rId33"/>
    <sheet name="21.10.2025" sheetId="37" r:id="rId34"/>
    <sheet name="22.10.2025" sheetId="38" r:id="rId35"/>
    <sheet name="23.10.2025" sheetId="39" r:id="rId36"/>
    <sheet name="24.10.2025" sheetId="40" r:id="rId37"/>
    <sheet name="25.10.2025" sheetId="41" r:id="rId38"/>
    <sheet name="27.10.2025" sheetId="42" r:id="rId39"/>
    <sheet name="28.10.2025" sheetId="43" r:id="rId40"/>
    <sheet name="30.10.2025" sheetId="44" r:id="rId41"/>
    <sheet name="31.10.2025" sheetId="45" r:id="rId42"/>
    <sheet name="01.11.2025" sheetId="46" r:id="rId43"/>
    <sheet name="03.11.2025" sheetId="47" r:id="rId44"/>
    <sheet name="04.11.2025" sheetId="48" r:id="rId45"/>
    <sheet name="05.11.2025" sheetId="49" r:id="rId4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6" i="49" l="1"/>
  <c r="M93" i="49"/>
  <c r="K93" i="49"/>
  <c r="I93" i="49"/>
  <c r="I96" i="49" s="1"/>
  <c r="M81" i="49"/>
  <c r="K81" i="49"/>
  <c r="K84" i="49" s="1"/>
  <c r="I81" i="49"/>
  <c r="I84" i="49" s="1"/>
  <c r="I85" i="49" s="1"/>
  <c r="M68" i="49"/>
  <c r="K68" i="49"/>
  <c r="K71" i="49" s="1"/>
  <c r="I68" i="49"/>
  <c r="I71" i="49" s="1"/>
  <c r="I72" i="49" s="1"/>
  <c r="M55" i="49"/>
  <c r="M42" i="49"/>
  <c r="K42" i="49"/>
  <c r="K45" i="49" s="1"/>
  <c r="I42" i="49"/>
  <c r="M36" i="49"/>
  <c r="K36" i="49"/>
  <c r="I36" i="49"/>
  <c r="M30" i="49"/>
  <c r="K30" i="49"/>
  <c r="I30" i="49"/>
  <c r="M18" i="49"/>
  <c r="K18" i="49"/>
  <c r="I18" i="49"/>
  <c r="M14" i="49"/>
  <c r="K14" i="49"/>
  <c r="I14" i="49"/>
  <c r="I45" i="49" l="1"/>
  <c r="I46" i="49" s="1"/>
  <c r="I97" i="49"/>
  <c r="K21" i="49"/>
  <c r="I21" i="49"/>
  <c r="I22" i="49" s="1"/>
  <c r="K57" i="48"/>
  <c r="I57" i="48"/>
  <c r="I37" i="48" l="1"/>
  <c r="I46" i="48" s="1"/>
  <c r="I47" i="48" s="1"/>
  <c r="M99" i="48"/>
  <c r="K99" i="48"/>
  <c r="K102" i="48" s="1"/>
  <c r="I99" i="48"/>
  <c r="I102" i="48" s="1"/>
  <c r="I103" i="48" s="1"/>
  <c r="K90" i="48"/>
  <c r="M87" i="48"/>
  <c r="K87" i="48"/>
  <c r="I87" i="48"/>
  <c r="I90" i="48" s="1"/>
  <c r="I91" i="48" s="1"/>
  <c r="M74" i="48"/>
  <c r="K74" i="48"/>
  <c r="K77" i="48" s="1"/>
  <c r="I74" i="48"/>
  <c r="I77" i="48" s="1"/>
  <c r="M57" i="48"/>
  <c r="M43" i="48"/>
  <c r="K43" i="48"/>
  <c r="I43" i="48"/>
  <c r="M37" i="48"/>
  <c r="K37" i="48"/>
  <c r="K46" i="48" s="1"/>
  <c r="M31" i="48"/>
  <c r="K31" i="48"/>
  <c r="I31" i="48"/>
  <c r="M19" i="48"/>
  <c r="K19" i="48"/>
  <c r="I19" i="48"/>
  <c r="M15" i="48"/>
  <c r="K15" i="48"/>
  <c r="K22" i="48" s="1"/>
  <c r="I15" i="48"/>
  <c r="I22" i="48" s="1"/>
  <c r="I78" i="48" l="1"/>
  <c r="I23" i="48"/>
  <c r="I51" i="46"/>
  <c r="K99" i="47" l="1"/>
  <c r="M96" i="47"/>
  <c r="K96" i="47"/>
  <c r="I96" i="47"/>
  <c r="I99" i="47" s="1"/>
  <c r="M84" i="47"/>
  <c r="K84" i="47"/>
  <c r="K87" i="47" s="1"/>
  <c r="I84" i="47"/>
  <c r="I87" i="47" s="1"/>
  <c r="M71" i="47"/>
  <c r="K71" i="47"/>
  <c r="K74" i="47" s="1"/>
  <c r="I71" i="47"/>
  <c r="I74" i="47" s="1"/>
  <c r="M55" i="47"/>
  <c r="M43" i="47"/>
  <c r="K43" i="47"/>
  <c r="K46" i="47" s="1"/>
  <c r="I43" i="47"/>
  <c r="M37" i="47"/>
  <c r="K37" i="47"/>
  <c r="I37" i="47"/>
  <c r="M31" i="47"/>
  <c r="K31" i="47"/>
  <c r="I31" i="47"/>
  <c r="M19" i="47"/>
  <c r="K19" i="47"/>
  <c r="K22" i="47" s="1"/>
  <c r="I19" i="47"/>
  <c r="M15" i="47"/>
  <c r="K15" i="47"/>
  <c r="I15" i="47"/>
  <c r="I88" i="47" l="1"/>
  <c r="I75" i="47"/>
  <c r="I100" i="47"/>
  <c r="I46" i="47"/>
  <c r="I47" i="47" s="1"/>
  <c r="I22" i="47"/>
  <c r="I23" i="47" s="1"/>
  <c r="I41" i="46" l="1"/>
  <c r="I38" i="46"/>
  <c r="M95" i="46" l="1"/>
  <c r="K95" i="46"/>
  <c r="K98" i="46" s="1"/>
  <c r="I95" i="46"/>
  <c r="I98" i="46" s="1"/>
  <c r="M83" i="46"/>
  <c r="K83" i="46"/>
  <c r="K86" i="46" s="1"/>
  <c r="I83" i="46"/>
  <c r="I86" i="46" s="1"/>
  <c r="M64" i="46"/>
  <c r="K64" i="46"/>
  <c r="K67" i="46" s="1"/>
  <c r="I64" i="46"/>
  <c r="I67" i="46" s="1"/>
  <c r="M51" i="46"/>
  <c r="M38" i="46"/>
  <c r="K38" i="46"/>
  <c r="K41" i="46" s="1"/>
  <c r="M32" i="46"/>
  <c r="K32" i="46"/>
  <c r="I32" i="46"/>
  <c r="M26" i="46"/>
  <c r="K26" i="46"/>
  <c r="I26" i="46"/>
  <c r="M14" i="46"/>
  <c r="K14" i="46"/>
  <c r="I14" i="46"/>
  <c r="M10" i="46"/>
  <c r="K10" i="46"/>
  <c r="I10" i="46"/>
  <c r="M90" i="45"/>
  <c r="K90" i="45"/>
  <c r="K93" i="45" s="1"/>
  <c r="I90" i="45"/>
  <c r="I93" i="45" s="1"/>
  <c r="I94" i="45" s="1"/>
  <c r="K81" i="45"/>
  <c r="M78" i="45"/>
  <c r="K78" i="45"/>
  <c r="I78" i="45"/>
  <c r="I81" i="45" s="1"/>
  <c r="I82" i="45" s="1"/>
  <c r="K68" i="45"/>
  <c r="M65" i="45"/>
  <c r="K65" i="45"/>
  <c r="I65" i="45"/>
  <c r="I68" i="45" s="1"/>
  <c r="I69" i="45" s="1"/>
  <c r="M52" i="45"/>
  <c r="M39" i="45"/>
  <c r="K39" i="45"/>
  <c r="I39" i="45"/>
  <c r="M33" i="45"/>
  <c r="K33" i="45"/>
  <c r="K42" i="45" s="1"/>
  <c r="I33" i="45"/>
  <c r="M27" i="45"/>
  <c r="K27" i="45"/>
  <c r="I27" i="45"/>
  <c r="K18" i="45"/>
  <c r="M15" i="45"/>
  <c r="K15" i="45"/>
  <c r="I15" i="45"/>
  <c r="M11" i="45"/>
  <c r="K11" i="45"/>
  <c r="I11" i="45"/>
  <c r="I18" i="45" s="1"/>
  <c r="I19" i="45" s="1"/>
  <c r="I42" i="46" l="1"/>
  <c r="I68" i="46"/>
  <c r="I99" i="46"/>
  <c r="I87" i="46"/>
  <c r="K17" i="46"/>
  <c r="I17" i="46"/>
  <c r="I18" i="46" s="1"/>
  <c r="I42" i="45"/>
  <c r="I43" i="45" s="1"/>
  <c r="M92" i="44"/>
  <c r="K92" i="44"/>
  <c r="K95" i="44" s="1"/>
  <c r="I92" i="44"/>
  <c r="I95" i="44" s="1"/>
  <c r="M80" i="44"/>
  <c r="K80" i="44"/>
  <c r="K83" i="44" s="1"/>
  <c r="I80" i="44"/>
  <c r="I83" i="44" s="1"/>
  <c r="M67" i="44"/>
  <c r="K67" i="44"/>
  <c r="K70" i="44" s="1"/>
  <c r="I67" i="44"/>
  <c r="I70" i="44" s="1"/>
  <c r="M52" i="44"/>
  <c r="M39" i="44"/>
  <c r="K39" i="44"/>
  <c r="I39" i="44"/>
  <c r="M33" i="44"/>
  <c r="K33" i="44"/>
  <c r="K42" i="44" s="1"/>
  <c r="I33" i="44"/>
  <c r="M27" i="44"/>
  <c r="K27" i="44"/>
  <c r="I27" i="44"/>
  <c r="M15" i="44"/>
  <c r="K15" i="44"/>
  <c r="K18" i="44" s="1"/>
  <c r="I15" i="44"/>
  <c r="M11" i="44"/>
  <c r="K11" i="44"/>
  <c r="I11" i="44"/>
  <c r="I84" i="44" l="1"/>
  <c r="I42" i="44"/>
  <c r="I43" i="44" s="1"/>
  <c r="I71" i="44"/>
  <c r="I18" i="44"/>
  <c r="I19" i="44" s="1"/>
  <c r="I96" i="44"/>
  <c r="M90" i="43"/>
  <c r="K90" i="43"/>
  <c r="K93" i="43" s="1"/>
  <c r="I90" i="43"/>
  <c r="I93" i="43" s="1"/>
  <c r="K81" i="43"/>
  <c r="M78" i="43"/>
  <c r="K78" i="43"/>
  <c r="I78" i="43"/>
  <c r="I81" i="43" s="1"/>
  <c r="I82" i="43" s="1"/>
  <c r="M65" i="43"/>
  <c r="K65" i="43"/>
  <c r="K68" i="43" s="1"/>
  <c r="I65" i="43"/>
  <c r="I68" i="43" s="1"/>
  <c r="I69" i="43" s="1"/>
  <c r="M52" i="43"/>
  <c r="M39" i="43"/>
  <c r="K39" i="43"/>
  <c r="I39" i="43"/>
  <c r="M33" i="43"/>
  <c r="K33" i="43"/>
  <c r="K42" i="43" s="1"/>
  <c r="I33" i="43"/>
  <c r="I42" i="43" s="1"/>
  <c r="M27" i="43"/>
  <c r="K27" i="43"/>
  <c r="I27" i="43"/>
  <c r="M15" i="43"/>
  <c r="K15" i="43"/>
  <c r="K18" i="43" s="1"/>
  <c r="I15" i="43"/>
  <c r="M11" i="43"/>
  <c r="K11" i="43"/>
  <c r="I11" i="43"/>
  <c r="I18" i="43" s="1"/>
  <c r="I19" i="43" l="1"/>
  <c r="I43" i="43"/>
  <c r="I94" i="43"/>
  <c r="M90" i="42"/>
  <c r="K90" i="42"/>
  <c r="K93" i="42" s="1"/>
  <c r="I90" i="42"/>
  <c r="I93" i="42" s="1"/>
  <c r="I94" i="42" s="1"/>
  <c r="M78" i="42"/>
  <c r="K78" i="42"/>
  <c r="K81" i="42" s="1"/>
  <c r="I78" i="42"/>
  <c r="I81" i="42" s="1"/>
  <c r="I82" i="42" s="1"/>
  <c r="M65" i="42"/>
  <c r="K65" i="42"/>
  <c r="K68" i="42" s="1"/>
  <c r="I65" i="42"/>
  <c r="I68" i="42" s="1"/>
  <c r="I69" i="42" s="1"/>
  <c r="M52" i="42"/>
  <c r="I42" i="42"/>
  <c r="I43" i="42" s="1"/>
  <c r="M39" i="42"/>
  <c r="K39" i="42"/>
  <c r="K42" i="42" s="1"/>
  <c r="I39" i="42"/>
  <c r="M33" i="42"/>
  <c r="K33" i="42"/>
  <c r="I33" i="42"/>
  <c r="M27" i="42"/>
  <c r="K27" i="42"/>
  <c r="I27" i="42"/>
  <c r="M15" i="42"/>
  <c r="K15" i="42"/>
  <c r="I15" i="42"/>
  <c r="M11" i="42"/>
  <c r="K11" i="42"/>
  <c r="K18" i="42" s="1"/>
  <c r="I11" i="42"/>
  <c r="I18" i="42" s="1"/>
  <c r="I19" i="42" l="1"/>
  <c r="M92" i="41"/>
  <c r="K92" i="41"/>
  <c r="K95" i="41" s="1"/>
  <c r="I92" i="41"/>
  <c r="I95" i="41" s="1"/>
  <c r="M78" i="41"/>
  <c r="K78" i="41"/>
  <c r="K81" i="41" s="1"/>
  <c r="I78" i="41"/>
  <c r="I81" i="41" s="1"/>
  <c r="M65" i="41"/>
  <c r="K65" i="41"/>
  <c r="K68" i="41" s="1"/>
  <c r="I65" i="41"/>
  <c r="I68" i="41" s="1"/>
  <c r="M52" i="41"/>
  <c r="M39" i="41"/>
  <c r="K39" i="41"/>
  <c r="I39" i="41"/>
  <c r="M33" i="41"/>
  <c r="K33" i="41"/>
  <c r="K42" i="41" s="1"/>
  <c r="I33" i="41"/>
  <c r="I42" i="41" s="1"/>
  <c r="M27" i="41"/>
  <c r="K27" i="41"/>
  <c r="I27" i="41"/>
  <c r="M15" i="41"/>
  <c r="K15" i="41"/>
  <c r="I15" i="41"/>
  <c r="M11" i="41"/>
  <c r="K11" i="41"/>
  <c r="I11" i="41"/>
  <c r="I82" i="41" l="1"/>
  <c r="K18" i="41"/>
  <c r="I18" i="41"/>
  <c r="I69" i="41"/>
  <c r="I19" i="41"/>
  <c r="I43" i="41"/>
  <c r="I96" i="41"/>
  <c r="M93" i="40"/>
  <c r="K93" i="40"/>
  <c r="K96" i="40" s="1"/>
  <c r="I93" i="40"/>
  <c r="I96" i="40" s="1"/>
  <c r="M81" i="40"/>
  <c r="K81" i="40"/>
  <c r="K84" i="40" s="1"/>
  <c r="I81" i="40"/>
  <c r="I84" i="40" s="1"/>
  <c r="M68" i="40"/>
  <c r="K68" i="40"/>
  <c r="K71" i="40" s="1"/>
  <c r="I68" i="40"/>
  <c r="I71" i="40" s="1"/>
  <c r="I72" i="40" s="1"/>
  <c r="M52" i="40"/>
  <c r="K42" i="40"/>
  <c r="M39" i="40"/>
  <c r="K39" i="40"/>
  <c r="I39" i="40"/>
  <c r="M33" i="40"/>
  <c r="K33" i="40"/>
  <c r="I33" i="40"/>
  <c r="I42" i="40" s="1"/>
  <c r="I43" i="40" s="1"/>
  <c r="M27" i="40"/>
  <c r="K27" i="40"/>
  <c r="I27" i="40"/>
  <c r="M15" i="40"/>
  <c r="K15" i="40"/>
  <c r="I15" i="40"/>
  <c r="M11" i="40"/>
  <c r="K11" i="40"/>
  <c r="K18" i="40" s="1"/>
  <c r="I11" i="40"/>
  <c r="I97" i="40" l="1"/>
  <c r="I85" i="40"/>
  <c r="I18" i="40"/>
  <c r="I19" i="40" s="1"/>
  <c r="M90" i="39"/>
  <c r="K90" i="39"/>
  <c r="K93" i="39" s="1"/>
  <c r="I90" i="39"/>
  <c r="I93" i="39" s="1"/>
  <c r="M78" i="39"/>
  <c r="K78" i="39"/>
  <c r="K81" i="39" s="1"/>
  <c r="I78" i="39"/>
  <c r="I81" i="39" s="1"/>
  <c r="I82" i="39" s="1"/>
  <c r="M65" i="39"/>
  <c r="K65" i="39"/>
  <c r="K68" i="39" s="1"/>
  <c r="I65" i="39"/>
  <c r="I68" i="39" s="1"/>
  <c r="I69" i="39" s="1"/>
  <c r="M52" i="39"/>
  <c r="K42" i="39"/>
  <c r="M39" i="39"/>
  <c r="K39" i="39"/>
  <c r="I39" i="39"/>
  <c r="M33" i="39"/>
  <c r="K33" i="39"/>
  <c r="I33" i="39"/>
  <c r="I42" i="39" s="1"/>
  <c r="I43" i="39" s="1"/>
  <c r="M27" i="39"/>
  <c r="K27" i="39"/>
  <c r="I27" i="39"/>
  <c r="M15" i="39"/>
  <c r="K15" i="39"/>
  <c r="K18" i="39" s="1"/>
  <c r="I15" i="39"/>
  <c r="M11" i="39"/>
  <c r="K11" i="39"/>
  <c r="I11" i="39"/>
  <c r="I18" i="39" s="1"/>
  <c r="I19" i="39" s="1"/>
  <c r="I94" i="39" l="1"/>
  <c r="K93" i="38"/>
  <c r="I93" i="38"/>
  <c r="I94" i="38" s="1"/>
  <c r="M90" i="38"/>
  <c r="K90" i="38"/>
  <c r="I90" i="38"/>
  <c r="I81" i="38"/>
  <c r="M78" i="38"/>
  <c r="K78" i="38"/>
  <c r="K81" i="38" s="1"/>
  <c r="I78" i="38"/>
  <c r="M65" i="38"/>
  <c r="K65" i="38"/>
  <c r="K68" i="38" s="1"/>
  <c r="I65" i="38"/>
  <c r="I68" i="38" s="1"/>
  <c r="I69" i="38" s="1"/>
  <c r="M52" i="38"/>
  <c r="K42" i="38"/>
  <c r="I42" i="38"/>
  <c r="I43" i="38" s="1"/>
  <c r="M39" i="38"/>
  <c r="K39" i="38"/>
  <c r="I39" i="38"/>
  <c r="M33" i="38"/>
  <c r="K33" i="38"/>
  <c r="I33" i="38"/>
  <c r="M27" i="38"/>
  <c r="K27" i="38"/>
  <c r="I27" i="38"/>
  <c r="M15" i="38"/>
  <c r="K15" i="38"/>
  <c r="I15" i="38"/>
  <c r="M11" i="38"/>
  <c r="K11" i="38"/>
  <c r="I11" i="38"/>
  <c r="I18" i="38" l="1"/>
  <c r="K18" i="38"/>
  <c r="I19" i="38" s="1"/>
  <c r="I82" i="38"/>
  <c r="M89" i="37"/>
  <c r="K89" i="37"/>
  <c r="K92" i="37" s="1"/>
  <c r="I89" i="37"/>
  <c r="I92" i="37" s="1"/>
  <c r="I93" i="37" s="1"/>
  <c r="M77" i="37"/>
  <c r="K77" i="37"/>
  <c r="K80" i="37" s="1"/>
  <c r="I77" i="37"/>
  <c r="I80" i="37" s="1"/>
  <c r="I81" i="37" s="1"/>
  <c r="M64" i="37"/>
  <c r="K64" i="37"/>
  <c r="K67" i="37" s="1"/>
  <c r="I64" i="37"/>
  <c r="I67" i="37" s="1"/>
  <c r="I68" i="37" s="1"/>
  <c r="M51" i="37"/>
  <c r="M38" i="37"/>
  <c r="K38" i="37"/>
  <c r="I38" i="37"/>
  <c r="M32" i="37"/>
  <c r="K32" i="37"/>
  <c r="I32" i="37"/>
  <c r="M26" i="37"/>
  <c r="K26" i="37"/>
  <c r="I26" i="37"/>
  <c r="M14" i="37"/>
  <c r="K14" i="37"/>
  <c r="I14" i="37"/>
  <c r="M10" i="37"/>
  <c r="K10" i="37"/>
  <c r="I10" i="37"/>
  <c r="I17" i="37" s="1"/>
  <c r="K17" i="37" l="1"/>
  <c r="I18" i="37" s="1"/>
  <c r="K41" i="37"/>
  <c r="I41" i="37"/>
  <c r="M78" i="36"/>
  <c r="K78" i="36"/>
  <c r="K81" i="36" s="1"/>
  <c r="I78" i="36"/>
  <c r="I81" i="36" s="1"/>
  <c r="I82" i="36" s="1"/>
  <c r="I42" i="37" l="1"/>
  <c r="M65" i="36"/>
  <c r="M90" i="36"/>
  <c r="M52" i="36"/>
  <c r="M39" i="36"/>
  <c r="K39" i="36"/>
  <c r="I39" i="36"/>
  <c r="M33" i="36"/>
  <c r="K33" i="36"/>
  <c r="I33" i="36"/>
  <c r="M27" i="36"/>
  <c r="K27" i="36"/>
  <c r="I27" i="36"/>
  <c r="K90" i="36"/>
  <c r="K93" i="36" s="1"/>
  <c r="I90" i="36"/>
  <c r="I93" i="36" s="1"/>
  <c r="K65" i="36"/>
  <c r="K68" i="36" s="1"/>
  <c r="I65" i="36"/>
  <c r="I68" i="36" s="1"/>
  <c r="M15" i="36"/>
  <c r="K15" i="36"/>
  <c r="I15" i="36"/>
  <c r="M11" i="36"/>
  <c r="K11" i="36"/>
  <c r="I11" i="36"/>
  <c r="M98" i="2"/>
  <c r="K98" i="2"/>
  <c r="K101" i="2" s="1"/>
  <c r="I98" i="2"/>
  <c r="I101" i="2" s="1"/>
  <c r="I102" i="2" s="1"/>
  <c r="K18" i="36" l="1"/>
  <c r="I69" i="36"/>
  <c r="I42" i="36"/>
  <c r="K42" i="36"/>
  <c r="I18" i="36"/>
  <c r="I19" i="36" s="1"/>
  <c r="I94" i="36"/>
  <c r="M43" i="33"/>
  <c r="M30" i="33"/>
  <c r="I43" i="36" l="1"/>
  <c r="M62" i="34"/>
  <c r="M77" i="35"/>
  <c r="M64" i="35"/>
  <c r="K64" i="35"/>
  <c r="I64" i="35"/>
  <c r="M58" i="35"/>
  <c r="K58" i="35"/>
  <c r="I58" i="35"/>
  <c r="M52" i="35"/>
  <c r="K52" i="35"/>
  <c r="I52" i="35"/>
  <c r="M40" i="35"/>
  <c r="K40" i="35"/>
  <c r="K43" i="35" s="1"/>
  <c r="I40" i="35"/>
  <c r="I43" i="35" s="1"/>
  <c r="I44" i="35" s="1"/>
  <c r="M28" i="35"/>
  <c r="K28" i="35"/>
  <c r="K31" i="35" s="1"/>
  <c r="I28" i="35"/>
  <c r="I31" i="35" s="1"/>
  <c r="M15" i="35"/>
  <c r="K15" i="35"/>
  <c r="I15" i="35"/>
  <c r="M11" i="35"/>
  <c r="K11" i="35"/>
  <c r="K18" i="35" s="1"/>
  <c r="I11" i="35"/>
  <c r="M81" i="34"/>
  <c r="K62" i="34"/>
  <c r="I62" i="34"/>
  <c r="M56" i="34"/>
  <c r="K56" i="34"/>
  <c r="K65" i="34" s="1"/>
  <c r="I56" i="34"/>
  <c r="I65" i="34" s="1"/>
  <c r="M50" i="34"/>
  <c r="K50" i="34"/>
  <c r="I50" i="34"/>
  <c r="K38" i="34"/>
  <c r="K41" i="34" s="1"/>
  <c r="I38" i="34"/>
  <c r="I41" i="34" s="1"/>
  <c r="I42" i="34" s="1"/>
  <c r="K26" i="34"/>
  <c r="K29" i="34" s="1"/>
  <c r="I26" i="34"/>
  <c r="I29" i="34" s="1"/>
  <c r="M15" i="34"/>
  <c r="K15" i="34"/>
  <c r="I15" i="34"/>
  <c r="M11" i="34"/>
  <c r="K11" i="34"/>
  <c r="I11" i="34"/>
  <c r="I18" i="34" s="1"/>
  <c r="K67" i="35" l="1"/>
  <c r="I18" i="35"/>
  <c r="I19" i="35" s="1"/>
  <c r="I67" i="35"/>
  <c r="I68" i="35" s="1"/>
  <c r="I66" i="34"/>
  <c r="K18" i="34"/>
  <c r="I19" i="34" s="1"/>
  <c r="I32" i="35"/>
  <c r="I30" i="34"/>
  <c r="M86" i="33"/>
  <c r="K70" i="33"/>
  <c r="I70" i="33"/>
  <c r="I71" i="33" s="1"/>
  <c r="M67" i="33"/>
  <c r="K67" i="33"/>
  <c r="I67" i="33"/>
  <c r="M61" i="33"/>
  <c r="K61" i="33"/>
  <c r="I61" i="33"/>
  <c r="M55" i="33"/>
  <c r="K55" i="33"/>
  <c r="I55" i="33"/>
  <c r="K43" i="33"/>
  <c r="K46" i="33" s="1"/>
  <c r="I43" i="33"/>
  <c r="I46" i="33" s="1"/>
  <c r="I47" i="33" s="1"/>
  <c r="K30" i="33"/>
  <c r="K33" i="33" s="1"/>
  <c r="I30" i="33"/>
  <c r="I33" i="33" s="1"/>
  <c r="I34" i="33" s="1"/>
  <c r="K18" i="33"/>
  <c r="M15" i="33"/>
  <c r="K15" i="33"/>
  <c r="I15" i="33"/>
  <c r="M11" i="33"/>
  <c r="K11" i="33"/>
  <c r="I11" i="33"/>
  <c r="I18" i="33" s="1"/>
  <c r="I19" i="33" s="1"/>
  <c r="M86" i="32" l="1"/>
  <c r="M67" i="32"/>
  <c r="K67" i="32"/>
  <c r="I67" i="32"/>
  <c r="M61" i="32"/>
  <c r="K61" i="32"/>
  <c r="K70" i="32" s="1"/>
  <c r="I61" i="32"/>
  <c r="I70" i="32" s="1"/>
  <c r="I71" i="32" s="1"/>
  <c r="M55" i="32"/>
  <c r="K55" i="32"/>
  <c r="I55" i="32"/>
  <c r="M43" i="32"/>
  <c r="K43" i="32"/>
  <c r="K46" i="32" s="1"/>
  <c r="I43" i="32"/>
  <c r="I46" i="32" s="1"/>
  <c r="I47" i="32" s="1"/>
  <c r="M30" i="32"/>
  <c r="K30" i="32"/>
  <c r="K33" i="32" s="1"/>
  <c r="I30" i="32"/>
  <c r="I33" i="32" s="1"/>
  <c r="I34" i="32" s="1"/>
  <c r="M15" i="32"/>
  <c r="K15" i="32"/>
  <c r="I15" i="32"/>
  <c r="M11" i="32"/>
  <c r="K11" i="32"/>
  <c r="K18" i="32" s="1"/>
  <c r="I11" i="32"/>
  <c r="I18" i="32" s="1"/>
  <c r="I19" i="32" s="1"/>
  <c r="M86" i="31" l="1"/>
  <c r="K70" i="31"/>
  <c r="M67" i="31"/>
  <c r="K67" i="31"/>
  <c r="I67" i="31"/>
  <c r="M61" i="31"/>
  <c r="K61" i="31"/>
  <c r="I61" i="31"/>
  <c r="M55" i="31"/>
  <c r="K55" i="31"/>
  <c r="I55" i="31"/>
  <c r="M43" i="31"/>
  <c r="K43" i="31"/>
  <c r="K46" i="31" s="1"/>
  <c r="I43" i="31"/>
  <c r="I46" i="31" s="1"/>
  <c r="I47" i="31" s="1"/>
  <c r="M30" i="31"/>
  <c r="K30" i="31"/>
  <c r="K33" i="31" s="1"/>
  <c r="I30" i="31"/>
  <c r="I33" i="31" s="1"/>
  <c r="K18" i="31"/>
  <c r="M15" i="31"/>
  <c r="K15" i="31"/>
  <c r="I15" i="31"/>
  <c r="M11" i="31"/>
  <c r="K11" i="31"/>
  <c r="I11" i="31"/>
  <c r="I18" i="31" s="1"/>
  <c r="I19" i="31" s="1"/>
  <c r="I70" i="31" l="1"/>
  <c r="I71" i="31" s="1"/>
  <c r="I34" i="31"/>
  <c r="M85" i="30"/>
  <c r="K69" i="30"/>
  <c r="M66" i="30"/>
  <c r="K66" i="30"/>
  <c r="I66" i="30"/>
  <c r="M60" i="30"/>
  <c r="K60" i="30"/>
  <c r="I60" i="30"/>
  <c r="M54" i="30"/>
  <c r="K54" i="30"/>
  <c r="I54" i="30"/>
  <c r="M42" i="30"/>
  <c r="K42" i="30"/>
  <c r="K45" i="30" s="1"/>
  <c r="I42" i="30"/>
  <c r="I45" i="30" s="1"/>
  <c r="M29" i="30"/>
  <c r="K29" i="30"/>
  <c r="K32" i="30" s="1"/>
  <c r="I29" i="30"/>
  <c r="I32" i="30" s="1"/>
  <c r="I33" i="30" s="1"/>
  <c r="K18" i="30"/>
  <c r="M15" i="30"/>
  <c r="K15" i="30"/>
  <c r="I15" i="30"/>
  <c r="M11" i="30"/>
  <c r="K11" i="30"/>
  <c r="I11" i="30"/>
  <c r="I18" i="30" s="1"/>
  <c r="I19" i="30" s="1"/>
  <c r="I46" i="30" l="1"/>
  <c r="I69" i="30"/>
  <c r="I70" i="30" s="1"/>
  <c r="M84" i="29"/>
  <c r="M65" i="29"/>
  <c r="K65" i="29"/>
  <c r="I65" i="29"/>
  <c r="M59" i="29"/>
  <c r="K59" i="29"/>
  <c r="K68" i="29" s="1"/>
  <c r="I59" i="29"/>
  <c r="M53" i="29"/>
  <c r="K53" i="29"/>
  <c r="I53" i="29"/>
  <c r="M41" i="29"/>
  <c r="K41" i="29"/>
  <c r="K44" i="29" s="1"/>
  <c r="I41" i="29"/>
  <c r="I44" i="29" s="1"/>
  <c r="I45" i="29" s="1"/>
  <c r="M29" i="29"/>
  <c r="K29" i="29"/>
  <c r="K32" i="29" s="1"/>
  <c r="I29" i="29"/>
  <c r="I32" i="29" s="1"/>
  <c r="M15" i="29"/>
  <c r="K15" i="29"/>
  <c r="I15" i="29"/>
  <c r="M11" i="29"/>
  <c r="K11" i="29"/>
  <c r="K18" i="29" s="1"/>
  <c r="I11" i="29"/>
  <c r="I68" i="29" l="1"/>
  <c r="I69" i="29" s="1"/>
  <c r="I18" i="29"/>
  <c r="I19" i="29" s="1"/>
  <c r="I33" i="29"/>
  <c r="M88" i="28"/>
  <c r="M69" i="28"/>
  <c r="K69" i="28"/>
  <c r="I69" i="28"/>
  <c r="M63" i="28"/>
  <c r="K63" i="28"/>
  <c r="K72" i="28" s="1"/>
  <c r="I63" i="28"/>
  <c r="I72" i="28" s="1"/>
  <c r="I73" i="28" s="1"/>
  <c r="M57" i="28"/>
  <c r="K57" i="28"/>
  <c r="I57" i="28"/>
  <c r="M45" i="28"/>
  <c r="K45" i="28"/>
  <c r="K48" i="28" s="1"/>
  <c r="I45" i="28"/>
  <c r="I48" i="28" s="1"/>
  <c r="M31" i="28"/>
  <c r="K31" i="28"/>
  <c r="K34" i="28" s="1"/>
  <c r="I31" i="28"/>
  <c r="I34" i="28" s="1"/>
  <c r="M15" i="28"/>
  <c r="K15" i="28"/>
  <c r="I15" i="28"/>
  <c r="M11" i="28"/>
  <c r="K11" i="28"/>
  <c r="K18" i="28" s="1"/>
  <c r="I11" i="28"/>
  <c r="I49" i="28" l="1"/>
  <c r="I35" i="28"/>
  <c r="I18" i="28"/>
  <c r="I19" i="28" s="1"/>
  <c r="M88" i="27"/>
  <c r="K72" i="27"/>
  <c r="I72" i="27"/>
  <c r="I73" i="27" s="1"/>
  <c r="M69" i="27"/>
  <c r="K69" i="27"/>
  <c r="I69" i="27"/>
  <c r="M63" i="27"/>
  <c r="K63" i="27"/>
  <c r="I63" i="27"/>
  <c r="M57" i="27"/>
  <c r="K57" i="27"/>
  <c r="I57" i="27"/>
  <c r="M43" i="27"/>
  <c r="K43" i="27"/>
  <c r="K46" i="27" s="1"/>
  <c r="I43" i="27"/>
  <c r="I46" i="27" s="1"/>
  <c r="I47" i="27" s="1"/>
  <c r="M31" i="27"/>
  <c r="K31" i="27"/>
  <c r="K34" i="27" s="1"/>
  <c r="I31" i="27"/>
  <c r="I34" i="27" s="1"/>
  <c r="I35" i="27" s="1"/>
  <c r="K18" i="27"/>
  <c r="M15" i="27"/>
  <c r="K15" i="27"/>
  <c r="I15" i="27"/>
  <c r="M11" i="27"/>
  <c r="K11" i="27"/>
  <c r="I11" i="27"/>
  <c r="I18" i="27" s="1"/>
  <c r="I19" i="27" s="1"/>
  <c r="K31" i="26" l="1"/>
  <c r="K34" i="26" s="1"/>
  <c r="I31" i="26"/>
  <c r="I34" i="26" s="1"/>
  <c r="M88" i="26"/>
  <c r="K72" i="26"/>
  <c r="M69" i="26"/>
  <c r="K69" i="26"/>
  <c r="I69" i="26"/>
  <c r="M63" i="26"/>
  <c r="K63" i="26"/>
  <c r="I63" i="26"/>
  <c r="I72" i="26" s="1"/>
  <c r="I73" i="26" s="1"/>
  <c r="M57" i="26"/>
  <c r="K57" i="26"/>
  <c r="I57" i="26"/>
  <c r="M43" i="26"/>
  <c r="K43" i="26"/>
  <c r="K46" i="26" s="1"/>
  <c r="I43" i="26"/>
  <c r="I46" i="26" s="1"/>
  <c r="M31" i="26"/>
  <c r="M15" i="26"/>
  <c r="K15" i="26"/>
  <c r="I15" i="26"/>
  <c r="M11" i="26"/>
  <c r="K11" i="26"/>
  <c r="K18" i="26" s="1"/>
  <c r="I11" i="26"/>
  <c r="I18" i="26" s="1"/>
  <c r="K11" i="25"/>
  <c r="I11" i="25"/>
  <c r="M86" i="25"/>
  <c r="M67" i="25"/>
  <c r="K67" i="25"/>
  <c r="K70" i="25" s="1"/>
  <c r="I67" i="25"/>
  <c r="M61" i="25"/>
  <c r="K61" i="25"/>
  <c r="I61" i="25"/>
  <c r="M55" i="25"/>
  <c r="K55" i="25"/>
  <c r="I55" i="25"/>
  <c r="M41" i="25"/>
  <c r="K41" i="25"/>
  <c r="K44" i="25" s="1"/>
  <c r="I41" i="25"/>
  <c r="I44" i="25" s="1"/>
  <c r="I45" i="25" s="1"/>
  <c r="M29" i="25"/>
  <c r="K29" i="25"/>
  <c r="K32" i="25" s="1"/>
  <c r="I29" i="25"/>
  <c r="I32" i="25" s="1"/>
  <c r="M15" i="25"/>
  <c r="K15" i="25"/>
  <c r="I15" i="25"/>
  <c r="M11" i="25"/>
  <c r="I18" i="25"/>
  <c r="I47" i="26" l="1"/>
  <c r="I19" i="26"/>
  <c r="I35" i="26"/>
  <c r="I70" i="25"/>
  <c r="I71" i="25" s="1"/>
  <c r="K18" i="25"/>
  <c r="I19" i="25"/>
  <c r="I33" i="25"/>
  <c r="M88" i="24"/>
  <c r="M69" i="24"/>
  <c r="K69" i="24"/>
  <c r="I69" i="24"/>
  <c r="M63" i="24"/>
  <c r="K63" i="24"/>
  <c r="K72" i="24" s="1"/>
  <c r="I63" i="24"/>
  <c r="I72" i="24" s="1"/>
  <c r="I73" i="24" s="1"/>
  <c r="M57" i="24"/>
  <c r="K57" i="24"/>
  <c r="I57" i="24"/>
  <c r="M43" i="24"/>
  <c r="K43" i="24"/>
  <c r="K46" i="24" s="1"/>
  <c r="I43" i="24"/>
  <c r="I46" i="24" s="1"/>
  <c r="M29" i="24"/>
  <c r="K29" i="24"/>
  <c r="K32" i="24" s="1"/>
  <c r="I29" i="24"/>
  <c r="I32" i="24" s="1"/>
  <c r="M15" i="24"/>
  <c r="K15" i="24"/>
  <c r="I15" i="24"/>
  <c r="M11" i="24"/>
  <c r="K11" i="24"/>
  <c r="K18" i="24" s="1"/>
  <c r="I11" i="24"/>
  <c r="I18" i="24" s="1"/>
  <c r="M88" i="23"/>
  <c r="M69" i="23"/>
  <c r="K69" i="23"/>
  <c r="I69" i="23"/>
  <c r="M63" i="23"/>
  <c r="K63" i="23"/>
  <c r="K72" i="23" s="1"/>
  <c r="I63" i="23"/>
  <c r="I72" i="23" s="1"/>
  <c r="M57" i="23"/>
  <c r="K57" i="23"/>
  <c r="I57" i="23"/>
  <c r="M43" i="23"/>
  <c r="K43" i="23"/>
  <c r="K46" i="23" s="1"/>
  <c r="I43" i="23"/>
  <c r="I46" i="23" s="1"/>
  <c r="M29" i="23"/>
  <c r="K29" i="23"/>
  <c r="K32" i="23" s="1"/>
  <c r="I29" i="23"/>
  <c r="I32" i="23" s="1"/>
  <c r="M15" i="23"/>
  <c r="K15" i="23"/>
  <c r="I15" i="23"/>
  <c r="M11" i="23"/>
  <c r="K11" i="23"/>
  <c r="I11" i="23"/>
  <c r="I18" i="23" s="1"/>
  <c r="M86" i="22"/>
  <c r="M67" i="22"/>
  <c r="K67" i="22"/>
  <c r="I67" i="22"/>
  <c r="M61" i="22"/>
  <c r="K61" i="22"/>
  <c r="I61" i="22"/>
  <c r="M55" i="22"/>
  <c r="K55" i="22"/>
  <c r="I55" i="22"/>
  <c r="M41" i="22"/>
  <c r="K41" i="22"/>
  <c r="K44" i="22" s="1"/>
  <c r="I41" i="22"/>
  <c r="I44" i="22" s="1"/>
  <c r="M27" i="22"/>
  <c r="K27" i="22"/>
  <c r="K30" i="22" s="1"/>
  <c r="I27" i="22"/>
  <c r="I30" i="22" s="1"/>
  <c r="M13" i="22"/>
  <c r="K13" i="22"/>
  <c r="I13" i="22"/>
  <c r="M9" i="22"/>
  <c r="K9" i="22"/>
  <c r="I9" i="22"/>
  <c r="M88" i="21"/>
  <c r="M69" i="21"/>
  <c r="K69" i="21"/>
  <c r="I69" i="21"/>
  <c r="M63" i="21"/>
  <c r="K63" i="21"/>
  <c r="I63" i="21"/>
  <c r="M57" i="21"/>
  <c r="K57" i="21"/>
  <c r="I57" i="21"/>
  <c r="M43" i="21"/>
  <c r="K43" i="21"/>
  <c r="K46" i="21" s="1"/>
  <c r="I43" i="21"/>
  <c r="I46" i="21" s="1"/>
  <c r="M29" i="21"/>
  <c r="K29" i="21"/>
  <c r="K32" i="21" s="1"/>
  <c r="I29" i="21"/>
  <c r="I32" i="21" s="1"/>
  <c r="M17" i="21"/>
  <c r="K17" i="21"/>
  <c r="I17" i="21"/>
  <c r="M11" i="21"/>
  <c r="K11" i="21"/>
  <c r="I11" i="21"/>
  <c r="M83" i="20"/>
  <c r="M64" i="20"/>
  <c r="K64" i="20"/>
  <c r="I64" i="20"/>
  <c r="M58" i="20"/>
  <c r="K58" i="20"/>
  <c r="I58" i="20"/>
  <c r="M52" i="20"/>
  <c r="K52" i="20"/>
  <c r="I52" i="20"/>
  <c r="M40" i="20"/>
  <c r="K40" i="20"/>
  <c r="K43" i="20" s="1"/>
  <c r="I40" i="20"/>
  <c r="I43" i="20" s="1"/>
  <c r="M27" i="20"/>
  <c r="K27" i="20"/>
  <c r="K30" i="20" s="1"/>
  <c r="I27" i="20"/>
  <c r="I30" i="20" s="1"/>
  <c r="M14" i="20"/>
  <c r="K14" i="20"/>
  <c r="I14" i="20"/>
  <c r="M10" i="20"/>
  <c r="K10" i="20"/>
  <c r="K17" i="20" s="1"/>
  <c r="I10" i="20"/>
  <c r="M92" i="19"/>
  <c r="M73" i="19"/>
  <c r="K73" i="19"/>
  <c r="I73" i="19"/>
  <c r="M67" i="19"/>
  <c r="K67" i="19"/>
  <c r="K76" i="19" s="1"/>
  <c r="I67" i="19"/>
  <c r="I76" i="19" s="1"/>
  <c r="M61" i="19"/>
  <c r="K61" i="19"/>
  <c r="I61" i="19"/>
  <c r="M47" i="19"/>
  <c r="K47" i="19"/>
  <c r="K50" i="19" s="1"/>
  <c r="I47" i="19"/>
  <c r="I50" i="19" s="1"/>
  <c r="M33" i="19"/>
  <c r="K33" i="19"/>
  <c r="K36" i="19" s="1"/>
  <c r="I33" i="19"/>
  <c r="I36" i="19" s="1"/>
  <c r="M20" i="19"/>
  <c r="K20" i="19"/>
  <c r="I20" i="19"/>
  <c r="M11" i="19"/>
  <c r="K11" i="19"/>
  <c r="I11" i="19"/>
  <c r="I23" i="19" s="1"/>
  <c r="M103" i="18"/>
  <c r="M84" i="18"/>
  <c r="K84" i="18"/>
  <c r="I84" i="18"/>
  <c r="M78" i="18"/>
  <c r="K78" i="18"/>
  <c r="I78" i="18"/>
  <c r="M72" i="18"/>
  <c r="K72" i="18"/>
  <c r="I72" i="18"/>
  <c r="M58" i="18"/>
  <c r="K58" i="18"/>
  <c r="K61" i="18" s="1"/>
  <c r="I58" i="18"/>
  <c r="I61" i="18" s="1"/>
  <c r="M39" i="18"/>
  <c r="K39" i="18"/>
  <c r="K42" i="18" s="1"/>
  <c r="I39" i="18"/>
  <c r="I42" i="18" s="1"/>
  <c r="M15" i="18"/>
  <c r="K15" i="18"/>
  <c r="I15" i="18"/>
  <c r="M10" i="18"/>
  <c r="K10" i="18"/>
  <c r="I10" i="18"/>
  <c r="M102" i="17"/>
  <c r="M83" i="17"/>
  <c r="K83" i="17"/>
  <c r="I83" i="17"/>
  <c r="M77" i="17"/>
  <c r="K77" i="17"/>
  <c r="I77" i="17"/>
  <c r="M71" i="17"/>
  <c r="K71" i="17"/>
  <c r="I71" i="17"/>
  <c r="M57" i="17"/>
  <c r="K57" i="17"/>
  <c r="K60" i="17" s="1"/>
  <c r="I57" i="17"/>
  <c r="I60" i="17" s="1"/>
  <c r="M38" i="17"/>
  <c r="K38" i="17"/>
  <c r="K41" i="17" s="1"/>
  <c r="I38" i="17"/>
  <c r="I41" i="17" s="1"/>
  <c r="M18" i="17"/>
  <c r="K18" i="17"/>
  <c r="I18" i="17"/>
  <c r="M12" i="17"/>
  <c r="K12" i="17"/>
  <c r="I12" i="17"/>
  <c r="M101" i="16"/>
  <c r="M82" i="16"/>
  <c r="K82" i="16"/>
  <c r="I82" i="16"/>
  <c r="M76" i="16"/>
  <c r="K76" i="16"/>
  <c r="I76" i="16"/>
  <c r="M70" i="16"/>
  <c r="K70" i="16"/>
  <c r="I70" i="16"/>
  <c r="M58" i="16"/>
  <c r="K58" i="16"/>
  <c r="K61" i="16" s="1"/>
  <c r="I58" i="16"/>
  <c r="I61" i="16" s="1"/>
  <c r="I62" i="16" s="1"/>
  <c r="M39" i="16"/>
  <c r="K39" i="16"/>
  <c r="K42" i="16" s="1"/>
  <c r="I39" i="16"/>
  <c r="I42" i="16" s="1"/>
  <c r="M15" i="16"/>
  <c r="K15" i="16"/>
  <c r="I15" i="16"/>
  <c r="M11" i="16"/>
  <c r="K11" i="16"/>
  <c r="K18" i="16" s="1"/>
  <c r="I11" i="16"/>
  <c r="M112" i="15"/>
  <c r="M93" i="15"/>
  <c r="K93" i="15"/>
  <c r="I93" i="15"/>
  <c r="M87" i="15"/>
  <c r="K87" i="15"/>
  <c r="K96" i="15" s="1"/>
  <c r="I87" i="15"/>
  <c r="I96" i="15" s="1"/>
  <c r="I97" i="15" s="1"/>
  <c r="M81" i="15"/>
  <c r="K81" i="15"/>
  <c r="I81" i="15"/>
  <c r="M67" i="15"/>
  <c r="K67" i="15"/>
  <c r="K70" i="15" s="1"/>
  <c r="I67" i="15"/>
  <c r="I70" i="15" s="1"/>
  <c r="M48" i="15"/>
  <c r="K48" i="15"/>
  <c r="K51" i="15" s="1"/>
  <c r="I48" i="15"/>
  <c r="I51" i="15" s="1"/>
  <c r="M24" i="15"/>
  <c r="K24" i="15"/>
  <c r="I24" i="15"/>
  <c r="M15" i="15"/>
  <c r="K15" i="15"/>
  <c r="I15" i="15"/>
  <c r="M95" i="14"/>
  <c r="M76" i="14"/>
  <c r="K76" i="14"/>
  <c r="I76" i="14"/>
  <c r="M70" i="14"/>
  <c r="K70" i="14"/>
  <c r="I70" i="14"/>
  <c r="M64" i="14"/>
  <c r="K64" i="14"/>
  <c r="I64" i="14"/>
  <c r="M50" i="14"/>
  <c r="K50" i="14"/>
  <c r="K53" i="14" s="1"/>
  <c r="I50" i="14"/>
  <c r="I53" i="14" s="1"/>
  <c r="M35" i="14"/>
  <c r="K35" i="14"/>
  <c r="K38" i="14" s="1"/>
  <c r="I35" i="14"/>
  <c r="I38" i="14" s="1"/>
  <c r="M19" i="14"/>
  <c r="K19" i="14"/>
  <c r="I19" i="14"/>
  <c r="M10" i="14"/>
  <c r="K10" i="14"/>
  <c r="I10" i="14"/>
  <c r="M112" i="13"/>
  <c r="M93" i="13"/>
  <c r="K93" i="13"/>
  <c r="I93" i="13"/>
  <c r="M87" i="13"/>
  <c r="K87" i="13"/>
  <c r="I87" i="13"/>
  <c r="M81" i="13"/>
  <c r="K81" i="13"/>
  <c r="I81" i="13"/>
  <c r="M67" i="13"/>
  <c r="K67" i="13"/>
  <c r="K70" i="13" s="1"/>
  <c r="I67" i="13"/>
  <c r="I70" i="13" s="1"/>
  <c r="M48" i="13"/>
  <c r="K48" i="13"/>
  <c r="K51" i="13" s="1"/>
  <c r="I48" i="13"/>
  <c r="I51" i="13" s="1"/>
  <c r="M24" i="13"/>
  <c r="K24" i="13"/>
  <c r="I24" i="13"/>
  <c r="M15" i="13"/>
  <c r="K15" i="13"/>
  <c r="I15" i="13"/>
  <c r="I112" i="12"/>
  <c r="M112" i="12"/>
  <c r="M93" i="12"/>
  <c r="K93" i="12"/>
  <c r="I93" i="12"/>
  <c r="M87" i="12"/>
  <c r="K87" i="12"/>
  <c r="I87" i="12"/>
  <c r="M81" i="12"/>
  <c r="K81" i="12"/>
  <c r="I81" i="12"/>
  <c r="M67" i="12"/>
  <c r="K67" i="12"/>
  <c r="K70" i="12" s="1"/>
  <c r="I67" i="12"/>
  <c r="I70" i="12" s="1"/>
  <c r="M48" i="12"/>
  <c r="K48" i="12"/>
  <c r="K51" i="12" s="1"/>
  <c r="I48" i="12"/>
  <c r="I51" i="12" s="1"/>
  <c r="M24" i="12"/>
  <c r="K24" i="12"/>
  <c r="I24" i="12"/>
  <c r="M15" i="12"/>
  <c r="K15" i="12"/>
  <c r="I15" i="12"/>
  <c r="M112" i="11"/>
  <c r="M93" i="11"/>
  <c r="K93" i="11"/>
  <c r="I93" i="11"/>
  <c r="M87" i="11"/>
  <c r="K87" i="11"/>
  <c r="I87" i="11"/>
  <c r="M81" i="11"/>
  <c r="K81" i="11"/>
  <c r="I81" i="11"/>
  <c r="M67" i="11"/>
  <c r="K67" i="11"/>
  <c r="K70" i="11" s="1"/>
  <c r="I67" i="11"/>
  <c r="I70" i="11" s="1"/>
  <c r="M48" i="11"/>
  <c r="K48" i="11"/>
  <c r="K51" i="11" s="1"/>
  <c r="I48" i="11"/>
  <c r="I51" i="11" s="1"/>
  <c r="M24" i="11"/>
  <c r="K24" i="11"/>
  <c r="I24" i="11"/>
  <c r="M15" i="11"/>
  <c r="K15" i="11"/>
  <c r="I15" i="11"/>
  <c r="M89" i="10"/>
  <c r="I58" i="10"/>
  <c r="K58" i="10"/>
  <c r="M58" i="10"/>
  <c r="I64" i="10"/>
  <c r="K64" i="10"/>
  <c r="M64" i="10"/>
  <c r="M44" i="10"/>
  <c r="K44" i="10"/>
  <c r="K47" i="10" s="1"/>
  <c r="I44" i="10"/>
  <c r="I47" i="10" s="1"/>
  <c r="M30" i="10"/>
  <c r="K30" i="10"/>
  <c r="K33" i="10" s="1"/>
  <c r="I30" i="10"/>
  <c r="I33" i="10" s="1"/>
  <c r="M70" i="10"/>
  <c r="K70" i="10"/>
  <c r="I70" i="10"/>
  <c r="M13" i="10"/>
  <c r="K13" i="10"/>
  <c r="I13" i="10"/>
  <c r="M9" i="10"/>
  <c r="K9" i="10"/>
  <c r="I9" i="10"/>
  <c r="I33" i="24" l="1"/>
  <c r="I19" i="24"/>
  <c r="I47" i="24"/>
  <c r="K18" i="23"/>
  <c r="I19" i="23" s="1"/>
  <c r="I73" i="23"/>
  <c r="I47" i="23"/>
  <c r="I33" i="23"/>
  <c r="I18" i="18"/>
  <c r="K87" i="18"/>
  <c r="K70" i="22"/>
  <c r="I18" i="16"/>
  <c r="K85" i="16"/>
  <c r="I86" i="16" s="1"/>
  <c r="I17" i="20"/>
  <c r="I70" i="22"/>
  <c r="I71" i="22" s="1"/>
  <c r="K16" i="22"/>
  <c r="I45" i="22"/>
  <c r="I31" i="22"/>
  <c r="I16" i="22"/>
  <c r="K18" i="18"/>
  <c r="I96" i="12"/>
  <c r="I21" i="17"/>
  <c r="K72" i="21"/>
  <c r="K86" i="17"/>
  <c r="K27" i="12"/>
  <c r="K96" i="12"/>
  <c r="K27" i="13"/>
  <c r="I85" i="16"/>
  <c r="I61" i="17"/>
  <c r="K96" i="13"/>
  <c r="I71" i="12"/>
  <c r="I52" i="15"/>
  <c r="K27" i="15"/>
  <c r="I87" i="18"/>
  <c r="I88" i="18" s="1"/>
  <c r="I47" i="21"/>
  <c r="I20" i="21"/>
  <c r="I72" i="21"/>
  <c r="I33" i="21"/>
  <c r="K20" i="21"/>
  <c r="I67" i="20"/>
  <c r="K67" i="20"/>
  <c r="I44" i="20"/>
  <c r="I18" i="20"/>
  <c r="I31" i="20"/>
  <c r="K23" i="19"/>
  <c r="I24" i="19" s="1"/>
  <c r="I51" i="19"/>
  <c r="I77" i="19"/>
  <c r="I37" i="19"/>
  <c r="I43" i="18"/>
  <c r="I19" i="18"/>
  <c r="I62" i="18"/>
  <c r="K21" i="17"/>
  <c r="I22" i="17" s="1"/>
  <c r="I86" i="17"/>
  <c r="I87" i="17" s="1"/>
  <c r="I42" i="17"/>
  <c r="I43" i="16"/>
  <c r="I19" i="16"/>
  <c r="I27" i="15"/>
  <c r="I71" i="15"/>
  <c r="I52" i="12"/>
  <c r="I52" i="11"/>
  <c r="I27" i="12"/>
  <c r="I28" i="12" s="1"/>
  <c r="I52" i="13"/>
  <c r="I96" i="13"/>
  <c r="I97" i="13" s="1"/>
  <c r="I27" i="13"/>
  <c r="I28" i="13" s="1"/>
  <c r="I79" i="14"/>
  <c r="I54" i="14"/>
  <c r="K22" i="14"/>
  <c r="K79" i="14"/>
  <c r="I39" i="14"/>
  <c r="I22" i="14"/>
  <c r="I71" i="13"/>
  <c r="I73" i="10"/>
  <c r="I96" i="11"/>
  <c r="K96" i="11"/>
  <c r="I27" i="11"/>
  <c r="K73" i="10"/>
  <c r="K27" i="11"/>
  <c r="I71" i="11"/>
  <c r="I34" i="10"/>
  <c r="I16" i="10"/>
  <c r="K16" i="10"/>
  <c r="I48" i="10"/>
  <c r="M95" i="8"/>
  <c r="K95" i="8"/>
  <c r="K98" i="8" s="1"/>
  <c r="I95" i="8"/>
  <c r="I98" i="8" s="1"/>
  <c r="M76" i="8"/>
  <c r="K76" i="8"/>
  <c r="K79" i="8" s="1"/>
  <c r="I76" i="8"/>
  <c r="I79" i="8" s="1"/>
  <c r="M50" i="8"/>
  <c r="K50" i="8"/>
  <c r="I50" i="8"/>
  <c r="M44" i="8"/>
  <c r="K44" i="8"/>
  <c r="I44" i="8"/>
  <c r="M38" i="8"/>
  <c r="K38" i="8"/>
  <c r="I38" i="8"/>
  <c r="M24" i="8"/>
  <c r="K24" i="8"/>
  <c r="I24" i="8"/>
  <c r="M15" i="8"/>
  <c r="K15" i="8"/>
  <c r="K27" i="8" s="1"/>
  <c r="I15" i="8"/>
  <c r="I27" i="8" s="1"/>
  <c r="I97" i="12" l="1"/>
  <c r="I17" i="22"/>
  <c r="I74" i="10"/>
  <c r="I73" i="21"/>
  <c r="I28" i="15"/>
  <c r="I21" i="21"/>
  <c r="I68" i="20"/>
  <c r="I97" i="11"/>
  <c r="I80" i="14"/>
  <c r="I23" i="14"/>
  <c r="I28" i="8"/>
  <c r="I28" i="11"/>
  <c r="I17" i="10"/>
  <c r="I99" i="8"/>
  <c r="I53" i="8"/>
  <c r="K53" i="8"/>
  <c r="I80" i="8"/>
  <c r="I54" i="8" l="1"/>
  <c r="M93" i="7"/>
  <c r="K93" i="7"/>
  <c r="K96" i="7" s="1"/>
  <c r="I93" i="7"/>
  <c r="I96" i="7" s="1"/>
  <c r="M74" i="7"/>
  <c r="K74" i="7"/>
  <c r="K77" i="7" s="1"/>
  <c r="I74" i="7"/>
  <c r="I77" i="7" s="1"/>
  <c r="I78" i="7" s="1"/>
  <c r="M50" i="7"/>
  <c r="K50" i="7"/>
  <c r="I50" i="7"/>
  <c r="M44" i="7"/>
  <c r="K44" i="7"/>
  <c r="I44" i="7"/>
  <c r="M38" i="7"/>
  <c r="K38" i="7"/>
  <c r="I38" i="7"/>
  <c r="M24" i="7"/>
  <c r="K24" i="7"/>
  <c r="I24" i="7"/>
  <c r="M15" i="7"/>
  <c r="K15" i="7"/>
  <c r="I15" i="7"/>
  <c r="I27" i="7" s="1"/>
  <c r="I53" i="7" l="1"/>
  <c r="K27" i="7"/>
  <c r="I28" i="7" s="1"/>
  <c r="I97" i="7"/>
  <c r="K53" i="7"/>
  <c r="I15" i="6"/>
  <c r="I54" i="7" l="1"/>
  <c r="M93" i="6"/>
  <c r="K93" i="6"/>
  <c r="K96" i="6" s="1"/>
  <c r="I93" i="6"/>
  <c r="I96" i="6" s="1"/>
  <c r="M74" i="6"/>
  <c r="K74" i="6"/>
  <c r="K77" i="6" s="1"/>
  <c r="I74" i="6"/>
  <c r="I77" i="6" s="1"/>
  <c r="I78" i="6" s="1"/>
  <c r="M50" i="6"/>
  <c r="K50" i="6"/>
  <c r="I50" i="6"/>
  <c r="M44" i="6"/>
  <c r="K44" i="6"/>
  <c r="I44" i="6"/>
  <c r="I53" i="6" s="1"/>
  <c r="M38" i="6"/>
  <c r="K38" i="6"/>
  <c r="I38" i="6"/>
  <c r="M24" i="6"/>
  <c r="K24" i="6"/>
  <c r="I24" i="6"/>
  <c r="M15" i="6"/>
  <c r="K15" i="6"/>
  <c r="K27" i="6" s="1"/>
  <c r="I27" i="6"/>
  <c r="K93" i="4"/>
  <c r="I93" i="4"/>
  <c r="K74" i="4"/>
  <c r="I74" i="4"/>
  <c r="I97" i="6" l="1"/>
  <c r="I28" i="6"/>
  <c r="K53" i="6"/>
  <c r="I54" i="6" s="1"/>
  <c r="M93" i="4"/>
  <c r="K96" i="4"/>
  <c r="I96" i="4"/>
  <c r="I97" i="4" s="1"/>
  <c r="M74" i="4"/>
  <c r="K77" i="4"/>
  <c r="I77" i="4"/>
  <c r="M50" i="4"/>
  <c r="K50" i="4"/>
  <c r="I50" i="4"/>
  <c r="M44" i="4"/>
  <c r="K44" i="4"/>
  <c r="K53" i="4" s="1"/>
  <c r="I44" i="4"/>
  <c r="I53" i="4" s="1"/>
  <c r="M38" i="4"/>
  <c r="K38" i="4"/>
  <c r="I38" i="4"/>
  <c r="M24" i="4"/>
  <c r="K24" i="4"/>
  <c r="I24" i="4"/>
  <c r="M15" i="4"/>
  <c r="K15" i="4"/>
  <c r="K27" i="4" s="1"/>
  <c r="I15" i="4"/>
  <c r="I27" i="4" s="1"/>
  <c r="I28" i="4" l="1"/>
  <c r="I78" i="4"/>
  <c r="I54" i="4"/>
  <c r="M93" i="3"/>
  <c r="K93" i="3"/>
  <c r="K96" i="3" s="1"/>
  <c r="I93" i="3"/>
  <c r="I96" i="3" s="1"/>
  <c r="M74" i="3"/>
  <c r="K74" i="3"/>
  <c r="K77" i="3" s="1"/>
  <c r="I74" i="3"/>
  <c r="I77" i="3" s="1"/>
  <c r="M50" i="3"/>
  <c r="K50" i="3"/>
  <c r="I50" i="3"/>
  <c r="M44" i="3"/>
  <c r="K44" i="3"/>
  <c r="I44" i="3"/>
  <c r="M38" i="3"/>
  <c r="K38" i="3"/>
  <c r="I38" i="3"/>
  <c r="M24" i="3"/>
  <c r="K24" i="3"/>
  <c r="I24" i="3"/>
  <c r="M15" i="3"/>
  <c r="K15" i="3"/>
  <c r="I15" i="3"/>
  <c r="I97" i="3" l="1"/>
  <c r="K53" i="3"/>
  <c r="I78" i="3"/>
  <c r="K27" i="3"/>
  <c r="I53" i="3"/>
  <c r="I54" i="3"/>
  <c r="I27" i="3"/>
  <c r="M117" i="2"/>
  <c r="K117" i="2"/>
  <c r="K120" i="2" s="1"/>
  <c r="I117" i="2"/>
  <c r="I120" i="2" s="1"/>
  <c r="I121" i="2" s="1"/>
  <c r="M74" i="2"/>
  <c r="K74" i="2"/>
  <c r="K77" i="2" s="1"/>
  <c r="I74" i="2"/>
  <c r="I77" i="2" s="1"/>
  <c r="M50" i="2"/>
  <c r="K50" i="2"/>
  <c r="I50" i="2"/>
  <c r="M44" i="2"/>
  <c r="K44" i="2"/>
  <c r="I44" i="2"/>
  <c r="M38" i="2"/>
  <c r="K38" i="2"/>
  <c r="I38" i="2"/>
  <c r="M24" i="2"/>
  <c r="K24" i="2"/>
  <c r="I24" i="2"/>
  <c r="M15" i="2"/>
  <c r="K15" i="2"/>
  <c r="I15" i="2"/>
  <c r="I27" i="2" s="1"/>
  <c r="I78" i="2" l="1"/>
  <c r="K27" i="2"/>
  <c r="I28" i="2" s="1"/>
  <c r="I53" i="2"/>
  <c r="K53" i="2"/>
  <c r="I28" i="3"/>
  <c r="I115" i="12"/>
  <c r="I54" i="2" l="1"/>
  <c r="I54" i="46" l="1"/>
  <c r="I60" i="48" l="1"/>
  <c r="I61" i="48"/>
  <c r="K60" i="48"/>
  <c r="K55" i="40"/>
  <c r="K52" i="40"/>
  <c r="K91" i="28"/>
  <c r="K88" i="28"/>
  <c r="I87" i="20"/>
  <c r="I92" i="23"/>
  <c r="K83" i="20"/>
  <c r="K86" i="20"/>
  <c r="I96" i="19"/>
  <c r="K88" i="21"/>
  <c r="K91" i="21"/>
  <c r="K55" i="36"/>
  <c r="K52" i="36"/>
  <c r="K89" i="22"/>
  <c r="K86" i="22"/>
  <c r="I99" i="14"/>
  <c r="K52" i="44"/>
  <c r="K55" i="44"/>
  <c r="K88" i="30"/>
  <c r="K85" i="30"/>
  <c r="K89" i="33"/>
  <c r="K86" i="33"/>
  <c r="K55" i="45"/>
  <c r="K52" i="45"/>
  <c r="K106" i="18"/>
  <c r="K103" i="18"/>
  <c r="K91" i="26"/>
  <c r="K88" i="26"/>
  <c r="I88" i="29"/>
  <c r="K112" i="11"/>
  <c r="K115" i="11"/>
  <c r="K55" i="49"/>
  <c r="K58" i="49"/>
  <c r="K98" i="14"/>
  <c r="K95" i="14"/>
  <c r="K52" i="42"/>
  <c r="K55" i="42"/>
  <c r="K52" i="41"/>
  <c r="K55" i="41"/>
  <c r="K86" i="31"/>
  <c r="K89" i="31"/>
  <c r="I52" i="38"/>
  <c r="I55" i="38"/>
  <c r="I56" i="38"/>
  <c r="I52" i="39"/>
  <c r="I55" i="39"/>
  <c r="I56" i="39"/>
  <c r="I52" i="40"/>
  <c r="I55" i="40"/>
  <c r="I56" i="40"/>
  <c r="K88" i="27"/>
  <c r="K91" i="27"/>
  <c r="I84" i="29"/>
  <c r="I87" i="29"/>
  <c r="I116" i="13"/>
  <c r="I115" i="13"/>
  <c r="I112" i="13"/>
  <c r="K92" i="19"/>
  <c r="K95" i="19"/>
  <c r="I56" i="36"/>
  <c r="I102" i="17"/>
  <c r="I105" i="17"/>
  <c r="I106" i="17"/>
  <c r="K51" i="37"/>
  <c r="K54" i="37"/>
  <c r="K55" i="39"/>
  <c r="K52" i="39"/>
  <c r="I88" i="24"/>
  <c r="I91" i="24"/>
  <c r="I92" i="24"/>
  <c r="I88" i="21"/>
  <c r="I91" i="21"/>
  <c r="I92" i="21"/>
  <c r="K55" i="38"/>
  <c r="K52" i="38"/>
  <c r="I105" i="16"/>
  <c r="K115" i="15"/>
  <c r="K112" i="15"/>
  <c r="I86" i="20"/>
  <c r="I83" i="20"/>
  <c r="I92" i="19"/>
  <c r="I95" i="19"/>
  <c r="I95" i="14"/>
  <c r="I98" i="14"/>
  <c r="I90" i="25"/>
  <c r="I91" i="23"/>
  <c r="I88" i="23"/>
  <c r="K89" i="25"/>
  <c r="K86" i="25"/>
  <c r="I116" i="15"/>
  <c r="K84" i="29"/>
  <c r="K87" i="29"/>
  <c r="I85" i="30"/>
  <c r="I88" i="30"/>
  <c r="I89" i="30"/>
  <c r="K102" i="17"/>
  <c r="K105" i="17"/>
  <c r="I86" i="33"/>
  <c r="I89" i="33"/>
  <c r="I90" i="33"/>
  <c r="I101" i="16"/>
  <c r="I104" i="16"/>
  <c r="K88" i="23"/>
  <c r="K91" i="23"/>
  <c r="I51" i="37"/>
  <c r="I54" i="37"/>
  <c r="I55" i="37"/>
  <c r="I55" i="47"/>
  <c r="I58" i="47"/>
  <c r="I59" i="47"/>
  <c r="I86" i="32"/>
  <c r="I89" i="32"/>
  <c r="I90" i="32"/>
  <c r="K55" i="43"/>
  <c r="K52" i="43"/>
  <c r="I112" i="15"/>
  <c r="I115" i="15"/>
  <c r="K58" i="47"/>
  <c r="K55" i="47"/>
  <c r="I85" i="34"/>
  <c r="K89" i="32"/>
  <c r="K86" i="32"/>
  <c r="K92" i="10"/>
  <c r="K89" i="10"/>
  <c r="I92" i="26"/>
  <c r="I55" i="46"/>
  <c r="I56" i="43"/>
  <c r="K115" i="13"/>
  <c r="K112" i="13"/>
  <c r="I81" i="34"/>
  <c r="I84" i="34"/>
  <c r="I86" i="31"/>
  <c r="I89" i="31"/>
  <c r="I90" i="31"/>
  <c r="K91" i="24"/>
  <c r="K88" i="24"/>
  <c r="I77" i="35"/>
  <c r="I80" i="35"/>
  <c r="I81" i="35"/>
  <c r="I86" i="25"/>
  <c r="I89" i="25"/>
  <c r="I55" i="49"/>
  <c r="I58" i="49"/>
  <c r="I59" i="49"/>
  <c r="I88" i="26"/>
  <c r="I91" i="26"/>
  <c r="K51" i="46"/>
  <c r="K54" i="46"/>
  <c r="K112" i="12"/>
  <c r="K115" i="12"/>
  <c r="I116" i="12"/>
  <c r="K77" i="35"/>
  <c r="K80" i="35"/>
  <c r="I52" i="41"/>
  <c r="I55" i="41"/>
  <c r="I56" i="41"/>
  <c r="I52" i="43"/>
  <c r="I55" i="43"/>
  <c r="K84" i="34"/>
  <c r="K81" i="34"/>
  <c r="I52" i="42"/>
  <c r="I55" i="42"/>
  <c r="I56" i="42"/>
  <c r="I88" i="27"/>
  <c r="I91" i="27"/>
  <c r="I92" i="27"/>
  <c r="K104" i="16"/>
  <c r="K101" i="16"/>
  <c r="I52" i="44"/>
  <c r="I55" i="44"/>
  <c r="I56" i="44"/>
  <c r="I89" i="10"/>
  <c r="I92" i="10"/>
  <c r="I93" i="10"/>
  <c r="I86" i="22"/>
  <c r="I89" i="22"/>
  <c r="I90" i="22"/>
  <c r="I52" i="36"/>
  <c r="I55" i="36"/>
  <c r="I52" i="45"/>
  <c r="I55" i="45"/>
  <c r="I56" i="45"/>
  <c r="I103" i="18"/>
  <c r="I106" i="18"/>
  <c r="I107" i="18"/>
  <c r="I112" i="11"/>
  <c r="I115" i="11"/>
  <c r="I116" i="11"/>
  <c r="I88" i="28"/>
  <c r="I91" i="28"/>
  <c r="I92" i="28"/>
</calcChain>
</file>

<file path=xl/sharedStrings.xml><?xml version="1.0" encoding="utf-8"?>
<sst xmlns="http://schemas.openxmlformats.org/spreadsheetml/2006/main" count="9246" uniqueCount="466">
  <si>
    <t>TOPLAM:</t>
  </si>
  <si>
    <t>Bölüm</t>
  </si>
  <si>
    <t>Başlama Saati</t>
  </si>
  <si>
    <t>Bitiş Saati</t>
  </si>
  <si>
    <t>Takip No</t>
  </si>
  <si>
    <t>Üretilen Mamül</t>
  </si>
  <si>
    <t>Adetler</t>
  </si>
  <si>
    <t>Duraklama</t>
  </si>
  <si>
    <t>Duraklama Nedenleri</t>
  </si>
  <si>
    <t>Açıklama</t>
  </si>
  <si>
    <t>Tarih:</t>
  </si>
  <si>
    <t>Teflon</t>
  </si>
  <si>
    <t>Adet</t>
  </si>
  <si>
    <t>Dk</t>
  </si>
  <si>
    <t>Kalite</t>
  </si>
  <si>
    <t>Kalınlık</t>
  </si>
  <si>
    <t>ÇAYDANLIK BOĞMA GENEL TOPLAM:</t>
  </si>
  <si>
    <t>Gövde İşlemi</t>
  </si>
  <si>
    <t>TENCERE POLİSAJ GÜNLÜK ÜRETİM RAPORU</t>
  </si>
  <si>
    <t>Tencere</t>
  </si>
  <si>
    <t>Düdüklü</t>
  </si>
  <si>
    <t>Polisaj Manuel</t>
  </si>
  <si>
    <t>KAPAK POLİSAJ GÜNLÜK ÜRETİM RAPORU</t>
  </si>
  <si>
    <t>Çelik</t>
  </si>
  <si>
    <t>Otomatik
Polisaj 
Kapak</t>
  </si>
  <si>
    <t>Manuel
Polisaj 
Kapak</t>
  </si>
  <si>
    <t>KAPAK POLİSAJ GENEL TOPLAM:</t>
  </si>
  <si>
    <t>DETAYLAR</t>
  </si>
  <si>
    <t xml:space="preserve">El Motoru
Polisaj 
Kapak Kenar
</t>
  </si>
  <si>
    <t>Yapılan Operasyon</t>
  </si>
  <si>
    <t>SET PAKETLEME GÜNLÜK ÜRETİM RAPORU</t>
  </si>
  <si>
    <t xml:space="preserve">Lines 9 pcs Zeycan Güveç Set </t>
  </si>
  <si>
    <t>Set yapıldı - Shring</t>
  </si>
  <si>
    <t>TENCERE PAKETLEME GENEL TOPLAM:</t>
  </si>
  <si>
    <t>SET PAKETLEME GENEL TOPLAM:</t>
  </si>
  <si>
    <t>Set Paketleme</t>
  </si>
  <si>
    <t>TENCERE MONTAJ-PAKETLEME GÜNLÜK ÜRETİM RAPORU</t>
  </si>
  <si>
    <t>Montaj Paketleme</t>
  </si>
  <si>
    <t>Polisaj Otomasyon
Süleyman Usta</t>
  </si>
  <si>
    <t>ERESS 30 KUSKUS TENCERE SADE PARLAK</t>
  </si>
  <si>
    <t>KISA DUDAK</t>
  </si>
  <si>
    <t>BEST MARK 30 KUSKUS TENCERE SADE PARLAK</t>
  </si>
  <si>
    <t>LİNES  30x19,5 OSCAR TEKLİ TENCERE GÖVDE ORTASI 3 KORDON</t>
  </si>
  <si>
    <t>Dudak Özellik</t>
  </si>
  <si>
    <t>UZUN DUDAK</t>
  </si>
  <si>
    <t>DIŞ POL. KALIP TORNA</t>
  </si>
  <si>
    <t>BAND YERLEŞİMİ</t>
  </si>
  <si>
    <t>DIŞ POLİSAJ KALIPLAR ÜRÜNLER GENİŞ OLDUĞUNDA TORNA YAPILDI.
OTOMATİK ALT DUDAK VE RADÜSTEN İÇ ZIMPARAYA BAND ÇEKİLDİ</t>
  </si>
  <si>
    <t>ALT DUDAK VE RADÜS YAPILIYOR</t>
  </si>
  <si>
    <t>GEMAK  18 TERS MODEL KAPAK</t>
  </si>
  <si>
    <t>HALİL KENGER</t>
  </si>
  <si>
    <t>ALİ USTA</t>
  </si>
  <si>
    <t>HALİL USTA
 (3 GÜNLÜK RAPORLU)</t>
  </si>
  <si>
    <t xml:space="preserve">HALİL USTA
</t>
  </si>
  <si>
    <t>BEST MARK 20x10 KASEROLLA 5 PCS SADE PARLAK</t>
  </si>
  <si>
    <t>KISA</t>
  </si>
  <si>
    <t>ERESS 20x10 KASEROLLA 5 PCS  SADE PARLAK</t>
  </si>
  <si>
    <t>LİNES  20x10 OSCAR TEKLİ TENCERE ORTASI 3 KORDON</t>
  </si>
  <si>
    <t>UZUN</t>
  </si>
  <si>
    <t>16:00 ÜRETİM BİTTİ 18 KALIP BAĞLANDI</t>
  </si>
  <si>
    <t>KALIP DEĞİŞİMİ</t>
  </si>
  <si>
    <t>YONCA 26 TERS KAPAK 19 PCS</t>
  </si>
  <si>
    <t>YONCA 28 TERS KAPAK 19 PCS</t>
  </si>
  <si>
    <t>28 YÜKSEK KAPAK TEFLON</t>
  </si>
  <si>
    <t>20 YÜKSEK KAPAK TEFLON</t>
  </si>
  <si>
    <t>GEMAK  26 KADEMELİ KAPAK</t>
  </si>
  <si>
    <t>BEST MARK 20x10 KASEROLLA 5 PCS</t>
  </si>
  <si>
    <t>Bakalit Montaj</t>
  </si>
  <si>
    <t>ERESS 20x10 KASEROLLA 5 PCS</t>
  </si>
  <si>
    <t>TABANSIZ BESTMARK 20 KUSKUS SÜZEĞİ</t>
  </si>
  <si>
    <t>TABANSIZ ERES 20 KUSKUS SÜZEĞİ</t>
  </si>
  <si>
    <t>HOMMY 26 KUSKUS TENCERE</t>
  </si>
  <si>
    <t>BESTMARK 26 KUSKUS TENCERE</t>
  </si>
  <si>
    <t>HOMMY 26 KUSKUS TENCERE 3 PCS</t>
  </si>
  <si>
    <t>KUTU</t>
  </si>
  <si>
    <t>BEST MARK 18x10  KASEROLLA 5 PCS SADE PARLAK</t>
  </si>
  <si>
    <t>ERESS 18x10 KASEROLLA 5 PCS SADE PARLAK</t>
  </si>
  <si>
    <t>LİNES 20Ø KADEMELİ KAPAK</t>
  </si>
  <si>
    <t>16 YÜKSEK KAPAK</t>
  </si>
  <si>
    <t>HALİL KENGER
İZİNLİ</t>
  </si>
  <si>
    <t xml:space="preserve">HALİL USTA
İADE KAPAKLARI YAPTI
</t>
  </si>
  <si>
    <t>SOR</t>
  </si>
  <si>
    <t xml:space="preserve">BEST MARK 18 KASEROLLA </t>
  </si>
  <si>
    <t>PUNTA-BAKALİT-HIŞIR</t>
  </si>
  <si>
    <t>PUNTA-LAZER HIŞIR</t>
  </si>
  <si>
    <t xml:space="preserve">BEST MARK 20 KASEROLLA </t>
  </si>
  <si>
    <t>ERESS 20 KASEROLLA</t>
  </si>
  <si>
    <t>ERESS 18 KASEROLLA</t>
  </si>
  <si>
    <t>PUNTA-LAZER-HIŞIR</t>
  </si>
  <si>
    <t>24 YÜKSEK METAL KAPAK</t>
  </si>
  <si>
    <t>TEPE-HIŞIR</t>
  </si>
  <si>
    <t>20 YÜKSEK METAL KAPAK</t>
  </si>
  <si>
    <t>250067 VE 250063 TAKİP NUMARALI İŞLEMLERDE KAPAK MONTAJ YAPILMIŞTIR</t>
  </si>
  <si>
    <t xml:space="preserve">HALİL KENGER
</t>
  </si>
  <si>
    <t>BESTMARK 16x9 KASEROLLA 5 PCS</t>
  </si>
  <si>
    <t>18 KARE KAPAK TEFLON</t>
  </si>
  <si>
    <t>KENAR VURULDU</t>
  </si>
  <si>
    <t>24 KARE KAPAK TEFLON</t>
  </si>
  <si>
    <t xml:space="preserve">HALİL USTA
KARE KAPAKLARININ KENARLARINI VURDU
</t>
  </si>
  <si>
    <t xml:space="preserve">PARLATMA </t>
  </si>
  <si>
    <t>Ø28 TERS MODEL KAPAK</t>
  </si>
  <si>
    <t>YONCA 24 TERS KAPAK 19 PCS</t>
  </si>
  <si>
    <t>YONCA 20 TERS KAPAK 19 PCS</t>
  </si>
  <si>
    <t>BESTMARK 18 KASEROLLA</t>
  </si>
  <si>
    <t>HOMY 22 KUSKUS SÜZEK</t>
  </si>
  <si>
    <t>LİNES 16 KASEROLLA</t>
  </si>
  <si>
    <t>22 YÜKSEK MODEL METAL KAPAK</t>
  </si>
  <si>
    <t>26 YÜKSEK MODEL METAL KAPAK</t>
  </si>
  <si>
    <t>24 YÜKSEK MODEL METAL KAPAK</t>
  </si>
  <si>
    <t>PUNTA-KULP-HIŞIR</t>
  </si>
  <si>
    <t>YIKAMA-TEPE-HIŞIR</t>
  </si>
  <si>
    <t xml:space="preserve"> HOMY 22 KUSKUS SÜZEK</t>
  </si>
  <si>
    <t>HOMY 24 KUSKUS SÜZEK</t>
  </si>
  <si>
    <t>Ø28 YÜKSEK MODEL METAL KAPAK</t>
  </si>
  <si>
    <t>Ø20 YÜKSEK MODEL METAL KAPAK</t>
  </si>
  <si>
    <t>Ø30 YÜKSEK MODEL METAL KAPAK</t>
  </si>
  <si>
    <t>12 KİŞİ MONTAJ İÇİN MESAİ KALDI 17:00-21:00
PAZARTESİ GÜNÜ YÜKLENMESİ PLANLANAN ÜRÜNLERİN EKSİKLERİNİ TAMAMLAMAK İÇİN</t>
  </si>
  <si>
    <t>MONTAJ HAZIRLIĞI YAPILDI</t>
  </si>
  <si>
    <t>ERESS 16x9 KASEROLLA 5 PCS SADE PARLAK</t>
  </si>
  <si>
    <t>BESTMARK 16x9 KASEROLLA 5 PCS SADE PARLAK</t>
  </si>
  <si>
    <t>LİNES  18x10 OSCAR TEKLİ TENCERE ORTASI 3 KORDON</t>
  </si>
  <si>
    <t>YONCA 18x10 TENCERE 6 PCS SADE PARLAK</t>
  </si>
  <si>
    <t>YONCA Ø20 TERS KAPAK 19 PCS</t>
  </si>
  <si>
    <t>PARLATMA</t>
  </si>
  <si>
    <t>YONCA Ø18 TERS KAPAK 19 PCS</t>
  </si>
  <si>
    <t>YONCA Ø16 TERS KAPAK 19 PCS</t>
  </si>
  <si>
    <t>ERESS Ø22 KUSKUS SÜZEK</t>
  </si>
  <si>
    <t>PUNTA - HIŞIR</t>
  </si>
  <si>
    <t>BESTMARK Ø22 KUSKUS SÜZEK</t>
  </si>
  <si>
    <t>HOMY Ø22 KUSKUS SET 3 PCS</t>
  </si>
  <si>
    <t>KUTULANDI</t>
  </si>
  <si>
    <t>KAPAK YIKAMA-MONTAJ GÜNLÜK ÜRETİM RAPORU</t>
  </si>
  <si>
    <t>SÜLEYMAN KALAKENGER</t>
  </si>
  <si>
    <t>ERESS 14X8 KASEROLLA 5 PCS SADE PARLAK</t>
  </si>
  <si>
    <t>ELEKTİRİK KESİNTİSİ</t>
  </si>
  <si>
    <t>KALIP TORNA</t>
  </si>
  <si>
    <t>14 KALIPLAR ÜRÜNLER OLMADIĞI İÇİN TEKRARDAN TORNA EDİLDİ</t>
  </si>
  <si>
    <t>PUNTA-HIŞIR</t>
  </si>
  <si>
    <t>ERESS 16x9 KASEROLLA</t>
  </si>
  <si>
    <t>BEST MARK 24 KUSKUS SÜZEK</t>
  </si>
  <si>
    <t>BEST MARK 30 KUSKUS TENCERE</t>
  </si>
  <si>
    <t>ERESS 30 KUSKUS TENCERE</t>
  </si>
  <si>
    <t>BEST MARK 16x9 KASEROLLA</t>
  </si>
  <si>
    <t>ERESS 22 KUSKUS SETİ</t>
  </si>
  <si>
    <t>ERESS 30 KUSKUS SETİ</t>
  </si>
  <si>
    <t>BEST MARK 30 KUSKUS SETİ</t>
  </si>
  <si>
    <t>ELEKTRİK KESİNTİSİ</t>
  </si>
  <si>
    <t>16 TERS KAPAK</t>
  </si>
  <si>
    <t>KENAR</t>
  </si>
  <si>
    <t>KARE KAPAK</t>
  </si>
  <si>
    <t>ALİ USTA
GELMEDİ İZİNLİ</t>
  </si>
  <si>
    <t>18 TERS KAPAK</t>
  </si>
  <si>
    <t>SET KAPATILDIĞI İÇİN KAPAK YIKAMA YAPILMADI</t>
  </si>
  <si>
    <t>HOMY 24Ø KUSKUS SÜZEK</t>
  </si>
  <si>
    <t>ERESS 22Ø KUSKUS SETİ 3 PCS</t>
  </si>
  <si>
    <t>HOMY 24Ø KUSKUS SETİ 3 PCS</t>
  </si>
  <si>
    <t>24Ø YÜKSEK MODEL ÇELİK KAPAK</t>
  </si>
  <si>
    <t>YIKAMA-HIŞIR</t>
  </si>
  <si>
    <t>22Ø YÜKSKE MODEL ÇELİK KAPAK</t>
  </si>
  <si>
    <t xml:space="preserve">
PAZARTESİ 250067 TAKİP NO'LU LİSTE İÇİN MESAİYE KALINDI ÜRÜNLER TAMAMLANDI</t>
  </si>
  <si>
    <t xml:space="preserve">612 ADET KAPAK MONTAJ YAPILDI.
ACİL OLAN ÜRÜNLERİN MONTAJI YAPILDIĞI İÇİN YIKAMA TÜNELİNDEN GELEN ÜRÜNLER YERE İNDİ
PAZARTESİ 250067 TAKİP NO'LU LİSTE İÇİN MESAİDE KAPAK MONTAJ YAPILDI </t>
  </si>
  <si>
    <t>ERESS 14x8 KASEROLLA</t>
  </si>
  <si>
    <t>BEST MARK 14x18 KASEROLLA</t>
  </si>
  <si>
    <t>YONCA 14x8 KASEROLLA</t>
  </si>
  <si>
    <t xml:space="preserve"> </t>
  </si>
  <si>
    <t>BEST MARK 14x8 KASEROLLA</t>
  </si>
  <si>
    <t>ERESS 30 KUSKUS SETİ 3 PCS</t>
  </si>
  <si>
    <t>BEST MARK 24 KUSKUS SETİ 3 PCS</t>
  </si>
  <si>
    <t>LİNES 16x9 KASEROLLA</t>
  </si>
  <si>
    <t>28 KARE KAPAK</t>
  </si>
  <si>
    <t>20 KARE KAPAK</t>
  </si>
  <si>
    <t>18 KARE KAPAK</t>
  </si>
  <si>
    <t>ÇUKUR KAPAKLARIN ÇUKURUNU BASTI PRESS'TE</t>
  </si>
  <si>
    <t>:</t>
  </si>
  <si>
    <t>16 ÇUKUR KAPAK</t>
  </si>
  <si>
    <t>14x8 KASEROLLA</t>
  </si>
  <si>
    <t>12x7 KASEROLLA</t>
  </si>
  <si>
    <t>ERESS 24 KUSKUS SÜZEK</t>
  </si>
  <si>
    <t>ERESS 12 KASEROLLA</t>
  </si>
  <si>
    <t>BEST MARK 12 KASEROLLA</t>
  </si>
  <si>
    <t>YONCA 20 PCS SET</t>
  </si>
  <si>
    <t xml:space="preserve">YONCA 26 SPAGETTİ </t>
  </si>
  <si>
    <t xml:space="preserve">YONCA 32 KUSKUS </t>
  </si>
  <si>
    <t>ERESS 24 KUSKUS SETİ 3 PCS</t>
  </si>
  <si>
    <t>ERESS 5 PCS KASEROLLA SETİ</t>
  </si>
  <si>
    <t>40x28 TENCERE</t>
  </si>
  <si>
    <t>36x26 TENCERE</t>
  </si>
  <si>
    <t>34x24 TENCERE</t>
  </si>
  <si>
    <t>12x7 KASEROLLA
OTOMASYON KALIBI OLMADIĞI İÇİN MANUEL HATTA YAPILDI
40-36-34 TENCERELER TEKLİ ADETLERİ AZ OLDUĞU İÇİN MANUEL HATTA YAPILDI</t>
  </si>
  <si>
    <t>Montaj Paketleme
Süleyman
KALAKENGER</t>
  </si>
  <si>
    <t>BEST MARK 12x7 KASEROLLA</t>
  </si>
  <si>
    <t>ERESS 12x7 KASEROLLA</t>
  </si>
  <si>
    <t>ERESS 18x9 KASEROLLA</t>
  </si>
  <si>
    <t>ERESS 22 KUSKUS SÜZEK</t>
  </si>
  <si>
    <t>BEST MARK 22 KUSKUS SÜZEK</t>
  </si>
  <si>
    <t>BEST MARK 5 PCS KASEROLLA SETİ</t>
  </si>
  <si>
    <t>BESET MARK 20 KUSKUS SETİ</t>
  </si>
  <si>
    <t>24 KARE KAPAK</t>
  </si>
  <si>
    <t xml:space="preserve">24 KARE KAPAK </t>
  </si>
  <si>
    <t xml:space="preserve"> 32x21 TENCERE</t>
  </si>
  <si>
    <t>30x20 TENCERE</t>
  </si>
  <si>
    <t>26x16 TENCERE</t>
  </si>
  <si>
    <t>24x14 TENCERE</t>
  </si>
  <si>
    <t>16x9 KASEROLLA</t>
  </si>
  <si>
    <t>18x9 KASEROLLA</t>
  </si>
  <si>
    <t>18x10 TENCERE</t>
  </si>
  <si>
    <t>20x10 TENCERE</t>
  </si>
  <si>
    <t>22x12 TENCERE</t>
  </si>
  <si>
    <t>BEST MARK 30 KUSKUS SÜZEK</t>
  </si>
  <si>
    <t>BEST MARK 28 KUSKUS SETİ</t>
  </si>
  <si>
    <t>BEST MARK 22 KUSKUS SETİ</t>
  </si>
  <si>
    <t>ERESS 26 KUSKUS SETİ</t>
  </si>
  <si>
    <t>16 KARE KAPAK</t>
  </si>
  <si>
    <t>32 ÇUKUR KAPAK</t>
  </si>
  <si>
    <t>OSCAR 10 LT DÜDÜKLÜ</t>
  </si>
  <si>
    <t>26 ÇUKUR KAPAK</t>
  </si>
  <si>
    <t>22 ÇUKUR KAPAK</t>
  </si>
  <si>
    <t>28 ÇUKUR KAPAK</t>
  </si>
  <si>
    <t>YONCA 10 LT DÜDÜKLÜ</t>
  </si>
  <si>
    <t>20 ÇUKUR KAPAK</t>
  </si>
  <si>
    <t>LİNES 24x14 TENCERE</t>
  </si>
  <si>
    <t>LİNES 32x21 TENCERE</t>
  </si>
  <si>
    <t>LİNES 34x22 TENCERE</t>
  </si>
  <si>
    <t>LİNES 36x24 TENCERE</t>
  </si>
  <si>
    <t>LİNES 30x20 TENCERE</t>
  </si>
  <si>
    <t>LİNES 22x12 TENCERE</t>
  </si>
  <si>
    <t>LİNES 28x18 TENCERE</t>
  </si>
  <si>
    <t>LİNES 40x28 TENCERE</t>
  </si>
  <si>
    <t>ERESS 20 KUSKUS SETİ</t>
  </si>
  <si>
    <t>ERESS 20 KUSKUS SÜZEK</t>
  </si>
  <si>
    <t>ERESS 28 KUSKUS SETİ</t>
  </si>
  <si>
    <t>LİNES 18x10 TENCERE</t>
  </si>
  <si>
    <t>LİNES 20x10 TENCERE</t>
  </si>
  <si>
    <t>LİNES 26x16 TENCERE</t>
  </si>
  <si>
    <t>OSCAR 8 LT DÜDÜKLÜ</t>
  </si>
  <si>
    <t>YONCA 8 LT DÜDÜKLÜ</t>
  </si>
  <si>
    <t>ERESS 20x10 KASEROLLA</t>
  </si>
  <si>
    <t>OSCAR 10 LT DÜDÜJKLÜ</t>
  </si>
  <si>
    <t>24 ÇUKUR KAPAK</t>
  </si>
  <si>
    <t>16 PİRAMİT KAPAK</t>
  </si>
  <si>
    <t>YONCA 9 LT DÜDÜKŞÜ</t>
  </si>
  <si>
    <t>YONCA 9 LT DÜDÜKLÜ</t>
  </si>
  <si>
    <t>YONCA 7 LT DÜDÜKLÜ</t>
  </si>
  <si>
    <t>18 ÇUKUR KAPAK</t>
  </si>
  <si>
    <t>DÜDÜKLÜ</t>
  </si>
  <si>
    <t>YONCA 5 LT DÜDÜKLÜ</t>
  </si>
  <si>
    <t>YONCA 7 LT DÜDÜDKLÜ</t>
  </si>
  <si>
    <t>ÇALIŞMADI ELEMANLAR DÜDÜKLÜ HATTINDA ÇALIŞTI</t>
  </si>
  <si>
    <t>YONCA 32x21 TENCERE</t>
  </si>
  <si>
    <t>YONCA 22x12 TENCERE</t>
  </si>
  <si>
    <t>ÇALIŞMADI ELEMANLAR DÜDÜKLÜ HATTINDA VE PAKETLEMEDE ÇALIŞTI</t>
  </si>
  <si>
    <t>LİNES 1.5 LT SÜTLÜK</t>
  </si>
  <si>
    <t>UZUN EĞİK</t>
  </si>
  <si>
    <t>LİNES 2 LT SÜTLÜK</t>
  </si>
  <si>
    <t>LİNES 14 LT DÜDÜKLÜ</t>
  </si>
  <si>
    <t>LİNES 10 LT DÜDÜKLÜ</t>
  </si>
  <si>
    <t>LİNES 8 LT DÜDÜKLÜ</t>
  </si>
  <si>
    <t>YONCA 18x10 TENCERE</t>
  </si>
  <si>
    <t>LİNES 24x7 TAVA</t>
  </si>
  <si>
    <t>TABANSIZ HOMY 28 KUSKUS SÜZEK</t>
  </si>
  <si>
    <t>TABANSIZ HOMY 20 KUSKUS SÜZEK</t>
  </si>
  <si>
    <t>TABANSIZ HOMY 20 SÜZEK</t>
  </si>
  <si>
    <t>LİNES 12 LT DÜDÜKLÜ</t>
  </si>
  <si>
    <t>GEMAK 26 TENCERE</t>
  </si>
  <si>
    <t>YONCA 18x9 TENCERE</t>
  </si>
  <si>
    <t>YONCA 16x8 TENCERE</t>
  </si>
  <si>
    <t>LİNES 13 PCS TENCERE SETİ</t>
  </si>
  <si>
    <t>ÇALIŞMADI ELEMANLAR PAKETLEMEDE ÇALIŞTI</t>
  </si>
  <si>
    <t>GEMAK 24 TENCERE</t>
  </si>
  <si>
    <t>KALIP DĞEİŞİMİ</t>
  </si>
  <si>
    <t>PUNTA-JIŞIR</t>
  </si>
  <si>
    <t>İÇ KUTULANDI</t>
  </si>
  <si>
    <t>GEMAK 20 TENCERE</t>
  </si>
  <si>
    <t>GEMAK 26x16 TENCERE</t>
  </si>
  <si>
    <t>GEMAK 24x14 TENCERE</t>
  </si>
  <si>
    <t xml:space="preserve">AKŞAM MESAİ YAPILDI </t>
  </si>
  <si>
    <t>MESAİ YAPILDI</t>
  </si>
  <si>
    <t xml:space="preserve">GEMAK 20x11 TENCERE </t>
  </si>
  <si>
    <t>GEMAK 20x11 TENCERE</t>
  </si>
  <si>
    <t>GEMAK 24x14 TENCRE</t>
  </si>
  <si>
    <t>LİNES 34x23 TENCERE</t>
  </si>
  <si>
    <t>LİNES 10 PCS TENCERE SETİ</t>
  </si>
  <si>
    <t>20 TERS KAPAK</t>
  </si>
  <si>
    <t>24 TERS KAPAK</t>
  </si>
  <si>
    <t>28 TERS KAPAK</t>
  </si>
  <si>
    <t>28 TERS KAPAK KENER</t>
  </si>
  <si>
    <t>24 TERS KAPAK KENAR</t>
  </si>
  <si>
    <t>GEMAK 18x10 TENCERE</t>
  </si>
  <si>
    <t>GEMAK 18 TENCERE</t>
  </si>
  <si>
    <t>LİNES 10 PCS SET</t>
  </si>
  <si>
    <t>HOMY 28 KUSKUS TENCERE</t>
  </si>
  <si>
    <t>HOMY 20 KUSKUS TENCERE</t>
  </si>
  <si>
    <t>8 KAFA ARIZA</t>
  </si>
  <si>
    <t xml:space="preserve">GEMAK 24 TENCERE </t>
  </si>
  <si>
    <t>LİNES 28 TENCERE</t>
  </si>
  <si>
    <t>LİNES 24 TENCERE</t>
  </si>
  <si>
    <t>LİNES 24 GENİŞ TABAN ZEYCAN TENCERE</t>
  </si>
  <si>
    <t>LİNES 24 GENİŞ TABAN ZEYCAN TAVA</t>
  </si>
  <si>
    <t>ÇALIŞMADI ELEMANLAR DİĞER PROSESLERDE DEĞERLENDİRİLDİ</t>
  </si>
  <si>
    <t>LİNES 13 PCS SET</t>
  </si>
  <si>
    <t>LİNES 24 ZEYCAN BASIK TENCERE</t>
  </si>
  <si>
    <t>LİNES 20x10 ZEYCAN TENCERE</t>
  </si>
  <si>
    <t>GEMAK 8 PCS TENCERE SETİ</t>
  </si>
  <si>
    <t>LİNES 18x10 ZEYCAN TENCERE</t>
  </si>
  <si>
    <t>LİNES 26 KARNIYARIK (BASIK) PIRIL</t>
  </si>
  <si>
    <t>GEMAK 18x10 ZEYCAN TENCERE</t>
  </si>
  <si>
    <t>LİNES 24 TENCERE ZEYCAN</t>
  </si>
  <si>
    <t>KUUTANDI</t>
  </si>
  <si>
    <t>18 TERS MODEL ÇELİK KAPAK</t>
  </si>
  <si>
    <t>YILDIZ BORU KULP VE TEPE</t>
  </si>
  <si>
    <t>20 TERS MODEL ÇELİK KAPAK</t>
  </si>
  <si>
    <t>24 TERS MODEL ÇELİK KAPAK</t>
  </si>
  <si>
    <t>28 TERS MODEL ÇELİK KAPAK</t>
  </si>
  <si>
    <t>KENAR VURDU</t>
  </si>
  <si>
    <t>BEYAZ VURDU-BİTTİ</t>
  </si>
  <si>
    <t>SİSAL VURDU</t>
  </si>
  <si>
    <t>TENCERE POLİSAJ GENEL TOPLAM:</t>
  </si>
  <si>
    <t>KAPAK MONTAJ GENEL TOPLAM:</t>
  </si>
  <si>
    <t>Polisaj Otomasyon
Süleyman Karanfil</t>
  </si>
  <si>
    <t>TENCERE MONTAJ KUTULAMA GÜNLÜK ÜRETİM RAPORU</t>
  </si>
  <si>
    <t>Polisaj Otomasyon
Süleyman KARANFİL</t>
  </si>
  <si>
    <t>KAPAK MONTAJ GÜNLÜK ÜRETİM RAPORU</t>
  </si>
  <si>
    <t>TENCERE KUTULAMA GÜNLÜK ÜRETİM RAPORU</t>
  </si>
  <si>
    <t>TENCERE KUTULAMA GENEL TOPLAM:</t>
  </si>
  <si>
    <t>TENCERE MONTAJ GENEL TOPLAM:</t>
  </si>
  <si>
    <t>LİNES 26 KARNIYARIK (BASIK)</t>
  </si>
  <si>
    <t>AYAR</t>
  </si>
  <si>
    <t>BEYAZ</t>
  </si>
  <si>
    <t>LİNES 24 KARNIYARIK (BASIK) ZEYCAN</t>
  </si>
  <si>
    <t>MONTAJ YOK - YIKAMA YAPILDI</t>
  </si>
  <si>
    <t>PAKETLEME YAPILMADI</t>
  </si>
  <si>
    <t xml:space="preserve">PAKETLEME YAPILMADI </t>
  </si>
  <si>
    <t>28 TERS KAPAK (850 adet)</t>
  </si>
  <si>
    <t>24 TERS KAPAK (850 Adet)</t>
  </si>
  <si>
    <t>LİNES 26 TENCERE PIRIL 8 PCS</t>
  </si>
  <si>
    <t>LİNES 24 TENCERE PIRIL 8 PCS</t>
  </si>
  <si>
    <t>SADECE YIKAMA YAPILDI</t>
  </si>
  <si>
    <t>LİNES 26 BASIK PIRIL</t>
  </si>
  <si>
    <t>LİNES 26x16 TENCERE PIRIL</t>
  </si>
  <si>
    <t>YAPILMADI</t>
  </si>
  <si>
    <t>(iade 302 adet)</t>
  </si>
  <si>
    <t>LİNES 24x14 TENCERE PIRIL</t>
  </si>
  <si>
    <t>LİNES 20x10 TENCERE PIRIL</t>
  </si>
  <si>
    <t>ELEMANLAR ÇAYDANLIK KAPAK YAPTI</t>
  </si>
  <si>
    <t>MONTAJ YAPILMADI</t>
  </si>
  <si>
    <t>TABANSIZ HOMY 28 KUSKUS ÜST</t>
  </si>
  <si>
    <t>HOMY 28 KUSKUS SETİ</t>
  </si>
  <si>
    <t>LİNES 20x10 PIRIL TENCERE</t>
  </si>
  <si>
    <t>8 KAFA GÖBEK ARIZA</t>
  </si>
  <si>
    <t>LİNES 24x14 PIRIL TENCERE</t>
  </si>
  <si>
    <t>LİNES 26x9 PIRIL KARNIYARIK</t>
  </si>
  <si>
    <t>TABANSIZ HOMY 28 KUSKUS ÜSTÜ</t>
  </si>
  <si>
    <t xml:space="preserve">LİNES 26x16 PIRIL TENCERE </t>
  </si>
  <si>
    <t>LİNES 20x10 PIRIL TENCERE (İADE - 16)</t>
  </si>
  <si>
    <t>YONCA 28x18 DİK TENCERE (İADE - 50 )</t>
  </si>
  <si>
    <t>LİNES 28x18 DİK TENCERE (İADE - 25 )</t>
  </si>
  <si>
    <t>HALİL KENGER
ÇAYDANLIK KAPAKTA ÇALIŞTI</t>
  </si>
  <si>
    <t>LİNES 24x14 DİK TENCERE</t>
  </si>
  <si>
    <t>DİĞER PROSESLERDE DEĞERLENDİRİLDİ</t>
  </si>
  <si>
    <t>İÇ PAKETLEME YAPILMADI SET PAKETLENDİ</t>
  </si>
  <si>
    <t>LİNES 28x18 DİK TENCERE</t>
  </si>
  <si>
    <t>HOMY 20 KUSKUS SETİ</t>
  </si>
  <si>
    <t>LİNES 24x14 DİK TENCERE (İADE - 20)</t>
  </si>
  <si>
    <t>YONCA 24x14 DİK TENCERE (İADE - 19)</t>
  </si>
  <si>
    <t>YONCA 24x7 DİK TAVA</t>
  </si>
  <si>
    <t>YONCA 26x9 DİK BASIK KARNIYARIK</t>
  </si>
  <si>
    <t>LİNES 20x11 DİK TENCERE</t>
  </si>
  <si>
    <t>YONCA 20x11 DİK TENCERE</t>
  </si>
  <si>
    <t>40 KADEMELİ KAPAK</t>
  </si>
  <si>
    <t>36 KADEMELİ KAPAK</t>
  </si>
  <si>
    <t>24 TERS KAPAK (KENAR:750)</t>
  </si>
  <si>
    <t>18 TERS KAPAK (KENAR:500)</t>
  </si>
  <si>
    <t>İADE 92 ADET</t>
  </si>
  <si>
    <t>10 MM TEPE</t>
  </si>
  <si>
    <t xml:space="preserve">HOMY 20Ø KAPAK </t>
  </si>
  <si>
    <t>26Ø PYREX CAM KAPAK PIRIL</t>
  </si>
  <si>
    <t>TWİX TEPE</t>
  </si>
  <si>
    <t>LİNES 20x10 TENCERE ZEYCAN</t>
  </si>
  <si>
    <t>LİNES 26 PIRIL TENCERE</t>
  </si>
  <si>
    <t>LİNES 28x18 DİK TENCERE İADE-72-YAMUK)</t>
  </si>
  <si>
    <t>LİNES 24x14 DİK TENCERE (İADE -20-YARALI)</t>
  </si>
  <si>
    <t>YONCA 18 DİK TENCERE</t>
  </si>
  <si>
    <t>YONCA 16x9 DİK KASEROLLA</t>
  </si>
  <si>
    <t>YONCA 20x11 DİK TENCERE (İADE-423)</t>
  </si>
  <si>
    <t>LİNES 18 DİK TENCERE - (İADE- 400)</t>
  </si>
  <si>
    <t>LİNES 20x11 DİK TENCERE (İADE-39)</t>
  </si>
  <si>
    <t>36Ø KADEMELİ KAPAK</t>
  </si>
  <si>
    <t>32Ø KADEMELİ KAPAK</t>
  </si>
  <si>
    <t>18Ø TERS KAPAK</t>
  </si>
  <si>
    <t>24Ø TERS KAPAK</t>
  </si>
  <si>
    <t>24Ø TERS KAPAK (KENAR-250)</t>
  </si>
  <si>
    <t xml:space="preserve">10 MM TEPE </t>
  </si>
  <si>
    <t>LİNES 18x10 DİK TENCERE</t>
  </si>
  <si>
    <t>YONCA 18x10 DİK TENCERE</t>
  </si>
  <si>
    <t>LİNES 26x16 PIRIL TENCERE</t>
  </si>
  <si>
    <t>LİNES 10 LT CLİPSO DÜDÜKLÜ</t>
  </si>
  <si>
    <t>CLİPSO</t>
  </si>
  <si>
    <t>YONCA 16x9 DİK KASEROLLA (İADE-26)</t>
  </si>
  <si>
    <t>LİNES 10 LT CLİPSO DÜDÜKLÜ (İADE-68)</t>
  </si>
  <si>
    <t>SİSAL</t>
  </si>
  <si>
    <t>32Ø KADEMELİ KAPAK (SİSAL)</t>
  </si>
  <si>
    <t>22 TERS KAPAK (KENAR-750)</t>
  </si>
  <si>
    <t>24Ø PYREX CAM KAPAK PIRIL</t>
  </si>
  <si>
    <t>LİNES 18 DİK TENCERE</t>
  </si>
  <si>
    <t>YONCA 28 DİK TENCERE</t>
  </si>
  <si>
    <t>YONCA 24 DİK TENCERE</t>
  </si>
  <si>
    <t>LİNES 26 PIRIL BASIK</t>
  </si>
  <si>
    <t>LİNES 24 PIRIL TENCERE</t>
  </si>
  <si>
    <t>LİNES 8 PCS PIRIL TENCERE SETİ</t>
  </si>
  <si>
    <t>LİNES 8 LT CLİPSO DÜDÜKLÜ</t>
  </si>
  <si>
    <t>20Ø TERS KAPAK (KENAR-750)</t>
  </si>
  <si>
    <t>34Ø TERS KAPAK (KENAR-250)</t>
  </si>
  <si>
    <t xml:space="preserve">20Ø TERS KAPAK </t>
  </si>
  <si>
    <t xml:space="preserve">22Ø TERS KAPAK </t>
  </si>
  <si>
    <t>20Ø PYREX CAM KAPAK</t>
  </si>
  <si>
    <t>24Ø PYREX CAM KAPAK</t>
  </si>
  <si>
    <t>YONCA 26 DİK BASIK</t>
  </si>
  <si>
    <t>LİNES 8 LT CLİPSO DÜDÜKLÜ (İADE-+30+40+46)</t>
  </si>
  <si>
    <t>LİNES 8 LT CLİPSO DÜDÜKLÜ (İADE-16)</t>
  </si>
  <si>
    <t>LİNES 24x14 HELVANE TENCERE (İADE-70)</t>
  </si>
  <si>
    <t>KALIP DEĞİŞİMİ-AYAR</t>
  </si>
  <si>
    <t>34Ø TERS KAPAK</t>
  </si>
  <si>
    <t>34Ø TERS KAPAK (KENAR-500)</t>
  </si>
  <si>
    <t>34Ø TERS KAPAK (SİSAL-500)</t>
  </si>
  <si>
    <t>YONCA 24x14 DİK TENCERE</t>
  </si>
  <si>
    <t>LİNES 24x9 BASIK ZEYCAN</t>
  </si>
  <si>
    <t>LİNES 20x10 DİK BOYALI TENCERE</t>
  </si>
  <si>
    <t>LİNES 18x10 DİK BOYALI TENCERE</t>
  </si>
  <si>
    <t xml:space="preserve">LİNES 24x9 DİK BASIK BOYALI </t>
  </si>
  <si>
    <t>LİNES 24x14 DİK BASIK BOYALI TENCERE</t>
  </si>
  <si>
    <t>LİNES 24x14 ZEYCAN TENCERE</t>
  </si>
  <si>
    <t>LİNES 8 PCS DİK BOYALI TENCERE SETİ</t>
  </si>
  <si>
    <t>LİNES 18 PCS ZECAN TENCERE SETİ</t>
  </si>
  <si>
    <t>LİNES 24x16 KUSKUS TENCERE</t>
  </si>
  <si>
    <t>30Ø TERS KAPAK (KENAR-700)</t>
  </si>
  <si>
    <t>24Ø TERS KAPAK (KENAR-650)</t>
  </si>
  <si>
    <t>LİNES 24x14 TENCERE (İADE-129)</t>
  </si>
  <si>
    <t>30Ø TERS KAPAK (SİSAL-700)</t>
  </si>
  <si>
    <t xml:space="preserve">34Ø TERS KAPAK </t>
  </si>
  <si>
    <t>18Ø Z TİPİ CAM KAPAK</t>
  </si>
  <si>
    <t>20Ø Z TİPİ CAM KAPAK</t>
  </si>
  <si>
    <t>24Ø Z TİPİ CAM KAPAK</t>
  </si>
  <si>
    <t>18Ø TERS ÇELİK KAPAK</t>
  </si>
  <si>
    <t xml:space="preserve">YONCA 16x9 TENCERE </t>
  </si>
  <si>
    <t>LİNES 18x10 TENCERE ZEYCAN</t>
  </si>
  <si>
    <t>LİNES 5 LT CLİPSO DÜDÜKLÜ</t>
  </si>
  <si>
    <t>YONCA 14x8 TENCERE</t>
  </si>
  <si>
    <t>Sisal ayarı</t>
  </si>
  <si>
    <t>TABANSIZ LİNES 24x9 KUSKUS SÜZEK</t>
  </si>
  <si>
    <t>TABANSIZ LİNES 24x12 KUSKUS SÜZEK</t>
  </si>
  <si>
    <t>30Ø TERS KAPAK</t>
  </si>
  <si>
    <t>28Ø TERS KAPAK</t>
  </si>
  <si>
    <t>28Ø TERS KAPAK (SİSAL-750)</t>
  </si>
  <si>
    <t>24Ø TERS KAPAK (SİSAL-750)</t>
  </si>
  <si>
    <t>24Ø TERS KAPAK (KENAR-750)</t>
  </si>
  <si>
    <t>32Ø TERS KAPAK</t>
  </si>
  <si>
    <t>14x7 TENCERE</t>
  </si>
  <si>
    <t>YONCA 28x18 DİK TENCERE</t>
  </si>
  <si>
    <t>20Ø TERS KAPAK</t>
  </si>
  <si>
    <t>22Ø TERS KAPAK</t>
  </si>
  <si>
    <t>YONCA 24x14 TENCERE</t>
  </si>
  <si>
    <t>SET KUTULAMA YAPILMADI</t>
  </si>
  <si>
    <t>TABANSIZ LİNES 24x12 KUSKUS SÜZEK (İADE-31)</t>
  </si>
  <si>
    <t>LİNES 28x18 PİRAMİT TENCERE</t>
  </si>
  <si>
    <t>LİNES 28x18 İHRACAT SATEN DÜZ</t>
  </si>
  <si>
    <t>LİNES 28x18 KUSKUS TENCERE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</si>
</sst>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h:mm;@"/>
    <numFmt numFmtId="165" formatCode="m\K"/>
    <numFmt numFmtId="166" formatCode="[$-F800]dddd\,\ mmmm\ dd\,\ 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C5A7"/>
        <bgColor indexed="64"/>
      </patternFill>
    </fill>
    <fill>
      <patternFill patternType="solid">
        <fgColor rgb="FFFCEBE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0" xfId="0" applyBorder="1"/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2" borderId="1" xfId="0" applyFont="1" applyFill="1" applyBorder="1"/>
    <xf numFmtId="3" fontId="11" fillId="2" borderId="1" xfId="0" applyNumberFormat="1" applyFont="1" applyFill="1" applyBorder="1" applyAlignment="1">
      <alignment horizontal="center"/>
    </xf>
    <xf numFmtId="165" fontId="11" fillId="2" borderId="1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1" fillId="0" borderId="0" xfId="0" applyFont="1"/>
    <xf numFmtId="3" fontId="11" fillId="2" borderId="10" xfId="0" applyNumberFormat="1" applyFont="1" applyFill="1" applyBorder="1" applyAlignment="1">
      <alignment horizontal="center" vertical="center"/>
    </xf>
    <xf numFmtId="3" fontId="11" fillId="2" borderId="10" xfId="0" applyNumberFormat="1" applyFont="1" applyFill="1" applyBorder="1" applyAlignment="1">
      <alignment vertical="center"/>
    </xf>
    <xf numFmtId="0" fontId="15" fillId="0" borderId="12" xfId="0" applyFont="1" applyBorder="1"/>
    <xf numFmtId="0" fontId="16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3" fontId="11" fillId="2" borderId="9" xfId="0" applyNumberFormat="1" applyFont="1" applyFill="1" applyBorder="1" applyAlignment="1">
      <alignment horizontal="right" vertical="center"/>
    </xf>
    <xf numFmtId="0" fontId="0" fillId="0" borderId="12" xfId="0" applyBorder="1"/>
    <xf numFmtId="3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left" vertical="center"/>
    </xf>
    <xf numFmtId="3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lef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7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3" fontId="0" fillId="0" borderId="9" xfId="0" applyNumberForma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20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20" fontId="0" fillId="0" borderId="1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0" xfId="0"/>
    <xf numFmtId="0" fontId="0" fillId="0" borderId="13" xfId="0" applyBorder="1"/>
    <xf numFmtId="0" fontId="0" fillId="0" borderId="13" xfId="0" applyBorder="1" applyAlignment="1">
      <alignment horizontal="left" vertical="center"/>
    </xf>
    <xf numFmtId="3" fontId="0" fillId="0" borderId="9" xfId="0" applyNumberFormat="1" applyBorder="1" applyAlignment="1">
      <alignment horizontal="center"/>
    </xf>
    <xf numFmtId="0" fontId="22" fillId="0" borderId="1" xfId="0" applyFont="1" applyBorder="1"/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0" xfId="0"/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19" fillId="0" borderId="1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19" fillId="0" borderId="1" xfId="0" applyFont="1" applyFill="1" applyBorder="1" applyAlignment="1">
      <alignment horizontal="lef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0" fillId="0" borderId="0" xfId="0"/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3" fontId="0" fillId="0" borderId="9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23" fillId="0" borderId="1" xfId="0" applyFont="1" applyFill="1" applyBorder="1" applyAlignment="1">
      <alignment horizontal="center" vertical="center"/>
    </xf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0" fontId="11" fillId="4" borderId="5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6" fontId="16" fillId="0" borderId="9" xfId="0" applyNumberFormat="1" applyFont="1" applyBorder="1" applyAlignment="1">
      <alignment horizontal="center" vertical="center"/>
    </xf>
    <xf numFmtId="166" fontId="16" fillId="0" borderId="13" xfId="0" applyNumberFormat="1" applyFont="1" applyBorder="1" applyAlignment="1">
      <alignment horizontal="center" vertical="center"/>
    </xf>
    <xf numFmtId="166" fontId="16" fillId="0" borderId="10" xfId="0" applyNumberFormat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2" borderId="9" xfId="0" applyFont="1" applyFill="1" applyBorder="1" applyAlignment="1">
      <alignment horizontal="right"/>
    </xf>
    <xf numFmtId="0" fontId="11" fillId="2" borderId="13" xfId="0" applyFont="1" applyFill="1" applyBorder="1" applyAlignment="1">
      <alignment horizontal="right"/>
    </xf>
    <xf numFmtId="3" fontId="11" fillId="2" borderId="9" xfId="0" applyNumberFormat="1" applyFont="1" applyFill="1" applyBorder="1" applyAlignment="1">
      <alignment horizontal="center"/>
    </xf>
    <xf numFmtId="3" fontId="11" fillId="2" borderId="10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3" fontId="12" fillId="2" borderId="9" xfId="0" applyNumberFormat="1" applyFont="1" applyFill="1" applyBorder="1" applyAlignment="1">
      <alignment horizontal="center" vertical="center"/>
    </xf>
    <xf numFmtId="3" fontId="12" fillId="2" borderId="13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2" borderId="10" xfId="0" applyFont="1" applyFill="1" applyBorder="1" applyAlignment="1">
      <alignment horizontal="right"/>
    </xf>
    <xf numFmtId="3" fontId="11" fillId="2" borderId="9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BE0"/>
      <color rgb="FFF7C5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22853F2C-762B-4C4D-AC70-8D3DC8F90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7EDB70C1-7FED-4A73-8434-35F8C9401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E41D5E08-958F-4AFD-89CE-7BEC6EDED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4E5460A7-C3F6-4C3D-816E-F3F741884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435C2602-4C2B-4AEC-B265-F8689046C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D75AE56E-8DDE-43A0-BF5E-A89A9F359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88872AF1-A9C5-4F09-8800-C4F53E425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5C81F37C-AFDE-48A9-A35F-FB0B21CD1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2071B964-6B1A-4343-B6F7-436A1845C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C09B044E-95B2-451D-8BEC-B90B15F1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97050" cy="505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8312373E-8B06-4E17-B197-71278C14F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7BCFF3C9-FB04-4C5B-AFD2-68646E13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63500</xdr:rowOff>
    </xdr:from>
    <xdr:to>
      <xdr:col>3</xdr:col>
      <xdr:colOff>50800</xdr:colOff>
      <xdr:row>2</xdr:row>
      <xdr:rowOff>200902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14BEF539-6E14-4FC1-9B6B-E5877B4EC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63500"/>
          <a:ext cx="1767840" cy="503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4"/>
  <sheetViews>
    <sheetView zoomScale="85" zoomScaleNormal="85" workbookViewId="0">
      <selection activeCell="C17" sqref="C17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40.6640625" style="76" customWidth="1"/>
    <col min="6" max="6" width="5.6640625" style="76" customWidth="1"/>
    <col min="7" max="7" width="6.6640625" style="76" customWidth="1"/>
    <col min="8" max="8" width="24.5546875" style="76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45950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/>
      <c r="C7" s="4"/>
      <c r="D7" s="81"/>
      <c r="E7" s="84"/>
      <c r="F7" s="19"/>
      <c r="G7" s="20"/>
      <c r="H7" s="28"/>
      <c r="I7" s="143"/>
      <c r="J7" s="144"/>
      <c r="K7" s="143"/>
      <c r="L7" s="144"/>
      <c r="M7" s="86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81"/>
      <c r="E8" s="3"/>
      <c r="F8" s="19"/>
      <c r="G8" s="20"/>
      <c r="H8" s="28"/>
      <c r="I8" s="143"/>
      <c r="J8" s="144"/>
      <c r="K8" s="143"/>
      <c r="L8" s="144"/>
      <c r="M8" s="86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4"/>
      <c r="E9" s="3"/>
      <c r="F9" s="19"/>
      <c r="G9" s="20"/>
      <c r="H9" s="28"/>
      <c r="I9" s="143"/>
      <c r="J9" s="144"/>
      <c r="K9" s="143"/>
      <c r="L9" s="144"/>
      <c r="M9" s="86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86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0</v>
      </c>
      <c r="J11" s="151"/>
      <c r="K11" s="150">
        <f>SUM(K7:L10)</f>
        <v>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86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86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86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316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0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22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27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23</v>
      </c>
      <c r="J23" s="123"/>
      <c r="K23" s="121" t="s">
        <v>11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28</v>
      </c>
      <c r="B24" s="5"/>
      <c r="C24" s="5"/>
      <c r="D24" s="44"/>
      <c r="E24" s="3"/>
      <c r="F24" s="19"/>
      <c r="G24" s="20"/>
      <c r="H24" s="28"/>
      <c r="I24" s="143"/>
      <c r="J24" s="144"/>
      <c r="K24" s="143"/>
      <c r="L24" s="144"/>
      <c r="M24" s="86"/>
      <c r="N24" s="6" t="s">
        <v>13</v>
      </c>
      <c r="O24" s="21"/>
      <c r="P24" s="168" t="s">
        <v>50</v>
      </c>
      <c r="Q24" s="169"/>
      <c r="R24" s="170"/>
    </row>
    <row r="25" spans="1:18" ht="14.55" customHeight="1" x14ac:dyDescent="0.3">
      <c r="A25" s="141"/>
      <c r="B25" s="5"/>
      <c r="C25" s="5"/>
      <c r="D25" s="44"/>
      <c r="E25" s="3"/>
      <c r="F25" s="19"/>
      <c r="G25" s="20"/>
      <c r="H25" s="28"/>
      <c r="I25" s="143"/>
      <c r="J25" s="144"/>
      <c r="K25" s="143"/>
      <c r="L25" s="144"/>
      <c r="M25" s="86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1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86"/>
      <c r="N26" s="6" t="s">
        <v>13</v>
      </c>
      <c r="O26" s="21"/>
      <c r="P26" s="168"/>
      <c r="Q26" s="169"/>
      <c r="R26" s="170"/>
    </row>
    <row r="27" spans="1:18" ht="14.55" customHeight="1" x14ac:dyDescent="0.3">
      <c r="A27" s="142"/>
      <c r="B27" s="148" t="s">
        <v>0</v>
      </c>
      <c r="C27" s="149"/>
      <c r="D27" s="149"/>
      <c r="E27" s="149"/>
      <c r="F27" s="149"/>
      <c r="G27" s="149"/>
      <c r="H27" s="171"/>
      <c r="I27" s="150">
        <f>SUM(I24:J26)</f>
        <v>0</v>
      </c>
      <c r="J27" s="151"/>
      <c r="K27" s="150">
        <f>SUM(K24:L26)</f>
        <v>0</v>
      </c>
      <c r="L27" s="151"/>
      <c r="M27" s="10">
        <f>SUM(M24:M26)</f>
        <v>0</v>
      </c>
      <c r="N27" s="11" t="s">
        <v>13</v>
      </c>
      <c r="O27" s="9"/>
      <c r="P27" s="168"/>
      <c r="Q27" s="169"/>
      <c r="R27" s="170"/>
    </row>
    <row r="28" spans="1:18" ht="14.55" customHeight="1" x14ac:dyDescent="0.3">
      <c r="A28" s="140" t="s">
        <v>24</v>
      </c>
      <c r="B28" s="5"/>
      <c r="C28" s="5"/>
      <c r="D28" s="44"/>
      <c r="E28" s="3"/>
      <c r="F28" s="19"/>
      <c r="G28" s="20"/>
      <c r="H28" s="28"/>
      <c r="I28" s="143"/>
      <c r="J28" s="144"/>
      <c r="K28" s="143"/>
      <c r="L28" s="144"/>
      <c r="M28" s="86"/>
      <c r="N28" s="6" t="s">
        <v>13</v>
      </c>
      <c r="O28" s="21"/>
      <c r="P28" s="157" t="s">
        <v>51</v>
      </c>
      <c r="Q28" s="158"/>
      <c r="R28" s="159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86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86"/>
      <c r="N30" s="6" t="s">
        <v>13</v>
      </c>
      <c r="O30" s="21"/>
      <c r="P30" s="160"/>
      <c r="Q30" s="161"/>
      <c r="R30" s="162"/>
    </row>
    <row r="31" spans="1:18" ht="14.55" hidden="1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86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86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7"/>
      <c r="B33" s="148" t="s">
        <v>0</v>
      </c>
      <c r="C33" s="149"/>
      <c r="D33" s="149"/>
      <c r="E33" s="149"/>
      <c r="F33" s="149"/>
      <c r="G33" s="149"/>
      <c r="H33" s="171"/>
      <c r="I33" s="150">
        <f>SUM(I28:J32)</f>
        <v>0</v>
      </c>
      <c r="J33" s="151"/>
      <c r="K33" s="150">
        <f>SUM(K28:L32)</f>
        <v>0</v>
      </c>
      <c r="L33" s="151"/>
      <c r="M33" s="10">
        <f>SUM(M28:M32)</f>
        <v>0</v>
      </c>
      <c r="N33" s="11" t="s">
        <v>13</v>
      </c>
      <c r="O33" s="9"/>
      <c r="P33" s="163"/>
      <c r="Q33" s="164"/>
      <c r="R33" s="165"/>
    </row>
    <row r="34" spans="1:18" ht="14.55" customHeight="1" x14ac:dyDescent="0.3">
      <c r="A34" s="140" t="s">
        <v>25</v>
      </c>
      <c r="B34" s="5"/>
      <c r="C34" s="5"/>
      <c r="D34" s="44"/>
      <c r="E34" s="3"/>
      <c r="F34" s="19"/>
      <c r="G34" s="20"/>
      <c r="H34" s="28"/>
      <c r="I34" s="143"/>
      <c r="J34" s="144"/>
      <c r="K34" s="143"/>
      <c r="L34" s="144"/>
      <c r="M34" s="86"/>
      <c r="N34" s="6" t="s">
        <v>13</v>
      </c>
      <c r="O34" s="21"/>
      <c r="P34" s="145" t="s">
        <v>53</v>
      </c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86"/>
      <c r="N35" s="6" t="s">
        <v>13</v>
      </c>
      <c r="O35" s="21"/>
      <c r="P35" s="168"/>
      <c r="Q35" s="169"/>
      <c r="R35" s="170"/>
    </row>
    <row r="36" spans="1:18" ht="14.55" hidden="1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86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86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1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86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42"/>
      <c r="B39" s="148" t="s">
        <v>0</v>
      </c>
      <c r="C39" s="149"/>
      <c r="D39" s="149"/>
      <c r="E39" s="149"/>
      <c r="F39" s="149"/>
      <c r="G39" s="149"/>
      <c r="H39" s="149"/>
      <c r="I39" s="150">
        <f>SUM(I34:J38)</f>
        <v>0</v>
      </c>
      <c r="J39" s="151"/>
      <c r="K39" s="150">
        <f>SUM(K34:L38)</f>
        <v>0</v>
      </c>
      <c r="L39" s="151"/>
      <c r="M39" s="10">
        <f>SUM(M34:M38)</f>
        <v>0</v>
      </c>
      <c r="N39" s="11" t="s">
        <v>13</v>
      </c>
      <c r="O39" s="9"/>
      <c r="P39" s="168"/>
      <c r="Q39" s="169"/>
      <c r="R39" s="170"/>
    </row>
    <row r="41" spans="1:18" x14ac:dyDescent="0.3">
      <c r="E41" s="148" t="s">
        <v>26</v>
      </c>
      <c r="F41" s="149"/>
      <c r="G41" s="149"/>
      <c r="H41" s="149"/>
      <c r="I41" s="152" t="s">
        <v>23</v>
      </c>
      <c r="J41" s="153"/>
      <c r="K41" s="152" t="s">
        <v>11</v>
      </c>
      <c r="L41" s="153"/>
    </row>
    <row r="42" spans="1:18" s="36" customFormat="1" x14ac:dyDescent="0.3">
      <c r="E42" s="7"/>
      <c r="F42" s="7"/>
      <c r="G42" s="7"/>
      <c r="H42" s="7"/>
      <c r="I42" s="22">
        <f>I33+I39</f>
        <v>0</v>
      </c>
      <c r="J42" s="14" t="s">
        <v>12</v>
      </c>
      <c r="K42" s="22">
        <f>K33+K39</f>
        <v>0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0</v>
      </c>
      <c r="J43" s="155"/>
      <c r="K43" s="155"/>
      <c r="L43" s="156"/>
    </row>
    <row r="45" spans="1:18" s="8" customFormat="1" ht="30" customHeight="1" x14ac:dyDescent="0.3">
      <c r="A45" s="133" t="s">
        <v>321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27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23</v>
      </c>
      <c r="J47" s="123"/>
      <c r="K47" s="121" t="s">
        <v>11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132</v>
      </c>
      <c r="B48" s="5"/>
      <c r="C48" s="5"/>
      <c r="D48" s="4"/>
      <c r="E48" s="3"/>
      <c r="F48" s="19"/>
      <c r="G48" s="20"/>
      <c r="H48" s="28"/>
      <c r="I48" s="143"/>
      <c r="J48" s="144"/>
      <c r="K48" s="143"/>
      <c r="L48" s="144"/>
      <c r="M48" s="86"/>
      <c r="N48" s="6" t="s">
        <v>13</v>
      </c>
      <c r="O48" s="21"/>
      <c r="P48" s="157"/>
      <c r="Q48" s="158"/>
      <c r="R48" s="159"/>
    </row>
    <row r="49" spans="1:18" ht="14.55" customHeight="1" x14ac:dyDescent="0.3">
      <c r="A49" s="166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86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86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6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86"/>
      <c r="N51" s="6" t="s">
        <v>13</v>
      </c>
      <c r="O51" s="21"/>
      <c r="P51" s="160"/>
      <c r="Q51" s="161"/>
      <c r="R51" s="162"/>
    </row>
    <row r="52" spans="1:18" ht="14.55" customHeight="1" x14ac:dyDescent="0.3">
      <c r="A52" s="167"/>
      <c r="B52" s="148" t="s">
        <v>0</v>
      </c>
      <c r="C52" s="149"/>
      <c r="D52" s="149"/>
      <c r="E52" s="149"/>
      <c r="F52" s="149"/>
      <c r="G52" s="149"/>
      <c r="H52" s="149"/>
      <c r="I52" s="150">
        <f ca="1">SUM(I48:J52)</f>
        <v>0</v>
      </c>
      <c r="J52" s="151"/>
      <c r="K52" s="150">
        <f ca="1">SUM(K48:L52)</f>
        <v>0</v>
      </c>
      <c r="L52" s="151"/>
      <c r="M52" s="10">
        <f>SUM(M48:M51)</f>
        <v>0</v>
      </c>
      <c r="N52" s="11" t="s">
        <v>13</v>
      </c>
      <c r="O52" s="9"/>
      <c r="P52" s="163"/>
      <c r="Q52" s="164"/>
      <c r="R52" s="165"/>
    </row>
    <row r="54" spans="1:18" x14ac:dyDescent="0.3">
      <c r="E54" s="148" t="s">
        <v>317</v>
      </c>
      <c r="F54" s="149"/>
      <c r="G54" s="149"/>
      <c r="H54" s="149"/>
      <c r="I54" s="152" t="s">
        <v>23</v>
      </c>
      <c r="J54" s="153"/>
      <c r="K54" s="172" t="s">
        <v>11</v>
      </c>
      <c r="L54" s="153"/>
    </row>
    <row r="55" spans="1:18" s="36" customFormat="1" x14ac:dyDescent="0.3">
      <c r="E55" s="7"/>
      <c r="F55" s="7"/>
      <c r="G55" s="7"/>
      <c r="H55" s="7"/>
      <c r="I55" s="22">
        <f ca="1">I52</f>
        <v>0</v>
      </c>
      <c r="J55" s="14" t="s">
        <v>12</v>
      </c>
      <c r="K55" s="22">
        <f ca="1">K52</f>
        <v>0</v>
      </c>
      <c r="L55" s="15" t="s">
        <v>12</v>
      </c>
    </row>
    <row r="56" spans="1:18" s="1" customFormat="1" ht="24.45" customHeight="1" x14ac:dyDescent="0.3">
      <c r="A56" s="76"/>
      <c r="B56" s="76"/>
      <c r="C56" s="76"/>
      <c r="E56" s="13"/>
      <c r="F56" s="13"/>
      <c r="G56" s="13"/>
      <c r="H56" s="13"/>
      <c r="I56" s="154">
        <f ca="1">I55+K55</f>
        <v>0</v>
      </c>
      <c r="J56" s="155"/>
      <c r="K56" s="155"/>
      <c r="L56" s="156"/>
      <c r="N56" s="76"/>
      <c r="O56" s="76"/>
      <c r="P56" s="76"/>
      <c r="Q56" s="76"/>
      <c r="R56" s="76"/>
    </row>
    <row r="58" spans="1:18" s="8" customFormat="1" ht="30" customHeight="1" x14ac:dyDescent="0.3">
      <c r="A58" s="133" t="s">
        <v>36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6"/>
    </row>
    <row r="59" spans="1:18" s="12" customFormat="1" ht="14.55" customHeight="1" x14ac:dyDescent="0.3">
      <c r="A59" s="128" t="s">
        <v>1</v>
      </c>
      <c r="B59" s="137" t="s">
        <v>2</v>
      </c>
      <c r="C59" s="137" t="s">
        <v>3</v>
      </c>
      <c r="D59" s="137" t="s">
        <v>4</v>
      </c>
      <c r="E59" s="124" t="s">
        <v>5</v>
      </c>
      <c r="F59" s="138" t="s">
        <v>14</v>
      </c>
      <c r="G59" s="138" t="s">
        <v>15</v>
      </c>
      <c r="H59" s="119" t="s">
        <v>29</v>
      </c>
      <c r="I59" s="121" t="s">
        <v>6</v>
      </c>
      <c r="J59" s="122"/>
      <c r="K59" s="122"/>
      <c r="L59" s="123"/>
      <c r="M59" s="124" t="s">
        <v>7</v>
      </c>
      <c r="N59" s="125"/>
      <c r="O59" s="128" t="s">
        <v>8</v>
      </c>
      <c r="P59" s="128" t="s">
        <v>9</v>
      </c>
      <c r="Q59" s="128"/>
      <c r="R59" s="128"/>
    </row>
    <row r="60" spans="1:18" s="12" customFormat="1" ht="13.05" customHeight="1" x14ac:dyDescent="0.3">
      <c r="A60" s="128"/>
      <c r="B60" s="137"/>
      <c r="C60" s="137"/>
      <c r="D60" s="137"/>
      <c r="E60" s="126"/>
      <c r="F60" s="139"/>
      <c r="G60" s="139"/>
      <c r="H60" s="120"/>
      <c r="I60" s="121" t="s">
        <v>19</v>
      </c>
      <c r="J60" s="123"/>
      <c r="K60" s="121" t="s">
        <v>20</v>
      </c>
      <c r="L60" s="123"/>
      <c r="M60" s="126"/>
      <c r="N60" s="127"/>
      <c r="O60" s="128"/>
      <c r="P60" s="128"/>
      <c r="Q60" s="128"/>
      <c r="R60" s="128"/>
    </row>
    <row r="61" spans="1:18" ht="14.55" customHeight="1" x14ac:dyDescent="0.3">
      <c r="A61" s="140" t="s">
        <v>37</v>
      </c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86"/>
      <c r="N61" s="6" t="s">
        <v>13</v>
      </c>
      <c r="O61" s="21"/>
      <c r="P61" s="157"/>
      <c r="Q61" s="158"/>
      <c r="R61" s="159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86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86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86"/>
      <c r="N64" s="6" t="s">
        <v>13</v>
      </c>
      <c r="O64" s="21"/>
      <c r="P64" s="160"/>
      <c r="Q64" s="161"/>
      <c r="R64" s="162"/>
    </row>
    <row r="65" spans="1:18" ht="14.55" customHeight="1" x14ac:dyDescent="0.3">
      <c r="A65" s="167"/>
      <c r="B65" s="148" t="s">
        <v>0</v>
      </c>
      <c r="C65" s="149"/>
      <c r="D65" s="149"/>
      <c r="E65" s="149"/>
      <c r="F65" s="149"/>
      <c r="G65" s="149"/>
      <c r="H65" s="149"/>
      <c r="I65" s="150">
        <f>SUM(I61:J64)</f>
        <v>0</v>
      </c>
      <c r="J65" s="151"/>
      <c r="K65" s="150">
        <f>SUM(K61:L64)</f>
        <v>0</v>
      </c>
      <c r="L65" s="151"/>
      <c r="M65" s="10">
        <f>SUM(M61:M64)</f>
        <v>0</v>
      </c>
      <c r="N65" s="11" t="s">
        <v>13</v>
      </c>
      <c r="O65" s="9"/>
      <c r="P65" s="163"/>
      <c r="Q65" s="164"/>
      <c r="R65" s="165"/>
    </row>
    <row r="66" spans="1:18" ht="14.55" customHeight="1" x14ac:dyDescent="0.3">
      <c r="D66" s="76"/>
      <c r="E66" s="1"/>
      <c r="F66" s="1"/>
      <c r="G66" s="1"/>
      <c r="H66" s="1"/>
      <c r="M66" s="76"/>
    </row>
    <row r="67" spans="1:18" x14ac:dyDescent="0.3">
      <c r="E67" s="148" t="s">
        <v>324</v>
      </c>
      <c r="F67" s="149"/>
      <c r="G67" s="149"/>
      <c r="H67" s="149"/>
      <c r="I67" s="152" t="s">
        <v>19</v>
      </c>
      <c r="J67" s="153"/>
      <c r="K67" s="152" t="s">
        <v>20</v>
      </c>
      <c r="L67" s="153"/>
    </row>
    <row r="68" spans="1:18" s="36" customFormat="1" x14ac:dyDescent="0.3">
      <c r="E68" s="7"/>
      <c r="F68" s="7"/>
      <c r="G68" s="7"/>
      <c r="H68" s="7"/>
      <c r="I68" s="22">
        <f>I65</f>
        <v>0</v>
      </c>
      <c r="J68" s="14" t="s">
        <v>12</v>
      </c>
      <c r="K68" s="22">
        <f>K65</f>
        <v>0</v>
      </c>
      <c r="L68" s="15" t="s">
        <v>12</v>
      </c>
    </row>
    <row r="69" spans="1:18" ht="24.45" customHeight="1" x14ac:dyDescent="0.3">
      <c r="E69" s="13"/>
      <c r="F69" s="13"/>
      <c r="G69" s="13"/>
      <c r="H69" s="13"/>
      <c r="I69" s="154">
        <f>I68+K68</f>
        <v>0</v>
      </c>
      <c r="J69" s="155"/>
      <c r="K69" s="155"/>
      <c r="L69" s="156"/>
    </row>
    <row r="71" spans="1:18" s="8" customFormat="1" ht="30" customHeight="1" x14ac:dyDescent="0.3">
      <c r="A71" s="133" t="s">
        <v>322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6"/>
    </row>
    <row r="72" spans="1:18" s="12" customFormat="1" ht="14.55" customHeight="1" x14ac:dyDescent="0.3">
      <c r="A72" s="128" t="s">
        <v>1</v>
      </c>
      <c r="B72" s="137" t="s">
        <v>2</v>
      </c>
      <c r="C72" s="137" t="s">
        <v>3</v>
      </c>
      <c r="D72" s="137" t="s">
        <v>4</v>
      </c>
      <c r="E72" s="124" t="s">
        <v>5</v>
      </c>
      <c r="F72" s="138" t="s">
        <v>14</v>
      </c>
      <c r="G72" s="138" t="s">
        <v>15</v>
      </c>
      <c r="H72" s="119" t="s">
        <v>29</v>
      </c>
      <c r="I72" s="121" t="s">
        <v>6</v>
      </c>
      <c r="J72" s="122"/>
      <c r="K72" s="122"/>
      <c r="L72" s="123"/>
      <c r="M72" s="124" t="s">
        <v>7</v>
      </c>
      <c r="N72" s="125"/>
      <c r="O72" s="128" t="s">
        <v>8</v>
      </c>
      <c r="P72" s="128" t="s">
        <v>9</v>
      </c>
      <c r="Q72" s="128"/>
      <c r="R72" s="128"/>
    </row>
    <row r="73" spans="1:18" s="12" customFormat="1" ht="13.05" customHeight="1" x14ac:dyDescent="0.3">
      <c r="A73" s="128"/>
      <c r="B73" s="137"/>
      <c r="C73" s="137"/>
      <c r="D73" s="137"/>
      <c r="E73" s="126"/>
      <c r="F73" s="139"/>
      <c r="G73" s="139"/>
      <c r="H73" s="120"/>
      <c r="I73" s="121" t="s">
        <v>19</v>
      </c>
      <c r="J73" s="123"/>
      <c r="K73" s="121" t="s">
        <v>20</v>
      </c>
      <c r="L73" s="123"/>
      <c r="M73" s="126"/>
      <c r="N73" s="127"/>
      <c r="O73" s="128"/>
      <c r="P73" s="128"/>
      <c r="Q73" s="128"/>
      <c r="R73" s="128"/>
    </row>
    <row r="74" spans="1:18" ht="14.55" customHeight="1" x14ac:dyDescent="0.3">
      <c r="A74" s="140" t="s">
        <v>37</v>
      </c>
      <c r="B74" s="5"/>
      <c r="C74" s="5"/>
      <c r="D74" s="4"/>
      <c r="E74" s="3"/>
      <c r="F74" s="19"/>
      <c r="G74" s="20"/>
      <c r="H74" s="28"/>
      <c r="I74" s="143"/>
      <c r="J74" s="144"/>
      <c r="K74" s="143"/>
      <c r="L74" s="144"/>
      <c r="M74" s="86"/>
      <c r="N74" s="6" t="s">
        <v>13</v>
      </c>
      <c r="O74" s="21"/>
      <c r="P74" s="157"/>
      <c r="Q74" s="158"/>
      <c r="R74" s="159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86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86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86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7"/>
      <c r="B78" s="148" t="s">
        <v>0</v>
      </c>
      <c r="C78" s="149"/>
      <c r="D78" s="149"/>
      <c r="E78" s="149"/>
      <c r="F78" s="149"/>
      <c r="G78" s="149"/>
      <c r="H78" s="149"/>
      <c r="I78" s="150">
        <f>SUM(I74:J77)</f>
        <v>0</v>
      </c>
      <c r="J78" s="151"/>
      <c r="K78" s="150">
        <f>SUM(K74:L77)</f>
        <v>0</v>
      </c>
      <c r="L78" s="151"/>
      <c r="M78" s="10">
        <f>SUM(M74:M77)</f>
        <v>0</v>
      </c>
      <c r="N78" s="11" t="s">
        <v>13</v>
      </c>
      <c r="O78" s="9"/>
      <c r="P78" s="163"/>
      <c r="Q78" s="164"/>
      <c r="R78" s="165"/>
    </row>
    <row r="79" spans="1:18" ht="14.55" customHeight="1" x14ac:dyDescent="0.3">
      <c r="D79" s="76"/>
      <c r="E79" s="1"/>
      <c r="F79" s="1"/>
      <c r="G79" s="1"/>
      <c r="H79" s="1"/>
      <c r="M79" s="76"/>
    </row>
    <row r="80" spans="1:18" x14ac:dyDescent="0.3">
      <c r="E80" s="148" t="s">
        <v>323</v>
      </c>
      <c r="F80" s="149"/>
      <c r="G80" s="149"/>
      <c r="H80" s="149"/>
      <c r="I80" s="152" t="s">
        <v>19</v>
      </c>
      <c r="J80" s="153"/>
      <c r="K80" s="152" t="s">
        <v>20</v>
      </c>
      <c r="L80" s="153"/>
    </row>
    <row r="81" spans="1:18" s="36" customFormat="1" x14ac:dyDescent="0.3">
      <c r="E81" s="7"/>
      <c r="F81" s="7"/>
      <c r="G81" s="7"/>
      <c r="H81" s="7"/>
      <c r="I81" s="22">
        <f>I78</f>
        <v>0</v>
      </c>
      <c r="J81" s="14" t="s">
        <v>12</v>
      </c>
      <c r="K81" s="22">
        <f>K78</f>
        <v>0</v>
      </c>
      <c r="L81" s="15" t="s">
        <v>12</v>
      </c>
    </row>
    <row r="82" spans="1:18" ht="24.45" customHeight="1" x14ac:dyDescent="0.3">
      <c r="E82" s="13"/>
      <c r="F82" s="13"/>
      <c r="G82" s="13"/>
      <c r="H82" s="13"/>
      <c r="I82" s="154">
        <f>I81+K81</f>
        <v>0</v>
      </c>
      <c r="J82" s="155"/>
      <c r="K82" s="155"/>
      <c r="L82" s="156"/>
    </row>
    <row r="84" spans="1:18" s="8" customFormat="1" ht="30" customHeight="1" x14ac:dyDescent="0.3">
      <c r="A84" s="133" t="s">
        <v>30</v>
      </c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6"/>
    </row>
    <row r="85" spans="1:18" s="12" customFormat="1" ht="14.55" customHeight="1" x14ac:dyDescent="0.3">
      <c r="A85" s="128" t="s">
        <v>1</v>
      </c>
      <c r="B85" s="137" t="s">
        <v>2</v>
      </c>
      <c r="C85" s="137" t="s">
        <v>3</v>
      </c>
      <c r="D85" s="137" t="s">
        <v>4</v>
      </c>
      <c r="E85" s="124" t="s">
        <v>5</v>
      </c>
      <c r="F85" s="138" t="s">
        <v>14</v>
      </c>
      <c r="G85" s="138" t="s">
        <v>15</v>
      </c>
      <c r="H85" s="119" t="s">
        <v>29</v>
      </c>
      <c r="I85" s="121" t="s">
        <v>6</v>
      </c>
      <c r="J85" s="122"/>
      <c r="K85" s="122"/>
      <c r="L85" s="123"/>
      <c r="M85" s="124" t="s">
        <v>7</v>
      </c>
      <c r="N85" s="125"/>
      <c r="O85" s="128" t="s">
        <v>8</v>
      </c>
      <c r="P85" s="128" t="s">
        <v>9</v>
      </c>
      <c r="Q85" s="128"/>
      <c r="R85" s="128"/>
    </row>
    <row r="86" spans="1:18" s="12" customFormat="1" ht="13.05" customHeight="1" x14ac:dyDescent="0.3">
      <c r="A86" s="128"/>
      <c r="B86" s="137"/>
      <c r="C86" s="137"/>
      <c r="D86" s="137"/>
      <c r="E86" s="126"/>
      <c r="F86" s="139"/>
      <c r="G86" s="139"/>
      <c r="H86" s="120"/>
      <c r="I86" s="121" t="s">
        <v>19</v>
      </c>
      <c r="J86" s="123"/>
      <c r="K86" s="121" t="s">
        <v>20</v>
      </c>
      <c r="L86" s="123"/>
      <c r="M86" s="126"/>
      <c r="N86" s="127"/>
      <c r="O86" s="128"/>
      <c r="P86" s="128"/>
      <c r="Q86" s="128"/>
      <c r="R86" s="128"/>
    </row>
    <row r="87" spans="1:18" ht="14.55" customHeight="1" x14ac:dyDescent="0.3">
      <c r="A87" s="140" t="s">
        <v>35</v>
      </c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86"/>
      <c r="N87" s="6" t="s">
        <v>13</v>
      </c>
      <c r="O87" s="21"/>
      <c r="P87" s="168"/>
      <c r="Q87" s="169"/>
      <c r="R87" s="170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86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86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7"/>
      <c r="B90" s="148" t="s">
        <v>0</v>
      </c>
      <c r="C90" s="149"/>
      <c r="D90" s="149"/>
      <c r="E90" s="149"/>
      <c r="F90" s="149"/>
      <c r="G90" s="149"/>
      <c r="H90" s="149"/>
      <c r="I90" s="150">
        <f>SUM(I87:J89)</f>
        <v>0</v>
      </c>
      <c r="J90" s="151"/>
      <c r="K90" s="150">
        <f>SUM(K87:L89)</f>
        <v>0</v>
      </c>
      <c r="L90" s="151"/>
      <c r="M90" s="10">
        <f>SUM(M87:M89)</f>
        <v>0</v>
      </c>
      <c r="N90" s="11" t="s">
        <v>13</v>
      </c>
      <c r="O90" s="9"/>
      <c r="P90" s="168"/>
      <c r="Q90" s="169"/>
      <c r="R90" s="170"/>
    </row>
    <row r="91" spans="1:18" ht="14.55" customHeight="1" x14ac:dyDescent="0.3">
      <c r="D91" s="76"/>
      <c r="E91" s="1"/>
      <c r="F91" s="1"/>
      <c r="G91" s="1"/>
      <c r="H91" s="1"/>
      <c r="M91" s="76"/>
    </row>
    <row r="92" spans="1:18" x14ac:dyDescent="0.3">
      <c r="E92" s="148" t="s">
        <v>34</v>
      </c>
      <c r="F92" s="149"/>
      <c r="G92" s="149"/>
      <c r="H92" s="149"/>
      <c r="I92" s="152" t="s">
        <v>19</v>
      </c>
      <c r="J92" s="153"/>
      <c r="K92" s="152" t="s">
        <v>20</v>
      </c>
      <c r="L92" s="153"/>
    </row>
    <row r="93" spans="1:18" s="36" customFormat="1" x14ac:dyDescent="0.3">
      <c r="E93" s="7"/>
      <c r="F93" s="7"/>
      <c r="G93" s="7"/>
      <c r="H93" s="7"/>
      <c r="I93" s="22">
        <f>I90</f>
        <v>0</v>
      </c>
      <c r="J93" s="14" t="s">
        <v>12</v>
      </c>
      <c r="K93" s="22">
        <f>K90</f>
        <v>0</v>
      </c>
      <c r="L93" s="15" t="s">
        <v>12</v>
      </c>
    </row>
    <row r="94" spans="1:18" s="1" customFormat="1" ht="24.45" customHeight="1" x14ac:dyDescent="0.3">
      <c r="A94" s="76"/>
      <c r="B94" s="76"/>
      <c r="C94" s="76"/>
      <c r="E94" s="13"/>
      <c r="F94" s="13"/>
      <c r="G94" s="13"/>
      <c r="H94" s="13"/>
      <c r="I94" s="154">
        <f>I93+K93</f>
        <v>0</v>
      </c>
      <c r="J94" s="155"/>
      <c r="K94" s="155"/>
      <c r="L94" s="156"/>
      <c r="N94" s="76"/>
      <c r="O94" s="76"/>
      <c r="P94" s="76"/>
      <c r="Q94" s="76"/>
      <c r="R94" s="76"/>
    </row>
  </sheetData>
  <mergeCells count="232">
    <mergeCell ref="I82:L82"/>
    <mergeCell ref="B78:H78"/>
    <mergeCell ref="I78:J78"/>
    <mergeCell ref="K78:L78"/>
    <mergeCell ref="E80:H80"/>
    <mergeCell ref="I80:J80"/>
    <mergeCell ref="K80:L80"/>
    <mergeCell ref="A74:A78"/>
    <mergeCell ref="I74:J74"/>
    <mergeCell ref="K74:L74"/>
    <mergeCell ref="K75:L75"/>
    <mergeCell ref="I76:J76"/>
    <mergeCell ref="K76:L76"/>
    <mergeCell ref="I77:J77"/>
    <mergeCell ref="K77:L77"/>
    <mergeCell ref="I72:L72"/>
    <mergeCell ref="M72:N73"/>
    <mergeCell ref="O72:O73"/>
    <mergeCell ref="P72:R73"/>
    <mergeCell ref="I73:J73"/>
    <mergeCell ref="K73:L73"/>
    <mergeCell ref="I56:L56"/>
    <mergeCell ref="A71:R71"/>
    <mergeCell ref="A72:A73"/>
    <mergeCell ref="B72:B73"/>
    <mergeCell ref="C72:C73"/>
    <mergeCell ref="D72:D73"/>
    <mergeCell ref="E72:E73"/>
    <mergeCell ref="F72:F73"/>
    <mergeCell ref="G72:G73"/>
    <mergeCell ref="H72:H73"/>
    <mergeCell ref="E67:H67"/>
    <mergeCell ref="I67:J67"/>
    <mergeCell ref="K67:L67"/>
    <mergeCell ref="I69:L69"/>
    <mergeCell ref="P59:R60"/>
    <mergeCell ref="I60:J60"/>
    <mergeCell ref="K60:L60"/>
    <mergeCell ref="F59:F60"/>
    <mergeCell ref="G59:G60"/>
    <mergeCell ref="H59:H60"/>
    <mergeCell ref="I59:L59"/>
    <mergeCell ref="M59:N60"/>
    <mergeCell ref="O59:O60"/>
    <mergeCell ref="B52:H52"/>
    <mergeCell ref="I52:J52"/>
    <mergeCell ref="K52:L52"/>
    <mergeCell ref="E54:H54"/>
    <mergeCell ref="I54:J54"/>
    <mergeCell ref="K54:L54"/>
    <mergeCell ref="A48:A52"/>
    <mergeCell ref="I48:J48"/>
    <mergeCell ref="K48:L48"/>
    <mergeCell ref="P48:R52"/>
    <mergeCell ref="I49:J49"/>
    <mergeCell ref="K49:L49"/>
    <mergeCell ref="I50:J50"/>
    <mergeCell ref="K50:L50"/>
    <mergeCell ref="I51:J51"/>
    <mergeCell ref="K51:L51"/>
    <mergeCell ref="I46:L46"/>
    <mergeCell ref="M46:N47"/>
    <mergeCell ref="O46:O47"/>
    <mergeCell ref="P46:R47"/>
    <mergeCell ref="I47:J47"/>
    <mergeCell ref="K47:L47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B39:H39"/>
    <mergeCell ref="I39:J39"/>
    <mergeCell ref="K39:L39"/>
    <mergeCell ref="E41:H41"/>
    <mergeCell ref="I41:J41"/>
    <mergeCell ref="K41:L41"/>
    <mergeCell ref="A34:A39"/>
    <mergeCell ref="I34:J34"/>
    <mergeCell ref="K34:L34"/>
    <mergeCell ref="P34:R39"/>
    <mergeCell ref="I35:J35"/>
    <mergeCell ref="K35:L35"/>
    <mergeCell ref="I36:J36"/>
    <mergeCell ref="K36:L36"/>
    <mergeCell ref="I37:J37"/>
    <mergeCell ref="K37:L37"/>
    <mergeCell ref="K31:L31"/>
    <mergeCell ref="I32:J32"/>
    <mergeCell ref="K32:L32"/>
    <mergeCell ref="I38:J38"/>
    <mergeCell ref="K38:L38"/>
    <mergeCell ref="I24:J24"/>
    <mergeCell ref="K24:L24"/>
    <mergeCell ref="P24:R27"/>
    <mergeCell ref="I25:J25"/>
    <mergeCell ref="K25:L25"/>
    <mergeCell ref="I26:J26"/>
    <mergeCell ref="K26:L26"/>
    <mergeCell ref="B27:H27"/>
    <mergeCell ref="I27:J27"/>
    <mergeCell ref="I94:L94"/>
    <mergeCell ref="A21:R21"/>
    <mergeCell ref="A22:A23"/>
    <mergeCell ref="B22:B23"/>
    <mergeCell ref="C22:C23"/>
    <mergeCell ref="D22:D23"/>
    <mergeCell ref="E22:E23"/>
    <mergeCell ref="F22:F23"/>
    <mergeCell ref="G22:G23"/>
    <mergeCell ref="H22:H23"/>
    <mergeCell ref="K89:L89"/>
    <mergeCell ref="B90:H90"/>
    <mergeCell ref="I90:J90"/>
    <mergeCell ref="K90:L90"/>
    <mergeCell ref="P90:R90"/>
    <mergeCell ref="E92:H92"/>
    <mergeCell ref="I92:J92"/>
    <mergeCell ref="K92:L92"/>
    <mergeCell ref="B33:H33"/>
    <mergeCell ref="I33:J33"/>
    <mergeCell ref="K33:L33"/>
    <mergeCell ref="K27:L27"/>
    <mergeCell ref="A28:A33"/>
    <mergeCell ref="I28:J28"/>
    <mergeCell ref="A87:A90"/>
    <mergeCell ref="I87:J87"/>
    <mergeCell ref="K87:L87"/>
    <mergeCell ref="P87:R89"/>
    <mergeCell ref="I88:J88"/>
    <mergeCell ref="K88:L88"/>
    <mergeCell ref="I89:J89"/>
    <mergeCell ref="F85:F86"/>
    <mergeCell ref="G85:G86"/>
    <mergeCell ref="H85:H86"/>
    <mergeCell ref="I85:L85"/>
    <mergeCell ref="M85:N86"/>
    <mergeCell ref="O85:O86"/>
    <mergeCell ref="A84:R84"/>
    <mergeCell ref="A85:A86"/>
    <mergeCell ref="B85:B86"/>
    <mergeCell ref="C85:C86"/>
    <mergeCell ref="D85:D86"/>
    <mergeCell ref="E85:E86"/>
    <mergeCell ref="K63:L63"/>
    <mergeCell ref="I64:J64"/>
    <mergeCell ref="K64:L64"/>
    <mergeCell ref="B65:H65"/>
    <mergeCell ref="I65:J65"/>
    <mergeCell ref="K65:L65"/>
    <mergeCell ref="A61:A65"/>
    <mergeCell ref="I61:J61"/>
    <mergeCell ref="K61:L61"/>
    <mergeCell ref="P61:R65"/>
    <mergeCell ref="I62:J62"/>
    <mergeCell ref="K62:L62"/>
    <mergeCell ref="I63:J63"/>
    <mergeCell ref="P85:R86"/>
    <mergeCell ref="I86:J86"/>
    <mergeCell ref="K86:L86"/>
    <mergeCell ref="P74:R78"/>
    <mergeCell ref="I75:J75"/>
    <mergeCell ref="E17:H17"/>
    <mergeCell ref="I17:J17"/>
    <mergeCell ref="K17:L17"/>
    <mergeCell ref="I19:L19"/>
    <mergeCell ref="A58:R58"/>
    <mergeCell ref="A59:A60"/>
    <mergeCell ref="B59:B60"/>
    <mergeCell ref="C59:C60"/>
    <mergeCell ref="D59:D60"/>
    <mergeCell ref="E59:E60"/>
    <mergeCell ref="I22:L22"/>
    <mergeCell ref="M22:N23"/>
    <mergeCell ref="O22:O23"/>
    <mergeCell ref="P22:R23"/>
    <mergeCell ref="I23:J23"/>
    <mergeCell ref="K23:L23"/>
    <mergeCell ref="K28:L28"/>
    <mergeCell ref="P28:R33"/>
    <mergeCell ref="I29:J29"/>
    <mergeCell ref="K29:L29"/>
    <mergeCell ref="I30:J30"/>
    <mergeCell ref="K30:L30"/>
    <mergeCell ref="I31:J31"/>
    <mergeCell ref="A24:A27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21"/>
  <sheetViews>
    <sheetView topLeftCell="A55" zoomScale="85" zoomScaleNormal="85" workbookViewId="0">
      <selection activeCell="O108" sqref="O108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1" bestFit="1" customWidth="1"/>
    <col min="5" max="5" width="45.6640625" customWidth="1"/>
    <col min="6" max="6" width="5.6640625" customWidth="1"/>
    <col min="7" max="7" width="6.6640625" customWidth="1"/>
    <col min="8" max="8" width="20.664062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customWidth="1"/>
    <col min="15" max="15" width="21.5546875" bestFit="1" customWidth="1"/>
    <col min="16" max="18" width="7.6640625" customWidth="1"/>
  </cols>
  <sheetData>
    <row r="1" spans="1:18" x14ac:dyDescent="0.3">
      <c r="D1"/>
      <c r="I1"/>
      <c r="J1"/>
      <c r="K1"/>
      <c r="L1"/>
      <c r="M1"/>
    </row>
    <row r="2" spans="1:18" x14ac:dyDescent="0.3">
      <c r="D2"/>
      <c r="I2"/>
      <c r="J2"/>
      <c r="K2"/>
      <c r="L2"/>
      <c r="M2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45915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17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318</v>
      </c>
      <c r="B7" s="5"/>
      <c r="C7" s="5"/>
      <c r="D7" s="4"/>
      <c r="E7" s="3"/>
      <c r="F7" s="19"/>
      <c r="G7" s="20"/>
      <c r="H7" s="26"/>
      <c r="I7" s="143"/>
      <c r="J7" s="144"/>
      <c r="K7" s="143"/>
      <c r="L7" s="144"/>
      <c r="M7" s="24"/>
      <c r="N7" s="6" t="s">
        <v>13</v>
      </c>
      <c r="O7" s="21"/>
      <c r="P7" s="168"/>
      <c r="Q7" s="169"/>
      <c r="R7" s="170"/>
    </row>
    <row r="8" spans="1:18" ht="14.55" customHeight="1" x14ac:dyDescent="0.3">
      <c r="A8" s="141"/>
      <c r="B8" s="5"/>
      <c r="C8" s="5"/>
      <c r="D8" s="4"/>
      <c r="E8" s="3"/>
      <c r="F8" s="19"/>
      <c r="G8" s="20"/>
      <c r="H8" s="26"/>
      <c r="I8" s="143"/>
      <c r="J8" s="144"/>
      <c r="K8" s="143"/>
      <c r="L8" s="144"/>
      <c r="M8" s="24"/>
      <c r="N8" s="6" t="s">
        <v>13</v>
      </c>
      <c r="O8" s="21"/>
      <c r="P8" s="168"/>
      <c r="Q8" s="169"/>
      <c r="R8" s="170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6"/>
      <c r="I9" s="143"/>
      <c r="J9" s="144"/>
      <c r="K9" s="143"/>
      <c r="L9" s="144"/>
      <c r="M9" s="24"/>
      <c r="N9" s="6" t="s">
        <v>13</v>
      </c>
      <c r="O9" s="21"/>
      <c r="P9" s="168"/>
      <c r="Q9" s="169"/>
      <c r="R9" s="170"/>
    </row>
    <row r="10" spans="1:18" ht="14.55" customHeight="1" x14ac:dyDescent="0.3">
      <c r="A10" s="141"/>
      <c r="B10" s="5"/>
      <c r="C10" s="5"/>
      <c r="D10" s="4"/>
      <c r="E10" s="3"/>
      <c r="F10" s="19"/>
      <c r="G10" s="20"/>
      <c r="H10" s="26"/>
      <c r="I10" s="143"/>
      <c r="J10" s="144"/>
      <c r="K10" s="143"/>
      <c r="L10" s="144"/>
      <c r="M10" s="24"/>
      <c r="N10" s="6" t="s">
        <v>13</v>
      </c>
      <c r="O10" s="21"/>
      <c r="P10" s="168"/>
      <c r="Q10" s="169"/>
      <c r="R10" s="170"/>
    </row>
    <row r="11" spans="1:18" ht="14.55" customHeight="1" x14ac:dyDescent="0.3">
      <c r="A11" s="141"/>
      <c r="B11" s="5"/>
      <c r="C11" s="5"/>
      <c r="D11" s="4"/>
      <c r="E11" s="3"/>
      <c r="F11" s="19"/>
      <c r="G11" s="20"/>
      <c r="H11" s="26"/>
      <c r="I11" s="143"/>
      <c r="J11" s="144"/>
      <c r="K11" s="143"/>
      <c r="L11" s="144"/>
      <c r="M11" s="24"/>
      <c r="N11" s="6" t="s">
        <v>13</v>
      </c>
      <c r="O11" s="21"/>
      <c r="P11" s="168"/>
      <c r="Q11" s="169"/>
      <c r="R11" s="170"/>
    </row>
    <row r="12" spans="1:18" ht="14.55" customHeight="1" x14ac:dyDescent="0.3">
      <c r="A12" s="141"/>
      <c r="B12" s="5"/>
      <c r="C12" s="5"/>
      <c r="D12" s="4"/>
      <c r="E12" s="3"/>
      <c r="F12" s="19"/>
      <c r="G12" s="20"/>
      <c r="H12" s="26"/>
      <c r="I12" s="143"/>
      <c r="J12" s="144"/>
      <c r="K12" s="143"/>
      <c r="L12" s="144"/>
      <c r="M12" s="24"/>
      <c r="N12" s="6" t="s">
        <v>13</v>
      </c>
      <c r="O12" s="21"/>
      <c r="P12" s="168"/>
      <c r="Q12" s="169"/>
      <c r="R12" s="170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6"/>
      <c r="I13" s="143"/>
      <c r="J13" s="144"/>
      <c r="K13" s="143"/>
      <c r="L13" s="144"/>
      <c r="M13" s="24"/>
      <c r="N13" s="6" t="s">
        <v>13</v>
      </c>
      <c r="O13" s="21"/>
      <c r="P13" s="168"/>
      <c r="Q13" s="169"/>
      <c r="R13" s="170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6"/>
      <c r="I14" s="143"/>
      <c r="J14" s="144"/>
      <c r="K14" s="143"/>
      <c r="L14" s="144"/>
      <c r="M14" s="24"/>
      <c r="N14" s="6" t="s">
        <v>13</v>
      </c>
      <c r="O14" s="21"/>
      <c r="P14" s="168"/>
      <c r="Q14" s="169"/>
      <c r="R14" s="170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0</v>
      </c>
      <c r="J15" s="151"/>
      <c r="K15" s="150">
        <f>SUM(K7:L14)</f>
        <v>0</v>
      </c>
      <c r="L15" s="151"/>
      <c r="M15" s="10">
        <f>SUM(M7:M14)</f>
        <v>0</v>
      </c>
      <c r="N15" s="11" t="s">
        <v>13</v>
      </c>
      <c r="O15" s="9"/>
      <c r="P15" s="168"/>
      <c r="Q15" s="169"/>
      <c r="R15" s="170"/>
    </row>
    <row r="16" spans="1:18" ht="14.55" customHeight="1" x14ac:dyDescent="0.3">
      <c r="A16" s="140" t="s">
        <v>21</v>
      </c>
      <c r="B16" s="5"/>
      <c r="C16" s="5"/>
      <c r="D16" s="4"/>
      <c r="E16" s="3"/>
      <c r="F16" s="19"/>
      <c r="G16" s="20"/>
      <c r="H16" s="26"/>
      <c r="I16" s="143"/>
      <c r="J16" s="144"/>
      <c r="K16" s="143"/>
      <c r="L16" s="144"/>
      <c r="M16" s="24"/>
      <c r="N16" s="6" t="s">
        <v>13</v>
      </c>
      <c r="O16" s="21"/>
      <c r="P16" s="168"/>
      <c r="Q16" s="169"/>
      <c r="R16" s="170"/>
    </row>
    <row r="17" spans="1:18" ht="14.55" customHeight="1" x14ac:dyDescent="0.3">
      <c r="A17" s="166"/>
      <c r="B17" s="5"/>
      <c r="C17" s="5"/>
      <c r="D17" s="4"/>
      <c r="E17" s="3"/>
      <c r="F17" s="19"/>
      <c r="G17" s="20"/>
      <c r="H17" s="26"/>
      <c r="I17" s="143"/>
      <c r="J17" s="144"/>
      <c r="K17" s="143"/>
      <c r="L17" s="144"/>
      <c r="M17" s="24"/>
      <c r="N17" s="6" t="s">
        <v>13</v>
      </c>
      <c r="O17" s="21"/>
      <c r="P17" s="168"/>
      <c r="Q17" s="169"/>
      <c r="R17" s="170"/>
    </row>
    <row r="18" spans="1:18" ht="14.55" customHeight="1" x14ac:dyDescent="0.3">
      <c r="A18" s="166"/>
      <c r="B18" s="5"/>
      <c r="C18" s="5"/>
      <c r="D18" s="4"/>
      <c r="E18" s="3"/>
      <c r="F18" s="19"/>
      <c r="G18" s="20"/>
      <c r="H18" s="26"/>
      <c r="I18" s="143"/>
      <c r="J18" s="144"/>
      <c r="K18" s="143"/>
      <c r="L18" s="144"/>
      <c r="M18" s="24"/>
      <c r="N18" s="6" t="s">
        <v>13</v>
      </c>
      <c r="O18" s="21"/>
      <c r="P18" s="168"/>
      <c r="Q18" s="169"/>
      <c r="R18" s="170"/>
    </row>
    <row r="19" spans="1:18" ht="14.55" customHeight="1" x14ac:dyDescent="0.3">
      <c r="A19" s="166"/>
      <c r="B19" s="5"/>
      <c r="C19" s="5"/>
      <c r="D19" s="4"/>
      <c r="E19" s="3"/>
      <c r="F19" s="19"/>
      <c r="G19" s="20"/>
      <c r="H19" s="26"/>
      <c r="I19" s="143"/>
      <c r="J19" s="144"/>
      <c r="K19" s="143"/>
      <c r="L19" s="144"/>
      <c r="M19" s="24"/>
      <c r="N19" s="6" t="s">
        <v>13</v>
      </c>
      <c r="O19" s="21"/>
      <c r="P19" s="168"/>
      <c r="Q19" s="169"/>
      <c r="R19" s="170"/>
    </row>
    <row r="20" spans="1:18" ht="14.55" customHeight="1" x14ac:dyDescent="0.3">
      <c r="A20" s="141"/>
      <c r="B20" s="5"/>
      <c r="C20" s="5"/>
      <c r="D20" s="4"/>
      <c r="E20" s="3"/>
      <c r="F20" s="19"/>
      <c r="G20" s="20"/>
      <c r="H20" s="26"/>
      <c r="I20" s="143"/>
      <c r="J20" s="144"/>
      <c r="K20" s="143"/>
      <c r="L20" s="144"/>
      <c r="M20" s="24"/>
      <c r="N20" s="6" t="s">
        <v>13</v>
      </c>
      <c r="O20" s="21"/>
      <c r="P20" s="168"/>
      <c r="Q20" s="169"/>
      <c r="R20" s="170"/>
    </row>
    <row r="21" spans="1:18" ht="14.55" customHeight="1" x14ac:dyDescent="0.3">
      <c r="A21" s="141"/>
      <c r="B21" s="5"/>
      <c r="C21" s="5"/>
      <c r="D21" s="4"/>
      <c r="E21" s="3"/>
      <c r="F21" s="19"/>
      <c r="G21" s="20"/>
      <c r="H21" s="26"/>
      <c r="I21" s="143"/>
      <c r="J21" s="144"/>
      <c r="K21" s="143"/>
      <c r="L21" s="144"/>
      <c r="M21" s="24"/>
      <c r="N21" s="6" t="s">
        <v>13</v>
      </c>
      <c r="O21" s="21"/>
      <c r="P21" s="168"/>
      <c r="Q21" s="169"/>
      <c r="R21" s="170"/>
    </row>
    <row r="22" spans="1:18" ht="14.55" customHeight="1" x14ac:dyDescent="0.3">
      <c r="A22" s="141"/>
      <c r="B22" s="5"/>
      <c r="C22" s="5"/>
      <c r="D22" s="4"/>
      <c r="E22" s="3"/>
      <c r="F22" s="19"/>
      <c r="G22" s="20"/>
      <c r="H22" s="26"/>
      <c r="I22" s="143"/>
      <c r="J22" s="144"/>
      <c r="K22" s="143"/>
      <c r="L22" s="144"/>
      <c r="M22" s="24"/>
      <c r="N22" s="6" t="s">
        <v>13</v>
      </c>
      <c r="O22" s="21"/>
      <c r="P22" s="168"/>
      <c r="Q22" s="169"/>
      <c r="R22" s="170"/>
    </row>
    <row r="23" spans="1:18" ht="14.55" customHeight="1" x14ac:dyDescent="0.3">
      <c r="A23" s="141"/>
      <c r="B23" s="5"/>
      <c r="C23" s="5"/>
      <c r="D23" s="4"/>
      <c r="E23" s="3"/>
      <c r="F23" s="19"/>
      <c r="G23" s="20"/>
      <c r="H23" s="26"/>
      <c r="I23" s="143"/>
      <c r="J23" s="144"/>
      <c r="K23" s="143"/>
      <c r="L23" s="144"/>
      <c r="M23" s="24"/>
      <c r="N23" s="6" t="s">
        <v>13</v>
      </c>
      <c r="O23" s="21"/>
      <c r="P23" s="168"/>
      <c r="Q23" s="169"/>
      <c r="R23" s="170"/>
    </row>
    <row r="24" spans="1:18" ht="14.55" customHeight="1" x14ac:dyDescent="0.3">
      <c r="A24" s="142"/>
      <c r="B24" s="148" t="s">
        <v>0</v>
      </c>
      <c r="C24" s="149"/>
      <c r="D24" s="149"/>
      <c r="E24" s="149"/>
      <c r="F24" s="149"/>
      <c r="G24" s="149"/>
      <c r="H24" s="149"/>
      <c r="I24" s="150">
        <f>SUM(I16:J23)</f>
        <v>0</v>
      </c>
      <c r="J24" s="151"/>
      <c r="K24" s="150">
        <f>SUM(K16:L23)</f>
        <v>0</v>
      </c>
      <c r="L24" s="151"/>
      <c r="M24" s="10">
        <f>SUM(M16:M23)</f>
        <v>0</v>
      </c>
      <c r="N24" s="11" t="s">
        <v>13</v>
      </c>
      <c r="O24" s="9"/>
      <c r="P24" s="168"/>
      <c r="Q24" s="169"/>
      <c r="R24" s="170"/>
    </row>
    <row r="25" spans="1:18" ht="14.55" customHeight="1" x14ac:dyDescent="0.3">
      <c r="D25"/>
      <c r="E25" s="1"/>
      <c r="F25" s="1"/>
      <c r="G25" s="1"/>
      <c r="H25" s="1"/>
      <c r="M25"/>
    </row>
    <row r="26" spans="1:18" x14ac:dyDescent="0.3">
      <c r="E26" s="148" t="s">
        <v>316</v>
      </c>
      <c r="F26" s="149"/>
      <c r="G26" s="149"/>
      <c r="H26" s="149"/>
      <c r="I26" s="152" t="s">
        <v>19</v>
      </c>
      <c r="J26" s="153"/>
      <c r="K26" s="152" t="s">
        <v>20</v>
      </c>
      <c r="L26" s="153"/>
    </row>
    <row r="27" spans="1:18" s="2" customFormat="1" x14ac:dyDescent="0.3">
      <c r="E27" s="7"/>
      <c r="F27" s="7"/>
      <c r="G27" s="7"/>
      <c r="H27" s="7"/>
      <c r="I27" s="22">
        <f>I15+I24</f>
        <v>0</v>
      </c>
      <c r="J27" s="14" t="s">
        <v>12</v>
      </c>
      <c r="K27" s="22">
        <f>K15+K24</f>
        <v>0</v>
      </c>
      <c r="L27" s="15" t="s">
        <v>12</v>
      </c>
    </row>
    <row r="28" spans="1:18" ht="24.45" customHeight="1" x14ac:dyDescent="0.3">
      <c r="E28" s="13"/>
      <c r="F28" s="13"/>
      <c r="G28" s="13"/>
      <c r="H28" s="13"/>
      <c r="I28" s="154">
        <f>I27+K27</f>
        <v>0</v>
      </c>
      <c r="J28" s="155"/>
      <c r="K28" s="155"/>
      <c r="L28" s="156"/>
    </row>
    <row r="29" spans="1:18" ht="15" customHeight="1" x14ac:dyDescent="0.3">
      <c r="D29"/>
      <c r="I29"/>
      <c r="J29"/>
      <c r="K29" s="23"/>
      <c r="L29" s="23"/>
      <c r="M29" s="23"/>
      <c r="N29" s="23"/>
    </row>
    <row r="30" spans="1:18" s="8" customFormat="1" ht="30" customHeight="1" x14ac:dyDescent="0.3">
      <c r="A30" s="133" t="s">
        <v>22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5"/>
      <c r="L30" s="135"/>
      <c r="M30" s="135"/>
      <c r="N30" s="135"/>
      <c r="O30" s="134"/>
      <c r="P30" s="134"/>
      <c r="Q30" s="134"/>
      <c r="R30" s="136"/>
    </row>
    <row r="31" spans="1:18" s="12" customFormat="1" ht="14.55" customHeight="1" x14ac:dyDescent="0.3">
      <c r="A31" s="128" t="s">
        <v>1</v>
      </c>
      <c r="B31" s="137" t="s">
        <v>2</v>
      </c>
      <c r="C31" s="137" t="s">
        <v>3</v>
      </c>
      <c r="D31" s="137" t="s">
        <v>4</v>
      </c>
      <c r="E31" s="124" t="s">
        <v>5</v>
      </c>
      <c r="F31" s="138" t="s">
        <v>14</v>
      </c>
      <c r="G31" s="138" t="s">
        <v>15</v>
      </c>
      <c r="H31" s="119" t="s">
        <v>27</v>
      </c>
      <c r="I31" s="121" t="s">
        <v>6</v>
      </c>
      <c r="J31" s="122"/>
      <c r="K31" s="122"/>
      <c r="L31" s="123"/>
      <c r="M31" s="124" t="s">
        <v>7</v>
      </c>
      <c r="N31" s="125"/>
      <c r="O31" s="128" t="s">
        <v>8</v>
      </c>
      <c r="P31" s="128" t="s">
        <v>9</v>
      </c>
      <c r="Q31" s="128"/>
      <c r="R31" s="128"/>
    </row>
    <row r="32" spans="1:18" s="12" customFormat="1" ht="13.05" customHeight="1" x14ac:dyDescent="0.3">
      <c r="A32" s="128"/>
      <c r="B32" s="137"/>
      <c r="C32" s="137"/>
      <c r="D32" s="137"/>
      <c r="E32" s="126"/>
      <c r="F32" s="139"/>
      <c r="G32" s="139"/>
      <c r="H32" s="120"/>
      <c r="I32" s="121" t="s">
        <v>23</v>
      </c>
      <c r="J32" s="123"/>
      <c r="K32" s="121" t="s">
        <v>11</v>
      </c>
      <c r="L32" s="123"/>
      <c r="M32" s="126"/>
      <c r="N32" s="127"/>
      <c r="O32" s="128"/>
      <c r="P32" s="128"/>
      <c r="Q32" s="128"/>
      <c r="R32" s="128"/>
    </row>
    <row r="33" spans="1:18" ht="14.55" customHeight="1" x14ac:dyDescent="0.3">
      <c r="A33" s="140" t="s">
        <v>28</v>
      </c>
      <c r="B33" s="5"/>
      <c r="C33" s="5"/>
      <c r="D33" s="4"/>
      <c r="E33" s="3"/>
      <c r="F33" s="19"/>
      <c r="G33" s="20"/>
      <c r="H33" s="26"/>
      <c r="I33" s="143"/>
      <c r="J33" s="144"/>
      <c r="K33" s="143"/>
      <c r="L33" s="144"/>
      <c r="M33" s="24"/>
      <c r="N33" s="6" t="s">
        <v>13</v>
      </c>
      <c r="O33" s="21"/>
      <c r="P33" s="168"/>
      <c r="Q33" s="169"/>
      <c r="R33" s="170"/>
    </row>
    <row r="34" spans="1:18" ht="14.55" customHeight="1" x14ac:dyDescent="0.3">
      <c r="A34" s="141"/>
      <c r="B34" s="5"/>
      <c r="C34" s="5"/>
      <c r="D34" s="4"/>
      <c r="E34" s="3"/>
      <c r="F34" s="19"/>
      <c r="G34" s="20"/>
      <c r="H34" s="26"/>
      <c r="I34" s="143"/>
      <c r="J34" s="144"/>
      <c r="K34" s="143"/>
      <c r="L34" s="144"/>
      <c r="M34" s="24"/>
      <c r="N34" s="6" t="s">
        <v>13</v>
      </c>
      <c r="O34" s="21"/>
      <c r="P34" s="168"/>
      <c r="Q34" s="169"/>
      <c r="R34" s="170"/>
    </row>
    <row r="35" spans="1:18" ht="14.55" customHeight="1" x14ac:dyDescent="0.3">
      <c r="A35" s="141"/>
      <c r="B35" s="5"/>
      <c r="C35" s="5"/>
      <c r="D35" s="4"/>
      <c r="E35" s="3"/>
      <c r="F35" s="19"/>
      <c r="G35" s="20"/>
      <c r="H35" s="26"/>
      <c r="I35" s="143"/>
      <c r="J35" s="144"/>
      <c r="K35" s="143"/>
      <c r="L35" s="144"/>
      <c r="M35" s="24"/>
      <c r="N35" s="6" t="s">
        <v>13</v>
      </c>
      <c r="O35" s="21"/>
      <c r="P35" s="168"/>
      <c r="Q35" s="169"/>
      <c r="R35" s="170"/>
    </row>
    <row r="36" spans="1:18" ht="14.55" customHeight="1" x14ac:dyDescent="0.3">
      <c r="A36" s="141"/>
      <c r="B36" s="5"/>
      <c r="C36" s="5"/>
      <c r="D36" s="4"/>
      <c r="E36" s="3"/>
      <c r="F36" s="19"/>
      <c r="G36" s="20"/>
      <c r="H36" s="26"/>
      <c r="I36" s="143"/>
      <c r="J36" s="144"/>
      <c r="K36" s="143"/>
      <c r="L36" s="144"/>
      <c r="M36" s="24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6"/>
      <c r="I37" s="143"/>
      <c r="J37" s="144"/>
      <c r="K37" s="143"/>
      <c r="L37" s="144"/>
      <c r="M37" s="24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2"/>
      <c r="B38" s="148" t="s">
        <v>0</v>
      </c>
      <c r="C38" s="149"/>
      <c r="D38" s="149"/>
      <c r="E38" s="149"/>
      <c r="F38" s="149"/>
      <c r="G38" s="149"/>
      <c r="H38" s="149"/>
      <c r="I38" s="150">
        <f>SUM(I33:J37)</f>
        <v>0</v>
      </c>
      <c r="J38" s="151"/>
      <c r="K38" s="150">
        <f>SUM(K33:L37)</f>
        <v>0</v>
      </c>
      <c r="L38" s="151"/>
      <c r="M38" s="10">
        <f>SUM(M33:M37)</f>
        <v>0</v>
      </c>
      <c r="N38" s="11" t="s">
        <v>13</v>
      </c>
      <c r="O38" s="9"/>
      <c r="P38" s="168"/>
      <c r="Q38" s="169"/>
      <c r="R38" s="170"/>
    </row>
    <row r="39" spans="1:18" ht="14.55" customHeight="1" x14ac:dyDescent="0.3">
      <c r="A39" s="140" t="s">
        <v>24</v>
      </c>
      <c r="B39" s="5"/>
      <c r="C39" s="5"/>
      <c r="D39" s="4"/>
      <c r="E39" s="3"/>
      <c r="F39" s="19"/>
      <c r="G39" s="20"/>
      <c r="H39" s="26"/>
      <c r="I39" s="143"/>
      <c r="J39" s="144"/>
      <c r="K39" s="143"/>
      <c r="L39" s="144"/>
      <c r="M39" s="24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41"/>
      <c r="B40" s="5"/>
      <c r="C40" s="5"/>
      <c r="D40" s="4"/>
      <c r="E40" s="3"/>
      <c r="F40" s="19"/>
      <c r="G40" s="20"/>
      <c r="H40" s="26"/>
      <c r="I40" s="143"/>
      <c r="J40" s="144"/>
      <c r="K40" s="143"/>
      <c r="L40" s="144"/>
      <c r="M40" s="24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41"/>
      <c r="B41" s="5"/>
      <c r="C41" s="5"/>
      <c r="D41" s="4"/>
      <c r="E41" s="3"/>
      <c r="F41" s="19"/>
      <c r="G41" s="20"/>
      <c r="H41" s="26"/>
      <c r="I41" s="143"/>
      <c r="J41" s="144"/>
      <c r="K41" s="143"/>
      <c r="L41" s="144"/>
      <c r="M41" s="24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41"/>
      <c r="B42" s="5"/>
      <c r="C42" s="5"/>
      <c r="D42" s="4"/>
      <c r="E42" s="3"/>
      <c r="F42" s="19"/>
      <c r="G42" s="20"/>
      <c r="H42" s="26"/>
      <c r="I42" s="143"/>
      <c r="J42" s="144"/>
      <c r="K42" s="143"/>
      <c r="L42" s="144"/>
      <c r="M42" s="24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41"/>
      <c r="B43" s="5"/>
      <c r="C43" s="5"/>
      <c r="D43" s="4"/>
      <c r="E43" s="3"/>
      <c r="F43" s="19"/>
      <c r="G43" s="20"/>
      <c r="H43" s="26"/>
      <c r="I43" s="143"/>
      <c r="J43" s="144"/>
      <c r="K43" s="143"/>
      <c r="L43" s="144"/>
      <c r="M43" s="24"/>
      <c r="N43" s="6" t="s">
        <v>13</v>
      </c>
      <c r="O43" s="21"/>
      <c r="P43" s="168"/>
      <c r="Q43" s="169"/>
      <c r="R43" s="170"/>
    </row>
    <row r="44" spans="1:18" ht="14.55" customHeight="1" x14ac:dyDescent="0.3">
      <c r="A44" s="142"/>
      <c r="B44" s="148" t="s">
        <v>0</v>
      </c>
      <c r="C44" s="149"/>
      <c r="D44" s="149"/>
      <c r="E44" s="149"/>
      <c r="F44" s="149"/>
      <c r="G44" s="149"/>
      <c r="H44" s="149"/>
      <c r="I44" s="150">
        <f>SUM(I39:J43)</f>
        <v>0</v>
      </c>
      <c r="J44" s="151"/>
      <c r="K44" s="150">
        <f>SUM(K39:L43)</f>
        <v>0</v>
      </c>
      <c r="L44" s="151"/>
      <c r="M44" s="10">
        <f>SUM(M39:M43)</f>
        <v>0</v>
      </c>
      <c r="N44" s="11" t="s">
        <v>13</v>
      </c>
      <c r="O44" s="9"/>
      <c r="P44" s="168"/>
      <c r="Q44" s="169"/>
      <c r="R44" s="170"/>
    </row>
    <row r="45" spans="1:18" ht="14.55" customHeight="1" x14ac:dyDescent="0.3">
      <c r="A45" s="140" t="s">
        <v>25</v>
      </c>
      <c r="B45" s="5"/>
      <c r="C45" s="5"/>
      <c r="D45" s="4"/>
      <c r="E45" s="3"/>
      <c r="F45" s="19"/>
      <c r="G45" s="20"/>
      <c r="H45" s="26"/>
      <c r="I45" s="143"/>
      <c r="J45" s="144"/>
      <c r="K45" s="143"/>
      <c r="L45" s="144"/>
      <c r="M45" s="24"/>
      <c r="N45" s="6" t="s">
        <v>13</v>
      </c>
      <c r="O45" s="21"/>
      <c r="P45" s="168"/>
      <c r="Q45" s="169"/>
      <c r="R45" s="170"/>
    </row>
    <row r="46" spans="1:18" ht="14.55" customHeight="1" x14ac:dyDescent="0.3">
      <c r="A46" s="141"/>
      <c r="B46" s="5"/>
      <c r="C46" s="5"/>
      <c r="D46" s="4"/>
      <c r="E46" s="3"/>
      <c r="F46" s="19"/>
      <c r="G46" s="20"/>
      <c r="H46" s="26"/>
      <c r="I46" s="143"/>
      <c r="J46" s="144"/>
      <c r="K46" s="143"/>
      <c r="L46" s="144"/>
      <c r="M46" s="24"/>
      <c r="N46" s="6" t="s">
        <v>13</v>
      </c>
      <c r="O46" s="21"/>
      <c r="P46" s="168"/>
      <c r="Q46" s="169"/>
      <c r="R46" s="170"/>
    </row>
    <row r="47" spans="1:18" ht="14.55" customHeight="1" x14ac:dyDescent="0.3">
      <c r="A47" s="141"/>
      <c r="B47" s="5"/>
      <c r="C47" s="5"/>
      <c r="D47" s="4"/>
      <c r="E47" s="3"/>
      <c r="F47" s="19"/>
      <c r="G47" s="20"/>
      <c r="H47" s="26"/>
      <c r="I47" s="143"/>
      <c r="J47" s="144"/>
      <c r="K47" s="143"/>
      <c r="L47" s="144"/>
      <c r="M47" s="24"/>
      <c r="N47" s="6" t="s">
        <v>13</v>
      </c>
      <c r="O47" s="21"/>
      <c r="P47" s="168"/>
      <c r="Q47" s="169"/>
      <c r="R47" s="170"/>
    </row>
    <row r="48" spans="1:18" ht="14.55" customHeight="1" x14ac:dyDescent="0.3">
      <c r="A48" s="141"/>
      <c r="B48" s="5"/>
      <c r="C48" s="5"/>
      <c r="D48" s="4"/>
      <c r="E48" s="3"/>
      <c r="F48" s="19"/>
      <c r="G48" s="20"/>
      <c r="H48" s="26"/>
      <c r="I48" s="143"/>
      <c r="J48" s="144"/>
      <c r="K48" s="143"/>
      <c r="L48" s="144"/>
      <c r="M48" s="24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41"/>
      <c r="B49" s="5"/>
      <c r="C49" s="5"/>
      <c r="D49" s="4"/>
      <c r="E49" s="3"/>
      <c r="F49" s="19"/>
      <c r="G49" s="20"/>
      <c r="H49" s="26"/>
      <c r="I49" s="143"/>
      <c r="J49" s="144"/>
      <c r="K49" s="143"/>
      <c r="L49" s="144"/>
      <c r="M49" s="24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42"/>
      <c r="B50" s="148" t="s">
        <v>0</v>
      </c>
      <c r="C50" s="149"/>
      <c r="D50" s="149"/>
      <c r="E50" s="149"/>
      <c r="F50" s="149"/>
      <c r="G50" s="149"/>
      <c r="H50" s="149"/>
      <c r="I50" s="150">
        <f>SUM(I45:J49)</f>
        <v>0</v>
      </c>
      <c r="J50" s="151"/>
      <c r="K50" s="150">
        <f>SUM(K45:L49)</f>
        <v>0</v>
      </c>
      <c r="L50" s="151"/>
      <c r="M50" s="10">
        <f>SUM(M45:M49)</f>
        <v>0</v>
      </c>
      <c r="N50" s="11" t="s">
        <v>13</v>
      </c>
      <c r="O50" s="9"/>
      <c r="P50" s="168"/>
      <c r="Q50" s="169"/>
      <c r="R50" s="170"/>
    </row>
    <row r="52" spans="1:18" x14ac:dyDescent="0.3">
      <c r="E52" s="148" t="s">
        <v>26</v>
      </c>
      <c r="F52" s="149"/>
      <c r="G52" s="149"/>
      <c r="H52" s="149"/>
      <c r="I52" s="152" t="s">
        <v>23</v>
      </c>
      <c r="J52" s="153"/>
      <c r="K52" s="152" t="s">
        <v>11</v>
      </c>
      <c r="L52" s="153"/>
    </row>
    <row r="53" spans="1:18" s="2" customFormat="1" x14ac:dyDescent="0.3">
      <c r="E53" s="7"/>
      <c r="F53" s="7"/>
      <c r="G53" s="7"/>
      <c r="H53" s="7"/>
      <c r="I53" s="22">
        <f>I44+I50</f>
        <v>0</v>
      </c>
      <c r="J53" s="14" t="s">
        <v>12</v>
      </c>
      <c r="K53" s="22">
        <f>K44+K50</f>
        <v>0</v>
      </c>
      <c r="L53" s="15" t="s">
        <v>12</v>
      </c>
    </row>
    <row r="54" spans="1:18" ht="24.45" customHeight="1" x14ac:dyDescent="0.3">
      <c r="E54" s="13"/>
      <c r="F54" s="13"/>
      <c r="G54" s="13"/>
      <c r="H54" s="13"/>
      <c r="I54" s="154">
        <f>I53+K53</f>
        <v>0</v>
      </c>
      <c r="J54" s="155"/>
      <c r="K54" s="155"/>
      <c r="L54" s="156"/>
    </row>
    <row r="55" spans="1:18" x14ac:dyDescent="0.3">
      <c r="K55" s="25"/>
      <c r="L55" s="25"/>
      <c r="M55" s="25"/>
      <c r="N55" s="23"/>
    </row>
    <row r="56" spans="1:18" s="8" customFormat="1" ht="30" customHeight="1" x14ac:dyDescent="0.3">
      <c r="A56" s="133" t="s">
        <v>36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5"/>
      <c r="L56" s="135"/>
      <c r="M56" s="135"/>
      <c r="N56" s="135"/>
      <c r="O56" s="134"/>
      <c r="P56" s="134"/>
      <c r="Q56" s="134"/>
      <c r="R56" s="136"/>
    </row>
    <row r="57" spans="1:18" s="12" customFormat="1" ht="14.55" customHeight="1" x14ac:dyDescent="0.3">
      <c r="A57" s="128" t="s">
        <v>1</v>
      </c>
      <c r="B57" s="137" t="s">
        <v>2</v>
      </c>
      <c r="C57" s="137" t="s">
        <v>3</v>
      </c>
      <c r="D57" s="137" t="s">
        <v>4</v>
      </c>
      <c r="E57" s="124" t="s">
        <v>5</v>
      </c>
      <c r="F57" s="138" t="s">
        <v>14</v>
      </c>
      <c r="G57" s="138" t="s">
        <v>15</v>
      </c>
      <c r="H57" s="119" t="s">
        <v>29</v>
      </c>
      <c r="I57" s="121" t="s">
        <v>6</v>
      </c>
      <c r="J57" s="122"/>
      <c r="K57" s="122"/>
      <c r="L57" s="123"/>
      <c r="M57" s="124" t="s">
        <v>7</v>
      </c>
      <c r="N57" s="125"/>
      <c r="O57" s="128" t="s">
        <v>8</v>
      </c>
      <c r="P57" s="128" t="s">
        <v>9</v>
      </c>
      <c r="Q57" s="128"/>
      <c r="R57" s="128"/>
    </row>
    <row r="58" spans="1:18" s="12" customFormat="1" ht="13.05" customHeight="1" x14ac:dyDescent="0.3">
      <c r="A58" s="128"/>
      <c r="B58" s="137"/>
      <c r="C58" s="137"/>
      <c r="D58" s="137"/>
      <c r="E58" s="126"/>
      <c r="F58" s="139"/>
      <c r="G58" s="139"/>
      <c r="H58" s="120"/>
      <c r="I58" s="121" t="s">
        <v>19</v>
      </c>
      <c r="J58" s="123"/>
      <c r="K58" s="121" t="s">
        <v>20</v>
      </c>
      <c r="L58" s="123"/>
      <c r="M58" s="126"/>
      <c r="N58" s="127"/>
      <c r="O58" s="128"/>
      <c r="P58" s="128"/>
      <c r="Q58" s="128"/>
      <c r="R58" s="128"/>
    </row>
    <row r="59" spans="1:18" ht="14.55" customHeight="1" x14ac:dyDescent="0.3">
      <c r="A59" s="140" t="s">
        <v>37</v>
      </c>
      <c r="B59" s="5"/>
      <c r="C59" s="5"/>
      <c r="D59" s="4"/>
      <c r="E59" s="3"/>
      <c r="F59" s="19"/>
      <c r="G59" s="20"/>
      <c r="H59" s="26"/>
      <c r="I59" s="143"/>
      <c r="J59" s="144"/>
      <c r="K59" s="143"/>
      <c r="L59" s="144"/>
      <c r="M59" s="24"/>
      <c r="N59" s="6" t="s">
        <v>13</v>
      </c>
      <c r="O59" s="21"/>
      <c r="P59" s="157"/>
      <c r="Q59" s="158"/>
      <c r="R59" s="159"/>
    </row>
    <row r="60" spans="1:18" ht="14.55" customHeight="1" x14ac:dyDescent="0.3">
      <c r="A60" s="166"/>
      <c r="B60" s="5"/>
      <c r="C60" s="5"/>
      <c r="D60" s="4"/>
      <c r="E60" s="3"/>
      <c r="F60" s="19"/>
      <c r="G60" s="20"/>
      <c r="H60" s="26"/>
      <c r="I60" s="143"/>
      <c r="J60" s="144"/>
      <c r="K60" s="143"/>
      <c r="L60" s="144"/>
      <c r="M60" s="24"/>
      <c r="N60" s="6" t="s">
        <v>13</v>
      </c>
      <c r="O60" s="21"/>
      <c r="P60" s="160"/>
      <c r="Q60" s="161"/>
      <c r="R60" s="162"/>
    </row>
    <row r="61" spans="1:18" ht="14.55" customHeight="1" x14ac:dyDescent="0.3">
      <c r="A61" s="166"/>
      <c r="B61" s="5"/>
      <c r="C61" s="5"/>
      <c r="D61" s="4"/>
      <c r="E61" s="3"/>
      <c r="F61" s="19"/>
      <c r="G61" s="20"/>
      <c r="H61" s="26"/>
      <c r="I61" s="143"/>
      <c r="J61" s="144"/>
      <c r="K61" s="143"/>
      <c r="L61" s="144"/>
      <c r="M61" s="24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6"/>
      <c r="I62" s="143"/>
      <c r="J62" s="144"/>
      <c r="K62" s="143"/>
      <c r="L62" s="144"/>
      <c r="M62" s="24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6"/>
      <c r="I63" s="143"/>
      <c r="J63" s="144"/>
      <c r="K63" s="143"/>
      <c r="L63" s="144"/>
      <c r="M63" s="24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/>
      <c r="D64" s="4"/>
      <c r="E64" s="3"/>
      <c r="F64" s="19"/>
      <c r="G64" s="20"/>
      <c r="H64" s="26"/>
      <c r="I64" s="143"/>
      <c r="J64" s="144"/>
      <c r="K64" s="143"/>
      <c r="L64" s="144"/>
      <c r="M64" s="24"/>
      <c r="N64" s="6" t="s">
        <v>13</v>
      </c>
      <c r="O64" s="21"/>
      <c r="P64" s="160"/>
      <c r="Q64" s="161"/>
      <c r="R64" s="162"/>
    </row>
    <row r="65" spans="1:18" ht="14.55" customHeight="1" x14ac:dyDescent="0.3">
      <c r="A65" s="166"/>
      <c r="B65" s="5"/>
      <c r="C65" s="5"/>
      <c r="D65" s="4"/>
      <c r="E65" s="3"/>
      <c r="F65" s="19"/>
      <c r="G65" s="20"/>
      <c r="H65" s="26"/>
      <c r="I65" s="143"/>
      <c r="J65" s="144"/>
      <c r="K65" s="143"/>
      <c r="L65" s="144"/>
      <c r="M65" s="24"/>
      <c r="N65" s="6" t="s">
        <v>13</v>
      </c>
      <c r="O65" s="21"/>
      <c r="P65" s="160"/>
      <c r="Q65" s="161"/>
      <c r="R65" s="162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6"/>
      <c r="I66" s="143"/>
      <c r="J66" s="144"/>
      <c r="K66" s="143"/>
      <c r="L66" s="144"/>
      <c r="M66" s="24"/>
      <c r="N66" s="6" t="s">
        <v>13</v>
      </c>
      <c r="O66" s="21"/>
      <c r="P66" s="160"/>
      <c r="Q66" s="161"/>
      <c r="R66" s="162"/>
    </row>
    <row r="67" spans="1:18" ht="14.55" customHeight="1" x14ac:dyDescent="0.3">
      <c r="A67" s="166"/>
      <c r="B67" s="5"/>
      <c r="C67" s="5"/>
      <c r="D67" s="4"/>
      <c r="E67" s="3"/>
      <c r="F67" s="19"/>
      <c r="G67" s="20"/>
      <c r="H67" s="26"/>
      <c r="I67" s="143"/>
      <c r="J67" s="144"/>
      <c r="K67" s="143"/>
      <c r="L67" s="144"/>
      <c r="M67" s="24"/>
      <c r="N67" s="6" t="s">
        <v>13</v>
      </c>
      <c r="O67" s="21"/>
      <c r="P67" s="160"/>
      <c r="Q67" s="161"/>
      <c r="R67" s="162"/>
    </row>
    <row r="68" spans="1:18" ht="14.55" customHeight="1" x14ac:dyDescent="0.3">
      <c r="A68" s="166"/>
      <c r="B68" s="5"/>
      <c r="C68" s="5"/>
      <c r="D68" s="4"/>
      <c r="E68" s="3"/>
      <c r="F68" s="19"/>
      <c r="G68" s="20"/>
      <c r="H68" s="26"/>
      <c r="I68" s="143"/>
      <c r="J68" s="144"/>
      <c r="K68" s="143"/>
      <c r="L68" s="144"/>
      <c r="M68" s="24"/>
      <c r="N68" s="6" t="s">
        <v>13</v>
      </c>
      <c r="O68" s="21"/>
      <c r="P68" s="160"/>
      <c r="Q68" s="161"/>
      <c r="R68" s="162"/>
    </row>
    <row r="69" spans="1:18" ht="14.55" customHeight="1" x14ac:dyDescent="0.3">
      <c r="A69" s="166"/>
      <c r="B69" s="5"/>
      <c r="C69" s="5"/>
      <c r="D69" s="4"/>
      <c r="E69" s="3"/>
      <c r="F69" s="19"/>
      <c r="G69" s="20"/>
      <c r="H69" s="26"/>
      <c r="I69" s="143"/>
      <c r="J69" s="144"/>
      <c r="K69" s="143"/>
      <c r="L69" s="144"/>
      <c r="M69" s="24"/>
      <c r="N69" s="6" t="s">
        <v>13</v>
      </c>
      <c r="O69" s="21"/>
      <c r="P69" s="160"/>
      <c r="Q69" s="161"/>
      <c r="R69" s="162"/>
    </row>
    <row r="70" spans="1:18" ht="14.55" customHeight="1" x14ac:dyDescent="0.3">
      <c r="A70" s="166"/>
      <c r="B70" s="5"/>
      <c r="C70" s="5"/>
      <c r="D70" s="4"/>
      <c r="E70" s="3"/>
      <c r="F70" s="19"/>
      <c r="G70" s="20"/>
      <c r="H70" s="26"/>
      <c r="I70" s="143"/>
      <c r="J70" s="144"/>
      <c r="K70" s="143"/>
      <c r="L70" s="144"/>
      <c r="M70" s="24"/>
      <c r="N70" s="6" t="s">
        <v>13</v>
      </c>
      <c r="O70" s="21"/>
      <c r="P70" s="160"/>
      <c r="Q70" s="161"/>
      <c r="R70" s="162"/>
    </row>
    <row r="71" spans="1:18" ht="14.55" customHeight="1" x14ac:dyDescent="0.3">
      <c r="A71" s="166"/>
      <c r="B71" s="5"/>
      <c r="C71" s="5"/>
      <c r="D71" s="4"/>
      <c r="E71" s="3"/>
      <c r="F71" s="19"/>
      <c r="G71" s="20"/>
      <c r="H71" s="26"/>
      <c r="I71" s="143"/>
      <c r="J71" s="144"/>
      <c r="K71" s="143"/>
      <c r="L71" s="144"/>
      <c r="M71" s="24"/>
      <c r="N71" s="6" t="s">
        <v>13</v>
      </c>
      <c r="O71" s="21"/>
      <c r="P71" s="160"/>
      <c r="Q71" s="161"/>
      <c r="R71" s="162"/>
    </row>
    <row r="72" spans="1:18" ht="14.55" customHeight="1" x14ac:dyDescent="0.3">
      <c r="A72" s="166"/>
      <c r="B72" s="5"/>
      <c r="C72" s="5"/>
      <c r="D72" s="4"/>
      <c r="E72" s="3"/>
      <c r="F72" s="19"/>
      <c r="G72" s="20"/>
      <c r="H72" s="26"/>
      <c r="I72" s="143"/>
      <c r="J72" s="144"/>
      <c r="K72" s="143"/>
      <c r="L72" s="144"/>
      <c r="M72" s="24"/>
      <c r="N72" s="6" t="s">
        <v>13</v>
      </c>
      <c r="O72" s="21"/>
      <c r="P72" s="160"/>
      <c r="Q72" s="161"/>
      <c r="R72" s="162"/>
    </row>
    <row r="73" spans="1:18" ht="14.55" customHeight="1" x14ac:dyDescent="0.3">
      <c r="A73" s="166"/>
      <c r="B73" s="5"/>
      <c r="C73" s="5"/>
      <c r="D73" s="4"/>
      <c r="E73" s="3"/>
      <c r="F73" s="19"/>
      <c r="G73" s="20"/>
      <c r="H73" s="26"/>
      <c r="I73" s="143"/>
      <c r="J73" s="144"/>
      <c r="K73" s="143"/>
      <c r="L73" s="144"/>
      <c r="M73" s="24"/>
      <c r="N73" s="6" t="s">
        <v>13</v>
      </c>
      <c r="O73" s="21"/>
      <c r="P73" s="160"/>
      <c r="Q73" s="161"/>
      <c r="R73" s="162"/>
    </row>
    <row r="74" spans="1:18" ht="14.55" customHeight="1" x14ac:dyDescent="0.3">
      <c r="A74" s="167"/>
      <c r="B74" s="148" t="s">
        <v>0</v>
      </c>
      <c r="C74" s="149"/>
      <c r="D74" s="149"/>
      <c r="E74" s="149"/>
      <c r="F74" s="149"/>
      <c r="G74" s="149"/>
      <c r="H74" s="149"/>
      <c r="I74" s="150">
        <f>SUM(I69:J73)</f>
        <v>0</v>
      </c>
      <c r="J74" s="151"/>
      <c r="K74" s="150">
        <f>SUM(K69:L73)</f>
        <v>0</v>
      </c>
      <c r="L74" s="151"/>
      <c r="M74" s="10">
        <f>SUM(M69:M73)</f>
        <v>0</v>
      </c>
      <c r="N74" s="11" t="s">
        <v>13</v>
      </c>
      <c r="O74" s="9"/>
      <c r="P74" s="163"/>
      <c r="Q74" s="164"/>
      <c r="R74" s="165"/>
    </row>
    <row r="75" spans="1:18" ht="14.55" customHeight="1" x14ac:dyDescent="0.3">
      <c r="D75"/>
      <c r="E75" s="1"/>
      <c r="F75" s="1"/>
      <c r="G75" s="1"/>
      <c r="H75" s="1"/>
      <c r="M75"/>
    </row>
    <row r="76" spans="1:18" x14ac:dyDescent="0.3">
      <c r="E76" s="148" t="s">
        <v>33</v>
      </c>
      <c r="F76" s="149"/>
      <c r="G76" s="149"/>
      <c r="H76" s="149"/>
      <c r="I76" s="152" t="s">
        <v>19</v>
      </c>
      <c r="J76" s="153"/>
      <c r="K76" s="152" t="s">
        <v>20</v>
      </c>
      <c r="L76" s="153"/>
    </row>
    <row r="77" spans="1:18" s="2" customFormat="1" x14ac:dyDescent="0.3">
      <c r="E77" s="7"/>
      <c r="F77" s="7"/>
      <c r="G77" s="7"/>
      <c r="H77" s="7"/>
      <c r="I77" s="22">
        <f>I74</f>
        <v>0</v>
      </c>
      <c r="J77" s="14" t="s">
        <v>12</v>
      </c>
      <c r="K77" s="22">
        <f>K74</f>
        <v>0</v>
      </c>
      <c r="L77" s="15" t="s">
        <v>12</v>
      </c>
    </row>
    <row r="78" spans="1:18" ht="24.45" customHeight="1" x14ac:dyDescent="0.3">
      <c r="E78" s="13"/>
      <c r="F78" s="13"/>
      <c r="G78" s="13"/>
      <c r="H78" s="13"/>
      <c r="I78" s="154">
        <f>I77+K77</f>
        <v>0</v>
      </c>
      <c r="J78" s="155"/>
      <c r="K78" s="155"/>
      <c r="L78" s="156"/>
    </row>
    <row r="79" spans="1:18" s="76" customFormat="1" x14ac:dyDescent="0.3">
      <c r="D79" s="1"/>
      <c r="I79" s="1"/>
      <c r="J79" s="1"/>
      <c r="K79" s="25"/>
      <c r="L79" s="25"/>
      <c r="M79" s="25"/>
      <c r="N79" s="23"/>
    </row>
    <row r="80" spans="1:18" s="8" customFormat="1" ht="30" customHeight="1" x14ac:dyDescent="0.3">
      <c r="A80" s="133" t="s">
        <v>319</v>
      </c>
      <c r="B80" s="134"/>
      <c r="C80" s="134"/>
      <c r="D80" s="134"/>
      <c r="E80" s="134"/>
      <c r="F80" s="134"/>
      <c r="G80" s="134"/>
      <c r="H80" s="134"/>
      <c r="I80" s="134"/>
      <c r="J80" s="134"/>
      <c r="K80" s="135"/>
      <c r="L80" s="135"/>
      <c r="M80" s="135"/>
      <c r="N80" s="135"/>
      <c r="O80" s="134"/>
      <c r="P80" s="134"/>
      <c r="Q80" s="134"/>
      <c r="R80" s="136"/>
    </row>
    <row r="81" spans="1:18" s="12" customFormat="1" ht="14.55" customHeight="1" x14ac:dyDescent="0.3">
      <c r="A81" s="128" t="s">
        <v>1</v>
      </c>
      <c r="B81" s="137" t="s">
        <v>2</v>
      </c>
      <c r="C81" s="137" t="s">
        <v>3</v>
      </c>
      <c r="D81" s="137" t="s">
        <v>4</v>
      </c>
      <c r="E81" s="124" t="s">
        <v>5</v>
      </c>
      <c r="F81" s="138" t="s">
        <v>14</v>
      </c>
      <c r="G81" s="138" t="s">
        <v>15</v>
      </c>
      <c r="H81" s="119" t="s">
        <v>29</v>
      </c>
      <c r="I81" s="121" t="s">
        <v>6</v>
      </c>
      <c r="J81" s="122"/>
      <c r="K81" s="122"/>
      <c r="L81" s="123"/>
      <c r="M81" s="124" t="s">
        <v>7</v>
      </c>
      <c r="N81" s="125"/>
      <c r="O81" s="128" t="s">
        <v>8</v>
      </c>
      <c r="P81" s="128" t="s">
        <v>9</v>
      </c>
      <c r="Q81" s="128"/>
      <c r="R81" s="128"/>
    </row>
    <row r="82" spans="1:18" s="12" customFormat="1" ht="13.05" customHeight="1" x14ac:dyDescent="0.3">
      <c r="A82" s="128"/>
      <c r="B82" s="137"/>
      <c r="C82" s="137"/>
      <c r="D82" s="137"/>
      <c r="E82" s="126"/>
      <c r="F82" s="139"/>
      <c r="G82" s="139"/>
      <c r="H82" s="120"/>
      <c r="I82" s="121" t="s">
        <v>19</v>
      </c>
      <c r="J82" s="123"/>
      <c r="K82" s="121" t="s">
        <v>20</v>
      </c>
      <c r="L82" s="123"/>
      <c r="M82" s="126"/>
      <c r="N82" s="127"/>
      <c r="O82" s="128"/>
      <c r="P82" s="128"/>
      <c r="Q82" s="128"/>
      <c r="R82" s="128"/>
    </row>
    <row r="83" spans="1:18" s="76" customFormat="1" ht="14.55" customHeight="1" x14ac:dyDescent="0.3">
      <c r="A83" s="140" t="s">
        <v>37</v>
      </c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86"/>
      <c r="N83" s="6" t="s">
        <v>13</v>
      </c>
      <c r="O83" s="21"/>
      <c r="P83" s="157"/>
      <c r="Q83" s="158"/>
      <c r="R83" s="159"/>
    </row>
    <row r="84" spans="1:18" s="76" customFormat="1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86"/>
      <c r="N84" s="6" t="s">
        <v>13</v>
      </c>
      <c r="O84" s="21"/>
      <c r="P84" s="160"/>
      <c r="Q84" s="161"/>
      <c r="R84" s="162"/>
    </row>
    <row r="85" spans="1:18" s="76" customFormat="1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86"/>
      <c r="N85" s="6" t="s">
        <v>13</v>
      </c>
      <c r="O85" s="21"/>
      <c r="P85" s="160"/>
      <c r="Q85" s="161"/>
      <c r="R85" s="162"/>
    </row>
    <row r="86" spans="1:18" s="76" customFormat="1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86"/>
      <c r="N86" s="6" t="s">
        <v>13</v>
      </c>
      <c r="O86" s="21"/>
      <c r="P86" s="160"/>
      <c r="Q86" s="161"/>
      <c r="R86" s="162"/>
    </row>
    <row r="87" spans="1:18" s="76" customFormat="1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86"/>
      <c r="N87" s="6" t="s">
        <v>13</v>
      </c>
      <c r="O87" s="21"/>
      <c r="P87" s="160"/>
      <c r="Q87" s="161"/>
      <c r="R87" s="162"/>
    </row>
    <row r="88" spans="1:18" s="76" customFormat="1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86"/>
      <c r="N88" s="6" t="s">
        <v>13</v>
      </c>
      <c r="O88" s="21"/>
      <c r="P88" s="160"/>
      <c r="Q88" s="161"/>
      <c r="R88" s="162"/>
    </row>
    <row r="89" spans="1:18" s="76" customFormat="1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86"/>
      <c r="N89" s="6" t="s">
        <v>13</v>
      </c>
      <c r="O89" s="21"/>
      <c r="P89" s="160"/>
      <c r="Q89" s="161"/>
      <c r="R89" s="162"/>
    </row>
    <row r="90" spans="1:18" s="76" customFormat="1" ht="14.55" customHeight="1" x14ac:dyDescent="0.3">
      <c r="A90" s="166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86"/>
      <c r="N90" s="6" t="s">
        <v>13</v>
      </c>
      <c r="O90" s="21"/>
      <c r="P90" s="160"/>
      <c r="Q90" s="161"/>
      <c r="R90" s="162"/>
    </row>
    <row r="91" spans="1:18" s="76" customFormat="1" ht="14.55" customHeight="1" x14ac:dyDescent="0.3">
      <c r="A91" s="166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86"/>
      <c r="N91" s="6" t="s">
        <v>13</v>
      </c>
      <c r="O91" s="21"/>
      <c r="P91" s="160"/>
      <c r="Q91" s="161"/>
      <c r="R91" s="162"/>
    </row>
    <row r="92" spans="1:18" s="76" customFormat="1" ht="14.55" customHeight="1" x14ac:dyDescent="0.3">
      <c r="A92" s="166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86"/>
      <c r="N92" s="6" t="s">
        <v>13</v>
      </c>
      <c r="O92" s="21"/>
      <c r="P92" s="160"/>
      <c r="Q92" s="161"/>
      <c r="R92" s="162"/>
    </row>
    <row r="93" spans="1:18" s="76" customFormat="1" ht="14.55" customHeight="1" x14ac:dyDescent="0.3">
      <c r="A93" s="166"/>
      <c r="B93" s="5"/>
      <c r="C93" s="5"/>
      <c r="D93" s="4"/>
      <c r="E93" s="3"/>
      <c r="F93" s="19"/>
      <c r="G93" s="20"/>
      <c r="H93" s="28"/>
      <c r="I93" s="143"/>
      <c r="J93" s="144"/>
      <c r="K93" s="143"/>
      <c r="L93" s="144"/>
      <c r="M93" s="86"/>
      <c r="N93" s="6" t="s">
        <v>13</v>
      </c>
      <c r="O93" s="21"/>
      <c r="P93" s="160"/>
      <c r="Q93" s="161"/>
      <c r="R93" s="162"/>
    </row>
    <row r="94" spans="1:18" s="76" customFormat="1" ht="14.55" customHeight="1" x14ac:dyDescent="0.3">
      <c r="A94" s="166"/>
      <c r="B94" s="5"/>
      <c r="C94" s="5"/>
      <c r="D94" s="4"/>
      <c r="E94" s="3"/>
      <c r="F94" s="19"/>
      <c r="G94" s="20"/>
      <c r="H94" s="28"/>
      <c r="I94" s="143"/>
      <c r="J94" s="144"/>
      <c r="K94" s="143"/>
      <c r="L94" s="144"/>
      <c r="M94" s="86"/>
      <c r="N94" s="6" t="s">
        <v>13</v>
      </c>
      <c r="O94" s="21"/>
      <c r="P94" s="160"/>
      <c r="Q94" s="161"/>
      <c r="R94" s="162"/>
    </row>
    <row r="95" spans="1:18" s="76" customFormat="1" ht="14.55" customHeight="1" x14ac:dyDescent="0.3">
      <c r="A95" s="166"/>
      <c r="B95" s="5"/>
      <c r="C95" s="5"/>
      <c r="D95" s="4"/>
      <c r="E95" s="3"/>
      <c r="F95" s="19"/>
      <c r="G95" s="20"/>
      <c r="H95" s="28"/>
      <c r="I95" s="143"/>
      <c r="J95" s="144"/>
      <c r="K95" s="143"/>
      <c r="L95" s="144"/>
      <c r="M95" s="86"/>
      <c r="N95" s="6" t="s">
        <v>13</v>
      </c>
      <c r="O95" s="21"/>
      <c r="P95" s="160"/>
      <c r="Q95" s="161"/>
      <c r="R95" s="162"/>
    </row>
    <row r="96" spans="1:18" s="76" customFormat="1" ht="14.55" customHeight="1" x14ac:dyDescent="0.3">
      <c r="A96" s="166"/>
      <c r="B96" s="5"/>
      <c r="C96" s="5"/>
      <c r="D96" s="4"/>
      <c r="E96" s="3"/>
      <c r="F96" s="19"/>
      <c r="G96" s="20"/>
      <c r="H96" s="28"/>
      <c r="I96" s="143"/>
      <c r="J96" s="144"/>
      <c r="K96" s="143"/>
      <c r="L96" s="144"/>
      <c r="M96" s="86"/>
      <c r="N96" s="6" t="s">
        <v>13</v>
      </c>
      <c r="O96" s="21"/>
      <c r="P96" s="160"/>
      <c r="Q96" s="161"/>
      <c r="R96" s="162"/>
    </row>
    <row r="97" spans="1:18" s="76" customFormat="1" ht="14.55" customHeight="1" x14ac:dyDescent="0.3">
      <c r="A97" s="166"/>
      <c r="B97" s="5"/>
      <c r="C97" s="5"/>
      <c r="D97" s="4"/>
      <c r="E97" s="3"/>
      <c r="F97" s="19"/>
      <c r="G97" s="20"/>
      <c r="H97" s="28"/>
      <c r="I97" s="143"/>
      <c r="J97" s="144"/>
      <c r="K97" s="143"/>
      <c r="L97" s="144"/>
      <c r="M97" s="86"/>
      <c r="N97" s="6" t="s">
        <v>13</v>
      </c>
      <c r="O97" s="21"/>
      <c r="P97" s="160"/>
      <c r="Q97" s="161"/>
      <c r="R97" s="162"/>
    </row>
    <row r="98" spans="1:18" s="76" customFormat="1" ht="14.55" customHeight="1" x14ac:dyDescent="0.3">
      <c r="A98" s="167"/>
      <c r="B98" s="148" t="s">
        <v>0</v>
      </c>
      <c r="C98" s="149"/>
      <c r="D98" s="149"/>
      <c r="E98" s="149"/>
      <c r="F98" s="149"/>
      <c r="G98" s="149"/>
      <c r="H98" s="149"/>
      <c r="I98" s="150">
        <f>SUM(I93:J97)</f>
        <v>0</v>
      </c>
      <c r="J98" s="151"/>
      <c r="K98" s="150">
        <f>SUM(K93:L97)</f>
        <v>0</v>
      </c>
      <c r="L98" s="151"/>
      <c r="M98" s="10">
        <f>SUM(M93:M97)</f>
        <v>0</v>
      </c>
      <c r="N98" s="11" t="s">
        <v>13</v>
      </c>
      <c r="O98" s="9"/>
      <c r="P98" s="163"/>
      <c r="Q98" s="164"/>
      <c r="R98" s="165"/>
    </row>
    <row r="99" spans="1:18" s="76" customFormat="1" ht="14.55" customHeight="1" x14ac:dyDescent="0.3">
      <c r="E99" s="1"/>
      <c r="F99" s="1"/>
      <c r="G99" s="1"/>
      <c r="H99" s="1"/>
      <c r="I99" s="1"/>
      <c r="J99" s="1"/>
      <c r="K99" s="1"/>
      <c r="L99" s="1"/>
    </row>
    <row r="100" spans="1:18" s="76" customFormat="1" x14ac:dyDescent="0.3">
      <c r="D100" s="1"/>
      <c r="E100" s="148" t="s">
        <v>33</v>
      </c>
      <c r="F100" s="149"/>
      <c r="G100" s="149"/>
      <c r="H100" s="149"/>
      <c r="I100" s="152" t="s">
        <v>19</v>
      </c>
      <c r="J100" s="153"/>
      <c r="K100" s="152" t="s">
        <v>20</v>
      </c>
      <c r="L100" s="153"/>
      <c r="M100" s="1"/>
    </row>
    <row r="101" spans="1:18" s="36" customFormat="1" x14ac:dyDescent="0.3">
      <c r="E101" s="7"/>
      <c r="F101" s="7"/>
      <c r="G101" s="7"/>
      <c r="H101" s="7"/>
      <c r="I101" s="22">
        <f>I98</f>
        <v>0</v>
      </c>
      <c r="J101" s="14" t="s">
        <v>12</v>
      </c>
      <c r="K101" s="22">
        <f>K98</f>
        <v>0</v>
      </c>
      <c r="L101" s="15" t="s">
        <v>12</v>
      </c>
    </row>
    <row r="102" spans="1:18" s="76" customFormat="1" ht="24.45" customHeight="1" x14ac:dyDescent="0.3">
      <c r="D102" s="1"/>
      <c r="E102" s="13"/>
      <c r="F102" s="13"/>
      <c r="G102" s="13"/>
      <c r="H102" s="13"/>
      <c r="I102" s="154">
        <f>I101+K101</f>
        <v>0</v>
      </c>
      <c r="J102" s="155"/>
      <c r="K102" s="155"/>
      <c r="L102" s="156"/>
      <c r="M102" s="1"/>
    </row>
    <row r="104" spans="1:18" s="8" customFormat="1" ht="30" customHeight="1" x14ac:dyDescent="0.3">
      <c r="A104" s="133" t="s">
        <v>30</v>
      </c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6"/>
    </row>
    <row r="105" spans="1:18" s="12" customFormat="1" ht="14.55" customHeight="1" x14ac:dyDescent="0.3">
      <c r="A105" s="128" t="s">
        <v>1</v>
      </c>
      <c r="B105" s="137" t="s">
        <v>2</v>
      </c>
      <c r="C105" s="137" t="s">
        <v>3</v>
      </c>
      <c r="D105" s="137" t="s">
        <v>4</v>
      </c>
      <c r="E105" s="124" t="s">
        <v>5</v>
      </c>
      <c r="F105" s="138" t="s">
        <v>14</v>
      </c>
      <c r="G105" s="138" t="s">
        <v>15</v>
      </c>
      <c r="H105" s="119" t="s">
        <v>29</v>
      </c>
      <c r="I105" s="121" t="s">
        <v>6</v>
      </c>
      <c r="J105" s="122"/>
      <c r="K105" s="122"/>
      <c r="L105" s="123"/>
      <c r="M105" s="124" t="s">
        <v>7</v>
      </c>
      <c r="N105" s="125"/>
      <c r="O105" s="128" t="s">
        <v>8</v>
      </c>
      <c r="P105" s="128" t="s">
        <v>9</v>
      </c>
      <c r="Q105" s="128"/>
      <c r="R105" s="128"/>
    </row>
    <row r="106" spans="1:18" s="12" customFormat="1" ht="13.05" customHeight="1" x14ac:dyDescent="0.3">
      <c r="A106" s="128"/>
      <c r="B106" s="137"/>
      <c r="C106" s="137"/>
      <c r="D106" s="137"/>
      <c r="E106" s="126"/>
      <c r="F106" s="139"/>
      <c r="G106" s="139"/>
      <c r="H106" s="120"/>
      <c r="I106" s="121" t="s">
        <v>19</v>
      </c>
      <c r="J106" s="123"/>
      <c r="K106" s="121" t="s">
        <v>20</v>
      </c>
      <c r="L106" s="123"/>
      <c r="M106" s="126"/>
      <c r="N106" s="127"/>
      <c r="O106" s="128"/>
      <c r="P106" s="128"/>
      <c r="Q106" s="128"/>
      <c r="R106" s="128"/>
    </row>
    <row r="107" spans="1:18" ht="14.55" customHeight="1" x14ac:dyDescent="0.3">
      <c r="A107" s="140" t="s">
        <v>35</v>
      </c>
      <c r="B107" s="5"/>
      <c r="C107" s="5"/>
      <c r="D107" s="4"/>
      <c r="E107" s="3" t="s">
        <v>31</v>
      </c>
      <c r="F107" s="19"/>
      <c r="G107" s="20"/>
      <c r="H107" s="26" t="s">
        <v>32</v>
      </c>
      <c r="I107" s="143"/>
      <c r="J107" s="144"/>
      <c r="K107" s="143"/>
      <c r="L107" s="144"/>
      <c r="M107" s="24"/>
      <c r="N107" s="6" t="s">
        <v>13</v>
      </c>
      <c r="O107" s="21"/>
      <c r="P107" s="168"/>
      <c r="Q107" s="169"/>
      <c r="R107" s="170"/>
    </row>
    <row r="108" spans="1:18" ht="14.55" customHeight="1" x14ac:dyDescent="0.3">
      <c r="A108" s="166"/>
      <c r="B108" s="5"/>
      <c r="C108" s="5"/>
      <c r="D108" s="4"/>
      <c r="E108" s="3"/>
      <c r="F108" s="19"/>
      <c r="G108" s="20"/>
      <c r="H108" s="26"/>
      <c r="I108" s="143"/>
      <c r="J108" s="144"/>
      <c r="K108" s="143"/>
      <c r="L108" s="144"/>
      <c r="M108" s="24"/>
      <c r="N108" s="6" t="s">
        <v>13</v>
      </c>
      <c r="O108" s="21"/>
      <c r="P108" s="168"/>
      <c r="Q108" s="169"/>
      <c r="R108" s="170"/>
    </row>
    <row r="109" spans="1:18" ht="14.55" customHeight="1" x14ac:dyDescent="0.3">
      <c r="A109" s="166"/>
      <c r="B109" s="5"/>
      <c r="C109" s="5"/>
      <c r="D109" s="4"/>
      <c r="E109" s="3"/>
      <c r="F109" s="19"/>
      <c r="G109" s="20"/>
      <c r="H109" s="26"/>
      <c r="I109" s="143"/>
      <c r="J109" s="144"/>
      <c r="K109" s="143"/>
      <c r="L109" s="144"/>
      <c r="M109" s="24"/>
      <c r="N109" s="6" t="s">
        <v>13</v>
      </c>
      <c r="O109" s="21"/>
      <c r="P109" s="168"/>
      <c r="Q109" s="169"/>
      <c r="R109" s="170"/>
    </row>
    <row r="110" spans="1:18" ht="14.55" customHeight="1" x14ac:dyDescent="0.3">
      <c r="A110" s="166"/>
      <c r="B110" s="5"/>
      <c r="C110" s="5"/>
      <c r="D110" s="4"/>
      <c r="E110" s="3"/>
      <c r="F110" s="19"/>
      <c r="G110" s="20"/>
      <c r="H110" s="26"/>
      <c r="I110" s="143"/>
      <c r="J110" s="144"/>
      <c r="K110" s="143"/>
      <c r="L110" s="144"/>
      <c r="M110" s="24"/>
      <c r="N110" s="6" t="s">
        <v>13</v>
      </c>
      <c r="O110" s="21"/>
      <c r="P110" s="168"/>
      <c r="Q110" s="169"/>
      <c r="R110" s="170"/>
    </row>
    <row r="111" spans="1:18" ht="14.55" customHeight="1" x14ac:dyDescent="0.3">
      <c r="A111" s="166"/>
      <c r="B111" s="5"/>
      <c r="C111" s="5"/>
      <c r="D111" s="4"/>
      <c r="E111" s="3"/>
      <c r="F111" s="19"/>
      <c r="G111" s="20"/>
      <c r="H111" s="26"/>
      <c r="I111" s="143"/>
      <c r="J111" s="144"/>
      <c r="K111" s="143"/>
      <c r="L111" s="144"/>
      <c r="M111" s="24"/>
      <c r="N111" s="6" t="s">
        <v>13</v>
      </c>
      <c r="O111" s="21"/>
      <c r="P111" s="168"/>
      <c r="Q111" s="169"/>
      <c r="R111" s="170"/>
    </row>
    <row r="112" spans="1:18" ht="14.55" customHeight="1" x14ac:dyDescent="0.3">
      <c r="A112" s="166"/>
      <c r="B112" s="5"/>
      <c r="C112" s="5"/>
      <c r="D112" s="4"/>
      <c r="E112" s="3"/>
      <c r="F112" s="19"/>
      <c r="G112" s="20"/>
      <c r="H112" s="26"/>
      <c r="I112" s="143"/>
      <c r="J112" s="144"/>
      <c r="K112" s="143"/>
      <c r="L112" s="144"/>
      <c r="M112" s="24"/>
      <c r="N112" s="6" t="s">
        <v>13</v>
      </c>
      <c r="O112" s="21"/>
      <c r="P112" s="168"/>
      <c r="Q112" s="169"/>
      <c r="R112" s="170"/>
    </row>
    <row r="113" spans="1:18" ht="14.55" customHeight="1" x14ac:dyDescent="0.3">
      <c r="A113" s="166"/>
      <c r="B113" s="5"/>
      <c r="C113" s="5"/>
      <c r="D113" s="4"/>
      <c r="E113" s="3"/>
      <c r="F113" s="19"/>
      <c r="G113" s="20"/>
      <c r="H113" s="26"/>
      <c r="I113" s="143"/>
      <c r="J113" s="144"/>
      <c r="K113" s="143"/>
      <c r="L113" s="144"/>
      <c r="M113" s="24"/>
      <c r="N113" s="6" t="s">
        <v>13</v>
      </c>
      <c r="O113" s="21"/>
      <c r="P113" s="168"/>
      <c r="Q113" s="169"/>
      <c r="R113" s="170"/>
    </row>
    <row r="114" spans="1:18" ht="14.55" customHeight="1" x14ac:dyDescent="0.3">
      <c r="A114" s="166"/>
      <c r="B114" s="5"/>
      <c r="C114" s="5"/>
      <c r="D114" s="4"/>
      <c r="E114" s="3"/>
      <c r="F114" s="19"/>
      <c r="G114" s="20"/>
      <c r="H114" s="26"/>
      <c r="I114" s="143"/>
      <c r="J114" s="144"/>
      <c r="K114" s="143"/>
      <c r="L114" s="144"/>
      <c r="M114" s="24"/>
      <c r="N114" s="6" t="s">
        <v>13</v>
      </c>
      <c r="O114" s="21"/>
      <c r="P114" s="168"/>
      <c r="Q114" s="169"/>
      <c r="R114" s="170"/>
    </row>
    <row r="115" spans="1:18" ht="14.55" customHeight="1" x14ac:dyDescent="0.3">
      <c r="A115" s="166"/>
      <c r="B115" s="5"/>
      <c r="C115" s="5"/>
      <c r="D115" s="4"/>
      <c r="E115" s="3"/>
      <c r="F115" s="19"/>
      <c r="G115" s="20"/>
      <c r="H115" s="26"/>
      <c r="I115" s="143"/>
      <c r="J115" s="144"/>
      <c r="K115" s="143"/>
      <c r="L115" s="144"/>
      <c r="M115" s="24"/>
      <c r="N115" s="6" t="s">
        <v>13</v>
      </c>
      <c r="O115" s="21"/>
      <c r="P115" s="168"/>
      <c r="Q115" s="169"/>
      <c r="R115" s="170"/>
    </row>
    <row r="116" spans="1:18" ht="14.55" customHeight="1" x14ac:dyDescent="0.3">
      <c r="A116" s="166"/>
      <c r="B116" s="5"/>
      <c r="C116" s="5"/>
      <c r="D116" s="4"/>
      <c r="E116" s="3"/>
      <c r="F116" s="19"/>
      <c r="G116" s="20"/>
      <c r="H116" s="26"/>
      <c r="I116" s="143"/>
      <c r="J116" s="144"/>
      <c r="K116" s="143"/>
      <c r="L116" s="144"/>
      <c r="M116" s="24"/>
      <c r="N116" s="6" t="s">
        <v>13</v>
      </c>
      <c r="O116" s="21"/>
      <c r="P116" s="168"/>
      <c r="Q116" s="169"/>
      <c r="R116" s="170"/>
    </row>
    <row r="117" spans="1:18" ht="14.55" customHeight="1" x14ac:dyDescent="0.3">
      <c r="A117" s="167"/>
      <c r="B117" s="148" t="s">
        <v>0</v>
      </c>
      <c r="C117" s="149"/>
      <c r="D117" s="149"/>
      <c r="E117" s="149"/>
      <c r="F117" s="149"/>
      <c r="G117" s="149"/>
      <c r="H117" s="149"/>
      <c r="I117" s="150">
        <f>SUM(I112:J116)</f>
        <v>0</v>
      </c>
      <c r="J117" s="151"/>
      <c r="K117" s="150">
        <f>SUM(K112:L116)</f>
        <v>0</v>
      </c>
      <c r="L117" s="151"/>
      <c r="M117" s="10">
        <f>SUM(M112:M116)</f>
        <v>0</v>
      </c>
      <c r="N117" s="11" t="s">
        <v>13</v>
      </c>
      <c r="O117" s="9"/>
      <c r="P117" s="168"/>
      <c r="Q117" s="169"/>
      <c r="R117" s="170"/>
    </row>
    <row r="118" spans="1:18" ht="14.55" customHeight="1" x14ac:dyDescent="0.3">
      <c r="D118"/>
      <c r="E118" s="1"/>
      <c r="F118" s="1"/>
      <c r="G118" s="1"/>
      <c r="H118" s="1"/>
      <c r="M118"/>
    </row>
    <row r="119" spans="1:18" x14ac:dyDescent="0.3">
      <c r="E119" s="148" t="s">
        <v>34</v>
      </c>
      <c r="F119" s="149"/>
      <c r="G119" s="149"/>
      <c r="H119" s="149"/>
      <c r="I119" s="152" t="s">
        <v>19</v>
      </c>
      <c r="J119" s="153"/>
      <c r="K119" s="152" t="s">
        <v>20</v>
      </c>
      <c r="L119" s="153"/>
    </row>
    <row r="120" spans="1:18" s="2" customFormat="1" x14ac:dyDescent="0.3">
      <c r="E120" s="7"/>
      <c r="F120" s="7"/>
      <c r="G120" s="7"/>
      <c r="H120" s="7"/>
      <c r="I120" s="22">
        <f>I117</f>
        <v>0</v>
      </c>
      <c r="J120" s="14" t="s">
        <v>12</v>
      </c>
      <c r="K120" s="22">
        <f>K117</f>
        <v>0</v>
      </c>
      <c r="L120" s="15" t="s">
        <v>12</v>
      </c>
    </row>
    <row r="121" spans="1:18" ht="24.45" customHeight="1" x14ac:dyDescent="0.3">
      <c r="E121" s="13"/>
      <c r="F121" s="13"/>
      <c r="G121" s="13"/>
      <c r="H121" s="13"/>
      <c r="I121" s="154">
        <f>I120+K120</f>
        <v>0</v>
      </c>
      <c r="J121" s="155"/>
      <c r="K121" s="155"/>
      <c r="L121" s="156"/>
    </row>
  </sheetData>
  <mergeCells count="280">
    <mergeCell ref="E100:H100"/>
    <mergeCell ref="I100:J100"/>
    <mergeCell ref="K100:L100"/>
    <mergeCell ref="I102:L102"/>
    <mergeCell ref="I94:J94"/>
    <mergeCell ref="K94:L94"/>
    <mergeCell ref="I95:J95"/>
    <mergeCell ref="K95:L95"/>
    <mergeCell ref="I96:J96"/>
    <mergeCell ref="K96:L96"/>
    <mergeCell ref="I97:J97"/>
    <mergeCell ref="K97:L97"/>
    <mergeCell ref="B98:H98"/>
    <mergeCell ref="I98:J98"/>
    <mergeCell ref="K98:L98"/>
    <mergeCell ref="A83:A98"/>
    <mergeCell ref="I83:J83"/>
    <mergeCell ref="K83:L83"/>
    <mergeCell ref="P83:R98"/>
    <mergeCell ref="I84:J84"/>
    <mergeCell ref="K84:L84"/>
    <mergeCell ref="I85:J85"/>
    <mergeCell ref="K85:L85"/>
    <mergeCell ref="I86:J86"/>
    <mergeCell ref="K86:L86"/>
    <mergeCell ref="I87:J87"/>
    <mergeCell ref="K87:L87"/>
    <mergeCell ref="I88:J88"/>
    <mergeCell ref="K88:L88"/>
    <mergeCell ref="I89:J89"/>
    <mergeCell ref="K89:L89"/>
    <mergeCell ref="I90:J90"/>
    <mergeCell ref="K90:L90"/>
    <mergeCell ref="I91:J91"/>
    <mergeCell ref="K91:L91"/>
    <mergeCell ref="I92:J92"/>
    <mergeCell ref="K92:L92"/>
    <mergeCell ref="I93:J93"/>
    <mergeCell ref="K93:L93"/>
    <mergeCell ref="A80:R80"/>
    <mergeCell ref="A81:A82"/>
    <mergeCell ref="B81:B82"/>
    <mergeCell ref="C81:C82"/>
    <mergeCell ref="D81:D82"/>
    <mergeCell ref="E81:E82"/>
    <mergeCell ref="F81:F82"/>
    <mergeCell ref="G81:G82"/>
    <mergeCell ref="H81:H82"/>
    <mergeCell ref="I81:L81"/>
    <mergeCell ref="M81:N82"/>
    <mergeCell ref="O81:O82"/>
    <mergeCell ref="P81:R82"/>
    <mergeCell ref="I82:J82"/>
    <mergeCell ref="K82:L82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7:A15"/>
    <mergeCell ref="I7:J7"/>
    <mergeCell ref="K7:L7"/>
    <mergeCell ref="P7:R15"/>
    <mergeCell ref="I8:J8"/>
    <mergeCell ref="K8:L8"/>
    <mergeCell ref="I9:J9"/>
    <mergeCell ref="I12:J12"/>
    <mergeCell ref="K12:L12"/>
    <mergeCell ref="I13:J13"/>
    <mergeCell ref="K13:L13"/>
    <mergeCell ref="K9:L9"/>
    <mergeCell ref="I10:J10"/>
    <mergeCell ref="K10:L10"/>
    <mergeCell ref="I11:J11"/>
    <mergeCell ref="K11:L11"/>
    <mergeCell ref="P16:R24"/>
    <mergeCell ref="I17:J17"/>
    <mergeCell ref="K17:L17"/>
    <mergeCell ref="I18:J18"/>
    <mergeCell ref="I14:J14"/>
    <mergeCell ref="K14:L14"/>
    <mergeCell ref="B15:H15"/>
    <mergeCell ref="I15:J15"/>
    <mergeCell ref="K15:L15"/>
    <mergeCell ref="K18:L18"/>
    <mergeCell ref="I19:J19"/>
    <mergeCell ref="K19:L19"/>
    <mergeCell ref="I20:J20"/>
    <mergeCell ref="K20:L20"/>
    <mergeCell ref="A16:A24"/>
    <mergeCell ref="I16:J16"/>
    <mergeCell ref="K16:L16"/>
    <mergeCell ref="I23:J23"/>
    <mergeCell ref="K23:L23"/>
    <mergeCell ref="B24:H24"/>
    <mergeCell ref="I24:J24"/>
    <mergeCell ref="K24:L24"/>
    <mergeCell ref="I21:J21"/>
    <mergeCell ref="K21:L21"/>
    <mergeCell ref="I22:J22"/>
    <mergeCell ref="K22:L22"/>
    <mergeCell ref="E26:H26"/>
    <mergeCell ref="I26:J26"/>
    <mergeCell ref="K26:L26"/>
    <mergeCell ref="I28:L28"/>
    <mergeCell ref="A30:R30"/>
    <mergeCell ref="A31:A32"/>
    <mergeCell ref="B31:B32"/>
    <mergeCell ref="C31:C32"/>
    <mergeCell ref="D31:D32"/>
    <mergeCell ref="E31:E32"/>
    <mergeCell ref="A33:A38"/>
    <mergeCell ref="I33:J33"/>
    <mergeCell ref="K33:L33"/>
    <mergeCell ref="P33:R38"/>
    <mergeCell ref="I34:J34"/>
    <mergeCell ref="F31:F32"/>
    <mergeCell ref="G31:G32"/>
    <mergeCell ref="H31:H32"/>
    <mergeCell ref="I31:L31"/>
    <mergeCell ref="M31:N32"/>
    <mergeCell ref="O31:O32"/>
    <mergeCell ref="K34:L34"/>
    <mergeCell ref="I35:J35"/>
    <mergeCell ref="K35:L35"/>
    <mergeCell ref="I36:J36"/>
    <mergeCell ref="K36:L36"/>
    <mergeCell ref="P31:R32"/>
    <mergeCell ref="I32:J32"/>
    <mergeCell ref="K32:L32"/>
    <mergeCell ref="P39:R44"/>
    <mergeCell ref="I40:J40"/>
    <mergeCell ref="K40:L40"/>
    <mergeCell ref="I41:J41"/>
    <mergeCell ref="I37:J37"/>
    <mergeCell ref="K37:L37"/>
    <mergeCell ref="B38:H38"/>
    <mergeCell ref="I38:J38"/>
    <mergeCell ref="K38:L38"/>
    <mergeCell ref="K41:L41"/>
    <mergeCell ref="I42:J42"/>
    <mergeCell ref="K42:L42"/>
    <mergeCell ref="I43:J43"/>
    <mergeCell ref="K43:L43"/>
    <mergeCell ref="A39:A44"/>
    <mergeCell ref="I39:J39"/>
    <mergeCell ref="K39:L39"/>
    <mergeCell ref="B44:H44"/>
    <mergeCell ref="I44:J44"/>
    <mergeCell ref="K44:L44"/>
    <mergeCell ref="A45:A50"/>
    <mergeCell ref="I45:J45"/>
    <mergeCell ref="K45:L45"/>
    <mergeCell ref="I49:J49"/>
    <mergeCell ref="K49:L49"/>
    <mergeCell ref="B50:H50"/>
    <mergeCell ref="I50:J50"/>
    <mergeCell ref="K50:L50"/>
    <mergeCell ref="E52:H52"/>
    <mergeCell ref="I52:J52"/>
    <mergeCell ref="K52:L52"/>
    <mergeCell ref="P45:R50"/>
    <mergeCell ref="I46:J46"/>
    <mergeCell ref="K46:L46"/>
    <mergeCell ref="I47:J47"/>
    <mergeCell ref="K47:L47"/>
    <mergeCell ref="I48:J48"/>
    <mergeCell ref="K48:L48"/>
    <mergeCell ref="I54:L54"/>
    <mergeCell ref="A56:R56"/>
    <mergeCell ref="A57:A58"/>
    <mergeCell ref="B57:B58"/>
    <mergeCell ref="C57:C58"/>
    <mergeCell ref="D57:D58"/>
    <mergeCell ref="E57:E58"/>
    <mergeCell ref="F57:F58"/>
    <mergeCell ref="G57:G58"/>
    <mergeCell ref="H57:H58"/>
    <mergeCell ref="I68:J68"/>
    <mergeCell ref="B74:H74"/>
    <mergeCell ref="I74:J74"/>
    <mergeCell ref="K74:L74"/>
    <mergeCell ref="P59:R74"/>
    <mergeCell ref="I60:J60"/>
    <mergeCell ref="K60:L60"/>
    <mergeCell ref="I61:J61"/>
    <mergeCell ref="I57:L57"/>
    <mergeCell ref="M57:N58"/>
    <mergeCell ref="O57:O58"/>
    <mergeCell ref="P57:R58"/>
    <mergeCell ref="I58:J58"/>
    <mergeCell ref="K58:L58"/>
    <mergeCell ref="K61:L61"/>
    <mergeCell ref="I62:J62"/>
    <mergeCell ref="K62:L62"/>
    <mergeCell ref="I63:J63"/>
    <mergeCell ref="K63:L63"/>
    <mergeCell ref="K68:L68"/>
    <mergeCell ref="I69:J69"/>
    <mergeCell ref="K69:L69"/>
    <mergeCell ref="E76:H76"/>
    <mergeCell ref="I76:J76"/>
    <mergeCell ref="K76:L76"/>
    <mergeCell ref="I72:J72"/>
    <mergeCell ref="K72:L72"/>
    <mergeCell ref="I73:J73"/>
    <mergeCell ref="K73:L73"/>
    <mergeCell ref="I78:L78"/>
    <mergeCell ref="A104:R104"/>
    <mergeCell ref="A59:A74"/>
    <mergeCell ref="I59:J59"/>
    <mergeCell ref="K59:L59"/>
    <mergeCell ref="I66:J66"/>
    <mergeCell ref="K66:L66"/>
    <mergeCell ref="I67:J67"/>
    <mergeCell ref="K67:L67"/>
    <mergeCell ref="I64:J64"/>
    <mergeCell ref="K64:L64"/>
    <mergeCell ref="I65:J65"/>
    <mergeCell ref="K65:L65"/>
    <mergeCell ref="I70:J70"/>
    <mergeCell ref="K70:L70"/>
    <mergeCell ref="I71:J71"/>
    <mergeCell ref="K71:L71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L105"/>
    <mergeCell ref="M105:N106"/>
    <mergeCell ref="O105:O106"/>
    <mergeCell ref="P105:R106"/>
    <mergeCell ref="I106:J106"/>
    <mergeCell ref="K106:L106"/>
    <mergeCell ref="K109:L109"/>
    <mergeCell ref="I110:J110"/>
    <mergeCell ref="K110:L110"/>
    <mergeCell ref="A107:A117"/>
    <mergeCell ref="I107:J107"/>
    <mergeCell ref="K107:L107"/>
    <mergeCell ref="I112:J112"/>
    <mergeCell ref="K112:L112"/>
    <mergeCell ref="P112:R117"/>
    <mergeCell ref="I113:J113"/>
    <mergeCell ref="K113:L113"/>
    <mergeCell ref="I114:J114"/>
    <mergeCell ref="K114:L114"/>
    <mergeCell ref="P107:R111"/>
    <mergeCell ref="I108:J108"/>
    <mergeCell ref="K108:L108"/>
    <mergeCell ref="I109:J109"/>
    <mergeCell ref="I111:J111"/>
    <mergeCell ref="K111:L111"/>
    <mergeCell ref="I121:L121"/>
    <mergeCell ref="B117:H117"/>
    <mergeCell ref="I117:J117"/>
    <mergeCell ref="K117:L117"/>
    <mergeCell ref="E119:H119"/>
    <mergeCell ref="I119:J119"/>
    <mergeCell ref="K119:L119"/>
    <mergeCell ref="I115:J115"/>
    <mergeCell ref="K115:L115"/>
    <mergeCell ref="I116:J116"/>
    <mergeCell ref="K116:L116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7"/>
  <sheetViews>
    <sheetView topLeftCell="A60" zoomScale="85" zoomScaleNormal="85" workbookViewId="0">
      <selection activeCell="P45" sqref="P45:R50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1" bestFit="1" customWidth="1"/>
    <col min="5" max="5" width="55.6640625" bestFit="1" customWidth="1"/>
    <col min="6" max="6" width="5.6640625" customWidth="1"/>
    <col min="7" max="7" width="6.6640625" customWidth="1"/>
    <col min="8" max="8" width="15.664062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customWidth="1"/>
    <col min="15" max="15" width="21.5546875" bestFit="1" customWidth="1"/>
    <col min="16" max="18" width="7.6640625" customWidth="1"/>
  </cols>
  <sheetData>
    <row r="1" spans="1:18" x14ac:dyDescent="0.3">
      <c r="D1"/>
      <c r="I1"/>
      <c r="J1"/>
      <c r="K1"/>
      <c r="L1"/>
      <c r="M1"/>
    </row>
    <row r="2" spans="1:18" x14ac:dyDescent="0.3">
      <c r="D2"/>
      <c r="I2"/>
      <c r="J2"/>
      <c r="K2"/>
      <c r="L2"/>
      <c r="M2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45916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">
        <v>250063</v>
      </c>
      <c r="E7" s="3" t="s">
        <v>39</v>
      </c>
      <c r="F7" s="19">
        <v>430</v>
      </c>
      <c r="G7" s="20">
        <v>0.5</v>
      </c>
      <c r="H7" s="26" t="s">
        <v>40</v>
      </c>
      <c r="I7" s="143">
        <v>470</v>
      </c>
      <c r="J7" s="144"/>
      <c r="K7" s="143"/>
      <c r="L7" s="144"/>
      <c r="M7" s="27">
        <v>30</v>
      </c>
      <c r="N7" s="6" t="s">
        <v>13</v>
      </c>
      <c r="O7" s="21" t="s">
        <v>45</v>
      </c>
      <c r="P7" s="145" t="s">
        <v>47</v>
      </c>
      <c r="Q7" s="146"/>
      <c r="R7" s="147"/>
    </row>
    <row r="8" spans="1:18" ht="14.55" customHeight="1" x14ac:dyDescent="0.3">
      <c r="A8" s="141"/>
      <c r="B8" s="5"/>
      <c r="C8" s="5"/>
      <c r="D8" s="4">
        <v>250064</v>
      </c>
      <c r="E8" s="3" t="s">
        <v>41</v>
      </c>
      <c r="F8" s="19">
        <v>430</v>
      </c>
      <c r="G8" s="20">
        <v>0.5</v>
      </c>
      <c r="H8" s="26" t="s">
        <v>40</v>
      </c>
      <c r="I8" s="143">
        <v>1015</v>
      </c>
      <c r="J8" s="144"/>
      <c r="K8" s="143"/>
      <c r="L8" s="144"/>
      <c r="M8" s="27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>
        <v>0.70833333333333337</v>
      </c>
      <c r="D9" s="4">
        <v>250062</v>
      </c>
      <c r="E9" s="3" t="s">
        <v>42</v>
      </c>
      <c r="F9" s="19">
        <v>304</v>
      </c>
      <c r="G9" s="20">
        <v>0.6</v>
      </c>
      <c r="H9" s="26" t="s">
        <v>44</v>
      </c>
      <c r="I9" s="143">
        <v>350</v>
      </c>
      <c r="J9" s="144"/>
      <c r="K9" s="143"/>
      <c r="L9" s="144"/>
      <c r="M9" s="27">
        <v>30</v>
      </c>
      <c r="N9" s="6" t="s">
        <v>13</v>
      </c>
      <c r="O9" s="21" t="s">
        <v>45</v>
      </c>
      <c r="P9" s="145"/>
      <c r="Q9" s="146"/>
      <c r="R9" s="147"/>
    </row>
    <row r="10" spans="1:18" ht="14.55" customHeight="1" x14ac:dyDescent="0.3">
      <c r="A10" s="141"/>
      <c r="B10" s="5"/>
      <c r="C10" s="5"/>
      <c r="D10" s="4"/>
      <c r="E10" s="3"/>
      <c r="F10" s="19"/>
      <c r="G10" s="20"/>
      <c r="H10" s="26"/>
      <c r="I10" s="143"/>
      <c r="J10" s="144"/>
      <c r="K10" s="143"/>
      <c r="L10" s="144"/>
      <c r="M10" s="27">
        <v>20</v>
      </c>
      <c r="N10" s="6" t="s">
        <v>13</v>
      </c>
      <c r="O10" s="21" t="s">
        <v>46</v>
      </c>
      <c r="P10" s="145"/>
      <c r="Q10" s="146"/>
      <c r="R10" s="147"/>
    </row>
    <row r="11" spans="1:18" ht="14.55" customHeight="1" x14ac:dyDescent="0.3">
      <c r="A11" s="141"/>
      <c r="B11" s="5"/>
      <c r="C11" s="5"/>
      <c r="D11" s="4"/>
      <c r="E11" s="3"/>
      <c r="F11" s="19"/>
      <c r="G11" s="20"/>
      <c r="H11" s="26"/>
      <c r="I11" s="143"/>
      <c r="J11" s="144"/>
      <c r="K11" s="143"/>
      <c r="L11" s="144"/>
      <c r="M11" s="27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"/>
      <c r="E12" s="3"/>
      <c r="F12" s="19"/>
      <c r="G12" s="20"/>
      <c r="H12" s="26"/>
      <c r="I12" s="143"/>
      <c r="J12" s="144"/>
      <c r="K12" s="143"/>
      <c r="L12" s="144"/>
      <c r="M12" s="27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6"/>
      <c r="I13" s="143"/>
      <c r="J13" s="144"/>
      <c r="K13" s="143"/>
      <c r="L13" s="144"/>
      <c r="M13" s="27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6"/>
      <c r="I14" s="143"/>
      <c r="J14" s="144"/>
      <c r="K14" s="143"/>
      <c r="L14" s="144"/>
      <c r="M14" s="27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1835</v>
      </c>
      <c r="J15" s="151"/>
      <c r="K15" s="150">
        <f>SUM(K7:L14)</f>
        <v>0</v>
      </c>
      <c r="L15" s="151"/>
      <c r="M15" s="10">
        <f>SUM(M7:M14)</f>
        <v>80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/>
      <c r="C16" s="5"/>
      <c r="D16" s="4"/>
      <c r="E16" s="3"/>
      <c r="F16" s="19"/>
      <c r="G16" s="20"/>
      <c r="H16" s="26"/>
      <c r="I16" s="143"/>
      <c r="J16" s="144"/>
      <c r="K16" s="143"/>
      <c r="L16" s="144"/>
      <c r="M16" s="27"/>
      <c r="N16" s="6" t="s">
        <v>13</v>
      </c>
      <c r="O16" s="21"/>
      <c r="P16" s="145" t="s">
        <v>48</v>
      </c>
      <c r="Q16" s="146"/>
      <c r="R16" s="147"/>
    </row>
    <row r="17" spans="1:18" ht="14.55" customHeight="1" x14ac:dyDescent="0.3">
      <c r="A17" s="166"/>
      <c r="B17" s="5"/>
      <c r="C17" s="5"/>
      <c r="D17" s="4"/>
      <c r="E17" s="3"/>
      <c r="F17" s="19"/>
      <c r="G17" s="20"/>
      <c r="H17" s="26"/>
      <c r="I17" s="143"/>
      <c r="J17" s="144"/>
      <c r="K17" s="143"/>
      <c r="L17" s="144"/>
      <c r="M17" s="27"/>
      <c r="N17" s="6" t="s">
        <v>13</v>
      </c>
      <c r="O17" s="21"/>
      <c r="P17" s="145"/>
      <c r="Q17" s="146"/>
      <c r="R17" s="147"/>
    </row>
    <row r="18" spans="1:18" ht="14.55" hidden="1" customHeight="1" x14ac:dyDescent="0.3">
      <c r="A18" s="166"/>
      <c r="B18" s="5"/>
      <c r="C18" s="5"/>
      <c r="D18" s="4"/>
      <c r="E18" s="3"/>
      <c r="F18" s="19"/>
      <c r="G18" s="20"/>
      <c r="H18" s="26"/>
      <c r="I18" s="143"/>
      <c r="J18" s="144"/>
      <c r="K18" s="143"/>
      <c r="L18" s="144"/>
      <c r="M18" s="27"/>
      <c r="N18" s="6" t="s">
        <v>13</v>
      </c>
      <c r="O18" s="21"/>
      <c r="P18" s="145"/>
      <c r="Q18" s="146"/>
      <c r="R18" s="147"/>
    </row>
    <row r="19" spans="1:18" ht="14.55" hidden="1" customHeight="1" x14ac:dyDescent="0.3">
      <c r="A19" s="166"/>
      <c r="B19" s="5"/>
      <c r="C19" s="5"/>
      <c r="D19" s="4"/>
      <c r="E19" s="3"/>
      <c r="F19" s="19"/>
      <c r="G19" s="20"/>
      <c r="H19" s="26"/>
      <c r="I19" s="143"/>
      <c r="J19" s="144"/>
      <c r="K19" s="143"/>
      <c r="L19" s="144"/>
      <c r="M19" s="27"/>
      <c r="N19" s="6" t="s">
        <v>13</v>
      </c>
      <c r="O19" s="21"/>
      <c r="P19" s="145"/>
      <c r="Q19" s="146"/>
      <c r="R19" s="147"/>
    </row>
    <row r="20" spans="1:18" ht="14.55" hidden="1" customHeight="1" x14ac:dyDescent="0.3">
      <c r="A20" s="141"/>
      <c r="B20" s="5"/>
      <c r="C20" s="5"/>
      <c r="D20" s="4"/>
      <c r="E20" s="3"/>
      <c r="F20" s="19"/>
      <c r="G20" s="20"/>
      <c r="H20" s="26"/>
      <c r="I20" s="143"/>
      <c r="J20" s="144"/>
      <c r="K20" s="143"/>
      <c r="L20" s="144"/>
      <c r="M20" s="27"/>
      <c r="N20" s="6" t="s">
        <v>13</v>
      </c>
      <c r="O20" s="21"/>
      <c r="P20" s="145"/>
      <c r="Q20" s="146"/>
      <c r="R20" s="147"/>
    </row>
    <row r="21" spans="1:18" ht="14.55" hidden="1" customHeight="1" x14ac:dyDescent="0.3">
      <c r="A21" s="141"/>
      <c r="B21" s="5"/>
      <c r="C21" s="5"/>
      <c r="D21" s="4"/>
      <c r="E21" s="3"/>
      <c r="F21" s="19"/>
      <c r="G21" s="20"/>
      <c r="H21" s="26"/>
      <c r="I21" s="143"/>
      <c r="J21" s="144"/>
      <c r="K21" s="143"/>
      <c r="L21" s="144"/>
      <c r="M21" s="27"/>
      <c r="N21" s="6" t="s">
        <v>13</v>
      </c>
      <c r="O21" s="21"/>
      <c r="P21" s="145"/>
      <c r="Q21" s="146"/>
      <c r="R21" s="147"/>
    </row>
    <row r="22" spans="1:18" ht="14.55" hidden="1" customHeight="1" x14ac:dyDescent="0.3">
      <c r="A22" s="141"/>
      <c r="B22" s="5"/>
      <c r="C22" s="5"/>
      <c r="D22" s="4"/>
      <c r="E22" s="3"/>
      <c r="F22" s="19"/>
      <c r="G22" s="20"/>
      <c r="H22" s="26"/>
      <c r="I22" s="143"/>
      <c r="J22" s="144"/>
      <c r="K22" s="143"/>
      <c r="L22" s="144"/>
      <c r="M22" s="27"/>
      <c r="N22" s="6" t="s">
        <v>13</v>
      </c>
      <c r="O22" s="21"/>
      <c r="P22" s="145"/>
      <c r="Q22" s="146"/>
      <c r="R22" s="147"/>
    </row>
    <row r="23" spans="1:18" ht="14.55" customHeight="1" x14ac:dyDescent="0.3">
      <c r="A23" s="141"/>
      <c r="B23" s="5"/>
      <c r="C23" s="5"/>
      <c r="D23" s="4"/>
      <c r="E23" s="3"/>
      <c r="F23" s="19"/>
      <c r="G23" s="20"/>
      <c r="H23" s="26"/>
      <c r="I23" s="143"/>
      <c r="J23" s="144"/>
      <c r="K23" s="143"/>
      <c r="L23" s="144"/>
      <c r="M23" s="27"/>
      <c r="N23" s="6" t="s">
        <v>13</v>
      </c>
      <c r="O23" s="21"/>
      <c r="P23" s="145"/>
      <c r="Q23" s="146"/>
      <c r="R23" s="147"/>
    </row>
    <row r="24" spans="1:18" ht="14.55" customHeight="1" x14ac:dyDescent="0.3">
      <c r="A24" s="142"/>
      <c r="B24" s="148" t="s">
        <v>0</v>
      </c>
      <c r="C24" s="149"/>
      <c r="D24" s="149"/>
      <c r="E24" s="149"/>
      <c r="F24" s="149"/>
      <c r="G24" s="149"/>
      <c r="H24" s="149"/>
      <c r="I24" s="150">
        <f>SUM(I16:J23)</f>
        <v>0</v>
      </c>
      <c r="J24" s="151"/>
      <c r="K24" s="150">
        <f>SUM(K16:L23)</f>
        <v>0</v>
      </c>
      <c r="L24" s="151"/>
      <c r="M24" s="10">
        <f>SUM(M16:M23)</f>
        <v>0</v>
      </c>
      <c r="N24" s="11" t="s">
        <v>13</v>
      </c>
      <c r="O24" s="9"/>
      <c r="P24" s="145"/>
      <c r="Q24" s="146"/>
      <c r="R24" s="147"/>
    </row>
    <row r="25" spans="1:18" ht="14.55" customHeight="1" x14ac:dyDescent="0.3">
      <c r="D25"/>
      <c r="E25" s="1"/>
      <c r="F25" s="1"/>
      <c r="G25" s="1"/>
      <c r="H25" s="1"/>
      <c r="M25"/>
    </row>
    <row r="26" spans="1:18" x14ac:dyDescent="0.3">
      <c r="E26" s="148" t="s">
        <v>16</v>
      </c>
      <c r="F26" s="149"/>
      <c r="G26" s="149"/>
      <c r="H26" s="149"/>
      <c r="I26" s="152" t="s">
        <v>19</v>
      </c>
      <c r="J26" s="153"/>
      <c r="K26" s="152" t="s">
        <v>20</v>
      </c>
      <c r="L26" s="153"/>
    </row>
    <row r="27" spans="1:18" s="2" customFormat="1" x14ac:dyDescent="0.3">
      <c r="E27" s="7"/>
      <c r="F27" s="7"/>
      <c r="G27" s="7"/>
      <c r="H27" s="7"/>
      <c r="I27" s="22">
        <f>I15+I24</f>
        <v>1835</v>
      </c>
      <c r="J27" s="14" t="s">
        <v>12</v>
      </c>
      <c r="K27" s="22">
        <f>K15+K24</f>
        <v>0</v>
      </c>
      <c r="L27" s="15" t="s">
        <v>12</v>
      </c>
    </row>
    <row r="28" spans="1:18" ht="24.45" customHeight="1" x14ac:dyDescent="0.3">
      <c r="E28" s="13"/>
      <c r="F28" s="13"/>
      <c r="G28" s="13"/>
      <c r="H28" s="13"/>
      <c r="I28" s="154">
        <f>I27+K27</f>
        <v>1835</v>
      </c>
      <c r="J28" s="155"/>
      <c r="K28" s="155"/>
      <c r="L28" s="156"/>
    </row>
    <row r="29" spans="1:18" ht="15" customHeight="1" x14ac:dyDescent="0.3">
      <c r="D29"/>
      <c r="I29"/>
      <c r="J29"/>
      <c r="K29" s="23"/>
      <c r="L29" s="23"/>
      <c r="M29" s="23"/>
      <c r="N29" s="23"/>
    </row>
    <row r="30" spans="1:18" s="8" customFormat="1" ht="30" customHeight="1" x14ac:dyDescent="0.3">
      <c r="A30" s="133" t="s">
        <v>22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5"/>
      <c r="L30" s="135"/>
      <c r="M30" s="135"/>
      <c r="N30" s="135"/>
      <c r="O30" s="134"/>
      <c r="P30" s="134"/>
      <c r="Q30" s="134"/>
      <c r="R30" s="136"/>
    </row>
    <row r="31" spans="1:18" s="12" customFormat="1" ht="14.55" customHeight="1" x14ac:dyDescent="0.3">
      <c r="A31" s="128" t="s">
        <v>1</v>
      </c>
      <c r="B31" s="137" t="s">
        <v>2</v>
      </c>
      <c r="C31" s="137" t="s">
        <v>3</v>
      </c>
      <c r="D31" s="137" t="s">
        <v>4</v>
      </c>
      <c r="E31" s="124" t="s">
        <v>5</v>
      </c>
      <c r="F31" s="138" t="s">
        <v>14</v>
      </c>
      <c r="G31" s="138" t="s">
        <v>15</v>
      </c>
      <c r="H31" s="119" t="s">
        <v>27</v>
      </c>
      <c r="I31" s="121" t="s">
        <v>6</v>
      </c>
      <c r="J31" s="122"/>
      <c r="K31" s="122"/>
      <c r="L31" s="123"/>
      <c r="M31" s="124" t="s">
        <v>7</v>
      </c>
      <c r="N31" s="125"/>
      <c r="O31" s="128" t="s">
        <v>8</v>
      </c>
      <c r="P31" s="128" t="s">
        <v>9</v>
      </c>
      <c r="Q31" s="128"/>
      <c r="R31" s="128"/>
    </row>
    <row r="32" spans="1:18" s="12" customFormat="1" ht="13.05" customHeight="1" x14ac:dyDescent="0.3">
      <c r="A32" s="128"/>
      <c r="B32" s="137"/>
      <c r="C32" s="137"/>
      <c r="D32" s="137"/>
      <c r="E32" s="126"/>
      <c r="F32" s="139"/>
      <c r="G32" s="139"/>
      <c r="H32" s="120"/>
      <c r="I32" s="121" t="s">
        <v>23</v>
      </c>
      <c r="J32" s="123"/>
      <c r="K32" s="121" t="s">
        <v>11</v>
      </c>
      <c r="L32" s="123"/>
      <c r="M32" s="126"/>
      <c r="N32" s="127"/>
      <c r="O32" s="128"/>
      <c r="P32" s="128"/>
      <c r="Q32" s="128"/>
      <c r="R32" s="128"/>
    </row>
    <row r="33" spans="1:18" ht="14.55" customHeight="1" x14ac:dyDescent="0.3">
      <c r="A33" s="140" t="s">
        <v>28</v>
      </c>
      <c r="B33" s="5">
        <v>0.33333333333333331</v>
      </c>
      <c r="C33" s="5"/>
      <c r="D33" s="4">
        <v>250071</v>
      </c>
      <c r="E33" s="3" t="s">
        <v>49</v>
      </c>
      <c r="F33" s="19">
        <v>304</v>
      </c>
      <c r="G33" s="20">
        <v>0.6</v>
      </c>
      <c r="H33" s="26"/>
      <c r="I33" s="143">
        <v>750</v>
      </c>
      <c r="J33" s="144"/>
      <c r="K33" s="143"/>
      <c r="L33" s="144"/>
      <c r="M33" s="27"/>
      <c r="N33" s="6" t="s">
        <v>13</v>
      </c>
      <c r="O33" s="21"/>
      <c r="P33" s="168" t="s">
        <v>50</v>
      </c>
      <c r="Q33" s="169"/>
      <c r="R33" s="170"/>
    </row>
    <row r="34" spans="1:18" ht="14.55" customHeight="1" x14ac:dyDescent="0.3">
      <c r="A34" s="141"/>
      <c r="B34" s="5"/>
      <c r="C34" s="5">
        <v>0.70833333333333337</v>
      </c>
      <c r="D34" s="4">
        <v>250072</v>
      </c>
      <c r="E34" s="3" t="s">
        <v>49</v>
      </c>
      <c r="F34" s="19">
        <v>304</v>
      </c>
      <c r="G34" s="20">
        <v>0.6</v>
      </c>
      <c r="H34" s="26"/>
      <c r="I34" s="143">
        <v>750</v>
      </c>
      <c r="J34" s="144"/>
      <c r="K34" s="143"/>
      <c r="L34" s="144"/>
      <c r="M34" s="27"/>
      <c r="N34" s="6" t="s">
        <v>13</v>
      </c>
      <c r="O34" s="21"/>
      <c r="P34" s="168"/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6"/>
      <c r="I35" s="143"/>
      <c r="J35" s="144"/>
      <c r="K35" s="143"/>
      <c r="L35" s="144"/>
      <c r="M35" s="27"/>
      <c r="N35" s="6" t="s">
        <v>13</v>
      </c>
      <c r="O35" s="21"/>
      <c r="P35" s="168"/>
      <c r="Q35" s="169"/>
      <c r="R35" s="170"/>
    </row>
    <row r="36" spans="1:18" ht="14.55" hidden="1" customHeight="1" x14ac:dyDescent="0.3">
      <c r="A36" s="141"/>
      <c r="B36" s="5"/>
      <c r="C36" s="5"/>
      <c r="D36" s="4"/>
      <c r="E36" s="3"/>
      <c r="F36" s="19"/>
      <c r="G36" s="20"/>
      <c r="H36" s="26"/>
      <c r="I36" s="143"/>
      <c r="J36" s="144"/>
      <c r="K36" s="143"/>
      <c r="L36" s="144"/>
      <c r="M36" s="27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6"/>
      <c r="I37" s="143"/>
      <c r="J37" s="144"/>
      <c r="K37" s="143"/>
      <c r="L37" s="144"/>
      <c r="M37" s="27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2"/>
      <c r="B38" s="148" t="s">
        <v>0</v>
      </c>
      <c r="C38" s="149"/>
      <c r="D38" s="149"/>
      <c r="E38" s="149"/>
      <c r="F38" s="149"/>
      <c r="G38" s="149"/>
      <c r="H38" s="149"/>
      <c r="I38" s="150">
        <f>SUM(I33:J37)</f>
        <v>1500</v>
      </c>
      <c r="J38" s="151"/>
      <c r="K38" s="150">
        <f>SUM(K33:L37)</f>
        <v>0</v>
      </c>
      <c r="L38" s="151"/>
      <c r="M38" s="10">
        <f>SUM(M33:M37)</f>
        <v>0</v>
      </c>
      <c r="N38" s="11" t="s">
        <v>13</v>
      </c>
      <c r="O38" s="9"/>
      <c r="P38" s="168"/>
      <c r="Q38" s="169"/>
      <c r="R38" s="170"/>
    </row>
    <row r="39" spans="1:18" ht="14.55" customHeight="1" x14ac:dyDescent="0.3">
      <c r="A39" s="140" t="s">
        <v>24</v>
      </c>
      <c r="B39" s="5">
        <v>0.33333333333333331</v>
      </c>
      <c r="C39" s="5"/>
      <c r="D39" s="4">
        <v>250071</v>
      </c>
      <c r="E39" s="3" t="s">
        <v>49</v>
      </c>
      <c r="F39" s="19">
        <v>304</v>
      </c>
      <c r="G39" s="20">
        <v>0.6</v>
      </c>
      <c r="H39" s="26"/>
      <c r="I39" s="143">
        <v>750</v>
      </c>
      <c r="J39" s="144"/>
      <c r="K39" s="143"/>
      <c r="L39" s="144"/>
      <c r="M39" s="27"/>
      <c r="N39" s="6" t="s">
        <v>13</v>
      </c>
      <c r="O39" s="21"/>
      <c r="P39" s="168" t="s">
        <v>51</v>
      </c>
      <c r="Q39" s="169"/>
      <c r="R39" s="170"/>
    </row>
    <row r="40" spans="1:18" ht="14.55" customHeight="1" x14ac:dyDescent="0.3">
      <c r="A40" s="141"/>
      <c r="B40" s="5"/>
      <c r="C40" s="5">
        <v>0.70833333333333337</v>
      </c>
      <c r="D40" s="4">
        <v>250072</v>
      </c>
      <c r="E40" s="3" t="s">
        <v>49</v>
      </c>
      <c r="F40" s="19">
        <v>304</v>
      </c>
      <c r="G40" s="20">
        <v>0.6</v>
      </c>
      <c r="H40" s="26"/>
      <c r="I40" s="143">
        <v>750</v>
      </c>
      <c r="J40" s="144"/>
      <c r="K40" s="143"/>
      <c r="L40" s="144"/>
      <c r="M40" s="27"/>
      <c r="N40" s="6" t="s">
        <v>13</v>
      </c>
      <c r="O40" s="21"/>
      <c r="P40" s="168"/>
      <c r="Q40" s="169"/>
      <c r="R40" s="170"/>
    </row>
    <row r="41" spans="1:18" ht="14.55" hidden="1" customHeight="1" x14ac:dyDescent="0.3">
      <c r="A41" s="141"/>
      <c r="B41" s="5"/>
      <c r="C41" s="5"/>
      <c r="D41" s="4"/>
      <c r="E41" s="3"/>
      <c r="F41" s="19"/>
      <c r="G41" s="20"/>
      <c r="H41" s="26"/>
      <c r="I41" s="143"/>
      <c r="J41" s="144"/>
      <c r="K41" s="143"/>
      <c r="L41" s="144"/>
      <c r="M41" s="27"/>
      <c r="N41" s="6" t="s">
        <v>13</v>
      </c>
      <c r="O41" s="21"/>
      <c r="P41" s="168"/>
      <c r="Q41" s="169"/>
      <c r="R41" s="170"/>
    </row>
    <row r="42" spans="1:18" ht="14.55" hidden="1" customHeight="1" x14ac:dyDescent="0.3">
      <c r="A42" s="141"/>
      <c r="B42" s="5"/>
      <c r="C42" s="5"/>
      <c r="D42" s="4"/>
      <c r="E42" s="3"/>
      <c r="F42" s="19"/>
      <c r="G42" s="20"/>
      <c r="H42" s="26"/>
      <c r="I42" s="143"/>
      <c r="J42" s="144"/>
      <c r="K42" s="143"/>
      <c r="L42" s="144"/>
      <c r="M42" s="27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41"/>
      <c r="B43" s="5"/>
      <c r="C43" s="5"/>
      <c r="D43" s="4"/>
      <c r="E43" s="3"/>
      <c r="F43" s="19"/>
      <c r="G43" s="20"/>
      <c r="H43" s="26"/>
      <c r="I43" s="143"/>
      <c r="J43" s="144"/>
      <c r="K43" s="143"/>
      <c r="L43" s="144"/>
      <c r="M43" s="27"/>
      <c r="N43" s="6" t="s">
        <v>13</v>
      </c>
      <c r="O43" s="21"/>
      <c r="P43" s="168"/>
      <c r="Q43" s="169"/>
      <c r="R43" s="170"/>
    </row>
    <row r="44" spans="1:18" ht="14.55" customHeight="1" x14ac:dyDescent="0.3">
      <c r="A44" s="142"/>
      <c r="B44" s="148" t="s">
        <v>0</v>
      </c>
      <c r="C44" s="149"/>
      <c r="D44" s="149"/>
      <c r="E44" s="149"/>
      <c r="F44" s="149"/>
      <c r="G44" s="149"/>
      <c r="H44" s="149"/>
      <c r="I44" s="150">
        <f>SUM(I39:J43)</f>
        <v>1500</v>
      </c>
      <c r="J44" s="151"/>
      <c r="K44" s="150">
        <f>SUM(K39:L43)</f>
        <v>0</v>
      </c>
      <c r="L44" s="151"/>
      <c r="M44" s="10">
        <f>SUM(M39:M43)</f>
        <v>0</v>
      </c>
      <c r="N44" s="11" t="s">
        <v>13</v>
      </c>
      <c r="O44" s="9"/>
      <c r="P44" s="168"/>
      <c r="Q44" s="169"/>
      <c r="R44" s="170"/>
    </row>
    <row r="45" spans="1:18" ht="14.55" customHeight="1" x14ac:dyDescent="0.3">
      <c r="A45" s="140" t="s">
        <v>25</v>
      </c>
      <c r="B45" s="5"/>
      <c r="C45" s="5"/>
      <c r="D45" s="4"/>
      <c r="E45" s="3"/>
      <c r="F45" s="19"/>
      <c r="G45" s="20"/>
      <c r="H45" s="26"/>
      <c r="I45" s="143"/>
      <c r="J45" s="144"/>
      <c r="K45" s="143"/>
      <c r="L45" s="144"/>
      <c r="M45" s="27"/>
      <c r="N45" s="6" t="s">
        <v>13</v>
      </c>
      <c r="O45" s="21"/>
      <c r="P45" s="145" t="s">
        <v>52</v>
      </c>
      <c r="Q45" s="169"/>
      <c r="R45" s="170"/>
    </row>
    <row r="46" spans="1:18" ht="14.55" hidden="1" customHeight="1" x14ac:dyDescent="0.3">
      <c r="A46" s="141"/>
      <c r="B46" s="5"/>
      <c r="C46" s="5"/>
      <c r="D46" s="4"/>
      <c r="E46" s="3"/>
      <c r="F46" s="19"/>
      <c r="G46" s="20"/>
      <c r="H46" s="26"/>
      <c r="I46" s="143"/>
      <c r="J46" s="144"/>
      <c r="K46" s="143"/>
      <c r="L46" s="144"/>
      <c r="M46" s="27"/>
      <c r="N46" s="6" t="s">
        <v>13</v>
      </c>
      <c r="O46" s="21"/>
      <c r="P46" s="168"/>
      <c r="Q46" s="169"/>
      <c r="R46" s="170"/>
    </row>
    <row r="47" spans="1:18" ht="14.55" hidden="1" customHeight="1" x14ac:dyDescent="0.3">
      <c r="A47" s="141"/>
      <c r="B47" s="5"/>
      <c r="C47" s="5"/>
      <c r="D47" s="4"/>
      <c r="E47" s="3"/>
      <c r="F47" s="19"/>
      <c r="G47" s="20"/>
      <c r="H47" s="26"/>
      <c r="I47" s="143"/>
      <c r="J47" s="144"/>
      <c r="K47" s="143"/>
      <c r="L47" s="144"/>
      <c r="M47" s="27"/>
      <c r="N47" s="6" t="s">
        <v>13</v>
      </c>
      <c r="O47" s="21"/>
      <c r="P47" s="168"/>
      <c r="Q47" s="169"/>
      <c r="R47" s="170"/>
    </row>
    <row r="48" spans="1:18" ht="14.55" customHeight="1" x14ac:dyDescent="0.3">
      <c r="A48" s="141"/>
      <c r="B48" s="5"/>
      <c r="C48" s="5"/>
      <c r="D48" s="4"/>
      <c r="E48" s="3"/>
      <c r="F48" s="19"/>
      <c r="G48" s="20"/>
      <c r="H48" s="26"/>
      <c r="I48" s="143"/>
      <c r="J48" s="144"/>
      <c r="K48" s="143"/>
      <c r="L48" s="144"/>
      <c r="M48" s="27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41"/>
      <c r="B49" s="5"/>
      <c r="C49" s="5"/>
      <c r="D49" s="4"/>
      <c r="E49" s="3"/>
      <c r="F49" s="19"/>
      <c r="G49" s="20"/>
      <c r="H49" s="26"/>
      <c r="I49" s="143"/>
      <c r="J49" s="144"/>
      <c r="K49" s="143"/>
      <c r="L49" s="144"/>
      <c r="M49" s="27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42"/>
      <c r="B50" s="148" t="s">
        <v>0</v>
      </c>
      <c r="C50" s="149"/>
      <c r="D50" s="149"/>
      <c r="E50" s="149"/>
      <c r="F50" s="149"/>
      <c r="G50" s="149"/>
      <c r="H50" s="149"/>
      <c r="I50" s="150">
        <f>SUM(I45:J49)</f>
        <v>0</v>
      </c>
      <c r="J50" s="151"/>
      <c r="K50" s="150">
        <f>SUM(K45:L49)</f>
        <v>0</v>
      </c>
      <c r="L50" s="151"/>
      <c r="M50" s="10">
        <f>SUM(M45:M49)</f>
        <v>0</v>
      </c>
      <c r="N50" s="11" t="s">
        <v>13</v>
      </c>
      <c r="O50" s="9"/>
      <c r="P50" s="168"/>
      <c r="Q50" s="169"/>
      <c r="R50" s="170"/>
    </row>
    <row r="52" spans="1:18" x14ac:dyDescent="0.3">
      <c r="E52" s="148" t="s">
        <v>26</v>
      </c>
      <c r="F52" s="149"/>
      <c r="G52" s="149"/>
      <c r="H52" s="149"/>
      <c r="I52" s="152" t="s">
        <v>23</v>
      </c>
      <c r="J52" s="153"/>
      <c r="K52" s="152" t="s">
        <v>11</v>
      </c>
      <c r="L52" s="153"/>
    </row>
    <row r="53" spans="1:18" s="2" customFormat="1" x14ac:dyDescent="0.3">
      <c r="E53" s="7"/>
      <c r="F53" s="7"/>
      <c r="G53" s="7"/>
      <c r="H53" s="7"/>
      <c r="I53" s="22">
        <f>I44+I50</f>
        <v>1500</v>
      </c>
      <c r="J53" s="14" t="s">
        <v>12</v>
      </c>
      <c r="K53" s="22">
        <f>K44+K50</f>
        <v>0</v>
      </c>
      <c r="L53" s="15" t="s">
        <v>12</v>
      </c>
    </row>
    <row r="54" spans="1:18" ht="24.45" customHeight="1" x14ac:dyDescent="0.3">
      <c r="E54" s="13"/>
      <c r="F54" s="13"/>
      <c r="G54" s="13"/>
      <c r="H54" s="13"/>
      <c r="I54" s="154">
        <f>I53+K53</f>
        <v>1500</v>
      </c>
      <c r="J54" s="155"/>
      <c r="K54" s="155"/>
      <c r="L54" s="156"/>
    </row>
    <row r="55" spans="1:18" x14ac:dyDescent="0.3">
      <c r="K55" s="25"/>
      <c r="L55" s="25"/>
      <c r="M55" s="25"/>
      <c r="N55" s="23"/>
    </row>
    <row r="56" spans="1:18" s="8" customFormat="1" ht="30" customHeight="1" x14ac:dyDescent="0.3">
      <c r="A56" s="133" t="s">
        <v>36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5"/>
      <c r="L56" s="135"/>
      <c r="M56" s="135"/>
      <c r="N56" s="135"/>
      <c r="O56" s="134"/>
      <c r="P56" s="134"/>
      <c r="Q56" s="134"/>
      <c r="R56" s="136"/>
    </row>
    <row r="57" spans="1:18" s="12" customFormat="1" ht="14.55" customHeight="1" x14ac:dyDescent="0.3">
      <c r="A57" s="128" t="s">
        <v>1</v>
      </c>
      <c r="B57" s="137" t="s">
        <v>2</v>
      </c>
      <c r="C57" s="137" t="s">
        <v>3</v>
      </c>
      <c r="D57" s="137" t="s">
        <v>4</v>
      </c>
      <c r="E57" s="124" t="s">
        <v>5</v>
      </c>
      <c r="F57" s="138" t="s">
        <v>14</v>
      </c>
      <c r="G57" s="138" t="s">
        <v>15</v>
      </c>
      <c r="H57" s="119" t="s">
        <v>29</v>
      </c>
      <c r="I57" s="121" t="s">
        <v>6</v>
      </c>
      <c r="J57" s="122"/>
      <c r="K57" s="122"/>
      <c r="L57" s="123"/>
      <c r="M57" s="124" t="s">
        <v>7</v>
      </c>
      <c r="N57" s="125"/>
      <c r="O57" s="128" t="s">
        <v>8</v>
      </c>
      <c r="P57" s="128" t="s">
        <v>9</v>
      </c>
      <c r="Q57" s="128"/>
      <c r="R57" s="128"/>
    </row>
    <row r="58" spans="1:18" s="12" customFormat="1" ht="13.05" customHeight="1" x14ac:dyDescent="0.3">
      <c r="A58" s="128"/>
      <c r="B58" s="137"/>
      <c r="C58" s="137"/>
      <c r="D58" s="137"/>
      <c r="E58" s="126"/>
      <c r="F58" s="139"/>
      <c r="G58" s="139"/>
      <c r="H58" s="120"/>
      <c r="I58" s="121" t="s">
        <v>19</v>
      </c>
      <c r="J58" s="123"/>
      <c r="K58" s="121" t="s">
        <v>20</v>
      </c>
      <c r="L58" s="123"/>
      <c r="M58" s="126"/>
      <c r="N58" s="127"/>
      <c r="O58" s="128"/>
      <c r="P58" s="128"/>
      <c r="Q58" s="128"/>
      <c r="R58" s="128"/>
    </row>
    <row r="59" spans="1:18" ht="14.55" customHeight="1" x14ac:dyDescent="0.3">
      <c r="A59" s="140" t="s">
        <v>37</v>
      </c>
      <c r="B59" s="5"/>
      <c r="C59" s="5"/>
      <c r="D59" s="4"/>
      <c r="E59" s="3"/>
      <c r="F59" s="19"/>
      <c r="G59" s="20"/>
      <c r="H59" s="26"/>
      <c r="I59" s="143"/>
      <c r="J59" s="144"/>
      <c r="K59" s="143"/>
      <c r="L59" s="144"/>
      <c r="M59" s="27"/>
      <c r="N59" s="6" t="s">
        <v>13</v>
      </c>
      <c r="O59" s="21"/>
      <c r="P59" s="157"/>
      <c r="Q59" s="158"/>
      <c r="R59" s="159"/>
    </row>
    <row r="60" spans="1:18" ht="14.55" customHeight="1" x14ac:dyDescent="0.3">
      <c r="A60" s="166"/>
      <c r="B60" s="5"/>
      <c r="C60" s="5"/>
      <c r="D60" s="4"/>
      <c r="E60" s="3"/>
      <c r="F60" s="19"/>
      <c r="G60" s="20"/>
      <c r="H60" s="26"/>
      <c r="I60" s="143"/>
      <c r="J60" s="144"/>
      <c r="K60" s="143"/>
      <c r="L60" s="144"/>
      <c r="M60" s="27"/>
      <c r="N60" s="6" t="s">
        <v>13</v>
      </c>
      <c r="O60" s="21"/>
      <c r="P60" s="160"/>
      <c r="Q60" s="161"/>
      <c r="R60" s="162"/>
    </row>
    <row r="61" spans="1:18" ht="14.55" customHeight="1" x14ac:dyDescent="0.3">
      <c r="A61" s="166"/>
      <c r="B61" s="5"/>
      <c r="C61" s="5"/>
      <c r="D61" s="4"/>
      <c r="E61" s="3"/>
      <c r="F61" s="19"/>
      <c r="G61" s="20"/>
      <c r="H61" s="26"/>
      <c r="I61" s="143"/>
      <c r="J61" s="144"/>
      <c r="K61" s="143"/>
      <c r="L61" s="144"/>
      <c r="M61" s="27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6"/>
      <c r="I62" s="143"/>
      <c r="J62" s="144"/>
      <c r="K62" s="143"/>
      <c r="L62" s="144"/>
      <c r="M62" s="27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6"/>
      <c r="I63" s="143"/>
      <c r="J63" s="144"/>
      <c r="K63" s="143"/>
      <c r="L63" s="144"/>
      <c r="M63" s="27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/>
      <c r="D64" s="4"/>
      <c r="E64" s="3"/>
      <c r="F64" s="19"/>
      <c r="G64" s="20"/>
      <c r="H64" s="26"/>
      <c r="I64" s="143"/>
      <c r="J64" s="144"/>
      <c r="K64" s="143"/>
      <c r="L64" s="144"/>
      <c r="M64" s="27"/>
      <c r="N64" s="6" t="s">
        <v>13</v>
      </c>
      <c r="O64" s="21"/>
      <c r="P64" s="160"/>
      <c r="Q64" s="161"/>
      <c r="R64" s="162"/>
    </row>
    <row r="65" spans="1:18" ht="14.55" customHeight="1" x14ac:dyDescent="0.3">
      <c r="A65" s="166"/>
      <c r="B65" s="5"/>
      <c r="C65" s="5"/>
      <c r="D65" s="4"/>
      <c r="E65" s="3"/>
      <c r="F65" s="19"/>
      <c r="G65" s="20"/>
      <c r="H65" s="26"/>
      <c r="I65" s="143"/>
      <c r="J65" s="144"/>
      <c r="K65" s="143"/>
      <c r="L65" s="144"/>
      <c r="M65" s="27"/>
      <c r="N65" s="6" t="s">
        <v>13</v>
      </c>
      <c r="O65" s="21"/>
      <c r="P65" s="160"/>
      <c r="Q65" s="161"/>
      <c r="R65" s="162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6"/>
      <c r="I66" s="143"/>
      <c r="J66" s="144"/>
      <c r="K66" s="143"/>
      <c r="L66" s="144"/>
      <c r="M66" s="27"/>
      <c r="N66" s="6" t="s">
        <v>13</v>
      </c>
      <c r="O66" s="21"/>
      <c r="P66" s="160"/>
      <c r="Q66" s="161"/>
      <c r="R66" s="162"/>
    </row>
    <row r="67" spans="1:18" ht="14.55" customHeight="1" x14ac:dyDescent="0.3">
      <c r="A67" s="166"/>
      <c r="B67" s="5"/>
      <c r="C67" s="5"/>
      <c r="D67" s="4"/>
      <c r="E67" s="3"/>
      <c r="F67" s="19"/>
      <c r="G67" s="20"/>
      <c r="H67" s="26"/>
      <c r="I67" s="143"/>
      <c r="J67" s="144"/>
      <c r="K67" s="143"/>
      <c r="L67" s="144"/>
      <c r="M67" s="27"/>
      <c r="N67" s="6" t="s">
        <v>13</v>
      </c>
      <c r="O67" s="21"/>
      <c r="P67" s="160"/>
      <c r="Q67" s="161"/>
      <c r="R67" s="162"/>
    </row>
    <row r="68" spans="1:18" ht="14.55" customHeight="1" x14ac:dyDescent="0.3">
      <c r="A68" s="166"/>
      <c r="B68" s="5"/>
      <c r="C68" s="5"/>
      <c r="D68" s="4"/>
      <c r="E68" s="3"/>
      <c r="F68" s="19"/>
      <c r="G68" s="20"/>
      <c r="H68" s="26"/>
      <c r="I68" s="143"/>
      <c r="J68" s="144"/>
      <c r="K68" s="143"/>
      <c r="L68" s="144"/>
      <c r="M68" s="27"/>
      <c r="N68" s="6" t="s">
        <v>13</v>
      </c>
      <c r="O68" s="21"/>
      <c r="P68" s="160"/>
      <c r="Q68" s="161"/>
      <c r="R68" s="162"/>
    </row>
    <row r="69" spans="1:18" ht="14.55" customHeight="1" x14ac:dyDescent="0.3">
      <c r="A69" s="166"/>
      <c r="B69" s="5"/>
      <c r="C69" s="5"/>
      <c r="D69" s="4"/>
      <c r="E69" s="3"/>
      <c r="F69" s="19"/>
      <c r="G69" s="20"/>
      <c r="H69" s="26"/>
      <c r="I69" s="143"/>
      <c r="J69" s="144"/>
      <c r="K69" s="143"/>
      <c r="L69" s="144"/>
      <c r="M69" s="27"/>
      <c r="N69" s="6" t="s">
        <v>13</v>
      </c>
      <c r="O69" s="21"/>
      <c r="P69" s="160"/>
      <c r="Q69" s="161"/>
      <c r="R69" s="162"/>
    </row>
    <row r="70" spans="1:18" ht="14.55" customHeight="1" x14ac:dyDescent="0.3">
      <c r="A70" s="166"/>
      <c r="B70" s="5"/>
      <c r="C70" s="5"/>
      <c r="D70" s="4"/>
      <c r="E70" s="3"/>
      <c r="F70" s="19"/>
      <c r="G70" s="20"/>
      <c r="H70" s="26"/>
      <c r="I70" s="143"/>
      <c r="J70" s="144"/>
      <c r="K70" s="143"/>
      <c r="L70" s="144"/>
      <c r="M70" s="27"/>
      <c r="N70" s="6" t="s">
        <v>13</v>
      </c>
      <c r="O70" s="21"/>
      <c r="P70" s="160"/>
      <c r="Q70" s="161"/>
      <c r="R70" s="162"/>
    </row>
    <row r="71" spans="1:18" ht="14.55" customHeight="1" x14ac:dyDescent="0.3">
      <c r="A71" s="166"/>
      <c r="B71" s="5"/>
      <c r="C71" s="5"/>
      <c r="D71" s="4"/>
      <c r="E71" s="3"/>
      <c r="F71" s="19"/>
      <c r="G71" s="20"/>
      <c r="H71" s="26"/>
      <c r="I71" s="143"/>
      <c r="J71" s="144"/>
      <c r="K71" s="143"/>
      <c r="L71" s="144"/>
      <c r="M71" s="27"/>
      <c r="N71" s="6" t="s">
        <v>13</v>
      </c>
      <c r="O71" s="21"/>
      <c r="P71" s="160"/>
      <c r="Q71" s="161"/>
      <c r="R71" s="162"/>
    </row>
    <row r="72" spans="1:18" ht="14.55" customHeight="1" x14ac:dyDescent="0.3">
      <c r="A72" s="166"/>
      <c r="B72" s="5"/>
      <c r="C72" s="5"/>
      <c r="D72" s="4"/>
      <c r="E72" s="3"/>
      <c r="F72" s="19"/>
      <c r="G72" s="20"/>
      <c r="H72" s="26"/>
      <c r="I72" s="143"/>
      <c r="J72" s="144"/>
      <c r="K72" s="143"/>
      <c r="L72" s="144"/>
      <c r="M72" s="27"/>
      <c r="N72" s="6" t="s">
        <v>13</v>
      </c>
      <c r="O72" s="21"/>
      <c r="P72" s="160"/>
      <c r="Q72" s="161"/>
      <c r="R72" s="162"/>
    </row>
    <row r="73" spans="1:18" ht="14.55" customHeight="1" x14ac:dyDescent="0.3">
      <c r="A73" s="166"/>
      <c r="B73" s="5"/>
      <c r="C73" s="5"/>
      <c r="D73" s="4"/>
      <c r="E73" s="3"/>
      <c r="F73" s="19"/>
      <c r="G73" s="20"/>
      <c r="H73" s="26"/>
      <c r="I73" s="143"/>
      <c r="J73" s="144"/>
      <c r="K73" s="143"/>
      <c r="L73" s="144"/>
      <c r="M73" s="27"/>
      <c r="N73" s="6" t="s">
        <v>13</v>
      </c>
      <c r="O73" s="21"/>
      <c r="P73" s="160"/>
      <c r="Q73" s="161"/>
      <c r="R73" s="162"/>
    </row>
    <row r="74" spans="1:18" ht="14.55" customHeight="1" x14ac:dyDescent="0.3">
      <c r="A74" s="167"/>
      <c r="B74" s="148" t="s">
        <v>0</v>
      </c>
      <c r="C74" s="149"/>
      <c r="D74" s="149"/>
      <c r="E74" s="149"/>
      <c r="F74" s="149"/>
      <c r="G74" s="149"/>
      <c r="H74" s="149"/>
      <c r="I74" s="150">
        <f>SUM(I69:J73)</f>
        <v>0</v>
      </c>
      <c r="J74" s="151"/>
      <c r="K74" s="150">
        <f>SUM(K69:L73)</f>
        <v>0</v>
      </c>
      <c r="L74" s="151"/>
      <c r="M74" s="10">
        <f>SUM(M69:M73)</f>
        <v>0</v>
      </c>
      <c r="N74" s="11" t="s">
        <v>13</v>
      </c>
      <c r="O74" s="9"/>
      <c r="P74" s="163"/>
      <c r="Q74" s="164"/>
      <c r="R74" s="165"/>
    </row>
    <row r="75" spans="1:18" ht="14.55" customHeight="1" x14ac:dyDescent="0.3">
      <c r="D75"/>
      <c r="E75" s="1"/>
      <c r="F75" s="1"/>
      <c r="G75" s="1"/>
      <c r="H75" s="1"/>
      <c r="M75"/>
    </row>
    <row r="76" spans="1:18" x14ac:dyDescent="0.3">
      <c r="E76" s="148" t="s">
        <v>33</v>
      </c>
      <c r="F76" s="149"/>
      <c r="G76" s="149"/>
      <c r="H76" s="149"/>
      <c r="I76" s="152" t="s">
        <v>19</v>
      </c>
      <c r="J76" s="153"/>
      <c r="K76" s="152" t="s">
        <v>20</v>
      </c>
      <c r="L76" s="153"/>
    </row>
    <row r="77" spans="1:18" s="2" customFormat="1" x14ac:dyDescent="0.3">
      <c r="E77" s="7"/>
      <c r="F77" s="7"/>
      <c r="G77" s="7"/>
      <c r="H77" s="7"/>
      <c r="I77" s="22">
        <f>I74</f>
        <v>0</v>
      </c>
      <c r="J77" s="14" t="s">
        <v>12</v>
      </c>
      <c r="K77" s="22">
        <f>K74</f>
        <v>0</v>
      </c>
      <c r="L77" s="15" t="s">
        <v>12</v>
      </c>
    </row>
    <row r="78" spans="1:18" ht="24.45" customHeight="1" x14ac:dyDescent="0.3">
      <c r="E78" s="13"/>
      <c r="F78" s="13"/>
      <c r="G78" s="13"/>
      <c r="H78" s="13"/>
      <c r="I78" s="154">
        <f>I77+K77</f>
        <v>0</v>
      </c>
      <c r="J78" s="155"/>
      <c r="K78" s="155"/>
      <c r="L78" s="156"/>
    </row>
    <row r="80" spans="1:18" s="8" customFormat="1" ht="30" customHeight="1" x14ac:dyDescent="0.3">
      <c r="A80" s="133" t="s">
        <v>30</v>
      </c>
      <c r="B80" s="134"/>
      <c r="C80" s="134"/>
      <c r="D80" s="134"/>
      <c r="E80" s="134"/>
      <c r="F80" s="134"/>
      <c r="G80" s="134"/>
      <c r="H80" s="134"/>
      <c r="I80" s="134"/>
      <c r="J80" s="134"/>
      <c r="K80" s="135"/>
      <c r="L80" s="135"/>
      <c r="M80" s="135"/>
      <c r="N80" s="135"/>
      <c r="O80" s="134"/>
      <c r="P80" s="134"/>
      <c r="Q80" s="134"/>
      <c r="R80" s="136"/>
    </row>
    <row r="81" spans="1:18" s="12" customFormat="1" ht="14.55" customHeight="1" x14ac:dyDescent="0.3">
      <c r="A81" s="128" t="s">
        <v>1</v>
      </c>
      <c r="B81" s="137" t="s">
        <v>2</v>
      </c>
      <c r="C81" s="137" t="s">
        <v>3</v>
      </c>
      <c r="D81" s="137" t="s">
        <v>4</v>
      </c>
      <c r="E81" s="124" t="s">
        <v>5</v>
      </c>
      <c r="F81" s="138" t="s">
        <v>14</v>
      </c>
      <c r="G81" s="138" t="s">
        <v>15</v>
      </c>
      <c r="H81" s="119" t="s">
        <v>29</v>
      </c>
      <c r="I81" s="121" t="s">
        <v>6</v>
      </c>
      <c r="J81" s="122"/>
      <c r="K81" s="122"/>
      <c r="L81" s="123"/>
      <c r="M81" s="124" t="s">
        <v>7</v>
      </c>
      <c r="N81" s="125"/>
      <c r="O81" s="128" t="s">
        <v>8</v>
      </c>
      <c r="P81" s="128" t="s">
        <v>9</v>
      </c>
      <c r="Q81" s="128"/>
      <c r="R81" s="128"/>
    </row>
    <row r="82" spans="1:18" s="12" customFormat="1" ht="13.05" customHeight="1" x14ac:dyDescent="0.3">
      <c r="A82" s="128"/>
      <c r="B82" s="137"/>
      <c r="C82" s="137"/>
      <c r="D82" s="137"/>
      <c r="E82" s="126"/>
      <c r="F82" s="139"/>
      <c r="G82" s="139"/>
      <c r="H82" s="120"/>
      <c r="I82" s="121" t="s">
        <v>19</v>
      </c>
      <c r="J82" s="123"/>
      <c r="K82" s="121" t="s">
        <v>20</v>
      </c>
      <c r="L82" s="123"/>
      <c r="M82" s="126"/>
      <c r="N82" s="127"/>
      <c r="O82" s="128"/>
      <c r="P82" s="128"/>
      <c r="Q82" s="128"/>
      <c r="R82" s="128"/>
    </row>
    <row r="83" spans="1:18" ht="14.55" customHeight="1" x14ac:dyDescent="0.3">
      <c r="A83" s="140" t="s">
        <v>35</v>
      </c>
      <c r="B83" s="5"/>
      <c r="C83" s="5"/>
      <c r="D83" s="4"/>
      <c r="E83" s="3"/>
      <c r="F83" s="19"/>
      <c r="G83" s="20"/>
      <c r="H83" s="26"/>
      <c r="I83" s="143"/>
      <c r="J83" s="144"/>
      <c r="K83" s="143"/>
      <c r="L83" s="144"/>
      <c r="M83" s="27"/>
      <c r="N83" s="6" t="s">
        <v>13</v>
      </c>
      <c r="O83" s="21"/>
      <c r="P83" s="168"/>
      <c r="Q83" s="169"/>
      <c r="R83" s="170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6"/>
      <c r="I84" s="143"/>
      <c r="J84" s="144"/>
      <c r="K84" s="143"/>
      <c r="L84" s="144"/>
      <c r="M84" s="27"/>
      <c r="N84" s="6" t="s">
        <v>13</v>
      </c>
      <c r="O84" s="21"/>
      <c r="P84" s="168"/>
      <c r="Q84" s="169"/>
      <c r="R84" s="170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6"/>
      <c r="I85" s="143"/>
      <c r="J85" s="144"/>
      <c r="K85" s="143"/>
      <c r="L85" s="144"/>
      <c r="M85" s="27"/>
      <c r="N85" s="6" t="s">
        <v>13</v>
      </c>
      <c r="O85" s="21"/>
      <c r="P85" s="168"/>
      <c r="Q85" s="169"/>
      <c r="R85" s="170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6"/>
      <c r="I86" s="143"/>
      <c r="J86" s="144"/>
      <c r="K86" s="143"/>
      <c r="L86" s="144"/>
      <c r="M86" s="27"/>
      <c r="N86" s="6" t="s">
        <v>13</v>
      </c>
      <c r="O86" s="21"/>
      <c r="P86" s="168"/>
      <c r="Q86" s="169"/>
      <c r="R86" s="170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6"/>
      <c r="I87" s="143"/>
      <c r="J87" s="144"/>
      <c r="K87" s="143"/>
      <c r="L87" s="144"/>
      <c r="M87" s="27"/>
      <c r="N87" s="6" t="s">
        <v>13</v>
      </c>
      <c r="O87" s="21"/>
      <c r="P87" s="168"/>
      <c r="Q87" s="169"/>
      <c r="R87" s="170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6"/>
      <c r="I88" s="143"/>
      <c r="J88" s="144"/>
      <c r="K88" s="143"/>
      <c r="L88" s="144"/>
      <c r="M88" s="27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6"/>
      <c r="I89" s="143"/>
      <c r="J89" s="144"/>
      <c r="K89" s="143"/>
      <c r="L89" s="144"/>
      <c r="M89" s="27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6"/>
      <c r="B90" s="5"/>
      <c r="C90" s="5"/>
      <c r="D90" s="4"/>
      <c r="E90" s="3"/>
      <c r="F90" s="19"/>
      <c r="G90" s="20"/>
      <c r="H90" s="26"/>
      <c r="I90" s="143"/>
      <c r="J90" s="144"/>
      <c r="K90" s="143"/>
      <c r="L90" s="144"/>
      <c r="M90" s="27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66"/>
      <c r="B91" s="5"/>
      <c r="C91" s="5"/>
      <c r="D91" s="4"/>
      <c r="E91" s="3"/>
      <c r="F91" s="19"/>
      <c r="G91" s="20"/>
      <c r="H91" s="26"/>
      <c r="I91" s="143"/>
      <c r="J91" s="144"/>
      <c r="K91" s="143"/>
      <c r="L91" s="144"/>
      <c r="M91" s="27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66"/>
      <c r="B92" s="5"/>
      <c r="C92" s="5"/>
      <c r="D92" s="4"/>
      <c r="E92" s="3"/>
      <c r="F92" s="19"/>
      <c r="G92" s="20"/>
      <c r="H92" s="26"/>
      <c r="I92" s="143"/>
      <c r="J92" s="144"/>
      <c r="K92" s="143"/>
      <c r="L92" s="144"/>
      <c r="M92" s="27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67"/>
      <c r="B93" s="148" t="s">
        <v>0</v>
      </c>
      <c r="C93" s="149"/>
      <c r="D93" s="149"/>
      <c r="E93" s="149"/>
      <c r="F93" s="149"/>
      <c r="G93" s="149"/>
      <c r="H93" s="149"/>
      <c r="I93" s="150">
        <f>SUM(I88:J92)</f>
        <v>0</v>
      </c>
      <c r="J93" s="151"/>
      <c r="K93" s="150">
        <f>SUM(K88:L92)</f>
        <v>0</v>
      </c>
      <c r="L93" s="151"/>
      <c r="M93" s="10">
        <f>SUM(M88:M92)</f>
        <v>0</v>
      </c>
      <c r="N93" s="11" t="s">
        <v>13</v>
      </c>
      <c r="O93" s="9"/>
      <c r="P93" s="168"/>
      <c r="Q93" s="169"/>
      <c r="R93" s="170"/>
    </row>
    <row r="94" spans="1:18" ht="14.55" customHeight="1" x14ac:dyDescent="0.3">
      <c r="D94"/>
      <c r="E94" s="1"/>
      <c r="F94" s="1"/>
      <c r="G94" s="1"/>
      <c r="H94" s="1"/>
      <c r="M94"/>
    </row>
    <row r="95" spans="1:18" x14ac:dyDescent="0.3">
      <c r="E95" s="148" t="s">
        <v>34</v>
      </c>
      <c r="F95" s="149"/>
      <c r="G95" s="149"/>
      <c r="H95" s="149"/>
      <c r="I95" s="152" t="s">
        <v>19</v>
      </c>
      <c r="J95" s="153"/>
      <c r="K95" s="152" t="s">
        <v>20</v>
      </c>
      <c r="L95" s="153"/>
    </row>
    <row r="96" spans="1:18" s="2" customFormat="1" x14ac:dyDescent="0.3">
      <c r="E96" s="7"/>
      <c r="F96" s="7"/>
      <c r="G96" s="7"/>
      <c r="H96" s="7"/>
      <c r="I96" s="22">
        <f>I93</f>
        <v>0</v>
      </c>
      <c r="J96" s="14" t="s">
        <v>12</v>
      </c>
      <c r="K96" s="22">
        <f>K93</f>
        <v>0</v>
      </c>
      <c r="L96" s="15" t="s">
        <v>12</v>
      </c>
    </row>
    <row r="97" spans="5:12" ht="24.45" customHeight="1" x14ac:dyDescent="0.3">
      <c r="E97" s="13"/>
      <c r="F97" s="13"/>
      <c r="G97" s="13"/>
      <c r="H97" s="13"/>
      <c r="I97" s="154">
        <f>I96+K96</f>
        <v>0</v>
      </c>
      <c r="J97" s="155"/>
      <c r="K97" s="155"/>
      <c r="L97" s="156"/>
    </row>
  </sheetData>
  <mergeCells count="226"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P7:R15"/>
    <mergeCell ref="I8:J8"/>
    <mergeCell ref="K8:L8"/>
    <mergeCell ref="I9:J9"/>
    <mergeCell ref="K9:L9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I11:J11"/>
    <mergeCell ref="K11:L11"/>
    <mergeCell ref="I12:J12"/>
    <mergeCell ref="K12:L12"/>
    <mergeCell ref="I13:J13"/>
    <mergeCell ref="K13:L13"/>
    <mergeCell ref="A7:A15"/>
    <mergeCell ref="I7:J7"/>
    <mergeCell ref="K7:L7"/>
    <mergeCell ref="I14:J14"/>
    <mergeCell ref="K14:L14"/>
    <mergeCell ref="B15:H15"/>
    <mergeCell ref="I15:J15"/>
    <mergeCell ref="K15:L15"/>
    <mergeCell ref="A16:A24"/>
    <mergeCell ref="I16:J16"/>
    <mergeCell ref="K16:L16"/>
    <mergeCell ref="K21:L21"/>
    <mergeCell ref="I22:J22"/>
    <mergeCell ref="K22:L22"/>
    <mergeCell ref="I23:J23"/>
    <mergeCell ref="K23:L23"/>
    <mergeCell ref="B24:H24"/>
    <mergeCell ref="I24:J24"/>
    <mergeCell ref="K24:L24"/>
    <mergeCell ref="P16:R24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E26:H26"/>
    <mergeCell ref="I26:J26"/>
    <mergeCell ref="K26:L26"/>
    <mergeCell ref="I28:L28"/>
    <mergeCell ref="A30:R30"/>
    <mergeCell ref="A31:A32"/>
    <mergeCell ref="B31:B32"/>
    <mergeCell ref="C31:C32"/>
    <mergeCell ref="D31:D32"/>
    <mergeCell ref="E31:E32"/>
    <mergeCell ref="B38:H38"/>
    <mergeCell ref="I38:J38"/>
    <mergeCell ref="K38:L38"/>
    <mergeCell ref="P31:R32"/>
    <mergeCell ref="I32:J32"/>
    <mergeCell ref="K32:L32"/>
    <mergeCell ref="A33:A38"/>
    <mergeCell ref="I33:J33"/>
    <mergeCell ref="K33:L33"/>
    <mergeCell ref="P33:R38"/>
    <mergeCell ref="I34:J34"/>
    <mergeCell ref="K34:L34"/>
    <mergeCell ref="I35:J35"/>
    <mergeCell ref="F31:F32"/>
    <mergeCell ref="G31:G32"/>
    <mergeCell ref="H31:H32"/>
    <mergeCell ref="I31:L31"/>
    <mergeCell ref="M31:N32"/>
    <mergeCell ref="O31:O32"/>
    <mergeCell ref="P39:R44"/>
    <mergeCell ref="I40:J40"/>
    <mergeCell ref="K40:L40"/>
    <mergeCell ref="I41:J41"/>
    <mergeCell ref="K41:L41"/>
    <mergeCell ref="I42:J42"/>
    <mergeCell ref="K42:L42"/>
    <mergeCell ref="K35:L35"/>
    <mergeCell ref="I36:J36"/>
    <mergeCell ref="K36:L36"/>
    <mergeCell ref="I37:J37"/>
    <mergeCell ref="K37:L37"/>
    <mergeCell ref="I43:J43"/>
    <mergeCell ref="K43:L43"/>
    <mergeCell ref="B44:H44"/>
    <mergeCell ref="I44:J44"/>
    <mergeCell ref="K44:L44"/>
    <mergeCell ref="A45:A50"/>
    <mergeCell ref="I45:J45"/>
    <mergeCell ref="K45:L45"/>
    <mergeCell ref="B50:H50"/>
    <mergeCell ref="K50:L50"/>
    <mergeCell ref="A39:A44"/>
    <mergeCell ref="I39:J39"/>
    <mergeCell ref="K39:L39"/>
    <mergeCell ref="P45:R50"/>
    <mergeCell ref="I46:J46"/>
    <mergeCell ref="K46:L46"/>
    <mergeCell ref="I47:J47"/>
    <mergeCell ref="K47:L47"/>
    <mergeCell ref="I48:J48"/>
    <mergeCell ref="K48:L48"/>
    <mergeCell ref="I49:J49"/>
    <mergeCell ref="K49:L49"/>
    <mergeCell ref="I50:J50"/>
    <mergeCell ref="E52:H52"/>
    <mergeCell ref="I52:J52"/>
    <mergeCell ref="K52:L52"/>
    <mergeCell ref="I54:L54"/>
    <mergeCell ref="A56:R56"/>
    <mergeCell ref="A57:A58"/>
    <mergeCell ref="B57:B58"/>
    <mergeCell ref="C57:C58"/>
    <mergeCell ref="D57:D58"/>
    <mergeCell ref="E57:E58"/>
    <mergeCell ref="A59:A74"/>
    <mergeCell ref="I59:J59"/>
    <mergeCell ref="K59:L59"/>
    <mergeCell ref="P59:R74"/>
    <mergeCell ref="I60:J60"/>
    <mergeCell ref="K60:L60"/>
    <mergeCell ref="I61:J61"/>
    <mergeCell ref="F57:F58"/>
    <mergeCell ref="G57:G58"/>
    <mergeCell ref="H57:H58"/>
    <mergeCell ref="I57:L57"/>
    <mergeCell ref="M57:N58"/>
    <mergeCell ref="O57:O58"/>
    <mergeCell ref="K61:L61"/>
    <mergeCell ref="I62:J62"/>
    <mergeCell ref="K62:L62"/>
    <mergeCell ref="I63:J63"/>
    <mergeCell ref="K63:L63"/>
    <mergeCell ref="I64:J64"/>
    <mergeCell ref="K64:L64"/>
    <mergeCell ref="P57:R58"/>
    <mergeCell ref="I58:J58"/>
    <mergeCell ref="K58:L58"/>
    <mergeCell ref="I68:J68"/>
    <mergeCell ref="K68:L68"/>
    <mergeCell ref="I69:J69"/>
    <mergeCell ref="K69:L69"/>
    <mergeCell ref="I70:J70"/>
    <mergeCell ref="K70:L70"/>
    <mergeCell ref="I65:J65"/>
    <mergeCell ref="K65:L65"/>
    <mergeCell ref="I66:J66"/>
    <mergeCell ref="K66:L66"/>
    <mergeCell ref="I67:J67"/>
    <mergeCell ref="K67:L67"/>
    <mergeCell ref="B74:H74"/>
    <mergeCell ref="I74:J74"/>
    <mergeCell ref="K74:L74"/>
    <mergeCell ref="E76:H76"/>
    <mergeCell ref="I76:J76"/>
    <mergeCell ref="K76:L76"/>
    <mergeCell ref="I71:J71"/>
    <mergeCell ref="K71:L71"/>
    <mergeCell ref="I72:J72"/>
    <mergeCell ref="K72:L72"/>
    <mergeCell ref="I73:J73"/>
    <mergeCell ref="K73:L73"/>
    <mergeCell ref="I81:L81"/>
    <mergeCell ref="M81:N82"/>
    <mergeCell ref="O81:O82"/>
    <mergeCell ref="P81:R82"/>
    <mergeCell ref="I82:J82"/>
    <mergeCell ref="K82:L82"/>
    <mergeCell ref="I78:L78"/>
    <mergeCell ref="A80:R80"/>
    <mergeCell ref="A81:A82"/>
    <mergeCell ref="B81:B82"/>
    <mergeCell ref="C81:C82"/>
    <mergeCell ref="D81:D82"/>
    <mergeCell ref="E81:E82"/>
    <mergeCell ref="F81:F82"/>
    <mergeCell ref="G81:G82"/>
    <mergeCell ref="H81:H82"/>
    <mergeCell ref="A83:A93"/>
    <mergeCell ref="I83:J83"/>
    <mergeCell ref="K83:L83"/>
    <mergeCell ref="P83:R87"/>
    <mergeCell ref="I84:J84"/>
    <mergeCell ref="K84:L84"/>
    <mergeCell ref="I85:J85"/>
    <mergeCell ref="K85:L85"/>
    <mergeCell ref="I86:J86"/>
    <mergeCell ref="K86:L86"/>
    <mergeCell ref="I87:J87"/>
    <mergeCell ref="K87:L87"/>
    <mergeCell ref="I88:J88"/>
    <mergeCell ref="K88:L88"/>
    <mergeCell ref="P88:R93"/>
    <mergeCell ref="I89:J89"/>
    <mergeCell ref="K89:L89"/>
    <mergeCell ref="I90:J90"/>
    <mergeCell ref="K90:L90"/>
    <mergeCell ref="I91:J91"/>
    <mergeCell ref="E95:H95"/>
    <mergeCell ref="I95:J95"/>
    <mergeCell ref="K95:L95"/>
    <mergeCell ref="I97:L97"/>
    <mergeCell ref="K91:L91"/>
    <mergeCell ref="I92:J92"/>
    <mergeCell ref="K92:L92"/>
    <mergeCell ref="B93:H93"/>
    <mergeCell ref="I93:J93"/>
    <mergeCell ref="K93:L93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7"/>
  <sheetViews>
    <sheetView topLeftCell="A54" zoomScale="85" zoomScaleNormal="85" workbookViewId="0">
      <selection activeCell="M101" sqref="M101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1" bestFit="1" customWidth="1"/>
    <col min="5" max="5" width="55.6640625" bestFit="1" customWidth="1"/>
    <col min="6" max="6" width="5.6640625" customWidth="1"/>
    <col min="7" max="7" width="6.6640625" customWidth="1"/>
    <col min="8" max="8" width="15.664062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customWidth="1"/>
    <col min="15" max="15" width="21.5546875" bestFit="1" customWidth="1"/>
    <col min="16" max="18" width="7.6640625" customWidth="1"/>
  </cols>
  <sheetData>
    <row r="1" spans="1:18" x14ac:dyDescent="0.3">
      <c r="D1"/>
      <c r="I1"/>
      <c r="J1"/>
      <c r="K1"/>
      <c r="L1"/>
      <c r="M1"/>
    </row>
    <row r="2" spans="1:18" x14ac:dyDescent="0.3">
      <c r="D2"/>
      <c r="I2"/>
      <c r="J2"/>
      <c r="K2"/>
      <c r="L2"/>
      <c r="M2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45917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">
        <v>225065</v>
      </c>
      <c r="E7" s="3" t="s">
        <v>54</v>
      </c>
      <c r="F7" s="19">
        <v>430</v>
      </c>
      <c r="G7" s="20">
        <v>0.5</v>
      </c>
      <c r="H7" s="28" t="s">
        <v>55</v>
      </c>
      <c r="I7" s="143">
        <v>1500</v>
      </c>
      <c r="J7" s="144"/>
      <c r="K7" s="143"/>
      <c r="L7" s="144"/>
      <c r="M7" s="29"/>
      <c r="N7" s="6" t="s">
        <v>13</v>
      </c>
      <c r="O7" s="21"/>
      <c r="P7" s="145" t="s">
        <v>59</v>
      </c>
      <c r="Q7" s="146"/>
      <c r="R7" s="147"/>
    </row>
    <row r="8" spans="1:18" ht="14.55" customHeight="1" x14ac:dyDescent="0.3">
      <c r="A8" s="141"/>
      <c r="B8" s="5"/>
      <c r="C8" s="5"/>
      <c r="D8" s="4">
        <v>225066</v>
      </c>
      <c r="E8" s="3" t="s">
        <v>56</v>
      </c>
      <c r="F8" s="19">
        <v>430</v>
      </c>
      <c r="G8" s="20">
        <v>0.5</v>
      </c>
      <c r="H8" s="28" t="s">
        <v>55</v>
      </c>
      <c r="I8" s="143">
        <v>1515</v>
      </c>
      <c r="J8" s="144"/>
      <c r="K8" s="143"/>
      <c r="L8" s="144"/>
      <c r="M8" s="29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>
        <v>0.6875</v>
      </c>
      <c r="D9" s="4">
        <v>250062</v>
      </c>
      <c r="E9" s="3" t="s">
        <v>57</v>
      </c>
      <c r="F9" s="19">
        <v>304</v>
      </c>
      <c r="G9" s="20">
        <v>0.6</v>
      </c>
      <c r="H9" s="28" t="s">
        <v>58</v>
      </c>
      <c r="I9" s="143">
        <v>130</v>
      </c>
      <c r="J9" s="144"/>
      <c r="K9" s="143"/>
      <c r="L9" s="144"/>
      <c r="M9" s="29">
        <v>30</v>
      </c>
      <c r="N9" s="6" t="s">
        <v>13</v>
      </c>
      <c r="O9" s="21" t="s">
        <v>60</v>
      </c>
      <c r="P9" s="145"/>
      <c r="Q9" s="146"/>
      <c r="R9" s="147"/>
    </row>
    <row r="10" spans="1:18" ht="14.55" hidden="1" customHeight="1" x14ac:dyDescent="0.3">
      <c r="A10" s="141"/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29"/>
      <c r="N10" s="6" t="s">
        <v>13</v>
      </c>
      <c r="O10" s="21"/>
      <c r="P10" s="145"/>
      <c r="Q10" s="146"/>
      <c r="R10" s="147"/>
    </row>
    <row r="11" spans="1:18" ht="14.55" hidden="1" customHeight="1" x14ac:dyDescent="0.3">
      <c r="A11" s="141"/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29"/>
      <c r="N11" s="6" t="s">
        <v>13</v>
      </c>
      <c r="O11" s="21"/>
      <c r="P11" s="145"/>
      <c r="Q11" s="146"/>
      <c r="R11" s="147"/>
    </row>
    <row r="12" spans="1:18" ht="14.55" hidden="1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29"/>
      <c r="N12" s="6" t="s">
        <v>13</v>
      </c>
      <c r="O12" s="21"/>
      <c r="P12" s="145"/>
      <c r="Q12" s="146"/>
      <c r="R12" s="147"/>
    </row>
    <row r="13" spans="1:18" ht="14.55" hidden="1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29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29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3145</v>
      </c>
      <c r="J15" s="151"/>
      <c r="K15" s="150">
        <f>SUM(K7:L14)</f>
        <v>0</v>
      </c>
      <c r="L15" s="151"/>
      <c r="M15" s="10">
        <f>SUM(M7:M14)</f>
        <v>30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29"/>
      <c r="N16" s="6" t="s">
        <v>13</v>
      </c>
      <c r="O16" s="21"/>
      <c r="P16" s="145"/>
      <c r="Q16" s="146"/>
      <c r="R16" s="147"/>
    </row>
    <row r="17" spans="1:18" ht="14.55" hidden="1" customHeight="1" x14ac:dyDescent="0.3">
      <c r="A17" s="166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29"/>
      <c r="N17" s="6" t="s">
        <v>13</v>
      </c>
      <c r="O17" s="21"/>
      <c r="P17" s="145"/>
      <c r="Q17" s="146"/>
      <c r="R17" s="147"/>
    </row>
    <row r="18" spans="1:18" ht="14.55" hidden="1" customHeight="1" x14ac:dyDescent="0.3">
      <c r="A18" s="166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29"/>
      <c r="N18" s="6" t="s">
        <v>13</v>
      </c>
      <c r="O18" s="21"/>
      <c r="P18" s="145"/>
      <c r="Q18" s="146"/>
      <c r="R18" s="147"/>
    </row>
    <row r="19" spans="1:18" ht="14.55" hidden="1" customHeight="1" x14ac:dyDescent="0.3">
      <c r="A19" s="166"/>
      <c r="B19" s="5"/>
      <c r="C19" s="5"/>
      <c r="D19" s="4"/>
      <c r="E19" s="3"/>
      <c r="F19" s="19"/>
      <c r="G19" s="20"/>
      <c r="H19" s="28"/>
      <c r="I19" s="143"/>
      <c r="J19" s="144"/>
      <c r="K19" s="143"/>
      <c r="L19" s="144"/>
      <c r="M19" s="29"/>
      <c r="N19" s="6" t="s">
        <v>13</v>
      </c>
      <c r="O19" s="21"/>
      <c r="P19" s="145"/>
      <c r="Q19" s="146"/>
      <c r="R19" s="147"/>
    </row>
    <row r="20" spans="1:18" ht="14.55" hidden="1" customHeight="1" x14ac:dyDescent="0.3">
      <c r="A20" s="141"/>
      <c r="B20" s="5"/>
      <c r="C20" s="5"/>
      <c r="D20" s="4"/>
      <c r="E20" s="3"/>
      <c r="F20" s="19"/>
      <c r="G20" s="20"/>
      <c r="H20" s="28"/>
      <c r="I20" s="143"/>
      <c r="J20" s="144"/>
      <c r="K20" s="143"/>
      <c r="L20" s="144"/>
      <c r="M20" s="29"/>
      <c r="N20" s="6" t="s">
        <v>13</v>
      </c>
      <c r="O20" s="21"/>
      <c r="P20" s="145"/>
      <c r="Q20" s="146"/>
      <c r="R20" s="147"/>
    </row>
    <row r="21" spans="1:18" ht="14.55" hidden="1" customHeight="1" x14ac:dyDescent="0.3">
      <c r="A21" s="141"/>
      <c r="B21" s="5"/>
      <c r="C21" s="5"/>
      <c r="D21" s="4"/>
      <c r="E21" s="3"/>
      <c r="F21" s="19"/>
      <c r="G21" s="20"/>
      <c r="H21" s="28"/>
      <c r="I21" s="143"/>
      <c r="J21" s="144"/>
      <c r="K21" s="143"/>
      <c r="L21" s="144"/>
      <c r="M21" s="29"/>
      <c r="N21" s="6" t="s">
        <v>13</v>
      </c>
      <c r="O21" s="21"/>
      <c r="P21" s="145"/>
      <c r="Q21" s="146"/>
      <c r="R21" s="147"/>
    </row>
    <row r="22" spans="1:18" ht="14.55" customHeight="1" x14ac:dyDescent="0.3">
      <c r="A22" s="141"/>
      <c r="B22" s="5"/>
      <c r="C22" s="5"/>
      <c r="D22" s="4"/>
      <c r="E22" s="3"/>
      <c r="F22" s="19"/>
      <c r="G22" s="20"/>
      <c r="H22" s="28"/>
      <c r="I22" s="143"/>
      <c r="J22" s="144"/>
      <c r="K22" s="143"/>
      <c r="L22" s="144"/>
      <c r="M22" s="29"/>
      <c r="N22" s="6" t="s">
        <v>13</v>
      </c>
      <c r="O22" s="21"/>
      <c r="P22" s="145"/>
      <c r="Q22" s="146"/>
      <c r="R22" s="147"/>
    </row>
    <row r="23" spans="1:18" ht="14.55" customHeight="1" x14ac:dyDescent="0.3">
      <c r="A23" s="141"/>
      <c r="B23" s="5"/>
      <c r="C23" s="5"/>
      <c r="D23" s="4"/>
      <c r="E23" s="3"/>
      <c r="F23" s="19"/>
      <c r="G23" s="20"/>
      <c r="H23" s="28"/>
      <c r="I23" s="143"/>
      <c r="J23" s="144"/>
      <c r="K23" s="143"/>
      <c r="L23" s="144"/>
      <c r="M23" s="29"/>
      <c r="N23" s="6" t="s">
        <v>13</v>
      </c>
      <c r="O23" s="21"/>
      <c r="P23" s="145"/>
      <c r="Q23" s="146"/>
      <c r="R23" s="147"/>
    </row>
    <row r="24" spans="1:18" ht="14.55" customHeight="1" x14ac:dyDescent="0.3">
      <c r="A24" s="142"/>
      <c r="B24" s="148" t="s">
        <v>0</v>
      </c>
      <c r="C24" s="149"/>
      <c r="D24" s="149"/>
      <c r="E24" s="149"/>
      <c r="F24" s="149"/>
      <c r="G24" s="149"/>
      <c r="H24" s="149"/>
      <c r="I24" s="150">
        <f>SUM(I16:J23)</f>
        <v>0</v>
      </c>
      <c r="J24" s="151"/>
      <c r="K24" s="150">
        <f>SUM(K16:L23)</f>
        <v>0</v>
      </c>
      <c r="L24" s="151"/>
      <c r="M24" s="10">
        <f>SUM(M16:M23)</f>
        <v>0</v>
      </c>
      <c r="N24" s="11" t="s">
        <v>13</v>
      </c>
      <c r="O24" s="9"/>
      <c r="P24" s="145"/>
      <c r="Q24" s="146"/>
      <c r="R24" s="147"/>
    </row>
    <row r="25" spans="1:18" ht="14.55" customHeight="1" x14ac:dyDescent="0.3">
      <c r="D25"/>
      <c r="E25" s="1"/>
      <c r="F25" s="1"/>
      <c r="G25" s="1"/>
      <c r="H25" s="1"/>
      <c r="M25"/>
    </row>
    <row r="26" spans="1:18" x14ac:dyDescent="0.3">
      <c r="E26" s="148" t="s">
        <v>16</v>
      </c>
      <c r="F26" s="149"/>
      <c r="G26" s="149"/>
      <c r="H26" s="149"/>
      <c r="I26" s="152" t="s">
        <v>19</v>
      </c>
      <c r="J26" s="153"/>
      <c r="K26" s="152" t="s">
        <v>20</v>
      </c>
      <c r="L26" s="153"/>
    </row>
    <row r="27" spans="1:18" s="2" customFormat="1" x14ac:dyDescent="0.3">
      <c r="E27" s="7"/>
      <c r="F27" s="7"/>
      <c r="G27" s="7"/>
      <c r="H27" s="7"/>
      <c r="I27" s="22">
        <f>I15+I24</f>
        <v>3145</v>
      </c>
      <c r="J27" s="14" t="s">
        <v>12</v>
      </c>
      <c r="K27" s="22">
        <f>K15+K24</f>
        <v>0</v>
      </c>
      <c r="L27" s="15" t="s">
        <v>12</v>
      </c>
    </row>
    <row r="28" spans="1:18" ht="24.45" customHeight="1" x14ac:dyDescent="0.3">
      <c r="E28" s="13"/>
      <c r="F28" s="13"/>
      <c r="G28" s="13"/>
      <c r="H28" s="13"/>
      <c r="I28" s="154">
        <f>I27+K27</f>
        <v>3145</v>
      </c>
      <c r="J28" s="155"/>
      <c r="K28" s="155"/>
      <c r="L28" s="156"/>
    </row>
    <row r="29" spans="1:18" ht="15" customHeight="1" x14ac:dyDescent="0.3">
      <c r="D29"/>
      <c r="I29"/>
      <c r="J29"/>
      <c r="K29" s="23"/>
      <c r="L29" s="23"/>
      <c r="M29" s="23"/>
      <c r="N29" s="23"/>
    </row>
    <row r="30" spans="1:18" s="8" customFormat="1" ht="30" customHeight="1" x14ac:dyDescent="0.3">
      <c r="A30" s="133" t="s">
        <v>22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5"/>
      <c r="L30" s="135"/>
      <c r="M30" s="135"/>
      <c r="N30" s="135"/>
      <c r="O30" s="134"/>
      <c r="P30" s="134"/>
      <c r="Q30" s="134"/>
      <c r="R30" s="136"/>
    </row>
    <row r="31" spans="1:18" s="12" customFormat="1" ht="14.55" customHeight="1" x14ac:dyDescent="0.3">
      <c r="A31" s="128" t="s">
        <v>1</v>
      </c>
      <c r="B31" s="137" t="s">
        <v>2</v>
      </c>
      <c r="C31" s="137" t="s">
        <v>3</v>
      </c>
      <c r="D31" s="137" t="s">
        <v>4</v>
      </c>
      <c r="E31" s="124" t="s">
        <v>5</v>
      </c>
      <c r="F31" s="138" t="s">
        <v>14</v>
      </c>
      <c r="G31" s="138" t="s">
        <v>15</v>
      </c>
      <c r="H31" s="119" t="s">
        <v>27</v>
      </c>
      <c r="I31" s="121" t="s">
        <v>6</v>
      </c>
      <c r="J31" s="122"/>
      <c r="K31" s="122"/>
      <c r="L31" s="123"/>
      <c r="M31" s="124" t="s">
        <v>7</v>
      </c>
      <c r="N31" s="125"/>
      <c r="O31" s="128" t="s">
        <v>8</v>
      </c>
      <c r="P31" s="128" t="s">
        <v>9</v>
      </c>
      <c r="Q31" s="128"/>
      <c r="R31" s="128"/>
    </row>
    <row r="32" spans="1:18" s="12" customFormat="1" ht="13.05" customHeight="1" x14ac:dyDescent="0.3">
      <c r="A32" s="128"/>
      <c r="B32" s="137"/>
      <c r="C32" s="137"/>
      <c r="D32" s="137"/>
      <c r="E32" s="126"/>
      <c r="F32" s="139"/>
      <c r="G32" s="139"/>
      <c r="H32" s="120"/>
      <c r="I32" s="121" t="s">
        <v>23</v>
      </c>
      <c r="J32" s="123"/>
      <c r="K32" s="121" t="s">
        <v>11</v>
      </c>
      <c r="L32" s="123"/>
      <c r="M32" s="126"/>
      <c r="N32" s="127"/>
      <c r="O32" s="128"/>
      <c r="P32" s="128"/>
      <c r="Q32" s="128"/>
      <c r="R32" s="128"/>
    </row>
    <row r="33" spans="1:18" ht="14.55" customHeight="1" x14ac:dyDescent="0.3">
      <c r="A33" s="140" t="s">
        <v>28</v>
      </c>
      <c r="B33" s="5">
        <v>0.33333333333333331</v>
      </c>
      <c r="C33" s="5"/>
      <c r="D33" s="4">
        <v>250048</v>
      </c>
      <c r="E33" s="3" t="s">
        <v>62</v>
      </c>
      <c r="F33" s="19">
        <v>304</v>
      </c>
      <c r="G33" s="20">
        <v>0.6</v>
      </c>
      <c r="H33" s="28"/>
      <c r="I33" s="143">
        <v>550</v>
      </c>
      <c r="J33" s="144"/>
      <c r="K33" s="143"/>
      <c r="L33" s="144"/>
      <c r="M33" s="29"/>
      <c r="N33" s="6" t="s">
        <v>13</v>
      </c>
      <c r="O33" s="21"/>
      <c r="P33" s="168" t="s">
        <v>50</v>
      </c>
      <c r="Q33" s="169"/>
      <c r="R33" s="170"/>
    </row>
    <row r="34" spans="1:18" ht="14.55" customHeight="1" x14ac:dyDescent="0.3">
      <c r="A34" s="141"/>
      <c r="B34" s="5"/>
      <c r="C34" s="5">
        <v>0.70833333333333337</v>
      </c>
      <c r="D34" s="4">
        <v>250048</v>
      </c>
      <c r="E34" s="3" t="s">
        <v>61</v>
      </c>
      <c r="F34" s="19">
        <v>304</v>
      </c>
      <c r="G34" s="20">
        <v>0.6</v>
      </c>
      <c r="H34" s="28"/>
      <c r="I34" s="143">
        <v>550</v>
      </c>
      <c r="J34" s="144"/>
      <c r="K34" s="143"/>
      <c r="L34" s="144"/>
      <c r="M34" s="29"/>
      <c r="N34" s="6" t="s">
        <v>13</v>
      </c>
      <c r="O34" s="21"/>
      <c r="P34" s="168"/>
      <c r="Q34" s="169"/>
      <c r="R34" s="170"/>
    </row>
    <row r="35" spans="1:18" ht="14.55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29"/>
      <c r="N35" s="6" t="s">
        <v>13</v>
      </c>
      <c r="O35" s="21"/>
      <c r="P35" s="168"/>
      <c r="Q35" s="169"/>
      <c r="R35" s="170"/>
    </row>
    <row r="36" spans="1:18" ht="14.55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29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29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2"/>
      <c r="B38" s="148" t="s">
        <v>0</v>
      </c>
      <c r="C38" s="149"/>
      <c r="D38" s="149"/>
      <c r="E38" s="149"/>
      <c r="F38" s="149"/>
      <c r="G38" s="149"/>
      <c r="H38" s="149"/>
      <c r="I38" s="150">
        <f>SUM(I33:J37)</f>
        <v>1100</v>
      </c>
      <c r="J38" s="151"/>
      <c r="K38" s="150">
        <f>SUM(K33:L37)</f>
        <v>0</v>
      </c>
      <c r="L38" s="151"/>
      <c r="M38" s="10">
        <f>SUM(M33:M37)</f>
        <v>0</v>
      </c>
      <c r="N38" s="11" t="s">
        <v>13</v>
      </c>
      <c r="O38" s="9"/>
      <c r="P38" s="168"/>
      <c r="Q38" s="169"/>
      <c r="R38" s="170"/>
    </row>
    <row r="39" spans="1:18" ht="14.55" customHeight="1" x14ac:dyDescent="0.3">
      <c r="A39" s="140" t="s">
        <v>24</v>
      </c>
      <c r="B39" s="5">
        <v>0.33333333333333331</v>
      </c>
      <c r="C39" s="5"/>
      <c r="D39" s="4">
        <v>250039</v>
      </c>
      <c r="E39" s="3" t="s">
        <v>63</v>
      </c>
      <c r="F39" s="19">
        <v>304</v>
      </c>
      <c r="G39" s="20">
        <v>0.6</v>
      </c>
      <c r="H39" s="28"/>
      <c r="I39" s="143"/>
      <c r="J39" s="144"/>
      <c r="K39" s="143">
        <v>650</v>
      </c>
      <c r="L39" s="144"/>
      <c r="M39" s="29"/>
      <c r="N39" s="6" t="s">
        <v>13</v>
      </c>
      <c r="O39" s="21"/>
      <c r="P39" s="168" t="s">
        <v>51</v>
      </c>
      <c r="Q39" s="169"/>
      <c r="R39" s="170"/>
    </row>
    <row r="40" spans="1:18" ht="14.55" customHeight="1" x14ac:dyDescent="0.3">
      <c r="A40" s="141"/>
      <c r="B40" s="5"/>
      <c r="C40" s="5"/>
      <c r="D40" s="4">
        <v>250039</v>
      </c>
      <c r="E40" s="3" t="s">
        <v>64</v>
      </c>
      <c r="F40" s="19">
        <v>304</v>
      </c>
      <c r="G40" s="20">
        <v>0.6</v>
      </c>
      <c r="H40" s="28"/>
      <c r="I40" s="143"/>
      <c r="J40" s="144"/>
      <c r="K40" s="143">
        <v>650</v>
      </c>
      <c r="L40" s="144"/>
      <c r="M40" s="29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41"/>
      <c r="B41" s="5"/>
      <c r="C41" s="5">
        <v>0.70833333333333337</v>
      </c>
      <c r="D41" s="4">
        <v>250073</v>
      </c>
      <c r="E41" s="3" t="s">
        <v>65</v>
      </c>
      <c r="F41" s="19">
        <v>304</v>
      </c>
      <c r="G41" s="20">
        <v>0.6</v>
      </c>
      <c r="H41" s="28"/>
      <c r="I41" s="143">
        <v>200</v>
      </c>
      <c r="J41" s="144"/>
      <c r="K41" s="143"/>
      <c r="L41" s="144"/>
      <c r="M41" s="29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41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29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41"/>
      <c r="B43" s="5"/>
      <c r="C43" s="5"/>
      <c r="D43" s="4"/>
      <c r="E43" s="3"/>
      <c r="F43" s="19"/>
      <c r="G43" s="20"/>
      <c r="H43" s="28"/>
      <c r="I43" s="143"/>
      <c r="J43" s="144"/>
      <c r="K43" s="143"/>
      <c r="L43" s="144"/>
      <c r="M43" s="29"/>
      <c r="N43" s="6" t="s">
        <v>13</v>
      </c>
      <c r="O43" s="21"/>
      <c r="P43" s="168"/>
      <c r="Q43" s="169"/>
      <c r="R43" s="170"/>
    </row>
    <row r="44" spans="1:18" ht="14.55" customHeight="1" x14ac:dyDescent="0.3">
      <c r="A44" s="142"/>
      <c r="B44" s="148" t="s">
        <v>0</v>
      </c>
      <c r="C44" s="149"/>
      <c r="D44" s="149"/>
      <c r="E44" s="149"/>
      <c r="F44" s="149"/>
      <c r="G44" s="149"/>
      <c r="H44" s="149"/>
      <c r="I44" s="150">
        <f>SUM(I39:J43)</f>
        <v>200</v>
      </c>
      <c r="J44" s="151"/>
      <c r="K44" s="150">
        <f>SUM(K39:L43)</f>
        <v>1300</v>
      </c>
      <c r="L44" s="151"/>
      <c r="M44" s="10">
        <f>SUM(M39:M43)</f>
        <v>0</v>
      </c>
      <c r="N44" s="11" t="s">
        <v>13</v>
      </c>
      <c r="O44" s="9"/>
      <c r="P44" s="168"/>
      <c r="Q44" s="169"/>
      <c r="R44" s="170"/>
    </row>
    <row r="45" spans="1:18" ht="14.55" customHeight="1" x14ac:dyDescent="0.3">
      <c r="A45" s="140" t="s">
        <v>25</v>
      </c>
      <c r="B45" s="5"/>
      <c r="C45" s="5"/>
      <c r="D45" s="4"/>
      <c r="E45" s="3"/>
      <c r="F45" s="19"/>
      <c r="G45" s="20"/>
      <c r="H45" s="28"/>
      <c r="I45" s="143"/>
      <c r="J45" s="144"/>
      <c r="K45" s="143"/>
      <c r="L45" s="144"/>
      <c r="M45" s="29"/>
      <c r="N45" s="6" t="s">
        <v>13</v>
      </c>
      <c r="O45" s="21"/>
      <c r="P45" s="145" t="s">
        <v>52</v>
      </c>
      <c r="Q45" s="169"/>
      <c r="R45" s="170"/>
    </row>
    <row r="46" spans="1:18" ht="14.55" hidden="1" customHeight="1" x14ac:dyDescent="0.3">
      <c r="A46" s="141"/>
      <c r="B46" s="5"/>
      <c r="C46" s="5"/>
      <c r="D46" s="4"/>
      <c r="E46" s="3"/>
      <c r="F46" s="19"/>
      <c r="G46" s="20"/>
      <c r="H46" s="28"/>
      <c r="I46" s="143"/>
      <c r="J46" s="144"/>
      <c r="K46" s="143"/>
      <c r="L46" s="144"/>
      <c r="M46" s="29"/>
      <c r="N46" s="6" t="s">
        <v>13</v>
      </c>
      <c r="O46" s="21"/>
      <c r="P46" s="168"/>
      <c r="Q46" s="169"/>
      <c r="R46" s="170"/>
    </row>
    <row r="47" spans="1:18" ht="14.55" hidden="1" customHeight="1" x14ac:dyDescent="0.3">
      <c r="A47" s="141"/>
      <c r="B47" s="5"/>
      <c r="C47" s="5"/>
      <c r="D47" s="4"/>
      <c r="E47" s="3"/>
      <c r="F47" s="19"/>
      <c r="G47" s="20"/>
      <c r="H47" s="28"/>
      <c r="I47" s="143"/>
      <c r="J47" s="144"/>
      <c r="K47" s="143"/>
      <c r="L47" s="144"/>
      <c r="M47" s="29"/>
      <c r="N47" s="6" t="s">
        <v>13</v>
      </c>
      <c r="O47" s="21"/>
      <c r="P47" s="168"/>
      <c r="Q47" s="169"/>
      <c r="R47" s="170"/>
    </row>
    <row r="48" spans="1:18" ht="14.55" customHeight="1" x14ac:dyDescent="0.3">
      <c r="A48" s="141"/>
      <c r="B48" s="5"/>
      <c r="C48" s="5"/>
      <c r="D48" s="4"/>
      <c r="E48" s="3"/>
      <c r="F48" s="19"/>
      <c r="G48" s="20"/>
      <c r="H48" s="28"/>
      <c r="I48" s="143"/>
      <c r="J48" s="144"/>
      <c r="K48" s="143"/>
      <c r="L48" s="144"/>
      <c r="M48" s="29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41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29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42"/>
      <c r="B50" s="148" t="s">
        <v>0</v>
      </c>
      <c r="C50" s="149"/>
      <c r="D50" s="149"/>
      <c r="E50" s="149"/>
      <c r="F50" s="149"/>
      <c r="G50" s="149"/>
      <c r="H50" s="149"/>
      <c r="I50" s="150">
        <f>SUM(I45:J49)</f>
        <v>0</v>
      </c>
      <c r="J50" s="151"/>
      <c r="K50" s="150">
        <f>SUM(K45:L49)</f>
        <v>0</v>
      </c>
      <c r="L50" s="151"/>
      <c r="M50" s="10">
        <f>SUM(M45:M49)</f>
        <v>0</v>
      </c>
      <c r="N50" s="11" t="s">
        <v>13</v>
      </c>
      <c r="O50" s="9"/>
      <c r="P50" s="168"/>
      <c r="Q50" s="169"/>
      <c r="R50" s="170"/>
    </row>
    <row r="52" spans="1:18" x14ac:dyDescent="0.3">
      <c r="E52" s="148" t="s">
        <v>26</v>
      </c>
      <c r="F52" s="149"/>
      <c r="G52" s="149"/>
      <c r="H52" s="149"/>
      <c r="I52" s="152" t="s">
        <v>23</v>
      </c>
      <c r="J52" s="153"/>
      <c r="K52" s="152" t="s">
        <v>11</v>
      </c>
      <c r="L52" s="153"/>
    </row>
    <row r="53" spans="1:18" s="2" customFormat="1" x14ac:dyDescent="0.3">
      <c r="E53" s="7"/>
      <c r="F53" s="7"/>
      <c r="G53" s="7"/>
      <c r="H53" s="7"/>
      <c r="I53" s="22">
        <f>I44+I50</f>
        <v>200</v>
      </c>
      <c r="J53" s="14" t="s">
        <v>12</v>
      </c>
      <c r="K53" s="22">
        <f>K44+K50</f>
        <v>1300</v>
      </c>
      <c r="L53" s="15" t="s">
        <v>12</v>
      </c>
    </row>
    <row r="54" spans="1:18" ht="24.45" customHeight="1" x14ac:dyDescent="0.3">
      <c r="E54" s="13"/>
      <c r="F54" s="13"/>
      <c r="G54" s="13"/>
      <c r="H54" s="13"/>
      <c r="I54" s="154">
        <f>I53+K53</f>
        <v>1500</v>
      </c>
      <c r="J54" s="155"/>
      <c r="K54" s="155"/>
      <c r="L54" s="156"/>
    </row>
    <row r="55" spans="1:18" x14ac:dyDescent="0.3">
      <c r="K55" s="25"/>
      <c r="L55" s="25"/>
      <c r="M55" s="25"/>
      <c r="N55" s="23"/>
    </row>
    <row r="56" spans="1:18" s="8" customFormat="1" ht="30" customHeight="1" x14ac:dyDescent="0.3">
      <c r="A56" s="133" t="s">
        <v>36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5"/>
      <c r="L56" s="135"/>
      <c r="M56" s="135"/>
      <c r="N56" s="135"/>
      <c r="O56" s="134"/>
      <c r="P56" s="134"/>
      <c r="Q56" s="134"/>
      <c r="R56" s="136"/>
    </row>
    <row r="57" spans="1:18" s="12" customFormat="1" ht="14.55" customHeight="1" x14ac:dyDescent="0.3">
      <c r="A57" s="128" t="s">
        <v>1</v>
      </c>
      <c r="B57" s="137" t="s">
        <v>2</v>
      </c>
      <c r="C57" s="137" t="s">
        <v>3</v>
      </c>
      <c r="D57" s="137" t="s">
        <v>4</v>
      </c>
      <c r="E57" s="124" t="s">
        <v>5</v>
      </c>
      <c r="F57" s="138" t="s">
        <v>14</v>
      </c>
      <c r="G57" s="138" t="s">
        <v>15</v>
      </c>
      <c r="H57" s="119" t="s">
        <v>29</v>
      </c>
      <c r="I57" s="121" t="s">
        <v>6</v>
      </c>
      <c r="J57" s="122"/>
      <c r="K57" s="122"/>
      <c r="L57" s="123"/>
      <c r="M57" s="124" t="s">
        <v>7</v>
      </c>
      <c r="N57" s="125"/>
      <c r="O57" s="128" t="s">
        <v>8</v>
      </c>
      <c r="P57" s="128" t="s">
        <v>9</v>
      </c>
      <c r="Q57" s="128"/>
      <c r="R57" s="128"/>
    </row>
    <row r="58" spans="1:18" s="12" customFormat="1" ht="13.05" customHeight="1" x14ac:dyDescent="0.3">
      <c r="A58" s="128"/>
      <c r="B58" s="137"/>
      <c r="C58" s="137"/>
      <c r="D58" s="137"/>
      <c r="E58" s="126"/>
      <c r="F58" s="139"/>
      <c r="G58" s="139"/>
      <c r="H58" s="120"/>
      <c r="I58" s="121" t="s">
        <v>19</v>
      </c>
      <c r="J58" s="123"/>
      <c r="K58" s="121" t="s">
        <v>20</v>
      </c>
      <c r="L58" s="123"/>
      <c r="M58" s="126"/>
      <c r="N58" s="127"/>
      <c r="O58" s="128"/>
      <c r="P58" s="128"/>
      <c r="Q58" s="128"/>
      <c r="R58" s="128"/>
    </row>
    <row r="59" spans="1:18" ht="14.55" customHeight="1" x14ac:dyDescent="0.3">
      <c r="A59" s="140" t="s">
        <v>37</v>
      </c>
      <c r="B59" s="5">
        <v>0.33333333333333331</v>
      </c>
      <c r="C59" s="5"/>
      <c r="D59" s="4">
        <v>250065</v>
      </c>
      <c r="E59" s="3" t="s">
        <v>66</v>
      </c>
      <c r="F59" s="19">
        <v>430</v>
      </c>
      <c r="G59" s="20">
        <v>0.5</v>
      </c>
      <c r="H59" s="28" t="s">
        <v>67</v>
      </c>
      <c r="I59" s="143">
        <v>750</v>
      </c>
      <c r="J59" s="144"/>
      <c r="K59" s="143"/>
      <c r="L59" s="144"/>
      <c r="M59" s="29"/>
      <c r="N59" s="6" t="s">
        <v>13</v>
      </c>
      <c r="O59" s="21"/>
      <c r="P59" s="157"/>
      <c r="Q59" s="158"/>
      <c r="R59" s="159"/>
    </row>
    <row r="60" spans="1:18" ht="14.55" customHeight="1" x14ac:dyDescent="0.3">
      <c r="A60" s="166"/>
      <c r="B60" s="5"/>
      <c r="C60" s="5"/>
      <c r="D60" s="4">
        <v>250066</v>
      </c>
      <c r="E60" s="3" t="s">
        <v>68</v>
      </c>
      <c r="F60" s="19">
        <v>430</v>
      </c>
      <c r="G60" s="20">
        <v>0.5</v>
      </c>
      <c r="H60" s="28" t="s">
        <v>67</v>
      </c>
      <c r="I60" s="143">
        <v>750</v>
      </c>
      <c r="J60" s="144"/>
      <c r="K60" s="143"/>
      <c r="L60" s="144"/>
      <c r="M60" s="29"/>
      <c r="N60" s="6" t="s">
        <v>13</v>
      </c>
      <c r="O60" s="21"/>
      <c r="P60" s="160"/>
      <c r="Q60" s="161"/>
      <c r="R60" s="162"/>
    </row>
    <row r="61" spans="1:18" ht="14.55" customHeight="1" x14ac:dyDescent="0.3">
      <c r="A61" s="166"/>
      <c r="B61" s="5"/>
      <c r="C61" s="5"/>
      <c r="D61" s="4">
        <v>250064</v>
      </c>
      <c r="E61" s="3" t="s">
        <v>69</v>
      </c>
      <c r="F61" s="19">
        <v>430</v>
      </c>
      <c r="G61" s="20">
        <v>0.5</v>
      </c>
      <c r="H61" s="28" t="s">
        <v>67</v>
      </c>
      <c r="I61" s="143">
        <v>1000</v>
      </c>
      <c r="J61" s="144"/>
      <c r="K61" s="143"/>
      <c r="L61" s="144"/>
      <c r="M61" s="29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/>
      <c r="D62" s="4">
        <v>250063</v>
      </c>
      <c r="E62" s="3" t="s">
        <v>70</v>
      </c>
      <c r="F62" s="19">
        <v>430</v>
      </c>
      <c r="G62" s="20">
        <v>0.5</v>
      </c>
      <c r="H62" s="28" t="s">
        <v>67</v>
      </c>
      <c r="I62" s="143">
        <v>54</v>
      </c>
      <c r="J62" s="144"/>
      <c r="K62" s="143"/>
      <c r="L62" s="144"/>
      <c r="M62" s="29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>
        <v>250067</v>
      </c>
      <c r="E63" s="3" t="s">
        <v>71</v>
      </c>
      <c r="F63" s="19">
        <v>430</v>
      </c>
      <c r="G63" s="20">
        <v>0.5</v>
      </c>
      <c r="H63" s="28" t="s">
        <v>67</v>
      </c>
      <c r="I63" s="143">
        <v>95</v>
      </c>
      <c r="J63" s="144"/>
      <c r="K63" s="143"/>
      <c r="L63" s="144"/>
      <c r="M63" s="29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>
        <v>0.70833333333333337</v>
      </c>
      <c r="D64" s="4">
        <v>250064</v>
      </c>
      <c r="E64" s="3" t="s">
        <v>72</v>
      </c>
      <c r="F64" s="19">
        <v>430</v>
      </c>
      <c r="G64" s="20">
        <v>0.5</v>
      </c>
      <c r="H64" s="28" t="s">
        <v>67</v>
      </c>
      <c r="I64" s="143">
        <v>119</v>
      </c>
      <c r="J64" s="144"/>
      <c r="K64" s="143"/>
      <c r="L64" s="144"/>
      <c r="M64" s="29"/>
      <c r="N64" s="6" t="s">
        <v>13</v>
      </c>
      <c r="O64" s="21"/>
      <c r="P64" s="160"/>
      <c r="Q64" s="161"/>
      <c r="R64" s="162"/>
    </row>
    <row r="65" spans="1:18" ht="14.55" hidden="1" customHeight="1" x14ac:dyDescent="0.3">
      <c r="A65" s="166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29"/>
      <c r="N65" s="6" t="s">
        <v>13</v>
      </c>
      <c r="O65" s="21"/>
      <c r="P65" s="160"/>
      <c r="Q65" s="161"/>
      <c r="R65" s="162"/>
    </row>
    <row r="66" spans="1:18" ht="14.55" hidden="1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29"/>
      <c r="N66" s="6" t="s">
        <v>13</v>
      </c>
      <c r="O66" s="21"/>
      <c r="P66" s="160"/>
      <c r="Q66" s="161"/>
      <c r="R66" s="162"/>
    </row>
    <row r="67" spans="1:18" ht="14.55" hidden="1" customHeight="1" x14ac:dyDescent="0.3">
      <c r="A67" s="166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29"/>
      <c r="N67" s="6" t="s">
        <v>13</v>
      </c>
      <c r="O67" s="21"/>
      <c r="P67" s="160"/>
      <c r="Q67" s="161"/>
      <c r="R67" s="162"/>
    </row>
    <row r="68" spans="1:18" ht="14.55" hidden="1" customHeight="1" x14ac:dyDescent="0.3">
      <c r="A68" s="166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29"/>
      <c r="N68" s="6" t="s">
        <v>13</v>
      </c>
      <c r="O68" s="21"/>
      <c r="P68" s="160"/>
      <c r="Q68" s="161"/>
      <c r="R68" s="162"/>
    </row>
    <row r="69" spans="1:18" ht="14.55" hidden="1" customHeight="1" x14ac:dyDescent="0.3">
      <c r="A69" s="166"/>
      <c r="B69" s="5"/>
      <c r="C69" s="5"/>
      <c r="D69" s="4"/>
      <c r="E69" s="3"/>
      <c r="F69" s="19"/>
      <c r="G69" s="20"/>
      <c r="H69" s="28"/>
      <c r="I69" s="143"/>
      <c r="J69" s="144"/>
      <c r="K69" s="143"/>
      <c r="L69" s="144"/>
      <c r="M69" s="29"/>
      <c r="N69" s="6" t="s">
        <v>13</v>
      </c>
      <c r="O69" s="21"/>
      <c r="P69" s="160"/>
      <c r="Q69" s="161"/>
      <c r="R69" s="162"/>
    </row>
    <row r="70" spans="1:18" ht="14.55" hidden="1" customHeight="1" x14ac:dyDescent="0.3">
      <c r="A70" s="166"/>
      <c r="B70" s="5"/>
      <c r="C70" s="5"/>
      <c r="D70" s="4"/>
      <c r="E70" s="3"/>
      <c r="F70" s="19"/>
      <c r="G70" s="20"/>
      <c r="H70" s="28"/>
      <c r="I70" s="143"/>
      <c r="J70" s="144"/>
      <c r="K70" s="143"/>
      <c r="L70" s="144"/>
      <c r="M70" s="29"/>
      <c r="N70" s="6" t="s">
        <v>13</v>
      </c>
      <c r="O70" s="21"/>
      <c r="P70" s="160"/>
      <c r="Q70" s="161"/>
      <c r="R70" s="162"/>
    </row>
    <row r="71" spans="1:18" ht="14.55" hidden="1" customHeight="1" x14ac:dyDescent="0.3">
      <c r="A71" s="166"/>
      <c r="B71" s="5"/>
      <c r="C71" s="5"/>
      <c r="D71" s="4"/>
      <c r="E71" s="3"/>
      <c r="F71" s="19"/>
      <c r="G71" s="20"/>
      <c r="H71" s="28"/>
      <c r="I71" s="143"/>
      <c r="J71" s="144"/>
      <c r="K71" s="143"/>
      <c r="L71" s="144"/>
      <c r="M71" s="29"/>
      <c r="N71" s="6" t="s">
        <v>13</v>
      </c>
      <c r="O71" s="21"/>
      <c r="P71" s="160"/>
      <c r="Q71" s="161"/>
      <c r="R71" s="162"/>
    </row>
    <row r="72" spans="1:18" ht="14.55" hidden="1" customHeight="1" x14ac:dyDescent="0.3">
      <c r="A72" s="166"/>
      <c r="B72" s="5"/>
      <c r="C72" s="5"/>
      <c r="D72" s="4"/>
      <c r="E72" s="3"/>
      <c r="F72" s="19"/>
      <c r="G72" s="20"/>
      <c r="H72" s="28"/>
      <c r="I72" s="143"/>
      <c r="J72" s="144"/>
      <c r="K72" s="143"/>
      <c r="L72" s="144"/>
      <c r="M72" s="29"/>
      <c r="N72" s="6" t="s">
        <v>13</v>
      </c>
      <c r="O72" s="21"/>
      <c r="P72" s="160"/>
      <c r="Q72" s="161"/>
      <c r="R72" s="162"/>
    </row>
    <row r="73" spans="1:18" ht="14.55" customHeight="1" x14ac:dyDescent="0.3">
      <c r="A73" s="166"/>
      <c r="B73" s="5"/>
      <c r="C73" s="5"/>
      <c r="D73" s="4"/>
      <c r="E73" s="3"/>
      <c r="F73" s="19"/>
      <c r="G73" s="20"/>
      <c r="H73" s="28"/>
      <c r="I73" s="143"/>
      <c r="J73" s="144"/>
      <c r="K73" s="143"/>
      <c r="L73" s="144"/>
      <c r="M73" s="29"/>
      <c r="N73" s="6" t="s">
        <v>13</v>
      </c>
      <c r="O73" s="21"/>
      <c r="P73" s="160"/>
      <c r="Q73" s="161"/>
      <c r="R73" s="162"/>
    </row>
    <row r="74" spans="1:18" ht="14.55" customHeight="1" x14ac:dyDescent="0.3">
      <c r="A74" s="167"/>
      <c r="B74" s="148" t="s">
        <v>0</v>
      </c>
      <c r="C74" s="149"/>
      <c r="D74" s="149"/>
      <c r="E74" s="149"/>
      <c r="F74" s="149"/>
      <c r="G74" s="149"/>
      <c r="H74" s="149"/>
      <c r="I74" s="150">
        <f>SUM(I59:J73)</f>
        <v>2768</v>
      </c>
      <c r="J74" s="151"/>
      <c r="K74" s="150">
        <f>SUM(K59:L73)</f>
        <v>0</v>
      </c>
      <c r="L74" s="151"/>
      <c r="M74" s="10">
        <f>SUM(M69:M73)</f>
        <v>0</v>
      </c>
      <c r="N74" s="11" t="s">
        <v>13</v>
      </c>
      <c r="O74" s="9"/>
      <c r="P74" s="163"/>
      <c r="Q74" s="164"/>
      <c r="R74" s="165"/>
    </row>
    <row r="75" spans="1:18" ht="14.55" customHeight="1" x14ac:dyDescent="0.3">
      <c r="D75"/>
      <c r="E75" s="1"/>
      <c r="F75" s="1"/>
      <c r="G75" s="1"/>
      <c r="H75" s="1"/>
      <c r="M75"/>
    </row>
    <row r="76" spans="1:18" x14ac:dyDescent="0.3">
      <c r="E76" s="148" t="s">
        <v>33</v>
      </c>
      <c r="F76" s="149"/>
      <c r="G76" s="149"/>
      <c r="H76" s="149"/>
      <c r="I76" s="152" t="s">
        <v>19</v>
      </c>
      <c r="J76" s="153"/>
      <c r="K76" s="152" t="s">
        <v>20</v>
      </c>
      <c r="L76" s="153"/>
    </row>
    <row r="77" spans="1:18" s="2" customFormat="1" x14ac:dyDescent="0.3">
      <c r="E77" s="7"/>
      <c r="F77" s="7"/>
      <c r="G77" s="7"/>
      <c r="H77" s="7"/>
      <c r="I77" s="22">
        <f>I74</f>
        <v>2768</v>
      </c>
      <c r="J77" s="14" t="s">
        <v>12</v>
      </c>
      <c r="K77" s="22">
        <f>K74</f>
        <v>0</v>
      </c>
      <c r="L77" s="15" t="s">
        <v>12</v>
      </c>
    </row>
    <row r="78" spans="1:18" ht="24.45" customHeight="1" x14ac:dyDescent="0.3">
      <c r="E78" s="13"/>
      <c r="F78" s="13"/>
      <c r="G78" s="13"/>
      <c r="H78" s="13"/>
      <c r="I78" s="154">
        <f>I77+K77</f>
        <v>2768</v>
      </c>
      <c r="J78" s="155"/>
      <c r="K78" s="155"/>
      <c r="L78" s="156"/>
    </row>
    <row r="80" spans="1:18" s="8" customFormat="1" ht="30" customHeight="1" x14ac:dyDescent="0.3">
      <c r="A80" s="133" t="s">
        <v>30</v>
      </c>
      <c r="B80" s="134"/>
      <c r="C80" s="134"/>
      <c r="D80" s="134"/>
      <c r="E80" s="134"/>
      <c r="F80" s="134"/>
      <c r="G80" s="134"/>
      <c r="H80" s="134"/>
      <c r="I80" s="134"/>
      <c r="J80" s="134"/>
      <c r="K80" s="135"/>
      <c r="L80" s="135"/>
      <c r="M80" s="135"/>
      <c r="N80" s="135"/>
      <c r="O80" s="134"/>
      <c r="P80" s="134"/>
      <c r="Q80" s="134"/>
      <c r="R80" s="136"/>
    </row>
    <row r="81" spans="1:18" s="12" customFormat="1" ht="14.55" customHeight="1" x14ac:dyDescent="0.3">
      <c r="A81" s="128" t="s">
        <v>1</v>
      </c>
      <c r="B81" s="137" t="s">
        <v>2</v>
      </c>
      <c r="C81" s="137" t="s">
        <v>3</v>
      </c>
      <c r="D81" s="137" t="s">
        <v>4</v>
      </c>
      <c r="E81" s="124" t="s">
        <v>5</v>
      </c>
      <c r="F81" s="138" t="s">
        <v>14</v>
      </c>
      <c r="G81" s="138" t="s">
        <v>15</v>
      </c>
      <c r="H81" s="119" t="s">
        <v>29</v>
      </c>
      <c r="I81" s="121" t="s">
        <v>6</v>
      </c>
      <c r="J81" s="122"/>
      <c r="K81" s="122"/>
      <c r="L81" s="123"/>
      <c r="M81" s="124" t="s">
        <v>7</v>
      </c>
      <c r="N81" s="125"/>
      <c r="O81" s="128" t="s">
        <v>8</v>
      </c>
      <c r="P81" s="128" t="s">
        <v>9</v>
      </c>
      <c r="Q81" s="128"/>
      <c r="R81" s="128"/>
    </row>
    <row r="82" spans="1:18" s="12" customFormat="1" ht="13.05" customHeight="1" x14ac:dyDescent="0.3">
      <c r="A82" s="128"/>
      <c r="B82" s="137"/>
      <c r="C82" s="137"/>
      <c r="D82" s="137"/>
      <c r="E82" s="126"/>
      <c r="F82" s="139"/>
      <c r="G82" s="139"/>
      <c r="H82" s="120"/>
      <c r="I82" s="121" t="s">
        <v>19</v>
      </c>
      <c r="J82" s="123"/>
      <c r="K82" s="121" t="s">
        <v>20</v>
      </c>
      <c r="L82" s="123"/>
      <c r="M82" s="126"/>
      <c r="N82" s="127"/>
      <c r="O82" s="128"/>
      <c r="P82" s="128"/>
      <c r="Q82" s="128"/>
      <c r="R82" s="128"/>
    </row>
    <row r="83" spans="1:18" ht="14.55" customHeight="1" x14ac:dyDescent="0.3">
      <c r="A83" s="140" t="s">
        <v>35</v>
      </c>
      <c r="B83" s="5">
        <v>0.33333333333333331</v>
      </c>
      <c r="C83" s="5">
        <v>0.70833333333333337</v>
      </c>
      <c r="D83" s="4">
        <v>250067</v>
      </c>
      <c r="E83" s="3" t="s">
        <v>73</v>
      </c>
      <c r="F83" s="19">
        <v>430</v>
      </c>
      <c r="G83" s="20">
        <v>0.5</v>
      </c>
      <c r="H83" s="28" t="s">
        <v>74</v>
      </c>
      <c r="I83" s="143">
        <v>900</v>
      </c>
      <c r="J83" s="144"/>
      <c r="K83" s="143"/>
      <c r="L83" s="144"/>
      <c r="M83" s="29"/>
      <c r="N83" s="6" t="s">
        <v>13</v>
      </c>
      <c r="O83" s="21"/>
      <c r="P83" s="168"/>
      <c r="Q83" s="169"/>
      <c r="R83" s="170"/>
    </row>
    <row r="84" spans="1:18" ht="14.55" hidden="1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29"/>
      <c r="N84" s="6" t="s">
        <v>13</v>
      </c>
      <c r="O84" s="21"/>
      <c r="P84" s="168"/>
      <c r="Q84" s="169"/>
      <c r="R84" s="170"/>
    </row>
    <row r="85" spans="1:18" ht="14.55" hidden="1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29"/>
      <c r="N85" s="6" t="s">
        <v>13</v>
      </c>
      <c r="O85" s="21"/>
      <c r="P85" s="168"/>
      <c r="Q85" s="169"/>
      <c r="R85" s="170"/>
    </row>
    <row r="86" spans="1:18" ht="14.55" hidden="1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29"/>
      <c r="N86" s="6" t="s">
        <v>13</v>
      </c>
      <c r="O86" s="21"/>
      <c r="P86" s="168"/>
      <c r="Q86" s="169"/>
      <c r="R86" s="170"/>
    </row>
    <row r="87" spans="1:18" ht="14.55" hidden="1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29"/>
      <c r="N87" s="6" t="s">
        <v>13</v>
      </c>
      <c r="O87" s="21"/>
      <c r="P87" s="168"/>
      <c r="Q87" s="169"/>
      <c r="R87" s="170"/>
    </row>
    <row r="88" spans="1:18" ht="14.55" hidden="1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29"/>
      <c r="N88" s="6" t="s">
        <v>13</v>
      </c>
      <c r="O88" s="21"/>
      <c r="P88" s="168"/>
      <c r="Q88" s="169"/>
      <c r="R88" s="170"/>
    </row>
    <row r="89" spans="1:18" ht="14.55" hidden="1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29"/>
      <c r="N89" s="6" t="s">
        <v>13</v>
      </c>
      <c r="O89" s="21"/>
      <c r="P89" s="168"/>
      <c r="Q89" s="169"/>
      <c r="R89" s="170"/>
    </row>
    <row r="90" spans="1:18" ht="14.55" hidden="1" customHeight="1" x14ac:dyDescent="0.3">
      <c r="A90" s="166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29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66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29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66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29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67"/>
      <c r="B93" s="148" t="s">
        <v>0</v>
      </c>
      <c r="C93" s="149"/>
      <c r="D93" s="149"/>
      <c r="E93" s="149"/>
      <c r="F93" s="149"/>
      <c r="G93" s="149"/>
      <c r="H93" s="149"/>
      <c r="I93" s="150">
        <f>SUM(I83:J92)</f>
        <v>900</v>
      </c>
      <c r="J93" s="151"/>
      <c r="K93" s="150">
        <f>SUM(K83:L92)</f>
        <v>0</v>
      </c>
      <c r="L93" s="151"/>
      <c r="M93" s="10">
        <f>SUM(M88:M92)</f>
        <v>0</v>
      </c>
      <c r="N93" s="11" t="s">
        <v>13</v>
      </c>
      <c r="O93" s="9"/>
      <c r="P93" s="168"/>
      <c r="Q93" s="169"/>
      <c r="R93" s="170"/>
    </row>
    <row r="94" spans="1:18" ht="14.55" customHeight="1" x14ac:dyDescent="0.3">
      <c r="D94"/>
      <c r="E94" s="1"/>
      <c r="F94" s="1"/>
      <c r="G94" s="1"/>
      <c r="H94" s="1"/>
      <c r="M94"/>
    </row>
    <row r="95" spans="1:18" x14ac:dyDescent="0.3">
      <c r="E95" s="148" t="s">
        <v>34</v>
      </c>
      <c r="F95" s="149"/>
      <c r="G95" s="149"/>
      <c r="H95" s="149"/>
      <c r="I95" s="152" t="s">
        <v>19</v>
      </c>
      <c r="J95" s="153"/>
      <c r="K95" s="152" t="s">
        <v>20</v>
      </c>
      <c r="L95" s="153"/>
    </row>
    <row r="96" spans="1:18" s="2" customFormat="1" x14ac:dyDescent="0.3">
      <c r="E96" s="7"/>
      <c r="F96" s="7"/>
      <c r="G96" s="7"/>
      <c r="H96" s="7"/>
      <c r="I96" s="22">
        <f>I93</f>
        <v>900</v>
      </c>
      <c r="J96" s="14" t="s">
        <v>12</v>
      </c>
      <c r="K96" s="22">
        <f>K93</f>
        <v>0</v>
      </c>
      <c r="L96" s="15" t="s">
        <v>12</v>
      </c>
    </row>
    <row r="97" spans="5:12" ht="24.45" customHeight="1" x14ac:dyDescent="0.3">
      <c r="E97" s="13"/>
      <c r="F97" s="13"/>
      <c r="G97" s="13"/>
      <c r="H97" s="13"/>
      <c r="I97" s="154">
        <f>I96+K96</f>
        <v>900</v>
      </c>
      <c r="J97" s="155"/>
      <c r="K97" s="155"/>
      <c r="L97" s="156"/>
    </row>
  </sheetData>
  <mergeCells count="226">
    <mergeCell ref="E95:H95"/>
    <mergeCell ref="I95:J95"/>
    <mergeCell ref="K95:L95"/>
    <mergeCell ref="I97:L97"/>
    <mergeCell ref="K91:L91"/>
    <mergeCell ref="I92:J92"/>
    <mergeCell ref="K92:L92"/>
    <mergeCell ref="B93:H93"/>
    <mergeCell ref="I93:J93"/>
    <mergeCell ref="K93:L93"/>
    <mergeCell ref="A83:A93"/>
    <mergeCell ref="I83:J83"/>
    <mergeCell ref="K83:L83"/>
    <mergeCell ref="P83:R87"/>
    <mergeCell ref="I84:J84"/>
    <mergeCell ref="K84:L84"/>
    <mergeCell ref="I85:J85"/>
    <mergeCell ref="K85:L85"/>
    <mergeCell ref="I86:J86"/>
    <mergeCell ref="K86:L86"/>
    <mergeCell ref="I87:J87"/>
    <mergeCell ref="K87:L87"/>
    <mergeCell ref="I88:J88"/>
    <mergeCell ref="K88:L88"/>
    <mergeCell ref="P88:R93"/>
    <mergeCell ref="I89:J89"/>
    <mergeCell ref="K89:L89"/>
    <mergeCell ref="I90:J90"/>
    <mergeCell ref="K90:L90"/>
    <mergeCell ref="I91:J91"/>
    <mergeCell ref="I81:L81"/>
    <mergeCell ref="M81:N82"/>
    <mergeCell ref="O81:O82"/>
    <mergeCell ref="P81:R82"/>
    <mergeCell ref="I82:J82"/>
    <mergeCell ref="K82:L82"/>
    <mergeCell ref="I78:L78"/>
    <mergeCell ref="A80:R80"/>
    <mergeCell ref="A81:A82"/>
    <mergeCell ref="B81:B82"/>
    <mergeCell ref="C81:C82"/>
    <mergeCell ref="D81:D82"/>
    <mergeCell ref="E81:E82"/>
    <mergeCell ref="F81:F82"/>
    <mergeCell ref="G81:G82"/>
    <mergeCell ref="H81:H82"/>
    <mergeCell ref="B74:H74"/>
    <mergeCell ref="I74:J74"/>
    <mergeCell ref="K74:L74"/>
    <mergeCell ref="E76:H76"/>
    <mergeCell ref="I76:J76"/>
    <mergeCell ref="K76:L76"/>
    <mergeCell ref="I71:J71"/>
    <mergeCell ref="K71:L71"/>
    <mergeCell ref="I72:J72"/>
    <mergeCell ref="K72:L72"/>
    <mergeCell ref="I73:J73"/>
    <mergeCell ref="K73:L73"/>
    <mergeCell ref="K68:L68"/>
    <mergeCell ref="I69:J69"/>
    <mergeCell ref="K69:L69"/>
    <mergeCell ref="I70:J70"/>
    <mergeCell ref="K70:L70"/>
    <mergeCell ref="I65:J65"/>
    <mergeCell ref="K65:L65"/>
    <mergeCell ref="I66:J66"/>
    <mergeCell ref="K66:L66"/>
    <mergeCell ref="I67:J67"/>
    <mergeCell ref="K67:L67"/>
    <mergeCell ref="A59:A74"/>
    <mergeCell ref="I59:J59"/>
    <mergeCell ref="K59:L59"/>
    <mergeCell ref="P59:R74"/>
    <mergeCell ref="I60:J60"/>
    <mergeCell ref="K60:L60"/>
    <mergeCell ref="I61:J61"/>
    <mergeCell ref="F57:F58"/>
    <mergeCell ref="G57:G58"/>
    <mergeCell ref="H57:H58"/>
    <mergeCell ref="I57:L57"/>
    <mergeCell ref="M57:N58"/>
    <mergeCell ref="O57:O58"/>
    <mergeCell ref="K61:L61"/>
    <mergeCell ref="I62:J62"/>
    <mergeCell ref="K62:L62"/>
    <mergeCell ref="I63:J63"/>
    <mergeCell ref="K63:L63"/>
    <mergeCell ref="I64:J64"/>
    <mergeCell ref="K64:L64"/>
    <mergeCell ref="P57:R58"/>
    <mergeCell ref="I58:J58"/>
    <mergeCell ref="K58:L58"/>
    <mergeCell ref="I68:J68"/>
    <mergeCell ref="E52:H52"/>
    <mergeCell ref="I52:J52"/>
    <mergeCell ref="K52:L52"/>
    <mergeCell ref="I54:L54"/>
    <mergeCell ref="A56:R56"/>
    <mergeCell ref="A57:A58"/>
    <mergeCell ref="B57:B58"/>
    <mergeCell ref="C57:C58"/>
    <mergeCell ref="D57:D58"/>
    <mergeCell ref="E57:E58"/>
    <mergeCell ref="P45:R50"/>
    <mergeCell ref="I46:J46"/>
    <mergeCell ref="K46:L46"/>
    <mergeCell ref="I47:J47"/>
    <mergeCell ref="K47:L47"/>
    <mergeCell ref="I48:J48"/>
    <mergeCell ref="K48:L48"/>
    <mergeCell ref="I49:J49"/>
    <mergeCell ref="K49:L49"/>
    <mergeCell ref="I50:J50"/>
    <mergeCell ref="B44:H44"/>
    <mergeCell ref="I44:J44"/>
    <mergeCell ref="K44:L44"/>
    <mergeCell ref="A45:A50"/>
    <mergeCell ref="I45:J45"/>
    <mergeCell ref="K45:L45"/>
    <mergeCell ref="B50:H50"/>
    <mergeCell ref="K50:L50"/>
    <mergeCell ref="A39:A44"/>
    <mergeCell ref="I39:J39"/>
    <mergeCell ref="K39:L39"/>
    <mergeCell ref="P39:R44"/>
    <mergeCell ref="I40:J40"/>
    <mergeCell ref="K40:L40"/>
    <mergeCell ref="I41:J41"/>
    <mergeCell ref="K41:L41"/>
    <mergeCell ref="I42:J42"/>
    <mergeCell ref="K42:L42"/>
    <mergeCell ref="K35:L35"/>
    <mergeCell ref="I36:J36"/>
    <mergeCell ref="K36:L36"/>
    <mergeCell ref="I37:J37"/>
    <mergeCell ref="K37:L37"/>
    <mergeCell ref="I43:J43"/>
    <mergeCell ref="K43:L43"/>
    <mergeCell ref="B38:H38"/>
    <mergeCell ref="I38:J38"/>
    <mergeCell ref="K38:L38"/>
    <mergeCell ref="P31:R32"/>
    <mergeCell ref="I32:J32"/>
    <mergeCell ref="K32:L32"/>
    <mergeCell ref="A33:A38"/>
    <mergeCell ref="I33:J33"/>
    <mergeCell ref="K33:L33"/>
    <mergeCell ref="P33:R38"/>
    <mergeCell ref="I34:J34"/>
    <mergeCell ref="K34:L34"/>
    <mergeCell ref="I35:J35"/>
    <mergeCell ref="F31:F32"/>
    <mergeCell ref="G31:G32"/>
    <mergeCell ref="H31:H32"/>
    <mergeCell ref="I31:L31"/>
    <mergeCell ref="M31:N32"/>
    <mergeCell ref="O31:O32"/>
    <mergeCell ref="E26:H26"/>
    <mergeCell ref="I26:J26"/>
    <mergeCell ref="K26:L26"/>
    <mergeCell ref="I28:L28"/>
    <mergeCell ref="A30:R30"/>
    <mergeCell ref="A31:A32"/>
    <mergeCell ref="B31:B32"/>
    <mergeCell ref="C31:C32"/>
    <mergeCell ref="D31:D32"/>
    <mergeCell ref="E31:E32"/>
    <mergeCell ref="P16:R24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A7:A15"/>
    <mergeCell ref="I7:J7"/>
    <mergeCell ref="K7:L7"/>
    <mergeCell ref="I14:J14"/>
    <mergeCell ref="K14:L14"/>
    <mergeCell ref="B15:H15"/>
    <mergeCell ref="I15:J15"/>
    <mergeCell ref="K15:L15"/>
    <mergeCell ref="A16:A24"/>
    <mergeCell ref="I16:J16"/>
    <mergeCell ref="K16:L16"/>
    <mergeCell ref="K21:L21"/>
    <mergeCell ref="I22:J22"/>
    <mergeCell ref="K22:L22"/>
    <mergeCell ref="I23:J23"/>
    <mergeCell ref="K23:L23"/>
    <mergeCell ref="B24:H24"/>
    <mergeCell ref="I24:J24"/>
    <mergeCell ref="K24:L24"/>
    <mergeCell ref="P7:R15"/>
    <mergeCell ref="I8:J8"/>
    <mergeCell ref="K8:L8"/>
    <mergeCell ref="I9:J9"/>
    <mergeCell ref="K9:L9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I11:J11"/>
    <mergeCell ref="K11:L11"/>
    <mergeCell ref="I12:J12"/>
    <mergeCell ref="K12:L12"/>
    <mergeCell ref="I13:J13"/>
    <mergeCell ref="K13:L13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7"/>
  <sheetViews>
    <sheetView topLeftCell="A55" zoomScale="85" zoomScaleNormal="85" workbookViewId="0">
      <selection activeCell="E20" sqref="E20"/>
    </sheetView>
  </sheetViews>
  <sheetFormatPr defaultRowHeight="14.4" x14ac:dyDescent="0.3"/>
  <cols>
    <col min="1" max="1" width="12.6640625" customWidth="1"/>
    <col min="2" max="3" width="7.6640625" customWidth="1"/>
    <col min="4" max="4" width="8.109375" style="1" bestFit="1" customWidth="1"/>
    <col min="5" max="5" width="55.6640625" bestFit="1" customWidth="1"/>
    <col min="6" max="6" width="5.6640625" customWidth="1"/>
    <col min="7" max="7" width="6.6640625" customWidth="1"/>
    <col min="8" max="8" width="15.664062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customWidth="1"/>
    <col min="15" max="15" width="21.5546875" bestFit="1" customWidth="1"/>
    <col min="16" max="18" width="7.6640625" customWidth="1"/>
  </cols>
  <sheetData>
    <row r="1" spans="1:18" x14ac:dyDescent="0.3">
      <c r="D1"/>
      <c r="I1"/>
      <c r="J1"/>
      <c r="K1"/>
      <c r="L1"/>
      <c r="M1"/>
    </row>
    <row r="2" spans="1:18" x14ac:dyDescent="0.3">
      <c r="D2"/>
      <c r="I2"/>
      <c r="J2"/>
      <c r="K2"/>
      <c r="L2"/>
      <c r="M2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45918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">
        <v>250062</v>
      </c>
      <c r="E7" s="3" t="s">
        <v>120</v>
      </c>
      <c r="F7" s="19">
        <v>304</v>
      </c>
      <c r="G7" s="20">
        <v>0.6</v>
      </c>
      <c r="H7" s="28" t="s">
        <v>58</v>
      </c>
      <c r="I7" s="143">
        <v>150</v>
      </c>
      <c r="J7" s="144"/>
      <c r="K7" s="143"/>
      <c r="L7" s="144"/>
      <c r="M7" s="29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31">
        <v>225065</v>
      </c>
      <c r="E8" s="32" t="s">
        <v>75</v>
      </c>
      <c r="F8" s="19">
        <v>430</v>
      </c>
      <c r="G8" s="20">
        <v>0.5</v>
      </c>
      <c r="H8" s="28" t="s">
        <v>55</v>
      </c>
      <c r="I8" s="143">
        <v>1510</v>
      </c>
      <c r="J8" s="144"/>
      <c r="K8" s="143"/>
      <c r="L8" s="144"/>
      <c r="M8" s="29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31">
        <v>225066</v>
      </c>
      <c r="E9" s="32" t="s">
        <v>76</v>
      </c>
      <c r="F9" s="19">
        <v>430</v>
      </c>
      <c r="G9" s="20">
        <v>0.5</v>
      </c>
      <c r="H9" s="28" t="s">
        <v>55</v>
      </c>
      <c r="I9" s="143">
        <v>1510</v>
      </c>
      <c r="J9" s="144"/>
      <c r="K9" s="143"/>
      <c r="L9" s="144"/>
      <c r="M9" s="29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>
        <v>0.70833333333333337</v>
      </c>
      <c r="D10" s="33">
        <v>270825</v>
      </c>
      <c r="E10" s="49" t="s">
        <v>121</v>
      </c>
      <c r="F10" s="19">
        <v>430</v>
      </c>
      <c r="G10" s="20">
        <v>0.5</v>
      </c>
      <c r="H10" s="28" t="s">
        <v>55</v>
      </c>
      <c r="I10" s="143">
        <v>130</v>
      </c>
      <c r="J10" s="144"/>
      <c r="K10" s="143"/>
      <c r="L10" s="144"/>
      <c r="M10" s="29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1"/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29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29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29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29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3300</v>
      </c>
      <c r="J15" s="151"/>
      <c r="K15" s="150">
        <f>SUM(K7:L14)</f>
        <v>0</v>
      </c>
      <c r="L15" s="151"/>
      <c r="M15" s="10">
        <f>SUM(M7:M14)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29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66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29"/>
      <c r="N17" s="6" t="s">
        <v>13</v>
      </c>
      <c r="O17" s="21"/>
      <c r="P17" s="145"/>
      <c r="Q17" s="146"/>
      <c r="R17" s="147"/>
    </row>
    <row r="18" spans="1:18" ht="14.55" customHeight="1" x14ac:dyDescent="0.3">
      <c r="A18" s="166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29"/>
      <c r="N18" s="6" t="s">
        <v>13</v>
      </c>
      <c r="O18" s="21"/>
      <c r="P18" s="145"/>
      <c r="Q18" s="146"/>
      <c r="R18" s="147"/>
    </row>
    <row r="19" spans="1:18" ht="14.55" customHeight="1" x14ac:dyDescent="0.3">
      <c r="A19" s="166"/>
      <c r="B19" s="5"/>
      <c r="C19" s="5"/>
      <c r="D19" s="4"/>
      <c r="E19" s="3"/>
      <c r="F19" s="19"/>
      <c r="G19" s="20"/>
      <c r="H19" s="28"/>
      <c r="I19" s="143"/>
      <c r="J19" s="144"/>
      <c r="K19" s="143"/>
      <c r="L19" s="144"/>
      <c r="M19" s="29"/>
      <c r="N19" s="6" t="s">
        <v>13</v>
      </c>
      <c r="O19" s="21"/>
      <c r="P19" s="145"/>
      <c r="Q19" s="146"/>
      <c r="R19" s="147"/>
    </row>
    <row r="20" spans="1:18" ht="14.55" customHeight="1" x14ac:dyDescent="0.3">
      <c r="A20" s="141"/>
      <c r="B20" s="5"/>
      <c r="C20" s="5"/>
      <c r="D20" s="4"/>
      <c r="E20" s="3"/>
      <c r="F20" s="19"/>
      <c r="G20" s="20"/>
      <c r="H20" s="28"/>
      <c r="I20" s="143"/>
      <c r="J20" s="144"/>
      <c r="K20" s="143"/>
      <c r="L20" s="144"/>
      <c r="M20" s="29"/>
      <c r="N20" s="6" t="s">
        <v>13</v>
      </c>
      <c r="O20" s="21"/>
      <c r="P20" s="145"/>
      <c r="Q20" s="146"/>
      <c r="R20" s="147"/>
    </row>
    <row r="21" spans="1:18" ht="14.55" customHeight="1" x14ac:dyDescent="0.3">
      <c r="A21" s="141"/>
      <c r="B21" s="5"/>
      <c r="C21" s="5"/>
      <c r="D21" s="4"/>
      <c r="E21" s="3"/>
      <c r="F21" s="19"/>
      <c r="G21" s="20"/>
      <c r="H21" s="28"/>
      <c r="I21" s="143"/>
      <c r="J21" s="144"/>
      <c r="K21" s="143"/>
      <c r="L21" s="144"/>
      <c r="M21" s="29"/>
      <c r="N21" s="6" t="s">
        <v>13</v>
      </c>
      <c r="O21" s="21"/>
      <c r="P21" s="145"/>
      <c r="Q21" s="146"/>
      <c r="R21" s="147"/>
    </row>
    <row r="22" spans="1:18" ht="14.55" customHeight="1" x14ac:dyDescent="0.3">
      <c r="A22" s="141"/>
      <c r="B22" s="5"/>
      <c r="C22" s="5"/>
      <c r="D22" s="4"/>
      <c r="E22" s="3"/>
      <c r="F22" s="19"/>
      <c r="G22" s="20"/>
      <c r="H22" s="28"/>
      <c r="I22" s="143"/>
      <c r="J22" s="144"/>
      <c r="K22" s="143"/>
      <c r="L22" s="144"/>
      <c r="M22" s="29"/>
      <c r="N22" s="6" t="s">
        <v>13</v>
      </c>
      <c r="O22" s="21"/>
      <c r="P22" s="145"/>
      <c r="Q22" s="146"/>
      <c r="R22" s="147"/>
    </row>
    <row r="23" spans="1:18" ht="14.55" customHeight="1" x14ac:dyDescent="0.3">
      <c r="A23" s="141"/>
      <c r="B23" s="5"/>
      <c r="C23" s="5"/>
      <c r="D23" s="4"/>
      <c r="E23" s="3"/>
      <c r="F23" s="19"/>
      <c r="G23" s="20"/>
      <c r="H23" s="28"/>
      <c r="I23" s="143"/>
      <c r="J23" s="144"/>
      <c r="K23" s="143"/>
      <c r="L23" s="144"/>
      <c r="M23" s="29"/>
      <c r="N23" s="6" t="s">
        <v>13</v>
      </c>
      <c r="O23" s="21"/>
      <c r="P23" s="145"/>
      <c r="Q23" s="146"/>
      <c r="R23" s="147"/>
    </row>
    <row r="24" spans="1:18" ht="14.55" customHeight="1" x14ac:dyDescent="0.3">
      <c r="A24" s="142"/>
      <c r="B24" s="148" t="s">
        <v>0</v>
      </c>
      <c r="C24" s="149"/>
      <c r="D24" s="149"/>
      <c r="E24" s="149"/>
      <c r="F24" s="149"/>
      <c r="G24" s="149"/>
      <c r="H24" s="149"/>
      <c r="I24" s="150">
        <f>SUM(I16:J23)</f>
        <v>0</v>
      </c>
      <c r="J24" s="151"/>
      <c r="K24" s="150">
        <f>SUM(K16:L23)</f>
        <v>0</v>
      </c>
      <c r="L24" s="151"/>
      <c r="M24" s="10">
        <f>SUM(M16:M23)</f>
        <v>0</v>
      </c>
      <c r="N24" s="11" t="s">
        <v>13</v>
      </c>
      <c r="O24" s="9"/>
      <c r="P24" s="145"/>
      <c r="Q24" s="146"/>
      <c r="R24" s="147"/>
    </row>
    <row r="25" spans="1:18" ht="14.55" customHeight="1" x14ac:dyDescent="0.3">
      <c r="D25"/>
      <c r="E25" s="1"/>
      <c r="F25" s="1"/>
      <c r="G25" s="1"/>
      <c r="H25" s="1"/>
      <c r="M25"/>
    </row>
    <row r="26" spans="1:18" x14ac:dyDescent="0.3">
      <c r="E26" s="148" t="s">
        <v>16</v>
      </c>
      <c r="F26" s="149"/>
      <c r="G26" s="149"/>
      <c r="H26" s="149"/>
      <c r="I26" s="152" t="s">
        <v>19</v>
      </c>
      <c r="J26" s="153"/>
      <c r="K26" s="152" t="s">
        <v>20</v>
      </c>
      <c r="L26" s="153"/>
    </row>
    <row r="27" spans="1:18" s="2" customFormat="1" x14ac:dyDescent="0.3">
      <c r="E27" s="7"/>
      <c r="F27" s="7"/>
      <c r="G27" s="7"/>
      <c r="H27" s="7"/>
      <c r="I27" s="22">
        <f>I15+I24</f>
        <v>3300</v>
      </c>
      <c r="J27" s="14" t="s">
        <v>12</v>
      </c>
      <c r="K27" s="22">
        <f>K15+K24</f>
        <v>0</v>
      </c>
      <c r="L27" s="15" t="s">
        <v>12</v>
      </c>
    </row>
    <row r="28" spans="1:18" ht="24.45" customHeight="1" x14ac:dyDescent="0.3">
      <c r="E28" s="13"/>
      <c r="F28" s="13"/>
      <c r="G28" s="13"/>
      <c r="H28" s="13"/>
      <c r="I28" s="154">
        <f>I27+K27</f>
        <v>3300</v>
      </c>
      <c r="J28" s="155"/>
      <c r="K28" s="155"/>
      <c r="L28" s="156"/>
    </row>
    <row r="29" spans="1:18" ht="15" customHeight="1" x14ac:dyDescent="0.3">
      <c r="D29"/>
      <c r="I29"/>
      <c r="J29"/>
      <c r="K29" s="23"/>
      <c r="L29" s="23"/>
      <c r="M29" s="23"/>
      <c r="N29" s="23"/>
    </row>
    <row r="30" spans="1:18" s="8" customFormat="1" ht="30" customHeight="1" x14ac:dyDescent="0.3">
      <c r="A30" s="133" t="s">
        <v>22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5"/>
      <c r="L30" s="135"/>
      <c r="M30" s="135"/>
      <c r="N30" s="135"/>
      <c r="O30" s="134"/>
      <c r="P30" s="134"/>
      <c r="Q30" s="134"/>
      <c r="R30" s="136"/>
    </row>
    <row r="31" spans="1:18" s="12" customFormat="1" ht="14.55" customHeight="1" x14ac:dyDescent="0.3">
      <c r="A31" s="128" t="s">
        <v>1</v>
      </c>
      <c r="B31" s="137" t="s">
        <v>2</v>
      </c>
      <c r="C31" s="137" t="s">
        <v>3</v>
      </c>
      <c r="D31" s="137" t="s">
        <v>4</v>
      </c>
      <c r="E31" s="124" t="s">
        <v>5</v>
      </c>
      <c r="F31" s="138" t="s">
        <v>14</v>
      </c>
      <c r="G31" s="138" t="s">
        <v>15</v>
      </c>
      <c r="H31" s="119" t="s">
        <v>27</v>
      </c>
      <c r="I31" s="121" t="s">
        <v>6</v>
      </c>
      <c r="J31" s="122"/>
      <c r="K31" s="122"/>
      <c r="L31" s="123"/>
      <c r="M31" s="124" t="s">
        <v>7</v>
      </c>
      <c r="N31" s="125"/>
      <c r="O31" s="128" t="s">
        <v>8</v>
      </c>
      <c r="P31" s="128" t="s">
        <v>9</v>
      </c>
      <c r="Q31" s="128"/>
      <c r="R31" s="128"/>
    </row>
    <row r="32" spans="1:18" s="12" customFormat="1" ht="13.05" customHeight="1" x14ac:dyDescent="0.3">
      <c r="A32" s="128"/>
      <c r="B32" s="137"/>
      <c r="C32" s="137"/>
      <c r="D32" s="137"/>
      <c r="E32" s="126"/>
      <c r="F32" s="139"/>
      <c r="G32" s="139"/>
      <c r="H32" s="120"/>
      <c r="I32" s="121" t="s">
        <v>23</v>
      </c>
      <c r="J32" s="123"/>
      <c r="K32" s="121" t="s">
        <v>11</v>
      </c>
      <c r="L32" s="123"/>
      <c r="M32" s="126"/>
      <c r="N32" s="127"/>
      <c r="O32" s="128"/>
      <c r="P32" s="128"/>
      <c r="Q32" s="128"/>
      <c r="R32" s="128"/>
    </row>
    <row r="33" spans="1:18" ht="14.55" customHeight="1" x14ac:dyDescent="0.3">
      <c r="A33" s="140" t="s">
        <v>28</v>
      </c>
      <c r="B33" s="5"/>
      <c r="C33" s="5"/>
      <c r="D33" s="33"/>
      <c r="E33" s="34"/>
      <c r="F33" s="19"/>
      <c r="G33" s="20"/>
      <c r="H33" s="28"/>
      <c r="I33" s="143"/>
      <c r="J33" s="144"/>
      <c r="K33" s="143"/>
      <c r="L33" s="144"/>
      <c r="M33" s="29"/>
      <c r="N33" s="6" t="s">
        <v>13</v>
      </c>
      <c r="O33" s="21"/>
      <c r="P33" s="145" t="s">
        <v>79</v>
      </c>
      <c r="Q33" s="169"/>
      <c r="R33" s="170"/>
    </row>
    <row r="34" spans="1:18" ht="14.55" customHeight="1" x14ac:dyDescent="0.3">
      <c r="A34" s="141"/>
      <c r="B34" s="5"/>
      <c r="C34" s="5"/>
      <c r="D34" s="4"/>
      <c r="E34" s="3"/>
      <c r="F34" s="19"/>
      <c r="G34" s="20"/>
      <c r="H34" s="28"/>
      <c r="I34" s="143"/>
      <c r="J34" s="144"/>
      <c r="K34" s="143"/>
      <c r="L34" s="144"/>
      <c r="M34" s="29"/>
      <c r="N34" s="6" t="s">
        <v>13</v>
      </c>
      <c r="O34" s="21"/>
      <c r="P34" s="168"/>
      <c r="Q34" s="169"/>
      <c r="R34" s="170"/>
    </row>
    <row r="35" spans="1:18" ht="14.55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29"/>
      <c r="N35" s="6" t="s">
        <v>13</v>
      </c>
      <c r="O35" s="21"/>
      <c r="P35" s="168"/>
      <c r="Q35" s="169"/>
      <c r="R35" s="170"/>
    </row>
    <row r="36" spans="1:18" ht="14.55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29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29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2"/>
      <c r="B38" s="148" t="s">
        <v>0</v>
      </c>
      <c r="C38" s="149"/>
      <c r="D38" s="149"/>
      <c r="E38" s="149"/>
      <c r="F38" s="149"/>
      <c r="G38" s="149"/>
      <c r="H38" s="149"/>
      <c r="I38" s="150">
        <f>SUM(I33:J37)</f>
        <v>0</v>
      </c>
      <c r="J38" s="151"/>
      <c r="K38" s="150">
        <f>SUM(K33:L37)</f>
        <v>0</v>
      </c>
      <c r="L38" s="151"/>
      <c r="M38" s="10">
        <f>SUM(M33:M37)</f>
        <v>0</v>
      </c>
      <c r="N38" s="11" t="s">
        <v>13</v>
      </c>
      <c r="O38" s="9"/>
      <c r="P38" s="168"/>
      <c r="Q38" s="169"/>
      <c r="R38" s="170"/>
    </row>
    <row r="39" spans="1:18" ht="14.55" customHeight="1" x14ac:dyDescent="0.3">
      <c r="A39" s="140" t="s">
        <v>24</v>
      </c>
      <c r="B39" s="5">
        <v>0.33333333333333331</v>
      </c>
      <c r="C39" s="5"/>
      <c r="D39" s="33">
        <v>250062</v>
      </c>
      <c r="E39" s="34" t="s">
        <v>77</v>
      </c>
      <c r="F39" s="19">
        <v>304</v>
      </c>
      <c r="G39" s="20">
        <v>0.6</v>
      </c>
      <c r="H39" s="28"/>
      <c r="I39" s="143">
        <v>250</v>
      </c>
      <c r="J39" s="144"/>
      <c r="K39" s="143"/>
      <c r="L39" s="144"/>
      <c r="M39" s="29"/>
      <c r="N39" s="6" t="s">
        <v>13</v>
      </c>
      <c r="O39" s="21"/>
      <c r="P39" s="168" t="s">
        <v>51</v>
      </c>
      <c r="Q39" s="169"/>
      <c r="R39" s="170"/>
    </row>
    <row r="40" spans="1:18" ht="14.55" customHeight="1" x14ac:dyDescent="0.3">
      <c r="A40" s="141"/>
      <c r="B40" s="5"/>
      <c r="C40" s="5">
        <v>0.70833333333333337</v>
      </c>
      <c r="D40" s="37" t="s">
        <v>81</v>
      </c>
      <c r="E40" s="3" t="s">
        <v>78</v>
      </c>
      <c r="F40" s="19">
        <v>304</v>
      </c>
      <c r="G40" s="20">
        <v>0.6</v>
      </c>
      <c r="H40" s="28"/>
      <c r="I40" s="143">
        <v>1300</v>
      </c>
      <c r="J40" s="144"/>
      <c r="K40" s="143"/>
      <c r="L40" s="144"/>
      <c r="M40" s="29"/>
      <c r="N40" s="6" t="s">
        <v>13</v>
      </c>
      <c r="O40" s="21"/>
      <c r="P40" s="168"/>
      <c r="Q40" s="169"/>
      <c r="R40" s="170"/>
    </row>
    <row r="41" spans="1:18" ht="14.55" hidden="1" customHeight="1" x14ac:dyDescent="0.3">
      <c r="A41" s="141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29"/>
      <c r="N41" s="6" t="s">
        <v>13</v>
      </c>
      <c r="O41" s="21"/>
      <c r="P41" s="168"/>
      <c r="Q41" s="169"/>
      <c r="R41" s="170"/>
    </row>
    <row r="42" spans="1:18" ht="14.55" hidden="1" customHeight="1" x14ac:dyDescent="0.3">
      <c r="A42" s="141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29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41"/>
      <c r="B43" s="5"/>
      <c r="C43" s="5"/>
      <c r="D43" s="4"/>
      <c r="E43" s="3"/>
      <c r="F43" s="19"/>
      <c r="G43" s="20"/>
      <c r="H43" s="28"/>
      <c r="I43" s="143"/>
      <c r="J43" s="144"/>
      <c r="K43" s="143"/>
      <c r="L43" s="144"/>
      <c r="M43" s="29"/>
      <c r="N43" s="6" t="s">
        <v>13</v>
      </c>
      <c r="O43" s="21"/>
      <c r="P43" s="168"/>
      <c r="Q43" s="169"/>
      <c r="R43" s="170"/>
    </row>
    <row r="44" spans="1:18" ht="14.55" customHeight="1" x14ac:dyDescent="0.3">
      <c r="A44" s="142"/>
      <c r="B44" s="148" t="s">
        <v>0</v>
      </c>
      <c r="C44" s="149"/>
      <c r="D44" s="149"/>
      <c r="E44" s="149"/>
      <c r="F44" s="149"/>
      <c r="G44" s="149"/>
      <c r="H44" s="149"/>
      <c r="I44" s="150">
        <f>SUM(I39:J43)</f>
        <v>1550</v>
      </c>
      <c r="J44" s="151"/>
      <c r="K44" s="150">
        <f>SUM(K39:L43)</f>
        <v>0</v>
      </c>
      <c r="L44" s="151"/>
      <c r="M44" s="10">
        <f>SUM(M39:M43)</f>
        <v>0</v>
      </c>
      <c r="N44" s="11" t="s">
        <v>13</v>
      </c>
      <c r="O44" s="9"/>
      <c r="P44" s="168"/>
      <c r="Q44" s="169"/>
      <c r="R44" s="170"/>
    </row>
    <row r="45" spans="1:18" ht="14.55" customHeight="1" x14ac:dyDescent="0.3">
      <c r="A45" s="140" t="s">
        <v>25</v>
      </c>
      <c r="B45" s="5"/>
      <c r="C45" s="5"/>
      <c r="D45" s="4"/>
      <c r="E45" s="3"/>
      <c r="F45" s="19"/>
      <c r="G45" s="20"/>
      <c r="H45" s="28"/>
      <c r="I45" s="143"/>
      <c r="J45" s="144"/>
      <c r="K45" s="143"/>
      <c r="L45" s="144"/>
      <c r="M45" s="29"/>
      <c r="N45" s="6" t="s">
        <v>13</v>
      </c>
      <c r="O45" s="21"/>
      <c r="P45" s="145" t="s">
        <v>80</v>
      </c>
      <c r="Q45" s="169"/>
      <c r="R45" s="170"/>
    </row>
    <row r="46" spans="1:18" ht="14.55" hidden="1" customHeight="1" x14ac:dyDescent="0.3">
      <c r="A46" s="141"/>
      <c r="B46" s="5"/>
      <c r="C46" s="5"/>
      <c r="D46" s="4"/>
      <c r="E46" s="3"/>
      <c r="F46" s="19"/>
      <c r="G46" s="20"/>
      <c r="H46" s="28"/>
      <c r="I46" s="143"/>
      <c r="J46" s="144"/>
      <c r="K46" s="143"/>
      <c r="L46" s="144"/>
      <c r="M46" s="29"/>
      <c r="N46" s="6" t="s">
        <v>13</v>
      </c>
      <c r="O46" s="21"/>
      <c r="P46" s="168"/>
      <c r="Q46" s="169"/>
      <c r="R46" s="170"/>
    </row>
    <row r="47" spans="1:18" ht="14.55" hidden="1" customHeight="1" x14ac:dyDescent="0.3">
      <c r="A47" s="141"/>
      <c r="B47" s="5"/>
      <c r="C47" s="5"/>
      <c r="D47" s="4"/>
      <c r="E47" s="3"/>
      <c r="F47" s="19"/>
      <c r="G47" s="20"/>
      <c r="H47" s="28"/>
      <c r="I47" s="143"/>
      <c r="J47" s="144"/>
      <c r="K47" s="143"/>
      <c r="L47" s="144"/>
      <c r="M47" s="29"/>
      <c r="N47" s="6" t="s">
        <v>13</v>
      </c>
      <c r="O47" s="21"/>
      <c r="P47" s="168"/>
      <c r="Q47" s="169"/>
      <c r="R47" s="170"/>
    </row>
    <row r="48" spans="1:18" ht="14.55" customHeight="1" x14ac:dyDescent="0.3">
      <c r="A48" s="141"/>
      <c r="B48" s="5"/>
      <c r="C48" s="5"/>
      <c r="D48" s="4"/>
      <c r="E48" s="3"/>
      <c r="F48" s="19"/>
      <c r="G48" s="20"/>
      <c r="H48" s="28"/>
      <c r="I48" s="143"/>
      <c r="J48" s="144"/>
      <c r="K48" s="143"/>
      <c r="L48" s="144"/>
      <c r="M48" s="29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41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29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42"/>
      <c r="B50" s="148" t="s">
        <v>0</v>
      </c>
      <c r="C50" s="149"/>
      <c r="D50" s="149"/>
      <c r="E50" s="149"/>
      <c r="F50" s="149"/>
      <c r="G50" s="149"/>
      <c r="H50" s="149"/>
      <c r="I50" s="150">
        <f>SUM(I45:J49)</f>
        <v>0</v>
      </c>
      <c r="J50" s="151"/>
      <c r="K50" s="150">
        <f>SUM(K45:L49)</f>
        <v>0</v>
      </c>
      <c r="L50" s="151"/>
      <c r="M50" s="10">
        <f>SUM(M45:M49)</f>
        <v>0</v>
      </c>
      <c r="N50" s="11" t="s">
        <v>13</v>
      </c>
      <c r="O50" s="9"/>
      <c r="P50" s="168"/>
      <c r="Q50" s="169"/>
      <c r="R50" s="170"/>
    </row>
    <row r="52" spans="1:18" x14ac:dyDescent="0.3">
      <c r="E52" s="148" t="s">
        <v>26</v>
      </c>
      <c r="F52" s="149"/>
      <c r="G52" s="149"/>
      <c r="H52" s="149"/>
      <c r="I52" s="152" t="s">
        <v>23</v>
      </c>
      <c r="J52" s="153"/>
      <c r="K52" s="152" t="s">
        <v>11</v>
      </c>
      <c r="L52" s="153"/>
    </row>
    <row r="53" spans="1:18" s="2" customFormat="1" x14ac:dyDescent="0.3">
      <c r="E53" s="7"/>
      <c r="F53" s="7"/>
      <c r="G53" s="7"/>
      <c r="H53" s="7"/>
      <c r="I53" s="22">
        <f>I44+I50</f>
        <v>1550</v>
      </c>
      <c r="J53" s="14" t="s">
        <v>12</v>
      </c>
      <c r="K53" s="22">
        <f>K44+K50</f>
        <v>0</v>
      </c>
      <c r="L53" s="15" t="s">
        <v>12</v>
      </c>
    </row>
    <row r="54" spans="1:18" ht="24.45" customHeight="1" x14ac:dyDescent="0.3">
      <c r="E54" s="13"/>
      <c r="F54" s="13"/>
      <c r="G54" s="13"/>
      <c r="H54" s="13"/>
      <c r="I54" s="154">
        <f>I53+K53</f>
        <v>1550</v>
      </c>
      <c r="J54" s="155"/>
      <c r="K54" s="155"/>
      <c r="L54" s="156"/>
    </row>
    <row r="55" spans="1:18" x14ac:dyDescent="0.3">
      <c r="K55" s="25"/>
      <c r="L55" s="25"/>
      <c r="M55" s="25"/>
      <c r="N55" s="23"/>
    </row>
    <row r="56" spans="1:18" s="8" customFormat="1" ht="30" customHeight="1" x14ac:dyDescent="0.3">
      <c r="A56" s="133" t="s">
        <v>36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5"/>
      <c r="L56" s="135"/>
      <c r="M56" s="135"/>
      <c r="N56" s="135"/>
      <c r="O56" s="134"/>
      <c r="P56" s="134"/>
      <c r="Q56" s="134"/>
      <c r="R56" s="136"/>
    </row>
    <row r="57" spans="1:18" s="12" customFormat="1" ht="14.55" customHeight="1" x14ac:dyDescent="0.3">
      <c r="A57" s="128" t="s">
        <v>1</v>
      </c>
      <c r="B57" s="137" t="s">
        <v>2</v>
      </c>
      <c r="C57" s="137" t="s">
        <v>3</v>
      </c>
      <c r="D57" s="137" t="s">
        <v>4</v>
      </c>
      <c r="E57" s="124" t="s">
        <v>5</v>
      </c>
      <c r="F57" s="138" t="s">
        <v>14</v>
      </c>
      <c r="G57" s="138" t="s">
        <v>15</v>
      </c>
      <c r="H57" s="119" t="s">
        <v>29</v>
      </c>
      <c r="I57" s="121" t="s">
        <v>6</v>
      </c>
      <c r="J57" s="122"/>
      <c r="K57" s="122"/>
      <c r="L57" s="123"/>
      <c r="M57" s="124" t="s">
        <v>7</v>
      </c>
      <c r="N57" s="125"/>
      <c r="O57" s="128" t="s">
        <v>8</v>
      </c>
      <c r="P57" s="128" t="s">
        <v>9</v>
      </c>
      <c r="Q57" s="128"/>
      <c r="R57" s="128"/>
    </row>
    <row r="58" spans="1:18" s="12" customFormat="1" ht="13.05" customHeight="1" x14ac:dyDescent="0.3">
      <c r="A58" s="128"/>
      <c r="B58" s="137"/>
      <c r="C58" s="137"/>
      <c r="D58" s="137"/>
      <c r="E58" s="126"/>
      <c r="F58" s="139"/>
      <c r="G58" s="139"/>
      <c r="H58" s="120"/>
      <c r="I58" s="121" t="s">
        <v>19</v>
      </c>
      <c r="J58" s="123"/>
      <c r="K58" s="121" t="s">
        <v>20</v>
      </c>
      <c r="L58" s="123"/>
      <c r="M58" s="126"/>
      <c r="N58" s="127"/>
      <c r="O58" s="128"/>
      <c r="P58" s="128"/>
      <c r="Q58" s="128"/>
      <c r="R58" s="128"/>
    </row>
    <row r="59" spans="1:18" ht="14.55" customHeight="1" x14ac:dyDescent="0.3">
      <c r="A59" s="140" t="s">
        <v>37</v>
      </c>
      <c r="B59" s="5">
        <v>0.33333333333333331</v>
      </c>
      <c r="C59" s="5"/>
      <c r="D59" s="4">
        <v>250065</v>
      </c>
      <c r="E59" s="3" t="s">
        <v>82</v>
      </c>
      <c r="F59" s="19">
        <v>430</v>
      </c>
      <c r="G59" s="20">
        <v>0.5</v>
      </c>
      <c r="H59" s="38" t="s">
        <v>83</v>
      </c>
      <c r="I59" s="143">
        <v>751</v>
      </c>
      <c r="J59" s="144"/>
      <c r="K59" s="143"/>
      <c r="L59" s="144"/>
      <c r="M59" s="29"/>
      <c r="N59" s="6" t="s">
        <v>13</v>
      </c>
      <c r="O59" s="21"/>
      <c r="P59" s="173" t="s">
        <v>92</v>
      </c>
      <c r="Q59" s="174"/>
      <c r="R59" s="175"/>
    </row>
    <row r="60" spans="1:18" ht="14.55" customHeight="1" x14ac:dyDescent="0.3">
      <c r="A60" s="166"/>
      <c r="B60" s="5"/>
      <c r="C60" s="5"/>
      <c r="D60" s="4">
        <v>250066</v>
      </c>
      <c r="E60" s="3" t="s">
        <v>87</v>
      </c>
      <c r="F60" s="19">
        <v>430</v>
      </c>
      <c r="G60" s="20">
        <v>0.5</v>
      </c>
      <c r="H60" s="38" t="s">
        <v>83</v>
      </c>
      <c r="I60" s="143">
        <v>500</v>
      </c>
      <c r="J60" s="144"/>
      <c r="K60" s="143"/>
      <c r="L60" s="144"/>
      <c r="M60" s="29"/>
      <c r="N60" s="6" t="s">
        <v>13</v>
      </c>
      <c r="O60" s="21"/>
      <c r="P60" s="176"/>
      <c r="Q60" s="177"/>
      <c r="R60" s="178"/>
    </row>
    <row r="61" spans="1:18" ht="14.55" customHeight="1" x14ac:dyDescent="0.3">
      <c r="A61" s="166"/>
      <c r="B61" s="5"/>
      <c r="C61" s="5"/>
      <c r="D61" s="4">
        <v>250066</v>
      </c>
      <c r="E61" s="3" t="s">
        <v>86</v>
      </c>
      <c r="F61" s="19">
        <v>430</v>
      </c>
      <c r="G61" s="20">
        <v>0.5</v>
      </c>
      <c r="H61" s="39" t="s">
        <v>84</v>
      </c>
      <c r="I61" s="143">
        <v>737</v>
      </c>
      <c r="J61" s="144"/>
      <c r="K61" s="143"/>
      <c r="L61" s="144"/>
      <c r="M61" s="29"/>
      <c r="N61" s="6" t="s">
        <v>13</v>
      </c>
      <c r="O61" s="21"/>
      <c r="P61" s="176"/>
      <c r="Q61" s="177"/>
      <c r="R61" s="178"/>
    </row>
    <row r="62" spans="1:18" ht="14.55" customHeight="1" x14ac:dyDescent="0.3">
      <c r="A62" s="166"/>
      <c r="B62" s="5"/>
      <c r="C62" s="5"/>
      <c r="D62" s="4">
        <v>250065</v>
      </c>
      <c r="E62" s="3" t="s">
        <v>85</v>
      </c>
      <c r="F62" s="19">
        <v>430</v>
      </c>
      <c r="G62" s="20">
        <v>0.5</v>
      </c>
      <c r="H62" s="39" t="s">
        <v>88</v>
      </c>
      <c r="I62" s="143">
        <v>746</v>
      </c>
      <c r="J62" s="144"/>
      <c r="K62" s="143"/>
      <c r="L62" s="144"/>
      <c r="M62" s="29"/>
      <c r="N62" s="6" t="s">
        <v>13</v>
      </c>
      <c r="O62" s="21"/>
      <c r="P62" s="176"/>
      <c r="Q62" s="177"/>
      <c r="R62" s="178"/>
    </row>
    <row r="63" spans="1:18" ht="14.55" customHeight="1" x14ac:dyDescent="0.3">
      <c r="A63" s="166"/>
      <c r="B63" s="5"/>
      <c r="C63" s="5"/>
      <c r="D63" s="4">
        <v>250067</v>
      </c>
      <c r="E63" s="3" t="s">
        <v>89</v>
      </c>
      <c r="F63" s="19">
        <v>430</v>
      </c>
      <c r="G63" s="20">
        <v>0.5</v>
      </c>
      <c r="H63" s="28" t="s">
        <v>90</v>
      </c>
      <c r="I63" s="143">
        <v>1915</v>
      </c>
      <c r="J63" s="144"/>
      <c r="K63" s="143"/>
      <c r="L63" s="144"/>
      <c r="M63" s="29"/>
      <c r="N63" s="6" t="s">
        <v>13</v>
      </c>
      <c r="O63" s="21"/>
      <c r="P63" s="176"/>
      <c r="Q63" s="177"/>
      <c r="R63" s="178"/>
    </row>
    <row r="64" spans="1:18" ht="14.55" customHeight="1" x14ac:dyDescent="0.3">
      <c r="A64" s="166"/>
      <c r="B64" s="5"/>
      <c r="C64" s="5">
        <v>0.70833333333333337</v>
      </c>
      <c r="D64" s="4">
        <v>250063</v>
      </c>
      <c r="E64" s="3" t="s">
        <v>91</v>
      </c>
      <c r="F64" s="19">
        <v>430</v>
      </c>
      <c r="G64" s="20">
        <v>0.5</v>
      </c>
      <c r="H64" s="28" t="s">
        <v>90</v>
      </c>
      <c r="I64" s="143">
        <v>350</v>
      </c>
      <c r="J64" s="144"/>
      <c r="K64" s="143"/>
      <c r="L64" s="144"/>
      <c r="M64" s="29"/>
      <c r="N64" s="6" t="s">
        <v>13</v>
      </c>
      <c r="O64" s="21"/>
      <c r="P64" s="176"/>
      <c r="Q64" s="177"/>
      <c r="R64" s="178"/>
    </row>
    <row r="65" spans="1:18" ht="14.55" customHeight="1" x14ac:dyDescent="0.3">
      <c r="A65" s="166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29"/>
      <c r="N65" s="6" t="s">
        <v>13</v>
      </c>
      <c r="O65" s="21"/>
      <c r="P65" s="176"/>
      <c r="Q65" s="177"/>
      <c r="R65" s="178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29"/>
      <c r="N66" s="6" t="s">
        <v>13</v>
      </c>
      <c r="O66" s="21"/>
      <c r="P66" s="176"/>
      <c r="Q66" s="177"/>
      <c r="R66" s="178"/>
    </row>
    <row r="67" spans="1:18" ht="14.55" customHeight="1" x14ac:dyDescent="0.3">
      <c r="A67" s="166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29"/>
      <c r="N67" s="6" t="s">
        <v>13</v>
      </c>
      <c r="O67" s="21"/>
      <c r="P67" s="176"/>
      <c r="Q67" s="177"/>
      <c r="R67" s="178"/>
    </row>
    <row r="68" spans="1:18" ht="14.55" customHeight="1" x14ac:dyDescent="0.3">
      <c r="A68" s="166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29"/>
      <c r="N68" s="6" t="s">
        <v>13</v>
      </c>
      <c r="O68" s="21"/>
      <c r="P68" s="176"/>
      <c r="Q68" s="177"/>
      <c r="R68" s="178"/>
    </row>
    <row r="69" spans="1:18" ht="14.55" customHeight="1" x14ac:dyDescent="0.3">
      <c r="A69" s="166"/>
      <c r="B69" s="5"/>
      <c r="C69" s="5"/>
      <c r="D69" s="4"/>
      <c r="E69" s="3"/>
      <c r="F69" s="19"/>
      <c r="G69" s="20"/>
      <c r="H69" s="28"/>
      <c r="I69" s="143"/>
      <c r="J69" s="144"/>
      <c r="K69" s="143"/>
      <c r="L69" s="144"/>
      <c r="M69" s="29"/>
      <c r="N69" s="6" t="s">
        <v>13</v>
      </c>
      <c r="O69" s="21"/>
      <c r="P69" s="176"/>
      <c r="Q69" s="177"/>
      <c r="R69" s="178"/>
    </row>
    <row r="70" spans="1:18" ht="14.55" customHeight="1" x14ac:dyDescent="0.3">
      <c r="A70" s="166"/>
      <c r="B70" s="5"/>
      <c r="C70" s="5"/>
      <c r="D70" s="4"/>
      <c r="E70" s="3"/>
      <c r="F70" s="19"/>
      <c r="G70" s="20"/>
      <c r="H70" s="28"/>
      <c r="I70" s="143"/>
      <c r="J70" s="144"/>
      <c r="K70" s="143"/>
      <c r="L70" s="144"/>
      <c r="M70" s="29"/>
      <c r="N70" s="6" t="s">
        <v>13</v>
      </c>
      <c r="O70" s="21"/>
      <c r="P70" s="176"/>
      <c r="Q70" s="177"/>
      <c r="R70" s="178"/>
    </row>
    <row r="71" spans="1:18" ht="14.55" customHeight="1" x14ac:dyDescent="0.3">
      <c r="A71" s="166"/>
      <c r="B71" s="5"/>
      <c r="C71" s="5"/>
      <c r="D71" s="4"/>
      <c r="E71" s="3"/>
      <c r="F71" s="19"/>
      <c r="G71" s="20"/>
      <c r="H71" s="28"/>
      <c r="I71" s="143"/>
      <c r="J71" s="144"/>
      <c r="K71" s="143"/>
      <c r="L71" s="144"/>
      <c r="M71" s="29"/>
      <c r="N71" s="6" t="s">
        <v>13</v>
      </c>
      <c r="O71" s="21"/>
      <c r="P71" s="176"/>
      <c r="Q71" s="177"/>
      <c r="R71" s="178"/>
    </row>
    <row r="72" spans="1:18" ht="14.55" customHeight="1" x14ac:dyDescent="0.3">
      <c r="A72" s="166"/>
      <c r="B72" s="5"/>
      <c r="C72" s="5"/>
      <c r="D72" s="4"/>
      <c r="E72" s="3"/>
      <c r="F72" s="19"/>
      <c r="G72" s="20"/>
      <c r="H72" s="28"/>
      <c r="I72" s="143"/>
      <c r="J72" s="144"/>
      <c r="K72" s="143"/>
      <c r="L72" s="144"/>
      <c r="M72" s="29"/>
      <c r="N72" s="6" t="s">
        <v>13</v>
      </c>
      <c r="O72" s="21"/>
      <c r="P72" s="176"/>
      <c r="Q72" s="177"/>
      <c r="R72" s="178"/>
    </row>
    <row r="73" spans="1:18" ht="14.55" customHeight="1" x14ac:dyDescent="0.3">
      <c r="A73" s="166"/>
      <c r="B73" s="5"/>
      <c r="C73" s="5"/>
      <c r="D73" s="4"/>
      <c r="E73" s="3"/>
      <c r="F73" s="19"/>
      <c r="G73" s="20"/>
      <c r="H73" s="28"/>
      <c r="I73" s="143"/>
      <c r="J73" s="144"/>
      <c r="K73" s="143"/>
      <c r="L73" s="144"/>
      <c r="M73" s="29"/>
      <c r="N73" s="6" t="s">
        <v>13</v>
      </c>
      <c r="O73" s="21"/>
      <c r="P73" s="176"/>
      <c r="Q73" s="177"/>
      <c r="R73" s="178"/>
    </row>
    <row r="74" spans="1:18" ht="14.55" customHeight="1" x14ac:dyDescent="0.3">
      <c r="A74" s="167"/>
      <c r="B74" s="148" t="s">
        <v>0</v>
      </c>
      <c r="C74" s="149"/>
      <c r="D74" s="149"/>
      <c r="E74" s="149"/>
      <c r="F74" s="149"/>
      <c r="G74" s="149"/>
      <c r="H74" s="149"/>
      <c r="I74" s="150">
        <f>SUM(I59:J73)</f>
        <v>4999</v>
      </c>
      <c r="J74" s="151"/>
      <c r="K74" s="150">
        <f>SUM(K59:L73)</f>
        <v>0</v>
      </c>
      <c r="L74" s="151"/>
      <c r="M74" s="10">
        <f>SUM(M69:M73)</f>
        <v>0</v>
      </c>
      <c r="N74" s="11" t="s">
        <v>13</v>
      </c>
      <c r="O74" s="9"/>
      <c r="P74" s="179"/>
      <c r="Q74" s="180"/>
      <c r="R74" s="181"/>
    </row>
    <row r="75" spans="1:18" ht="14.55" customHeight="1" x14ac:dyDescent="0.3">
      <c r="D75"/>
      <c r="E75" s="1"/>
      <c r="F75" s="1"/>
      <c r="G75" s="1"/>
      <c r="H75" s="1"/>
      <c r="M75"/>
    </row>
    <row r="76" spans="1:18" x14ac:dyDescent="0.3">
      <c r="E76" s="148" t="s">
        <v>33</v>
      </c>
      <c r="F76" s="149"/>
      <c r="G76" s="149"/>
      <c r="H76" s="149"/>
      <c r="I76" s="152" t="s">
        <v>19</v>
      </c>
      <c r="J76" s="153"/>
      <c r="K76" s="152" t="s">
        <v>20</v>
      </c>
      <c r="L76" s="153"/>
    </row>
    <row r="77" spans="1:18" s="2" customFormat="1" x14ac:dyDescent="0.3">
      <c r="E77" s="7"/>
      <c r="F77" s="7"/>
      <c r="G77" s="7"/>
      <c r="H77" s="7"/>
      <c r="I77" s="22">
        <f>I74</f>
        <v>4999</v>
      </c>
      <c r="J77" s="14" t="s">
        <v>12</v>
      </c>
      <c r="K77" s="22">
        <f>K74</f>
        <v>0</v>
      </c>
      <c r="L77" s="15" t="s">
        <v>12</v>
      </c>
    </row>
    <row r="78" spans="1:18" ht="24.45" customHeight="1" x14ac:dyDescent="0.3">
      <c r="E78" s="13"/>
      <c r="F78" s="13"/>
      <c r="G78" s="13"/>
      <c r="H78" s="13"/>
      <c r="I78" s="154">
        <f>I77+K77</f>
        <v>4999</v>
      </c>
      <c r="J78" s="155"/>
      <c r="K78" s="155"/>
      <c r="L78" s="156"/>
    </row>
    <row r="80" spans="1:18" s="8" customFormat="1" ht="30" customHeight="1" x14ac:dyDescent="0.3">
      <c r="A80" s="133" t="s">
        <v>30</v>
      </c>
      <c r="B80" s="134"/>
      <c r="C80" s="134"/>
      <c r="D80" s="134"/>
      <c r="E80" s="134"/>
      <c r="F80" s="134"/>
      <c r="G80" s="134"/>
      <c r="H80" s="134"/>
      <c r="I80" s="134"/>
      <c r="J80" s="134"/>
      <c r="K80" s="135"/>
      <c r="L80" s="135"/>
      <c r="M80" s="135"/>
      <c r="N80" s="135"/>
      <c r="O80" s="134"/>
      <c r="P80" s="134"/>
      <c r="Q80" s="134"/>
      <c r="R80" s="136"/>
    </row>
    <row r="81" spans="1:18" s="12" customFormat="1" ht="14.55" customHeight="1" x14ac:dyDescent="0.3">
      <c r="A81" s="128" t="s">
        <v>1</v>
      </c>
      <c r="B81" s="137" t="s">
        <v>2</v>
      </c>
      <c r="C81" s="137" t="s">
        <v>3</v>
      </c>
      <c r="D81" s="137" t="s">
        <v>4</v>
      </c>
      <c r="E81" s="124" t="s">
        <v>5</v>
      </c>
      <c r="F81" s="138" t="s">
        <v>14</v>
      </c>
      <c r="G81" s="138" t="s">
        <v>15</v>
      </c>
      <c r="H81" s="119" t="s">
        <v>29</v>
      </c>
      <c r="I81" s="121" t="s">
        <v>6</v>
      </c>
      <c r="J81" s="122"/>
      <c r="K81" s="122"/>
      <c r="L81" s="123"/>
      <c r="M81" s="124" t="s">
        <v>7</v>
      </c>
      <c r="N81" s="125"/>
      <c r="O81" s="128" t="s">
        <v>8</v>
      </c>
      <c r="P81" s="128" t="s">
        <v>9</v>
      </c>
      <c r="Q81" s="128"/>
      <c r="R81" s="128"/>
    </row>
    <row r="82" spans="1:18" s="12" customFormat="1" ht="13.05" customHeight="1" x14ac:dyDescent="0.3">
      <c r="A82" s="128"/>
      <c r="B82" s="137"/>
      <c r="C82" s="137"/>
      <c r="D82" s="137"/>
      <c r="E82" s="126"/>
      <c r="F82" s="139"/>
      <c r="G82" s="139"/>
      <c r="H82" s="120"/>
      <c r="I82" s="121" t="s">
        <v>19</v>
      </c>
      <c r="J82" s="123"/>
      <c r="K82" s="121" t="s">
        <v>20</v>
      </c>
      <c r="L82" s="123"/>
      <c r="M82" s="126"/>
      <c r="N82" s="127"/>
      <c r="O82" s="128"/>
      <c r="P82" s="128"/>
      <c r="Q82" s="128"/>
      <c r="R82" s="128"/>
    </row>
    <row r="83" spans="1:18" ht="14.55" customHeight="1" x14ac:dyDescent="0.3">
      <c r="A83" s="140" t="s">
        <v>35</v>
      </c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29"/>
      <c r="N83" s="6" t="s">
        <v>13</v>
      </c>
      <c r="O83" s="21"/>
      <c r="P83" s="168"/>
      <c r="Q83" s="169"/>
      <c r="R83" s="170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29"/>
      <c r="N84" s="6" t="s">
        <v>13</v>
      </c>
      <c r="O84" s="21"/>
      <c r="P84" s="168"/>
      <c r="Q84" s="169"/>
      <c r="R84" s="170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29"/>
      <c r="N85" s="6" t="s">
        <v>13</v>
      </c>
      <c r="O85" s="21"/>
      <c r="P85" s="168"/>
      <c r="Q85" s="169"/>
      <c r="R85" s="170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29"/>
      <c r="N86" s="6" t="s">
        <v>13</v>
      </c>
      <c r="O86" s="21"/>
      <c r="P86" s="168"/>
      <c r="Q86" s="169"/>
      <c r="R86" s="170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29"/>
      <c r="N87" s="6" t="s">
        <v>13</v>
      </c>
      <c r="O87" s="21"/>
      <c r="P87" s="168"/>
      <c r="Q87" s="169"/>
      <c r="R87" s="170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29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29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6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29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66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29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66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29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67"/>
      <c r="B93" s="148" t="s">
        <v>0</v>
      </c>
      <c r="C93" s="149"/>
      <c r="D93" s="149"/>
      <c r="E93" s="149"/>
      <c r="F93" s="149"/>
      <c r="G93" s="149"/>
      <c r="H93" s="149"/>
      <c r="I93" s="150">
        <f>SUM(I83:J92)</f>
        <v>0</v>
      </c>
      <c r="J93" s="151"/>
      <c r="K93" s="150">
        <f>SUM(K83:L92)</f>
        <v>0</v>
      </c>
      <c r="L93" s="151"/>
      <c r="M93" s="10">
        <f>SUM(M88:M92)</f>
        <v>0</v>
      </c>
      <c r="N93" s="11" t="s">
        <v>13</v>
      </c>
      <c r="O93" s="9"/>
      <c r="P93" s="168"/>
      <c r="Q93" s="169"/>
      <c r="R93" s="170"/>
    </row>
    <row r="94" spans="1:18" ht="14.55" customHeight="1" x14ac:dyDescent="0.3">
      <c r="D94"/>
      <c r="E94" s="1"/>
      <c r="F94" s="1"/>
      <c r="G94" s="1"/>
      <c r="H94" s="1"/>
      <c r="M94"/>
    </row>
    <row r="95" spans="1:18" x14ac:dyDescent="0.3">
      <c r="E95" s="148" t="s">
        <v>34</v>
      </c>
      <c r="F95" s="149"/>
      <c r="G95" s="149"/>
      <c r="H95" s="149"/>
      <c r="I95" s="152" t="s">
        <v>19</v>
      </c>
      <c r="J95" s="153"/>
      <c r="K95" s="152" t="s">
        <v>20</v>
      </c>
      <c r="L95" s="153"/>
    </row>
    <row r="96" spans="1:18" s="2" customFormat="1" x14ac:dyDescent="0.3">
      <c r="E96" s="7"/>
      <c r="F96" s="7"/>
      <c r="G96" s="7"/>
      <c r="H96" s="7"/>
      <c r="I96" s="22">
        <f>I93</f>
        <v>0</v>
      </c>
      <c r="J96" s="14" t="s">
        <v>12</v>
      </c>
      <c r="K96" s="22">
        <f>K93</f>
        <v>0</v>
      </c>
      <c r="L96" s="15" t="s">
        <v>12</v>
      </c>
    </row>
    <row r="97" spans="5:12" ht="24.45" customHeight="1" x14ac:dyDescent="0.3">
      <c r="E97" s="13"/>
      <c r="F97" s="13"/>
      <c r="G97" s="13"/>
      <c r="H97" s="13"/>
      <c r="I97" s="154">
        <f>I96+K96</f>
        <v>0</v>
      </c>
      <c r="J97" s="155"/>
      <c r="K97" s="155"/>
      <c r="L97" s="156"/>
    </row>
  </sheetData>
  <mergeCells count="226">
    <mergeCell ref="E95:H95"/>
    <mergeCell ref="I95:J95"/>
    <mergeCell ref="K95:L95"/>
    <mergeCell ref="I97:L97"/>
    <mergeCell ref="K91:L91"/>
    <mergeCell ref="I92:J92"/>
    <mergeCell ref="K92:L92"/>
    <mergeCell ref="B93:H93"/>
    <mergeCell ref="I93:J93"/>
    <mergeCell ref="K93:L93"/>
    <mergeCell ref="A83:A93"/>
    <mergeCell ref="I83:J83"/>
    <mergeCell ref="K83:L83"/>
    <mergeCell ref="P83:R87"/>
    <mergeCell ref="I84:J84"/>
    <mergeCell ref="K84:L84"/>
    <mergeCell ref="I85:J85"/>
    <mergeCell ref="K85:L85"/>
    <mergeCell ref="I86:J86"/>
    <mergeCell ref="K86:L86"/>
    <mergeCell ref="I87:J87"/>
    <mergeCell ref="K87:L87"/>
    <mergeCell ref="I88:J88"/>
    <mergeCell ref="K88:L88"/>
    <mergeCell ref="P88:R93"/>
    <mergeCell ref="I89:J89"/>
    <mergeCell ref="K89:L89"/>
    <mergeCell ref="I90:J90"/>
    <mergeCell ref="K90:L90"/>
    <mergeCell ref="I91:J91"/>
    <mergeCell ref="I81:L81"/>
    <mergeCell ref="M81:N82"/>
    <mergeCell ref="O81:O82"/>
    <mergeCell ref="P81:R82"/>
    <mergeCell ref="I82:J82"/>
    <mergeCell ref="K82:L82"/>
    <mergeCell ref="I78:L78"/>
    <mergeCell ref="A80:R80"/>
    <mergeCell ref="A81:A82"/>
    <mergeCell ref="B81:B82"/>
    <mergeCell ref="C81:C82"/>
    <mergeCell ref="D81:D82"/>
    <mergeCell ref="E81:E82"/>
    <mergeCell ref="F81:F82"/>
    <mergeCell ref="G81:G82"/>
    <mergeCell ref="H81:H82"/>
    <mergeCell ref="B74:H74"/>
    <mergeCell ref="I74:J74"/>
    <mergeCell ref="K74:L74"/>
    <mergeCell ref="E76:H76"/>
    <mergeCell ref="I76:J76"/>
    <mergeCell ref="K76:L76"/>
    <mergeCell ref="I71:J71"/>
    <mergeCell ref="K71:L71"/>
    <mergeCell ref="I72:J72"/>
    <mergeCell ref="K72:L72"/>
    <mergeCell ref="I73:J73"/>
    <mergeCell ref="K73:L73"/>
    <mergeCell ref="K68:L68"/>
    <mergeCell ref="I69:J69"/>
    <mergeCell ref="K69:L69"/>
    <mergeCell ref="I70:J70"/>
    <mergeCell ref="K70:L70"/>
    <mergeCell ref="I65:J65"/>
    <mergeCell ref="K65:L65"/>
    <mergeCell ref="I66:J66"/>
    <mergeCell ref="K66:L66"/>
    <mergeCell ref="I67:J67"/>
    <mergeCell ref="K67:L67"/>
    <mergeCell ref="A59:A74"/>
    <mergeCell ref="I59:J59"/>
    <mergeCell ref="K59:L59"/>
    <mergeCell ref="P59:R74"/>
    <mergeCell ref="I60:J60"/>
    <mergeCell ref="K60:L60"/>
    <mergeCell ref="I61:J61"/>
    <mergeCell ref="F57:F58"/>
    <mergeCell ref="G57:G58"/>
    <mergeCell ref="H57:H58"/>
    <mergeCell ref="I57:L57"/>
    <mergeCell ref="M57:N58"/>
    <mergeCell ref="O57:O58"/>
    <mergeCell ref="K61:L61"/>
    <mergeCell ref="I62:J62"/>
    <mergeCell ref="K62:L62"/>
    <mergeCell ref="I63:J63"/>
    <mergeCell ref="K63:L63"/>
    <mergeCell ref="I64:J64"/>
    <mergeCell ref="K64:L64"/>
    <mergeCell ref="P57:R58"/>
    <mergeCell ref="I58:J58"/>
    <mergeCell ref="K58:L58"/>
    <mergeCell ref="I68:J68"/>
    <mergeCell ref="E52:H52"/>
    <mergeCell ref="I52:J52"/>
    <mergeCell ref="K52:L52"/>
    <mergeCell ref="I54:L54"/>
    <mergeCell ref="A56:R56"/>
    <mergeCell ref="A57:A58"/>
    <mergeCell ref="B57:B58"/>
    <mergeCell ref="C57:C58"/>
    <mergeCell ref="D57:D58"/>
    <mergeCell ref="E57:E58"/>
    <mergeCell ref="P45:R50"/>
    <mergeCell ref="I46:J46"/>
    <mergeCell ref="K46:L46"/>
    <mergeCell ref="I47:J47"/>
    <mergeCell ref="K47:L47"/>
    <mergeCell ref="I48:J48"/>
    <mergeCell ref="K48:L48"/>
    <mergeCell ref="I49:J49"/>
    <mergeCell ref="K49:L49"/>
    <mergeCell ref="I50:J50"/>
    <mergeCell ref="B44:H44"/>
    <mergeCell ref="I44:J44"/>
    <mergeCell ref="K44:L44"/>
    <mergeCell ref="A45:A50"/>
    <mergeCell ref="I45:J45"/>
    <mergeCell ref="K45:L45"/>
    <mergeCell ref="B50:H50"/>
    <mergeCell ref="K50:L50"/>
    <mergeCell ref="A39:A44"/>
    <mergeCell ref="I39:J39"/>
    <mergeCell ref="K39:L39"/>
    <mergeCell ref="P39:R44"/>
    <mergeCell ref="I40:J40"/>
    <mergeCell ref="K40:L40"/>
    <mergeCell ref="I41:J41"/>
    <mergeCell ref="K41:L41"/>
    <mergeCell ref="I42:J42"/>
    <mergeCell ref="K42:L42"/>
    <mergeCell ref="K35:L35"/>
    <mergeCell ref="I36:J36"/>
    <mergeCell ref="K36:L36"/>
    <mergeCell ref="I37:J37"/>
    <mergeCell ref="K37:L37"/>
    <mergeCell ref="I43:J43"/>
    <mergeCell ref="K43:L43"/>
    <mergeCell ref="B38:H38"/>
    <mergeCell ref="I38:J38"/>
    <mergeCell ref="K38:L38"/>
    <mergeCell ref="P31:R32"/>
    <mergeCell ref="I32:J32"/>
    <mergeCell ref="K32:L32"/>
    <mergeCell ref="A33:A38"/>
    <mergeCell ref="I33:J33"/>
    <mergeCell ref="K33:L33"/>
    <mergeCell ref="P33:R38"/>
    <mergeCell ref="I34:J34"/>
    <mergeCell ref="K34:L34"/>
    <mergeCell ref="I35:J35"/>
    <mergeCell ref="F31:F32"/>
    <mergeCell ref="G31:G32"/>
    <mergeCell ref="H31:H32"/>
    <mergeCell ref="I31:L31"/>
    <mergeCell ref="M31:N32"/>
    <mergeCell ref="O31:O32"/>
    <mergeCell ref="E26:H26"/>
    <mergeCell ref="I26:J26"/>
    <mergeCell ref="K26:L26"/>
    <mergeCell ref="I28:L28"/>
    <mergeCell ref="A30:R30"/>
    <mergeCell ref="A31:A32"/>
    <mergeCell ref="B31:B32"/>
    <mergeCell ref="C31:C32"/>
    <mergeCell ref="D31:D32"/>
    <mergeCell ref="E31:E32"/>
    <mergeCell ref="P16:R24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A7:A15"/>
    <mergeCell ref="I7:J7"/>
    <mergeCell ref="K7:L7"/>
    <mergeCell ref="I14:J14"/>
    <mergeCell ref="K14:L14"/>
    <mergeCell ref="B15:H15"/>
    <mergeCell ref="I15:J15"/>
    <mergeCell ref="K15:L15"/>
    <mergeCell ref="A16:A24"/>
    <mergeCell ref="I16:J16"/>
    <mergeCell ref="K16:L16"/>
    <mergeCell ref="K21:L21"/>
    <mergeCell ref="I22:J22"/>
    <mergeCell ref="K22:L22"/>
    <mergeCell ref="I23:J23"/>
    <mergeCell ref="K23:L23"/>
    <mergeCell ref="B24:H24"/>
    <mergeCell ref="I24:J24"/>
    <mergeCell ref="K24:L24"/>
    <mergeCell ref="P7:R15"/>
    <mergeCell ref="I8:J8"/>
    <mergeCell ref="K8:L8"/>
    <mergeCell ref="I9:J9"/>
    <mergeCell ref="K9:L9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I11:J11"/>
    <mergeCell ref="K11:L11"/>
    <mergeCell ref="I12:J12"/>
    <mergeCell ref="K12:L12"/>
    <mergeCell ref="I13:J13"/>
    <mergeCell ref="K13:L13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7"/>
  <sheetViews>
    <sheetView topLeftCell="A60" zoomScale="85" zoomScaleNormal="85" workbookViewId="0">
      <selection activeCell="E8" sqref="E8"/>
    </sheetView>
  </sheetViews>
  <sheetFormatPr defaultColWidth="8.886718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886718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45919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33">
        <v>270825</v>
      </c>
      <c r="E7" s="49" t="s">
        <v>121</v>
      </c>
      <c r="F7" s="19">
        <v>430</v>
      </c>
      <c r="G7" s="20">
        <v>0.5</v>
      </c>
      <c r="H7" s="28" t="s">
        <v>55</v>
      </c>
      <c r="I7" s="143">
        <v>2000</v>
      </c>
      <c r="J7" s="144"/>
      <c r="K7" s="143"/>
      <c r="L7" s="144"/>
      <c r="M7" s="30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31">
        <v>225065</v>
      </c>
      <c r="E8" s="41" t="s">
        <v>94</v>
      </c>
      <c r="F8" s="19">
        <v>430</v>
      </c>
      <c r="G8" s="20">
        <v>0.5</v>
      </c>
      <c r="H8" s="28" t="s">
        <v>55</v>
      </c>
      <c r="I8" s="143">
        <v>1300</v>
      </c>
      <c r="J8" s="144"/>
      <c r="K8" s="143"/>
      <c r="L8" s="144"/>
      <c r="M8" s="30">
        <v>60</v>
      </c>
      <c r="N8" s="6" t="s">
        <v>13</v>
      </c>
      <c r="O8" s="21" t="s">
        <v>60</v>
      </c>
      <c r="P8" s="145"/>
      <c r="Q8" s="146"/>
      <c r="R8" s="147"/>
    </row>
    <row r="9" spans="1:18" ht="14.55" customHeight="1" x14ac:dyDescent="0.3">
      <c r="A9" s="141"/>
      <c r="B9" s="5"/>
      <c r="C9" s="5"/>
      <c r="D9" s="31"/>
      <c r="E9" s="32"/>
      <c r="F9" s="19"/>
      <c r="G9" s="20"/>
      <c r="H9" s="28"/>
      <c r="I9" s="143"/>
      <c r="J9" s="144"/>
      <c r="K9" s="143"/>
      <c r="L9" s="144"/>
      <c r="M9" s="30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33"/>
      <c r="E10" s="34"/>
      <c r="F10" s="19"/>
      <c r="G10" s="20"/>
      <c r="H10" s="28"/>
      <c r="I10" s="143"/>
      <c r="J10" s="144"/>
      <c r="K10" s="143"/>
      <c r="L10" s="144"/>
      <c r="M10" s="30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1"/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30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30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30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30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3300</v>
      </c>
      <c r="J15" s="151"/>
      <c r="K15" s="150">
        <f>SUM(K7:L14)</f>
        <v>0</v>
      </c>
      <c r="L15" s="151"/>
      <c r="M15" s="10">
        <f>SUM(M7:M14)</f>
        <v>60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30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66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30"/>
      <c r="N17" s="6" t="s">
        <v>13</v>
      </c>
      <c r="O17" s="21"/>
      <c r="P17" s="145"/>
      <c r="Q17" s="146"/>
      <c r="R17" s="147"/>
    </row>
    <row r="18" spans="1:18" ht="14.55" customHeight="1" x14ac:dyDescent="0.3">
      <c r="A18" s="166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30"/>
      <c r="N18" s="6" t="s">
        <v>13</v>
      </c>
      <c r="O18" s="21"/>
      <c r="P18" s="145"/>
      <c r="Q18" s="146"/>
      <c r="R18" s="147"/>
    </row>
    <row r="19" spans="1:18" ht="14.55" customHeight="1" x14ac:dyDescent="0.3">
      <c r="A19" s="166"/>
      <c r="B19" s="5"/>
      <c r="C19" s="5"/>
      <c r="D19" s="4"/>
      <c r="E19" s="3"/>
      <c r="F19" s="19"/>
      <c r="G19" s="20"/>
      <c r="H19" s="28"/>
      <c r="I19" s="143"/>
      <c r="J19" s="144"/>
      <c r="K19" s="143"/>
      <c r="L19" s="144"/>
      <c r="M19" s="30"/>
      <c r="N19" s="6" t="s">
        <v>13</v>
      </c>
      <c r="O19" s="21"/>
      <c r="P19" s="145"/>
      <c r="Q19" s="146"/>
      <c r="R19" s="147"/>
    </row>
    <row r="20" spans="1:18" ht="14.55" customHeight="1" x14ac:dyDescent="0.3">
      <c r="A20" s="141"/>
      <c r="B20" s="5"/>
      <c r="C20" s="5"/>
      <c r="D20" s="4"/>
      <c r="E20" s="3"/>
      <c r="F20" s="19"/>
      <c r="G20" s="20"/>
      <c r="H20" s="28"/>
      <c r="I20" s="143"/>
      <c r="J20" s="144"/>
      <c r="K20" s="143"/>
      <c r="L20" s="144"/>
      <c r="M20" s="30"/>
      <c r="N20" s="6" t="s">
        <v>13</v>
      </c>
      <c r="O20" s="21"/>
      <c r="P20" s="145"/>
      <c r="Q20" s="146"/>
      <c r="R20" s="147"/>
    </row>
    <row r="21" spans="1:18" ht="14.55" customHeight="1" x14ac:dyDescent="0.3">
      <c r="A21" s="141"/>
      <c r="B21" s="5"/>
      <c r="C21" s="5"/>
      <c r="D21" s="4"/>
      <c r="E21" s="3"/>
      <c r="F21" s="19"/>
      <c r="G21" s="20"/>
      <c r="H21" s="28"/>
      <c r="I21" s="143"/>
      <c r="J21" s="144"/>
      <c r="K21" s="143"/>
      <c r="L21" s="144"/>
      <c r="M21" s="30"/>
      <c r="N21" s="6" t="s">
        <v>13</v>
      </c>
      <c r="O21" s="21"/>
      <c r="P21" s="145"/>
      <c r="Q21" s="146"/>
      <c r="R21" s="147"/>
    </row>
    <row r="22" spans="1:18" ht="14.55" customHeight="1" x14ac:dyDescent="0.3">
      <c r="A22" s="141"/>
      <c r="B22" s="5"/>
      <c r="C22" s="5"/>
      <c r="D22" s="4"/>
      <c r="E22" s="3"/>
      <c r="F22" s="19"/>
      <c r="G22" s="20"/>
      <c r="H22" s="28"/>
      <c r="I22" s="143"/>
      <c r="J22" s="144"/>
      <c r="K22" s="143"/>
      <c r="L22" s="144"/>
      <c r="M22" s="30"/>
      <c r="N22" s="6" t="s">
        <v>13</v>
      </c>
      <c r="O22" s="21"/>
      <c r="P22" s="145"/>
      <c r="Q22" s="146"/>
      <c r="R22" s="147"/>
    </row>
    <row r="23" spans="1:18" ht="14.55" customHeight="1" x14ac:dyDescent="0.3">
      <c r="A23" s="141"/>
      <c r="B23" s="5"/>
      <c r="C23" s="5"/>
      <c r="D23" s="4"/>
      <c r="E23" s="3"/>
      <c r="F23" s="19"/>
      <c r="G23" s="20"/>
      <c r="H23" s="28"/>
      <c r="I23" s="143"/>
      <c r="J23" s="144"/>
      <c r="K23" s="143"/>
      <c r="L23" s="144"/>
      <c r="M23" s="30"/>
      <c r="N23" s="6" t="s">
        <v>13</v>
      </c>
      <c r="O23" s="21"/>
      <c r="P23" s="145"/>
      <c r="Q23" s="146"/>
      <c r="R23" s="147"/>
    </row>
    <row r="24" spans="1:18" ht="14.55" customHeight="1" x14ac:dyDescent="0.3">
      <c r="A24" s="142"/>
      <c r="B24" s="148" t="s">
        <v>0</v>
      </c>
      <c r="C24" s="149"/>
      <c r="D24" s="149"/>
      <c r="E24" s="149"/>
      <c r="F24" s="149"/>
      <c r="G24" s="149"/>
      <c r="H24" s="149"/>
      <c r="I24" s="150">
        <f>SUM(I16:J23)</f>
        <v>0</v>
      </c>
      <c r="J24" s="151"/>
      <c r="K24" s="150">
        <f>SUM(K16:L23)</f>
        <v>0</v>
      </c>
      <c r="L24" s="151"/>
      <c r="M24" s="10">
        <f>SUM(M16:M23)</f>
        <v>0</v>
      </c>
      <c r="N24" s="11" t="s">
        <v>13</v>
      </c>
      <c r="O24" s="9"/>
      <c r="P24" s="145"/>
      <c r="Q24" s="146"/>
      <c r="R24" s="147"/>
    </row>
    <row r="25" spans="1:18" ht="14.55" customHeight="1" x14ac:dyDescent="0.3">
      <c r="D25" s="35"/>
      <c r="E25" s="1"/>
      <c r="F25" s="1"/>
      <c r="G25" s="1"/>
      <c r="H25" s="1"/>
      <c r="M25" s="35"/>
    </row>
    <row r="26" spans="1:18" x14ac:dyDescent="0.3">
      <c r="E26" s="148" t="s">
        <v>16</v>
      </c>
      <c r="F26" s="149"/>
      <c r="G26" s="149"/>
      <c r="H26" s="149"/>
      <c r="I26" s="152" t="s">
        <v>19</v>
      </c>
      <c r="J26" s="153"/>
      <c r="K26" s="152" t="s">
        <v>20</v>
      </c>
      <c r="L26" s="153"/>
    </row>
    <row r="27" spans="1:18" s="36" customFormat="1" x14ac:dyDescent="0.3">
      <c r="E27" s="7"/>
      <c r="F27" s="7"/>
      <c r="G27" s="7"/>
      <c r="H27" s="7"/>
      <c r="I27" s="22">
        <f>I15+I24</f>
        <v>3300</v>
      </c>
      <c r="J27" s="14" t="s">
        <v>12</v>
      </c>
      <c r="K27" s="22">
        <f>K15+K24</f>
        <v>0</v>
      </c>
      <c r="L27" s="15" t="s">
        <v>12</v>
      </c>
    </row>
    <row r="28" spans="1:18" ht="24.45" customHeight="1" x14ac:dyDescent="0.3">
      <c r="E28" s="13"/>
      <c r="F28" s="13"/>
      <c r="G28" s="13"/>
      <c r="H28" s="13"/>
      <c r="I28" s="154">
        <f>I27+K27</f>
        <v>3300</v>
      </c>
      <c r="J28" s="155"/>
      <c r="K28" s="155"/>
      <c r="L28" s="156"/>
    </row>
    <row r="29" spans="1:18" ht="15" customHeight="1" x14ac:dyDescent="0.3">
      <c r="D29" s="35"/>
      <c r="I29" s="35"/>
      <c r="J29" s="35"/>
      <c r="K29" s="23"/>
      <c r="L29" s="23"/>
      <c r="M29" s="23"/>
      <c r="N29" s="23"/>
    </row>
    <row r="30" spans="1:18" s="8" customFormat="1" ht="30" customHeight="1" x14ac:dyDescent="0.3">
      <c r="A30" s="133" t="s">
        <v>22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5"/>
      <c r="L30" s="135"/>
      <c r="M30" s="135"/>
      <c r="N30" s="135"/>
      <c r="O30" s="134"/>
      <c r="P30" s="134"/>
      <c r="Q30" s="134"/>
      <c r="R30" s="136"/>
    </row>
    <row r="31" spans="1:18" s="12" customFormat="1" ht="14.55" customHeight="1" x14ac:dyDescent="0.3">
      <c r="A31" s="128" t="s">
        <v>1</v>
      </c>
      <c r="B31" s="137" t="s">
        <v>2</v>
      </c>
      <c r="C31" s="137" t="s">
        <v>3</v>
      </c>
      <c r="D31" s="137" t="s">
        <v>4</v>
      </c>
      <c r="E31" s="124" t="s">
        <v>5</v>
      </c>
      <c r="F31" s="138" t="s">
        <v>14</v>
      </c>
      <c r="G31" s="138" t="s">
        <v>15</v>
      </c>
      <c r="H31" s="119" t="s">
        <v>27</v>
      </c>
      <c r="I31" s="121" t="s">
        <v>6</v>
      </c>
      <c r="J31" s="122"/>
      <c r="K31" s="122"/>
      <c r="L31" s="123"/>
      <c r="M31" s="124" t="s">
        <v>7</v>
      </c>
      <c r="N31" s="125"/>
      <c r="O31" s="128" t="s">
        <v>8</v>
      </c>
      <c r="P31" s="128" t="s">
        <v>9</v>
      </c>
      <c r="Q31" s="128"/>
      <c r="R31" s="128"/>
    </row>
    <row r="32" spans="1:18" s="12" customFormat="1" ht="13.05" customHeight="1" x14ac:dyDescent="0.3">
      <c r="A32" s="128"/>
      <c r="B32" s="137"/>
      <c r="C32" s="137"/>
      <c r="D32" s="137"/>
      <c r="E32" s="126"/>
      <c r="F32" s="139"/>
      <c r="G32" s="139"/>
      <c r="H32" s="120"/>
      <c r="I32" s="121" t="s">
        <v>23</v>
      </c>
      <c r="J32" s="123"/>
      <c r="K32" s="121" t="s">
        <v>11</v>
      </c>
      <c r="L32" s="123"/>
      <c r="M32" s="126"/>
      <c r="N32" s="127"/>
      <c r="O32" s="128"/>
      <c r="P32" s="128"/>
      <c r="Q32" s="128"/>
      <c r="R32" s="128"/>
    </row>
    <row r="33" spans="1:18" ht="14.55" customHeight="1" x14ac:dyDescent="0.3">
      <c r="A33" s="140" t="s">
        <v>28</v>
      </c>
      <c r="B33" s="5">
        <v>0.33333333333333331</v>
      </c>
      <c r="C33" s="5"/>
      <c r="D33" s="44">
        <v>250048</v>
      </c>
      <c r="E33" s="43" t="s">
        <v>102</v>
      </c>
      <c r="F33" s="19">
        <v>304</v>
      </c>
      <c r="G33" s="20">
        <v>0.7</v>
      </c>
      <c r="H33" s="28" t="s">
        <v>96</v>
      </c>
      <c r="I33" s="143">
        <v>550</v>
      </c>
      <c r="J33" s="144"/>
      <c r="K33" s="143"/>
      <c r="L33" s="144"/>
      <c r="M33" s="30"/>
      <c r="N33" s="6" t="s">
        <v>13</v>
      </c>
      <c r="O33" s="21"/>
      <c r="P33" s="145" t="s">
        <v>93</v>
      </c>
      <c r="Q33" s="169"/>
      <c r="R33" s="170"/>
    </row>
    <row r="34" spans="1:18" ht="14.55" customHeight="1" x14ac:dyDescent="0.3">
      <c r="A34" s="141"/>
      <c r="B34" s="5"/>
      <c r="C34" s="5">
        <v>0.70833333333333337</v>
      </c>
      <c r="D34" s="44">
        <v>250048</v>
      </c>
      <c r="E34" s="43" t="s">
        <v>101</v>
      </c>
      <c r="F34" s="19">
        <v>304</v>
      </c>
      <c r="G34" s="20">
        <v>0.7</v>
      </c>
      <c r="H34" s="28" t="s">
        <v>96</v>
      </c>
      <c r="I34" s="143">
        <v>250</v>
      </c>
      <c r="J34" s="144"/>
      <c r="K34" s="143"/>
      <c r="L34" s="144"/>
      <c r="M34" s="30"/>
      <c r="N34" s="6" t="s">
        <v>13</v>
      </c>
      <c r="O34" s="21"/>
      <c r="P34" s="168"/>
      <c r="Q34" s="169"/>
      <c r="R34" s="170"/>
    </row>
    <row r="35" spans="1:18" ht="14.55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30"/>
      <c r="N35" s="6" t="s">
        <v>13</v>
      </c>
      <c r="O35" s="21"/>
      <c r="P35" s="168"/>
      <c r="Q35" s="169"/>
      <c r="R35" s="170"/>
    </row>
    <row r="36" spans="1:18" ht="14.55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30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30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2"/>
      <c r="B38" s="148" t="s">
        <v>0</v>
      </c>
      <c r="C38" s="149"/>
      <c r="D38" s="149"/>
      <c r="E38" s="149"/>
      <c r="F38" s="149"/>
      <c r="G38" s="149"/>
      <c r="H38" s="149"/>
      <c r="I38" s="150">
        <f>SUM(I33:J37)</f>
        <v>800</v>
      </c>
      <c r="J38" s="151"/>
      <c r="K38" s="150">
        <f>SUM(K33:L37)</f>
        <v>0</v>
      </c>
      <c r="L38" s="151"/>
      <c r="M38" s="10">
        <f>SUM(M33:M37)</f>
        <v>0</v>
      </c>
      <c r="N38" s="11" t="s">
        <v>13</v>
      </c>
      <c r="O38" s="9"/>
      <c r="P38" s="168"/>
      <c r="Q38" s="169"/>
      <c r="R38" s="170"/>
    </row>
    <row r="39" spans="1:18" ht="14.55" customHeight="1" x14ac:dyDescent="0.3">
      <c r="A39" s="140" t="s">
        <v>24</v>
      </c>
      <c r="B39" s="5">
        <v>0.33333333333333331</v>
      </c>
      <c r="C39" s="5"/>
      <c r="D39" s="44">
        <v>250062</v>
      </c>
      <c r="E39" s="43" t="s">
        <v>77</v>
      </c>
      <c r="F39" s="19">
        <v>304</v>
      </c>
      <c r="G39" s="20">
        <v>0.6</v>
      </c>
      <c r="H39" s="28" t="s">
        <v>99</v>
      </c>
      <c r="I39" s="143">
        <v>500</v>
      </c>
      <c r="J39" s="144"/>
      <c r="K39" s="143"/>
      <c r="L39" s="144"/>
      <c r="M39" s="30"/>
      <c r="N39" s="6" t="s">
        <v>13</v>
      </c>
      <c r="O39" s="21"/>
      <c r="P39" s="168" t="s">
        <v>51</v>
      </c>
      <c r="Q39" s="169"/>
      <c r="R39" s="170"/>
    </row>
    <row r="40" spans="1:18" ht="14.55" customHeight="1" x14ac:dyDescent="0.3">
      <c r="A40" s="141"/>
      <c r="B40" s="5"/>
      <c r="C40" s="5">
        <v>0.70833333333333337</v>
      </c>
      <c r="D40" s="42"/>
      <c r="E40" s="3" t="s">
        <v>100</v>
      </c>
      <c r="F40" s="19">
        <v>304</v>
      </c>
      <c r="G40" s="20">
        <v>0.7</v>
      </c>
      <c r="H40" s="28" t="s">
        <v>99</v>
      </c>
      <c r="I40" s="143">
        <v>650</v>
      </c>
      <c r="J40" s="144"/>
      <c r="K40" s="143"/>
      <c r="L40" s="144"/>
      <c r="M40" s="30"/>
      <c r="N40" s="6" t="s">
        <v>13</v>
      </c>
      <c r="O40" s="21"/>
      <c r="P40" s="168"/>
      <c r="Q40" s="169"/>
      <c r="R40" s="170"/>
    </row>
    <row r="41" spans="1:18" ht="14.55" hidden="1" customHeight="1" x14ac:dyDescent="0.3">
      <c r="A41" s="141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30"/>
      <c r="N41" s="6" t="s">
        <v>13</v>
      </c>
      <c r="O41" s="21"/>
      <c r="P41" s="168"/>
      <c r="Q41" s="169"/>
      <c r="R41" s="170"/>
    </row>
    <row r="42" spans="1:18" ht="14.55" hidden="1" customHeight="1" x14ac:dyDescent="0.3">
      <c r="A42" s="141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30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41"/>
      <c r="B43" s="5"/>
      <c r="C43" s="5"/>
      <c r="D43" s="4"/>
      <c r="E43" s="3"/>
      <c r="F43" s="19"/>
      <c r="G43" s="20"/>
      <c r="H43" s="28"/>
      <c r="I43" s="143"/>
      <c r="J43" s="144"/>
      <c r="K43" s="143"/>
      <c r="L43" s="144"/>
      <c r="M43" s="30"/>
      <c r="N43" s="6" t="s">
        <v>13</v>
      </c>
      <c r="O43" s="21"/>
      <c r="P43" s="168"/>
      <c r="Q43" s="169"/>
      <c r="R43" s="170"/>
    </row>
    <row r="44" spans="1:18" ht="14.55" customHeight="1" x14ac:dyDescent="0.3">
      <c r="A44" s="142"/>
      <c r="B44" s="148" t="s">
        <v>0</v>
      </c>
      <c r="C44" s="149"/>
      <c r="D44" s="149"/>
      <c r="E44" s="149"/>
      <c r="F44" s="149"/>
      <c r="G44" s="149"/>
      <c r="H44" s="149"/>
      <c r="I44" s="150">
        <f>SUM(I39:J43)</f>
        <v>1150</v>
      </c>
      <c r="J44" s="151"/>
      <c r="K44" s="150">
        <f>SUM(K39:L43)</f>
        <v>0</v>
      </c>
      <c r="L44" s="151"/>
      <c r="M44" s="10">
        <f>SUM(M39:M43)</f>
        <v>0</v>
      </c>
      <c r="N44" s="11" t="s">
        <v>13</v>
      </c>
      <c r="O44" s="9"/>
      <c r="P44" s="168"/>
      <c r="Q44" s="169"/>
      <c r="R44" s="170"/>
    </row>
    <row r="45" spans="1:18" ht="14.55" customHeight="1" x14ac:dyDescent="0.3">
      <c r="A45" s="140" t="s">
        <v>25</v>
      </c>
      <c r="B45" s="5">
        <v>0.33333333333333331</v>
      </c>
      <c r="C45" s="5"/>
      <c r="D45" s="44">
        <v>250044</v>
      </c>
      <c r="E45" s="43" t="s">
        <v>95</v>
      </c>
      <c r="F45" s="19">
        <v>304</v>
      </c>
      <c r="G45" s="20">
        <v>0.7</v>
      </c>
      <c r="H45" s="28" t="s">
        <v>96</v>
      </c>
      <c r="I45" s="143"/>
      <c r="J45" s="144"/>
      <c r="K45" s="143">
        <v>550</v>
      </c>
      <c r="L45" s="144"/>
      <c r="M45" s="30"/>
      <c r="N45" s="6" t="s">
        <v>13</v>
      </c>
      <c r="O45" s="21"/>
      <c r="P45" s="145" t="s">
        <v>98</v>
      </c>
      <c r="Q45" s="169"/>
      <c r="R45" s="170"/>
    </row>
    <row r="46" spans="1:18" ht="14.55" hidden="1" customHeight="1" x14ac:dyDescent="0.3">
      <c r="A46" s="141"/>
      <c r="B46" s="5"/>
      <c r="C46" s="5"/>
      <c r="D46" s="45"/>
      <c r="E46" s="46"/>
      <c r="F46" s="19"/>
      <c r="G46" s="20"/>
      <c r="H46" s="28"/>
      <c r="I46" s="143"/>
      <c r="J46" s="144"/>
      <c r="K46" s="143"/>
      <c r="L46" s="144"/>
      <c r="M46" s="30"/>
      <c r="N46" s="6" t="s">
        <v>13</v>
      </c>
      <c r="O46" s="21"/>
      <c r="P46" s="168"/>
      <c r="Q46" s="169"/>
      <c r="R46" s="170"/>
    </row>
    <row r="47" spans="1:18" ht="14.55" hidden="1" customHeight="1" x14ac:dyDescent="0.3">
      <c r="A47" s="141"/>
      <c r="B47" s="5"/>
      <c r="C47" s="5"/>
      <c r="D47" s="45"/>
      <c r="E47" s="46"/>
      <c r="F47" s="19"/>
      <c r="G47" s="20"/>
      <c r="H47" s="28"/>
      <c r="I47" s="143"/>
      <c r="J47" s="144"/>
      <c r="K47" s="143"/>
      <c r="L47" s="144"/>
      <c r="M47" s="30"/>
      <c r="N47" s="6" t="s">
        <v>13</v>
      </c>
      <c r="O47" s="21"/>
      <c r="P47" s="168"/>
      <c r="Q47" s="169"/>
      <c r="R47" s="170"/>
    </row>
    <row r="48" spans="1:18" ht="14.55" customHeight="1" x14ac:dyDescent="0.3">
      <c r="A48" s="141"/>
      <c r="B48" s="5"/>
      <c r="C48" s="5">
        <v>0.70833333333333337</v>
      </c>
      <c r="D48" s="44">
        <v>250044</v>
      </c>
      <c r="E48" s="43" t="s">
        <v>97</v>
      </c>
      <c r="F48" s="19">
        <v>304</v>
      </c>
      <c r="G48" s="20">
        <v>0.7</v>
      </c>
      <c r="H48" s="28" t="s">
        <v>96</v>
      </c>
      <c r="I48" s="143"/>
      <c r="J48" s="144"/>
      <c r="K48" s="143">
        <v>550</v>
      </c>
      <c r="L48" s="144"/>
      <c r="M48" s="30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41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30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42"/>
      <c r="B50" s="148" t="s">
        <v>0</v>
      </c>
      <c r="C50" s="149"/>
      <c r="D50" s="149"/>
      <c r="E50" s="149"/>
      <c r="F50" s="149"/>
      <c r="G50" s="149"/>
      <c r="H50" s="149"/>
      <c r="I50" s="150">
        <f>SUM(I45:J49)</f>
        <v>0</v>
      </c>
      <c r="J50" s="151"/>
      <c r="K50" s="150">
        <f>SUM(K45:L49)</f>
        <v>1100</v>
      </c>
      <c r="L50" s="151"/>
      <c r="M50" s="10">
        <f>SUM(M45:M49)</f>
        <v>0</v>
      </c>
      <c r="N50" s="11" t="s">
        <v>13</v>
      </c>
      <c r="O50" s="9"/>
      <c r="P50" s="168"/>
      <c r="Q50" s="169"/>
      <c r="R50" s="170"/>
    </row>
    <row r="52" spans="1:18" x14ac:dyDescent="0.3">
      <c r="E52" s="148" t="s">
        <v>26</v>
      </c>
      <c r="F52" s="149"/>
      <c r="G52" s="149"/>
      <c r="H52" s="149"/>
      <c r="I52" s="152" t="s">
        <v>23</v>
      </c>
      <c r="J52" s="153"/>
      <c r="K52" s="152" t="s">
        <v>11</v>
      </c>
      <c r="L52" s="153"/>
    </row>
    <row r="53" spans="1:18" s="36" customFormat="1" x14ac:dyDescent="0.3">
      <c r="E53" s="7"/>
      <c r="F53" s="7"/>
      <c r="G53" s="7"/>
      <c r="H53" s="7"/>
      <c r="I53" s="22">
        <f>I44+I50</f>
        <v>1150</v>
      </c>
      <c r="J53" s="14" t="s">
        <v>12</v>
      </c>
      <c r="K53" s="22">
        <f>K44+K50</f>
        <v>1100</v>
      </c>
      <c r="L53" s="15" t="s">
        <v>12</v>
      </c>
    </row>
    <row r="54" spans="1:18" ht="24.45" customHeight="1" x14ac:dyDescent="0.3">
      <c r="E54" s="13"/>
      <c r="F54" s="13"/>
      <c r="G54" s="13"/>
      <c r="H54" s="13"/>
      <c r="I54" s="154">
        <f>I53+K53</f>
        <v>2250</v>
      </c>
      <c r="J54" s="155"/>
      <c r="K54" s="155"/>
      <c r="L54" s="156"/>
    </row>
    <row r="55" spans="1:18" x14ac:dyDescent="0.3">
      <c r="K55" s="25"/>
      <c r="L55" s="25"/>
      <c r="M55" s="25"/>
      <c r="N55" s="23"/>
    </row>
    <row r="56" spans="1:18" s="8" customFormat="1" ht="30" customHeight="1" x14ac:dyDescent="0.3">
      <c r="A56" s="133" t="s">
        <v>36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5"/>
      <c r="L56" s="135"/>
      <c r="M56" s="135"/>
      <c r="N56" s="135"/>
      <c r="O56" s="134"/>
      <c r="P56" s="134"/>
      <c r="Q56" s="134"/>
      <c r="R56" s="136"/>
    </row>
    <row r="57" spans="1:18" s="12" customFormat="1" ht="14.55" customHeight="1" x14ac:dyDescent="0.3">
      <c r="A57" s="128" t="s">
        <v>1</v>
      </c>
      <c r="B57" s="137" t="s">
        <v>2</v>
      </c>
      <c r="C57" s="137" t="s">
        <v>3</v>
      </c>
      <c r="D57" s="137" t="s">
        <v>4</v>
      </c>
      <c r="E57" s="124" t="s">
        <v>5</v>
      </c>
      <c r="F57" s="138" t="s">
        <v>14</v>
      </c>
      <c r="G57" s="138" t="s">
        <v>15</v>
      </c>
      <c r="H57" s="119" t="s">
        <v>29</v>
      </c>
      <c r="I57" s="121" t="s">
        <v>6</v>
      </c>
      <c r="J57" s="122"/>
      <c r="K57" s="122"/>
      <c r="L57" s="123"/>
      <c r="M57" s="124" t="s">
        <v>7</v>
      </c>
      <c r="N57" s="125"/>
      <c r="O57" s="128" t="s">
        <v>8</v>
      </c>
      <c r="P57" s="128" t="s">
        <v>9</v>
      </c>
      <c r="Q57" s="128"/>
      <c r="R57" s="128"/>
    </row>
    <row r="58" spans="1:18" s="12" customFormat="1" ht="13.05" customHeight="1" x14ac:dyDescent="0.3">
      <c r="A58" s="128"/>
      <c r="B58" s="137"/>
      <c r="C58" s="137"/>
      <c r="D58" s="137"/>
      <c r="E58" s="126"/>
      <c r="F58" s="139"/>
      <c r="G58" s="139"/>
      <c r="H58" s="120"/>
      <c r="I58" s="121" t="s">
        <v>19</v>
      </c>
      <c r="J58" s="123"/>
      <c r="K58" s="121" t="s">
        <v>20</v>
      </c>
      <c r="L58" s="123"/>
      <c r="M58" s="126"/>
      <c r="N58" s="127"/>
      <c r="O58" s="128"/>
      <c r="P58" s="128"/>
      <c r="Q58" s="128"/>
      <c r="R58" s="128"/>
    </row>
    <row r="59" spans="1:18" ht="14.55" customHeight="1" x14ac:dyDescent="0.3">
      <c r="A59" s="140" t="s">
        <v>37</v>
      </c>
      <c r="B59" s="5">
        <v>0.33333333333333331</v>
      </c>
      <c r="C59" s="5"/>
      <c r="D59" s="4">
        <v>250066</v>
      </c>
      <c r="E59" s="3" t="s">
        <v>87</v>
      </c>
      <c r="F59" s="19">
        <v>430</v>
      </c>
      <c r="G59" s="20">
        <v>0.5</v>
      </c>
      <c r="H59" s="48" t="s">
        <v>109</v>
      </c>
      <c r="I59" s="143">
        <v>160</v>
      </c>
      <c r="J59" s="144"/>
      <c r="K59" s="143"/>
      <c r="L59" s="144"/>
      <c r="M59" s="30"/>
      <c r="N59" s="6" t="s">
        <v>13</v>
      </c>
      <c r="O59" s="21"/>
      <c r="P59" s="173" t="s">
        <v>116</v>
      </c>
      <c r="Q59" s="174"/>
      <c r="R59" s="175"/>
    </row>
    <row r="60" spans="1:18" ht="14.55" customHeight="1" x14ac:dyDescent="0.3">
      <c r="A60" s="166"/>
      <c r="B60" s="5"/>
      <c r="C60" s="5"/>
      <c r="D60" s="4">
        <v>250065</v>
      </c>
      <c r="E60" s="3" t="s">
        <v>103</v>
      </c>
      <c r="F60" s="19">
        <v>430</v>
      </c>
      <c r="G60" s="20">
        <v>0.5</v>
      </c>
      <c r="H60" s="48" t="s">
        <v>109</v>
      </c>
      <c r="I60" s="143">
        <v>519</v>
      </c>
      <c r="J60" s="144"/>
      <c r="K60" s="143"/>
      <c r="L60" s="144"/>
      <c r="M60" s="30"/>
      <c r="N60" s="6" t="s">
        <v>13</v>
      </c>
      <c r="O60" s="21"/>
      <c r="P60" s="176"/>
      <c r="Q60" s="177"/>
      <c r="R60" s="178"/>
    </row>
    <row r="61" spans="1:18" ht="14.55" customHeight="1" x14ac:dyDescent="0.3">
      <c r="A61" s="166"/>
      <c r="B61" s="5"/>
      <c r="C61" s="5"/>
      <c r="D61" s="4">
        <v>250066</v>
      </c>
      <c r="E61" s="3" t="s">
        <v>87</v>
      </c>
      <c r="F61" s="19">
        <v>430</v>
      </c>
      <c r="G61" s="20">
        <v>0.5</v>
      </c>
      <c r="H61" s="48" t="s">
        <v>109</v>
      </c>
      <c r="I61" s="143">
        <v>807</v>
      </c>
      <c r="J61" s="144"/>
      <c r="K61" s="143"/>
      <c r="L61" s="144"/>
      <c r="M61" s="30"/>
      <c r="N61" s="6" t="s">
        <v>13</v>
      </c>
      <c r="O61" s="21"/>
      <c r="P61" s="176"/>
      <c r="Q61" s="177"/>
      <c r="R61" s="178"/>
    </row>
    <row r="62" spans="1:18" ht="14.55" customHeight="1" x14ac:dyDescent="0.3">
      <c r="A62" s="166"/>
      <c r="B62" s="5"/>
      <c r="C62" s="5"/>
      <c r="D62" s="4">
        <v>250067</v>
      </c>
      <c r="E62" s="3" t="s">
        <v>104</v>
      </c>
      <c r="F62" s="19">
        <v>430</v>
      </c>
      <c r="G62" s="20">
        <v>0.5</v>
      </c>
      <c r="H62" s="48" t="s">
        <v>109</v>
      </c>
      <c r="I62" s="143">
        <v>500</v>
      </c>
      <c r="J62" s="144"/>
      <c r="K62" s="143"/>
      <c r="L62" s="144"/>
      <c r="M62" s="30"/>
      <c r="N62" s="6" t="s">
        <v>13</v>
      </c>
      <c r="O62" s="21"/>
      <c r="P62" s="176"/>
      <c r="Q62" s="177"/>
      <c r="R62" s="178"/>
    </row>
    <row r="63" spans="1:18" ht="14.55" customHeight="1" x14ac:dyDescent="0.3">
      <c r="A63" s="166"/>
      <c r="B63" s="5"/>
      <c r="C63" s="5"/>
      <c r="D63" s="4">
        <v>250054</v>
      </c>
      <c r="E63" s="3" t="s">
        <v>105</v>
      </c>
      <c r="F63" s="19">
        <v>304</v>
      </c>
      <c r="G63" s="20"/>
      <c r="H63" s="48" t="s">
        <v>109</v>
      </c>
      <c r="I63" s="143">
        <v>820</v>
      </c>
      <c r="J63" s="144"/>
      <c r="K63" s="143"/>
      <c r="L63" s="144"/>
      <c r="M63" s="30"/>
      <c r="N63" s="6" t="s">
        <v>13</v>
      </c>
      <c r="O63" s="21"/>
      <c r="P63" s="176"/>
      <c r="Q63" s="177"/>
      <c r="R63" s="178"/>
    </row>
    <row r="64" spans="1:18" ht="14.55" customHeight="1" x14ac:dyDescent="0.3">
      <c r="A64" s="166"/>
      <c r="B64" s="5"/>
      <c r="C64" s="5"/>
      <c r="D64" s="4">
        <v>250067</v>
      </c>
      <c r="E64" s="3" t="s">
        <v>106</v>
      </c>
      <c r="F64" s="19">
        <v>430</v>
      </c>
      <c r="G64" s="20">
        <v>0.5</v>
      </c>
      <c r="H64" s="47" t="s">
        <v>110</v>
      </c>
      <c r="I64" s="143">
        <v>1442</v>
      </c>
      <c r="J64" s="144"/>
      <c r="K64" s="143"/>
      <c r="L64" s="144"/>
      <c r="M64" s="30"/>
      <c r="N64" s="6" t="s">
        <v>13</v>
      </c>
      <c r="O64" s="21"/>
      <c r="P64" s="176"/>
      <c r="Q64" s="177"/>
      <c r="R64" s="178"/>
    </row>
    <row r="65" spans="1:18" ht="14.55" customHeight="1" x14ac:dyDescent="0.3">
      <c r="A65" s="166"/>
      <c r="B65" s="5"/>
      <c r="C65" s="5"/>
      <c r="D65" s="4">
        <v>250063</v>
      </c>
      <c r="E65" s="3" t="s">
        <v>107</v>
      </c>
      <c r="F65" s="19">
        <v>430</v>
      </c>
      <c r="G65" s="20">
        <v>0.5</v>
      </c>
      <c r="H65" s="47" t="s">
        <v>110</v>
      </c>
      <c r="I65" s="143">
        <v>1223</v>
      </c>
      <c r="J65" s="144"/>
      <c r="K65" s="143"/>
      <c r="L65" s="144"/>
      <c r="M65" s="30"/>
      <c r="N65" s="6" t="s">
        <v>13</v>
      </c>
      <c r="O65" s="21"/>
      <c r="P65" s="176"/>
      <c r="Q65" s="177"/>
      <c r="R65" s="178"/>
    </row>
    <row r="66" spans="1:18" ht="14.55" customHeight="1" x14ac:dyDescent="0.3">
      <c r="A66" s="166"/>
      <c r="B66" s="5"/>
      <c r="C66" s="5">
        <v>0.70833333333333337</v>
      </c>
      <c r="D66" s="4">
        <v>250063</v>
      </c>
      <c r="E66" s="3" t="s">
        <v>108</v>
      </c>
      <c r="F66" s="19">
        <v>430</v>
      </c>
      <c r="G66" s="20">
        <v>0.5</v>
      </c>
      <c r="H66" s="47" t="s">
        <v>110</v>
      </c>
      <c r="I66" s="143">
        <v>560</v>
      </c>
      <c r="J66" s="144"/>
      <c r="K66" s="143"/>
      <c r="L66" s="144"/>
      <c r="M66" s="30"/>
      <c r="N66" s="6" t="s">
        <v>13</v>
      </c>
      <c r="O66" s="21"/>
      <c r="P66" s="176"/>
      <c r="Q66" s="177"/>
      <c r="R66" s="178"/>
    </row>
    <row r="67" spans="1:18" ht="14.55" customHeight="1" x14ac:dyDescent="0.3">
      <c r="A67" s="166"/>
      <c r="B67" s="5">
        <v>0.70833333333333337</v>
      </c>
      <c r="C67" s="5"/>
      <c r="D67" s="4">
        <v>250067</v>
      </c>
      <c r="E67" s="3" t="s">
        <v>111</v>
      </c>
      <c r="F67" s="19">
        <v>430</v>
      </c>
      <c r="G67" s="20">
        <v>0.5</v>
      </c>
      <c r="H67" s="47" t="s">
        <v>109</v>
      </c>
      <c r="I67" s="143">
        <v>500</v>
      </c>
      <c r="J67" s="144"/>
      <c r="K67" s="143"/>
      <c r="L67" s="144"/>
      <c r="M67" s="30"/>
      <c r="N67" s="6" t="s">
        <v>13</v>
      </c>
      <c r="O67" s="21"/>
      <c r="P67" s="176"/>
      <c r="Q67" s="177"/>
      <c r="R67" s="178"/>
    </row>
    <row r="68" spans="1:18" ht="14.55" customHeight="1" x14ac:dyDescent="0.3">
      <c r="A68" s="166"/>
      <c r="B68" s="5"/>
      <c r="C68" s="5"/>
      <c r="D68" s="4">
        <v>250067</v>
      </c>
      <c r="E68" s="3" t="s">
        <v>112</v>
      </c>
      <c r="F68" s="19">
        <v>430</v>
      </c>
      <c r="G68" s="20">
        <v>0.5</v>
      </c>
      <c r="H68" s="47" t="s">
        <v>109</v>
      </c>
      <c r="I68" s="143">
        <v>960</v>
      </c>
      <c r="J68" s="144"/>
      <c r="K68" s="143"/>
      <c r="L68" s="144"/>
      <c r="M68" s="30"/>
      <c r="N68" s="6" t="s">
        <v>13</v>
      </c>
      <c r="O68" s="21"/>
      <c r="P68" s="176"/>
      <c r="Q68" s="177"/>
      <c r="R68" s="178"/>
    </row>
    <row r="69" spans="1:18" ht="14.55" customHeight="1" x14ac:dyDescent="0.3">
      <c r="A69" s="166"/>
      <c r="B69" s="5"/>
      <c r="C69" s="5"/>
      <c r="D69" s="4">
        <v>250064</v>
      </c>
      <c r="E69" s="3" t="s">
        <v>113</v>
      </c>
      <c r="F69" s="19">
        <v>430</v>
      </c>
      <c r="G69" s="20">
        <v>0.5</v>
      </c>
      <c r="H69" s="47" t="s">
        <v>110</v>
      </c>
      <c r="I69" s="143">
        <v>1788</v>
      </c>
      <c r="J69" s="144"/>
      <c r="K69" s="143"/>
      <c r="L69" s="144"/>
      <c r="M69" s="30"/>
      <c r="N69" s="6" t="s">
        <v>13</v>
      </c>
      <c r="O69" s="21"/>
      <c r="P69" s="176"/>
      <c r="Q69" s="177"/>
      <c r="R69" s="178"/>
    </row>
    <row r="70" spans="1:18" ht="14.55" customHeight="1" x14ac:dyDescent="0.3">
      <c r="A70" s="166"/>
      <c r="B70" s="5"/>
      <c r="C70" s="5"/>
      <c r="D70" s="4">
        <v>250064</v>
      </c>
      <c r="E70" s="3" t="s">
        <v>114</v>
      </c>
      <c r="F70" s="19">
        <v>430</v>
      </c>
      <c r="G70" s="20">
        <v>0.5</v>
      </c>
      <c r="H70" s="47" t="s">
        <v>110</v>
      </c>
      <c r="I70" s="143">
        <v>315</v>
      </c>
      <c r="J70" s="144"/>
      <c r="K70" s="143"/>
      <c r="L70" s="144"/>
      <c r="M70" s="30"/>
      <c r="N70" s="6" t="s">
        <v>13</v>
      </c>
      <c r="O70" s="21"/>
      <c r="P70" s="176"/>
      <c r="Q70" s="177"/>
      <c r="R70" s="178"/>
    </row>
    <row r="71" spans="1:18" ht="14.55" customHeight="1" x14ac:dyDescent="0.3">
      <c r="A71" s="166"/>
      <c r="B71" s="5"/>
      <c r="C71" s="5">
        <v>0.875</v>
      </c>
      <c r="D71" s="4">
        <v>250064</v>
      </c>
      <c r="E71" s="3" t="s">
        <v>115</v>
      </c>
      <c r="F71" s="19">
        <v>430</v>
      </c>
      <c r="G71" s="20">
        <v>0.5</v>
      </c>
      <c r="H71" s="47" t="s">
        <v>110</v>
      </c>
      <c r="I71" s="143">
        <v>468</v>
      </c>
      <c r="J71" s="144"/>
      <c r="K71" s="143"/>
      <c r="L71" s="144"/>
      <c r="M71" s="30"/>
      <c r="N71" s="6" t="s">
        <v>13</v>
      </c>
      <c r="O71" s="21"/>
      <c r="P71" s="176"/>
      <c r="Q71" s="177"/>
      <c r="R71" s="178"/>
    </row>
    <row r="72" spans="1:18" ht="14.55" customHeight="1" x14ac:dyDescent="0.3">
      <c r="A72" s="166"/>
      <c r="B72" s="5"/>
      <c r="C72" s="5"/>
      <c r="D72" s="4"/>
      <c r="E72" s="3"/>
      <c r="F72" s="19"/>
      <c r="G72" s="20"/>
      <c r="H72" s="28"/>
      <c r="I72" s="143"/>
      <c r="J72" s="144"/>
      <c r="K72" s="143"/>
      <c r="L72" s="144"/>
      <c r="M72" s="30"/>
      <c r="N72" s="6" t="s">
        <v>13</v>
      </c>
      <c r="O72" s="21"/>
      <c r="P72" s="176"/>
      <c r="Q72" s="177"/>
      <c r="R72" s="178"/>
    </row>
    <row r="73" spans="1:18" ht="14.55" customHeight="1" x14ac:dyDescent="0.3">
      <c r="A73" s="166"/>
      <c r="B73" s="5"/>
      <c r="C73" s="5"/>
      <c r="D73" s="4"/>
      <c r="E73" s="3"/>
      <c r="F73" s="19"/>
      <c r="G73" s="20"/>
      <c r="H73" s="28"/>
      <c r="I73" s="143"/>
      <c r="J73" s="144"/>
      <c r="K73" s="143"/>
      <c r="L73" s="144"/>
      <c r="M73" s="30"/>
      <c r="N73" s="6" t="s">
        <v>13</v>
      </c>
      <c r="O73" s="21"/>
      <c r="P73" s="176"/>
      <c r="Q73" s="177"/>
      <c r="R73" s="178"/>
    </row>
    <row r="74" spans="1:18" ht="14.55" customHeight="1" x14ac:dyDescent="0.3">
      <c r="A74" s="167"/>
      <c r="B74" s="148" t="s">
        <v>0</v>
      </c>
      <c r="C74" s="149"/>
      <c r="D74" s="149"/>
      <c r="E74" s="149"/>
      <c r="F74" s="149"/>
      <c r="G74" s="149"/>
      <c r="H74" s="149"/>
      <c r="I74" s="150">
        <f>SUM(I59:J73)</f>
        <v>10062</v>
      </c>
      <c r="J74" s="151"/>
      <c r="K74" s="150">
        <f>SUM(K59:L73)</f>
        <v>0</v>
      </c>
      <c r="L74" s="151"/>
      <c r="M74" s="10">
        <f>SUM(M69:M73)</f>
        <v>0</v>
      </c>
      <c r="N74" s="11" t="s">
        <v>13</v>
      </c>
      <c r="O74" s="9"/>
      <c r="P74" s="179"/>
      <c r="Q74" s="180"/>
      <c r="R74" s="181"/>
    </row>
    <row r="75" spans="1:18" ht="14.55" customHeight="1" x14ac:dyDescent="0.3">
      <c r="D75" s="35"/>
      <c r="E75" s="1"/>
      <c r="F75" s="1"/>
      <c r="G75" s="1"/>
      <c r="H75" s="1"/>
      <c r="M75" s="35"/>
    </row>
    <row r="76" spans="1:18" x14ac:dyDescent="0.3">
      <c r="E76" s="148" t="s">
        <v>33</v>
      </c>
      <c r="F76" s="149"/>
      <c r="G76" s="149"/>
      <c r="H76" s="149"/>
      <c r="I76" s="152" t="s">
        <v>19</v>
      </c>
      <c r="J76" s="153"/>
      <c r="K76" s="152" t="s">
        <v>20</v>
      </c>
      <c r="L76" s="153"/>
    </row>
    <row r="77" spans="1:18" s="36" customFormat="1" x14ac:dyDescent="0.3">
      <c r="E77" s="7"/>
      <c r="F77" s="7"/>
      <c r="G77" s="7"/>
      <c r="H77" s="7"/>
      <c r="I77" s="22">
        <f>I74</f>
        <v>10062</v>
      </c>
      <c r="J77" s="14" t="s">
        <v>12</v>
      </c>
      <c r="K77" s="22">
        <f>K74</f>
        <v>0</v>
      </c>
      <c r="L77" s="15" t="s">
        <v>12</v>
      </c>
    </row>
    <row r="78" spans="1:18" ht="24.45" customHeight="1" x14ac:dyDescent="0.3">
      <c r="E78" s="13"/>
      <c r="F78" s="13"/>
      <c r="G78" s="13"/>
      <c r="H78" s="13"/>
      <c r="I78" s="154">
        <f>I77+K77</f>
        <v>10062</v>
      </c>
      <c r="J78" s="155"/>
      <c r="K78" s="155"/>
      <c r="L78" s="156"/>
    </row>
    <row r="80" spans="1:18" s="8" customFormat="1" ht="30" customHeight="1" x14ac:dyDescent="0.3">
      <c r="A80" s="133" t="s">
        <v>30</v>
      </c>
      <c r="B80" s="134"/>
      <c r="C80" s="134"/>
      <c r="D80" s="134"/>
      <c r="E80" s="134"/>
      <c r="F80" s="134"/>
      <c r="G80" s="134"/>
      <c r="H80" s="134"/>
      <c r="I80" s="134"/>
      <c r="J80" s="134"/>
      <c r="K80" s="135"/>
      <c r="L80" s="135"/>
      <c r="M80" s="135"/>
      <c r="N80" s="135"/>
      <c r="O80" s="134"/>
      <c r="P80" s="134"/>
      <c r="Q80" s="134"/>
      <c r="R80" s="136"/>
    </row>
    <row r="81" spans="1:18" s="12" customFormat="1" ht="14.55" customHeight="1" x14ac:dyDescent="0.3">
      <c r="A81" s="128" t="s">
        <v>1</v>
      </c>
      <c r="B81" s="137" t="s">
        <v>2</v>
      </c>
      <c r="C81" s="137" t="s">
        <v>3</v>
      </c>
      <c r="D81" s="137" t="s">
        <v>4</v>
      </c>
      <c r="E81" s="124" t="s">
        <v>5</v>
      </c>
      <c r="F81" s="138" t="s">
        <v>14</v>
      </c>
      <c r="G81" s="138" t="s">
        <v>15</v>
      </c>
      <c r="H81" s="119" t="s">
        <v>29</v>
      </c>
      <c r="I81" s="121" t="s">
        <v>6</v>
      </c>
      <c r="J81" s="122"/>
      <c r="K81" s="122"/>
      <c r="L81" s="123"/>
      <c r="M81" s="124" t="s">
        <v>7</v>
      </c>
      <c r="N81" s="125"/>
      <c r="O81" s="128" t="s">
        <v>8</v>
      </c>
      <c r="P81" s="128" t="s">
        <v>9</v>
      </c>
      <c r="Q81" s="128"/>
      <c r="R81" s="128"/>
    </row>
    <row r="82" spans="1:18" s="12" customFormat="1" ht="13.05" customHeight="1" x14ac:dyDescent="0.3">
      <c r="A82" s="128"/>
      <c r="B82" s="137"/>
      <c r="C82" s="137"/>
      <c r="D82" s="137"/>
      <c r="E82" s="126"/>
      <c r="F82" s="139"/>
      <c r="G82" s="139"/>
      <c r="H82" s="120"/>
      <c r="I82" s="121" t="s">
        <v>19</v>
      </c>
      <c r="J82" s="123"/>
      <c r="K82" s="121" t="s">
        <v>20</v>
      </c>
      <c r="L82" s="123"/>
      <c r="M82" s="126"/>
      <c r="N82" s="127"/>
      <c r="O82" s="128"/>
      <c r="P82" s="128"/>
      <c r="Q82" s="128"/>
      <c r="R82" s="128"/>
    </row>
    <row r="83" spans="1:18" ht="14.55" customHeight="1" x14ac:dyDescent="0.3">
      <c r="A83" s="140" t="s">
        <v>35</v>
      </c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30"/>
      <c r="N83" s="6" t="s">
        <v>13</v>
      </c>
      <c r="O83" s="21"/>
      <c r="P83" s="145" t="s">
        <v>117</v>
      </c>
      <c r="Q83" s="146"/>
      <c r="R83" s="147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30"/>
      <c r="N84" s="6" t="s">
        <v>13</v>
      </c>
      <c r="O84" s="21"/>
      <c r="P84" s="145"/>
      <c r="Q84" s="146"/>
      <c r="R84" s="147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30"/>
      <c r="N85" s="6" t="s">
        <v>13</v>
      </c>
      <c r="O85" s="21"/>
      <c r="P85" s="145"/>
      <c r="Q85" s="146"/>
      <c r="R85" s="147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30"/>
      <c r="N86" s="6" t="s">
        <v>13</v>
      </c>
      <c r="O86" s="21"/>
      <c r="P86" s="145"/>
      <c r="Q86" s="146"/>
      <c r="R86" s="147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30"/>
      <c r="N87" s="6" t="s">
        <v>13</v>
      </c>
      <c r="O87" s="21"/>
      <c r="P87" s="145"/>
      <c r="Q87" s="146"/>
      <c r="R87" s="147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30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30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6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30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66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30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66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30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67"/>
      <c r="B93" s="148" t="s">
        <v>0</v>
      </c>
      <c r="C93" s="149"/>
      <c r="D93" s="149"/>
      <c r="E93" s="149"/>
      <c r="F93" s="149"/>
      <c r="G93" s="149"/>
      <c r="H93" s="149"/>
      <c r="I93" s="150">
        <f>SUM(I83:J92)</f>
        <v>0</v>
      </c>
      <c r="J93" s="151"/>
      <c r="K93" s="150">
        <f>SUM(K83:L92)</f>
        <v>0</v>
      </c>
      <c r="L93" s="151"/>
      <c r="M93" s="10">
        <f>SUM(M88:M92)</f>
        <v>0</v>
      </c>
      <c r="N93" s="11" t="s">
        <v>13</v>
      </c>
      <c r="O93" s="9"/>
      <c r="P93" s="168"/>
      <c r="Q93" s="169"/>
      <c r="R93" s="170"/>
    </row>
    <row r="94" spans="1:18" ht="14.55" customHeight="1" x14ac:dyDescent="0.3">
      <c r="D94" s="35"/>
      <c r="E94" s="1"/>
      <c r="F94" s="1"/>
      <c r="G94" s="1"/>
      <c r="H94" s="1"/>
      <c r="M94" s="35"/>
    </row>
    <row r="95" spans="1:18" x14ac:dyDescent="0.3">
      <c r="E95" s="148" t="s">
        <v>34</v>
      </c>
      <c r="F95" s="149"/>
      <c r="G95" s="149"/>
      <c r="H95" s="149"/>
      <c r="I95" s="152" t="s">
        <v>19</v>
      </c>
      <c r="J95" s="153"/>
      <c r="K95" s="152" t="s">
        <v>20</v>
      </c>
      <c r="L95" s="153"/>
    </row>
    <row r="96" spans="1:18" s="36" customFormat="1" x14ac:dyDescent="0.3">
      <c r="E96" s="7"/>
      <c r="F96" s="7"/>
      <c r="G96" s="7"/>
      <c r="H96" s="7"/>
      <c r="I96" s="22">
        <f>I93</f>
        <v>0</v>
      </c>
      <c r="J96" s="14" t="s">
        <v>12</v>
      </c>
      <c r="K96" s="22">
        <f>K93</f>
        <v>0</v>
      </c>
      <c r="L96" s="15" t="s">
        <v>12</v>
      </c>
    </row>
    <row r="97" spans="5:12" ht="24.45" customHeight="1" x14ac:dyDescent="0.3">
      <c r="E97" s="13"/>
      <c r="F97" s="13"/>
      <c r="G97" s="13"/>
      <c r="H97" s="13"/>
      <c r="I97" s="154">
        <f>I96+K96</f>
        <v>0</v>
      </c>
      <c r="J97" s="155"/>
      <c r="K97" s="155"/>
      <c r="L97" s="156"/>
    </row>
  </sheetData>
  <mergeCells count="226">
    <mergeCell ref="E95:H95"/>
    <mergeCell ref="I95:J95"/>
    <mergeCell ref="K95:L95"/>
    <mergeCell ref="I97:L97"/>
    <mergeCell ref="K91:L91"/>
    <mergeCell ref="I92:J92"/>
    <mergeCell ref="K92:L92"/>
    <mergeCell ref="B93:H93"/>
    <mergeCell ref="I93:J93"/>
    <mergeCell ref="K93:L93"/>
    <mergeCell ref="A83:A93"/>
    <mergeCell ref="I83:J83"/>
    <mergeCell ref="K83:L83"/>
    <mergeCell ref="P83:R87"/>
    <mergeCell ref="I84:J84"/>
    <mergeCell ref="K84:L84"/>
    <mergeCell ref="I85:J85"/>
    <mergeCell ref="K85:L85"/>
    <mergeCell ref="I86:J86"/>
    <mergeCell ref="K86:L86"/>
    <mergeCell ref="I87:J87"/>
    <mergeCell ref="K87:L87"/>
    <mergeCell ref="I88:J88"/>
    <mergeCell ref="K88:L88"/>
    <mergeCell ref="P88:R93"/>
    <mergeCell ref="I89:J89"/>
    <mergeCell ref="K89:L89"/>
    <mergeCell ref="I90:J90"/>
    <mergeCell ref="K90:L90"/>
    <mergeCell ref="I91:J91"/>
    <mergeCell ref="I81:L81"/>
    <mergeCell ref="M81:N82"/>
    <mergeCell ref="O81:O82"/>
    <mergeCell ref="P81:R82"/>
    <mergeCell ref="I82:J82"/>
    <mergeCell ref="K82:L82"/>
    <mergeCell ref="I78:L78"/>
    <mergeCell ref="A80:R80"/>
    <mergeCell ref="A81:A82"/>
    <mergeCell ref="B81:B82"/>
    <mergeCell ref="C81:C82"/>
    <mergeCell ref="D81:D82"/>
    <mergeCell ref="E81:E82"/>
    <mergeCell ref="F81:F82"/>
    <mergeCell ref="G81:G82"/>
    <mergeCell ref="H81:H82"/>
    <mergeCell ref="B74:H74"/>
    <mergeCell ref="I74:J74"/>
    <mergeCell ref="K74:L74"/>
    <mergeCell ref="E76:H76"/>
    <mergeCell ref="I76:J76"/>
    <mergeCell ref="K76:L76"/>
    <mergeCell ref="I71:J71"/>
    <mergeCell ref="K71:L71"/>
    <mergeCell ref="I72:J72"/>
    <mergeCell ref="K72:L72"/>
    <mergeCell ref="I73:J73"/>
    <mergeCell ref="K73:L73"/>
    <mergeCell ref="K68:L68"/>
    <mergeCell ref="I69:J69"/>
    <mergeCell ref="K69:L69"/>
    <mergeCell ref="I70:J70"/>
    <mergeCell ref="K70:L70"/>
    <mergeCell ref="I65:J65"/>
    <mergeCell ref="K65:L65"/>
    <mergeCell ref="I66:J66"/>
    <mergeCell ref="K66:L66"/>
    <mergeCell ref="I67:J67"/>
    <mergeCell ref="K67:L67"/>
    <mergeCell ref="A59:A74"/>
    <mergeCell ref="I59:J59"/>
    <mergeCell ref="K59:L59"/>
    <mergeCell ref="P59:R74"/>
    <mergeCell ref="I60:J60"/>
    <mergeCell ref="K60:L60"/>
    <mergeCell ref="I61:J61"/>
    <mergeCell ref="F57:F58"/>
    <mergeCell ref="G57:G58"/>
    <mergeCell ref="H57:H58"/>
    <mergeCell ref="I57:L57"/>
    <mergeCell ref="M57:N58"/>
    <mergeCell ref="O57:O58"/>
    <mergeCell ref="K61:L61"/>
    <mergeCell ref="I62:J62"/>
    <mergeCell ref="K62:L62"/>
    <mergeCell ref="I63:J63"/>
    <mergeCell ref="K63:L63"/>
    <mergeCell ref="I64:J64"/>
    <mergeCell ref="K64:L64"/>
    <mergeCell ref="P57:R58"/>
    <mergeCell ref="I58:J58"/>
    <mergeCell ref="K58:L58"/>
    <mergeCell ref="I68:J68"/>
    <mergeCell ref="E52:H52"/>
    <mergeCell ref="I52:J52"/>
    <mergeCell ref="K52:L52"/>
    <mergeCell ref="I54:L54"/>
    <mergeCell ref="A56:R56"/>
    <mergeCell ref="A57:A58"/>
    <mergeCell ref="B57:B58"/>
    <mergeCell ref="C57:C58"/>
    <mergeCell ref="D57:D58"/>
    <mergeCell ref="E57:E58"/>
    <mergeCell ref="P45:R50"/>
    <mergeCell ref="I46:J46"/>
    <mergeCell ref="K46:L46"/>
    <mergeCell ref="I47:J47"/>
    <mergeCell ref="K47:L47"/>
    <mergeCell ref="I48:J48"/>
    <mergeCell ref="K48:L48"/>
    <mergeCell ref="I49:J49"/>
    <mergeCell ref="K49:L49"/>
    <mergeCell ref="I50:J50"/>
    <mergeCell ref="B44:H44"/>
    <mergeCell ref="I44:J44"/>
    <mergeCell ref="K44:L44"/>
    <mergeCell ref="A45:A50"/>
    <mergeCell ref="I45:J45"/>
    <mergeCell ref="K45:L45"/>
    <mergeCell ref="B50:H50"/>
    <mergeCell ref="K50:L50"/>
    <mergeCell ref="A39:A44"/>
    <mergeCell ref="I39:J39"/>
    <mergeCell ref="K39:L39"/>
    <mergeCell ref="P39:R44"/>
    <mergeCell ref="I40:J40"/>
    <mergeCell ref="K40:L40"/>
    <mergeCell ref="I41:J41"/>
    <mergeCell ref="K41:L41"/>
    <mergeCell ref="I42:J42"/>
    <mergeCell ref="K42:L42"/>
    <mergeCell ref="K35:L35"/>
    <mergeCell ref="I36:J36"/>
    <mergeCell ref="K36:L36"/>
    <mergeCell ref="I37:J37"/>
    <mergeCell ref="K37:L37"/>
    <mergeCell ref="I43:J43"/>
    <mergeCell ref="K43:L43"/>
    <mergeCell ref="B38:H38"/>
    <mergeCell ref="I38:J38"/>
    <mergeCell ref="K38:L38"/>
    <mergeCell ref="P31:R32"/>
    <mergeCell ref="I32:J32"/>
    <mergeCell ref="K32:L32"/>
    <mergeCell ref="A33:A38"/>
    <mergeCell ref="I33:J33"/>
    <mergeCell ref="K33:L33"/>
    <mergeCell ref="P33:R38"/>
    <mergeCell ref="I34:J34"/>
    <mergeCell ref="K34:L34"/>
    <mergeCell ref="I35:J35"/>
    <mergeCell ref="F31:F32"/>
    <mergeCell ref="G31:G32"/>
    <mergeCell ref="H31:H32"/>
    <mergeCell ref="I31:L31"/>
    <mergeCell ref="M31:N32"/>
    <mergeCell ref="O31:O32"/>
    <mergeCell ref="E26:H26"/>
    <mergeCell ref="I26:J26"/>
    <mergeCell ref="K26:L26"/>
    <mergeCell ref="I28:L28"/>
    <mergeCell ref="A30:R30"/>
    <mergeCell ref="A31:A32"/>
    <mergeCell ref="B31:B32"/>
    <mergeCell ref="C31:C32"/>
    <mergeCell ref="D31:D32"/>
    <mergeCell ref="E31:E32"/>
    <mergeCell ref="P16:R24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A7:A15"/>
    <mergeCell ref="I7:J7"/>
    <mergeCell ref="K7:L7"/>
    <mergeCell ref="I14:J14"/>
    <mergeCell ref="K14:L14"/>
    <mergeCell ref="B15:H15"/>
    <mergeCell ref="I15:J15"/>
    <mergeCell ref="K15:L15"/>
    <mergeCell ref="A16:A24"/>
    <mergeCell ref="I16:J16"/>
    <mergeCell ref="K16:L16"/>
    <mergeCell ref="K21:L21"/>
    <mergeCell ref="I22:J22"/>
    <mergeCell ref="K22:L22"/>
    <mergeCell ref="I23:J23"/>
    <mergeCell ref="K23:L23"/>
    <mergeCell ref="B24:H24"/>
    <mergeCell ref="I24:J24"/>
    <mergeCell ref="K24:L24"/>
    <mergeCell ref="P7:R15"/>
    <mergeCell ref="I8:J8"/>
    <mergeCell ref="K8:L8"/>
    <mergeCell ref="I9:J9"/>
    <mergeCell ref="K9:L9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I11:J11"/>
    <mergeCell ref="K11:L11"/>
    <mergeCell ref="I12:J12"/>
    <mergeCell ref="K12:L12"/>
    <mergeCell ref="I13:J13"/>
    <mergeCell ref="K13:L13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9"/>
  <sheetViews>
    <sheetView topLeftCell="A96" zoomScale="85" zoomScaleNormal="85" workbookViewId="0">
      <selection activeCell="R80" sqref="R80"/>
    </sheetView>
  </sheetViews>
  <sheetFormatPr defaultColWidth="8.886718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886718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45920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31">
        <v>225065</v>
      </c>
      <c r="E7" s="49" t="s">
        <v>119</v>
      </c>
      <c r="F7" s="19">
        <v>430</v>
      </c>
      <c r="G7" s="20">
        <v>0.5</v>
      </c>
      <c r="H7" s="28" t="s">
        <v>55</v>
      </c>
      <c r="I7" s="143">
        <v>205</v>
      </c>
      <c r="J7" s="144"/>
      <c r="K7" s="143"/>
      <c r="L7" s="144"/>
      <c r="M7" s="40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31">
        <v>225066</v>
      </c>
      <c r="E8" s="49" t="s">
        <v>118</v>
      </c>
      <c r="F8" s="19">
        <v>430</v>
      </c>
      <c r="G8" s="20">
        <v>0.5</v>
      </c>
      <c r="H8" s="28" t="s">
        <v>55</v>
      </c>
      <c r="I8" s="143">
        <v>1505</v>
      </c>
      <c r="J8" s="144"/>
      <c r="K8" s="143"/>
      <c r="L8" s="144"/>
      <c r="M8" s="40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>
        <v>0.58333333333333337</v>
      </c>
      <c r="D9" s="33">
        <v>270825</v>
      </c>
      <c r="E9" s="49" t="s">
        <v>121</v>
      </c>
      <c r="F9" s="19">
        <v>430</v>
      </c>
      <c r="G9" s="20">
        <v>0.5</v>
      </c>
      <c r="H9" s="28" t="s">
        <v>55</v>
      </c>
      <c r="I9" s="143">
        <v>390</v>
      </c>
      <c r="J9" s="144"/>
      <c r="K9" s="143"/>
      <c r="L9" s="144"/>
      <c r="M9" s="40"/>
      <c r="N9" s="6" t="s">
        <v>13</v>
      </c>
      <c r="O9" s="21"/>
      <c r="P9" s="145"/>
      <c r="Q9" s="146"/>
      <c r="R9" s="147"/>
    </row>
    <row r="10" spans="1:18" ht="14.55" hidden="1" customHeight="1" x14ac:dyDescent="0.3">
      <c r="A10" s="141"/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40"/>
      <c r="N10" s="6" t="s">
        <v>13</v>
      </c>
      <c r="O10" s="21"/>
      <c r="P10" s="145"/>
      <c r="Q10" s="146"/>
      <c r="R10" s="147"/>
    </row>
    <row r="11" spans="1:18" ht="14.55" hidden="1" customHeight="1" x14ac:dyDescent="0.3">
      <c r="A11" s="141"/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40"/>
      <c r="N11" s="6" t="s">
        <v>13</v>
      </c>
      <c r="O11" s="21"/>
      <c r="P11" s="145"/>
      <c r="Q11" s="146"/>
      <c r="R11" s="147"/>
    </row>
    <row r="12" spans="1:18" ht="14.55" hidden="1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40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40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40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2100</v>
      </c>
      <c r="J15" s="151"/>
      <c r="K15" s="150">
        <f>SUM(K7:L14)</f>
        <v>0</v>
      </c>
      <c r="L15" s="151"/>
      <c r="M15" s="10">
        <f>SUM(M7:M14)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40"/>
      <c r="N16" s="6" t="s">
        <v>13</v>
      </c>
      <c r="O16" s="21"/>
      <c r="P16" s="145"/>
      <c r="Q16" s="146"/>
      <c r="R16" s="147"/>
    </row>
    <row r="17" spans="1:18" ht="14.4" hidden="1" customHeight="1" x14ac:dyDescent="0.3">
      <c r="A17" s="166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40"/>
      <c r="N17" s="6" t="s">
        <v>13</v>
      </c>
      <c r="O17" s="21"/>
      <c r="P17" s="145"/>
      <c r="Q17" s="146"/>
      <c r="R17" s="147"/>
    </row>
    <row r="18" spans="1:18" ht="14.55" hidden="1" customHeight="1" x14ac:dyDescent="0.3">
      <c r="A18" s="166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40"/>
      <c r="N18" s="6" t="s">
        <v>13</v>
      </c>
      <c r="O18" s="21"/>
      <c r="P18" s="145"/>
      <c r="Q18" s="146"/>
      <c r="R18" s="147"/>
    </row>
    <row r="19" spans="1:18" ht="14.55" hidden="1" customHeight="1" x14ac:dyDescent="0.3">
      <c r="A19" s="166"/>
      <c r="B19" s="5"/>
      <c r="C19" s="5"/>
      <c r="D19" s="4"/>
      <c r="E19" s="3"/>
      <c r="F19" s="19"/>
      <c r="G19" s="20"/>
      <c r="H19" s="28"/>
      <c r="I19" s="143"/>
      <c r="J19" s="144"/>
      <c r="K19" s="143"/>
      <c r="L19" s="144"/>
      <c r="M19" s="40"/>
      <c r="N19" s="6" t="s">
        <v>13</v>
      </c>
      <c r="O19" s="21"/>
      <c r="P19" s="145"/>
      <c r="Q19" s="146"/>
      <c r="R19" s="147"/>
    </row>
    <row r="20" spans="1:18" ht="14.55" hidden="1" customHeight="1" x14ac:dyDescent="0.3">
      <c r="A20" s="141"/>
      <c r="B20" s="5"/>
      <c r="C20" s="5"/>
      <c r="D20" s="4"/>
      <c r="E20" s="3"/>
      <c r="F20" s="19"/>
      <c r="G20" s="20"/>
      <c r="H20" s="28"/>
      <c r="I20" s="143"/>
      <c r="J20" s="144"/>
      <c r="K20" s="143"/>
      <c r="L20" s="144"/>
      <c r="M20" s="40"/>
      <c r="N20" s="6" t="s">
        <v>13</v>
      </c>
      <c r="O20" s="21"/>
      <c r="P20" s="145"/>
      <c r="Q20" s="146"/>
      <c r="R20" s="147"/>
    </row>
    <row r="21" spans="1:18" ht="14.55" hidden="1" customHeight="1" x14ac:dyDescent="0.3">
      <c r="A21" s="141"/>
      <c r="B21" s="5"/>
      <c r="C21" s="5"/>
      <c r="D21" s="4"/>
      <c r="E21" s="3"/>
      <c r="F21" s="19"/>
      <c r="G21" s="20"/>
      <c r="H21" s="28"/>
      <c r="I21" s="143"/>
      <c r="J21" s="144"/>
      <c r="K21" s="143"/>
      <c r="L21" s="144"/>
      <c r="M21" s="40"/>
      <c r="N21" s="6" t="s">
        <v>13</v>
      </c>
      <c r="O21" s="21"/>
      <c r="P21" s="145"/>
      <c r="Q21" s="146"/>
      <c r="R21" s="147"/>
    </row>
    <row r="22" spans="1:18" ht="14.55" customHeight="1" x14ac:dyDescent="0.3">
      <c r="A22" s="141"/>
      <c r="B22" s="5"/>
      <c r="C22" s="5"/>
      <c r="D22" s="4"/>
      <c r="E22" s="3"/>
      <c r="F22" s="19"/>
      <c r="G22" s="20"/>
      <c r="H22" s="28"/>
      <c r="I22" s="143"/>
      <c r="J22" s="144"/>
      <c r="K22" s="143"/>
      <c r="L22" s="144"/>
      <c r="M22" s="40"/>
      <c r="N22" s="6" t="s">
        <v>13</v>
      </c>
      <c r="O22" s="21"/>
      <c r="P22" s="145"/>
      <c r="Q22" s="146"/>
      <c r="R22" s="147"/>
    </row>
    <row r="23" spans="1:18" ht="14.55" customHeight="1" x14ac:dyDescent="0.3">
      <c r="A23" s="141"/>
      <c r="B23" s="5"/>
      <c r="C23" s="5"/>
      <c r="D23" s="4"/>
      <c r="E23" s="3"/>
      <c r="F23" s="19"/>
      <c r="G23" s="20"/>
      <c r="H23" s="28"/>
      <c r="I23" s="143"/>
      <c r="J23" s="144"/>
      <c r="K23" s="143"/>
      <c r="L23" s="144"/>
      <c r="M23" s="40"/>
      <c r="N23" s="6" t="s">
        <v>13</v>
      </c>
      <c r="O23" s="21"/>
      <c r="P23" s="145"/>
      <c r="Q23" s="146"/>
      <c r="R23" s="147"/>
    </row>
    <row r="24" spans="1:18" ht="14.55" customHeight="1" x14ac:dyDescent="0.3">
      <c r="A24" s="142"/>
      <c r="B24" s="148" t="s">
        <v>0</v>
      </c>
      <c r="C24" s="149"/>
      <c r="D24" s="149"/>
      <c r="E24" s="149"/>
      <c r="F24" s="149"/>
      <c r="G24" s="149"/>
      <c r="H24" s="149"/>
      <c r="I24" s="150">
        <f>SUM(I16:J23)</f>
        <v>0</v>
      </c>
      <c r="J24" s="151"/>
      <c r="K24" s="150">
        <f>SUM(K16:L23)</f>
        <v>0</v>
      </c>
      <c r="L24" s="151"/>
      <c r="M24" s="10">
        <f>SUM(M16:M23)</f>
        <v>0</v>
      </c>
      <c r="N24" s="11" t="s">
        <v>13</v>
      </c>
      <c r="O24" s="9"/>
      <c r="P24" s="145"/>
      <c r="Q24" s="146"/>
      <c r="R24" s="147"/>
    </row>
    <row r="25" spans="1:18" ht="14.55" customHeight="1" x14ac:dyDescent="0.3">
      <c r="D25" s="35"/>
      <c r="E25" s="1"/>
      <c r="F25" s="1"/>
      <c r="G25" s="1"/>
      <c r="H25" s="1"/>
      <c r="M25" s="35"/>
    </row>
    <row r="26" spans="1:18" x14ac:dyDescent="0.3">
      <c r="E26" s="148" t="s">
        <v>16</v>
      </c>
      <c r="F26" s="149"/>
      <c r="G26" s="149"/>
      <c r="H26" s="149"/>
      <c r="I26" s="152" t="s">
        <v>19</v>
      </c>
      <c r="J26" s="153"/>
      <c r="K26" s="152" t="s">
        <v>20</v>
      </c>
      <c r="L26" s="153"/>
    </row>
    <row r="27" spans="1:18" s="36" customFormat="1" x14ac:dyDescent="0.3">
      <c r="E27" s="7"/>
      <c r="F27" s="7"/>
      <c r="G27" s="7"/>
      <c r="H27" s="7"/>
      <c r="I27" s="22">
        <f>I15+I24</f>
        <v>2100</v>
      </c>
      <c r="J27" s="14" t="s">
        <v>12</v>
      </c>
      <c r="K27" s="22">
        <f>K15+K24</f>
        <v>0</v>
      </c>
      <c r="L27" s="15" t="s">
        <v>12</v>
      </c>
    </row>
    <row r="28" spans="1:18" ht="24.45" customHeight="1" x14ac:dyDescent="0.3">
      <c r="E28" s="13"/>
      <c r="F28" s="13"/>
      <c r="G28" s="13"/>
      <c r="H28" s="13"/>
      <c r="I28" s="154">
        <f>I27+K27</f>
        <v>2100</v>
      </c>
      <c r="J28" s="155"/>
      <c r="K28" s="155"/>
      <c r="L28" s="156"/>
    </row>
    <row r="29" spans="1:18" ht="15" customHeight="1" x14ac:dyDescent="0.3">
      <c r="D29" s="35"/>
      <c r="I29" s="35"/>
      <c r="J29" s="35"/>
      <c r="K29" s="23"/>
      <c r="L29" s="23"/>
      <c r="M29" s="23"/>
      <c r="N29" s="23"/>
    </row>
    <row r="30" spans="1:18" s="8" customFormat="1" ht="30" customHeight="1" x14ac:dyDescent="0.3">
      <c r="A30" s="133" t="s">
        <v>22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5"/>
      <c r="L30" s="135"/>
      <c r="M30" s="135"/>
      <c r="N30" s="135"/>
      <c r="O30" s="134"/>
      <c r="P30" s="134"/>
      <c r="Q30" s="134"/>
      <c r="R30" s="136"/>
    </row>
    <row r="31" spans="1:18" s="12" customFormat="1" ht="14.55" customHeight="1" x14ac:dyDescent="0.3">
      <c r="A31" s="128" t="s">
        <v>1</v>
      </c>
      <c r="B31" s="137" t="s">
        <v>2</v>
      </c>
      <c r="C31" s="137" t="s">
        <v>3</v>
      </c>
      <c r="D31" s="137" t="s">
        <v>4</v>
      </c>
      <c r="E31" s="124" t="s">
        <v>5</v>
      </c>
      <c r="F31" s="138" t="s">
        <v>14</v>
      </c>
      <c r="G31" s="138" t="s">
        <v>15</v>
      </c>
      <c r="H31" s="119" t="s">
        <v>27</v>
      </c>
      <c r="I31" s="121" t="s">
        <v>6</v>
      </c>
      <c r="J31" s="122"/>
      <c r="K31" s="122"/>
      <c r="L31" s="123"/>
      <c r="M31" s="124" t="s">
        <v>7</v>
      </c>
      <c r="N31" s="125"/>
      <c r="O31" s="128" t="s">
        <v>8</v>
      </c>
      <c r="P31" s="128" t="s">
        <v>9</v>
      </c>
      <c r="Q31" s="128"/>
      <c r="R31" s="128"/>
    </row>
    <row r="32" spans="1:18" s="12" customFormat="1" ht="13.05" customHeight="1" x14ac:dyDescent="0.3">
      <c r="A32" s="128"/>
      <c r="B32" s="137"/>
      <c r="C32" s="137"/>
      <c r="D32" s="137"/>
      <c r="E32" s="126"/>
      <c r="F32" s="139"/>
      <c r="G32" s="139"/>
      <c r="H32" s="120"/>
      <c r="I32" s="121" t="s">
        <v>23</v>
      </c>
      <c r="J32" s="123"/>
      <c r="K32" s="121" t="s">
        <v>11</v>
      </c>
      <c r="L32" s="123"/>
      <c r="M32" s="126"/>
      <c r="N32" s="127"/>
      <c r="O32" s="128"/>
      <c r="P32" s="128"/>
      <c r="Q32" s="128"/>
      <c r="R32" s="128"/>
    </row>
    <row r="33" spans="1:18" ht="14.55" customHeight="1" x14ac:dyDescent="0.3">
      <c r="A33" s="140" t="s">
        <v>28</v>
      </c>
      <c r="B33" s="5">
        <v>0.33333333333333331</v>
      </c>
      <c r="C33" s="5"/>
      <c r="D33" s="4">
        <v>250048</v>
      </c>
      <c r="E33" s="3" t="s">
        <v>124</v>
      </c>
      <c r="F33" s="19">
        <v>304</v>
      </c>
      <c r="G33" s="20">
        <v>0.7</v>
      </c>
      <c r="H33" s="28" t="s">
        <v>96</v>
      </c>
      <c r="I33" s="143">
        <v>550</v>
      </c>
      <c r="J33" s="144"/>
      <c r="K33" s="143"/>
      <c r="L33" s="144"/>
      <c r="M33" s="40"/>
      <c r="N33" s="6" t="s">
        <v>13</v>
      </c>
      <c r="O33" s="21"/>
      <c r="P33" s="168" t="s">
        <v>50</v>
      </c>
      <c r="Q33" s="169"/>
      <c r="R33" s="170"/>
    </row>
    <row r="34" spans="1:18" ht="14.55" customHeight="1" x14ac:dyDescent="0.3">
      <c r="A34" s="141"/>
      <c r="B34" s="5"/>
      <c r="C34" s="5">
        <v>0.58333333333333337</v>
      </c>
      <c r="D34" s="4">
        <v>250048</v>
      </c>
      <c r="E34" s="3" t="s">
        <v>125</v>
      </c>
      <c r="F34" s="19">
        <v>304</v>
      </c>
      <c r="G34" s="20">
        <v>0.7</v>
      </c>
      <c r="H34" s="28" t="s">
        <v>96</v>
      </c>
      <c r="I34" s="143">
        <v>250</v>
      </c>
      <c r="J34" s="144"/>
      <c r="K34" s="143"/>
      <c r="L34" s="144"/>
      <c r="M34" s="40"/>
      <c r="N34" s="6" t="s">
        <v>13</v>
      </c>
      <c r="O34" s="21"/>
      <c r="P34" s="168"/>
      <c r="Q34" s="169"/>
      <c r="R34" s="170"/>
    </row>
    <row r="35" spans="1:18" ht="14.55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40"/>
      <c r="N35" s="6" t="s">
        <v>13</v>
      </c>
      <c r="O35" s="21"/>
      <c r="P35" s="168"/>
      <c r="Q35" s="169"/>
      <c r="R35" s="170"/>
    </row>
    <row r="36" spans="1:18" ht="14.55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40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40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2"/>
      <c r="B38" s="148" t="s">
        <v>0</v>
      </c>
      <c r="C38" s="149"/>
      <c r="D38" s="149"/>
      <c r="E38" s="149"/>
      <c r="F38" s="149"/>
      <c r="G38" s="149"/>
      <c r="H38" s="149"/>
      <c r="I38" s="150">
        <f>SUM(I33:J37)</f>
        <v>800</v>
      </c>
      <c r="J38" s="151"/>
      <c r="K38" s="150">
        <f>SUM(K33:L37)</f>
        <v>0</v>
      </c>
      <c r="L38" s="151"/>
      <c r="M38" s="10">
        <f>SUM(M33:M37)</f>
        <v>0</v>
      </c>
      <c r="N38" s="11" t="s">
        <v>13</v>
      </c>
      <c r="O38" s="9"/>
      <c r="P38" s="168"/>
      <c r="Q38" s="169"/>
      <c r="R38" s="170"/>
    </row>
    <row r="39" spans="1:18" ht="14.55" customHeight="1" x14ac:dyDescent="0.3">
      <c r="A39" s="140" t="s">
        <v>24</v>
      </c>
      <c r="B39" s="5">
        <v>0.33333333333333331</v>
      </c>
      <c r="C39" s="5"/>
      <c r="D39" s="4">
        <v>250048</v>
      </c>
      <c r="E39" s="3" t="s">
        <v>122</v>
      </c>
      <c r="F39" s="19">
        <v>304</v>
      </c>
      <c r="G39" s="20">
        <v>0.7</v>
      </c>
      <c r="H39" s="28" t="s">
        <v>123</v>
      </c>
      <c r="I39" s="143">
        <v>550</v>
      </c>
      <c r="J39" s="144"/>
      <c r="K39" s="143"/>
      <c r="L39" s="144"/>
      <c r="M39" s="40"/>
      <c r="N39" s="6" t="s">
        <v>13</v>
      </c>
      <c r="O39" s="21"/>
      <c r="P39" s="168" t="s">
        <v>51</v>
      </c>
      <c r="Q39" s="169"/>
      <c r="R39" s="170"/>
    </row>
    <row r="40" spans="1:18" ht="14.55" customHeight="1" x14ac:dyDescent="0.3">
      <c r="A40" s="141"/>
      <c r="B40" s="5"/>
      <c r="C40" s="5">
        <v>0.58333333333333337</v>
      </c>
      <c r="D40" s="4">
        <v>250048</v>
      </c>
      <c r="E40" s="3" t="s">
        <v>124</v>
      </c>
      <c r="F40" s="19">
        <v>304</v>
      </c>
      <c r="G40" s="20">
        <v>0.7</v>
      </c>
      <c r="H40" s="28" t="s">
        <v>123</v>
      </c>
      <c r="I40" s="143">
        <v>150</v>
      </c>
      <c r="J40" s="144"/>
      <c r="K40" s="143"/>
      <c r="L40" s="144"/>
      <c r="M40" s="40"/>
      <c r="N40" s="6" t="s">
        <v>13</v>
      </c>
      <c r="O40" s="21"/>
      <c r="P40" s="168"/>
      <c r="Q40" s="169"/>
      <c r="R40" s="170"/>
    </row>
    <row r="41" spans="1:18" ht="14.55" hidden="1" customHeight="1" x14ac:dyDescent="0.3">
      <c r="A41" s="141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40"/>
      <c r="N41" s="6" t="s">
        <v>13</v>
      </c>
      <c r="O41" s="21"/>
      <c r="P41" s="168"/>
      <c r="Q41" s="169"/>
      <c r="R41" s="170"/>
    </row>
    <row r="42" spans="1:18" ht="14.55" hidden="1" customHeight="1" x14ac:dyDescent="0.3">
      <c r="A42" s="141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40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41"/>
      <c r="B43" s="5"/>
      <c r="C43" s="5"/>
      <c r="D43" s="4"/>
      <c r="E43" s="3"/>
      <c r="F43" s="19"/>
      <c r="G43" s="20"/>
      <c r="H43" s="28"/>
      <c r="I43" s="143"/>
      <c r="J43" s="144"/>
      <c r="K43" s="143"/>
      <c r="L43" s="144"/>
      <c r="M43" s="40"/>
      <c r="N43" s="6" t="s">
        <v>13</v>
      </c>
      <c r="O43" s="21"/>
      <c r="P43" s="168"/>
      <c r="Q43" s="169"/>
      <c r="R43" s="170"/>
    </row>
    <row r="44" spans="1:18" ht="14.55" customHeight="1" x14ac:dyDescent="0.3">
      <c r="A44" s="142"/>
      <c r="B44" s="148" t="s">
        <v>0</v>
      </c>
      <c r="C44" s="149"/>
      <c r="D44" s="149"/>
      <c r="E44" s="149"/>
      <c r="F44" s="149"/>
      <c r="G44" s="149"/>
      <c r="H44" s="149"/>
      <c r="I44" s="150">
        <f>SUM(I39:J43)</f>
        <v>700</v>
      </c>
      <c r="J44" s="151"/>
      <c r="K44" s="150">
        <f>SUM(K39:L43)</f>
        <v>0</v>
      </c>
      <c r="L44" s="151"/>
      <c r="M44" s="10">
        <f>SUM(M39:M43)</f>
        <v>0</v>
      </c>
      <c r="N44" s="11" t="s">
        <v>13</v>
      </c>
      <c r="O44" s="9"/>
      <c r="P44" s="168"/>
      <c r="Q44" s="169"/>
      <c r="R44" s="170"/>
    </row>
    <row r="45" spans="1:18" ht="14.55" customHeight="1" x14ac:dyDescent="0.3">
      <c r="A45" s="140" t="s">
        <v>25</v>
      </c>
      <c r="B45" s="5">
        <v>0.33333333333333331</v>
      </c>
      <c r="C45" s="5">
        <v>0.58333333333333337</v>
      </c>
      <c r="D45" s="4">
        <v>250044</v>
      </c>
      <c r="E45" s="3" t="s">
        <v>97</v>
      </c>
      <c r="F45" s="19">
        <v>304</v>
      </c>
      <c r="G45" s="20">
        <v>0.7</v>
      </c>
      <c r="H45" s="28" t="s">
        <v>96</v>
      </c>
      <c r="I45" s="143"/>
      <c r="J45" s="144"/>
      <c r="K45" s="143">
        <v>600</v>
      </c>
      <c r="L45" s="144"/>
      <c r="M45" s="40"/>
      <c r="N45" s="6" t="s">
        <v>13</v>
      </c>
      <c r="O45" s="21"/>
      <c r="P45" s="145" t="s">
        <v>53</v>
      </c>
      <c r="Q45" s="169"/>
      <c r="R45" s="170"/>
    </row>
    <row r="46" spans="1:18" ht="14.55" hidden="1" customHeight="1" x14ac:dyDescent="0.3">
      <c r="A46" s="141"/>
      <c r="B46" s="5"/>
      <c r="C46" s="5"/>
      <c r="D46" s="4"/>
      <c r="E46" s="3"/>
      <c r="F46" s="19"/>
      <c r="G46" s="20"/>
      <c r="H46" s="28"/>
      <c r="I46" s="143"/>
      <c r="J46" s="144"/>
      <c r="K46" s="143"/>
      <c r="L46" s="144"/>
      <c r="M46" s="40"/>
      <c r="N46" s="6" t="s">
        <v>13</v>
      </c>
      <c r="O46" s="21"/>
      <c r="P46" s="168"/>
      <c r="Q46" s="169"/>
      <c r="R46" s="170"/>
    </row>
    <row r="47" spans="1:18" ht="14.55" hidden="1" customHeight="1" x14ac:dyDescent="0.3">
      <c r="A47" s="141"/>
      <c r="B47" s="5"/>
      <c r="C47" s="5"/>
      <c r="D47" s="4"/>
      <c r="E47" s="3"/>
      <c r="F47" s="19"/>
      <c r="G47" s="20"/>
      <c r="H47" s="28"/>
      <c r="I47" s="143"/>
      <c r="J47" s="144"/>
      <c r="K47" s="143"/>
      <c r="L47" s="144"/>
      <c r="M47" s="40"/>
      <c r="N47" s="6" t="s">
        <v>13</v>
      </c>
      <c r="O47" s="21"/>
      <c r="P47" s="168"/>
      <c r="Q47" s="169"/>
      <c r="R47" s="170"/>
    </row>
    <row r="48" spans="1:18" ht="14.55" customHeight="1" x14ac:dyDescent="0.3">
      <c r="A48" s="141"/>
      <c r="B48" s="5"/>
      <c r="C48" s="5"/>
      <c r="D48" s="4"/>
      <c r="E48" s="3"/>
      <c r="F48" s="19"/>
      <c r="G48" s="20"/>
      <c r="H48" s="28"/>
      <c r="I48" s="143"/>
      <c r="J48" s="144"/>
      <c r="K48" s="143"/>
      <c r="L48" s="144"/>
      <c r="M48" s="40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41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40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42"/>
      <c r="B50" s="148" t="s">
        <v>0</v>
      </c>
      <c r="C50" s="149"/>
      <c r="D50" s="149"/>
      <c r="E50" s="149"/>
      <c r="F50" s="149"/>
      <c r="G50" s="149"/>
      <c r="H50" s="149"/>
      <c r="I50" s="150">
        <f>SUM(I45:J49)</f>
        <v>0</v>
      </c>
      <c r="J50" s="151"/>
      <c r="K50" s="150">
        <f>SUM(K45:L49)</f>
        <v>600</v>
      </c>
      <c r="L50" s="151"/>
      <c r="M50" s="10">
        <f>SUM(M45:M49)</f>
        <v>0</v>
      </c>
      <c r="N50" s="11" t="s">
        <v>13</v>
      </c>
      <c r="O50" s="9"/>
      <c r="P50" s="168"/>
      <c r="Q50" s="169"/>
      <c r="R50" s="170"/>
    </row>
    <row r="52" spans="1:18" x14ac:dyDescent="0.3">
      <c r="E52" s="148" t="s">
        <v>26</v>
      </c>
      <c r="F52" s="149"/>
      <c r="G52" s="149"/>
      <c r="H52" s="149"/>
      <c r="I52" s="152" t="s">
        <v>23</v>
      </c>
      <c r="J52" s="153"/>
      <c r="K52" s="152" t="s">
        <v>11</v>
      </c>
      <c r="L52" s="153"/>
    </row>
    <row r="53" spans="1:18" s="36" customFormat="1" x14ac:dyDescent="0.3">
      <c r="E53" s="7"/>
      <c r="F53" s="7"/>
      <c r="G53" s="7"/>
      <c r="H53" s="7"/>
      <c r="I53" s="22">
        <f>I44+I50+I38</f>
        <v>1500</v>
      </c>
      <c r="J53" s="14" t="s">
        <v>12</v>
      </c>
      <c r="K53" s="22">
        <f>K44+K50</f>
        <v>600</v>
      </c>
      <c r="L53" s="15" t="s">
        <v>12</v>
      </c>
    </row>
    <row r="54" spans="1:18" ht="24.45" customHeight="1" x14ac:dyDescent="0.3">
      <c r="E54" s="13"/>
      <c r="F54" s="13"/>
      <c r="G54" s="13"/>
      <c r="H54" s="13"/>
      <c r="I54" s="154">
        <f>I53+K53</f>
        <v>2100</v>
      </c>
      <c r="J54" s="155"/>
      <c r="K54" s="155"/>
      <c r="L54" s="156"/>
    </row>
    <row r="55" spans="1:18" x14ac:dyDescent="0.3">
      <c r="K55" s="25"/>
      <c r="L55" s="25"/>
      <c r="M55" s="25"/>
      <c r="N55" s="23"/>
    </row>
    <row r="56" spans="1:18" s="8" customFormat="1" ht="30" customHeight="1" x14ac:dyDescent="0.3">
      <c r="A56" s="133" t="s">
        <v>36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5"/>
      <c r="L56" s="135"/>
      <c r="M56" s="135"/>
      <c r="N56" s="135"/>
      <c r="O56" s="134"/>
      <c r="P56" s="134"/>
      <c r="Q56" s="134"/>
      <c r="R56" s="136"/>
    </row>
    <row r="57" spans="1:18" s="12" customFormat="1" ht="14.55" customHeight="1" x14ac:dyDescent="0.3">
      <c r="A57" s="128" t="s">
        <v>1</v>
      </c>
      <c r="B57" s="137" t="s">
        <v>2</v>
      </c>
      <c r="C57" s="137" t="s">
        <v>3</v>
      </c>
      <c r="D57" s="137" t="s">
        <v>4</v>
      </c>
      <c r="E57" s="124" t="s">
        <v>5</v>
      </c>
      <c r="F57" s="138" t="s">
        <v>14</v>
      </c>
      <c r="G57" s="138" t="s">
        <v>15</v>
      </c>
      <c r="H57" s="119" t="s">
        <v>29</v>
      </c>
      <c r="I57" s="121" t="s">
        <v>6</v>
      </c>
      <c r="J57" s="122"/>
      <c r="K57" s="122"/>
      <c r="L57" s="123"/>
      <c r="M57" s="124" t="s">
        <v>7</v>
      </c>
      <c r="N57" s="125"/>
      <c r="O57" s="128" t="s">
        <v>8</v>
      </c>
      <c r="P57" s="128" t="s">
        <v>9</v>
      </c>
      <c r="Q57" s="128"/>
      <c r="R57" s="128"/>
    </row>
    <row r="58" spans="1:18" s="12" customFormat="1" ht="13.05" customHeight="1" x14ac:dyDescent="0.3">
      <c r="A58" s="128"/>
      <c r="B58" s="137"/>
      <c r="C58" s="137"/>
      <c r="D58" s="137"/>
      <c r="E58" s="126"/>
      <c r="F58" s="139"/>
      <c r="G58" s="139"/>
      <c r="H58" s="120"/>
      <c r="I58" s="121" t="s">
        <v>19</v>
      </c>
      <c r="J58" s="123"/>
      <c r="K58" s="121" t="s">
        <v>20</v>
      </c>
      <c r="L58" s="123"/>
      <c r="M58" s="126"/>
      <c r="N58" s="127"/>
      <c r="O58" s="128"/>
      <c r="P58" s="128"/>
      <c r="Q58" s="128"/>
      <c r="R58" s="128"/>
    </row>
    <row r="59" spans="1:18" ht="14.4" customHeight="1" x14ac:dyDescent="0.3">
      <c r="A59" s="140" t="s">
        <v>37</v>
      </c>
      <c r="B59" s="5">
        <v>0.33333333333333331</v>
      </c>
      <c r="C59" s="5"/>
      <c r="D59" s="4">
        <v>250063</v>
      </c>
      <c r="E59" s="3" t="s">
        <v>126</v>
      </c>
      <c r="F59" s="19">
        <v>430</v>
      </c>
      <c r="G59" s="20">
        <v>0.5</v>
      </c>
      <c r="H59" s="28" t="s">
        <v>127</v>
      </c>
      <c r="I59" s="143">
        <v>1078</v>
      </c>
      <c r="J59" s="144"/>
      <c r="K59" s="143"/>
      <c r="L59" s="144"/>
      <c r="M59" s="40"/>
      <c r="N59" s="6" t="s">
        <v>13</v>
      </c>
      <c r="O59" s="21"/>
      <c r="P59" s="182" t="s">
        <v>160</v>
      </c>
      <c r="Q59" s="183"/>
      <c r="R59" s="184"/>
    </row>
    <row r="60" spans="1:18" ht="14.55" customHeight="1" x14ac:dyDescent="0.3">
      <c r="A60" s="166"/>
      <c r="B60" s="5"/>
      <c r="C60" s="5">
        <v>0.58333333333333337</v>
      </c>
      <c r="D60" s="4">
        <v>250064</v>
      </c>
      <c r="E60" s="3" t="s">
        <v>128</v>
      </c>
      <c r="F60" s="19">
        <v>430</v>
      </c>
      <c r="G60" s="20">
        <v>0.5</v>
      </c>
      <c r="H60" s="28" t="s">
        <v>127</v>
      </c>
      <c r="I60" s="143">
        <v>252</v>
      </c>
      <c r="J60" s="144"/>
      <c r="K60" s="143"/>
      <c r="L60" s="144"/>
      <c r="M60" s="40"/>
      <c r="N60" s="6" t="s">
        <v>13</v>
      </c>
      <c r="O60" s="21"/>
      <c r="P60" s="185"/>
      <c r="Q60" s="186"/>
      <c r="R60" s="187"/>
    </row>
    <row r="61" spans="1:18" ht="14.55" customHeight="1" x14ac:dyDescent="0.3">
      <c r="A61" s="166"/>
      <c r="B61" s="5">
        <v>0.58333333333333337</v>
      </c>
      <c r="C61" s="5">
        <v>0.875</v>
      </c>
      <c r="D61" s="4">
        <v>250062</v>
      </c>
      <c r="E61" s="3" t="s">
        <v>153</v>
      </c>
      <c r="F61" s="19">
        <v>430</v>
      </c>
      <c r="G61" s="20">
        <v>0.5</v>
      </c>
      <c r="H61" s="28" t="s">
        <v>127</v>
      </c>
      <c r="I61" s="143">
        <v>1000</v>
      </c>
      <c r="J61" s="144"/>
      <c r="K61" s="143"/>
      <c r="L61" s="144"/>
      <c r="M61" s="40"/>
      <c r="N61" s="6" t="s">
        <v>13</v>
      </c>
      <c r="O61" s="21"/>
      <c r="P61" s="185"/>
      <c r="Q61" s="186"/>
      <c r="R61" s="187"/>
    </row>
    <row r="62" spans="1:18" ht="14.55" hidden="1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40"/>
      <c r="N62" s="6" t="s">
        <v>13</v>
      </c>
      <c r="O62" s="21"/>
      <c r="P62" s="185"/>
      <c r="Q62" s="186"/>
      <c r="R62" s="187"/>
    </row>
    <row r="63" spans="1:18" ht="14.55" hidden="1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40"/>
      <c r="N63" s="6" t="s">
        <v>13</v>
      </c>
      <c r="O63" s="21"/>
      <c r="P63" s="185"/>
      <c r="Q63" s="186"/>
      <c r="R63" s="187"/>
    </row>
    <row r="64" spans="1:18" ht="14.55" hidden="1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40"/>
      <c r="N64" s="6" t="s">
        <v>13</v>
      </c>
      <c r="O64" s="21"/>
      <c r="P64" s="185"/>
      <c r="Q64" s="186"/>
      <c r="R64" s="187"/>
    </row>
    <row r="65" spans="1:18" ht="14.55" hidden="1" customHeight="1" x14ac:dyDescent="0.3">
      <c r="A65" s="166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40"/>
      <c r="N65" s="6" t="s">
        <v>13</v>
      </c>
      <c r="O65" s="21"/>
      <c r="P65" s="185"/>
      <c r="Q65" s="186"/>
      <c r="R65" s="187"/>
    </row>
    <row r="66" spans="1:18" ht="14.55" hidden="1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40"/>
      <c r="N66" s="6" t="s">
        <v>13</v>
      </c>
      <c r="O66" s="21"/>
      <c r="P66" s="185"/>
      <c r="Q66" s="186"/>
      <c r="R66" s="187"/>
    </row>
    <row r="67" spans="1:18" ht="14.55" hidden="1" customHeight="1" x14ac:dyDescent="0.3">
      <c r="A67" s="166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40"/>
      <c r="N67" s="6" t="s">
        <v>13</v>
      </c>
      <c r="O67" s="21"/>
      <c r="P67" s="185"/>
      <c r="Q67" s="186"/>
      <c r="R67" s="187"/>
    </row>
    <row r="68" spans="1:18" ht="14.55" hidden="1" customHeight="1" x14ac:dyDescent="0.3">
      <c r="A68" s="166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40"/>
      <c r="N68" s="6" t="s">
        <v>13</v>
      </c>
      <c r="O68" s="21"/>
      <c r="P68" s="185"/>
      <c r="Q68" s="186"/>
      <c r="R68" s="187"/>
    </row>
    <row r="69" spans="1:18" ht="14.55" customHeight="1" x14ac:dyDescent="0.3">
      <c r="A69" s="166"/>
      <c r="B69" s="5"/>
      <c r="C69" s="5"/>
      <c r="D69" s="4"/>
      <c r="E69" s="3"/>
      <c r="F69" s="19"/>
      <c r="G69" s="20"/>
      <c r="H69" s="28"/>
      <c r="I69" s="143"/>
      <c r="J69" s="144"/>
      <c r="K69" s="143"/>
      <c r="L69" s="144"/>
      <c r="M69" s="40"/>
      <c r="N69" s="6" t="s">
        <v>13</v>
      </c>
      <c r="O69" s="21"/>
      <c r="P69" s="185"/>
      <c r="Q69" s="186"/>
      <c r="R69" s="187"/>
    </row>
    <row r="70" spans="1:18" ht="14.55" customHeight="1" x14ac:dyDescent="0.3">
      <c r="A70" s="166"/>
      <c r="B70" s="5">
        <v>0.58333333333333337</v>
      </c>
      <c r="C70" s="5"/>
      <c r="D70" s="4">
        <v>250067</v>
      </c>
      <c r="E70" s="3" t="s">
        <v>156</v>
      </c>
      <c r="F70" s="19">
        <v>430</v>
      </c>
      <c r="G70" s="20">
        <v>0.5</v>
      </c>
      <c r="H70" s="28" t="s">
        <v>157</v>
      </c>
      <c r="I70" s="143">
        <v>500</v>
      </c>
      <c r="J70" s="144"/>
      <c r="K70" s="143"/>
      <c r="L70" s="144"/>
      <c r="M70" s="40"/>
      <c r="N70" s="6" t="s">
        <v>13</v>
      </c>
      <c r="O70" s="21"/>
      <c r="P70" s="185"/>
      <c r="Q70" s="186"/>
      <c r="R70" s="187"/>
    </row>
    <row r="71" spans="1:18" ht="14.55" customHeight="1" x14ac:dyDescent="0.3">
      <c r="A71" s="166"/>
      <c r="B71" s="5"/>
      <c r="C71" s="5"/>
      <c r="D71" s="4">
        <v>250067</v>
      </c>
      <c r="E71" s="3" t="s">
        <v>158</v>
      </c>
      <c r="F71" s="19">
        <v>430</v>
      </c>
      <c r="G71" s="20">
        <v>0.5</v>
      </c>
      <c r="H71" s="28" t="s">
        <v>157</v>
      </c>
      <c r="I71" s="143">
        <v>625</v>
      </c>
      <c r="J71" s="144"/>
      <c r="K71" s="143"/>
      <c r="L71" s="144"/>
      <c r="M71" s="40"/>
      <c r="N71" s="6" t="s">
        <v>13</v>
      </c>
      <c r="O71" s="21"/>
      <c r="P71" s="185"/>
      <c r="Q71" s="186"/>
      <c r="R71" s="187"/>
    </row>
    <row r="72" spans="1:18" ht="14.55" customHeight="1" x14ac:dyDescent="0.3">
      <c r="A72" s="166"/>
      <c r="B72" s="5"/>
      <c r="C72" s="5"/>
      <c r="D72" s="4"/>
      <c r="E72" s="3"/>
      <c r="F72" s="19"/>
      <c r="G72" s="20"/>
      <c r="H72" s="28"/>
      <c r="I72" s="143"/>
      <c r="J72" s="144"/>
      <c r="K72" s="143"/>
      <c r="L72" s="144"/>
      <c r="M72" s="40"/>
      <c r="N72" s="6" t="s">
        <v>13</v>
      </c>
      <c r="O72" s="21"/>
      <c r="P72" s="185"/>
      <c r="Q72" s="186"/>
      <c r="R72" s="187"/>
    </row>
    <row r="73" spans="1:18" ht="14.55" customHeight="1" x14ac:dyDescent="0.3">
      <c r="A73" s="166"/>
      <c r="B73" s="5"/>
      <c r="C73" s="5"/>
      <c r="D73" s="4"/>
      <c r="E73" s="3"/>
      <c r="F73" s="19"/>
      <c r="G73" s="20"/>
      <c r="H73" s="28"/>
      <c r="I73" s="143"/>
      <c r="J73" s="144"/>
      <c r="K73" s="143"/>
      <c r="L73" s="144"/>
      <c r="M73" s="52"/>
      <c r="N73" s="6" t="s">
        <v>13</v>
      </c>
      <c r="O73" s="21"/>
      <c r="P73" s="185"/>
      <c r="Q73" s="186"/>
      <c r="R73" s="187"/>
    </row>
    <row r="74" spans="1:18" ht="14.55" customHeight="1" x14ac:dyDescent="0.3">
      <c r="A74" s="166"/>
      <c r="B74" s="5"/>
      <c r="C74" s="5"/>
      <c r="D74" s="4"/>
      <c r="E74" s="3"/>
      <c r="F74" s="19"/>
      <c r="G74" s="20"/>
      <c r="H74" s="28"/>
      <c r="I74" s="143"/>
      <c r="J74" s="144"/>
      <c r="K74" s="143"/>
      <c r="L74" s="144"/>
      <c r="M74" s="52"/>
      <c r="N74" s="6" t="s">
        <v>13</v>
      </c>
      <c r="O74" s="21"/>
      <c r="P74" s="185"/>
      <c r="Q74" s="186"/>
      <c r="R74" s="187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40"/>
      <c r="N75" s="6" t="s">
        <v>13</v>
      </c>
      <c r="O75" s="21"/>
      <c r="P75" s="185"/>
      <c r="Q75" s="186"/>
      <c r="R75" s="187"/>
    </row>
    <row r="76" spans="1:18" ht="14.55" customHeight="1" x14ac:dyDescent="0.3">
      <c r="A76" s="167"/>
      <c r="B76" s="148" t="s">
        <v>0</v>
      </c>
      <c r="C76" s="149"/>
      <c r="D76" s="149"/>
      <c r="E76" s="149"/>
      <c r="F76" s="149"/>
      <c r="G76" s="149"/>
      <c r="H76" s="149"/>
      <c r="I76" s="150">
        <f>SUM(I59:J75)</f>
        <v>3455</v>
      </c>
      <c r="J76" s="151"/>
      <c r="K76" s="150">
        <f>SUM(K59:L75)</f>
        <v>0</v>
      </c>
      <c r="L76" s="151"/>
      <c r="M76" s="10">
        <f>SUM(M69:M75)</f>
        <v>0</v>
      </c>
      <c r="N76" s="11" t="s">
        <v>13</v>
      </c>
      <c r="O76" s="9"/>
      <c r="P76" s="188"/>
      <c r="Q76" s="189"/>
      <c r="R76" s="190"/>
    </row>
    <row r="77" spans="1:18" ht="14.55" customHeight="1" x14ac:dyDescent="0.3">
      <c r="D77" s="35"/>
      <c r="E77" s="1"/>
      <c r="F77" s="1"/>
      <c r="G77" s="1"/>
      <c r="H77" s="1"/>
      <c r="M77" s="35"/>
    </row>
    <row r="78" spans="1:18" x14ac:dyDescent="0.3">
      <c r="E78" s="148" t="s">
        <v>33</v>
      </c>
      <c r="F78" s="149"/>
      <c r="G78" s="149"/>
      <c r="H78" s="149"/>
      <c r="I78" s="152" t="s">
        <v>19</v>
      </c>
      <c r="J78" s="153"/>
      <c r="K78" s="152" t="s">
        <v>20</v>
      </c>
      <c r="L78" s="153"/>
    </row>
    <row r="79" spans="1:18" s="36" customFormat="1" x14ac:dyDescent="0.3">
      <c r="E79" s="7"/>
      <c r="F79" s="7"/>
      <c r="G79" s="7"/>
      <c r="H79" s="7"/>
      <c r="I79" s="22">
        <f>I76</f>
        <v>3455</v>
      </c>
      <c r="J79" s="14" t="s">
        <v>12</v>
      </c>
      <c r="K79" s="22">
        <f>K76</f>
        <v>0</v>
      </c>
      <c r="L79" s="15" t="s">
        <v>12</v>
      </c>
    </row>
    <row r="80" spans="1:18" ht="24.45" customHeight="1" x14ac:dyDescent="0.3">
      <c r="E80" s="13"/>
      <c r="F80" s="13"/>
      <c r="G80" s="13"/>
      <c r="H80" s="13"/>
      <c r="I80" s="154">
        <f>I79+K79</f>
        <v>3455</v>
      </c>
      <c r="J80" s="155"/>
      <c r="K80" s="155"/>
      <c r="L80" s="156"/>
    </row>
    <row r="82" spans="1:18" s="8" customFormat="1" ht="30" customHeight="1" x14ac:dyDescent="0.3">
      <c r="A82" s="133" t="s">
        <v>30</v>
      </c>
      <c r="B82" s="134"/>
      <c r="C82" s="134"/>
      <c r="D82" s="134"/>
      <c r="E82" s="134"/>
      <c r="F82" s="134"/>
      <c r="G82" s="134"/>
      <c r="H82" s="134"/>
      <c r="I82" s="134"/>
      <c r="J82" s="134"/>
      <c r="K82" s="135"/>
      <c r="L82" s="135"/>
      <c r="M82" s="135"/>
      <c r="N82" s="135"/>
      <c r="O82" s="134"/>
      <c r="P82" s="134"/>
      <c r="Q82" s="134"/>
      <c r="R82" s="136"/>
    </row>
    <row r="83" spans="1:18" s="12" customFormat="1" ht="14.55" customHeight="1" x14ac:dyDescent="0.3">
      <c r="A83" s="128" t="s">
        <v>1</v>
      </c>
      <c r="B83" s="137" t="s">
        <v>2</v>
      </c>
      <c r="C83" s="137" t="s">
        <v>3</v>
      </c>
      <c r="D83" s="137" t="s">
        <v>4</v>
      </c>
      <c r="E83" s="124" t="s">
        <v>5</v>
      </c>
      <c r="F83" s="138" t="s">
        <v>14</v>
      </c>
      <c r="G83" s="138" t="s">
        <v>15</v>
      </c>
      <c r="H83" s="119" t="s">
        <v>29</v>
      </c>
      <c r="I83" s="121" t="s">
        <v>6</v>
      </c>
      <c r="J83" s="122"/>
      <c r="K83" s="122"/>
      <c r="L83" s="123"/>
      <c r="M83" s="124" t="s">
        <v>7</v>
      </c>
      <c r="N83" s="125"/>
      <c r="O83" s="128" t="s">
        <v>8</v>
      </c>
      <c r="P83" s="128" t="s">
        <v>9</v>
      </c>
      <c r="Q83" s="128"/>
      <c r="R83" s="128"/>
    </row>
    <row r="84" spans="1:18" s="12" customFormat="1" ht="13.05" customHeight="1" x14ac:dyDescent="0.3">
      <c r="A84" s="128"/>
      <c r="B84" s="137"/>
      <c r="C84" s="137"/>
      <c r="D84" s="137"/>
      <c r="E84" s="126"/>
      <c r="F84" s="139"/>
      <c r="G84" s="139"/>
      <c r="H84" s="120"/>
      <c r="I84" s="121" t="s">
        <v>19</v>
      </c>
      <c r="J84" s="123"/>
      <c r="K84" s="121" t="s">
        <v>20</v>
      </c>
      <c r="L84" s="123"/>
      <c r="M84" s="126"/>
      <c r="N84" s="127"/>
      <c r="O84" s="128"/>
      <c r="P84" s="128"/>
      <c r="Q84" s="128"/>
      <c r="R84" s="128"/>
    </row>
    <row r="85" spans="1:18" ht="14.55" customHeight="1" x14ac:dyDescent="0.3">
      <c r="A85" s="140" t="s">
        <v>35</v>
      </c>
      <c r="B85" s="5">
        <v>0.33333333333333331</v>
      </c>
      <c r="C85" s="5">
        <v>0.58333333333333337</v>
      </c>
      <c r="D85" s="4">
        <v>250067</v>
      </c>
      <c r="E85" s="3" t="s">
        <v>129</v>
      </c>
      <c r="F85" s="19">
        <v>430</v>
      </c>
      <c r="G85" s="20">
        <v>0.5</v>
      </c>
      <c r="H85" s="28" t="s">
        <v>130</v>
      </c>
      <c r="I85" s="143">
        <v>980</v>
      </c>
      <c r="J85" s="144"/>
      <c r="K85" s="143"/>
      <c r="L85" s="144"/>
      <c r="M85" s="40"/>
      <c r="N85" s="6" t="s">
        <v>13</v>
      </c>
      <c r="O85" s="21"/>
      <c r="P85" s="173" t="s">
        <v>159</v>
      </c>
      <c r="Q85" s="174"/>
      <c r="R85" s="175"/>
    </row>
    <row r="86" spans="1:18" ht="14.55" customHeight="1" x14ac:dyDescent="0.3">
      <c r="A86" s="166"/>
      <c r="B86" s="5">
        <v>0.58333333333333337</v>
      </c>
      <c r="C86" s="5"/>
      <c r="D86" s="4">
        <v>250063</v>
      </c>
      <c r="E86" s="3" t="s">
        <v>154</v>
      </c>
      <c r="F86" s="19">
        <v>430</v>
      </c>
      <c r="G86" s="20">
        <v>0.5</v>
      </c>
      <c r="H86" s="28" t="s">
        <v>130</v>
      </c>
      <c r="I86" s="143">
        <v>200</v>
      </c>
      <c r="J86" s="144"/>
      <c r="K86" s="143"/>
      <c r="L86" s="144"/>
      <c r="M86" s="40"/>
      <c r="N86" s="6" t="s">
        <v>13</v>
      </c>
      <c r="O86" s="21"/>
      <c r="P86" s="176"/>
      <c r="Q86" s="177"/>
      <c r="R86" s="178"/>
    </row>
    <row r="87" spans="1:18" ht="14.55" hidden="1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40"/>
      <c r="N87" s="6" t="s">
        <v>13</v>
      </c>
      <c r="O87" s="21"/>
      <c r="P87" s="176"/>
      <c r="Q87" s="177"/>
      <c r="R87" s="178"/>
    </row>
    <row r="88" spans="1:18" ht="14.55" hidden="1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40"/>
      <c r="N88" s="6" t="s">
        <v>13</v>
      </c>
      <c r="O88" s="21"/>
      <c r="P88" s="176"/>
      <c r="Q88" s="177"/>
      <c r="R88" s="178"/>
    </row>
    <row r="89" spans="1:18" ht="14.55" hidden="1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40"/>
      <c r="N89" s="6" t="s">
        <v>13</v>
      </c>
      <c r="O89" s="21"/>
      <c r="P89" s="176"/>
      <c r="Q89" s="177"/>
      <c r="R89" s="178"/>
    </row>
    <row r="90" spans="1:18" ht="14.55" hidden="1" customHeight="1" x14ac:dyDescent="0.3">
      <c r="A90" s="166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40"/>
      <c r="N90" s="6" t="s">
        <v>13</v>
      </c>
      <c r="O90" s="21"/>
      <c r="P90" s="176"/>
      <c r="Q90" s="177"/>
      <c r="R90" s="178"/>
    </row>
    <row r="91" spans="1:18" ht="14.55" hidden="1" customHeight="1" x14ac:dyDescent="0.3">
      <c r="A91" s="166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40"/>
      <c r="N91" s="6" t="s">
        <v>13</v>
      </c>
      <c r="O91" s="21"/>
      <c r="P91" s="176"/>
      <c r="Q91" s="177"/>
      <c r="R91" s="178"/>
    </row>
    <row r="92" spans="1:18" ht="14.55" hidden="1" customHeight="1" x14ac:dyDescent="0.3">
      <c r="A92" s="166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40"/>
      <c r="N92" s="6" t="s">
        <v>13</v>
      </c>
      <c r="O92" s="21"/>
      <c r="P92" s="176"/>
      <c r="Q92" s="177"/>
      <c r="R92" s="178"/>
    </row>
    <row r="93" spans="1:18" ht="14.55" customHeight="1" x14ac:dyDescent="0.3">
      <c r="A93" s="166"/>
      <c r="B93" s="5"/>
      <c r="C93" s="5">
        <v>0.875</v>
      </c>
      <c r="D93" s="4">
        <v>250067</v>
      </c>
      <c r="E93" s="3" t="s">
        <v>155</v>
      </c>
      <c r="F93" s="19">
        <v>430</v>
      </c>
      <c r="G93" s="20">
        <v>0.5</v>
      </c>
      <c r="H93" s="28" t="s">
        <v>130</v>
      </c>
      <c r="I93" s="143">
        <v>984</v>
      </c>
      <c r="J93" s="144"/>
      <c r="K93" s="143"/>
      <c r="L93" s="144"/>
      <c r="M93" s="40"/>
      <c r="N93" s="6" t="s">
        <v>13</v>
      </c>
      <c r="O93" s="21"/>
      <c r="P93" s="176"/>
      <c r="Q93" s="177"/>
      <c r="R93" s="178"/>
    </row>
    <row r="94" spans="1:18" ht="14.55" customHeight="1" x14ac:dyDescent="0.3">
      <c r="A94" s="166"/>
      <c r="B94" s="5"/>
      <c r="C94" s="5"/>
      <c r="D94" s="4"/>
      <c r="E94" s="3"/>
      <c r="F94" s="19"/>
      <c r="G94" s="20"/>
      <c r="H94" s="28"/>
      <c r="I94" s="143"/>
      <c r="J94" s="144"/>
      <c r="K94" s="143"/>
      <c r="L94" s="144"/>
      <c r="M94" s="40"/>
      <c r="N94" s="6" t="s">
        <v>13</v>
      </c>
      <c r="O94" s="21"/>
      <c r="P94" s="176"/>
      <c r="Q94" s="177"/>
      <c r="R94" s="178"/>
    </row>
    <row r="95" spans="1:18" ht="14.55" customHeight="1" x14ac:dyDescent="0.3">
      <c r="A95" s="167"/>
      <c r="B95" s="148" t="s">
        <v>0</v>
      </c>
      <c r="C95" s="149"/>
      <c r="D95" s="149"/>
      <c r="E95" s="149"/>
      <c r="F95" s="149"/>
      <c r="G95" s="149"/>
      <c r="H95" s="149"/>
      <c r="I95" s="150">
        <f>SUM(I85:J94)</f>
        <v>2164</v>
      </c>
      <c r="J95" s="151"/>
      <c r="K95" s="150">
        <f>SUM(K85:L94)</f>
        <v>0</v>
      </c>
      <c r="L95" s="151"/>
      <c r="M95" s="10">
        <f>SUM(M90:M94)</f>
        <v>0</v>
      </c>
      <c r="N95" s="11" t="s">
        <v>13</v>
      </c>
      <c r="O95" s="9"/>
      <c r="P95" s="179"/>
      <c r="Q95" s="180"/>
      <c r="R95" s="181"/>
    </row>
    <row r="96" spans="1:18" ht="14.55" customHeight="1" x14ac:dyDescent="0.3">
      <c r="D96" s="35"/>
      <c r="E96" s="1"/>
      <c r="F96" s="1"/>
      <c r="G96" s="1"/>
      <c r="H96" s="1"/>
      <c r="M96" s="35"/>
    </row>
    <row r="97" spans="5:12" x14ac:dyDescent="0.3">
      <c r="E97" s="148" t="s">
        <v>34</v>
      </c>
      <c r="F97" s="149"/>
      <c r="G97" s="149"/>
      <c r="H97" s="149"/>
      <c r="I97" s="152" t="s">
        <v>19</v>
      </c>
      <c r="J97" s="153"/>
      <c r="K97" s="152" t="s">
        <v>20</v>
      </c>
      <c r="L97" s="153"/>
    </row>
    <row r="98" spans="5:12" s="36" customFormat="1" x14ac:dyDescent="0.3">
      <c r="E98" s="7"/>
      <c r="F98" s="7"/>
      <c r="G98" s="7"/>
      <c r="H98" s="7"/>
      <c r="I98" s="22">
        <f>I95</f>
        <v>2164</v>
      </c>
      <c r="J98" s="14" t="s">
        <v>12</v>
      </c>
      <c r="K98" s="22">
        <f>K95</f>
        <v>0</v>
      </c>
      <c r="L98" s="15" t="s">
        <v>12</v>
      </c>
    </row>
    <row r="99" spans="5:12" ht="24.45" customHeight="1" x14ac:dyDescent="0.3">
      <c r="E99" s="13"/>
      <c r="F99" s="13"/>
      <c r="G99" s="13"/>
      <c r="H99" s="13"/>
      <c r="I99" s="154">
        <f>I98+K98</f>
        <v>2164</v>
      </c>
      <c r="J99" s="155"/>
      <c r="K99" s="155"/>
      <c r="L99" s="156"/>
    </row>
  </sheetData>
  <mergeCells count="229">
    <mergeCell ref="P85:R95"/>
    <mergeCell ref="E97:H97"/>
    <mergeCell ref="I97:J97"/>
    <mergeCell ref="K97:L97"/>
    <mergeCell ref="I99:L99"/>
    <mergeCell ref="K93:L93"/>
    <mergeCell ref="I94:J94"/>
    <mergeCell ref="K94:L94"/>
    <mergeCell ref="B95:H95"/>
    <mergeCell ref="I95:J95"/>
    <mergeCell ref="K95:L95"/>
    <mergeCell ref="A85:A95"/>
    <mergeCell ref="I85:J85"/>
    <mergeCell ref="K85:L85"/>
    <mergeCell ref="I86:J86"/>
    <mergeCell ref="K86:L86"/>
    <mergeCell ref="I87:J87"/>
    <mergeCell ref="K87:L87"/>
    <mergeCell ref="I88:J88"/>
    <mergeCell ref="K88:L88"/>
    <mergeCell ref="I89:J89"/>
    <mergeCell ref="K89:L89"/>
    <mergeCell ref="I90:J90"/>
    <mergeCell ref="K90:L90"/>
    <mergeCell ref="I91:J91"/>
    <mergeCell ref="K91:L91"/>
    <mergeCell ref="I92:J92"/>
    <mergeCell ref="K92:L92"/>
    <mergeCell ref="I93:J93"/>
    <mergeCell ref="I83:L83"/>
    <mergeCell ref="M83:N84"/>
    <mergeCell ref="O83:O84"/>
    <mergeCell ref="P83:R84"/>
    <mergeCell ref="I84:J84"/>
    <mergeCell ref="K84:L84"/>
    <mergeCell ref="I80:L80"/>
    <mergeCell ref="A82:R82"/>
    <mergeCell ref="A83:A84"/>
    <mergeCell ref="B83:B84"/>
    <mergeCell ref="C83:C84"/>
    <mergeCell ref="D83:D84"/>
    <mergeCell ref="E83:E84"/>
    <mergeCell ref="F83:F84"/>
    <mergeCell ref="G83:G84"/>
    <mergeCell ref="H83:H84"/>
    <mergeCell ref="B76:H76"/>
    <mergeCell ref="I76:J76"/>
    <mergeCell ref="K76:L76"/>
    <mergeCell ref="E78:H78"/>
    <mergeCell ref="I78:J78"/>
    <mergeCell ref="K78:L78"/>
    <mergeCell ref="I71:J71"/>
    <mergeCell ref="K71:L71"/>
    <mergeCell ref="I72:J72"/>
    <mergeCell ref="K72:L72"/>
    <mergeCell ref="I75:J75"/>
    <mergeCell ref="K75:L75"/>
    <mergeCell ref="I73:J73"/>
    <mergeCell ref="K73:L73"/>
    <mergeCell ref="I74:J74"/>
    <mergeCell ref="K74:L74"/>
    <mergeCell ref="K68:L68"/>
    <mergeCell ref="I69:J69"/>
    <mergeCell ref="K69:L69"/>
    <mergeCell ref="I70:J70"/>
    <mergeCell ref="K70:L70"/>
    <mergeCell ref="I65:J65"/>
    <mergeCell ref="K65:L65"/>
    <mergeCell ref="I66:J66"/>
    <mergeCell ref="K66:L66"/>
    <mergeCell ref="I67:J67"/>
    <mergeCell ref="K67:L67"/>
    <mergeCell ref="A59:A76"/>
    <mergeCell ref="I59:J59"/>
    <mergeCell ref="K59:L59"/>
    <mergeCell ref="P59:R76"/>
    <mergeCell ref="I60:J60"/>
    <mergeCell ref="K60:L60"/>
    <mergeCell ref="I61:J61"/>
    <mergeCell ref="F57:F58"/>
    <mergeCell ref="G57:G58"/>
    <mergeCell ref="H57:H58"/>
    <mergeCell ref="I57:L57"/>
    <mergeCell ref="M57:N58"/>
    <mergeCell ref="O57:O58"/>
    <mergeCell ref="K61:L61"/>
    <mergeCell ref="I62:J62"/>
    <mergeCell ref="K62:L62"/>
    <mergeCell ref="I63:J63"/>
    <mergeCell ref="K63:L63"/>
    <mergeCell ref="I64:J64"/>
    <mergeCell ref="K64:L64"/>
    <mergeCell ref="P57:R58"/>
    <mergeCell ref="I58:J58"/>
    <mergeCell ref="K58:L58"/>
    <mergeCell ref="I68:J68"/>
    <mergeCell ref="E52:H52"/>
    <mergeCell ref="I52:J52"/>
    <mergeCell ref="K52:L52"/>
    <mergeCell ref="I54:L54"/>
    <mergeCell ref="A56:R56"/>
    <mergeCell ref="A57:A58"/>
    <mergeCell ref="B57:B58"/>
    <mergeCell ref="C57:C58"/>
    <mergeCell ref="D57:D58"/>
    <mergeCell ref="E57:E58"/>
    <mergeCell ref="P45:R50"/>
    <mergeCell ref="I46:J46"/>
    <mergeCell ref="K46:L46"/>
    <mergeCell ref="I47:J47"/>
    <mergeCell ref="K47:L47"/>
    <mergeCell ref="I48:J48"/>
    <mergeCell ref="K48:L48"/>
    <mergeCell ref="I49:J49"/>
    <mergeCell ref="K49:L49"/>
    <mergeCell ref="I50:J50"/>
    <mergeCell ref="B44:H44"/>
    <mergeCell ref="I44:J44"/>
    <mergeCell ref="K44:L44"/>
    <mergeCell ref="A45:A50"/>
    <mergeCell ref="I45:J45"/>
    <mergeCell ref="K45:L45"/>
    <mergeCell ref="B50:H50"/>
    <mergeCell ref="K50:L50"/>
    <mergeCell ref="A39:A44"/>
    <mergeCell ref="I39:J39"/>
    <mergeCell ref="K39:L39"/>
    <mergeCell ref="P39:R44"/>
    <mergeCell ref="I40:J40"/>
    <mergeCell ref="K40:L40"/>
    <mergeCell ref="I41:J41"/>
    <mergeCell ref="K41:L41"/>
    <mergeCell ref="I42:J42"/>
    <mergeCell ref="K42:L42"/>
    <mergeCell ref="K35:L35"/>
    <mergeCell ref="I36:J36"/>
    <mergeCell ref="K36:L36"/>
    <mergeCell ref="I37:J37"/>
    <mergeCell ref="K37:L37"/>
    <mergeCell ref="I43:J43"/>
    <mergeCell ref="K43:L43"/>
    <mergeCell ref="B38:H38"/>
    <mergeCell ref="I38:J38"/>
    <mergeCell ref="K38:L38"/>
    <mergeCell ref="P31:R32"/>
    <mergeCell ref="I32:J32"/>
    <mergeCell ref="K32:L32"/>
    <mergeCell ref="A33:A38"/>
    <mergeCell ref="I33:J33"/>
    <mergeCell ref="K33:L33"/>
    <mergeCell ref="P33:R38"/>
    <mergeCell ref="I34:J34"/>
    <mergeCell ref="K34:L34"/>
    <mergeCell ref="I35:J35"/>
    <mergeCell ref="F31:F32"/>
    <mergeCell ref="G31:G32"/>
    <mergeCell ref="H31:H32"/>
    <mergeCell ref="I31:L31"/>
    <mergeCell ref="M31:N32"/>
    <mergeCell ref="O31:O32"/>
    <mergeCell ref="E26:H26"/>
    <mergeCell ref="I26:J26"/>
    <mergeCell ref="K26:L26"/>
    <mergeCell ref="I28:L28"/>
    <mergeCell ref="A30:R30"/>
    <mergeCell ref="A31:A32"/>
    <mergeCell ref="B31:B32"/>
    <mergeCell ref="C31:C32"/>
    <mergeCell ref="D31:D32"/>
    <mergeCell ref="E31:E32"/>
    <mergeCell ref="P16:R24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A7:A15"/>
    <mergeCell ref="I7:J7"/>
    <mergeCell ref="K7:L7"/>
    <mergeCell ref="I14:J14"/>
    <mergeCell ref="K14:L14"/>
    <mergeCell ref="B15:H15"/>
    <mergeCell ref="I15:J15"/>
    <mergeCell ref="K15:L15"/>
    <mergeCell ref="A16:A24"/>
    <mergeCell ref="I16:J16"/>
    <mergeCell ref="K16:L16"/>
    <mergeCell ref="K21:L21"/>
    <mergeCell ref="I22:J22"/>
    <mergeCell ref="K22:L22"/>
    <mergeCell ref="I23:J23"/>
    <mergeCell ref="K23:L23"/>
    <mergeCell ref="B24:H24"/>
    <mergeCell ref="I24:J24"/>
    <mergeCell ref="K24:L24"/>
    <mergeCell ref="P7:R15"/>
    <mergeCell ref="I8:J8"/>
    <mergeCell ref="K8:L8"/>
    <mergeCell ref="I9:J9"/>
    <mergeCell ref="K9:L9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I11:J11"/>
    <mergeCell ref="K11:L11"/>
    <mergeCell ref="I12:J12"/>
    <mergeCell ref="K12:L12"/>
    <mergeCell ref="I13:J13"/>
    <mergeCell ref="K13:L13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6"/>
  <sheetViews>
    <sheetView topLeftCell="B28" zoomScale="85" zoomScaleNormal="85" workbookViewId="0">
      <selection activeCell="I74" sqref="I74:L74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45922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33">
        <v>270825</v>
      </c>
      <c r="E7" s="49" t="s">
        <v>121</v>
      </c>
      <c r="F7" s="19">
        <v>430</v>
      </c>
      <c r="G7" s="20">
        <v>0.5</v>
      </c>
      <c r="H7" s="28" t="s">
        <v>55</v>
      </c>
      <c r="I7" s="143">
        <v>1785</v>
      </c>
      <c r="J7" s="144"/>
      <c r="K7" s="143"/>
      <c r="L7" s="144"/>
      <c r="M7" s="50">
        <v>50</v>
      </c>
      <c r="N7" s="6" t="s">
        <v>13</v>
      </c>
      <c r="O7" s="21" t="s">
        <v>134</v>
      </c>
      <c r="P7" s="145" t="s">
        <v>136</v>
      </c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31">
        <v>225066</v>
      </c>
      <c r="E8" s="53" t="s">
        <v>133</v>
      </c>
      <c r="F8" s="19">
        <v>430</v>
      </c>
      <c r="G8" s="20">
        <v>0.5</v>
      </c>
      <c r="H8" s="28" t="s">
        <v>55</v>
      </c>
      <c r="I8" s="143">
        <v>785</v>
      </c>
      <c r="J8" s="144"/>
      <c r="K8" s="143"/>
      <c r="L8" s="144"/>
      <c r="M8" s="50">
        <v>60</v>
      </c>
      <c r="N8" s="6" t="s">
        <v>13</v>
      </c>
      <c r="O8" s="21" t="s">
        <v>135</v>
      </c>
      <c r="P8" s="145"/>
      <c r="Q8" s="146"/>
      <c r="R8" s="147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8"/>
      <c r="I9" s="143"/>
      <c r="J9" s="144"/>
      <c r="K9" s="143"/>
      <c r="L9" s="144"/>
      <c r="M9" s="50"/>
      <c r="N9" s="6" t="s">
        <v>13</v>
      </c>
      <c r="O9" s="21"/>
      <c r="P9" s="145"/>
      <c r="Q9" s="146"/>
      <c r="R9" s="147"/>
    </row>
    <row r="10" spans="1:18" ht="14.55" hidden="1" customHeight="1" x14ac:dyDescent="0.3">
      <c r="A10" s="141"/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50"/>
      <c r="N10" s="6" t="s">
        <v>13</v>
      </c>
      <c r="O10" s="21"/>
      <c r="P10" s="145"/>
      <c r="Q10" s="146"/>
      <c r="R10" s="147"/>
    </row>
    <row r="11" spans="1:18" ht="14.55" hidden="1" customHeight="1" x14ac:dyDescent="0.3">
      <c r="A11" s="141"/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50"/>
      <c r="N11" s="6" t="s">
        <v>13</v>
      </c>
      <c r="O11" s="21"/>
      <c r="P11" s="145"/>
      <c r="Q11" s="146"/>
      <c r="R11" s="147"/>
    </row>
    <row r="12" spans="1:18" ht="14.55" hidden="1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50"/>
      <c r="N12" s="6" t="s">
        <v>13</v>
      </c>
      <c r="O12" s="21"/>
      <c r="P12" s="145"/>
      <c r="Q12" s="146"/>
      <c r="R12" s="147"/>
    </row>
    <row r="13" spans="1:18" ht="14.55" hidden="1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50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50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2570</v>
      </c>
      <c r="J15" s="151"/>
      <c r="K15" s="150">
        <f>SUM(K7:L14)</f>
        <v>0</v>
      </c>
      <c r="L15" s="151"/>
      <c r="M15" s="10">
        <f>SUM(M7:M14)</f>
        <v>110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50"/>
      <c r="N16" s="6" t="s">
        <v>13</v>
      </c>
      <c r="O16" s="21"/>
      <c r="P16" s="145"/>
      <c r="Q16" s="146"/>
      <c r="R16" s="147"/>
    </row>
    <row r="17" spans="1:18" ht="14.55" hidden="1" customHeight="1" x14ac:dyDescent="0.3">
      <c r="A17" s="166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50"/>
      <c r="N17" s="6" t="s">
        <v>13</v>
      </c>
      <c r="O17" s="21"/>
      <c r="P17" s="145"/>
      <c r="Q17" s="146"/>
      <c r="R17" s="147"/>
    </row>
    <row r="18" spans="1:18" ht="14.55" hidden="1" customHeight="1" x14ac:dyDescent="0.3">
      <c r="A18" s="166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50"/>
      <c r="N18" s="6" t="s">
        <v>13</v>
      </c>
      <c r="O18" s="21"/>
      <c r="P18" s="145"/>
      <c r="Q18" s="146"/>
      <c r="R18" s="147"/>
    </row>
    <row r="19" spans="1:18" ht="14.55" hidden="1" customHeight="1" x14ac:dyDescent="0.3">
      <c r="A19" s="166"/>
      <c r="B19" s="5"/>
      <c r="C19" s="5"/>
      <c r="D19" s="4"/>
      <c r="E19" s="3"/>
      <c r="F19" s="19"/>
      <c r="G19" s="20"/>
      <c r="H19" s="28"/>
      <c r="I19" s="143"/>
      <c r="J19" s="144"/>
      <c r="K19" s="143"/>
      <c r="L19" s="144"/>
      <c r="M19" s="50"/>
      <c r="N19" s="6" t="s">
        <v>13</v>
      </c>
      <c r="O19" s="21"/>
      <c r="P19" s="145"/>
      <c r="Q19" s="146"/>
      <c r="R19" s="147"/>
    </row>
    <row r="20" spans="1:18" ht="14.55" hidden="1" customHeight="1" x14ac:dyDescent="0.3">
      <c r="A20" s="141"/>
      <c r="B20" s="5"/>
      <c r="C20" s="5"/>
      <c r="D20" s="4"/>
      <c r="E20" s="3"/>
      <c r="F20" s="19"/>
      <c r="G20" s="20"/>
      <c r="H20" s="28"/>
      <c r="I20" s="143"/>
      <c r="J20" s="144"/>
      <c r="K20" s="143"/>
      <c r="L20" s="144"/>
      <c r="M20" s="50"/>
      <c r="N20" s="6" t="s">
        <v>13</v>
      </c>
      <c r="O20" s="21"/>
      <c r="P20" s="145"/>
      <c r="Q20" s="146"/>
      <c r="R20" s="147"/>
    </row>
    <row r="21" spans="1:18" ht="14.55" hidden="1" customHeight="1" x14ac:dyDescent="0.3">
      <c r="A21" s="141"/>
      <c r="B21" s="5"/>
      <c r="C21" s="5"/>
      <c r="D21" s="4"/>
      <c r="E21" s="3"/>
      <c r="F21" s="19"/>
      <c r="G21" s="20"/>
      <c r="H21" s="28"/>
      <c r="I21" s="143"/>
      <c r="J21" s="144"/>
      <c r="K21" s="143"/>
      <c r="L21" s="144"/>
      <c r="M21" s="50"/>
      <c r="N21" s="6" t="s">
        <v>13</v>
      </c>
      <c r="O21" s="21"/>
      <c r="P21" s="145"/>
      <c r="Q21" s="146"/>
      <c r="R21" s="147"/>
    </row>
    <row r="22" spans="1:18" ht="14.55" hidden="1" customHeight="1" x14ac:dyDescent="0.3">
      <c r="A22" s="141"/>
      <c r="B22" s="5"/>
      <c r="C22" s="5"/>
      <c r="D22" s="4"/>
      <c r="E22" s="3"/>
      <c r="F22" s="19"/>
      <c r="G22" s="20"/>
      <c r="H22" s="28"/>
      <c r="I22" s="143"/>
      <c r="J22" s="144"/>
      <c r="K22" s="143"/>
      <c r="L22" s="144"/>
      <c r="M22" s="50"/>
      <c r="N22" s="6" t="s">
        <v>13</v>
      </c>
      <c r="O22" s="21"/>
      <c r="P22" s="145"/>
      <c r="Q22" s="146"/>
      <c r="R22" s="147"/>
    </row>
    <row r="23" spans="1:18" ht="14.55" customHeight="1" x14ac:dyDescent="0.3">
      <c r="A23" s="141"/>
      <c r="B23" s="5"/>
      <c r="C23" s="5"/>
      <c r="D23" s="4"/>
      <c r="E23" s="3"/>
      <c r="F23" s="19"/>
      <c r="G23" s="20"/>
      <c r="H23" s="28"/>
      <c r="I23" s="143"/>
      <c r="J23" s="144"/>
      <c r="K23" s="143"/>
      <c r="L23" s="144"/>
      <c r="M23" s="50"/>
      <c r="N23" s="6" t="s">
        <v>13</v>
      </c>
      <c r="O23" s="21"/>
      <c r="P23" s="145"/>
      <c r="Q23" s="146"/>
      <c r="R23" s="147"/>
    </row>
    <row r="24" spans="1:18" ht="14.55" customHeight="1" x14ac:dyDescent="0.3">
      <c r="A24" s="142"/>
      <c r="B24" s="148" t="s">
        <v>0</v>
      </c>
      <c r="C24" s="149"/>
      <c r="D24" s="149"/>
      <c r="E24" s="149"/>
      <c r="F24" s="149"/>
      <c r="G24" s="149"/>
      <c r="H24" s="149"/>
      <c r="I24" s="150">
        <f>SUM(I16:J23)</f>
        <v>0</v>
      </c>
      <c r="J24" s="151"/>
      <c r="K24" s="150">
        <f>SUM(K16:L23)</f>
        <v>0</v>
      </c>
      <c r="L24" s="151"/>
      <c r="M24" s="10">
        <f>SUM(M16:M23)</f>
        <v>0</v>
      </c>
      <c r="N24" s="11" t="s">
        <v>13</v>
      </c>
      <c r="O24" s="9"/>
      <c r="P24" s="145"/>
      <c r="Q24" s="146"/>
      <c r="R24" s="147"/>
    </row>
    <row r="25" spans="1:18" ht="14.55" customHeight="1" x14ac:dyDescent="0.3">
      <c r="D25" s="35"/>
      <c r="E25" s="1"/>
      <c r="F25" s="1"/>
      <c r="G25" s="1"/>
      <c r="H25" s="1"/>
      <c r="M25" s="35"/>
    </row>
    <row r="26" spans="1:18" x14ac:dyDescent="0.3">
      <c r="E26" s="148" t="s">
        <v>16</v>
      </c>
      <c r="F26" s="149"/>
      <c r="G26" s="149"/>
      <c r="H26" s="149"/>
      <c r="I26" s="152" t="s">
        <v>19</v>
      </c>
      <c r="J26" s="153"/>
      <c r="K26" s="152" t="s">
        <v>20</v>
      </c>
      <c r="L26" s="153"/>
    </row>
    <row r="27" spans="1:18" s="36" customFormat="1" x14ac:dyDescent="0.3">
      <c r="E27" s="7"/>
      <c r="F27" s="7"/>
      <c r="G27" s="7"/>
      <c r="H27" s="7"/>
      <c r="I27" s="22">
        <f>I15+I24</f>
        <v>2570</v>
      </c>
      <c r="J27" s="14" t="s">
        <v>12</v>
      </c>
      <c r="K27" s="22">
        <f>K15+K24</f>
        <v>0</v>
      </c>
      <c r="L27" s="15" t="s">
        <v>12</v>
      </c>
    </row>
    <row r="28" spans="1:18" ht="24.45" customHeight="1" x14ac:dyDescent="0.3">
      <c r="E28" s="13"/>
      <c r="F28" s="13"/>
      <c r="G28" s="13"/>
      <c r="H28" s="13"/>
      <c r="I28" s="154">
        <f>I27+K27</f>
        <v>2570</v>
      </c>
      <c r="J28" s="155"/>
      <c r="K28" s="155"/>
      <c r="L28" s="156"/>
    </row>
    <row r="29" spans="1:18" ht="15" customHeight="1" x14ac:dyDescent="0.3">
      <c r="D29" s="35"/>
      <c r="I29" s="35"/>
      <c r="J29" s="35"/>
      <c r="K29" s="23"/>
      <c r="L29" s="23"/>
      <c r="M29" s="23"/>
      <c r="N29" s="23"/>
    </row>
    <row r="30" spans="1:18" s="8" customFormat="1" ht="30" customHeight="1" x14ac:dyDescent="0.3">
      <c r="A30" s="133" t="s">
        <v>36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5"/>
      <c r="L30" s="135"/>
      <c r="M30" s="135"/>
      <c r="N30" s="135"/>
      <c r="O30" s="134"/>
      <c r="P30" s="134"/>
      <c r="Q30" s="134"/>
      <c r="R30" s="136"/>
    </row>
    <row r="31" spans="1:18" s="12" customFormat="1" ht="14.55" customHeight="1" x14ac:dyDescent="0.3">
      <c r="A31" s="128" t="s">
        <v>1</v>
      </c>
      <c r="B31" s="137" t="s">
        <v>2</v>
      </c>
      <c r="C31" s="137" t="s">
        <v>3</v>
      </c>
      <c r="D31" s="137" t="s">
        <v>4</v>
      </c>
      <c r="E31" s="124" t="s">
        <v>5</v>
      </c>
      <c r="F31" s="138" t="s">
        <v>14</v>
      </c>
      <c r="G31" s="138" t="s">
        <v>15</v>
      </c>
      <c r="H31" s="119" t="s">
        <v>29</v>
      </c>
      <c r="I31" s="121" t="s">
        <v>6</v>
      </c>
      <c r="J31" s="122"/>
      <c r="K31" s="122"/>
      <c r="L31" s="123"/>
      <c r="M31" s="124" t="s">
        <v>7</v>
      </c>
      <c r="N31" s="125"/>
      <c r="O31" s="128" t="s">
        <v>8</v>
      </c>
      <c r="P31" s="128" t="s">
        <v>9</v>
      </c>
      <c r="Q31" s="128"/>
      <c r="R31" s="128"/>
    </row>
    <row r="32" spans="1:18" s="12" customFormat="1" ht="13.05" customHeight="1" x14ac:dyDescent="0.3">
      <c r="A32" s="128"/>
      <c r="B32" s="137"/>
      <c r="C32" s="137"/>
      <c r="D32" s="137"/>
      <c r="E32" s="126"/>
      <c r="F32" s="139"/>
      <c r="G32" s="139"/>
      <c r="H32" s="120"/>
      <c r="I32" s="121" t="s">
        <v>19</v>
      </c>
      <c r="J32" s="123"/>
      <c r="K32" s="121" t="s">
        <v>20</v>
      </c>
      <c r="L32" s="123"/>
      <c r="M32" s="126"/>
      <c r="N32" s="127"/>
      <c r="O32" s="128"/>
      <c r="P32" s="128"/>
      <c r="Q32" s="128"/>
      <c r="R32" s="128"/>
    </row>
    <row r="33" spans="1:18" ht="14.55" customHeight="1" x14ac:dyDescent="0.3">
      <c r="A33" s="140" t="s">
        <v>37</v>
      </c>
      <c r="B33" s="5">
        <v>0.33333333333333331</v>
      </c>
      <c r="C33" s="5"/>
      <c r="D33" s="4">
        <v>250066</v>
      </c>
      <c r="E33" s="3" t="s">
        <v>138</v>
      </c>
      <c r="F33" s="19">
        <v>430</v>
      </c>
      <c r="G33" s="20">
        <v>0.5</v>
      </c>
      <c r="H33" s="28" t="s">
        <v>137</v>
      </c>
      <c r="I33" s="143">
        <v>751</v>
      </c>
      <c r="J33" s="144"/>
      <c r="K33" s="143"/>
      <c r="L33" s="144"/>
      <c r="M33" s="50">
        <v>50</v>
      </c>
      <c r="N33" s="6" t="s">
        <v>13</v>
      </c>
      <c r="O33" s="21" t="s">
        <v>146</v>
      </c>
      <c r="P33" s="157"/>
      <c r="Q33" s="158"/>
      <c r="R33" s="159"/>
    </row>
    <row r="34" spans="1:18" ht="14.55" customHeight="1" x14ac:dyDescent="0.3">
      <c r="A34" s="166"/>
      <c r="B34" s="5"/>
      <c r="C34" s="5"/>
      <c r="D34" s="4">
        <v>250064</v>
      </c>
      <c r="E34" s="3" t="s">
        <v>139</v>
      </c>
      <c r="F34" s="19">
        <v>430</v>
      </c>
      <c r="G34" s="20">
        <v>0.5</v>
      </c>
      <c r="H34" s="28" t="s">
        <v>137</v>
      </c>
      <c r="I34" s="143">
        <v>731</v>
      </c>
      <c r="J34" s="144"/>
      <c r="K34" s="143"/>
      <c r="L34" s="144"/>
      <c r="M34" s="50"/>
      <c r="N34" s="6" t="s">
        <v>13</v>
      </c>
      <c r="O34" s="21"/>
      <c r="P34" s="160"/>
      <c r="Q34" s="161"/>
      <c r="R34" s="162"/>
    </row>
    <row r="35" spans="1:18" ht="14.55" customHeight="1" x14ac:dyDescent="0.3">
      <c r="A35" s="166"/>
      <c r="B35" s="5"/>
      <c r="C35" s="5"/>
      <c r="D35" s="4">
        <v>250064</v>
      </c>
      <c r="E35" s="3" t="s">
        <v>140</v>
      </c>
      <c r="F35" s="19">
        <v>430</v>
      </c>
      <c r="G35" s="20">
        <v>0.5</v>
      </c>
      <c r="H35" s="28" t="s">
        <v>137</v>
      </c>
      <c r="I35" s="143">
        <v>31</v>
      </c>
      <c r="J35" s="144"/>
      <c r="K35" s="143"/>
      <c r="L35" s="144"/>
      <c r="M35" s="50"/>
      <c r="N35" s="6" t="s">
        <v>13</v>
      </c>
      <c r="O35" s="21"/>
      <c r="P35" s="160"/>
      <c r="Q35" s="161"/>
      <c r="R35" s="162"/>
    </row>
    <row r="36" spans="1:18" ht="14.55" customHeight="1" x14ac:dyDescent="0.3">
      <c r="A36" s="166"/>
      <c r="B36" s="5"/>
      <c r="C36" s="5"/>
      <c r="D36" s="4">
        <v>250063</v>
      </c>
      <c r="E36" s="3" t="s">
        <v>141</v>
      </c>
      <c r="F36" s="19">
        <v>430</v>
      </c>
      <c r="G36" s="20">
        <v>0.5</v>
      </c>
      <c r="H36" s="28" t="s">
        <v>137</v>
      </c>
      <c r="I36" s="143">
        <v>64</v>
      </c>
      <c r="J36" s="144"/>
      <c r="K36" s="143"/>
      <c r="L36" s="144"/>
      <c r="M36" s="50"/>
      <c r="N36" s="6" t="s">
        <v>13</v>
      </c>
      <c r="O36" s="21"/>
      <c r="P36" s="160"/>
      <c r="Q36" s="161"/>
      <c r="R36" s="162"/>
    </row>
    <row r="37" spans="1:18" ht="14.55" customHeight="1" x14ac:dyDescent="0.3">
      <c r="A37" s="166"/>
      <c r="B37" s="5"/>
      <c r="C37" s="5">
        <v>0.70833333333333337</v>
      </c>
      <c r="D37" s="4">
        <v>250065</v>
      </c>
      <c r="E37" s="3" t="s">
        <v>142</v>
      </c>
      <c r="F37" s="19">
        <v>430</v>
      </c>
      <c r="G37" s="20">
        <v>0.5</v>
      </c>
      <c r="H37" s="28" t="s">
        <v>137</v>
      </c>
      <c r="I37" s="143">
        <v>751</v>
      </c>
      <c r="J37" s="144"/>
      <c r="K37" s="143"/>
      <c r="L37" s="144"/>
      <c r="M37" s="50"/>
      <c r="N37" s="6" t="s">
        <v>13</v>
      </c>
      <c r="O37" s="21"/>
      <c r="P37" s="160"/>
      <c r="Q37" s="161"/>
      <c r="R37" s="162"/>
    </row>
    <row r="38" spans="1:18" ht="14.55" hidden="1" customHeight="1" x14ac:dyDescent="0.3">
      <c r="A38" s="166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50"/>
      <c r="N38" s="6" t="s">
        <v>13</v>
      </c>
      <c r="O38" s="21"/>
      <c r="P38" s="160"/>
      <c r="Q38" s="161"/>
      <c r="R38" s="162"/>
    </row>
    <row r="39" spans="1:18" ht="14.55" hidden="1" customHeight="1" x14ac:dyDescent="0.3">
      <c r="A39" s="166"/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50"/>
      <c r="N39" s="6" t="s">
        <v>13</v>
      </c>
      <c r="O39" s="21"/>
      <c r="P39" s="160"/>
      <c r="Q39" s="161"/>
      <c r="R39" s="162"/>
    </row>
    <row r="40" spans="1:18" ht="14.55" hidden="1" customHeight="1" x14ac:dyDescent="0.3">
      <c r="A40" s="166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50"/>
      <c r="N40" s="6" t="s">
        <v>13</v>
      </c>
      <c r="O40" s="21"/>
      <c r="P40" s="160"/>
      <c r="Q40" s="161"/>
      <c r="R40" s="162"/>
    </row>
    <row r="41" spans="1:18" ht="14.55" hidden="1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50"/>
      <c r="N41" s="6" t="s">
        <v>13</v>
      </c>
      <c r="O41" s="21"/>
      <c r="P41" s="160"/>
      <c r="Q41" s="161"/>
      <c r="R41" s="162"/>
    </row>
    <row r="42" spans="1:18" ht="14.55" hidden="1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50"/>
      <c r="N42" s="6" t="s">
        <v>13</v>
      </c>
      <c r="O42" s="21"/>
      <c r="P42" s="160"/>
      <c r="Q42" s="161"/>
      <c r="R42" s="162"/>
    </row>
    <row r="43" spans="1:18" ht="14.55" hidden="1" customHeight="1" x14ac:dyDescent="0.3">
      <c r="A43" s="166"/>
      <c r="B43" s="5"/>
      <c r="C43" s="5"/>
      <c r="D43" s="4"/>
      <c r="E43" s="3"/>
      <c r="F43" s="19"/>
      <c r="G43" s="20"/>
      <c r="H43" s="28"/>
      <c r="I43" s="143"/>
      <c r="J43" s="144"/>
      <c r="K43" s="143"/>
      <c r="L43" s="144"/>
      <c r="M43" s="50"/>
      <c r="N43" s="6" t="s">
        <v>13</v>
      </c>
      <c r="O43" s="21"/>
      <c r="P43" s="160"/>
      <c r="Q43" s="161"/>
      <c r="R43" s="162"/>
    </row>
    <row r="44" spans="1:18" ht="14.55" hidden="1" customHeight="1" x14ac:dyDescent="0.3">
      <c r="A44" s="166"/>
      <c r="B44" s="5"/>
      <c r="C44" s="5"/>
      <c r="D44" s="4"/>
      <c r="E44" s="3"/>
      <c r="F44" s="19"/>
      <c r="G44" s="20"/>
      <c r="H44" s="28"/>
      <c r="I44" s="143"/>
      <c r="J44" s="144"/>
      <c r="K44" s="143"/>
      <c r="L44" s="144"/>
      <c r="M44" s="50"/>
      <c r="N44" s="6" t="s">
        <v>13</v>
      </c>
      <c r="O44" s="21"/>
      <c r="P44" s="160"/>
      <c r="Q44" s="161"/>
      <c r="R44" s="162"/>
    </row>
    <row r="45" spans="1:18" ht="14.55" hidden="1" customHeight="1" x14ac:dyDescent="0.3">
      <c r="A45" s="166"/>
      <c r="B45" s="5"/>
      <c r="C45" s="5"/>
      <c r="D45" s="4"/>
      <c r="E45" s="3"/>
      <c r="F45" s="19"/>
      <c r="G45" s="20"/>
      <c r="H45" s="28"/>
      <c r="I45" s="143"/>
      <c r="J45" s="144"/>
      <c r="K45" s="143"/>
      <c r="L45" s="144"/>
      <c r="M45" s="50"/>
      <c r="N45" s="6" t="s">
        <v>13</v>
      </c>
      <c r="O45" s="21"/>
      <c r="P45" s="160"/>
      <c r="Q45" s="161"/>
      <c r="R45" s="162"/>
    </row>
    <row r="46" spans="1:18" ht="14.55" hidden="1" customHeight="1" x14ac:dyDescent="0.3">
      <c r="A46" s="166"/>
      <c r="B46" s="5"/>
      <c r="C46" s="5"/>
      <c r="D46" s="4"/>
      <c r="E46" s="3"/>
      <c r="F46" s="19"/>
      <c r="G46" s="20"/>
      <c r="H46" s="28"/>
      <c r="I46" s="143"/>
      <c r="J46" s="144"/>
      <c r="K46" s="143"/>
      <c r="L46" s="144"/>
      <c r="M46" s="50"/>
      <c r="N46" s="6" t="s">
        <v>13</v>
      </c>
      <c r="O46" s="21"/>
      <c r="P46" s="160"/>
      <c r="Q46" s="161"/>
      <c r="R46" s="162"/>
    </row>
    <row r="47" spans="1:18" ht="14.55" customHeight="1" x14ac:dyDescent="0.3">
      <c r="A47" s="166"/>
      <c r="B47" s="5"/>
      <c r="C47" s="5"/>
      <c r="D47" s="4"/>
      <c r="E47" s="3"/>
      <c r="F47" s="19"/>
      <c r="G47" s="20"/>
      <c r="H47" s="28"/>
      <c r="I47" s="143"/>
      <c r="J47" s="144"/>
      <c r="K47" s="143"/>
      <c r="L47" s="144"/>
      <c r="M47" s="50"/>
      <c r="N47" s="6" t="s">
        <v>13</v>
      </c>
      <c r="O47" s="21"/>
      <c r="P47" s="160"/>
      <c r="Q47" s="161"/>
      <c r="R47" s="162"/>
    </row>
    <row r="48" spans="1:18" ht="14.55" customHeight="1" x14ac:dyDescent="0.3">
      <c r="A48" s="167"/>
      <c r="B48" s="148" t="s">
        <v>0</v>
      </c>
      <c r="C48" s="149"/>
      <c r="D48" s="149"/>
      <c r="E48" s="149"/>
      <c r="F48" s="149"/>
      <c r="G48" s="149"/>
      <c r="H48" s="149"/>
      <c r="I48" s="150">
        <f>SUM(I33:J47)</f>
        <v>2328</v>
      </c>
      <c r="J48" s="151"/>
      <c r="K48" s="150">
        <f>SUM(K33:L47)</f>
        <v>0</v>
      </c>
      <c r="L48" s="151"/>
      <c r="M48" s="10">
        <f>SUM(M43:M47)</f>
        <v>0</v>
      </c>
      <c r="N48" s="11" t="s">
        <v>13</v>
      </c>
      <c r="O48" s="9"/>
      <c r="P48" s="163"/>
      <c r="Q48" s="164"/>
      <c r="R48" s="165"/>
    </row>
    <row r="49" spans="1:18" ht="14.55" customHeight="1" x14ac:dyDescent="0.3">
      <c r="D49" s="35"/>
      <c r="E49" s="1"/>
      <c r="F49" s="1"/>
      <c r="G49" s="1"/>
      <c r="H49" s="1"/>
      <c r="M49" s="35"/>
    </row>
    <row r="50" spans="1:18" x14ac:dyDescent="0.3">
      <c r="E50" s="148" t="s">
        <v>33</v>
      </c>
      <c r="F50" s="149"/>
      <c r="G50" s="149"/>
      <c r="H50" s="149"/>
      <c r="I50" s="152" t="s">
        <v>19</v>
      </c>
      <c r="J50" s="153"/>
      <c r="K50" s="152" t="s">
        <v>20</v>
      </c>
      <c r="L50" s="153"/>
    </row>
    <row r="51" spans="1:18" s="36" customFormat="1" x14ac:dyDescent="0.3">
      <c r="E51" s="7"/>
      <c r="F51" s="7"/>
      <c r="G51" s="7"/>
      <c r="H51" s="7"/>
      <c r="I51" s="22">
        <f>I48</f>
        <v>2328</v>
      </c>
      <c r="J51" s="14" t="s">
        <v>12</v>
      </c>
      <c r="K51" s="22">
        <f>K48</f>
        <v>0</v>
      </c>
      <c r="L51" s="15" t="s">
        <v>12</v>
      </c>
    </row>
    <row r="52" spans="1:18" ht="24.45" customHeight="1" x14ac:dyDescent="0.3">
      <c r="E52" s="13"/>
      <c r="F52" s="13"/>
      <c r="G52" s="13"/>
      <c r="H52" s="13"/>
      <c r="I52" s="154">
        <f>I51+K51</f>
        <v>2328</v>
      </c>
      <c r="J52" s="155"/>
      <c r="K52" s="155"/>
      <c r="L52" s="156"/>
    </row>
    <row r="54" spans="1:18" s="8" customFormat="1" ht="30" customHeight="1" x14ac:dyDescent="0.3">
      <c r="A54" s="133" t="s">
        <v>30</v>
      </c>
      <c r="B54" s="134"/>
      <c r="C54" s="134"/>
      <c r="D54" s="134"/>
      <c r="E54" s="134"/>
      <c r="F54" s="134"/>
      <c r="G54" s="134"/>
      <c r="H54" s="134"/>
      <c r="I54" s="134"/>
      <c r="J54" s="134"/>
      <c r="K54" s="135"/>
      <c r="L54" s="135"/>
      <c r="M54" s="135"/>
      <c r="N54" s="135"/>
      <c r="O54" s="134"/>
      <c r="P54" s="134"/>
      <c r="Q54" s="134"/>
      <c r="R54" s="136"/>
    </row>
    <row r="55" spans="1:18" s="12" customFormat="1" ht="14.55" customHeight="1" x14ac:dyDescent="0.3">
      <c r="A55" s="128" t="s">
        <v>1</v>
      </c>
      <c r="B55" s="137" t="s">
        <v>2</v>
      </c>
      <c r="C55" s="137" t="s">
        <v>3</v>
      </c>
      <c r="D55" s="137" t="s">
        <v>4</v>
      </c>
      <c r="E55" s="124" t="s">
        <v>5</v>
      </c>
      <c r="F55" s="138" t="s">
        <v>14</v>
      </c>
      <c r="G55" s="138" t="s">
        <v>15</v>
      </c>
      <c r="H55" s="119" t="s">
        <v>29</v>
      </c>
      <c r="I55" s="121" t="s">
        <v>6</v>
      </c>
      <c r="J55" s="122"/>
      <c r="K55" s="122"/>
      <c r="L55" s="123"/>
      <c r="M55" s="124" t="s">
        <v>7</v>
      </c>
      <c r="N55" s="125"/>
      <c r="O55" s="128" t="s">
        <v>8</v>
      </c>
      <c r="P55" s="128" t="s">
        <v>9</v>
      </c>
      <c r="Q55" s="128"/>
      <c r="R55" s="128"/>
    </row>
    <row r="56" spans="1:18" s="12" customFormat="1" ht="13.05" customHeight="1" x14ac:dyDescent="0.3">
      <c r="A56" s="128"/>
      <c r="B56" s="137"/>
      <c r="C56" s="137"/>
      <c r="D56" s="137"/>
      <c r="E56" s="126"/>
      <c r="F56" s="139"/>
      <c r="G56" s="139"/>
      <c r="H56" s="120"/>
      <c r="I56" s="121" t="s">
        <v>19</v>
      </c>
      <c r="J56" s="123"/>
      <c r="K56" s="121" t="s">
        <v>20</v>
      </c>
      <c r="L56" s="123"/>
      <c r="M56" s="126"/>
      <c r="N56" s="127"/>
      <c r="O56" s="128"/>
      <c r="P56" s="128"/>
      <c r="Q56" s="128"/>
      <c r="R56" s="128"/>
    </row>
    <row r="57" spans="1:18" ht="14.55" customHeight="1" x14ac:dyDescent="0.3">
      <c r="A57" s="140" t="s">
        <v>35</v>
      </c>
      <c r="B57" s="5">
        <v>0.33333333333333331</v>
      </c>
      <c r="C57" s="5"/>
      <c r="D57" s="4">
        <v>250063</v>
      </c>
      <c r="E57" s="3" t="s">
        <v>143</v>
      </c>
      <c r="F57" s="19">
        <v>430</v>
      </c>
      <c r="G57" s="20">
        <v>0.5</v>
      </c>
      <c r="H57" s="28" t="s">
        <v>130</v>
      </c>
      <c r="I57" s="143">
        <v>734</v>
      </c>
      <c r="J57" s="144"/>
      <c r="K57" s="143"/>
      <c r="L57" s="144"/>
      <c r="M57" s="50">
        <v>50</v>
      </c>
      <c r="N57" s="6" t="s">
        <v>13</v>
      </c>
      <c r="O57" s="21" t="s">
        <v>146</v>
      </c>
      <c r="P57" s="168"/>
      <c r="Q57" s="169"/>
      <c r="R57" s="170"/>
    </row>
    <row r="58" spans="1:18" ht="14.55" customHeight="1" x14ac:dyDescent="0.3">
      <c r="A58" s="166"/>
      <c r="B58" s="5"/>
      <c r="C58" s="5"/>
      <c r="D58" s="4">
        <v>250063</v>
      </c>
      <c r="E58" s="3" t="s">
        <v>144</v>
      </c>
      <c r="F58" s="19">
        <v>430</v>
      </c>
      <c r="G58" s="20">
        <v>0.5</v>
      </c>
      <c r="H58" s="28" t="s">
        <v>130</v>
      </c>
      <c r="I58" s="143">
        <v>599</v>
      </c>
      <c r="J58" s="144"/>
      <c r="K58" s="143"/>
      <c r="L58" s="144"/>
      <c r="M58" s="50"/>
      <c r="N58" s="6" t="s">
        <v>13</v>
      </c>
      <c r="O58" s="21"/>
      <c r="P58" s="168"/>
      <c r="Q58" s="169"/>
      <c r="R58" s="170"/>
    </row>
    <row r="59" spans="1:18" ht="14.55" customHeight="1" x14ac:dyDescent="0.3">
      <c r="A59" s="166"/>
      <c r="B59" s="5"/>
      <c r="C59" s="5">
        <v>0.70833333333333337</v>
      </c>
      <c r="D59" s="4">
        <v>250064</v>
      </c>
      <c r="E59" s="3" t="s">
        <v>145</v>
      </c>
      <c r="F59" s="19">
        <v>430</v>
      </c>
      <c r="G59" s="20">
        <v>0.5</v>
      </c>
      <c r="H59" s="28" t="s">
        <v>130</v>
      </c>
      <c r="I59" s="143">
        <v>794</v>
      </c>
      <c r="J59" s="144"/>
      <c r="K59" s="143"/>
      <c r="L59" s="144"/>
      <c r="M59" s="50"/>
      <c r="N59" s="6" t="s">
        <v>13</v>
      </c>
      <c r="O59" s="21"/>
      <c r="P59" s="168"/>
      <c r="Q59" s="169"/>
      <c r="R59" s="170"/>
    </row>
    <row r="60" spans="1:18" ht="14.55" hidden="1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50"/>
      <c r="N60" s="6" t="s">
        <v>13</v>
      </c>
      <c r="O60" s="21"/>
      <c r="P60" s="168"/>
      <c r="Q60" s="169"/>
      <c r="R60" s="170"/>
    </row>
    <row r="61" spans="1:18" ht="14.55" hidden="1" customHeight="1" x14ac:dyDescent="0.3">
      <c r="A61" s="166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50"/>
      <c r="N61" s="6" t="s">
        <v>13</v>
      </c>
      <c r="O61" s="21"/>
      <c r="P61" s="168"/>
      <c r="Q61" s="169"/>
      <c r="R61" s="170"/>
    </row>
    <row r="62" spans="1:18" ht="14.55" hidden="1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50"/>
      <c r="N62" s="6" t="s">
        <v>13</v>
      </c>
      <c r="O62" s="21"/>
      <c r="P62" s="168"/>
      <c r="Q62" s="169"/>
      <c r="R62" s="170"/>
    </row>
    <row r="63" spans="1:18" ht="14.55" hidden="1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50"/>
      <c r="N63" s="6" t="s">
        <v>13</v>
      </c>
      <c r="O63" s="21"/>
      <c r="P63" s="168"/>
      <c r="Q63" s="169"/>
      <c r="R63" s="170"/>
    </row>
    <row r="64" spans="1:18" ht="14.55" hidden="1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50"/>
      <c r="N64" s="6" t="s">
        <v>13</v>
      </c>
      <c r="O64" s="21"/>
      <c r="P64" s="168"/>
      <c r="Q64" s="169"/>
      <c r="R64" s="170"/>
    </row>
    <row r="65" spans="1:18" ht="14.55" hidden="1" customHeight="1" x14ac:dyDescent="0.3">
      <c r="A65" s="166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50"/>
      <c r="N65" s="6" t="s">
        <v>13</v>
      </c>
      <c r="O65" s="21"/>
      <c r="P65" s="168"/>
      <c r="Q65" s="169"/>
      <c r="R65" s="170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50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67"/>
      <c r="B67" s="148" t="s">
        <v>0</v>
      </c>
      <c r="C67" s="149"/>
      <c r="D67" s="149"/>
      <c r="E67" s="149"/>
      <c r="F67" s="149"/>
      <c r="G67" s="149"/>
      <c r="H67" s="149"/>
      <c r="I67" s="150">
        <f>SUM(I57:J66)</f>
        <v>2127</v>
      </c>
      <c r="J67" s="151"/>
      <c r="K67" s="150">
        <f>SUM(K57:L66)</f>
        <v>0</v>
      </c>
      <c r="L67" s="151"/>
      <c r="M67" s="10">
        <f>SUM(M62:M66)</f>
        <v>0</v>
      </c>
      <c r="N67" s="11" t="s">
        <v>13</v>
      </c>
      <c r="O67" s="9"/>
      <c r="P67" s="168"/>
      <c r="Q67" s="169"/>
      <c r="R67" s="170"/>
    </row>
    <row r="68" spans="1:18" ht="14.55" customHeight="1" x14ac:dyDescent="0.3">
      <c r="D68" s="35"/>
      <c r="E68" s="1"/>
      <c r="F68" s="1"/>
      <c r="G68" s="1"/>
      <c r="H68" s="1"/>
      <c r="M68" s="35"/>
    </row>
    <row r="69" spans="1:18" x14ac:dyDescent="0.3">
      <c r="E69" s="148" t="s">
        <v>34</v>
      </c>
      <c r="F69" s="149"/>
      <c r="G69" s="149"/>
      <c r="H69" s="149"/>
      <c r="I69" s="152" t="s">
        <v>19</v>
      </c>
      <c r="J69" s="153"/>
      <c r="K69" s="152" t="s">
        <v>20</v>
      </c>
      <c r="L69" s="153"/>
    </row>
    <row r="70" spans="1:18" s="36" customFormat="1" x14ac:dyDescent="0.3">
      <c r="E70" s="7"/>
      <c r="F70" s="7"/>
      <c r="G70" s="7"/>
      <c r="H70" s="7"/>
      <c r="I70" s="22">
        <f>I67</f>
        <v>2127</v>
      </c>
      <c r="J70" s="14" t="s">
        <v>12</v>
      </c>
      <c r="K70" s="22">
        <f>K67</f>
        <v>0</v>
      </c>
      <c r="L70" s="15" t="s">
        <v>12</v>
      </c>
    </row>
    <row r="71" spans="1:18" s="1" customFormat="1" ht="24.45" customHeight="1" x14ac:dyDescent="0.3">
      <c r="A71" s="35"/>
      <c r="B71" s="35"/>
      <c r="C71" s="35"/>
      <c r="E71" s="13"/>
      <c r="F71" s="13"/>
      <c r="G71" s="13"/>
      <c r="H71" s="13"/>
      <c r="I71" s="154">
        <f>I70+K70</f>
        <v>2127</v>
      </c>
      <c r="J71" s="155"/>
      <c r="K71" s="155"/>
      <c r="L71" s="156"/>
      <c r="N71" s="35"/>
      <c r="O71" s="35"/>
      <c r="P71" s="35"/>
      <c r="Q71" s="35"/>
      <c r="R71" s="35"/>
    </row>
    <row r="73" spans="1:18" s="8" customFormat="1" ht="30" customHeight="1" x14ac:dyDescent="0.3">
      <c r="A73" s="133" t="s">
        <v>22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5"/>
      <c r="L73" s="135"/>
      <c r="M73" s="135"/>
      <c r="N73" s="135"/>
      <c r="O73" s="134"/>
      <c r="P73" s="134"/>
      <c r="Q73" s="134"/>
      <c r="R73" s="136"/>
    </row>
    <row r="74" spans="1:18" s="12" customFormat="1" ht="14.55" customHeight="1" x14ac:dyDescent="0.3">
      <c r="A74" s="128" t="s">
        <v>1</v>
      </c>
      <c r="B74" s="137" t="s">
        <v>2</v>
      </c>
      <c r="C74" s="137" t="s">
        <v>3</v>
      </c>
      <c r="D74" s="137" t="s">
        <v>4</v>
      </c>
      <c r="E74" s="124" t="s">
        <v>5</v>
      </c>
      <c r="F74" s="138" t="s">
        <v>14</v>
      </c>
      <c r="G74" s="138" t="s">
        <v>15</v>
      </c>
      <c r="H74" s="119" t="s">
        <v>27</v>
      </c>
      <c r="I74" s="121" t="s">
        <v>6</v>
      </c>
      <c r="J74" s="122"/>
      <c r="K74" s="122"/>
      <c r="L74" s="123"/>
      <c r="M74" s="124" t="s">
        <v>7</v>
      </c>
      <c r="N74" s="125"/>
      <c r="O74" s="128" t="s">
        <v>8</v>
      </c>
      <c r="P74" s="128" t="s">
        <v>9</v>
      </c>
      <c r="Q74" s="128"/>
      <c r="R74" s="128"/>
    </row>
    <row r="75" spans="1:18" s="12" customFormat="1" ht="13.05" customHeight="1" x14ac:dyDescent="0.3">
      <c r="A75" s="128"/>
      <c r="B75" s="137"/>
      <c r="C75" s="137"/>
      <c r="D75" s="137"/>
      <c r="E75" s="126"/>
      <c r="F75" s="139"/>
      <c r="G75" s="139"/>
      <c r="H75" s="120"/>
      <c r="I75" s="121" t="s">
        <v>23</v>
      </c>
      <c r="J75" s="123"/>
      <c r="K75" s="121" t="s">
        <v>11</v>
      </c>
      <c r="L75" s="123"/>
      <c r="M75" s="126"/>
      <c r="N75" s="127"/>
      <c r="O75" s="128"/>
      <c r="P75" s="128"/>
      <c r="Q75" s="128"/>
      <c r="R75" s="128"/>
    </row>
    <row r="76" spans="1:18" ht="14.55" customHeight="1" x14ac:dyDescent="0.3">
      <c r="A76" s="140" t="s">
        <v>28</v>
      </c>
      <c r="B76" s="5">
        <v>0.33333333333333331</v>
      </c>
      <c r="C76" s="5"/>
      <c r="D76" s="4"/>
      <c r="E76" s="3" t="s">
        <v>147</v>
      </c>
      <c r="F76" s="19">
        <v>304</v>
      </c>
      <c r="G76" s="20">
        <v>0.7</v>
      </c>
      <c r="H76" s="28" t="s">
        <v>148</v>
      </c>
      <c r="I76" s="143"/>
      <c r="J76" s="144"/>
      <c r="K76" s="143">
        <v>550</v>
      </c>
      <c r="L76" s="144"/>
      <c r="M76" s="50">
        <v>50</v>
      </c>
      <c r="N76" s="6" t="s">
        <v>13</v>
      </c>
      <c r="O76" s="21" t="s">
        <v>146</v>
      </c>
      <c r="P76" s="168" t="s">
        <v>50</v>
      </c>
      <c r="Q76" s="169"/>
      <c r="R76" s="170"/>
    </row>
    <row r="77" spans="1:18" ht="14.55" customHeight="1" x14ac:dyDescent="0.3">
      <c r="A77" s="141"/>
      <c r="B77" s="5"/>
      <c r="C77" s="5">
        <v>0.70833333333333337</v>
      </c>
      <c r="D77" s="54"/>
      <c r="E77" s="3" t="s">
        <v>149</v>
      </c>
      <c r="F77" s="19">
        <v>304</v>
      </c>
      <c r="G77" s="20">
        <v>0.7</v>
      </c>
      <c r="H77" s="28" t="s">
        <v>148</v>
      </c>
      <c r="I77" s="143"/>
      <c r="J77" s="144"/>
      <c r="K77" s="143">
        <v>550</v>
      </c>
      <c r="L77" s="144"/>
      <c r="M77" s="50"/>
      <c r="N77" s="6" t="s">
        <v>13</v>
      </c>
      <c r="O77" s="21"/>
      <c r="P77" s="168"/>
      <c r="Q77" s="169"/>
      <c r="R77" s="170"/>
    </row>
    <row r="78" spans="1:18" ht="14.55" hidden="1" customHeight="1" x14ac:dyDescent="0.3">
      <c r="A78" s="141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50"/>
      <c r="N78" s="6" t="s">
        <v>13</v>
      </c>
      <c r="O78" s="21"/>
      <c r="P78" s="168"/>
      <c r="Q78" s="169"/>
      <c r="R78" s="170"/>
    </row>
    <row r="79" spans="1:18" ht="14.55" hidden="1" customHeight="1" x14ac:dyDescent="0.3">
      <c r="A79" s="141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50"/>
      <c r="N79" s="6" t="s">
        <v>13</v>
      </c>
      <c r="O79" s="21"/>
      <c r="P79" s="168"/>
      <c r="Q79" s="169"/>
      <c r="R79" s="170"/>
    </row>
    <row r="80" spans="1:18" ht="14.55" customHeight="1" x14ac:dyDescent="0.3">
      <c r="A80" s="141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50"/>
      <c r="N80" s="6" t="s">
        <v>13</v>
      </c>
      <c r="O80" s="21"/>
      <c r="P80" s="168"/>
      <c r="Q80" s="169"/>
      <c r="R80" s="170"/>
    </row>
    <row r="81" spans="1:18" ht="14.55" customHeight="1" x14ac:dyDescent="0.3">
      <c r="A81" s="142"/>
      <c r="B81" s="148" t="s">
        <v>0</v>
      </c>
      <c r="C81" s="149"/>
      <c r="D81" s="149"/>
      <c r="E81" s="149"/>
      <c r="F81" s="149"/>
      <c r="G81" s="149"/>
      <c r="H81" s="171"/>
      <c r="I81" s="150">
        <f>SUM(I76:J80)</f>
        <v>0</v>
      </c>
      <c r="J81" s="151"/>
      <c r="K81" s="150">
        <f>SUM(K76:L80)</f>
        <v>1100</v>
      </c>
      <c r="L81" s="151"/>
      <c r="M81" s="10">
        <f>SUM(M76:M80)</f>
        <v>50</v>
      </c>
      <c r="N81" s="11" t="s">
        <v>13</v>
      </c>
      <c r="O81" s="9"/>
      <c r="P81" s="168"/>
      <c r="Q81" s="169"/>
      <c r="R81" s="170"/>
    </row>
    <row r="82" spans="1:18" ht="14.55" customHeight="1" x14ac:dyDescent="0.3">
      <c r="A82" s="140" t="s">
        <v>24</v>
      </c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50"/>
      <c r="N82" s="6" t="s">
        <v>13</v>
      </c>
      <c r="O82" s="21"/>
      <c r="P82" s="173" t="s">
        <v>150</v>
      </c>
      <c r="Q82" s="158"/>
      <c r="R82" s="159"/>
    </row>
    <row r="83" spans="1:18" ht="14.55" customHeight="1" x14ac:dyDescent="0.3">
      <c r="A83" s="166"/>
      <c r="B83" s="5"/>
      <c r="C83" s="5"/>
      <c r="D83" s="54"/>
      <c r="E83" s="3"/>
      <c r="F83" s="19"/>
      <c r="G83" s="20"/>
      <c r="H83" s="28"/>
      <c r="I83" s="143"/>
      <c r="J83" s="144"/>
      <c r="K83" s="143"/>
      <c r="L83" s="144"/>
      <c r="M83" s="50"/>
      <c r="N83" s="6" t="s">
        <v>13</v>
      </c>
      <c r="O83" s="21"/>
      <c r="P83" s="160"/>
      <c r="Q83" s="161"/>
      <c r="R83" s="162"/>
    </row>
    <row r="84" spans="1:18" ht="14.55" hidden="1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50"/>
      <c r="N84" s="6" t="s">
        <v>13</v>
      </c>
      <c r="O84" s="21"/>
      <c r="P84" s="160"/>
      <c r="Q84" s="161"/>
      <c r="R84" s="162"/>
    </row>
    <row r="85" spans="1:18" ht="14.55" hidden="1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50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50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7"/>
      <c r="B87" s="148" t="s">
        <v>0</v>
      </c>
      <c r="C87" s="149"/>
      <c r="D87" s="149"/>
      <c r="E87" s="149"/>
      <c r="F87" s="149"/>
      <c r="G87" s="149"/>
      <c r="H87" s="171"/>
      <c r="I87" s="150">
        <f>SUM(I82:J86)</f>
        <v>0</v>
      </c>
      <c r="J87" s="151"/>
      <c r="K87" s="150">
        <f>SUM(K82:L86)</f>
        <v>0</v>
      </c>
      <c r="L87" s="151"/>
      <c r="M87" s="10">
        <f>SUM(M82:M86)</f>
        <v>0</v>
      </c>
      <c r="N87" s="11" t="s">
        <v>13</v>
      </c>
      <c r="O87" s="9"/>
      <c r="P87" s="163"/>
      <c r="Q87" s="164"/>
      <c r="R87" s="165"/>
    </row>
    <row r="88" spans="1:18" ht="14.55" customHeight="1" x14ac:dyDescent="0.3">
      <c r="A88" s="140" t="s">
        <v>25</v>
      </c>
      <c r="B88" s="5">
        <v>0.33333333333333331</v>
      </c>
      <c r="C88" s="5"/>
      <c r="D88" s="4"/>
      <c r="E88" s="3" t="s">
        <v>151</v>
      </c>
      <c r="F88" s="19">
        <v>307</v>
      </c>
      <c r="G88" s="20">
        <v>0.7</v>
      </c>
      <c r="H88" s="28"/>
      <c r="I88" s="143"/>
      <c r="J88" s="144"/>
      <c r="K88" s="143">
        <v>300</v>
      </c>
      <c r="L88" s="144"/>
      <c r="M88" s="51">
        <v>50</v>
      </c>
      <c r="N88" s="6" t="s">
        <v>13</v>
      </c>
      <c r="O88" s="21" t="s">
        <v>146</v>
      </c>
      <c r="P88" s="145" t="s">
        <v>53</v>
      </c>
      <c r="Q88" s="169"/>
      <c r="R88" s="170"/>
    </row>
    <row r="89" spans="1:18" ht="14.55" hidden="1" customHeight="1" x14ac:dyDescent="0.3">
      <c r="A89" s="141"/>
      <c r="B89" s="5"/>
      <c r="C89" s="5"/>
      <c r="D89" s="4"/>
      <c r="E89" s="3" t="s">
        <v>147</v>
      </c>
      <c r="F89" s="19">
        <v>304</v>
      </c>
      <c r="G89" s="20">
        <v>0.7</v>
      </c>
      <c r="H89" s="28"/>
      <c r="I89" s="143"/>
      <c r="J89" s="144"/>
      <c r="K89" s="143">
        <v>550</v>
      </c>
      <c r="L89" s="144"/>
      <c r="M89" s="51"/>
      <c r="N89" s="6" t="s">
        <v>13</v>
      </c>
      <c r="O89" s="21"/>
      <c r="P89" s="168"/>
      <c r="Q89" s="169"/>
      <c r="R89" s="170"/>
    </row>
    <row r="90" spans="1:18" ht="14.55" hidden="1" customHeight="1" x14ac:dyDescent="0.3">
      <c r="A90" s="141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51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41"/>
      <c r="B91" s="5"/>
      <c r="C91" s="5">
        <v>0.70833333333333337</v>
      </c>
      <c r="D91" s="54"/>
      <c r="E91" s="3" t="s">
        <v>147</v>
      </c>
      <c r="F91" s="19">
        <v>304</v>
      </c>
      <c r="G91" s="20">
        <v>0.7</v>
      </c>
      <c r="H91" s="28"/>
      <c r="I91" s="143"/>
      <c r="J91" s="144"/>
      <c r="K91" s="143">
        <v>550</v>
      </c>
      <c r="L91" s="144"/>
      <c r="M91" s="51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41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51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42"/>
      <c r="B93" s="148" t="s">
        <v>0</v>
      </c>
      <c r="C93" s="149"/>
      <c r="D93" s="149"/>
      <c r="E93" s="149"/>
      <c r="F93" s="149"/>
      <c r="G93" s="149"/>
      <c r="H93" s="149"/>
      <c r="I93" s="150">
        <f>SUM(I88:J92)</f>
        <v>0</v>
      </c>
      <c r="J93" s="151"/>
      <c r="K93" s="150">
        <f>SUM(K88:L92)</f>
        <v>1400</v>
      </c>
      <c r="L93" s="151"/>
      <c r="M93" s="10">
        <f>SUM(M88:M92)</f>
        <v>50</v>
      </c>
      <c r="N93" s="11" t="s">
        <v>13</v>
      </c>
      <c r="O93" s="9"/>
      <c r="P93" s="168"/>
      <c r="Q93" s="169"/>
      <c r="R93" s="170"/>
    </row>
    <row r="95" spans="1:18" x14ac:dyDescent="0.3">
      <c r="E95" s="148" t="s">
        <v>26</v>
      </c>
      <c r="F95" s="149"/>
      <c r="G95" s="149"/>
      <c r="H95" s="149"/>
      <c r="I95" s="152" t="s">
        <v>23</v>
      </c>
      <c r="J95" s="153"/>
      <c r="K95" s="152" t="s">
        <v>11</v>
      </c>
      <c r="L95" s="153"/>
    </row>
    <row r="96" spans="1:18" s="36" customFormat="1" x14ac:dyDescent="0.3">
      <c r="E96" s="7"/>
      <c r="F96" s="7"/>
      <c r="G96" s="7"/>
      <c r="H96" s="7"/>
      <c r="I96" s="22">
        <f>I87+I93</f>
        <v>0</v>
      </c>
      <c r="J96" s="14" t="s">
        <v>12</v>
      </c>
      <c r="K96" s="22">
        <f>K87+K93</f>
        <v>1400</v>
      </c>
      <c r="L96" s="15" t="s">
        <v>12</v>
      </c>
    </row>
    <row r="97" spans="1:18" ht="24.45" customHeight="1" x14ac:dyDescent="0.3">
      <c r="E97" s="13"/>
      <c r="F97" s="13"/>
      <c r="G97" s="13"/>
      <c r="H97" s="13"/>
      <c r="I97" s="154">
        <f>I96+K96</f>
        <v>1400</v>
      </c>
      <c r="J97" s="155"/>
      <c r="K97" s="155"/>
      <c r="L97" s="156"/>
    </row>
    <row r="99" spans="1:18" s="8" customFormat="1" ht="30" customHeight="1" x14ac:dyDescent="0.3">
      <c r="A99" s="133" t="s">
        <v>131</v>
      </c>
      <c r="B99" s="134"/>
      <c r="C99" s="134"/>
      <c r="D99" s="134"/>
      <c r="E99" s="134"/>
      <c r="F99" s="134"/>
      <c r="G99" s="134"/>
      <c r="H99" s="134"/>
      <c r="I99" s="134"/>
      <c r="J99" s="134"/>
      <c r="K99" s="135"/>
      <c r="L99" s="135"/>
      <c r="M99" s="135"/>
      <c r="N99" s="135"/>
      <c r="O99" s="134"/>
      <c r="P99" s="134"/>
      <c r="Q99" s="134"/>
      <c r="R99" s="136"/>
    </row>
    <row r="100" spans="1:18" s="12" customFormat="1" ht="14.55" customHeight="1" x14ac:dyDescent="0.3">
      <c r="A100" s="128" t="s">
        <v>1</v>
      </c>
      <c r="B100" s="137" t="s">
        <v>2</v>
      </c>
      <c r="C100" s="137" t="s">
        <v>3</v>
      </c>
      <c r="D100" s="137" t="s">
        <v>4</v>
      </c>
      <c r="E100" s="124" t="s">
        <v>5</v>
      </c>
      <c r="F100" s="138" t="s">
        <v>14</v>
      </c>
      <c r="G100" s="138" t="s">
        <v>15</v>
      </c>
      <c r="H100" s="119" t="s">
        <v>27</v>
      </c>
      <c r="I100" s="121" t="s">
        <v>6</v>
      </c>
      <c r="J100" s="122"/>
      <c r="K100" s="122"/>
      <c r="L100" s="123"/>
      <c r="M100" s="124" t="s">
        <v>7</v>
      </c>
      <c r="N100" s="125"/>
      <c r="O100" s="128" t="s">
        <v>8</v>
      </c>
      <c r="P100" s="128" t="s">
        <v>9</v>
      </c>
      <c r="Q100" s="128"/>
      <c r="R100" s="128"/>
    </row>
    <row r="101" spans="1:18" s="12" customFormat="1" ht="13.05" customHeight="1" x14ac:dyDescent="0.3">
      <c r="A101" s="128"/>
      <c r="B101" s="137"/>
      <c r="C101" s="137"/>
      <c r="D101" s="137"/>
      <c r="E101" s="126"/>
      <c r="F101" s="139"/>
      <c r="G101" s="139"/>
      <c r="H101" s="120"/>
      <c r="I101" s="121" t="s">
        <v>23</v>
      </c>
      <c r="J101" s="123"/>
      <c r="K101" s="121" t="s">
        <v>11</v>
      </c>
      <c r="L101" s="123"/>
      <c r="M101" s="126"/>
      <c r="N101" s="127"/>
      <c r="O101" s="128"/>
      <c r="P101" s="128"/>
      <c r="Q101" s="128"/>
      <c r="R101" s="128"/>
    </row>
    <row r="102" spans="1:18" ht="14.55" customHeight="1" x14ac:dyDescent="0.3">
      <c r="A102" s="140" t="s">
        <v>132</v>
      </c>
      <c r="B102" s="5"/>
      <c r="C102" s="5"/>
      <c r="D102" s="4"/>
      <c r="E102" s="3"/>
      <c r="F102" s="19"/>
      <c r="G102" s="20"/>
      <c r="H102" s="28"/>
      <c r="I102" s="143"/>
      <c r="J102" s="144"/>
      <c r="K102" s="143"/>
      <c r="L102" s="144"/>
      <c r="M102" s="50"/>
      <c r="N102" s="6" t="s">
        <v>13</v>
      </c>
      <c r="O102" s="21"/>
      <c r="P102" s="173" t="s">
        <v>152</v>
      </c>
      <c r="Q102" s="174"/>
      <c r="R102" s="175"/>
    </row>
    <row r="103" spans="1:18" ht="14.55" customHeight="1" x14ac:dyDescent="0.3">
      <c r="A103" s="166"/>
      <c r="B103" s="5"/>
      <c r="C103" s="5"/>
      <c r="D103" s="4"/>
      <c r="E103" s="3"/>
      <c r="F103" s="19"/>
      <c r="G103" s="20"/>
      <c r="H103" s="28"/>
      <c r="I103" s="143"/>
      <c r="J103" s="144"/>
      <c r="K103" s="143"/>
      <c r="L103" s="144"/>
      <c r="M103" s="50"/>
      <c r="N103" s="6" t="s">
        <v>13</v>
      </c>
      <c r="O103" s="21"/>
      <c r="P103" s="176"/>
      <c r="Q103" s="177"/>
      <c r="R103" s="178"/>
    </row>
    <row r="104" spans="1:18" ht="14.55" hidden="1" customHeight="1" x14ac:dyDescent="0.3">
      <c r="A104" s="166"/>
      <c r="B104" s="5"/>
      <c r="C104" s="5"/>
      <c r="D104" s="4"/>
      <c r="E104" s="3"/>
      <c r="F104" s="19"/>
      <c r="G104" s="20"/>
      <c r="H104" s="28"/>
      <c r="I104" s="143"/>
      <c r="J104" s="144"/>
      <c r="K104" s="143"/>
      <c r="L104" s="144"/>
      <c r="M104" s="50"/>
      <c r="N104" s="6" t="s">
        <v>13</v>
      </c>
      <c r="O104" s="21"/>
      <c r="P104" s="176"/>
      <c r="Q104" s="177"/>
      <c r="R104" s="178"/>
    </row>
    <row r="105" spans="1:18" ht="14.55" hidden="1" customHeight="1" x14ac:dyDescent="0.3">
      <c r="A105" s="166"/>
      <c r="B105" s="5"/>
      <c r="C105" s="5"/>
      <c r="D105" s="4"/>
      <c r="E105" s="3"/>
      <c r="F105" s="19"/>
      <c r="G105" s="20"/>
      <c r="H105" s="28"/>
      <c r="I105" s="143"/>
      <c r="J105" s="144"/>
      <c r="K105" s="143"/>
      <c r="L105" s="144"/>
      <c r="M105" s="50"/>
      <c r="N105" s="6" t="s">
        <v>13</v>
      </c>
      <c r="O105" s="21"/>
      <c r="P105" s="176"/>
      <c r="Q105" s="177"/>
      <c r="R105" s="178"/>
    </row>
    <row r="106" spans="1:18" ht="14.55" hidden="1" customHeight="1" x14ac:dyDescent="0.3">
      <c r="A106" s="166"/>
      <c r="B106" s="5"/>
      <c r="C106" s="5"/>
      <c r="D106" s="4"/>
      <c r="E106" s="3"/>
      <c r="F106" s="19"/>
      <c r="G106" s="20"/>
      <c r="H106" s="28"/>
      <c r="I106" s="143"/>
      <c r="J106" s="144"/>
      <c r="K106" s="143"/>
      <c r="L106" s="144"/>
      <c r="M106" s="50"/>
      <c r="N106" s="6" t="s">
        <v>13</v>
      </c>
      <c r="O106" s="21"/>
      <c r="P106" s="176"/>
      <c r="Q106" s="177"/>
      <c r="R106" s="178"/>
    </row>
    <row r="107" spans="1:18" ht="14.55" hidden="1" customHeight="1" x14ac:dyDescent="0.3">
      <c r="A107" s="166"/>
      <c r="B107" s="5"/>
      <c r="C107" s="5"/>
      <c r="D107" s="4"/>
      <c r="E107" s="3"/>
      <c r="F107" s="19"/>
      <c r="G107" s="20"/>
      <c r="H107" s="28"/>
      <c r="I107" s="143"/>
      <c r="J107" s="144"/>
      <c r="K107" s="143"/>
      <c r="L107" s="144"/>
      <c r="M107" s="50"/>
      <c r="N107" s="6" t="s">
        <v>13</v>
      </c>
      <c r="O107" s="21"/>
      <c r="P107" s="176"/>
      <c r="Q107" s="177"/>
      <c r="R107" s="178"/>
    </row>
    <row r="108" spans="1:18" ht="14.55" hidden="1" customHeight="1" x14ac:dyDescent="0.3">
      <c r="A108" s="166"/>
      <c r="B108" s="5"/>
      <c r="C108" s="5"/>
      <c r="D108" s="4"/>
      <c r="E108" s="3"/>
      <c r="F108" s="19"/>
      <c r="G108" s="20"/>
      <c r="H108" s="28"/>
      <c r="I108" s="143"/>
      <c r="J108" s="144"/>
      <c r="K108" s="143"/>
      <c r="L108" s="144"/>
      <c r="M108" s="50"/>
      <c r="N108" s="6" t="s">
        <v>13</v>
      </c>
      <c r="O108" s="21"/>
      <c r="P108" s="176"/>
      <c r="Q108" s="177"/>
      <c r="R108" s="178"/>
    </row>
    <row r="109" spans="1:18" ht="14.55" hidden="1" customHeight="1" x14ac:dyDescent="0.3">
      <c r="A109" s="166"/>
      <c r="B109" s="5"/>
      <c r="C109" s="5"/>
      <c r="D109" s="4"/>
      <c r="E109" s="3"/>
      <c r="F109" s="19"/>
      <c r="G109" s="20"/>
      <c r="H109" s="28"/>
      <c r="I109" s="143"/>
      <c r="J109" s="144"/>
      <c r="K109" s="143"/>
      <c r="L109" s="144"/>
      <c r="M109" s="50"/>
      <c r="N109" s="6" t="s">
        <v>13</v>
      </c>
      <c r="O109" s="21"/>
      <c r="P109" s="176"/>
      <c r="Q109" s="177"/>
      <c r="R109" s="178"/>
    </row>
    <row r="110" spans="1:18" ht="14.55" hidden="1" customHeight="1" x14ac:dyDescent="0.3">
      <c r="A110" s="166"/>
      <c r="B110" s="5"/>
      <c r="C110" s="5"/>
      <c r="D110" s="4"/>
      <c r="E110" s="3"/>
      <c r="F110" s="19"/>
      <c r="G110" s="20"/>
      <c r="H110" s="28"/>
      <c r="I110" s="143"/>
      <c r="J110" s="144"/>
      <c r="K110" s="143"/>
      <c r="L110" s="144"/>
      <c r="M110" s="50"/>
      <c r="N110" s="6" t="s">
        <v>13</v>
      </c>
      <c r="O110" s="21"/>
      <c r="P110" s="176"/>
      <c r="Q110" s="177"/>
      <c r="R110" s="178"/>
    </row>
    <row r="111" spans="1:18" ht="14.55" customHeight="1" x14ac:dyDescent="0.3">
      <c r="A111" s="166"/>
      <c r="B111" s="5"/>
      <c r="C111" s="5"/>
      <c r="D111" s="4"/>
      <c r="E111" s="3"/>
      <c r="F111" s="19"/>
      <c r="G111" s="20"/>
      <c r="H111" s="28"/>
      <c r="I111" s="143"/>
      <c r="J111" s="144"/>
      <c r="K111" s="143"/>
      <c r="L111" s="144"/>
      <c r="M111" s="50"/>
      <c r="N111" s="6" t="s">
        <v>13</v>
      </c>
      <c r="O111" s="21"/>
      <c r="P111" s="176"/>
      <c r="Q111" s="177"/>
      <c r="R111" s="178"/>
    </row>
    <row r="112" spans="1:18" ht="14.55" customHeight="1" x14ac:dyDescent="0.3">
      <c r="A112" s="167"/>
      <c r="B112" s="148" t="s">
        <v>0</v>
      </c>
      <c r="C112" s="149"/>
      <c r="D112" s="149"/>
      <c r="E112" s="149"/>
      <c r="F112" s="149"/>
      <c r="G112" s="149"/>
      <c r="H112" s="149"/>
      <c r="I112" s="150">
        <f ca="1">SUM(I102:J112)</f>
        <v>0</v>
      </c>
      <c r="J112" s="151"/>
      <c r="K112" s="150">
        <f ca="1">SUM(K102:L112)</f>
        <v>0</v>
      </c>
      <c r="L112" s="151"/>
      <c r="M112" s="10">
        <f>SUM(M107:M111)</f>
        <v>0</v>
      </c>
      <c r="N112" s="11" t="s">
        <v>13</v>
      </c>
      <c r="O112" s="9"/>
      <c r="P112" s="179"/>
      <c r="Q112" s="180"/>
      <c r="R112" s="181"/>
    </row>
    <row r="114" spans="5:12" x14ac:dyDescent="0.3">
      <c r="E114" s="148" t="s">
        <v>26</v>
      </c>
      <c r="F114" s="149"/>
      <c r="G114" s="149"/>
      <c r="H114" s="149"/>
      <c r="I114" s="152" t="s">
        <v>23</v>
      </c>
      <c r="J114" s="153"/>
      <c r="K114" s="172" t="s">
        <v>11</v>
      </c>
      <c r="L114" s="153"/>
    </row>
    <row r="115" spans="5:12" s="36" customFormat="1" x14ac:dyDescent="0.3">
      <c r="E115" s="7"/>
      <c r="F115" s="7"/>
      <c r="G115" s="7"/>
      <c r="H115" s="7"/>
      <c r="I115" s="22">
        <f ca="1">I112</f>
        <v>0</v>
      </c>
      <c r="J115" s="14" t="s">
        <v>12</v>
      </c>
      <c r="K115" s="22">
        <f ca="1">K112</f>
        <v>0</v>
      </c>
      <c r="L115" s="15" t="s">
        <v>12</v>
      </c>
    </row>
    <row r="116" spans="5:12" ht="24.45" customHeight="1" x14ac:dyDescent="0.3">
      <c r="E116" s="13"/>
      <c r="F116" s="13"/>
      <c r="G116" s="13"/>
      <c r="H116" s="13"/>
      <c r="I116" s="154">
        <f ca="1">I115+K115</f>
        <v>0</v>
      </c>
      <c r="J116" s="155"/>
      <c r="K116" s="155"/>
      <c r="L116" s="156"/>
    </row>
  </sheetData>
  <mergeCells count="270"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P7:R15"/>
    <mergeCell ref="I8:J8"/>
    <mergeCell ref="K8:L8"/>
    <mergeCell ref="I9:J9"/>
    <mergeCell ref="K9:L9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I11:J11"/>
    <mergeCell ref="K11:L11"/>
    <mergeCell ref="I12:J12"/>
    <mergeCell ref="K12:L12"/>
    <mergeCell ref="I13:J13"/>
    <mergeCell ref="K13:L13"/>
    <mergeCell ref="A7:A15"/>
    <mergeCell ref="I7:J7"/>
    <mergeCell ref="K7:L7"/>
    <mergeCell ref="I14:J14"/>
    <mergeCell ref="K14:L14"/>
    <mergeCell ref="B15:H15"/>
    <mergeCell ref="I15:J15"/>
    <mergeCell ref="K15:L15"/>
    <mergeCell ref="A16:A24"/>
    <mergeCell ref="I16:J16"/>
    <mergeCell ref="K16:L16"/>
    <mergeCell ref="K21:L21"/>
    <mergeCell ref="I22:J22"/>
    <mergeCell ref="K22:L22"/>
    <mergeCell ref="I23:J23"/>
    <mergeCell ref="K23:L23"/>
    <mergeCell ref="B24:H24"/>
    <mergeCell ref="I24:J24"/>
    <mergeCell ref="K24:L24"/>
    <mergeCell ref="P16:R24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E26:H26"/>
    <mergeCell ref="I26:J26"/>
    <mergeCell ref="K26:L26"/>
    <mergeCell ref="I28:L28"/>
    <mergeCell ref="A30:R30"/>
    <mergeCell ref="A31:A32"/>
    <mergeCell ref="B31:B32"/>
    <mergeCell ref="C31:C32"/>
    <mergeCell ref="D31:D32"/>
    <mergeCell ref="E31:E32"/>
    <mergeCell ref="A33:A48"/>
    <mergeCell ref="I33:J33"/>
    <mergeCell ref="K33:L33"/>
    <mergeCell ref="P33:R48"/>
    <mergeCell ref="I34:J34"/>
    <mergeCell ref="K34:L34"/>
    <mergeCell ref="I35:J35"/>
    <mergeCell ref="F31:F32"/>
    <mergeCell ref="G31:G32"/>
    <mergeCell ref="H31:H32"/>
    <mergeCell ref="I31:L31"/>
    <mergeCell ref="M31:N32"/>
    <mergeCell ref="O31:O32"/>
    <mergeCell ref="K35:L35"/>
    <mergeCell ref="I36:J36"/>
    <mergeCell ref="K36:L36"/>
    <mergeCell ref="I37:J37"/>
    <mergeCell ref="K37:L37"/>
    <mergeCell ref="I38:J38"/>
    <mergeCell ref="K38:L38"/>
    <mergeCell ref="P31:R32"/>
    <mergeCell ref="I32:J32"/>
    <mergeCell ref="K32:L32"/>
    <mergeCell ref="I42:J42"/>
    <mergeCell ref="K42:L42"/>
    <mergeCell ref="I43:J43"/>
    <mergeCell ref="K43:L43"/>
    <mergeCell ref="I44:J44"/>
    <mergeCell ref="K44:L44"/>
    <mergeCell ref="I39:J39"/>
    <mergeCell ref="K39:L39"/>
    <mergeCell ref="I40:J40"/>
    <mergeCell ref="K40:L40"/>
    <mergeCell ref="I41:J41"/>
    <mergeCell ref="K41:L41"/>
    <mergeCell ref="K64:L64"/>
    <mergeCell ref="I65:J65"/>
    <mergeCell ref="B48:H48"/>
    <mergeCell ref="I48:J48"/>
    <mergeCell ref="K48:L48"/>
    <mergeCell ref="E50:H50"/>
    <mergeCell ref="I50:J50"/>
    <mergeCell ref="K50:L50"/>
    <mergeCell ref="I45:J45"/>
    <mergeCell ref="K45:L45"/>
    <mergeCell ref="I46:J46"/>
    <mergeCell ref="K46:L46"/>
    <mergeCell ref="I47:J47"/>
    <mergeCell ref="K47:L47"/>
    <mergeCell ref="I55:L55"/>
    <mergeCell ref="M55:N56"/>
    <mergeCell ref="O55:O56"/>
    <mergeCell ref="P55:R56"/>
    <mergeCell ref="I56:J56"/>
    <mergeCell ref="K56:L56"/>
    <mergeCell ref="I52:L52"/>
    <mergeCell ref="A54:R54"/>
    <mergeCell ref="A55:A56"/>
    <mergeCell ref="B55:B56"/>
    <mergeCell ref="C55:C56"/>
    <mergeCell ref="D55:D56"/>
    <mergeCell ref="E55:E56"/>
    <mergeCell ref="F55:F56"/>
    <mergeCell ref="G55:G56"/>
    <mergeCell ref="H55:H56"/>
    <mergeCell ref="E69:H69"/>
    <mergeCell ref="I69:J69"/>
    <mergeCell ref="K69:L69"/>
    <mergeCell ref="I71:L71"/>
    <mergeCell ref="A73:R73"/>
    <mergeCell ref="A74:A75"/>
    <mergeCell ref="B74:B75"/>
    <mergeCell ref="C74:C75"/>
    <mergeCell ref="D74:D75"/>
    <mergeCell ref="E74:E75"/>
    <mergeCell ref="A57:A67"/>
    <mergeCell ref="I57:J57"/>
    <mergeCell ref="K57:L57"/>
    <mergeCell ref="P57:R61"/>
    <mergeCell ref="I58:J58"/>
    <mergeCell ref="K58:L58"/>
    <mergeCell ref="I59:J59"/>
    <mergeCell ref="K59:L59"/>
    <mergeCell ref="I60:J60"/>
    <mergeCell ref="K60:L60"/>
    <mergeCell ref="K65:L65"/>
    <mergeCell ref="I66:J66"/>
    <mergeCell ref="K66:L66"/>
    <mergeCell ref="B67:H67"/>
    <mergeCell ref="I67:J67"/>
    <mergeCell ref="K67:L67"/>
    <mergeCell ref="I61:J61"/>
    <mergeCell ref="K61:L61"/>
    <mergeCell ref="I62:J62"/>
    <mergeCell ref="K62:L62"/>
    <mergeCell ref="P62:R67"/>
    <mergeCell ref="I63:J63"/>
    <mergeCell ref="K63:L63"/>
    <mergeCell ref="I64:J64"/>
    <mergeCell ref="B81:H81"/>
    <mergeCell ref="I81:J81"/>
    <mergeCell ref="K81:L81"/>
    <mergeCell ref="P74:R75"/>
    <mergeCell ref="I75:J75"/>
    <mergeCell ref="K75:L75"/>
    <mergeCell ref="A76:A81"/>
    <mergeCell ref="I76:J76"/>
    <mergeCell ref="K76:L76"/>
    <mergeCell ref="P76:R81"/>
    <mergeCell ref="I77:J77"/>
    <mergeCell ref="K77:L77"/>
    <mergeCell ref="I78:J78"/>
    <mergeCell ref="F74:F75"/>
    <mergeCell ref="G74:G75"/>
    <mergeCell ref="H74:H75"/>
    <mergeCell ref="I74:L74"/>
    <mergeCell ref="M74:N75"/>
    <mergeCell ref="O74:O75"/>
    <mergeCell ref="P82:R87"/>
    <mergeCell ref="I83:J83"/>
    <mergeCell ref="K83:L83"/>
    <mergeCell ref="I84:J84"/>
    <mergeCell ref="K84:L84"/>
    <mergeCell ref="I85:J85"/>
    <mergeCell ref="K85:L85"/>
    <mergeCell ref="K78:L78"/>
    <mergeCell ref="I79:J79"/>
    <mergeCell ref="K79:L79"/>
    <mergeCell ref="I80:J80"/>
    <mergeCell ref="K80:L80"/>
    <mergeCell ref="I86:J86"/>
    <mergeCell ref="K86:L86"/>
    <mergeCell ref="B87:H87"/>
    <mergeCell ref="I87:J87"/>
    <mergeCell ref="K87:L87"/>
    <mergeCell ref="A88:A93"/>
    <mergeCell ref="I88:J88"/>
    <mergeCell ref="K88:L88"/>
    <mergeCell ref="B93:H93"/>
    <mergeCell ref="K93:L93"/>
    <mergeCell ref="A82:A87"/>
    <mergeCell ref="I82:J82"/>
    <mergeCell ref="K82:L82"/>
    <mergeCell ref="P88:R93"/>
    <mergeCell ref="I89:J89"/>
    <mergeCell ref="K89:L89"/>
    <mergeCell ref="I90:J90"/>
    <mergeCell ref="K90:L90"/>
    <mergeCell ref="I91:J91"/>
    <mergeCell ref="K91:L91"/>
    <mergeCell ref="I92:J92"/>
    <mergeCell ref="K92:L92"/>
    <mergeCell ref="I93:J93"/>
    <mergeCell ref="E95:H95"/>
    <mergeCell ref="I95:J95"/>
    <mergeCell ref="K95:L95"/>
    <mergeCell ref="I97:L97"/>
    <mergeCell ref="A99:R99"/>
    <mergeCell ref="A100:A101"/>
    <mergeCell ref="B100:B101"/>
    <mergeCell ref="C100:C101"/>
    <mergeCell ref="D100:D101"/>
    <mergeCell ref="E100:E101"/>
    <mergeCell ref="P100:R101"/>
    <mergeCell ref="I101:J101"/>
    <mergeCell ref="K101:L101"/>
    <mergeCell ref="A102:A112"/>
    <mergeCell ref="I102:J102"/>
    <mergeCell ref="K102:L102"/>
    <mergeCell ref="P102:R112"/>
    <mergeCell ref="I103:J103"/>
    <mergeCell ref="K103:L103"/>
    <mergeCell ref="I104:J104"/>
    <mergeCell ref="F100:F101"/>
    <mergeCell ref="G100:G101"/>
    <mergeCell ref="H100:H101"/>
    <mergeCell ref="I100:L100"/>
    <mergeCell ref="M100:N101"/>
    <mergeCell ref="O100:O101"/>
    <mergeCell ref="I108:J108"/>
    <mergeCell ref="K108:L108"/>
    <mergeCell ref="I109:J109"/>
    <mergeCell ref="K109:L109"/>
    <mergeCell ref="I110:J110"/>
    <mergeCell ref="K110:L110"/>
    <mergeCell ref="K104:L104"/>
    <mergeCell ref="I105:J105"/>
    <mergeCell ref="K105:L105"/>
    <mergeCell ref="I106:J106"/>
    <mergeCell ref="K106:L106"/>
    <mergeCell ref="I107:J107"/>
    <mergeCell ref="K107:L107"/>
    <mergeCell ref="I116:L116"/>
    <mergeCell ref="I111:J111"/>
    <mergeCell ref="K111:L111"/>
    <mergeCell ref="B112:H112"/>
    <mergeCell ref="I112:J112"/>
    <mergeCell ref="K112:L112"/>
    <mergeCell ref="E114:H114"/>
    <mergeCell ref="I114:J114"/>
    <mergeCell ref="K114:L114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6"/>
  <sheetViews>
    <sheetView topLeftCell="A46" zoomScale="85" zoomScaleNormal="85" workbookViewId="0">
      <selection activeCell="D76" sqref="D76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45923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">
        <v>220566</v>
      </c>
      <c r="E7" s="3" t="s">
        <v>161</v>
      </c>
      <c r="F7" s="19">
        <v>430</v>
      </c>
      <c r="G7" s="20">
        <v>0.5</v>
      </c>
      <c r="H7" s="28" t="s">
        <v>55</v>
      </c>
      <c r="I7" s="143">
        <v>720</v>
      </c>
      <c r="J7" s="144"/>
      <c r="K7" s="143"/>
      <c r="L7" s="144"/>
      <c r="M7" s="55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">
        <v>220565</v>
      </c>
      <c r="E8" s="3" t="s">
        <v>162</v>
      </c>
      <c r="F8" s="19">
        <v>430</v>
      </c>
      <c r="G8" s="20">
        <v>0.5</v>
      </c>
      <c r="H8" s="28" t="s">
        <v>55</v>
      </c>
      <c r="I8" s="143">
        <v>1505</v>
      </c>
      <c r="J8" s="144"/>
      <c r="K8" s="143"/>
      <c r="L8" s="144"/>
      <c r="M8" s="55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>
        <v>0.70833333333333337</v>
      </c>
      <c r="D9" s="44">
        <v>270825</v>
      </c>
      <c r="E9" s="3" t="s">
        <v>163</v>
      </c>
      <c r="F9" s="19">
        <v>430</v>
      </c>
      <c r="G9" s="20">
        <v>0.5</v>
      </c>
      <c r="H9" s="28" t="s">
        <v>55</v>
      </c>
      <c r="I9" s="143">
        <v>1025</v>
      </c>
      <c r="J9" s="144"/>
      <c r="K9" s="143"/>
      <c r="L9" s="144"/>
      <c r="M9" s="55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55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1"/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55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55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55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55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3250</v>
      </c>
      <c r="J15" s="151"/>
      <c r="K15" s="150">
        <f>SUM(K7:L14)</f>
        <v>0</v>
      </c>
      <c r="L15" s="151"/>
      <c r="M15" s="10">
        <f>SUM(M7:M14)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55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66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55"/>
      <c r="N17" s="6" t="s">
        <v>13</v>
      </c>
      <c r="O17" s="21"/>
      <c r="P17" s="145"/>
      <c r="Q17" s="146"/>
      <c r="R17" s="147"/>
    </row>
    <row r="18" spans="1:18" ht="14.55" customHeight="1" x14ac:dyDescent="0.3">
      <c r="A18" s="166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55"/>
      <c r="N18" s="6" t="s">
        <v>13</v>
      </c>
      <c r="O18" s="21"/>
      <c r="P18" s="145"/>
      <c r="Q18" s="146"/>
      <c r="R18" s="147"/>
    </row>
    <row r="19" spans="1:18" ht="14.55" customHeight="1" x14ac:dyDescent="0.3">
      <c r="A19" s="166"/>
      <c r="B19" s="5"/>
      <c r="C19" s="5"/>
      <c r="D19" s="4"/>
      <c r="E19" s="3"/>
      <c r="F19" s="19"/>
      <c r="G19" s="20"/>
      <c r="H19" s="28"/>
      <c r="I19" s="143"/>
      <c r="J19" s="144"/>
      <c r="K19" s="143"/>
      <c r="L19" s="144"/>
      <c r="M19" s="55"/>
      <c r="N19" s="6" t="s">
        <v>13</v>
      </c>
      <c r="O19" s="21"/>
      <c r="P19" s="145"/>
      <c r="Q19" s="146"/>
      <c r="R19" s="147"/>
    </row>
    <row r="20" spans="1:18" ht="14.55" customHeight="1" x14ac:dyDescent="0.3">
      <c r="A20" s="141"/>
      <c r="B20" s="5"/>
      <c r="C20" s="5"/>
      <c r="D20" s="4"/>
      <c r="E20" s="3"/>
      <c r="F20" s="19"/>
      <c r="G20" s="20"/>
      <c r="H20" s="28"/>
      <c r="I20" s="143"/>
      <c r="J20" s="144"/>
      <c r="K20" s="143"/>
      <c r="L20" s="144"/>
      <c r="M20" s="55"/>
      <c r="N20" s="6" t="s">
        <v>13</v>
      </c>
      <c r="O20" s="21"/>
      <c r="P20" s="145"/>
      <c r="Q20" s="146"/>
      <c r="R20" s="147"/>
    </row>
    <row r="21" spans="1:18" ht="14.55" customHeight="1" x14ac:dyDescent="0.3">
      <c r="A21" s="141"/>
      <c r="B21" s="5"/>
      <c r="C21" s="5"/>
      <c r="D21" s="4"/>
      <c r="E21" s="3"/>
      <c r="F21" s="19"/>
      <c r="G21" s="20"/>
      <c r="H21" s="28"/>
      <c r="I21" s="143"/>
      <c r="J21" s="144"/>
      <c r="K21" s="143"/>
      <c r="L21" s="144"/>
      <c r="M21" s="55"/>
      <c r="N21" s="6" t="s">
        <v>13</v>
      </c>
      <c r="O21" s="21"/>
      <c r="P21" s="145"/>
      <c r="Q21" s="146"/>
      <c r="R21" s="147"/>
    </row>
    <row r="22" spans="1:18" ht="14.55" customHeight="1" x14ac:dyDescent="0.3">
      <c r="A22" s="141"/>
      <c r="B22" s="5"/>
      <c r="C22" s="5"/>
      <c r="D22" s="4"/>
      <c r="E22" s="3"/>
      <c r="F22" s="19"/>
      <c r="G22" s="20"/>
      <c r="H22" s="28"/>
      <c r="I22" s="143"/>
      <c r="J22" s="144"/>
      <c r="K22" s="143"/>
      <c r="L22" s="144"/>
      <c r="M22" s="55"/>
      <c r="N22" s="6" t="s">
        <v>13</v>
      </c>
      <c r="O22" s="21"/>
      <c r="P22" s="145"/>
      <c r="Q22" s="146"/>
      <c r="R22" s="147"/>
    </row>
    <row r="23" spans="1:18" ht="14.55" customHeight="1" x14ac:dyDescent="0.3">
      <c r="A23" s="141"/>
      <c r="B23" s="5"/>
      <c r="C23" s="5"/>
      <c r="D23" s="4"/>
      <c r="E23" s="3"/>
      <c r="F23" s="19"/>
      <c r="G23" s="20"/>
      <c r="H23" s="28"/>
      <c r="I23" s="143"/>
      <c r="J23" s="144"/>
      <c r="K23" s="143"/>
      <c r="L23" s="144"/>
      <c r="M23" s="55"/>
      <c r="N23" s="6" t="s">
        <v>13</v>
      </c>
      <c r="O23" s="21"/>
      <c r="P23" s="145"/>
      <c r="Q23" s="146"/>
      <c r="R23" s="147"/>
    </row>
    <row r="24" spans="1:18" ht="14.55" customHeight="1" x14ac:dyDescent="0.3">
      <c r="A24" s="142"/>
      <c r="B24" s="148" t="s">
        <v>0</v>
      </c>
      <c r="C24" s="149"/>
      <c r="D24" s="149"/>
      <c r="E24" s="149"/>
      <c r="F24" s="149"/>
      <c r="G24" s="149"/>
      <c r="H24" s="149"/>
      <c r="I24" s="150">
        <f>SUM(I16:J23)</f>
        <v>0</v>
      </c>
      <c r="J24" s="151"/>
      <c r="K24" s="150">
        <f>SUM(K16:L23)</f>
        <v>0</v>
      </c>
      <c r="L24" s="151"/>
      <c r="M24" s="10">
        <f>SUM(M16:M23)</f>
        <v>0</v>
      </c>
      <c r="N24" s="11" t="s">
        <v>13</v>
      </c>
      <c r="O24" s="9"/>
      <c r="P24" s="145"/>
      <c r="Q24" s="146"/>
      <c r="R24" s="147"/>
    </row>
    <row r="25" spans="1:18" ht="14.55" customHeight="1" x14ac:dyDescent="0.3">
      <c r="D25" s="35"/>
      <c r="E25" s="1"/>
      <c r="F25" s="1"/>
      <c r="G25" s="1"/>
      <c r="H25" s="1"/>
      <c r="M25" s="35"/>
    </row>
    <row r="26" spans="1:18" x14ac:dyDescent="0.3">
      <c r="E26" s="148" t="s">
        <v>16</v>
      </c>
      <c r="F26" s="149"/>
      <c r="G26" s="149"/>
      <c r="H26" s="149"/>
      <c r="I26" s="152" t="s">
        <v>19</v>
      </c>
      <c r="J26" s="153"/>
      <c r="K26" s="152" t="s">
        <v>20</v>
      </c>
      <c r="L26" s="153"/>
    </row>
    <row r="27" spans="1:18" s="36" customFormat="1" x14ac:dyDescent="0.3">
      <c r="E27" s="7"/>
      <c r="F27" s="7"/>
      <c r="G27" s="7"/>
      <c r="H27" s="7"/>
      <c r="I27" s="22">
        <f>I15+I24</f>
        <v>3250</v>
      </c>
      <c r="J27" s="14" t="s">
        <v>12</v>
      </c>
      <c r="K27" s="22">
        <f>K15+K24</f>
        <v>0</v>
      </c>
      <c r="L27" s="15" t="s">
        <v>12</v>
      </c>
    </row>
    <row r="28" spans="1:18" ht="24.45" customHeight="1" x14ac:dyDescent="0.3">
      <c r="E28" s="13"/>
      <c r="F28" s="13"/>
      <c r="G28" s="13"/>
      <c r="H28" s="13"/>
      <c r="I28" s="154">
        <f>I27+K27</f>
        <v>3250</v>
      </c>
      <c r="J28" s="155"/>
      <c r="K28" s="155"/>
      <c r="L28" s="156"/>
    </row>
    <row r="29" spans="1:18" ht="15" customHeight="1" x14ac:dyDescent="0.3">
      <c r="D29" s="35"/>
      <c r="I29" s="35"/>
      <c r="J29" s="35"/>
      <c r="K29" s="23"/>
      <c r="L29" s="23"/>
      <c r="M29" s="23"/>
      <c r="N29" s="23"/>
    </row>
    <row r="30" spans="1:18" s="8" customFormat="1" ht="30" customHeight="1" x14ac:dyDescent="0.3">
      <c r="A30" s="133" t="s">
        <v>36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5"/>
      <c r="L30" s="135"/>
      <c r="M30" s="135"/>
      <c r="N30" s="135"/>
      <c r="O30" s="134"/>
      <c r="P30" s="134"/>
      <c r="Q30" s="134"/>
      <c r="R30" s="136"/>
    </row>
    <row r="31" spans="1:18" s="12" customFormat="1" ht="14.55" customHeight="1" x14ac:dyDescent="0.3">
      <c r="A31" s="128" t="s">
        <v>1</v>
      </c>
      <c r="B31" s="137" t="s">
        <v>2</v>
      </c>
      <c r="C31" s="137" t="s">
        <v>3</v>
      </c>
      <c r="D31" s="137" t="s">
        <v>4</v>
      </c>
      <c r="E31" s="124" t="s">
        <v>5</v>
      </c>
      <c r="F31" s="138" t="s">
        <v>14</v>
      </c>
      <c r="G31" s="138" t="s">
        <v>15</v>
      </c>
      <c r="H31" s="119" t="s">
        <v>29</v>
      </c>
      <c r="I31" s="121" t="s">
        <v>6</v>
      </c>
      <c r="J31" s="122"/>
      <c r="K31" s="122"/>
      <c r="L31" s="123"/>
      <c r="M31" s="124" t="s">
        <v>7</v>
      </c>
      <c r="N31" s="125"/>
      <c r="O31" s="128" t="s">
        <v>8</v>
      </c>
      <c r="P31" s="128" t="s">
        <v>9</v>
      </c>
      <c r="Q31" s="128"/>
      <c r="R31" s="128"/>
    </row>
    <row r="32" spans="1:18" s="12" customFormat="1" ht="13.05" customHeight="1" x14ac:dyDescent="0.3">
      <c r="A32" s="128"/>
      <c r="B32" s="137"/>
      <c r="C32" s="137"/>
      <c r="D32" s="137"/>
      <c r="E32" s="126"/>
      <c r="F32" s="139"/>
      <c r="G32" s="139"/>
      <c r="H32" s="120"/>
      <c r="I32" s="121" t="s">
        <v>19</v>
      </c>
      <c r="J32" s="123"/>
      <c r="K32" s="121" t="s">
        <v>20</v>
      </c>
      <c r="L32" s="123"/>
      <c r="M32" s="126"/>
      <c r="N32" s="127"/>
      <c r="O32" s="128"/>
      <c r="P32" s="128"/>
      <c r="Q32" s="128"/>
      <c r="R32" s="128"/>
    </row>
    <row r="33" spans="1:18" ht="14.55" customHeight="1" x14ac:dyDescent="0.3">
      <c r="A33" s="140" t="s">
        <v>37</v>
      </c>
      <c r="B33" s="5">
        <v>0.33333333333333331</v>
      </c>
      <c r="C33" s="5"/>
      <c r="D33" s="4">
        <v>250066</v>
      </c>
      <c r="E33" s="3" t="s">
        <v>138</v>
      </c>
      <c r="F33" s="19">
        <v>430</v>
      </c>
      <c r="G33" s="20">
        <v>0.5</v>
      </c>
      <c r="H33" s="28" t="s">
        <v>137</v>
      </c>
      <c r="I33" s="143">
        <v>772</v>
      </c>
      <c r="J33" s="144"/>
      <c r="K33" s="143"/>
      <c r="L33" s="144"/>
      <c r="M33" s="55"/>
      <c r="N33" s="6" t="s">
        <v>13</v>
      </c>
      <c r="O33" s="21"/>
      <c r="P33" s="157"/>
      <c r="Q33" s="158"/>
      <c r="R33" s="159"/>
    </row>
    <row r="34" spans="1:18" ht="14.55" customHeight="1" x14ac:dyDescent="0.3">
      <c r="A34" s="166"/>
      <c r="B34" s="5"/>
      <c r="C34" s="5"/>
      <c r="D34" s="4">
        <v>250066</v>
      </c>
      <c r="E34" s="3" t="s">
        <v>161</v>
      </c>
      <c r="F34" s="19">
        <v>430</v>
      </c>
      <c r="G34" s="20">
        <v>0.5</v>
      </c>
      <c r="H34" s="28" t="s">
        <v>137</v>
      </c>
      <c r="I34" s="143">
        <v>752</v>
      </c>
      <c r="J34" s="144"/>
      <c r="K34" s="143"/>
      <c r="L34" s="144"/>
      <c r="M34" s="55"/>
      <c r="N34" s="6" t="s">
        <v>13</v>
      </c>
      <c r="O34" s="21"/>
      <c r="P34" s="160"/>
      <c r="Q34" s="161"/>
      <c r="R34" s="162"/>
    </row>
    <row r="35" spans="1:18" ht="14.55" customHeight="1" x14ac:dyDescent="0.3">
      <c r="A35" s="166"/>
      <c r="B35" s="5"/>
      <c r="C35" s="5">
        <v>0.70833333333333337</v>
      </c>
      <c r="D35" s="4">
        <v>250065</v>
      </c>
      <c r="E35" s="3" t="s">
        <v>165</v>
      </c>
      <c r="F35" s="19">
        <v>430</v>
      </c>
      <c r="G35" s="20">
        <v>0.5</v>
      </c>
      <c r="H35" s="28" t="s">
        <v>137</v>
      </c>
      <c r="I35" s="143">
        <v>1460</v>
      </c>
      <c r="J35" s="144"/>
      <c r="K35" s="143"/>
      <c r="L35" s="144"/>
      <c r="M35" s="55"/>
      <c r="N35" s="6" t="s">
        <v>13</v>
      </c>
      <c r="O35" s="21"/>
      <c r="P35" s="160"/>
      <c r="Q35" s="161"/>
      <c r="R35" s="162"/>
    </row>
    <row r="36" spans="1:18" ht="14.55" customHeight="1" x14ac:dyDescent="0.3">
      <c r="A36" s="166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55"/>
      <c r="N36" s="6" t="s">
        <v>13</v>
      </c>
      <c r="O36" s="21"/>
      <c r="P36" s="160"/>
      <c r="Q36" s="161"/>
      <c r="R36" s="162"/>
    </row>
    <row r="37" spans="1:18" ht="14.55" customHeight="1" x14ac:dyDescent="0.3">
      <c r="A37" s="166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55"/>
      <c r="N37" s="6" t="s">
        <v>13</v>
      </c>
      <c r="O37" s="21"/>
      <c r="P37" s="160"/>
      <c r="Q37" s="161"/>
      <c r="R37" s="162"/>
    </row>
    <row r="38" spans="1:18" ht="14.55" customHeight="1" x14ac:dyDescent="0.3">
      <c r="A38" s="166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55"/>
      <c r="N38" s="6" t="s">
        <v>13</v>
      </c>
      <c r="O38" s="21"/>
      <c r="P38" s="160"/>
      <c r="Q38" s="161"/>
      <c r="R38" s="162"/>
    </row>
    <row r="39" spans="1:18" ht="14.55" customHeight="1" x14ac:dyDescent="0.3">
      <c r="A39" s="166"/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55"/>
      <c r="N39" s="6" t="s">
        <v>13</v>
      </c>
      <c r="O39" s="21"/>
      <c r="P39" s="160"/>
      <c r="Q39" s="161"/>
      <c r="R39" s="162"/>
    </row>
    <row r="40" spans="1:18" ht="14.55" customHeight="1" x14ac:dyDescent="0.3">
      <c r="A40" s="166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55"/>
      <c r="N40" s="6" t="s">
        <v>13</v>
      </c>
      <c r="O40" s="21"/>
      <c r="P40" s="160"/>
      <c r="Q40" s="161"/>
      <c r="R40" s="162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55"/>
      <c r="N41" s="6" t="s">
        <v>13</v>
      </c>
      <c r="O41" s="21"/>
      <c r="P41" s="160"/>
      <c r="Q41" s="161"/>
      <c r="R41" s="162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55"/>
      <c r="N42" s="6" t="s">
        <v>13</v>
      </c>
      <c r="O42" s="21"/>
      <c r="P42" s="160"/>
      <c r="Q42" s="161"/>
      <c r="R42" s="162"/>
    </row>
    <row r="43" spans="1:18" ht="14.55" customHeight="1" x14ac:dyDescent="0.3">
      <c r="A43" s="166"/>
      <c r="B43" s="5"/>
      <c r="C43" s="5"/>
      <c r="D43" s="4"/>
      <c r="E43" s="3"/>
      <c r="F43" s="19"/>
      <c r="G43" s="20"/>
      <c r="H43" s="28"/>
      <c r="I43" s="143"/>
      <c r="J43" s="144"/>
      <c r="K43" s="143"/>
      <c r="L43" s="144"/>
      <c r="M43" s="55"/>
      <c r="N43" s="6" t="s">
        <v>13</v>
      </c>
      <c r="O43" s="21"/>
      <c r="P43" s="160"/>
      <c r="Q43" s="161"/>
      <c r="R43" s="162"/>
    </row>
    <row r="44" spans="1:18" ht="14.55" customHeight="1" x14ac:dyDescent="0.3">
      <c r="A44" s="166"/>
      <c r="B44" s="5"/>
      <c r="C44" s="5"/>
      <c r="D44" s="4"/>
      <c r="E44" s="3"/>
      <c r="F44" s="19"/>
      <c r="G44" s="20"/>
      <c r="H44" s="28"/>
      <c r="I44" s="143"/>
      <c r="J44" s="144"/>
      <c r="K44" s="143"/>
      <c r="L44" s="144"/>
      <c r="M44" s="55"/>
      <c r="N44" s="6" t="s">
        <v>13</v>
      </c>
      <c r="O44" s="21"/>
      <c r="P44" s="160"/>
      <c r="Q44" s="161"/>
      <c r="R44" s="162"/>
    </row>
    <row r="45" spans="1:18" ht="14.55" customHeight="1" x14ac:dyDescent="0.3">
      <c r="A45" s="166"/>
      <c r="B45" s="5"/>
      <c r="C45" s="5"/>
      <c r="D45" s="4"/>
      <c r="E45" s="3"/>
      <c r="F45" s="19"/>
      <c r="G45" s="20"/>
      <c r="H45" s="28"/>
      <c r="I45" s="143"/>
      <c r="J45" s="144"/>
      <c r="K45" s="143"/>
      <c r="L45" s="144"/>
      <c r="M45" s="55"/>
      <c r="N45" s="6" t="s">
        <v>13</v>
      </c>
      <c r="O45" s="21"/>
      <c r="P45" s="160"/>
      <c r="Q45" s="161"/>
      <c r="R45" s="162"/>
    </row>
    <row r="46" spans="1:18" ht="14.55" customHeight="1" x14ac:dyDescent="0.3">
      <c r="A46" s="166"/>
      <c r="B46" s="5"/>
      <c r="C46" s="5"/>
      <c r="D46" s="4"/>
      <c r="E46" s="3"/>
      <c r="F46" s="19"/>
      <c r="G46" s="20"/>
      <c r="H46" s="28"/>
      <c r="I46" s="143"/>
      <c r="J46" s="144"/>
      <c r="K46" s="143"/>
      <c r="L46" s="144"/>
      <c r="M46" s="55"/>
      <c r="N46" s="6" t="s">
        <v>13</v>
      </c>
      <c r="O46" s="21"/>
      <c r="P46" s="160"/>
      <c r="Q46" s="161"/>
      <c r="R46" s="162"/>
    </row>
    <row r="47" spans="1:18" ht="14.55" customHeight="1" x14ac:dyDescent="0.3">
      <c r="A47" s="166"/>
      <c r="B47" s="5"/>
      <c r="C47" s="5"/>
      <c r="D47" s="4"/>
      <c r="E47" s="3"/>
      <c r="F47" s="19"/>
      <c r="G47" s="20"/>
      <c r="H47" s="28"/>
      <c r="I47" s="143"/>
      <c r="J47" s="144"/>
      <c r="K47" s="143"/>
      <c r="L47" s="144"/>
      <c r="M47" s="55"/>
      <c r="N47" s="6" t="s">
        <v>13</v>
      </c>
      <c r="O47" s="21"/>
      <c r="P47" s="160"/>
      <c r="Q47" s="161"/>
      <c r="R47" s="162"/>
    </row>
    <row r="48" spans="1:18" ht="14.55" customHeight="1" x14ac:dyDescent="0.3">
      <c r="A48" s="167"/>
      <c r="B48" s="148" t="s">
        <v>0</v>
      </c>
      <c r="C48" s="149"/>
      <c r="D48" s="149"/>
      <c r="E48" s="149"/>
      <c r="F48" s="149"/>
      <c r="G48" s="149"/>
      <c r="H48" s="149"/>
      <c r="I48" s="150">
        <f>SUM(I33:J47)</f>
        <v>2984</v>
      </c>
      <c r="J48" s="151"/>
      <c r="K48" s="150">
        <f>SUM(K33:L47)</f>
        <v>0</v>
      </c>
      <c r="L48" s="151"/>
      <c r="M48" s="10">
        <f>SUM(M43:M47)</f>
        <v>0</v>
      </c>
      <c r="N48" s="11" t="s">
        <v>13</v>
      </c>
      <c r="O48" s="9"/>
      <c r="P48" s="163"/>
      <c r="Q48" s="164"/>
      <c r="R48" s="165"/>
    </row>
    <row r="49" spans="1:18" ht="14.55" customHeight="1" x14ac:dyDescent="0.3">
      <c r="D49" s="35"/>
      <c r="E49" s="1"/>
      <c r="F49" s="1"/>
      <c r="G49" s="1"/>
      <c r="H49" s="1"/>
      <c r="M49" s="35"/>
    </row>
    <row r="50" spans="1:18" x14ac:dyDescent="0.3">
      <c r="E50" s="148" t="s">
        <v>164</v>
      </c>
      <c r="F50" s="149"/>
      <c r="G50" s="149"/>
      <c r="H50" s="149"/>
      <c r="I50" s="152" t="s">
        <v>19</v>
      </c>
      <c r="J50" s="153"/>
      <c r="K50" s="152" t="s">
        <v>20</v>
      </c>
      <c r="L50" s="153"/>
    </row>
    <row r="51" spans="1:18" s="36" customFormat="1" x14ac:dyDescent="0.3">
      <c r="E51" s="7"/>
      <c r="F51" s="7"/>
      <c r="G51" s="7"/>
      <c r="H51" s="7"/>
      <c r="I51" s="22">
        <f>I48</f>
        <v>2984</v>
      </c>
      <c r="J51" s="14" t="s">
        <v>12</v>
      </c>
      <c r="K51" s="22">
        <f>K48</f>
        <v>0</v>
      </c>
      <c r="L51" s="15" t="s">
        <v>12</v>
      </c>
    </row>
    <row r="52" spans="1:18" ht="24.45" customHeight="1" x14ac:dyDescent="0.3">
      <c r="E52" s="13"/>
      <c r="F52" s="13"/>
      <c r="G52" s="13"/>
      <c r="H52" s="13"/>
      <c r="I52" s="154">
        <f>I51+K51</f>
        <v>2984</v>
      </c>
      <c r="J52" s="155"/>
      <c r="K52" s="155"/>
      <c r="L52" s="156"/>
    </row>
    <row r="54" spans="1:18" s="8" customFormat="1" ht="30" customHeight="1" x14ac:dyDescent="0.3">
      <c r="A54" s="133" t="s">
        <v>30</v>
      </c>
      <c r="B54" s="134"/>
      <c r="C54" s="134"/>
      <c r="D54" s="134"/>
      <c r="E54" s="134"/>
      <c r="F54" s="134"/>
      <c r="G54" s="134"/>
      <c r="H54" s="134"/>
      <c r="I54" s="134"/>
      <c r="J54" s="134"/>
      <c r="K54" s="135"/>
      <c r="L54" s="135"/>
      <c r="M54" s="135"/>
      <c r="N54" s="135"/>
      <c r="O54" s="134"/>
      <c r="P54" s="134"/>
      <c r="Q54" s="134"/>
      <c r="R54" s="136"/>
    </row>
    <row r="55" spans="1:18" s="12" customFormat="1" ht="14.55" customHeight="1" x14ac:dyDescent="0.3">
      <c r="A55" s="128" t="s">
        <v>1</v>
      </c>
      <c r="B55" s="137" t="s">
        <v>2</v>
      </c>
      <c r="C55" s="137" t="s">
        <v>3</v>
      </c>
      <c r="D55" s="137" t="s">
        <v>4</v>
      </c>
      <c r="E55" s="124" t="s">
        <v>5</v>
      </c>
      <c r="F55" s="138" t="s">
        <v>14</v>
      </c>
      <c r="G55" s="138" t="s">
        <v>15</v>
      </c>
      <c r="H55" s="119" t="s">
        <v>29</v>
      </c>
      <c r="I55" s="121" t="s">
        <v>6</v>
      </c>
      <c r="J55" s="122"/>
      <c r="K55" s="122"/>
      <c r="L55" s="123"/>
      <c r="M55" s="124" t="s">
        <v>7</v>
      </c>
      <c r="N55" s="125"/>
      <c r="O55" s="128" t="s">
        <v>8</v>
      </c>
      <c r="P55" s="128" t="s">
        <v>9</v>
      </c>
      <c r="Q55" s="128"/>
      <c r="R55" s="128"/>
    </row>
    <row r="56" spans="1:18" s="12" customFormat="1" ht="13.05" customHeight="1" x14ac:dyDescent="0.3">
      <c r="A56" s="128"/>
      <c r="B56" s="137"/>
      <c r="C56" s="137"/>
      <c r="D56" s="137"/>
      <c r="E56" s="126"/>
      <c r="F56" s="139"/>
      <c r="G56" s="139"/>
      <c r="H56" s="120"/>
      <c r="I56" s="121" t="s">
        <v>19</v>
      </c>
      <c r="J56" s="123"/>
      <c r="K56" s="121" t="s">
        <v>20</v>
      </c>
      <c r="L56" s="123"/>
      <c r="M56" s="126"/>
      <c r="N56" s="127"/>
      <c r="O56" s="128"/>
      <c r="P56" s="128"/>
      <c r="Q56" s="128"/>
      <c r="R56" s="128"/>
    </row>
    <row r="57" spans="1:18" ht="14.55" customHeight="1" x14ac:dyDescent="0.3">
      <c r="A57" s="140" t="s">
        <v>35</v>
      </c>
      <c r="B57" s="5">
        <v>0.33333333333333331</v>
      </c>
      <c r="C57" s="5"/>
      <c r="D57" s="4">
        <v>250063</v>
      </c>
      <c r="E57" s="3" t="s">
        <v>166</v>
      </c>
      <c r="F57" s="19">
        <v>430</v>
      </c>
      <c r="G57" s="20">
        <v>0.5</v>
      </c>
      <c r="H57" s="28" t="s">
        <v>130</v>
      </c>
      <c r="I57" s="143">
        <v>371</v>
      </c>
      <c r="J57" s="144"/>
      <c r="K57" s="143"/>
      <c r="L57" s="144"/>
      <c r="M57" s="55"/>
      <c r="N57" s="6" t="s">
        <v>13</v>
      </c>
      <c r="O57" s="21"/>
      <c r="P57" s="168"/>
      <c r="Q57" s="169"/>
      <c r="R57" s="170"/>
    </row>
    <row r="58" spans="1:18" ht="14.55" customHeight="1" x14ac:dyDescent="0.3">
      <c r="A58" s="166"/>
      <c r="B58" s="5"/>
      <c r="C58" s="5"/>
      <c r="D58" s="4">
        <v>250064</v>
      </c>
      <c r="E58" s="3" t="s">
        <v>167</v>
      </c>
      <c r="F58" s="19">
        <v>430</v>
      </c>
      <c r="G58" s="20">
        <v>0.5</v>
      </c>
      <c r="H58" s="28" t="s">
        <v>130</v>
      </c>
      <c r="I58" s="143">
        <v>719</v>
      </c>
      <c r="J58" s="144"/>
      <c r="K58" s="143"/>
      <c r="L58" s="144"/>
      <c r="M58" s="55"/>
      <c r="N58" s="6" t="s">
        <v>13</v>
      </c>
      <c r="O58" s="21"/>
      <c r="P58" s="168"/>
      <c r="Q58" s="169"/>
      <c r="R58" s="170"/>
    </row>
    <row r="59" spans="1:18" ht="14.55" customHeight="1" x14ac:dyDescent="0.3">
      <c r="A59" s="166"/>
      <c r="B59" s="5"/>
      <c r="C59" s="5">
        <v>0.70833333333333337</v>
      </c>
      <c r="D59" s="4">
        <v>250054</v>
      </c>
      <c r="E59" s="3" t="s">
        <v>168</v>
      </c>
      <c r="F59" s="19">
        <v>430</v>
      </c>
      <c r="G59" s="20">
        <v>0.5</v>
      </c>
      <c r="H59" s="28" t="s">
        <v>130</v>
      </c>
      <c r="I59" s="143">
        <v>803</v>
      </c>
      <c r="J59" s="144"/>
      <c r="K59" s="143"/>
      <c r="L59" s="144"/>
      <c r="M59" s="55"/>
      <c r="N59" s="6" t="s">
        <v>13</v>
      </c>
      <c r="O59" s="21"/>
      <c r="P59" s="168"/>
      <c r="Q59" s="169"/>
      <c r="R59" s="170"/>
    </row>
    <row r="60" spans="1:18" ht="14.55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55"/>
      <c r="N60" s="6" t="s">
        <v>13</v>
      </c>
      <c r="O60" s="21"/>
      <c r="P60" s="168"/>
      <c r="Q60" s="169"/>
      <c r="R60" s="170"/>
    </row>
    <row r="61" spans="1:18" ht="14.55" customHeight="1" x14ac:dyDescent="0.3">
      <c r="A61" s="166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55"/>
      <c r="N61" s="6" t="s">
        <v>13</v>
      </c>
      <c r="O61" s="21"/>
      <c r="P61" s="168"/>
      <c r="Q61" s="169"/>
      <c r="R61" s="170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55"/>
      <c r="N62" s="6" t="s">
        <v>13</v>
      </c>
      <c r="O62" s="21"/>
      <c r="P62" s="168"/>
      <c r="Q62" s="169"/>
      <c r="R62" s="170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55"/>
      <c r="N63" s="6" t="s">
        <v>13</v>
      </c>
      <c r="O63" s="21"/>
      <c r="P63" s="168"/>
      <c r="Q63" s="169"/>
      <c r="R63" s="170"/>
    </row>
    <row r="64" spans="1:18" ht="14.55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55"/>
      <c r="N64" s="6" t="s">
        <v>13</v>
      </c>
      <c r="O64" s="21"/>
      <c r="P64" s="168"/>
      <c r="Q64" s="169"/>
      <c r="R64" s="170"/>
    </row>
    <row r="65" spans="1:18" ht="14.55" customHeight="1" x14ac:dyDescent="0.3">
      <c r="A65" s="166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55"/>
      <c r="N65" s="6" t="s">
        <v>13</v>
      </c>
      <c r="O65" s="21"/>
      <c r="P65" s="168"/>
      <c r="Q65" s="169"/>
      <c r="R65" s="170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55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67"/>
      <c r="B67" s="148" t="s">
        <v>0</v>
      </c>
      <c r="C67" s="149"/>
      <c r="D67" s="149"/>
      <c r="E67" s="149"/>
      <c r="F67" s="149"/>
      <c r="G67" s="149"/>
      <c r="H67" s="149"/>
      <c r="I67" s="150">
        <f>SUM(I57:J66)</f>
        <v>1893</v>
      </c>
      <c r="J67" s="151"/>
      <c r="K67" s="150">
        <f>SUM(K57:L66)</f>
        <v>0</v>
      </c>
      <c r="L67" s="151"/>
      <c r="M67" s="10">
        <f>SUM(M62:M66)</f>
        <v>0</v>
      </c>
      <c r="N67" s="11" t="s">
        <v>13</v>
      </c>
      <c r="O67" s="9"/>
      <c r="P67" s="168"/>
      <c r="Q67" s="169"/>
      <c r="R67" s="170"/>
    </row>
    <row r="68" spans="1:18" ht="14.55" customHeight="1" x14ac:dyDescent="0.3">
      <c r="D68" s="35"/>
      <c r="E68" s="1"/>
      <c r="F68" s="1"/>
      <c r="G68" s="1"/>
      <c r="H68" s="1"/>
      <c r="M68" s="35"/>
    </row>
    <row r="69" spans="1:18" x14ac:dyDescent="0.3">
      <c r="E69" s="148" t="s">
        <v>34</v>
      </c>
      <c r="F69" s="149"/>
      <c r="G69" s="149"/>
      <c r="H69" s="149"/>
      <c r="I69" s="152" t="s">
        <v>19</v>
      </c>
      <c r="J69" s="153"/>
      <c r="K69" s="152" t="s">
        <v>20</v>
      </c>
      <c r="L69" s="153"/>
    </row>
    <row r="70" spans="1:18" s="36" customFormat="1" x14ac:dyDescent="0.3">
      <c r="E70" s="7"/>
      <c r="F70" s="7"/>
      <c r="G70" s="7"/>
      <c r="H70" s="7"/>
      <c r="I70" s="22">
        <f>I67</f>
        <v>1893</v>
      </c>
      <c r="J70" s="14" t="s">
        <v>12</v>
      </c>
      <c r="K70" s="22">
        <f>K67</f>
        <v>0</v>
      </c>
      <c r="L70" s="15" t="s">
        <v>12</v>
      </c>
    </row>
    <row r="71" spans="1:18" s="1" customFormat="1" ht="24.45" customHeight="1" x14ac:dyDescent="0.3">
      <c r="A71" s="35"/>
      <c r="B71" s="35"/>
      <c r="C71" s="35"/>
      <c r="E71" s="13"/>
      <c r="F71" s="13"/>
      <c r="G71" s="13"/>
      <c r="H71" s="13"/>
      <c r="I71" s="154">
        <f>I70+K70</f>
        <v>1893</v>
      </c>
      <c r="J71" s="155"/>
      <c r="K71" s="155"/>
      <c r="L71" s="156"/>
      <c r="N71" s="35"/>
      <c r="O71" s="35"/>
      <c r="P71" s="35"/>
      <c r="Q71" s="35"/>
      <c r="R71" s="35"/>
    </row>
    <row r="73" spans="1:18" s="8" customFormat="1" ht="30" customHeight="1" x14ac:dyDescent="0.3">
      <c r="A73" s="133" t="s">
        <v>22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5"/>
      <c r="L73" s="135"/>
      <c r="M73" s="135"/>
      <c r="N73" s="135"/>
      <c r="O73" s="134"/>
      <c r="P73" s="134"/>
      <c r="Q73" s="134"/>
      <c r="R73" s="136"/>
    </row>
    <row r="74" spans="1:18" s="12" customFormat="1" ht="14.55" customHeight="1" x14ac:dyDescent="0.3">
      <c r="A74" s="128" t="s">
        <v>1</v>
      </c>
      <c r="B74" s="137" t="s">
        <v>2</v>
      </c>
      <c r="C74" s="137" t="s">
        <v>3</v>
      </c>
      <c r="D74" s="137" t="s">
        <v>4</v>
      </c>
      <c r="E74" s="124" t="s">
        <v>5</v>
      </c>
      <c r="F74" s="138" t="s">
        <v>14</v>
      </c>
      <c r="G74" s="138" t="s">
        <v>15</v>
      </c>
      <c r="H74" s="119" t="s">
        <v>27</v>
      </c>
      <c r="I74" s="121" t="s">
        <v>6</v>
      </c>
      <c r="J74" s="122"/>
      <c r="K74" s="122"/>
      <c r="L74" s="123"/>
      <c r="M74" s="124" t="s">
        <v>7</v>
      </c>
      <c r="N74" s="125"/>
      <c r="O74" s="128" t="s">
        <v>8</v>
      </c>
      <c r="P74" s="128" t="s">
        <v>9</v>
      </c>
      <c r="Q74" s="128"/>
      <c r="R74" s="128"/>
    </row>
    <row r="75" spans="1:18" s="12" customFormat="1" ht="13.05" customHeight="1" x14ac:dyDescent="0.3">
      <c r="A75" s="128"/>
      <c r="B75" s="137"/>
      <c r="C75" s="137"/>
      <c r="D75" s="137"/>
      <c r="E75" s="126"/>
      <c r="F75" s="139"/>
      <c r="G75" s="139"/>
      <c r="H75" s="120"/>
      <c r="I75" s="121" t="s">
        <v>23</v>
      </c>
      <c r="J75" s="123"/>
      <c r="K75" s="121" t="s">
        <v>11</v>
      </c>
      <c r="L75" s="123"/>
      <c r="M75" s="126"/>
      <c r="N75" s="127"/>
      <c r="O75" s="128"/>
      <c r="P75" s="128"/>
      <c r="Q75" s="128"/>
      <c r="R75" s="128"/>
    </row>
    <row r="76" spans="1:18" ht="14.55" customHeight="1" x14ac:dyDescent="0.3">
      <c r="A76" s="140" t="s">
        <v>28</v>
      </c>
      <c r="B76" s="5">
        <v>0.33333333333333331</v>
      </c>
      <c r="C76" s="5">
        <v>0.70833333333333337</v>
      </c>
      <c r="D76" s="4">
        <v>250044</v>
      </c>
      <c r="E76" s="3" t="s">
        <v>169</v>
      </c>
      <c r="F76" s="19">
        <v>304</v>
      </c>
      <c r="G76" s="20">
        <v>0.7</v>
      </c>
      <c r="H76" s="28" t="s">
        <v>148</v>
      </c>
      <c r="I76" s="143"/>
      <c r="J76" s="144"/>
      <c r="K76" s="143">
        <v>550</v>
      </c>
      <c r="L76" s="144"/>
      <c r="M76" s="55"/>
      <c r="N76" s="6" t="s">
        <v>13</v>
      </c>
      <c r="O76" s="21"/>
      <c r="P76" s="168" t="s">
        <v>50</v>
      </c>
      <c r="Q76" s="169"/>
      <c r="R76" s="170"/>
    </row>
    <row r="77" spans="1:18" ht="14.55" customHeight="1" x14ac:dyDescent="0.3">
      <c r="A77" s="141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55"/>
      <c r="N77" s="6" t="s">
        <v>13</v>
      </c>
      <c r="O77" s="21"/>
      <c r="P77" s="168"/>
      <c r="Q77" s="169"/>
      <c r="R77" s="170"/>
    </row>
    <row r="78" spans="1:18" ht="14.55" customHeight="1" x14ac:dyDescent="0.3">
      <c r="A78" s="141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55"/>
      <c r="N78" s="6" t="s">
        <v>13</v>
      </c>
      <c r="O78" s="21"/>
      <c r="P78" s="168"/>
      <c r="Q78" s="169"/>
      <c r="R78" s="170"/>
    </row>
    <row r="79" spans="1:18" ht="14.55" customHeight="1" x14ac:dyDescent="0.3">
      <c r="A79" s="141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55"/>
      <c r="N79" s="6" t="s">
        <v>13</v>
      </c>
      <c r="O79" s="21"/>
      <c r="P79" s="168"/>
      <c r="Q79" s="169"/>
      <c r="R79" s="170"/>
    </row>
    <row r="80" spans="1:18" ht="14.55" customHeight="1" x14ac:dyDescent="0.3">
      <c r="A80" s="141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55"/>
      <c r="N80" s="6" t="s">
        <v>13</v>
      </c>
      <c r="O80" s="21"/>
      <c r="P80" s="168"/>
      <c r="Q80" s="169"/>
      <c r="R80" s="170"/>
    </row>
    <row r="81" spans="1:18" ht="14.55" customHeight="1" x14ac:dyDescent="0.3">
      <c r="A81" s="142"/>
      <c r="B81" s="148" t="s">
        <v>0</v>
      </c>
      <c r="C81" s="149"/>
      <c r="D81" s="149"/>
      <c r="E81" s="149"/>
      <c r="F81" s="149"/>
      <c r="G81" s="149"/>
      <c r="H81" s="171"/>
      <c r="I81" s="150">
        <f>SUM(I76:J80)</f>
        <v>0</v>
      </c>
      <c r="J81" s="151"/>
      <c r="K81" s="150">
        <f>SUM(K76:L80)</f>
        <v>550</v>
      </c>
      <c r="L81" s="151"/>
      <c r="M81" s="10">
        <f>SUM(M76:M80)</f>
        <v>0</v>
      </c>
      <c r="N81" s="11" t="s">
        <v>13</v>
      </c>
      <c r="O81" s="9"/>
      <c r="P81" s="168"/>
      <c r="Q81" s="169"/>
      <c r="R81" s="170"/>
    </row>
    <row r="82" spans="1:18" ht="14.55" customHeight="1" x14ac:dyDescent="0.3">
      <c r="A82" s="140" t="s">
        <v>24</v>
      </c>
      <c r="B82" s="5">
        <v>0.33333333333333331</v>
      </c>
      <c r="C82" s="5"/>
      <c r="D82" s="4">
        <v>250044</v>
      </c>
      <c r="E82" s="3" t="s">
        <v>171</v>
      </c>
      <c r="F82" s="19">
        <v>304</v>
      </c>
      <c r="G82" s="20">
        <v>0.7</v>
      </c>
      <c r="H82" s="28" t="s">
        <v>148</v>
      </c>
      <c r="I82" s="143"/>
      <c r="J82" s="144"/>
      <c r="K82" s="143">
        <v>550</v>
      </c>
      <c r="L82" s="144"/>
      <c r="M82" s="55"/>
      <c r="N82" s="6" t="s">
        <v>13</v>
      </c>
      <c r="O82" s="21"/>
      <c r="P82" s="157" t="s">
        <v>51</v>
      </c>
      <c r="Q82" s="158"/>
      <c r="R82" s="159"/>
    </row>
    <row r="83" spans="1:18" ht="14.55" customHeight="1" x14ac:dyDescent="0.3">
      <c r="A83" s="166"/>
      <c r="B83" s="5"/>
      <c r="C83" s="5">
        <v>0.70833333333333337</v>
      </c>
      <c r="D83" s="4">
        <v>250044</v>
      </c>
      <c r="E83" s="3" t="s">
        <v>170</v>
      </c>
      <c r="F83" s="19">
        <v>304</v>
      </c>
      <c r="G83" s="20">
        <v>0.7</v>
      </c>
      <c r="H83" s="28" t="s">
        <v>148</v>
      </c>
      <c r="I83" s="143"/>
      <c r="J83" s="144"/>
      <c r="K83" s="143">
        <v>550</v>
      </c>
      <c r="L83" s="144"/>
      <c r="M83" s="55"/>
      <c r="N83" s="6" t="s">
        <v>13</v>
      </c>
      <c r="O83" s="21"/>
      <c r="P83" s="160"/>
      <c r="Q83" s="161"/>
      <c r="R83" s="162"/>
    </row>
    <row r="84" spans="1:18" ht="14.55" hidden="1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55"/>
      <c r="N84" s="6" t="s">
        <v>13</v>
      </c>
      <c r="O84" s="21"/>
      <c r="P84" s="160"/>
      <c r="Q84" s="161"/>
      <c r="R84" s="162"/>
    </row>
    <row r="85" spans="1:18" ht="14.55" hidden="1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55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55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7"/>
      <c r="B87" s="148" t="s">
        <v>0</v>
      </c>
      <c r="C87" s="149"/>
      <c r="D87" s="149"/>
      <c r="E87" s="149"/>
      <c r="F87" s="149"/>
      <c r="G87" s="149"/>
      <c r="H87" s="171"/>
      <c r="I87" s="150">
        <f>SUM(I82:J86)</f>
        <v>0</v>
      </c>
      <c r="J87" s="151"/>
      <c r="K87" s="150">
        <f>SUM(K82:L86)</f>
        <v>1100</v>
      </c>
      <c r="L87" s="151"/>
      <c r="M87" s="10">
        <f>SUM(M82:M86)</f>
        <v>0</v>
      </c>
      <c r="N87" s="11" t="s">
        <v>13</v>
      </c>
      <c r="O87" s="9"/>
      <c r="P87" s="163"/>
      <c r="Q87" s="164"/>
      <c r="R87" s="165"/>
    </row>
    <row r="88" spans="1:18" ht="14.55" customHeight="1" x14ac:dyDescent="0.3">
      <c r="A88" s="140" t="s">
        <v>25</v>
      </c>
      <c r="B88" s="5"/>
      <c r="C88" s="5"/>
      <c r="D88" s="4"/>
      <c r="E88" s="3" t="s">
        <v>172</v>
      </c>
      <c r="F88" s="19"/>
      <c r="G88" s="20"/>
      <c r="H88" s="28"/>
      <c r="I88" s="143"/>
      <c r="J88" s="144"/>
      <c r="K88" s="143"/>
      <c r="L88" s="144"/>
      <c r="M88" s="55"/>
      <c r="N88" s="6" t="s">
        <v>13</v>
      </c>
      <c r="O88" s="21"/>
      <c r="P88" s="145" t="s">
        <v>53</v>
      </c>
      <c r="Q88" s="169"/>
      <c r="R88" s="170"/>
    </row>
    <row r="89" spans="1:18" ht="14.55" hidden="1" customHeight="1" x14ac:dyDescent="0.3">
      <c r="A89" s="141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55"/>
      <c r="N89" s="6" t="s">
        <v>13</v>
      </c>
      <c r="O89" s="21"/>
      <c r="P89" s="168"/>
      <c r="Q89" s="169"/>
      <c r="R89" s="170"/>
    </row>
    <row r="90" spans="1:18" ht="14.55" hidden="1" customHeight="1" x14ac:dyDescent="0.3">
      <c r="A90" s="141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55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41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55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41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55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42"/>
      <c r="B93" s="148" t="s">
        <v>0</v>
      </c>
      <c r="C93" s="149"/>
      <c r="D93" s="149"/>
      <c r="E93" s="149"/>
      <c r="F93" s="149"/>
      <c r="G93" s="149"/>
      <c r="H93" s="149"/>
      <c r="I93" s="150">
        <f>SUM(I88:J92)</f>
        <v>0</v>
      </c>
      <c r="J93" s="151"/>
      <c r="K93" s="150">
        <f>SUM(K88:L92)</f>
        <v>0</v>
      </c>
      <c r="L93" s="151"/>
      <c r="M93" s="10">
        <f>SUM(M88:M92)</f>
        <v>0</v>
      </c>
      <c r="N93" s="11" t="s">
        <v>13</v>
      </c>
      <c r="O93" s="9"/>
      <c r="P93" s="168"/>
      <c r="Q93" s="169"/>
      <c r="R93" s="170"/>
    </row>
    <row r="95" spans="1:18" x14ac:dyDescent="0.3">
      <c r="E95" s="148" t="s">
        <v>26</v>
      </c>
      <c r="F95" s="149"/>
      <c r="G95" s="149"/>
      <c r="H95" s="149"/>
      <c r="I95" s="152" t="s">
        <v>23</v>
      </c>
      <c r="J95" s="153"/>
      <c r="K95" s="152" t="s">
        <v>11</v>
      </c>
      <c r="L95" s="153"/>
    </row>
    <row r="96" spans="1:18" s="36" customFormat="1" x14ac:dyDescent="0.3">
      <c r="E96" s="7"/>
      <c r="F96" s="7"/>
      <c r="G96" s="7"/>
      <c r="H96" s="7"/>
      <c r="I96" s="22">
        <f>I87+I93</f>
        <v>0</v>
      </c>
      <c r="J96" s="14" t="s">
        <v>12</v>
      </c>
      <c r="K96" s="22">
        <f>K87+K93</f>
        <v>1100</v>
      </c>
      <c r="L96" s="15" t="s">
        <v>12</v>
      </c>
    </row>
    <row r="97" spans="1:18" ht="24.45" customHeight="1" x14ac:dyDescent="0.3">
      <c r="E97" s="13"/>
      <c r="F97" s="13"/>
      <c r="G97" s="13"/>
      <c r="H97" s="13"/>
      <c r="I97" s="154">
        <f>I96+K96</f>
        <v>1100</v>
      </c>
      <c r="J97" s="155"/>
      <c r="K97" s="155"/>
      <c r="L97" s="156"/>
    </row>
    <row r="99" spans="1:18" s="8" customFormat="1" ht="30" customHeight="1" x14ac:dyDescent="0.3">
      <c r="A99" s="133" t="s">
        <v>131</v>
      </c>
      <c r="B99" s="134"/>
      <c r="C99" s="134"/>
      <c r="D99" s="134"/>
      <c r="E99" s="134"/>
      <c r="F99" s="134"/>
      <c r="G99" s="134"/>
      <c r="H99" s="134"/>
      <c r="I99" s="134"/>
      <c r="J99" s="134"/>
      <c r="K99" s="135"/>
      <c r="L99" s="135"/>
      <c r="M99" s="135"/>
      <c r="N99" s="135"/>
      <c r="O99" s="134"/>
      <c r="P99" s="134"/>
      <c r="Q99" s="134"/>
      <c r="R99" s="136"/>
    </row>
    <row r="100" spans="1:18" s="12" customFormat="1" ht="14.55" customHeight="1" x14ac:dyDescent="0.3">
      <c r="A100" s="128" t="s">
        <v>1</v>
      </c>
      <c r="B100" s="137" t="s">
        <v>2</v>
      </c>
      <c r="C100" s="137" t="s">
        <v>3</v>
      </c>
      <c r="D100" s="137" t="s">
        <v>4</v>
      </c>
      <c r="E100" s="124" t="s">
        <v>5</v>
      </c>
      <c r="F100" s="138" t="s">
        <v>14</v>
      </c>
      <c r="G100" s="138" t="s">
        <v>15</v>
      </c>
      <c r="H100" s="119" t="s">
        <v>27</v>
      </c>
      <c r="I100" s="121" t="s">
        <v>6</v>
      </c>
      <c r="J100" s="122"/>
      <c r="K100" s="122"/>
      <c r="L100" s="123"/>
      <c r="M100" s="124" t="s">
        <v>7</v>
      </c>
      <c r="N100" s="125"/>
      <c r="O100" s="128" t="s">
        <v>8</v>
      </c>
      <c r="P100" s="128" t="s">
        <v>9</v>
      </c>
      <c r="Q100" s="128"/>
      <c r="R100" s="128"/>
    </row>
    <row r="101" spans="1:18" s="12" customFormat="1" ht="13.05" customHeight="1" x14ac:dyDescent="0.3">
      <c r="A101" s="128"/>
      <c r="B101" s="137"/>
      <c r="C101" s="137"/>
      <c r="D101" s="137"/>
      <c r="E101" s="126"/>
      <c r="F101" s="139"/>
      <c r="G101" s="139"/>
      <c r="H101" s="120"/>
      <c r="I101" s="121" t="s">
        <v>23</v>
      </c>
      <c r="J101" s="123"/>
      <c r="K101" s="121" t="s">
        <v>11</v>
      </c>
      <c r="L101" s="123"/>
      <c r="M101" s="126"/>
      <c r="N101" s="127"/>
      <c r="O101" s="128"/>
      <c r="P101" s="128"/>
      <c r="Q101" s="128"/>
      <c r="R101" s="128"/>
    </row>
    <row r="102" spans="1:18" ht="14.55" customHeight="1" x14ac:dyDescent="0.3">
      <c r="A102" s="140" t="s">
        <v>132</v>
      </c>
      <c r="B102" s="5">
        <v>0.33333333333333331</v>
      </c>
      <c r="C102" s="5">
        <v>0.70833333333333337</v>
      </c>
      <c r="D102" s="4">
        <v>250054</v>
      </c>
      <c r="E102" s="3" t="s">
        <v>174</v>
      </c>
      <c r="F102" s="19">
        <v>304</v>
      </c>
      <c r="G102" s="20">
        <v>0.6</v>
      </c>
      <c r="H102" s="28" t="s">
        <v>137</v>
      </c>
      <c r="I102" s="143">
        <v>800</v>
      </c>
      <c r="J102" s="144"/>
      <c r="K102" s="143"/>
      <c r="L102" s="144"/>
      <c r="M102" s="55"/>
      <c r="N102" s="6" t="s">
        <v>13</v>
      </c>
      <c r="O102" s="21"/>
      <c r="P102" s="157"/>
      <c r="Q102" s="158"/>
      <c r="R102" s="159"/>
    </row>
    <row r="103" spans="1:18" ht="14.55" customHeight="1" x14ac:dyDescent="0.3">
      <c r="A103" s="166"/>
      <c r="B103" s="5"/>
      <c r="C103" s="5"/>
      <c r="D103" s="4"/>
      <c r="E103" s="3"/>
      <c r="F103" s="19"/>
      <c r="G103" s="20"/>
      <c r="H103" s="28"/>
      <c r="I103" s="143"/>
      <c r="J103" s="144"/>
      <c r="K103" s="143"/>
      <c r="L103" s="144"/>
      <c r="M103" s="55"/>
      <c r="N103" s="6" t="s">
        <v>13</v>
      </c>
      <c r="O103" s="21"/>
      <c r="P103" s="160"/>
      <c r="Q103" s="161"/>
      <c r="R103" s="162"/>
    </row>
    <row r="104" spans="1:18" ht="14.55" customHeight="1" x14ac:dyDescent="0.3">
      <c r="A104" s="166"/>
      <c r="B104" s="5"/>
      <c r="C104" s="5"/>
      <c r="D104" s="4"/>
      <c r="E104" s="3"/>
      <c r="F104" s="19"/>
      <c r="G104" s="20"/>
      <c r="H104" s="28"/>
      <c r="I104" s="143"/>
      <c r="J104" s="144"/>
      <c r="K104" s="143"/>
      <c r="L104" s="144"/>
      <c r="M104" s="55"/>
      <c r="N104" s="6" t="s">
        <v>13</v>
      </c>
      <c r="O104" s="21"/>
      <c r="P104" s="160"/>
      <c r="Q104" s="161"/>
      <c r="R104" s="162"/>
    </row>
    <row r="105" spans="1:18" ht="14.55" customHeight="1" x14ac:dyDescent="0.3">
      <c r="A105" s="166"/>
      <c r="B105" s="5"/>
      <c r="C105" s="5"/>
      <c r="D105" s="4"/>
      <c r="E105" s="3"/>
      <c r="F105" s="19"/>
      <c r="G105" s="20"/>
      <c r="H105" s="28"/>
      <c r="I105" s="143"/>
      <c r="J105" s="144"/>
      <c r="K105" s="143"/>
      <c r="L105" s="144"/>
      <c r="M105" s="55"/>
      <c r="N105" s="6" t="s">
        <v>13</v>
      </c>
      <c r="O105" s="21"/>
      <c r="P105" s="160"/>
      <c r="Q105" s="161"/>
      <c r="R105" s="162"/>
    </row>
    <row r="106" spans="1:18" ht="14.55" customHeight="1" x14ac:dyDescent="0.3">
      <c r="A106" s="166"/>
      <c r="B106" s="5"/>
      <c r="C106" s="5"/>
      <c r="D106" s="4"/>
      <c r="E106" s="3"/>
      <c r="F106" s="19"/>
      <c r="G106" s="20"/>
      <c r="H106" s="28"/>
      <c r="I106" s="143"/>
      <c r="J106" s="144"/>
      <c r="K106" s="143"/>
      <c r="L106" s="144"/>
      <c r="M106" s="55"/>
      <c r="N106" s="6" t="s">
        <v>13</v>
      </c>
      <c r="O106" s="21"/>
      <c r="P106" s="160"/>
      <c r="Q106" s="161"/>
      <c r="R106" s="162"/>
    </row>
    <row r="107" spans="1:18" ht="14.55" customHeight="1" x14ac:dyDescent="0.3">
      <c r="A107" s="166"/>
      <c r="B107" s="5"/>
      <c r="C107" s="5"/>
      <c r="D107" s="4"/>
      <c r="E107" s="3"/>
      <c r="F107" s="19"/>
      <c r="G107" s="20"/>
      <c r="H107" s="28"/>
      <c r="I107" s="143"/>
      <c r="J107" s="144"/>
      <c r="K107" s="143"/>
      <c r="L107" s="144"/>
      <c r="M107" s="55"/>
      <c r="N107" s="6" t="s">
        <v>13</v>
      </c>
      <c r="O107" s="21"/>
      <c r="P107" s="160"/>
      <c r="Q107" s="161"/>
      <c r="R107" s="162"/>
    </row>
    <row r="108" spans="1:18" ht="14.55" customHeight="1" x14ac:dyDescent="0.3">
      <c r="A108" s="166"/>
      <c r="B108" s="5"/>
      <c r="C108" s="5"/>
      <c r="D108" s="4"/>
      <c r="E108" s="3"/>
      <c r="F108" s="19"/>
      <c r="G108" s="20"/>
      <c r="H108" s="28"/>
      <c r="I108" s="143"/>
      <c r="J108" s="144"/>
      <c r="K108" s="143"/>
      <c r="L108" s="144"/>
      <c r="M108" s="55"/>
      <c r="N108" s="6" t="s">
        <v>13</v>
      </c>
      <c r="O108" s="21"/>
      <c r="P108" s="160"/>
      <c r="Q108" s="161"/>
      <c r="R108" s="162"/>
    </row>
    <row r="109" spans="1:18" ht="14.55" customHeight="1" x14ac:dyDescent="0.3">
      <c r="A109" s="166"/>
      <c r="B109" s="5"/>
      <c r="C109" s="5"/>
      <c r="D109" s="4"/>
      <c r="E109" s="3"/>
      <c r="F109" s="19"/>
      <c r="G109" s="20"/>
      <c r="H109" s="28"/>
      <c r="I109" s="143"/>
      <c r="J109" s="144"/>
      <c r="K109" s="143"/>
      <c r="L109" s="144"/>
      <c r="M109" s="55"/>
      <c r="N109" s="6" t="s">
        <v>13</v>
      </c>
      <c r="O109" s="21"/>
      <c r="P109" s="160"/>
      <c r="Q109" s="161"/>
      <c r="R109" s="162"/>
    </row>
    <row r="110" spans="1:18" ht="14.55" customHeight="1" x14ac:dyDescent="0.3">
      <c r="A110" s="166"/>
      <c r="B110" s="5"/>
      <c r="C110" s="5"/>
      <c r="D110" s="4"/>
      <c r="E110" s="3"/>
      <c r="F110" s="19"/>
      <c r="G110" s="20"/>
      <c r="H110" s="28"/>
      <c r="I110" s="143"/>
      <c r="J110" s="144"/>
      <c r="K110" s="143"/>
      <c r="L110" s="144"/>
      <c r="M110" s="55"/>
      <c r="N110" s="6" t="s">
        <v>13</v>
      </c>
      <c r="O110" s="21"/>
      <c r="P110" s="160"/>
      <c r="Q110" s="161"/>
      <c r="R110" s="162"/>
    </row>
    <row r="111" spans="1:18" ht="14.55" customHeight="1" x14ac:dyDescent="0.3">
      <c r="A111" s="166"/>
      <c r="B111" s="5"/>
      <c r="C111" s="5"/>
      <c r="D111" s="4"/>
      <c r="E111" s="3"/>
      <c r="F111" s="19"/>
      <c r="G111" s="20"/>
      <c r="H111" s="28"/>
      <c r="I111" s="143"/>
      <c r="J111" s="144"/>
      <c r="K111" s="143"/>
      <c r="L111" s="144"/>
      <c r="M111" s="55"/>
      <c r="N111" s="6" t="s">
        <v>13</v>
      </c>
      <c r="O111" s="21"/>
      <c r="P111" s="160"/>
      <c r="Q111" s="161"/>
      <c r="R111" s="162"/>
    </row>
    <row r="112" spans="1:18" ht="14.55" customHeight="1" x14ac:dyDescent="0.3">
      <c r="A112" s="167"/>
      <c r="B112" s="148" t="s">
        <v>0</v>
      </c>
      <c r="C112" s="149"/>
      <c r="D112" s="149"/>
      <c r="E112" s="149"/>
      <c r="F112" s="149"/>
      <c r="G112" s="149"/>
      <c r="H112" s="149"/>
      <c r="I112" s="150">
        <f>SUM(I102:J111)</f>
        <v>800</v>
      </c>
      <c r="J112" s="151"/>
      <c r="K112" s="150">
        <f ca="1">SUM(K102:L112)</f>
        <v>0</v>
      </c>
      <c r="L112" s="151"/>
      <c r="M112" s="10">
        <f>SUM(M107:M111)</f>
        <v>0</v>
      </c>
      <c r="N112" s="11" t="s">
        <v>13</v>
      </c>
      <c r="O112" s="9"/>
      <c r="P112" s="163"/>
      <c r="Q112" s="164"/>
      <c r="R112" s="165"/>
    </row>
    <row r="114" spans="5:18" x14ac:dyDescent="0.3">
      <c r="E114" s="148" t="s">
        <v>26</v>
      </c>
      <c r="F114" s="149"/>
      <c r="G114" s="149"/>
      <c r="H114" s="149"/>
      <c r="I114" s="152" t="s">
        <v>23</v>
      </c>
      <c r="J114" s="153"/>
      <c r="K114" s="172" t="s">
        <v>11</v>
      </c>
      <c r="L114" s="153"/>
    </row>
    <row r="115" spans="5:18" s="36" customFormat="1" x14ac:dyDescent="0.3">
      <c r="E115" s="7"/>
      <c r="F115" s="7"/>
      <c r="G115" s="7"/>
      <c r="H115" s="7"/>
      <c r="I115" s="22">
        <f>I112</f>
        <v>800</v>
      </c>
      <c r="J115" s="14" t="s">
        <v>12</v>
      </c>
      <c r="K115" s="22">
        <f ca="1">K112</f>
        <v>0</v>
      </c>
      <c r="L115" s="15" t="s">
        <v>12</v>
      </c>
    </row>
    <row r="116" spans="5:18" ht="24.45" customHeight="1" x14ac:dyDescent="0.3">
      <c r="E116" s="13"/>
      <c r="F116" s="13"/>
      <c r="G116" s="13"/>
      <c r="H116" s="13"/>
      <c r="I116" s="154">
        <f ca="1">I115+K115</f>
        <v>0</v>
      </c>
      <c r="J116" s="155"/>
      <c r="K116" s="155"/>
      <c r="L116" s="156"/>
      <c r="R116" s="35" t="s">
        <v>173</v>
      </c>
    </row>
  </sheetData>
  <mergeCells count="270"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P7:R15"/>
    <mergeCell ref="I8:J8"/>
    <mergeCell ref="K8:L8"/>
    <mergeCell ref="I9:J9"/>
    <mergeCell ref="K9:L9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I11:J11"/>
    <mergeCell ref="K11:L11"/>
    <mergeCell ref="I12:J12"/>
    <mergeCell ref="K12:L12"/>
    <mergeCell ref="I13:J13"/>
    <mergeCell ref="K13:L13"/>
    <mergeCell ref="A7:A15"/>
    <mergeCell ref="I7:J7"/>
    <mergeCell ref="K7:L7"/>
    <mergeCell ref="I14:J14"/>
    <mergeCell ref="K14:L14"/>
    <mergeCell ref="B15:H15"/>
    <mergeCell ref="I15:J15"/>
    <mergeCell ref="K15:L15"/>
    <mergeCell ref="A16:A24"/>
    <mergeCell ref="I16:J16"/>
    <mergeCell ref="K16:L16"/>
    <mergeCell ref="K21:L21"/>
    <mergeCell ref="I22:J22"/>
    <mergeCell ref="K22:L22"/>
    <mergeCell ref="I23:J23"/>
    <mergeCell ref="K23:L23"/>
    <mergeCell ref="B24:H24"/>
    <mergeCell ref="I24:J24"/>
    <mergeCell ref="K24:L24"/>
    <mergeCell ref="P16:R24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E26:H26"/>
    <mergeCell ref="I26:J26"/>
    <mergeCell ref="K26:L26"/>
    <mergeCell ref="I28:L28"/>
    <mergeCell ref="A30:R30"/>
    <mergeCell ref="A31:A32"/>
    <mergeCell ref="B31:B32"/>
    <mergeCell ref="C31:C32"/>
    <mergeCell ref="D31:D32"/>
    <mergeCell ref="E31:E32"/>
    <mergeCell ref="A33:A48"/>
    <mergeCell ref="I33:J33"/>
    <mergeCell ref="K33:L33"/>
    <mergeCell ref="P33:R48"/>
    <mergeCell ref="I34:J34"/>
    <mergeCell ref="K34:L34"/>
    <mergeCell ref="I35:J35"/>
    <mergeCell ref="F31:F32"/>
    <mergeCell ref="G31:G32"/>
    <mergeCell ref="H31:H32"/>
    <mergeCell ref="I31:L31"/>
    <mergeCell ref="M31:N32"/>
    <mergeCell ref="O31:O32"/>
    <mergeCell ref="K35:L35"/>
    <mergeCell ref="I36:J36"/>
    <mergeCell ref="K36:L36"/>
    <mergeCell ref="I37:J37"/>
    <mergeCell ref="K37:L37"/>
    <mergeCell ref="I38:J38"/>
    <mergeCell ref="K38:L38"/>
    <mergeCell ref="P31:R32"/>
    <mergeCell ref="I32:J32"/>
    <mergeCell ref="K32:L32"/>
    <mergeCell ref="I42:J42"/>
    <mergeCell ref="K42:L42"/>
    <mergeCell ref="I43:J43"/>
    <mergeCell ref="K43:L43"/>
    <mergeCell ref="I44:J44"/>
    <mergeCell ref="K44:L44"/>
    <mergeCell ref="I39:J39"/>
    <mergeCell ref="K39:L39"/>
    <mergeCell ref="I40:J40"/>
    <mergeCell ref="K40:L40"/>
    <mergeCell ref="I41:J41"/>
    <mergeCell ref="K41:L41"/>
    <mergeCell ref="K64:L64"/>
    <mergeCell ref="I65:J65"/>
    <mergeCell ref="B48:H48"/>
    <mergeCell ref="I48:J48"/>
    <mergeCell ref="K48:L48"/>
    <mergeCell ref="E50:H50"/>
    <mergeCell ref="I50:J50"/>
    <mergeCell ref="K50:L50"/>
    <mergeCell ref="I45:J45"/>
    <mergeCell ref="K45:L45"/>
    <mergeCell ref="I46:J46"/>
    <mergeCell ref="K46:L46"/>
    <mergeCell ref="I47:J47"/>
    <mergeCell ref="K47:L47"/>
    <mergeCell ref="I55:L55"/>
    <mergeCell ref="M55:N56"/>
    <mergeCell ref="O55:O56"/>
    <mergeCell ref="P55:R56"/>
    <mergeCell ref="I56:J56"/>
    <mergeCell ref="K56:L56"/>
    <mergeCell ref="I52:L52"/>
    <mergeCell ref="A54:R54"/>
    <mergeCell ref="A55:A56"/>
    <mergeCell ref="B55:B56"/>
    <mergeCell ref="C55:C56"/>
    <mergeCell ref="D55:D56"/>
    <mergeCell ref="E55:E56"/>
    <mergeCell ref="F55:F56"/>
    <mergeCell ref="G55:G56"/>
    <mergeCell ref="H55:H56"/>
    <mergeCell ref="E69:H69"/>
    <mergeCell ref="I69:J69"/>
    <mergeCell ref="K69:L69"/>
    <mergeCell ref="I71:L71"/>
    <mergeCell ref="A73:R73"/>
    <mergeCell ref="A74:A75"/>
    <mergeCell ref="B74:B75"/>
    <mergeCell ref="C74:C75"/>
    <mergeCell ref="D74:D75"/>
    <mergeCell ref="E74:E75"/>
    <mergeCell ref="A57:A67"/>
    <mergeCell ref="I57:J57"/>
    <mergeCell ref="K57:L57"/>
    <mergeCell ref="P57:R61"/>
    <mergeCell ref="I58:J58"/>
    <mergeCell ref="K58:L58"/>
    <mergeCell ref="I59:J59"/>
    <mergeCell ref="K59:L59"/>
    <mergeCell ref="I60:J60"/>
    <mergeCell ref="K60:L60"/>
    <mergeCell ref="K65:L65"/>
    <mergeCell ref="I66:J66"/>
    <mergeCell ref="K66:L66"/>
    <mergeCell ref="B67:H67"/>
    <mergeCell ref="I67:J67"/>
    <mergeCell ref="K67:L67"/>
    <mergeCell ref="I61:J61"/>
    <mergeCell ref="K61:L61"/>
    <mergeCell ref="I62:J62"/>
    <mergeCell ref="K62:L62"/>
    <mergeCell ref="P62:R67"/>
    <mergeCell ref="I63:J63"/>
    <mergeCell ref="K63:L63"/>
    <mergeCell ref="I64:J64"/>
    <mergeCell ref="B81:H81"/>
    <mergeCell ref="I81:J81"/>
    <mergeCell ref="K81:L81"/>
    <mergeCell ref="P74:R75"/>
    <mergeCell ref="I75:J75"/>
    <mergeCell ref="K75:L75"/>
    <mergeCell ref="A76:A81"/>
    <mergeCell ref="I76:J76"/>
    <mergeCell ref="K76:L76"/>
    <mergeCell ref="P76:R81"/>
    <mergeCell ref="I77:J77"/>
    <mergeCell ref="K77:L77"/>
    <mergeCell ref="I78:J78"/>
    <mergeCell ref="F74:F75"/>
    <mergeCell ref="G74:G75"/>
    <mergeCell ref="H74:H75"/>
    <mergeCell ref="I74:L74"/>
    <mergeCell ref="M74:N75"/>
    <mergeCell ref="O74:O75"/>
    <mergeCell ref="P82:R87"/>
    <mergeCell ref="I83:J83"/>
    <mergeCell ref="K83:L83"/>
    <mergeCell ref="I84:J84"/>
    <mergeCell ref="K84:L84"/>
    <mergeCell ref="I85:J85"/>
    <mergeCell ref="K85:L85"/>
    <mergeCell ref="K78:L78"/>
    <mergeCell ref="I79:J79"/>
    <mergeCell ref="K79:L79"/>
    <mergeCell ref="I80:J80"/>
    <mergeCell ref="K80:L80"/>
    <mergeCell ref="I86:J86"/>
    <mergeCell ref="K86:L86"/>
    <mergeCell ref="B87:H87"/>
    <mergeCell ref="I87:J87"/>
    <mergeCell ref="K87:L87"/>
    <mergeCell ref="A88:A93"/>
    <mergeCell ref="I88:J88"/>
    <mergeCell ref="K88:L88"/>
    <mergeCell ref="B93:H93"/>
    <mergeCell ref="K93:L93"/>
    <mergeCell ref="A82:A87"/>
    <mergeCell ref="I82:J82"/>
    <mergeCell ref="K82:L82"/>
    <mergeCell ref="P88:R93"/>
    <mergeCell ref="I89:J89"/>
    <mergeCell ref="K89:L89"/>
    <mergeCell ref="I90:J90"/>
    <mergeCell ref="K90:L90"/>
    <mergeCell ref="I91:J91"/>
    <mergeCell ref="K91:L91"/>
    <mergeCell ref="I92:J92"/>
    <mergeCell ref="K92:L92"/>
    <mergeCell ref="I93:J93"/>
    <mergeCell ref="E95:H95"/>
    <mergeCell ref="I95:J95"/>
    <mergeCell ref="K95:L95"/>
    <mergeCell ref="I97:L97"/>
    <mergeCell ref="A99:R99"/>
    <mergeCell ref="A100:A101"/>
    <mergeCell ref="B100:B101"/>
    <mergeCell ref="C100:C101"/>
    <mergeCell ref="D100:D101"/>
    <mergeCell ref="E100:E101"/>
    <mergeCell ref="P100:R101"/>
    <mergeCell ref="I101:J101"/>
    <mergeCell ref="K101:L101"/>
    <mergeCell ref="A102:A112"/>
    <mergeCell ref="I102:J102"/>
    <mergeCell ref="K102:L102"/>
    <mergeCell ref="P102:R112"/>
    <mergeCell ref="I103:J103"/>
    <mergeCell ref="K103:L103"/>
    <mergeCell ref="I104:J104"/>
    <mergeCell ref="F100:F101"/>
    <mergeCell ref="G100:G101"/>
    <mergeCell ref="H100:H101"/>
    <mergeCell ref="I100:L100"/>
    <mergeCell ref="M100:N101"/>
    <mergeCell ref="O100:O101"/>
    <mergeCell ref="I108:J108"/>
    <mergeCell ref="K108:L108"/>
    <mergeCell ref="I109:J109"/>
    <mergeCell ref="K109:L109"/>
    <mergeCell ref="I110:J110"/>
    <mergeCell ref="K110:L110"/>
    <mergeCell ref="K104:L104"/>
    <mergeCell ref="I105:J105"/>
    <mergeCell ref="K105:L105"/>
    <mergeCell ref="I106:J106"/>
    <mergeCell ref="K106:L106"/>
    <mergeCell ref="I107:J107"/>
    <mergeCell ref="K107:L107"/>
    <mergeCell ref="I116:L116"/>
    <mergeCell ref="I111:J111"/>
    <mergeCell ref="K111:L111"/>
    <mergeCell ref="B112:H112"/>
    <mergeCell ref="I112:J112"/>
    <mergeCell ref="K112:L112"/>
    <mergeCell ref="E114:H114"/>
    <mergeCell ref="I114:J114"/>
    <mergeCell ref="K114:L114"/>
  </mergeCells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6"/>
  <sheetViews>
    <sheetView topLeftCell="A62" zoomScale="85" zoomScaleNormal="85" workbookViewId="0">
      <selection activeCell="B37" sqref="A37:XFD46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45924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">
        <v>250065</v>
      </c>
      <c r="E7" s="3" t="s">
        <v>175</v>
      </c>
      <c r="F7" s="19">
        <v>430</v>
      </c>
      <c r="G7" s="20">
        <v>0.5</v>
      </c>
      <c r="H7" s="28" t="s">
        <v>55</v>
      </c>
      <c r="I7" s="143">
        <v>960</v>
      </c>
      <c r="J7" s="144"/>
      <c r="K7" s="143"/>
      <c r="L7" s="144"/>
      <c r="M7" s="56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4">
        <v>250065</v>
      </c>
      <c r="E8" s="3" t="s">
        <v>176</v>
      </c>
      <c r="F8" s="19">
        <v>430</v>
      </c>
      <c r="G8" s="20">
        <v>0.5</v>
      </c>
      <c r="H8" s="28" t="s">
        <v>55</v>
      </c>
      <c r="I8" s="143">
        <v>2300</v>
      </c>
      <c r="J8" s="144"/>
      <c r="K8" s="143"/>
      <c r="L8" s="144"/>
      <c r="M8" s="56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8"/>
      <c r="I9" s="143"/>
      <c r="J9" s="144"/>
      <c r="K9" s="143"/>
      <c r="L9" s="144"/>
      <c r="M9" s="56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56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1"/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56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56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56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56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3260</v>
      </c>
      <c r="J15" s="151"/>
      <c r="K15" s="150">
        <f>SUM(K7:L14)</f>
        <v>0</v>
      </c>
      <c r="L15" s="151"/>
      <c r="M15" s="10">
        <f>SUM(M7:M14)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56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66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56"/>
      <c r="N17" s="6" t="s">
        <v>13</v>
      </c>
      <c r="O17" s="21"/>
      <c r="P17" s="145"/>
      <c r="Q17" s="146"/>
      <c r="R17" s="147"/>
    </row>
    <row r="18" spans="1:18" ht="14.55" customHeight="1" x14ac:dyDescent="0.3">
      <c r="A18" s="166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56"/>
      <c r="N18" s="6" t="s">
        <v>13</v>
      </c>
      <c r="O18" s="21"/>
      <c r="P18" s="145"/>
      <c r="Q18" s="146"/>
      <c r="R18" s="147"/>
    </row>
    <row r="19" spans="1:18" ht="14.55" customHeight="1" x14ac:dyDescent="0.3">
      <c r="A19" s="166"/>
      <c r="B19" s="5"/>
      <c r="C19" s="5"/>
      <c r="D19" s="4"/>
      <c r="E19" s="3"/>
      <c r="F19" s="19"/>
      <c r="G19" s="20"/>
      <c r="H19" s="28"/>
      <c r="I19" s="143"/>
      <c r="J19" s="144"/>
      <c r="K19" s="143"/>
      <c r="L19" s="144"/>
      <c r="M19" s="56"/>
      <c r="N19" s="6" t="s">
        <v>13</v>
      </c>
      <c r="O19" s="21"/>
      <c r="P19" s="145"/>
      <c r="Q19" s="146"/>
      <c r="R19" s="147"/>
    </row>
    <row r="20" spans="1:18" ht="14.55" customHeight="1" x14ac:dyDescent="0.3">
      <c r="A20" s="141"/>
      <c r="B20" s="5"/>
      <c r="C20" s="5"/>
      <c r="D20" s="4"/>
      <c r="E20" s="3"/>
      <c r="F20" s="19"/>
      <c r="G20" s="20"/>
      <c r="H20" s="28"/>
      <c r="I20" s="143"/>
      <c r="J20" s="144"/>
      <c r="K20" s="143"/>
      <c r="L20" s="144"/>
      <c r="M20" s="56"/>
      <c r="N20" s="6" t="s">
        <v>13</v>
      </c>
      <c r="O20" s="21"/>
      <c r="P20" s="145"/>
      <c r="Q20" s="146"/>
      <c r="R20" s="147"/>
    </row>
    <row r="21" spans="1:18" ht="14.55" customHeight="1" x14ac:dyDescent="0.3">
      <c r="A21" s="141"/>
      <c r="B21" s="5"/>
      <c r="C21" s="5"/>
      <c r="D21" s="4"/>
      <c r="E21" s="3"/>
      <c r="F21" s="19"/>
      <c r="G21" s="20"/>
      <c r="H21" s="28"/>
      <c r="I21" s="143"/>
      <c r="J21" s="144"/>
      <c r="K21" s="143"/>
      <c r="L21" s="144"/>
      <c r="M21" s="56"/>
      <c r="N21" s="6" t="s">
        <v>13</v>
      </c>
      <c r="O21" s="21"/>
      <c r="P21" s="145"/>
      <c r="Q21" s="146"/>
      <c r="R21" s="147"/>
    </row>
    <row r="22" spans="1:18" ht="14.55" customHeight="1" x14ac:dyDescent="0.3">
      <c r="A22" s="141"/>
      <c r="B22" s="5"/>
      <c r="C22" s="5"/>
      <c r="D22" s="4"/>
      <c r="E22" s="3"/>
      <c r="F22" s="19"/>
      <c r="G22" s="20"/>
      <c r="H22" s="28"/>
      <c r="I22" s="143"/>
      <c r="J22" s="144"/>
      <c r="K22" s="143"/>
      <c r="L22" s="144"/>
      <c r="M22" s="56"/>
      <c r="N22" s="6" t="s">
        <v>13</v>
      </c>
      <c r="O22" s="21"/>
      <c r="P22" s="145"/>
      <c r="Q22" s="146"/>
      <c r="R22" s="147"/>
    </row>
    <row r="23" spans="1:18" ht="14.55" customHeight="1" x14ac:dyDescent="0.3">
      <c r="A23" s="141"/>
      <c r="B23" s="5"/>
      <c r="C23" s="5"/>
      <c r="D23" s="4"/>
      <c r="E23" s="3"/>
      <c r="F23" s="19"/>
      <c r="G23" s="20"/>
      <c r="H23" s="28"/>
      <c r="I23" s="143"/>
      <c r="J23" s="144"/>
      <c r="K23" s="143"/>
      <c r="L23" s="144"/>
      <c r="M23" s="56"/>
      <c r="N23" s="6" t="s">
        <v>13</v>
      </c>
      <c r="O23" s="21"/>
      <c r="P23" s="145"/>
      <c r="Q23" s="146"/>
      <c r="R23" s="147"/>
    </row>
    <row r="24" spans="1:18" ht="14.55" customHeight="1" x14ac:dyDescent="0.3">
      <c r="A24" s="142"/>
      <c r="B24" s="148" t="s">
        <v>0</v>
      </c>
      <c r="C24" s="149"/>
      <c r="D24" s="149"/>
      <c r="E24" s="149"/>
      <c r="F24" s="149"/>
      <c r="G24" s="149"/>
      <c r="H24" s="149"/>
      <c r="I24" s="150">
        <f>SUM(I16:J23)</f>
        <v>0</v>
      </c>
      <c r="J24" s="151"/>
      <c r="K24" s="150">
        <f>SUM(K16:L23)</f>
        <v>0</v>
      </c>
      <c r="L24" s="151"/>
      <c r="M24" s="10">
        <f>SUM(M16:M23)</f>
        <v>0</v>
      </c>
      <c r="N24" s="11" t="s">
        <v>13</v>
      </c>
      <c r="O24" s="9"/>
      <c r="P24" s="145"/>
      <c r="Q24" s="146"/>
      <c r="R24" s="147"/>
    </row>
    <row r="25" spans="1:18" ht="14.55" customHeight="1" x14ac:dyDescent="0.3">
      <c r="D25" s="35"/>
      <c r="E25" s="1"/>
      <c r="F25" s="1"/>
      <c r="G25" s="1"/>
      <c r="H25" s="1"/>
      <c r="M25" s="35"/>
    </row>
    <row r="26" spans="1:18" x14ac:dyDescent="0.3">
      <c r="E26" s="148" t="s">
        <v>16</v>
      </c>
      <c r="F26" s="149"/>
      <c r="G26" s="149"/>
      <c r="H26" s="149"/>
      <c r="I26" s="152" t="s">
        <v>19</v>
      </c>
      <c r="J26" s="153"/>
      <c r="K26" s="152" t="s">
        <v>20</v>
      </c>
      <c r="L26" s="153"/>
    </row>
    <row r="27" spans="1:18" s="36" customFormat="1" x14ac:dyDescent="0.3">
      <c r="E27" s="7"/>
      <c r="F27" s="7"/>
      <c r="G27" s="7"/>
      <c r="H27" s="7"/>
      <c r="I27" s="22">
        <f>I15+I24</f>
        <v>3260</v>
      </c>
      <c r="J27" s="14" t="s">
        <v>12</v>
      </c>
      <c r="K27" s="22">
        <f>K15+K24</f>
        <v>0</v>
      </c>
      <c r="L27" s="15" t="s">
        <v>12</v>
      </c>
    </row>
    <row r="28" spans="1:18" ht="24.45" customHeight="1" x14ac:dyDescent="0.3">
      <c r="E28" s="13"/>
      <c r="F28" s="13"/>
      <c r="G28" s="13"/>
      <c r="H28" s="13"/>
      <c r="I28" s="154">
        <f>I27+K27</f>
        <v>3260</v>
      </c>
      <c r="J28" s="155"/>
      <c r="K28" s="155"/>
      <c r="L28" s="156"/>
    </row>
    <row r="29" spans="1:18" ht="15" customHeight="1" x14ac:dyDescent="0.3">
      <c r="D29" s="35"/>
      <c r="I29" s="35"/>
      <c r="J29" s="35"/>
      <c r="K29" s="23"/>
      <c r="L29" s="23"/>
      <c r="M29" s="23"/>
      <c r="N29" s="23"/>
    </row>
    <row r="30" spans="1:18" s="8" customFormat="1" ht="30" customHeight="1" x14ac:dyDescent="0.3">
      <c r="A30" s="133" t="s">
        <v>36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5"/>
      <c r="L30" s="135"/>
      <c r="M30" s="135"/>
      <c r="N30" s="135"/>
      <c r="O30" s="134"/>
      <c r="P30" s="134"/>
      <c r="Q30" s="134"/>
      <c r="R30" s="136"/>
    </row>
    <row r="31" spans="1:18" s="12" customFormat="1" ht="14.55" customHeight="1" x14ac:dyDescent="0.3">
      <c r="A31" s="128" t="s">
        <v>1</v>
      </c>
      <c r="B31" s="137" t="s">
        <v>2</v>
      </c>
      <c r="C31" s="137" t="s">
        <v>3</v>
      </c>
      <c r="D31" s="137" t="s">
        <v>4</v>
      </c>
      <c r="E31" s="124" t="s">
        <v>5</v>
      </c>
      <c r="F31" s="138" t="s">
        <v>14</v>
      </c>
      <c r="G31" s="138" t="s">
        <v>15</v>
      </c>
      <c r="H31" s="119" t="s">
        <v>29</v>
      </c>
      <c r="I31" s="121" t="s">
        <v>6</v>
      </c>
      <c r="J31" s="122"/>
      <c r="K31" s="122"/>
      <c r="L31" s="123"/>
      <c r="M31" s="124" t="s">
        <v>7</v>
      </c>
      <c r="N31" s="125"/>
      <c r="O31" s="128" t="s">
        <v>8</v>
      </c>
      <c r="P31" s="128" t="s">
        <v>9</v>
      </c>
      <c r="Q31" s="128"/>
      <c r="R31" s="128"/>
    </row>
    <row r="32" spans="1:18" s="12" customFormat="1" ht="13.05" customHeight="1" x14ac:dyDescent="0.3">
      <c r="A32" s="128"/>
      <c r="B32" s="137"/>
      <c r="C32" s="137"/>
      <c r="D32" s="137"/>
      <c r="E32" s="126"/>
      <c r="F32" s="139"/>
      <c r="G32" s="139"/>
      <c r="H32" s="120"/>
      <c r="I32" s="121" t="s">
        <v>19</v>
      </c>
      <c r="J32" s="123"/>
      <c r="K32" s="121" t="s">
        <v>20</v>
      </c>
      <c r="L32" s="123"/>
      <c r="M32" s="126"/>
      <c r="N32" s="127"/>
      <c r="O32" s="128"/>
      <c r="P32" s="128"/>
      <c r="Q32" s="128"/>
      <c r="R32" s="128"/>
    </row>
    <row r="33" spans="1:18" ht="14.55" customHeight="1" x14ac:dyDescent="0.3">
      <c r="A33" s="140" t="s">
        <v>37</v>
      </c>
      <c r="B33" s="5">
        <v>0.33333333333333331</v>
      </c>
      <c r="C33" s="5"/>
      <c r="D33" s="4">
        <v>250064</v>
      </c>
      <c r="E33" s="3" t="s">
        <v>139</v>
      </c>
      <c r="F33" s="19">
        <v>430</v>
      </c>
      <c r="G33" s="20">
        <v>0.5</v>
      </c>
      <c r="H33" s="28" t="s">
        <v>137</v>
      </c>
      <c r="I33" s="143">
        <v>519</v>
      </c>
      <c r="J33" s="144"/>
      <c r="K33" s="143"/>
      <c r="L33" s="144"/>
      <c r="M33" s="56"/>
      <c r="N33" s="6" t="s">
        <v>13</v>
      </c>
      <c r="O33" s="21"/>
      <c r="P33" s="157"/>
      <c r="Q33" s="158"/>
      <c r="R33" s="159"/>
    </row>
    <row r="34" spans="1:18" ht="14.55" customHeight="1" x14ac:dyDescent="0.3">
      <c r="A34" s="166"/>
      <c r="B34" s="5"/>
      <c r="C34" s="5"/>
      <c r="D34" s="4">
        <v>250063</v>
      </c>
      <c r="E34" s="3" t="s">
        <v>177</v>
      </c>
      <c r="F34" s="19">
        <v>430</v>
      </c>
      <c r="G34" s="20">
        <v>0.5</v>
      </c>
      <c r="H34" s="28" t="s">
        <v>137</v>
      </c>
      <c r="I34" s="143">
        <v>1209</v>
      </c>
      <c r="J34" s="144"/>
      <c r="K34" s="143"/>
      <c r="L34" s="144"/>
      <c r="M34" s="56"/>
      <c r="N34" s="6" t="s">
        <v>13</v>
      </c>
      <c r="O34" s="21"/>
      <c r="P34" s="160"/>
      <c r="Q34" s="161"/>
      <c r="R34" s="162"/>
    </row>
    <row r="35" spans="1:18" ht="14.55" customHeight="1" x14ac:dyDescent="0.3">
      <c r="A35" s="166"/>
      <c r="B35" s="5"/>
      <c r="C35" s="5"/>
      <c r="D35" s="4">
        <v>250066</v>
      </c>
      <c r="E35" s="3" t="s">
        <v>178</v>
      </c>
      <c r="F35" s="19">
        <v>430</v>
      </c>
      <c r="G35" s="20">
        <v>0.5</v>
      </c>
      <c r="H35" s="28" t="s">
        <v>137</v>
      </c>
      <c r="I35" s="143">
        <v>752</v>
      </c>
      <c r="J35" s="144"/>
      <c r="K35" s="143"/>
      <c r="L35" s="144"/>
      <c r="M35" s="56"/>
      <c r="N35" s="6" t="s">
        <v>13</v>
      </c>
      <c r="O35" s="21"/>
      <c r="P35" s="160"/>
      <c r="Q35" s="161"/>
      <c r="R35" s="162"/>
    </row>
    <row r="36" spans="1:18" ht="14.55" customHeight="1" x14ac:dyDescent="0.3">
      <c r="A36" s="166"/>
      <c r="B36" s="5"/>
      <c r="C36" s="5">
        <v>0.70833333333333337</v>
      </c>
      <c r="D36" s="4">
        <v>250065</v>
      </c>
      <c r="E36" s="3" t="s">
        <v>179</v>
      </c>
      <c r="F36" s="19">
        <v>430</v>
      </c>
      <c r="G36" s="20">
        <v>0.5</v>
      </c>
      <c r="H36" s="28" t="s">
        <v>137</v>
      </c>
      <c r="I36" s="143">
        <v>250</v>
      </c>
      <c r="J36" s="144"/>
      <c r="K36" s="143"/>
      <c r="L36" s="144"/>
      <c r="M36" s="56"/>
      <c r="N36" s="6" t="s">
        <v>13</v>
      </c>
      <c r="O36" s="21"/>
      <c r="P36" s="160"/>
      <c r="Q36" s="161"/>
      <c r="R36" s="162"/>
    </row>
    <row r="37" spans="1:18" ht="14.55" customHeight="1" x14ac:dyDescent="0.3">
      <c r="A37" s="166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56"/>
      <c r="N37" s="6" t="s">
        <v>13</v>
      </c>
      <c r="O37" s="21"/>
      <c r="P37" s="160"/>
      <c r="Q37" s="161"/>
      <c r="R37" s="162"/>
    </row>
    <row r="38" spans="1:18" ht="14.55" customHeight="1" x14ac:dyDescent="0.3">
      <c r="A38" s="166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56"/>
      <c r="N38" s="6" t="s">
        <v>13</v>
      </c>
      <c r="O38" s="21"/>
      <c r="P38" s="160"/>
      <c r="Q38" s="161"/>
      <c r="R38" s="162"/>
    </row>
    <row r="39" spans="1:18" ht="14.55" customHeight="1" x14ac:dyDescent="0.3">
      <c r="A39" s="166"/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56"/>
      <c r="N39" s="6" t="s">
        <v>13</v>
      </c>
      <c r="O39" s="21"/>
      <c r="P39" s="160"/>
      <c r="Q39" s="161"/>
      <c r="R39" s="162"/>
    </row>
    <row r="40" spans="1:18" ht="14.55" customHeight="1" x14ac:dyDescent="0.3">
      <c r="A40" s="166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56"/>
      <c r="N40" s="6" t="s">
        <v>13</v>
      </c>
      <c r="O40" s="21"/>
      <c r="P40" s="160"/>
      <c r="Q40" s="161"/>
      <c r="R40" s="162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56"/>
      <c r="N41" s="6" t="s">
        <v>13</v>
      </c>
      <c r="O41" s="21"/>
      <c r="P41" s="160"/>
      <c r="Q41" s="161"/>
      <c r="R41" s="162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56"/>
      <c r="N42" s="6" t="s">
        <v>13</v>
      </c>
      <c r="O42" s="21"/>
      <c r="P42" s="160"/>
      <c r="Q42" s="161"/>
      <c r="R42" s="162"/>
    </row>
    <row r="43" spans="1:18" ht="14.55" customHeight="1" x14ac:dyDescent="0.3">
      <c r="A43" s="166"/>
      <c r="B43" s="5"/>
      <c r="C43" s="5"/>
      <c r="D43" s="4"/>
      <c r="E43" s="3"/>
      <c r="F43" s="19"/>
      <c r="G43" s="20"/>
      <c r="H43" s="28"/>
      <c r="I43" s="143"/>
      <c r="J43" s="144"/>
      <c r="K43" s="143"/>
      <c r="L43" s="144"/>
      <c r="M43" s="56"/>
      <c r="N43" s="6" t="s">
        <v>13</v>
      </c>
      <c r="O43" s="21"/>
      <c r="P43" s="160"/>
      <c r="Q43" s="161"/>
      <c r="R43" s="162"/>
    </row>
    <row r="44" spans="1:18" ht="14.55" customHeight="1" x14ac:dyDescent="0.3">
      <c r="A44" s="166"/>
      <c r="B44" s="5"/>
      <c r="C44" s="5"/>
      <c r="D44" s="4"/>
      <c r="E44" s="3"/>
      <c r="F44" s="19"/>
      <c r="G44" s="20"/>
      <c r="H44" s="28"/>
      <c r="I44" s="143"/>
      <c r="J44" s="144"/>
      <c r="K44" s="143"/>
      <c r="L44" s="144"/>
      <c r="M44" s="56"/>
      <c r="N44" s="6" t="s">
        <v>13</v>
      </c>
      <c r="O44" s="21"/>
      <c r="P44" s="160"/>
      <c r="Q44" s="161"/>
      <c r="R44" s="162"/>
    </row>
    <row r="45" spans="1:18" ht="14.55" customHeight="1" x14ac:dyDescent="0.3">
      <c r="A45" s="166"/>
      <c r="B45" s="5"/>
      <c r="C45" s="5"/>
      <c r="D45" s="4"/>
      <c r="E45" s="3"/>
      <c r="F45" s="19"/>
      <c r="G45" s="20"/>
      <c r="H45" s="28"/>
      <c r="I45" s="143"/>
      <c r="J45" s="144"/>
      <c r="K45" s="143"/>
      <c r="L45" s="144"/>
      <c r="M45" s="56"/>
      <c r="N45" s="6" t="s">
        <v>13</v>
      </c>
      <c r="O45" s="21"/>
      <c r="P45" s="160"/>
      <c r="Q45" s="161"/>
      <c r="R45" s="162"/>
    </row>
    <row r="46" spans="1:18" ht="14.55" customHeight="1" x14ac:dyDescent="0.3">
      <c r="A46" s="166"/>
      <c r="B46" s="5"/>
      <c r="C46" s="5"/>
      <c r="D46" s="4"/>
      <c r="E46" s="3"/>
      <c r="F46" s="19"/>
      <c r="G46" s="20"/>
      <c r="H46" s="28"/>
      <c r="I46" s="143"/>
      <c r="J46" s="144"/>
      <c r="K46" s="143"/>
      <c r="L46" s="144"/>
      <c r="M46" s="56"/>
      <c r="N46" s="6" t="s">
        <v>13</v>
      </c>
      <c r="O46" s="21"/>
      <c r="P46" s="160"/>
      <c r="Q46" s="161"/>
      <c r="R46" s="162"/>
    </row>
    <row r="47" spans="1:18" ht="14.55" customHeight="1" x14ac:dyDescent="0.3">
      <c r="A47" s="166"/>
      <c r="B47" s="5"/>
      <c r="C47" s="5"/>
      <c r="D47" s="4"/>
      <c r="E47" s="3"/>
      <c r="F47" s="19"/>
      <c r="G47" s="20"/>
      <c r="H47" s="28"/>
      <c r="I47" s="143"/>
      <c r="J47" s="144"/>
      <c r="K47" s="143"/>
      <c r="L47" s="144"/>
      <c r="M47" s="56"/>
      <c r="N47" s="6" t="s">
        <v>13</v>
      </c>
      <c r="O47" s="21"/>
      <c r="P47" s="160"/>
      <c r="Q47" s="161"/>
      <c r="R47" s="162"/>
    </row>
    <row r="48" spans="1:18" ht="14.55" customHeight="1" x14ac:dyDescent="0.3">
      <c r="A48" s="167"/>
      <c r="B48" s="148" t="s">
        <v>0</v>
      </c>
      <c r="C48" s="149"/>
      <c r="D48" s="149"/>
      <c r="E48" s="149"/>
      <c r="F48" s="149"/>
      <c r="G48" s="149"/>
      <c r="H48" s="149"/>
      <c r="I48" s="150">
        <f>SUM(I33:J47)</f>
        <v>2730</v>
      </c>
      <c r="J48" s="151"/>
      <c r="K48" s="150">
        <f>SUM(K33:L47)</f>
        <v>0</v>
      </c>
      <c r="L48" s="151"/>
      <c r="M48" s="10">
        <f>SUM(M43:M47)</f>
        <v>0</v>
      </c>
      <c r="N48" s="11" t="s">
        <v>13</v>
      </c>
      <c r="O48" s="9"/>
      <c r="P48" s="163"/>
      <c r="Q48" s="164"/>
      <c r="R48" s="165"/>
    </row>
    <row r="49" spans="1:18" ht="14.55" customHeight="1" x14ac:dyDescent="0.3">
      <c r="D49" s="35"/>
      <c r="E49" s="1"/>
      <c r="F49" s="1"/>
      <c r="G49" s="1"/>
      <c r="H49" s="1"/>
      <c r="M49" s="35"/>
    </row>
    <row r="50" spans="1:18" x14ac:dyDescent="0.3">
      <c r="E50" s="148" t="s">
        <v>33</v>
      </c>
      <c r="F50" s="149"/>
      <c r="G50" s="149"/>
      <c r="H50" s="149"/>
      <c r="I50" s="152" t="s">
        <v>19</v>
      </c>
      <c r="J50" s="153"/>
      <c r="K50" s="152" t="s">
        <v>20</v>
      </c>
      <c r="L50" s="153"/>
    </row>
    <row r="51" spans="1:18" s="36" customFormat="1" x14ac:dyDescent="0.3">
      <c r="E51" s="7"/>
      <c r="F51" s="7"/>
      <c r="G51" s="7"/>
      <c r="H51" s="7"/>
      <c r="I51" s="22">
        <f>I48</f>
        <v>2730</v>
      </c>
      <c r="J51" s="14" t="s">
        <v>12</v>
      </c>
      <c r="K51" s="22">
        <f>K48</f>
        <v>0</v>
      </c>
      <c r="L51" s="15" t="s">
        <v>12</v>
      </c>
    </row>
    <row r="52" spans="1:18" ht="24.45" customHeight="1" x14ac:dyDescent="0.3">
      <c r="E52" s="13"/>
      <c r="F52" s="13"/>
      <c r="G52" s="13"/>
      <c r="H52" s="13"/>
      <c r="I52" s="154">
        <f>I51+K51</f>
        <v>2730</v>
      </c>
      <c r="J52" s="155"/>
      <c r="K52" s="155"/>
      <c r="L52" s="156"/>
    </row>
    <row r="54" spans="1:18" s="8" customFormat="1" ht="30" customHeight="1" x14ac:dyDescent="0.3">
      <c r="A54" s="133" t="s">
        <v>30</v>
      </c>
      <c r="B54" s="134"/>
      <c r="C54" s="134"/>
      <c r="D54" s="134"/>
      <c r="E54" s="134"/>
      <c r="F54" s="134"/>
      <c r="G54" s="134"/>
      <c r="H54" s="134"/>
      <c r="I54" s="134"/>
      <c r="J54" s="134"/>
      <c r="K54" s="135"/>
      <c r="L54" s="135"/>
      <c r="M54" s="135"/>
      <c r="N54" s="135"/>
      <c r="O54" s="134"/>
      <c r="P54" s="134"/>
      <c r="Q54" s="134"/>
      <c r="R54" s="136"/>
    </row>
    <row r="55" spans="1:18" s="12" customFormat="1" ht="14.55" customHeight="1" x14ac:dyDescent="0.3">
      <c r="A55" s="128" t="s">
        <v>1</v>
      </c>
      <c r="B55" s="137" t="s">
        <v>2</v>
      </c>
      <c r="C55" s="137" t="s">
        <v>3</v>
      </c>
      <c r="D55" s="137" t="s">
        <v>4</v>
      </c>
      <c r="E55" s="124" t="s">
        <v>5</v>
      </c>
      <c r="F55" s="138" t="s">
        <v>14</v>
      </c>
      <c r="G55" s="138" t="s">
        <v>15</v>
      </c>
      <c r="H55" s="119" t="s">
        <v>29</v>
      </c>
      <c r="I55" s="121" t="s">
        <v>6</v>
      </c>
      <c r="J55" s="122"/>
      <c r="K55" s="122"/>
      <c r="L55" s="123"/>
      <c r="M55" s="124" t="s">
        <v>7</v>
      </c>
      <c r="N55" s="125"/>
      <c r="O55" s="128" t="s">
        <v>8</v>
      </c>
      <c r="P55" s="128" t="s">
        <v>9</v>
      </c>
      <c r="Q55" s="128"/>
      <c r="R55" s="128"/>
    </row>
    <row r="56" spans="1:18" s="12" customFormat="1" ht="13.05" customHeight="1" x14ac:dyDescent="0.3">
      <c r="A56" s="128"/>
      <c r="B56" s="137"/>
      <c r="C56" s="137"/>
      <c r="D56" s="137"/>
      <c r="E56" s="126"/>
      <c r="F56" s="139"/>
      <c r="G56" s="139"/>
      <c r="H56" s="120"/>
      <c r="I56" s="121" t="s">
        <v>19</v>
      </c>
      <c r="J56" s="123"/>
      <c r="K56" s="121" t="s">
        <v>20</v>
      </c>
      <c r="L56" s="123"/>
      <c r="M56" s="126"/>
      <c r="N56" s="127"/>
      <c r="O56" s="128"/>
      <c r="P56" s="128"/>
      <c r="Q56" s="128"/>
      <c r="R56" s="128"/>
    </row>
    <row r="57" spans="1:18" ht="14.55" customHeight="1" x14ac:dyDescent="0.3">
      <c r="A57" s="140" t="s">
        <v>35</v>
      </c>
      <c r="B57" s="5">
        <v>0.33333333333333331</v>
      </c>
      <c r="C57" s="5"/>
      <c r="D57" s="4">
        <v>250035</v>
      </c>
      <c r="E57" s="3" t="s">
        <v>180</v>
      </c>
      <c r="F57" s="19">
        <v>304</v>
      </c>
      <c r="G57" s="20">
        <v>0.7</v>
      </c>
      <c r="H57" s="28" t="s">
        <v>130</v>
      </c>
      <c r="I57" s="143">
        <v>44</v>
      </c>
      <c r="J57" s="144"/>
      <c r="K57" s="143"/>
      <c r="L57" s="144"/>
      <c r="M57" s="56"/>
      <c r="N57" s="6" t="s">
        <v>13</v>
      </c>
      <c r="O57" s="21"/>
      <c r="P57" s="168"/>
      <c r="Q57" s="169"/>
      <c r="R57" s="170"/>
    </row>
    <row r="58" spans="1:18" ht="14.55" customHeight="1" x14ac:dyDescent="0.3">
      <c r="A58" s="166"/>
      <c r="B58" s="5"/>
      <c r="C58" s="5"/>
      <c r="D58" s="4">
        <v>250035</v>
      </c>
      <c r="E58" s="3" t="s">
        <v>181</v>
      </c>
      <c r="F58" s="19">
        <v>304</v>
      </c>
      <c r="G58" s="20">
        <v>0.7</v>
      </c>
      <c r="H58" s="28" t="s">
        <v>130</v>
      </c>
      <c r="I58" s="143">
        <v>32</v>
      </c>
      <c r="J58" s="144"/>
      <c r="K58" s="143"/>
      <c r="L58" s="144"/>
      <c r="M58" s="56"/>
      <c r="N58" s="6" t="s">
        <v>13</v>
      </c>
      <c r="O58" s="21"/>
      <c r="P58" s="168"/>
      <c r="Q58" s="169"/>
      <c r="R58" s="170"/>
    </row>
    <row r="59" spans="1:18" ht="14.55" customHeight="1" x14ac:dyDescent="0.3">
      <c r="A59" s="166"/>
      <c r="B59" s="5"/>
      <c r="C59" s="5"/>
      <c r="D59" s="4">
        <v>250035</v>
      </c>
      <c r="E59" s="3" t="s">
        <v>182</v>
      </c>
      <c r="F59" s="19">
        <v>304</v>
      </c>
      <c r="G59" s="20">
        <v>0.7</v>
      </c>
      <c r="H59" s="28" t="s">
        <v>130</v>
      </c>
      <c r="I59" s="143">
        <v>50</v>
      </c>
      <c r="J59" s="144"/>
      <c r="K59" s="143"/>
      <c r="L59" s="144"/>
      <c r="M59" s="56"/>
      <c r="N59" s="6" t="s">
        <v>13</v>
      </c>
      <c r="O59" s="21"/>
      <c r="P59" s="168"/>
      <c r="Q59" s="169"/>
      <c r="R59" s="170"/>
    </row>
    <row r="60" spans="1:18" ht="14.55" customHeight="1" x14ac:dyDescent="0.3">
      <c r="A60" s="166"/>
      <c r="B60" s="5"/>
      <c r="C60" s="5"/>
      <c r="D60" s="4">
        <v>250064</v>
      </c>
      <c r="E60" s="3" t="s">
        <v>167</v>
      </c>
      <c r="F60" s="19">
        <v>430</v>
      </c>
      <c r="G60" s="20">
        <v>0.5</v>
      </c>
      <c r="H60" s="28" t="s">
        <v>130</v>
      </c>
      <c r="I60" s="143">
        <v>505</v>
      </c>
      <c r="J60" s="144"/>
      <c r="K60" s="143"/>
      <c r="L60" s="144"/>
      <c r="M60" s="56"/>
      <c r="N60" s="6" t="s">
        <v>13</v>
      </c>
      <c r="O60" s="21"/>
      <c r="P60" s="168"/>
      <c r="Q60" s="169"/>
      <c r="R60" s="170"/>
    </row>
    <row r="61" spans="1:18" ht="14.55" customHeight="1" x14ac:dyDescent="0.3">
      <c r="A61" s="166"/>
      <c r="B61" s="5"/>
      <c r="C61" s="5"/>
      <c r="D61" s="4">
        <v>250063</v>
      </c>
      <c r="E61" s="3" t="s">
        <v>183</v>
      </c>
      <c r="F61" s="19">
        <v>430</v>
      </c>
      <c r="G61" s="20">
        <v>0.5</v>
      </c>
      <c r="H61" s="28" t="s">
        <v>130</v>
      </c>
      <c r="I61" s="143">
        <v>1209</v>
      </c>
      <c r="J61" s="144"/>
      <c r="K61" s="143"/>
      <c r="L61" s="144"/>
      <c r="M61" s="56"/>
      <c r="N61" s="6" t="s">
        <v>13</v>
      </c>
      <c r="O61" s="21"/>
      <c r="P61" s="168"/>
      <c r="Q61" s="169"/>
      <c r="R61" s="170"/>
    </row>
    <row r="62" spans="1:18" ht="14.55" customHeight="1" x14ac:dyDescent="0.3">
      <c r="A62" s="166"/>
      <c r="B62" s="5"/>
      <c r="C62" s="5">
        <v>0.70833333333333337</v>
      </c>
      <c r="D62" s="4">
        <v>250066</v>
      </c>
      <c r="E62" s="3" t="s">
        <v>184</v>
      </c>
      <c r="F62" s="19">
        <v>430</v>
      </c>
      <c r="G62" s="20">
        <v>0.5</v>
      </c>
      <c r="H62" s="28" t="s">
        <v>130</v>
      </c>
      <c r="I62" s="143">
        <v>110</v>
      </c>
      <c r="J62" s="144"/>
      <c r="K62" s="143"/>
      <c r="L62" s="144"/>
      <c r="M62" s="56"/>
      <c r="N62" s="6" t="s">
        <v>13</v>
      </c>
      <c r="O62" s="21"/>
      <c r="P62" s="168"/>
      <c r="Q62" s="169"/>
      <c r="R62" s="170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56"/>
      <c r="N63" s="6" t="s">
        <v>13</v>
      </c>
      <c r="O63" s="21"/>
      <c r="P63" s="168"/>
      <c r="Q63" s="169"/>
      <c r="R63" s="170"/>
    </row>
    <row r="64" spans="1:18" ht="14.55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56"/>
      <c r="N64" s="6" t="s">
        <v>13</v>
      </c>
      <c r="O64" s="21"/>
      <c r="P64" s="168"/>
      <c r="Q64" s="169"/>
      <c r="R64" s="170"/>
    </row>
    <row r="65" spans="1:18" ht="14.55" customHeight="1" x14ac:dyDescent="0.3">
      <c r="A65" s="166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56"/>
      <c r="N65" s="6" t="s">
        <v>13</v>
      </c>
      <c r="O65" s="21"/>
      <c r="P65" s="168"/>
      <c r="Q65" s="169"/>
      <c r="R65" s="170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56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67"/>
      <c r="B67" s="148" t="s">
        <v>0</v>
      </c>
      <c r="C67" s="149"/>
      <c r="D67" s="149"/>
      <c r="E67" s="149"/>
      <c r="F67" s="149"/>
      <c r="G67" s="149"/>
      <c r="H67" s="149"/>
      <c r="I67" s="150">
        <f>SUM(I57:J66)</f>
        <v>1950</v>
      </c>
      <c r="J67" s="151"/>
      <c r="K67" s="150">
        <f>SUM(K57:L66)</f>
        <v>0</v>
      </c>
      <c r="L67" s="151"/>
      <c r="M67" s="10">
        <f>SUM(M62:M66)</f>
        <v>0</v>
      </c>
      <c r="N67" s="11" t="s">
        <v>13</v>
      </c>
      <c r="O67" s="9"/>
      <c r="P67" s="168"/>
      <c r="Q67" s="169"/>
      <c r="R67" s="170"/>
    </row>
    <row r="68" spans="1:18" ht="14.55" customHeight="1" x14ac:dyDescent="0.3">
      <c r="D68" s="35"/>
      <c r="E68" s="1"/>
      <c r="F68" s="1"/>
      <c r="G68" s="1"/>
      <c r="H68" s="1"/>
      <c r="M68" s="35"/>
    </row>
    <row r="69" spans="1:18" x14ac:dyDescent="0.3">
      <c r="E69" s="148" t="s">
        <v>34</v>
      </c>
      <c r="F69" s="149"/>
      <c r="G69" s="149"/>
      <c r="H69" s="149"/>
      <c r="I69" s="152" t="s">
        <v>19</v>
      </c>
      <c r="J69" s="153"/>
      <c r="K69" s="152" t="s">
        <v>20</v>
      </c>
      <c r="L69" s="153"/>
    </row>
    <row r="70" spans="1:18" s="36" customFormat="1" x14ac:dyDescent="0.3">
      <c r="E70" s="7"/>
      <c r="F70" s="7"/>
      <c r="G70" s="7"/>
      <c r="H70" s="7"/>
      <c r="I70" s="22">
        <f>I67</f>
        <v>1950</v>
      </c>
      <c r="J70" s="14" t="s">
        <v>12</v>
      </c>
      <c r="K70" s="22">
        <f>K67</f>
        <v>0</v>
      </c>
      <c r="L70" s="15" t="s">
        <v>12</v>
      </c>
    </row>
    <row r="71" spans="1:18" s="1" customFormat="1" ht="24.45" customHeight="1" x14ac:dyDescent="0.3">
      <c r="A71" s="35"/>
      <c r="B71" s="35"/>
      <c r="C71" s="35"/>
      <c r="E71" s="13"/>
      <c r="F71" s="13"/>
      <c r="G71" s="13"/>
      <c r="H71" s="13"/>
      <c r="I71" s="154">
        <f>I70+K70</f>
        <v>1950</v>
      </c>
      <c r="J71" s="155"/>
      <c r="K71" s="155"/>
      <c r="L71" s="156"/>
      <c r="N71" s="35"/>
      <c r="O71" s="35"/>
      <c r="P71" s="35"/>
      <c r="Q71" s="35"/>
      <c r="R71" s="35"/>
    </row>
    <row r="73" spans="1:18" s="8" customFormat="1" ht="30" customHeight="1" x14ac:dyDescent="0.3">
      <c r="A73" s="133" t="s">
        <v>22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5"/>
      <c r="L73" s="135"/>
      <c r="M73" s="135"/>
      <c r="N73" s="135"/>
      <c r="O73" s="134"/>
      <c r="P73" s="134"/>
      <c r="Q73" s="134"/>
      <c r="R73" s="136"/>
    </row>
    <row r="74" spans="1:18" s="12" customFormat="1" ht="14.55" customHeight="1" x14ac:dyDescent="0.3">
      <c r="A74" s="128" t="s">
        <v>1</v>
      </c>
      <c r="B74" s="137" t="s">
        <v>2</v>
      </c>
      <c r="C74" s="137" t="s">
        <v>3</v>
      </c>
      <c r="D74" s="137" t="s">
        <v>4</v>
      </c>
      <c r="E74" s="124" t="s">
        <v>5</v>
      </c>
      <c r="F74" s="138" t="s">
        <v>14</v>
      </c>
      <c r="G74" s="138" t="s">
        <v>15</v>
      </c>
      <c r="H74" s="119" t="s">
        <v>27</v>
      </c>
      <c r="I74" s="121" t="s">
        <v>6</v>
      </c>
      <c r="J74" s="122"/>
      <c r="K74" s="122"/>
      <c r="L74" s="123"/>
      <c r="M74" s="124" t="s">
        <v>7</v>
      </c>
      <c r="N74" s="125"/>
      <c r="O74" s="128" t="s">
        <v>8</v>
      </c>
      <c r="P74" s="128" t="s">
        <v>9</v>
      </c>
      <c r="Q74" s="128"/>
      <c r="R74" s="128"/>
    </row>
    <row r="75" spans="1:18" s="12" customFormat="1" ht="13.05" customHeight="1" x14ac:dyDescent="0.3">
      <c r="A75" s="128"/>
      <c r="B75" s="137"/>
      <c r="C75" s="137"/>
      <c r="D75" s="137"/>
      <c r="E75" s="126"/>
      <c r="F75" s="139"/>
      <c r="G75" s="139"/>
      <c r="H75" s="120"/>
      <c r="I75" s="121" t="s">
        <v>23</v>
      </c>
      <c r="J75" s="123"/>
      <c r="K75" s="121" t="s">
        <v>11</v>
      </c>
      <c r="L75" s="123"/>
      <c r="M75" s="126"/>
      <c r="N75" s="127"/>
      <c r="O75" s="128"/>
      <c r="P75" s="128"/>
      <c r="Q75" s="128"/>
      <c r="R75" s="128"/>
    </row>
    <row r="76" spans="1:18" ht="14.55" customHeight="1" x14ac:dyDescent="0.3">
      <c r="A76" s="140" t="s">
        <v>28</v>
      </c>
      <c r="B76" s="5">
        <v>0.33333333333333331</v>
      </c>
      <c r="C76" s="5"/>
      <c r="D76" s="4">
        <v>250044</v>
      </c>
      <c r="E76" s="3" t="s">
        <v>171</v>
      </c>
      <c r="F76" s="19">
        <v>304</v>
      </c>
      <c r="G76" s="20">
        <v>0.7</v>
      </c>
      <c r="H76" s="28"/>
      <c r="I76" s="143"/>
      <c r="J76" s="144"/>
      <c r="K76" s="143">
        <v>650</v>
      </c>
      <c r="L76" s="144"/>
      <c r="M76" s="56"/>
      <c r="N76" s="6" t="s">
        <v>13</v>
      </c>
      <c r="O76" s="21"/>
      <c r="P76" s="168" t="s">
        <v>50</v>
      </c>
      <c r="Q76" s="169"/>
      <c r="R76" s="170"/>
    </row>
    <row r="77" spans="1:18" ht="14.55" customHeight="1" x14ac:dyDescent="0.3">
      <c r="A77" s="141"/>
      <c r="B77" s="5"/>
      <c r="C77" s="5">
        <v>0.70833333333333337</v>
      </c>
      <c r="D77" s="4">
        <v>250044</v>
      </c>
      <c r="E77" s="3" t="s">
        <v>170</v>
      </c>
      <c r="F77" s="19">
        <v>304</v>
      </c>
      <c r="G77" s="20">
        <v>0.7</v>
      </c>
      <c r="H77" s="28"/>
      <c r="I77" s="143"/>
      <c r="J77" s="144"/>
      <c r="K77" s="143">
        <v>550</v>
      </c>
      <c r="L77" s="144"/>
      <c r="M77" s="56"/>
      <c r="N77" s="6" t="s">
        <v>13</v>
      </c>
      <c r="O77" s="21"/>
      <c r="P77" s="168"/>
      <c r="Q77" s="169"/>
      <c r="R77" s="170"/>
    </row>
    <row r="78" spans="1:18" ht="14.55" customHeight="1" x14ac:dyDescent="0.3">
      <c r="A78" s="141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56"/>
      <c r="N78" s="6" t="s">
        <v>13</v>
      </c>
      <c r="O78" s="21"/>
      <c r="P78" s="168"/>
      <c r="Q78" s="169"/>
      <c r="R78" s="170"/>
    </row>
    <row r="79" spans="1:18" ht="14.55" customHeight="1" x14ac:dyDescent="0.3">
      <c r="A79" s="141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56"/>
      <c r="N79" s="6" t="s">
        <v>13</v>
      </c>
      <c r="O79" s="21"/>
      <c r="P79" s="168"/>
      <c r="Q79" s="169"/>
      <c r="R79" s="170"/>
    </row>
    <row r="80" spans="1:18" ht="14.55" customHeight="1" x14ac:dyDescent="0.3">
      <c r="A80" s="141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56"/>
      <c r="N80" s="6" t="s">
        <v>13</v>
      </c>
      <c r="O80" s="21"/>
      <c r="P80" s="168"/>
      <c r="Q80" s="169"/>
      <c r="R80" s="170"/>
    </row>
    <row r="81" spans="1:18" ht="14.55" customHeight="1" x14ac:dyDescent="0.3">
      <c r="A81" s="142"/>
      <c r="B81" s="148" t="s">
        <v>0</v>
      </c>
      <c r="C81" s="149"/>
      <c r="D81" s="149"/>
      <c r="E81" s="149"/>
      <c r="F81" s="149"/>
      <c r="G81" s="149"/>
      <c r="H81" s="171"/>
      <c r="I81" s="150">
        <f>SUM(I76:J80)</f>
        <v>0</v>
      </c>
      <c r="J81" s="151"/>
      <c r="K81" s="150">
        <f>SUM(K76:L80)</f>
        <v>1200</v>
      </c>
      <c r="L81" s="151"/>
      <c r="M81" s="10">
        <f>SUM(M76:M80)</f>
        <v>0</v>
      </c>
      <c r="N81" s="11" t="s">
        <v>13</v>
      </c>
      <c r="O81" s="9"/>
      <c r="P81" s="168"/>
      <c r="Q81" s="169"/>
      <c r="R81" s="170"/>
    </row>
    <row r="82" spans="1:18" ht="14.55" customHeight="1" x14ac:dyDescent="0.3">
      <c r="A82" s="140" t="s">
        <v>24</v>
      </c>
      <c r="B82" s="5">
        <v>0.33333333333333331</v>
      </c>
      <c r="C82" s="5">
        <v>0.70833333333333337</v>
      </c>
      <c r="D82" s="4">
        <v>250044</v>
      </c>
      <c r="E82" s="3" t="s">
        <v>198</v>
      </c>
      <c r="F82" s="19">
        <v>304</v>
      </c>
      <c r="G82" s="20">
        <v>0.7</v>
      </c>
      <c r="H82" s="28"/>
      <c r="I82" s="143"/>
      <c r="J82" s="144"/>
      <c r="K82" s="143">
        <v>750</v>
      </c>
      <c r="L82" s="144"/>
      <c r="M82" s="56"/>
      <c r="N82" s="6" t="s">
        <v>13</v>
      </c>
      <c r="O82" s="21"/>
      <c r="P82" s="157" t="s">
        <v>51</v>
      </c>
      <c r="Q82" s="158"/>
      <c r="R82" s="159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56"/>
      <c r="N83" s="6" t="s">
        <v>13</v>
      </c>
      <c r="O83" s="21"/>
      <c r="P83" s="160"/>
      <c r="Q83" s="161"/>
      <c r="R83" s="162"/>
    </row>
    <row r="84" spans="1:18" ht="14.55" hidden="1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56"/>
      <c r="N84" s="6" t="s">
        <v>13</v>
      </c>
      <c r="O84" s="21"/>
      <c r="P84" s="160"/>
      <c r="Q84" s="161"/>
      <c r="R84" s="162"/>
    </row>
    <row r="85" spans="1:18" ht="14.55" hidden="1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56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56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7"/>
      <c r="B87" s="148" t="s">
        <v>0</v>
      </c>
      <c r="C87" s="149"/>
      <c r="D87" s="149"/>
      <c r="E87" s="149"/>
      <c r="F87" s="149"/>
      <c r="G87" s="149"/>
      <c r="H87" s="171"/>
      <c r="I87" s="150">
        <f>SUM(I82:J86)</f>
        <v>0</v>
      </c>
      <c r="J87" s="151"/>
      <c r="K87" s="150">
        <f>SUM(K82:L86)</f>
        <v>750</v>
      </c>
      <c r="L87" s="151"/>
      <c r="M87" s="10">
        <f>SUM(M82:M86)</f>
        <v>0</v>
      </c>
      <c r="N87" s="11" t="s">
        <v>13</v>
      </c>
      <c r="O87" s="9"/>
      <c r="P87" s="163"/>
      <c r="Q87" s="164"/>
      <c r="R87" s="165"/>
    </row>
    <row r="88" spans="1:18" ht="14.55" customHeight="1" x14ac:dyDescent="0.3">
      <c r="A88" s="140" t="s">
        <v>25</v>
      </c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56"/>
      <c r="N88" s="6" t="s">
        <v>13</v>
      </c>
      <c r="O88" s="21"/>
      <c r="P88" s="145" t="s">
        <v>53</v>
      </c>
      <c r="Q88" s="169"/>
      <c r="R88" s="170"/>
    </row>
    <row r="89" spans="1:18" ht="14.55" hidden="1" customHeight="1" x14ac:dyDescent="0.3">
      <c r="A89" s="141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56"/>
      <c r="N89" s="6" t="s">
        <v>13</v>
      </c>
      <c r="O89" s="21"/>
      <c r="P89" s="168"/>
      <c r="Q89" s="169"/>
      <c r="R89" s="170"/>
    </row>
    <row r="90" spans="1:18" ht="14.55" hidden="1" customHeight="1" x14ac:dyDescent="0.3">
      <c r="A90" s="141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56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41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56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41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56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42"/>
      <c r="B93" s="148" t="s">
        <v>0</v>
      </c>
      <c r="C93" s="149"/>
      <c r="D93" s="149"/>
      <c r="E93" s="149"/>
      <c r="F93" s="149"/>
      <c r="G93" s="149"/>
      <c r="H93" s="149"/>
      <c r="I93" s="150">
        <f>SUM(I88:J92)</f>
        <v>0</v>
      </c>
      <c r="J93" s="151"/>
      <c r="K93" s="150">
        <f>SUM(K88:L92)</f>
        <v>0</v>
      </c>
      <c r="L93" s="151"/>
      <c r="M93" s="10">
        <f>SUM(M88:M92)</f>
        <v>0</v>
      </c>
      <c r="N93" s="11" t="s">
        <v>13</v>
      </c>
      <c r="O93" s="9"/>
      <c r="P93" s="168"/>
      <c r="Q93" s="169"/>
      <c r="R93" s="170"/>
    </row>
    <row r="95" spans="1:18" x14ac:dyDescent="0.3">
      <c r="E95" s="148" t="s">
        <v>26</v>
      </c>
      <c r="F95" s="149"/>
      <c r="G95" s="149"/>
      <c r="H95" s="149"/>
      <c r="I95" s="152" t="s">
        <v>23</v>
      </c>
      <c r="J95" s="153"/>
      <c r="K95" s="152" t="s">
        <v>11</v>
      </c>
      <c r="L95" s="153"/>
    </row>
    <row r="96" spans="1:18" s="36" customFormat="1" x14ac:dyDescent="0.3">
      <c r="E96" s="7"/>
      <c r="F96" s="7"/>
      <c r="G96" s="7"/>
      <c r="H96" s="7"/>
      <c r="I96" s="22">
        <f>I87+I93</f>
        <v>0</v>
      </c>
      <c r="J96" s="14" t="s">
        <v>12</v>
      </c>
      <c r="K96" s="22">
        <f>K87+K93</f>
        <v>750</v>
      </c>
      <c r="L96" s="15" t="s">
        <v>12</v>
      </c>
    </row>
    <row r="97" spans="1:18" ht="24.45" customHeight="1" x14ac:dyDescent="0.3">
      <c r="E97" s="13"/>
      <c r="F97" s="13"/>
      <c r="G97" s="13"/>
      <c r="H97" s="13"/>
      <c r="I97" s="154">
        <f>I96+K96</f>
        <v>750</v>
      </c>
      <c r="J97" s="155"/>
      <c r="K97" s="155"/>
      <c r="L97" s="156"/>
    </row>
    <row r="99" spans="1:18" s="8" customFormat="1" ht="30" customHeight="1" x14ac:dyDescent="0.3">
      <c r="A99" s="133" t="s">
        <v>131</v>
      </c>
      <c r="B99" s="134"/>
      <c r="C99" s="134"/>
      <c r="D99" s="134"/>
      <c r="E99" s="134"/>
      <c r="F99" s="134"/>
      <c r="G99" s="134"/>
      <c r="H99" s="134"/>
      <c r="I99" s="134"/>
      <c r="J99" s="134"/>
      <c r="K99" s="135"/>
      <c r="L99" s="135"/>
      <c r="M99" s="135"/>
      <c r="N99" s="135"/>
      <c r="O99" s="134"/>
      <c r="P99" s="134"/>
      <c r="Q99" s="134"/>
      <c r="R99" s="136"/>
    </row>
    <row r="100" spans="1:18" s="12" customFormat="1" ht="14.55" customHeight="1" x14ac:dyDescent="0.3">
      <c r="A100" s="128" t="s">
        <v>1</v>
      </c>
      <c r="B100" s="137" t="s">
        <v>2</v>
      </c>
      <c r="C100" s="137" t="s">
        <v>3</v>
      </c>
      <c r="D100" s="137" t="s">
        <v>4</v>
      </c>
      <c r="E100" s="124" t="s">
        <v>5</v>
      </c>
      <c r="F100" s="138" t="s">
        <v>14</v>
      </c>
      <c r="G100" s="138" t="s">
        <v>15</v>
      </c>
      <c r="H100" s="119" t="s">
        <v>27</v>
      </c>
      <c r="I100" s="121" t="s">
        <v>6</v>
      </c>
      <c r="J100" s="122"/>
      <c r="K100" s="122"/>
      <c r="L100" s="123"/>
      <c r="M100" s="124" t="s">
        <v>7</v>
      </c>
      <c r="N100" s="125"/>
      <c r="O100" s="128" t="s">
        <v>8</v>
      </c>
      <c r="P100" s="128" t="s">
        <v>9</v>
      </c>
      <c r="Q100" s="128"/>
      <c r="R100" s="128"/>
    </row>
    <row r="101" spans="1:18" s="12" customFormat="1" ht="13.05" customHeight="1" x14ac:dyDescent="0.3">
      <c r="A101" s="128"/>
      <c r="B101" s="137"/>
      <c r="C101" s="137"/>
      <c r="D101" s="137"/>
      <c r="E101" s="126"/>
      <c r="F101" s="139"/>
      <c r="G101" s="139"/>
      <c r="H101" s="120"/>
      <c r="I101" s="121" t="s">
        <v>23</v>
      </c>
      <c r="J101" s="123"/>
      <c r="K101" s="121" t="s">
        <v>11</v>
      </c>
      <c r="L101" s="123"/>
      <c r="M101" s="126"/>
      <c r="N101" s="127"/>
      <c r="O101" s="128"/>
      <c r="P101" s="128"/>
      <c r="Q101" s="128"/>
      <c r="R101" s="128"/>
    </row>
    <row r="102" spans="1:18" ht="14.55" customHeight="1" x14ac:dyDescent="0.3">
      <c r="A102" s="140" t="s">
        <v>132</v>
      </c>
      <c r="B102" s="5"/>
      <c r="C102" s="5"/>
      <c r="D102" s="4"/>
      <c r="E102" s="3"/>
      <c r="F102" s="19"/>
      <c r="G102" s="20"/>
      <c r="H102" s="28"/>
      <c r="I102" s="143"/>
      <c r="J102" s="144"/>
      <c r="K102" s="143"/>
      <c r="L102" s="144"/>
      <c r="M102" s="56"/>
      <c r="N102" s="6" t="s">
        <v>13</v>
      </c>
      <c r="O102" s="21"/>
      <c r="P102" s="157"/>
      <c r="Q102" s="158"/>
      <c r="R102" s="159"/>
    </row>
    <row r="103" spans="1:18" ht="14.55" customHeight="1" x14ac:dyDescent="0.3">
      <c r="A103" s="166"/>
      <c r="B103" s="5"/>
      <c r="C103" s="5"/>
      <c r="D103" s="4"/>
      <c r="E103" s="3"/>
      <c r="F103" s="19"/>
      <c r="G103" s="20"/>
      <c r="H103" s="28"/>
      <c r="I103" s="143"/>
      <c r="J103" s="144"/>
      <c r="K103" s="143"/>
      <c r="L103" s="144"/>
      <c r="M103" s="56"/>
      <c r="N103" s="6" t="s">
        <v>13</v>
      </c>
      <c r="O103" s="21"/>
      <c r="P103" s="160"/>
      <c r="Q103" s="161"/>
      <c r="R103" s="162"/>
    </row>
    <row r="104" spans="1:18" ht="14.55" customHeight="1" x14ac:dyDescent="0.3">
      <c r="A104" s="166"/>
      <c r="B104" s="5"/>
      <c r="C104" s="5"/>
      <c r="D104" s="4"/>
      <c r="E104" s="3"/>
      <c r="F104" s="19"/>
      <c r="G104" s="20"/>
      <c r="H104" s="28"/>
      <c r="I104" s="143"/>
      <c r="J104" s="144"/>
      <c r="K104" s="143"/>
      <c r="L104" s="144"/>
      <c r="M104" s="56"/>
      <c r="N104" s="6" t="s">
        <v>13</v>
      </c>
      <c r="O104" s="21"/>
      <c r="P104" s="160"/>
      <c r="Q104" s="161"/>
      <c r="R104" s="162"/>
    </row>
    <row r="105" spans="1:18" ht="14.55" customHeight="1" x14ac:dyDescent="0.3">
      <c r="A105" s="166"/>
      <c r="B105" s="5"/>
      <c r="C105" s="5"/>
      <c r="D105" s="4"/>
      <c r="E105" s="3"/>
      <c r="F105" s="19"/>
      <c r="G105" s="20"/>
      <c r="H105" s="28"/>
      <c r="I105" s="143"/>
      <c r="J105" s="144"/>
      <c r="K105" s="143"/>
      <c r="L105" s="144"/>
      <c r="M105" s="56"/>
      <c r="N105" s="6" t="s">
        <v>13</v>
      </c>
      <c r="O105" s="21"/>
      <c r="P105" s="160"/>
      <c r="Q105" s="161"/>
      <c r="R105" s="162"/>
    </row>
    <row r="106" spans="1:18" ht="14.55" customHeight="1" x14ac:dyDescent="0.3">
      <c r="A106" s="166"/>
      <c r="B106" s="5"/>
      <c r="C106" s="5"/>
      <c r="D106" s="4"/>
      <c r="E106" s="3"/>
      <c r="F106" s="19"/>
      <c r="G106" s="20"/>
      <c r="H106" s="28"/>
      <c r="I106" s="143"/>
      <c r="J106" s="144"/>
      <c r="K106" s="143"/>
      <c r="L106" s="144"/>
      <c r="M106" s="56"/>
      <c r="N106" s="6" t="s">
        <v>13</v>
      </c>
      <c r="O106" s="21"/>
      <c r="P106" s="160"/>
      <c r="Q106" s="161"/>
      <c r="R106" s="162"/>
    </row>
    <row r="107" spans="1:18" ht="14.55" customHeight="1" x14ac:dyDescent="0.3">
      <c r="A107" s="166"/>
      <c r="B107" s="5"/>
      <c r="C107" s="5"/>
      <c r="D107" s="4"/>
      <c r="E107" s="3"/>
      <c r="F107" s="19"/>
      <c r="G107" s="20"/>
      <c r="H107" s="28"/>
      <c r="I107" s="143"/>
      <c r="J107" s="144"/>
      <c r="K107" s="143"/>
      <c r="L107" s="144"/>
      <c r="M107" s="56"/>
      <c r="N107" s="6" t="s">
        <v>13</v>
      </c>
      <c r="O107" s="21"/>
      <c r="P107" s="160"/>
      <c r="Q107" s="161"/>
      <c r="R107" s="162"/>
    </row>
    <row r="108" spans="1:18" ht="14.55" customHeight="1" x14ac:dyDescent="0.3">
      <c r="A108" s="166"/>
      <c r="B108" s="5"/>
      <c r="C108" s="5"/>
      <c r="D108" s="4"/>
      <c r="E108" s="3"/>
      <c r="F108" s="19"/>
      <c r="G108" s="20"/>
      <c r="H108" s="28"/>
      <c r="I108" s="143"/>
      <c r="J108" s="144"/>
      <c r="K108" s="143"/>
      <c r="L108" s="144"/>
      <c r="M108" s="56"/>
      <c r="N108" s="6" t="s">
        <v>13</v>
      </c>
      <c r="O108" s="21"/>
      <c r="P108" s="160"/>
      <c r="Q108" s="161"/>
      <c r="R108" s="162"/>
    </row>
    <row r="109" spans="1:18" ht="14.55" customHeight="1" x14ac:dyDescent="0.3">
      <c r="A109" s="166"/>
      <c r="B109" s="5"/>
      <c r="C109" s="5"/>
      <c r="D109" s="4"/>
      <c r="E109" s="3"/>
      <c r="F109" s="19"/>
      <c r="G109" s="20"/>
      <c r="H109" s="28"/>
      <c r="I109" s="143"/>
      <c r="J109" s="144"/>
      <c r="K109" s="143"/>
      <c r="L109" s="144"/>
      <c r="M109" s="56"/>
      <c r="N109" s="6" t="s">
        <v>13</v>
      </c>
      <c r="O109" s="21"/>
      <c r="P109" s="160"/>
      <c r="Q109" s="161"/>
      <c r="R109" s="162"/>
    </row>
    <row r="110" spans="1:18" ht="14.55" customHeight="1" x14ac:dyDescent="0.3">
      <c r="A110" s="166"/>
      <c r="B110" s="5"/>
      <c r="C110" s="5"/>
      <c r="D110" s="4"/>
      <c r="E110" s="3"/>
      <c r="F110" s="19"/>
      <c r="G110" s="20"/>
      <c r="H110" s="28"/>
      <c r="I110" s="143"/>
      <c r="J110" s="144"/>
      <c r="K110" s="143"/>
      <c r="L110" s="144"/>
      <c r="M110" s="56"/>
      <c r="N110" s="6" t="s">
        <v>13</v>
      </c>
      <c r="O110" s="21"/>
      <c r="P110" s="160"/>
      <c r="Q110" s="161"/>
      <c r="R110" s="162"/>
    </row>
    <row r="111" spans="1:18" ht="14.55" customHeight="1" x14ac:dyDescent="0.3">
      <c r="A111" s="166"/>
      <c r="B111" s="5"/>
      <c r="C111" s="5"/>
      <c r="D111" s="4"/>
      <c r="E111" s="3"/>
      <c r="F111" s="19"/>
      <c r="G111" s="20"/>
      <c r="H111" s="28"/>
      <c r="I111" s="143"/>
      <c r="J111" s="144"/>
      <c r="K111" s="143"/>
      <c r="L111" s="144"/>
      <c r="M111" s="56"/>
      <c r="N111" s="6" t="s">
        <v>13</v>
      </c>
      <c r="O111" s="21"/>
      <c r="P111" s="160"/>
      <c r="Q111" s="161"/>
      <c r="R111" s="162"/>
    </row>
    <row r="112" spans="1:18" ht="14.55" customHeight="1" x14ac:dyDescent="0.3">
      <c r="A112" s="167"/>
      <c r="B112" s="148" t="s">
        <v>0</v>
      </c>
      <c r="C112" s="149"/>
      <c r="D112" s="149"/>
      <c r="E112" s="149"/>
      <c r="F112" s="149"/>
      <c r="G112" s="149"/>
      <c r="H112" s="149"/>
      <c r="I112" s="150">
        <f ca="1">SUM(I102:J112)</f>
        <v>0</v>
      </c>
      <c r="J112" s="151"/>
      <c r="K112" s="150">
        <f ca="1">SUM(K102:L112)</f>
        <v>0</v>
      </c>
      <c r="L112" s="151"/>
      <c r="M112" s="10">
        <f>SUM(M107:M111)</f>
        <v>0</v>
      </c>
      <c r="N112" s="11" t="s">
        <v>13</v>
      </c>
      <c r="O112" s="9"/>
      <c r="P112" s="163"/>
      <c r="Q112" s="164"/>
      <c r="R112" s="165"/>
    </row>
    <row r="114" spans="5:12" x14ac:dyDescent="0.3">
      <c r="E114" s="148" t="s">
        <v>26</v>
      </c>
      <c r="F114" s="149"/>
      <c r="G114" s="149"/>
      <c r="H114" s="149"/>
      <c r="I114" s="152" t="s">
        <v>23</v>
      </c>
      <c r="J114" s="153"/>
      <c r="K114" s="172" t="s">
        <v>11</v>
      </c>
      <c r="L114" s="153"/>
    </row>
    <row r="115" spans="5:12" s="36" customFormat="1" x14ac:dyDescent="0.3">
      <c r="E115" s="7"/>
      <c r="F115" s="7"/>
      <c r="G115" s="7"/>
      <c r="H115" s="7"/>
      <c r="I115" s="22">
        <f ca="1">I112</f>
        <v>0</v>
      </c>
      <c r="J115" s="14" t="s">
        <v>12</v>
      </c>
      <c r="K115" s="22">
        <f ca="1">K112</f>
        <v>0</v>
      </c>
      <c r="L115" s="15" t="s">
        <v>12</v>
      </c>
    </row>
    <row r="116" spans="5:12" ht="24.45" customHeight="1" x14ac:dyDescent="0.3">
      <c r="E116" s="13"/>
      <c r="F116" s="13"/>
      <c r="G116" s="13"/>
      <c r="H116" s="13"/>
      <c r="I116" s="154">
        <f ca="1">I115+K115</f>
        <v>0</v>
      </c>
      <c r="J116" s="155"/>
      <c r="K116" s="155"/>
      <c r="L116" s="156"/>
    </row>
  </sheetData>
  <mergeCells count="270"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P7:R15"/>
    <mergeCell ref="I8:J8"/>
    <mergeCell ref="K8:L8"/>
    <mergeCell ref="I9:J9"/>
    <mergeCell ref="K9:L9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I11:J11"/>
    <mergeCell ref="K11:L11"/>
    <mergeCell ref="I12:J12"/>
    <mergeCell ref="K12:L12"/>
    <mergeCell ref="I13:J13"/>
    <mergeCell ref="K13:L13"/>
    <mergeCell ref="A7:A15"/>
    <mergeCell ref="I7:J7"/>
    <mergeCell ref="K7:L7"/>
    <mergeCell ref="I14:J14"/>
    <mergeCell ref="K14:L14"/>
    <mergeCell ref="B15:H15"/>
    <mergeCell ref="I15:J15"/>
    <mergeCell ref="K15:L15"/>
    <mergeCell ref="A16:A24"/>
    <mergeCell ref="I16:J16"/>
    <mergeCell ref="K16:L16"/>
    <mergeCell ref="K21:L21"/>
    <mergeCell ref="I22:J22"/>
    <mergeCell ref="K22:L22"/>
    <mergeCell ref="I23:J23"/>
    <mergeCell ref="K23:L23"/>
    <mergeCell ref="B24:H24"/>
    <mergeCell ref="I24:J24"/>
    <mergeCell ref="K24:L24"/>
    <mergeCell ref="P16:R24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E26:H26"/>
    <mergeCell ref="I26:J26"/>
    <mergeCell ref="K26:L26"/>
    <mergeCell ref="I28:L28"/>
    <mergeCell ref="A30:R30"/>
    <mergeCell ref="A31:A32"/>
    <mergeCell ref="B31:B32"/>
    <mergeCell ref="C31:C32"/>
    <mergeCell ref="D31:D32"/>
    <mergeCell ref="E31:E32"/>
    <mergeCell ref="P31:R32"/>
    <mergeCell ref="I32:J32"/>
    <mergeCell ref="K32:L32"/>
    <mergeCell ref="A33:A48"/>
    <mergeCell ref="I33:J33"/>
    <mergeCell ref="K33:L33"/>
    <mergeCell ref="P33:R48"/>
    <mergeCell ref="I34:J34"/>
    <mergeCell ref="K34:L34"/>
    <mergeCell ref="I35:J35"/>
    <mergeCell ref="F31:F32"/>
    <mergeCell ref="G31:G32"/>
    <mergeCell ref="H31:H32"/>
    <mergeCell ref="I31:L31"/>
    <mergeCell ref="M31:N32"/>
    <mergeCell ref="O31:O32"/>
    <mergeCell ref="K46:L46"/>
    <mergeCell ref="I46:J46"/>
    <mergeCell ref="K45:L45"/>
    <mergeCell ref="I45:J45"/>
    <mergeCell ref="K38:L38"/>
    <mergeCell ref="I38:J38"/>
    <mergeCell ref="K37:L37"/>
    <mergeCell ref="I37:J37"/>
    <mergeCell ref="K35:L35"/>
    <mergeCell ref="I36:J36"/>
    <mergeCell ref="K36:L36"/>
    <mergeCell ref="I42:J42"/>
    <mergeCell ref="K42:L42"/>
    <mergeCell ref="I43:J43"/>
    <mergeCell ref="K43:L43"/>
    <mergeCell ref="I44:J44"/>
    <mergeCell ref="K44:L44"/>
    <mergeCell ref="I39:J39"/>
    <mergeCell ref="K39:L39"/>
    <mergeCell ref="I40:J40"/>
    <mergeCell ref="K40:L40"/>
    <mergeCell ref="I41:J41"/>
    <mergeCell ref="K41:L41"/>
    <mergeCell ref="B48:H48"/>
    <mergeCell ref="I48:J48"/>
    <mergeCell ref="K48:L48"/>
    <mergeCell ref="E50:H50"/>
    <mergeCell ref="I50:J50"/>
    <mergeCell ref="K50:L50"/>
    <mergeCell ref="I47:J47"/>
    <mergeCell ref="K47:L47"/>
    <mergeCell ref="I55:L55"/>
    <mergeCell ref="I62:J62"/>
    <mergeCell ref="K62:L62"/>
    <mergeCell ref="M55:N56"/>
    <mergeCell ref="O55:O56"/>
    <mergeCell ref="P55:R56"/>
    <mergeCell ref="I56:J56"/>
    <mergeCell ref="K56:L56"/>
    <mergeCell ref="I52:L52"/>
    <mergeCell ref="A54:R54"/>
    <mergeCell ref="A55:A56"/>
    <mergeCell ref="B55:B56"/>
    <mergeCell ref="C55:C56"/>
    <mergeCell ref="D55:D56"/>
    <mergeCell ref="E55:E56"/>
    <mergeCell ref="F55:F56"/>
    <mergeCell ref="G55:G56"/>
    <mergeCell ref="H55:H56"/>
    <mergeCell ref="P62:R67"/>
    <mergeCell ref="I63:J63"/>
    <mergeCell ref="K63:L63"/>
    <mergeCell ref="I64:J64"/>
    <mergeCell ref="K64:L64"/>
    <mergeCell ref="I65:J65"/>
    <mergeCell ref="A57:A67"/>
    <mergeCell ref="I57:J57"/>
    <mergeCell ref="K57:L57"/>
    <mergeCell ref="P57:R61"/>
    <mergeCell ref="I58:J58"/>
    <mergeCell ref="K58:L58"/>
    <mergeCell ref="I59:J59"/>
    <mergeCell ref="K59:L59"/>
    <mergeCell ref="I60:J60"/>
    <mergeCell ref="K60:L60"/>
    <mergeCell ref="K65:L65"/>
    <mergeCell ref="I66:J66"/>
    <mergeCell ref="K66:L66"/>
    <mergeCell ref="B67:H67"/>
    <mergeCell ref="I67:J67"/>
    <mergeCell ref="K67:L67"/>
    <mergeCell ref="I61:J61"/>
    <mergeCell ref="K61:L61"/>
    <mergeCell ref="B81:H81"/>
    <mergeCell ref="I81:J81"/>
    <mergeCell ref="K81:L81"/>
    <mergeCell ref="I75:J75"/>
    <mergeCell ref="K75:L75"/>
    <mergeCell ref="E69:H69"/>
    <mergeCell ref="I69:J69"/>
    <mergeCell ref="K69:L69"/>
    <mergeCell ref="I71:L71"/>
    <mergeCell ref="A73:R73"/>
    <mergeCell ref="A74:A75"/>
    <mergeCell ref="B74:B75"/>
    <mergeCell ref="C74:C75"/>
    <mergeCell ref="D74:D75"/>
    <mergeCell ref="E74:E75"/>
    <mergeCell ref="P74:R75"/>
    <mergeCell ref="A76:A81"/>
    <mergeCell ref="I76:J76"/>
    <mergeCell ref="K76:L76"/>
    <mergeCell ref="P76:R81"/>
    <mergeCell ref="I77:J77"/>
    <mergeCell ref="K77:L77"/>
    <mergeCell ref="I78:J78"/>
    <mergeCell ref="F74:F75"/>
    <mergeCell ref="G74:G75"/>
    <mergeCell ref="H74:H75"/>
    <mergeCell ref="I74:L74"/>
    <mergeCell ref="M74:N75"/>
    <mergeCell ref="O74:O75"/>
    <mergeCell ref="P82:R87"/>
    <mergeCell ref="I83:J83"/>
    <mergeCell ref="K83:L83"/>
    <mergeCell ref="I84:J84"/>
    <mergeCell ref="K84:L84"/>
    <mergeCell ref="I85:J85"/>
    <mergeCell ref="K85:L85"/>
    <mergeCell ref="K78:L78"/>
    <mergeCell ref="I79:J79"/>
    <mergeCell ref="K79:L79"/>
    <mergeCell ref="I80:J80"/>
    <mergeCell ref="K80:L80"/>
    <mergeCell ref="I86:J86"/>
    <mergeCell ref="K86:L86"/>
    <mergeCell ref="B87:H87"/>
    <mergeCell ref="I87:J87"/>
    <mergeCell ref="K87:L87"/>
    <mergeCell ref="A88:A93"/>
    <mergeCell ref="I88:J88"/>
    <mergeCell ref="K88:L88"/>
    <mergeCell ref="B93:H93"/>
    <mergeCell ref="K93:L93"/>
    <mergeCell ref="A82:A87"/>
    <mergeCell ref="I82:J82"/>
    <mergeCell ref="K82:L82"/>
    <mergeCell ref="P88:R93"/>
    <mergeCell ref="I89:J89"/>
    <mergeCell ref="K89:L89"/>
    <mergeCell ref="I90:J90"/>
    <mergeCell ref="K90:L90"/>
    <mergeCell ref="I91:J91"/>
    <mergeCell ref="K91:L91"/>
    <mergeCell ref="I92:J92"/>
    <mergeCell ref="K92:L92"/>
    <mergeCell ref="I93:J93"/>
    <mergeCell ref="E95:H95"/>
    <mergeCell ref="I95:J95"/>
    <mergeCell ref="K95:L95"/>
    <mergeCell ref="I97:L97"/>
    <mergeCell ref="A99:R99"/>
    <mergeCell ref="A100:A101"/>
    <mergeCell ref="B100:B101"/>
    <mergeCell ref="C100:C101"/>
    <mergeCell ref="D100:D101"/>
    <mergeCell ref="E100:E101"/>
    <mergeCell ref="P100:R101"/>
    <mergeCell ref="I101:J101"/>
    <mergeCell ref="K101:L101"/>
    <mergeCell ref="A102:A112"/>
    <mergeCell ref="I102:J102"/>
    <mergeCell ref="K102:L102"/>
    <mergeCell ref="P102:R112"/>
    <mergeCell ref="I103:J103"/>
    <mergeCell ref="K103:L103"/>
    <mergeCell ref="I104:J104"/>
    <mergeCell ref="F100:F101"/>
    <mergeCell ref="G100:G101"/>
    <mergeCell ref="H100:H101"/>
    <mergeCell ref="I100:L100"/>
    <mergeCell ref="M100:N101"/>
    <mergeCell ref="O100:O101"/>
    <mergeCell ref="I108:J108"/>
    <mergeCell ref="K108:L108"/>
    <mergeCell ref="I109:J109"/>
    <mergeCell ref="K109:L109"/>
    <mergeCell ref="I110:J110"/>
    <mergeCell ref="K110:L110"/>
    <mergeCell ref="K104:L104"/>
    <mergeCell ref="I105:J105"/>
    <mergeCell ref="K105:L105"/>
    <mergeCell ref="I106:J106"/>
    <mergeCell ref="K106:L106"/>
    <mergeCell ref="I107:J107"/>
    <mergeCell ref="K107:L107"/>
    <mergeCell ref="I116:L116"/>
    <mergeCell ref="I111:J111"/>
    <mergeCell ref="K111:L111"/>
    <mergeCell ref="B112:H112"/>
    <mergeCell ref="I112:J112"/>
    <mergeCell ref="K112:L112"/>
    <mergeCell ref="E114:H114"/>
    <mergeCell ref="I114:J114"/>
    <mergeCell ref="K114:L114"/>
  </mergeCells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9"/>
  <sheetViews>
    <sheetView topLeftCell="A69" zoomScale="85" zoomScaleNormal="85" workbookViewId="0">
      <selection activeCell="C48" sqref="C48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45925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/>
      <c r="C7" s="5"/>
      <c r="D7" s="4"/>
      <c r="E7" s="3"/>
      <c r="F7" s="19"/>
      <c r="G7" s="20"/>
      <c r="H7" s="28"/>
      <c r="I7" s="143"/>
      <c r="J7" s="144"/>
      <c r="K7" s="143"/>
      <c r="L7" s="144"/>
      <c r="M7" s="57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"/>
      <c r="E8" s="3"/>
      <c r="F8" s="19"/>
      <c r="G8" s="20"/>
      <c r="H8" s="28"/>
      <c r="I8" s="143"/>
      <c r="J8" s="144"/>
      <c r="K8" s="143"/>
      <c r="L8" s="144"/>
      <c r="M8" s="57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8"/>
      <c r="I9" s="143"/>
      <c r="J9" s="144"/>
      <c r="K9" s="143"/>
      <c r="L9" s="144"/>
      <c r="M9" s="57"/>
      <c r="N9" s="6" t="s">
        <v>13</v>
      </c>
      <c r="O9" s="21"/>
      <c r="P9" s="145"/>
      <c r="Q9" s="146"/>
      <c r="R9" s="147"/>
    </row>
    <row r="10" spans="1:18" ht="14.55" customHeight="1" x14ac:dyDescent="0.3">
      <c r="A10" s="142"/>
      <c r="B10" s="148" t="s">
        <v>0</v>
      </c>
      <c r="C10" s="149"/>
      <c r="D10" s="149"/>
      <c r="E10" s="149"/>
      <c r="F10" s="149"/>
      <c r="G10" s="149"/>
      <c r="H10" s="149"/>
      <c r="I10" s="150">
        <f>SUM(I7:J9)</f>
        <v>0</v>
      </c>
      <c r="J10" s="151"/>
      <c r="K10" s="150">
        <f>SUM(K7:L9)</f>
        <v>0</v>
      </c>
      <c r="L10" s="151"/>
      <c r="M10" s="10">
        <f>SUM(M7:M9)</f>
        <v>0</v>
      </c>
      <c r="N10" s="11" t="s">
        <v>13</v>
      </c>
      <c r="O10" s="9"/>
      <c r="P10" s="145"/>
      <c r="Q10" s="146"/>
      <c r="R10" s="147"/>
    </row>
    <row r="11" spans="1:18" ht="14.55" customHeight="1" x14ac:dyDescent="0.3">
      <c r="A11" s="140" t="s">
        <v>21</v>
      </c>
      <c r="B11" s="5">
        <v>800</v>
      </c>
      <c r="C11" s="5"/>
      <c r="D11" s="4">
        <v>250065</v>
      </c>
      <c r="E11" s="3" t="s">
        <v>176</v>
      </c>
      <c r="F11" s="19">
        <v>430</v>
      </c>
      <c r="G11" s="20">
        <v>0.5</v>
      </c>
      <c r="H11" s="28" t="s">
        <v>55</v>
      </c>
      <c r="I11" s="143">
        <v>785</v>
      </c>
      <c r="J11" s="144"/>
      <c r="K11" s="143"/>
      <c r="L11" s="144"/>
      <c r="M11" s="57"/>
      <c r="N11" s="6" t="s">
        <v>13</v>
      </c>
      <c r="O11" s="21"/>
      <c r="P11" s="145" t="s">
        <v>188</v>
      </c>
      <c r="Q11" s="146"/>
      <c r="R11" s="147"/>
    </row>
    <row r="12" spans="1:18" ht="14.55" customHeight="1" x14ac:dyDescent="0.3">
      <c r="A12" s="166"/>
      <c r="B12" s="5"/>
      <c r="C12" s="5"/>
      <c r="D12" s="4">
        <v>250062</v>
      </c>
      <c r="E12" s="3" t="s">
        <v>185</v>
      </c>
      <c r="F12" s="19">
        <v>304</v>
      </c>
      <c r="G12" s="20">
        <v>0.6</v>
      </c>
      <c r="H12" s="28" t="s">
        <v>58</v>
      </c>
      <c r="I12" s="143">
        <v>160</v>
      </c>
      <c r="J12" s="144"/>
      <c r="K12" s="143"/>
      <c r="L12" s="144"/>
      <c r="M12" s="57">
        <v>30</v>
      </c>
      <c r="N12" s="6" t="s">
        <v>13</v>
      </c>
      <c r="O12" s="21" t="s">
        <v>60</v>
      </c>
      <c r="P12" s="145"/>
      <c r="Q12" s="146"/>
      <c r="R12" s="147"/>
    </row>
    <row r="13" spans="1:18" ht="14.55" customHeight="1" x14ac:dyDescent="0.3">
      <c r="A13" s="166"/>
      <c r="B13" s="5"/>
      <c r="C13" s="5"/>
      <c r="D13" s="4">
        <v>250062</v>
      </c>
      <c r="E13" s="3" t="s">
        <v>186</v>
      </c>
      <c r="F13" s="19">
        <v>304</v>
      </c>
      <c r="G13" s="20">
        <v>0.6</v>
      </c>
      <c r="H13" s="28" t="s">
        <v>58</v>
      </c>
      <c r="I13" s="143">
        <v>330</v>
      </c>
      <c r="J13" s="144"/>
      <c r="K13" s="143"/>
      <c r="L13" s="144"/>
      <c r="M13" s="57">
        <v>30</v>
      </c>
      <c r="N13" s="6" t="s">
        <v>13</v>
      </c>
      <c r="O13" s="21" t="s">
        <v>60</v>
      </c>
      <c r="P13" s="145"/>
      <c r="Q13" s="146"/>
      <c r="R13" s="147"/>
    </row>
    <row r="14" spans="1:18" ht="14.55" customHeight="1" x14ac:dyDescent="0.3">
      <c r="A14" s="166"/>
      <c r="B14" s="5"/>
      <c r="C14" s="5">
        <v>0.70833333333333337</v>
      </c>
      <c r="D14" s="4">
        <v>250062</v>
      </c>
      <c r="E14" s="3" t="s">
        <v>187</v>
      </c>
      <c r="F14" s="19">
        <v>304</v>
      </c>
      <c r="G14" s="20">
        <v>0.6</v>
      </c>
      <c r="H14" s="28" t="s">
        <v>58</v>
      </c>
      <c r="I14" s="143">
        <v>310</v>
      </c>
      <c r="J14" s="144"/>
      <c r="K14" s="143"/>
      <c r="L14" s="144"/>
      <c r="M14" s="57">
        <v>30</v>
      </c>
      <c r="N14" s="6" t="s">
        <v>13</v>
      </c>
      <c r="O14" s="21" t="s">
        <v>60</v>
      </c>
      <c r="P14" s="145"/>
      <c r="Q14" s="146"/>
      <c r="R14" s="147"/>
    </row>
    <row r="15" spans="1:18" ht="14.55" customHeight="1" x14ac:dyDescent="0.3">
      <c r="A15" s="141"/>
      <c r="B15" s="5"/>
      <c r="C15" s="5"/>
      <c r="D15" s="4"/>
      <c r="E15" s="3"/>
      <c r="F15" s="19"/>
      <c r="G15" s="20"/>
      <c r="H15" s="28"/>
      <c r="I15" s="143"/>
      <c r="J15" s="144"/>
      <c r="K15" s="143"/>
      <c r="L15" s="144"/>
      <c r="M15" s="57"/>
      <c r="N15" s="6" t="s">
        <v>13</v>
      </c>
      <c r="O15" s="21"/>
      <c r="P15" s="145"/>
      <c r="Q15" s="146"/>
      <c r="R15" s="147"/>
    </row>
    <row r="16" spans="1:18" ht="14.55" customHeight="1" x14ac:dyDescent="0.3">
      <c r="A16" s="141"/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57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41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57"/>
      <c r="N17" s="6" t="s">
        <v>13</v>
      </c>
      <c r="O17" s="21"/>
      <c r="P17" s="145"/>
      <c r="Q17" s="146"/>
      <c r="R17" s="147"/>
    </row>
    <row r="18" spans="1:18" ht="14.55" customHeight="1" x14ac:dyDescent="0.3">
      <c r="A18" s="141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57"/>
      <c r="N18" s="6" t="s">
        <v>13</v>
      </c>
      <c r="O18" s="21"/>
      <c r="P18" s="145"/>
      <c r="Q18" s="146"/>
      <c r="R18" s="147"/>
    </row>
    <row r="19" spans="1:18" ht="14.55" customHeight="1" x14ac:dyDescent="0.3">
      <c r="A19" s="142"/>
      <c r="B19" s="148" t="s">
        <v>0</v>
      </c>
      <c r="C19" s="149"/>
      <c r="D19" s="149"/>
      <c r="E19" s="149"/>
      <c r="F19" s="149"/>
      <c r="G19" s="149"/>
      <c r="H19" s="149"/>
      <c r="I19" s="150">
        <f>SUM(I11:J18)</f>
        <v>1585</v>
      </c>
      <c r="J19" s="151"/>
      <c r="K19" s="150">
        <f>SUM(K11:L18)</f>
        <v>0</v>
      </c>
      <c r="L19" s="151"/>
      <c r="M19" s="10">
        <f>SUM(M11:M18)</f>
        <v>90</v>
      </c>
      <c r="N19" s="11" t="s">
        <v>13</v>
      </c>
      <c r="O19" s="9"/>
      <c r="P19" s="145"/>
      <c r="Q19" s="146"/>
      <c r="R19" s="147"/>
    </row>
    <row r="20" spans="1:18" ht="14.55" customHeight="1" x14ac:dyDescent="0.3">
      <c r="D20" s="35"/>
      <c r="E20" s="1"/>
      <c r="F20" s="1"/>
      <c r="G20" s="1"/>
      <c r="H20" s="1"/>
      <c r="M20" s="35"/>
    </row>
    <row r="21" spans="1:18" x14ac:dyDescent="0.3">
      <c r="E21" s="148" t="s">
        <v>16</v>
      </c>
      <c r="F21" s="149"/>
      <c r="G21" s="149"/>
      <c r="H21" s="149"/>
      <c r="I21" s="152" t="s">
        <v>19</v>
      </c>
      <c r="J21" s="153"/>
      <c r="K21" s="152" t="s">
        <v>20</v>
      </c>
      <c r="L21" s="153"/>
    </row>
    <row r="22" spans="1:18" s="36" customFormat="1" x14ac:dyDescent="0.3">
      <c r="E22" s="7"/>
      <c r="F22" s="7"/>
      <c r="G22" s="7"/>
      <c r="H22" s="7"/>
      <c r="I22" s="22">
        <f>I10+I19</f>
        <v>1585</v>
      </c>
      <c r="J22" s="14" t="s">
        <v>12</v>
      </c>
      <c r="K22" s="22">
        <f>K10+K19</f>
        <v>0</v>
      </c>
      <c r="L22" s="15" t="s">
        <v>12</v>
      </c>
    </row>
    <row r="23" spans="1:18" ht="24.45" customHeight="1" x14ac:dyDescent="0.3">
      <c r="E23" s="13"/>
      <c r="F23" s="13"/>
      <c r="G23" s="13"/>
      <c r="H23" s="13"/>
      <c r="I23" s="154">
        <f>I22+K22</f>
        <v>1585</v>
      </c>
      <c r="J23" s="155"/>
      <c r="K23" s="155"/>
      <c r="L23" s="156"/>
    </row>
    <row r="24" spans="1:18" ht="15" customHeight="1" x14ac:dyDescent="0.3">
      <c r="D24" s="35"/>
      <c r="I24" s="35"/>
      <c r="J24" s="35"/>
      <c r="K24" s="23"/>
      <c r="L24" s="23"/>
      <c r="M24" s="23"/>
      <c r="N24" s="23"/>
    </row>
    <row r="25" spans="1:18" s="8" customFormat="1" ht="30" customHeight="1" x14ac:dyDescent="0.3">
      <c r="A25" s="133" t="s">
        <v>36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5"/>
      <c r="L25" s="135"/>
      <c r="M25" s="135"/>
      <c r="N25" s="135"/>
      <c r="O25" s="134"/>
      <c r="P25" s="134"/>
      <c r="Q25" s="134"/>
      <c r="R25" s="136"/>
    </row>
    <row r="26" spans="1:18" s="12" customFormat="1" ht="14.55" customHeight="1" x14ac:dyDescent="0.3">
      <c r="A26" s="128" t="s">
        <v>1</v>
      </c>
      <c r="B26" s="137" t="s">
        <v>2</v>
      </c>
      <c r="C26" s="137" t="s">
        <v>3</v>
      </c>
      <c r="D26" s="137" t="s">
        <v>4</v>
      </c>
      <c r="E26" s="124" t="s">
        <v>5</v>
      </c>
      <c r="F26" s="138" t="s">
        <v>14</v>
      </c>
      <c r="G26" s="138" t="s">
        <v>15</v>
      </c>
      <c r="H26" s="119" t="s">
        <v>29</v>
      </c>
      <c r="I26" s="121" t="s">
        <v>6</v>
      </c>
      <c r="J26" s="122"/>
      <c r="K26" s="122"/>
      <c r="L26" s="123"/>
      <c r="M26" s="124" t="s">
        <v>7</v>
      </c>
      <c r="N26" s="125"/>
      <c r="O26" s="128" t="s">
        <v>8</v>
      </c>
      <c r="P26" s="128" t="s">
        <v>9</v>
      </c>
      <c r="Q26" s="128"/>
      <c r="R26" s="128"/>
    </row>
    <row r="27" spans="1:18" s="12" customFormat="1" ht="13.05" customHeight="1" x14ac:dyDescent="0.3">
      <c r="A27" s="128"/>
      <c r="B27" s="137"/>
      <c r="C27" s="137"/>
      <c r="D27" s="137"/>
      <c r="E27" s="126"/>
      <c r="F27" s="139"/>
      <c r="G27" s="139"/>
      <c r="H27" s="120"/>
      <c r="I27" s="121" t="s">
        <v>19</v>
      </c>
      <c r="J27" s="123"/>
      <c r="K27" s="121" t="s">
        <v>20</v>
      </c>
      <c r="L27" s="123"/>
      <c r="M27" s="126"/>
      <c r="N27" s="127"/>
      <c r="O27" s="128"/>
      <c r="P27" s="128"/>
      <c r="Q27" s="128"/>
      <c r="R27" s="128"/>
    </row>
    <row r="28" spans="1:18" ht="14.55" customHeight="1" x14ac:dyDescent="0.3">
      <c r="A28" s="140" t="s">
        <v>189</v>
      </c>
      <c r="B28" s="5">
        <v>0.33333333333333331</v>
      </c>
      <c r="C28" s="5"/>
      <c r="D28" s="4">
        <v>250065</v>
      </c>
      <c r="E28" s="3" t="s">
        <v>190</v>
      </c>
      <c r="F28" s="19">
        <v>430</v>
      </c>
      <c r="G28" s="20">
        <v>0.5</v>
      </c>
      <c r="H28" s="28" t="s">
        <v>137</v>
      </c>
      <c r="I28" s="143">
        <v>1287</v>
      </c>
      <c r="J28" s="144"/>
      <c r="K28" s="143"/>
      <c r="L28" s="144"/>
      <c r="M28" s="57"/>
      <c r="N28" s="6" t="s">
        <v>13</v>
      </c>
      <c r="O28" s="21"/>
      <c r="P28" s="157"/>
      <c r="Q28" s="158"/>
      <c r="R28" s="159"/>
    </row>
    <row r="29" spans="1:18" ht="14.55" customHeight="1" x14ac:dyDescent="0.3">
      <c r="A29" s="166"/>
      <c r="B29" s="5"/>
      <c r="C29" s="5"/>
      <c r="D29" s="4">
        <v>250066</v>
      </c>
      <c r="E29" s="3" t="s">
        <v>191</v>
      </c>
      <c r="F29" s="19">
        <v>430</v>
      </c>
      <c r="G29" s="20">
        <v>0.5</v>
      </c>
      <c r="H29" s="28" t="s">
        <v>137</v>
      </c>
      <c r="I29" s="143">
        <v>757</v>
      </c>
      <c r="J29" s="144"/>
      <c r="K29" s="143"/>
      <c r="L29" s="144"/>
      <c r="M29" s="57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6"/>
      <c r="B30" s="5"/>
      <c r="C30" s="5"/>
      <c r="D30" s="4">
        <v>25066</v>
      </c>
      <c r="E30" s="3" t="s">
        <v>192</v>
      </c>
      <c r="F30" s="19">
        <v>430</v>
      </c>
      <c r="G30" s="20">
        <v>0.5</v>
      </c>
      <c r="H30" s="28" t="s">
        <v>137</v>
      </c>
      <c r="I30" s="143">
        <v>17</v>
      </c>
      <c r="J30" s="144"/>
      <c r="K30" s="143"/>
      <c r="L30" s="144"/>
      <c r="M30" s="57"/>
      <c r="N30" s="6" t="s">
        <v>13</v>
      </c>
      <c r="O30" s="21"/>
      <c r="P30" s="160"/>
      <c r="Q30" s="161"/>
      <c r="R30" s="162"/>
    </row>
    <row r="31" spans="1:18" ht="14.55" customHeight="1" x14ac:dyDescent="0.3">
      <c r="A31" s="166"/>
      <c r="B31" s="5"/>
      <c r="C31" s="5"/>
      <c r="D31" s="4">
        <v>250063</v>
      </c>
      <c r="E31" s="3" t="s">
        <v>193</v>
      </c>
      <c r="F31" s="19">
        <v>430</v>
      </c>
      <c r="G31" s="20">
        <v>0.5</v>
      </c>
      <c r="H31" s="28" t="s">
        <v>137</v>
      </c>
      <c r="I31" s="143">
        <v>66</v>
      </c>
      <c r="J31" s="144"/>
      <c r="K31" s="143"/>
      <c r="L31" s="144"/>
      <c r="M31" s="57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>
        <v>0.875</v>
      </c>
      <c r="D32" s="4">
        <v>250064</v>
      </c>
      <c r="E32" s="3" t="s">
        <v>194</v>
      </c>
      <c r="F32" s="19">
        <v>430</v>
      </c>
      <c r="G32" s="20">
        <v>0.5</v>
      </c>
      <c r="H32" s="28" t="s">
        <v>137</v>
      </c>
      <c r="I32" s="143">
        <v>813</v>
      </c>
      <c r="J32" s="144"/>
      <c r="K32" s="143"/>
      <c r="L32" s="144"/>
      <c r="M32" s="57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6"/>
      <c r="B33" s="5"/>
      <c r="C33" s="5"/>
      <c r="D33" s="4"/>
      <c r="E33" s="3"/>
      <c r="F33" s="19"/>
      <c r="G33" s="20"/>
      <c r="H33" s="28"/>
      <c r="I33" s="143"/>
      <c r="J33" s="144"/>
      <c r="K33" s="143"/>
      <c r="L33" s="144"/>
      <c r="M33" s="57"/>
      <c r="N33" s="6" t="s">
        <v>13</v>
      </c>
      <c r="O33" s="21"/>
      <c r="P33" s="160"/>
      <c r="Q33" s="161"/>
      <c r="R33" s="162"/>
    </row>
    <row r="34" spans="1:18" ht="14.55" customHeight="1" x14ac:dyDescent="0.3">
      <c r="A34" s="166"/>
      <c r="B34" s="5"/>
      <c r="C34" s="5"/>
      <c r="D34" s="4"/>
      <c r="E34" s="3"/>
      <c r="F34" s="19"/>
      <c r="G34" s="20"/>
      <c r="H34" s="28"/>
      <c r="I34" s="143"/>
      <c r="J34" s="144"/>
      <c r="K34" s="143"/>
      <c r="L34" s="144"/>
      <c r="M34" s="57"/>
      <c r="N34" s="6" t="s">
        <v>13</v>
      </c>
      <c r="O34" s="21"/>
      <c r="P34" s="160"/>
      <c r="Q34" s="161"/>
      <c r="R34" s="162"/>
    </row>
    <row r="35" spans="1:18" ht="14.55" customHeight="1" x14ac:dyDescent="0.3">
      <c r="A35" s="167"/>
      <c r="B35" s="148" t="s">
        <v>0</v>
      </c>
      <c r="C35" s="149"/>
      <c r="D35" s="149"/>
      <c r="E35" s="149"/>
      <c r="F35" s="149"/>
      <c r="G35" s="149"/>
      <c r="H35" s="149"/>
      <c r="I35" s="150">
        <f>SUM(I28:J34)</f>
        <v>2940</v>
      </c>
      <c r="J35" s="151"/>
      <c r="K35" s="150">
        <f>SUM(K28:L34)</f>
        <v>0</v>
      </c>
      <c r="L35" s="151"/>
      <c r="M35" s="10">
        <f>SUM(M33:M34)</f>
        <v>0</v>
      </c>
      <c r="N35" s="11" t="s">
        <v>13</v>
      </c>
      <c r="O35" s="9"/>
      <c r="P35" s="163"/>
      <c r="Q35" s="164"/>
      <c r="R35" s="165"/>
    </row>
    <row r="36" spans="1:18" ht="14.55" customHeight="1" x14ac:dyDescent="0.3">
      <c r="D36" s="35"/>
      <c r="E36" s="1"/>
      <c r="F36" s="1"/>
      <c r="G36" s="1"/>
      <c r="H36" s="1"/>
      <c r="M36" s="35"/>
    </row>
    <row r="37" spans="1:18" x14ac:dyDescent="0.3">
      <c r="E37" s="148" t="s">
        <v>33</v>
      </c>
      <c r="F37" s="149"/>
      <c r="G37" s="149"/>
      <c r="H37" s="149"/>
      <c r="I37" s="152" t="s">
        <v>19</v>
      </c>
      <c r="J37" s="153"/>
      <c r="K37" s="152" t="s">
        <v>20</v>
      </c>
      <c r="L37" s="153"/>
    </row>
    <row r="38" spans="1:18" s="36" customFormat="1" x14ac:dyDescent="0.3">
      <c r="E38" s="7"/>
      <c r="F38" s="7"/>
      <c r="G38" s="7"/>
      <c r="H38" s="7"/>
      <c r="I38" s="22">
        <f>I35</f>
        <v>2940</v>
      </c>
      <c r="J38" s="14" t="s">
        <v>12</v>
      </c>
      <c r="K38" s="22">
        <f>K35</f>
        <v>0</v>
      </c>
      <c r="L38" s="15" t="s">
        <v>12</v>
      </c>
    </row>
    <row r="39" spans="1:18" ht="24.45" customHeight="1" x14ac:dyDescent="0.3">
      <c r="E39" s="13"/>
      <c r="F39" s="13"/>
      <c r="G39" s="13"/>
      <c r="H39" s="13"/>
      <c r="I39" s="154">
        <f>I38+K38</f>
        <v>2940</v>
      </c>
      <c r="J39" s="155"/>
      <c r="K39" s="155"/>
      <c r="L39" s="156"/>
    </row>
    <row r="41" spans="1:18" s="8" customFormat="1" ht="30" customHeight="1" x14ac:dyDescent="0.3">
      <c r="A41" s="133" t="s">
        <v>30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5"/>
      <c r="L41" s="135"/>
      <c r="M41" s="135"/>
      <c r="N41" s="135"/>
      <c r="O41" s="134"/>
      <c r="P41" s="134"/>
      <c r="Q41" s="134"/>
      <c r="R41" s="136"/>
    </row>
    <row r="42" spans="1:18" s="12" customFormat="1" ht="14.55" customHeight="1" x14ac:dyDescent="0.3">
      <c r="A42" s="128" t="s">
        <v>1</v>
      </c>
      <c r="B42" s="137" t="s">
        <v>2</v>
      </c>
      <c r="C42" s="137" t="s">
        <v>3</v>
      </c>
      <c r="D42" s="137" t="s">
        <v>4</v>
      </c>
      <c r="E42" s="124" t="s">
        <v>5</v>
      </c>
      <c r="F42" s="138" t="s">
        <v>14</v>
      </c>
      <c r="G42" s="138" t="s">
        <v>15</v>
      </c>
      <c r="H42" s="119" t="s">
        <v>29</v>
      </c>
      <c r="I42" s="121" t="s">
        <v>6</v>
      </c>
      <c r="J42" s="122"/>
      <c r="K42" s="122"/>
      <c r="L42" s="123"/>
      <c r="M42" s="124" t="s">
        <v>7</v>
      </c>
      <c r="N42" s="125"/>
      <c r="O42" s="128" t="s">
        <v>8</v>
      </c>
      <c r="P42" s="128" t="s">
        <v>9</v>
      </c>
      <c r="Q42" s="128"/>
      <c r="R42" s="128"/>
    </row>
    <row r="43" spans="1:18" s="12" customFormat="1" ht="13.05" customHeight="1" x14ac:dyDescent="0.3">
      <c r="A43" s="128"/>
      <c r="B43" s="137"/>
      <c r="C43" s="137"/>
      <c r="D43" s="137"/>
      <c r="E43" s="126"/>
      <c r="F43" s="139"/>
      <c r="G43" s="139"/>
      <c r="H43" s="120"/>
      <c r="I43" s="121" t="s">
        <v>19</v>
      </c>
      <c r="J43" s="123"/>
      <c r="K43" s="121" t="s">
        <v>20</v>
      </c>
      <c r="L43" s="123"/>
      <c r="M43" s="126"/>
      <c r="N43" s="127"/>
      <c r="O43" s="128"/>
      <c r="P43" s="128"/>
      <c r="Q43" s="128"/>
      <c r="R43" s="128"/>
    </row>
    <row r="44" spans="1:18" ht="14.55" customHeight="1" x14ac:dyDescent="0.3">
      <c r="A44" s="140" t="s">
        <v>35</v>
      </c>
      <c r="B44" s="5">
        <v>0.33333333333333331</v>
      </c>
      <c r="C44" s="5"/>
      <c r="D44" s="4">
        <v>250066</v>
      </c>
      <c r="E44" s="3" t="s">
        <v>184</v>
      </c>
      <c r="F44" s="19">
        <v>430</v>
      </c>
      <c r="G44" s="20">
        <v>0.5</v>
      </c>
      <c r="H44" s="28" t="s">
        <v>130</v>
      </c>
      <c r="I44" s="143">
        <v>660</v>
      </c>
      <c r="J44" s="144"/>
      <c r="K44" s="143"/>
      <c r="L44" s="144"/>
      <c r="M44" s="57"/>
      <c r="N44" s="6" t="s">
        <v>13</v>
      </c>
      <c r="O44" s="21"/>
      <c r="P44" s="168"/>
      <c r="Q44" s="169"/>
      <c r="R44" s="170"/>
    </row>
    <row r="45" spans="1:18" ht="14.55" customHeight="1" x14ac:dyDescent="0.3">
      <c r="A45" s="166"/>
      <c r="B45" s="5"/>
      <c r="C45" s="5"/>
      <c r="D45" s="4">
        <v>250065</v>
      </c>
      <c r="E45" s="3" t="s">
        <v>195</v>
      </c>
      <c r="F45" s="19">
        <v>430</v>
      </c>
      <c r="G45" s="20">
        <v>0.5</v>
      </c>
      <c r="H45" s="28" t="s">
        <v>130</v>
      </c>
      <c r="I45" s="143">
        <v>751</v>
      </c>
      <c r="J45" s="144"/>
      <c r="K45" s="143"/>
      <c r="L45" s="144"/>
      <c r="M45" s="57"/>
      <c r="N45" s="6" t="s">
        <v>13</v>
      </c>
      <c r="O45" s="21"/>
      <c r="P45" s="168"/>
      <c r="Q45" s="169"/>
      <c r="R45" s="170"/>
    </row>
    <row r="46" spans="1:18" ht="14.55" customHeight="1" x14ac:dyDescent="0.3">
      <c r="A46" s="166"/>
      <c r="B46" s="5"/>
      <c r="C46" s="5"/>
      <c r="D46" s="4">
        <v>250064</v>
      </c>
      <c r="E46" s="3" t="s">
        <v>196</v>
      </c>
      <c r="F46" s="19">
        <v>430</v>
      </c>
      <c r="G46" s="20">
        <v>0.5</v>
      </c>
      <c r="H46" s="28" t="s">
        <v>130</v>
      </c>
      <c r="I46" s="143">
        <v>995</v>
      </c>
      <c r="J46" s="144"/>
      <c r="K46" s="143"/>
      <c r="L46" s="144"/>
      <c r="M46" s="57"/>
      <c r="N46" s="6" t="s">
        <v>13</v>
      </c>
      <c r="O46" s="21"/>
      <c r="P46" s="168"/>
      <c r="Q46" s="169"/>
      <c r="R46" s="170"/>
    </row>
    <row r="47" spans="1:18" ht="14.55" customHeight="1" x14ac:dyDescent="0.3">
      <c r="A47" s="166"/>
      <c r="B47" s="5"/>
      <c r="C47" s="5">
        <v>0.875</v>
      </c>
      <c r="D47" s="4">
        <v>250063</v>
      </c>
      <c r="E47" s="3" t="s">
        <v>143</v>
      </c>
      <c r="F47" s="19">
        <v>430</v>
      </c>
      <c r="G47" s="20">
        <v>0.5</v>
      </c>
      <c r="H47" s="28" t="s">
        <v>130</v>
      </c>
      <c r="I47" s="143">
        <v>59</v>
      </c>
      <c r="J47" s="144"/>
      <c r="K47" s="143"/>
      <c r="L47" s="144"/>
      <c r="M47" s="57"/>
      <c r="N47" s="6" t="s">
        <v>13</v>
      </c>
      <c r="O47" s="21"/>
      <c r="P47" s="168"/>
      <c r="Q47" s="169"/>
      <c r="R47" s="170"/>
    </row>
    <row r="48" spans="1:18" ht="14.55" customHeight="1" x14ac:dyDescent="0.3">
      <c r="A48" s="166"/>
      <c r="B48" s="5"/>
      <c r="C48" s="5"/>
      <c r="D48" s="4"/>
      <c r="E48" s="3"/>
      <c r="F48" s="19"/>
      <c r="G48" s="20"/>
      <c r="H48" s="28"/>
      <c r="I48" s="143"/>
      <c r="J48" s="144"/>
      <c r="K48" s="143"/>
      <c r="L48" s="144"/>
      <c r="M48" s="57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66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57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67"/>
      <c r="B50" s="148" t="s">
        <v>0</v>
      </c>
      <c r="C50" s="149"/>
      <c r="D50" s="149"/>
      <c r="E50" s="149"/>
      <c r="F50" s="149"/>
      <c r="G50" s="149"/>
      <c r="H50" s="149"/>
      <c r="I50" s="150">
        <f>SUM(I44:J49)</f>
        <v>2465</v>
      </c>
      <c r="J50" s="151"/>
      <c r="K50" s="150">
        <f>SUM(K44:L49)</f>
        <v>0</v>
      </c>
      <c r="L50" s="151"/>
      <c r="M50" s="10">
        <f>SUM(M48:M49)</f>
        <v>0</v>
      </c>
      <c r="N50" s="11" t="s">
        <v>13</v>
      </c>
      <c r="O50" s="9"/>
      <c r="P50" s="168"/>
      <c r="Q50" s="169"/>
      <c r="R50" s="170"/>
    </row>
    <row r="51" spans="1:18" ht="14.55" customHeight="1" x14ac:dyDescent="0.3">
      <c r="D51" s="35"/>
      <c r="E51" s="1"/>
      <c r="F51" s="1"/>
      <c r="G51" s="1"/>
      <c r="H51" s="1"/>
      <c r="M51" s="35"/>
    </row>
    <row r="52" spans="1:18" x14ac:dyDescent="0.3">
      <c r="E52" s="148" t="s">
        <v>34</v>
      </c>
      <c r="F52" s="149"/>
      <c r="G52" s="149"/>
      <c r="H52" s="149"/>
      <c r="I52" s="152" t="s">
        <v>19</v>
      </c>
      <c r="J52" s="153"/>
      <c r="K52" s="152" t="s">
        <v>20</v>
      </c>
      <c r="L52" s="153"/>
    </row>
    <row r="53" spans="1:18" s="36" customFormat="1" x14ac:dyDescent="0.3">
      <c r="E53" s="7"/>
      <c r="F53" s="7"/>
      <c r="G53" s="7"/>
      <c r="H53" s="7"/>
      <c r="I53" s="22">
        <f>I50</f>
        <v>2465</v>
      </c>
      <c r="J53" s="14" t="s">
        <v>12</v>
      </c>
      <c r="K53" s="22">
        <f>K50</f>
        <v>0</v>
      </c>
      <c r="L53" s="15" t="s">
        <v>12</v>
      </c>
    </row>
    <row r="54" spans="1:18" s="1" customFormat="1" ht="24.45" customHeight="1" x14ac:dyDescent="0.3">
      <c r="A54" s="35"/>
      <c r="B54" s="35"/>
      <c r="C54" s="35"/>
      <c r="E54" s="13"/>
      <c r="F54" s="13"/>
      <c r="G54" s="13"/>
      <c r="H54" s="13"/>
      <c r="I54" s="154">
        <f>I53+K53</f>
        <v>2465</v>
      </c>
      <c r="J54" s="155"/>
      <c r="K54" s="155"/>
      <c r="L54" s="156"/>
      <c r="N54" s="35"/>
      <c r="O54" s="35"/>
      <c r="P54" s="35"/>
      <c r="Q54" s="35"/>
      <c r="R54" s="35"/>
    </row>
    <row r="56" spans="1:18" s="8" customFormat="1" ht="30" customHeight="1" x14ac:dyDescent="0.3">
      <c r="A56" s="133" t="s">
        <v>22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5"/>
      <c r="L56" s="135"/>
      <c r="M56" s="135"/>
      <c r="N56" s="135"/>
      <c r="O56" s="134"/>
      <c r="P56" s="134"/>
      <c r="Q56" s="134"/>
      <c r="R56" s="136"/>
    </row>
    <row r="57" spans="1:18" s="12" customFormat="1" ht="14.55" customHeight="1" x14ac:dyDescent="0.3">
      <c r="A57" s="128" t="s">
        <v>1</v>
      </c>
      <c r="B57" s="137" t="s">
        <v>2</v>
      </c>
      <c r="C57" s="137" t="s">
        <v>3</v>
      </c>
      <c r="D57" s="137" t="s">
        <v>4</v>
      </c>
      <c r="E57" s="124" t="s">
        <v>5</v>
      </c>
      <c r="F57" s="138" t="s">
        <v>14</v>
      </c>
      <c r="G57" s="138" t="s">
        <v>15</v>
      </c>
      <c r="H57" s="119" t="s">
        <v>27</v>
      </c>
      <c r="I57" s="121" t="s">
        <v>6</v>
      </c>
      <c r="J57" s="122"/>
      <c r="K57" s="122"/>
      <c r="L57" s="123"/>
      <c r="M57" s="124" t="s">
        <v>7</v>
      </c>
      <c r="N57" s="125"/>
      <c r="O57" s="128" t="s">
        <v>8</v>
      </c>
      <c r="P57" s="128" t="s">
        <v>9</v>
      </c>
      <c r="Q57" s="128"/>
      <c r="R57" s="128"/>
    </row>
    <row r="58" spans="1:18" s="12" customFormat="1" ht="13.05" customHeight="1" x14ac:dyDescent="0.3">
      <c r="A58" s="128"/>
      <c r="B58" s="137"/>
      <c r="C58" s="137"/>
      <c r="D58" s="137"/>
      <c r="E58" s="126"/>
      <c r="F58" s="139"/>
      <c r="G58" s="139"/>
      <c r="H58" s="120"/>
      <c r="I58" s="121" t="s">
        <v>23</v>
      </c>
      <c r="J58" s="123"/>
      <c r="K58" s="121" t="s">
        <v>11</v>
      </c>
      <c r="L58" s="123"/>
      <c r="M58" s="126"/>
      <c r="N58" s="127"/>
      <c r="O58" s="128"/>
      <c r="P58" s="128"/>
      <c r="Q58" s="128"/>
      <c r="R58" s="128"/>
    </row>
    <row r="59" spans="1:18" ht="14.55" customHeight="1" x14ac:dyDescent="0.3">
      <c r="A59" s="140" t="s">
        <v>28</v>
      </c>
      <c r="B59" s="5">
        <v>0.33333333333333331</v>
      </c>
      <c r="C59" s="5">
        <v>0.70833333333333337</v>
      </c>
      <c r="D59" s="4">
        <v>250044</v>
      </c>
      <c r="E59" s="3" t="s">
        <v>197</v>
      </c>
      <c r="F59" s="19">
        <v>304</v>
      </c>
      <c r="G59" s="20">
        <v>0.7</v>
      </c>
      <c r="H59" s="28"/>
      <c r="I59" s="143"/>
      <c r="J59" s="144"/>
      <c r="K59" s="143">
        <v>750</v>
      </c>
      <c r="L59" s="144"/>
      <c r="M59" s="57"/>
      <c r="N59" s="6" t="s">
        <v>13</v>
      </c>
      <c r="O59" s="21"/>
      <c r="P59" s="168" t="s">
        <v>50</v>
      </c>
      <c r="Q59" s="169"/>
      <c r="R59" s="170"/>
    </row>
    <row r="60" spans="1:18" ht="14.55" customHeight="1" x14ac:dyDescent="0.3">
      <c r="A60" s="141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57"/>
      <c r="N60" s="6" t="s">
        <v>13</v>
      </c>
      <c r="O60" s="21"/>
      <c r="P60" s="168"/>
      <c r="Q60" s="169"/>
      <c r="R60" s="170"/>
    </row>
    <row r="61" spans="1:18" ht="14.55" customHeight="1" x14ac:dyDescent="0.3">
      <c r="A61" s="141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57"/>
      <c r="N61" s="6" t="s">
        <v>13</v>
      </c>
      <c r="O61" s="21"/>
      <c r="P61" s="168"/>
      <c r="Q61" s="169"/>
      <c r="R61" s="170"/>
    </row>
    <row r="62" spans="1:18" ht="14.55" customHeight="1" x14ac:dyDescent="0.3">
      <c r="A62" s="141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57"/>
      <c r="N62" s="6" t="s">
        <v>13</v>
      </c>
      <c r="O62" s="21"/>
      <c r="P62" s="168"/>
      <c r="Q62" s="169"/>
      <c r="R62" s="170"/>
    </row>
    <row r="63" spans="1:18" ht="14.55" customHeight="1" x14ac:dyDescent="0.3">
      <c r="A63" s="141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57"/>
      <c r="N63" s="6" t="s">
        <v>13</v>
      </c>
      <c r="O63" s="21"/>
      <c r="P63" s="168"/>
      <c r="Q63" s="169"/>
      <c r="R63" s="170"/>
    </row>
    <row r="64" spans="1:18" ht="14.55" customHeight="1" x14ac:dyDescent="0.3">
      <c r="A64" s="142"/>
      <c r="B64" s="148" t="s">
        <v>0</v>
      </c>
      <c r="C64" s="149"/>
      <c r="D64" s="149"/>
      <c r="E64" s="149"/>
      <c r="F64" s="149"/>
      <c r="G64" s="149"/>
      <c r="H64" s="171"/>
      <c r="I64" s="150">
        <f>SUM(I59:J63)</f>
        <v>0</v>
      </c>
      <c r="J64" s="151"/>
      <c r="K64" s="150">
        <f>SUM(K59:L63)</f>
        <v>750</v>
      </c>
      <c r="L64" s="151"/>
      <c r="M64" s="10">
        <f>SUM(M59:M63)</f>
        <v>0</v>
      </c>
      <c r="N64" s="11" t="s">
        <v>13</v>
      </c>
      <c r="O64" s="9"/>
      <c r="P64" s="168"/>
      <c r="Q64" s="169"/>
      <c r="R64" s="170"/>
    </row>
    <row r="65" spans="1:18" ht="14.55" customHeight="1" x14ac:dyDescent="0.3">
      <c r="A65" s="140" t="s">
        <v>24</v>
      </c>
      <c r="B65" s="5">
        <v>0.33333333333333331</v>
      </c>
      <c r="C65" s="5">
        <v>0.70833333333333337</v>
      </c>
      <c r="D65" s="4">
        <v>250044</v>
      </c>
      <c r="E65" s="3" t="s">
        <v>169</v>
      </c>
      <c r="F65" s="19">
        <v>304</v>
      </c>
      <c r="G65" s="20">
        <v>0.7</v>
      </c>
      <c r="H65" s="28"/>
      <c r="I65" s="143"/>
      <c r="J65" s="144"/>
      <c r="K65" s="143">
        <v>550</v>
      </c>
      <c r="L65" s="144"/>
      <c r="M65" s="57"/>
      <c r="N65" s="6" t="s">
        <v>13</v>
      </c>
      <c r="O65" s="21"/>
      <c r="P65" s="157" t="s">
        <v>51</v>
      </c>
      <c r="Q65" s="158"/>
      <c r="R65" s="159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57"/>
      <c r="N66" s="6" t="s">
        <v>13</v>
      </c>
      <c r="O66" s="21"/>
      <c r="P66" s="160"/>
      <c r="Q66" s="161"/>
      <c r="R66" s="162"/>
    </row>
    <row r="67" spans="1:18" ht="14.55" hidden="1" customHeight="1" x14ac:dyDescent="0.3">
      <c r="A67" s="166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57"/>
      <c r="N67" s="6" t="s">
        <v>13</v>
      </c>
      <c r="O67" s="21"/>
      <c r="P67" s="160"/>
      <c r="Q67" s="161"/>
      <c r="R67" s="162"/>
    </row>
    <row r="68" spans="1:18" ht="14.55" hidden="1" customHeight="1" x14ac:dyDescent="0.3">
      <c r="A68" s="166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57"/>
      <c r="N68" s="6" t="s">
        <v>13</v>
      </c>
      <c r="O68" s="21"/>
      <c r="P68" s="160"/>
      <c r="Q68" s="161"/>
      <c r="R68" s="162"/>
    </row>
    <row r="69" spans="1:18" ht="14.55" customHeight="1" x14ac:dyDescent="0.3">
      <c r="A69" s="166"/>
      <c r="B69" s="5"/>
      <c r="C69" s="5"/>
      <c r="D69" s="4"/>
      <c r="E69" s="3"/>
      <c r="F69" s="19"/>
      <c r="G69" s="20"/>
      <c r="H69" s="28"/>
      <c r="I69" s="143"/>
      <c r="J69" s="144"/>
      <c r="K69" s="143"/>
      <c r="L69" s="144"/>
      <c r="M69" s="57"/>
      <c r="N69" s="6" t="s">
        <v>13</v>
      </c>
      <c r="O69" s="21"/>
      <c r="P69" s="160"/>
      <c r="Q69" s="161"/>
      <c r="R69" s="162"/>
    </row>
    <row r="70" spans="1:18" ht="14.55" customHeight="1" x14ac:dyDescent="0.3">
      <c r="A70" s="167"/>
      <c r="B70" s="148" t="s">
        <v>0</v>
      </c>
      <c r="C70" s="149"/>
      <c r="D70" s="149"/>
      <c r="E70" s="149"/>
      <c r="F70" s="149"/>
      <c r="G70" s="149"/>
      <c r="H70" s="171"/>
      <c r="I70" s="150">
        <f>SUM(I65:J69)</f>
        <v>0</v>
      </c>
      <c r="J70" s="151"/>
      <c r="K70" s="150">
        <f>SUM(K65:L69)</f>
        <v>550</v>
      </c>
      <c r="L70" s="151"/>
      <c r="M70" s="10">
        <f>SUM(M65:M69)</f>
        <v>0</v>
      </c>
      <c r="N70" s="11" t="s">
        <v>13</v>
      </c>
      <c r="O70" s="9"/>
      <c r="P70" s="163"/>
      <c r="Q70" s="164"/>
      <c r="R70" s="165"/>
    </row>
    <row r="71" spans="1:18" ht="14.55" customHeight="1" x14ac:dyDescent="0.3">
      <c r="A71" s="140" t="s">
        <v>25</v>
      </c>
      <c r="B71" s="5"/>
      <c r="C71" s="5"/>
      <c r="D71" s="4"/>
      <c r="E71" s="3"/>
      <c r="F71" s="19"/>
      <c r="G71" s="20"/>
      <c r="H71" s="28"/>
      <c r="I71" s="143"/>
      <c r="J71" s="144"/>
      <c r="K71" s="143"/>
      <c r="L71" s="144"/>
      <c r="M71" s="57"/>
      <c r="N71" s="6" t="s">
        <v>13</v>
      </c>
      <c r="O71" s="21"/>
      <c r="P71" s="145" t="s">
        <v>53</v>
      </c>
      <c r="Q71" s="169"/>
      <c r="R71" s="170"/>
    </row>
    <row r="72" spans="1:18" ht="14.55" hidden="1" customHeight="1" x14ac:dyDescent="0.3">
      <c r="A72" s="141"/>
      <c r="B72" s="5"/>
      <c r="C72" s="5"/>
      <c r="D72" s="4"/>
      <c r="E72" s="3"/>
      <c r="F72" s="19"/>
      <c r="G72" s="20"/>
      <c r="H72" s="28"/>
      <c r="I72" s="143"/>
      <c r="J72" s="144"/>
      <c r="K72" s="143"/>
      <c r="L72" s="144"/>
      <c r="M72" s="57"/>
      <c r="N72" s="6" t="s">
        <v>13</v>
      </c>
      <c r="O72" s="21"/>
      <c r="P72" s="168"/>
      <c r="Q72" s="169"/>
      <c r="R72" s="170"/>
    </row>
    <row r="73" spans="1:18" ht="14.55" hidden="1" customHeight="1" x14ac:dyDescent="0.3">
      <c r="A73" s="141"/>
      <c r="B73" s="5"/>
      <c r="C73" s="5"/>
      <c r="D73" s="4"/>
      <c r="E73" s="3"/>
      <c r="F73" s="19"/>
      <c r="G73" s="20"/>
      <c r="H73" s="28"/>
      <c r="I73" s="143"/>
      <c r="J73" s="144"/>
      <c r="K73" s="143"/>
      <c r="L73" s="144"/>
      <c r="M73" s="57"/>
      <c r="N73" s="6" t="s">
        <v>13</v>
      </c>
      <c r="O73" s="21"/>
      <c r="P73" s="168"/>
      <c r="Q73" s="169"/>
      <c r="R73" s="170"/>
    </row>
    <row r="74" spans="1:18" ht="14.55" customHeight="1" x14ac:dyDescent="0.3">
      <c r="A74" s="141"/>
      <c r="B74" s="5"/>
      <c r="C74" s="5"/>
      <c r="D74" s="4"/>
      <c r="E74" s="3"/>
      <c r="F74" s="19"/>
      <c r="G74" s="20"/>
      <c r="H74" s="28"/>
      <c r="I74" s="143"/>
      <c r="J74" s="144"/>
      <c r="K74" s="143"/>
      <c r="L74" s="144"/>
      <c r="M74" s="57"/>
      <c r="N74" s="6" t="s">
        <v>13</v>
      </c>
      <c r="O74" s="21"/>
      <c r="P74" s="168"/>
      <c r="Q74" s="169"/>
      <c r="R74" s="170"/>
    </row>
    <row r="75" spans="1:18" ht="14.55" customHeight="1" x14ac:dyDescent="0.3">
      <c r="A75" s="141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57"/>
      <c r="N75" s="6" t="s">
        <v>13</v>
      </c>
      <c r="O75" s="21"/>
      <c r="P75" s="168"/>
      <c r="Q75" s="169"/>
      <c r="R75" s="170"/>
    </row>
    <row r="76" spans="1:18" ht="14.55" customHeight="1" x14ac:dyDescent="0.3">
      <c r="A76" s="142"/>
      <c r="B76" s="148" t="s">
        <v>0</v>
      </c>
      <c r="C76" s="149"/>
      <c r="D76" s="149"/>
      <c r="E76" s="149"/>
      <c r="F76" s="149"/>
      <c r="G76" s="149"/>
      <c r="H76" s="149"/>
      <c r="I76" s="150">
        <f>SUM(I71:J75)</f>
        <v>0</v>
      </c>
      <c r="J76" s="151"/>
      <c r="K76" s="150">
        <f>SUM(K71:L75)</f>
        <v>0</v>
      </c>
      <c r="L76" s="151"/>
      <c r="M76" s="10">
        <f>SUM(M71:M75)</f>
        <v>0</v>
      </c>
      <c r="N76" s="11" t="s">
        <v>13</v>
      </c>
      <c r="O76" s="9"/>
      <c r="P76" s="168"/>
      <c r="Q76" s="169"/>
      <c r="R76" s="170"/>
    </row>
    <row r="78" spans="1:18" x14ac:dyDescent="0.3">
      <c r="E78" s="148" t="s">
        <v>26</v>
      </c>
      <c r="F78" s="149"/>
      <c r="G78" s="149"/>
      <c r="H78" s="149"/>
      <c r="I78" s="152" t="s">
        <v>23</v>
      </c>
      <c r="J78" s="153"/>
      <c r="K78" s="152" t="s">
        <v>11</v>
      </c>
      <c r="L78" s="153"/>
    </row>
    <row r="79" spans="1:18" s="36" customFormat="1" x14ac:dyDescent="0.3">
      <c r="E79" s="7"/>
      <c r="F79" s="7"/>
      <c r="G79" s="7"/>
      <c r="H79" s="7"/>
      <c r="I79" s="22">
        <f>I70+I76</f>
        <v>0</v>
      </c>
      <c r="J79" s="14" t="s">
        <v>12</v>
      </c>
      <c r="K79" s="22">
        <f>K70+K76</f>
        <v>550</v>
      </c>
      <c r="L79" s="15" t="s">
        <v>12</v>
      </c>
    </row>
    <row r="80" spans="1:18" ht="24.45" customHeight="1" x14ac:dyDescent="0.3">
      <c r="E80" s="13"/>
      <c r="F80" s="13"/>
      <c r="G80" s="13"/>
      <c r="H80" s="13"/>
      <c r="I80" s="154">
        <f>I79+K79</f>
        <v>550</v>
      </c>
      <c r="J80" s="155"/>
      <c r="K80" s="155"/>
      <c r="L80" s="156"/>
    </row>
    <row r="82" spans="1:18" s="8" customFormat="1" ht="30" customHeight="1" x14ac:dyDescent="0.3">
      <c r="A82" s="133" t="s">
        <v>131</v>
      </c>
      <c r="B82" s="134"/>
      <c r="C82" s="134"/>
      <c r="D82" s="134"/>
      <c r="E82" s="134"/>
      <c r="F82" s="134"/>
      <c r="G82" s="134"/>
      <c r="H82" s="134"/>
      <c r="I82" s="134"/>
      <c r="J82" s="134"/>
      <c r="K82" s="135"/>
      <c r="L82" s="135"/>
      <c r="M82" s="135"/>
      <c r="N82" s="135"/>
      <c r="O82" s="134"/>
      <c r="P82" s="134"/>
      <c r="Q82" s="134"/>
      <c r="R82" s="136"/>
    </row>
    <row r="83" spans="1:18" s="12" customFormat="1" ht="14.55" customHeight="1" x14ac:dyDescent="0.3">
      <c r="A83" s="128" t="s">
        <v>1</v>
      </c>
      <c r="B83" s="137" t="s">
        <v>2</v>
      </c>
      <c r="C83" s="137" t="s">
        <v>3</v>
      </c>
      <c r="D83" s="137" t="s">
        <v>4</v>
      </c>
      <c r="E83" s="124" t="s">
        <v>5</v>
      </c>
      <c r="F83" s="138" t="s">
        <v>14</v>
      </c>
      <c r="G83" s="138" t="s">
        <v>15</v>
      </c>
      <c r="H83" s="119" t="s">
        <v>27</v>
      </c>
      <c r="I83" s="121" t="s">
        <v>6</v>
      </c>
      <c r="J83" s="122"/>
      <c r="K83" s="122"/>
      <c r="L83" s="123"/>
      <c r="M83" s="124" t="s">
        <v>7</v>
      </c>
      <c r="N83" s="125"/>
      <c r="O83" s="128" t="s">
        <v>8</v>
      </c>
      <c r="P83" s="128" t="s">
        <v>9</v>
      </c>
      <c r="Q83" s="128"/>
      <c r="R83" s="128"/>
    </row>
    <row r="84" spans="1:18" s="12" customFormat="1" ht="13.05" customHeight="1" x14ac:dyDescent="0.3">
      <c r="A84" s="128"/>
      <c r="B84" s="137"/>
      <c r="C84" s="137"/>
      <c r="D84" s="137"/>
      <c r="E84" s="126"/>
      <c r="F84" s="139"/>
      <c r="G84" s="139"/>
      <c r="H84" s="120"/>
      <c r="I84" s="121" t="s">
        <v>23</v>
      </c>
      <c r="J84" s="123"/>
      <c r="K84" s="121" t="s">
        <v>11</v>
      </c>
      <c r="L84" s="123"/>
      <c r="M84" s="126"/>
      <c r="N84" s="127"/>
      <c r="O84" s="128"/>
      <c r="P84" s="128"/>
      <c r="Q84" s="128"/>
      <c r="R84" s="128"/>
    </row>
    <row r="85" spans="1:18" ht="14.55" customHeight="1" x14ac:dyDescent="0.3">
      <c r="A85" s="140" t="s">
        <v>132</v>
      </c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57"/>
      <c r="N85" s="6" t="s">
        <v>13</v>
      </c>
      <c r="O85" s="21"/>
      <c r="P85" s="157"/>
      <c r="Q85" s="158"/>
      <c r="R85" s="159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57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57"/>
      <c r="N87" s="6" t="s">
        <v>13</v>
      </c>
      <c r="O87" s="21"/>
      <c r="P87" s="160"/>
      <c r="Q87" s="161"/>
      <c r="R87" s="162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57"/>
      <c r="N88" s="6" t="s">
        <v>13</v>
      </c>
      <c r="O88" s="21"/>
      <c r="P88" s="160"/>
      <c r="Q88" s="161"/>
      <c r="R88" s="162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57"/>
      <c r="N89" s="6" t="s">
        <v>13</v>
      </c>
      <c r="O89" s="21"/>
      <c r="P89" s="160"/>
      <c r="Q89" s="161"/>
      <c r="R89" s="162"/>
    </row>
    <row r="90" spans="1:18" ht="14.55" customHeight="1" x14ac:dyDescent="0.3">
      <c r="A90" s="166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57"/>
      <c r="N90" s="6" t="s">
        <v>13</v>
      </c>
      <c r="O90" s="21"/>
      <c r="P90" s="160"/>
      <c r="Q90" s="161"/>
      <c r="R90" s="162"/>
    </row>
    <row r="91" spans="1:18" ht="14.55" customHeight="1" x14ac:dyDescent="0.3">
      <c r="A91" s="166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57"/>
      <c r="N91" s="6" t="s">
        <v>13</v>
      </c>
      <c r="O91" s="21"/>
      <c r="P91" s="160"/>
      <c r="Q91" s="161"/>
      <c r="R91" s="162"/>
    </row>
    <row r="92" spans="1:18" ht="14.55" customHeight="1" x14ac:dyDescent="0.3">
      <c r="A92" s="166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57"/>
      <c r="N92" s="6" t="s">
        <v>13</v>
      </c>
      <c r="O92" s="21"/>
      <c r="P92" s="160"/>
      <c r="Q92" s="161"/>
      <c r="R92" s="162"/>
    </row>
    <row r="93" spans="1:18" ht="14.55" customHeight="1" x14ac:dyDescent="0.3">
      <c r="A93" s="166"/>
      <c r="B93" s="5"/>
      <c r="C93" s="5"/>
      <c r="D93" s="4"/>
      <c r="E93" s="3"/>
      <c r="F93" s="19"/>
      <c r="G93" s="20"/>
      <c r="H93" s="28"/>
      <c r="I93" s="143"/>
      <c r="J93" s="144"/>
      <c r="K93" s="143"/>
      <c r="L93" s="144"/>
      <c r="M93" s="57"/>
      <c r="N93" s="6" t="s">
        <v>13</v>
      </c>
      <c r="O93" s="21"/>
      <c r="P93" s="160"/>
      <c r="Q93" s="161"/>
      <c r="R93" s="162"/>
    </row>
    <row r="94" spans="1:18" ht="14.55" customHeight="1" x14ac:dyDescent="0.3">
      <c r="A94" s="166"/>
      <c r="B94" s="5"/>
      <c r="C94" s="5"/>
      <c r="D94" s="4"/>
      <c r="E94" s="3"/>
      <c r="F94" s="19"/>
      <c r="G94" s="20"/>
      <c r="H94" s="28"/>
      <c r="I94" s="143"/>
      <c r="J94" s="144"/>
      <c r="K94" s="143"/>
      <c r="L94" s="144"/>
      <c r="M94" s="57"/>
      <c r="N94" s="6" t="s">
        <v>13</v>
      </c>
      <c r="O94" s="21"/>
      <c r="P94" s="160"/>
      <c r="Q94" s="161"/>
      <c r="R94" s="162"/>
    </row>
    <row r="95" spans="1:18" ht="14.55" customHeight="1" x14ac:dyDescent="0.3">
      <c r="A95" s="167"/>
      <c r="B95" s="148" t="s">
        <v>0</v>
      </c>
      <c r="C95" s="149"/>
      <c r="D95" s="149"/>
      <c r="E95" s="149"/>
      <c r="F95" s="149"/>
      <c r="G95" s="149"/>
      <c r="H95" s="149"/>
      <c r="I95" s="150">
        <f ca="1">SUM(I85:J95)</f>
        <v>0</v>
      </c>
      <c r="J95" s="151"/>
      <c r="K95" s="150">
        <f ca="1">SUM(K85:L95)</f>
        <v>0</v>
      </c>
      <c r="L95" s="151"/>
      <c r="M95" s="10">
        <f>SUM(M90:M94)</f>
        <v>0</v>
      </c>
      <c r="N95" s="11" t="s">
        <v>13</v>
      </c>
      <c r="O95" s="9"/>
      <c r="P95" s="163"/>
      <c r="Q95" s="164"/>
      <c r="R95" s="165"/>
    </row>
    <row r="97" spans="1:18" s="1" customFormat="1" x14ac:dyDescent="0.3">
      <c r="A97" s="35"/>
      <c r="B97" s="35"/>
      <c r="C97" s="35"/>
      <c r="E97" s="148" t="s">
        <v>26</v>
      </c>
      <c r="F97" s="149"/>
      <c r="G97" s="149"/>
      <c r="H97" s="149"/>
      <c r="I97" s="152" t="s">
        <v>23</v>
      </c>
      <c r="J97" s="153"/>
      <c r="K97" s="172" t="s">
        <v>11</v>
      </c>
      <c r="L97" s="153"/>
      <c r="N97" s="35"/>
      <c r="O97" s="35"/>
      <c r="P97" s="35"/>
      <c r="Q97" s="35"/>
      <c r="R97" s="35"/>
    </row>
    <row r="98" spans="1:18" s="36" customFormat="1" x14ac:dyDescent="0.3">
      <c r="E98" s="7"/>
      <c r="F98" s="7"/>
      <c r="G98" s="7"/>
      <c r="H98" s="7"/>
      <c r="I98" s="22">
        <f ca="1">I95</f>
        <v>0</v>
      </c>
      <c r="J98" s="14" t="s">
        <v>12</v>
      </c>
      <c r="K98" s="22">
        <f ca="1">K95</f>
        <v>0</v>
      </c>
      <c r="L98" s="15" t="s">
        <v>12</v>
      </c>
    </row>
    <row r="99" spans="1:18" s="1" customFormat="1" ht="24.45" customHeight="1" x14ac:dyDescent="0.3">
      <c r="A99" s="35"/>
      <c r="B99" s="35"/>
      <c r="C99" s="35"/>
      <c r="E99" s="13"/>
      <c r="F99" s="13"/>
      <c r="G99" s="13"/>
      <c r="H99" s="13"/>
      <c r="I99" s="154">
        <f ca="1">I98+K98</f>
        <v>0</v>
      </c>
      <c r="J99" s="155"/>
      <c r="K99" s="155"/>
      <c r="L99" s="156"/>
      <c r="N99" s="35"/>
      <c r="O99" s="35"/>
      <c r="P99" s="35"/>
      <c r="Q99" s="35"/>
      <c r="R99" s="35"/>
    </row>
  </sheetData>
  <mergeCells count="236">
    <mergeCell ref="I90:J90"/>
    <mergeCell ref="K90:L90"/>
    <mergeCell ref="I99:L99"/>
    <mergeCell ref="I94:J94"/>
    <mergeCell ref="K94:L94"/>
    <mergeCell ref="B95:H95"/>
    <mergeCell ref="I95:J95"/>
    <mergeCell ref="K95:L95"/>
    <mergeCell ref="E97:H97"/>
    <mergeCell ref="I97:J97"/>
    <mergeCell ref="K97:L97"/>
    <mergeCell ref="A85:A95"/>
    <mergeCell ref="I85:J85"/>
    <mergeCell ref="K85:L85"/>
    <mergeCell ref="P85:R95"/>
    <mergeCell ref="I86:J86"/>
    <mergeCell ref="K86:L86"/>
    <mergeCell ref="I87:J87"/>
    <mergeCell ref="F83:F84"/>
    <mergeCell ref="G83:G84"/>
    <mergeCell ref="H83:H84"/>
    <mergeCell ref="I83:L83"/>
    <mergeCell ref="M83:N84"/>
    <mergeCell ref="O83:O84"/>
    <mergeCell ref="I91:J91"/>
    <mergeCell ref="K91:L91"/>
    <mergeCell ref="I92:J92"/>
    <mergeCell ref="K92:L92"/>
    <mergeCell ref="I93:J93"/>
    <mergeCell ref="K93:L93"/>
    <mergeCell ref="K87:L87"/>
    <mergeCell ref="I88:J88"/>
    <mergeCell ref="K88:L88"/>
    <mergeCell ref="I89:J89"/>
    <mergeCell ref="K89:L89"/>
    <mergeCell ref="E78:H78"/>
    <mergeCell ref="I78:J78"/>
    <mergeCell ref="K78:L78"/>
    <mergeCell ref="I80:L80"/>
    <mergeCell ref="A82:R82"/>
    <mergeCell ref="A83:A84"/>
    <mergeCell ref="B83:B84"/>
    <mergeCell ref="C83:C84"/>
    <mergeCell ref="D83:D84"/>
    <mergeCell ref="E83:E84"/>
    <mergeCell ref="P83:R84"/>
    <mergeCell ref="I84:J84"/>
    <mergeCell ref="K84:L84"/>
    <mergeCell ref="P71:R76"/>
    <mergeCell ref="I72:J72"/>
    <mergeCell ref="K72:L72"/>
    <mergeCell ref="I73:J73"/>
    <mergeCell ref="K73:L73"/>
    <mergeCell ref="I74:J74"/>
    <mergeCell ref="K74:L74"/>
    <mergeCell ref="I75:J75"/>
    <mergeCell ref="K75:L75"/>
    <mergeCell ref="I76:J76"/>
    <mergeCell ref="B70:H70"/>
    <mergeCell ref="I70:J70"/>
    <mergeCell ref="K70:L70"/>
    <mergeCell ref="A71:A76"/>
    <mergeCell ref="I71:J71"/>
    <mergeCell ref="K71:L71"/>
    <mergeCell ref="B76:H76"/>
    <mergeCell ref="K76:L76"/>
    <mergeCell ref="A65:A70"/>
    <mergeCell ref="I65:J65"/>
    <mergeCell ref="K65:L65"/>
    <mergeCell ref="P65:R70"/>
    <mergeCell ref="I66:J66"/>
    <mergeCell ref="K66:L66"/>
    <mergeCell ref="I67:J67"/>
    <mergeCell ref="K67:L67"/>
    <mergeCell ref="I68:J68"/>
    <mergeCell ref="K68:L68"/>
    <mergeCell ref="K61:L61"/>
    <mergeCell ref="I62:J62"/>
    <mergeCell ref="K62:L62"/>
    <mergeCell ref="I63:J63"/>
    <mergeCell ref="K63:L63"/>
    <mergeCell ref="I69:J69"/>
    <mergeCell ref="K69:L69"/>
    <mergeCell ref="B64:H64"/>
    <mergeCell ref="I64:J64"/>
    <mergeCell ref="K64:L64"/>
    <mergeCell ref="P57:R58"/>
    <mergeCell ref="I58:J58"/>
    <mergeCell ref="K58:L58"/>
    <mergeCell ref="A59:A64"/>
    <mergeCell ref="I59:J59"/>
    <mergeCell ref="K59:L59"/>
    <mergeCell ref="P59:R64"/>
    <mergeCell ref="I60:J60"/>
    <mergeCell ref="K60:L60"/>
    <mergeCell ref="I61:J61"/>
    <mergeCell ref="F57:F58"/>
    <mergeCell ref="G57:G58"/>
    <mergeCell ref="H57:H58"/>
    <mergeCell ref="I57:L57"/>
    <mergeCell ref="M57:N58"/>
    <mergeCell ref="O57:O58"/>
    <mergeCell ref="E52:H52"/>
    <mergeCell ref="I52:J52"/>
    <mergeCell ref="K52:L52"/>
    <mergeCell ref="I54:L54"/>
    <mergeCell ref="A56:R56"/>
    <mergeCell ref="A57:A58"/>
    <mergeCell ref="B57:B58"/>
    <mergeCell ref="C57:C58"/>
    <mergeCell ref="D57:D58"/>
    <mergeCell ref="E57:E58"/>
    <mergeCell ref="K48:L48"/>
    <mergeCell ref="I49:J49"/>
    <mergeCell ref="K49:L49"/>
    <mergeCell ref="B50:H50"/>
    <mergeCell ref="I50:J50"/>
    <mergeCell ref="K50:L50"/>
    <mergeCell ref="P48:R50"/>
    <mergeCell ref="I48:J48"/>
    <mergeCell ref="A44:A50"/>
    <mergeCell ref="I44:J44"/>
    <mergeCell ref="K44:L44"/>
    <mergeCell ref="P44:R47"/>
    <mergeCell ref="I45:J45"/>
    <mergeCell ref="K45:L45"/>
    <mergeCell ref="I46:J46"/>
    <mergeCell ref="K46:L46"/>
    <mergeCell ref="I47:J47"/>
    <mergeCell ref="K47:L47"/>
    <mergeCell ref="O42:O43"/>
    <mergeCell ref="P42:R43"/>
    <mergeCell ref="I43:J43"/>
    <mergeCell ref="K43:L43"/>
    <mergeCell ref="I39:L39"/>
    <mergeCell ref="A41:R41"/>
    <mergeCell ref="A42:A43"/>
    <mergeCell ref="B42:B43"/>
    <mergeCell ref="C42:C43"/>
    <mergeCell ref="D42:D43"/>
    <mergeCell ref="E42:E43"/>
    <mergeCell ref="F42:F43"/>
    <mergeCell ref="G42:G43"/>
    <mergeCell ref="H42:H43"/>
    <mergeCell ref="E37:H37"/>
    <mergeCell ref="I37:J37"/>
    <mergeCell ref="K37:L37"/>
    <mergeCell ref="I33:J33"/>
    <mergeCell ref="K33:L33"/>
    <mergeCell ref="I34:J34"/>
    <mergeCell ref="K34:L34"/>
    <mergeCell ref="I42:L42"/>
    <mergeCell ref="M42:N43"/>
    <mergeCell ref="K30:L30"/>
    <mergeCell ref="I31:J31"/>
    <mergeCell ref="K31:L31"/>
    <mergeCell ref="I32:J32"/>
    <mergeCell ref="K32:L32"/>
    <mergeCell ref="P26:R27"/>
    <mergeCell ref="I27:J27"/>
    <mergeCell ref="K27:L27"/>
    <mergeCell ref="A28:A35"/>
    <mergeCell ref="I28:J28"/>
    <mergeCell ref="K28:L28"/>
    <mergeCell ref="P28:R35"/>
    <mergeCell ref="I29:J29"/>
    <mergeCell ref="K29:L29"/>
    <mergeCell ref="I30:J30"/>
    <mergeCell ref="F26:F27"/>
    <mergeCell ref="G26:G27"/>
    <mergeCell ref="H26:H27"/>
    <mergeCell ref="I26:L26"/>
    <mergeCell ref="M26:N27"/>
    <mergeCell ref="O26:O27"/>
    <mergeCell ref="B35:H35"/>
    <mergeCell ref="I35:J35"/>
    <mergeCell ref="K35:L35"/>
    <mergeCell ref="E21:H21"/>
    <mergeCell ref="I21:J21"/>
    <mergeCell ref="K21:L21"/>
    <mergeCell ref="I23:L23"/>
    <mergeCell ref="A25:R25"/>
    <mergeCell ref="A26:A27"/>
    <mergeCell ref="B26:B27"/>
    <mergeCell ref="C26:C27"/>
    <mergeCell ref="D26:D27"/>
    <mergeCell ref="E26:E27"/>
    <mergeCell ref="P11:R19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A11:A19"/>
    <mergeCell ref="I11:J11"/>
    <mergeCell ref="K11:L11"/>
    <mergeCell ref="K16:L16"/>
    <mergeCell ref="I17:J17"/>
    <mergeCell ref="A7:A10"/>
    <mergeCell ref="I7:J7"/>
    <mergeCell ref="K7:L7"/>
    <mergeCell ref="K17:L17"/>
    <mergeCell ref="I18:J18"/>
    <mergeCell ref="K18:L18"/>
    <mergeCell ref="B19:H19"/>
    <mergeCell ref="I19:J19"/>
    <mergeCell ref="K19:L19"/>
    <mergeCell ref="P7:R10"/>
    <mergeCell ref="I8:J8"/>
    <mergeCell ref="K8:L8"/>
    <mergeCell ref="I9:J9"/>
    <mergeCell ref="K9:L9"/>
    <mergeCell ref="H5:H6"/>
    <mergeCell ref="I5:L5"/>
    <mergeCell ref="M5:N6"/>
    <mergeCell ref="O5:O6"/>
    <mergeCell ref="P5:R6"/>
    <mergeCell ref="I6:J6"/>
    <mergeCell ref="K6:L6"/>
    <mergeCell ref="B10:H10"/>
    <mergeCell ref="I10:J10"/>
    <mergeCell ref="K10:L10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6"/>
  <sheetViews>
    <sheetView topLeftCell="A22" zoomScale="85" zoomScaleNormal="85" workbookViewId="0">
      <selection activeCell="B78" sqref="B78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45926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/>
      <c r="C7" s="5"/>
      <c r="D7" s="4"/>
      <c r="E7" s="3"/>
      <c r="F7" s="19"/>
      <c r="G7" s="20"/>
      <c r="H7" s="28"/>
      <c r="I7" s="143"/>
      <c r="J7" s="144"/>
      <c r="K7" s="143"/>
      <c r="L7" s="144"/>
      <c r="M7" s="58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"/>
      <c r="E8" s="3"/>
      <c r="F8" s="19"/>
      <c r="G8" s="20"/>
      <c r="H8" s="28"/>
      <c r="I8" s="143"/>
      <c r="J8" s="144"/>
      <c r="K8" s="143"/>
      <c r="L8" s="144"/>
      <c r="M8" s="58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8"/>
      <c r="I9" s="143"/>
      <c r="J9" s="144"/>
      <c r="K9" s="143"/>
      <c r="L9" s="144"/>
      <c r="M9" s="58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58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1"/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58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58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58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58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0</v>
      </c>
      <c r="J15" s="151"/>
      <c r="K15" s="150">
        <f>SUM(K7:L14)</f>
        <v>0</v>
      </c>
      <c r="L15" s="151"/>
      <c r="M15" s="10">
        <f>SUM(M7:M14)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>
        <v>0.33333333333333331</v>
      </c>
      <c r="C16" s="5"/>
      <c r="D16" s="4">
        <v>250062</v>
      </c>
      <c r="E16" s="3" t="s">
        <v>199</v>
      </c>
      <c r="F16" s="19">
        <v>304</v>
      </c>
      <c r="G16" s="20">
        <v>0.6</v>
      </c>
      <c r="H16" s="28" t="s">
        <v>58</v>
      </c>
      <c r="I16" s="143">
        <v>302</v>
      </c>
      <c r="J16" s="144"/>
      <c r="K16" s="143"/>
      <c r="L16" s="144"/>
      <c r="M16" s="58">
        <v>45</v>
      </c>
      <c r="N16" s="6" t="s">
        <v>13</v>
      </c>
      <c r="O16" s="21" t="s">
        <v>60</v>
      </c>
      <c r="P16" s="145"/>
      <c r="Q16" s="146"/>
      <c r="R16" s="147"/>
    </row>
    <row r="17" spans="1:18" ht="14.55" customHeight="1" x14ac:dyDescent="0.3">
      <c r="A17" s="166"/>
      <c r="B17" s="5"/>
      <c r="C17" s="5"/>
      <c r="D17" s="4">
        <v>250062</v>
      </c>
      <c r="E17" s="3" t="s">
        <v>200</v>
      </c>
      <c r="F17" s="19">
        <v>304</v>
      </c>
      <c r="G17" s="20">
        <v>0.6</v>
      </c>
      <c r="H17" s="28" t="s">
        <v>58</v>
      </c>
      <c r="I17" s="143">
        <v>310</v>
      </c>
      <c r="J17" s="144"/>
      <c r="K17" s="143"/>
      <c r="L17" s="144"/>
      <c r="M17" s="58">
        <v>45</v>
      </c>
      <c r="N17" s="6" t="s">
        <v>13</v>
      </c>
      <c r="O17" s="21" t="s">
        <v>60</v>
      </c>
      <c r="P17" s="145"/>
      <c r="Q17" s="146"/>
      <c r="R17" s="147"/>
    </row>
    <row r="18" spans="1:18" ht="14.55" customHeight="1" x14ac:dyDescent="0.3">
      <c r="A18" s="166"/>
      <c r="B18" s="5"/>
      <c r="C18" s="5"/>
      <c r="D18" s="4">
        <v>250062</v>
      </c>
      <c r="E18" s="3" t="s">
        <v>201</v>
      </c>
      <c r="F18" s="19">
        <v>304</v>
      </c>
      <c r="G18" s="20">
        <v>0.6</v>
      </c>
      <c r="H18" s="28" t="s">
        <v>58</v>
      </c>
      <c r="I18" s="143">
        <v>300</v>
      </c>
      <c r="J18" s="144"/>
      <c r="K18" s="143"/>
      <c r="L18" s="144"/>
      <c r="M18" s="58">
        <v>45</v>
      </c>
      <c r="N18" s="6" t="s">
        <v>13</v>
      </c>
      <c r="O18" s="21" t="s">
        <v>60</v>
      </c>
      <c r="P18" s="145"/>
      <c r="Q18" s="146"/>
      <c r="R18" s="147"/>
    </row>
    <row r="19" spans="1:18" ht="14.55" customHeight="1" x14ac:dyDescent="0.3">
      <c r="A19" s="166"/>
      <c r="B19" s="5"/>
      <c r="C19" s="5">
        <v>0.70833333333333337</v>
      </c>
      <c r="D19" s="4">
        <v>250062</v>
      </c>
      <c r="E19" s="3" t="s">
        <v>202</v>
      </c>
      <c r="F19" s="19">
        <v>304</v>
      </c>
      <c r="G19" s="20">
        <v>0.6</v>
      </c>
      <c r="H19" s="28" t="s">
        <v>58</v>
      </c>
      <c r="I19" s="143">
        <v>300</v>
      </c>
      <c r="J19" s="144"/>
      <c r="K19" s="143"/>
      <c r="L19" s="144"/>
      <c r="M19" s="58">
        <v>45</v>
      </c>
      <c r="N19" s="6" t="s">
        <v>13</v>
      </c>
      <c r="O19" s="21" t="s">
        <v>60</v>
      </c>
      <c r="P19" s="145"/>
      <c r="Q19" s="146"/>
      <c r="R19" s="147"/>
    </row>
    <row r="20" spans="1:18" ht="14.55" customHeight="1" x14ac:dyDescent="0.3">
      <c r="A20" s="141"/>
      <c r="B20" s="5"/>
      <c r="C20" s="5"/>
      <c r="D20" s="4"/>
      <c r="E20" s="3"/>
      <c r="F20" s="19"/>
      <c r="G20" s="20"/>
      <c r="H20" s="28"/>
      <c r="I20" s="143"/>
      <c r="J20" s="144"/>
      <c r="K20" s="143"/>
      <c r="L20" s="144"/>
      <c r="M20" s="58"/>
      <c r="N20" s="6" t="s">
        <v>13</v>
      </c>
      <c r="O20" s="21"/>
      <c r="P20" s="145"/>
      <c r="Q20" s="146"/>
      <c r="R20" s="147"/>
    </row>
    <row r="21" spans="1:18" ht="14.55" customHeight="1" x14ac:dyDescent="0.3">
      <c r="A21" s="141"/>
      <c r="B21" s="5"/>
      <c r="C21" s="5"/>
      <c r="D21" s="4"/>
      <c r="E21" s="3"/>
      <c r="F21" s="19"/>
      <c r="G21" s="20"/>
      <c r="H21" s="28"/>
      <c r="I21" s="143"/>
      <c r="J21" s="144"/>
      <c r="K21" s="143"/>
      <c r="L21" s="144"/>
      <c r="M21" s="58"/>
      <c r="N21" s="6" t="s">
        <v>13</v>
      </c>
      <c r="O21" s="21"/>
      <c r="P21" s="145"/>
      <c r="Q21" s="146"/>
      <c r="R21" s="147"/>
    </row>
    <row r="22" spans="1:18" ht="14.55" customHeight="1" x14ac:dyDescent="0.3">
      <c r="A22" s="141"/>
      <c r="B22" s="5"/>
      <c r="C22" s="5"/>
      <c r="D22" s="4"/>
      <c r="E22" s="3"/>
      <c r="F22" s="19"/>
      <c r="G22" s="20"/>
      <c r="H22" s="28"/>
      <c r="I22" s="143"/>
      <c r="J22" s="144"/>
      <c r="K22" s="143"/>
      <c r="L22" s="144"/>
      <c r="M22" s="58"/>
      <c r="N22" s="6" t="s">
        <v>13</v>
      </c>
      <c r="O22" s="21"/>
      <c r="P22" s="145"/>
      <c r="Q22" s="146"/>
      <c r="R22" s="147"/>
    </row>
    <row r="23" spans="1:18" ht="14.55" customHeight="1" x14ac:dyDescent="0.3">
      <c r="A23" s="141"/>
      <c r="B23" s="5"/>
      <c r="C23" s="5"/>
      <c r="D23" s="4"/>
      <c r="E23" s="3"/>
      <c r="F23" s="19"/>
      <c r="G23" s="20"/>
      <c r="H23" s="28"/>
      <c r="I23" s="143"/>
      <c r="J23" s="144"/>
      <c r="K23" s="143"/>
      <c r="L23" s="144"/>
      <c r="M23" s="58"/>
      <c r="N23" s="6" t="s">
        <v>13</v>
      </c>
      <c r="O23" s="21"/>
      <c r="P23" s="145"/>
      <c r="Q23" s="146"/>
      <c r="R23" s="147"/>
    </row>
    <row r="24" spans="1:18" ht="14.55" customHeight="1" x14ac:dyDescent="0.3">
      <c r="A24" s="142"/>
      <c r="B24" s="148" t="s">
        <v>0</v>
      </c>
      <c r="C24" s="149"/>
      <c r="D24" s="149"/>
      <c r="E24" s="149"/>
      <c r="F24" s="149"/>
      <c r="G24" s="149"/>
      <c r="H24" s="149"/>
      <c r="I24" s="150">
        <f>SUM(I16:J23)</f>
        <v>1212</v>
      </c>
      <c r="J24" s="151"/>
      <c r="K24" s="150">
        <f>SUM(K16:L23)</f>
        <v>0</v>
      </c>
      <c r="L24" s="151"/>
      <c r="M24" s="10">
        <f>SUM(M16:M23)</f>
        <v>180</v>
      </c>
      <c r="N24" s="11" t="s">
        <v>13</v>
      </c>
      <c r="O24" s="9"/>
      <c r="P24" s="145"/>
      <c r="Q24" s="146"/>
      <c r="R24" s="147"/>
    </row>
    <row r="25" spans="1:18" ht="14.55" customHeight="1" x14ac:dyDescent="0.3">
      <c r="D25" s="35"/>
      <c r="E25" s="1"/>
      <c r="F25" s="1"/>
      <c r="G25" s="1"/>
      <c r="H25" s="1"/>
      <c r="M25" s="35"/>
    </row>
    <row r="26" spans="1:18" x14ac:dyDescent="0.3">
      <c r="E26" s="148" t="s">
        <v>16</v>
      </c>
      <c r="F26" s="149"/>
      <c r="G26" s="149"/>
      <c r="H26" s="149"/>
      <c r="I26" s="152" t="s">
        <v>19</v>
      </c>
      <c r="J26" s="153"/>
      <c r="K26" s="152" t="s">
        <v>20</v>
      </c>
      <c r="L26" s="153"/>
    </row>
    <row r="27" spans="1:18" s="36" customFormat="1" x14ac:dyDescent="0.3">
      <c r="E27" s="7"/>
      <c r="F27" s="7"/>
      <c r="G27" s="7"/>
      <c r="H27" s="7"/>
      <c r="I27" s="22">
        <f>I15+I24</f>
        <v>1212</v>
      </c>
      <c r="J27" s="14" t="s">
        <v>12</v>
      </c>
      <c r="K27" s="22">
        <f>K15+K24</f>
        <v>0</v>
      </c>
      <c r="L27" s="15" t="s">
        <v>12</v>
      </c>
    </row>
    <row r="28" spans="1:18" ht="24.45" customHeight="1" x14ac:dyDescent="0.3">
      <c r="E28" s="13"/>
      <c r="F28" s="13"/>
      <c r="G28" s="13"/>
      <c r="H28" s="13"/>
      <c r="I28" s="154">
        <f>I27+K27</f>
        <v>1212</v>
      </c>
      <c r="J28" s="155"/>
      <c r="K28" s="155"/>
      <c r="L28" s="156"/>
    </row>
    <row r="29" spans="1:18" ht="15" customHeight="1" x14ac:dyDescent="0.3">
      <c r="D29" s="35"/>
      <c r="I29" s="35"/>
      <c r="J29" s="35"/>
      <c r="K29" s="23"/>
      <c r="L29" s="23"/>
      <c r="M29" s="23"/>
      <c r="N29" s="23"/>
    </row>
    <row r="30" spans="1:18" s="8" customFormat="1" ht="30" customHeight="1" x14ac:dyDescent="0.3">
      <c r="A30" s="133" t="s">
        <v>36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5"/>
      <c r="L30" s="135"/>
      <c r="M30" s="135"/>
      <c r="N30" s="135"/>
      <c r="O30" s="134"/>
      <c r="P30" s="134"/>
      <c r="Q30" s="134"/>
      <c r="R30" s="136"/>
    </row>
    <row r="31" spans="1:18" s="12" customFormat="1" ht="14.55" customHeight="1" x14ac:dyDescent="0.3">
      <c r="A31" s="128" t="s">
        <v>1</v>
      </c>
      <c r="B31" s="137" t="s">
        <v>2</v>
      </c>
      <c r="C31" s="137" t="s">
        <v>3</v>
      </c>
      <c r="D31" s="137" t="s">
        <v>4</v>
      </c>
      <c r="E31" s="124" t="s">
        <v>5</v>
      </c>
      <c r="F31" s="138" t="s">
        <v>14</v>
      </c>
      <c r="G31" s="138" t="s">
        <v>15</v>
      </c>
      <c r="H31" s="119" t="s">
        <v>29</v>
      </c>
      <c r="I31" s="121" t="s">
        <v>6</v>
      </c>
      <c r="J31" s="122"/>
      <c r="K31" s="122"/>
      <c r="L31" s="123"/>
      <c r="M31" s="124" t="s">
        <v>7</v>
      </c>
      <c r="N31" s="125"/>
      <c r="O31" s="128" t="s">
        <v>8</v>
      </c>
      <c r="P31" s="128" t="s">
        <v>9</v>
      </c>
      <c r="Q31" s="128"/>
      <c r="R31" s="128"/>
    </row>
    <row r="32" spans="1:18" s="12" customFormat="1" ht="13.05" customHeight="1" x14ac:dyDescent="0.3">
      <c r="A32" s="128"/>
      <c r="B32" s="137"/>
      <c r="C32" s="137"/>
      <c r="D32" s="137"/>
      <c r="E32" s="126"/>
      <c r="F32" s="139"/>
      <c r="G32" s="139"/>
      <c r="H32" s="120"/>
      <c r="I32" s="121" t="s">
        <v>19</v>
      </c>
      <c r="J32" s="123"/>
      <c r="K32" s="121" t="s">
        <v>20</v>
      </c>
      <c r="L32" s="123"/>
      <c r="M32" s="126"/>
      <c r="N32" s="127"/>
      <c r="O32" s="128"/>
      <c r="P32" s="128"/>
      <c r="Q32" s="128"/>
      <c r="R32" s="128"/>
    </row>
    <row r="33" spans="1:18" ht="14.55" customHeight="1" x14ac:dyDescent="0.3">
      <c r="A33" s="140" t="s">
        <v>37</v>
      </c>
      <c r="B33" s="5">
        <v>0.33333333333333331</v>
      </c>
      <c r="C33" s="5"/>
      <c r="D33" s="4">
        <v>250065</v>
      </c>
      <c r="E33" s="3" t="s">
        <v>203</v>
      </c>
      <c r="F33" s="19">
        <v>430</v>
      </c>
      <c r="G33" s="20">
        <v>0.5</v>
      </c>
      <c r="H33" s="28" t="s">
        <v>137</v>
      </c>
      <c r="I33" s="143">
        <v>622</v>
      </c>
      <c r="J33" s="144"/>
      <c r="K33" s="143"/>
      <c r="L33" s="144"/>
      <c r="M33" s="58"/>
      <c r="N33" s="6" t="s">
        <v>13</v>
      </c>
      <c r="O33" s="21"/>
      <c r="P33" s="157"/>
      <c r="Q33" s="158"/>
      <c r="R33" s="159"/>
    </row>
    <row r="34" spans="1:18" ht="14.55" customHeight="1" x14ac:dyDescent="0.3">
      <c r="A34" s="166"/>
      <c r="B34" s="5"/>
      <c r="C34" s="5"/>
      <c r="D34" s="4">
        <v>250065</v>
      </c>
      <c r="E34" s="3" t="s">
        <v>204</v>
      </c>
      <c r="F34" s="19">
        <v>430</v>
      </c>
      <c r="G34" s="20">
        <v>0.5</v>
      </c>
      <c r="H34" s="28" t="s">
        <v>137</v>
      </c>
      <c r="I34" s="143">
        <v>229</v>
      </c>
      <c r="J34" s="144"/>
      <c r="K34" s="143"/>
      <c r="L34" s="144"/>
      <c r="M34" s="58"/>
      <c r="N34" s="6" t="s">
        <v>13</v>
      </c>
      <c r="O34" s="21"/>
      <c r="P34" s="160"/>
      <c r="Q34" s="161"/>
      <c r="R34" s="162"/>
    </row>
    <row r="35" spans="1:18" ht="14.55" customHeight="1" x14ac:dyDescent="0.3">
      <c r="A35" s="166"/>
      <c r="B35" s="5"/>
      <c r="C35" s="5"/>
      <c r="D35" s="4">
        <v>250062</v>
      </c>
      <c r="E35" s="3" t="s">
        <v>185</v>
      </c>
      <c r="F35" s="19">
        <v>304</v>
      </c>
      <c r="G35" s="20">
        <v>0.6</v>
      </c>
      <c r="H35" s="28" t="s">
        <v>137</v>
      </c>
      <c r="I35" s="143">
        <v>145</v>
      </c>
      <c r="J35" s="144"/>
      <c r="K35" s="143"/>
      <c r="L35" s="144"/>
      <c r="M35" s="58"/>
      <c r="N35" s="6" t="s">
        <v>13</v>
      </c>
      <c r="O35" s="21"/>
      <c r="P35" s="160"/>
      <c r="Q35" s="161"/>
      <c r="R35" s="162"/>
    </row>
    <row r="36" spans="1:18" ht="14.55" customHeight="1" x14ac:dyDescent="0.3">
      <c r="A36" s="166"/>
      <c r="B36" s="5"/>
      <c r="C36" s="5"/>
      <c r="D36" s="4">
        <v>250062</v>
      </c>
      <c r="E36" s="3" t="s">
        <v>201</v>
      </c>
      <c r="F36" s="19">
        <v>304</v>
      </c>
      <c r="G36" s="20">
        <v>0.6</v>
      </c>
      <c r="H36" s="28" t="s">
        <v>137</v>
      </c>
      <c r="I36" s="143">
        <v>304</v>
      </c>
      <c r="J36" s="144"/>
      <c r="K36" s="143"/>
      <c r="L36" s="144"/>
      <c r="M36" s="58"/>
      <c r="N36" s="6" t="s">
        <v>13</v>
      </c>
      <c r="O36" s="21"/>
      <c r="P36" s="160"/>
      <c r="Q36" s="161"/>
      <c r="R36" s="162"/>
    </row>
    <row r="37" spans="1:18" ht="14.55" customHeight="1" x14ac:dyDescent="0.3">
      <c r="A37" s="166"/>
      <c r="B37" s="5"/>
      <c r="C37" s="5"/>
      <c r="D37" s="4">
        <v>250062</v>
      </c>
      <c r="E37" s="3" t="s">
        <v>205</v>
      </c>
      <c r="F37" s="19">
        <v>304</v>
      </c>
      <c r="G37" s="20">
        <v>0.6</v>
      </c>
      <c r="H37" s="28" t="s">
        <v>137</v>
      </c>
      <c r="I37" s="143">
        <v>130</v>
      </c>
      <c r="J37" s="144"/>
      <c r="K37" s="143"/>
      <c r="L37" s="144"/>
      <c r="M37" s="58"/>
      <c r="N37" s="6" t="s">
        <v>13</v>
      </c>
      <c r="O37" s="21"/>
      <c r="P37" s="160"/>
      <c r="Q37" s="161"/>
      <c r="R37" s="162"/>
    </row>
    <row r="38" spans="1:18" ht="14.55" customHeight="1" x14ac:dyDescent="0.3">
      <c r="A38" s="166"/>
      <c r="B38" s="5"/>
      <c r="C38" s="5"/>
      <c r="D38" s="4">
        <v>250062</v>
      </c>
      <c r="E38" s="3" t="s">
        <v>206</v>
      </c>
      <c r="F38" s="19">
        <v>304</v>
      </c>
      <c r="G38" s="20">
        <v>0.6</v>
      </c>
      <c r="H38" s="28" t="s">
        <v>137</v>
      </c>
      <c r="I38" s="143">
        <v>126</v>
      </c>
      <c r="J38" s="144"/>
      <c r="K38" s="143"/>
      <c r="L38" s="144"/>
      <c r="M38" s="58"/>
      <c r="N38" s="6" t="s">
        <v>13</v>
      </c>
      <c r="O38" s="21"/>
      <c r="P38" s="160"/>
      <c r="Q38" s="161"/>
      <c r="R38" s="162"/>
    </row>
    <row r="39" spans="1:18" ht="14.55" customHeight="1" x14ac:dyDescent="0.3">
      <c r="A39" s="166"/>
      <c r="B39" s="5"/>
      <c r="C39" s="5"/>
      <c r="D39" s="4">
        <v>250062</v>
      </c>
      <c r="E39" s="3" t="s">
        <v>207</v>
      </c>
      <c r="F39" s="19">
        <v>304</v>
      </c>
      <c r="G39" s="20">
        <v>0.6</v>
      </c>
      <c r="H39" s="28" t="s">
        <v>137</v>
      </c>
      <c r="I39" s="143">
        <v>300</v>
      </c>
      <c r="J39" s="144"/>
      <c r="K39" s="143"/>
      <c r="L39" s="144"/>
      <c r="M39" s="58"/>
      <c r="N39" s="6" t="s">
        <v>13</v>
      </c>
      <c r="O39" s="21"/>
      <c r="P39" s="160"/>
      <c r="Q39" s="161"/>
      <c r="R39" s="162"/>
    </row>
    <row r="40" spans="1:18" ht="14.55" customHeight="1" x14ac:dyDescent="0.3">
      <c r="A40" s="166"/>
      <c r="B40" s="5"/>
      <c r="C40" s="5">
        <v>0.875</v>
      </c>
      <c r="D40" s="4">
        <v>250064</v>
      </c>
      <c r="E40" s="3" t="s">
        <v>208</v>
      </c>
      <c r="F40" s="19">
        <v>430</v>
      </c>
      <c r="G40" s="20">
        <v>0.5</v>
      </c>
      <c r="H40" s="28" t="s">
        <v>137</v>
      </c>
      <c r="I40" s="143">
        <v>560</v>
      </c>
      <c r="J40" s="144"/>
      <c r="K40" s="143"/>
      <c r="L40" s="144"/>
      <c r="M40" s="58"/>
      <c r="N40" s="6" t="s">
        <v>13</v>
      </c>
      <c r="O40" s="21"/>
      <c r="P40" s="160"/>
      <c r="Q40" s="161"/>
      <c r="R40" s="162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58"/>
      <c r="N41" s="6" t="s">
        <v>13</v>
      </c>
      <c r="O41" s="21"/>
      <c r="P41" s="160"/>
      <c r="Q41" s="161"/>
      <c r="R41" s="162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58"/>
      <c r="N42" s="6" t="s">
        <v>13</v>
      </c>
      <c r="O42" s="21"/>
      <c r="P42" s="160"/>
      <c r="Q42" s="161"/>
      <c r="R42" s="162"/>
    </row>
    <row r="43" spans="1:18" ht="14.55" customHeight="1" x14ac:dyDescent="0.3">
      <c r="A43" s="166"/>
      <c r="B43" s="5"/>
      <c r="C43" s="5"/>
      <c r="D43" s="4"/>
      <c r="E43" s="3"/>
      <c r="F43" s="19"/>
      <c r="G43" s="20"/>
      <c r="H43" s="28"/>
      <c r="I43" s="143"/>
      <c r="J43" s="144"/>
      <c r="K43" s="143"/>
      <c r="L43" s="144"/>
      <c r="M43" s="58"/>
      <c r="N43" s="6" t="s">
        <v>13</v>
      </c>
      <c r="O43" s="21"/>
      <c r="P43" s="160"/>
      <c r="Q43" s="161"/>
      <c r="R43" s="162"/>
    </row>
    <row r="44" spans="1:18" ht="14.55" customHeight="1" x14ac:dyDescent="0.3">
      <c r="A44" s="166"/>
      <c r="B44" s="5"/>
      <c r="C44" s="5"/>
      <c r="D44" s="4"/>
      <c r="E44" s="3"/>
      <c r="F44" s="19"/>
      <c r="G44" s="20"/>
      <c r="H44" s="28"/>
      <c r="I44" s="143"/>
      <c r="J44" s="144"/>
      <c r="K44" s="143"/>
      <c r="L44" s="144"/>
      <c r="M44" s="58"/>
      <c r="N44" s="6" t="s">
        <v>13</v>
      </c>
      <c r="O44" s="21"/>
      <c r="P44" s="160"/>
      <c r="Q44" s="161"/>
      <c r="R44" s="162"/>
    </row>
    <row r="45" spans="1:18" ht="14.55" customHeight="1" x14ac:dyDescent="0.3">
      <c r="A45" s="166"/>
      <c r="B45" s="5"/>
      <c r="C45" s="5"/>
      <c r="D45" s="4"/>
      <c r="E45" s="3"/>
      <c r="F45" s="19"/>
      <c r="G45" s="20"/>
      <c r="H45" s="28"/>
      <c r="I45" s="143"/>
      <c r="J45" s="144"/>
      <c r="K45" s="143"/>
      <c r="L45" s="144"/>
      <c r="M45" s="58"/>
      <c r="N45" s="6" t="s">
        <v>13</v>
      </c>
      <c r="O45" s="21"/>
      <c r="P45" s="160"/>
      <c r="Q45" s="161"/>
      <c r="R45" s="162"/>
    </row>
    <row r="46" spans="1:18" ht="14.55" customHeight="1" x14ac:dyDescent="0.3">
      <c r="A46" s="166"/>
      <c r="B46" s="5"/>
      <c r="C46" s="5"/>
      <c r="D46" s="4"/>
      <c r="E46" s="3"/>
      <c r="F46" s="19"/>
      <c r="G46" s="20"/>
      <c r="H46" s="28"/>
      <c r="I46" s="143"/>
      <c r="J46" s="144"/>
      <c r="K46" s="143"/>
      <c r="L46" s="144"/>
      <c r="M46" s="58"/>
      <c r="N46" s="6" t="s">
        <v>13</v>
      </c>
      <c r="O46" s="21"/>
      <c r="P46" s="160"/>
      <c r="Q46" s="161"/>
      <c r="R46" s="162"/>
    </row>
    <row r="47" spans="1:18" ht="14.55" customHeight="1" x14ac:dyDescent="0.3">
      <c r="A47" s="166"/>
      <c r="B47" s="5"/>
      <c r="C47" s="5"/>
      <c r="D47" s="4"/>
      <c r="E47" s="3"/>
      <c r="F47" s="19"/>
      <c r="G47" s="20"/>
      <c r="H47" s="28"/>
      <c r="I47" s="143"/>
      <c r="J47" s="144"/>
      <c r="K47" s="143"/>
      <c r="L47" s="144"/>
      <c r="M47" s="58"/>
      <c r="N47" s="6" t="s">
        <v>13</v>
      </c>
      <c r="O47" s="21"/>
      <c r="P47" s="160"/>
      <c r="Q47" s="161"/>
      <c r="R47" s="162"/>
    </row>
    <row r="48" spans="1:18" ht="14.55" customHeight="1" x14ac:dyDescent="0.3">
      <c r="A48" s="167"/>
      <c r="B48" s="148" t="s">
        <v>0</v>
      </c>
      <c r="C48" s="149"/>
      <c r="D48" s="149"/>
      <c r="E48" s="149"/>
      <c r="F48" s="149"/>
      <c r="G48" s="149"/>
      <c r="H48" s="149"/>
      <c r="I48" s="150">
        <f>SUM(I33:J47)</f>
        <v>2416</v>
      </c>
      <c r="J48" s="151"/>
      <c r="K48" s="150">
        <f>SUM(K33:L47)</f>
        <v>0</v>
      </c>
      <c r="L48" s="151"/>
      <c r="M48" s="10">
        <f>SUM(M43:M47)</f>
        <v>0</v>
      </c>
      <c r="N48" s="11" t="s">
        <v>13</v>
      </c>
      <c r="O48" s="9"/>
      <c r="P48" s="163"/>
      <c r="Q48" s="164"/>
      <c r="R48" s="165"/>
    </row>
    <row r="49" spans="1:18" ht="14.55" customHeight="1" x14ac:dyDescent="0.3">
      <c r="D49" s="35"/>
      <c r="E49" s="1"/>
      <c r="F49" s="1"/>
      <c r="G49" s="1"/>
      <c r="H49" s="1"/>
      <c r="M49" s="35"/>
    </row>
    <row r="50" spans="1:18" x14ac:dyDescent="0.3">
      <c r="E50" s="148" t="s">
        <v>33</v>
      </c>
      <c r="F50" s="149"/>
      <c r="G50" s="149"/>
      <c r="H50" s="149"/>
      <c r="I50" s="152" t="s">
        <v>19</v>
      </c>
      <c r="J50" s="153"/>
      <c r="K50" s="152" t="s">
        <v>20</v>
      </c>
      <c r="L50" s="153"/>
    </row>
    <row r="51" spans="1:18" s="36" customFormat="1" x14ac:dyDescent="0.3">
      <c r="E51" s="7"/>
      <c r="F51" s="7"/>
      <c r="G51" s="7"/>
      <c r="H51" s="7"/>
      <c r="I51" s="22">
        <f>I48</f>
        <v>2416</v>
      </c>
      <c r="J51" s="14" t="s">
        <v>12</v>
      </c>
      <c r="K51" s="22">
        <f>K48</f>
        <v>0</v>
      </c>
      <c r="L51" s="15" t="s">
        <v>12</v>
      </c>
    </row>
    <row r="52" spans="1:18" ht="24.45" customHeight="1" x14ac:dyDescent="0.3">
      <c r="E52" s="13"/>
      <c r="F52" s="13"/>
      <c r="G52" s="13"/>
      <c r="H52" s="13"/>
      <c r="I52" s="154">
        <f>I51+K51</f>
        <v>2416</v>
      </c>
      <c r="J52" s="155"/>
      <c r="K52" s="155"/>
      <c r="L52" s="156"/>
    </row>
    <row r="54" spans="1:18" s="8" customFormat="1" ht="30" customHeight="1" x14ac:dyDescent="0.3">
      <c r="A54" s="133" t="s">
        <v>30</v>
      </c>
      <c r="B54" s="134"/>
      <c r="C54" s="134"/>
      <c r="D54" s="134"/>
      <c r="E54" s="134"/>
      <c r="F54" s="134"/>
      <c r="G54" s="134"/>
      <c r="H54" s="134"/>
      <c r="I54" s="134"/>
      <c r="J54" s="134"/>
      <c r="K54" s="135"/>
      <c r="L54" s="135"/>
      <c r="M54" s="135"/>
      <c r="N54" s="135"/>
      <c r="O54" s="134"/>
      <c r="P54" s="134"/>
      <c r="Q54" s="134"/>
      <c r="R54" s="136"/>
    </row>
    <row r="55" spans="1:18" s="12" customFormat="1" ht="14.55" customHeight="1" x14ac:dyDescent="0.3">
      <c r="A55" s="128" t="s">
        <v>1</v>
      </c>
      <c r="B55" s="137" t="s">
        <v>2</v>
      </c>
      <c r="C55" s="137" t="s">
        <v>3</v>
      </c>
      <c r="D55" s="137" t="s">
        <v>4</v>
      </c>
      <c r="E55" s="124" t="s">
        <v>5</v>
      </c>
      <c r="F55" s="138" t="s">
        <v>14</v>
      </c>
      <c r="G55" s="138" t="s">
        <v>15</v>
      </c>
      <c r="H55" s="119" t="s">
        <v>29</v>
      </c>
      <c r="I55" s="121" t="s">
        <v>6</v>
      </c>
      <c r="J55" s="122"/>
      <c r="K55" s="122"/>
      <c r="L55" s="123"/>
      <c r="M55" s="124" t="s">
        <v>7</v>
      </c>
      <c r="N55" s="125"/>
      <c r="O55" s="128" t="s">
        <v>8</v>
      </c>
      <c r="P55" s="128" t="s">
        <v>9</v>
      </c>
      <c r="Q55" s="128"/>
      <c r="R55" s="128"/>
    </row>
    <row r="56" spans="1:18" s="12" customFormat="1" ht="13.05" customHeight="1" x14ac:dyDescent="0.3">
      <c r="A56" s="128"/>
      <c r="B56" s="137"/>
      <c r="C56" s="137"/>
      <c r="D56" s="137"/>
      <c r="E56" s="126"/>
      <c r="F56" s="139"/>
      <c r="G56" s="139"/>
      <c r="H56" s="120"/>
      <c r="I56" s="121" t="s">
        <v>19</v>
      </c>
      <c r="J56" s="123"/>
      <c r="K56" s="121" t="s">
        <v>20</v>
      </c>
      <c r="L56" s="123"/>
      <c r="M56" s="126"/>
      <c r="N56" s="127"/>
      <c r="O56" s="128"/>
      <c r="P56" s="128"/>
      <c r="Q56" s="128"/>
      <c r="R56" s="128"/>
    </row>
    <row r="57" spans="1:18" ht="14.55" customHeight="1" x14ac:dyDescent="0.3">
      <c r="A57" s="140" t="s">
        <v>35</v>
      </c>
      <c r="B57" s="5">
        <v>0.33333333333333331</v>
      </c>
      <c r="C57" s="5"/>
      <c r="D57" s="4">
        <v>250064</v>
      </c>
      <c r="E57" s="3" t="s">
        <v>209</v>
      </c>
      <c r="F57" s="19">
        <v>430</v>
      </c>
      <c r="G57" s="20">
        <v>0.5</v>
      </c>
      <c r="H57" s="28" t="s">
        <v>130</v>
      </c>
      <c r="I57" s="143">
        <v>941</v>
      </c>
      <c r="J57" s="144"/>
      <c r="K57" s="143"/>
      <c r="L57" s="144"/>
      <c r="M57" s="58"/>
      <c r="N57" s="6" t="s">
        <v>13</v>
      </c>
      <c r="O57" s="21"/>
      <c r="P57" s="168"/>
      <c r="Q57" s="169"/>
      <c r="R57" s="170"/>
    </row>
    <row r="58" spans="1:18" ht="14.55" customHeight="1" x14ac:dyDescent="0.3">
      <c r="A58" s="166"/>
      <c r="B58" s="5"/>
      <c r="C58" s="5"/>
      <c r="D58" s="4">
        <v>250064</v>
      </c>
      <c r="E58" s="3" t="s">
        <v>210</v>
      </c>
      <c r="F58" s="19">
        <v>430</v>
      </c>
      <c r="G58" s="20">
        <v>0.5</v>
      </c>
      <c r="H58" s="28" t="s">
        <v>130</v>
      </c>
      <c r="I58" s="143">
        <v>909</v>
      </c>
      <c r="J58" s="144"/>
      <c r="K58" s="143"/>
      <c r="L58" s="144"/>
      <c r="M58" s="58"/>
      <c r="N58" s="6" t="s">
        <v>13</v>
      </c>
      <c r="O58" s="21"/>
      <c r="P58" s="168"/>
      <c r="Q58" s="169"/>
      <c r="R58" s="170"/>
    </row>
    <row r="59" spans="1:18" ht="14.55" customHeight="1" x14ac:dyDescent="0.3">
      <c r="A59" s="166"/>
      <c r="B59" s="5"/>
      <c r="C59" s="5">
        <v>0.875</v>
      </c>
      <c r="D59" s="4">
        <v>250063</v>
      </c>
      <c r="E59" s="3" t="s">
        <v>211</v>
      </c>
      <c r="F59" s="19">
        <v>430</v>
      </c>
      <c r="G59" s="20">
        <v>0.5</v>
      </c>
      <c r="H59" s="28" t="s">
        <v>130</v>
      </c>
      <c r="I59" s="143">
        <v>1246</v>
      </c>
      <c r="J59" s="144"/>
      <c r="K59" s="143"/>
      <c r="L59" s="144"/>
      <c r="M59" s="58"/>
      <c r="N59" s="6" t="s">
        <v>13</v>
      </c>
      <c r="O59" s="21"/>
      <c r="P59" s="168"/>
      <c r="Q59" s="169"/>
      <c r="R59" s="170"/>
    </row>
    <row r="60" spans="1:18" ht="14.55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58"/>
      <c r="N60" s="6" t="s">
        <v>13</v>
      </c>
      <c r="O60" s="21"/>
      <c r="P60" s="168"/>
      <c r="Q60" s="169"/>
      <c r="R60" s="170"/>
    </row>
    <row r="61" spans="1:18" ht="14.55" customHeight="1" x14ac:dyDescent="0.3">
      <c r="A61" s="166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58"/>
      <c r="N61" s="6" t="s">
        <v>13</v>
      </c>
      <c r="O61" s="21"/>
      <c r="P61" s="168"/>
      <c r="Q61" s="169"/>
      <c r="R61" s="170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58"/>
      <c r="N62" s="6" t="s">
        <v>13</v>
      </c>
      <c r="O62" s="21"/>
      <c r="P62" s="168"/>
      <c r="Q62" s="169"/>
      <c r="R62" s="170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58"/>
      <c r="N63" s="6" t="s">
        <v>13</v>
      </c>
      <c r="O63" s="21"/>
      <c r="P63" s="168"/>
      <c r="Q63" s="169"/>
      <c r="R63" s="170"/>
    </row>
    <row r="64" spans="1:18" ht="14.55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58"/>
      <c r="N64" s="6" t="s">
        <v>13</v>
      </c>
      <c r="O64" s="21"/>
      <c r="P64" s="168"/>
      <c r="Q64" s="169"/>
      <c r="R64" s="170"/>
    </row>
    <row r="65" spans="1:18" ht="14.55" customHeight="1" x14ac:dyDescent="0.3">
      <c r="A65" s="166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58"/>
      <c r="N65" s="6" t="s">
        <v>13</v>
      </c>
      <c r="O65" s="21"/>
      <c r="P65" s="168"/>
      <c r="Q65" s="169"/>
      <c r="R65" s="170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58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67"/>
      <c r="B67" s="148" t="s">
        <v>0</v>
      </c>
      <c r="C67" s="149"/>
      <c r="D67" s="149"/>
      <c r="E67" s="149"/>
      <c r="F67" s="149"/>
      <c r="G67" s="149"/>
      <c r="H67" s="149"/>
      <c r="I67" s="150">
        <f>SUM(I57:J66)</f>
        <v>3096</v>
      </c>
      <c r="J67" s="151"/>
      <c r="K67" s="150">
        <f>SUM(K57:L66)</f>
        <v>0</v>
      </c>
      <c r="L67" s="151"/>
      <c r="M67" s="10">
        <f>SUM(M62:M66)</f>
        <v>0</v>
      </c>
      <c r="N67" s="11" t="s">
        <v>13</v>
      </c>
      <c r="O67" s="9"/>
      <c r="P67" s="168"/>
      <c r="Q67" s="169"/>
      <c r="R67" s="170"/>
    </row>
    <row r="68" spans="1:18" ht="14.55" customHeight="1" x14ac:dyDescent="0.3">
      <c r="D68" s="35"/>
      <c r="E68" s="1"/>
      <c r="F68" s="1"/>
      <c r="G68" s="1"/>
      <c r="H68" s="1"/>
      <c r="M68" s="35"/>
    </row>
    <row r="69" spans="1:18" x14ac:dyDescent="0.3">
      <c r="E69" s="148" t="s">
        <v>34</v>
      </c>
      <c r="F69" s="149"/>
      <c r="G69" s="149"/>
      <c r="H69" s="149"/>
      <c r="I69" s="152" t="s">
        <v>19</v>
      </c>
      <c r="J69" s="153"/>
      <c r="K69" s="152" t="s">
        <v>20</v>
      </c>
      <c r="L69" s="153"/>
    </row>
    <row r="70" spans="1:18" s="36" customFormat="1" x14ac:dyDescent="0.3">
      <c r="E70" s="7"/>
      <c r="F70" s="7"/>
      <c r="G70" s="7"/>
      <c r="H70" s="7"/>
      <c r="I70" s="22">
        <f>I67</f>
        <v>3096</v>
      </c>
      <c r="J70" s="14" t="s">
        <v>12</v>
      </c>
      <c r="K70" s="22">
        <f>K67</f>
        <v>0</v>
      </c>
      <c r="L70" s="15" t="s">
        <v>12</v>
      </c>
    </row>
    <row r="71" spans="1:18" s="1" customFormat="1" ht="24.45" customHeight="1" x14ac:dyDescent="0.3">
      <c r="A71" s="35"/>
      <c r="B71" s="35"/>
      <c r="C71" s="35"/>
      <c r="E71" s="13"/>
      <c r="F71" s="13"/>
      <c r="G71" s="13"/>
      <c r="H71" s="13"/>
      <c r="I71" s="154">
        <f>I70+K70</f>
        <v>3096</v>
      </c>
      <c r="J71" s="155"/>
      <c r="K71" s="155"/>
      <c r="L71" s="156"/>
      <c r="N71" s="35"/>
      <c r="O71" s="35"/>
      <c r="P71" s="35"/>
      <c r="Q71" s="35"/>
      <c r="R71" s="35"/>
    </row>
    <row r="73" spans="1:18" s="8" customFormat="1" ht="30" customHeight="1" x14ac:dyDescent="0.3">
      <c r="A73" s="133" t="s">
        <v>22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5"/>
      <c r="L73" s="135"/>
      <c r="M73" s="135"/>
      <c r="N73" s="135"/>
      <c r="O73" s="134"/>
      <c r="P73" s="134"/>
      <c r="Q73" s="134"/>
      <c r="R73" s="136"/>
    </row>
    <row r="74" spans="1:18" s="12" customFormat="1" ht="14.55" customHeight="1" x14ac:dyDescent="0.3">
      <c r="A74" s="128" t="s">
        <v>1</v>
      </c>
      <c r="B74" s="137" t="s">
        <v>2</v>
      </c>
      <c r="C74" s="137" t="s">
        <v>3</v>
      </c>
      <c r="D74" s="137" t="s">
        <v>4</v>
      </c>
      <c r="E74" s="124" t="s">
        <v>5</v>
      </c>
      <c r="F74" s="138" t="s">
        <v>14</v>
      </c>
      <c r="G74" s="138" t="s">
        <v>15</v>
      </c>
      <c r="H74" s="119" t="s">
        <v>27</v>
      </c>
      <c r="I74" s="121" t="s">
        <v>6</v>
      </c>
      <c r="J74" s="122"/>
      <c r="K74" s="122"/>
      <c r="L74" s="123"/>
      <c r="M74" s="124" t="s">
        <v>7</v>
      </c>
      <c r="N74" s="125"/>
      <c r="O74" s="128" t="s">
        <v>8</v>
      </c>
      <c r="P74" s="128" t="s">
        <v>9</v>
      </c>
      <c r="Q74" s="128"/>
      <c r="R74" s="128"/>
    </row>
    <row r="75" spans="1:18" s="12" customFormat="1" ht="13.05" customHeight="1" x14ac:dyDescent="0.3">
      <c r="A75" s="128"/>
      <c r="B75" s="137"/>
      <c r="C75" s="137"/>
      <c r="D75" s="137"/>
      <c r="E75" s="126"/>
      <c r="F75" s="139"/>
      <c r="G75" s="139"/>
      <c r="H75" s="120"/>
      <c r="I75" s="121" t="s">
        <v>23</v>
      </c>
      <c r="J75" s="123"/>
      <c r="K75" s="121" t="s">
        <v>11</v>
      </c>
      <c r="L75" s="123"/>
      <c r="M75" s="126"/>
      <c r="N75" s="127"/>
      <c r="O75" s="128"/>
      <c r="P75" s="128"/>
      <c r="Q75" s="128"/>
      <c r="R75" s="128"/>
    </row>
    <row r="76" spans="1:18" ht="14.55" customHeight="1" x14ac:dyDescent="0.3">
      <c r="A76" s="140" t="s">
        <v>28</v>
      </c>
      <c r="B76" s="5">
        <v>0.33333333333333331</v>
      </c>
      <c r="C76" s="5"/>
      <c r="D76" s="4">
        <v>250044</v>
      </c>
      <c r="E76" s="3" t="s">
        <v>169</v>
      </c>
      <c r="F76" s="19">
        <v>304</v>
      </c>
      <c r="G76" s="20">
        <v>0.7</v>
      </c>
      <c r="H76" s="28"/>
      <c r="I76" s="143"/>
      <c r="J76" s="144"/>
      <c r="K76" s="143">
        <v>550</v>
      </c>
      <c r="L76" s="144"/>
      <c r="M76" s="58"/>
      <c r="N76" s="6" t="s">
        <v>13</v>
      </c>
      <c r="O76" s="21"/>
      <c r="P76" s="168" t="s">
        <v>50</v>
      </c>
      <c r="Q76" s="169"/>
      <c r="R76" s="170"/>
    </row>
    <row r="77" spans="1:18" ht="14.55" customHeight="1" x14ac:dyDescent="0.3">
      <c r="A77" s="141"/>
      <c r="B77" s="5"/>
      <c r="C77" s="5">
        <v>0.70833333333333337</v>
      </c>
      <c r="D77" s="4">
        <v>250044</v>
      </c>
      <c r="E77" s="3" t="s">
        <v>212</v>
      </c>
      <c r="F77" s="19">
        <v>304</v>
      </c>
      <c r="G77" s="20">
        <v>0.7</v>
      </c>
      <c r="H77" s="28"/>
      <c r="I77" s="143"/>
      <c r="J77" s="144"/>
      <c r="K77" s="143">
        <v>500</v>
      </c>
      <c r="L77" s="144"/>
      <c r="M77" s="58"/>
      <c r="N77" s="6" t="s">
        <v>13</v>
      </c>
      <c r="O77" s="21"/>
      <c r="P77" s="168"/>
      <c r="Q77" s="169"/>
      <c r="R77" s="170"/>
    </row>
    <row r="78" spans="1:18" ht="14.55" customHeight="1" x14ac:dyDescent="0.3">
      <c r="A78" s="141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58"/>
      <c r="N78" s="6" t="s">
        <v>13</v>
      </c>
      <c r="O78" s="21"/>
      <c r="P78" s="168"/>
      <c r="Q78" s="169"/>
      <c r="R78" s="170"/>
    </row>
    <row r="79" spans="1:18" ht="14.55" customHeight="1" x14ac:dyDescent="0.3">
      <c r="A79" s="141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58"/>
      <c r="N79" s="6" t="s">
        <v>13</v>
      </c>
      <c r="O79" s="21"/>
      <c r="P79" s="168"/>
      <c r="Q79" s="169"/>
      <c r="R79" s="170"/>
    </row>
    <row r="80" spans="1:18" ht="14.55" customHeight="1" x14ac:dyDescent="0.3">
      <c r="A80" s="141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58"/>
      <c r="N80" s="6" t="s">
        <v>13</v>
      </c>
      <c r="O80" s="21"/>
      <c r="P80" s="168"/>
      <c r="Q80" s="169"/>
      <c r="R80" s="170"/>
    </row>
    <row r="81" spans="1:18" ht="14.55" customHeight="1" x14ac:dyDescent="0.3">
      <c r="A81" s="142"/>
      <c r="B81" s="148" t="s">
        <v>0</v>
      </c>
      <c r="C81" s="149"/>
      <c r="D81" s="149"/>
      <c r="E81" s="149"/>
      <c r="F81" s="149"/>
      <c r="G81" s="149"/>
      <c r="H81" s="171"/>
      <c r="I81" s="150">
        <f>SUM(I76:J80)</f>
        <v>0</v>
      </c>
      <c r="J81" s="151"/>
      <c r="K81" s="150">
        <f>SUM(K76:L80)</f>
        <v>1050</v>
      </c>
      <c r="L81" s="151"/>
      <c r="M81" s="10">
        <f>SUM(M76:M80)</f>
        <v>0</v>
      </c>
      <c r="N81" s="11" t="s">
        <v>13</v>
      </c>
      <c r="O81" s="9"/>
      <c r="P81" s="168"/>
      <c r="Q81" s="169"/>
      <c r="R81" s="170"/>
    </row>
    <row r="82" spans="1:18" ht="14.55" customHeight="1" x14ac:dyDescent="0.3">
      <c r="A82" s="140" t="s">
        <v>24</v>
      </c>
      <c r="B82" s="5">
        <v>0.33333333333333331</v>
      </c>
      <c r="C82" s="5">
        <v>0.70833333333333337</v>
      </c>
      <c r="D82" s="4">
        <v>250052</v>
      </c>
      <c r="E82" s="3" t="s">
        <v>213</v>
      </c>
      <c r="F82" s="19">
        <v>304</v>
      </c>
      <c r="G82" s="20">
        <v>0.6</v>
      </c>
      <c r="H82" s="28"/>
      <c r="I82" s="143">
        <v>500</v>
      </c>
      <c r="J82" s="144"/>
      <c r="K82" s="143"/>
      <c r="L82" s="144"/>
      <c r="M82" s="58"/>
      <c r="N82" s="6" t="s">
        <v>13</v>
      </c>
      <c r="O82" s="21"/>
      <c r="P82" s="157" t="s">
        <v>51</v>
      </c>
      <c r="Q82" s="158"/>
      <c r="R82" s="159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58"/>
      <c r="N83" s="6" t="s">
        <v>13</v>
      </c>
      <c r="O83" s="21"/>
      <c r="P83" s="160"/>
      <c r="Q83" s="161"/>
      <c r="R83" s="162"/>
    </row>
    <row r="84" spans="1:18" ht="14.55" hidden="1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58"/>
      <c r="N84" s="6" t="s">
        <v>13</v>
      </c>
      <c r="O84" s="21"/>
      <c r="P84" s="160"/>
      <c r="Q84" s="161"/>
      <c r="R84" s="162"/>
    </row>
    <row r="85" spans="1:18" ht="14.55" hidden="1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58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58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7"/>
      <c r="B87" s="148" t="s">
        <v>0</v>
      </c>
      <c r="C87" s="149"/>
      <c r="D87" s="149"/>
      <c r="E87" s="149"/>
      <c r="F87" s="149"/>
      <c r="G87" s="149"/>
      <c r="H87" s="171"/>
      <c r="I87" s="150">
        <f>SUM(I82:J86)</f>
        <v>500</v>
      </c>
      <c r="J87" s="151"/>
      <c r="K87" s="150">
        <f>SUM(K82:L86)</f>
        <v>0</v>
      </c>
      <c r="L87" s="151"/>
      <c r="M87" s="10">
        <f>SUM(M82:M86)</f>
        <v>0</v>
      </c>
      <c r="N87" s="11" t="s">
        <v>13</v>
      </c>
      <c r="O87" s="9"/>
      <c r="P87" s="163"/>
      <c r="Q87" s="164"/>
      <c r="R87" s="165"/>
    </row>
    <row r="88" spans="1:18" ht="14.55" customHeight="1" x14ac:dyDescent="0.3">
      <c r="A88" s="140" t="s">
        <v>25</v>
      </c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58"/>
      <c r="N88" s="6" t="s">
        <v>13</v>
      </c>
      <c r="O88" s="21"/>
      <c r="P88" s="145" t="s">
        <v>53</v>
      </c>
      <c r="Q88" s="169"/>
      <c r="R88" s="170"/>
    </row>
    <row r="89" spans="1:18" ht="14.55" hidden="1" customHeight="1" x14ac:dyDescent="0.3">
      <c r="A89" s="141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58"/>
      <c r="N89" s="6" t="s">
        <v>13</v>
      </c>
      <c r="O89" s="21"/>
      <c r="P89" s="168"/>
      <c r="Q89" s="169"/>
      <c r="R89" s="170"/>
    </row>
    <row r="90" spans="1:18" ht="14.55" hidden="1" customHeight="1" x14ac:dyDescent="0.3">
      <c r="A90" s="141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58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41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58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41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58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42"/>
      <c r="B93" s="148" t="s">
        <v>0</v>
      </c>
      <c r="C93" s="149"/>
      <c r="D93" s="149"/>
      <c r="E93" s="149"/>
      <c r="F93" s="149"/>
      <c r="G93" s="149"/>
      <c r="H93" s="149"/>
      <c r="I93" s="150">
        <f>SUM(I88:J92)</f>
        <v>0</v>
      </c>
      <c r="J93" s="151"/>
      <c r="K93" s="150">
        <f>SUM(K88:L92)</f>
        <v>0</v>
      </c>
      <c r="L93" s="151"/>
      <c r="M93" s="10">
        <f>SUM(M88:M92)</f>
        <v>0</v>
      </c>
      <c r="N93" s="11" t="s">
        <v>13</v>
      </c>
      <c r="O93" s="9"/>
      <c r="P93" s="168"/>
      <c r="Q93" s="169"/>
      <c r="R93" s="170"/>
    </row>
    <row r="95" spans="1:18" x14ac:dyDescent="0.3">
      <c r="E95" s="148" t="s">
        <v>26</v>
      </c>
      <c r="F95" s="149"/>
      <c r="G95" s="149"/>
      <c r="H95" s="149"/>
      <c r="I95" s="152" t="s">
        <v>23</v>
      </c>
      <c r="J95" s="153"/>
      <c r="K95" s="152" t="s">
        <v>11</v>
      </c>
      <c r="L95" s="153"/>
    </row>
    <row r="96" spans="1:18" s="36" customFormat="1" x14ac:dyDescent="0.3">
      <c r="E96" s="7"/>
      <c r="F96" s="7"/>
      <c r="G96" s="7"/>
      <c r="H96" s="7"/>
      <c r="I96" s="22">
        <f>I87+I93</f>
        <v>500</v>
      </c>
      <c r="J96" s="14" t="s">
        <v>12</v>
      </c>
      <c r="K96" s="22">
        <f>K87+K93</f>
        <v>0</v>
      </c>
      <c r="L96" s="15" t="s">
        <v>12</v>
      </c>
    </row>
    <row r="97" spans="1:18" ht="24.45" customHeight="1" x14ac:dyDescent="0.3">
      <c r="E97" s="13"/>
      <c r="F97" s="13"/>
      <c r="G97" s="13"/>
      <c r="H97" s="13"/>
      <c r="I97" s="154">
        <f>I96+K96</f>
        <v>500</v>
      </c>
      <c r="J97" s="155"/>
      <c r="K97" s="155"/>
      <c r="L97" s="156"/>
    </row>
    <row r="99" spans="1:18" s="8" customFormat="1" ht="30" customHeight="1" x14ac:dyDescent="0.3">
      <c r="A99" s="133" t="s">
        <v>131</v>
      </c>
      <c r="B99" s="134"/>
      <c r="C99" s="134"/>
      <c r="D99" s="134"/>
      <c r="E99" s="134"/>
      <c r="F99" s="134"/>
      <c r="G99" s="134"/>
      <c r="H99" s="134"/>
      <c r="I99" s="134"/>
      <c r="J99" s="134"/>
      <c r="K99" s="135"/>
      <c r="L99" s="135"/>
      <c r="M99" s="135"/>
      <c r="N99" s="135"/>
      <c r="O99" s="134"/>
      <c r="P99" s="134"/>
      <c r="Q99" s="134"/>
      <c r="R99" s="136"/>
    </row>
    <row r="100" spans="1:18" s="12" customFormat="1" ht="14.55" customHeight="1" x14ac:dyDescent="0.3">
      <c r="A100" s="128" t="s">
        <v>1</v>
      </c>
      <c r="B100" s="137" t="s">
        <v>2</v>
      </c>
      <c r="C100" s="137" t="s">
        <v>3</v>
      </c>
      <c r="D100" s="137" t="s">
        <v>4</v>
      </c>
      <c r="E100" s="124" t="s">
        <v>5</v>
      </c>
      <c r="F100" s="138" t="s">
        <v>14</v>
      </c>
      <c r="G100" s="138" t="s">
        <v>15</v>
      </c>
      <c r="H100" s="119" t="s">
        <v>27</v>
      </c>
      <c r="I100" s="121" t="s">
        <v>6</v>
      </c>
      <c r="J100" s="122"/>
      <c r="K100" s="122"/>
      <c r="L100" s="123"/>
      <c r="M100" s="124" t="s">
        <v>7</v>
      </c>
      <c r="N100" s="125"/>
      <c r="O100" s="128" t="s">
        <v>8</v>
      </c>
      <c r="P100" s="128" t="s">
        <v>9</v>
      </c>
      <c r="Q100" s="128"/>
      <c r="R100" s="128"/>
    </row>
    <row r="101" spans="1:18" s="12" customFormat="1" ht="13.05" customHeight="1" x14ac:dyDescent="0.3">
      <c r="A101" s="128"/>
      <c r="B101" s="137"/>
      <c r="C101" s="137"/>
      <c r="D101" s="137"/>
      <c r="E101" s="126"/>
      <c r="F101" s="139"/>
      <c r="G101" s="139"/>
      <c r="H101" s="120"/>
      <c r="I101" s="121" t="s">
        <v>23</v>
      </c>
      <c r="J101" s="123"/>
      <c r="K101" s="121" t="s">
        <v>11</v>
      </c>
      <c r="L101" s="123"/>
      <c r="M101" s="126"/>
      <c r="N101" s="127"/>
      <c r="O101" s="128"/>
      <c r="P101" s="128"/>
      <c r="Q101" s="128"/>
      <c r="R101" s="128"/>
    </row>
    <row r="102" spans="1:18" ht="14.55" customHeight="1" x14ac:dyDescent="0.3">
      <c r="A102" s="140" t="s">
        <v>132</v>
      </c>
      <c r="B102" s="5"/>
      <c r="C102" s="5"/>
      <c r="D102" s="4"/>
      <c r="E102" s="3"/>
      <c r="F102" s="19"/>
      <c r="G102" s="20"/>
      <c r="H102" s="28"/>
      <c r="I102" s="143"/>
      <c r="J102" s="144"/>
      <c r="K102" s="143"/>
      <c r="L102" s="144"/>
      <c r="M102" s="58"/>
      <c r="N102" s="6" t="s">
        <v>13</v>
      </c>
      <c r="O102" s="21"/>
      <c r="P102" s="157"/>
      <c r="Q102" s="158"/>
      <c r="R102" s="159"/>
    </row>
    <row r="103" spans="1:18" ht="14.55" customHeight="1" x14ac:dyDescent="0.3">
      <c r="A103" s="166"/>
      <c r="B103" s="5"/>
      <c r="C103" s="5"/>
      <c r="D103" s="4"/>
      <c r="E103" s="3"/>
      <c r="F103" s="19"/>
      <c r="G103" s="20"/>
      <c r="H103" s="28"/>
      <c r="I103" s="143"/>
      <c r="J103" s="144"/>
      <c r="K103" s="143"/>
      <c r="L103" s="144"/>
      <c r="M103" s="58"/>
      <c r="N103" s="6" t="s">
        <v>13</v>
      </c>
      <c r="O103" s="21"/>
      <c r="P103" s="160"/>
      <c r="Q103" s="161"/>
      <c r="R103" s="162"/>
    </row>
    <row r="104" spans="1:18" ht="14.55" customHeight="1" x14ac:dyDescent="0.3">
      <c r="A104" s="166"/>
      <c r="B104" s="5"/>
      <c r="C104" s="5"/>
      <c r="D104" s="4"/>
      <c r="E104" s="3"/>
      <c r="F104" s="19"/>
      <c r="G104" s="20"/>
      <c r="H104" s="28"/>
      <c r="I104" s="143"/>
      <c r="J104" s="144"/>
      <c r="K104" s="143"/>
      <c r="L104" s="144"/>
      <c r="M104" s="58"/>
      <c r="N104" s="6" t="s">
        <v>13</v>
      </c>
      <c r="O104" s="21"/>
      <c r="P104" s="160"/>
      <c r="Q104" s="161"/>
      <c r="R104" s="162"/>
    </row>
    <row r="105" spans="1:18" ht="14.55" customHeight="1" x14ac:dyDescent="0.3">
      <c r="A105" s="166"/>
      <c r="B105" s="5"/>
      <c r="C105" s="5"/>
      <c r="D105" s="4"/>
      <c r="E105" s="3"/>
      <c r="F105" s="19"/>
      <c r="G105" s="20"/>
      <c r="H105" s="28"/>
      <c r="I105" s="143"/>
      <c r="J105" s="144"/>
      <c r="K105" s="143"/>
      <c r="L105" s="144"/>
      <c r="M105" s="58"/>
      <c r="N105" s="6" t="s">
        <v>13</v>
      </c>
      <c r="O105" s="21"/>
      <c r="P105" s="160"/>
      <c r="Q105" s="161"/>
      <c r="R105" s="162"/>
    </row>
    <row r="106" spans="1:18" ht="14.55" customHeight="1" x14ac:dyDescent="0.3">
      <c r="A106" s="166"/>
      <c r="B106" s="5"/>
      <c r="C106" s="5"/>
      <c r="D106" s="4"/>
      <c r="E106" s="3"/>
      <c r="F106" s="19"/>
      <c r="G106" s="20"/>
      <c r="H106" s="28"/>
      <c r="I106" s="143"/>
      <c r="J106" s="144"/>
      <c r="K106" s="143"/>
      <c r="L106" s="144"/>
      <c r="M106" s="58"/>
      <c r="N106" s="6" t="s">
        <v>13</v>
      </c>
      <c r="O106" s="21"/>
      <c r="P106" s="160"/>
      <c r="Q106" s="161"/>
      <c r="R106" s="162"/>
    </row>
    <row r="107" spans="1:18" ht="14.55" customHeight="1" x14ac:dyDescent="0.3">
      <c r="A107" s="166"/>
      <c r="B107" s="5"/>
      <c r="C107" s="5"/>
      <c r="D107" s="4"/>
      <c r="E107" s="3"/>
      <c r="F107" s="19"/>
      <c r="G107" s="20"/>
      <c r="H107" s="28"/>
      <c r="I107" s="143"/>
      <c r="J107" s="144"/>
      <c r="K107" s="143"/>
      <c r="L107" s="144"/>
      <c r="M107" s="58"/>
      <c r="N107" s="6" t="s">
        <v>13</v>
      </c>
      <c r="O107" s="21"/>
      <c r="P107" s="160"/>
      <c r="Q107" s="161"/>
      <c r="R107" s="162"/>
    </row>
    <row r="108" spans="1:18" ht="14.55" customHeight="1" x14ac:dyDescent="0.3">
      <c r="A108" s="166"/>
      <c r="B108" s="5"/>
      <c r="C108" s="5"/>
      <c r="D108" s="4"/>
      <c r="E108" s="3"/>
      <c r="F108" s="19"/>
      <c r="G108" s="20"/>
      <c r="H108" s="28"/>
      <c r="I108" s="143"/>
      <c r="J108" s="144"/>
      <c r="K108" s="143"/>
      <c r="L108" s="144"/>
      <c r="M108" s="58"/>
      <c r="N108" s="6" t="s">
        <v>13</v>
      </c>
      <c r="O108" s="21"/>
      <c r="P108" s="160"/>
      <c r="Q108" s="161"/>
      <c r="R108" s="162"/>
    </row>
    <row r="109" spans="1:18" ht="14.55" customHeight="1" x14ac:dyDescent="0.3">
      <c r="A109" s="166"/>
      <c r="B109" s="5"/>
      <c r="C109" s="5"/>
      <c r="D109" s="4"/>
      <c r="E109" s="3"/>
      <c r="F109" s="19"/>
      <c r="G109" s="20"/>
      <c r="H109" s="28"/>
      <c r="I109" s="143"/>
      <c r="J109" s="144"/>
      <c r="K109" s="143"/>
      <c r="L109" s="144"/>
      <c r="M109" s="58"/>
      <c r="N109" s="6" t="s">
        <v>13</v>
      </c>
      <c r="O109" s="21"/>
      <c r="P109" s="160"/>
      <c r="Q109" s="161"/>
      <c r="R109" s="162"/>
    </row>
    <row r="110" spans="1:18" ht="14.55" customHeight="1" x14ac:dyDescent="0.3">
      <c r="A110" s="166"/>
      <c r="B110" s="5"/>
      <c r="C110" s="5"/>
      <c r="D110" s="4"/>
      <c r="E110" s="3"/>
      <c r="F110" s="19"/>
      <c r="G110" s="20"/>
      <c r="H110" s="28"/>
      <c r="I110" s="143"/>
      <c r="J110" s="144"/>
      <c r="K110" s="143"/>
      <c r="L110" s="144"/>
      <c r="M110" s="58"/>
      <c r="N110" s="6" t="s">
        <v>13</v>
      </c>
      <c r="O110" s="21"/>
      <c r="P110" s="160"/>
      <c r="Q110" s="161"/>
      <c r="R110" s="162"/>
    </row>
    <row r="111" spans="1:18" ht="14.55" customHeight="1" x14ac:dyDescent="0.3">
      <c r="A111" s="166"/>
      <c r="B111" s="5"/>
      <c r="C111" s="5"/>
      <c r="D111" s="4"/>
      <c r="E111" s="3"/>
      <c r="F111" s="19"/>
      <c r="G111" s="20"/>
      <c r="H111" s="28"/>
      <c r="I111" s="143"/>
      <c r="J111" s="144"/>
      <c r="K111" s="143"/>
      <c r="L111" s="144"/>
      <c r="M111" s="58"/>
      <c r="N111" s="6" t="s">
        <v>13</v>
      </c>
      <c r="O111" s="21"/>
      <c r="P111" s="160"/>
      <c r="Q111" s="161"/>
      <c r="R111" s="162"/>
    </row>
    <row r="112" spans="1:18" ht="14.55" customHeight="1" x14ac:dyDescent="0.3">
      <c r="A112" s="167"/>
      <c r="B112" s="148" t="s">
        <v>0</v>
      </c>
      <c r="C112" s="149"/>
      <c r="D112" s="149"/>
      <c r="E112" s="149"/>
      <c r="F112" s="149"/>
      <c r="G112" s="149"/>
      <c r="H112" s="149"/>
      <c r="I112" s="150">
        <f ca="1">SUM(I102:J112)</f>
        <v>0</v>
      </c>
      <c r="J112" s="151"/>
      <c r="K112" s="150">
        <f ca="1">SUM(K102:L112)</f>
        <v>0</v>
      </c>
      <c r="L112" s="151"/>
      <c r="M112" s="10">
        <f>SUM(M107:M111)</f>
        <v>0</v>
      </c>
      <c r="N112" s="11" t="s">
        <v>13</v>
      </c>
      <c r="O112" s="9"/>
      <c r="P112" s="163"/>
      <c r="Q112" s="164"/>
      <c r="R112" s="165"/>
    </row>
    <row r="114" spans="5:12" x14ac:dyDescent="0.3">
      <c r="E114" s="148" t="s">
        <v>26</v>
      </c>
      <c r="F114" s="149"/>
      <c r="G114" s="149"/>
      <c r="H114" s="149"/>
      <c r="I114" s="152" t="s">
        <v>23</v>
      </c>
      <c r="J114" s="153"/>
      <c r="K114" s="172" t="s">
        <v>11</v>
      </c>
      <c r="L114" s="153"/>
    </row>
    <row r="115" spans="5:12" s="36" customFormat="1" x14ac:dyDescent="0.3">
      <c r="E115" s="7"/>
      <c r="F115" s="7"/>
      <c r="G115" s="7"/>
      <c r="H115" s="7"/>
      <c r="I115" s="22">
        <f ca="1">I112</f>
        <v>0</v>
      </c>
      <c r="J115" s="14" t="s">
        <v>12</v>
      </c>
      <c r="K115" s="22">
        <f ca="1">K112</f>
        <v>0</v>
      </c>
      <c r="L115" s="15" t="s">
        <v>12</v>
      </c>
    </row>
    <row r="116" spans="5:12" ht="24.45" customHeight="1" x14ac:dyDescent="0.3">
      <c r="E116" s="13"/>
      <c r="F116" s="13"/>
      <c r="G116" s="13"/>
      <c r="H116" s="13"/>
      <c r="I116" s="154">
        <f ca="1">I115+K115</f>
        <v>0</v>
      </c>
      <c r="J116" s="155"/>
      <c r="K116" s="155"/>
      <c r="L116" s="156"/>
    </row>
  </sheetData>
  <mergeCells count="270">
    <mergeCell ref="I107:J107"/>
    <mergeCell ref="K107:L107"/>
    <mergeCell ref="I116:L116"/>
    <mergeCell ref="I111:J111"/>
    <mergeCell ref="K111:L111"/>
    <mergeCell ref="B112:H112"/>
    <mergeCell ref="I112:J112"/>
    <mergeCell ref="K112:L112"/>
    <mergeCell ref="E114:H114"/>
    <mergeCell ref="I114:J114"/>
    <mergeCell ref="K114:L114"/>
    <mergeCell ref="A102:A112"/>
    <mergeCell ref="I102:J102"/>
    <mergeCell ref="K102:L102"/>
    <mergeCell ref="P102:R112"/>
    <mergeCell ref="I103:J103"/>
    <mergeCell ref="K103:L103"/>
    <mergeCell ref="I104:J104"/>
    <mergeCell ref="F100:F101"/>
    <mergeCell ref="G100:G101"/>
    <mergeCell ref="H100:H101"/>
    <mergeCell ref="I100:L100"/>
    <mergeCell ref="M100:N101"/>
    <mergeCell ref="O100:O101"/>
    <mergeCell ref="I108:J108"/>
    <mergeCell ref="K108:L108"/>
    <mergeCell ref="I109:J109"/>
    <mergeCell ref="K109:L109"/>
    <mergeCell ref="I110:J110"/>
    <mergeCell ref="K110:L110"/>
    <mergeCell ref="K104:L104"/>
    <mergeCell ref="I105:J105"/>
    <mergeCell ref="K105:L105"/>
    <mergeCell ref="I106:J106"/>
    <mergeCell ref="K106:L106"/>
    <mergeCell ref="E95:H95"/>
    <mergeCell ref="I95:J95"/>
    <mergeCell ref="K95:L95"/>
    <mergeCell ref="I97:L97"/>
    <mergeCell ref="A99:R99"/>
    <mergeCell ref="A100:A101"/>
    <mergeCell ref="B100:B101"/>
    <mergeCell ref="C100:C101"/>
    <mergeCell ref="D100:D101"/>
    <mergeCell ref="E100:E101"/>
    <mergeCell ref="P100:R101"/>
    <mergeCell ref="I101:J101"/>
    <mergeCell ref="K101:L101"/>
    <mergeCell ref="P88:R93"/>
    <mergeCell ref="I89:J89"/>
    <mergeCell ref="K89:L89"/>
    <mergeCell ref="I90:J90"/>
    <mergeCell ref="K90:L90"/>
    <mergeCell ref="I91:J91"/>
    <mergeCell ref="K91:L91"/>
    <mergeCell ref="I92:J92"/>
    <mergeCell ref="K92:L92"/>
    <mergeCell ref="I93:J93"/>
    <mergeCell ref="B87:H87"/>
    <mergeCell ref="I87:J87"/>
    <mergeCell ref="K87:L87"/>
    <mergeCell ref="A88:A93"/>
    <mergeCell ref="I88:J88"/>
    <mergeCell ref="K88:L88"/>
    <mergeCell ref="B93:H93"/>
    <mergeCell ref="K93:L93"/>
    <mergeCell ref="A82:A87"/>
    <mergeCell ref="I82:J82"/>
    <mergeCell ref="K82:L82"/>
    <mergeCell ref="P82:R87"/>
    <mergeCell ref="I83:J83"/>
    <mergeCell ref="K83:L83"/>
    <mergeCell ref="I84:J84"/>
    <mergeCell ref="K84:L84"/>
    <mergeCell ref="I85:J85"/>
    <mergeCell ref="K85:L85"/>
    <mergeCell ref="K78:L78"/>
    <mergeCell ref="I79:J79"/>
    <mergeCell ref="K79:L79"/>
    <mergeCell ref="I80:J80"/>
    <mergeCell ref="K80:L80"/>
    <mergeCell ref="I86:J86"/>
    <mergeCell ref="K86:L86"/>
    <mergeCell ref="B81:H81"/>
    <mergeCell ref="I81:J81"/>
    <mergeCell ref="K81:L81"/>
    <mergeCell ref="P74:R75"/>
    <mergeCell ref="I75:J75"/>
    <mergeCell ref="K75:L75"/>
    <mergeCell ref="A76:A81"/>
    <mergeCell ref="I76:J76"/>
    <mergeCell ref="K76:L76"/>
    <mergeCell ref="P76:R81"/>
    <mergeCell ref="I77:J77"/>
    <mergeCell ref="K77:L77"/>
    <mergeCell ref="I78:J78"/>
    <mergeCell ref="F74:F75"/>
    <mergeCell ref="G74:G75"/>
    <mergeCell ref="H74:H75"/>
    <mergeCell ref="I74:L74"/>
    <mergeCell ref="M74:N75"/>
    <mergeCell ref="O74:O75"/>
    <mergeCell ref="A57:A67"/>
    <mergeCell ref="I57:J57"/>
    <mergeCell ref="K57:L57"/>
    <mergeCell ref="P57:R61"/>
    <mergeCell ref="I58:J58"/>
    <mergeCell ref="K58:L58"/>
    <mergeCell ref="I59:J59"/>
    <mergeCell ref="K59:L59"/>
    <mergeCell ref="I60:J60"/>
    <mergeCell ref="K60:L60"/>
    <mergeCell ref="K65:L65"/>
    <mergeCell ref="I66:J66"/>
    <mergeCell ref="K66:L66"/>
    <mergeCell ref="B67:H67"/>
    <mergeCell ref="I67:J67"/>
    <mergeCell ref="K67:L67"/>
    <mergeCell ref="I61:J61"/>
    <mergeCell ref="K61:L61"/>
    <mergeCell ref="I62:J62"/>
    <mergeCell ref="K62:L62"/>
    <mergeCell ref="P62:R67"/>
    <mergeCell ref="I63:J63"/>
    <mergeCell ref="K63:L63"/>
    <mergeCell ref="I64:J64"/>
    <mergeCell ref="E69:H69"/>
    <mergeCell ref="I69:J69"/>
    <mergeCell ref="K69:L69"/>
    <mergeCell ref="I71:L71"/>
    <mergeCell ref="A73:R73"/>
    <mergeCell ref="A74:A75"/>
    <mergeCell ref="B74:B75"/>
    <mergeCell ref="C74:C75"/>
    <mergeCell ref="D74:D75"/>
    <mergeCell ref="E74:E75"/>
    <mergeCell ref="M55:N56"/>
    <mergeCell ref="O55:O56"/>
    <mergeCell ref="P55:R56"/>
    <mergeCell ref="I56:J56"/>
    <mergeCell ref="K56:L56"/>
    <mergeCell ref="I52:L52"/>
    <mergeCell ref="A54:R54"/>
    <mergeCell ref="A55:A56"/>
    <mergeCell ref="B55:B56"/>
    <mergeCell ref="C55:C56"/>
    <mergeCell ref="D55:D56"/>
    <mergeCell ref="E55:E56"/>
    <mergeCell ref="F55:F56"/>
    <mergeCell ref="G55:G56"/>
    <mergeCell ref="H55:H56"/>
    <mergeCell ref="K64:L64"/>
    <mergeCell ref="I65:J65"/>
    <mergeCell ref="B48:H48"/>
    <mergeCell ref="I48:J48"/>
    <mergeCell ref="K48:L48"/>
    <mergeCell ref="E50:H50"/>
    <mergeCell ref="I50:J50"/>
    <mergeCell ref="K50:L50"/>
    <mergeCell ref="I45:J45"/>
    <mergeCell ref="K45:L45"/>
    <mergeCell ref="I46:J46"/>
    <mergeCell ref="K46:L46"/>
    <mergeCell ref="I47:J47"/>
    <mergeCell ref="K47:L47"/>
    <mergeCell ref="I55:L55"/>
    <mergeCell ref="K42:L42"/>
    <mergeCell ref="I43:J43"/>
    <mergeCell ref="K43:L43"/>
    <mergeCell ref="I44:J44"/>
    <mergeCell ref="K44:L44"/>
    <mergeCell ref="I39:J39"/>
    <mergeCell ref="K39:L39"/>
    <mergeCell ref="I40:J40"/>
    <mergeCell ref="K40:L40"/>
    <mergeCell ref="I41:J41"/>
    <mergeCell ref="K41:L41"/>
    <mergeCell ref="A33:A48"/>
    <mergeCell ref="I33:J33"/>
    <mergeCell ref="K33:L33"/>
    <mergeCell ref="P33:R48"/>
    <mergeCell ref="I34:J34"/>
    <mergeCell ref="K34:L34"/>
    <mergeCell ref="I35:J35"/>
    <mergeCell ref="F31:F32"/>
    <mergeCell ref="G31:G32"/>
    <mergeCell ref="H31:H32"/>
    <mergeCell ref="I31:L31"/>
    <mergeCell ref="M31:N32"/>
    <mergeCell ref="O31:O32"/>
    <mergeCell ref="K35:L35"/>
    <mergeCell ref="I36:J36"/>
    <mergeCell ref="K36:L36"/>
    <mergeCell ref="I37:J37"/>
    <mergeCell ref="K37:L37"/>
    <mergeCell ref="I38:J38"/>
    <mergeCell ref="K38:L38"/>
    <mergeCell ref="P31:R32"/>
    <mergeCell ref="I32:J32"/>
    <mergeCell ref="K32:L32"/>
    <mergeCell ref="I42:J42"/>
    <mergeCell ref="E26:H26"/>
    <mergeCell ref="I26:J26"/>
    <mergeCell ref="K26:L26"/>
    <mergeCell ref="I28:L28"/>
    <mergeCell ref="A30:R30"/>
    <mergeCell ref="A31:A32"/>
    <mergeCell ref="B31:B32"/>
    <mergeCell ref="C31:C32"/>
    <mergeCell ref="D31:D32"/>
    <mergeCell ref="E31:E32"/>
    <mergeCell ref="P16:R24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A7:A15"/>
    <mergeCell ref="I7:J7"/>
    <mergeCell ref="K7:L7"/>
    <mergeCell ref="I14:J14"/>
    <mergeCell ref="K14:L14"/>
    <mergeCell ref="B15:H15"/>
    <mergeCell ref="I15:J15"/>
    <mergeCell ref="K15:L15"/>
    <mergeCell ref="A16:A24"/>
    <mergeCell ref="I16:J16"/>
    <mergeCell ref="K16:L16"/>
    <mergeCell ref="K21:L21"/>
    <mergeCell ref="I22:J22"/>
    <mergeCell ref="K22:L22"/>
    <mergeCell ref="I23:J23"/>
    <mergeCell ref="K23:L23"/>
    <mergeCell ref="B24:H24"/>
    <mergeCell ref="I24:J24"/>
    <mergeCell ref="K24:L24"/>
    <mergeCell ref="P7:R15"/>
    <mergeCell ref="I8:J8"/>
    <mergeCell ref="K8:L8"/>
    <mergeCell ref="I9:J9"/>
    <mergeCell ref="K9:L9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I11:J11"/>
    <mergeCell ref="K11:L11"/>
    <mergeCell ref="I12:J12"/>
    <mergeCell ref="K12:L12"/>
    <mergeCell ref="I13:J13"/>
    <mergeCell ref="K13:L13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5"/>
  <sheetViews>
    <sheetView topLeftCell="A31" zoomScale="85" zoomScaleNormal="85" workbookViewId="0">
      <selection activeCell="E55" sqref="E55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45927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>
        <v>0.58333333333333337</v>
      </c>
      <c r="D7" s="4">
        <v>250069</v>
      </c>
      <c r="E7" s="3" t="s">
        <v>214</v>
      </c>
      <c r="F7" s="19">
        <v>304</v>
      </c>
      <c r="G7" s="20">
        <v>0.6</v>
      </c>
      <c r="H7" s="28"/>
      <c r="I7" s="143"/>
      <c r="J7" s="144"/>
      <c r="K7" s="143">
        <v>1000</v>
      </c>
      <c r="L7" s="144"/>
      <c r="M7" s="59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"/>
      <c r="E8" s="3"/>
      <c r="F8" s="19"/>
      <c r="G8" s="20"/>
      <c r="H8" s="28"/>
      <c r="I8" s="143"/>
      <c r="J8" s="144"/>
      <c r="K8" s="143"/>
      <c r="L8" s="144"/>
      <c r="M8" s="59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8"/>
      <c r="I9" s="143"/>
      <c r="J9" s="144"/>
      <c r="K9" s="143"/>
      <c r="L9" s="144"/>
      <c r="M9" s="59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59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0</v>
      </c>
      <c r="J11" s="151"/>
      <c r="K11" s="150">
        <f>SUM(K7:L10)</f>
        <v>1000</v>
      </c>
      <c r="L11" s="151"/>
      <c r="M11" s="10">
        <f>SUM(M7:M10)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59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66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59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59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35"/>
      <c r="E16" s="1"/>
      <c r="F16" s="1"/>
      <c r="G16" s="1"/>
      <c r="H16" s="1"/>
      <c r="M16" s="35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0</v>
      </c>
      <c r="J18" s="14" t="s">
        <v>12</v>
      </c>
      <c r="K18" s="22">
        <f>K11+K15</f>
        <v>1000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1000</v>
      </c>
      <c r="J19" s="155"/>
      <c r="K19" s="155"/>
      <c r="L19" s="156"/>
    </row>
    <row r="20" spans="1:18" ht="15" customHeight="1" x14ac:dyDescent="0.3">
      <c r="D20" s="35"/>
      <c r="I20" s="35"/>
      <c r="J20" s="35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250063</v>
      </c>
      <c r="E24" s="3" t="s">
        <v>229</v>
      </c>
      <c r="F24" s="19">
        <v>430</v>
      </c>
      <c r="G24" s="20">
        <v>0.5</v>
      </c>
      <c r="H24" s="28" t="s">
        <v>137</v>
      </c>
      <c r="I24" s="143">
        <v>1000</v>
      </c>
      <c r="J24" s="144"/>
      <c r="K24" s="143"/>
      <c r="L24" s="144"/>
      <c r="M24" s="59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>
        <v>250060</v>
      </c>
      <c r="E25" s="3" t="s">
        <v>220</v>
      </c>
      <c r="F25" s="19">
        <v>304</v>
      </c>
      <c r="G25" s="20">
        <v>0.6</v>
      </c>
      <c r="H25" s="28" t="s">
        <v>137</v>
      </c>
      <c r="I25" s="143">
        <v>192</v>
      </c>
      <c r="J25" s="144"/>
      <c r="K25" s="143"/>
      <c r="L25" s="144"/>
      <c r="M25" s="59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>
        <v>0.58333333333333337</v>
      </c>
      <c r="D26" s="4">
        <v>250060</v>
      </c>
      <c r="E26" s="3" t="s">
        <v>226</v>
      </c>
      <c r="F26" s="19">
        <v>304</v>
      </c>
      <c r="G26" s="20">
        <v>0.6</v>
      </c>
      <c r="H26" s="28" t="s">
        <v>137</v>
      </c>
      <c r="I26" s="143">
        <v>298</v>
      </c>
      <c r="J26" s="144"/>
      <c r="K26" s="143"/>
      <c r="L26" s="144"/>
      <c r="M26" s="59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/>
      <c r="E27" s="3"/>
      <c r="F27" s="19"/>
      <c r="G27" s="20"/>
      <c r="H27" s="28"/>
      <c r="I27" s="143"/>
      <c r="J27" s="144"/>
      <c r="K27" s="143"/>
      <c r="L27" s="144"/>
      <c r="M27" s="59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59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59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59"/>
      <c r="N30" s="6" t="s">
        <v>13</v>
      </c>
      <c r="O30" s="21"/>
      <c r="P30" s="160"/>
      <c r="Q30" s="161"/>
      <c r="R30" s="162"/>
    </row>
    <row r="31" spans="1:18" ht="14.55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59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59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6"/>
      <c r="B33" s="5"/>
      <c r="C33" s="5"/>
      <c r="D33" s="4"/>
      <c r="E33" s="3"/>
      <c r="F33" s="19"/>
      <c r="G33" s="20"/>
      <c r="H33" s="28"/>
      <c r="I33" s="143"/>
      <c r="J33" s="144"/>
      <c r="K33" s="143"/>
      <c r="L33" s="144"/>
      <c r="M33" s="59"/>
      <c r="N33" s="6" t="s">
        <v>13</v>
      </c>
      <c r="O33" s="21"/>
      <c r="P33" s="160"/>
      <c r="Q33" s="161"/>
      <c r="R33" s="162"/>
    </row>
    <row r="34" spans="1:18" ht="14.55" customHeight="1" x14ac:dyDescent="0.3">
      <c r="A34" s="166"/>
      <c r="B34" s="5"/>
      <c r="C34" s="5"/>
      <c r="D34" s="4"/>
      <c r="E34" s="3"/>
      <c r="F34" s="19"/>
      <c r="G34" s="20"/>
      <c r="H34" s="28"/>
      <c r="I34" s="143"/>
      <c r="J34" s="144"/>
      <c r="K34" s="143"/>
      <c r="L34" s="144"/>
      <c r="M34" s="59"/>
      <c r="N34" s="6" t="s">
        <v>13</v>
      </c>
      <c r="O34" s="21"/>
      <c r="P34" s="160"/>
      <c r="Q34" s="161"/>
      <c r="R34" s="162"/>
    </row>
    <row r="35" spans="1:18" ht="14.55" customHeight="1" x14ac:dyDescent="0.3">
      <c r="A35" s="166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59"/>
      <c r="N35" s="6" t="s">
        <v>13</v>
      </c>
      <c r="O35" s="21"/>
      <c r="P35" s="160"/>
      <c r="Q35" s="161"/>
      <c r="R35" s="162"/>
    </row>
    <row r="36" spans="1:18" ht="14.55" customHeight="1" x14ac:dyDescent="0.3">
      <c r="A36" s="166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59"/>
      <c r="N36" s="6" t="s">
        <v>13</v>
      </c>
      <c r="O36" s="21"/>
      <c r="P36" s="160"/>
      <c r="Q36" s="161"/>
      <c r="R36" s="162"/>
    </row>
    <row r="37" spans="1:18" ht="14.55" customHeight="1" x14ac:dyDescent="0.3">
      <c r="A37" s="166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59"/>
      <c r="N37" s="6" t="s">
        <v>13</v>
      </c>
      <c r="O37" s="21"/>
      <c r="P37" s="160"/>
      <c r="Q37" s="161"/>
      <c r="R37" s="162"/>
    </row>
    <row r="38" spans="1:18" ht="14.55" customHeight="1" x14ac:dyDescent="0.3">
      <c r="A38" s="166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59"/>
      <c r="N38" s="6" t="s">
        <v>13</v>
      </c>
      <c r="O38" s="21"/>
      <c r="P38" s="160"/>
      <c r="Q38" s="161"/>
      <c r="R38" s="162"/>
    </row>
    <row r="39" spans="1:18" ht="14.55" customHeight="1" x14ac:dyDescent="0.3">
      <c r="A39" s="167"/>
      <c r="B39" s="148" t="s">
        <v>0</v>
      </c>
      <c r="C39" s="149"/>
      <c r="D39" s="149"/>
      <c r="E39" s="149"/>
      <c r="F39" s="149"/>
      <c r="G39" s="149"/>
      <c r="H39" s="149"/>
      <c r="I39" s="150">
        <f>SUM(I24:J38)</f>
        <v>1490</v>
      </c>
      <c r="J39" s="151"/>
      <c r="K39" s="150">
        <f>SUM(K24:L38)</f>
        <v>0</v>
      </c>
      <c r="L39" s="151"/>
      <c r="M39" s="10">
        <f>SUM(M34:M38)</f>
        <v>0</v>
      </c>
      <c r="N39" s="11" t="s">
        <v>13</v>
      </c>
      <c r="O39" s="9"/>
      <c r="P39" s="163"/>
      <c r="Q39" s="164"/>
      <c r="R39" s="165"/>
    </row>
    <row r="40" spans="1:18" ht="14.55" customHeight="1" x14ac:dyDescent="0.3">
      <c r="D40" s="35"/>
      <c r="E40" s="1"/>
      <c r="F40" s="1"/>
      <c r="G40" s="1"/>
      <c r="H40" s="1"/>
      <c r="M40" s="35"/>
    </row>
    <row r="41" spans="1:18" x14ac:dyDescent="0.3">
      <c r="E41" s="148" t="s">
        <v>33</v>
      </c>
      <c r="F41" s="149"/>
      <c r="G41" s="149"/>
      <c r="H41" s="149"/>
      <c r="I41" s="152" t="s">
        <v>19</v>
      </c>
      <c r="J41" s="153"/>
      <c r="K41" s="152" t="s">
        <v>20</v>
      </c>
      <c r="L41" s="153"/>
    </row>
    <row r="42" spans="1:18" s="36" customFormat="1" x14ac:dyDescent="0.3">
      <c r="E42" s="7"/>
      <c r="F42" s="7"/>
      <c r="G42" s="7"/>
      <c r="H42" s="7"/>
      <c r="I42" s="22">
        <f>I39</f>
        <v>1490</v>
      </c>
      <c r="J42" s="14" t="s">
        <v>12</v>
      </c>
      <c r="K42" s="22">
        <f>K39</f>
        <v>0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1490</v>
      </c>
      <c r="J43" s="155"/>
      <c r="K43" s="155"/>
      <c r="L43" s="156"/>
    </row>
    <row r="45" spans="1:18" s="8" customFormat="1" ht="30" customHeight="1" x14ac:dyDescent="0.3">
      <c r="A45" s="133" t="s">
        <v>30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5"/>
      <c r="L45" s="135"/>
      <c r="M45" s="135"/>
      <c r="N45" s="135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29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19</v>
      </c>
      <c r="J47" s="123"/>
      <c r="K47" s="121" t="s">
        <v>20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35</v>
      </c>
      <c r="B48" s="5">
        <v>0.33333333333333331</v>
      </c>
      <c r="C48" s="5"/>
      <c r="D48" s="4">
        <v>250064</v>
      </c>
      <c r="E48" s="3" t="s">
        <v>145</v>
      </c>
      <c r="F48" s="19">
        <v>430</v>
      </c>
      <c r="G48" s="20">
        <v>0.5</v>
      </c>
      <c r="H48" s="28" t="s">
        <v>130</v>
      </c>
      <c r="I48" s="143">
        <v>183</v>
      </c>
      <c r="J48" s="144"/>
      <c r="K48" s="143"/>
      <c r="L48" s="144"/>
      <c r="M48" s="59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66"/>
      <c r="B49" s="5"/>
      <c r="C49" s="5"/>
      <c r="D49" s="4">
        <v>250065</v>
      </c>
      <c r="E49" s="3" t="s">
        <v>195</v>
      </c>
      <c r="F49" s="19">
        <v>430</v>
      </c>
      <c r="G49" s="20">
        <v>0.5</v>
      </c>
      <c r="H49" s="28" t="s">
        <v>130</v>
      </c>
      <c r="I49" s="143">
        <v>736</v>
      </c>
      <c r="J49" s="144"/>
      <c r="K49" s="143"/>
      <c r="L49" s="144"/>
      <c r="M49" s="59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66"/>
      <c r="B50" s="5"/>
      <c r="C50" s="5"/>
      <c r="D50" s="4">
        <v>250063</v>
      </c>
      <c r="E50" s="3" t="s">
        <v>230</v>
      </c>
      <c r="F50" s="19">
        <v>430</v>
      </c>
      <c r="G50" s="20">
        <v>0.5</v>
      </c>
      <c r="H50" s="28" t="s">
        <v>130</v>
      </c>
      <c r="I50" s="143">
        <v>1248</v>
      </c>
      <c r="J50" s="144"/>
      <c r="K50" s="143"/>
      <c r="L50" s="144"/>
      <c r="M50" s="59"/>
      <c r="N50" s="6" t="s">
        <v>13</v>
      </c>
      <c r="O50" s="21"/>
      <c r="P50" s="168"/>
      <c r="Q50" s="169"/>
      <c r="R50" s="170"/>
    </row>
    <row r="51" spans="1:18" ht="14.55" customHeight="1" x14ac:dyDescent="0.3">
      <c r="A51" s="166"/>
      <c r="B51" s="5"/>
      <c r="C51" s="5"/>
      <c r="D51" s="4">
        <v>250043</v>
      </c>
      <c r="E51" s="3" t="s">
        <v>228</v>
      </c>
      <c r="F51" s="19">
        <v>430</v>
      </c>
      <c r="G51" s="20">
        <v>0.5</v>
      </c>
      <c r="H51" s="28" t="s">
        <v>130</v>
      </c>
      <c r="I51" s="143">
        <v>630</v>
      </c>
      <c r="J51" s="144"/>
      <c r="K51" s="143"/>
      <c r="L51" s="144"/>
      <c r="M51" s="59"/>
      <c r="N51" s="6" t="s">
        <v>13</v>
      </c>
      <c r="O51" s="21"/>
      <c r="P51" s="168"/>
      <c r="Q51" s="169"/>
      <c r="R51" s="170"/>
    </row>
    <row r="52" spans="1:18" ht="14.55" customHeight="1" x14ac:dyDescent="0.3">
      <c r="A52" s="166"/>
      <c r="B52" s="5"/>
      <c r="C52" s="5"/>
      <c r="D52" s="4">
        <v>250062</v>
      </c>
      <c r="E52" s="3" t="s">
        <v>231</v>
      </c>
      <c r="F52" s="19">
        <v>304</v>
      </c>
      <c r="G52" s="20">
        <v>0.6</v>
      </c>
      <c r="H52" s="28" t="s">
        <v>130</v>
      </c>
      <c r="I52" s="143">
        <v>128</v>
      </c>
      <c r="J52" s="144"/>
      <c r="K52" s="143"/>
      <c r="L52" s="144"/>
      <c r="M52" s="59"/>
      <c r="N52" s="6" t="s">
        <v>13</v>
      </c>
      <c r="O52" s="21"/>
      <c r="P52" s="168"/>
      <c r="Q52" s="169"/>
      <c r="R52" s="170"/>
    </row>
    <row r="53" spans="1:18" ht="14.55" customHeight="1" x14ac:dyDescent="0.3">
      <c r="A53" s="166"/>
      <c r="B53" s="5"/>
      <c r="C53" s="5"/>
      <c r="D53" s="4">
        <v>250062</v>
      </c>
      <c r="E53" s="3" t="s">
        <v>232</v>
      </c>
      <c r="F53" s="19">
        <v>304</v>
      </c>
      <c r="G53" s="20">
        <v>0.6</v>
      </c>
      <c r="H53" s="28" t="s">
        <v>130</v>
      </c>
      <c r="I53" s="143">
        <v>126</v>
      </c>
      <c r="J53" s="144"/>
      <c r="K53" s="143"/>
      <c r="L53" s="144"/>
      <c r="M53" s="59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66"/>
      <c r="B54" s="5"/>
      <c r="C54" s="5">
        <v>0.875</v>
      </c>
      <c r="D54" s="4">
        <v>250062</v>
      </c>
      <c r="E54" s="3" t="s">
        <v>233</v>
      </c>
      <c r="F54" s="19">
        <v>304</v>
      </c>
      <c r="G54" s="20">
        <v>0.6</v>
      </c>
      <c r="H54" s="28" t="s">
        <v>130</v>
      </c>
      <c r="I54" s="143">
        <v>304</v>
      </c>
      <c r="J54" s="144"/>
      <c r="K54" s="143"/>
      <c r="L54" s="144"/>
      <c r="M54" s="59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66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59"/>
      <c r="N55" s="6" t="s">
        <v>13</v>
      </c>
      <c r="O55" s="21"/>
      <c r="P55" s="168"/>
      <c r="Q55" s="169"/>
      <c r="R55" s="170"/>
    </row>
    <row r="56" spans="1:18" ht="14.55" customHeight="1" x14ac:dyDescent="0.3">
      <c r="A56" s="166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59"/>
      <c r="N56" s="6" t="s">
        <v>13</v>
      </c>
      <c r="O56" s="21"/>
      <c r="P56" s="168"/>
      <c r="Q56" s="169"/>
      <c r="R56" s="170"/>
    </row>
    <row r="57" spans="1:18" ht="14.55" customHeight="1" x14ac:dyDescent="0.3">
      <c r="A57" s="166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59"/>
      <c r="N57" s="6" t="s">
        <v>13</v>
      </c>
      <c r="O57" s="21"/>
      <c r="P57" s="168"/>
      <c r="Q57" s="169"/>
      <c r="R57" s="170"/>
    </row>
    <row r="58" spans="1:18" ht="14.55" customHeight="1" x14ac:dyDescent="0.3">
      <c r="A58" s="167"/>
      <c r="B58" s="148" t="s">
        <v>0</v>
      </c>
      <c r="C58" s="149"/>
      <c r="D58" s="149"/>
      <c r="E58" s="149"/>
      <c r="F58" s="149"/>
      <c r="G58" s="149"/>
      <c r="H58" s="149"/>
      <c r="I58" s="150">
        <f>SUM(I48:J57)</f>
        <v>3355</v>
      </c>
      <c r="J58" s="151"/>
      <c r="K58" s="150">
        <f>SUM(K48:L57)</f>
        <v>0</v>
      </c>
      <c r="L58" s="151"/>
      <c r="M58" s="10">
        <f>SUM(M53:M57)</f>
        <v>0</v>
      </c>
      <c r="N58" s="11" t="s">
        <v>13</v>
      </c>
      <c r="O58" s="9"/>
      <c r="P58" s="168"/>
      <c r="Q58" s="169"/>
      <c r="R58" s="170"/>
    </row>
    <row r="59" spans="1:18" ht="14.55" customHeight="1" x14ac:dyDescent="0.3">
      <c r="D59" s="35"/>
      <c r="E59" s="1"/>
      <c r="F59" s="1"/>
      <c r="G59" s="1"/>
      <c r="H59" s="1"/>
      <c r="M59" s="35"/>
    </row>
    <row r="60" spans="1:18" x14ac:dyDescent="0.3">
      <c r="E60" s="148" t="s">
        <v>34</v>
      </c>
      <c r="F60" s="149"/>
      <c r="G60" s="149"/>
      <c r="H60" s="149"/>
      <c r="I60" s="152" t="s">
        <v>19</v>
      </c>
      <c r="J60" s="153"/>
      <c r="K60" s="152" t="s">
        <v>20</v>
      </c>
      <c r="L60" s="153"/>
    </row>
    <row r="61" spans="1:18" s="36" customFormat="1" x14ac:dyDescent="0.3">
      <c r="E61" s="7"/>
      <c r="F61" s="7"/>
      <c r="G61" s="7"/>
      <c r="H61" s="7"/>
      <c r="I61" s="22">
        <f>I58</f>
        <v>3355</v>
      </c>
      <c r="J61" s="14" t="s">
        <v>12</v>
      </c>
      <c r="K61" s="22">
        <f>K58</f>
        <v>0</v>
      </c>
      <c r="L61" s="15" t="s">
        <v>12</v>
      </c>
    </row>
    <row r="62" spans="1:18" s="1" customFormat="1" ht="24.45" customHeight="1" x14ac:dyDescent="0.3">
      <c r="A62" s="35"/>
      <c r="B62" s="35"/>
      <c r="C62" s="35"/>
      <c r="E62" s="13"/>
      <c r="F62" s="13"/>
      <c r="G62" s="13"/>
      <c r="H62" s="13"/>
      <c r="I62" s="154">
        <f>I61+K61</f>
        <v>3355</v>
      </c>
      <c r="J62" s="155"/>
      <c r="K62" s="155"/>
      <c r="L62" s="156"/>
      <c r="N62" s="35"/>
      <c r="O62" s="35"/>
      <c r="P62" s="35"/>
      <c r="Q62" s="35"/>
      <c r="R62" s="35"/>
    </row>
    <row r="64" spans="1:18" s="8" customFormat="1" ht="30" customHeight="1" x14ac:dyDescent="0.3">
      <c r="A64" s="133" t="s">
        <v>22</v>
      </c>
      <c r="B64" s="134"/>
      <c r="C64" s="134"/>
      <c r="D64" s="134"/>
      <c r="E64" s="134"/>
      <c r="F64" s="134"/>
      <c r="G64" s="134"/>
      <c r="H64" s="134"/>
      <c r="I64" s="134"/>
      <c r="J64" s="134"/>
      <c r="K64" s="135"/>
      <c r="L64" s="135"/>
      <c r="M64" s="135"/>
      <c r="N64" s="135"/>
      <c r="O64" s="134"/>
      <c r="P64" s="134"/>
      <c r="Q64" s="134"/>
      <c r="R64" s="136"/>
    </row>
    <row r="65" spans="1:18" s="12" customFormat="1" ht="14.55" customHeight="1" x14ac:dyDescent="0.3">
      <c r="A65" s="128" t="s">
        <v>1</v>
      </c>
      <c r="B65" s="137" t="s">
        <v>2</v>
      </c>
      <c r="C65" s="137" t="s">
        <v>3</v>
      </c>
      <c r="D65" s="137" t="s">
        <v>4</v>
      </c>
      <c r="E65" s="124" t="s">
        <v>5</v>
      </c>
      <c r="F65" s="138" t="s">
        <v>14</v>
      </c>
      <c r="G65" s="138" t="s">
        <v>15</v>
      </c>
      <c r="H65" s="119" t="s">
        <v>27</v>
      </c>
      <c r="I65" s="121" t="s">
        <v>6</v>
      </c>
      <c r="J65" s="122"/>
      <c r="K65" s="122"/>
      <c r="L65" s="123"/>
      <c r="M65" s="124" t="s">
        <v>7</v>
      </c>
      <c r="N65" s="125"/>
      <c r="O65" s="128" t="s">
        <v>8</v>
      </c>
      <c r="P65" s="128" t="s">
        <v>9</v>
      </c>
      <c r="Q65" s="128"/>
      <c r="R65" s="128"/>
    </row>
    <row r="66" spans="1:18" s="12" customFormat="1" ht="13.05" customHeight="1" x14ac:dyDescent="0.3">
      <c r="A66" s="128"/>
      <c r="B66" s="137"/>
      <c r="C66" s="137"/>
      <c r="D66" s="137"/>
      <c r="E66" s="126"/>
      <c r="F66" s="139"/>
      <c r="G66" s="139"/>
      <c r="H66" s="120"/>
      <c r="I66" s="121" t="s">
        <v>23</v>
      </c>
      <c r="J66" s="123"/>
      <c r="K66" s="121" t="s">
        <v>11</v>
      </c>
      <c r="L66" s="123"/>
      <c r="M66" s="126"/>
      <c r="N66" s="127"/>
      <c r="O66" s="128"/>
      <c r="P66" s="128"/>
      <c r="Q66" s="128"/>
      <c r="R66" s="128"/>
    </row>
    <row r="67" spans="1:18" ht="14.55" customHeight="1" x14ac:dyDescent="0.3">
      <c r="A67" s="140" t="s">
        <v>28</v>
      </c>
      <c r="B67" s="5">
        <v>0.33333333333333331</v>
      </c>
      <c r="C67" s="5"/>
      <c r="D67" s="4">
        <v>250057</v>
      </c>
      <c r="E67" s="3" t="s">
        <v>217</v>
      </c>
      <c r="F67" s="19">
        <v>304</v>
      </c>
      <c r="G67" s="20">
        <v>0.6</v>
      </c>
      <c r="H67" s="28"/>
      <c r="I67" s="143">
        <v>1000</v>
      </c>
      <c r="J67" s="144"/>
      <c r="K67" s="143"/>
      <c r="L67" s="144"/>
      <c r="M67" s="59"/>
      <c r="N67" s="6" t="s">
        <v>13</v>
      </c>
      <c r="O67" s="21"/>
      <c r="P67" s="168" t="s">
        <v>50</v>
      </c>
      <c r="Q67" s="169"/>
      <c r="R67" s="170"/>
    </row>
    <row r="68" spans="1:18" ht="14.55" customHeight="1" x14ac:dyDescent="0.3">
      <c r="A68" s="141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59"/>
      <c r="N68" s="6" t="s">
        <v>13</v>
      </c>
      <c r="O68" s="21"/>
      <c r="P68" s="168"/>
      <c r="Q68" s="169"/>
      <c r="R68" s="170"/>
    </row>
    <row r="69" spans="1:18" ht="14.55" customHeight="1" x14ac:dyDescent="0.3">
      <c r="A69" s="141"/>
      <c r="B69" s="5"/>
      <c r="C69" s="5"/>
      <c r="D69" s="4"/>
      <c r="E69" s="3"/>
      <c r="F69" s="19"/>
      <c r="G69" s="20"/>
      <c r="H69" s="28"/>
      <c r="I69" s="143"/>
      <c r="J69" s="144"/>
      <c r="K69" s="143"/>
      <c r="L69" s="144"/>
      <c r="M69" s="59"/>
      <c r="N69" s="6" t="s">
        <v>13</v>
      </c>
      <c r="O69" s="21"/>
      <c r="P69" s="168"/>
      <c r="Q69" s="169"/>
      <c r="R69" s="170"/>
    </row>
    <row r="70" spans="1:18" ht="14.55" customHeight="1" x14ac:dyDescent="0.3">
      <c r="A70" s="142"/>
      <c r="B70" s="148" t="s">
        <v>0</v>
      </c>
      <c r="C70" s="149"/>
      <c r="D70" s="149"/>
      <c r="E70" s="149"/>
      <c r="F70" s="149"/>
      <c r="G70" s="149"/>
      <c r="H70" s="171"/>
      <c r="I70" s="150">
        <f>SUM(I67:J69)</f>
        <v>1000</v>
      </c>
      <c r="J70" s="151"/>
      <c r="K70" s="150">
        <f>SUM(K67:L69)</f>
        <v>0</v>
      </c>
      <c r="L70" s="151"/>
      <c r="M70" s="10">
        <f>SUM(M67:M69)</f>
        <v>0</v>
      </c>
      <c r="N70" s="11" t="s">
        <v>13</v>
      </c>
      <c r="O70" s="9"/>
      <c r="P70" s="168"/>
      <c r="Q70" s="169"/>
      <c r="R70" s="170"/>
    </row>
    <row r="71" spans="1:18" ht="14.55" customHeight="1" x14ac:dyDescent="0.3">
      <c r="A71" s="140" t="s">
        <v>24</v>
      </c>
      <c r="B71" s="5">
        <v>0.33333333333333331</v>
      </c>
      <c r="C71" s="5"/>
      <c r="D71" s="4">
        <v>250057</v>
      </c>
      <c r="E71" s="3" t="s">
        <v>215</v>
      </c>
      <c r="F71" s="19">
        <v>304</v>
      </c>
      <c r="G71" s="20">
        <v>0.6</v>
      </c>
      <c r="H71" s="28"/>
      <c r="I71" s="143">
        <v>500</v>
      </c>
      <c r="J71" s="144"/>
      <c r="K71" s="143"/>
      <c r="L71" s="144"/>
      <c r="M71" s="59"/>
      <c r="N71" s="6" t="s">
        <v>13</v>
      </c>
      <c r="O71" s="21"/>
      <c r="P71" s="157" t="s">
        <v>51</v>
      </c>
      <c r="Q71" s="158"/>
      <c r="R71" s="159"/>
    </row>
    <row r="72" spans="1:18" ht="14.55" customHeight="1" x14ac:dyDescent="0.3">
      <c r="A72" s="166"/>
      <c r="B72" s="5"/>
      <c r="C72" s="5"/>
      <c r="D72" s="4">
        <v>250057</v>
      </c>
      <c r="E72" s="3" t="s">
        <v>216</v>
      </c>
      <c r="F72" s="19">
        <v>304</v>
      </c>
      <c r="G72" s="20">
        <v>0.6</v>
      </c>
      <c r="H72" s="28"/>
      <c r="I72" s="143">
        <v>300</v>
      </c>
      <c r="J72" s="144"/>
      <c r="K72" s="143"/>
      <c r="L72" s="144"/>
      <c r="M72" s="59"/>
      <c r="N72" s="6" t="s">
        <v>13</v>
      </c>
      <c r="O72" s="21"/>
      <c r="P72" s="160"/>
      <c r="Q72" s="161"/>
      <c r="R72" s="162"/>
    </row>
    <row r="73" spans="1:18" ht="14.55" hidden="1" customHeight="1" x14ac:dyDescent="0.3">
      <c r="A73" s="166"/>
      <c r="B73" s="5"/>
      <c r="C73" s="5"/>
      <c r="D73" s="4"/>
      <c r="E73" s="3"/>
      <c r="F73" s="19"/>
      <c r="G73" s="20"/>
      <c r="H73" s="28"/>
      <c r="I73" s="143"/>
      <c r="J73" s="144"/>
      <c r="K73" s="143"/>
      <c r="L73" s="144"/>
      <c r="M73" s="59"/>
      <c r="N73" s="6" t="s">
        <v>13</v>
      </c>
      <c r="O73" s="21"/>
      <c r="P73" s="160"/>
      <c r="Q73" s="161"/>
      <c r="R73" s="162"/>
    </row>
    <row r="74" spans="1:18" ht="14.55" hidden="1" customHeight="1" x14ac:dyDescent="0.3">
      <c r="A74" s="166"/>
      <c r="B74" s="5"/>
      <c r="C74" s="5"/>
      <c r="D74" s="4"/>
      <c r="E74" s="3"/>
      <c r="F74" s="19"/>
      <c r="G74" s="20"/>
      <c r="H74" s="28"/>
      <c r="I74" s="143"/>
      <c r="J74" s="144"/>
      <c r="K74" s="143"/>
      <c r="L74" s="144"/>
      <c r="M74" s="59"/>
      <c r="N74" s="6" t="s">
        <v>13</v>
      </c>
      <c r="O74" s="21"/>
      <c r="P74" s="160"/>
      <c r="Q74" s="161"/>
      <c r="R74" s="162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59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7"/>
      <c r="B76" s="148" t="s">
        <v>0</v>
      </c>
      <c r="C76" s="149"/>
      <c r="D76" s="149"/>
      <c r="E76" s="149"/>
      <c r="F76" s="149"/>
      <c r="G76" s="149"/>
      <c r="H76" s="171"/>
      <c r="I76" s="150">
        <f>SUM(I71:J75)</f>
        <v>800</v>
      </c>
      <c r="J76" s="151"/>
      <c r="K76" s="150">
        <f>SUM(K71:L75)</f>
        <v>0</v>
      </c>
      <c r="L76" s="151"/>
      <c r="M76" s="10">
        <f>SUM(M71:M75)</f>
        <v>0</v>
      </c>
      <c r="N76" s="11" t="s">
        <v>13</v>
      </c>
      <c r="O76" s="9"/>
      <c r="P76" s="163"/>
      <c r="Q76" s="164"/>
      <c r="R76" s="165"/>
    </row>
    <row r="77" spans="1:18" ht="14.55" customHeight="1" x14ac:dyDescent="0.3">
      <c r="A77" s="140" t="s">
        <v>25</v>
      </c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59"/>
      <c r="N77" s="6" t="s">
        <v>13</v>
      </c>
      <c r="O77" s="21"/>
      <c r="P77" s="145" t="s">
        <v>53</v>
      </c>
      <c r="Q77" s="169"/>
      <c r="R77" s="170"/>
    </row>
    <row r="78" spans="1:18" ht="14.55" hidden="1" customHeight="1" x14ac:dyDescent="0.3">
      <c r="A78" s="141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59"/>
      <c r="N78" s="6" t="s">
        <v>13</v>
      </c>
      <c r="O78" s="21"/>
      <c r="P78" s="168"/>
      <c r="Q78" s="169"/>
      <c r="R78" s="170"/>
    </row>
    <row r="79" spans="1:18" ht="14.55" hidden="1" customHeight="1" x14ac:dyDescent="0.3">
      <c r="A79" s="141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59"/>
      <c r="N79" s="6" t="s">
        <v>13</v>
      </c>
      <c r="O79" s="21"/>
      <c r="P79" s="168"/>
      <c r="Q79" s="169"/>
      <c r="R79" s="170"/>
    </row>
    <row r="80" spans="1:18" ht="14.55" customHeight="1" x14ac:dyDescent="0.3">
      <c r="A80" s="141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59"/>
      <c r="N80" s="6" t="s">
        <v>13</v>
      </c>
      <c r="O80" s="21"/>
      <c r="P80" s="168"/>
      <c r="Q80" s="169"/>
      <c r="R80" s="170"/>
    </row>
    <row r="81" spans="1:18" ht="14.55" customHeight="1" x14ac:dyDescent="0.3">
      <c r="A81" s="141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59"/>
      <c r="N81" s="6" t="s">
        <v>13</v>
      </c>
      <c r="O81" s="21"/>
      <c r="P81" s="168"/>
      <c r="Q81" s="169"/>
      <c r="R81" s="170"/>
    </row>
    <row r="82" spans="1:18" ht="14.55" customHeight="1" x14ac:dyDescent="0.3">
      <c r="A82" s="142"/>
      <c r="B82" s="148" t="s">
        <v>0</v>
      </c>
      <c r="C82" s="149"/>
      <c r="D82" s="149"/>
      <c r="E82" s="149"/>
      <c r="F82" s="149"/>
      <c r="G82" s="149"/>
      <c r="H82" s="149"/>
      <c r="I82" s="150">
        <f>SUM(I77:J81)</f>
        <v>0</v>
      </c>
      <c r="J82" s="151"/>
      <c r="K82" s="150">
        <f>SUM(K77:L81)</f>
        <v>0</v>
      </c>
      <c r="L82" s="151"/>
      <c r="M82" s="10">
        <f>SUM(M77:M81)</f>
        <v>0</v>
      </c>
      <c r="N82" s="11" t="s">
        <v>13</v>
      </c>
      <c r="O82" s="9"/>
      <c r="P82" s="168"/>
      <c r="Q82" s="169"/>
      <c r="R82" s="170"/>
    </row>
    <row r="84" spans="1:18" x14ac:dyDescent="0.3">
      <c r="E84" s="148" t="s">
        <v>26</v>
      </c>
      <c r="F84" s="149"/>
      <c r="G84" s="149"/>
      <c r="H84" s="149"/>
      <c r="I84" s="152" t="s">
        <v>23</v>
      </c>
      <c r="J84" s="153"/>
      <c r="K84" s="152" t="s">
        <v>11</v>
      </c>
      <c r="L84" s="153"/>
    </row>
    <row r="85" spans="1:18" s="36" customFormat="1" x14ac:dyDescent="0.3">
      <c r="E85" s="7"/>
      <c r="F85" s="7"/>
      <c r="G85" s="7"/>
      <c r="H85" s="7"/>
      <c r="I85" s="22">
        <f>I76+I82</f>
        <v>800</v>
      </c>
      <c r="J85" s="14" t="s">
        <v>12</v>
      </c>
      <c r="K85" s="22">
        <f>K76+K82</f>
        <v>0</v>
      </c>
      <c r="L85" s="15" t="s">
        <v>12</v>
      </c>
    </row>
    <row r="86" spans="1:18" ht="24.45" customHeight="1" x14ac:dyDescent="0.3">
      <c r="E86" s="13"/>
      <c r="F86" s="13"/>
      <c r="G86" s="13"/>
      <c r="H86" s="13"/>
      <c r="I86" s="154">
        <f>I85+K85</f>
        <v>800</v>
      </c>
      <c r="J86" s="155"/>
      <c r="K86" s="155"/>
      <c r="L86" s="156"/>
    </row>
    <row r="88" spans="1:18" s="8" customFormat="1" ht="30" customHeight="1" x14ac:dyDescent="0.3">
      <c r="A88" s="133" t="s">
        <v>131</v>
      </c>
      <c r="B88" s="134"/>
      <c r="C88" s="134"/>
      <c r="D88" s="134"/>
      <c r="E88" s="134"/>
      <c r="F88" s="134"/>
      <c r="G88" s="134"/>
      <c r="H88" s="134"/>
      <c r="I88" s="134"/>
      <c r="J88" s="134"/>
      <c r="K88" s="135"/>
      <c r="L88" s="135"/>
      <c r="M88" s="135"/>
      <c r="N88" s="135"/>
      <c r="O88" s="134"/>
      <c r="P88" s="134"/>
      <c r="Q88" s="134"/>
      <c r="R88" s="136"/>
    </row>
    <row r="89" spans="1:18" s="12" customFormat="1" ht="14.55" customHeight="1" x14ac:dyDescent="0.3">
      <c r="A89" s="128" t="s">
        <v>1</v>
      </c>
      <c r="B89" s="137" t="s">
        <v>2</v>
      </c>
      <c r="C89" s="137" t="s">
        <v>3</v>
      </c>
      <c r="D89" s="137" t="s">
        <v>4</v>
      </c>
      <c r="E89" s="124" t="s">
        <v>5</v>
      </c>
      <c r="F89" s="138" t="s">
        <v>14</v>
      </c>
      <c r="G89" s="138" t="s">
        <v>15</v>
      </c>
      <c r="H89" s="119" t="s">
        <v>27</v>
      </c>
      <c r="I89" s="121" t="s">
        <v>6</v>
      </c>
      <c r="J89" s="122"/>
      <c r="K89" s="122"/>
      <c r="L89" s="123"/>
      <c r="M89" s="124" t="s">
        <v>7</v>
      </c>
      <c r="N89" s="125"/>
      <c r="O89" s="128" t="s">
        <v>8</v>
      </c>
      <c r="P89" s="128" t="s">
        <v>9</v>
      </c>
      <c r="Q89" s="128"/>
      <c r="R89" s="128"/>
    </row>
    <row r="90" spans="1:18" s="12" customFormat="1" ht="13.05" customHeight="1" x14ac:dyDescent="0.3">
      <c r="A90" s="128"/>
      <c r="B90" s="137"/>
      <c r="C90" s="137"/>
      <c r="D90" s="137"/>
      <c r="E90" s="126"/>
      <c r="F90" s="139"/>
      <c r="G90" s="139"/>
      <c r="H90" s="120"/>
      <c r="I90" s="121" t="s">
        <v>23</v>
      </c>
      <c r="J90" s="123"/>
      <c r="K90" s="121" t="s">
        <v>11</v>
      </c>
      <c r="L90" s="123"/>
      <c r="M90" s="126"/>
      <c r="N90" s="127"/>
      <c r="O90" s="128"/>
      <c r="P90" s="128"/>
      <c r="Q90" s="128"/>
      <c r="R90" s="128"/>
    </row>
    <row r="91" spans="1:18" ht="14.55" customHeight="1" x14ac:dyDescent="0.3">
      <c r="A91" s="140" t="s">
        <v>132</v>
      </c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59"/>
      <c r="N91" s="6" t="s">
        <v>13</v>
      </c>
      <c r="O91" s="21"/>
      <c r="P91" s="157"/>
      <c r="Q91" s="158"/>
      <c r="R91" s="159"/>
    </row>
    <row r="92" spans="1:18" ht="14.55" customHeight="1" x14ac:dyDescent="0.3">
      <c r="A92" s="166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59"/>
      <c r="N92" s="6" t="s">
        <v>13</v>
      </c>
      <c r="O92" s="21"/>
      <c r="P92" s="160"/>
      <c r="Q92" s="161"/>
      <c r="R92" s="162"/>
    </row>
    <row r="93" spans="1:18" ht="14.55" customHeight="1" x14ac:dyDescent="0.3">
      <c r="A93" s="166"/>
      <c r="B93" s="5"/>
      <c r="C93" s="5"/>
      <c r="D93" s="4"/>
      <c r="E93" s="3"/>
      <c r="F93" s="19"/>
      <c r="G93" s="20"/>
      <c r="H93" s="28"/>
      <c r="I93" s="143"/>
      <c r="J93" s="144"/>
      <c r="K93" s="143"/>
      <c r="L93" s="144"/>
      <c r="M93" s="59"/>
      <c r="N93" s="6" t="s">
        <v>13</v>
      </c>
      <c r="O93" s="21"/>
      <c r="P93" s="160"/>
      <c r="Q93" s="161"/>
      <c r="R93" s="162"/>
    </row>
    <row r="94" spans="1:18" ht="14.55" customHeight="1" x14ac:dyDescent="0.3">
      <c r="A94" s="166"/>
      <c r="B94" s="5"/>
      <c r="C94" s="5"/>
      <c r="D94" s="4"/>
      <c r="E94" s="3"/>
      <c r="F94" s="19"/>
      <c r="G94" s="20"/>
      <c r="H94" s="28"/>
      <c r="I94" s="143"/>
      <c r="J94" s="144"/>
      <c r="K94" s="143"/>
      <c r="L94" s="144"/>
      <c r="M94" s="59"/>
      <c r="N94" s="6" t="s">
        <v>13</v>
      </c>
      <c r="O94" s="21"/>
      <c r="P94" s="160"/>
      <c r="Q94" s="161"/>
      <c r="R94" s="162"/>
    </row>
    <row r="95" spans="1:18" ht="14.55" customHeight="1" x14ac:dyDescent="0.3">
      <c r="A95" s="166"/>
      <c r="B95" s="5"/>
      <c r="C95" s="5"/>
      <c r="D95" s="4"/>
      <c r="E95" s="3"/>
      <c r="F95" s="19"/>
      <c r="G95" s="20"/>
      <c r="H95" s="28"/>
      <c r="I95" s="143"/>
      <c r="J95" s="144"/>
      <c r="K95" s="143"/>
      <c r="L95" s="144"/>
      <c r="M95" s="59"/>
      <c r="N95" s="6" t="s">
        <v>13</v>
      </c>
      <c r="O95" s="21"/>
      <c r="P95" s="160"/>
      <c r="Q95" s="161"/>
      <c r="R95" s="162"/>
    </row>
    <row r="96" spans="1:18" ht="14.55" customHeight="1" x14ac:dyDescent="0.3">
      <c r="A96" s="166"/>
      <c r="B96" s="5"/>
      <c r="C96" s="5"/>
      <c r="D96" s="4"/>
      <c r="E96" s="3"/>
      <c r="F96" s="19"/>
      <c r="G96" s="20"/>
      <c r="H96" s="28"/>
      <c r="I96" s="143"/>
      <c r="J96" s="144"/>
      <c r="K96" s="143"/>
      <c r="L96" s="144"/>
      <c r="M96" s="59"/>
      <c r="N96" s="6" t="s">
        <v>13</v>
      </c>
      <c r="O96" s="21"/>
      <c r="P96" s="160"/>
      <c r="Q96" s="161"/>
      <c r="R96" s="162"/>
    </row>
    <row r="97" spans="1:18" ht="14.55" customHeight="1" x14ac:dyDescent="0.3">
      <c r="A97" s="166"/>
      <c r="B97" s="5"/>
      <c r="C97" s="5"/>
      <c r="D97" s="4"/>
      <c r="E97" s="3"/>
      <c r="F97" s="19"/>
      <c r="G97" s="20"/>
      <c r="H97" s="28"/>
      <c r="I97" s="143"/>
      <c r="J97" s="144"/>
      <c r="K97" s="143"/>
      <c r="L97" s="144"/>
      <c r="M97" s="59"/>
      <c r="N97" s="6" t="s">
        <v>13</v>
      </c>
      <c r="O97" s="21"/>
      <c r="P97" s="160"/>
      <c r="Q97" s="161"/>
      <c r="R97" s="162"/>
    </row>
    <row r="98" spans="1:18" ht="14.55" customHeight="1" x14ac:dyDescent="0.3">
      <c r="A98" s="166"/>
      <c r="B98" s="5"/>
      <c r="C98" s="5"/>
      <c r="D98" s="4"/>
      <c r="E98" s="3"/>
      <c r="F98" s="19"/>
      <c r="G98" s="20"/>
      <c r="H98" s="28"/>
      <c r="I98" s="143"/>
      <c r="J98" s="144"/>
      <c r="K98" s="143"/>
      <c r="L98" s="144"/>
      <c r="M98" s="59"/>
      <c r="N98" s="6" t="s">
        <v>13</v>
      </c>
      <c r="O98" s="21"/>
      <c r="P98" s="160"/>
      <c r="Q98" s="161"/>
      <c r="R98" s="162"/>
    </row>
    <row r="99" spans="1:18" ht="14.55" customHeight="1" x14ac:dyDescent="0.3">
      <c r="A99" s="166"/>
      <c r="B99" s="5"/>
      <c r="C99" s="5"/>
      <c r="D99" s="4"/>
      <c r="E99" s="3"/>
      <c r="F99" s="19"/>
      <c r="G99" s="20"/>
      <c r="H99" s="28"/>
      <c r="I99" s="143"/>
      <c r="J99" s="144"/>
      <c r="K99" s="143"/>
      <c r="L99" s="144"/>
      <c r="M99" s="59"/>
      <c r="N99" s="6" t="s">
        <v>13</v>
      </c>
      <c r="O99" s="21"/>
      <c r="P99" s="160"/>
      <c r="Q99" s="161"/>
      <c r="R99" s="162"/>
    </row>
    <row r="100" spans="1:18" ht="14.55" customHeight="1" x14ac:dyDescent="0.3">
      <c r="A100" s="166"/>
      <c r="B100" s="5"/>
      <c r="C100" s="5"/>
      <c r="D100" s="4"/>
      <c r="E100" s="3"/>
      <c r="F100" s="19"/>
      <c r="G100" s="20"/>
      <c r="H100" s="28"/>
      <c r="I100" s="143"/>
      <c r="J100" s="144"/>
      <c r="K100" s="143"/>
      <c r="L100" s="144"/>
      <c r="M100" s="59"/>
      <c r="N100" s="6" t="s">
        <v>13</v>
      </c>
      <c r="O100" s="21"/>
      <c r="P100" s="160"/>
      <c r="Q100" s="161"/>
      <c r="R100" s="162"/>
    </row>
    <row r="101" spans="1:18" ht="14.55" customHeight="1" x14ac:dyDescent="0.3">
      <c r="A101" s="167"/>
      <c r="B101" s="148" t="s">
        <v>0</v>
      </c>
      <c r="C101" s="149"/>
      <c r="D101" s="149"/>
      <c r="E101" s="149"/>
      <c r="F101" s="149"/>
      <c r="G101" s="149"/>
      <c r="H101" s="149"/>
      <c r="I101" s="150">
        <f ca="1">SUM(I91:J101)</f>
        <v>0</v>
      </c>
      <c r="J101" s="151"/>
      <c r="K101" s="150">
        <f ca="1">SUM(K91:L101)</f>
        <v>0</v>
      </c>
      <c r="L101" s="151"/>
      <c r="M101" s="10">
        <f>SUM(M96:M100)</f>
        <v>0</v>
      </c>
      <c r="N101" s="11" t="s">
        <v>13</v>
      </c>
      <c r="O101" s="9"/>
      <c r="P101" s="163"/>
      <c r="Q101" s="164"/>
      <c r="R101" s="165"/>
    </row>
    <row r="103" spans="1:18" s="1" customFormat="1" x14ac:dyDescent="0.3">
      <c r="A103" s="35"/>
      <c r="B103" s="35"/>
      <c r="C103" s="35"/>
      <c r="E103" s="148" t="s">
        <v>26</v>
      </c>
      <c r="F103" s="149"/>
      <c r="G103" s="149"/>
      <c r="H103" s="149"/>
      <c r="I103" s="152" t="s">
        <v>23</v>
      </c>
      <c r="J103" s="153"/>
      <c r="K103" s="172" t="s">
        <v>11</v>
      </c>
      <c r="L103" s="153"/>
      <c r="N103" s="35"/>
      <c r="O103" s="35"/>
      <c r="P103" s="35"/>
      <c r="Q103" s="35"/>
      <c r="R103" s="35"/>
    </row>
    <row r="104" spans="1:18" s="36" customFormat="1" x14ac:dyDescent="0.3">
      <c r="E104" s="7"/>
      <c r="F104" s="7"/>
      <c r="G104" s="7"/>
      <c r="H104" s="7"/>
      <c r="I104" s="22">
        <f ca="1">I101</f>
        <v>0</v>
      </c>
      <c r="J104" s="14" t="s">
        <v>12</v>
      </c>
      <c r="K104" s="22">
        <f ca="1">K101</f>
        <v>0</v>
      </c>
      <c r="L104" s="15" t="s">
        <v>12</v>
      </c>
    </row>
    <row r="105" spans="1:18" s="1" customFormat="1" ht="24.45" customHeight="1" x14ac:dyDescent="0.3">
      <c r="A105" s="35"/>
      <c r="B105" s="35"/>
      <c r="C105" s="35"/>
      <c r="E105" s="13"/>
      <c r="F105" s="13"/>
      <c r="G105" s="13"/>
      <c r="H105" s="13"/>
      <c r="I105" s="154">
        <f ca="1">I104+K104</f>
        <v>0</v>
      </c>
      <c r="J105" s="155"/>
      <c r="K105" s="155"/>
      <c r="L105" s="156"/>
      <c r="N105" s="35"/>
      <c r="O105" s="35"/>
      <c r="P105" s="35"/>
      <c r="Q105" s="35"/>
      <c r="R105" s="35"/>
    </row>
  </sheetData>
  <mergeCells count="248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I9:J9"/>
    <mergeCell ref="K9:L9"/>
    <mergeCell ref="A7:A11"/>
    <mergeCell ref="I7:J7"/>
    <mergeCell ref="K7:L7"/>
    <mergeCell ref="P7:R11"/>
    <mergeCell ref="I8:J8"/>
    <mergeCell ref="K8:L8"/>
    <mergeCell ref="I14:J14"/>
    <mergeCell ref="K14:L14"/>
    <mergeCell ref="B15:H15"/>
    <mergeCell ref="I15:J15"/>
    <mergeCell ref="K15:L15"/>
    <mergeCell ref="P12:R15"/>
    <mergeCell ref="I13:J13"/>
    <mergeCell ref="K13:L13"/>
    <mergeCell ref="I10:J10"/>
    <mergeCell ref="K10:L10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A24:A39"/>
    <mergeCell ref="I24:J24"/>
    <mergeCell ref="K24:L24"/>
    <mergeCell ref="P24:R39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I27:J27"/>
    <mergeCell ref="K27:L27"/>
    <mergeCell ref="I28:J28"/>
    <mergeCell ref="K28:L28"/>
    <mergeCell ref="I29:J29"/>
    <mergeCell ref="K29:L29"/>
    <mergeCell ref="P22:R23"/>
    <mergeCell ref="I23:J23"/>
    <mergeCell ref="K23:L23"/>
    <mergeCell ref="I33:J33"/>
    <mergeCell ref="K33:L33"/>
    <mergeCell ref="I34:J34"/>
    <mergeCell ref="K34:L34"/>
    <mergeCell ref="I35:J35"/>
    <mergeCell ref="K35:L35"/>
    <mergeCell ref="I30:J30"/>
    <mergeCell ref="K30:L30"/>
    <mergeCell ref="I31:J31"/>
    <mergeCell ref="K31:L31"/>
    <mergeCell ref="I32:J32"/>
    <mergeCell ref="K32:L32"/>
    <mergeCell ref="K55:L55"/>
    <mergeCell ref="I56:J56"/>
    <mergeCell ref="B39:H39"/>
    <mergeCell ref="I39:J39"/>
    <mergeCell ref="K39:L39"/>
    <mergeCell ref="E41:H41"/>
    <mergeCell ref="I41:J41"/>
    <mergeCell ref="K41:L41"/>
    <mergeCell ref="I36:J36"/>
    <mergeCell ref="K36:L36"/>
    <mergeCell ref="I37:J37"/>
    <mergeCell ref="K37:L37"/>
    <mergeCell ref="I38:J38"/>
    <mergeCell ref="K38:L38"/>
    <mergeCell ref="I46:L46"/>
    <mergeCell ref="M46:N47"/>
    <mergeCell ref="O46:O47"/>
    <mergeCell ref="P46:R47"/>
    <mergeCell ref="I47:J47"/>
    <mergeCell ref="K47:L47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E60:H60"/>
    <mergeCell ref="I60:J60"/>
    <mergeCell ref="K60:L60"/>
    <mergeCell ref="I62:L62"/>
    <mergeCell ref="A64:R64"/>
    <mergeCell ref="A65:A66"/>
    <mergeCell ref="B65:B66"/>
    <mergeCell ref="C65:C66"/>
    <mergeCell ref="D65:D66"/>
    <mergeCell ref="E65:E66"/>
    <mergeCell ref="A48:A58"/>
    <mergeCell ref="I48:J48"/>
    <mergeCell ref="K48:L48"/>
    <mergeCell ref="P48:R52"/>
    <mergeCell ref="I49:J49"/>
    <mergeCell ref="K49:L49"/>
    <mergeCell ref="I50:J50"/>
    <mergeCell ref="K50:L50"/>
    <mergeCell ref="I51:J51"/>
    <mergeCell ref="K51:L51"/>
    <mergeCell ref="K56:L56"/>
    <mergeCell ref="I57:J57"/>
    <mergeCell ref="K57:L57"/>
    <mergeCell ref="B58:H58"/>
    <mergeCell ref="I58:J58"/>
    <mergeCell ref="K58:L58"/>
    <mergeCell ref="I52:J52"/>
    <mergeCell ref="K52:L52"/>
    <mergeCell ref="I53:J53"/>
    <mergeCell ref="K53:L53"/>
    <mergeCell ref="P53:R58"/>
    <mergeCell ref="I54:J54"/>
    <mergeCell ref="K54:L54"/>
    <mergeCell ref="I55:J55"/>
    <mergeCell ref="B70:H70"/>
    <mergeCell ref="I70:J70"/>
    <mergeCell ref="K70:L70"/>
    <mergeCell ref="P65:R66"/>
    <mergeCell ref="I66:J66"/>
    <mergeCell ref="K66:L66"/>
    <mergeCell ref="A67:A70"/>
    <mergeCell ref="I67:J67"/>
    <mergeCell ref="K67:L67"/>
    <mergeCell ref="P67:R70"/>
    <mergeCell ref="I68:J68"/>
    <mergeCell ref="K68:L68"/>
    <mergeCell ref="F65:F66"/>
    <mergeCell ref="G65:G66"/>
    <mergeCell ref="H65:H66"/>
    <mergeCell ref="I65:L65"/>
    <mergeCell ref="M65:N66"/>
    <mergeCell ref="O65:O66"/>
    <mergeCell ref="P71:R76"/>
    <mergeCell ref="I72:J72"/>
    <mergeCell ref="K72:L72"/>
    <mergeCell ref="I73:J73"/>
    <mergeCell ref="K73:L73"/>
    <mergeCell ref="I74:J74"/>
    <mergeCell ref="K74:L74"/>
    <mergeCell ref="I69:J69"/>
    <mergeCell ref="K69:L69"/>
    <mergeCell ref="I75:J75"/>
    <mergeCell ref="K75:L75"/>
    <mergeCell ref="B76:H76"/>
    <mergeCell ref="I76:J76"/>
    <mergeCell ref="K76:L76"/>
    <mergeCell ref="A77:A82"/>
    <mergeCell ref="I77:J77"/>
    <mergeCell ref="K77:L77"/>
    <mergeCell ref="B82:H82"/>
    <mergeCell ref="K82:L82"/>
    <mergeCell ref="A71:A76"/>
    <mergeCell ref="I71:J71"/>
    <mergeCell ref="K71:L71"/>
    <mergeCell ref="P77:R82"/>
    <mergeCell ref="I78:J78"/>
    <mergeCell ref="K78:L78"/>
    <mergeCell ref="I79:J79"/>
    <mergeCell ref="K79:L79"/>
    <mergeCell ref="I80:J80"/>
    <mergeCell ref="K80:L80"/>
    <mergeCell ref="I81:J81"/>
    <mergeCell ref="K81:L81"/>
    <mergeCell ref="I82:J82"/>
    <mergeCell ref="E84:H84"/>
    <mergeCell ref="I84:J84"/>
    <mergeCell ref="K84:L84"/>
    <mergeCell ref="I86:L86"/>
    <mergeCell ref="A88:R88"/>
    <mergeCell ref="A89:A90"/>
    <mergeCell ref="B89:B90"/>
    <mergeCell ref="C89:C90"/>
    <mergeCell ref="D89:D90"/>
    <mergeCell ref="E89:E90"/>
    <mergeCell ref="P89:R90"/>
    <mergeCell ref="I90:J90"/>
    <mergeCell ref="K90:L90"/>
    <mergeCell ref="A91:A101"/>
    <mergeCell ref="I91:J91"/>
    <mergeCell ref="K91:L91"/>
    <mergeCell ref="P91:R101"/>
    <mergeCell ref="I92:J92"/>
    <mergeCell ref="K92:L92"/>
    <mergeCell ref="I93:J93"/>
    <mergeCell ref="F89:F90"/>
    <mergeCell ref="G89:G90"/>
    <mergeCell ref="H89:H90"/>
    <mergeCell ref="I89:L89"/>
    <mergeCell ref="M89:N90"/>
    <mergeCell ref="O89:O90"/>
    <mergeCell ref="I97:J97"/>
    <mergeCell ref="K97:L97"/>
    <mergeCell ref="I98:J98"/>
    <mergeCell ref="K98:L98"/>
    <mergeCell ref="I99:J99"/>
    <mergeCell ref="K99:L99"/>
    <mergeCell ref="K93:L93"/>
    <mergeCell ref="I94:J94"/>
    <mergeCell ref="K94:L94"/>
    <mergeCell ref="I95:J95"/>
    <mergeCell ref="K95:L95"/>
    <mergeCell ref="I96:J96"/>
    <mergeCell ref="K96:L96"/>
    <mergeCell ref="I105:L105"/>
    <mergeCell ref="I100:J100"/>
    <mergeCell ref="K100:L100"/>
    <mergeCell ref="B101:H101"/>
    <mergeCell ref="I101:J101"/>
    <mergeCell ref="K101:L101"/>
    <mergeCell ref="E103:H103"/>
    <mergeCell ref="I103:J103"/>
    <mergeCell ref="K103:L103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6"/>
  <sheetViews>
    <sheetView topLeftCell="A25" zoomScale="85" zoomScaleNormal="85" workbookViewId="0">
      <selection activeCell="D66" sqref="D66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45929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">
        <v>250069</v>
      </c>
      <c r="E7" s="3" t="s">
        <v>214</v>
      </c>
      <c r="F7" s="19">
        <v>304</v>
      </c>
      <c r="G7" s="20">
        <v>0.6</v>
      </c>
      <c r="H7" s="28"/>
      <c r="I7" s="143"/>
      <c r="J7" s="144"/>
      <c r="K7" s="143">
        <v>650</v>
      </c>
      <c r="L7" s="144"/>
      <c r="M7" s="60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4">
        <v>250068</v>
      </c>
      <c r="E8" s="3" t="s">
        <v>218</v>
      </c>
      <c r="F8" s="19">
        <v>304</v>
      </c>
      <c r="G8" s="20">
        <v>0.6</v>
      </c>
      <c r="H8" s="28"/>
      <c r="I8" s="143"/>
      <c r="J8" s="144"/>
      <c r="K8" s="143">
        <v>1650</v>
      </c>
      <c r="L8" s="144"/>
      <c r="M8" s="60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8"/>
      <c r="I9" s="143"/>
      <c r="J9" s="144"/>
      <c r="K9" s="143"/>
      <c r="L9" s="144"/>
      <c r="M9" s="60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60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1"/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60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2"/>
      <c r="B12" s="148" t="s">
        <v>0</v>
      </c>
      <c r="C12" s="149"/>
      <c r="D12" s="149"/>
      <c r="E12" s="149"/>
      <c r="F12" s="149"/>
      <c r="G12" s="149"/>
      <c r="H12" s="149"/>
      <c r="I12" s="150">
        <f>SUM(I7:J11)</f>
        <v>0</v>
      </c>
      <c r="J12" s="151"/>
      <c r="K12" s="150">
        <f>SUM(K7:L11)</f>
        <v>2300</v>
      </c>
      <c r="L12" s="151"/>
      <c r="M12" s="10">
        <f>SUM(M7:M11)</f>
        <v>0</v>
      </c>
      <c r="N12" s="11" t="s">
        <v>13</v>
      </c>
      <c r="O12" s="9"/>
      <c r="P12" s="145"/>
      <c r="Q12" s="146"/>
      <c r="R12" s="147"/>
    </row>
    <row r="13" spans="1:18" ht="14.55" customHeight="1" x14ac:dyDescent="0.3">
      <c r="A13" s="140" t="s">
        <v>21</v>
      </c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60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66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60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1"/>
      <c r="B15" s="5"/>
      <c r="C15" s="5"/>
      <c r="D15" s="4"/>
      <c r="E15" s="3"/>
      <c r="F15" s="19"/>
      <c r="G15" s="20"/>
      <c r="H15" s="28"/>
      <c r="I15" s="143"/>
      <c r="J15" s="144"/>
      <c r="K15" s="143"/>
      <c r="L15" s="144"/>
      <c r="M15" s="60"/>
      <c r="N15" s="6" t="s">
        <v>13</v>
      </c>
      <c r="O15" s="21"/>
      <c r="P15" s="145"/>
      <c r="Q15" s="146"/>
      <c r="R15" s="147"/>
    </row>
    <row r="16" spans="1:18" ht="14.55" customHeight="1" x14ac:dyDescent="0.3">
      <c r="A16" s="141"/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60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41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60"/>
      <c r="N17" s="6" t="s">
        <v>13</v>
      </c>
      <c r="O17" s="21"/>
      <c r="P17" s="145"/>
      <c r="Q17" s="146"/>
      <c r="R17" s="147"/>
    </row>
    <row r="18" spans="1:18" ht="14.55" customHeight="1" x14ac:dyDescent="0.3">
      <c r="A18" s="142"/>
      <c r="B18" s="148" t="s">
        <v>0</v>
      </c>
      <c r="C18" s="149"/>
      <c r="D18" s="149"/>
      <c r="E18" s="149"/>
      <c r="F18" s="149"/>
      <c r="G18" s="149"/>
      <c r="H18" s="149"/>
      <c r="I18" s="150">
        <f>SUM(I13:J17)</f>
        <v>0</v>
      </c>
      <c r="J18" s="151"/>
      <c r="K18" s="150">
        <f>SUM(K13:L17)</f>
        <v>0</v>
      </c>
      <c r="L18" s="151"/>
      <c r="M18" s="10">
        <f>SUM(M13:M17)</f>
        <v>0</v>
      </c>
      <c r="N18" s="11" t="s">
        <v>13</v>
      </c>
      <c r="O18" s="9"/>
      <c r="P18" s="145"/>
      <c r="Q18" s="146"/>
      <c r="R18" s="147"/>
    </row>
    <row r="19" spans="1:18" ht="14.55" customHeight="1" x14ac:dyDescent="0.3">
      <c r="D19" s="35"/>
      <c r="E19" s="1"/>
      <c r="F19" s="1"/>
      <c r="G19" s="1"/>
      <c r="H19" s="1"/>
      <c r="M19" s="35"/>
    </row>
    <row r="20" spans="1:18" x14ac:dyDescent="0.3">
      <c r="E20" s="148" t="s">
        <v>16</v>
      </c>
      <c r="F20" s="149"/>
      <c r="G20" s="149"/>
      <c r="H20" s="149"/>
      <c r="I20" s="152" t="s">
        <v>19</v>
      </c>
      <c r="J20" s="153"/>
      <c r="K20" s="152" t="s">
        <v>20</v>
      </c>
      <c r="L20" s="153"/>
    </row>
    <row r="21" spans="1:18" s="36" customFormat="1" x14ac:dyDescent="0.3">
      <c r="E21" s="7"/>
      <c r="F21" s="7"/>
      <c r="G21" s="7"/>
      <c r="H21" s="7"/>
      <c r="I21" s="22">
        <f>I12+I18</f>
        <v>0</v>
      </c>
      <c r="J21" s="14" t="s">
        <v>12</v>
      </c>
      <c r="K21" s="22">
        <f>K12+K18</f>
        <v>2300</v>
      </c>
      <c r="L21" s="15" t="s">
        <v>12</v>
      </c>
    </row>
    <row r="22" spans="1:18" ht="24.45" customHeight="1" x14ac:dyDescent="0.3">
      <c r="E22" s="13"/>
      <c r="F22" s="13"/>
      <c r="G22" s="13"/>
      <c r="H22" s="13"/>
      <c r="I22" s="154">
        <f>I21+K21</f>
        <v>2300</v>
      </c>
      <c r="J22" s="155"/>
      <c r="K22" s="155"/>
      <c r="L22" s="156"/>
    </row>
    <row r="23" spans="1:18" ht="15" customHeight="1" x14ac:dyDescent="0.3">
      <c r="D23" s="35"/>
      <c r="I23" s="35"/>
      <c r="J23" s="35"/>
      <c r="K23" s="23"/>
      <c r="L23" s="23"/>
      <c r="M23" s="23"/>
      <c r="N23" s="23"/>
    </row>
    <row r="24" spans="1:18" s="8" customFormat="1" ht="30" customHeight="1" x14ac:dyDescent="0.3">
      <c r="A24" s="133" t="s">
        <v>36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5"/>
      <c r="L24" s="135"/>
      <c r="M24" s="135"/>
      <c r="N24" s="135"/>
      <c r="O24" s="134"/>
      <c r="P24" s="134"/>
      <c r="Q24" s="134"/>
      <c r="R24" s="136"/>
    </row>
    <row r="25" spans="1:18" s="12" customFormat="1" ht="14.55" customHeight="1" x14ac:dyDescent="0.3">
      <c r="A25" s="128" t="s">
        <v>1</v>
      </c>
      <c r="B25" s="137" t="s">
        <v>2</v>
      </c>
      <c r="C25" s="137" t="s">
        <v>3</v>
      </c>
      <c r="D25" s="137" t="s">
        <v>4</v>
      </c>
      <c r="E25" s="124" t="s">
        <v>5</v>
      </c>
      <c r="F25" s="138" t="s">
        <v>14</v>
      </c>
      <c r="G25" s="138" t="s">
        <v>15</v>
      </c>
      <c r="H25" s="119" t="s">
        <v>29</v>
      </c>
      <c r="I25" s="121" t="s">
        <v>6</v>
      </c>
      <c r="J25" s="122"/>
      <c r="K25" s="122"/>
      <c r="L25" s="123"/>
      <c r="M25" s="124" t="s">
        <v>7</v>
      </c>
      <c r="N25" s="125"/>
      <c r="O25" s="128" t="s">
        <v>8</v>
      </c>
      <c r="P25" s="128" t="s">
        <v>9</v>
      </c>
      <c r="Q25" s="128"/>
      <c r="R25" s="128"/>
    </row>
    <row r="26" spans="1:18" s="12" customFormat="1" ht="13.05" customHeight="1" x14ac:dyDescent="0.3">
      <c r="A26" s="128"/>
      <c r="B26" s="137"/>
      <c r="C26" s="137"/>
      <c r="D26" s="137"/>
      <c r="E26" s="126"/>
      <c r="F26" s="139"/>
      <c r="G26" s="139"/>
      <c r="H26" s="120"/>
      <c r="I26" s="121" t="s">
        <v>19</v>
      </c>
      <c r="J26" s="123"/>
      <c r="K26" s="121" t="s">
        <v>20</v>
      </c>
      <c r="L26" s="123"/>
      <c r="M26" s="126"/>
      <c r="N26" s="127"/>
      <c r="O26" s="128"/>
      <c r="P26" s="128"/>
      <c r="Q26" s="128"/>
      <c r="R26" s="128"/>
    </row>
    <row r="27" spans="1:18" ht="14.55" customHeight="1" x14ac:dyDescent="0.3">
      <c r="A27" s="140" t="s">
        <v>37</v>
      </c>
      <c r="B27" s="5">
        <v>0.33333333333333331</v>
      </c>
      <c r="C27" s="5"/>
      <c r="D27" s="4">
        <v>250062</v>
      </c>
      <c r="E27" s="3" t="s">
        <v>220</v>
      </c>
      <c r="F27" s="19">
        <v>304</v>
      </c>
      <c r="G27" s="20">
        <v>0.6</v>
      </c>
      <c r="H27" s="28" t="s">
        <v>137</v>
      </c>
      <c r="I27" s="143">
        <v>106</v>
      </c>
      <c r="J27" s="144"/>
      <c r="K27" s="143"/>
      <c r="L27" s="144"/>
      <c r="M27" s="60"/>
      <c r="N27" s="6" t="s">
        <v>13</v>
      </c>
      <c r="O27" s="21"/>
      <c r="P27" s="157"/>
      <c r="Q27" s="158"/>
      <c r="R27" s="159"/>
    </row>
    <row r="28" spans="1:18" ht="14.55" customHeight="1" x14ac:dyDescent="0.3">
      <c r="A28" s="166"/>
      <c r="B28" s="5"/>
      <c r="C28" s="5"/>
      <c r="D28" s="4">
        <v>250062</v>
      </c>
      <c r="E28" s="3" t="s">
        <v>221</v>
      </c>
      <c r="F28" s="19">
        <v>304</v>
      </c>
      <c r="G28" s="20">
        <v>0.6</v>
      </c>
      <c r="H28" s="28" t="s">
        <v>137</v>
      </c>
      <c r="I28" s="143">
        <v>303</v>
      </c>
      <c r="J28" s="144"/>
      <c r="K28" s="143"/>
      <c r="L28" s="144"/>
      <c r="M28" s="60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6"/>
      <c r="B29" s="5"/>
      <c r="C29" s="5"/>
      <c r="D29" s="4">
        <v>250062</v>
      </c>
      <c r="E29" s="3" t="s">
        <v>222</v>
      </c>
      <c r="F29" s="19">
        <v>304</v>
      </c>
      <c r="G29" s="20">
        <v>0.6</v>
      </c>
      <c r="H29" s="28" t="s">
        <v>137</v>
      </c>
      <c r="I29" s="143">
        <v>305</v>
      </c>
      <c r="J29" s="144"/>
      <c r="K29" s="143"/>
      <c r="L29" s="144"/>
      <c r="M29" s="60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6"/>
      <c r="B30" s="5"/>
      <c r="C30" s="5"/>
      <c r="D30" s="4">
        <v>250062</v>
      </c>
      <c r="E30" s="3" t="s">
        <v>223</v>
      </c>
      <c r="F30" s="19">
        <v>304</v>
      </c>
      <c r="G30" s="20">
        <v>0.6</v>
      </c>
      <c r="H30" s="28" t="s">
        <v>137</v>
      </c>
      <c r="I30" s="143">
        <v>201</v>
      </c>
      <c r="J30" s="144"/>
      <c r="K30" s="143"/>
      <c r="L30" s="144"/>
      <c r="M30" s="60"/>
      <c r="N30" s="6" t="s">
        <v>13</v>
      </c>
      <c r="O30" s="21"/>
      <c r="P30" s="160"/>
      <c r="Q30" s="161"/>
      <c r="R30" s="162"/>
    </row>
    <row r="31" spans="1:18" ht="14.55" customHeight="1" x14ac:dyDescent="0.3">
      <c r="A31" s="166"/>
      <c r="B31" s="5"/>
      <c r="C31" s="5"/>
      <c r="D31" s="4">
        <v>250062</v>
      </c>
      <c r="E31" s="3" t="s">
        <v>224</v>
      </c>
      <c r="F31" s="19">
        <v>304</v>
      </c>
      <c r="G31" s="20">
        <v>0.6</v>
      </c>
      <c r="H31" s="28" t="s">
        <v>137</v>
      </c>
      <c r="I31" s="143">
        <v>296</v>
      </c>
      <c r="J31" s="144"/>
      <c r="K31" s="143"/>
      <c r="L31" s="144"/>
      <c r="M31" s="60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>
        <v>250062</v>
      </c>
      <c r="E32" s="3" t="s">
        <v>225</v>
      </c>
      <c r="F32" s="19">
        <v>304</v>
      </c>
      <c r="G32" s="20">
        <v>0.6</v>
      </c>
      <c r="H32" s="28" t="s">
        <v>137</v>
      </c>
      <c r="I32" s="143">
        <v>303</v>
      </c>
      <c r="J32" s="144"/>
      <c r="K32" s="143"/>
      <c r="L32" s="144"/>
      <c r="M32" s="60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6"/>
      <c r="B33" s="5"/>
      <c r="C33" s="5"/>
      <c r="D33" s="4">
        <v>250066</v>
      </c>
      <c r="E33" s="3" t="s">
        <v>138</v>
      </c>
      <c r="F33" s="19">
        <v>430</v>
      </c>
      <c r="G33" s="20">
        <v>0.5</v>
      </c>
      <c r="H33" s="28" t="s">
        <v>137</v>
      </c>
      <c r="I33" s="143">
        <v>424</v>
      </c>
      <c r="J33" s="144"/>
      <c r="K33" s="143"/>
      <c r="L33" s="144"/>
      <c r="M33" s="60"/>
      <c r="N33" s="6" t="s">
        <v>13</v>
      </c>
      <c r="O33" s="21"/>
      <c r="P33" s="160"/>
      <c r="Q33" s="161"/>
      <c r="R33" s="162"/>
    </row>
    <row r="34" spans="1:18" ht="14.55" customHeight="1" x14ac:dyDescent="0.3">
      <c r="A34" s="166"/>
      <c r="B34" s="5"/>
      <c r="C34" s="5">
        <v>0.875</v>
      </c>
      <c r="D34" s="4">
        <v>250069</v>
      </c>
      <c r="E34" s="3" t="s">
        <v>214</v>
      </c>
      <c r="F34" s="19">
        <v>304</v>
      </c>
      <c r="G34" s="20">
        <v>0.6</v>
      </c>
      <c r="H34" s="28" t="s">
        <v>137</v>
      </c>
      <c r="I34" s="143"/>
      <c r="J34" s="144"/>
      <c r="K34" s="143">
        <v>800</v>
      </c>
      <c r="L34" s="144"/>
      <c r="M34" s="60"/>
      <c r="N34" s="6" t="s">
        <v>13</v>
      </c>
      <c r="O34" s="21"/>
      <c r="P34" s="160"/>
      <c r="Q34" s="161"/>
      <c r="R34" s="162"/>
    </row>
    <row r="35" spans="1:18" ht="14.55" customHeight="1" x14ac:dyDescent="0.3">
      <c r="A35" s="166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60"/>
      <c r="N35" s="6" t="s">
        <v>13</v>
      </c>
      <c r="O35" s="21"/>
      <c r="P35" s="160"/>
      <c r="Q35" s="161"/>
      <c r="R35" s="162"/>
    </row>
    <row r="36" spans="1:18" ht="14.55" customHeight="1" x14ac:dyDescent="0.3">
      <c r="A36" s="166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60"/>
      <c r="N36" s="6" t="s">
        <v>13</v>
      </c>
      <c r="O36" s="21"/>
      <c r="P36" s="160"/>
      <c r="Q36" s="161"/>
      <c r="R36" s="162"/>
    </row>
    <row r="37" spans="1:18" ht="14.55" customHeight="1" x14ac:dyDescent="0.3">
      <c r="A37" s="166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60"/>
      <c r="N37" s="6" t="s">
        <v>13</v>
      </c>
      <c r="O37" s="21"/>
      <c r="P37" s="160"/>
      <c r="Q37" s="161"/>
      <c r="R37" s="162"/>
    </row>
    <row r="38" spans="1:18" ht="14.55" customHeight="1" x14ac:dyDescent="0.3">
      <c r="A38" s="167"/>
      <c r="B38" s="148" t="s">
        <v>0</v>
      </c>
      <c r="C38" s="149"/>
      <c r="D38" s="149"/>
      <c r="E38" s="149"/>
      <c r="F38" s="149"/>
      <c r="G38" s="149"/>
      <c r="H38" s="149"/>
      <c r="I38" s="150">
        <f>SUM(I27:J37)</f>
        <v>1938</v>
      </c>
      <c r="J38" s="151"/>
      <c r="K38" s="150">
        <f>SUM(K27:L37)</f>
        <v>800</v>
      </c>
      <c r="L38" s="151"/>
      <c r="M38" s="10">
        <f>SUM(M36:M37)</f>
        <v>0</v>
      </c>
      <c r="N38" s="11" t="s">
        <v>13</v>
      </c>
      <c r="O38" s="9"/>
      <c r="P38" s="163"/>
      <c r="Q38" s="164"/>
      <c r="R38" s="165"/>
    </row>
    <row r="39" spans="1:18" ht="14.55" customHeight="1" x14ac:dyDescent="0.3">
      <c r="D39" s="35"/>
      <c r="E39" s="1"/>
      <c r="F39" s="1"/>
      <c r="G39" s="1"/>
      <c r="H39" s="1"/>
      <c r="M39" s="35"/>
    </row>
    <row r="40" spans="1:18" x14ac:dyDescent="0.3">
      <c r="E40" s="148" t="s">
        <v>33</v>
      </c>
      <c r="F40" s="149"/>
      <c r="G40" s="149"/>
      <c r="H40" s="149"/>
      <c r="I40" s="152" t="s">
        <v>19</v>
      </c>
      <c r="J40" s="153"/>
      <c r="K40" s="152" t="s">
        <v>20</v>
      </c>
      <c r="L40" s="153"/>
    </row>
    <row r="41" spans="1:18" s="36" customFormat="1" x14ac:dyDescent="0.3">
      <c r="E41" s="7"/>
      <c r="F41" s="7"/>
      <c r="G41" s="7"/>
      <c r="H41" s="7"/>
      <c r="I41" s="22">
        <f>I38</f>
        <v>1938</v>
      </c>
      <c r="J41" s="14" t="s">
        <v>12</v>
      </c>
      <c r="K41" s="22">
        <f>K38</f>
        <v>800</v>
      </c>
      <c r="L41" s="15" t="s">
        <v>12</v>
      </c>
    </row>
    <row r="42" spans="1:18" ht="24.45" customHeight="1" x14ac:dyDescent="0.3">
      <c r="E42" s="13"/>
      <c r="F42" s="13"/>
      <c r="G42" s="13"/>
      <c r="H42" s="13"/>
      <c r="I42" s="154">
        <f>I41+K41</f>
        <v>2738</v>
      </c>
      <c r="J42" s="155"/>
      <c r="K42" s="155"/>
      <c r="L42" s="156"/>
    </row>
    <row r="44" spans="1:18" s="8" customFormat="1" ht="30" customHeight="1" x14ac:dyDescent="0.3">
      <c r="A44" s="133" t="s">
        <v>30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5"/>
      <c r="L44" s="135"/>
      <c r="M44" s="135"/>
      <c r="N44" s="135"/>
      <c r="O44" s="134"/>
      <c r="P44" s="134"/>
      <c r="Q44" s="134"/>
      <c r="R44" s="136"/>
    </row>
    <row r="45" spans="1:18" s="12" customFormat="1" ht="14.55" customHeight="1" x14ac:dyDescent="0.3">
      <c r="A45" s="128" t="s">
        <v>1</v>
      </c>
      <c r="B45" s="137" t="s">
        <v>2</v>
      </c>
      <c r="C45" s="137" t="s">
        <v>3</v>
      </c>
      <c r="D45" s="137" t="s">
        <v>4</v>
      </c>
      <c r="E45" s="124" t="s">
        <v>5</v>
      </c>
      <c r="F45" s="138" t="s">
        <v>14</v>
      </c>
      <c r="G45" s="138" t="s">
        <v>15</v>
      </c>
      <c r="H45" s="119" t="s">
        <v>29</v>
      </c>
      <c r="I45" s="121" t="s">
        <v>6</v>
      </c>
      <c r="J45" s="122"/>
      <c r="K45" s="122"/>
      <c r="L45" s="123"/>
      <c r="M45" s="124" t="s">
        <v>7</v>
      </c>
      <c r="N45" s="125"/>
      <c r="O45" s="128" t="s">
        <v>8</v>
      </c>
      <c r="P45" s="128" t="s">
        <v>9</v>
      </c>
      <c r="Q45" s="128"/>
      <c r="R45" s="128"/>
    </row>
    <row r="46" spans="1:18" s="12" customFormat="1" ht="13.05" customHeight="1" x14ac:dyDescent="0.3">
      <c r="A46" s="128"/>
      <c r="B46" s="137"/>
      <c r="C46" s="137"/>
      <c r="D46" s="137"/>
      <c r="E46" s="126"/>
      <c r="F46" s="139"/>
      <c r="G46" s="139"/>
      <c r="H46" s="120"/>
      <c r="I46" s="121" t="s">
        <v>19</v>
      </c>
      <c r="J46" s="123"/>
      <c r="K46" s="121" t="s">
        <v>20</v>
      </c>
      <c r="L46" s="123"/>
      <c r="M46" s="126"/>
      <c r="N46" s="127"/>
      <c r="O46" s="128"/>
      <c r="P46" s="128"/>
      <c r="Q46" s="128"/>
      <c r="R46" s="128"/>
    </row>
    <row r="47" spans="1:18" ht="14.55" customHeight="1" x14ac:dyDescent="0.3">
      <c r="A47" s="140" t="s">
        <v>35</v>
      </c>
      <c r="B47" s="5">
        <v>0.33333333333333331</v>
      </c>
      <c r="C47" s="5"/>
      <c r="D47" s="4">
        <v>250062</v>
      </c>
      <c r="E47" s="3" t="s">
        <v>220</v>
      </c>
      <c r="F47" s="19">
        <v>304</v>
      </c>
      <c r="G47" s="20">
        <v>0.6</v>
      </c>
      <c r="H47" s="28" t="s">
        <v>130</v>
      </c>
      <c r="I47" s="143">
        <v>298</v>
      </c>
      <c r="J47" s="144"/>
      <c r="K47" s="143"/>
      <c r="L47" s="144"/>
      <c r="M47" s="60"/>
      <c r="N47" s="6" t="s">
        <v>13</v>
      </c>
      <c r="O47" s="21"/>
      <c r="P47" s="168"/>
      <c r="Q47" s="169"/>
      <c r="R47" s="170"/>
    </row>
    <row r="48" spans="1:18" ht="14.55" customHeight="1" x14ac:dyDescent="0.3">
      <c r="A48" s="166"/>
      <c r="B48" s="5"/>
      <c r="C48" s="5"/>
      <c r="D48" s="4">
        <v>250062</v>
      </c>
      <c r="E48" s="3" t="s">
        <v>226</v>
      </c>
      <c r="F48" s="19">
        <v>304</v>
      </c>
      <c r="G48" s="20">
        <v>0.6</v>
      </c>
      <c r="H48" s="28" t="s">
        <v>130</v>
      </c>
      <c r="I48" s="143">
        <v>296</v>
      </c>
      <c r="J48" s="144"/>
      <c r="K48" s="143"/>
      <c r="L48" s="144"/>
      <c r="M48" s="60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66"/>
      <c r="B49" s="5"/>
      <c r="C49" s="5"/>
      <c r="D49" s="4">
        <v>250062</v>
      </c>
      <c r="E49" s="3" t="s">
        <v>224</v>
      </c>
      <c r="F49" s="19">
        <v>304</v>
      </c>
      <c r="G49" s="20">
        <v>0.6</v>
      </c>
      <c r="H49" s="28" t="s">
        <v>130</v>
      </c>
      <c r="I49" s="143">
        <v>296</v>
      </c>
      <c r="J49" s="144"/>
      <c r="K49" s="143"/>
      <c r="L49" s="144"/>
      <c r="M49" s="60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66"/>
      <c r="B50" s="5"/>
      <c r="C50" s="5"/>
      <c r="D50" s="4">
        <v>250062</v>
      </c>
      <c r="E50" s="3" t="s">
        <v>221</v>
      </c>
      <c r="F50" s="19">
        <v>304</v>
      </c>
      <c r="G50" s="20">
        <v>0.6</v>
      </c>
      <c r="H50" s="28" t="s">
        <v>130</v>
      </c>
      <c r="I50" s="143">
        <v>301</v>
      </c>
      <c r="J50" s="144"/>
      <c r="K50" s="143"/>
      <c r="L50" s="144"/>
      <c r="M50" s="60"/>
      <c r="N50" s="6" t="s">
        <v>13</v>
      </c>
      <c r="O50" s="21"/>
      <c r="P50" s="168"/>
      <c r="Q50" s="169"/>
      <c r="R50" s="170"/>
    </row>
    <row r="51" spans="1:18" ht="14.55" customHeight="1" x14ac:dyDescent="0.3">
      <c r="A51" s="166"/>
      <c r="B51" s="5"/>
      <c r="C51" s="5"/>
      <c r="D51" s="4">
        <v>250062</v>
      </c>
      <c r="E51" s="3" t="s">
        <v>222</v>
      </c>
      <c r="F51" s="19">
        <v>304</v>
      </c>
      <c r="G51" s="20">
        <v>0.6</v>
      </c>
      <c r="H51" s="28" t="s">
        <v>130</v>
      </c>
      <c r="I51" s="143">
        <v>291</v>
      </c>
      <c r="J51" s="144"/>
      <c r="K51" s="143"/>
      <c r="L51" s="144"/>
      <c r="M51" s="60"/>
      <c r="N51" s="6" t="s">
        <v>13</v>
      </c>
      <c r="O51" s="21"/>
      <c r="P51" s="168"/>
      <c r="Q51" s="169"/>
      <c r="R51" s="170"/>
    </row>
    <row r="52" spans="1:18" ht="14.55" customHeight="1" x14ac:dyDescent="0.3">
      <c r="A52" s="166"/>
      <c r="B52" s="5"/>
      <c r="C52" s="5"/>
      <c r="D52" s="4">
        <v>250062</v>
      </c>
      <c r="E52" s="3" t="s">
        <v>223</v>
      </c>
      <c r="F52" s="19">
        <v>304</v>
      </c>
      <c r="G52" s="20">
        <v>0.6</v>
      </c>
      <c r="H52" s="28" t="s">
        <v>130</v>
      </c>
      <c r="I52" s="143">
        <v>201</v>
      </c>
      <c r="J52" s="144"/>
      <c r="K52" s="143"/>
      <c r="L52" s="144"/>
      <c r="M52" s="60"/>
      <c r="N52" s="6" t="s">
        <v>13</v>
      </c>
      <c r="O52" s="21"/>
      <c r="P52" s="168"/>
      <c r="Q52" s="169"/>
      <c r="R52" s="170"/>
    </row>
    <row r="53" spans="1:18" ht="14.55" customHeight="1" x14ac:dyDescent="0.3">
      <c r="A53" s="166"/>
      <c r="B53" s="5"/>
      <c r="C53" s="5"/>
      <c r="D53" s="4">
        <v>250062</v>
      </c>
      <c r="E53" s="3" t="s">
        <v>227</v>
      </c>
      <c r="F53" s="19">
        <v>304</v>
      </c>
      <c r="G53" s="20">
        <v>0.6</v>
      </c>
      <c r="H53" s="28" t="s">
        <v>130</v>
      </c>
      <c r="I53" s="143">
        <v>145</v>
      </c>
      <c r="J53" s="144"/>
      <c r="K53" s="143"/>
      <c r="L53" s="144"/>
      <c r="M53" s="60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66"/>
      <c r="B54" s="5"/>
      <c r="C54" s="5"/>
      <c r="D54" s="4">
        <v>250063</v>
      </c>
      <c r="E54" s="3" t="s">
        <v>228</v>
      </c>
      <c r="F54" s="19">
        <v>430</v>
      </c>
      <c r="G54" s="20">
        <v>0.5</v>
      </c>
      <c r="H54" s="28" t="s">
        <v>130</v>
      </c>
      <c r="I54" s="143">
        <v>305</v>
      </c>
      <c r="J54" s="144"/>
      <c r="K54" s="143"/>
      <c r="L54" s="144"/>
      <c r="M54" s="60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66"/>
      <c r="B55" s="5"/>
      <c r="C55" s="5">
        <v>0.875</v>
      </c>
      <c r="D55" s="4">
        <v>250064</v>
      </c>
      <c r="E55" s="3" t="s">
        <v>210</v>
      </c>
      <c r="F55" s="19">
        <v>430</v>
      </c>
      <c r="G55" s="20">
        <v>0.5</v>
      </c>
      <c r="H55" s="28" t="s">
        <v>130</v>
      </c>
      <c r="I55" s="143">
        <v>79</v>
      </c>
      <c r="J55" s="144"/>
      <c r="K55" s="143"/>
      <c r="L55" s="144"/>
      <c r="M55" s="60"/>
      <c r="N55" s="6" t="s">
        <v>13</v>
      </c>
      <c r="O55" s="21"/>
      <c r="P55" s="168"/>
      <c r="Q55" s="169"/>
      <c r="R55" s="170"/>
    </row>
    <row r="56" spans="1:18" ht="14.55" customHeight="1" x14ac:dyDescent="0.3">
      <c r="A56" s="166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60"/>
      <c r="N56" s="6" t="s">
        <v>13</v>
      </c>
      <c r="O56" s="21"/>
      <c r="P56" s="168"/>
      <c r="Q56" s="169"/>
      <c r="R56" s="170"/>
    </row>
    <row r="57" spans="1:18" ht="14.55" customHeight="1" x14ac:dyDescent="0.3">
      <c r="A57" s="167"/>
      <c r="B57" s="148" t="s">
        <v>0</v>
      </c>
      <c r="C57" s="149"/>
      <c r="D57" s="149"/>
      <c r="E57" s="149"/>
      <c r="F57" s="149"/>
      <c r="G57" s="149"/>
      <c r="H57" s="149"/>
      <c r="I57" s="150">
        <f>SUM(I47:J56)</f>
        <v>2212</v>
      </c>
      <c r="J57" s="151"/>
      <c r="K57" s="150">
        <f>SUM(K47:L56)</f>
        <v>0</v>
      </c>
      <c r="L57" s="151"/>
      <c r="M57" s="10">
        <f>SUM(M52:M56)</f>
        <v>0</v>
      </c>
      <c r="N57" s="11" t="s">
        <v>13</v>
      </c>
      <c r="O57" s="9"/>
      <c r="P57" s="168"/>
      <c r="Q57" s="169"/>
      <c r="R57" s="170"/>
    </row>
    <row r="58" spans="1:18" ht="14.55" customHeight="1" x14ac:dyDescent="0.3">
      <c r="D58" s="35"/>
      <c r="E58" s="1"/>
      <c r="F58" s="1"/>
      <c r="G58" s="1"/>
      <c r="H58" s="1"/>
      <c r="M58" s="35"/>
    </row>
    <row r="59" spans="1:18" x14ac:dyDescent="0.3">
      <c r="E59" s="148" t="s">
        <v>34</v>
      </c>
      <c r="F59" s="149"/>
      <c r="G59" s="149"/>
      <c r="H59" s="149"/>
      <c r="I59" s="152" t="s">
        <v>19</v>
      </c>
      <c r="J59" s="153"/>
      <c r="K59" s="152" t="s">
        <v>20</v>
      </c>
      <c r="L59" s="153"/>
    </row>
    <row r="60" spans="1:18" s="36" customFormat="1" x14ac:dyDescent="0.3">
      <c r="E60" s="7"/>
      <c r="F60" s="7"/>
      <c r="G60" s="7"/>
      <c r="H60" s="7"/>
      <c r="I60" s="22">
        <f>I57</f>
        <v>2212</v>
      </c>
      <c r="J60" s="14" t="s">
        <v>12</v>
      </c>
      <c r="K60" s="22">
        <f>K57</f>
        <v>0</v>
      </c>
      <c r="L60" s="15" t="s">
        <v>12</v>
      </c>
    </row>
    <row r="61" spans="1:18" s="1" customFormat="1" ht="24.45" customHeight="1" x14ac:dyDescent="0.3">
      <c r="A61" s="35"/>
      <c r="B61" s="35"/>
      <c r="C61" s="35"/>
      <c r="E61" s="13"/>
      <c r="F61" s="13"/>
      <c r="G61" s="13"/>
      <c r="H61" s="13"/>
      <c r="I61" s="154">
        <f>I60+K60</f>
        <v>2212</v>
      </c>
      <c r="J61" s="155"/>
      <c r="K61" s="155"/>
      <c r="L61" s="156"/>
      <c r="N61" s="35"/>
      <c r="O61" s="35"/>
      <c r="P61" s="35"/>
      <c r="Q61" s="35"/>
      <c r="R61" s="35"/>
    </row>
    <row r="63" spans="1:18" s="8" customFormat="1" ht="30" customHeight="1" x14ac:dyDescent="0.3">
      <c r="A63" s="133" t="s">
        <v>22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5"/>
      <c r="L63" s="135"/>
      <c r="M63" s="135"/>
      <c r="N63" s="135"/>
      <c r="O63" s="134"/>
      <c r="P63" s="134"/>
      <c r="Q63" s="134"/>
      <c r="R63" s="136"/>
    </row>
    <row r="64" spans="1:18" s="12" customFormat="1" ht="14.55" customHeight="1" x14ac:dyDescent="0.3">
      <c r="A64" s="128" t="s">
        <v>1</v>
      </c>
      <c r="B64" s="137" t="s">
        <v>2</v>
      </c>
      <c r="C64" s="137" t="s">
        <v>3</v>
      </c>
      <c r="D64" s="137" t="s">
        <v>4</v>
      </c>
      <c r="E64" s="124" t="s">
        <v>5</v>
      </c>
      <c r="F64" s="138" t="s">
        <v>14</v>
      </c>
      <c r="G64" s="138" t="s">
        <v>15</v>
      </c>
      <c r="H64" s="119" t="s">
        <v>27</v>
      </c>
      <c r="I64" s="121" t="s">
        <v>6</v>
      </c>
      <c r="J64" s="122"/>
      <c r="K64" s="122"/>
      <c r="L64" s="123"/>
      <c r="M64" s="124" t="s">
        <v>7</v>
      </c>
      <c r="N64" s="125"/>
      <c r="O64" s="128" t="s">
        <v>8</v>
      </c>
      <c r="P64" s="128" t="s">
        <v>9</v>
      </c>
      <c r="Q64" s="128"/>
      <c r="R64" s="128"/>
    </row>
    <row r="65" spans="1:18" s="12" customFormat="1" ht="13.05" customHeight="1" x14ac:dyDescent="0.3">
      <c r="A65" s="128"/>
      <c r="B65" s="137"/>
      <c r="C65" s="137"/>
      <c r="D65" s="137"/>
      <c r="E65" s="126"/>
      <c r="F65" s="139"/>
      <c r="G65" s="139"/>
      <c r="H65" s="120"/>
      <c r="I65" s="121" t="s">
        <v>23</v>
      </c>
      <c r="J65" s="123"/>
      <c r="K65" s="121" t="s">
        <v>11</v>
      </c>
      <c r="L65" s="123"/>
      <c r="M65" s="126"/>
      <c r="N65" s="127"/>
      <c r="O65" s="128"/>
      <c r="P65" s="128"/>
      <c r="Q65" s="128"/>
      <c r="R65" s="128"/>
    </row>
    <row r="66" spans="1:18" ht="14.55" customHeight="1" x14ac:dyDescent="0.3">
      <c r="A66" s="140" t="s">
        <v>28</v>
      </c>
      <c r="B66" s="5">
        <v>0.33333333333333331</v>
      </c>
      <c r="C66" s="5">
        <v>0.70833333333333337</v>
      </c>
      <c r="D66" s="4">
        <v>250057</v>
      </c>
      <c r="E66" s="3" t="s">
        <v>217</v>
      </c>
      <c r="F66" s="19">
        <v>304</v>
      </c>
      <c r="G66" s="20">
        <v>0.6</v>
      </c>
      <c r="H66" s="28"/>
      <c r="I66" s="143">
        <v>1600</v>
      </c>
      <c r="J66" s="144"/>
      <c r="K66" s="143"/>
      <c r="L66" s="144"/>
      <c r="M66" s="60"/>
      <c r="N66" s="6" t="s">
        <v>13</v>
      </c>
      <c r="O66" s="21"/>
      <c r="P66" s="168" t="s">
        <v>50</v>
      </c>
      <c r="Q66" s="169"/>
      <c r="R66" s="170"/>
    </row>
    <row r="67" spans="1:18" ht="14.55" customHeight="1" x14ac:dyDescent="0.3">
      <c r="A67" s="141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60"/>
      <c r="N67" s="6" t="s">
        <v>13</v>
      </c>
      <c r="O67" s="21"/>
      <c r="P67" s="168"/>
      <c r="Q67" s="169"/>
      <c r="R67" s="170"/>
    </row>
    <row r="68" spans="1:18" ht="14.55" customHeight="1" x14ac:dyDescent="0.3">
      <c r="A68" s="141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60"/>
      <c r="N68" s="6" t="s">
        <v>13</v>
      </c>
      <c r="O68" s="21"/>
      <c r="P68" s="168"/>
      <c r="Q68" s="169"/>
      <c r="R68" s="170"/>
    </row>
    <row r="69" spans="1:18" ht="14.55" customHeight="1" x14ac:dyDescent="0.3">
      <c r="A69" s="141"/>
      <c r="B69" s="5"/>
      <c r="C69" s="5"/>
      <c r="D69" s="4"/>
      <c r="E69" s="3"/>
      <c r="F69" s="19"/>
      <c r="G69" s="20"/>
      <c r="H69" s="28"/>
      <c r="I69" s="143"/>
      <c r="J69" s="144"/>
      <c r="K69" s="143"/>
      <c r="L69" s="144"/>
      <c r="M69" s="60"/>
      <c r="N69" s="6" t="s">
        <v>13</v>
      </c>
      <c r="O69" s="21"/>
      <c r="P69" s="168"/>
      <c r="Q69" s="169"/>
      <c r="R69" s="170"/>
    </row>
    <row r="70" spans="1:18" ht="14.55" customHeight="1" x14ac:dyDescent="0.3">
      <c r="A70" s="141"/>
      <c r="B70" s="5"/>
      <c r="C70" s="5"/>
      <c r="D70" s="4"/>
      <c r="E70" s="3"/>
      <c r="F70" s="19"/>
      <c r="G70" s="20"/>
      <c r="H70" s="28"/>
      <c r="I70" s="143"/>
      <c r="J70" s="144"/>
      <c r="K70" s="143"/>
      <c r="L70" s="144"/>
      <c r="M70" s="60"/>
      <c r="N70" s="6" t="s">
        <v>13</v>
      </c>
      <c r="O70" s="21"/>
      <c r="P70" s="168"/>
      <c r="Q70" s="169"/>
      <c r="R70" s="170"/>
    </row>
    <row r="71" spans="1:18" ht="14.55" customHeight="1" x14ac:dyDescent="0.3">
      <c r="A71" s="142"/>
      <c r="B71" s="148" t="s">
        <v>0</v>
      </c>
      <c r="C71" s="149"/>
      <c r="D71" s="149"/>
      <c r="E71" s="149"/>
      <c r="F71" s="149"/>
      <c r="G71" s="149"/>
      <c r="H71" s="171"/>
      <c r="I71" s="150">
        <f>SUM(I66:J70)</f>
        <v>1600</v>
      </c>
      <c r="J71" s="151"/>
      <c r="K71" s="150">
        <f>SUM(K66:L70)</f>
        <v>0</v>
      </c>
      <c r="L71" s="151"/>
      <c r="M71" s="10">
        <f>SUM(M66:M70)</f>
        <v>0</v>
      </c>
      <c r="N71" s="11" t="s">
        <v>13</v>
      </c>
      <c r="O71" s="9"/>
      <c r="P71" s="168"/>
      <c r="Q71" s="169"/>
      <c r="R71" s="170"/>
    </row>
    <row r="72" spans="1:18" ht="14.55" customHeight="1" x14ac:dyDescent="0.3">
      <c r="A72" s="140" t="s">
        <v>24</v>
      </c>
      <c r="B72" s="5">
        <v>0.33333333333333331</v>
      </c>
      <c r="C72" s="5"/>
      <c r="D72" s="4">
        <v>250057</v>
      </c>
      <c r="E72" s="3" t="s">
        <v>216</v>
      </c>
      <c r="F72" s="19">
        <v>304</v>
      </c>
      <c r="G72" s="20">
        <v>0.6</v>
      </c>
      <c r="H72" s="28"/>
      <c r="I72" s="143">
        <v>1400</v>
      </c>
      <c r="J72" s="144"/>
      <c r="K72" s="143"/>
      <c r="L72" s="144"/>
      <c r="M72" s="60"/>
      <c r="N72" s="6" t="s">
        <v>13</v>
      </c>
      <c r="O72" s="21"/>
      <c r="P72" s="157" t="s">
        <v>51</v>
      </c>
      <c r="Q72" s="158"/>
      <c r="R72" s="159"/>
    </row>
    <row r="73" spans="1:18" ht="14.55" customHeight="1" x14ac:dyDescent="0.3">
      <c r="A73" s="166"/>
      <c r="B73" s="5"/>
      <c r="C73" s="5">
        <v>0.70833333333333337</v>
      </c>
      <c r="D73" s="4">
        <v>250057</v>
      </c>
      <c r="E73" s="3" t="s">
        <v>219</v>
      </c>
      <c r="F73" s="19">
        <v>304</v>
      </c>
      <c r="G73" s="20">
        <v>0.6</v>
      </c>
      <c r="H73" s="28"/>
      <c r="I73" s="143">
        <v>200</v>
      </c>
      <c r="J73" s="144"/>
      <c r="K73" s="143"/>
      <c r="L73" s="144"/>
      <c r="M73" s="60"/>
      <c r="N73" s="6" t="s">
        <v>13</v>
      </c>
      <c r="O73" s="21"/>
      <c r="P73" s="160"/>
      <c r="Q73" s="161"/>
      <c r="R73" s="162"/>
    </row>
    <row r="74" spans="1:18" ht="14.55" hidden="1" customHeight="1" x14ac:dyDescent="0.3">
      <c r="A74" s="166"/>
      <c r="B74" s="5"/>
      <c r="C74" s="5"/>
      <c r="D74" s="4"/>
      <c r="E74" s="3"/>
      <c r="F74" s="19"/>
      <c r="G74" s="20"/>
      <c r="H74" s="28"/>
      <c r="I74" s="143"/>
      <c r="J74" s="144"/>
      <c r="K74" s="143"/>
      <c r="L74" s="144"/>
      <c r="M74" s="60"/>
      <c r="N74" s="6" t="s">
        <v>13</v>
      </c>
      <c r="O74" s="21"/>
      <c r="P74" s="160"/>
      <c r="Q74" s="161"/>
      <c r="R74" s="162"/>
    </row>
    <row r="75" spans="1:18" ht="14.55" hidden="1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60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60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7"/>
      <c r="B77" s="148" t="s">
        <v>0</v>
      </c>
      <c r="C77" s="149"/>
      <c r="D77" s="149"/>
      <c r="E77" s="149"/>
      <c r="F77" s="149"/>
      <c r="G77" s="149"/>
      <c r="H77" s="171"/>
      <c r="I77" s="150">
        <f>SUM(I72:J76)</f>
        <v>1600</v>
      </c>
      <c r="J77" s="151"/>
      <c r="K77" s="150">
        <f>SUM(K72:L76)</f>
        <v>0</v>
      </c>
      <c r="L77" s="151"/>
      <c r="M77" s="10">
        <f>SUM(M72:M76)</f>
        <v>0</v>
      </c>
      <c r="N77" s="11" t="s">
        <v>13</v>
      </c>
      <c r="O77" s="9"/>
      <c r="P77" s="163"/>
      <c r="Q77" s="164"/>
      <c r="R77" s="165"/>
    </row>
    <row r="78" spans="1:18" ht="14.55" customHeight="1" x14ac:dyDescent="0.3">
      <c r="A78" s="140" t="s">
        <v>25</v>
      </c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60"/>
      <c r="N78" s="6" t="s">
        <v>13</v>
      </c>
      <c r="O78" s="21"/>
      <c r="P78" s="145" t="s">
        <v>53</v>
      </c>
      <c r="Q78" s="169"/>
      <c r="R78" s="170"/>
    </row>
    <row r="79" spans="1:18" ht="14.55" hidden="1" customHeight="1" x14ac:dyDescent="0.3">
      <c r="A79" s="141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60"/>
      <c r="N79" s="6" t="s">
        <v>13</v>
      </c>
      <c r="O79" s="21"/>
      <c r="P79" s="168"/>
      <c r="Q79" s="169"/>
      <c r="R79" s="170"/>
    </row>
    <row r="80" spans="1:18" ht="14.55" hidden="1" customHeight="1" x14ac:dyDescent="0.3">
      <c r="A80" s="141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60"/>
      <c r="N80" s="6" t="s">
        <v>13</v>
      </c>
      <c r="O80" s="21"/>
      <c r="P80" s="168"/>
      <c r="Q80" s="169"/>
      <c r="R80" s="170"/>
    </row>
    <row r="81" spans="1:18" ht="14.55" customHeight="1" x14ac:dyDescent="0.3">
      <c r="A81" s="141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60"/>
      <c r="N81" s="6" t="s">
        <v>13</v>
      </c>
      <c r="O81" s="21"/>
      <c r="P81" s="168"/>
      <c r="Q81" s="169"/>
      <c r="R81" s="170"/>
    </row>
    <row r="82" spans="1:18" ht="14.55" customHeight="1" x14ac:dyDescent="0.3">
      <c r="A82" s="141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60"/>
      <c r="N82" s="6" t="s">
        <v>13</v>
      </c>
      <c r="O82" s="21"/>
      <c r="P82" s="168"/>
      <c r="Q82" s="169"/>
      <c r="R82" s="170"/>
    </row>
    <row r="83" spans="1:18" ht="14.55" customHeight="1" x14ac:dyDescent="0.3">
      <c r="A83" s="142"/>
      <c r="B83" s="148" t="s">
        <v>0</v>
      </c>
      <c r="C83" s="149"/>
      <c r="D83" s="149"/>
      <c r="E83" s="149"/>
      <c r="F83" s="149"/>
      <c r="G83" s="149"/>
      <c r="H83" s="149"/>
      <c r="I83" s="150">
        <f>SUM(I78:J82)</f>
        <v>0</v>
      </c>
      <c r="J83" s="151"/>
      <c r="K83" s="150">
        <f>SUM(K78:L82)</f>
        <v>0</v>
      </c>
      <c r="L83" s="151"/>
      <c r="M83" s="10">
        <f>SUM(M78:M82)</f>
        <v>0</v>
      </c>
      <c r="N83" s="11" t="s">
        <v>13</v>
      </c>
      <c r="O83" s="9"/>
      <c r="P83" s="168"/>
      <c r="Q83" s="169"/>
      <c r="R83" s="170"/>
    </row>
    <row r="85" spans="1:18" x14ac:dyDescent="0.3">
      <c r="E85" s="148" t="s">
        <v>26</v>
      </c>
      <c r="F85" s="149"/>
      <c r="G85" s="149"/>
      <c r="H85" s="149"/>
      <c r="I85" s="152" t="s">
        <v>23</v>
      </c>
      <c r="J85" s="153"/>
      <c r="K85" s="152" t="s">
        <v>11</v>
      </c>
      <c r="L85" s="153"/>
    </row>
    <row r="86" spans="1:18" s="36" customFormat="1" x14ac:dyDescent="0.3">
      <c r="E86" s="7"/>
      <c r="F86" s="7"/>
      <c r="G86" s="7"/>
      <c r="H86" s="7"/>
      <c r="I86" s="22">
        <f>I77+I83</f>
        <v>1600</v>
      </c>
      <c r="J86" s="14" t="s">
        <v>12</v>
      </c>
      <c r="K86" s="22">
        <f>K77+K83</f>
        <v>0</v>
      </c>
      <c r="L86" s="15" t="s">
        <v>12</v>
      </c>
    </row>
    <row r="87" spans="1:18" ht="24.45" customHeight="1" x14ac:dyDescent="0.3">
      <c r="E87" s="13"/>
      <c r="F87" s="13"/>
      <c r="G87" s="13"/>
      <c r="H87" s="13"/>
      <c r="I87" s="154">
        <f>I86+K86</f>
        <v>1600</v>
      </c>
      <c r="J87" s="155"/>
      <c r="K87" s="155"/>
      <c r="L87" s="156"/>
    </row>
    <row r="89" spans="1:18" s="8" customFormat="1" ht="30" customHeight="1" x14ac:dyDescent="0.3">
      <c r="A89" s="133" t="s">
        <v>131</v>
      </c>
      <c r="B89" s="134"/>
      <c r="C89" s="134"/>
      <c r="D89" s="134"/>
      <c r="E89" s="134"/>
      <c r="F89" s="134"/>
      <c r="G89" s="134"/>
      <c r="H89" s="134"/>
      <c r="I89" s="134"/>
      <c r="J89" s="134"/>
      <c r="K89" s="135"/>
      <c r="L89" s="135"/>
      <c r="M89" s="135"/>
      <c r="N89" s="135"/>
      <c r="O89" s="134"/>
      <c r="P89" s="134"/>
      <c r="Q89" s="134"/>
      <c r="R89" s="136"/>
    </row>
    <row r="90" spans="1:18" s="12" customFormat="1" ht="14.55" customHeight="1" x14ac:dyDescent="0.3">
      <c r="A90" s="128" t="s">
        <v>1</v>
      </c>
      <c r="B90" s="137" t="s">
        <v>2</v>
      </c>
      <c r="C90" s="137" t="s">
        <v>3</v>
      </c>
      <c r="D90" s="137" t="s">
        <v>4</v>
      </c>
      <c r="E90" s="124" t="s">
        <v>5</v>
      </c>
      <c r="F90" s="138" t="s">
        <v>14</v>
      </c>
      <c r="G90" s="138" t="s">
        <v>15</v>
      </c>
      <c r="H90" s="119" t="s">
        <v>27</v>
      </c>
      <c r="I90" s="121" t="s">
        <v>6</v>
      </c>
      <c r="J90" s="122"/>
      <c r="K90" s="122"/>
      <c r="L90" s="123"/>
      <c r="M90" s="124" t="s">
        <v>7</v>
      </c>
      <c r="N90" s="125"/>
      <c r="O90" s="128" t="s">
        <v>8</v>
      </c>
      <c r="P90" s="128" t="s">
        <v>9</v>
      </c>
      <c r="Q90" s="128"/>
      <c r="R90" s="128"/>
    </row>
    <row r="91" spans="1:18" s="12" customFormat="1" ht="13.05" customHeight="1" x14ac:dyDescent="0.3">
      <c r="A91" s="128"/>
      <c r="B91" s="137"/>
      <c r="C91" s="137"/>
      <c r="D91" s="137"/>
      <c r="E91" s="126"/>
      <c r="F91" s="139"/>
      <c r="G91" s="139"/>
      <c r="H91" s="120"/>
      <c r="I91" s="121" t="s">
        <v>23</v>
      </c>
      <c r="J91" s="123"/>
      <c r="K91" s="121" t="s">
        <v>11</v>
      </c>
      <c r="L91" s="123"/>
      <c r="M91" s="126"/>
      <c r="N91" s="127"/>
      <c r="O91" s="128"/>
      <c r="P91" s="128"/>
      <c r="Q91" s="128"/>
      <c r="R91" s="128"/>
    </row>
    <row r="92" spans="1:18" ht="14.55" customHeight="1" x14ac:dyDescent="0.3">
      <c r="A92" s="140" t="s">
        <v>132</v>
      </c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60"/>
      <c r="N92" s="6" t="s">
        <v>13</v>
      </c>
      <c r="O92" s="21"/>
      <c r="P92" s="157"/>
      <c r="Q92" s="158"/>
      <c r="R92" s="159"/>
    </row>
    <row r="93" spans="1:18" ht="14.55" customHeight="1" x14ac:dyDescent="0.3">
      <c r="A93" s="166"/>
      <c r="B93" s="5"/>
      <c r="C93" s="5"/>
      <c r="D93" s="4"/>
      <c r="E93" s="3"/>
      <c r="F93" s="19"/>
      <c r="G93" s="20"/>
      <c r="H93" s="28"/>
      <c r="I93" s="143"/>
      <c r="J93" s="144"/>
      <c r="K93" s="143"/>
      <c r="L93" s="144"/>
      <c r="M93" s="60"/>
      <c r="N93" s="6" t="s">
        <v>13</v>
      </c>
      <c r="O93" s="21"/>
      <c r="P93" s="160"/>
      <c r="Q93" s="161"/>
      <c r="R93" s="162"/>
    </row>
    <row r="94" spans="1:18" ht="14.55" customHeight="1" x14ac:dyDescent="0.3">
      <c r="A94" s="166"/>
      <c r="B94" s="5"/>
      <c r="C94" s="5"/>
      <c r="D94" s="4"/>
      <c r="E94" s="3"/>
      <c r="F94" s="19"/>
      <c r="G94" s="20"/>
      <c r="H94" s="28"/>
      <c r="I94" s="143"/>
      <c r="J94" s="144"/>
      <c r="K94" s="143"/>
      <c r="L94" s="144"/>
      <c r="M94" s="60"/>
      <c r="N94" s="6" t="s">
        <v>13</v>
      </c>
      <c r="O94" s="21"/>
      <c r="P94" s="160"/>
      <c r="Q94" s="161"/>
      <c r="R94" s="162"/>
    </row>
    <row r="95" spans="1:18" ht="14.55" customHeight="1" x14ac:dyDescent="0.3">
      <c r="A95" s="166"/>
      <c r="B95" s="5"/>
      <c r="C95" s="5"/>
      <c r="D95" s="4"/>
      <c r="E95" s="3"/>
      <c r="F95" s="19"/>
      <c r="G95" s="20"/>
      <c r="H95" s="28"/>
      <c r="I95" s="143"/>
      <c r="J95" s="144"/>
      <c r="K95" s="143"/>
      <c r="L95" s="144"/>
      <c r="M95" s="60"/>
      <c r="N95" s="6" t="s">
        <v>13</v>
      </c>
      <c r="O95" s="21"/>
      <c r="P95" s="160"/>
      <c r="Q95" s="161"/>
      <c r="R95" s="162"/>
    </row>
    <row r="96" spans="1:18" ht="14.55" customHeight="1" x14ac:dyDescent="0.3">
      <c r="A96" s="166"/>
      <c r="B96" s="5"/>
      <c r="C96" s="5"/>
      <c r="D96" s="4"/>
      <c r="E96" s="3"/>
      <c r="F96" s="19"/>
      <c r="G96" s="20"/>
      <c r="H96" s="28"/>
      <c r="I96" s="143"/>
      <c r="J96" s="144"/>
      <c r="K96" s="143"/>
      <c r="L96" s="144"/>
      <c r="M96" s="60"/>
      <c r="N96" s="6" t="s">
        <v>13</v>
      </c>
      <c r="O96" s="21"/>
      <c r="P96" s="160"/>
      <c r="Q96" s="161"/>
      <c r="R96" s="162"/>
    </row>
    <row r="97" spans="1:18" ht="14.55" customHeight="1" x14ac:dyDescent="0.3">
      <c r="A97" s="166"/>
      <c r="B97" s="5"/>
      <c r="C97" s="5"/>
      <c r="D97" s="4"/>
      <c r="E97" s="3"/>
      <c r="F97" s="19"/>
      <c r="G97" s="20"/>
      <c r="H97" s="28"/>
      <c r="I97" s="143"/>
      <c r="J97" s="144"/>
      <c r="K97" s="143"/>
      <c r="L97" s="144"/>
      <c r="M97" s="60"/>
      <c r="N97" s="6" t="s">
        <v>13</v>
      </c>
      <c r="O97" s="21"/>
      <c r="P97" s="160"/>
      <c r="Q97" s="161"/>
      <c r="R97" s="162"/>
    </row>
    <row r="98" spans="1:18" ht="14.55" customHeight="1" x14ac:dyDescent="0.3">
      <c r="A98" s="166"/>
      <c r="B98" s="5"/>
      <c r="C98" s="5"/>
      <c r="D98" s="4"/>
      <c r="E98" s="3"/>
      <c r="F98" s="19"/>
      <c r="G98" s="20"/>
      <c r="H98" s="28"/>
      <c r="I98" s="143"/>
      <c r="J98" s="144"/>
      <c r="K98" s="143"/>
      <c r="L98" s="144"/>
      <c r="M98" s="60"/>
      <c r="N98" s="6" t="s">
        <v>13</v>
      </c>
      <c r="O98" s="21"/>
      <c r="P98" s="160"/>
      <c r="Q98" s="161"/>
      <c r="R98" s="162"/>
    </row>
    <row r="99" spans="1:18" ht="14.55" customHeight="1" x14ac:dyDescent="0.3">
      <c r="A99" s="166"/>
      <c r="B99" s="5"/>
      <c r="C99" s="5"/>
      <c r="D99" s="4"/>
      <c r="E99" s="3"/>
      <c r="F99" s="19"/>
      <c r="G99" s="20"/>
      <c r="H99" s="28"/>
      <c r="I99" s="143"/>
      <c r="J99" s="144"/>
      <c r="K99" s="143"/>
      <c r="L99" s="144"/>
      <c r="M99" s="60"/>
      <c r="N99" s="6" t="s">
        <v>13</v>
      </c>
      <c r="O99" s="21"/>
      <c r="P99" s="160"/>
      <c r="Q99" s="161"/>
      <c r="R99" s="162"/>
    </row>
    <row r="100" spans="1:18" ht="14.55" customHeight="1" x14ac:dyDescent="0.3">
      <c r="A100" s="166"/>
      <c r="B100" s="5"/>
      <c r="C100" s="5"/>
      <c r="D100" s="4"/>
      <c r="E100" s="3"/>
      <c r="F100" s="19"/>
      <c r="G100" s="20"/>
      <c r="H100" s="28"/>
      <c r="I100" s="143"/>
      <c r="J100" s="144"/>
      <c r="K100" s="143"/>
      <c r="L100" s="144"/>
      <c r="M100" s="60"/>
      <c r="N100" s="6" t="s">
        <v>13</v>
      </c>
      <c r="O100" s="21"/>
      <c r="P100" s="160"/>
      <c r="Q100" s="161"/>
      <c r="R100" s="162"/>
    </row>
    <row r="101" spans="1:18" ht="14.55" customHeight="1" x14ac:dyDescent="0.3">
      <c r="A101" s="166"/>
      <c r="B101" s="5"/>
      <c r="C101" s="5"/>
      <c r="D101" s="4"/>
      <c r="E101" s="3"/>
      <c r="F101" s="19"/>
      <c r="G101" s="20"/>
      <c r="H101" s="28"/>
      <c r="I101" s="143"/>
      <c r="J101" s="144"/>
      <c r="K101" s="143"/>
      <c r="L101" s="144"/>
      <c r="M101" s="60"/>
      <c r="N101" s="6" t="s">
        <v>13</v>
      </c>
      <c r="O101" s="21"/>
      <c r="P101" s="160"/>
      <c r="Q101" s="161"/>
      <c r="R101" s="162"/>
    </row>
    <row r="102" spans="1:18" ht="14.55" customHeight="1" x14ac:dyDescent="0.3">
      <c r="A102" s="167"/>
      <c r="B102" s="148" t="s">
        <v>0</v>
      </c>
      <c r="C102" s="149"/>
      <c r="D102" s="149"/>
      <c r="E102" s="149"/>
      <c r="F102" s="149"/>
      <c r="G102" s="149"/>
      <c r="H102" s="149"/>
      <c r="I102" s="150">
        <f ca="1">SUM(I92:J102)</f>
        <v>0</v>
      </c>
      <c r="J102" s="151"/>
      <c r="K102" s="150">
        <f ca="1">SUM(K92:L102)</f>
        <v>0</v>
      </c>
      <c r="L102" s="151"/>
      <c r="M102" s="10">
        <f>SUM(M97:M101)</f>
        <v>0</v>
      </c>
      <c r="N102" s="11" t="s">
        <v>13</v>
      </c>
      <c r="O102" s="9"/>
      <c r="P102" s="163"/>
      <c r="Q102" s="164"/>
      <c r="R102" s="165"/>
    </row>
    <row r="104" spans="1:18" x14ac:dyDescent="0.3">
      <c r="E104" s="148" t="s">
        <v>26</v>
      </c>
      <c r="F104" s="149"/>
      <c r="G104" s="149"/>
      <c r="H104" s="149"/>
      <c r="I104" s="152" t="s">
        <v>23</v>
      </c>
      <c r="J104" s="153"/>
      <c r="K104" s="172" t="s">
        <v>11</v>
      </c>
      <c r="L104" s="153"/>
    </row>
    <row r="105" spans="1:18" s="36" customFormat="1" x14ac:dyDescent="0.3">
      <c r="E105" s="7"/>
      <c r="F105" s="7"/>
      <c r="G105" s="7"/>
      <c r="H105" s="7"/>
      <c r="I105" s="22">
        <f ca="1">I102</f>
        <v>0</v>
      </c>
      <c r="J105" s="14" t="s">
        <v>12</v>
      </c>
      <c r="K105" s="22">
        <f ca="1">K102</f>
        <v>0</v>
      </c>
      <c r="L105" s="15" t="s">
        <v>12</v>
      </c>
    </row>
    <row r="106" spans="1:18" ht="24.45" customHeight="1" x14ac:dyDescent="0.3">
      <c r="E106" s="13"/>
      <c r="F106" s="13"/>
      <c r="G106" s="13"/>
      <c r="H106" s="13"/>
      <c r="I106" s="154">
        <f ca="1">I105+K105</f>
        <v>0</v>
      </c>
      <c r="J106" s="155"/>
      <c r="K106" s="155"/>
      <c r="L106" s="156"/>
    </row>
  </sheetData>
  <mergeCells count="250">
    <mergeCell ref="I97:J97"/>
    <mergeCell ref="K97:L97"/>
    <mergeCell ref="I106:L106"/>
    <mergeCell ref="I101:J101"/>
    <mergeCell ref="K101:L101"/>
    <mergeCell ref="B102:H102"/>
    <mergeCell ref="I102:J102"/>
    <mergeCell ref="K102:L102"/>
    <mergeCell ref="E104:H104"/>
    <mergeCell ref="I104:J104"/>
    <mergeCell ref="K104:L104"/>
    <mergeCell ref="A92:A102"/>
    <mergeCell ref="I92:J92"/>
    <mergeCell ref="K92:L92"/>
    <mergeCell ref="P92:R102"/>
    <mergeCell ref="I93:J93"/>
    <mergeCell ref="K93:L93"/>
    <mergeCell ref="I94:J94"/>
    <mergeCell ref="F90:F91"/>
    <mergeCell ref="G90:G91"/>
    <mergeCell ref="H90:H91"/>
    <mergeCell ref="I90:L90"/>
    <mergeCell ref="M90:N91"/>
    <mergeCell ref="O90:O91"/>
    <mergeCell ref="I98:J98"/>
    <mergeCell ref="K98:L98"/>
    <mergeCell ref="I99:J99"/>
    <mergeCell ref="K99:L99"/>
    <mergeCell ref="I100:J100"/>
    <mergeCell ref="K100:L100"/>
    <mergeCell ref="K94:L94"/>
    <mergeCell ref="I95:J95"/>
    <mergeCell ref="K95:L95"/>
    <mergeCell ref="I96:J96"/>
    <mergeCell ref="K96:L96"/>
    <mergeCell ref="E85:H85"/>
    <mergeCell ref="I85:J85"/>
    <mergeCell ref="K85:L85"/>
    <mergeCell ref="I87:L87"/>
    <mergeCell ref="A89:R89"/>
    <mergeCell ref="A90:A91"/>
    <mergeCell ref="B90:B91"/>
    <mergeCell ref="C90:C91"/>
    <mergeCell ref="D90:D91"/>
    <mergeCell ref="E90:E91"/>
    <mergeCell ref="P90:R91"/>
    <mergeCell ref="I91:J91"/>
    <mergeCell ref="K91:L91"/>
    <mergeCell ref="P78:R83"/>
    <mergeCell ref="I79:J79"/>
    <mergeCell ref="K79:L79"/>
    <mergeCell ref="I80:J80"/>
    <mergeCell ref="K80:L80"/>
    <mergeCell ref="I81:J81"/>
    <mergeCell ref="K81:L81"/>
    <mergeCell ref="I82:J82"/>
    <mergeCell ref="K82:L82"/>
    <mergeCell ref="I83:J83"/>
    <mergeCell ref="B77:H77"/>
    <mergeCell ref="I77:J77"/>
    <mergeCell ref="K77:L77"/>
    <mergeCell ref="A78:A83"/>
    <mergeCell ref="I78:J78"/>
    <mergeCell ref="K78:L78"/>
    <mergeCell ref="B83:H83"/>
    <mergeCell ref="K83:L83"/>
    <mergeCell ref="A72:A77"/>
    <mergeCell ref="I72:J72"/>
    <mergeCell ref="K72:L72"/>
    <mergeCell ref="P72:R77"/>
    <mergeCell ref="I73:J73"/>
    <mergeCell ref="K73:L73"/>
    <mergeCell ref="I74:J74"/>
    <mergeCell ref="K74:L74"/>
    <mergeCell ref="I75:J75"/>
    <mergeCell ref="K75:L75"/>
    <mergeCell ref="K68:L68"/>
    <mergeCell ref="I69:J69"/>
    <mergeCell ref="K69:L69"/>
    <mergeCell ref="I70:J70"/>
    <mergeCell ref="K70:L70"/>
    <mergeCell ref="I76:J76"/>
    <mergeCell ref="K76:L76"/>
    <mergeCell ref="B71:H71"/>
    <mergeCell ref="I71:J71"/>
    <mergeCell ref="K71:L71"/>
    <mergeCell ref="P64:R65"/>
    <mergeCell ref="I65:J65"/>
    <mergeCell ref="K65:L65"/>
    <mergeCell ref="A66:A71"/>
    <mergeCell ref="I66:J66"/>
    <mergeCell ref="K66:L66"/>
    <mergeCell ref="P66:R71"/>
    <mergeCell ref="I67:J67"/>
    <mergeCell ref="K67:L67"/>
    <mergeCell ref="I68:J68"/>
    <mergeCell ref="F64:F65"/>
    <mergeCell ref="G64:G65"/>
    <mergeCell ref="H64:H65"/>
    <mergeCell ref="I64:L64"/>
    <mergeCell ref="M64:N65"/>
    <mergeCell ref="O64:O65"/>
    <mergeCell ref="A47:A57"/>
    <mergeCell ref="I47:J47"/>
    <mergeCell ref="K47:L47"/>
    <mergeCell ref="P47:R51"/>
    <mergeCell ref="I48:J48"/>
    <mergeCell ref="K48:L48"/>
    <mergeCell ref="I49:J49"/>
    <mergeCell ref="K49:L49"/>
    <mergeCell ref="I50:J50"/>
    <mergeCell ref="K50:L50"/>
    <mergeCell ref="K55:L55"/>
    <mergeCell ref="I56:J56"/>
    <mergeCell ref="K56:L56"/>
    <mergeCell ref="B57:H57"/>
    <mergeCell ref="I57:J57"/>
    <mergeCell ref="K57:L57"/>
    <mergeCell ref="I51:J51"/>
    <mergeCell ref="K51:L51"/>
    <mergeCell ref="I52:J52"/>
    <mergeCell ref="K52:L52"/>
    <mergeCell ref="P52:R57"/>
    <mergeCell ref="I53:J53"/>
    <mergeCell ref="K53:L53"/>
    <mergeCell ref="I54:J54"/>
    <mergeCell ref="E59:H59"/>
    <mergeCell ref="I59:J59"/>
    <mergeCell ref="K59:L59"/>
    <mergeCell ref="I61:L61"/>
    <mergeCell ref="A63:R63"/>
    <mergeCell ref="A64:A65"/>
    <mergeCell ref="B64:B65"/>
    <mergeCell ref="C64:C65"/>
    <mergeCell ref="D64:D65"/>
    <mergeCell ref="E64:E65"/>
    <mergeCell ref="M45:N46"/>
    <mergeCell ref="O45:O46"/>
    <mergeCell ref="P45:R46"/>
    <mergeCell ref="I46:J46"/>
    <mergeCell ref="K46:L46"/>
    <mergeCell ref="I42:L42"/>
    <mergeCell ref="A44:R44"/>
    <mergeCell ref="A45:A46"/>
    <mergeCell ref="B45:B46"/>
    <mergeCell ref="C45:C46"/>
    <mergeCell ref="D45:D46"/>
    <mergeCell ref="E45:E46"/>
    <mergeCell ref="F45:F46"/>
    <mergeCell ref="G45:G46"/>
    <mergeCell ref="H45:H46"/>
    <mergeCell ref="K54:L54"/>
    <mergeCell ref="I55:J55"/>
    <mergeCell ref="B38:H38"/>
    <mergeCell ref="I38:J38"/>
    <mergeCell ref="K38:L38"/>
    <mergeCell ref="E40:H40"/>
    <mergeCell ref="I40:J40"/>
    <mergeCell ref="K40:L40"/>
    <mergeCell ref="I36:J36"/>
    <mergeCell ref="K36:L36"/>
    <mergeCell ref="I37:J37"/>
    <mergeCell ref="K37:L37"/>
    <mergeCell ref="I45:L45"/>
    <mergeCell ref="K32:L32"/>
    <mergeCell ref="P25:R26"/>
    <mergeCell ref="I26:J26"/>
    <mergeCell ref="K26:L26"/>
    <mergeCell ref="I33:J33"/>
    <mergeCell ref="K33:L33"/>
    <mergeCell ref="I34:J34"/>
    <mergeCell ref="K34:L34"/>
    <mergeCell ref="I35:J35"/>
    <mergeCell ref="K35:L35"/>
    <mergeCell ref="A25:A26"/>
    <mergeCell ref="B25:B26"/>
    <mergeCell ref="C25:C26"/>
    <mergeCell ref="D25:D26"/>
    <mergeCell ref="E25:E26"/>
    <mergeCell ref="A27:A38"/>
    <mergeCell ref="I27:J27"/>
    <mergeCell ref="K27:L27"/>
    <mergeCell ref="P27:R38"/>
    <mergeCell ref="I28:J28"/>
    <mergeCell ref="K28:L28"/>
    <mergeCell ref="I29:J29"/>
    <mergeCell ref="F25:F26"/>
    <mergeCell ref="G25:G26"/>
    <mergeCell ref="H25:H26"/>
    <mergeCell ref="I25:L25"/>
    <mergeCell ref="M25:N26"/>
    <mergeCell ref="O25:O26"/>
    <mergeCell ref="K29:L29"/>
    <mergeCell ref="I30:J30"/>
    <mergeCell ref="K30:L30"/>
    <mergeCell ref="I31:J31"/>
    <mergeCell ref="K31:L31"/>
    <mergeCell ref="I32:J32"/>
    <mergeCell ref="P13:R18"/>
    <mergeCell ref="I14:J14"/>
    <mergeCell ref="K14:L14"/>
    <mergeCell ref="I15:J15"/>
    <mergeCell ref="E20:H20"/>
    <mergeCell ref="I20:J20"/>
    <mergeCell ref="K20:L20"/>
    <mergeCell ref="I22:L22"/>
    <mergeCell ref="A24:R24"/>
    <mergeCell ref="A7:A12"/>
    <mergeCell ref="I7:J7"/>
    <mergeCell ref="K7:L7"/>
    <mergeCell ref="I11:J11"/>
    <mergeCell ref="K11:L11"/>
    <mergeCell ref="B12:H12"/>
    <mergeCell ref="I12:J12"/>
    <mergeCell ref="K12:L12"/>
    <mergeCell ref="A13:A18"/>
    <mergeCell ref="I13:J13"/>
    <mergeCell ref="K13:L13"/>
    <mergeCell ref="K15:L15"/>
    <mergeCell ref="I16:J16"/>
    <mergeCell ref="K16:L16"/>
    <mergeCell ref="I17:J17"/>
    <mergeCell ref="K17:L17"/>
    <mergeCell ref="B18:H18"/>
    <mergeCell ref="I18:J18"/>
    <mergeCell ref="K18:L18"/>
    <mergeCell ref="P7:R12"/>
    <mergeCell ref="I8:J8"/>
    <mergeCell ref="K8:L8"/>
    <mergeCell ref="I9:J9"/>
    <mergeCell ref="K9:L9"/>
    <mergeCell ref="H5:H6"/>
    <mergeCell ref="I5:L5"/>
    <mergeCell ref="M5:N6"/>
    <mergeCell ref="O5:O6"/>
    <mergeCell ref="P5:R6"/>
    <mergeCell ref="I6:J6"/>
    <mergeCell ref="K6:L6"/>
    <mergeCell ref="I10:J10"/>
    <mergeCell ref="K10:L10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7"/>
  <sheetViews>
    <sheetView topLeftCell="A28" zoomScale="85" zoomScaleNormal="85" workbookViewId="0">
      <selection activeCell="D67" sqref="D67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45930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">
        <v>250069</v>
      </c>
      <c r="E7" s="3" t="s">
        <v>234</v>
      </c>
      <c r="F7" s="19">
        <v>304</v>
      </c>
      <c r="G7" s="20">
        <v>0.6</v>
      </c>
      <c r="H7" s="28"/>
      <c r="I7" s="143"/>
      <c r="J7" s="144"/>
      <c r="K7" s="143">
        <v>1620</v>
      </c>
      <c r="L7" s="144"/>
      <c r="M7" s="61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4">
        <v>250068</v>
      </c>
      <c r="E8" s="3" t="s">
        <v>235</v>
      </c>
      <c r="F8" s="19">
        <v>304</v>
      </c>
      <c r="G8" s="20">
        <v>0.6</v>
      </c>
      <c r="H8" s="28"/>
      <c r="I8" s="143"/>
      <c r="J8" s="144"/>
      <c r="K8" s="143">
        <v>510</v>
      </c>
      <c r="L8" s="144"/>
      <c r="M8" s="61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8"/>
      <c r="I9" s="143"/>
      <c r="J9" s="144"/>
      <c r="K9" s="143"/>
      <c r="L9" s="144"/>
      <c r="M9" s="61"/>
      <c r="N9" s="6" t="s">
        <v>13</v>
      </c>
      <c r="O9" s="21"/>
      <c r="P9" s="145"/>
      <c r="Q9" s="146"/>
      <c r="R9" s="147"/>
    </row>
    <row r="10" spans="1:18" ht="14.55" customHeight="1" x14ac:dyDescent="0.3">
      <c r="A10" s="142"/>
      <c r="B10" s="148" t="s">
        <v>0</v>
      </c>
      <c r="C10" s="149"/>
      <c r="D10" s="149"/>
      <c r="E10" s="149"/>
      <c r="F10" s="149"/>
      <c r="G10" s="149"/>
      <c r="H10" s="149"/>
      <c r="I10" s="150">
        <f>SUM(I7:J9)</f>
        <v>0</v>
      </c>
      <c r="J10" s="151"/>
      <c r="K10" s="150">
        <f>SUM(K7:L9)</f>
        <v>2130</v>
      </c>
      <c r="L10" s="151"/>
      <c r="M10" s="10">
        <f>SUM(M7:M9)</f>
        <v>0</v>
      </c>
      <c r="N10" s="11" t="s">
        <v>13</v>
      </c>
      <c r="O10" s="9"/>
      <c r="P10" s="145"/>
      <c r="Q10" s="146"/>
      <c r="R10" s="147"/>
    </row>
    <row r="11" spans="1:18" ht="14.55" customHeight="1" x14ac:dyDescent="0.3">
      <c r="A11" s="140" t="s">
        <v>21</v>
      </c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61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66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61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61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61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SUM(I11:J14)</f>
        <v>0</v>
      </c>
      <c r="J15" s="151"/>
      <c r="K15" s="150">
        <f>SUM(K11:L14)</f>
        <v>0</v>
      </c>
      <c r="L15" s="151"/>
      <c r="M15" s="10">
        <f>SUM(M11:M14)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35"/>
      <c r="E16" s="1"/>
      <c r="F16" s="1"/>
      <c r="G16" s="1"/>
      <c r="H16" s="1"/>
      <c r="M16" s="35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I10+I15</f>
        <v>0</v>
      </c>
      <c r="J18" s="14" t="s">
        <v>12</v>
      </c>
      <c r="K18" s="22">
        <f>K10+K15</f>
        <v>2130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2130</v>
      </c>
      <c r="J19" s="155"/>
      <c r="K19" s="155"/>
      <c r="L19" s="156"/>
    </row>
    <row r="20" spans="1:18" ht="15" customHeight="1" x14ac:dyDescent="0.3">
      <c r="D20" s="35"/>
      <c r="I20" s="35"/>
      <c r="J20" s="35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250069</v>
      </c>
      <c r="E24" s="3" t="s">
        <v>214</v>
      </c>
      <c r="F24" s="19">
        <v>304</v>
      </c>
      <c r="G24" s="20">
        <v>0.6</v>
      </c>
      <c r="H24" s="28" t="s">
        <v>137</v>
      </c>
      <c r="I24" s="143"/>
      <c r="J24" s="144"/>
      <c r="K24" s="143">
        <v>661</v>
      </c>
      <c r="L24" s="144"/>
      <c r="M24" s="61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>
        <v>250069</v>
      </c>
      <c r="E25" s="3" t="s">
        <v>234</v>
      </c>
      <c r="F25" s="19">
        <v>304</v>
      </c>
      <c r="G25" s="20">
        <v>0.6</v>
      </c>
      <c r="H25" s="28" t="s">
        <v>137</v>
      </c>
      <c r="I25" s="143"/>
      <c r="J25" s="144"/>
      <c r="K25" s="143">
        <v>1000</v>
      </c>
      <c r="L25" s="144"/>
      <c r="M25" s="61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>
        <v>250066</v>
      </c>
      <c r="E26" s="3" t="s">
        <v>138</v>
      </c>
      <c r="F26" s="19">
        <v>430</v>
      </c>
      <c r="G26" s="20">
        <v>0.5</v>
      </c>
      <c r="H26" s="28" t="s">
        <v>137</v>
      </c>
      <c r="I26" s="143">
        <v>303</v>
      </c>
      <c r="J26" s="144"/>
      <c r="K26" s="143"/>
      <c r="L26" s="144"/>
      <c r="M26" s="61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>
        <v>250066</v>
      </c>
      <c r="E27" s="3" t="s">
        <v>192</v>
      </c>
      <c r="F27" s="19">
        <v>430</v>
      </c>
      <c r="G27" s="20">
        <v>0.5</v>
      </c>
      <c r="H27" s="28" t="s">
        <v>137</v>
      </c>
      <c r="I27" s="143">
        <v>83</v>
      </c>
      <c r="J27" s="144"/>
      <c r="K27" s="143"/>
      <c r="L27" s="144"/>
      <c r="M27" s="61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>
        <v>0.70833333333333337</v>
      </c>
      <c r="D28" s="4">
        <v>250066</v>
      </c>
      <c r="E28" s="3" t="s">
        <v>236</v>
      </c>
      <c r="F28" s="19">
        <v>430</v>
      </c>
      <c r="G28" s="20">
        <v>0.5</v>
      </c>
      <c r="H28" s="28" t="s">
        <v>137</v>
      </c>
      <c r="I28" s="143">
        <v>18</v>
      </c>
      <c r="J28" s="144"/>
      <c r="K28" s="143"/>
      <c r="L28" s="144"/>
      <c r="M28" s="61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61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61"/>
      <c r="N30" s="6" t="s">
        <v>13</v>
      </c>
      <c r="O30" s="21"/>
      <c r="P30" s="160"/>
      <c r="Q30" s="161"/>
      <c r="R30" s="162"/>
    </row>
    <row r="31" spans="1:18" ht="14.55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61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61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6"/>
      <c r="B33" s="5"/>
      <c r="C33" s="5"/>
      <c r="D33" s="4"/>
      <c r="E33" s="3"/>
      <c r="F33" s="19"/>
      <c r="G33" s="20"/>
      <c r="H33" s="28"/>
      <c r="I33" s="143"/>
      <c r="J33" s="144"/>
      <c r="K33" s="143"/>
      <c r="L33" s="144"/>
      <c r="M33" s="61"/>
      <c r="N33" s="6" t="s">
        <v>13</v>
      </c>
      <c r="O33" s="21"/>
      <c r="P33" s="160"/>
      <c r="Q33" s="161"/>
      <c r="R33" s="162"/>
    </row>
    <row r="34" spans="1:18" ht="14.55" customHeight="1" x14ac:dyDescent="0.3">
      <c r="A34" s="166"/>
      <c r="B34" s="5"/>
      <c r="C34" s="5"/>
      <c r="D34" s="4"/>
      <c r="E34" s="3"/>
      <c r="F34" s="19"/>
      <c r="G34" s="20"/>
      <c r="H34" s="28"/>
      <c r="I34" s="143"/>
      <c r="J34" s="144"/>
      <c r="K34" s="143"/>
      <c r="L34" s="144"/>
      <c r="M34" s="61"/>
      <c r="N34" s="6" t="s">
        <v>13</v>
      </c>
      <c r="O34" s="21"/>
      <c r="P34" s="160"/>
      <c r="Q34" s="161"/>
      <c r="R34" s="162"/>
    </row>
    <row r="35" spans="1:18" ht="14.55" customHeight="1" x14ac:dyDescent="0.3">
      <c r="A35" s="166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61"/>
      <c r="N35" s="6" t="s">
        <v>13</v>
      </c>
      <c r="O35" s="21"/>
      <c r="P35" s="160"/>
      <c r="Q35" s="161"/>
      <c r="R35" s="162"/>
    </row>
    <row r="36" spans="1:18" ht="14.55" customHeight="1" x14ac:dyDescent="0.3">
      <c r="A36" s="166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61"/>
      <c r="N36" s="6" t="s">
        <v>13</v>
      </c>
      <c r="O36" s="21"/>
      <c r="P36" s="160"/>
      <c r="Q36" s="161"/>
      <c r="R36" s="162"/>
    </row>
    <row r="37" spans="1:18" ht="14.55" customHeight="1" x14ac:dyDescent="0.3">
      <c r="A37" s="166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61"/>
      <c r="N37" s="6" t="s">
        <v>13</v>
      </c>
      <c r="O37" s="21"/>
      <c r="P37" s="160"/>
      <c r="Q37" s="161"/>
      <c r="R37" s="162"/>
    </row>
    <row r="38" spans="1:18" ht="14.55" customHeight="1" x14ac:dyDescent="0.3">
      <c r="A38" s="166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61"/>
      <c r="N38" s="6" t="s">
        <v>13</v>
      </c>
      <c r="O38" s="21"/>
      <c r="P38" s="160"/>
      <c r="Q38" s="161"/>
      <c r="R38" s="162"/>
    </row>
    <row r="39" spans="1:18" ht="14.55" customHeight="1" x14ac:dyDescent="0.3">
      <c r="A39" s="167"/>
      <c r="B39" s="148" t="s">
        <v>0</v>
      </c>
      <c r="C39" s="149"/>
      <c r="D39" s="149"/>
      <c r="E39" s="149"/>
      <c r="F39" s="149"/>
      <c r="G39" s="149"/>
      <c r="H39" s="149"/>
      <c r="I39" s="150">
        <f>SUM(I24:J38)</f>
        <v>404</v>
      </c>
      <c r="J39" s="151"/>
      <c r="K39" s="150">
        <f>SUM(K24:L38)</f>
        <v>1661</v>
      </c>
      <c r="L39" s="151"/>
      <c r="M39" s="10">
        <f>SUM(M34:M38)</f>
        <v>0</v>
      </c>
      <c r="N39" s="11" t="s">
        <v>13</v>
      </c>
      <c r="O39" s="9"/>
      <c r="P39" s="163"/>
      <c r="Q39" s="164"/>
      <c r="R39" s="165"/>
    </row>
    <row r="40" spans="1:18" ht="14.55" customHeight="1" x14ac:dyDescent="0.3">
      <c r="D40" s="35"/>
      <c r="E40" s="1"/>
      <c r="F40" s="1"/>
      <c r="G40" s="1"/>
      <c r="H40" s="1"/>
      <c r="M40" s="35"/>
    </row>
    <row r="41" spans="1:18" x14ac:dyDescent="0.3">
      <c r="E41" s="148" t="s">
        <v>33</v>
      </c>
      <c r="F41" s="149"/>
      <c r="G41" s="149"/>
      <c r="H41" s="149"/>
      <c r="I41" s="152" t="s">
        <v>19</v>
      </c>
      <c r="J41" s="153"/>
      <c r="K41" s="152" t="s">
        <v>20</v>
      </c>
      <c r="L41" s="153"/>
    </row>
    <row r="42" spans="1:18" s="36" customFormat="1" x14ac:dyDescent="0.3">
      <c r="E42" s="7"/>
      <c r="F42" s="7"/>
      <c r="G42" s="7"/>
      <c r="H42" s="7"/>
      <c r="I42" s="22">
        <f>I39</f>
        <v>404</v>
      </c>
      <c r="J42" s="14" t="s">
        <v>12</v>
      </c>
      <c r="K42" s="22">
        <f>K39</f>
        <v>1661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2065</v>
      </c>
      <c r="J43" s="155"/>
      <c r="K43" s="155"/>
      <c r="L43" s="156"/>
    </row>
    <row r="45" spans="1:18" s="8" customFormat="1" ht="30" customHeight="1" x14ac:dyDescent="0.3">
      <c r="A45" s="133" t="s">
        <v>30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5"/>
      <c r="L45" s="135"/>
      <c r="M45" s="135"/>
      <c r="N45" s="135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29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19</v>
      </c>
      <c r="J47" s="123"/>
      <c r="K47" s="121" t="s">
        <v>20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35</v>
      </c>
      <c r="B48" s="5">
        <v>0.33333333333333331</v>
      </c>
      <c r="C48" s="5"/>
      <c r="D48" s="4">
        <v>250066</v>
      </c>
      <c r="E48" s="3" t="s">
        <v>184</v>
      </c>
      <c r="F48" s="19">
        <v>430</v>
      </c>
      <c r="G48" s="20">
        <v>0.5</v>
      </c>
      <c r="H48" s="28" t="s">
        <v>130</v>
      </c>
      <c r="I48" s="143">
        <v>726</v>
      </c>
      <c r="J48" s="144"/>
      <c r="K48" s="143"/>
      <c r="L48" s="144"/>
      <c r="M48" s="61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66"/>
      <c r="B49" s="5"/>
      <c r="C49" s="5"/>
      <c r="D49" s="4">
        <v>250069</v>
      </c>
      <c r="E49" s="3" t="s">
        <v>237</v>
      </c>
      <c r="F49" s="19">
        <v>304</v>
      </c>
      <c r="G49" s="20">
        <v>0.6</v>
      </c>
      <c r="H49" s="28" t="s">
        <v>130</v>
      </c>
      <c r="I49" s="143">
        <v>792</v>
      </c>
      <c r="J49" s="144"/>
      <c r="K49" s="143"/>
      <c r="L49" s="144"/>
      <c r="M49" s="61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66"/>
      <c r="B50" s="5"/>
      <c r="C50" s="5">
        <v>0.70833333333333337</v>
      </c>
      <c r="D50" s="4">
        <v>250066</v>
      </c>
      <c r="E50" s="3" t="s">
        <v>228</v>
      </c>
      <c r="F50" s="19">
        <v>430</v>
      </c>
      <c r="G50" s="20">
        <v>0.5</v>
      </c>
      <c r="H50" s="28" t="s">
        <v>130</v>
      </c>
      <c r="I50" s="143">
        <v>74</v>
      </c>
      <c r="J50" s="144"/>
      <c r="K50" s="143"/>
      <c r="L50" s="144"/>
      <c r="M50" s="61"/>
      <c r="N50" s="6" t="s">
        <v>13</v>
      </c>
      <c r="O50" s="21"/>
      <c r="P50" s="168"/>
      <c r="Q50" s="169"/>
      <c r="R50" s="170"/>
    </row>
    <row r="51" spans="1:18" ht="14.55" customHeight="1" x14ac:dyDescent="0.3">
      <c r="A51" s="166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61"/>
      <c r="N51" s="6" t="s">
        <v>13</v>
      </c>
      <c r="O51" s="21"/>
      <c r="P51" s="168"/>
      <c r="Q51" s="169"/>
      <c r="R51" s="170"/>
    </row>
    <row r="52" spans="1:18" ht="14.55" customHeight="1" x14ac:dyDescent="0.3">
      <c r="A52" s="166"/>
      <c r="B52" s="5"/>
      <c r="C52" s="5"/>
      <c r="D52" s="4"/>
      <c r="E52" s="3"/>
      <c r="F52" s="19"/>
      <c r="G52" s="20"/>
      <c r="H52" s="28"/>
      <c r="I52" s="143"/>
      <c r="J52" s="144"/>
      <c r="K52" s="143"/>
      <c r="L52" s="144"/>
      <c r="M52" s="61"/>
      <c r="N52" s="6" t="s">
        <v>13</v>
      </c>
      <c r="O52" s="21"/>
      <c r="P52" s="168"/>
      <c r="Q52" s="169"/>
      <c r="R52" s="170"/>
    </row>
    <row r="53" spans="1:18" ht="14.55" customHeight="1" x14ac:dyDescent="0.3">
      <c r="A53" s="166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61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66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61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66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61"/>
      <c r="N55" s="6" t="s">
        <v>13</v>
      </c>
      <c r="O55" s="21"/>
      <c r="P55" s="168"/>
      <c r="Q55" s="169"/>
      <c r="R55" s="170"/>
    </row>
    <row r="56" spans="1:18" ht="14.55" customHeight="1" x14ac:dyDescent="0.3">
      <c r="A56" s="166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61"/>
      <c r="N56" s="6" t="s">
        <v>13</v>
      </c>
      <c r="O56" s="21"/>
      <c r="P56" s="168"/>
      <c r="Q56" s="169"/>
      <c r="R56" s="170"/>
    </row>
    <row r="57" spans="1:18" ht="14.55" customHeight="1" x14ac:dyDescent="0.3">
      <c r="A57" s="166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61"/>
      <c r="N57" s="6" t="s">
        <v>13</v>
      </c>
      <c r="O57" s="21"/>
      <c r="P57" s="168"/>
      <c r="Q57" s="169"/>
      <c r="R57" s="170"/>
    </row>
    <row r="58" spans="1:18" ht="14.55" customHeight="1" x14ac:dyDescent="0.3">
      <c r="A58" s="167"/>
      <c r="B58" s="148" t="s">
        <v>0</v>
      </c>
      <c r="C58" s="149"/>
      <c r="D58" s="149"/>
      <c r="E58" s="149"/>
      <c r="F58" s="149"/>
      <c r="G58" s="149"/>
      <c r="H58" s="149"/>
      <c r="I58" s="150">
        <f>SUM(I48:J57)</f>
        <v>1592</v>
      </c>
      <c r="J58" s="151"/>
      <c r="K58" s="150">
        <f>SUM(K48:L57)</f>
        <v>0</v>
      </c>
      <c r="L58" s="151"/>
      <c r="M58" s="10">
        <f>SUM(M53:M57)</f>
        <v>0</v>
      </c>
      <c r="N58" s="11" t="s">
        <v>13</v>
      </c>
      <c r="O58" s="9"/>
      <c r="P58" s="168"/>
      <c r="Q58" s="169"/>
      <c r="R58" s="170"/>
    </row>
    <row r="59" spans="1:18" ht="14.55" customHeight="1" x14ac:dyDescent="0.3">
      <c r="D59" s="35"/>
      <c r="E59" s="1"/>
      <c r="F59" s="1"/>
      <c r="G59" s="1"/>
      <c r="H59" s="1"/>
      <c r="M59" s="35"/>
    </row>
    <row r="60" spans="1:18" x14ac:dyDescent="0.3">
      <c r="E60" s="148" t="s">
        <v>34</v>
      </c>
      <c r="F60" s="149"/>
      <c r="G60" s="149"/>
      <c r="H60" s="149"/>
      <c r="I60" s="152" t="s">
        <v>19</v>
      </c>
      <c r="J60" s="153"/>
      <c r="K60" s="152" t="s">
        <v>20</v>
      </c>
      <c r="L60" s="153"/>
    </row>
    <row r="61" spans="1:18" s="36" customFormat="1" x14ac:dyDescent="0.3">
      <c r="E61" s="7"/>
      <c r="F61" s="7"/>
      <c r="G61" s="7"/>
      <c r="H61" s="7"/>
      <c r="I61" s="22">
        <f>I58</f>
        <v>1592</v>
      </c>
      <c r="J61" s="14" t="s">
        <v>12</v>
      </c>
      <c r="K61" s="22">
        <f>K58</f>
        <v>0</v>
      </c>
      <c r="L61" s="15" t="s">
        <v>12</v>
      </c>
    </row>
    <row r="62" spans="1:18" s="1" customFormat="1" ht="24.45" customHeight="1" x14ac:dyDescent="0.3">
      <c r="A62" s="35"/>
      <c r="B62" s="35"/>
      <c r="C62" s="35"/>
      <c r="E62" s="13"/>
      <c r="F62" s="13"/>
      <c r="G62" s="13"/>
      <c r="H62" s="13"/>
      <c r="I62" s="154">
        <f>I61+K61</f>
        <v>1592</v>
      </c>
      <c r="J62" s="155"/>
      <c r="K62" s="155"/>
      <c r="L62" s="156"/>
      <c r="N62" s="35"/>
      <c r="O62" s="35"/>
      <c r="P62" s="35"/>
      <c r="Q62" s="35"/>
      <c r="R62" s="35"/>
    </row>
    <row r="64" spans="1:18" s="8" customFormat="1" ht="30" customHeight="1" x14ac:dyDescent="0.3">
      <c r="A64" s="133" t="s">
        <v>22</v>
      </c>
      <c r="B64" s="134"/>
      <c r="C64" s="134"/>
      <c r="D64" s="134"/>
      <c r="E64" s="134"/>
      <c r="F64" s="134"/>
      <c r="G64" s="134"/>
      <c r="H64" s="134"/>
      <c r="I64" s="134"/>
      <c r="J64" s="134"/>
      <c r="K64" s="135"/>
      <c r="L64" s="135"/>
      <c r="M64" s="135"/>
      <c r="N64" s="135"/>
      <c r="O64" s="134"/>
      <c r="P64" s="134"/>
      <c r="Q64" s="134"/>
      <c r="R64" s="136"/>
    </row>
    <row r="65" spans="1:18" s="12" customFormat="1" ht="14.55" customHeight="1" x14ac:dyDescent="0.3">
      <c r="A65" s="128" t="s">
        <v>1</v>
      </c>
      <c r="B65" s="137" t="s">
        <v>2</v>
      </c>
      <c r="C65" s="137" t="s">
        <v>3</v>
      </c>
      <c r="D65" s="137" t="s">
        <v>4</v>
      </c>
      <c r="E65" s="124" t="s">
        <v>5</v>
      </c>
      <c r="F65" s="138" t="s">
        <v>14</v>
      </c>
      <c r="G65" s="138" t="s">
        <v>15</v>
      </c>
      <c r="H65" s="119" t="s">
        <v>27</v>
      </c>
      <c r="I65" s="121" t="s">
        <v>6</v>
      </c>
      <c r="J65" s="122"/>
      <c r="K65" s="122"/>
      <c r="L65" s="123"/>
      <c r="M65" s="124" t="s">
        <v>7</v>
      </c>
      <c r="N65" s="125"/>
      <c r="O65" s="128" t="s">
        <v>8</v>
      </c>
      <c r="P65" s="128" t="s">
        <v>9</v>
      </c>
      <c r="Q65" s="128"/>
      <c r="R65" s="128"/>
    </row>
    <row r="66" spans="1:18" s="12" customFormat="1" ht="13.05" customHeight="1" x14ac:dyDescent="0.3">
      <c r="A66" s="128"/>
      <c r="B66" s="137"/>
      <c r="C66" s="137"/>
      <c r="D66" s="137"/>
      <c r="E66" s="126"/>
      <c r="F66" s="139"/>
      <c r="G66" s="139"/>
      <c r="H66" s="120"/>
      <c r="I66" s="121" t="s">
        <v>23</v>
      </c>
      <c r="J66" s="123"/>
      <c r="K66" s="121" t="s">
        <v>11</v>
      </c>
      <c r="L66" s="123"/>
      <c r="M66" s="126"/>
      <c r="N66" s="127"/>
      <c r="O66" s="128"/>
      <c r="P66" s="128"/>
      <c r="Q66" s="128"/>
      <c r="R66" s="128"/>
    </row>
    <row r="67" spans="1:18" ht="14.55" customHeight="1" x14ac:dyDescent="0.3">
      <c r="A67" s="140" t="s">
        <v>28</v>
      </c>
      <c r="B67" s="5">
        <v>0.33333333333333331</v>
      </c>
      <c r="C67" s="5"/>
      <c r="D67" s="4">
        <v>250057</v>
      </c>
      <c r="E67" s="3" t="s">
        <v>238</v>
      </c>
      <c r="F67" s="19">
        <v>304</v>
      </c>
      <c r="G67" s="20">
        <v>0.6</v>
      </c>
      <c r="H67" s="28"/>
      <c r="I67" s="143">
        <v>1500</v>
      </c>
      <c r="J67" s="144"/>
      <c r="K67" s="143"/>
      <c r="L67" s="144"/>
      <c r="M67" s="61"/>
      <c r="N67" s="6" t="s">
        <v>13</v>
      </c>
      <c r="O67" s="21"/>
      <c r="P67" s="168" t="s">
        <v>50</v>
      </c>
      <c r="Q67" s="169"/>
      <c r="R67" s="170"/>
    </row>
    <row r="68" spans="1:18" ht="14.55" customHeight="1" x14ac:dyDescent="0.3">
      <c r="A68" s="141"/>
      <c r="B68" s="5"/>
      <c r="C68" s="5">
        <v>0.70833333333333337</v>
      </c>
      <c r="D68" s="4">
        <v>250057</v>
      </c>
      <c r="E68" s="3" t="s">
        <v>239</v>
      </c>
      <c r="F68" s="19">
        <v>304</v>
      </c>
      <c r="G68" s="20">
        <v>0.6</v>
      </c>
      <c r="H68" s="28"/>
      <c r="I68" s="143">
        <v>500</v>
      </c>
      <c r="J68" s="144"/>
      <c r="K68" s="143"/>
      <c r="L68" s="144"/>
      <c r="M68" s="61"/>
      <c r="N68" s="6" t="s">
        <v>13</v>
      </c>
      <c r="O68" s="21"/>
      <c r="P68" s="168"/>
      <c r="Q68" s="169"/>
      <c r="R68" s="170"/>
    </row>
    <row r="69" spans="1:18" ht="14.55" customHeight="1" x14ac:dyDescent="0.3">
      <c r="A69" s="141"/>
      <c r="B69" s="5"/>
      <c r="C69" s="5"/>
      <c r="D69" s="4"/>
      <c r="E69" s="3"/>
      <c r="F69" s="19"/>
      <c r="G69" s="20"/>
      <c r="H69" s="28"/>
      <c r="I69" s="143"/>
      <c r="J69" s="144"/>
      <c r="K69" s="143"/>
      <c r="L69" s="144"/>
      <c r="M69" s="61"/>
      <c r="N69" s="6" t="s">
        <v>13</v>
      </c>
      <c r="O69" s="21"/>
      <c r="P69" s="168"/>
      <c r="Q69" s="169"/>
      <c r="R69" s="170"/>
    </row>
    <row r="70" spans="1:18" ht="14.55" customHeight="1" x14ac:dyDescent="0.3">
      <c r="A70" s="141"/>
      <c r="B70" s="5"/>
      <c r="C70" s="5"/>
      <c r="D70" s="4"/>
      <c r="E70" s="3"/>
      <c r="F70" s="19"/>
      <c r="G70" s="20"/>
      <c r="H70" s="28"/>
      <c r="I70" s="143"/>
      <c r="J70" s="144"/>
      <c r="K70" s="143"/>
      <c r="L70" s="144"/>
      <c r="M70" s="61"/>
      <c r="N70" s="6" t="s">
        <v>13</v>
      </c>
      <c r="O70" s="21"/>
      <c r="P70" s="168"/>
      <c r="Q70" s="169"/>
      <c r="R70" s="170"/>
    </row>
    <row r="71" spans="1:18" ht="14.55" customHeight="1" x14ac:dyDescent="0.3">
      <c r="A71" s="141"/>
      <c r="B71" s="5"/>
      <c r="C71" s="5"/>
      <c r="D71" s="4"/>
      <c r="E71" s="3"/>
      <c r="F71" s="19"/>
      <c r="G71" s="20"/>
      <c r="H71" s="28"/>
      <c r="I71" s="143"/>
      <c r="J71" s="144"/>
      <c r="K71" s="143"/>
      <c r="L71" s="144"/>
      <c r="M71" s="61"/>
      <c r="N71" s="6" t="s">
        <v>13</v>
      </c>
      <c r="O71" s="21"/>
      <c r="P71" s="168"/>
      <c r="Q71" s="169"/>
      <c r="R71" s="170"/>
    </row>
    <row r="72" spans="1:18" ht="14.55" customHeight="1" x14ac:dyDescent="0.3">
      <c r="A72" s="142"/>
      <c r="B72" s="148" t="s">
        <v>0</v>
      </c>
      <c r="C72" s="149"/>
      <c r="D72" s="149"/>
      <c r="E72" s="149"/>
      <c r="F72" s="149"/>
      <c r="G72" s="149"/>
      <c r="H72" s="171"/>
      <c r="I72" s="150">
        <f>SUM(I67:J71)</f>
        <v>2000</v>
      </c>
      <c r="J72" s="151"/>
      <c r="K72" s="150">
        <f>SUM(K67:L71)</f>
        <v>0</v>
      </c>
      <c r="L72" s="151"/>
      <c r="M72" s="10">
        <f>SUM(M67:M71)</f>
        <v>0</v>
      </c>
      <c r="N72" s="11" t="s">
        <v>13</v>
      </c>
      <c r="O72" s="9"/>
      <c r="P72" s="168"/>
      <c r="Q72" s="169"/>
      <c r="R72" s="170"/>
    </row>
    <row r="73" spans="1:18" ht="14.55" customHeight="1" x14ac:dyDescent="0.3">
      <c r="A73" s="140" t="s">
        <v>24</v>
      </c>
      <c r="B73" s="5">
        <v>0.33333333333333331</v>
      </c>
      <c r="C73" s="5">
        <v>0.70833333333333337</v>
      </c>
      <c r="D73" s="4">
        <v>250057</v>
      </c>
      <c r="E73" s="3" t="s">
        <v>219</v>
      </c>
      <c r="F73" s="19">
        <v>304</v>
      </c>
      <c r="G73" s="20">
        <v>0.6</v>
      </c>
      <c r="H73" s="28"/>
      <c r="I73" s="143">
        <v>1600</v>
      </c>
      <c r="J73" s="144"/>
      <c r="K73" s="143"/>
      <c r="L73" s="144"/>
      <c r="M73" s="61"/>
      <c r="N73" s="6" t="s">
        <v>13</v>
      </c>
      <c r="O73" s="21"/>
      <c r="P73" s="157" t="s">
        <v>51</v>
      </c>
      <c r="Q73" s="158"/>
      <c r="R73" s="159"/>
    </row>
    <row r="74" spans="1:18" ht="14.55" customHeight="1" x14ac:dyDescent="0.3">
      <c r="A74" s="166"/>
      <c r="B74" s="5"/>
      <c r="C74" s="5"/>
      <c r="D74" s="4"/>
      <c r="E74" s="3"/>
      <c r="F74" s="19"/>
      <c r="G74" s="20"/>
      <c r="H74" s="28"/>
      <c r="I74" s="143"/>
      <c r="J74" s="144"/>
      <c r="K74" s="143"/>
      <c r="L74" s="144"/>
      <c r="M74" s="61"/>
      <c r="N74" s="6" t="s">
        <v>13</v>
      </c>
      <c r="O74" s="21"/>
      <c r="P74" s="160"/>
      <c r="Q74" s="161"/>
      <c r="R74" s="162"/>
    </row>
    <row r="75" spans="1:18" ht="14.55" hidden="1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61"/>
      <c r="N75" s="6" t="s">
        <v>13</v>
      </c>
      <c r="O75" s="21"/>
      <c r="P75" s="160"/>
      <c r="Q75" s="161"/>
      <c r="R75" s="162"/>
    </row>
    <row r="76" spans="1:18" ht="14.55" hidden="1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61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61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7"/>
      <c r="B78" s="148" t="s">
        <v>0</v>
      </c>
      <c r="C78" s="149"/>
      <c r="D78" s="149"/>
      <c r="E78" s="149"/>
      <c r="F78" s="149"/>
      <c r="G78" s="149"/>
      <c r="H78" s="171"/>
      <c r="I78" s="150">
        <f>SUM(I73:J77)</f>
        <v>1600</v>
      </c>
      <c r="J78" s="151"/>
      <c r="K78" s="150">
        <f>SUM(K73:L77)</f>
        <v>0</v>
      </c>
      <c r="L78" s="151"/>
      <c r="M78" s="10">
        <f>SUM(M73:M77)</f>
        <v>0</v>
      </c>
      <c r="N78" s="11" t="s">
        <v>13</v>
      </c>
      <c r="O78" s="9"/>
      <c r="P78" s="163"/>
      <c r="Q78" s="164"/>
      <c r="R78" s="165"/>
    </row>
    <row r="79" spans="1:18" ht="14.55" customHeight="1" x14ac:dyDescent="0.3">
      <c r="A79" s="140" t="s">
        <v>25</v>
      </c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61"/>
      <c r="N79" s="6" t="s">
        <v>13</v>
      </c>
      <c r="O79" s="21"/>
      <c r="P79" s="145" t="s">
        <v>53</v>
      </c>
      <c r="Q79" s="169"/>
      <c r="R79" s="170"/>
    </row>
    <row r="80" spans="1:18" ht="14.55" hidden="1" customHeight="1" x14ac:dyDescent="0.3">
      <c r="A80" s="141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61"/>
      <c r="N80" s="6" t="s">
        <v>13</v>
      </c>
      <c r="O80" s="21"/>
      <c r="P80" s="168"/>
      <c r="Q80" s="169"/>
      <c r="R80" s="170"/>
    </row>
    <row r="81" spans="1:18" ht="14.55" hidden="1" customHeight="1" x14ac:dyDescent="0.3">
      <c r="A81" s="141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61"/>
      <c r="N81" s="6" t="s">
        <v>13</v>
      </c>
      <c r="O81" s="21"/>
      <c r="P81" s="168"/>
      <c r="Q81" s="169"/>
      <c r="R81" s="170"/>
    </row>
    <row r="82" spans="1:18" ht="14.55" customHeight="1" x14ac:dyDescent="0.3">
      <c r="A82" s="141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61"/>
      <c r="N82" s="6" t="s">
        <v>13</v>
      </c>
      <c r="O82" s="21"/>
      <c r="P82" s="168"/>
      <c r="Q82" s="169"/>
      <c r="R82" s="170"/>
    </row>
    <row r="83" spans="1:18" ht="14.55" customHeight="1" x14ac:dyDescent="0.3">
      <c r="A83" s="141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61"/>
      <c r="N83" s="6" t="s">
        <v>13</v>
      </c>
      <c r="O83" s="21"/>
      <c r="P83" s="168"/>
      <c r="Q83" s="169"/>
      <c r="R83" s="170"/>
    </row>
    <row r="84" spans="1:18" ht="14.55" customHeight="1" x14ac:dyDescent="0.3">
      <c r="A84" s="142"/>
      <c r="B84" s="148" t="s">
        <v>0</v>
      </c>
      <c r="C84" s="149"/>
      <c r="D84" s="149"/>
      <c r="E84" s="149"/>
      <c r="F84" s="149"/>
      <c r="G84" s="149"/>
      <c r="H84" s="149"/>
      <c r="I84" s="150">
        <f>SUM(I79:J83)</f>
        <v>0</v>
      </c>
      <c r="J84" s="151"/>
      <c r="K84" s="150">
        <f>SUM(K79:L83)</f>
        <v>0</v>
      </c>
      <c r="L84" s="151"/>
      <c r="M84" s="10">
        <f>SUM(M79:M83)</f>
        <v>0</v>
      </c>
      <c r="N84" s="11" t="s">
        <v>13</v>
      </c>
      <c r="O84" s="9"/>
      <c r="P84" s="168"/>
      <c r="Q84" s="169"/>
      <c r="R84" s="170"/>
    </row>
    <row r="86" spans="1:18" x14ac:dyDescent="0.3">
      <c r="E86" s="148" t="s">
        <v>26</v>
      </c>
      <c r="F86" s="149"/>
      <c r="G86" s="149"/>
      <c r="H86" s="149"/>
      <c r="I86" s="152" t="s">
        <v>23</v>
      </c>
      <c r="J86" s="153"/>
      <c r="K86" s="152" t="s">
        <v>11</v>
      </c>
      <c r="L86" s="153"/>
    </row>
    <row r="87" spans="1:18" s="36" customFormat="1" x14ac:dyDescent="0.3">
      <c r="E87" s="7"/>
      <c r="F87" s="7"/>
      <c r="G87" s="7"/>
      <c r="H87" s="7"/>
      <c r="I87" s="22">
        <f>I78+I84</f>
        <v>1600</v>
      </c>
      <c r="J87" s="14" t="s">
        <v>12</v>
      </c>
      <c r="K87" s="22">
        <f>K78+K84</f>
        <v>0</v>
      </c>
      <c r="L87" s="15" t="s">
        <v>12</v>
      </c>
    </row>
    <row r="88" spans="1:18" ht="24.45" customHeight="1" x14ac:dyDescent="0.3">
      <c r="E88" s="13"/>
      <c r="F88" s="13"/>
      <c r="G88" s="13"/>
      <c r="H88" s="13"/>
      <c r="I88" s="154">
        <f>I87+K87</f>
        <v>1600</v>
      </c>
      <c r="J88" s="155"/>
      <c r="K88" s="155"/>
      <c r="L88" s="156"/>
    </row>
    <row r="90" spans="1:18" s="8" customFormat="1" ht="30" customHeight="1" x14ac:dyDescent="0.3">
      <c r="A90" s="133" t="s">
        <v>131</v>
      </c>
      <c r="B90" s="134"/>
      <c r="C90" s="134"/>
      <c r="D90" s="134"/>
      <c r="E90" s="134"/>
      <c r="F90" s="134"/>
      <c r="G90" s="134"/>
      <c r="H90" s="134"/>
      <c r="I90" s="134"/>
      <c r="J90" s="134"/>
      <c r="K90" s="135"/>
      <c r="L90" s="135"/>
      <c r="M90" s="135"/>
      <c r="N90" s="135"/>
      <c r="O90" s="134"/>
      <c r="P90" s="134"/>
      <c r="Q90" s="134"/>
      <c r="R90" s="136"/>
    </row>
    <row r="91" spans="1:18" s="12" customFormat="1" ht="14.55" customHeight="1" x14ac:dyDescent="0.3">
      <c r="A91" s="128" t="s">
        <v>1</v>
      </c>
      <c r="B91" s="137" t="s">
        <v>2</v>
      </c>
      <c r="C91" s="137" t="s">
        <v>3</v>
      </c>
      <c r="D91" s="137" t="s">
        <v>4</v>
      </c>
      <c r="E91" s="124" t="s">
        <v>5</v>
      </c>
      <c r="F91" s="138" t="s">
        <v>14</v>
      </c>
      <c r="G91" s="138" t="s">
        <v>15</v>
      </c>
      <c r="H91" s="119" t="s">
        <v>27</v>
      </c>
      <c r="I91" s="121" t="s">
        <v>6</v>
      </c>
      <c r="J91" s="122"/>
      <c r="K91" s="122"/>
      <c r="L91" s="123"/>
      <c r="M91" s="124" t="s">
        <v>7</v>
      </c>
      <c r="N91" s="125"/>
      <c r="O91" s="128" t="s">
        <v>8</v>
      </c>
      <c r="P91" s="128" t="s">
        <v>9</v>
      </c>
      <c r="Q91" s="128"/>
      <c r="R91" s="128"/>
    </row>
    <row r="92" spans="1:18" s="12" customFormat="1" ht="13.05" customHeight="1" x14ac:dyDescent="0.3">
      <c r="A92" s="128"/>
      <c r="B92" s="137"/>
      <c r="C92" s="137"/>
      <c r="D92" s="137"/>
      <c r="E92" s="126"/>
      <c r="F92" s="139"/>
      <c r="G92" s="139"/>
      <c r="H92" s="120"/>
      <c r="I92" s="121" t="s">
        <v>23</v>
      </c>
      <c r="J92" s="123"/>
      <c r="K92" s="121" t="s">
        <v>11</v>
      </c>
      <c r="L92" s="123"/>
      <c r="M92" s="126"/>
      <c r="N92" s="127"/>
      <c r="O92" s="128"/>
      <c r="P92" s="128"/>
      <c r="Q92" s="128"/>
      <c r="R92" s="128"/>
    </row>
    <row r="93" spans="1:18" ht="14.55" customHeight="1" x14ac:dyDescent="0.3">
      <c r="A93" s="140" t="s">
        <v>132</v>
      </c>
      <c r="B93" s="5"/>
      <c r="C93" s="5"/>
      <c r="D93" s="4"/>
      <c r="E93" s="3"/>
      <c r="F93" s="19"/>
      <c r="G93" s="20"/>
      <c r="H93" s="28"/>
      <c r="I93" s="143"/>
      <c r="J93" s="144"/>
      <c r="K93" s="143"/>
      <c r="L93" s="144"/>
      <c r="M93" s="61"/>
      <c r="N93" s="6" t="s">
        <v>13</v>
      </c>
      <c r="O93" s="21"/>
      <c r="P93" s="157"/>
      <c r="Q93" s="158"/>
      <c r="R93" s="159"/>
    </row>
    <row r="94" spans="1:18" ht="14.55" customHeight="1" x14ac:dyDescent="0.3">
      <c r="A94" s="166"/>
      <c r="B94" s="5"/>
      <c r="C94" s="5"/>
      <c r="D94" s="4"/>
      <c r="E94" s="3"/>
      <c r="F94" s="19"/>
      <c r="G94" s="20"/>
      <c r="H94" s="28"/>
      <c r="I94" s="143"/>
      <c r="J94" s="144"/>
      <c r="K94" s="143"/>
      <c r="L94" s="144"/>
      <c r="M94" s="61"/>
      <c r="N94" s="6" t="s">
        <v>13</v>
      </c>
      <c r="O94" s="21"/>
      <c r="P94" s="160"/>
      <c r="Q94" s="161"/>
      <c r="R94" s="162"/>
    </row>
    <row r="95" spans="1:18" ht="14.55" customHeight="1" x14ac:dyDescent="0.3">
      <c r="A95" s="166"/>
      <c r="B95" s="5"/>
      <c r="C95" s="5"/>
      <c r="D95" s="4"/>
      <c r="E95" s="3"/>
      <c r="F95" s="19"/>
      <c r="G95" s="20"/>
      <c r="H95" s="28"/>
      <c r="I95" s="143"/>
      <c r="J95" s="144"/>
      <c r="K95" s="143"/>
      <c r="L95" s="144"/>
      <c r="M95" s="61"/>
      <c r="N95" s="6" t="s">
        <v>13</v>
      </c>
      <c r="O95" s="21"/>
      <c r="P95" s="160"/>
      <c r="Q95" s="161"/>
      <c r="R95" s="162"/>
    </row>
    <row r="96" spans="1:18" ht="14.55" customHeight="1" x14ac:dyDescent="0.3">
      <c r="A96" s="166"/>
      <c r="B96" s="5"/>
      <c r="C96" s="5"/>
      <c r="D96" s="4"/>
      <c r="E96" s="3"/>
      <c r="F96" s="19"/>
      <c r="G96" s="20"/>
      <c r="H96" s="28"/>
      <c r="I96" s="143"/>
      <c r="J96" s="144"/>
      <c r="K96" s="143"/>
      <c r="L96" s="144"/>
      <c r="M96" s="61"/>
      <c r="N96" s="6" t="s">
        <v>13</v>
      </c>
      <c r="O96" s="21"/>
      <c r="P96" s="160"/>
      <c r="Q96" s="161"/>
      <c r="R96" s="162"/>
    </row>
    <row r="97" spans="1:18" ht="14.55" customHeight="1" x14ac:dyDescent="0.3">
      <c r="A97" s="166"/>
      <c r="B97" s="5"/>
      <c r="C97" s="5"/>
      <c r="D97" s="4"/>
      <c r="E97" s="3"/>
      <c r="F97" s="19"/>
      <c r="G97" s="20"/>
      <c r="H97" s="28"/>
      <c r="I97" s="143"/>
      <c r="J97" s="144"/>
      <c r="K97" s="143"/>
      <c r="L97" s="144"/>
      <c r="M97" s="61"/>
      <c r="N97" s="6" t="s">
        <v>13</v>
      </c>
      <c r="O97" s="21"/>
      <c r="P97" s="160"/>
      <c r="Q97" s="161"/>
      <c r="R97" s="162"/>
    </row>
    <row r="98" spans="1:18" ht="14.55" customHeight="1" x14ac:dyDescent="0.3">
      <c r="A98" s="166"/>
      <c r="B98" s="5"/>
      <c r="C98" s="5"/>
      <c r="D98" s="4"/>
      <c r="E98" s="3"/>
      <c r="F98" s="19"/>
      <c r="G98" s="20"/>
      <c r="H98" s="28"/>
      <c r="I98" s="143"/>
      <c r="J98" s="144"/>
      <c r="K98" s="143"/>
      <c r="L98" s="144"/>
      <c r="M98" s="61"/>
      <c r="N98" s="6" t="s">
        <v>13</v>
      </c>
      <c r="O98" s="21"/>
      <c r="P98" s="160"/>
      <c r="Q98" s="161"/>
      <c r="R98" s="162"/>
    </row>
    <row r="99" spans="1:18" ht="14.55" customHeight="1" x14ac:dyDescent="0.3">
      <c r="A99" s="166"/>
      <c r="B99" s="5"/>
      <c r="C99" s="5"/>
      <c r="D99" s="4"/>
      <c r="E99" s="3"/>
      <c r="F99" s="19"/>
      <c r="G99" s="20"/>
      <c r="H99" s="28"/>
      <c r="I99" s="143"/>
      <c r="J99" s="144"/>
      <c r="K99" s="143"/>
      <c r="L99" s="144"/>
      <c r="M99" s="61"/>
      <c r="N99" s="6" t="s">
        <v>13</v>
      </c>
      <c r="O99" s="21"/>
      <c r="P99" s="160"/>
      <c r="Q99" s="161"/>
      <c r="R99" s="162"/>
    </row>
    <row r="100" spans="1:18" ht="14.55" customHeight="1" x14ac:dyDescent="0.3">
      <c r="A100" s="166"/>
      <c r="B100" s="5"/>
      <c r="C100" s="5"/>
      <c r="D100" s="4"/>
      <c r="E100" s="3"/>
      <c r="F100" s="19"/>
      <c r="G100" s="20"/>
      <c r="H100" s="28"/>
      <c r="I100" s="143"/>
      <c r="J100" s="144"/>
      <c r="K100" s="143"/>
      <c r="L100" s="144"/>
      <c r="M100" s="61"/>
      <c r="N100" s="6" t="s">
        <v>13</v>
      </c>
      <c r="O100" s="21"/>
      <c r="P100" s="160"/>
      <c r="Q100" s="161"/>
      <c r="R100" s="162"/>
    </row>
    <row r="101" spans="1:18" ht="14.55" customHeight="1" x14ac:dyDescent="0.3">
      <c r="A101" s="166"/>
      <c r="B101" s="5"/>
      <c r="C101" s="5"/>
      <c r="D101" s="4"/>
      <c r="E101" s="3"/>
      <c r="F101" s="19"/>
      <c r="G101" s="20"/>
      <c r="H101" s="28"/>
      <c r="I101" s="143"/>
      <c r="J101" s="144"/>
      <c r="K101" s="143"/>
      <c r="L101" s="144"/>
      <c r="M101" s="61"/>
      <c r="N101" s="6" t="s">
        <v>13</v>
      </c>
      <c r="O101" s="21"/>
      <c r="P101" s="160"/>
      <c r="Q101" s="161"/>
      <c r="R101" s="162"/>
    </row>
    <row r="102" spans="1:18" ht="14.55" customHeight="1" x14ac:dyDescent="0.3">
      <c r="A102" s="166"/>
      <c r="B102" s="5"/>
      <c r="C102" s="5"/>
      <c r="D102" s="4"/>
      <c r="E102" s="3"/>
      <c r="F102" s="19"/>
      <c r="G102" s="20"/>
      <c r="H102" s="28"/>
      <c r="I102" s="143"/>
      <c r="J102" s="144"/>
      <c r="K102" s="143"/>
      <c r="L102" s="144"/>
      <c r="M102" s="61"/>
      <c r="N102" s="6" t="s">
        <v>13</v>
      </c>
      <c r="O102" s="21"/>
      <c r="P102" s="160"/>
      <c r="Q102" s="161"/>
      <c r="R102" s="162"/>
    </row>
    <row r="103" spans="1:18" ht="14.55" customHeight="1" x14ac:dyDescent="0.3">
      <c r="A103" s="167"/>
      <c r="B103" s="148" t="s">
        <v>0</v>
      </c>
      <c r="C103" s="149"/>
      <c r="D103" s="149"/>
      <c r="E103" s="149"/>
      <c r="F103" s="149"/>
      <c r="G103" s="149"/>
      <c r="H103" s="149"/>
      <c r="I103" s="150">
        <f ca="1">SUM(I93:J103)</f>
        <v>0</v>
      </c>
      <c r="J103" s="151"/>
      <c r="K103" s="150">
        <f ca="1">SUM(K93:L103)</f>
        <v>0</v>
      </c>
      <c r="L103" s="151"/>
      <c r="M103" s="10">
        <f>SUM(M98:M102)</f>
        <v>0</v>
      </c>
      <c r="N103" s="11" t="s">
        <v>13</v>
      </c>
      <c r="O103" s="9"/>
      <c r="P103" s="163"/>
      <c r="Q103" s="164"/>
      <c r="R103" s="165"/>
    </row>
    <row r="105" spans="1:18" s="1" customFormat="1" x14ac:dyDescent="0.3">
      <c r="A105" s="35"/>
      <c r="B105" s="35"/>
      <c r="C105" s="35"/>
      <c r="E105" s="148" t="s">
        <v>26</v>
      </c>
      <c r="F105" s="149"/>
      <c r="G105" s="149"/>
      <c r="H105" s="149"/>
      <c r="I105" s="152" t="s">
        <v>23</v>
      </c>
      <c r="J105" s="153"/>
      <c r="K105" s="172" t="s">
        <v>11</v>
      </c>
      <c r="L105" s="153"/>
      <c r="N105" s="35"/>
      <c r="O105" s="35"/>
      <c r="P105" s="35"/>
      <c r="Q105" s="35"/>
      <c r="R105" s="35"/>
    </row>
    <row r="106" spans="1:18" s="36" customFormat="1" x14ac:dyDescent="0.3">
      <c r="E106" s="7"/>
      <c r="F106" s="7"/>
      <c r="G106" s="7"/>
      <c r="H106" s="7"/>
      <c r="I106" s="22">
        <f ca="1">I103</f>
        <v>0</v>
      </c>
      <c r="J106" s="14" t="s">
        <v>12</v>
      </c>
      <c r="K106" s="22">
        <f ca="1">K103</f>
        <v>0</v>
      </c>
      <c r="L106" s="15" t="s">
        <v>12</v>
      </c>
    </row>
    <row r="107" spans="1:18" s="1" customFormat="1" ht="24.45" customHeight="1" x14ac:dyDescent="0.3">
      <c r="A107" s="35"/>
      <c r="B107" s="35"/>
      <c r="C107" s="35"/>
      <c r="E107" s="13"/>
      <c r="F107" s="13"/>
      <c r="G107" s="13"/>
      <c r="H107" s="13"/>
      <c r="I107" s="154">
        <f ca="1">I106+K106</f>
        <v>0</v>
      </c>
      <c r="J107" s="155"/>
      <c r="K107" s="155"/>
      <c r="L107" s="156"/>
      <c r="N107" s="35"/>
      <c r="O107" s="35"/>
      <c r="P107" s="35"/>
      <c r="Q107" s="35"/>
      <c r="R107" s="35"/>
    </row>
  </sheetData>
  <mergeCells count="252">
    <mergeCell ref="I98:J98"/>
    <mergeCell ref="K98:L98"/>
    <mergeCell ref="I107:L107"/>
    <mergeCell ref="I102:J102"/>
    <mergeCell ref="K102:L102"/>
    <mergeCell ref="B103:H103"/>
    <mergeCell ref="I103:J103"/>
    <mergeCell ref="K103:L103"/>
    <mergeCell ref="E105:H105"/>
    <mergeCell ref="I105:J105"/>
    <mergeCell ref="K105:L105"/>
    <mergeCell ref="A93:A103"/>
    <mergeCell ref="I93:J93"/>
    <mergeCell ref="K93:L93"/>
    <mergeCell ref="P93:R103"/>
    <mergeCell ref="I94:J94"/>
    <mergeCell ref="K94:L94"/>
    <mergeCell ref="I95:J95"/>
    <mergeCell ref="F91:F92"/>
    <mergeCell ref="G91:G92"/>
    <mergeCell ref="H91:H92"/>
    <mergeCell ref="I91:L91"/>
    <mergeCell ref="M91:N92"/>
    <mergeCell ref="O91:O92"/>
    <mergeCell ref="I99:J99"/>
    <mergeCell ref="K99:L99"/>
    <mergeCell ref="I100:J100"/>
    <mergeCell ref="K100:L100"/>
    <mergeCell ref="I101:J101"/>
    <mergeCell ref="K101:L101"/>
    <mergeCell ref="K95:L95"/>
    <mergeCell ref="I96:J96"/>
    <mergeCell ref="K96:L96"/>
    <mergeCell ref="I97:J97"/>
    <mergeCell ref="K97:L97"/>
    <mergeCell ref="E86:H86"/>
    <mergeCell ref="I86:J86"/>
    <mergeCell ref="K86:L86"/>
    <mergeCell ref="I88:L88"/>
    <mergeCell ref="A90:R90"/>
    <mergeCell ref="A91:A92"/>
    <mergeCell ref="B91:B92"/>
    <mergeCell ref="C91:C92"/>
    <mergeCell ref="D91:D92"/>
    <mergeCell ref="E91:E92"/>
    <mergeCell ref="P91:R92"/>
    <mergeCell ref="I92:J92"/>
    <mergeCell ref="K92:L92"/>
    <mergeCell ref="P79:R84"/>
    <mergeCell ref="I80:J80"/>
    <mergeCell ref="K80:L80"/>
    <mergeCell ref="I81:J81"/>
    <mergeCell ref="K81:L81"/>
    <mergeCell ref="I82:J82"/>
    <mergeCell ref="K82:L82"/>
    <mergeCell ref="I83:J83"/>
    <mergeCell ref="K83:L83"/>
    <mergeCell ref="I84:J84"/>
    <mergeCell ref="B78:H78"/>
    <mergeCell ref="I78:J78"/>
    <mergeCell ref="K78:L78"/>
    <mergeCell ref="A79:A84"/>
    <mergeCell ref="I79:J79"/>
    <mergeCell ref="K79:L79"/>
    <mergeCell ref="B84:H84"/>
    <mergeCell ref="K84:L84"/>
    <mergeCell ref="A73:A78"/>
    <mergeCell ref="I73:J73"/>
    <mergeCell ref="K73:L73"/>
    <mergeCell ref="P73:R78"/>
    <mergeCell ref="I74:J74"/>
    <mergeCell ref="K74:L74"/>
    <mergeCell ref="I75:J75"/>
    <mergeCell ref="K75:L75"/>
    <mergeCell ref="I76:J76"/>
    <mergeCell ref="K76:L76"/>
    <mergeCell ref="K69:L69"/>
    <mergeCell ref="I70:J70"/>
    <mergeCell ref="K70:L70"/>
    <mergeCell ref="I71:J71"/>
    <mergeCell ref="K71:L71"/>
    <mergeCell ref="I77:J77"/>
    <mergeCell ref="K77:L77"/>
    <mergeCell ref="B72:H72"/>
    <mergeCell ref="I72:J72"/>
    <mergeCell ref="K72:L72"/>
    <mergeCell ref="P65:R66"/>
    <mergeCell ref="I66:J66"/>
    <mergeCell ref="K66:L66"/>
    <mergeCell ref="A67:A72"/>
    <mergeCell ref="I67:J67"/>
    <mergeCell ref="K67:L67"/>
    <mergeCell ref="P67:R72"/>
    <mergeCell ref="I68:J68"/>
    <mergeCell ref="K68:L68"/>
    <mergeCell ref="I69:J69"/>
    <mergeCell ref="F65:F66"/>
    <mergeCell ref="G65:G66"/>
    <mergeCell ref="H65:H66"/>
    <mergeCell ref="I65:L65"/>
    <mergeCell ref="M65:N66"/>
    <mergeCell ref="O65:O66"/>
    <mergeCell ref="A48:A58"/>
    <mergeCell ref="I48:J48"/>
    <mergeCell ref="K48:L48"/>
    <mergeCell ref="P48:R52"/>
    <mergeCell ref="I49:J49"/>
    <mergeCell ref="K49:L49"/>
    <mergeCell ref="I50:J50"/>
    <mergeCell ref="K50:L50"/>
    <mergeCell ref="I51:J51"/>
    <mergeCell ref="K51:L51"/>
    <mergeCell ref="K56:L56"/>
    <mergeCell ref="I57:J57"/>
    <mergeCell ref="K57:L57"/>
    <mergeCell ref="B58:H58"/>
    <mergeCell ref="I58:J58"/>
    <mergeCell ref="K58:L58"/>
    <mergeCell ref="I52:J52"/>
    <mergeCell ref="K52:L52"/>
    <mergeCell ref="I53:J53"/>
    <mergeCell ref="K53:L53"/>
    <mergeCell ref="P53:R58"/>
    <mergeCell ref="I54:J54"/>
    <mergeCell ref="K54:L54"/>
    <mergeCell ref="I55:J55"/>
    <mergeCell ref="E60:H60"/>
    <mergeCell ref="I60:J60"/>
    <mergeCell ref="K60:L60"/>
    <mergeCell ref="I62:L62"/>
    <mergeCell ref="A64:R64"/>
    <mergeCell ref="A65:A66"/>
    <mergeCell ref="B65:B66"/>
    <mergeCell ref="C65:C66"/>
    <mergeCell ref="D65:D66"/>
    <mergeCell ref="E65:E66"/>
    <mergeCell ref="M46:N47"/>
    <mergeCell ref="O46:O47"/>
    <mergeCell ref="P46:R47"/>
    <mergeCell ref="I47:J47"/>
    <mergeCell ref="K47:L47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K55:L55"/>
    <mergeCell ref="I56:J56"/>
    <mergeCell ref="B39:H39"/>
    <mergeCell ref="I39:J39"/>
    <mergeCell ref="K39:L39"/>
    <mergeCell ref="E41:H41"/>
    <mergeCell ref="I41:J41"/>
    <mergeCell ref="K41:L41"/>
    <mergeCell ref="I36:J36"/>
    <mergeCell ref="K36:L36"/>
    <mergeCell ref="I37:J37"/>
    <mergeCell ref="K37:L37"/>
    <mergeCell ref="I38:J38"/>
    <mergeCell ref="K38:L38"/>
    <mergeCell ref="I46:L46"/>
    <mergeCell ref="K33:L33"/>
    <mergeCell ref="I34:J34"/>
    <mergeCell ref="K34:L34"/>
    <mergeCell ref="I35:J35"/>
    <mergeCell ref="K35:L35"/>
    <mergeCell ref="I30:J30"/>
    <mergeCell ref="K30:L30"/>
    <mergeCell ref="I31:J31"/>
    <mergeCell ref="K31:L31"/>
    <mergeCell ref="I32:J32"/>
    <mergeCell ref="K32:L32"/>
    <mergeCell ref="A24:A39"/>
    <mergeCell ref="I24:J24"/>
    <mergeCell ref="K24:L24"/>
    <mergeCell ref="P24:R39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I27:J27"/>
    <mergeCell ref="K27:L27"/>
    <mergeCell ref="I28:J28"/>
    <mergeCell ref="K28:L28"/>
    <mergeCell ref="I29:J29"/>
    <mergeCell ref="K29:L29"/>
    <mergeCell ref="P22:R23"/>
    <mergeCell ref="I23:J23"/>
    <mergeCell ref="K23:L23"/>
    <mergeCell ref="I33:J33"/>
    <mergeCell ref="P11:R15"/>
    <mergeCell ref="I12:J12"/>
    <mergeCell ref="K12:L12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A11:A15"/>
    <mergeCell ref="I11:J11"/>
    <mergeCell ref="K11:L11"/>
    <mergeCell ref="I13:J13"/>
    <mergeCell ref="A7:A10"/>
    <mergeCell ref="I7:J7"/>
    <mergeCell ref="K7:L7"/>
    <mergeCell ref="K13:L13"/>
    <mergeCell ref="I14:J14"/>
    <mergeCell ref="K14:L14"/>
    <mergeCell ref="B15:H15"/>
    <mergeCell ref="I15:J15"/>
    <mergeCell ref="K15:L15"/>
    <mergeCell ref="P7:R10"/>
    <mergeCell ref="I8:J8"/>
    <mergeCell ref="K8:L8"/>
    <mergeCell ref="H5:H6"/>
    <mergeCell ref="I5:L5"/>
    <mergeCell ref="M5:N6"/>
    <mergeCell ref="O5:O6"/>
    <mergeCell ref="P5:R6"/>
    <mergeCell ref="I6:J6"/>
    <mergeCell ref="K6:L6"/>
    <mergeCell ref="I9:J9"/>
    <mergeCell ref="K9:L9"/>
    <mergeCell ref="B10:H10"/>
    <mergeCell ref="I10:J10"/>
    <mergeCell ref="K10:L10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9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6"/>
  <sheetViews>
    <sheetView topLeftCell="A30" zoomScale="85" zoomScaleNormal="85" workbookViewId="0">
      <selection activeCell="D8" sqref="D8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45931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">
        <v>250068</v>
      </c>
      <c r="E7" s="3" t="s">
        <v>235</v>
      </c>
      <c r="F7" s="19">
        <v>304</v>
      </c>
      <c r="G7" s="20">
        <v>0.6</v>
      </c>
      <c r="H7" s="28"/>
      <c r="I7" s="143"/>
      <c r="J7" s="144"/>
      <c r="K7" s="143">
        <v>1160</v>
      </c>
      <c r="L7" s="144"/>
      <c r="M7" s="62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4">
        <v>210825</v>
      </c>
      <c r="E8" s="3" t="s">
        <v>240</v>
      </c>
      <c r="F8" s="19">
        <v>430</v>
      </c>
      <c r="G8" s="20">
        <v>0.6</v>
      </c>
      <c r="H8" s="28"/>
      <c r="I8" s="143"/>
      <c r="J8" s="144"/>
      <c r="K8" s="143">
        <v>1300</v>
      </c>
      <c r="L8" s="144"/>
      <c r="M8" s="62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8"/>
      <c r="I9" s="143"/>
      <c r="J9" s="144"/>
      <c r="K9" s="143"/>
      <c r="L9" s="144"/>
      <c r="M9" s="62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62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0</v>
      </c>
      <c r="J11" s="151"/>
      <c r="K11" s="150">
        <f>SUM(K7:L10)</f>
        <v>2460</v>
      </c>
      <c r="L11" s="151"/>
      <c r="M11" s="10">
        <f>SUM(M7:M10)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62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66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62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66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62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66"/>
      <c r="B15" s="5"/>
      <c r="C15" s="5"/>
      <c r="D15" s="4"/>
      <c r="E15" s="3"/>
      <c r="F15" s="19"/>
      <c r="G15" s="20"/>
      <c r="H15" s="28"/>
      <c r="I15" s="143"/>
      <c r="J15" s="144"/>
      <c r="K15" s="143"/>
      <c r="L15" s="144"/>
      <c r="M15" s="62"/>
      <c r="N15" s="6" t="s">
        <v>13</v>
      </c>
      <c r="O15" s="21"/>
      <c r="P15" s="145"/>
      <c r="Q15" s="146"/>
      <c r="R15" s="147"/>
    </row>
    <row r="16" spans="1:18" ht="14.55" customHeight="1" x14ac:dyDescent="0.3">
      <c r="A16" s="141"/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62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41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62"/>
      <c r="N17" s="6" t="s">
        <v>13</v>
      </c>
      <c r="O17" s="21"/>
      <c r="P17" s="145"/>
      <c r="Q17" s="146"/>
      <c r="R17" s="147"/>
    </row>
    <row r="18" spans="1:18" ht="14.55" customHeight="1" x14ac:dyDescent="0.3">
      <c r="A18" s="141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62"/>
      <c r="N18" s="6" t="s">
        <v>13</v>
      </c>
      <c r="O18" s="21"/>
      <c r="P18" s="145"/>
      <c r="Q18" s="146"/>
      <c r="R18" s="147"/>
    </row>
    <row r="19" spans="1:18" ht="14.55" customHeight="1" x14ac:dyDescent="0.3">
      <c r="A19" s="141"/>
      <c r="B19" s="5"/>
      <c r="C19" s="5"/>
      <c r="D19" s="4"/>
      <c r="E19" s="3"/>
      <c r="F19" s="19"/>
      <c r="G19" s="20"/>
      <c r="H19" s="28"/>
      <c r="I19" s="143"/>
      <c r="J19" s="144"/>
      <c r="K19" s="143"/>
      <c r="L19" s="144"/>
      <c r="M19" s="62"/>
      <c r="N19" s="6" t="s">
        <v>13</v>
      </c>
      <c r="O19" s="21"/>
      <c r="P19" s="145"/>
      <c r="Q19" s="146"/>
      <c r="R19" s="147"/>
    </row>
    <row r="20" spans="1:18" ht="14.55" customHeight="1" x14ac:dyDescent="0.3">
      <c r="A20" s="142"/>
      <c r="B20" s="148" t="s">
        <v>0</v>
      </c>
      <c r="C20" s="149"/>
      <c r="D20" s="149"/>
      <c r="E20" s="149"/>
      <c r="F20" s="149"/>
      <c r="G20" s="149"/>
      <c r="H20" s="149"/>
      <c r="I20" s="150">
        <f>SUM(I12:J19)</f>
        <v>0</v>
      </c>
      <c r="J20" s="151"/>
      <c r="K20" s="150">
        <f>SUM(K12:L19)</f>
        <v>0</v>
      </c>
      <c r="L20" s="151"/>
      <c r="M20" s="10">
        <f>SUM(M12:M19)</f>
        <v>0</v>
      </c>
      <c r="N20" s="11" t="s">
        <v>13</v>
      </c>
      <c r="O20" s="9"/>
      <c r="P20" s="145"/>
      <c r="Q20" s="146"/>
      <c r="R20" s="147"/>
    </row>
    <row r="21" spans="1:18" ht="14.55" customHeight="1" x14ac:dyDescent="0.3">
      <c r="D21" s="35"/>
      <c r="E21" s="1"/>
      <c r="F21" s="1"/>
      <c r="G21" s="1"/>
      <c r="H21" s="1"/>
      <c r="M21" s="35"/>
    </row>
    <row r="22" spans="1:18" x14ac:dyDescent="0.3">
      <c r="E22" s="148" t="s">
        <v>16</v>
      </c>
      <c r="F22" s="149"/>
      <c r="G22" s="149"/>
      <c r="H22" s="149"/>
      <c r="I22" s="152" t="s">
        <v>19</v>
      </c>
      <c r="J22" s="153"/>
      <c r="K22" s="152" t="s">
        <v>20</v>
      </c>
      <c r="L22" s="153"/>
    </row>
    <row r="23" spans="1:18" s="36" customFormat="1" x14ac:dyDescent="0.3">
      <c r="E23" s="7"/>
      <c r="F23" s="7"/>
      <c r="G23" s="7"/>
      <c r="H23" s="7"/>
      <c r="I23" s="22">
        <f>I11+I20</f>
        <v>0</v>
      </c>
      <c r="J23" s="14" t="s">
        <v>12</v>
      </c>
      <c r="K23" s="22">
        <f>K11+K20</f>
        <v>2460</v>
      </c>
      <c r="L23" s="15" t="s">
        <v>12</v>
      </c>
    </row>
    <row r="24" spans="1:18" ht="24.45" customHeight="1" x14ac:dyDescent="0.3">
      <c r="E24" s="13"/>
      <c r="F24" s="13"/>
      <c r="G24" s="13"/>
      <c r="H24" s="13"/>
      <c r="I24" s="154">
        <f>I23+K23</f>
        <v>2460</v>
      </c>
      <c r="J24" s="155"/>
      <c r="K24" s="155"/>
      <c r="L24" s="156"/>
    </row>
    <row r="25" spans="1:18" ht="15" customHeight="1" x14ac:dyDescent="0.3">
      <c r="D25" s="35"/>
      <c r="I25" s="35"/>
      <c r="J25" s="35"/>
      <c r="K25" s="23"/>
      <c r="L25" s="23"/>
      <c r="M25" s="23"/>
      <c r="N25" s="23"/>
    </row>
    <row r="26" spans="1:18" s="8" customFormat="1" ht="30" customHeight="1" x14ac:dyDescent="0.3">
      <c r="A26" s="133" t="s">
        <v>36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5"/>
      <c r="L26" s="135"/>
      <c r="M26" s="135"/>
      <c r="N26" s="135"/>
      <c r="O26" s="134"/>
      <c r="P26" s="134"/>
      <c r="Q26" s="134"/>
      <c r="R26" s="136"/>
    </row>
    <row r="27" spans="1:18" s="12" customFormat="1" ht="14.55" customHeight="1" x14ac:dyDescent="0.3">
      <c r="A27" s="128" t="s">
        <v>1</v>
      </c>
      <c r="B27" s="137" t="s">
        <v>2</v>
      </c>
      <c r="C27" s="137" t="s">
        <v>3</v>
      </c>
      <c r="D27" s="137" t="s">
        <v>4</v>
      </c>
      <c r="E27" s="124" t="s">
        <v>5</v>
      </c>
      <c r="F27" s="138" t="s">
        <v>14</v>
      </c>
      <c r="G27" s="138" t="s">
        <v>15</v>
      </c>
      <c r="H27" s="119" t="s">
        <v>29</v>
      </c>
      <c r="I27" s="121" t="s">
        <v>6</v>
      </c>
      <c r="J27" s="122"/>
      <c r="K27" s="122"/>
      <c r="L27" s="123"/>
      <c r="M27" s="124" t="s">
        <v>7</v>
      </c>
      <c r="N27" s="125"/>
      <c r="O27" s="128" t="s">
        <v>8</v>
      </c>
      <c r="P27" s="128" t="s">
        <v>9</v>
      </c>
      <c r="Q27" s="128"/>
      <c r="R27" s="128"/>
    </row>
    <row r="28" spans="1:18" s="12" customFormat="1" ht="13.05" customHeight="1" x14ac:dyDescent="0.3">
      <c r="A28" s="128"/>
      <c r="B28" s="137"/>
      <c r="C28" s="137"/>
      <c r="D28" s="137"/>
      <c r="E28" s="126"/>
      <c r="F28" s="139"/>
      <c r="G28" s="139"/>
      <c r="H28" s="120"/>
      <c r="I28" s="121" t="s">
        <v>19</v>
      </c>
      <c r="J28" s="123"/>
      <c r="K28" s="121" t="s">
        <v>20</v>
      </c>
      <c r="L28" s="123"/>
      <c r="M28" s="126"/>
      <c r="N28" s="127"/>
      <c r="O28" s="128"/>
      <c r="P28" s="128"/>
      <c r="Q28" s="128"/>
      <c r="R28" s="128"/>
    </row>
    <row r="29" spans="1:18" ht="14.55" customHeight="1" x14ac:dyDescent="0.3">
      <c r="A29" s="140" t="s">
        <v>37</v>
      </c>
      <c r="B29" s="5">
        <v>0.33333333333333331</v>
      </c>
      <c r="C29" s="5"/>
      <c r="D29" s="4">
        <v>250068</v>
      </c>
      <c r="E29" s="3" t="s">
        <v>235</v>
      </c>
      <c r="F29" s="19">
        <v>304</v>
      </c>
      <c r="G29" s="20">
        <v>0.6</v>
      </c>
      <c r="H29" s="28" t="s">
        <v>137</v>
      </c>
      <c r="I29" s="143"/>
      <c r="J29" s="144"/>
      <c r="K29" s="143">
        <v>1406</v>
      </c>
      <c r="L29" s="144"/>
      <c r="M29" s="62"/>
      <c r="N29" s="6" t="s">
        <v>13</v>
      </c>
      <c r="O29" s="21"/>
      <c r="P29" s="157"/>
      <c r="Q29" s="158"/>
      <c r="R29" s="159"/>
    </row>
    <row r="30" spans="1:18" ht="14.55" customHeight="1" x14ac:dyDescent="0.3">
      <c r="A30" s="166"/>
      <c r="B30" s="5"/>
      <c r="C30" s="5">
        <v>0.70833333333333337</v>
      </c>
      <c r="D30" s="4">
        <v>250069</v>
      </c>
      <c r="E30" s="3" t="s">
        <v>234</v>
      </c>
      <c r="F30" s="19">
        <v>304</v>
      </c>
      <c r="G30" s="20">
        <v>0.6</v>
      </c>
      <c r="H30" s="28" t="s">
        <v>137</v>
      </c>
      <c r="I30" s="143"/>
      <c r="J30" s="144"/>
      <c r="K30" s="143">
        <v>602</v>
      </c>
      <c r="L30" s="144"/>
      <c r="M30" s="62"/>
      <c r="N30" s="6" t="s">
        <v>13</v>
      </c>
      <c r="O30" s="21"/>
      <c r="P30" s="160"/>
      <c r="Q30" s="161"/>
      <c r="R30" s="162"/>
    </row>
    <row r="31" spans="1:18" ht="14.55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62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62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7"/>
      <c r="B33" s="148" t="s">
        <v>0</v>
      </c>
      <c r="C33" s="149"/>
      <c r="D33" s="149"/>
      <c r="E33" s="149"/>
      <c r="F33" s="149"/>
      <c r="G33" s="149"/>
      <c r="H33" s="149"/>
      <c r="I33" s="150">
        <f>SUM(I29:J32)</f>
        <v>0</v>
      </c>
      <c r="J33" s="151"/>
      <c r="K33" s="150">
        <f>SUM(K29:L32)</f>
        <v>2008</v>
      </c>
      <c r="L33" s="151"/>
      <c r="M33" s="10">
        <f>SUM(M32:M32)</f>
        <v>0</v>
      </c>
      <c r="N33" s="11" t="s">
        <v>13</v>
      </c>
      <c r="O33" s="9"/>
      <c r="P33" s="163"/>
      <c r="Q33" s="164"/>
      <c r="R33" s="165"/>
    </row>
    <row r="34" spans="1:18" ht="14.55" customHeight="1" x14ac:dyDescent="0.3">
      <c r="D34" s="35"/>
      <c r="E34" s="1"/>
      <c r="F34" s="1"/>
      <c r="G34" s="1"/>
      <c r="H34" s="1"/>
      <c r="M34" s="35"/>
    </row>
    <row r="35" spans="1:18" x14ac:dyDescent="0.3">
      <c r="E35" s="148" t="s">
        <v>33</v>
      </c>
      <c r="F35" s="149"/>
      <c r="G35" s="149"/>
      <c r="H35" s="149"/>
      <c r="I35" s="152" t="s">
        <v>19</v>
      </c>
      <c r="J35" s="153"/>
      <c r="K35" s="152" t="s">
        <v>20</v>
      </c>
      <c r="L35" s="153"/>
    </row>
    <row r="36" spans="1:18" s="36" customFormat="1" x14ac:dyDescent="0.3">
      <c r="E36" s="7"/>
      <c r="F36" s="7"/>
      <c r="G36" s="7"/>
      <c r="H36" s="7"/>
      <c r="I36" s="22">
        <f>I33</f>
        <v>0</v>
      </c>
      <c r="J36" s="14" t="s">
        <v>12</v>
      </c>
      <c r="K36" s="22">
        <f>K33</f>
        <v>2008</v>
      </c>
      <c r="L36" s="15" t="s">
        <v>12</v>
      </c>
    </row>
    <row r="37" spans="1:18" ht="24.45" customHeight="1" x14ac:dyDescent="0.3">
      <c r="E37" s="13"/>
      <c r="F37" s="13"/>
      <c r="G37" s="13"/>
      <c r="H37" s="13"/>
      <c r="I37" s="154">
        <f>I36+K36</f>
        <v>2008</v>
      </c>
      <c r="J37" s="155"/>
      <c r="K37" s="155"/>
      <c r="L37" s="156"/>
    </row>
    <row r="39" spans="1:18" s="8" customFormat="1" ht="30" customHeight="1" x14ac:dyDescent="0.3">
      <c r="A39" s="133" t="s">
        <v>30</v>
      </c>
      <c r="B39" s="134"/>
      <c r="C39" s="134"/>
      <c r="D39" s="134"/>
      <c r="E39" s="134"/>
      <c r="F39" s="134"/>
      <c r="G39" s="134"/>
      <c r="H39" s="134"/>
      <c r="I39" s="134"/>
      <c r="J39" s="134"/>
      <c r="K39" s="135"/>
      <c r="L39" s="135"/>
      <c r="M39" s="135"/>
      <c r="N39" s="135"/>
      <c r="O39" s="134"/>
      <c r="P39" s="134"/>
      <c r="Q39" s="134"/>
      <c r="R39" s="136"/>
    </row>
    <row r="40" spans="1:18" s="12" customFormat="1" ht="14.55" customHeight="1" x14ac:dyDescent="0.3">
      <c r="A40" s="128" t="s">
        <v>1</v>
      </c>
      <c r="B40" s="137" t="s">
        <v>2</v>
      </c>
      <c r="C40" s="137" t="s">
        <v>3</v>
      </c>
      <c r="D40" s="137" t="s">
        <v>4</v>
      </c>
      <c r="E40" s="124" t="s">
        <v>5</v>
      </c>
      <c r="F40" s="138" t="s">
        <v>14</v>
      </c>
      <c r="G40" s="138" t="s">
        <v>15</v>
      </c>
      <c r="H40" s="119" t="s">
        <v>29</v>
      </c>
      <c r="I40" s="121" t="s">
        <v>6</v>
      </c>
      <c r="J40" s="122"/>
      <c r="K40" s="122"/>
      <c r="L40" s="123"/>
      <c r="M40" s="124" t="s">
        <v>7</v>
      </c>
      <c r="N40" s="125"/>
      <c r="O40" s="128" t="s">
        <v>8</v>
      </c>
      <c r="P40" s="128" t="s">
        <v>9</v>
      </c>
      <c r="Q40" s="128"/>
      <c r="R40" s="128"/>
    </row>
    <row r="41" spans="1:18" s="12" customFormat="1" ht="13.05" customHeight="1" x14ac:dyDescent="0.3">
      <c r="A41" s="128"/>
      <c r="B41" s="137"/>
      <c r="C41" s="137"/>
      <c r="D41" s="137"/>
      <c r="E41" s="126"/>
      <c r="F41" s="139"/>
      <c r="G41" s="139"/>
      <c r="H41" s="120"/>
      <c r="I41" s="121" t="s">
        <v>19</v>
      </c>
      <c r="J41" s="123"/>
      <c r="K41" s="121" t="s">
        <v>20</v>
      </c>
      <c r="L41" s="123"/>
      <c r="M41" s="126"/>
      <c r="N41" s="127"/>
      <c r="O41" s="128"/>
      <c r="P41" s="128"/>
      <c r="Q41" s="128"/>
      <c r="R41" s="128"/>
    </row>
    <row r="42" spans="1:18" ht="14.55" customHeight="1" x14ac:dyDescent="0.3">
      <c r="A42" s="140" t="s">
        <v>35</v>
      </c>
      <c r="B42" s="5">
        <v>0.33333333333333331</v>
      </c>
      <c r="C42" s="5"/>
      <c r="D42" s="4">
        <v>250068</v>
      </c>
      <c r="E42" s="3" t="s">
        <v>235</v>
      </c>
      <c r="F42" s="19">
        <v>304</v>
      </c>
      <c r="G42" s="20">
        <v>0.6</v>
      </c>
      <c r="H42" s="28" t="s">
        <v>130</v>
      </c>
      <c r="I42" s="143"/>
      <c r="J42" s="144"/>
      <c r="K42" s="143">
        <v>1082</v>
      </c>
      <c r="L42" s="144"/>
      <c r="M42" s="62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6"/>
      <c r="B43" s="5"/>
      <c r="C43" s="5"/>
      <c r="D43" s="4">
        <v>250069</v>
      </c>
      <c r="E43" s="3" t="s">
        <v>234</v>
      </c>
      <c r="F43" s="19">
        <v>304</v>
      </c>
      <c r="G43" s="20">
        <v>0.6</v>
      </c>
      <c r="H43" s="28" t="s">
        <v>130</v>
      </c>
      <c r="I43" s="143"/>
      <c r="J43" s="144"/>
      <c r="K43" s="143">
        <v>92</v>
      </c>
      <c r="L43" s="144"/>
      <c r="M43" s="62"/>
      <c r="N43" s="6" t="s">
        <v>13</v>
      </c>
      <c r="O43" s="21"/>
      <c r="P43" s="168"/>
      <c r="Q43" s="169"/>
      <c r="R43" s="170"/>
    </row>
    <row r="44" spans="1:18" ht="14.55" customHeight="1" x14ac:dyDescent="0.3">
      <c r="A44" s="166"/>
      <c r="B44" s="5"/>
      <c r="C44" s="5">
        <v>0.70833333333333337</v>
      </c>
      <c r="D44" s="4">
        <v>250069</v>
      </c>
      <c r="E44" s="3" t="s">
        <v>214</v>
      </c>
      <c r="F44" s="19">
        <v>304</v>
      </c>
      <c r="G44" s="20">
        <v>0.6</v>
      </c>
      <c r="H44" s="28" t="s">
        <v>130</v>
      </c>
      <c r="I44" s="143"/>
      <c r="J44" s="144"/>
      <c r="K44" s="143">
        <v>120</v>
      </c>
      <c r="L44" s="144"/>
      <c r="M44" s="62"/>
      <c r="N44" s="6" t="s">
        <v>13</v>
      </c>
      <c r="O44" s="21"/>
      <c r="P44" s="168"/>
      <c r="Q44" s="169"/>
      <c r="R44" s="170"/>
    </row>
    <row r="45" spans="1:18" ht="14.55" customHeight="1" x14ac:dyDescent="0.3">
      <c r="A45" s="166"/>
      <c r="B45" s="5"/>
      <c r="C45" s="5"/>
      <c r="D45" s="4"/>
      <c r="E45" s="3"/>
      <c r="F45" s="19"/>
      <c r="G45" s="20"/>
      <c r="H45" s="28"/>
      <c r="I45" s="143"/>
      <c r="J45" s="144"/>
      <c r="K45" s="143"/>
      <c r="L45" s="144"/>
      <c r="M45" s="62"/>
      <c r="N45" s="6" t="s">
        <v>13</v>
      </c>
      <c r="O45" s="21"/>
      <c r="P45" s="168"/>
      <c r="Q45" s="169"/>
      <c r="R45" s="170"/>
    </row>
    <row r="46" spans="1:18" ht="14.55" customHeight="1" x14ac:dyDescent="0.3">
      <c r="A46" s="166"/>
      <c r="B46" s="5"/>
      <c r="C46" s="5"/>
      <c r="D46" s="4"/>
      <c r="E46" s="3"/>
      <c r="F46" s="19"/>
      <c r="G46" s="20"/>
      <c r="H46" s="28"/>
      <c r="I46" s="143"/>
      <c r="J46" s="144"/>
      <c r="K46" s="143"/>
      <c r="L46" s="144"/>
      <c r="M46" s="62"/>
      <c r="N46" s="6" t="s">
        <v>13</v>
      </c>
      <c r="O46" s="21"/>
      <c r="P46" s="168"/>
      <c r="Q46" s="169"/>
      <c r="R46" s="170"/>
    </row>
    <row r="47" spans="1:18" ht="14.55" customHeight="1" x14ac:dyDescent="0.3">
      <c r="A47" s="167"/>
      <c r="B47" s="148" t="s">
        <v>0</v>
      </c>
      <c r="C47" s="149"/>
      <c r="D47" s="149"/>
      <c r="E47" s="149"/>
      <c r="F47" s="149"/>
      <c r="G47" s="149"/>
      <c r="H47" s="149"/>
      <c r="I47" s="150">
        <f>SUM(I42:J46)</f>
        <v>0</v>
      </c>
      <c r="J47" s="151"/>
      <c r="K47" s="150">
        <f>SUM(K42:L46)</f>
        <v>1294</v>
      </c>
      <c r="L47" s="151"/>
      <c r="M47" s="10">
        <f>SUM(M46:M46)</f>
        <v>0</v>
      </c>
      <c r="N47" s="11" t="s">
        <v>13</v>
      </c>
      <c r="O47" s="9"/>
      <c r="P47" s="168"/>
      <c r="Q47" s="169"/>
      <c r="R47" s="170"/>
    </row>
    <row r="48" spans="1:18" ht="14.55" customHeight="1" x14ac:dyDescent="0.3">
      <c r="D48" s="35"/>
      <c r="E48" s="1"/>
      <c r="F48" s="1"/>
      <c r="G48" s="1"/>
      <c r="H48" s="1"/>
      <c r="M48" s="35"/>
    </row>
    <row r="49" spans="1:18" x14ac:dyDescent="0.3">
      <c r="E49" s="148" t="s">
        <v>34</v>
      </c>
      <c r="F49" s="149"/>
      <c r="G49" s="149"/>
      <c r="H49" s="149"/>
      <c r="I49" s="152" t="s">
        <v>19</v>
      </c>
      <c r="J49" s="153"/>
      <c r="K49" s="152" t="s">
        <v>20</v>
      </c>
      <c r="L49" s="153"/>
    </row>
    <row r="50" spans="1:18" s="36" customFormat="1" x14ac:dyDescent="0.3">
      <c r="E50" s="7"/>
      <c r="F50" s="7"/>
      <c r="G50" s="7"/>
      <c r="H50" s="7"/>
      <c r="I50" s="22">
        <f>I47</f>
        <v>0</v>
      </c>
      <c r="J50" s="14" t="s">
        <v>12</v>
      </c>
      <c r="K50" s="22">
        <f>K47</f>
        <v>1294</v>
      </c>
      <c r="L50" s="15" t="s">
        <v>12</v>
      </c>
    </row>
    <row r="51" spans="1:18" s="1" customFormat="1" ht="24.45" customHeight="1" x14ac:dyDescent="0.3">
      <c r="A51" s="35"/>
      <c r="B51" s="35"/>
      <c r="C51" s="35"/>
      <c r="E51" s="13"/>
      <c r="F51" s="13"/>
      <c r="G51" s="13"/>
      <c r="H51" s="13"/>
      <c r="I51" s="154">
        <f>I50+K50</f>
        <v>1294</v>
      </c>
      <c r="J51" s="155"/>
      <c r="K51" s="155"/>
      <c r="L51" s="156"/>
      <c r="N51" s="35"/>
      <c r="O51" s="35"/>
      <c r="P51" s="35"/>
      <c r="Q51" s="35"/>
      <c r="R51" s="35"/>
    </row>
    <row r="53" spans="1:18" s="8" customFormat="1" ht="30" customHeight="1" x14ac:dyDescent="0.3">
      <c r="A53" s="133" t="s">
        <v>22</v>
      </c>
      <c r="B53" s="134"/>
      <c r="C53" s="134"/>
      <c r="D53" s="134"/>
      <c r="E53" s="134"/>
      <c r="F53" s="134"/>
      <c r="G53" s="134"/>
      <c r="H53" s="134"/>
      <c r="I53" s="134"/>
      <c r="J53" s="134"/>
      <c r="K53" s="135"/>
      <c r="L53" s="135"/>
      <c r="M53" s="135"/>
      <c r="N53" s="135"/>
      <c r="O53" s="134"/>
      <c r="P53" s="134"/>
      <c r="Q53" s="134"/>
      <c r="R53" s="136"/>
    </row>
    <row r="54" spans="1:18" s="12" customFormat="1" ht="14.55" customHeight="1" x14ac:dyDescent="0.3">
      <c r="A54" s="128" t="s">
        <v>1</v>
      </c>
      <c r="B54" s="137" t="s">
        <v>2</v>
      </c>
      <c r="C54" s="137" t="s">
        <v>3</v>
      </c>
      <c r="D54" s="137" t="s">
        <v>4</v>
      </c>
      <c r="E54" s="124" t="s">
        <v>5</v>
      </c>
      <c r="F54" s="138" t="s">
        <v>14</v>
      </c>
      <c r="G54" s="138" t="s">
        <v>15</v>
      </c>
      <c r="H54" s="119" t="s">
        <v>27</v>
      </c>
      <c r="I54" s="121" t="s">
        <v>6</v>
      </c>
      <c r="J54" s="122"/>
      <c r="K54" s="122"/>
      <c r="L54" s="123"/>
      <c r="M54" s="124" t="s">
        <v>7</v>
      </c>
      <c r="N54" s="125"/>
      <c r="O54" s="128" t="s">
        <v>8</v>
      </c>
      <c r="P54" s="128" t="s">
        <v>9</v>
      </c>
      <c r="Q54" s="128"/>
      <c r="R54" s="128"/>
    </row>
    <row r="55" spans="1:18" s="12" customFormat="1" ht="13.05" customHeight="1" x14ac:dyDescent="0.3">
      <c r="A55" s="128"/>
      <c r="B55" s="137"/>
      <c r="C55" s="137"/>
      <c r="D55" s="137"/>
      <c r="E55" s="126"/>
      <c r="F55" s="139"/>
      <c r="G55" s="139"/>
      <c r="H55" s="120"/>
      <c r="I55" s="121" t="s">
        <v>23</v>
      </c>
      <c r="J55" s="123"/>
      <c r="K55" s="121" t="s">
        <v>11</v>
      </c>
      <c r="L55" s="123"/>
      <c r="M55" s="126"/>
      <c r="N55" s="127"/>
      <c r="O55" s="128"/>
      <c r="P55" s="128"/>
      <c r="Q55" s="128"/>
      <c r="R55" s="128"/>
    </row>
    <row r="56" spans="1:18" ht="14.55" customHeight="1" x14ac:dyDescent="0.3">
      <c r="A56" s="140" t="s">
        <v>28</v>
      </c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62"/>
      <c r="N56" s="6" t="s">
        <v>13</v>
      </c>
      <c r="O56" s="21"/>
      <c r="P56" s="168" t="s">
        <v>50</v>
      </c>
      <c r="Q56" s="169"/>
      <c r="R56" s="170"/>
    </row>
    <row r="57" spans="1:18" ht="14.55" customHeight="1" x14ac:dyDescent="0.3">
      <c r="A57" s="141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62"/>
      <c r="N57" s="6" t="s">
        <v>13</v>
      </c>
      <c r="O57" s="21"/>
      <c r="P57" s="168"/>
      <c r="Q57" s="169"/>
      <c r="R57" s="170"/>
    </row>
    <row r="58" spans="1:18" ht="14.55" customHeight="1" x14ac:dyDescent="0.3">
      <c r="A58" s="141"/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62"/>
      <c r="N58" s="6" t="s">
        <v>13</v>
      </c>
      <c r="O58" s="21"/>
      <c r="P58" s="168"/>
      <c r="Q58" s="169"/>
      <c r="R58" s="170"/>
    </row>
    <row r="59" spans="1:18" ht="14.55" customHeight="1" x14ac:dyDescent="0.3">
      <c r="A59" s="141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62"/>
      <c r="N59" s="6" t="s">
        <v>13</v>
      </c>
      <c r="O59" s="21"/>
      <c r="P59" s="168"/>
      <c r="Q59" s="169"/>
      <c r="R59" s="170"/>
    </row>
    <row r="60" spans="1:18" ht="14.55" customHeight="1" x14ac:dyDescent="0.3">
      <c r="A60" s="141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62"/>
      <c r="N60" s="6" t="s">
        <v>13</v>
      </c>
      <c r="O60" s="21"/>
      <c r="P60" s="168"/>
      <c r="Q60" s="169"/>
      <c r="R60" s="170"/>
    </row>
    <row r="61" spans="1:18" ht="14.55" customHeight="1" x14ac:dyDescent="0.3">
      <c r="A61" s="142"/>
      <c r="B61" s="148" t="s">
        <v>0</v>
      </c>
      <c r="C61" s="149"/>
      <c r="D61" s="149"/>
      <c r="E61" s="149"/>
      <c r="F61" s="149"/>
      <c r="G61" s="149"/>
      <c r="H61" s="171"/>
      <c r="I61" s="150">
        <f>SUM(I56:J60)</f>
        <v>0</v>
      </c>
      <c r="J61" s="151"/>
      <c r="K61" s="150">
        <f>SUM(K56:L60)</f>
        <v>0</v>
      </c>
      <c r="L61" s="151"/>
      <c r="M61" s="10">
        <f>SUM(M56:M60)</f>
        <v>0</v>
      </c>
      <c r="N61" s="11" t="s">
        <v>13</v>
      </c>
      <c r="O61" s="9"/>
      <c r="P61" s="168"/>
      <c r="Q61" s="169"/>
      <c r="R61" s="170"/>
    </row>
    <row r="62" spans="1:18" ht="14.55" customHeight="1" x14ac:dyDescent="0.3">
      <c r="A62" s="140" t="s">
        <v>24</v>
      </c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62"/>
      <c r="N62" s="6" t="s">
        <v>13</v>
      </c>
      <c r="O62" s="21"/>
      <c r="P62" s="157" t="s">
        <v>51</v>
      </c>
      <c r="Q62" s="158"/>
      <c r="R62" s="159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62"/>
      <c r="N63" s="6" t="s">
        <v>13</v>
      </c>
      <c r="O63" s="21"/>
      <c r="P63" s="160"/>
      <c r="Q63" s="161"/>
      <c r="R63" s="162"/>
    </row>
    <row r="64" spans="1:18" ht="14.55" hidden="1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62"/>
      <c r="N64" s="6" t="s">
        <v>13</v>
      </c>
      <c r="O64" s="21"/>
      <c r="P64" s="160"/>
      <c r="Q64" s="161"/>
      <c r="R64" s="162"/>
    </row>
    <row r="65" spans="1:18" ht="14.55" hidden="1" customHeight="1" x14ac:dyDescent="0.3">
      <c r="A65" s="166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62"/>
      <c r="N65" s="6" t="s">
        <v>13</v>
      </c>
      <c r="O65" s="21"/>
      <c r="P65" s="160"/>
      <c r="Q65" s="161"/>
      <c r="R65" s="162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62"/>
      <c r="N66" s="6" t="s">
        <v>13</v>
      </c>
      <c r="O66" s="21"/>
      <c r="P66" s="160"/>
      <c r="Q66" s="161"/>
      <c r="R66" s="162"/>
    </row>
    <row r="67" spans="1:18" ht="14.55" customHeight="1" x14ac:dyDescent="0.3">
      <c r="A67" s="167"/>
      <c r="B67" s="148" t="s">
        <v>0</v>
      </c>
      <c r="C67" s="149"/>
      <c r="D67" s="149"/>
      <c r="E67" s="149"/>
      <c r="F67" s="149"/>
      <c r="G67" s="149"/>
      <c r="H67" s="171"/>
      <c r="I67" s="150">
        <f>SUM(I62:J66)</f>
        <v>0</v>
      </c>
      <c r="J67" s="151"/>
      <c r="K67" s="150">
        <f>SUM(K62:L66)</f>
        <v>0</v>
      </c>
      <c r="L67" s="151"/>
      <c r="M67" s="10">
        <f>SUM(M62:M66)</f>
        <v>0</v>
      </c>
      <c r="N67" s="11" t="s">
        <v>13</v>
      </c>
      <c r="O67" s="9"/>
      <c r="P67" s="163"/>
      <c r="Q67" s="164"/>
      <c r="R67" s="165"/>
    </row>
    <row r="68" spans="1:18" ht="14.55" customHeight="1" x14ac:dyDescent="0.3">
      <c r="A68" s="140" t="s">
        <v>25</v>
      </c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62"/>
      <c r="N68" s="6" t="s">
        <v>13</v>
      </c>
      <c r="O68" s="21"/>
      <c r="P68" s="145" t="s">
        <v>53</v>
      </c>
      <c r="Q68" s="169"/>
      <c r="R68" s="170"/>
    </row>
    <row r="69" spans="1:18" ht="14.55" hidden="1" customHeight="1" x14ac:dyDescent="0.3">
      <c r="A69" s="141"/>
      <c r="B69" s="5"/>
      <c r="C69" s="5"/>
      <c r="D69" s="4"/>
      <c r="E69" s="3"/>
      <c r="F69" s="19"/>
      <c r="G69" s="20"/>
      <c r="H69" s="28"/>
      <c r="I69" s="143"/>
      <c r="J69" s="144"/>
      <c r="K69" s="143"/>
      <c r="L69" s="144"/>
      <c r="M69" s="62"/>
      <c r="N69" s="6" t="s">
        <v>13</v>
      </c>
      <c r="O69" s="21"/>
      <c r="P69" s="168"/>
      <c r="Q69" s="169"/>
      <c r="R69" s="170"/>
    </row>
    <row r="70" spans="1:18" ht="14.55" hidden="1" customHeight="1" x14ac:dyDescent="0.3">
      <c r="A70" s="141"/>
      <c r="B70" s="5"/>
      <c r="C70" s="5"/>
      <c r="D70" s="4"/>
      <c r="E70" s="3"/>
      <c r="F70" s="19"/>
      <c r="G70" s="20"/>
      <c r="H70" s="28"/>
      <c r="I70" s="143"/>
      <c r="J70" s="144"/>
      <c r="K70" s="143"/>
      <c r="L70" s="144"/>
      <c r="M70" s="62"/>
      <c r="N70" s="6" t="s">
        <v>13</v>
      </c>
      <c r="O70" s="21"/>
      <c r="P70" s="168"/>
      <c r="Q70" s="169"/>
      <c r="R70" s="170"/>
    </row>
    <row r="71" spans="1:18" ht="14.55" customHeight="1" x14ac:dyDescent="0.3">
      <c r="A71" s="141"/>
      <c r="B71" s="5"/>
      <c r="C71" s="5"/>
      <c r="D71" s="4"/>
      <c r="E71" s="3"/>
      <c r="F71" s="19"/>
      <c r="G71" s="20"/>
      <c r="H71" s="28"/>
      <c r="I71" s="143"/>
      <c r="J71" s="144"/>
      <c r="K71" s="143"/>
      <c r="L71" s="144"/>
      <c r="M71" s="62"/>
      <c r="N71" s="6" t="s">
        <v>13</v>
      </c>
      <c r="O71" s="21"/>
      <c r="P71" s="168"/>
      <c r="Q71" s="169"/>
      <c r="R71" s="170"/>
    </row>
    <row r="72" spans="1:18" ht="14.55" customHeight="1" x14ac:dyDescent="0.3">
      <c r="A72" s="141"/>
      <c r="B72" s="5"/>
      <c r="C72" s="5"/>
      <c r="D72" s="4"/>
      <c r="E72" s="3"/>
      <c r="F72" s="19"/>
      <c r="G72" s="20"/>
      <c r="H72" s="28"/>
      <c r="I72" s="143"/>
      <c r="J72" s="144"/>
      <c r="K72" s="143"/>
      <c r="L72" s="144"/>
      <c r="M72" s="62"/>
      <c r="N72" s="6" t="s">
        <v>13</v>
      </c>
      <c r="O72" s="21"/>
      <c r="P72" s="168"/>
      <c r="Q72" s="169"/>
      <c r="R72" s="170"/>
    </row>
    <row r="73" spans="1:18" ht="14.55" customHeight="1" x14ac:dyDescent="0.3">
      <c r="A73" s="142"/>
      <c r="B73" s="148" t="s">
        <v>0</v>
      </c>
      <c r="C73" s="149"/>
      <c r="D73" s="149"/>
      <c r="E73" s="149"/>
      <c r="F73" s="149"/>
      <c r="G73" s="149"/>
      <c r="H73" s="149"/>
      <c r="I73" s="150">
        <f>SUM(I68:J72)</f>
        <v>0</v>
      </c>
      <c r="J73" s="151"/>
      <c r="K73" s="150">
        <f>SUM(K68:L72)</f>
        <v>0</v>
      </c>
      <c r="L73" s="151"/>
      <c r="M73" s="10">
        <f>SUM(M68:M72)</f>
        <v>0</v>
      </c>
      <c r="N73" s="11" t="s">
        <v>13</v>
      </c>
      <c r="O73" s="9"/>
      <c r="P73" s="168"/>
      <c r="Q73" s="169"/>
      <c r="R73" s="170"/>
    </row>
    <row r="75" spans="1:18" x14ac:dyDescent="0.3">
      <c r="E75" s="148" t="s">
        <v>26</v>
      </c>
      <c r="F75" s="149"/>
      <c r="G75" s="149"/>
      <c r="H75" s="149"/>
      <c r="I75" s="152" t="s">
        <v>23</v>
      </c>
      <c r="J75" s="153"/>
      <c r="K75" s="152" t="s">
        <v>11</v>
      </c>
      <c r="L75" s="153"/>
    </row>
    <row r="76" spans="1:18" s="36" customFormat="1" x14ac:dyDescent="0.3">
      <c r="E76" s="7"/>
      <c r="F76" s="7"/>
      <c r="G76" s="7"/>
      <c r="H76" s="7"/>
      <c r="I76" s="22">
        <f>I67+I73</f>
        <v>0</v>
      </c>
      <c r="J76" s="14" t="s">
        <v>12</v>
      </c>
      <c r="K76" s="22">
        <f>K67+K73</f>
        <v>0</v>
      </c>
      <c r="L76" s="15" t="s">
        <v>12</v>
      </c>
    </row>
    <row r="77" spans="1:18" ht="24.45" customHeight="1" x14ac:dyDescent="0.3">
      <c r="E77" s="13"/>
      <c r="F77" s="13"/>
      <c r="G77" s="13"/>
      <c r="H77" s="13"/>
      <c r="I77" s="154">
        <f>I76+K76</f>
        <v>0</v>
      </c>
      <c r="J77" s="155"/>
      <c r="K77" s="155"/>
      <c r="L77" s="156"/>
    </row>
    <row r="79" spans="1:18" s="8" customFormat="1" ht="30" customHeight="1" x14ac:dyDescent="0.3">
      <c r="A79" s="133" t="s">
        <v>131</v>
      </c>
      <c r="B79" s="134"/>
      <c r="C79" s="134"/>
      <c r="D79" s="134"/>
      <c r="E79" s="134"/>
      <c r="F79" s="134"/>
      <c r="G79" s="134"/>
      <c r="H79" s="134"/>
      <c r="I79" s="134"/>
      <c r="J79" s="134"/>
      <c r="K79" s="135"/>
      <c r="L79" s="135"/>
      <c r="M79" s="135"/>
      <c r="N79" s="135"/>
      <c r="O79" s="134"/>
      <c r="P79" s="134"/>
      <c r="Q79" s="134"/>
      <c r="R79" s="136"/>
    </row>
    <row r="80" spans="1:18" s="12" customFormat="1" ht="14.55" customHeight="1" x14ac:dyDescent="0.3">
      <c r="A80" s="128" t="s">
        <v>1</v>
      </c>
      <c r="B80" s="137" t="s">
        <v>2</v>
      </c>
      <c r="C80" s="137" t="s">
        <v>3</v>
      </c>
      <c r="D80" s="137" t="s">
        <v>4</v>
      </c>
      <c r="E80" s="124" t="s">
        <v>5</v>
      </c>
      <c r="F80" s="138" t="s">
        <v>14</v>
      </c>
      <c r="G80" s="138" t="s">
        <v>15</v>
      </c>
      <c r="H80" s="119" t="s">
        <v>27</v>
      </c>
      <c r="I80" s="121" t="s">
        <v>6</v>
      </c>
      <c r="J80" s="122"/>
      <c r="K80" s="122"/>
      <c r="L80" s="123"/>
      <c r="M80" s="124" t="s">
        <v>7</v>
      </c>
      <c r="N80" s="125"/>
      <c r="O80" s="128" t="s">
        <v>8</v>
      </c>
      <c r="P80" s="128" t="s">
        <v>9</v>
      </c>
      <c r="Q80" s="128"/>
      <c r="R80" s="128"/>
    </row>
    <row r="81" spans="1:18" s="12" customFormat="1" ht="13.05" customHeight="1" x14ac:dyDescent="0.3">
      <c r="A81" s="128"/>
      <c r="B81" s="137"/>
      <c r="C81" s="137"/>
      <c r="D81" s="137"/>
      <c r="E81" s="126"/>
      <c r="F81" s="139"/>
      <c r="G81" s="139"/>
      <c r="H81" s="120"/>
      <c r="I81" s="121" t="s">
        <v>23</v>
      </c>
      <c r="J81" s="123"/>
      <c r="K81" s="121" t="s">
        <v>11</v>
      </c>
      <c r="L81" s="123"/>
      <c r="M81" s="126"/>
      <c r="N81" s="127"/>
      <c r="O81" s="128"/>
      <c r="P81" s="128"/>
      <c r="Q81" s="128"/>
      <c r="R81" s="128"/>
    </row>
    <row r="82" spans="1:18" ht="14.55" customHeight="1" x14ac:dyDescent="0.3">
      <c r="A82" s="140" t="s">
        <v>132</v>
      </c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62"/>
      <c r="N82" s="6" t="s">
        <v>13</v>
      </c>
      <c r="O82" s="21"/>
      <c r="P82" s="157"/>
      <c r="Q82" s="158"/>
      <c r="R82" s="159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62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62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62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62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62"/>
      <c r="N87" s="6" t="s">
        <v>13</v>
      </c>
      <c r="O87" s="21"/>
      <c r="P87" s="160"/>
      <c r="Q87" s="161"/>
      <c r="R87" s="162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62"/>
      <c r="N88" s="6" t="s">
        <v>13</v>
      </c>
      <c r="O88" s="21"/>
      <c r="P88" s="160"/>
      <c r="Q88" s="161"/>
      <c r="R88" s="162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62"/>
      <c r="N89" s="6" t="s">
        <v>13</v>
      </c>
      <c r="O89" s="21"/>
      <c r="P89" s="160"/>
      <c r="Q89" s="161"/>
      <c r="R89" s="162"/>
    </row>
    <row r="90" spans="1:18" ht="14.55" customHeight="1" x14ac:dyDescent="0.3">
      <c r="A90" s="166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62"/>
      <c r="N90" s="6" t="s">
        <v>13</v>
      </c>
      <c r="O90" s="21"/>
      <c r="P90" s="160"/>
      <c r="Q90" s="161"/>
      <c r="R90" s="162"/>
    </row>
    <row r="91" spans="1:18" ht="14.55" customHeight="1" x14ac:dyDescent="0.3">
      <c r="A91" s="166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62"/>
      <c r="N91" s="6" t="s">
        <v>13</v>
      </c>
      <c r="O91" s="21"/>
      <c r="P91" s="160"/>
      <c r="Q91" s="161"/>
      <c r="R91" s="162"/>
    </row>
    <row r="92" spans="1:18" ht="14.55" customHeight="1" x14ac:dyDescent="0.3">
      <c r="A92" s="167"/>
      <c r="B92" s="148" t="s">
        <v>0</v>
      </c>
      <c r="C92" s="149"/>
      <c r="D92" s="149"/>
      <c r="E92" s="149"/>
      <c r="F92" s="149"/>
      <c r="G92" s="149"/>
      <c r="H92" s="149"/>
      <c r="I92" s="150">
        <f ca="1">SUM(I82:J92)</f>
        <v>0</v>
      </c>
      <c r="J92" s="151"/>
      <c r="K92" s="150">
        <f ca="1">SUM(K82:L92)</f>
        <v>0</v>
      </c>
      <c r="L92" s="151"/>
      <c r="M92" s="10">
        <f>SUM(M87:M91)</f>
        <v>0</v>
      </c>
      <c r="N92" s="11" t="s">
        <v>13</v>
      </c>
      <c r="O92" s="9"/>
      <c r="P92" s="163"/>
      <c r="Q92" s="164"/>
      <c r="R92" s="165"/>
    </row>
    <row r="94" spans="1:18" s="1" customFormat="1" x14ac:dyDescent="0.3">
      <c r="A94" s="35"/>
      <c r="B94" s="35"/>
      <c r="C94" s="35"/>
      <c r="E94" s="148" t="s">
        <v>26</v>
      </c>
      <c r="F94" s="149"/>
      <c r="G94" s="149"/>
      <c r="H94" s="149"/>
      <c r="I94" s="152" t="s">
        <v>23</v>
      </c>
      <c r="J94" s="153"/>
      <c r="K94" s="172" t="s">
        <v>11</v>
      </c>
      <c r="L94" s="153"/>
      <c r="N94" s="35"/>
      <c r="O94" s="35"/>
      <c r="P94" s="35"/>
      <c r="Q94" s="35"/>
      <c r="R94" s="35"/>
    </row>
    <row r="95" spans="1:18" s="36" customFormat="1" x14ac:dyDescent="0.3">
      <c r="E95" s="7"/>
      <c r="F95" s="7"/>
      <c r="G95" s="7"/>
      <c r="H95" s="7"/>
      <c r="I95" s="22">
        <f ca="1">I92</f>
        <v>0</v>
      </c>
      <c r="J95" s="14" t="s">
        <v>12</v>
      </c>
      <c r="K95" s="22">
        <f ca="1">K92</f>
        <v>0</v>
      </c>
      <c r="L95" s="15" t="s">
        <v>12</v>
      </c>
    </row>
    <row r="96" spans="1:18" s="1" customFormat="1" ht="24.45" customHeight="1" x14ac:dyDescent="0.3">
      <c r="A96" s="35"/>
      <c r="B96" s="35"/>
      <c r="C96" s="35"/>
      <c r="E96" s="13"/>
      <c r="F96" s="13"/>
      <c r="G96" s="13"/>
      <c r="H96" s="13"/>
      <c r="I96" s="154">
        <f ca="1">I95+K95</f>
        <v>0</v>
      </c>
      <c r="J96" s="155"/>
      <c r="K96" s="155"/>
      <c r="L96" s="156"/>
      <c r="N96" s="35"/>
      <c r="O96" s="35"/>
      <c r="P96" s="35"/>
      <c r="Q96" s="35"/>
      <c r="R96" s="35"/>
    </row>
  </sheetData>
  <mergeCells count="230"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P7:R11"/>
    <mergeCell ref="I8:J8"/>
    <mergeCell ref="K8:L8"/>
    <mergeCell ref="I9:J9"/>
    <mergeCell ref="K9:L9"/>
    <mergeCell ref="H5:H6"/>
    <mergeCell ref="I5:L5"/>
    <mergeCell ref="M5:N6"/>
    <mergeCell ref="O5:O6"/>
    <mergeCell ref="P5:R6"/>
    <mergeCell ref="I6:J6"/>
    <mergeCell ref="K6:L6"/>
    <mergeCell ref="I10:J10"/>
    <mergeCell ref="K10:L10"/>
    <mergeCell ref="B11:H11"/>
    <mergeCell ref="I11:J11"/>
    <mergeCell ref="K11:L11"/>
    <mergeCell ref="A12:A20"/>
    <mergeCell ref="I12:J12"/>
    <mergeCell ref="K12:L12"/>
    <mergeCell ref="K17:L17"/>
    <mergeCell ref="I18:J18"/>
    <mergeCell ref="A7:A11"/>
    <mergeCell ref="I7:J7"/>
    <mergeCell ref="K7:L7"/>
    <mergeCell ref="K18:L18"/>
    <mergeCell ref="I19:J19"/>
    <mergeCell ref="K19:L19"/>
    <mergeCell ref="B20:H20"/>
    <mergeCell ref="I20:J20"/>
    <mergeCell ref="K20:L20"/>
    <mergeCell ref="P12:R20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E22:H22"/>
    <mergeCell ref="I22:J22"/>
    <mergeCell ref="K22:L22"/>
    <mergeCell ref="I24:L24"/>
    <mergeCell ref="A26:R26"/>
    <mergeCell ref="A27:A28"/>
    <mergeCell ref="B27:B28"/>
    <mergeCell ref="C27:C28"/>
    <mergeCell ref="D27:D28"/>
    <mergeCell ref="E27:E28"/>
    <mergeCell ref="P27:R28"/>
    <mergeCell ref="I28:J28"/>
    <mergeCell ref="K28:L28"/>
    <mergeCell ref="A29:A33"/>
    <mergeCell ref="I29:J29"/>
    <mergeCell ref="K29:L29"/>
    <mergeCell ref="P29:R33"/>
    <mergeCell ref="I30:J30"/>
    <mergeCell ref="K30:L30"/>
    <mergeCell ref="I31:J31"/>
    <mergeCell ref="F27:F28"/>
    <mergeCell ref="G27:G28"/>
    <mergeCell ref="H27:H28"/>
    <mergeCell ref="I27:L27"/>
    <mergeCell ref="M27:N28"/>
    <mergeCell ref="O27:O28"/>
    <mergeCell ref="B33:H33"/>
    <mergeCell ref="I33:J33"/>
    <mergeCell ref="K33:L33"/>
    <mergeCell ref="E35:H35"/>
    <mergeCell ref="I35:J35"/>
    <mergeCell ref="K35:L35"/>
    <mergeCell ref="I32:J32"/>
    <mergeCell ref="K32:L32"/>
    <mergeCell ref="K31:L31"/>
    <mergeCell ref="I40:L40"/>
    <mergeCell ref="M40:N41"/>
    <mergeCell ref="O40:O41"/>
    <mergeCell ref="P40:R41"/>
    <mergeCell ref="I41:J41"/>
    <mergeCell ref="K41:L41"/>
    <mergeCell ref="I37:L37"/>
    <mergeCell ref="A39:R39"/>
    <mergeCell ref="A40:A41"/>
    <mergeCell ref="B40:B41"/>
    <mergeCell ref="C40:C41"/>
    <mergeCell ref="D40:D41"/>
    <mergeCell ref="E40:E41"/>
    <mergeCell ref="F40:F41"/>
    <mergeCell ref="G40:G41"/>
    <mergeCell ref="H40:H41"/>
    <mergeCell ref="I46:J46"/>
    <mergeCell ref="K46:L46"/>
    <mergeCell ref="B47:H47"/>
    <mergeCell ref="I47:J47"/>
    <mergeCell ref="K47:L47"/>
    <mergeCell ref="P46:R47"/>
    <mergeCell ref="A42:A47"/>
    <mergeCell ref="I42:J42"/>
    <mergeCell ref="K42:L42"/>
    <mergeCell ref="P42:R45"/>
    <mergeCell ref="I43:J43"/>
    <mergeCell ref="K43:L43"/>
    <mergeCell ref="I44:J44"/>
    <mergeCell ref="K44:L44"/>
    <mergeCell ref="I45:J45"/>
    <mergeCell ref="K45:L45"/>
    <mergeCell ref="E49:H49"/>
    <mergeCell ref="I49:J49"/>
    <mergeCell ref="K49:L49"/>
    <mergeCell ref="I51:L51"/>
    <mergeCell ref="A53:R53"/>
    <mergeCell ref="A54:A55"/>
    <mergeCell ref="B54:B55"/>
    <mergeCell ref="C54:C55"/>
    <mergeCell ref="D54:D55"/>
    <mergeCell ref="E54:E55"/>
    <mergeCell ref="B61:H61"/>
    <mergeCell ref="I61:J61"/>
    <mergeCell ref="K61:L61"/>
    <mergeCell ref="P54:R55"/>
    <mergeCell ref="I55:J55"/>
    <mergeCell ref="K55:L55"/>
    <mergeCell ref="A56:A61"/>
    <mergeCell ref="I56:J56"/>
    <mergeCell ref="K56:L56"/>
    <mergeCell ref="P56:R61"/>
    <mergeCell ref="I57:J57"/>
    <mergeCell ref="K57:L57"/>
    <mergeCell ref="I58:J58"/>
    <mergeCell ref="F54:F55"/>
    <mergeCell ref="G54:G55"/>
    <mergeCell ref="H54:H55"/>
    <mergeCell ref="I54:L54"/>
    <mergeCell ref="M54:N55"/>
    <mergeCell ref="O54:O55"/>
    <mergeCell ref="P62:R67"/>
    <mergeCell ref="I63:J63"/>
    <mergeCell ref="K63:L63"/>
    <mergeCell ref="I64:J64"/>
    <mergeCell ref="K64:L64"/>
    <mergeCell ref="I65:J65"/>
    <mergeCell ref="K65:L65"/>
    <mergeCell ref="K58:L58"/>
    <mergeCell ref="I59:J59"/>
    <mergeCell ref="K59:L59"/>
    <mergeCell ref="I60:J60"/>
    <mergeCell ref="K60:L60"/>
    <mergeCell ref="I66:J66"/>
    <mergeCell ref="K66:L66"/>
    <mergeCell ref="B67:H67"/>
    <mergeCell ref="I67:J67"/>
    <mergeCell ref="K67:L67"/>
    <mergeCell ref="A68:A73"/>
    <mergeCell ref="I68:J68"/>
    <mergeCell ref="K68:L68"/>
    <mergeCell ref="B73:H73"/>
    <mergeCell ref="K73:L73"/>
    <mergeCell ref="A62:A67"/>
    <mergeCell ref="I62:J62"/>
    <mergeCell ref="K62:L62"/>
    <mergeCell ref="P68:R73"/>
    <mergeCell ref="I69:J69"/>
    <mergeCell ref="K69:L69"/>
    <mergeCell ref="I70:J70"/>
    <mergeCell ref="K70:L70"/>
    <mergeCell ref="I71:J71"/>
    <mergeCell ref="K71:L71"/>
    <mergeCell ref="I72:J72"/>
    <mergeCell ref="K72:L72"/>
    <mergeCell ref="I73:J73"/>
    <mergeCell ref="E75:H75"/>
    <mergeCell ref="I75:J75"/>
    <mergeCell ref="K75:L75"/>
    <mergeCell ref="I77:L77"/>
    <mergeCell ref="A79:R79"/>
    <mergeCell ref="A80:A81"/>
    <mergeCell ref="B80:B81"/>
    <mergeCell ref="C80:C81"/>
    <mergeCell ref="D80:D81"/>
    <mergeCell ref="E80:E81"/>
    <mergeCell ref="P80:R81"/>
    <mergeCell ref="I81:J81"/>
    <mergeCell ref="K81:L81"/>
    <mergeCell ref="A82:A92"/>
    <mergeCell ref="I82:J82"/>
    <mergeCell ref="K82:L82"/>
    <mergeCell ref="P82:R92"/>
    <mergeCell ref="I83:J83"/>
    <mergeCell ref="K83:L83"/>
    <mergeCell ref="I84:J84"/>
    <mergeCell ref="F80:F81"/>
    <mergeCell ref="G80:G81"/>
    <mergeCell ref="H80:H81"/>
    <mergeCell ref="I80:L80"/>
    <mergeCell ref="M80:N81"/>
    <mergeCell ref="O80:O81"/>
    <mergeCell ref="I88:J88"/>
    <mergeCell ref="K88:L88"/>
    <mergeCell ref="I89:J89"/>
    <mergeCell ref="K89:L89"/>
    <mergeCell ref="I90:J90"/>
    <mergeCell ref="K90:L90"/>
    <mergeCell ref="K84:L84"/>
    <mergeCell ref="I85:J85"/>
    <mergeCell ref="K85:L85"/>
    <mergeCell ref="I86:J86"/>
    <mergeCell ref="K86:L86"/>
    <mergeCell ref="I87:J87"/>
    <mergeCell ref="K87:L87"/>
    <mergeCell ref="I96:L96"/>
    <mergeCell ref="I91:J91"/>
    <mergeCell ref="K91:L91"/>
    <mergeCell ref="B92:H92"/>
    <mergeCell ref="I92:J92"/>
    <mergeCell ref="K92:L92"/>
    <mergeCell ref="E94:H94"/>
    <mergeCell ref="I94:J94"/>
    <mergeCell ref="K94:L94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7"/>
  <sheetViews>
    <sheetView zoomScale="85" zoomScaleNormal="85" workbookViewId="0">
      <selection activeCell="D8" sqref="D8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45932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">
        <v>210825</v>
      </c>
      <c r="E7" s="3" t="s">
        <v>241</v>
      </c>
      <c r="F7" s="19">
        <v>430</v>
      </c>
      <c r="G7" s="20">
        <v>0.6</v>
      </c>
      <c r="H7" s="28"/>
      <c r="I7" s="143"/>
      <c r="J7" s="144"/>
      <c r="K7" s="143">
        <v>1870</v>
      </c>
      <c r="L7" s="144"/>
      <c r="M7" s="63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4">
        <v>210825</v>
      </c>
      <c r="E8" s="3" t="s">
        <v>242</v>
      </c>
      <c r="F8" s="19">
        <v>430</v>
      </c>
      <c r="G8" s="20">
        <v>0.6</v>
      </c>
      <c r="H8" s="28"/>
      <c r="I8" s="143"/>
      <c r="J8" s="144"/>
      <c r="K8" s="143">
        <v>700</v>
      </c>
      <c r="L8" s="144"/>
      <c r="M8" s="63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8"/>
      <c r="I9" s="143"/>
      <c r="J9" s="144"/>
      <c r="K9" s="143"/>
      <c r="L9" s="144"/>
      <c r="M9" s="63"/>
      <c r="N9" s="6" t="s">
        <v>13</v>
      </c>
      <c r="O9" s="21"/>
      <c r="P9" s="145"/>
      <c r="Q9" s="146"/>
      <c r="R9" s="147"/>
    </row>
    <row r="10" spans="1:18" ht="14.55" customHeight="1" x14ac:dyDescent="0.3">
      <c r="A10" s="142"/>
      <c r="B10" s="148" t="s">
        <v>0</v>
      </c>
      <c r="C10" s="149"/>
      <c r="D10" s="149"/>
      <c r="E10" s="149"/>
      <c r="F10" s="149"/>
      <c r="G10" s="149"/>
      <c r="H10" s="149"/>
      <c r="I10" s="150">
        <f>SUM(I7:J9)</f>
        <v>0</v>
      </c>
      <c r="J10" s="151"/>
      <c r="K10" s="150">
        <f>SUM(K7:L9)</f>
        <v>2570</v>
      </c>
      <c r="L10" s="151"/>
      <c r="M10" s="10">
        <f>SUM(M7:M9)</f>
        <v>0</v>
      </c>
      <c r="N10" s="11" t="s">
        <v>13</v>
      </c>
      <c r="O10" s="9"/>
      <c r="P10" s="145"/>
      <c r="Q10" s="146"/>
      <c r="R10" s="147"/>
    </row>
    <row r="11" spans="1:18" ht="14.55" customHeight="1" x14ac:dyDescent="0.3">
      <c r="A11" s="140" t="s">
        <v>21</v>
      </c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63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63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63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2"/>
      <c r="B14" s="148" t="s">
        <v>0</v>
      </c>
      <c r="C14" s="149"/>
      <c r="D14" s="149"/>
      <c r="E14" s="149"/>
      <c r="F14" s="149"/>
      <c r="G14" s="149"/>
      <c r="H14" s="149"/>
      <c r="I14" s="150">
        <f>SUM(I11:J13)</f>
        <v>0</v>
      </c>
      <c r="J14" s="151"/>
      <c r="K14" s="150">
        <f>SUM(K11:L13)</f>
        <v>0</v>
      </c>
      <c r="L14" s="151"/>
      <c r="M14" s="10">
        <f>SUM(M11:M13)</f>
        <v>0</v>
      </c>
      <c r="N14" s="11" t="s">
        <v>13</v>
      </c>
      <c r="O14" s="9"/>
      <c r="P14" s="145"/>
      <c r="Q14" s="146"/>
      <c r="R14" s="147"/>
    </row>
    <row r="15" spans="1:18" ht="14.55" customHeight="1" x14ac:dyDescent="0.3">
      <c r="D15" s="35"/>
      <c r="E15" s="1"/>
      <c r="F15" s="1"/>
      <c r="G15" s="1"/>
      <c r="H15" s="1"/>
      <c r="M15" s="35"/>
    </row>
    <row r="16" spans="1:18" x14ac:dyDescent="0.3">
      <c r="E16" s="148" t="s">
        <v>16</v>
      </c>
      <c r="F16" s="149"/>
      <c r="G16" s="149"/>
      <c r="H16" s="149"/>
      <c r="I16" s="152" t="s">
        <v>19</v>
      </c>
      <c r="J16" s="153"/>
      <c r="K16" s="152" t="s">
        <v>20</v>
      </c>
      <c r="L16" s="153"/>
    </row>
    <row r="17" spans="1:18" s="36" customFormat="1" x14ac:dyDescent="0.3">
      <c r="E17" s="7"/>
      <c r="F17" s="7"/>
      <c r="G17" s="7"/>
      <c r="H17" s="7"/>
      <c r="I17" s="22">
        <f>I10+I14</f>
        <v>0</v>
      </c>
      <c r="J17" s="14" t="s">
        <v>12</v>
      </c>
      <c r="K17" s="22">
        <f>K10+K14</f>
        <v>2570</v>
      </c>
      <c r="L17" s="15" t="s">
        <v>12</v>
      </c>
    </row>
    <row r="18" spans="1:18" ht="24.45" customHeight="1" x14ac:dyDescent="0.3">
      <c r="E18" s="13"/>
      <c r="F18" s="13"/>
      <c r="G18" s="13"/>
      <c r="H18" s="13"/>
      <c r="I18" s="154">
        <f>I17+K17</f>
        <v>2570</v>
      </c>
      <c r="J18" s="155"/>
      <c r="K18" s="155"/>
      <c r="L18" s="156"/>
    </row>
    <row r="19" spans="1:18" ht="15" customHeight="1" x14ac:dyDescent="0.3">
      <c r="D19" s="35"/>
      <c r="I19" s="35"/>
      <c r="J19" s="35"/>
      <c r="K19" s="23"/>
      <c r="L19" s="23"/>
      <c r="M19" s="23"/>
      <c r="N19" s="23"/>
    </row>
    <row r="20" spans="1:18" s="8" customFormat="1" ht="30" customHeight="1" x14ac:dyDescent="0.3">
      <c r="A20" s="133" t="s">
        <v>36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5"/>
      <c r="L20" s="135"/>
      <c r="M20" s="135"/>
      <c r="N20" s="135"/>
      <c r="O20" s="134"/>
      <c r="P20" s="134"/>
      <c r="Q20" s="134"/>
      <c r="R20" s="136"/>
    </row>
    <row r="21" spans="1:18" s="12" customFormat="1" ht="14.55" customHeight="1" x14ac:dyDescent="0.3">
      <c r="A21" s="128" t="s">
        <v>1</v>
      </c>
      <c r="B21" s="137" t="s">
        <v>2</v>
      </c>
      <c r="C21" s="137" t="s">
        <v>3</v>
      </c>
      <c r="D21" s="137" t="s">
        <v>4</v>
      </c>
      <c r="E21" s="124" t="s">
        <v>5</v>
      </c>
      <c r="F21" s="138" t="s">
        <v>14</v>
      </c>
      <c r="G21" s="138" t="s">
        <v>15</v>
      </c>
      <c r="H21" s="119" t="s">
        <v>29</v>
      </c>
      <c r="I21" s="121" t="s">
        <v>6</v>
      </c>
      <c r="J21" s="122"/>
      <c r="K21" s="122"/>
      <c r="L21" s="123"/>
      <c r="M21" s="124" t="s">
        <v>7</v>
      </c>
      <c r="N21" s="125"/>
      <c r="O21" s="128" t="s">
        <v>8</v>
      </c>
      <c r="P21" s="128" t="s">
        <v>9</v>
      </c>
      <c r="Q21" s="128"/>
      <c r="R21" s="128"/>
    </row>
    <row r="22" spans="1:18" s="12" customFormat="1" ht="13.05" customHeight="1" x14ac:dyDescent="0.3">
      <c r="A22" s="128"/>
      <c r="B22" s="137"/>
      <c r="C22" s="137"/>
      <c r="D22" s="137"/>
      <c r="E22" s="126"/>
      <c r="F22" s="139"/>
      <c r="G22" s="139"/>
      <c r="H22" s="120"/>
      <c r="I22" s="121" t="s">
        <v>19</v>
      </c>
      <c r="J22" s="123"/>
      <c r="K22" s="121" t="s">
        <v>20</v>
      </c>
      <c r="L22" s="123"/>
      <c r="M22" s="126"/>
      <c r="N22" s="127"/>
      <c r="O22" s="128"/>
      <c r="P22" s="128"/>
      <c r="Q22" s="128"/>
      <c r="R22" s="128"/>
    </row>
    <row r="23" spans="1:18" ht="14.55" customHeight="1" x14ac:dyDescent="0.3">
      <c r="A23" s="140" t="s">
        <v>37</v>
      </c>
      <c r="B23" s="5">
        <v>0.33333333333333331</v>
      </c>
      <c r="C23" s="5">
        <v>0.70833333333333337</v>
      </c>
      <c r="D23" s="4">
        <v>210825</v>
      </c>
      <c r="E23" s="3" t="s">
        <v>241</v>
      </c>
      <c r="F23" s="19">
        <v>430</v>
      </c>
      <c r="G23" s="20">
        <v>0.6</v>
      </c>
      <c r="H23" s="28" t="s">
        <v>137</v>
      </c>
      <c r="I23" s="143"/>
      <c r="J23" s="144"/>
      <c r="K23" s="143">
        <v>2346</v>
      </c>
      <c r="L23" s="144"/>
      <c r="M23" s="63"/>
      <c r="N23" s="6" t="s">
        <v>13</v>
      </c>
      <c r="O23" s="21"/>
      <c r="P23" s="157"/>
      <c r="Q23" s="158"/>
      <c r="R23" s="159"/>
    </row>
    <row r="24" spans="1:18" ht="14.55" customHeight="1" x14ac:dyDescent="0.3">
      <c r="A24" s="166"/>
      <c r="B24" s="5"/>
      <c r="C24" s="5"/>
      <c r="D24" s="4"/>
      <c r="E24" s="3"/>
      <c r="F24" s="19"/>
      <c r="G24" s="20"/>
      <c r="H24" s="28"/>
      <c r="I24" s="143"/>
      <c r="J24" s="144"/>
      <c r="K24" s="143"/>
      <c r="L24" s="144"/>
      <c r="M24" s="63"/>
      <c r="N24" s="6" t="s">
        <v>13</v>
      </c>
      <c r="O24" s="21"/>
      <c r="P24" s="160"/>
      <c r="Q24" s="161"/>
      <c r="R24" s="162"/>
    </row>
    <row r="25" spans="1:18" ht="14.55" customHeight="1" x14ac:dyDescent="0.3">
      <c r="A25" s="166"/>
      <c r="B25" s="5"/>
      <c r="C25" s="5"/>
      <c r="D25" s="4"/>
      <c r="E25" s="3"/>
      <c r="F25" s="19"/>
      <c r="G25" s="20"/>
      <c r="H25" s="28"/>
      <c r="I25" s="143"/>
      <c r="J25" s="144"/>
      <c r="K25" s="143"/>
      <c r="L25" s="144"/>
      <c r="M25" s="63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63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7"/>
      <c r="B27" s="148" t="s">
        <v>0</v>
      </c>
      <c r="C27" s="149"/>
      <c r="D27" s="149"/>
      <c r="E27" s="149"/>
      <c r="F27" s="149"/>
      <c r="G27" s="149"/>
      <c r="H27" s="149"/>
      <c r="I27" s="150">
        <f>SUM(I23:J26)</f>
        <v>0</v>
      </c>
      <c r="J27" s="151"/>
      <c r="K27" s="150">
        <f>SUM(K23:L26)</f>
        <v>2346</v>
      </c>
      <c r="L27" s="151"/>
      <c r="M27" s="10">
        <f>SUM(M26:M26)</f>
        <v>0</v>
      </c>
      <c r="N27" s="11" t="s">
        <v>13</v>
      </c>
      <c r="O27" s="9"/>
      <c r="P27" s="163"/>
      <c r="Q27" s="164"/>
      <c r="R27" s="165"/>
    </row>
    <row r="28" spans="1:18" ht="14.55" customHeight="1" x14ac:dyDescent="0.3">
      <c r="D28" s="35"/>
      <c r="E28" s="1"/>
      <c r="F28" s="1"/>
      <c r="G28" s="1"/>
      <c r="H28" s="1"/>
      <c r="M28" s="35"/>
    </row>
    <row r="29" spans="1:18" x14ac:dyDescent="0.3">
      <c r="E29" s="148" t="s">
        <v>33</v>
      </c>
      <c r="F29" s="149"/>
      <c r="G29" s="149"/>
      <c r="H29" s="149"/>
      <c r="I29" s="152" t="s">
        <v>19</v>
      </c>
      <c r="J29" s="153"/>
      <c r="K29" s="152" t="s">
        <v>20</v>
      </c>
      <c r="L29" s="153"/>
    </row>
    <row r="30" spans="1:18" s="36" customFormat="1" x14ac:dyDescent="0.3">
      <c r="E30" s="7"/>
      <c r="F30" s="7"/>
      <c r="G30" s="7"/>
      <c r="H30" s="7"/>
      <c r="I30" s="22">
        <f>I27</f>
        <v>0</v>
      </c>
      <c r="J30" s="14" t="s">
        <v>12</v>
      </c>
      <c r="K30" s="22">
        <f>K27</f>
        <v>2346</v>
      </c>
      <c r="L30" s="15" t="s">
        <v>12</v>
      </c>
    </row>
    <row r="31" spans="1:18" ht="24.45" customHeight="1" x14ac:dyDescent="0.3">
      <c r="E31" s="13"/>
      <c r="F31" s="13"/>
      <c r="G31" s="13"/>
      <c r="H31" s="13"/>
      <c r="I31" s="154">
        <f>I30+K30</f>
        <v>2346</v>
      </c>
      <c r="J31" s="155"/>
      <c r="K31" s="155"/>
      <c r="L31" s="156"/>
    </row>
    <row r="33" spans="1:18" s="8" customFormat="1" ht="30" customHeight="1" x14ac:dyDescent="0.3">
      <c r="A33" s="133" t="s">
        <v>30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5"/>
      <c r="L33" s="135"/>
      <c r="M33" s="135"/>
      <c r="N33" s="135"/>
      <c r="O33" s="134"/>
      <c r="P33" s="134"/>
      <c r="Q33" s="134"/>
      <c r="R33" s="136"/>
    </row>
    <row r="34" spans="1:18" s="12" customFormat="1" ht="14.55" customHeight="1" x14ac:dyDescent="0.3">
      <c r="A34" s="128" t="s">
        <v>1</v>
      </c>
      <c r="B34" s="137" t="s">
        <v>2</v>
      </c>
      <c r="C34" s="137" t="s">
        <v>3</v>
      </c>
      <c r="D34" s="137" t="s">
        <v>4</v>
      </c>
      <c r="E34" s="124" t="s">
        <v>5</v>
      </c>
      <c r="F34" s="138" t="s">
        <v>14</v>
      </c>
      <c r="G34" s="138" t="s">
        <v>15</v>
      </c>
      <c r="H34" s="119" t="s">
        <v>29</v>
      </c>
      <c r="I34" s="121" t="s">
        <v>6</v>
      </c>
      <c r="J34" s="122"/>
      <c r="K34" s="122"/>
      <c r="L34" s="123"/>
      <c r="M34" s="124" t="s">
        <v>7</v>
      </c>
      <c r="N34" s="125"/>
      <c r="O34" s="128" t="s">
        <v>8</v>
      </c>
      <c r="P34" s="128" t="s">
        <v>9</v>
      </c>
      <c r="Q34" s="128"/>
      <c r="R34" s="128"/>
    </row>
    <row r="35" spans="1:18" s="12" customFormat="1" ht="13.05" customHeight="1" x14ac:dyDescent="0.3">
      <c r="A35" s="128"/>
      <c r="B35" s="137"/>
      <c r="C35" s="137"/>
      <c r="D35" s="137"/>
      <c r="E35" s="126"/>
      <c r="F35" s="139"/>
      <c r="G35" s="139"/>
      <c r="H35" s="120"/>
      <c r="I35" s="121" t="s">
        <v>19</v>
      </c>
      <c r="J35" s="123"/>
      <c r="K35" s="121" t="s">
        <v>20</v>
      </c>
      <c r="L35" s="123"/>
      <c r="M35" s="126"/>
      <c r="N35" s="127"/>
      <c r="O35" s="128"/>
      <c r="P35" s="128"/>
      <c r="Q35" s="128"/>
      <c r="R35" s="128"/>
    </row>
    <row r="36" spans="1:18" ht="14.55" customHeight="1" x14ac:dyDescent="0.3">
      <c r="A36" s="140" t="s">
        <v>35</v>
      </c>
      <c r="B36" s="5">
        <v>0.33333333333333331</v>
      </c>
      <c r="C36" s="5"/>
      <c r="D36" s="4">
        <v>210825</v>
      </c>
      <c r="E36" s="3" t="s">
        <v>241</v>
      </c>
      <c r="F36" s="19">
        <v>430</v>
      </c>
      <c r="G36" s="20">
        <v>0.6</v>
      </c>
      <c r="H36" s="28" t="s">
        <v>130</v>
      </c>
      <c r="I36" s="143"/>
      <c r="J36" s="144"/>
      <c r="K36" s="143">
        <v>1895</v>
      </c>
      <c r="L36" s="144"/>
      <c r="M36" s="63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66"/>
      <c r="B37" s="5"/>
      <c r="C37" s="5">
        <v>0.70833333333333337</v>
      </c>
      <c r="D37" s="4">
        <v>250068</v>
      </c>
      <c r="E37" s="3" t="s">
        <v>235</v>
      </c>
      <c r="F37" s="19">
        <v>304</v>
      </c>
      <c r="G37" s="20">
        <v>0.6</v>
      </c>
      <c r="H37" s="28" t="s">
        <v>130</v>
      </c>
      <c r="I37" s="143"/>
      <c r="J37" s="144"/>
      <c r="K37" s="143">
        <v>373</v>
      </c>
      <c r="L37" s="144"/>
      <c r="M37" s="63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66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63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66"/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63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7"/>
      <c r="B40" s="148" t="s">
        <v>0</v>
      </c>
      <c r="C40" s="149"/>
      <c r="D40" s="149"/>
      <c r="E40" s="149"/>
      <c r="F40" s="149"/>
      <c r="G40" s="149"/>
      <c r="H40" s="149"/>
      <c r="I40" s="150">
        <f>SUM(I36:J39)</f>
        <v>0</v>
      </c>
      <c r="J40" s="151"/>
      <c r="K40" s="150">
        <f>SUM(K36:L39)</f>
        <v>2268</v>
      </c>
      <c r="L40" s="151"/>
      <c r="M40" s="10">
        <f>SUM(M39:M39)</f>
        <v>0</v>
      </c>
      <c r="N40" s="11" t="s">
        <v>13</v>
      </c>
      <c r="O40" s="9"/>
      <c r="P40" s="168"/>
      <c r="Q40" s="169"/>
      <c r="R40" s="170"/>
    </row>
    <row r="41" spans="1:18" ht="14.55" customHeight="1" x14ac:dyDescent="0.3">
      <c r="D41" s="35"/>
      <c r="E41" s="1"/>
      <c r="F41" s="1"/>
      <c r="G41" s="1"/>
      <c r="H41" s="1"/>
      <c r="M41" s="35"/>
    </row>
    <row r="42" spans="1:18" x14ac:dyDescent="0.3">
      <c r="E42" s="148" t="s">
        <v>34</v>
      </c>
      <c r="F42" s="149"/>
      <c r="G42" s="149"/>
      <c r="H42" s="149"/>
      <c r="I42" s="152" t="s">
        <v>19</v>
      </c>
      <c r="J42" s="153"/>
      <c r="K42" s="152" t="s">
        <v>20</v>
      </c>
      <c r="L42" s="153"/>
    </row>
    <row r="43" spans="1:18" s="36" customFormat="1" x14ac:dyDescent="0.3">
      <c r="E43" s="7"/>
      <c r="F43" s="7"/>
      <c r="G43" s="7"/>
      <c r="H43" s="7"/>
      <c r="I43" s="22">
        <f>I40</f>
        <v>0</v>
      </c>
      <c r="J43" s="14" t="s">
        <v>12</v>
      </c>
      <c r="K43" s="22">
        <f>K40</f>
        <v>2268</v>
      </c>
      <c r="L43" s="15" t="s">
        <v>12</v>
      </c>
    </row>
    <row r="44" spans="1:18" s="1" customFormat="1" ht="24.45" customHeight="1" x14ac:dyDescent="0.3">
      <c r="A44" s="35"/>
      <c r="B44" s="35"/>
      <c r="C44" s="35"/>
      <c r="E44" s="13"/>
      <c r="F44" s="13"/>
      <c r="G44" s="13"/>
      <c r="H44" s="13"/>
      <c r="I44" s="154">
        <f>I43+K43</f>
        <v>2268</v>
      </c>
      <c r="J44" s="155"/>
      <c r="K44" s="155"/>
      <c r="L44" s="156"/>
      <c r="N44" s="35"/>
      <c r="O44" s="35"/>
      <c r="P44" s="35"/>
      <c r="Q44" s="35"/>
      <c r="R44" s="35"/>
    </row>
    <row r="46" spans="1:18" s="8" customFormat="1" ht="30" customHeight="1" x14ac:dyDescent="0.3">
      <c r="A46" s="133" t="s">
        <v>22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5"/>
      <c r="L46" s="135"/>
      <c r="M46" s="135"/>
      <c r="N46" s="135"/>
      <c r="O46" s="134"/>
      <c r="P46" s="134"/>
      <c r="Q46" s="134"/>
      <c r="R46" s="136"/>
    </row>
    <row r="47" spans="1:18" s="12" customFormat="1" ht="14.55" customHeight="1" x14ac:dyDescent="0.3">
      <c r="A47" s="128" t="s">
        <v>1</v>
      </c>
      <c r="B47" s="137" t="s">
        <v>2</v>
      </c>
      <c r="C47" s="137" t="s">
        <v>3</v>
      </c>
      <c r="D47" s="137" t="s">
        <v>4</v>
      </c>
      <c r="E47" s="124" t="s">
        <v>5</v>
      </c>
      <c r="F47" s="138" t="s">
        <v>14</v>
      </c>
      <c r="G47" s="138" t="s">
        <v>15</v>
      </c>
      <c r="H47" s="119" t="s">
        <v>27</v>
      </c>
      <c r="I47" s="121" t="s">
        <v>6</v>
      </c>
      <c r="J47" s="122"/>
      <c r="K47" s="122"/>
      <c r="L47" s="123"/>
      <c r="M47" s="124" t="s">
        <v>7</v>
      </c>
      <c r="N47" s="125"/>
      <c r="O47" s="128" t="s">
        <v>8</v>
      </c>
      <c r="P47" s="128" t="s">
        <v>9</v>
      </c>
      <c r="Q47" s="128"/>
      <c r="R47" s="128"/>
    </row>
    <row r="48" spans="1:18" s="12" customFormat="1" ht="13.05" customHeight="1" x14ac:dyDescent="0.3">
      <c r="A48" s="128"/>
      <c r="B48" s="137"/>
      <c r="C48" s="137"/>
      <c r="D48" s="137"/>
      <c r="E48" s="126"/>
      <c r="F48" s="139"/>
      <c r="G48" s="139"/>
      <c r="H48" s="120"/>
      <c r="I48" s="121" t="s">
        <v>23</v>
      </c>
      <c r="J48" s="123"/>
      <c r="K48" s="121" t="s">
        <v>11</v>
      </c>
      <c r="L48" s="123"/>
      <c r="M48" s="126"/>
      <c r="N48" s="127"/>
      <c r="O48" s="128"/>
      <c r="P48" s="128"/>
      <c r="Q48" s="128"/>
      <c r="R48" s="128"/>
    </row>
    <row r="49" spans="1:18" ht="14.55" customHeight="1" x14ac:dyDescent="0.3">
      <c r="A49" s="140" t="s">
        <v>28</v>
      </c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63"/>
      <c r="N49" s="6" t="s">
        <v>13</v>
      </c>
      <c r="O49" s="21"/>
      <c r="P49" s="168" t="s">
        <v>50</v>
      </c>
      <c r="Q49" s="169"/>
      <c r="R49" s="170"/>
    </row>
    <row r="50" spans="1:18" ht="14.55" customHeight="1" x14ac:dyDescent="0.3">
      <c r="A50" s="141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63"/>
      <c r="N50" s="6" t="s">
        <v>13</v>
      </c>
      <c r="O50" s="21"/>
      <c r="P50" s="168"/>
      <c r="Q50" s="169"/>
      <c r="R50" s="170"/>
    </row>
    <row r="51" spans="1:18" ht="14.55" customHeight="1" x14ac:dyDescent="0.3">
      <c r="A51" s="141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63"/>
      <c r="N51" s="6" t="s">
        <v>13</v>
      </c>
      <c r="O51" s="21"/>
      <c r="P51" s="168"/>
      <c r="Q51" s="169"/>
      <c r="R51" s="170"/>
    </row>
    <row r="52" spans="1:18" ht="14.55" customHeight="1" x14ac:dyDescent="0.3">
      <c r="A52" s="142"/>
      <c r="B52" s="148" t="s">
        <v>0</v>
      </c>
      <c r="C52" s="149"/>
      <c r="D52" s="149"/>
      <c r="E52" s="149"/>
      <c r="F52" s="149"/>
      <c r="G52" s="149"/>
      <c r="H52" s="171"/>
      <c r="I52" s="150">
        <f>SUM(I49:J51)</f>
        <v>0</v>
      </c>
      <c r="J52" s="151"/>
      <c r="K52" s="150">
        <f>SUM(K49:L51)</f>
        <v>0</v>
      </c>
      <c r="L52" s="151"/>
      <c r="M52" s="10">
        <f>SUM(M49:M51)</f>
        <v>0</v>
      </c>
      <c r="N52" s="11" t="s">
        <v>13</v>
      </c>
      <c r="O52" s="9"/>
      <c r="P52" s="168"/>
      <c r="Q52" s="169"/>
      <c r="R52" s="170"/>
    </row>
    <row r="53" spans="1:18" ht="14.55" customHeight="1" x14ac:dyDescent="0.3">
      <c r="A53" s="140" t="s">
        <v>24</v>
      </c>
      <c r="B53" s="5">
        <v>0.33333333333333331</v>
      </c>
      <c r="C53" s="5">
        <v>0.70833333333333337</v>
      </c>
      <c r="D53" s="4">
        <v>250057</v>
      </c>
      <c r="E53" s="3" t="s">
        <v>219</v>
      </c>
      <c r="F53" s="19">
        <v>304</v>
      </c>
      <c r="G53" s="20">
        <v>0.6</v>
      </c>
      <c r="H53" s="28"/>
      <c r="I53" s="143">
        <v>1400</v>
      </c>
      <c r="J53" s="144"/>
      <c r="K53" s="143"/>
      <c r="L53" s="144"/>
      <c r="M53" s="63"/>
      <c r="N53" s="6" t="s">
        <v>13</v>
      </c>
      <c r="O53" s="21"/>
      <c r="P53" s="157" t="s">
        <v>51</v>
      </c>
      <c r="Q53" s="158"/>
      <c r="R53" s="159"/>
    </row>
    <row r="54" spans="1:18" ht="14.55" customHeight="1" x14ac:dyDescent="0.3">
      <c r="A54" s="166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63"/>
      <c r="N54" s="6" t="s">
        <v>13</v>
      </c>
      <c r="O54" s="21"/>
      <c r="P54" s="160"/>
      <c r="Q54" s="161"/>
      <c r="R54" s="162"/>
    </row>
    <row r="55" spans="1:18" ht="14.55" hidden="1" customHeight="1" x14ac:dyDescent="0.3">
      <c r="A55" s="166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63"/>
      <c r="N55" s="6" t="s">
        <v>13</v>
      </c>
      <c r="O55" s="21"/>
      <c r="P55" s="160"/>
      <c r="Q55" s="161"/>
      <c r="R55" s="162"/>
    </row>
    <row r="56" spans="1:18" ht="14.55" hidden="1" customHeight="1" x14ac:dyDescent="0.3">
      <c r="A56" s="166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63"/>
      <c r="N56" s="6" t="s">
        <v>13</v>
      </c>
      <c r="O56" s="21"/>
      <c r="P56" s="160"/>
      <c r="Q56" s="161"/>
      <c r="R56" s="162"/>
    </row>
    <row r="57" spans="1:18" ht="14.55" customHeight="1" x14ac:dyDescent="0.3">
      <c r="A57" s="166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63"/>
      <c r="N57" s="6" t="s">
        <v>13</v>
      </c>
      <c r="O57" s="21"/>
      <c r="P57" s="160"/>
      <c r="Q57" s="161"/>
      <c r="R57" s="162"/>
    </row>
    <row r="58" spans="1:18" ht="14.55" customHeight="1" x14ac:dyDescent="0.3">
      <c r="A58" s="167"/>
      <c r="B58" s="148" t="s">
        <v>0</v>
      </c>
      <c r="C58" s="149"/>
      <c r="D58" s="149"/>
      <c r="E58" s="149"/>
      <c r="F58" s="149"/>
      <c r="G58" s="149"/>
      <c r="H58" s="171"/>
      <c r="I58" s="150">
        <f>SUM(I53:J57)</f>
        <v>1400</v>
      </c>
      <c r="J58" s="151"/>
      <c r="K58" s="150">
        <f>SUM(K53:L57)</f>
        <v>0</v>
      </c>
      <c r="L58" s="151"/>
      <c r="M58" s="10">
        <f>SUM(M53:M57)</f>
        <v>0</v>
      </c>
      <c r="N58" s="11" t="s">
        <v>13</v>
      </c>
      <c r="O58" s="9"/>
      <c r="P58" s="163"/>
      <c r="Q58" s="164"/>
      <c r="R58" s="165"/>
    </row>
    <row r="59" spans="1:18" ht="14.55" customHeight="1" x14ac:dyDescent="0.3">
      <c r="A59" s="140" t="s">
        <v>25</v>
      </c>
      <c r="B59" s="5">
        <v>0.33333333333333331</v>
      </c>
      <c r="C59" s="5"/>
      <c r="D59" s="4">
        <v>250057</v>
      </c>
      <c r="E59" s="3" t="s">
        <v>217</v>
      </c>
      <c r="F59" s="19">
        <v>304</v>
      </c>
      <c r="G59" s="20">
        <v>0.6</v>
      </c>
      <c r="H59" s="28"/>
      <c r="I59" s="143">
        <v>1400</v>
      </c>
      <c r="J59" s="144"/>
      <c r="K59" s="143"/>
      <c r="L59" s="144"/>
      <c r="M59" s="63"/>
      <c r="N59" s="6" t="s">
        <v>13</v>
      </c>
      <c r="O59" s="21"/>
      <c r="P59" s="145" t="s">
        <v>53</v>
      </c>
      <c r="Q59" s="169"/>
      <c r="R59" s="170"/>
    </row>
    <row r="60" spans="1:18" ht="14.55" hidden="1" customHeight="1" x14ac:dyDescent="0.3">
      <c r="A60" s="141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63"/>
      <c r="N60" s="6" t="s">
        <v>13</v>
      </c>
      <c r="O60" s="21"/>
      <c r="P60" s="168"/>
      <c r="Q60" s="169"/>
      <c r="R60" s="170"/>
    </row>
    <row r="61" spans="1:18" ht="14.55" hidden="1" customHeight="1" x14ac:dyDescent="0.3">
      <c r="A61" s="141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63"/>
      <c r="N61" s="6" t="s">
        <v>13</v>
      </c>
      <c r="O61" s="21"/>
      <c r="P61" s="168"/>
      <c r="Q61" s="169"/>
      <c r="R61" s="170"/>
    </row>
    <row r="62" spans="1:18" ht="14.55" customHeight="1" x14ac:dyDescent="0.3">
      <c r="A62" s="141"/>
      <c r="B62" s="5"/>
      <c r="C62" s="5">
        <v>0.70833333333333337</v>
      </c>
      <c r="D62" s="4">
        <v>250057</v>
      </c>
      <c r="E62" s="3" t="s">
        <v>243</v>
      </c>
      <c r="F62" s="19">
        <v>304</v>
      </c>
      <c r="G62" s="20">
        <v>0.6</v>
      </c>
      <c r="H62" s="28"/>
      <c r="I62" s="143">
        <v>1000</v>
      </c>
      <c r="J62" s="144"/>
      <c r="K62" s="143"/>
      <c r="L62" s="144"/>
      <c r="M62" s="63"/>
      <c r="N62" s="6" t="s">
        <v>13</v>
      </c>
      <c r="O62" s="21"/>
      <c r="P62" s="168"/>
      <c r="Q62" s="169"/>
      <c r="R62" s="170"/>
    </row>
    <row r="63" spans="1:18" ht="14.55" customHeight="1" x14ac:dyDescent="0.3">
      <c r="A63" s="141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63"/>
      <c r="N63" s="6" t="s">
        <v>13</v>
      </c>
      <c r="O63" s="21"/>
      <c r="P63" s="168"/>
      <c r="Q63" s="169"/>
      <c r="R63" s="170"/>
    </row>
    <row r="64" spans="1:18" ht="14.55" customHeight="1" x14ac:dyDescent="0.3">
      <c r="A64" s="142"/>
      <c r="B64" s="148" t="s">
        <v>0</v>
      </c>
      <c r="C64" s="149"/>
      <c r="D64" s="149"/>
      <c r="E64" s="149"/>
      <c r="F64" s="149"/>
      <c r="G64" s="149"/>
      <c r="H64" s="149"/>
      <c r="I64" s="150">
        <f>SUM(I59:J63)</f>
        <v>2400</v>
      </c>
      <c r="J64" s="151"/>
      <c r="K64" s="150">
        <f>SUM(K59:L63)</f>
        <v>0</v>
      </c>
      <c r="L64" s="151"/>
      <c r="M64" s="10">
        <f>SUM(M59:M63)</f>
        <v>0</v>
      </c>
      <c r="N64" s="11" t="s">
        <v>13</v>
      </c>
      <c r="O64" s="9"/>
      <c r="P64" s="168"/>
      <c r="Q64" s="169"/>
      <c r="R64" s="170"/>
    </row>
    <row r="66" spans="1:18" x14ac:dyDescent="0.3">
      <c r="E66" s="148" t="s">
        <v>26</v>
      </c>
      <c r="F66" s="149"/>
      <c r="G66" s="149"/>
      <c r="H66" s="149"/>
      <c r="I66" s="152" t="s">
        <v>23</v>
      </c>
      <c r="J66" s="153"/>
      <c r="K66" s="152" t="s">
        <v>11</v>
      </c>
      <c r="L66" s="153"/>
    </row>
    <row r="67" spans="1:18" s="36" customFormat="1" x14ac:dyDescent="0.3">
      <c r="E67" s="7"/>
      <c r="F67" s="7"/>
      <c r="G67" s="7"/>
      <c r="H67" s="7"/>
      <c r="I67" s="22">
        <f>I58+I64</f>
        <v>3800</v>
      </c>
      <c r="J67" s="14" t="s">
        <v>12</v>
      </c>
      <c r="K67" s="22">
        <f>K58+K64</f>
        <v>0</v>
      </c>
      <c r="L67" s="15" t="s">
        <v>12</v>
      </c>
    </row>
    <row r="68" spans="1:18" ht="24.45" customHeight="1" x14ac:dyDescent="0.3">
      <c r="E68" s="13"/>
      <c r="F68" s="13"/>
      <c r="G68" s="13"/>
      <c r="H68" s="13"/>
      <c r="I68" s="154">
        <f>I67+K67</f>
        <v>3800</v>
      </c>
      <c r="J68" s="155"/>
      <c r="K68" s="155"/>
      <c r="L68" s="156"/>
    </row>
    <row r="70" spans="1:18" s="8" customFormat="1" ht="30" customHeight="1" x14ac:dyDescent="0.3">
      <c r="A70" s="133" t="s">
        <v>131</v>
      </c>
      <c r="B70" s="134"/>
      <c r="C70" s="134"/>
      <c r="D70" s="134"/>
      <c r="E70" s="134"/>
      <c r="F70" s="134"/>
      <c r="G70" s="134"/>
      <c r="H70" s="134"/>
      <c r="I70" s="134"/>
      <c r="J70" s="134"/>
      <c r="K70" s="135"/>
      <c r="L70" s="135"/>
      <c r="M70" s="135"/>
      <c r="N70" s="135"/>
      <c r="O70" s="134"/>
      <c r="P70" s="134"/>
      <c r="Q70" s="134"/>
      <c r="R70" s="136"/>
    </row>
    <row r="71" spans="1:18" s="12" customFormat="1" ht="14.55" customHeight="1" x14ac:dyDescent="0.3">
      <c r="A71" s="128" t="s">
        <v>1</v>
      </c>
      <c r="B71" s="137" t="s">
        <v>2</v>
      </c>
      <c r="C71" s="137" t="s">
        <v>3</v>
      </c>
      <c r="D71" s="137" t="s">
        <v>4</v>
      </c>
      <c r="E71" s="124" t="s">
        <v>5</v>
      </c>
      <c r="F71" s="138" t="s">
        <v>14</v>
      </c>
      <c r="G71" s="138" t="s">
        <v>15</v>
      </c>
      <c r="H71" s="119" t="s">
        <v>27</v>
      </c>
      <c r="I71" s="121" t="s">
        <v>6</v>
      </c>
      <c r="J71" s="122"/>
      <c r="K71" s="122"/>
      <c r="L71" s="123"/>
      <c r="M71" s="124" t="s">
        <v>7</v>
      </c>
      <c r="N71" s="125"/>
      <c r="O71" s="128" t="s">
        <v>8</v>
      </c>
      <c r="P71" s="128" t="s">
        <v>9</v>
      </c>
      <c r="Q71" s="128"/>
      <c r="R71" s="128"/>
    </row>
    <row r="72" spans="1:18" s="12" customFormat="1" ht="13.05" customHeight="1" x14ac:dyDescent="0.3">
      <c r="A72" s="128"/>
      <c r="B72" s="137"/>
      <c r="C72" s="137"/>
      <c r="D72" s="137"/>
      <c r="E72" s="126"/>
      <c r="F72" s="139"/>
      <c r="G72" s="139"/>
      <c r="H72" s="120"/>
      <c r="I72" s="121" t="s">
        <v>23</v>
      </c>
      <c r="J72" s="123"/>
      <c r="K72" s="121" t="s">
        <v>11</v>
      </c>
      <c r="L72" s="123"/>
      <c r="M72" s="126"/>
      <c r="N72" s="127"/>
      <c r="O72" s="128"/>
      <c r="P72" s="128"/>
      <c r="Q72" s="128"/>
      <c r="R72" s="128"/>
    </row>
    <row r="73" spans="1:18" ht="14.55" customHeight="1" x14ac:dyDescent="0.3">
      <c r="A73" s="140" t="s">
        <v>132</v>
      </c>
      <c r="B73" s="5"/>
      <c r="C73" s="5"/>
      <c r="D73" s="4"/>
      <c r="E73" s="3"/>
      <c r="F73" s="19"/>
      <c r="G73" s="20"/>
      <c r="H73" s="28"/>
      <c r="I73" s="143"/>
      <c r="J73" s="144"/>
      <c r="K73" s="143"/>
      <c r="L73" s="144"/>
      <c r="M73" s="63"/>
      <c r="N73" s="6" t="s">
        <v>13</v>
      </c>
      <c r="O73" s="21"/>
      <c r="P73" s="157"/>
      <c r="Q73" s="158"/>
      <c r="R73" s="159"/>
    </row>
    <row r="74" spans="1:18" ht="14.55" customHeight="1" x14ac:dyDescent="0.3">
      <c r="A74" s="166"/>
      <c r="B74" s="5"/>
      <c r="C74" s="5"/>
      <c r="D74" s="4"/>
      <c r="E74" s="3"/>
      <c r="F74" s="19"/>
      <c r="G74" s="20"/>
      <c r="H74" s="28"/>
      <c r="I74" s="143"/>
      <c r="J74" s="144"/>
      <c r="K74" s="143"/>
      <c r="L74" s="144"/>
      <c r="M74" s="63"/>
      <c r="N74" s="6" t="s">
        <v>13</v>
      </c>
      <c r="O74" s="21"/>
      <c r="P74" s="160"/>
      <c r="Q74" s="161"/>
      <c r="R74" s="162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63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63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63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63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63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63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63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63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7"/>
      <c r="B83" s="148" t="s">
        <v>0</v>
      </c>
      <c r="C83" s="149"/>
      <c r="D83" s="149"/>
      <c r="E83" s="149"/>
      <c r="F83" s="149"/>
      <c r="G83" s="149"/>
      <c r="H83" s="149"/>
      <c r="I83" s="150">
        <f ca="1">SUM(I73:J83)</f>
        <v>0</v>
      </c>
      <c r="J83" s="151"/>
      <c r="K83" s="150">
        <f ca="1">SUM(K73:L83)</f>
        <v>0</v>
      </c>
      <c r="L83" s="151"/>
      <c r="M83" s="10">
        <f>SUM(M78:M82)</f>
        <v>0</v>
      </c>
      <c r="N83" s="11" t="s">
        <v>13</v>
      </c>
      <c r="O83" s="9"/>
      <c r="P83" s="163"/>
      <c r="Q83" s="164"/>
      <c r="R83" s="165"/>
    </row>
    <row r="85" spans="1:18" s="1" customFormat="1" x14ac:dyDescent="0.3">
      <c r="A85" s="35"/>
      <c r="B85" s="35"/>
      <c r="C85" s="35"/>
      <c r="E85" s="148" t="s">
        <v>26</v>
      </c>
      <c r="F85" s="149"/>
      <c r="G85" s="149"/>
      <c r="H85" s="149"/>
      <c r="I85" s="152" t="s">
        <v>23</v>
      </c>
      <c r="J85" s="153"/>
      <c r="K85" s="172" t="s">
        <v>11</v>
      </c>
      <c r="L85" s="153"/>
      <c r="N85" s="35"/>
      <c r="O85" s="35"/>
      <c r="P85" s="35"/>
      <c r="Q85" s="35"/>
      <c r="R85" s="35"/>
    </row>
    <row r="86" spans="1:18" s="36" customFormat="1" x14ac:dyDescent="0.3">
      <c r="E86" s="7"/>
      <c r="F86" s="7"/>
      <c r="G86" s="7"/>
      <c r="H86" s="7"/>
      <c r="I86" s="22">
        <f ca="1">I83</f>
        <v>0</v>
      </c>
      <c r="J86" s="14" t="s">
        <v>12</v>
      </c>
      <c r="K86" s="22">
        <f ca="1">K83</f>
        <v>0</v>
      </c>
      <c r="L86" s="15" t="s">
        <v>12</v>
      </c>
    </row>
    <row r="87" spans="1:18" s="1" customFormat="1" ht="24.45" customHeight="1" x14ac:dyDescent="0.3">
      <c r="A87" s="35"/>
      <c r="B87" s="35"/>
      <c r="C87" s="35"/>
      <c r="E87" s="13"/>
      <c r="F87" s="13"/>
      <c r="G87" s="13"/>
      <c r="H87" s="13"/>
      <c r="I87" s="154">
        <f ca="1">I86+K86</f>
        <v>0</v>
      </c>
      <c r="J87" s="155"/>
      <c r="K87" s="155"/>
      <c r="L87" s="156"/>
      <c r="N87" s="35"/>
      <c r="O87" s="35"/>
      <c r="P87" s="35"/>
      <c r="Q87" s="35"/>
      <c r="R87" s="35"/>
    </row>
  </sheetData>
  <mergeCells count="212">
    <mergeCell ref="I78:J78"/>
    <mergeCell ref="K78:L78"/>
    <mergeCell ref="I87:L87"/>
    <mergeCell ref="I82:J82"/>
    <mergeCell ref="K82:L82"/>
    <mergeCell ref="B83:H83"/>
    <mergeCell ref="I83:J83"/>
    <mergeCell ref="K83:L83"/>
    <mergeCell ref="E85:H85"/>
    <mergeCell ref="I85:J85"/>
    <mergeCell ref="K85:L85"/>
    <mergeCell ref="A73:A83"/>
    <mergeCell ref="I73:J73"/>
    <mergeCell ref="K73:L73"/>
    <mergeCell ref="P73:R83"/>
    <mergeCell ref="I74:J74"/>
    <mergeCell ref="K74:L74"/>
    <mergeCell ref="I75:J75"/>
    <mergeCell ref="F71:F72"/>
    <mergeCell ref="G71:G72"/>
    <mergeCell ref="H71:H72"/>
    <mergeCell ref="I71:L71"/>
    <mergeCell ref="M71:N72"/>
    <mergeCell ref="O71:O72"/>
    <mergeCell ref="I79:J79"/>
    <mergeCell ref="K79:L79"/>
    <mergeCell ref="I80:J80"/>
    <mergeCell ref="K80:L80"/>
    <mergeCell ref="I81:J81"/>
    <mergeCell ref="K81:L81"/>
    <mergeCell ref="K75:L75"/>
    <mergeCell ref="I76:J76"/>
    <mergeCell ref="K76:L76"/>
    <mergeCell ref="I77:J77"/>
    <mergeCell ref="K77:L77"/>
    <mergeCell ref="E66:H66"/>
    <mergeCell ref="I66:J66"/>
    <mergeCell ref="K66:L66"/>
    <mergeCell ref="I68:L68"/>
    <mergeCell ref="A70:R70"/>
    <mergeCell ref="A71:A72"/>
    <mergeCell ref="B71:B72"/>
    <mergeCell ref="C71:C72"/>
    <mergeCell ref="D71:D72"/>
    <mergeCell ref="E71:E72"/>
    <mergeCell ref="P71:R72"/>
    <mergeCell ref="I72:J72"/>
    <mergeCell ref="K72:L72"/>
    <mergeCell ref="P59:R64"/>
    <mergeCell ref="I60:J60"/>
    <mergeCell ref="K60:L60"/>
    <mergeCell ref="I61:J61"/>
    <mergeCell ref="K61:L61"/>
    <mergeCell ref="I62:J62"/>
    <mergeCell ref="K62:L62"/>
    <mergeCell ref="I63:J63"/>
    <mergeCell ref="K63:L63"/>
    <mergeCell ref="I64:J64"/>
    <mergeCell ref="B58:H58"/>
    <mergeCell ref="I58:J58"/>
    <mergeCell ref="K58:L58"/>
    <mergeCell ref="A59:A64"/>
    <mergeCell ref="I59:J59"/>
    <mergeCell ref="K59:L59"/>
    <mergeCell ref="B64:H64"/>
    <mergeCell ref="K64:L64"/>
    <mergeCell ref="A53:A58"/>
    <mergeCell ref="I53:J53"/>
    <mergeCell ref="K53:L53"/>
    <mergeCell ref="P53:R58"/>
    <mergeCell ref="I54:J54"/>
    <mergeCell ref="K54:L54"/>
    <mergeCell ref="I55:J55"/>
    <mergeCell ref="K55:L55"/>
    <mergeCell ref="I56:J56"/>
    <mergeCell ref="K56:L56"/>
    <mergeCell ref="I50:J50"/>
    <mergeCell ref="K50:L50"/>
    <mergeCell ref="I51:J51"/>
    <mergeCell ref="K51:L51"/>
    <mergeCell ref="I57:J57"/>
    <mergeCell ref="K57:L57"/>
    <mergeCell ref="B52:H52"/>
    <mergeCell ref="I52:J52"/>
    <mergeCell ref="K52:L52"/>
    <mergeCell ref="P47:R48"/>
    <mergeCell ref="I48:J48"/>
    <mergeCell ref="K48:L48"/>
    <mergeCell ref="A49:A52"/>
    <mergeCell ref="I49:J49"/>
    <mergeCell ref="K49:L49"/>
    <mergeCell ref="P49:R52"/>
    <mergeCell ref="F47:F48"/>
    <mergeCell ref="G47:G48"/>
    <mergeCell ref="H47:H48"/>
    <mergeCell ref="I47:L47"/>
    <mergeCell ref="M47:N48"/>
    <mergeCell ref="O47:O48"/>
    <mergeCell ref="E42:H42"/>
    <mergeCell ref="I42:J42"/>
    <mergeCell ref="K42:L42"/>
    <mergeCell ref="I44:L44"/>
    <mergeCell ref="A46:R46"/>
    <mergeCell ref="A47:A48"/>
    <mergeCell ref="B47:B48"/>
    <mergeCell ref="C47:C48"/>
    <mergeCell ref="D47:D48"/>
    <mergeCell ref="E47:E48"/>
    <mergeCell ref="I39:J39"/>
    <mergeCell ref="K39:L39"/>
    <mergeCell ref="B40:H40"/>
    <mergeCell ref="I40:J40"/>
    <mergeCell ref="K40:L40"/>
    <mergeCell ref="P39:R40"/>
    <mergeCell ref="A36:A40"/>
    <mergeCell ref="I36:J36"/>
    <mergeCell ref="K36:L36"/>
    <mergeCell ref="P36:R38"/>
    <mergeCell ref="I37:J37"/>
    <mergeCell ref="K37:L37"/>
    <mergeCell ref="I38:J38"/>
    <mergeCell ref="K38:L38"/>
    <mergeCell ref="P34:R35"/>
    <mergeCell ref="I35:J35"/>
    <mergeCell ref="K35:L35"/>
    <mergeCell ref="I31:L31"/>
    <mergeCell ref="A33:R33"/>
    <mergeCell ref="A34:A35"/>
    <mergeCell ref="B34:B35"/>
    <mergeCell ref="C34:C35"/>
    <mergeCell ref="D34:D35"/>
    <mergeCell ref="E34:E35"/>
    <mergeCell ref="F34:F35"/>
    <mergeCell ref="G34:G35"/>
    <mergeCell ref="H34:H35"/>
    <mergeCell ref="E29:H29"/>
    <mergeCell ref="I29:J29"/>
    <mergeCell ref="K29:L29"/>
    <mergeCell ref="I26:J26"/>
    <mergeCell ref="K26:L26"/>
    <mergeCell ref="K25:L25"/>
    <mergeCell ref="I34:L34"/>
    <mergeCell ref="M34:N35"/>
    <mergeCell ref="O34:O35"/>
    <mergeCell ref="A23:A27"/>
    <mergeCell ref="I23:J23"/>
    <mergeCell ref="K23:L23"/>
    <mergeCell ref="P23:R27"/>
    <mergeCell ref="I24:J24"/>
    <mergeCell ref="K24:L24"/>
    <mergeCell ref="I25:J25"/>
    <mergeCell ref="F21:F22"/>
    <mergeCell ref="G21:G22"/>
    <mergeCell ref="H21:H22"/>
    <mergeCell ref="I21:L21"/>
    <mergeCell ref="M21:N22"/>
    <mergeCell ref="O21:O22"/>
    <mergeCell ref="B27:H27"/>
    <mergeCell ref="I27:J27"/>
    <mergeCell ref="K27:L27"/>
    <mergeCell ref="E16:H16"/>
    <mergeCell ref="I16:J16"/>
    <mergeCell ref="K16:L16"/>
    <mergeCell ref="I18:L18"/>
    <mergeCell ref="A20:R20"/>
    <mergeCell ref="A21:A22"/>
    <mergeCell ref="B21:B22"/>
    <mergeCell ref="C21:C22"/>
    <mergeCell ref="D21:D22"/>
    <mergeCell ref="E21:E22"/>
    <mergeCell ref="P21:R22"/>
    <mergeCell ref="I22:J22"/>
    <mergeCell ref="K22:L22"/>
    <mergeCell ref="A11:A14"/>
    <mergeCell ref="I11:J11"/>
    <mergeCell ref="K11:L11"/>
    <mergeCell ref="I12:J12"/>
    <mergeCell ref="A7:A10"/>
    <mergeCell ref="I7:J7"/>
    <mergeCell ref="K7:L7"/>
    <mergeCell ref="P7:R10"/>
    <mergeCell ref="I8:J8"/>
    <mergeCell ref="K8:L8"/>
    <mergeCell ref="I9:J9"/>
    <mergeCell ref="K9:L9"/>
    <mergeCell ref="K12:L12"/>
    <mergeCell ref="I13:J13"/>
    <mergeCell ref="K13:L13"/>
    <mergeCell ref="B14:H14"/>
    <mergeCell ref="I14:J14"/>
    <mergeCell ref="K14:L14"/>
    <mergeCell ref="P11:R14"/>
    <mergeCell ref="B10:H10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2"/>
  <sheetViews>
    <sheetView zoomScale="85" zoomScaleNormal="85" workbookViewId="0">
      <selection activeCell="D8" sqref="D8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55.664062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45933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">
        <v>210825</v>
      </c>
      <c r="E7" s="3" t="s">
        <v>242</v>
      </c>
      <c r="F7" s="19">
        <v>430</v>
      </c>
      <c r="G7" s="20">
        <v>0.6</v>
      </c>
      <c r="H7" s="28" t="s">
        <v>244</v>
      </c>
      <c r="I7" s="143"/>
      <c r="J7" s="144"/>
      <c r="K7" s="143">
        <v>2400</v>
      </c>
      <c r="L7" s="144"/>
      <c r="M7" s="64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4">
        <v>210825</v>
      </c>
      <c r="E8" s="3" t="s">
        <v>245</v>
      </c>
      <c r="F8" s="19">
        <v>430</v>
      </c>
      <c r="G8" s="20">
        <v>0.6</v>
      </c>
      <c r="H8" s="28" t="s">
        <v>244</v>
      </c>
      <c r="I8" s="143"/>
      <c r="J8" s="144"/>
      <c r="K8" s="143">
        <v>100</v>
      </c>
      <c r="L8" s="144"/>
      <c r="M8" s="64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"/>
      <c r="E9" s="3"/>
      <c r="F9" s="19"/>
      <c r="G9" s="20"/>
      <c r="H9" s="28"/>
      <c r="I9" s="143"/>
      <c r="J9" s="144"/>
      <c r="K9" s="143"/>
      <c r="L9" s="144"/>
      <c r="M9" s="64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64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0</v>
      </c>
      <c r="J11" s="151"/>
      <c r="K11" s="150">
        <f>SUM(K7:L10)</f>
        <v>2500</v>
      </c>
      <c r="L11" s="151"/>
      <c r="M11" s="10">
        <f>SUM(M7:M10)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64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66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64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64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1"/>
      <c r="B15" s="5"/>
      <c r="C15" s="5"/>
      <c r="D15" s="4"/>
      <c r="E15" s="3"/>
      <c r="F15" s="19"/>
      <c r="G15" s="20"/>
      <c r="H15" s="28"/>
      <c r="I15" s="143"/>
      <c r="J15" s="144"/>
      <c r="K15" s="143"/>
      <c r="L15" s="144"/>
      <c r="M15" s="64"/>
      <c r="N15" s="6" t="s">
        <v>13</v>
      </c>
      <c r="O15" s="21"/>
      <c r="P15" s="145"/>
      <c r="Q15" s="146"/>
      <c r="R15" s="147"/>
    </row>
    <row r="16" spans="1:18" ht="14.55" customHeight="1" x14ac:dyDescent="0.3">
      <c r="A16" s="141"/>
      <c r="B16" s="5"/>
      <c r="C16" s="5"/>
      <c r="D16" s="4"/>
      <c r="E16" s="3"/>
      <c r="F16" s="19"/>
      <c r="G16" s="20"/>
      <c r="H16" s="28"/>
      <c r="I16" s="143"/>
      <c r="J16" s="144"/>
      <c r="K16" s="143"/>
      <c r="L16" s="144"/>
      <c r="M16" s="64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42"/>
      <c r="B17" s="148" t="s">
        <v>0</v>
      </c>
      <c r="C17" s="149"/>
      <c r="D17" s="149"/>
      <c r="E17" s="149"/>
      <c r="F17" s="149"/>
      <c r="G17" s="149"/>
      <c r="H17" s="149"/>
      <c r="I17" s="150">
        <f>SUM(I12:J16)</f>
        <v>0</v>
      </c>
      <c r="J17" s="151"/>
      <c r="K17" s="150">
        <f>SUM(K12:L16)</f>
        <v>0</v>
      </c>
      <c r="L17" s="151"/>
      <c r="M17" s="10">
        <f>SUM(M12:M16)</f>
        <v>0</v>
      </c>
      <c r="N17" s="11" t="s">
        <v>13</v>
      </c>
      <c r="O17" s="9"/>
      <c r="P17" s="145"/>
      <c r="Q17" s="146"/>
      <c r="R17" s="147"/>
    </row>
    <row r="18" spans="1:18" ht="14.55" customHeight="1" x14ac:dyDescent="0.3">
      <c r="D18" s="35"/>
      <c r="E18" s="1"/>
      <c r="F18" s="1"/>
      <c r="G18" s="1"/>
      <c r="H18" s="1"/>
      <c r="M18" s="35"/>
    </row>
    <row r="19" spans="1:18" x14ac:dyDescent="0.3">
      <c r="E19" s="148" t="s">
        <v>16</v>
      </c>
      <c r="F19" s="149"/>
      <c r="G19" s="149"/>
      <c r="H19" s="149"/>
      <c r="I19" s="152" t="s">
        <v>19</v>
      </c>
      <c r="J19" s="153"/>
      <c r="K19" s="152" t="s">
        <v>20</v>
      </c>
      <c r="L19" s="153"/>
    </row>
    <row r="20" spans="1:18" s="36" customFormat="1" x14ac:dyDescent="0.3">
      <c r="E20" s="7"/>
      <c r="F20" s="7"/>
      <c r="G20" s="7"/>
      <c r="H20" s="7"/>
      <c r="I20" s="22">
        <f>I11+I17</f>
        <v>0</v>
      </c>
      <c r="J20" s="14" t="s">
        <v>12</v>
      </c>
      <c r="K20" s="22">
        <f>K11+K17</f>
        <v>2500</v>
      </c>
      <c r="L20" s="15" t="s">
        <v>12</v>
      </c>
    </row>
    <row r="21" spans="1:18" ht="24.45" customHeight="1" x14ac:dyDescent="0.3">
      <c r="E21" s="13"/>
      <c r="F21" s="13"/>
      <c r="G21" s="13"/>
      <c r="H21" s="13"/>
      <c r="I21" s="154">
        <f>I20+K20</f>
        <v>2500</v>
      </c>
      <c r="J21" s="155"/>
      <c r="K21" s="155"/>
      <c r="L21" s="156"/>
    </row>
    <row r="22" spans="1:18" ht="15" customHeight="1" x14ac:dyDescent="0.3">
      <c r="D22" s="35"/>
      <c r="I22" s="35"/>
      <c r="J22" s="35"/>
      <c r="K22" s="23"/>
      <c r="L22" s="23"/>
      <c r="M22" s="23"/>
      <c r="N22" s="23"/>
    </row>
    <row r="23" spans="1:18" s="8" customFormat="1" ht="30" customHeight="1" x14ac:dyDescent="0.3">
      <c r="A23" s="133" t="s">
        <v>36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5"/>
      <c r="L23" s="135"/>
      <c r="M23" s="135"/>
      <c r="N23" s="135"/>
      <c r="O23" s="134"/>
      <c r="P23" s="134"/>
      <c r="Q23" s="134"/>
      <c r="R23" s="136"/>
    </row>
    <row r="24" spans="1:18" s="12" customFormat="1" ht="14.55" customHeight="1" x14ac:dyDescent="0.3">
      <c r="A24" s="128" t="s">
        <v>1</v>
      </c>
      <c r="B24" s="137" t="s">
        <v>2</v>
      </c>
      <c r="C24" s="137" t="s">
        <v>3</v>
      </c>
      <c r="D24" s="137" t="s">
        <v>4</v>
      </c>
      <c r="E24" s="124" t="s">
        <v>5</v>
      </c>
      <c r="F24" s="138" t="s">
        <v>14</v>
      </c>
      <c r="G24" s="138" t="s">
        <v>15</v>
      </c>
      <c r="H24" s="119" t="s">
        <v>29</v>
      </c>
      <c r="I24" s="121" t="s">
        <v>6</v>
      </c>
      <c r="J24" s="122"/>
      <c r="K24" s="122"/>
      <c r="L24" s="123"/>
      <c r="M24" s="124" t="s">
        <v>7</v>
      </c>
      <c r="N24" s="125"/>
      <c r="O24" s="128" t="s">
        <v>8</v>
      </c>
      <c r="P24" s="128" t="s">
        <v>9</v>
      </c>
      <c r="Q24" s="128"/>
      <c r="R24" s="128"/>
    </row>
    <row r="25" spans="1:18" s="12" customFormat="1" ht="13.05" customHeight="1" x14ac:dyDescent="0.3">
      <c r="A25" s="128"/>
      <c r="B25" s="137"/>
      <c r="C25" s="137"/>
      <c r="D25" s="137"/>
      <c r="E25" s="126"/>
      <c r="F25" s="139"/>
      <c r="G25" s="139"/>
      <c r="H25" s="120"/>
      <c r="I25" s="121" t="s">
        <v>19</v>
      </c>
      <c r="J25" s="123"/>
      <c r="K25" s="121" t="s">
        <v>20</v>
      </c>
      <c r="L25" s="123"/>
      <c r="M25" s="126"/>
      <c r="N25" s="127"/>
      <c r="O25" s="128"/>
      <c r="P25" s="128"/>
      <c r="Q25" s="128"/>
      <c r="R25" s="128"/>
    </row>
    <row r="26" spans="1:18" ht="14.55" customHeight="1" x14ac:dyDescent="0.3">
      <c r="A26" s="140" t="s">
        <v>37</v>
      </c>
      <c r="B26" s="5">
        <v>0.33333333333333331</v>
      </c>
      <c r="C26" s="5"/>
      <c r="D26" s="4">
        <v>210825</v>
      </c>
      <c r="E26" s="3" t="s">
        <v>242</v>
      </c>
      <c r="F26" s="19">
        <v>430</v>
      </c>
      <c r="G26" s="20">
        <v>0.6</v>
      </c>
      <c r="H26" s="28" t="s">
        <v>137</v>
      </c>
      <c r="I26" s="143"/>
      <c r="J26" s="144"/>
      <c r="K26" s="143">
        <v>1533</v>
      </c>
      <c r="L26" s="144"/>
      <c r="M26" s="64"/>
      <c r="N26" s="6" t="s">
        <v>13</v>
      </c>
      <c r="O26" s="21"/>
      <c r="P26" s="157"/>
      <c r="Q26" s="158"/>
      <c r="R26" s="159"/>
    </row>
    <row r="27" spans="1:18" ht="14.55" customHeight="1" x14ac:dyDescent="0.3">
      <c r="A27" s="166"/>
      <c r="B27" s="5"/>
      <c r="C27" s="5">
        <v>0.70833333333333337</v>
      </c>
      <c r="D27" s="4">
        <v>250068</v>
      </c>
      <c r="E27" s="3" t="s">
        <v>218</v>
      </c>
      <c r="F27" s="19">
        <v>304</v>
      </c>
      <c r="G27" s="20">
        <v>0.6</v>
      </c>
      <c r="H27" s="28" t="s">
        <v>137</v>
      </c>
      <c r="I27" s="143"/>
      <c r="J27" s="144"/>
      <c r="K27" s="143">
        <v>770</v>
      </c>
      <c r="L27" s="144"/>
      <c r="M27" s="64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64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7"/>
      <c r="B29" s="148" t="s">
        <v>0</v>
      </c>
      <c r="C29" s="149"/>
      <c r="D29" s="149"/>
      <c r="E29" s="149"/>
      <c r="F29" s="149"/>
      <c r="G29" s="149"/>
      <c r="H29" s="149"/>
      <c r="I29" s="150">
        <f>SUM(I26:J28)</f>
        <v>0</v>
      </c>
      <c r="J29" s="151"/>
      <c r="K29" s="150">
        <f>SUM(K26:L28)</f>
        <v>2303</v>
      </c>
      <c r="L29" s="151"/>
      <c r="M29" s="10" t="e">
        <f>SUM(#REF!)</f>
        <v>#REF!</v>
      </c>
      <c r="N29" s="11" t="s">
        <v>13</v>
      </c>
      <c r="O29" s="9"/>
      <c r="P29" s="163"/>
      <c r="Q29" s="164"/>
      <c r="R29" s="165"/>
    </row>
    <row r="30" spans="1:18" ht="14.55" customHeight="1" x14ac:dyDescent="0.3">
      <c r="D30" s="35"/>
      <c r="E30" s="1"/>
      <c r="F30" s="1"/>
      <c r="G30" s="1"/>
      <c r="H30" s="1"/>
      <c r="M30" s="35"/>
    </row>
    <row r="31" spans="1:18" x14ac:dyDescent="0.3">
      <c r="E31" s="148" t="s">
        <v>33</v>
      </c>
      <c r="F31" s="149"/>
      <c r="G31" s="149"/>
      <c r="H31" s="149"/>
      <c r="I31" s="152" t="s">
        <v>19</v>
      </c>
      <c r="J31" s="153"/>
      <c r="K31" s="152" t="s">
        <v>20</v>
      </c>
      <c r="L31" s="153"/>
    </row>
    <row r="32" spans="1:18" s="36" customFormat="1" x14ac:dyDescent="0.3">
      <c r="E32" s="7"/>
      <c r="F32" s="7"/>
      <c r="G32" s="7"/>
      <c r="H32" s="7"/>
      <c r="I32" s="22">
        <f>I29</f>
        <v>0</v>
      </c>
      <c r="J32" s="14" t="s">
        <v>12</v>
      </c>
      <c r="K32" s="22">
        <f>K29</f>
        <v>2303</v>
      </c>
      <c r="L32" s="15" t="s">
        <v>12</v>
      </c>
    </row>
    <row r="33" spans="1:18" ht="24.45" customHeight="1" x14ac:dyDescent="0.3">
      <c r="E33" s="13"/>
      <c r="F33" s="13"/>
      <c r="G33" s="13"/>
      <c r="H33" s="13"/>
      <c r="I33" s="154">
        <f>I32+K32</f>
        <v>2303</v>
      </c>
      <c r="J33" s="155"/>
      <c r="K33" s="155"/>
      <c r="L33" s="156"/>
    </row>
    <row r="35" spans="1:18" s="8" customFormat="1" ht="30" customHeight="1" x14ac:dyDescent="0.3">
      <c r="A35" s="133" t="s">
        <v>30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5"/>
      <c r="L35" s="135"/>
      <c r="M35" s="135"/>
      <c r="N35" s="135"/>
      <c r="O35" s="134"/>
      <c r="P35" s="134"/>
      <c r="Q35" s="134"/>
      <c r="R35" s="136"/>
    </row>
    <row r="36" spans="1:18" s="12" customFormat="1" ht="14.55" customHeight="1" x14ac:dyDescent="0.3">
      <c r="A36" s="128" t="s">
        <v>1</v>
      </c>
      <c r="B36" s="137" t="s">
        <v>2</v>
      </c>
      <c r="C36" s="137" t="s">
        <v>3</v>
      </c>
      <c r="D36" s="137" t="s">
        <v>4</v>
      </c>
      <c r="E36" s="124" t="s">
        <v>5</v>
      </c>
      <c r="F36" s="138" t="s">
        <v>14</v>
      </c>
      <c r="G36" s="138" t="s">
        <v>15</v>
      </c>
      <c r="H36" s="119" t="s">
        <v>29</v>
      </c>
      <c r="I36" s="121" t="s">
        <v>6</v>
      </c>
      <c r="J36" s="122"/>
      <c r="K36" s="122"/>
      <c r="L36" s="123"/>
      <c r="M36" s="124" t="s">
        <v>7</v>
      </c>
      <c r="N36" s="125"/>
      <c r="O36" s="128" t="s">
        <v>8</v>
      </c>
      <c r="P36" s="128" t="s">
        <v>9</v>
      </c>
      <c r="Q36" s="128"/>
      <c r="R36" s="128"/>
    </row>
    <row r="37" spans="1:18" s="12" customFormat="1" ht="13.05" customHeight="1" x14ac:dyDescent="0.3">
      <c r="A37" s="128"/>
      <c r="B37" s="137"/>
      <c r="C37" s="137"/>
      <c r="D37" s="137"/>
      <c r="E37" s="126"/>
      <c r="F37" s="139"/>
      <c r="G37" s="139"/>
      <c r="H37" s="120"/>
      <c r="I37" s="121" t="s">
        <v>19</v>
      </c>
      <c r="J37" s="123"/>
      <c r="K37" s="121" t="s">
        <v>20</v>
      </c>
      <c r="L37" s="123"/>
      <c r="M37" s="126"/>
      <c r="N37" s="127"/>
      <c r="O37" s="128"/>
      <c r="P37" s="128"/>
      <c r="Q37" s="128"/>
      <c r="R37" s="128"/>
    </row>
    <row r="38" spans="1:18" ht="14.55" customHeight="1" x14ac:dyDescent="0.3">
      <c r="A38" s="140" t="s">
        <v>35</v>
      </c>
      <c r="B38" s="5">
        <v>0.33333333333333331</v>
      </c>
      <c r="C38" s="5"/>
      <c r="D38" s="4">
        <v>210825</v>
      </c>
      <c r="E38" s="3" t="s">
        <v>246</v>
      </c>
      <c r="F38" s="19">
        <v>430</v>
      </c>
      <c r="G38" s="20">
        <v>0.8</v>
      </c>
      <c r="H38" s="28" t="s">
        <v>130</v>
      </c>
      <c r="I38" s="143"/>
      <c r="J38" s="144"/>
      <c r="K38" s="143">
        <v>1533</v>
      </c>
      <c r="L38" s="144"/>
      <c r="M38" s="64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66"/>
      <c r="B39" s="5"/>
      <c r="C39" s="5"/>
      <c r="D39" s="4">
        <v>250069</v>
      </c>
      <c r="E39" s="3" t="s">
        <v>214</v>
      </c>
      <c r="F39" s="19">
        <v>304</v>
      </c>
      <c r="G39" s="20">
        <v>0.6</v>
      </c>
      <c r="H39" s="28" t="s">
        <v>130</v>
      </c>
      <c r="I39" s="143"/>
      <c r="J39" s="144"/>
      <c r="K39" s="143">
        <v>133</v>
      </c>
      <c r="L39" s="144"/>
      <c r="M39" s="64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>
        <v>0.70833333333333337</v>
      </c>
      <c r="D40" s="4">
        <v>250069</v>
      </c>
      <c r="E40" s="3" t="s">
        <v>234</v>
      </c>
      <c r="F40" s="19">
        <v>304</v>
      </c>
      <c r="G40" s="20">
        <v>0.6</v>
      </c>
      <c r="H40" s="28" t="s">
        <v>130</v>
      </c>
      <c r="I40" s="143"/>
      <c r="J40" s="144"/>
      <c r="K40" s="143">
        <v>447</v>
      </c>
      <c r="L40" s="144"/>
      <c r="M40" s="64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64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64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7"/>
      <c r="B43" s="148" t="s">
        <v>0</v>
      </c>
      <c r="C43" s="149"/>
      <c r="D43" s="149"/>
      <c r="E43" s="149"/>
      <c r="F43" s="149"/>
      <c r="G43" s="149"/>
      <c r="H43" s="149"/>
      <c r="I43" s="150">
        <f>SUM(I38:J42)</f>
        <v>0</v>
      </c>
      <c r="J43" s="151"/>
      <c r="K43" s="150">
        <f>SUM(K38:L42)</f>
        <v>2113</v>
      </c>
      <c r="L43" s="151"/>
      <c r="M43" s="10">
        <f>SUM(M42:M42)</f>
        <v>0</v>
      </c>
      <c r="N43" s="11" t="s">
        <v>13</v>
      </c>
      <c r="O43" s="9"/>
      <c r="P43" s="168"/>
      <c r="Q43" s="169"/>
      <c r="R43" s="170"/>
    </row>
    <row r="44" spans="1:18" ht="14.55" customHeight="1" x14ac:dyDescent="0.3">
      <c r="D44" s="35"/>
      <c r="E44" s="1"/>
      <c r="F44" s="1"/>
      <c r="G44" s="1"/>
      <c r="H44" s="1"/>
      <c r="M44" s="35"/>
    </row>
    <row r="45" spans="1:18" x14ac:dyDescent="0.3">
      <c r="E45" s="148" t="s">
        <v>34</v>
      </c>
      <c r="F45" s="149"/>
      <c r="G45" s="149"/>
      <c r="H45" s="149"/>
      <c r="I45" s="152" t="s">
        <v>19</v>
      </c>
      <c r="J45" s="153"/>
      <c r="K45" s="152" t="s">
        <v>20</v>
      </c>
      <c r="L45" s="153"/>
    </row>
    <row r="46" spans="1:18" s="36" customFormat="1" x14ac:dyDescent="0.3">
      <c r="E46" s="7"/>
      <c r="F46" s="7"/>
      <c r="G46" s="7"/>
      <c r="H46" s="7"/>
      <c r="I46" s="22">
        <f>I43</f>
        <v>0</v>
      </c>
      <c r="J46" s="14" t="s">
        <v>12</v>
      </c>
      <c r="K46" s="22">
        <f>K43</f>
        <v>2113</v>
      </c>
      <c r="L46" s="15" t="s">
        <v>12</v>
      </c>
    </row>
    <row r="47" spans="1:18" s="1" customFormat="1" ht="24.45" customHeight="1" x14ac:dyDescent="0.3">
      <c r="A47" s="35"/>
      <c r="B47" s="35"/>
      <c r="C47" s="35"/>
      <c r="E47" s="13"/>
      <c r="F47" s="13"/>
      <c r="G47" s="13"/>
      <c r="H47" s="13"/>
      <c r="I47" s="154">
        <f>I46+K46</f>
        <v>2113</v>
      </c>
      <c r="J47" s="155"/>
      <c r="K47" s="155"/>
      <c r="L47" s="156"/>
      <c r="N47" s="35"/>
      <c r="O47" s="35"/>
      <c r="P47" s="35"/>
      <c r="Q47" s="35"/>
      <c r="R47" s="35"/>
    </row>
    <row r="49" spans="1:18" s="8" customFormat="1" ht="30" customHeight="1" x14ac:dyDescent="0.3">
      <c r="A49" s="133" t="s">
        <v>22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5"/>
      <c r="L49" s="135"/>
      <c r="M49" s="135"/>
      <c r="N49" s="135"/>
      <c r="O49" s="134"/>
      <c r="P49" s="134"/>
      <c r="Q49" s="134"/>
      <c r="R49" s="136"/>
    </row>
    <row r="50" spans="1:18" s="12" customFormat="1" ht="14.55" customHeight="1" x14ac:dyDescent="0.3">
      <c r="A50" s="128" t="s">
        <v>1</v>
      </c>
      <c r="B50" s="137" t="s">
        <v>2</v>
      </c>
      <c r="C50" s="137" t="s">
        <v>3</v>
      </c>
      <c r="D50" s="137" t="s">
        <v>4</v>
      </c>
      <c r="E50" s="124" t="s">
        <v>5</v>
      </c>
      <c r="F50" s="138" t="s">
        <v>14</v>
      </c>
      <c r="G50" s="138" t="s">
        <v>15</v>
      </c>
      <c r="H50" s="119" t="s">
        <v>27</v>
      </c>
      <c r="I50" s="121" t="s">
        <v>6</v>
      </c>
      <c r="J50" s="122"/>
      <c r="K50" s="122"/>
      <c r="L50" s="123"/>
      <c r="M50" s="124" t="s">
        <v>7</v>
      </c>
      <c r="N50" s="125"/>
      <c r="O50" s="128" t="s">
        <v>8</v>
      </c>
      <c r="P50" s="128" t="s">
        <v>9</v>
      </c>
      <c r="Q50" s="128"/>
      <c r="R50" s="128"/>
    </row>
    <row r="51" spans="1:18" s="12" customFormat="1" ht="13.05" customHeight="1" x14ac:dyDescent="0.3">
      <c r="A51" s="128"/>
      <c r="B51" s="137"/>
      <c r="C51" s="137"/>
      <c r="D51" s="137"/>
      <c r="E51" s="126"/>
      <c r="F51" s="139"/>
      <c r="G51" s="139"/>
      <c r="H51" s="120"/>
      <c r="I51" s="121" t="s">
        <v>23</v>
      </c>
      <c r="J51" s="123"/>
      <c r="K51" s="121" t="s">
        <v>11</v>
      </c>
      <c r="L51" s="123"/>
      <c r="M51" s="126"/>
      <c r="N51" s="127"/>
      <c r="O51" s="128"/>
      <c r="P51" s="128"/>
      <c r="Q51" s="128"/>
      <c r="R51" s="128"/>
    </row>
    <row r="52" spans="1:18" ht="14.55" customHeight="1" x14ac:dyDescent="0.3">
      <c r="A52" s="140" t="s">
        <v>28</v>
      </c>
      <c r="B52" s="5"/>
      <c r="C52" s="5"/>
      <c r="D52" s="4"/>
      <c r="E52" s="3"/>
      <c r="F52" s="19"/>
      <c r="G52" s="20"/>
      <c r="H52" s="28"/>
      <c r="I52" s="143"/>
      <c r="J52" s="144"/>
      <c r="K52" s="143"/>
      <c r="L52" s="144"/>
      <c r="M52" s="64"/>
      <c r="N52" s="6" t="s">
        <v>13</v>
      </c>
      <c r="O52" s="21"/>
      <c r="P52" s="168" t="s">
        <v>50</v>
      </c>
      <c r="Q52" s="169"/>
      <c r="R52" s="170"/>
    </row>
    <row r="53" spans="1:18" ht="14.55" customHeight="1" x14ac:dyDescent="0.3">
      <c r="A53" s="141"/>
      <c r="B53" s="5"/>
      <c r="C53" s="5"/>
      <c r="D53" s="4"/>
      <c r="E53" s="3" t="s">
        <v>247</v>
      </c>
      <c r="F53" s="19"/>
      <c r="G53" s="20"/>
      <c r="H53" s="28"/>
      <c r="I53" s="143"/>
      <c r="J53" s="144"/>
      <c r="K53" s="143"/>
      <c r="L53" s="144"/>
      <c r="M53" s="64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64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1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64"/>
      <c r="N55" s="6" t="s">
        <v>13</v>
      </c>
      <c r="O55" s="21"/>
      <c r="P55" s="168"/>
      <c r="Q55" s="169"/>
      <c r="R55" s="170"/>
    </row>
    <row r="56" spans="1:18" ht="14.55" customHeight="1" x14ac:dyDescent="0.3">
      <c r="A56" s="141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64"/>
      <c r="N56" s="6" t="s">
        <v>13</v>
      </c>
      <c r="O56" s="21"/>
      <c r="P56" s="168"/>
      <c r="Q56" s="169"/>
      <c r="R56" s="170"/>
    </row>
    <row r="57" spans="1:18" ht="14.55" customHeight="1" x14ac:dyDescent="0.3">
      <c r="A57" s="142"/>
      <c r="B57" s="148" t="s">
        <v>0</v>
      </c>
      <c r="C57" s="149"/>
      <c r="D57" s="149"/>
      <c r="E57" s="149"/>
      <c r="F57" s="149"/>
      <c r="G57" s="149"/>
      <c r="H57" s="171"/>
      <c r="I57" s="150">
        <f>SUM(I52:J56)</f>
        <v>0</v>
      </c>
      <c r="J57" s="151"/>
      <c r="K57" s="150">
        <f>SUM(K52:L56)</f>
        <v>0</v>
      </c>
      <c r="L57" s="151"/>
      <c r="M57" s="10">
        <f>SUM(M52:M56)</f>
        <v>0</v>
      </c>
      <c r="N57" s="11" t="s">
        <v>13</v>
      </c>
      <c r="O57" s="9"/>
      <c r="P57" s="168"/>
      <c r="Q57" s="169"/>
      <c r="R57" s="170"/>
    </row>
    <row r="58" spans="1:18" ht="14.55" customHeight="1" x14ac:dyDescent="0.3">
      <c r="A58" s="140" t="s">
        <v>24</v>
      </c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64"/>
      <c r="N58" s="6" t="s">
        <v>13</v>
      </c>
      <c r="O58" s="21"/>
      <c r="P58" s="157" t="s">
        <v>51</v>
      </c>
      <c r="Q58" s="158"/>
      <c r="R58" s="159"/>
    </row>
    <row r="59" spans="1:18" ht="14.55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64"/>
      <c r="N59" s="6" t="s">
        <v>13</v>
      </c>
      <c r="O59" s="21"/>
      <c r="P59" s="160"/>
      <c r="Q59" s="161"/>
      <c r="R59" s="162"/>
    </row>
    <row r="60" spans="1:18" ht="14.55" hidden="1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64"/>
      <c r="N60" s="6" t="s">
        <v>13</v>
      </c>
      <c r="O60" s="21"/>
      <c r="P60" s="160"/>
      <c r="Q60" s="161"/>
      <c r="R60" s="162"/>
    </row>
    <row r="61" spans="1:18" ht="14.55" hidden="1" customHeight="1" x14ac:dyDescent="0.3">
      <c r="A61" s="166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64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64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7"/>
      <c r="B63" s="148" t="s">
        <v>0</v>
      </c>
      <c r="C63" s="149"/>
      <c r="D63" s="149"/>
      <c r="E63" s="149"/>
      <c r="F63" s="149"/>
      <c r="G63" s="149"/>
      <c r="H63" s="171"/>
      <c r="I63" s="150">
        <f>SUM(I58:J62)</f>
        <v>0</v>
      </c>
      <c r="J63" s="151"/>
      <c r="K63" s="150">
        <f>SUM(K58:L62)</f>
        <v>0</v>
      </c>
      <c r="L63" s="151"/>
      <c r="M63" s="10">
        <f>SUM(M58:M62)</f>
        <v>0</v>
      </c>
      <c r="N63" s="11" t="s">
        <v>13</v>
      </c>
      <c r="O63" s="9"/>
      <c r="P63" s="163"/>
      <c r="Q63" s="164"/>
      <c r="R63" s="165"/>
    </row>
    <row r="64" spans="1:18" ht="14.55" customHeight="1" x14ac:dyDescent="0.3">
      <c r="A64" s="140" t="s">
        <v>25</v>
      </c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64"/>
      <c r="N64" s="6" t="s">
        <v>13</v>
      </c>
      <c r="O64" s="21"/>
      <c r="P64" s="145" t="s">
        <v>53</v>
      </c>
      <c r="Q64" s="169"/>
      <c r="R64" s="170"/>
    </row>
    <row r="65" spans="1:18" ht="14.55" hidden="1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64"/>
      <c r="N65" s="6" t="s">
        <v>13</v>
      </c>
      <c r="O65" s="21"/>
      <c r="P65" s="168"/>
      <c r="Q65" s="169"/>
      <c r="R65" s="170"/>
    </row>
    <row r="66" spans="1:18" ht="14.55" hidden="1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64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1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64"/>
      <c r="N67" s="6" t="s">
        <v>13</v>
      </c>
      <c r="O67" s="21"/>
      <c r="P67" s="168"/>
      <c r="Q67" s="169"/>
      <c r="R67" s="170"/>
    </row>
    <row r="68" spans="1:18" ht="14.55" customHeight="1" x14ac:dyDescent="0.3">
      <c r="A68" s="141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64"/>
      <c r="N68" s="6" t="s">
        <v>13</v>
      </c>
      <c r="O68" s="21"/>
      <c r="P68" s="168"/>
      <c r="Q68" s="169"/>
      <c r="R68" s="170"/>
    </row>
    <row r="69" spans="1:18" ht="14.55" customHeight="1" x14ac:dyDescent="0.3">
      <c r="A69" s="142"/>
      <c r="B69" s="148" t="s">
        <v>0</v>
      </c>
      <c r="C69" s="149"/>
      <c r="D69" s="149"/>
      <c r="E69" s="149"/>
      <c r="F69" s="149"/>
      <c r="G69" s="149"/>
      <c r="H69" s="149"/>
      <c r="I69" s="150">
        <f>SUM(I64:J68)</f>
        <v>0</v>
      </c>
      <c r="J69" s="151"/>
      <c r="K69" s="150">
        <f>SUM(K64:L68)</f>
        <v>0</v>
      </c>
      <c r="L69" s="151"/>
      <c r="M69" s="10">
        <f>SUM(M64:M68)</f>
        <v>0</v>
      </c>
      <c r="N69" s="11" t="s">
        <v>13</v>
      </c>
      <c r="O69" s="9"/>
      <c r="P69" s="168"/>
      <c r="Q69" s="169"/>
      <c r="R69" s="170"/>
    </row>
    <row r="71" spans="1:18" x14ac:dyDescent="0.3">
      <c r="E71" s="148" t="s">
        <v>26</v>
      </c>
      <c r="F71" s="149"/>
      <c r="G71" s="149"/>
      <c r="H71" s="149"/>
      <c r="I71" s="152" t="s">
        <v>23</v>
      </c>
      <c r="J71" s="153"/>
      <c r="K71" s="152" t="s">
        <v>11</v>
      </c>
      <c r="L71" s="153"/>
    </row>
    <row r="72" spans="1:18" s="36" customFormat="1" x14ac:dyDescent="0.3">
      <c r="E72" s="7"/>
      <c r="F72" s="7"/>
      <c r="G72" s="7"/>
      <c r="H72" s="7"/>
      <c r="I72" s="22">
        <f>I63+I69</f>
        <v>0</v>
      </c>
      <c r="J72" s="14" t="s">
        <v>12</v>
      </c>
      <c r="K72" s="22">
        <f>K63+K69</f>
        <v>0</v>
      </c>
      <c r="L72" s="15" t="s">
        <v>12</v>
      </c>
    </row>
    <row r="73" spans="1:18" ht="24.45" customHeight="1" x14ac:dyDescent="0.3">
      <c r="E73" s="13"/>
      <c r="F73" s="13"/>
      <c r="G73" s="13"/>
      <c r="H73" s="13"/>
      <c r="I73" s="154">
        <f>I72+K72</f>
        <v>0</v>
      </c>
      <c r="J73" s="155"/>
      <c r="K73" s="155"/>
      <c r="L73" s="156"/>
    </row>
    <row r="75" spans="1:18" s="8" customFormat="1" ht="30" customHeight="1" x14ac:dyDescent="0.3">
      <c r="A75" s="133" t="s">
        <v>131</v>
      </c>
      <c r="B75" s="134"/>
      <c r="C75" s="134"/>
      <c r="D75" s="134"/>
      <c r="E75" s="134"/>
      <c r="F75" s="134"/>
      <c r="G75" s="134"/>
      <c r="H75" s="134"/>
      <c r="I75" s="134"/>
      <c r="J75" s="134"/>
      <c r="K75" s="135"/>
      <c r="L75" s="135"/>
      <c r="M75" s="135"/>
      <c r="N75" s="135"/>
      <c r="O75" s="134"/>
      <c r="P75" s="134"/>
      <c r="Q75" s="134"/>
      <c r="R75" s="136"/>
    </row>
    <row r="76" spans="1:18" s="12" customFormat="1" ht="14.55" customHeight="1" x14ac:dyDescent="0.3">
      <c r="A76" s="128" t="s">
        <v>1</v>
      </c>
      <c r="B76" s="137" t="s">
        <v>2</v>
      </c>
      <c r="C76" s="137" t="s">
        <v>3</v>
      </c>
      <c r="D76" s="137" t="s">
        <v>4</v>
      </c>
      <c r="E76" s="124" t="s">
        <v>5</v>
      </c>
      <c r="F76" s="138" t="s">
        <v>14</v>
      </c>
      <c r="G76" s="138" t="s">
        <v>15</v>
      </c>
      <c r="H76" s="119" t="s">
        <v>27</v>
      </c>
      <c r="I76" s="121" t="s">
        <v>6</v>
      </c>
      <c r="J76" s="122"/>
      <c r="K76" s="122"/>
      <c r="L76" s="123"/>
      <c r="M76" s="124" t="s">
        <v>7</v>
      </c>
      <c r="N76" s="125"/>
      <c r="O76" s="128" t="s">
        <v>8</v>
      </c>
      <c r="P76" s="128" t="s">
        <v>9</v>
      </c>
      <c r="Q76" s="128"/>
      <c r="R76" s="128"/>
    </row>
    <row r="77" spans="1:18" s="12" customFormat="1" ht="13.05" customHeight="1" x14ac:dyDescent="0.3">
      <c r="A77" s="128"/>
      <c r="B77" s="137"/>
      <c r="C77" s="137"/>
      <c r="D77" s="137"/>
      <c r="E77" s="126"/>
      <c r="F77" s="139"/>
      <c r="G77" s="139"/>
      <c r="H77" s="120"/>
      <c r="I77" s="121" t="s">
        <v>23</v>
      </c>
      <c r="J77" s="123"/>
      <c r="K77" s="121" t="s">
        <v>11</v>
      </c>
      <c r="L77" s="123"/>
      <c r="M77" s="126"/>
      <c r="N77" s="127"/>
      <c r="O77" s="128"/>
      <c r="P77" s="128"/>
      <c r="Q77" s="128"/>
      <c r="R77" s="128"/>
    </row>
    <row r="78" spans="1:18" ht="14.55" customHeight="1" x14ac:dyDescent="0.3">
      <c r="A78" s="140" t="s">
        <v>132</v>
      </c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64"/>
      <c r="N78" s="6" t="s">
        <v>13</v>
      </c>
      <c r="O78" s="21"/>
      <c r="P78" s="157"/>
      <c r="Q78" s="158"/>
      <c r="R78" s="159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64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64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64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64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64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64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64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64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64"/>
      <c r="N87" s="6" t="s">
        <v>13</v>
      </c>
      <c r="O87" s="21"/>
      <c r="P87" s="160"/>
      <c r="Q87" s="161"/>
      <c r="R87" s="162"/>
    </row>
    <row r="88" spans="1:18" ht="14.55" customHeight="1" x14ac:dyDescent="0.3">
      <c r="A88" s="167"/>
      <c r="B88" s="148" t="s">
        <v>0</v>
      </c>
      <c r="C88" s="149"/>
      <c r="D88" s="149"/>
      <c r="E88" s="149"/>
      <c r="F88" s="149"/>
      <c r="G88" s="149"/>
      <c r="H88" s="149"/>
      <c r="I88" s="150">
        <f ca="1">SUM(I78:J88)</f>
        <v>0</v>
      </c>
      <c r="J88" s="151"/>
      <c r="K88" s="150">
        <f ca="1">SUM(K78:L88)</f>
        <v>0</v>
      </c>
      <c r="L88" s="151"/>
      <c r="M88" s="10">
        <f>SUM(M83:M87)</f>
        <v>0</v>
      </c>
      <c r="N88" s="11" t="s">
        <v>13</v>
      </c>
      <c r="O88" s="9"/>
      <c r="P88" s="163"/>
      <c r="Q88" s="164"/>
      <c r="R88" s="165"/>
    </row>
    <row r="90" spans="1:18" s="1" customFormat="1" x14ac:dyDescent="0.3">
      <c r="A90" s="35"/>
      <c r="B90" s="35"/>
      <c r="C90" s="35"/>
      <c r="E90" s="148" t="s">
        <v>26</v>
      </c>
      <c r="F90" s="149"/>
      <c r="G90" s="149"/>
      <c r="H90" s="149"/>
      <c r="I90" s="152" t="s">
        <v>23</v>
      </c>
      <c r="J90" s="153"/>
      <c r="K90" s="172" t="s">
        <v>11</v>
      </c>
      <c r="L90" s="153"/>
      <c r="N90" s="35"/>
      <c r="O90" s="35"/>
      <c r="P90" s="35"/>
      <c r="Q90" s="35"/>
      <c r="R90" s="35"/>
    </row>
    <row r="91" spans="1:18" s="36" customFormat="1" x14ac:dyDescent="0.3">
      <c r="E91" s="7"/>
      <c r="F91" s="7"/>
      <c r="G91" s="7"/>
      <c r="H91" s="7"/>
      <c r="I91" s="22">
        <f ca="1">I88</f>
        <v>0</v>
      </c>
      <c r="J91" s="14" t="s">
        <v>12</v>
      </c>
      <c r="K91" s="22">
        <f ca="1">K88</f>
        <v>0</v>
      </c>
      <c r="L91" s="15" t="s">
        <v>12</v>
      </c>
    </row>
    <row r="92" spans="1:18" s="1" customFormat="1" ht="24.45" customHeight="1" x14ac:dyDescent="0.3">
      <c r="A92" s="35"/>
      <c r="B92" s="35"/>
      <c r="C92" s="35"/>
      <c r="E92" s="13"/>
      <c r="F92" s="13"/>
      <c r="G92" s="13"/>
      <c r="H92" s="13"/>
      <c r="I92" s="154">
        <f ca="1">I91+K91</f>
        <v>0</v>
      </c>
      <c r="J92" s="155"/>
      <c r="K92" s="155"/>
      <c r="L92" s="156"/>
      <c r="N92" s="35"/>
      <c r="O92" s="35"/>
      <c r="P92" s="35"/>
      <c r="Q92" s="35"/>
      <c r="R92" s="35"/>
    </row>
  </sheetData>
  <mergeCells count="222"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P7:R11"/>
    <mergeCell ref="I8:J8"/>
    <mergeCell ref="K8:L8"/>
    <mergeCell ref="I9:J9"/>
    <mergeCell ref="K9:L9"/>
    <mergeCell ref="H5:H6"/>
    <mergeCell ref="I5:L5"/>
    <mergeCell ref="M5:N6"/>
    <mergeCell ref="O5:O6"/>
    <mergeCell ref="P5:R6"/>
    <mergeCell ref="I6:J6"/>
    <mergeCell ref="K6:L6"/>
    <mergeCell ref="I10:J10"/>
    <mergeCell ref="K10:L10"/>
    <mergeCell ref="B11:H11"/>
    <mergeCell ref="I11:J11"/>
    <mergeCell ref="K11:L11"/>
    <mergeCell ref="A7:A11"/>
    <mergeCell ref="I7:J7"/>
    <mergeCell ref="K7:L7"/>
    <mergeCell ref="K15:L15"/>
    <mergeCell ref="I16:J16"/>
    <mergeCell ref="K16:L16"/>
    <mergeCell ref="B17:H17"/>
    <mergeCell ref="I17:J17"/>
    <mergeCell ref="K17:L17"/>
    <mergeCell ref="P12:R17"/>
    <mergeCell ref="I13:J13"/>
    <mergeCell ref="K13:L13"/>
    <mergeCell ref="I14:J14"/>
    <mergeCell ref="E19:H19"/>
    <mergeCell ref="I19:J19"/>
    <mergeCell ref="K19:L19"/>
    <mergeCell ref="I21:L21"/>
    <mergeCell ref="A23:R23"/>
    <mergeCell ref="A12:A17"/>
    <mergeCell ref="I12:J12"/>
    <mergeCell ref="K12:L12"/>
    <mergeCell ref="K14:L14"/>
    <mergeCell ref="I15:J15"/>
    <mergeCell ref="B24:B25"/>
    <mergeCell ref="C24:C25"/>
    <mergeCell ref="D24:D25"/>
    <mergeCell ref="E24:E25"/>
    <mergeCell ref="A26:A29"/>
    <mergeCell ref="I26:J26"/>
    <mergeCell ref="K26:L26"/>
    <mergeCell ref="P26:R29"/>
    <mergeCell ref="I27:J27"/>
    <mergeCell ref="K27:L27"/>
    <mergeCell ref="I28:J28"/>
    <mergeCell ref="F24:F25"/>
    <mergeCell ref="G24:G25"/>
    <mergeCell ref="H24:H25"/>
    <mergeCell ref="I24:L24"/>
    <mergeCell ref="M24:N25"/>
    <mergeCell ref="O24:O25"/>
    <mergeCell ref="B29:H29"/>
    <mergeCell ref="I29:J29"/>
    <mergeCell ref="K29:L29"/>
    <mergeCell ref="E31:H31"/>
    <mergeCell ref="I31:J31"/>
    <mergeCell ref="K31:L31"/>
    <mergeCell ref="K28:L28"/>
    <mergeCell ref="P24:R25"/>
    <mergeCell ref="I25:J25"/>
    <mergeCell ref="K25:L25"/>
    <mergeCell ref="I36:L36"/>
    <mergeCell ref="M36:N37"/>
    <mergeCell ref="O36:O37"/>
    <mergeCell ref="P36:R37"/>
    <mergeCell ref="I37:J37"/>
    <mergeCell ref="K37:L37"/>
    <mergeCell ref="I33:L33"/>
    <mergeCell ref="A35:R35"/>
    <mergeCell ref="A36:A37"/>
    <mergeCell ref="B36:B37"/>
    <mergeCell ref="C36:C37"/>
    <mergeCell ref="D36:D37"/>
    <mergeCell ref="E36:E37"/>
    <mergeCell ref="F36:F37"/>
    <mergeCell ref="G36:G37"/>
    <mergeCell ref="H36:H37"/>
    <mergeCell ref="A24:A25"/>
    <mergeCell ref="I42:J42"/>
    <mergeCell ref="K42:L42"/>
    <mergeCell ref="B43:H43"/>
    <mergeCell ref="I43:J43"/>
    <mergeCell ref="K43:L43"/>
    <mergeCell ref="P42:R43"/>
    <mergeCell ref="A38:A43"/>
    <mergeCell ref="I38:J38"/>
    <mergeCell ref="K38:L38"/>
    <mergeCell ref="P38:R41"/>
    <mergeCell ref="I39:J39"/>
    <mergeCell ref="K39:L39"/>
    <mergeCell ref="I40:J40"/>
    <mergeCell ref="K40:L40"/>
    <mergeCell ref="I41:J41"/>
    <mergeCell ref="K41:L41"/>
    <mergeCell ref="E45:H45"/>
    <mergeCell ref="I45:J45"/>
    <mergeCell ref="K45:L45"/>
    <mergeCell ref="I47:L47"/>
    <mergeCell ref="A49:R49"/>
    <mergeCell ref="A50:A51"/>
    <mergeCell ref="B50:B51"/>
    <mergeCell ref="C50:C51"/>
    <mergeCell ref="D50:D51"/>
    <mergeCell ref="E50:E51"/>
    <mergeCell ref="B57:H57"/>
    <mergeCell ref="I57:J57"/>
    <mergeCell ref="K57:L57"/>
    <mergeCell ref="P50:R51"/>
    <mergeCell ref="I51:J51"/>
    <mergeCell ref="K51:L51"/>
    <mergeCell ref="A52:A57"/>
    <mergeCell ref="I52:J52"/>
    <mergeCell ref="K52:L52"/>
    <mergeCell ref="P52:R57"/>
    <mergeCell ref="I53:J53"/>
    <mergeCell ref="K53:L53"/>
    <mergeCell ref="I54:J54"/>
    <mergeCell ref="F50:F51"/>
    <mergeCell ref="G50:G51"/>
    <mergeCell ref="H50:H51"/>
    <mergeCell ref="I50:L50"/>
    <mergeCell ref="M50:N51"/>
    <mergeCell ref="O50:O51"/>
    <mergeCell ref="P58:R63"/>
    <mergeCell ref="I59:J59"/>
    <mergeCell ref="K59:L59"/>
    <mergeCell ref="I60:J60"/>
    <mergeCell ref="K60:L60"/>
    <mergeCell ref="I61:J61"/>
    <mergeCell ref="K61:L61"/>
    <mergeCell ref="K54:L54"/>
    <mergeCell ref="I55:J55"/>
    <mergeCell ref="K55:L55"/>
    <mergeCell ref="I56:J56"/>
    <mergeCell ref="K56:L56"/>
    <mergeCell ref="I62:J62"/>
    <mergeCell ref="K62:L62"/>
    <mergeCell ref="B63:H63"/>
    <mergeCell ref="I63:J63"/>
    <mergeCell ref="K63:L63"/>
    <mergeCell ref="A64:A69"/>
    <mergeCell ref="I64:J64"/>
    <mergeCell ref="K64:L64"/>
    <mergeCell ref="B69:H69"/>
    <mergeCell ref="K69:L69"/>
    <mergeCell ref="A58:A63"/>
    <mergeCell ref="I58:J58"/>
    <mergeCell ref="K58:L58"/>
    <mergeCell ref="P64:R69"/>
    <mergeCell ref="I65:J65"/>
    <mergeCell ref="K65:L65"/>
    <mergeCell ref="I66:J66"/>
    <mergeCell ref="K66:L66"/>
    <mergeCell ref="I67:J67"/>
    <mergeCell ref="K67:L67"/>
    <mergeCell ref="I68:J68"/>
    <mergeCell ref="K68:L68"/>
    <mergeCell ref="I69:J69"/>
    <mergeCell ref="E71:H71"/>
    <mergeCell ref="I71:J71"/>
    <mergeCell ref="K71:L71"/>
    <mergeCell ref="I73:L73"/>
    <mergeCell ref="A75:R75"/>
    <mergeCell ref="A76:A77"/>
    <mergeCell ref="B76:B77"/>
    <mergeCell ref="C76:C77"/>
    <mergeCell ref="D76:D77"/>
    <mergeCell ref="E76:E77"/>
    <mergeCell ref="P76:R77"/>
    <mergeCell ref="I77:J77"/>
    <mergeCell ref="K77:L77"/>
    <mergeCell ref="A78:A88"/>
    <mergeCell ref="I78:J78"/>
    <mergeCell ref="K78:L78"/>
    <mergeCell ref="P78:R88"/>
    <mergeCell ref="I79:J79"/>
    <mergeCell ref="K79:L79"/>
    <mergeCell ref="I80:J80"/>
    <mergeCell ref="F76:F77"/>
    <mergeCell ref="G76:G77"/>
    <mergeCell ref="H76:H77"/>
    <mergeCell ref="I76:L76"/>
    <mergeCell ref="M76:N77"/>
    <mergeCell ref="O76:O77"/>
    <mergeCell ref="I84:J84"/>
    <mergeCell ref="K84:L84"/>
    <mergeCell ref="I85:J85"/>
    <mergeCell ref="K85:L85"/>
    <mergeCell ref="I86:J86"/>
    <mergeCell ref="K86:L86"/>
    <mergeCell ref="K80:L80"/>
    <mergeCell ref="I81:J81"/>
    <mergeCell ref="K81:L81"/>
    <mergeCell ref="I82:J82"/>
    <mergeCell ref="K82:L82"/>
    <mergeCell ref="I83:J83"/>
    <mergeCell ref="K83:L83"/>
    <mergeCell ref="I92:L92"/>
    <mergeCell ref="I87:J87"/>
    <mergeCell ref="K87:L87"/>
    <mergeCell ref="B88:H88"/>
    <mergeCell ref="I88:J88"/>
    <mergeCell ref="K88:L88"/>
    <mergeCell ref="E90:H90"/>
    <mergeCell ref="I90:J90"/>
    <mergeCell ref="K90:L90"/>
  </mergeCells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3"/>
  <sheetViews>
    <sheetView topLeftCell="A4" zoomScale="85" zoomScaleNormal="85" workbookViewId="0">
      <selection activeCell="S56" sqref="S56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63.7773437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45934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>
        <v>0.58333333333333337</v>
      </c>
      <c r="D7" s="4">
        <v>210825</v>
      </c>
      <c r="E7" s="3" t="s">
        <v>245</v>
      </c>
      <c r="F7" s="19">
        <v>430</v>
      </c>
      <c r="G7" s="20">
        <v>0.6</v>
      </c>
      <c r="H7" s="28" t="s">
        <v>244</v>
      </c>
      <c r="I7" s="143"/>
      <c r="J7" s="144"/>
      <c r="K7" s="143">
        <v>1700</v>
      </c>
      <c r="L7" s="144"/>
      <c r="M7" s="50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"/>
      <c r="E8" s="3"/>
      <c r="F8" s="19"/>
      <c r="G8" s="20"/>
      <c r="H8" s="28"/>
      <c r="I8" s="143"/>
      <c r="J8" s="144"/>
      <c r="K8" s="143"/>
      <c r="L8" s="144"/>
      <c r="M8" s="50"/>
      <c r="N8" s="6" t="s">
        <v>13</v>
      </c>
      <c r="O8" s="21"/>
      <c r="P8" s="145"/>
      <c r="Q8" s="146"/>
      <c r="R8" s="147"/>
    </row>
    <row r="9" spans="1:18" ht="14.55" customHeight="1" x14ac:dyDescent="0.3">
      <c r="A9" s="142"/>
      <c r="B9" s="148" t="s">
        <v>0</v>
      </c>
      <c r="C9" s="149"/>
      <c r="D9" s="149"/>
      <c r="E9" s="149"/>
      <c r="F9" s="149"/>
      <c r="G9" s="149"/>
      <c r="H9" s="149"/>
      <c r="I9" s="150">
        <f>SUM(I7:J8)</f>
        <v>0</v>
      </c>
      <c r="J9" s="151"/>
      <c r="K9" s="150">
        <f>SUM(K7:L8)</f>
        <v>1700</v>
      </c>
      <c r="L9" s="151"/>
      <c r="M9" s="10">
        <f>SUM(M7:M8)</f>
        <v>0</v>
      </c>
      <c r="N9" s="11" t="s">
        <v>13</v>
      </c>
      <c r="O9" s="9"/>
      <c r="P9" s="145"/>
      <c r="Q9" s="146"/>
      <c r="R9" s="147"/>
    </row>
    <row r="10" spans="1:18" ht="14.55" customHeight="1" x14ac:dyDescent="0.3">
      <c r="A10" s="140" t="s">
        <v>21</v>
      </c>
      <c r="B10" s="5"/>
      <c r="C10" s="5"/>
      <c r="D10" s="4"/>
      <c r="E10" s="3"/>
      <c r="F10" s="19"/>
      <c r="G10" s="20"/>
      <c r="H10" s="28"/>
      <c r="I10" s="143"/>
      <c r="J10" s="144"/>
      <c r="K10" s="143"/>
      <c r="L10" s="144"/>
      <c r="M10" s="50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1"/>
      <c r="B11" s="5"/>
      <c r="C11" s="5"/>
      <c r="D11" s="4"/>
      <c r="E11" s="3"/>
      <c r="F11" s="19"/>
      <c r="G11" s="20"/>
      <c r="H11" s="28"/>
      <c r="I11" s="143"/>
      <c r="J11" s="144"/>
      <c r="K11" s="143"/>
      <c r="L11" s="144"/>
      <c r="M11" s="50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50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2"/>
      <c r="B13" s="148" t="s">
        <v>0</v>
      </c>
      <c r="C13" s="149"/>
      <c r="D13" s="149"/>
      <c r="E13" s="149"/>
      <c r="F13" s="149"/>
      <c r="G13" s="149"/>
      <c r="H13" s="149"/>
      <c r="I13" s="150">
        <f>SUM(I10:J12)</f>
        <v>0</v>
      </c>
      <c r="J13" s="151"/>
      <c r="K13" s="150">
        <f>SUM(K10:L12)</f>
        <v>0</v>
      </c>
      <c r="L13" s="151"/>
      <c r="M13" s="10">
        <f>SUM(M10:M12)</f>
        <v>0</v>
      </c>
      <c r="N13" s="11" t="s">
        <v>13</v>
      </c>
      <c r="O13" s="9"/>
      <c r="P13" s="145"/>
      <c r="Q13" s="146"/>
      <c r="R13" s="147"/>
    </row>
    <row r="14" spans="1:18" ht="14.55" customHeight="1" x14ac:dyDescent="0.3">
      <c r="D14" s="35"/>
      <c r="E14" s="1"/>
      <c r="F14" s="1"/>
      <c r="G14" s="1"/>
      <c r="H14" s="1"/>
      <c r="M14" s="35"/>
    </row>
    <row r="15" spans="1:18" x14ac:dyDescent="0.3">
      <c r="E15" s="148" t="s">
        <v>16</v>
      </c>
      <c r="F15" s="149"/>
      <c r="G15" s="149"/>
      <c r="H15" s="149"/>
      <c r="I15" s="152" t="s">
        <v>19</v>
      </c>
      <c r="J15" s="153"/>
      <c r="K15" s="152" t="s">
        <v>20</v>
      </c>
      <c r="L15" s="153"/>
    </row>
    <row r="16" spans="1:18" s="36" customFormat="1" x14ac:dyDescent="0.3">
      <c r="E16" s="7"/>
      <c r="F16" s="7"/>
      <c r="G16" s="7"/>
      <c r="H16" s="7"/>
      <c r="I16" s="22">
        <f>I9+I13</f>
        <v>0</v>
      </c>
      <c r="J16" s="14" t="s">
        <v>12</v>
      </c>
      <c r="K16" s="22">
        <f>K9+K13</f>
        <v>1700</v>
      </c>
      <c r="L16" s="15" t="s">
        <v>12</v>
      </c>
    </row>
    <row r="17" spans="1:18" ht="24.45" customHeight="1" x14ac:dyDescent="0.3">
      <c r="E17" s="13"/>
      <c r="F17" s="13"/>
      <c r="G17" s="13"/>
      <c r="H17" s="13"/>
      <c r="I17" s="154">
        <f>I16+K16</f>
        <v>1700</v>
      </c>
      <c r="J17" s="155"/>
      <c r="K17" s="155"/>
      <c r="L17" s="156"/>
    </row>
    <row r="18" spans="1:18" ht="15" customHeight="1" x14ac:dyDescent="0.3">
      <c r="D18" s="35"/>
      <c r="I18" s="35"/>
      <c r="J18" s="35"/>
      <c r="K18" s="23"/>
      <c r="L18" s="23"/>
      <c r="M18" s="23"/>
      <c r="N18" s="23"/>
    </row>
    <row r="19" spans="1:18" s="8" customFormat="1" ht="30" customHeight="1" x14ac:dyDescent="0.3">
      <c r="A19" s="133" t="s">
        <v>36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5"/>
      <c r="L19" s="135"/>
      <c r="M19" s="135"/>
      <c r="N19" s="135"/>
      <c r="O19" s="134"/>
      <c r="P19" s="134"/>
      <c r="Q19" s="134"/>
      <c r="R19" s="136"/>
    </row>
    <row r="20" spans="1:18" s="12" customFormat="1" ht="14.55" customHeight="1" x14ac:dyDescent="0.3">
      <c r="A20" s="128" t="s">
        <v>1</v>
      </c>
      <c r="B20" s="137" t="s">
        <v>2</v>
      </c>
      <c r="C20" s="137" t="s">
        <v>3</v>
      </c>
      <c r="D20" s="137" t="s">
        <v>4</v>
      </c>
      <c r="E20" s="124" t="s">
        <v>5</v>
      </c>
      <c r="F20" s="138" t="s">
        <v>14</v>
      </c>
      <c r="G20" s="138" t="s">
        <v>15</v>
      </c>
      <c r="H20" s="119" t="s">
        <v>29</v>
      </c>
      <c r="I20" s="121" t="s">
        <v>6</v>
      </c>
      <c r="J20" s="122"/>
      <c r="K20" s="122"/>
      <c r="L20" s="123"/>
      <c r="M20" s="124" t="s">
        <v>7</v>
      </c>
      <c r="N20" s="125"/>
      <c r="O20" s="128" t="s">
        <v>8</v>
      </c>
      <c r="P20" s="128" t="s">
        <v>9</v>
      </c>
      <c r="Q20" s="128"/>
      <c r="R20" s="128"/>
    </row>
    <row r="21" spans="1:18" s="12" customFormat="1" ht="13.05" customHeight="1" x14ac:dyDescent="0.3">
      <c r="A21" s="128"/>
      <c r="B21" s="137"/>
      <c r="C21" s="137"/>
      <c r="D21" s="137"/>
      <c r="E21" s="126"/>
      <c r="F21" s="139"/>
      <c r="G21" s="139"/>
      <c r="H21" s="120"/>
      <c r="I21" s="121" t="s">
        <v>19</v>
      </c>
      <c r="J21" s="123"/>
      <c r="K21" s="121" t="s">
        <v>20</v>
      </c>
      <c r="L21" s="123"/>
      <c r="M21" s="126"/>
      <c r="N21" s="127"/>
      <c r="O21" s="128"/>
      <c r="P21" s="128"/>
      <c r="Q21" s="128"/>
      <c r="R21" s="128"/>
    </row>
    <row r="22" spans="1:18" ht="14.55" customHeight="1" x14ac:dyDescent="0.3">
      <c r="A22" s="140" t="s">
        <v>37</v>
      </c>
      <c r="B22" s="5">
        <v>0.33333333333333331</v>
      </c>
      <c r="C22" s="5"/>
      <c r="D22" s="4">
        <v>210825</v>
      </c>
      <c r="E22" s="3" t="s">
        <v>242</v>
      </c>
      <c r="F22" s="19">
        <v>430</v>
      </c>
      <c r="G22" s="20">
        <v>0.6</v>
      </c>
      <c r="H22" s="28" t="s">
        <v>137</v>
      </c>
      <c r="I22" s="143"/>
      <c r="J22" s="144"/>
      <c r="K22" s="143">
        <v>859</v>
      </c>
      <c r="L22" s="144"/>
      <c r="M22" s="50"/>
      <c r="N22" s="6" t="s">
        <v>13</v>
      </c>
      <c r="O22" s="21"/>
      <c r="P22" s="157"/>
      <c r="Q22" s="158"/>
      <c r="R22" s="159"/>
    </row>
    <row r="23" spans="1:18" ht="14.55" customHeight="1" x14ac:dyDescent="0.3">
      <c r="A23" s="166"/>
      <c r="B23" s="5"/>
      <c r="C23" s="5"/>
      <c r="D23" s="4">
        <v>210825</v>
      </c>
      <c r="E23" s="3" t="s">
        <v>245</v>
      </c>
      <c r="F23" s="19">
        <v>430</v>
      </c>
      <c r="G23" s="20">
        <v>0.6</v>
      </c>
      <c r="H23" s="28" t="s">
        <v>137</v>
      </c>
      <c r="I23" s="143"/>
      <c r="J23" s="144"/>
      <c r="K23" s="143">
        <v>810</v>
      </c>
      <c r="L23" s="144"/>
      <c r="M23" s="50"/>
      <c r="N23" s="6" t="s">
        <v>13</v>
      </c>
      <c r="O23" s="21"/>
      <c r="P23" s="160"/>
      <c r="Q23" s="161"/>
      <c r="R23" s="162"/>
    </row>
    <row r="24" spans="1:18" ht="14.55" customHeight="1" x14ac:dyDescent="0.3">
      <c r="A24" s="166"/>
      <c r="B24" s="5"/>
      <c r="C24" s="5"/>
      <c r="D24" s="4">
        <v>250049</v>
      </c>
      <c r="E24" s="3" t="s">
        <v>248</v>
      </c>
      <c r="F24" s="19">
        <v>304</v>
      </c>
      <c r="G24" s="20">
        <v>0.7</v>
      </c>
      <c r="H24" s="28" t="s">
        <v>137</v>
      </c>
      <c r="I24" s="143">
        <v>788</v>
      </c>
      <c r="J24" s="144"/>
      <c r="K24" s="143"/>
      <c r="L24" s="144"/>
      <c r="M24" s="50"/>
      <c r="N24" s="6" t="s">
        <v>13</v>
      </c>
      <c r="O24" s="21"/>
      <c r="P24" s="160"/>
      <c r="Q24" s="161"/>
      <c r="R24" s="162"/>
    </row>
    <row r="25" spans="1:18" ht="14.55" customHeight="1" x14ac:dyDescent="0.3">
      <c r="A25" s="166"/>
      <c r="B25" s="5"/>
      <c r="C25" s="5">
        <v>0.875</v>
      </c>
      <c r="D25" s="4">
        <v>250049</v>
      </c>
      <c r="E25" s="3" t="s">
        <v>249</v>
      </c>
      <c r="F25" s="19">
        <v>304</v>
      </c>
      <c r="G25" s="20">
        <v>0.7</v>
      </c>
      <c r="H25" s="28" t="s">
        <v>137</v>
      </c>
      <c r="I25" s="143">
        <v>791</v>
      </c>
      <c r="J25" s="144"/>
      <c r="K25" s="143"/>
      <c r="L25" s="144"/>
      <c r="M25" s="50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50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/>
      <c r="E27" s="3"/>
      <c r="F27" s="19"/>
      <c r="G27" s="20"/>
      <c r="H27" s="28"/>
      <c r="I27" s="143"/>
      <c r="J27" s="144"/>
      <c r="K27" s="143"/>
      <c r="L27" s="144"/>
      <c r="M27" s="50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50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50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7"/>
      <c r="B30" s="148" t="s">
        <v>0</v>
      </c>
      <c r="C30" s="149"/>
      <c r="D30" s="149"/>
      <c r="E30" s="149"/>
      <c r="F30" s="149"/>
      <c r="G30" s="149"/>
      <c r="H30" s="149"/>
      <c r="I30" s="150">
        <f>SUM(I22:J29)</f>
        <v>1579</v>
      </c>
      <c r="J30" s="151"/>
      <c r="K30" s="150">
        <f>SUM(K22:L29)</f>
        <v>1669</v>
      </c>
      <c r="L30" s="151"/>
      <c r="M30" s="10">
        <f>SUM(M29:M29)</f>
        <v>0</v>
      </c>
      <c r="N30" s="11" t="s">
        <v>13</v>
      </c>
      <c r="O30" s="9"/>
      <c r="P30" s="163"/>
      <c r="Q30" s="164"/>
      <c r="R30" s="165"/>
    </row>
    <row r="31" spans="1:18" ht="14.55" customHeight="1" x14ac:dyDescent="0.3">
      <c r="D31" s="35"/>
      <c r="E31" s="1"/>
      <c r="F31" s="1"/>
      <c r="G31" s="1"/>
      <c r="H31" s="1"/>
      <c r="M31" s="35"/>
    </row>
    <row r="32" spans="1:18" x14ac:dyDescent="0.3">
      <c r="E32" s="148" t="s">
        <v>33</v>
      </c>
      <c r="F32" s="149"/>
      <c r="G32" s="149"/>
      <c r="H32" s="149"/>
      <c r="I32" s="152" t="s">
        <v>19</v>
      </c>
      <c r="J32" s="153"/>
      <c r="K32" s="152" t="s">
        <v>20</v>
      </c>
      <c r="L32" s="153"/>
    </row>
    <row r="33" spans="1:18" s="36" customFormat="1" x14ac:dyDescent="0.3">
      <c r="E33" s="7"/>
      <c r="F33" s="7"/>
      <c r="G33" s="7"/>
      <c r="H33" s="7"/>
      <c r="I33" s="22">
        <f>I30</f>
        <v>1579</v>
      </c>
      <c r="J33" s="14" t="s">
        <v>12</v>
      </c>
      <c r="K33" s="22">
        <f>K30</f>
        <v>1669</v>
      </c>
      <c r="L33" s="15" t="s">
        <v>12</v>
      </c>
    </row>
    <row r="34" spans="1:18" ht="24.45" customHeight="1" x14ac:dyDescent="0.3">
      <c r="E34" s="13"/>
      <c r="F34" s="13"/>
      <c r="G34" s="13"/>
      <c r="H34" s="13"/>
      <c r="I34" s="154">
        <f>I33+K33</f>
        <v>3248</v>
      </c>
      <c r="J34" s="155"/>
      <c r="K34" s="155"/>
      <c r="L34" s="156"/>
    </row>
    <row r="36" spans="1:18" s="8" customFormat="1" ht="30" customHeight="1" x14ac:dyDescent="0.3">
      <c r="A36" s="133" t="s">
        <v>30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5"/>
      <c r="L36" s="135"/>
      <c r="M36" s="135"/>
      <c r="N36" s="135"/>
      <c r="O36" s="134"/>
      <c r="P36" s="134"/>
      <c r="Q36" s="134"/>
      <c r="R36" s="136"/>
    </row>
    <row r="37" spans="1:18" s="12" customFormat="1" ht="14.55" customHeight="1" x14ac:dyDescent="0.3">
      <c r="A37" s="128" t="s">
        <v>1</v>
      </c>
      <c r="B37" s="137" t="s">
        <v>2</v>
      </c>
      <c r="C37" s="137" t="s">
        <v>3</v>
      </c>
      <c r="D37" s="137" t="s">
        <v>4</v>
      </c>
      <c r="E37" s="124" t="s">
        <v>5</v>
      </c>
      <c r="F37" s="138" t="s">
        <v>14</v>
      </c>
      <c r="G37" s="138" t="s">
        <v>15</v>
      </c>
      <c r="H37" s="119" t="s">
        <v>29</v>
      </c>
      <c r="I37" s="121" t="s">
        <v>6</v>
      </c>
      <c r="J37" s="122"/>
      <c r="K37" s="122"/>
      <c r="L37" s="123"/>
      <c r="M37" s="124" t="s">
        <v>7</v>
      </c>
      <c r="N37" s="125"/>
      <c r="O37" s="128" t="s">
        <v>8</v>
      </c>
      <c r="P37" s="128" t="s">
        <v>9</v>
      </c>
      <c r="Q37" s="128"/>
      <c r="R37" s="128"/>
    </row>
    <row r="38" spans="1:18" s="12" customFormat="1" ht="13.05" customHeight="1" x14ac:dyDescent="0.3">
      <c r="A38" s="128"/>
      <c r="B38" s="137"/>
      <c r="C38" s="137"/>
      <c r="D38" s="137"/>
      <c r="E38" s="126"/>
      <c r="F38" s="139"/>
      <c r="G38" s="139"/>
      <c r="H38" s="120"/>
      <c r="I38" s="121" t="s">
        <v>19</v>
      </c>
      <c r="J38" s="123"/>
      <c r="K38" s="121" t="s">
        <v>20</v>
      </c>
      <c r="L38" s="123"/>
      <c r="M38" s="126"/>
      <c r="N38" s="127"/>
      <c r="O38" s="128"/>
      <c r="P38" s="128"/>
      <c r="Q38" s="128"/>
      <c r="R38" s="128"/>
    </row>
    <row r="39" spans="1:18" ht="14.55" customHeight="1" x14ac:dyDescent="0.3">
      <c r="A39" s="140" t="s">
        <v>35</v>
      </c>
      <c r="B39" s="5">
        <v>0.33333333333333331</v>
      </c>
      <c r="C39" s="5"/>
      <c r="D39" s="4">
        <v>210825</v>
      </c>
      <c r="E39" s="3" t="s">
        <v>242</v>
      </c>
      <c r="F39" s="19">
        <v>430</v>
      </c>
      <c r="G39" s="20">
        <v>0.6</v>
      </c>
      <c r="H39" s="28" t="s">
        <v>130</v>
      </c>
      <c r="I39" s="143"/>
      <c r="J39" s="144"/>
      <c r="K39" s="143">
        <v>859</v>
      </c>
      <c r="L39" s="144"/>
      <c r="M39" s="50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>
        <v>0.875</v>
      </c>
      <c r="D40" s="4">
        <v>210825</v>
      </c>
      <c r="E40" s="3" t="s">
        <v>245</v>
      </c>
      <c r="F40" s="19">
        <v>430</v>
      </c>
      <c r="G40" s="20">
        <v>0.6</v>
      </c>
      <c r="H40" s="28" t="s">
        <v>130</v>
      </c>
      <c r="I40" s="143"/>
      <c r="J40" s="144"/>
      <c r="K40" s="143">
        <v>810</v>
      </c>
      <c r="L40" s="144"/>
      <c r="M40" s="50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50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50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6"/>
      <c r="B43" s="5"/>
      <c r="C43" s="5"/>
      <c r="D43" s="4"/>
      <c r="E43" s="3"/>
      <c r="F43" s="19"/>
      <c r="G43" s="20"/>
      <c r="H43" s="28"/>
      <c r="I43" s="143"/>
      <c r="J43" s="144"/>
      <c r="K43" s="143"/>
      <c r="L43" s="144"/>
      <c r="M43" s="50"/>
      <c r="N43" s="6" t="s">
        <v>13</v>
      </c>
      <c r="O43" s="21"/>
      <c r="P43" s="168"/>
      <c r="Q43" s="169"/>
      <c r="R43" s="170"/>
    </row>
    <row r="44" spans="1:18" ht="14.55" customHeight="1" x14ac:dyDescent="0.3">
      <c r="A44" s="167"/>
      <c r="B44" s="148" t="s">
        <v>0</v>
      </c>
      <c r="C44" s="149"/>
      <c r="D44" s="149"/>
      <c r="E44" s="149"/>
      <c r="F44" s="149"/>
      <c r="G44" s="149"/>
      <c r="H44" s="149"/>
      <c r="I44" s="150">
        <f>SUM(I39:J43)</f>
        <v>0</v>
      </c>
      <c r="J44" s="151"/>
      <c r="K44" s="150">
        <f>SUM(K39:L43)</f>
        <v>1669</v>
      </c>
      <c r="L44" s="151"/>
      <c r="M44" s="10">
        <f>SUM(M43:M43)</f>
        <v>0</v>
      </c>
      <c r="N44" s="11" t="s">
        <v>13</v>
      </c>
      <c r="O44" s="9"/>
      <c r="P44" s="168"/>
      <c r="Q44" s="169"/>
      <c r="R44" s="170"/>
    </row>
    <row r="45" spans="1:18" ht="14.55" customHeight="1" x14ac:dyDescent="0.3">
      <c r="D45" s="35"/>
      <c r="E45" s="1"/>
      <c r="F45" s="1"/>
      <c r="G45" s="1"/>
      <c r="H45" s="1"/>
      <c r="M45" s="35"/>
    </row>
    <row r="46" spans="1:18" x14ac:dyDescent="0.3">
      <c r="E46" s="148" t="s">
        <v>34</v>
      </c>
      <c r="F46" s="149"/>
      <c r="G46" s="149"/>
      <c r="H46" s="149"/>
      <c r="I46" s="152" t="s">
        <v>19</v>
      </c>
      <c r="J46" s="153"/>
      <c r="K46" s="152" t="s">
        <v>20</v>
      </c>
      <c r="L46" s="153"/>
    </row>
    <row r="47" spans="1:18" s="36" customFormat="1" x14ac:dyDescent="0.3">
      <c r="E47" s="7"/>
      <c r="F47" s="7"/>
      <c r="G47" s="7"/>
      <c r="H47" s="7"/>
      <c r="I47" s="22">
        <f>I44</f>
        <v>0</v>
      </c>
      <c r="J47" s="14" t="s">
        <v>12</v>
      </c>
      <c r="K47" s="22">
        <f>K44</f>
        <v>1669</v>
      </c>
      <c r="L47" s="15" t="s">
        <v>12</v>
      </c>
    </row>
    <row r="48" spans="1:18" s="1" customFormat="1" ht="24.45" customHeight="1" x14ac:dyDescent="0.3">
      <c r="A48" s="35"/>
      <c r="B48" s="35"/>
      <c r="C48" s="35"/>
      <c r="E48" s="13"/>
      <c r="F48" s="13"/>
      <c r="G48" s="13"/>
      <c r="H48" s="13"/>
      <c r="I48" s="154">
        <f>I47+K47</f>
        <v>1669</v>
      </c>
      <c r="J48" s="155"/>
      <c r="K48" s="155"/>
      <c r="L48" s="156"/>
      <c r="N48" s="35"/>
      <c r="O48" s="35"/>
      <c r="P48" s="35"/>
      <c r="Q48" s="35"/>
      <c r="R48" s="35"/>
    </row>
    <row r="50" spans="1:18" s="8" customFormat="1" ht="30" customHeight="1" x14ac:dyDescent="0.3">
      <c r="A50" s="133" t="s">
        <v>22</v>
      </c>
      <c r="B50" s="134"/>
      <c r="C50" s="134"/>
      <c r="D50" s="134"/>
      <c r="E50" s="134"/>
      <c r="F50" s="134"/>
      <c r="G50" s="134"/>
      <c r="H50" s="134"/>
      <c r="I50" s="134"/>
      <c r="J50" s="134"/>
      <c r="K50" s="135"/>
      <c r="L50" s="135"/>
      <c r="M50" s="135"/>
      <c r="N50" s="135"/>
      <c r="O50" s="134"/>
      <c r="P50" s="134"/>
      <c r="Q50" s="134"/>
      <c r="R50" s="136"/>
    </row>
    <row r="51" spans="1:18" s="12" customFormat="1" ht="14.55" customHeight="1" x14ac:dyDescent="0.3">
      <c r="A51" s="128" t="s">
        <v>1</v>
      </c>
      <c r="B51" s="137" t="s">
        <v>2</v>
      </c>
      <c r="C51" s="137" t="s">
        <v>3</v>
      </c>
      <c r="D51" s="137" t="s">
        <v>4</v>
      </c>
      <c r="E51" s="124" t="s">
        <v>5</v>
      </c>
      <c r="F51" s="138" t="s">
        <v>14</v>
      </c>
      <c r="G51" s="138" t="s">
        <v>15</v>
      </c>
      <c r="H51" s="119" t="s">
        <v>27</v>
      </c>
      <c r="I51" s="121" t="s">
        <v>6</v>
      </c>
      <c r="J51" s="122"/>
      <c r="K51" s="122"/>
      <c r="L51" s="123"/>
      <c r="M51" s="124" t="s">
        <v>7</v>
      </c>
      <c r="N51" s="125"/>
      <c r="O51" s="128" t="s">
        <v>8</v>
      </c>
      <c r="P51" s="128" t="s">
        <v>9</v>
      </c>
      <c r="Q51" s="128"/>
      <c r="R51" s="128"/>
    </row>
    <row r="52" spans="1:18" s="12" customFormat="1" ht="13.05" customHeight="1" x14ac:dyDescent="0.3">
      <c r="A52" s="128"/>
      <c r="B52" s="137"/>
      <c r="C52" s="137"/>
      <c r="D52" s="137"/>
      <c r="E52" s="126"/>
      <c r="F52" s="139"/>
      <c r="G52" s="139"/>
      <c r="H52" s="120"/>
      <c r="I52" s="121" t="s">
        <v>23</v>
      </c>
      <c r="J52" s="123"/>
      <c r="K52" s="121" t="s">
        <v>11</v>
      </c>
      <c r="L52" s="123"/>
      <c r="M52" s="126"/>
      <c r="N52" s="127"/>
      <c r="O52" s="128"/>
      <c r="P52" s="128"/>
      <c r="Q52" s="128"/>
      <c r="R52" s="128"/>
    </row>
    <row r="53" spans="1:18" ht="14.55" customHeight="1" x14ac:dyDescent="0.3">
      <c r="A53" s="140" t="s">
        <v>28</v>
      </c>
      <c r="B53" s="5"/>
      <c r="C53" s="5"/>
      <c r="D53" s="4"/>
      <c r="E53" s="3" t="s">
        <v>250</v>
      </c>
      <c r="F53" s="19"/>
      <c r="G53" s="20"/>
      <c r="H53" s="28"/>
      <c r="I53" s="143"/>
      <c r="J53" s="144"/>
      <c r="K53" s="143"/>
      <c r="L53" s="144"/>
      <c r="M53" s="50"/>
      <c r="N53" s="6" t="s">
        <v>13</v>
      </c>
      <c r="O53" s="21"/>
      <c r="P53" s="168" t="s">
        <v>50</v>
      </c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50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1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50"/>
      <c r="N55" s="6" t="s">
        <v>13</v>
      </c>
      <c r="O55" s="21"/>
      <c r="P55" s="168"/>
      <c r="Q55" s="169"/>
      <c r="R55" s="170"/>
    </row>
    <row r="56" spans="1:18" ht="14.55" customHeight="1" x14ac:dyDescent="0.3">
      <c r="A56" s="141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50"/>
      <c r="N56" s="6" t="s">
        <v>13</v>
      </c>
      <c r="O56" s="21"/>
      <c r="P56" s="168"/>
      <c r="Q56" s="169"/>
      <c r="R56" s="170"/>
    </row>
    <row r="57" spans="1:18" ht="14.55" customHeight="1" x14ac:dyDescent="0.3">
      <c r="A57" s="141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50"/>
      <c r="N57" s="6" t="s">
        <v>13</v>
      </c>
      <c r="O57" s="21"/>
      <c r="P57" s="168"/>
      <c r="Q57" s="169"/>
      <c r="R57" s="170"/>
    </row>
    <row r="58" spans="1:18" ht="14.55" customHeight="1" x14ac:dyDescent="0.3">
      <c r="A58" s="142"/>
      <c r="B58" s="148" t="s">
        <v>0</v>
      </c>
      <c r="C58" s="149"/>
      <c r="D58" s="149"/>
      <c r="E58" s="149"/>
      <c r="F58" s="149"/>
      <c r="G58" s="149"/>
      <c r="H58" s="171"/>
      <c r="I58" s="150">
        <f>SUM(I53:J57)</f>
        <v>0</v>
      </c>
      <c r="J58" s="151"/>
      <c r="K58" s="150">
        <f>SUM(K53:L57)</f>
        <v>0</v>
      </c>
      <c r="L58" s="151"/>
      <c r="M58" s="10">
        <f>SUM(M53:M57)</f>
        <v>0</v>
      </c>
      <c r="N58" s="11" t="s">
        <v>13</v>
      </c>
      <c r="O58" s="9"/>
      <c r="P58" s="168"/>
      <c r="Q58" s="169"/>
      <c r="R58" s="170"/>
    </row>
    <row r="59" spans="1:18" ht="14.55" customHeight="1" x14ac:dyDescent="0.3">
      <c r="A59" s="140" t="s">
        <v>24</v>
      </c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50"/>
      <c r="N59" s="6" t="s">
        <v>13</v>
      </c>
      <c r="O59" s="21"/>
      <c r="P59" s="157" t="s">
        <v>51</v>
      </c>
      <c r="Q59" s="158"/>
      <c r="R59" s="159"/>
    </row>
    <row r="60" spans="1:18" ht="14.55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50"/>
      <c r="N60" s="6" t="s">
        <v>13</v>
      </c>
      <c r="O60" s="21"/>
      <c r="P60" s="160"/>
      <c r="Q60" s="161"/>
      <c r="R60" s="162"/>
    </row>
    <row r="61" spans="1:18" ht="14.55" hidden="1" customHeight="1" x14ac:dyDescent="0.3">
      <c r="A61" s="166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50"/>
      <c r="N61" s="6" t="s">
        <v>13</v>
      </c>
      <c r="O61" s="21"/>
      <c r="P61" s="160"/>
      <c r="Q61" s="161"/>
      <c r="R61" s="162"/>
    </row>
    <row r="62" spans="1:18" ht="14.55" hidden="1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50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50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7"/>
      <c r="B64" s="148" t="s">
        <v>0</v>
      </c>
      <c r="C64" s="149"/>
      <c r="D64" s="149"/>
      <c r="E64" s="149"/>
      <c r="F64" s="149"/>
      <c r="G64" s="149"/>
      <c r="H64" s="171"/>
      <c r="I64" s="150">
        <f>SUM(I59:J63)</f>
        <v>0</v>
      </c>
      <c r="J64" s="151"/>
      <c r="K64" s="150">
        <f>SUM(K59:L63)</f>
        <v>0</v>
      </c>
      <c r="L64" s="151"/>
      <c r="M64" s="10">
        <f>SUM(M59:M63)</f>
        <v>0</v>
      </c>
      <c r="N64" s="11" t="s">
        <v>13</v>
      </c>
      <c r="O64" s="9"/>
      <c r="P64" s="163"/>
      <c r="Q64" s="164"/>
      <c r="R64" s="165"/>
    </row>
    <row r="65" spans="1:18" ht="14.55" customHeight="1" x14ac:dyDescent="0.3">
      <c r="A65" s="140" t="s">
        <v>25</v>
      </c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50"/>
      <c r="N65" s="6" t="s">
        <v>13</v>
      </c>
      <c r="O65" s="21"/>
      <c r="P65" s="145" t="s">
        <v>53</v>
      </c>
      <c r="Q65" s="169"/>
      <c r="R65" s="170"/>
    </row>
    <row r="66" spans="1:18" ht="14.55" hidden="1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50"/>
      <c r="N66" s="6" t="s">
        <v>13</v>
      </c>
      <c r="O66" s="21"/>
      <c r="P66" s="168"/>
      <c r="Q66" s="169"/>
      <c r="R66" s="170"/>
    </row>
    <row r="67" spans="1:18" ht="14.55" hidden="1" customHeight="1" x14ac:dyDescent="0.3">
      <c r="A67" s="141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50"/>
      <c r="N67" s="6" t="s">
        <v>13</v>
      </c>
      <c r="O67" s="21"/>
      <c r="P67" s="168"/>
      <c r="Q67" s="169"/>
      <c r="R67" s="170"/>
    </row>
    <row r="68" spans="1:18" ht="14.55" customHeight="1" x14ac:dyDescent="0.3">
      <c r="A68" s="141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50"/>
      <c r="N68" s="6" t="s">
        <v>13</v>
      </c>
      <c r="O68" s="21"/>
      <c r="P68" s="168"/>
      <c r="Q68" s="169"/>
      <c r="R68" s="170"/>
    </row>
    <row r="69" spans="1:18" ht="14.55" customHeight="1" x14ac:dyDescent="0.3">
      <c r="A69" s="141"/>
      <c r="B69" s="5"/>
      <c r="C69" s="5"/>
      <c r="D69" s="4"/>
      <c r="E69" s="3"/>
      <c r="F69" s="19"/>
      <c r="G69" s="20"/>
      <c r="H69" s="28"/>
      <c r="I69" s="143"/>
      <c r="J69" s="144"/>
      <c r="K69" s="143"/>
      <c r="L69" s="144"/>
      <c r="M69" s="50"/>
      <c r="N69" s="6" t="s">
        <v>13</v>
      </c>
      <c r="O69" s="21"/>
      <c r="P69" s="168"/>
      <c r="Q69" s="169"/>
      <c r="R69" s="170"/>
    </row>
    <row r="70" spans="1:18" ht="14.55" customHeight="1" x14ac:dyDescent="0.3">
      <c r="A70" s="142"/>
      <c r="B70" s="148" t="s">
        <v>0</v>
      </c>
      <c r="C70" s="149"/>
      <c r="D70" s="149"/>
      <c r="E70" s="149"/>
      <c r="F70" s="149"/>
      <c r="G70" s="149"/>
      <c r="H70" s="149"/>
      <c r="I70" s="150">
        <f>SUM(I65:J69)</f>
        <v>0</v>
      </c>
      <c r="J70" s="151"/>
      <c r="K70" s="150">
        <f>SUM(K65:L69)</f>
        <v>0</v>
      </c>
      <c r="L70" s="151"/>
      <c r="M70" s="10">
        <f>SUM(M65:M69)</f>
        <v>0</v>
      </c>
      <c r="N70" s="11" t="s">
        <v>13</v>
      </c>
      <c r="O70" s="9"/>
      <c r="P70" s="168"/>
      <c r="Q70" s="169"/>
      <c r="R70" s="170"/>
    </row>
    <row r="72" spans="1:18" x14ac:dyDescent="0.3">
      <c r="E72" s="148" t="s">
        <v>26</v>
      </c>
      <c r="F72" s="149"/>
      <c r="G72" s="149"/>
      <c r="H72" s="149"/>
      <c r="I72" s="152" t="s">
        <v>23</v>
      </c>
      <c r="J72" s="153"/>
      <c r="K72" s="152" t="s">
        <v>11</v>
      </c>
      <c r="L72" s="153"/>
    </row>
    <row r="73" spans="1:18" s="36" customFormat="1" x14ac:dyDescent="0.3">
      <c r="E73" s="7"/>
      <c r="F73" s="7"/>
      <c r="G73" s="7"/>
      <c r="H73" s="7"/>
      <c r="I73" s="22">
        <f>I64+I70</f>
        <v>0</v>
      </c>
      <c r="J73" s="14" t="s">
        <v>12</v>
      </c>
      <c r="K73" s="22">
        <f>K64+K70</f>
        <v>0</v>
      </c>
      <c r="L73" s="15" t="s">
        <v>12</v>
      </c>
    </row>
    <row r="74" spans="1:18" ht="24.45" customHeight="1" x14ac:dyDescent="0.3">
      <c r="E74" s="13"/>
      <c r="F74" s="13"/>
      <c r="G74" s="13"/>
      <c r="H74" s="13"/>
      <c r="I74" s="154">
        <f>I73+K73</f>
        <v>0</v>
      </c>
      <c r="J74" s="155"/>
      <c r="K74" s="155"/>
      <c r="L74" s="156"/>
    </row>
    <row r="76" spans="1:18" s="8" customFormat="1" ht="30" customHeight="1" x14ac:dyDescent="0.3">
      <c r="A76" s="133" t="s">
        <v>131</v>
      </c>
      <c r="B76" s="134"/>
      <c r="C76" s="134"/>
      <c r="D76" s="134"/>
      <c r="E76" s="134"/>
      <c r="F76" s="134"/>
      <c r="G76" s="134"/>
      <c r="H76" s="134"/>
      <c r="I76" s="134"/>
      <c r="J76" s="134"/>
      <c r="K76" s="135"/>
      <c r="L76" s="135"/>
      <c r="M76" s="135"/>
      <c r="N76" s="135"/>
      <c r="O76" s="134"/>
      <c r="P76" s="134"/>
      <c r="Q76" s="134"/>
      <c r="R76" s="136"/>
    </row>
    <row r="77" spans="1:18" s="12" customFormat="1" ht="14.55" customHeight="1" x14ac:dyDescent="0.3">
      <c r="A77" s="128" t="s">
        <v>1</v>
      </c>
      <c r="B77" s="137" t="s">
        <v>2</v>
      </c>
      <c r="C77" s="137" t="s">
        <v>3</v>
      </c>
      <c r="D77" s="137" t="s">
        <v>4</v>
      </c>
      <c r="E77" s="124" t="s">
        <v>5</v>
      </c>
      <c r="F77" s="138" t="s">
        <v>14</v>
      </c>
      <c r="G77" s="138" t="s">
        <v>15</v>
      </c>
      <c r="H77" s="119" t="s">
        <v>27</v>
      </c>
      <c r="I77" s="121" t="s">
        <v>6</v>
      </c>
      <c r="J77" s="122"/>
      <c r="K77" s="122"/>
      <c r="L77" s="123"/>
      <c r="M77" s="124" t="s">
        <v>7</v>
      </c>
      <c r="N77" s="125"/>
      <c r="O77" s="128" t="s">
        <v>8</v>
      </c>
      <c r="P77" s="128" t="s">
        <v>9</v>
      </c>
      <c r="Q77" s="128"/>
      <c r="R77" s="128"/>
    </row>
    <row r="78" spans="1:18" s="12" customFormat="1" ht="13.05" customHeight="1" x14ac:dyDescent="0.3">
      <c r="A78" s="128"/>
      <c r="B78" s="137"/>
      <c r="C78" s="137"/>
      <c r="D78" s="137"/>
      <c r="E78" s="126"/>
      <c r="F78" s="139"/>
      <c r="G78" s="139"/>
      <c r="H78" s="120"/>
      <c r="I78" s="121" t="s">
        <v>23</v>
      </c>
      <c r="J78" s="123"/>
      <c r="K78" s="121" t="s">
        <v>11</v>
      </c>
      <c r="L78" s="123"/>
      <c r="M78" s="126"/>
      <c r="N78" s="127"/>
      <c r="O78" s="128"/>
      <c r="P78" s="128"/>
      <c r="Q78" s="128"/>
      <c r="R78" s="128"/>
    </row>
    <row r="79" spans="1:18" ht="14.55" customHeight="1" x14ac:dyDescent="0.3">
      <c r="A79" s="140" t="s">
        <v>132</v>
      </c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50"/>
      <c r="N79" s="6" t="s">
        <v>13</v>
      </c>
      <c r="O79" s="21"/>
      <c r="P79" s="157"/>
      <c r="Q79" s="158"/>
      <c r="R79" s="159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50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50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50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50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50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50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50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50"/>
      <c r="N87" s="6" t="s">
        <v>13</v>
      </c>
      <c r="O87" s="21"/>
      <c r="P87" s="160"/>
      <c r="Q87" s="161"/>
      <c r="R87" s="162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50"/>
      <c r="N88" s="6" t="s">
        <v>13</v>
      </c>
      <c r="O88" s="21"/>
      <c r="P88" s="160"/>
      <c r="Q88" s="161"/>
      <c r="R88" s="162"/>
    </row>
    <row r="89" spans="1:18" ht="14.55" customHeight="1" x14ac:dyDescent="0.3">
      <c r="A89" s="167"/>
      <c r="B89" s="148" t="s">
        <v>0</v>
      </c>
      <c r="C89" s="149"/>
      <c r="D89" s="149"/>
      <c r="E89" s="149"/>
      <c r="F89" s="149"/>
      <c r="G89" s="149"/>
      <c r="H89" s="149"/>
      <c r="I89" s="150">
        <f ca="1">SUM(I79:J89)</f>
        <v>0</v>
      </c>
      <c r="J89" s="151"/>
      <c r="K89" s="150">
        <f ca="1">SUM(K79:L89)</f>
        <v>0</v>
      </c>
      <c r="L89" s="151"/>
      <c r="M89" s="10">
        <f>SUM(M84:M88)</f>
        <v>0</v>
      </c>
      <c r="N89" s="11" t="s">
        <v>13</v>
      </c>
      <c r="O89" s="9"/>
      <c r="P89" s="163"/>
      <c r="Q89" s="164"/>
      <c r="R89" s="165"/>
    </row>
    <row r="91" spans="1:18" x14ac:dyDescent="0.3">
      <c r="E91" s="148" t="s">
        <v>26</v>
      </c>
      <c r="F91" s="149"/>
      <c r="G91" s="149"/>
      <c r="H91" s="149"/>
      <c r="I91" s="152" t="s">
        <v>23</v>
      </c>
      <c r="J91" s="153"/>
      <c r="K91" s="172" t="s">
        <v>11</v>
      </c>
      <c r="L91" s="153"/>
    </row>
    <row r="92" spans="1:18" s="36" customFormat="1" x14ac:dyDescent="0.3">
      <c r="E92" s="7"/>
      <c r="F92" s="7"/>
      <c r="G92" s="7"/>
      <c r="H92" s="7"/>
      <c r="I92" s="22">
        <f ca="1">I89</f>
        <v>0</v>
      </c>
      <c r="J92" s="14" t="s">
        <v>12</v>
      </c>
      <c r="K92" s="22">
        <f ca="1">K89</f>
        <v>0</v>
      </c>
      <c r="L92" s="15" t="s">
        <v>12</v>
      </c>
    </row>
    <row r="93" spans="1:18" ht="24.45" customHeight="1" x14ac:dyDescent="0.3">
      <c r="E93" s="13"/>
      <c r="F93" s="13"/>
      <c r="G93" s="13"/>
      <c r="H93" s="13"/>
      <c r="I93" s="154">
        <f ca="1">I92+K92</f>
        <v>0</v>
      </c>
      <c r="J93" s="155"/>
      <c r="K93" s="155"/>
      <c r="L93" s="156"/>
    </row>
  </sheetData>
  <mergeCells count="224"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P7:R9"/>
    <mergeCell ref="I8:J8"/>
    <mergeCell ref="K8:L8"/>
    <mergeCell ref="H5:H6"/>
    <mergeCell ref="I5:L5"/>
    <mergeCell ref="M5:N6"/>
    <mergeCell ref="O5:O6"/>
    <mergeCell ref="P5:R6"/>
    <mergeCell ref="I6:J6"/>
    <mergeCell ref="K6:L6"/>
    <mergeCell ref="A7:A9"/>
    <mergeCell ref="I7:J7"/>
    <mergeCell ref="K7:L7"/>
    <mergeCell ref="B9:H9"/>
    <mergeCell ref="I9:J9"/>
    <mergeCell ref="K9:L9"/>
    <mergeCell ref="A10:A13"/>
    <mergeCell ref="I10:J10"/>
    <mergeCell ref="K10:L10"/>
    <mergeCell ref="I11:J11"/>
    <mergeCell ref="K11:L11"/>
    <mergeCell ref="I12:J12"/>
    <mergeCell ref="K12:L12"/>
    <mergeCell ref="B13:H13"/>
    <mergeCell ref="I13:J13"/>
    <mergeCell ref="K13:L13"/>
    <mergeCell ref="P10:R13"/>
    <mergeCell ref="E15:H15"/>
    <mergeCell ref="I15:J15"/>
    <mergeCell ref="K15:L15"/>
    <mergeCell ref="I17:L17"/>
    <mergeCell ref="A50:R50"/>
    <mergeCell ref="A51:A52"/>
    <mergeCell ref="B51:B52"/>
    <mergeCell ref="C51:C52"/>
    <mergeCell ref="D51:D52"/>
    <mergeCell ref="E51:E52"/>
    <mergeCell ref="P51:R52"/>
    <mergeCell ref="I52:J52"/>
    <mergeCell ref="K52:L52"/>
    <mergeCell ref="P22:R30"/>
    <mergeCell ref="I23:J23"/>
    <mergeCell ref="K23:L23"/>
    <mergeCell ref="I24:J24"/>
    <mergeCell ref="F20:F21"/>
    <mergeCell ref="G20:G21"/>
    <mergeCell ref="H20:H21"/>
    <mergeCell ref="I20:L20"/>
    <mergeCell ref="M20:N21"/>
    <mergeCell ref="O20:O21"/>
    <mergeCell ref="A53:A58"/>
    <mergeCell ref="I53:J53"/>
    <mergeCell ref="K53:L53"/>
    <mergeCell ref="P53:R58"/>
    <mergeCell ref="I54:J54"/>
    <mergeCell ref="K54:L54"/>
    <mergeCell ref="I55:J55"/>
    <mergeCell ref="F51:F52"/>
    <mergeCell ref="G51:G52"/>
    <mergeCell ref="H51:H52"/>
    <mergeCell ref="I51:L51"/>
    <mergeCell ref="M51:N52"/>
    <mergeCell ref="O51:O52"/>
    <mergeCell ref="P59:R64"/>
    <mergeCell ref="I60:J60"/>
    <mergeCell ref="K60:L60"/>
    <mergeCell ref="I61:J61"/>
    <mergeCell ref="K61:L61"/>
    <mergeCell ref="I62:J62"/>
    <mergeCell ref="K62:L62"/>
    <mergeCell ref="K55:L55"/>
    <mergeCell ref="I56:J56"/>
    <mergeCell ref="K56:L56"/>
    <mergeCell ref="I57:J57"/>
    <mergeCell ref="K57:L57"/>
    <mergeCell ref="K64:L64"/>
    <mergeCell ref="A65:A70"/>
    <mergeCell ref="I65:J65"/>
    <mergeCell ref="K65:L65"/>
    <mergeCell ref="B70:H70"/>
    <mergeCell ref="K70:L70"/>
    <mergeCell ref="A59:A64"/>
    <mergeCell ref="I59:J59"/>
    <mergeCell ref="K59:L59"/>
    <mergeCell ref="E72:H72"/>
    <mergeCell ref="I72:J72"/>
    <mergeCell ref="K72:L72"/>
    <mergeCell ref="I74:L74"/>
    <mergeCell ref="A19:R19"/>
    <mergeCell ref="A20:A21"/>
    <mergeCell ref="B20:B21"/>
    <mergeCell ref="C20:C21"/>
    <mergeCell ref="D20:D21"/>
    <mergeCell ref="E20:E21"/>
    <mergeCell ref="P65:R70"/>
    <mergeCell ref="I66:J66"/>
    <mergeCell ref="K66:L66"/>
    <mergeCell ref="I67:J67"/>
    <mergeCell ref="K67:L67"/>
    <mergeCell ref="I68:J68"/>
    <mergeCell ref="K68:L68"/>
    <mergeCell ref="I69:J69"/>
    <mergeCell ref="K69:L69"/>
    <mergeCell ref="I70:J70"/>
    <mergeCell ref="I63:J63"/>
    <mergeCell ref="K63:L63"/>
    <mergeCell ref="B64:H64"/>
    <mergeCell ref="I64:J64"/>
    <mergeCell ref="A22:A30"/>
    <mergeCell ref="I22:J22"/>
    <mergeCell ref="K22:L22"/>
    <mergeCell ref="P20:R21"/>
    <mergeCell ref="I21:J21"/>
    <mergeCell ref="K21:L21"/>
    <mergeCell ref="I28:J28"/>
    <mergeCell ref="K28:L28"/>
    <mergeCell ref="B30:H30"/>
    <mergeCell ref="I30:J30"/>
    <mergeCell ref="K30:L30"/>
    <mergeCell ref="E32:H32"/>
    <mergeCell ref="I32:J32"/>
    <mergeCell ref="K32:L32"/>
    <mergeCell ref="I29:J29"/>
    <mergeCell ref="K29:L29"/>
    <mergeCell ref="K24:L24"/>
    <mergeCell ref="I25:J25"/>
    <mergeCell ref="K25:L25"/>
    <mergeCell ref="I26:J26"/>
    <mergeCell ref="K26:L26"/>
    <mergeCell ref="I27:J27"/>
    <mergeCell ref="K27:L27"/>
    <mergeCell ref="I38:J38"/>
    <mergeCell ref="K38:L38"/>
    <mergeCell ref="I34:L34"/>
    <mergeCell ref="A36:R36"/>
    <mergeCell ref="A37:A38"/>
    <mergeCell ref="B37:B38"/>
    <mergeCell ref="C37:C38"/>
    <mergeCell ref="D37:D38"/>
    <mergeCell ref="E37:E38"/>
    <mergeCell ref="F37:F38"/>
    <mergeCell ref="G37:G38"/>
    <mergeCell ref="H37:H38"/>
    <mergeCell ref="I37:L37"/>
    <mergeCell ref="M37:N38"/>
    <mergeCell ref="O37:O38"/>
    <mergeCell ref="P37:R38"/>
    <mergeCell ref="A39:A44"/>
    <mergeCell ref="I39:J39"/>
    <mergeCell ref="K39:L39"/>
    <mergeCell ref="P39:R42"/>
    <mergeCell ref="I40:J40"/>
    <mergeCell ref="K40:L40"/>
    <mergeCell ref="I41:J41"/>
    <mergeCell ref="K41:L41"/>
    <mergeCell ref="I42:J42"/>
    <mergeCell ref="K42:L42"/>
    <mergeCell ref="P43:R44"/>
    <mergeCell ref="E46:H46"/>
    <mergeCell ref="I46:J46"/>
    <mergeCell ref="K46:L46"/>
    <mergeCell ref="I48:L48"/>
    <mergeCell ref="K58:L58"/>
    <mergeCell ref="I58:J58"/>
    <mergeCell ref="B58:H58"/>
    <mergeCell ref="I43:J43"/>
    <mergeCell ref="K43:L43"/>
    <mergeCell ref="B44:H44"/>
    <mergeCell ref="I44:J44"/>
    <mergeCell ref="K44:L44"/>
    <mergeCell ref="A76:R76"/>
    <mergeCell ref="A77:A78"/>
    <mergeCell ref="B77:B78"/>
    <mergeCell ref="C77:C78"/>
    <mergeCell ref="D77:D78"/>
    <mergeCell ref="E77:E78"/>
    <mergeCell ref="F77:F78"/>
    <mergeCell ref="G77:G78"/>
    <mergeCell ref="H77:H78"/>
    <mergeCell ref="I77:L77"/>
    <mergeCell ref="I83:J83"/>
    <mergeCell ref="K83:L83"/>
    <mergeCell ref="M77:N78"/>
    <mergeCell ref="O77:O78"/>
    <mergeCell ref="P77:R78"/>
    <mergeCell ref="I78:J78"/>
    <mergeCell ref="K78:L78"/>
    <mergeCell ref="I79:J79"/>
    <mergeCell ref="K79:L79"/>
    <mergeCell ref="I80:J80"/>
    <mergeCell ref="I93:L93"/>
    <mergeCell ref="P79:R89"/>
    <mergeCell ref="A79:A89"/>
    <mergeCell ref="I88:J88"/>
    <mergeCell ref="K88:L88"/>
    <mergeCell ref="B89:H89"/>
    <mergeCell ref="I89:J89"/>
    <mergeCell ref="K89:L89"/>
    <mergeCell ref="E91:H91"/>
    <mergeCell ref="I91:J91"/>
    <mergeCell ref="K91:L91"/>
    <mergeCell ref="I84:J84"/>
    <mergeCell ref="K84:L84"/>
    <mergeCell ref="I85:J85"/>
    <mergeCell ref="K85:L85"/>
    <mergeCell ref="I86:J86"/>
    <mergeCell ref="K86:L86"/>
    <mergeCell ref="I87:J87"/>
    <mergeCell ref="K87:L87"/>
    <mergeCell ref="K80:L80"/>
    <mergeCell ref="I81:J81"/>
    <mergeCell ref="K81:L81"/>
    <mergeCell ref="I82:J82"/>
    <mergeCell ref="K82:L82"/>
  </mergeCells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0"/>
  <sheetViews>
    <sheetView topLeftCell="A16" zoomScale="85" zoomScaleNormal="85" workbookViewId="0">
      <selection activeCell="H31" sqref="H31:H32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63.7773437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45936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>
        <v>0.70833333333333337</v>
      </c>
      <c r="D7" s="4">
        <v>210825</v>
      </c>
      <c r="E7" s="3" t="s">
        <v>245</v>
      </c>
      <c r="F7" s="19">
        <v>430</v>
      </c>
      <c r="G7" s="20">
        <v>0.6</v>
      </c>
      <c r="H7" s="28" t="s">
        <v>244</v>
      </c>
      <c r="I7" s="143"/>
      <c r="J7" s="144"/>
      <c r="K7" s="143">
        <v>931</v>
      </c>
      <c r="L7" s="144"/>
      <c r="M7" s="65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"/>
      <c r="E8" s="3"/>
      <c r="F8" s="19"/>
      <c r="G8" s="20"/>
      <c r="H8" s="28"/>
      <c r="I8" s="143"/>
      <c r="J8" s="144"/>
      <c r="K8" s="143"/>
      <c r="L8" s="144"/>
      <c r="M8" s="65"/>
      <c r="N8" s="6" t="s">
        <v>13</v>
      </c>
      <c r="O8" s="21"/>
      <c r="P8" s="145"/>
      <c r="Q8" s="146"/>
      <c r="R8" s="147"/>
    </row>
    <row r="9" spans="1:18" ht="14.55" customHeight="1" x14ac:dyDescent="0.3">
      <c r="A9" s="142"/>
      <c r="B9" s="148" t="s">
        <v>0</v>
      </c>
      <c r="C9" s="149"/>
      <c r="D9" s="149"/>
      <c r="E9" s="149"/>
      <c r="F9" s="149"/>
      <c r="G9" s="149"/>
      <c r="H9" s="149"/>
      <c r="I9" s="150">
        <f>SUM(I7:J8)</f>
        <v>0</v>
      </c>
      <c r="J9" s="151"/>
      <c r="K9" s="150">
        <f>SUM(K7:L8)</f>
        <v>931</v>
      </c>
      <c r="L9" s="151"/>
      <c r="M9" s="10">
        <f>SUM(M7:M8)</f>
        <v>0</v>
      </c>
      <c r="N9" s="11" t="s">
        <v>13</v>
      </c>
      <c r="O9" s="9"/>
      <c r="P9" s="145"/>
      <c r="Q9" s="146"/>
      <c r="R9" s="147"/>
    </row>
    <row r="10" spans="1:18" ht="14.55" customHeight="1" x14ac:dyDescent="0.3">
      <c r="A10" s="140" t="s">
        <v>21</v>
      </c>
      <c r="B10" s="5">
        <v>0.33333333333333331</v>
      </c>
      <c r="C10" s="5"/>
      <c r="D10" s="44">
        <v>250041</v>
      </c>
      <c r="E10" s="3" t="s">
        <v>251</v>
      </c>
      <c r="F10" s="19">
        <v>304</v>
      </c>
      <c r="G10" s="20">
        <v>0.7</v>
      </c>
      <c r="H10" s="28" t="s">
        <v>252</v>
      </c>
      <c r="I10" s="143">
        <v>1000</v>
      </c>
      <c r="J10" s="144"/>
      <c r="K10" s="143"/>
      <c r="L10" s="144"/>
      <c r="M10" s="65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1"/>
      <c r="B11" s="5"/>
      <c r="C11" s="5">
        <v>0.70833333333333337</v>
      </c>
      <c r="D11" s="44">
        <v>250041</v>
      </c>
      <c r="E11" s="3" t="s">
        <v>253</v>
      </c>
      <c r="F11" s="19">
        <v>304</v>
      </c>
      <c r="G11" s="20">
        <v>0.7</v>
      </c>
      <c r="H11" s="28" t="s">
        <v>252</v>
      </c>
      <c r="I11" s="143">
        <v>300</v>
      </c>
      <c r="J11" s="144"/>
      <c r="K11" s="143"/>
      <c r="L11" s="144"/>
      <c r="M11" s="65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"/>
      <c r="E12" s="3"/>
      <c r="F12" s="19"/>
      <c r="G12" s="20"/>
      <c r="H12" s="28"/>
      <c r="I12" s="143"/>
      <c r="J12" s="144"/>
      <c r="K12" s="143"/>
      <c r="L12" s="144"/>
      <c r="M12" s="65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2"/>
      <c r="B13" s="148" t="s">
        <v>0</v>
      </c>
      <c r="C13" s="149"/>
      <c r="D13" s="149"/>
      <c r="E13" s="149"/>
      <c r="F13" s="149"/>
      <c r="G13" s="149"/>
      <c r="H13" s="149"/>
      <c r="I13" s="150">
        <f>SUM(I10:J12)</f>
        <v>1300</v>
      </c>
      <c r="J13" s="151"/>
      <c r="K13" s="150">
        <f>SUM(K10:L12)</f>
        <v>0</v>
      </c>
      <c r="L13" s="151"/>
      <c r="M13" s="10">
        <f>SUM(M10:M12)</f>
        <v>0</v>
      </c>
      <c r="N13" s="11" t="s">
        <v>13</v>
      </c>
      <c r="O13" s="9"/>
      <c r="P13" s="145"/>
      <c r="Q13" s="146"/>
      <c r="R13" s="147"/>
    </row>
    <row r="14" spans="1:18" ht="14.55" customHeight="1" x14ac:dyDescent="0.3">
      <c r="D14" s="35"/>
      <c r="E14" s="1"/>
      <c r="F14" s="1"/>
      <c r="G14" s="1"/>
      <c r="H14" s="1"/>
      <c r="M14" s="35"/>
    </row>
    <row r="15" spans="1:18" x14ac:dyDescent="0.3">
      <c r="E15" s="148" t="s">
        <v>16</v>
      </c>
      <c r="F15" s="149"/>
      <c r="G15" s="149"/>
      <c r="H15" s="149"/>
      <c r="I15" s="152" t="s">
        <v>19</v>
      </c>
      <c r="J15" s="153"/>
      <c r="K15" s="152" t="s">
        <v>20</v>
      </c>
      <c r="L15" s="153"/>
    </row>
    <row r="16" spans="1:18" s="36" customFormat="1" x14ac:dyDescent="0.3">
      <c r="E16" s="7"/>
      <c r="F16" s="7"/>
      <c r="G16" s="7"/>
      <c r="H16" s="7"/>
      <c r="I16" s="22">
        <f>I9+I13</f>
        <v>1300</v>
      </c>
      <c r="J16" s="14" t="s">
        <v>12</v>
      </c>
      <c r="K16" s="22">
        <f>K9+K13</f>
        <v>931</v>
      </c>
      <c r="L16" s="15" t="s">
        <v>12</v>
      </c>
    </row>
    <row r="17" spans="1:18" ht="24.45" customHeight="1" x14ac:dyDescent="0.3">
      <c r="E17" s="13"/>
      <c r="F17" s="13"/>
      <c r="G17" s="13"/>
      <c r="H17" s="13"/>
      <c r="I17" s="154">
        <f>I16+K16</f>
        <v>2231</v>
      </c>
      <c r="J17" s="155"/>
      <c r="K17" s="155"/>
      <c r="L17" s="156"/>
    </row>
    <row r="18" spans="1:18" ht="15" customHeight="1" x14ac:dyDescent="0.3">
      <c r="D18" s="35"/>
      <c r="I18" s="35"/>
      <c r="J18" s="35"/>
      <c r="K18" s="23"/>
      <c r="L18" s="23"/>
      <c r="M18" s="23"/>
      <c r="N18" s="23"/>
    </row>
    <row r="19" spans="1:18" s="8" customFormat="1" ht="30" customHeight="1" x14ac:dyDescent="0.3">
      <c r="A19" s="133" t="s">
        <v>36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5"/>
      <c r="L19" s="135"/>
      <c r="M19" s="135"/>
      <c r="N19" s="135"/>
      <c r="O19" s="134"/>
      <c r="P19" s="134"/>
      <c r="Q19" s="134"/>
      <c r="R19" s="136"/>
    </row>
    <row r="20" spans="1:18" s="12" customFormat="1" ht="14.55" customHeight="1" x14ac:dyDescent="0.3">
      <c r="A20" s="128" t="s">
        <v>1</v>
      </c>
      <c r="B20" s="137" t="s">
        <v>2</v>
      </c>
      <c r="C20" s="137" t="s">
        <v>3</v>
      </c>
      <c r="D20" s="137" t="s">
        <v>4</v>
      </c>
      <c r="E20" s="124" t="s">
        <v>5</v>
      </c>
      <c r="F20" s="138" t="s">
        <v>14</v>
      </c>
      <c r="G20" s="138" t="s">
        <v>15</v>
      </c>
      <c r="H20" s="119" t="s">
        <v>29</v>
      </c>
      <c r="I20" s="121" t="s">
        <v>6</v>
      </c>
      <c r="J20" s="122"/>
      <c r="K20" s="122"/>
      <c r="L20" s="123"/>
      <c r="M20" s="124" t="s">
        <v>7</v>
      </c>
      <c r="N20" s="125"/>
      <c r="O20" s="128" t="s">
        <v>8</v>
      </c>
      <c r="P20" s="128" t="s">
        <v>9</v>
      </c>
      <c r="Q20" s="128"/>
      <c r="R20" s="128"/>
    </row>
    <row r="21" spans="1:18" s="12" customFormat="1" ht="13.05" customHeight="1" x14ac:dyDescent="0.3">
      <c r="A21" s="128"/>
      <c r="B21" s="137"/>
      <c r="C21" s="137"/>
      <c r="D21" s="137"/>
      <c r="E21" s="126"/>
      <c r="F21" s="139"/>
      <c r="G21" s="139"/>
      <c r="H21" s="120"/>
      <c r="I21" s="121" t="s">
        <v>19</v>
      </c>
      <c r="J21" s="123"/>
      <c r="K21" s="121" t="s">
        <v>20</v>
      </c>
      <c r="L21" s="123"/>
      <c r="M21" s="126"/>
      <c r="N21" s="127"/>
      <c r="O21" s="128"/>
      <c r="P21" s="128"/>
      <c r="Q21" s="128"/>
      <c r="R21" s="128"/>
    </row>
    <row r="22" spans="1:18" ht="14.55" customHeight="1" x14ac:dyDescent="0.3">
      <c r="A22" s="140" t="s">
        <v>37</v>
      </c>
      <c r="B22" s="5">
        <v>0.33333333333333331</v>
      </c>
      <c r="C22" s="5"/>
      <c r="D22" s="4">
        <v>210825</v>
      </c>
      <c r="E22" s="3" t="s">
        <v>245</v>
      </c>
      <c r="F22" s="19">
        <v>430</v>
      </c>
      <c r="G22" s="20">
        <v>0.6</v>
      </c>
      <c r="H22" s="28" t="s">
        <v>137</v>
      </c>
      <c r="I22" s="143"/>
      <c r="J22" s="144"/>
      <c r="K22" s="143">
        <v>1506</v>
      </c>
      <c r="L22" s="144"/>
      <c r="M22" s="65"/>
      <c r="N22" s="6" t="s">
        <v>13</v>
      </c>
      <c r="O22" s="21"/>
      <c r="P22" s="157"/>
      <c r="Q22" s="158"/>
      <c r="R22" s="159"/>
    </row>
    <row r="23" spans="1:18" ht="14.55" customHeight="1" x14ac:dyDescent="0.3">
      <c r="A23" s="166"/>
      <c r="B23" s="5"/>
      <c r="C23" s="5"/>
      <c r="D23" s="4">
        <v>250069</v>
      </c>
      <c r="E23" s="3" t="s">
        <v>214</v>
      </c>
      <c r="F23" s="19">
        <v>304</v>
      </c>
      <c r="G23" s="20">
        <v>0.6</v>
      </c>
      <c r="H23" s="28" t="s">
        <v>137</v>
      </c>
      <c r="I23" s="143"/>
      <c r="J23" s="144"/>
      <c r="K23" s="143">
        <v>512</v>
      </c>
      <c r="L23" s="144"/>
      <c r="M23" s="65"/>
      <c r="N23" s="6" t="s">
        <v>13</v>
      </c>
      <c r="O23" s="21"/>
      <c r="P23" s="160"/>
      <c r="Q23" s="161"/>
      <c r="R23" s="162"/>
    </row>
    <row r="24" spans="1:18" ht="14.55" customHeight="1" x14ac:dyDescent="0.3">
      <c r="A24" s="166"/>
      <c r="B24" s="5"/>
      <c r="C24" s="5"/>
      <c r="D24" s="4">
        <v>250068</v>
      </c>
      <c r="E24" s="3" t="s">
        <v>218</v>
      </c>
      <c r="F24" s="19">
        <v>304</v>
      </c>
      <c r="G24" s="20">
        <v>0.6</v>
      </c>
      <c r="H24" s="28" t="s">
        <v>137</v>
      </c>
      <c r="I24" s="143"/>
      <c r="J24" s="144"/>
      <c r="K24" s="143">
        <v>169</v>
      </c>
      <c r="L24" s="144"/>
      <c r="M24" s="65"/>
      <c r="N24" s="6" t="s">
        <v>13</v>
      </c>
      <c r="O24" s="21"/>
      <c r="P24" s="160"/>
      <c r="Q24" s="161"/>
      <c r="R24" s="162"/>
    </row>
    <row r="25" spans="1:18" ht="14.55" customHeight="1" x14ac:dyDescent="0.3">
      <c r="A25" s="166"/>
      <c r="B25" s="5"/>
      <c r="C25" s="5"/>
      <c r="D25" s="4"/>
      <c r="E25" s="3"/>
      <c r="F25" s="19"/>
      <c r="G25" s="20"/>
      <c r="H25" s="28"/>
      <c r="I25" s="143"/>
      <c r="J25" s="144"/>
      <c r="K25" s="143"/>
      <c r="L25" s="144"/>
      <c r="M25" s="65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65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7"/>
      <c r="B27" s="148" t="s">
        <v>0</v>
      </c>
      <c r="C27" s="149"/>
      <c r="D27" s="149"/>
      <c r="E27" s="149"/>
      <c r="F27" s="149"/>
      <c r="G27" s="149"/>
      <c r="H27" s="149"/>
      <c r="I27" s="150">
        <f>SUM(I22:J26)</f>
        <v>0</v>
      </c>
      <c r="J27" s="151"/>
      <c r="K27" s="150">
        <f>SUM(K22:L26)</f>
        <v>2187</v>
      </c>
      <c r="L27" s="151"/>
      <c r="M27" s="10">
        <f>SUM(M26:M26)</f>
        <v>0</v>
      </c>
      <c r="N27" s="11" t="s">
        <v>13</v>
      </c>
      <c r="O27" s="9"/>
      <c r="P27" s="163"/>
      <c r="Q27" s="164"/>
      <c r="R27" s="165"/>
    </row>
    <row r="28" spans="1:18" ht="14.55" customHeight="1" x14ac:dyDescent="0.3">
      <c r="D28" s="35"/>
      <c r="E28" s="1"/>
      <c r="F28" s="1"/>
      <c r="G28" s="1"/>
      <c r="H28" s="1"/>
      <c r="M28" s="35"/>
    </row>
    <row r="29" spans="1:18" x14ac:dyDescent="0.3">
      <c r="E29" s="148" t="s">
        <v>33</v>
      </c>
      <c r="F29" s="149"/>
      <c r="G29" s="149"/>
      <c r="H29" s="149"/>
      <c r="I29" s="152" t="s">
        <v>19</v>
      </c>
      <c r="J29" s="153"/>
      <c r="K29" s="152" t="s">
        <v>20</v>
      </c>
      <c r="L29" s="153"/>
    </row>
    <row r="30" spans="1:18" s="36" customFormat="1" x14ac:dyDescent="0.3">
      <c r="E30" s="7"/>
      <c r="F30" s="7"/>
      <c r="G30" s="7"/>
      <c r="H30" s="7"/>
      <c r="I30" s="22">
        <f>I27</f>
        <v>0</v>
      </c>
      <c r="J30" s="14" t="s">
        <v>12</v>
      </c>
      <c r="K30" s="22">
        <f>K27</f>
        <v>2187</v>
      </c>
      <c r="L30" s="15" t="s">
        <v>12</v>
      </c>
    </row>
    <row r="31" spans="1:18" ht="24.45" customHeight="1" x14ac:dyDescent="0.3">
      <c r="E31" s="13"/>
      <c r="F31" s="13"/>
      <c r="G31" s="13"/>
      <c r="H31" s="13"/>
      <c r="I31" s="154">
        <f>I30+K30</f>
        <v>2187</v>
      </c>
      <c r="J31" s="155"/>
      <c r="K31" s="155"/>
      <c r="L31" s="156"/>
    </row>
    <row r="33" spans="1:18" s="8" customFormat="1" ht="30" customHeight="1" x14ac:dyDescent="0.3">
      <c r="A33" s="133" t="s">
        <v>30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5"/>
      <c r="L33" s="135"/>
      <c r="M33" s="135"/>
      <c r="N33" s="135"/>
      <c r="O33" s="134"/>
      <c r="P33" s="134"/>
      <c r="Q33" s="134"/>
      <c r="R33" s="136"/>
    </row>
    <row r="34" spans="1:18" s="12" customFormat="1" ht="14.55" customHeight="1" x14ac:dyDescent="0.3">
      <c r="A34" s="128" t="s">
        <v>1</v>
      </c>
      <c r="B34" s="137" t="s">
        <v>2</v>
      </c>
      <c r="C34" s="137" t="s">
        <v>3</v>
      </c>
      <c r="D34" s="137" t="s">
        <v>4</v>
      </c>
      <c r="E34" s="124" t="s">
        <v>5</v>
      </c>
      <c r="F34" s="138" t="s">
        <v>14</v>
      </c>
      <c r="G34" s="138" t="s">
        <v>15</v>
      </c>
      <c r="H34" s="119" t="s">
        <v>29</v>
      </c>
      <c r="I34" s="121" t="s">
        <v>6</v>
      </c>
      <c r="J34" s="122"/>
      <c r="K34" s="122"/>
      <c r="L34" s="123"/>
      <c r="M34" s="124" t="s">
        <v>7</v>
      </c>
      <c r="N34" s="125"/>
      <c r="O34" s="128" t="s">
        <v>8</v>
      </c>
      <c r="P34" s="128" t="s">
        <v>9</v>
      </c>
      <c r="Q34" s="128"/>
      <c r="R34" s="128"/>
    </row>
    <row r="35" spans="1:18" s="12" customFormat="1" ht="13.05" customHeight="1" x14ac:dyDescent="0.3">
      <c r="A35" s="128"/>
      <c r="B35" s="137"/>
      <c r="C35" s="137"/>
      <c r="D35" s="137"/>
      <c r="E35" s="126"/>
      <c r="F35" s="139"/>
      <c r="G35" s="139"/>
      <c r="H35" s="120"/>
      <c r="I35" s="121" t="s">
        <v>19</v>
      </c>
      <c r="J35" s="123"/>
      <c r="K35" s="121" t="s">
        <v>20</v>
      </c>
      <c r="L35" s="123"/>
      <c r="M35" s="126"/>
      <c r="N35" s="127"/>
      <c r="O35" s="128"/>
      <c r="P35" s="128"/>
      <c r="Q35" s="128"/>
      <c r="R35" s="128"/>
    </row>
    <row r="36" spans="1:18" ht="14.55" customHeight="1" x14ac:dyDescent="0.3">
      <c r="A36" s="140" t="s">
        <v>35</v>
      </c>
      <c r="B36" s="5">
        <v>0.33333333333333331</v>
      </c>
      <c r="C36" s="5">
        <v>0.70833333333333337</v>
      </c>
      <c r="D36" s="4">
        <v>250044</v>
      </c>
      <c r="E36" s="3" t="s">
        <v>254</v>
      </c>
      <c r="F36" s="19">
        <v>304</v>
      </c>
      <c r="G36" s="20">
        <v>0.6</v>
      </c>
      <c r="H36" s="28" t="s">
        <v>130</v>
      </c>
      <c r="I36" s="143"/>
      <c r="J36" s="144"/>
      <c r="K36" s="143">
        <v>495</v>
      </c>
      <c r="L36" s="144"/>
      <c r="M36" s="65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66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65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66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65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66"/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65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65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7"/>
      <c r="B41" s="148" t="s">
        <v>0</v>
      </c>
      <c r="C41" s="149"/>
      <c r="D41" s="149"/>
      <c r="E41" s="149"/>
      <c r="F41" s="149"/>
      <c r="G41" s="149"/>
      <c r="H41" s="149"/>
      <c r="I41" s="150">
        <f>SUM(I36:J40)</f>
        <v>0</v>
      </c>
      <c r="J41" s="151"/>
      <c r="K41" s="150">
        <f>SUM(K36:L40)</f>
        <v>495</v>
      </c>
      <c r="L41" s="151"/>
      <c r="M41" s="10">
        <f>SUM(M40:M40)</f>
        <v>0</v>
      </c>
      <c r="N41" s="11" t="s">
        <v>13</v>
      </c>
      <c r="O41" s="9"/>
      <c r="P41" s="168"/>
      <c r="Q41" s="169"/>
      <c r="R41" s="170"/>
    </row>
    <row r="42" spans="1:18" ht="14.55" customHeight="1" x14ac:dyDescent="0.3">
      <c r="D42" s="35"/>
      <c r="E42" s="1"/>
      <c r="F42" s="1"/>
      <c r="G42" s="1"/>
      <c r="H42" s="1"/>
      <c r="M42" s="35"/>
    </row>
    <row r="43" spans="1:18" x14ac:dyDescent="0.3">
      <c r="E43" s="148" t="s">
        <v>34</v>
      </c>
      <c r="F43" s="149"/>
      <c r="G43" s="149"/>
      <c r="H43" s="149"/>
      <c r="I43" s="152" t="s">
        <v>19</v>
      </c>
      <c r="J43" s="153"/>
      <c r="K43" s="152" t="s">
        <v>20</v>
      </c>
      <c r="L43" s="153"/>
    </row>
    <row r="44" spans="1:18" s="36" customFormat="1" x14ac:dyDescent="0.3">
      <c r="E44" s="7"/>
      <c r="F44" s="7"/>
      <c r="G44" s="7"/>
      <c r="H44" s="7"/>
      <c r="I44" s="22">
        <f>I41</f>
        <v>0</v>
      </c>
      <c r="J44" s="14" t="s">
        <v>12</v>
      </c>
      <c r="K44" s="22">
        <f>K41</f>
        <v>495</v>
      </c>
      <c r="L44" s="15" t="s">
        <v>12</v>
      </c>
    </row>
    <row r="45" spans="1:18" s="1" customFormat="1" ht="24.45" customHeight="1" x14ac:dyDescent="0.3">
      <c r="A45" s="35"/>
      <c r="B45" s="35"/>
      <c r="C45" s="35"/>
      <c r="E45" s="13"/>
      <c r="F45" s="13"/>
      <c r="G45" s="13"/>
      <c r="H45" s="13"/>
      <c r="I45" s="154">
        <f>I44+K44</f>
        <v>495</v>
      </c>
      <c r="J45" s="155"/>
      <c r="K45" s="155"/>
      <c r="L45" s="156"/>
      <c r="N45" s="35"/>
      <c r="O45" s="35"/>
      <c r="P45" s="35"/>
      <c r="Q45" s="35"/>
      <c r="R45" s="35"/>
    </row>
    <row r="47" spans="1:18" s="8" customFormat="1" ht="30" customHeight="1" x14ac:dyDescent="0.3">
      <c r="A47" s="133" t="s">
        <v>22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5"/>
      <c r="L47" s="135"/>
      <c r="M47" s="135"/>
      <c r="N47" s="135"/>
      <c r="O47" s="134"/>
      <c r="P47" s="134"/>
      <c r="Q47" s="134"/>
      <c r="R47" s="136"/>
    </row>
    <row r="48" spans="1:18" s="12" customFormat="1" ht="14.55" customHeight="1" x14ac:dyDescent="0.3">
      <c r="A48" s="128" t="s">
        <v>1</v>
      </c>
      <c r="B48" s="137" t="s">
        <v>2</v>
      </c>
      <c r="C48" s="137" t="s">
        <v>3</v>
      </c>
      <c r="D48" s="137" t="s">
        <v>4</v>
      </c>
      <c r="E48" s="124" t="s">
        <v>5</v>
      </c>
      <c r="F48" s="138" t="s">
        <v>14</v>
      </c>
      <c r="G48" s="138" t="s">
        <v>15</v>
      </c>
      <c r="H48" s="119" t="s">
        <v>27</v>
      </c>
      <c r="I48" s="121" t="s">
        <v>6</v>
      </c>
      <c r="J48" s="122"/>
      <c r="K48" s="122"/>
      <c r="L48" s="123"/>
      <c r="M48" s="124" t="s">
        <v>7</v>
      </c>
      <c r="N48" s="125"/>
      <c r="O48" s="128" t="s">
        <v>8</v>
      </c>
      <c r="P48" s="128" t="s">
        <v>9</v>
      </c>
      <c r="Q48" s="128"/>
      <c r="R48" s="128"/>
    </row>
    <row r="49" spans="1:18" s="12" customFormat="1" ht="13.05" customHeight="1" x14ac:dyDescent="0.3">
      <c r="A49" s="128"/>
      <c r="B49" s="137"/>
      <c r="C49" s="137"/>
      <c r="D49" s="137"/>
      <c r="E49" s="126"/>
      <c r="F49" s="139"/>
      <c r="G49" s="139"/>
      <c r="H49" s="120"/>
      <c r="I49" s="121" t="s">
        <v>23</v>
      </c>
      <c r="J49" s="123"/>
      <c r="K49" s="121" t="s">
        <v>11</v>
      </c>
      <c r="L49" s="123"/>
      <c r="M49" s="126"/>
      <c r="N49" s="127"/>
      <c r="O49" s="128"/>
      <c r="P49" s="128"/>
      <c r="Q49" s="128"/>
      <c r="R49" s="128"/>
    </row>
    <row r="50" spans="1:18" ht="14.55" customHeight="1" x14ac:dyDescent="0.3">
      <c r="A50" s="140" t="s">
        <v>28</v>
      </c>
      <c r="B50" s="5"/>
      <c r="C50" s="5"/>
      <c r="D50" s="4"/>
      <c r="E50" s="3" t="s">
        <v>250</v>
      </c>
      <c r="F50" s="19"/>
      <c r="G50" s="20"/>
      <c r="H50" s="28"/>
      <c r="I50" s="143"/>
      <c r="J50" s="144"/>
      <c r="K50" s="143"/>
      <c r="L50" s="144"/>
      <c r="M50" s="65"/>
      <c r="N50" s="6" t="s">
        <v>13</v>
      </c>
      <c r="O50" s="21"/>
      <c r="P50" s="168" t="s">
        <v>50</v>
      </c>
      <c r="Q50" s="169"/>
      <c r="R50" s="170"/>
    </row>
    <row r="51" spans="1:18" ht="14.55" customHeight="1" x14ac:dyDescent="0.3">
      <c r="A51" s="141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65"/>
      <c r="N51" s="6" t="s">
        <v>13</v>
      </c>
      <c r="O51" s="21"/>
      <c r="P51" s="168"/>
      <c r="Q51" s="169"/>
      <c r="R51" s="170"/>
    </row>
    <row r="52" spans="1:18" ht="14.55" customHeight="1" x14ac:dyDescent="0.3">
      <c r="A52" s="141"/>
      <c r="B52" s="5"/>
      <c r="C52" s="5"/>
      <c r="D52" s="4"/>
      <c r="E52" s="3"/>
      <c r="F52" s="19"/>
      <c r="G52" s="20"/>
      <c r="H52" s="28"/>
      <c r="I52" s="143"/>
      <c r="J52" s="144"/>
      <c r="K52" s="143"/>
      <c r="L52" s="144"/>
      <c r="M52" s="65"/>
      <c r="N52" s="6" t="s">
        <v>13</v>
      </c>
      <c r="O52" s="21"/>
      <c r="P52" s="168"/>
      <c r="Q52" s="169"/>
      <c r="R52" s="170"/>
    </row>
    <row r="53" spans="1:18" ht="14.55" customHeight="1" x14ac:dyDescent="0.3">
      <c r="A53" s="141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65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65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2"/>
      <c r="B55" s="148" t="s">
        <v>0</v>
      </c>
      <c r="C55" s="149"/>
      <c r="D55" s="149"/>
      <c r="E55" s="149"/>
      <c r="F55" s="149"/>
      <c r="G55" s="149"/>
      <c r="H55" s="171"/>
      <c r="I55" s="150">
        <f>SUM(I50:J54)</f>
        <v>0</v>
      </c>
      <c r="J55" s="151"/>
      <c r="K55" s="150">
        <f>SUM(K50:L54)</f>
        <v>0</v>
      </c>
      <c r="L55" s="151"/>
      <c r="M55" s="10">
        <f>SUM(M50:M54)</f>
        <v>0</v>
      </c>
      <c r="N55" s="11" t="s">
        <v>13</v>
      </c>
      <c r="O55" s="9"/>
      <c r="P55" s="168"/>
      <c r="Q55" s="169"/>
      <c r="R55" s="170"/>
    </row>
    <row r="56" spans="1:18" ht="14.55" customHeight="1" x14ac:dyDescent="0.3">
      <c r="A56" s="140" t="s">
        <v>24</v>
      </c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65"/>
      <c r="N56" s="6" t="s">
        <v>13</v>
      </c>
      <c r="O56" s="21"/>
      <c r="P56" s="157" t="s">
        <v>51</v>
      </c>
      <c r="Q56" s="158"/>
      <c r="R56" s="159"/>
    </row>
    <row r="57" spans="1:18" ht="14.55" customHeight="1" x14ac:dyDescent="0.3">
      <c r="A57" s="166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65"/>
      <c r="N57" s="6" t="s">
        <v>13</v>
      </c>
      <c r="O57" s="21"/>
      <c r="P57" s="160"/>
      <c r="Q57" s="161"/>
      <c r="R57" s="162"/>
    </row>
    <row r="58" spans="1:18" ht="14.55" hidden="1" customHeight="1" x14ac:dyDescent="0.3">
      <c r="A58" s="166"/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65"/>
      <c r="N58" s="6" t="s">
        <v>13</v>
      </c>
      <c r="O58" s="21"/>
      <c r="P58" s="160"/>
      <c r="Q58" s="161"/>
      <c r="R58" s="162"/>
    </row>
    <row r="59" spans="1:18" ht="14.55" hidden="1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65"/>
      <c r="N59" s="6" t="s">
        <v>13</v>
      </c>
      <c r="O59" s="21"/>
      <c r="P59" s="160"/>
      <c r="Q59" s="161"/>
      <c r="R59" s="162"/>
    </row>
    <row r="60" spans="1:18" ht="14.55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65"/>
      <c r="N60" s="6" t="s">
        <v>13</v>
      </c>
      <c r="O60" s="21"/>
      <c r="P60" s="160"/>
      <c r="Q60" s="161"/>
      <c r="R60" s="162"/>
    </row>
    <row r="61" spans="1:18" ht="14.55" customHeight="1" x14ac:dyDescent="0.3">
      <c r="A61" s="167"/>
      <c r="B61" s="148" t="s">
        <v>0</v>
      </c>
      <c r="C61" s="149"/>
      <c r="D61" s="149"/>
      <c r="E61" s="149"/>
      <c r="F61" s="149"/>
      <c r="G61" s="149"/>
      <c r="H61" s="171"/>
      <c r="I61" s="150">
        <f>SUM(I56:J60)</f>
        <v>0</v>
      </c>
      <c r="J61" s="151"/>
      <c r="K61" s="150">
        <f>SUM(K56:L60)</f>
        <v>0</v>
      </c>
      <c r="L61" s="151"/>
      <c r="M61" s="10">
        <f>SUM(M56:M60)</f>
        <v>0</v>
      </c>
      <c r="N61" s="11" t="s">
        <v>13</v>
      </c>
      <c r="O61" s="9"/>
      <c r="P61" s="163"/>
      <c r="Q61" s="164"/>
      <c r="R61" s="165"/>
    </row>
    <row r="62" spans="1:18" ht="14.55" customHeight="1" x14ac:dyDescent="0.3">
      <c r="A62" s="140" t="s">
        <v>25</v>
      </c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65"/>
      <c r="N62" s="6" t="s">
        <v>13</v>
      </c>
      <c r="O62" s="21"/>
      <c r="P62" s="145" t="s">
        <v>53</v>
      </c>
      <c r="Q62" s="169"/>
      <c r="R62" s="170"/>
    </row>
    <row r="63" spans="1:18" ht="14.55" hidden="1" customHeight="1" x14ac:dyDescent="0.3">
      <c r="A63" s="141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65"/>
      <c r="N63" s="6" t="s">
        <v>13</v>
      </c>
      <c r="O63" s="21"/>
      <c r="P63" s="168"/>
      <c r="Q63" s="169"/>
      <c r="R63" s="170"/>
    </row>
    <row r="64" spans="1:18" ht="14.55" hidden="1" customHeight="1" x14ac:dyDescent="0.3">
      <c r="A64" s="141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65"/>
      <c r="N64" s="6" t="s">
        <v>13</v>
      </c>
      <c r="O64" s="21"/>
      <c r="P64" s="168"/>
      <c r="Q64" s="169"/>
      <c r="R64" s="170"/>
    </row>
    <row r="65" spans="1:18" ht="14.55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65"/>
      <c r="N65" s="6" t="s">
        <v>13</v>
      </c>
      <c r="O65" s="21"/>
      <c r="P65" s="168"/>
      <c r="Q65" s="169"/>
      <c r="R65" s="170"/>
    </row>
    <row r="66" spans="1:18" ht="14.55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65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2"/>
      <c r="B67" s="148" t="s">
        <v>0</v>
      </c>
      <c r="C67" s="149"/>
      <c r="D67" s="149"/>
      <c r="E67" s="149"/>
      <c r="F67" s="149"/>
      <c r="G67" s="149"/>
      <c r="H67" s="149"/>
      <c r="I67" s="150">
        <f>SUM(I62:J66)</f>
        <v>0</v>
      </c>
      <c r="J67" s="151"/>
      <c r="K67" s="150">
        <f>SUM(K62:L66)</f>
        <v>0</v>
      </c>
      <c r="L67" s="151"/>
      <c r="M67" s="10">
        <f>SUM(M62:M66)</f>
        <v>0</v>
      </c>
      <c r="N67" s="11" t="s">
        <v>13</v>
      </c>
      <c r="O67" s="9"/>
      <c r="P67" s="168"/>
      <c r="Q67" s="169"/>
      <c r="R67" s="170"/>
    </row>
    <row r="69" spans="1:18" x14ac:dyDescent="0.3">
      <c r="E69" s="148" t="s">
        <v>26</v>
      </c>
      <c r="F69" s="149"/>
      <c r="G69" s="149"/>
      <c r="H69" s="149"/>
      <c r="I69" s="152" t="s">
        <v>23</v>
      </c>
      <c r="J69" s="153"/>
      <c r="K69" s="152" t="s">
        <v>11</v>
      </c>
      <c r="L69" s="153"/>
    </row>
    <row r="70" spans="1:18" s="36" customFormat="1" x14ac:dyDescent="0.3">
      <c r="E70" s="7"/>
      <c r="F70" s="7"/>
      <c r="G70" s="7"/>
      <c r="H70" s="7"/>
      <c r="I70" s="22">
        <f>I61+I67</f>
        <v>0</v>
      </c>
      <c r="J70" s="14" t="s">
        <v>12</v>
      </c>
      <c r="K70" s="22">
        <f>K61+K67</f>
        <v>0</v>
      </c>
      <c r="L70" s="15" t="s">
        <v>12</v>
      </c>
    </row>
    <row r="71" spans="1:18" ht="24.45" customHeight="1" x14ac:dyDescent="0.3">
      <c r="E71" s="13"/>
      <c r="F71" s="13"/>
      <c r="G71" s="13"/>
      <c r="H71" s="13"/>
      <c r="I71" s="154">
        <f>I70+K70</f>
        <v>0</v>
      </c>
      <c r="J71" s="155"/>
      <c r="K71" s="155"/>
      <c r="L71" s="156"/>
    </row>
    <row r="73" spans="1:18" s="8" customFormat="1" ht="30" customHeight="1" x14ac:dyDescent="0.3">
      <c r="A73" s="133" t="s">
        <v>131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5"/>
      <c r="L73" s="135"/>
      <c r="M73" s="135"/>
      <c r="N73" s="135"/>
      <c r="O73" s="134"/>
      <c r="P73" s="134"/>
      <c r="Q73" s="134"/>
      <c r="R73" s="136"/>
    </row>
    <row r="74" spans="1:18" s="12" customFormat="1" ht="14.55" customHeight="1" x14ac:dyDescent="0.3">
      <c r="A74" s="128" t="s">
        <v>1</v>
      </c>
      <c r="B74" s="137" t="s">
        <v>2</v>
      </c>
      <c r="C74" s="137" t="s">
        <v>3</v>
      </c>
      <c r="D74" s="137" t="s">
        <v>4</v>
      </c>
      <c r="E74" s="124" t="s">
        <v>5</v>
      </c>
      <c r="F74" s="138" t="s">
        <v>14</v>
      </c>
      <c r="G74" s="138" t="s">
        <v>15</v>
      </c>
      <c r="H74" s="119" t="s">
        <v>27</v>
      </c>
      <c r="I74" s="121" t="s">
        <v>6</v>
      </c>
      <c r="J74" s="122"/>
      <c r="K74" s="122"/>
      <c r="L74" s="123"/>
      <c r="M74" s="124" t="s">
        <v>7</v>
      </c>
      <c r="N74" s="125"/>
      <c r="O74" s="128" t="s">
        <v>8</v>
      </c>
      <c r="P74" s="128" t="s">
        <v>9</v>
      </c>
      <c r="Q74" s="128"/>
      <c r="R74" s="128"/>
    </row>
    <row r="75" spans="1:18" s="12" customFormat="1" ht="13.05" customHeight="1" x14ac:dyDescent="0.3">
      <c r="A75" s="128"/>
      <c r="B75" s="137"/>
      <c r="C75" s="137"/>
      <c r="D75" s="137"/>
      <c r="E75" s="126"/>
      <c r="F75" s="139"/>
      <c r="G75" s="139"/>
      <c r="H75" s="120"/>
      <c r="I75" s="121" t="s">
        <v>23</v>
      </c>
      <c r="J75" s="123"/>
      <c r="K75" s="121" t="s">
        <v>11</v>
      </c>
      <c r="L75" s="123"/>
      <c r="M75" s="126"/>
      <c r="N75" s="127"/>
      <c r="O75" s="128"/>
      <c r="P75" s="128"/>
      <c r="Q75" s="128"/>
      <c r="R75" s="128"/>
    </row>
    <row r="76" spans="1:18" ht="14.55" customHeight="1" x14ac:dyDescent="0.3">
      <c r="A76" s="140" t="s">
        <v>132</v>
      </c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65"/>
      <c r="N76" s="6" t="s">
        <v>13</v>
      </c>
      <c r="O76" s="21"/>
      <c r="P76" s="157"/>
      <c r="Q76" s="158"/>
      <c r="R76" s="159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65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65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65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65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65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65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65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65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65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7"/>
      <c r="B86" s="148" t="s">
        <v>0</v>
      </c>
      <c r="C86" s="149"/>
      <c r="D86" s="149"/>
      <c r="E86" s="149"/>
      <c r="F86" s="149"/>
      <c r="G86" s="149"/>
      <c r="H86" s="149"/>
      <c r="I86" s="150">
        <f ca="1">SUM(I76:J86)</f>
        <v>0</v>
      </c>
      <c r="J86" s="151"/>
      <c r="K86" s="150">
        <f ca="1">SUM(K76:L86)</f>
        <v>0</v>
      </c>
      <c r="L86" s="151"/>
      <c r="M86" s="10">
        <f>SUM(M81:M85)</f>
        <v>0</v>
      </c>
      <c r="N86" s="11" t="s">
        <v>13</v>
      </c>
      <c r="O86" s="9"/>
      <c r="P86" s="163"/>
      <c r="Q86" s="164"/>
      <c r="R86" s="165"/>
    </row>
    <row r="88" spans="1:18" x14ac:dyDescent="0.3">
      <c r="E88" s="148" t="s">
        <v>26</v>
      </c>
      <c r="F88" s="149"/>
      <c r="G88" s="149"/>
      <c r="H88" s="149"/>
      <c r="I88" s="152" t="s">
        <v>23</v>
      </c>
      <c r="J88" s="153"/>
      <c r="K88" s="172" t="s">
        <v>11</v>
      </c>
      <c r="L88" s="153"/>
    </row>
    <row r="89" spans="1:18" s="36" customFormat="1" x14ac:dyDescent="0.3">
      <c r="E89" s="7"/>
      <c r="F89" s="7"/>
      <c r="G89" s="7"/>
      <c r="H89" s="7"/>
      <c r="I89" s="22">
        <f ca="1">I86</f>
        <v>0</v>
      </c>
      <c r="J89" s="14" t="s">
        <v>12</v>
      </c>
      <c r="K89" s="22">
        <f ca="1">K86</f>
        <v>0</v>
      </c>
      <c r="L89" s="15" t="s">
        <v>12</v>
      </c>
    </row>
    <row r="90" spans="1:18" ht="24.45" customHeight="1" x14ac:dyDescent="0.3">
      <c r="E90" s="13"/>
      <c r="F90" s="13"/>
      <c r="G90" s="13"/>
      <c r="H90" s="13"/>
      <c r="I90" s="154">
        <f ca="1">I89+K89</f>
        <v>0</v>
      </c>
      <c r="J90" s="155"/>
      <c r="K90" s="155"/>
      <c r="L90" s="156"/>
    </row>
  </sheetData>
  <mergeCells count="218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7:A9"/>
    <mergeCell ref="I7:J7"/>
    <mergeCell ref="K7:L7"/>
    <mergeCell ref="P7:R9"/>
    <mergeCell ref="I8:J8"/>
    <mergeCell ref="K8:L8"/>
    <mergeCell ref="B9:H9"/>
    <mergeCell ref="I9:J9"/>
    <mergeCell ref="K9:L9"/>
    <mergeCell ref="A20:A21"/>
    <mergeCell ref="B20:B21"/>
    <mergeCell ref="C20:C21"/>
    <mergeCell ref="D20:D21"/>
    <mergeCell ref="E20:E21"/>
    <mergeCell ref="F20:F21"/>
    <mergeCell ref="K13:L13"/>
    <mergeCell ref="E15:H15"/>
    <mergeCell ref="I15:J15"/>
    <mergeCell ref="K15:L15"/>
    <mergeCell ref="I17:L17"/>
    <mergeCell ref="A19:R19"/>
    <mergeCell ref="A10:A13"/>
    <mergeCell ref="I10:J10"/>
    <mergeCell ref="K10:L10"/>
    <mergeCell ref="P10:R13"/>
    <mergeCell ref="I11:J11"/>
    <mergeCell ref="K11:L11"/>
    <mergeCell ref="I12:J12"/>
    <mergeCell ref="K12:L12"/>
    <mergeCell ref="B13:H13"/>
    <mergeCell ref="I13:J13"/>
    <mergeCell ref="P22:R27"/>
    <mergeCell ref="I23:J23"/>
    <mergeCell ref="K23:L23"/>
    <mergeCell ref="I24:J24"/>
    <mergeCell ref="K24:L24"/>
    <mergeCell ref="I25:J25"/>
    <mergeCell ref="K25:L25"/>
    <mergeCell ref="G20:G21"/>
    <mergeCell ref="H20:H21"/>
    <mergeCell ref="I20:L20"/>
    <mergeCell ref="M20:N21"/>
    <mergeCell ref="O20:O21"/>
    <mergeCell ref="P20:R21"/>
    <mergeCell ref="I21:J21"/>
    <mergeCell ref="K21:L21"/>
    <mergeCell ref="I26:J26"/>
    <mergeCell ref="K26:L26"/>
    <mergeCell ref="B27:H27"/>
    <mergeCell ref="I27:J27"/>
    <mergeCell ref="K27:L27"/>
    <mergeCell ref="E29:H29"/>
    <mergeCell ref="I29:J29"/>
    <mergeCell ref="K29:L29"/>
    <mergeCell ref="A22:A27"/>
    <mergeCell ref="I22:J22"/>
    <mergeCell ref="K22:L22"/>
    <mergeCell ref="I34:L34"/>
    <mergeCell ref="M34:N35"/>
    <mergeCell ref="O34:O35"/>
    <mergeCell ref="P34:R35"/>
    <mergeCell ref="I35:J35"/>
    <mergeCell ref="K35:L35"/>
    <mergeCell ref="I31:L31"/>
    <mergeCell ref="A33:R33"/>
    <mergeCell ref="A34:A35"/>
    <mergeCell ref="B34:B35"/>
    <mergeCell ref="C34:C35"/>
    <mergeCell ref="D34:D35"/>
    <mergeCell ref="E34:E35"/>
    <mergeCell ref="F34:F35"/>
    <mergeCell ref="G34:G35"/>
    <mergeCell ref="H34:H35"/>
    <mergeCell ref="I40:J40"/>
    <mergeCell ref="K40:L40"/>
    <mergeCell ref="P40:R41"/>
    <mergeCell ref="B41:H41"/>
    <mergeCell ref="I41:J41"/>
    <mergeCell ref="K41:L41"/>
    <mergeCell ref="A36:A41"/>
    <mergeCell ref="I36:J36"/>
    <mergeCell ref="K36:L36"/>
    <mergeCell ref="P36:R39"/>
    <mergeCell ref="I37:J37"/>
    <mergeCell ref="K37:L37"/>
    <mergeCell ref="I38:J38"/>
    <mergeCell ref="K38:L38"/>
    <mergeCell ref="I39:J39"/>
    <mergeCell ref="K39:L39"/>
    <mergeCell ref="E43:H43"/>
    <mergeCell ref="I43:J43"/>
    <mergeCell ref="K43:L43"/>
    <mergeCell ref="I45:L45"/>
    <mergeCell ref="A47:R47"/>
    <mergeCell ref="A48:A49"/>
    <mergeCell ref="B48:B49"/>
    <mergeCell ref="C48:C49"/>
    <mergeCell ref="D48:D49"/>
    <mergeCell ref="E48:E49"/>
    <mergeCell ref="B55:H55"/>
    <mergeCell ref="I55:J55"/>
    <mergeCell ref="K55:L55"/>
    <mergeCell ref="P48:R49"/>
    <mergeCell ref="I49:J49"/>
    <mergeCell ref="K49:L49"/>
    <mergeCell ref="A50:A55"/>
    <mergeCell ref="I50:J50"/>
    <mergeCell ref="K50:L50"/>
    <mergeCell ref="P50:R55"/>
    <mergeCell ref="I51:J51"/>
    <mergeCell ref="K51:L51"/>
    <mergeCell ref="I52:J52"/>
    <mergeCell ref="F48:F49"/>
    <mergeCell ref="G48:G49"/>
    <mergeCell ref="H48:H49"/>
    <mergeCell ref="I48:L48"/>
    <mergeCell ref="M48:N49"/>
    <mergeCell ref="O48:O49"/>
    <mergeCell ref="P56:R61"/>
    <mergeCell ref="I57:J57"/>
    <mergeCell ref="K57:L57"/>
    <mergeCell ref="I58:J58"/>
    <mergeCell ref="K58:L58"/>
    <mergeCell ref="I59:J59"/>
    <mergeCell ref="K59:L59"/>
    <mergeCell ref="K52:L52"/>
    <mergeCell ref="I53:J53"/>
    <mergeCell ref="K53:L53"/>
    <mergeCell ref="I54:J54"/>
    <mergeCell ref="K54:L54"/>
    <mergeCell ref="I60:J60"/>
    <mergeCell ref="K60:L60"/>
    <mergeCell ref="B61:H61"/>
    <mergeCell ref="I61:J61"/>
    <mergeCell ref="K61:L61"/>
    <mergeCell ref="A62:A67"/>
    <mergeCell ref="I62:J62"/>
    <mergeCell ref="K62:L62"/>
    <mergeCell ref="B67:H67"/>
    <mergeCell ref="K67:L67"/>
    <mergeCell ref="A56:A61"/>
    <mergeCell ref="I56:J56"/>
    <mergeCell ref="K56:L56"/>
    <mergeCell ref="P62:R67"/>
    <mergeCell ref="I63:J63"/>
    <mergeCell ref="K63:L63"/>
    <mergeCell ref="I64:J64"/>
    <mergeCell ref="K64:L64"/>
    <mergeCell ref="I65:J65"/>
    <mergeCell ref="K65:L65"/>
    <mergeCell ref="I66:J66"/>
    <mergeCell ref="K66:L66"/>
    <mergeCell ref="I67:J67"/>
    <mergeCell ref="E69:H69"/>
    <mergeCell ref="I69:J69"/>
    <mergeCell ref="K69:L69"/>
    <mergeCell ref="I71:L71"/>
    <mergeCell ref="A73:R73"/>
    <mergeCell ref="A74:A75"/>
    <mergeCell ref="B74:B75"/>
    <mergeCell ref="C74:C75"/>
    <mergeCell ref="D74:D75"/>
    <mergeCell ref="E74:E75"/>
    <mergeCell ref="P74:R75"/>
    <mergeCell ref="I75:J75"/>
    <mergeCell ref="K75:L75"/>
    <mergeCell ref="A76:A86"/>
    <mergeCell ref="I76:J76"/>
    <mergeCell ref="K76:L76"/>
    <mergeCell ref="P76:R86"/>
    <mergeCell ref="I77:J77"/>
    <mergeCell ref="K77:L77"/>
    <mergeCell ref="I78:J78"/>
    <mergeCell ref="F74:F75"/>
    <mergeCell ref="G74:G75"/>
    <mergeCell ref="H74:H75"/>
    <mergeCell ref="I74:L74"/>
    <mergeCell ref="M74:N75"/>
    <mergeCell ref="O74:O75"/>
    <mergeCell ref="I82:J82"/>
    <mergeCell ref="K82:L82"/>
    <mergeCell ref="I83:J83"/>
    <mergeCell ref="K83:L83"/>
    <mergeCell ref="I84:J84"/>
    <mergeCell ref="K84:L84"/>
    <mergeCell ref="K78:L78"/>
    <mergeCell ref="I79:J79"/>
    <mergeCell ref="K79:L79"/>
    <mergeCell ref="I80:J80"/>
    <mergeCell ref="K80:L80"/>
    <mergeCell ref="I81:J81"/>
    <mergeCell ref="K81:L81"/>
    <mergeCell ref="I90:L90"/>
    <mergeCell ref="I85:J85"/>
    <mergeCell ref="K85:L85"/>
    <mergeCell ref="B86:H86"/>
    <mergeCell ref="I86:J86"/>
    <mergeCell ref="K86:L86"/>
    <mergeCell ref="E88:H88"/>
    <mergeCell ref="I88:J88"/>
    <mergeCell ref="K88:L88"/>
  </mergeCells>
  <pageMargins left="0.39370078740157483" right="0.19685039370078741" top="0.19685039370078741" bottom="0.19685039370078741" header="0.31496062992125984" footer="0.31496062992125984"/>
  <pageSetup paperSize="9" scale="47"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2"/>
  <sheetViews>
    <sheetView topLeftCell="A19" zoomScale="85" zoomScaleNormal="85" workbookViewId="0">
      <selection activeCell="A49" sqref="A49:R49"/>
    </sheetView>
  </sheetViews>
  <sheetFormatPr defaultColWidth="8.77734375" defaultRowHeight="14.4" x14ac:dyDescent="0.3"/>
  <cols>
    <col min="1" max="1" width="12.6640625" style="35" customWidth="1"/>
    <col min="2" max="3" width="7.6640625" style="35" customWidth="1"/>
    <col min="4" max="4" width="8.109375" style="1" bestFit="1" customWidth="1"/>
    <col min="5" max="5" width="63.77734375" style="35" bestFit="1" customWidth="1"/>
    <col min="6" max="6" width="5.6640625" style="35" customWidth="1"/>
    <col min="7" max="7" width="6.6640625" style="35" customWidth="1"/>
    <col min="8" max="8" width="15.6640625" style="35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35" customWidth="1"/>
    <col min="15" max="15" width="21.5546875" style="35" bestFit="1" customWidth="1"/>
    <col min="16" max="18" width="7.6640625" style="35" customWidth="1"/>
    <col min="19" max="16384" width="8.77734375" style="35"/>
  </cols>
  <sheetData>
    <row r="1" spans="1:18" x14ac:dyDescent="0.3">
      <c r="D1" s="35"/>
      <c r="I1" s="35"/>
      <c r="J1" s="35"/>
      <c r="K1" s="35"/>
      <c r="L1" s="35"/>
      <c r="M1" s="35"/>
    </row>
    <row r="2" spans="1:18" x14ac:dyDescent="0.3">
      <c r="D2" s="35"/>
      <c r="I2" s="35"/>
      <c r="J2" s="35"/>
      <c r="K2" s="35"/>
      <c r="L2" s="35"/>
      <c r="M2" s="35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45937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4">
        <v>250043</v>
      </c>
      <c r="E7" s="3" t="s">
        <v>255</v>
      </c>
      <c r="F7" s="19">
        <v>304</v>
      </c>
      <c r="G7" s="20">
        <v>0.6</v>
      </c>
      <c r="H7" s="28" t="s">
        <v>244</v>
      </c>
      <c r="I7" s="143"/>
      <c r="J7" s="144"/>
      <c r="K7" s="143">
        <v>1100</v>
      </c>
      <c r="L7" s="144"/>
      <c r="M7" s="66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44">
        <v>250043</v>
      </c>
      <c r="E8" s="3" t="s">
        <v>256</v>
      </c>
      <c r="F8" s="19">
        <v>304</v>
      </c>
      <c r="G8" s="20">
        <v>0.6</v>
      </c>
      <c r="H8" s="28" t="s">
        <v>244</v>
      </c>
      <c r="I8" s="143"/>
      <c r="J8" s="144"/>
      <c r="K8" s="143">
        <v>600</v>
      </c>
      <c r="L8" s="144"/>
      <c r="M8" s="66"/>
      <c r="N8" s="6" t="s">
        <v>13</v>
      </c>
      <c r="O8" s="21"/>
      <c r="P8" s="145"/>
      <c r="Q8" s="146"/>
      <c r="R8" s="147"/>
    </row>
    <row r="9" spans="1:18" s="68" customFormat="1" ht="14.55" customHeight="1" x14ac:dyDescent="0.3">
      <c r="A9" s="141"/>
      <c r="B9" s="5"/>
      <c r="C9" s="5"/>
      <c r="D9" s="44"/>
      <c r="E9" s="69"/>
      <c r="F9" s="19"/>
      <c r="G9" s="20"/>
      <c r="H9" s="70"/>
      <c r="I9" s="143"/>
      <c r="J9" s="144"/>
      <c r="K9" s="143"/>
      <c r="L9" s="144"/>
      <c r="M9" s="66"/>
      <c r="N9" s="6" t="s">
        <v>13</v>
      </c>
      <c r="O9" s="21"/>
      <c r="P9" s="145"/>
      <c r="Q9" s="146"/>
      <c r="R9" s="147"/>
    </row>
    <row r="10" spans="1:18" s="68" customFormat="1" ht="14.55" customHeight="1" x14ac:dyDescent="0.3">
      <c r="A10" s="141"/>
      <c r="B10" s="5"/>
      <c r="C10" s="5"/>
      <c r="D10" s="4"/>
      <c r="E10" s="69"/>
      <c r="F10" s="19"/>
      <c r="G10" s="20"/>
      <c r="H10" s="70"/>
      <c r="I10" s="143"/>
      <c r="J10" s="144"/>
      <c r="K10" s="143"/>
      <c r="L10" s="144"/>
      <c r="M10" s="66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SUM(I7:J8)</f>
        <v>0</v>
      </c>
      <c r="J11" s="151"/>
      <c r="K11" s="150">
        <f>SUM(K7:L8)</f>
        <v>1700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>
        <v>0.33333333333333331</v>
      </c>
      <c r="C12" s="5">
        <v>0.70833333333333337</v>
      </c>
      <c r="D12" s="44">
        <v>250041</v>
      </c>
      <c r="E12" s="69" t="s">
        <v>253</v>
      </c>
      <c r="F12" s="19">
        <v>304</v>
      </c>
      <c r="G12" s="20">
        <v>0.7</v>
      </c>
      <c r="H12" s="70" t="s">
        <v>252</v>
      </c>
      <c r="I12" s="143"/>
      <c r="J12" s="144"/>
      <c r="K12" s="143">
        <v>1000</v>
      </c>
      <c r="L12" s="144"/>
      <c r="M12" s="66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66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66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1000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35"/>
      <c r="E16" s="1"/>
      <c r="F16" s="1"/>
      <c r="G16" s="1"/>
      <c r="H16" s="1"/>
      <c r="M16" s="35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0</v>
      </c>
      <c r="J18" s="14" t="s">
        <v>12</v>
      </c>
      <c r="K18" s="22">
        <f>K11+K15</f>
        <v>2700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2700</v>
      </c>
      <c r="J19" s="155"/>
      <c r="K19" s="155"/>
      <c r="L19" s="156"/>
    </row>
    <row r="20" spans="1:18" ht="15" customHeight="1" x14ac:dyDescent="0.3">
      <c r="D20" s="35"/>
      <c r="I20" s="35"/>
      <c r="J20" s="35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270825</v>
      </c>
      <c r="E24" s="3" t="s">
        <v>257</v>
      </c>
      <c r="F24" s="19">
        <v>430</v>
      </c>
      <c r="G24" s="20">
        <v>0.5</v>
      </c>
      <c r="H24" s="28" t="s">
        <v>137</v>
      </c>
      <c r="I24" s="143">
        <v>1200</v>
      </c>
      <c r="J24" s="144"/>
      <c r="K24" s="143"/>
      <c r="L24" s="144"/>
      <c r="M24" s="66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>
        <v>250054</v>
      </c>
      <c r="E25" s="3" t="s">
        <v>258</v>
      </c>
      <c r="F25" s="19">
        <v>304</v>
      </c>
      <c r="G25" s="20">
        <v>0.7</v>
      </c>
      <c r="H25" s="28" t="s">
        <v>137</v>
      </c>
      <c r="I25" s="143">
        <v>823</v>
      </c>
      <c r="J25" s="144"/>
      <c r="K25" s="143"/>
      <c r="L25" s="144"/>
      <c r="M25" s="66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>
        <v>0.875</v>
      </c>
      <c r="D26" s="4">
        <v>250069</v>
      </c>
      <c r="E26" s="3" t="s">
        <v>214</v>
      </c>
      <c r="F26" s="19">
        <v>304</v>
      </c>
      <c r="G26" s="20">
        <v>0.6</v>
      </c>
      <c r="H26" s="28" t="s">
        <v>137</v>
      </c>
      <c r="I26" s="143"/>
      <c r="J26" s="144"/>
      <c r="K26" s="143">
        <v>200</v>
      </c>
      <c r="L26" s="144"/>
      <c r="M26" s="66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/>
      <c r="E27" s="3"/>
      <c r="F27" s="19"/>
      <c r="G27" s="20"/>
      <c r="H27" s="28"/>
      <c r="I27" s="143"/>
      <c r="J27" s="144"/>
      <c r="K27" s="143"/>
      <c r="L27" s="144"/>
      <c r="M27" s="66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66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7"/>
      <c r="B29" s="148" t="s">
        <v>0</v>
      </c>
      <c r="C29" s="149"/>
      <c r="D29" s="149"/>
      <c r="E29" s="149"/>
      <c r="F29" s="149"/>
      <c r="G29" s="149"/>
      <c r="H29" s="149"/>
      <c r="I29" s="150">
        <f>SUM(I24:J28)</f>
        <v>2023</v>
      </c>
      <c r="J29" s="151"/>
      <c r="K29" s="150">
        <f>SUM(K24:L28)</f>
        <v>200</v>
      </c>
      <c r="L29" s="151"/>
      <c r="M29" s="10">
        <f>SUM(M28:M28)</f>
        <v>0</v>
      </c>
      <c r="N29" s="11" t="s">
        <v>13</v>
      </c>
      <c r="O29" s="9"/>
      <c r="P29" s="163"/>
      <c r="Q29" s="164"/>
      <c r="R29" s="165"/>
    </row>
    <row r="30" spans="1:18" ht="14.55" customHeight="1" x14ac:dyDescent="0.3">
      <c r="D30" s="35"/>
      <c r="E30" s="1"/>
      <c r="F30" s="1"/>
      <c r="G30" s="1"/>
      <c r="H30" s="1"/>
      <c r="M30" s="35"/>
    </row>
    <row r="31" spans="1:18" x14ac:dyDescent="0.3">
      <c r="E31" s="148" t="s">
        <v>33</v>
      </c>
      <c r="F31" s="149"/>
      <c r="G31" s="149"/>
      <c r="H31" s="149"/>
      <c r="I31" s="152" t="s">
        <v>19</v>
      </c>
      <c r="J31" s="153"/>
      <c r="K31" s="152" t="s">
        <v>20</v>
      </c>
      <c r="L31" s="153"/>
    </row>
    <row r="32" spans="1:18" s="36" customFormat="1" x14ac:dyDescent="0.3">
      <c r="E32" s="7"/>
      <c r="F32" s="7"/>
      <c r="G32" s="7"/>
      <c r="H32" s="7"/>
      <c r="I32" s="22">
        <f>I29</f>
        <v>2023</v>
      </c>
      <c r="J32" s="14" t="s">
        <v>12</v>
      </c>
      <c r="K32" s="22">
        <f>K29</f>
        <v>200</v>
      </c>
      <c r="L32" s="15" t="s">
        <v>12</v>
      </c>
    </row>
    <row r="33" spans="1:18" ht="24.45" customHeight="1" x14ac:dyDescent="0.3">
      <c r="E33" s="13"/>
      <c r="F33" s="13"/>
      <c r="G33" s="13"/>
      <c r="H33" s="13"/>
      <c r="I33" s="154">
        <f>I32+K32</f>
        <v>2223</v>
      </c>
      <c r="J33" s="155"/>
      <c r="K33" s="155"/>
      <c r="L33" s="156"/>
    </row>
    <row r="35" spans="1:18" s="8" customFormat="1" ht="30" customHeight="1" x14ac:dyDescent="0.3">
      <c r="A35" s="133" t="s">
        <v>30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5"/>
      <c r="L35" s="135"/>
      <c r="M35" s="135"/>
      <c r="N35" s="135"/>
      <c r="O35" s="134"/>
      <c r="P35" s="134"/>
      <c r="Q35" s="134"/>
      <c r="R35" s="136"/>
    </row>
    <row r="36" spans="1:18" s="12" customFormat="1" ht="14.55" customHeight="1" x14ac:dyDescent="0.3">
      <c r="A36" s="128" t="s">
        <v>1</v>
      </c>
      <c r="B36" s="137" t="s">
        <v>2</v>
      </c>
      <c r="C36" s="137" t="s">
        <v>3</v>
      </c>
      <c r="D36" s="137" t="s">
        <v>4</v>
      </c>
      <c r="E36" s="124" t="s">
        <v>5</v>
      </c>
      <c r="F36" s="138" t="s">
        <v>14</v>
      </c>
      <c r="G36" s="138" t="s">
        <v>15</v>
      </c>
      <c r="H36" s="119" t="s">
        <v>29</v>
      </c>
      <c r="I36" s="121" t="s">
        <v>6</v>
      </c>
      <c r="J36" s="122"/>
      <c r="K36" s="122"/>
      <c r="L36" s="123"/>
      <c r="M36" s="124" t="s">
        <v>7</v>
      </c>
      <c r="N36" s="125"/>
      <c r="O36" s="128" t="s">
        <v>8</v>
      </c>
      <c r="P36" s="128" t="s">
        <v>9</v>
      </c>
      <c r="Q36" s="128"/>
      <c r="R36" s="128"/>
    </row>
    <row r="37" spans="1:18" s="12" customFormat="1" ht="13.05" customHeight="1" x14ac:dyDescent="0.3">
      <c r="A37" s="128"/>
      <c r="B37" s="137"/>
      <c r="C37" s="137"/>
      <c r="D37" s="137"/>
      <c r="E37" s="126"/>
      <c r="F37" s="139"/>
      <c r="G37" s="139"/>
      <c r="H37" s="120"/>
      <c r="I37" s="121" t="s">
        <v>19</v>
      </c>
      <c r="J37" s="123"/>
      <c r="K37" s="121" t="s">
        <v>20</v>
      </c>
      <c r="L37" s="123"/>
      <c r="M37" s="126"/>
      <c r="N37" s="127"/>
      <c r="O37" s="128"/>
      <c r="P37" s="128"/>
      <c r="Q37" s="128"/>
      <c r="R37" s="128"/>
    </row>
    <row r="38" spans="1:18" ht="14.55" customHeight="1" x14ac:dyDescent="0.3">
      <c r="A38" s="140" t="s">
        <v>35</v>
      </c>
      <c r="B38" s="5">
        <v>0.33333333333333331</v>
      </c>
      <c r="C38" s="5"/>
      <c r="D38" s="4">
        <v>210825</v>
      </c>
      <c r="E38" s="3" t="s">
        <v>245</v>
      </c>
      <c r="F38" s="19">
        <v>430</v>
      </c>
      <c r="G38" s="20">
        <v>0.6</v>
      </c>
      <c r="H38" s="28" t="s">
        <v>130</v>
      </c>
      <c r="I38" s="143"/>
      <c r="J38" s="144"/>
      <c r="K38" s="143">
        <v>467</v>
      </c>
      <c r="L38" s="144"/>
      <c r="M38" s="66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66"/>
      <c r="B39" s="5"/>
      <c r="C39" s="5"/>
      <c r="D39" s="4">
        <v>250069</v>
      </c>
      <c r="E39" s="3" t="s">
        <v>234</v>
      </c>
      <c r="F39" s="19">
        <v>304</v>
      </c>
      <c r="G39" s="20">
        <v>0.6</v>
      </c>
      <c r="H39" s="28" t="s">
        <v>130</v>
      </c>
      <c r="I39" s="143"/>
      <c r="J39" s="144"/>
      <c r="K39" s="143">
        <v>977</v>
      </c>
      <c r="L39" s="144"/>
      <c r="M39" s="66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>
        <v>0.70833333333333337</v>
      </c>
      <c r="D40" s="4">
        <v>250069</v>
      </c>
      <c r="E40" s="3" t="s">
        <v>214</v>
      </c>
      <c r="F40" s="19">
        <v>304</v>
      </c>
      <c r="G40" s="20">
        <v>0.6</v>
      </c>
      <c r="H40" s="28" t="s">
        <v>130</v>
      </c>
      <c r="I40" s="143"/>
      <c r="J40" s="144"/>
      <c r="K40" s="143">
        <v>519</v>
      </c>
      <c r="L40" s="144"/>
      <c r="M40" s="66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66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66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7"/>
      <c r="B43" s="148" t="s">
        <v>0</v>
      </c>
      <c r="C43" s="149"/>
      <c r="D43" s="149"/>
      <c r="E43" s="149"/>
      <c r="F43" s="149"/>
      <c r="G43" s="149"/>
      <c r="H43" s="149"/>
      <c r="I43" s="150">
        <f>SUM(I38:J42)</f>
        <v>0</v>
      </c>
      <c r="J43" s="151"/>
      <c r="K43" s="150">
        <f>SUM(K38:L42)</f>
        <v>1963</v>
      </c>
      <c r="L43" s="151"/>
      <c r="M43" s="10">
        <f>SUM(M42:M42)</f>
        <v>0</v>
      </c>
      <c r="N43" s="11" t="s">
        <v>13</v>
      </c>
      <c r="O43" s="9"/>
      <c r="P43" s="168"/>
      <c r="Q43" s="169"/>
      <c r="R43" s="170"/>
    </row>
    <row r="44" spans="1:18" ht="14.55" customHeight="1" x14ac:dyDescent="0.3">
      <c r="D44" s="35"/>
      <c r="E44" s="1"/>
      <c r="F44" s="1"/>
      <c r="G44" s="1"/>
      <c r="H44" s="1"/>
      <c r="M44" s="35"/>
    </row>
    <row r="45" spans="1:18" x14ac:dyDescent="0.3">
      <c r="E45" s="148" t="s">
        <v>34</v>
      </c>
      <c r="F45" s="149"/>
      <c r="G45" s="149"/>
      <c r="H45" s="149"/>
      <c r="I45" s="152" t="s">
        <v>19</v>
      </c>
      <c r="J45" s="153"/>
      <c r="K45" s="152" t="s">
        <v>20</v>
      </c>
      <c r="L45" s="153"/>
    </row>
    <row r="46" spans="1:18" s="36" customFormat="1" x14ac:dyDescent="0.3">
      <c r="E46" s="7"/>
      <c r="F46" s="7"/>
      <c r="G46" s="7"/>
      <c r="H46" s="7"/>
      <c r="I46" s="22">
        <f>I43</f>
        <v>0</v>
      </c>
      <c r="J46" s="14" t="s">
        <v>12</v>
      </c>
      <c r="K46" s="22">
        <f>K43</f>
        <v>1963</v>
      </c>
      <c r="L46" s="15" t="s">
        <v>12</v>
      </c>
    </row>
    <row r="47" spans="1:18" s="1" customFormat="1" ht="24.45" customHeight="1" x14ac:dyDescent="0.3">
      <c r="A47" s="35"/>
      <c r="B47" s="35"/>
      <c r="C47" s="35"/>
      <c r="E47" s="13"/>
      <c r="F47" s="13"/>
      <c r="G47" s="13"/>
      <c r="H47" s="13"/>
      <c r="I47" s="154">
        <f>I46+K46</f>
        <v>1963</v>
      </c>
      <c r="J47" s="155"/>
      <c r="K47" s="155"/>
      <c r="L47" s="156"/>
      <c r="N47" s="35"/>
      <c r="O47" s="35"/>
      <c r="P47" s="35"/>
      <c r="Q47" s="35"/>
      <c r="R47" s="35"/>
    </row>
    <row r="49" spans="1:18" s="8" customFormat="1" ht="30" customHeight="1" x14ac:dyDescent="0.3">
      <c r="A49" s="133" t="s">
        <v>22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5"/>
      <c r="L49" s="135"/>
      <c r="M49" s="135"/>
      <c r="N49" s="135"/>
      <c r="O49" s="134"/>
      <c r="P49" s="134"/>
      <c r="Q49" s="134"/>
      <c r="R49" s="136"/>
    </row>
    <row r="50" spans="1:18" s="12" customFormat="1" ht="14.55" customHeight="1" x14ac:dyDescent="0.3">
      <c r="A50" s="128" t="s">
        <v>1</v>
      </c>
      <c r="B50" s="137" t="s">
        <v>2</v>
      </c>
      <c r="C50" s="137" t="s">
        <v>3</v>
      </c>
      <c r="D50" s="137" t="s">
        <v>4</v>
      </c>
      <c r="E50" s="124" t="s">
        <v>5</v>
      </c>
      <c r="F50" s="138" t="s">
        <v>14</v>
      </c>
      <c r="G50" s="138" t="s">
        <v>15</v>
      </c>
      <c r="H50" s="119" t="s">
        <v>27</v>
      </c>
      <c r="I50" s="121" t="s">
        <v>6</v>
      </c>
      <c r="J50" s="122"/>
      <c r="K50" s="122"/>
      <c r="L50" s="123"/>
      <c r="M50" s="124" t="s">
        <v>7</v>
      </c>
      <c r="N50" s="125"/>
      <c r="O50" s="128" t="s">
        <v>8</v>
      </c>
      <c r="P50" s="128" t="s">
        <v>9</v>
      </c>
      <c r="Q50" s="128"/>
      <c r="R50" s="128"/>
    </row>
    <row r="51" spans="1:18" s="12" customFormat="1" ht="13.05" customHeight="1" x14ac:dyDescent="0.3">
      <c r="A51" s="128"/>
      <c r="B51" s="137"/>
      <c r="C51" s="137"/>
      <c r="D51" s="137"/>
      <c r="E51" s="126"/>
      <c r="F51" s="139"/>
      <c r="G51" s="139"/>
      <c r="H51" s="120"/>
      <c r="I51" s="121" t="s">
        <v>23</v>
      </c>
      <c r="J51" s="123"/>
      <c r="K51" s="121" t="s">
        <v>11</v>
      </c>
      <c r="L51" s="123"/>
      <c r="M51" s="126"/>
      <c r="N51" s="127"/>
      <c r="O51" s="128"/>
      <c r="P51" s="128"/>
      <c r="Q51" s="128"/>
      <c r="R51" s="128"/>
    </row>
    <row r="52" spans="1:18" ht="14.55" customHeight="1" x14ac:dyDescent="0.3">
      <c r="A52" s="140" t="s">
        <v>28</v>
      </c>
      <c r="B52" s="5"/>
      <c r="C52" s="5"/>
      <c r="D52" s="4"/>
      <c r="E52" s="3" t="s">
        <v>250</v>
      </c>
      <c r="F52" s="19"/>
      <c r="G52" s="20"/>
      <c r="H52" s="28"/>
      <c r="I52" s="143"/>
      <c r="J52" s="144"/>
      <c r="K52" s="143"/>
      <c r="L52" s="144"/>
      <c r="M52" s="66"/>
      <c r="N52" s="6" t="s">
        <v>13</v>
      </c>
      <c r="O52" s="21"/>
      <c r="P52" s="168" t="s">
        <v>50</v>
      </c>
      <c r="Q52" s="169"/>
      <c r="R52" s="170"/>
    </row>
    <row r="53" spans="1:18" ht="14.55" customHeight="1" x14ac:dyDescent="0.3">
      <c r="A53" s="141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66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66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1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66"/>
      <c r="N55" s="6" t="s">
        <v>13</v>
      </c>
      <c r="O55" s="21"/>
      <c r="P55" s="168"/>
      <c r="Q55" s="169"/>
      <c r="R55" s="170"/>
    </row>
    <row r="56" spans="1:18" ht="14.55" customHeight="1" x14ac:dyDescent="0.3">
      <c r="A56" s="141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66"/>
      <c r="N56" s="6" t="s">
        <v>13</v>
      </c>
      <c r="O56" s="21"/>
      <c r="P56" s="168"/>
      <c r="Q56" s="169"/>
      <c r="R56" s="170"/>
    </row>
    <row r="57" spans="1:18" ht="14.55" customHeight="1" x14ac:dyDescent="0.3">
      <c r="A57" s="142"/>
      <c r="B57" s="148" t="s">
        <v>0</v>
      </c>
      <c r="C57" s="149"/>
      <c r="D57" s="149"/>
      <c r="E57" s="149"/>
      <c r="F57" s="149"/>
      <c r="G57" s="149"/>
      <c r="H57" s="171"/>
      <c r="I57" s="150">
        <f>SUM(I52:J56)</f>
        <v>0</v>
      </c>
      <c r="J57" s="151"/>
      <c r="K57" s="150">
        <f>SUM(K52:L56)</f>
        <v>0</v>
      </c>
      <c r="L57" s="151"/>
      <c r="M57" s="10">
        <f>SUM(M52:M56)</f>
        <v>0</v>
      </c>
      <c r="N57" s="11" t="s">
        <v>13</v>
      </c>
      <c r="O57" s="9"/>
      <c r="P57" s="168"/>
      <c r="Q57" s="169"/>
      <c r="R57" s="170"/>
    </row>
    <row r="58" spans="1:18" ht="14.55" customHeight="1" x14ac:dyDescent="0.3">
      <c r="A58" s="140" t="s">
        <v>24</v>
      </c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66"/>
      <c r="N58" s="6" t="s">
        <v>13</v>
      </c>
      <c r="O58" s="21"/>
      <c r="P58" s="157" t="s">
        <v>51</v>
      </c>
      <c r="Q58" s="158"/>
      <c r="R58" s="159"/>
    </row>
    <row r="59" spans="1:18" ht="14.55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66"/>
      <c r="N59" s="6" t="s">
        <v>13</v>
      </c>
      <c r="O59" s="21"/>
      <c r="P59" s="160"/>
      <c r="Q59" s="161"/>
      <c r="R59" s="162"/>
    </row>
    <row r="60" spans="1:18" ht="14.55" hidden="1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66"/>
      <c r="N60" s="6" t="s">
        <v>13</v>
      </c>
      <c r="O60" s="21"/>
      <c r="P60" s="160"/>
      <c r="Q60" s="161"/>
      <c r="R60" s="162"/>
    </row>
    <row r="61" spans="1:18" ht="14.55" hidden="1" customHeight="1" x14ac:dyDescent="0.3">
      <c r="A61" s="166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66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66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7"/>
      <c r="B63" s="148" t="s">
        <v>0</v>
      </c>
      <c r="C63" s="149"/>
      <c r="D63" s="149"/>
      <c r="E63" s="149"/>
      <c r="F63" s="149"/>
      <c r="G63" s="149"/>
      <c r="H63" s="171"/>
      <c r="I63" s="150">
        <f>SUM(I58:J62)</f>
        <v>0</v>
      </c>
      <c r="J63" s="151"/>
      <c r="K63" s="150">
        <f>SUM(K58:L62)</f>
        <v>0</v>
      </c>
      <c r="L63" s="151"/>
      <c r="M63" s="10">
        <f>SUM(M58:M62)</f>
        <v>0</v>
      </c>
      <c r="N63" s="11" t="s">
        <v>13</v>
      </c>
      <c r="O63" s="9"/>
      <c r="P63" s="163"/>
      <c r="Q63" s="164"/>
      <c r="R63" s="165"/>
    </row>
    <row r="64" spans="1:18" ht="14.55" customHeight="1" x14ac:dyDescent="0.3">
      <c r="A64" s="140" t="s">
        <v>25</v>
      </c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66"/>
      <c r="N64" s="6" t="s">
        <v>13</v>
      </c>
      <c r="O64" s="21"/>
      <c r="P64" s="145" t="s">
        <v>53</v>
      </c>
      <c r="Q64" s="169"/>
      <c r="R64" s="170"/>
    </row>
    <row r="65" spans="1:18" ht="14.55" hidden="1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66"/>
      <c r="N65" s="6" t="s">
        <v>13</v>
      </c>
      <c r="O65" s="21"/>
      <c r="P65" s="168"/>
      <c r="Q65" s="169"/>
      <c r="R65" s="170"/>
    </row>
    <row r="66" spans="1:18" ht="14.55" hidden="1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66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1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66"/>
      <c r="N67" s="6" t="s">
        <v>13</v>
      </c>
      <c r="O67" s="21"/>
      <c r="P67" s="168"/>
      <c r="Q67" s="169"/>
      <c r="R67" s="170"/>
    </row>
    <row r="68" spans="1:18" ht="14.55" customHeight="1" x14ac:dyDescent="0.3">
      <c r="A68" s="141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66"/>
      <c r="N68" s="6" t="s">
        <v>13</v>
      </c>
      <c r="O68" s="21"/>
      <c r="P68" s="168"/>
      <c r="Q68" s="169"/>
      <c r="R68" s="170"/>
    </row>
    <row r="69" spans="1:18" ht="14.55" customHeight="1" x14ac:dyDescent="0.3">
      <c r="A69" s="142"/>
      <c r="B69" s="148" t="s">
        <v>0</v>
      </c>
      <c r="C69" s="149"/>
      <c r="D69" s="149"/>
      <c r="E69" s="149"/>
      <c r="F69" s="149"/>
      <c r="G69" s="149"/>
      <c r="H69" s="149"/>
      <c r="I69" s="150">
        <f>SUM(I64:J68)</f>
        <v>0</v>
      </c>
      <c r="J69" s="151"/>
      <c r="K69" s="150">
        <f>SUM(K64:L68)</f>
        <v>0</v>
      </c>
      <c r="L69" s="151"/>
      <c r="M69" s="10">
        <f>SUM(M64:M68)</f>
        <v>0</v>
      </c>
      <c r="N69" s="11" t="s">
        <v>13</v>
      </c>
      <c r="O69" s="9"/>
      <c r="P69" s="168"/>
      <c r="Q69" s="169"/>
      <c r="R69" s="170"/>
    </row>
    <row r="71" spans="1:18" x14ac:dyDescent="0.3">
      <c r="E71" s="148" t="s">
        <v>26</v>
      </c>
      <c r="F71" s="149"/>
      <c r="G71" s="149"/>
      <c r="H71" s="149"/>
      <c r="I71" s="152" t="s">
        <v>23</v>
      </c>
      <c r="J71" s="153"/>
      <c r="K71" s="152" t="s">
        <v>11</v>
      </c>
      <c r="L71" s="153"/>
    </row>
    <row r="72" spans="1:18" s="36" customFormat="1" x14ac:dyDescent="0.3">
      <c r="E72" s="7"/>
      <c r="F72" s="7"/>
      <c r="G72" s="7"/>
      <c r="H72" s="7"/>
      <c r="I72" s="22">
        <f>I63+I69</f>
        <v>0</v>
      </c>
      <c r="J72" s="14" t="s">
        <v>12</v>
      </c>
      <c r="K72" s="22">
        <f>K63+K69</f>
        <v>0</v>
      </c>
      <c r="L72" s="15" t="s">
        <v>12</v>
      </c>
    </row>
    <row r="73" spans="1:18" ht="24.45" customHeight="1" x14ac:dyDescent="0.3">
      <c r="E73" s="13"/>
      <c r="F73" s="13"/>
      <c r="G73" s="13"/>
      <c r="H73" s="13"/>
      <c r="I73" s="154">
        <f>I72+K72</f>
        <v>0</v>
      </c>
      <c r="J73" s="155"/>
      <c r="K73" s="155"/>
      <c r="L73" s="156"/>
    </row>
    <row r="75" spans="1:18" s="8" customFormat="1" ht="30" customHeight="1" x14ac:dyDescent="0.3">
      <c r="A75" s="133" t="s">
        <v>131</v>
      </c>
      <c r="B75" s="134"/>
      <c r="C75" s="134"/>
      <c r="D75" s="134"/>
      <c r="E75" s="134"/>
      <c r="F75" s="134"/>
      <c r="G75" s="134"/>
      <c r="H75" s="134"/>
      <c r="I75" s="134"/>
      <c r="J75" s="134"/>
      <c r="K75" s="135"/>
      <c r="L75" s="135"/>
      <c r="M75" s="135"/>
      <c r="N75" s="135"/>
      <c r="O75" s="134"/>
      <c r="P75" s="134"/>
      <c r="Q75" s="134"/>
      <c r="R75" s="136"/>
    </row>
    <row r="76" spans="1:18" s="12" customFormat="1" ht="14.55" customHeight="1" x14ac:dyDescent="0.3">
      <c r="A76" s="128" t="s">
        <v>1</v>
      </c>
      <c r="B76" s="137" t="s">
        <v>2</v>
      </c>
      <c r="C76" s="137" t="s">
        <v>3</v>
      </c>
      <c r="D76" s="137" t="s">
        <v>4</v>
      </c>
      <c r="E76" s="124" t="s">
        <v>5</v>
      </c>
      <c r="F76" s="138" t="s">
        <v>14</v>
      </c>
      <c r="G76" s="138" t="s">
        <v>15</v>
      </c>
      <c r="H76" s="119" t="s">
        <v>27</v>
      </c>
      <c r="I76" s="121" t="s">
        <v>6</v>
      </c>
      <c r="J76" s="122"/>
      <c r="K76" s="122"/>
      <c r="L76" s="123"/>
      <c r="M76" s="124" t="s">
        <v>7</v>
      </c>
      <c r="N76" s="125"/>
      <c r="O76" s="128" t="s">
        <v>8</v>
      </c>
      <c r="P76" s="128" t="s">
        <v>9</v>
      </c>
      <c r="Q76" s="128"/>
      <c r="R76" s="128"/>
    </row>
    <row r="77" spans="1:18" s="12" customFormat="1" ht="13.05" customHeight="1" x14ac:dyDescent="0.3">
      <c r="A77" s="128"/>
      <c r="B77" s="137"/>
      <c r="C77" s="137"/>
      <c r="D77" s="137"/>
      <c r="E77" s="126"/>
      <c r="F77" s="139"/>
      <c r="G77" s="139"/>
      <c r="H77" s="120"/>
      <c r="I77" s="121" t="s">
        <v>23</v>
      </c>
      <c r="J77" s="123"/>
      <c r="K77" s="121" t="s">
        <v>11</v>
      </c>
      <c r="L77" s="123"/>
      <c r="M77" s="126"/>
      <c r="N77" s="127"/>
      <c r="O77" s="128"/>
      <c r="P77" s="128"/>
      <c r="Q77" s="128"/>
      <c r="R77" s="128"/>
    </row>
    <row r="78" spans="1:18" ht="14.55" customHeight="1" x14ac:dyDescent="0.3">
      <c r="A78" s="140" t="s">
        <v>132</v>
      </c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66"/>
      <c r="N78" s="6" t="s">
        <v>13</v>
      </c>
      <c r="O78" s="21"/>
      <c r="P78" s="157"/>
      <c r="Q78" s="158"/>
      <c r="R78" s="159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66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66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66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66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66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66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66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66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66"/>
      <c r="N87" s="6" t="s">
        <v>13</v>
      </c>
      <c r="O87" s="21"/>
      <c r="P87" s="160"/>
      <c r="Q87" s="161"/>
      <c r="R87" s="162"/>
    </row>
    <row r="88" spans="1:18" ht="14.55" customHeight="1" x14ac:dyDescent="0.3">
      <c r="A88" s="167"/>
      <c r="B88" s="148" t="s">
        <v>0</v>
      </c>
      <c r="C88" s="149"/>
      <c r="D88" s="149"/>
      <c r="E88" s="149"/>
      <c r="F88" s="149"/>
      <c r="G88" s="149"/>
      <c r="H88" s="149"/>
      <c r="I88" s="150">
        <f ca="1">SUM(I78:J88)</f>
        <v>0</v>
      </c>
      <c r="J88" s="151"/>
      <c r="K88" s="150">
        <f ca="1">SUM(K78:L88)</f>
        <v>0</v>
      </c>
      <c r="L88" s="151"/>
      <c r="M88" s="10">
        <f>SUM(M83:M87)</f>
        <v>0</v>
      </c>
      <c r="N88" s="11" t="s">
        <v>13</v>
      </c>
      <c r="O88" s="9"/>
      <c r="P88" s="163"/>
      <c r="Q88" s="164"/>
      <c r="R88" s="165"/>
    </row>
    <row r="90" spans="1:18" x14ac:dyDescent="0.3">
      <c r="E90" s="148" t="s">
        <v>26</v>
      </c>
      <c r="F90" s="149"/>
      <c r="G90" s="149"/>
      <c r="H90" s="149"/>
      <c r="I90" s="152" t="s">
        <v>23</v>
      </c>
      <c r="J90" s="153"/>
      <c r="K90" s="172" t="s">
        <v>11</v>
      </c>
      <c r="L90" s="153"/>
    </row>
    <row r="91" spans="1:18" s="36" customFormat="1" x14ac:dyDescent="0.3">
      <c r="E91" s="7"/>
      <c r="F91" s="7"/>
      <c r="G91" s="7"/>
      <c r="H91" s="7"/>
      <c r="I91" s="22">
        <f ca="1">I88</f>
        <v>0</v>
      </c>
      <c r="J91" s="14" t="s">
        <v>12</v>
      </c>
      <c r="K91" s="22">
        <f ca="1">K88</f>
        <v>0</v>
      </c>
      <c r="L91" s="15" t="s">
        <v>12</v>
      </c>
    </row>
    <row r="92" spans="1:18" ht="24.45" customHeight="1" x14ac:dyDescent="0.3">
      <c r="E92" s="13"/>
      <c r="F92" s="13"/>
      <c r="G92" s="13"/>
      <c r="H92" s="13"/>
      <c r="I92" s="154">
        <f ca="1">I91+K91</f>
        <v>0</v>
      </c>
      <c r="J92" s="155"/>
      <c r="K92" s="155"/>
      <c r="L92" s="156"/>
    </row>
  </sheetData>
  <mergeCells count="222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7:A11"/>
    <mergeCell ref="I7:J7"/>
    <mergeCell ref="K7:L7"/>
    <mergeCell ref="P7:R11"/>
    <mergeCell ref="I8:J8"/>
    <mergeCell ref="K8:L8"/>
    <mergeCell ref="B11:H11"/>
    <mergeCell ref="I11:J11"/>
    <mergeCell ref="K11:L11"/>
    <mergeCell ref="A22:A23"/>
    <mergeCell ref="B22:B23"/>
    <mergeCell ref="C22:C23"/>
    <mergeCell ref="D22:D23"/>
    <mergeCell ref="E22:E23"/>
    <mergeCell ref="F22:F23"/>
    <mergeCell ref="K15:L15"/>
    <mergeCell ref="E17:H17"/>
    <mergeCell ref="I17:J17"/>
    <mergeCell ref="K17:L17"/>
    <mergeCell ref="I19:L19"/>
    <mergeCell ref="A21:R21"/>
    <mergeCell ref="A12:A15"/>
    <mergeCell ref="I12:J12"/>
    <mergeCell ref="K12:L12"/>
    <mergeCell ref="P12:R15"/>
    <mergeCell ref="I13:J13"/>
    <mergeCell ref="K13:L13"/>
    <mergeCell ref="I14:J14"/>
    <mergeCell ref="K14:L14"/>
    <mergeCell ref="B15:H15"/>
    <mergeCell ref="I15:J15"/>
    <mergeCell ref="P24:R29"/>
    <mergeCell ref="I25:J25"/>
    <mergeCell ref="K25:L25"/>
    <mergeCell ref="I26:J26"/>
    <mergeCell ref="K26:L26"/>
    <mergeCell ref="I27:J27"/>
    <mergeCell ref="K27:L27"/>
    <mergeCell ref="G22:G23"/>
    <mergeCell ref="H22:H23"/>
    <mergeCell ref="I22:L22"/>
    <mergeCell ref="M22:N23"/>
    <mergeCell ref="O22:O23"/>
    <mergeCell ref="P22:R23"/>
    <mergeCell ref="I23:J23"/>
    <mergeCell ref="K23:L23"/>
    <mergeCell ref="I28:J28"/>
    <mergeCell ref="K28:L28"/>
    <mergeCell ref="B29:H29"/>
    <mergeCell ref="I29:J29"/>
    <mergeCell ref="K29:L29"/>
    <mergeCell ref="E31:H31"/>
    <mergeCell ref="I31:J31"/>
    <mergeCell ref="K31:L31"/>
    <mergeCell ref="A24:A29"/>
    <mergeCell ref="I24:J24"/>
    <mergeCell ref="K24:L24"/>
    <mergeCell ref="I36:L36"/>
    <mergeCell ref="M36:N37"/>
    <mergeCell ref="O36:O37"/>
    <mergeCell ref="P36:R37"/>
    <mergeCell ref="I37:J37"/>
    <mergeCell ref="K37:L37"/>
    <mergeCell ref="I33:L33"/>
    <mergeCell ref="A35:R35"/>
    <mergeCell ref="A36:A37"/>
    <mergeCell ref="B36:B37"/>
    <mergeCell ref="C36:C37"/>
    <mergeCell ref="D36:D37"/>
    <mergeCell ref="E36:E37"/>
    <mergeCell ref="F36:F37"/>
    <mergeCell ref="G36:G37"/>
    <mergeCell ref="H36:H37"/>
    <mergeCell ref="I42:J42"/>
    <mergeCell ref="K42:L42"/>
    <mergeCell ref="P42:R43"/>
    <mergeCell ref="B43:H43"/>
    <mergeCell ref="I43:J43"/>
    <mergeCell ref="K43:L43"/>
    <mergeCell ref="A38:A43"/>
    <mergeCell ref="I38:J38"/>
    <mergeCell ref="K38:L38"/>
    <mergeCell ref="P38:R41"/>
    <mergeCell ref="I39:J39"/>
    <mergeCell ref="K39:L39"/>
    <mergeCell ref="I40:J40"/>
    <mergeCell ref="K40:L40"/>
    <mergeCell ref="I41:J41"/>
    <mergeCell ref="K41:L41"/>
    <mergeCell ref="E45:H45"/>
    <mergeCell ref="I45:J45"/>
    <mergeCell ref="K45:L45"/>
    <mergeCell ref="I47:L47"/>
    <mergeCell ref="A49:R49"/>
    <mergeCell ref="A50:A51"/>
    <mergeCell ref="B50:B51"/>
    <mergeCell ref="C50:C51"/>
    <mergeCell ref="D50:D51"/>
    <mergeCell ref="E50:E51"/>
    <mergeCell ref="B57:H57"/>
    <mergeCell ref="I57:J57"/>
    <mergeCell ref="K57:L57"/>
    <mergeCell ref="P50:R51"/>
    <mergeCell ref="I51:J51"/>
    <mergeCell ref="K51:L51"/>
    <mergeCell ref="A52:A57"/>
    <mergeCell ref="I52:J52"/>
    <mergeCell ref="K52:L52"/>
    <mergeCell ref="P52:R57"/>
    <mergeCell ref="I53:J53"/>
    <mergeCell ref="K53:L53"/>
    <mergeCell ref="I54:J54"/>
    <mergeCell ref="F50:F51"/>
    <mergeCell ref="G50:G51"/>
    <mergeCell ref="H50:H51"/>
    <mergeCell ref="I50:L50"/>
    <mergeCell ref="M50:N51"/>
    <mergeCell ref="O50:O51"/>
    <mergeCell ref="P58:R63"/>
    <mergeCell ref="I59:J59"/>
    <mergeCell ref="K59:L59"/>
    <mergeCell ref="I60:J60"/>
    <mergeCell ref="K60:L60"/>
    <mergeCell ref="I61:J61"/>
    <mergeCell ref="K61:L61"/>
    <mergeCell ref="K54:L54"/>
    <mergeCell ref="I55:J55"/>
    <mergeCell ref="K55:L55"/>
    <mergeCell ref="I56:J56"/>
    <mergeCell ref="K56:L56"/>
    <mergeCell ref="I62:J62"/>
    <mergeCell ref="K62:L62"/>
    <mergeCell ref="B63:H63"/>
    <mergeCell ref="I63:J63"/>
    <mergeCell ref="K63:L63"/>
    <mergeCell ref="A64:A69"/>
    <mergeCell ref="I64:J64"/>
    <mergeCell ref="K64:L64"/>
    <mergeCell ref="B69:H69"/>
    <mergeCell ref="K69:L69"/>
    <mergeCell ref="A58:A63"/>
    <mergeCell ref="I58:J58"/>
    <mergeCell ref="K58:L58"/>
    <mergeCell ref="P64:R69"/>
    <mergeCell ref="I65:J65"/>
    <mergeCell ref="K65:L65"/>
    <mergeCell ref="I66:J66"/>
    <mergeCell ref="K66:L66"/>
    <mergeCell ref="I67:J67"/>
    <mergeCell ref="K67:L67"/>
    <mergeCell ref="I68:J68"/>
    <mergeCell ref="K68:L68"/>
    <mergeCell ref="I69:J69"/>
    <mergeCell ref="E71:H71"/>
    <mergeCell ref="I71:J71"/>
    <mergeCell ref="K71:L71"/>
    <mergeCell ref="I73:L73"/>
    <mergeCell ref="A75:R75"/>
    <mergeCell ref="A76:A77"/>
    <mergeCell ref="B76:B77"/>
    <mergeCell ref="C76:C77"/>
    <mergeCell ref="D76:D77"/>
    <mergeCell ref="E76:E77"/>
    <mergeCell ref="I83:J83"/>
    <mergeCell ref="K83:L83"/>
    <mergeCell ref="P76:R77"/>
    <mergeCell ref="I77:J77"/>
    <mergeCell ref="K77:L77"/>
    <mergeCell ref="A78:A88"/>
    <mergeCell ref="I78:J78"/>
    <mergeCell ref="K78:L78"/>
    <mergeCell ref="P78:R88"/>
    <mergeCell ref="I79:J79"/>
    <mergeCell ref="K79:L79"/>
    <mergeCell ref="I80:J80"/>
    <mergeCell ref="F76:F77"/>
    <mergeCell ref="G76:G77"/>
    <mergeCell ref="H76:H77"/>
    <mergeCell ref="I76:L76"/>
    <mergeCell ref="M76:N77"/>
    <mergeCell ref="O76:O77"/>
    <mergeCell ref="I92:L92"/>
    <mergeCell ref="I9:J9"/>
    <mergeCell ref="K9:L9"/>
    <mergeCell ref="I10:J10"/>
    <mergeCell ref="K10:L10"/>
    <mergeCell ref="I87:J87"/>
    <mergeCell ref="K87:L87"/>
    <mergeCell ref="B88:H88"/>
    <mergeCell ref="I88:J88"/>
    <mergeCell ref="K88:L88"/>
    <mergeCell ref="E90:H90"/>
    <mergeCell ref="I90:J90"/>
    <mergeCell ref="K90:L90"/>
    <mergeCell ref="I84:J84"/>
    <mergeCell ref="K84:L84"/>
    <mergeCell ref="I85:J85"/>
    <mergeCell ref="K85:L85"/>
    <mergeCell ref="I86:J86"/>
    <mergeCell ref="K86:L86"/>
    <mergeCell ref="K80:L80"/>
    <mergeCell ref="I81:J81"/>
    <mergeCell ref="K81:L81"/>
    <mergeCell ref="I82:J82"/>
    <mergeCell ref="K82:L82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2"/>
  <sheetViews>
    <sheetView zoomScale="85" zoomScaleNormal="85" workbookViewId="0">
      <selection activeCell="D7" sqref="D7"/>
    </sheetView>
  </sheetViews>
  <sheetFormatPr defaultColWidth="8.77734375" defaultRowHeight="14.4" x14ac:dyDescent="0.3"/>
  <cols>
    <col min="1" max="1" width="12.6640625" style="68" customWidth="1"/>
    <col min="2" max="3" width="7.6640625" style="68" customWidth="1"/>
    <col min="4" max="4" width="8.21875" style="1" bestFit="1" customWidth="1"/>
    <col min="5" max="5" width="63.77734375" style="68" bestFit="1" customWidth="1"/>
    <col min="6" max="6" width="5.6640625" style="68" customWidth="1"/>
    <col min="7" max="7" width="6.6640625" style="68" customWidth="1"/>
    <col min="8" max="8" width="15.6640625" style="68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68" customWidth="1"/>
    <col min="15" max="15" width="21.5546875" style="68" bestFit="1" customWidth="1"/>
    <col min="16" max="18" width="7.6640625" style="68" customWidth="1"/>
    <col min="19" max="16384" width="8.77734375" style="68"/>
  </cols>
  <sheetData>
    <row r="1" spans="1:18" x14ac:dyDescent="0.3">
      <c r="D1" s="68"/>
      <c r="I1" s="68"/>
      <c r="J1" s="68"/>
      <c r="K1" s="68"/>
      <c r="L1" s="68"/>
      <c r="M1" s="68"/>
    </row>
    <row r="2" spans="1:18" x14ac:dyDescent="0.3">
      <c r="D2" s="68"/>
      <c r="I2" s="68"/>
      <c r="J2" s="68"/>
      <c r="K2" s="68"/>
      <c r="L2" s="68"/>
      <c r="M2" s="68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45938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44">
        <v>250043</v>
      </c>
      <c r="E7" s="3" t="s">
        <v>256</v>
      </c>
      <c r="F7" s="19">
        <v>304</v>
      </c>
      <c r="G7" s="20">
        <v>0.6</v>
      </c>
      <c r="H7" s="28" t="s">
        <v>244</v>
      </c>
      <c r="I7" s="143"/>
      <c r="J7" s="144"/>
      <c r="K7" s="143">
        <v>600</v>
      </c>
      <c r="L7" s="144"/>
      <c r="M7" s="67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72">
        <v>250077</v>
      </c>
      <c r="E8" s="3" t="s">
        <v>259</v>
      </c>
      <c r="F8" s="19">
        <v>430</v>
      </c>
      <c r="G8" s="20">
        <v>0.5</v>
      </c>
      <c r="H8" s="28" t="s">
        <v>55</v>
      </c>
      <c r="I8" s="143"/>
      <c r="J8" s="144"/>
      <c r="K8" s="143">
        <v>1450</v>
      </c>
      <c r="L8" s="144"/>
      <c r="M8" s="67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>
        <v>0.70833333333333337</v>
      </c>
      <c r="D9" s="72">
        <v>250077</v>
      </c>
      <c r="E9" s="3" t="s">
        <v>260</v>
      </c>
      <c r="F9" s="19">
        <v>430</v>
      </c>
      <c r="G9" s="20">
        <v>0.5</v>
      </c>
      <c r="H9" s="70" t="s">
        <v>55</v>
      </c>
      <c r="I9" s="143"/>
      <c r="J9" s="144"/>
      <c r="K9" s="143">
        <v>800</v>
      </c>
      <c r="L9" s="144"/>
      <c r="M9" s="67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4"/>
      <c r="E10" s="69"/>
      <c r="F10" s="19"/>
      <c r="G10" s="20"/>
      <c r="H10" s="70"/>
      <c r="I10" s="143"/>
      <c r="J10" s="144"/>
      <c r="K10" s="143"/>
      <c r="L10" s="144"/>
      <c r="M10" s="67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SUM(I7:J8)</f>
        <v>0</v>
      </c>
      <c r="J11" s="151"/>
      <c r="K11" s="150">
        <f>SUM(K7:L8)</f>
        <v>2050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67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67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67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68"/>
      <c r="E16" s="1"/>
      <c r="F16" s="1"/>
      <c r="G16" s="1"/>
      <c r="H16" s="1"/>
      <c r="M16" s="68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0</v>
      </c>
      <c r="J18" s="14" t="s">
        <v>12</v>
      </c>
      <c r="K18" s="22">
        <f>K11+K15</f>
        <v>2050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2050</v>
      </c>
      <c r="J19" s="155"/>
      <c r="K19" s="155"/>
      <c r="L19" s="156"/>
    </row>
    <row r="20" spans="1:18" ht="15" customHeight="1" x14ac:dyDescent="0.3">
      <c r="D20" s="68"/>
      <c r="I20" s="68"/>
      <c r="J20" s="68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250043</v>
      </c>
      <c r="E24" s="3" t="s">
        <v>255</v>
      </c>
      <c r="F24" s="19">
        <v>304</v>
      </c>
      <c r="G24" s="20">
        <v>0.6</v>
      </c>
      <c r="H24" s="28" t="s">
        <v>137</v>
      </c>
      <c r="I24" s="143"/>
      <c r="J24" s="144"/>
      <c r="K24" s="143">
        <v>616</v>
      </c>
      <c r="L24" s="144"/>
      <c r="M24" s="67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>
        <v>270825</v>
      </c>
      <c r="E25" s="3" t="s">
        <v>257</v>
      </c>
      <c r="F25" s="19">
        <v>430</v>
      </c>
      <c r="G25" s="20">
        <v>0.5</v>
      </c>
      <c r="H25" s="28" t="s">
        <v>137</v>
      </c>
      <c r="I25" s="143">
        <v>400</v>
      </c>
      <c r="J25" s="144"/>
      <c r="K25" s="143"/>
      <c r="L25" s="144"/>
      <c r="M25" s="67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>
        <v>0.70833333333333337</v>
      </c>
      <c r="D26" s="4">
        <v>250043</v>
      </c>
      <c r="E26" s="3" t="s">
        <v>256</v>
      </c>
      <c r="F26" s="19">
        <v>304</v>
      </c>
      <c r="G26" s="20">
        <v>0.6</v>
      </c>
      <c r="H26" s="28" t="s">
        <v>137</v>
      </c>
      <c r="I26" s="143">
        <v>252</v>
      </c>
      <c r="J26" s="144"/>
      <c r="K26" s="143"/>
      <c r="L26" s="144"/>
      <c r="M26" s="67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/>
      <c r="E27" s="3"/>
      <c r="F27" s="19"/>
      <c r="G27" s="20"/>
      <c r="H27" s="28"/>
      <c r="I27" s="143"/>
      <c r="J27" s="144"/>
      <c r="K27" s="143"/>
      <c r="L27" s="144"/>
      <c r="M27" s="67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67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7"/>
      <c r="B29" s="148" t="s">
        <v>0</v>
      </c>
      <c r="C29" s="149"/>
      <c r="D29" s="149"/>
      <c r="E29" s="149"/>
      <c r="F29" s="149"/>
      <c r="G29" s="149"/>
      <c r="H29" s="149"/>
      <c r="I29" s="150">
        <f>SUM(I24:J28)</f>
        <v>652</v>
      </c>
      <c r="J29" s="151"/>
      <c r="K29" s="150">
        <f>SUM(K24:L28)</f>
        <v>616</v>
      </c>
      <c r="L29" s="151"/>
      <c r="M29" s="10">
        <f>SUM(M28:M28)</f>
        <v>0</v>
      </c>
      <c r="N29" s="11" t="s">
        <v>13</v>
      </c>
      <c r="O29" s="9"/>
      <c r="P29" s="163"/>
      <c r="Q29" s="164"/>
      <c r="R29" s="165"/>
    </row>
    <row r="30" spans="1:18" ht="14.55" customHeight="1" x14ac:dyDescent="0.3">
      <c r="D30" s="68"/>
      <c r="E30" s="1"/>
      <c r="F30" s="1"/>
      <c r="G30" s="1"/>
      <c r="H30" s="1"/>
      <c r="M30" s="68"/>
    </row>
    <row r="31" spans="1:18" x14ac:dyDescent="0.3">
      <c r="E31" s="148" t="s">
        <v>33</v>
      </c>
      <c r="F31" s="149"/>
      <c r="G31" s="149"/>
      <c r="H31" s="149"/>
      <c r="I31" s="152" t="s">
        <v>19</v>
      </c>
      <c r="J31" s="153"/>
      <c r="K31" s="152" t="s">
        <v>20</v>
      </c>
      <c r="L31" s="153"/>
    </row>
    <row r="32" spans="1:18" s="36" customFormat="1" x14ac:dyDescent="0.3">
      <c r="E32" s="7"/>
      <c r="F32" s="7"/>
      <c r="G32" s="7"/>
      <c r="H32" s="7"/>
      <c r="I32" s="22">
        <f>I29</f>
        <v>652</v>
      </c>
      <c r="J32" s="14" t="s">
        <v>12</v>
      </c>
      <c r="K32" s="22">
        <f>K29</f>
        <v>616</v>
      </c>
      <c r="L32" s="15" t="s">
        <v>12</v>
      </c>
    </row>
    <row r="33" spans="1:18" ht="24.45" customHeight="1" x14ac:dyDescent="0.3">
      <c r="E33" s="13"/>
      <c r="F33" s="13"/>
      <c r="G33" s="13"/>
      <c r="H33" s="13"/>
      <c r="I33" s="154">
        <f>I32+K32</f>
        <v>1268</v>
      </c>
      <c r="J33" s="155"/>
      <c r="K33" s="155"/>
      <c r="L33" s="156"/>
    </row>
    <row r="35" spans="1:18" s="8" customFormat="1" ht="30" customHeight="1" x14ac:dyDescent="0.3">
      <c r="A35" s="133" t="s">
        <v>30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5"/>
      <c r="L35" s="135"/>
      <c r="M35" s="135"/>
      <c r="N35" s="135"/>
      <c r="O35" s="134"/>
      <c r="P35" s="134"/>
      <c r="Q35" s="134"/>
      <c r="R35" s="136"/>
    </row>
    <row r="36" spans="1:18" s="12" customFormat="1" ht="14.55" customHeight="1" x14ac:dyDescent="0.3">
      <c r="A36" s="128" t="s">
        <v>1</v>
      </c>
      <c r="B36" s="137" t="s">
        <v>2</v>
      </c>
      <c r="C36" s="137" t="s">
        <v>3</v>
      </c>
      <c r="D36" s="137" t="s">
        <v>4</v>
      </c>
      <c r="E36" s="124" t="s">
        <v>5</v>
      </c>
      <c r="F36" s="138" t="s">
        <v>14</v>
      </c>
      <c r="G36" s="138" t="s">
        <v>15</v>
      </c>
      <c r="H36" s="119" t="s">
        <v>29</v>
      </c>
      <c r="I36" s="121" t="s">
        <v>6</v>
      </c>
      <c r="J36" s="122"/>
      <c r="K36" s="122"/>
      <c r="L36" s="123"/>
      <c r="M36" s="124" t="s">
        <v>7</v>
      </c>
      <c r="N36" s="125"/>
      <c r="O36" s="128" t="s">
        <v>8</v>
      </c>
      <c r="P36" s="128" t="s">
        <v>9</v>
      </c>
      <c r="Q36" s="128"/>
      <c r="R36" s="128"/>
    </row>
    <row r="37" spans="1:18" s="12" customFormat="1" ht="13.05" customHeight="1" x14ac:dyDescent="0.3">
      <c r="A37" s="128"/>
      <c r="B37" s="137"/>
      <c r="C37" s="137"/>
      <c r="D37" s="137"/>
      <c r="E37" s="126"/>
      <c r="F37" s="139"/>
      <c r="G37" s="139"/>
      <c r="H37" s="120"/>
      <c r="I37" s="121" t="s">
        <v>19</v>
      </c>
      <c r="J37" s="123"/>
      <c r="K37" s="121" t="s">
        <v>20</v>
      </c>
      <c r="L37" s="123"/>
      <c r="M37" s="126"/>
      <c r="N37" s="127"/>
      <c r="O37" s="128"/>
      <c r="P37" s="128"/>
      <c r="Q37" s="128"/>
      <c r="R37" s="128"/>
    </row>
    <row r="38" spans="1:18" ht="14.55" customHeight="1" x14ac:dyDescent="0.3">
      <c r="A38" s="140" t="s">
        <v>35</v>
      </c>
      <c r="B38" s="5">
        <v>0.33333333333333331</v>
      </c>
      <c r="C38" s="5"/>
      <c r="D38" s="4">
        <v>250068</v>
      </c>
      <c r="E38" s="3" t="s">
        <v>218</v>
      </c>
      <c r="F38" s="19">
        <v>304</v>
      </c>
      <c r="G38" s="20">
        <v>0.6</v>
      </c>
      <c r="H38" s="28" t="s">
        <v>130</v>
      </c>
      <c r="I38" s="143"/>
      <c r="J38" s="144"/>
      <c r="K38" s="143">
        <v>1631</v>
      </c>
      <c r="L38" s="144"/>
      <c r="M38" s="67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66"/>
      <c r="B39" s="5"/>
      <c r="C39" s="5"/>
      <c r="D39" s="4">
        <v>250068</v>
      </c>
      <c r="E39" s="3" t="s">
        <v>235</v>
      </c>
      <c r="F39" s="19">
        <v>304</v>
      </c>
      <c r="G39" s="20">
        <v>0.6</v>
      </c>
      <c r="H39" s="28" t="s">
        <v>130</v>
      </c>
      <c r="I39" s="143"/>
      <c r="J39" s="144"/>
      <c r="K39" s="143">
        <v>243</v>
      </c>
      <c r="L39" s="144"/>
      <c r="M39" s="67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>
        <v>0.70833333333333337</v>
      </c>
      <c r="D40" s="4">
        <v>250069</v>
      </c>
      <c r="E40" s="3" t="s">
        <v>234</v>
      </c>
      <c r="F40" s="19">
        <v>304</v>
      </c>
      <c r="G40" s="20">
        <v>0.6</v>
      </c>
      <c r="H40" s="28" t="s">
        <v>130</v>
      </c>
      <c r="I40" s="143"/>
      <c r="J40" s="144"/>
      <c r="K40" s="143">
        <v>136</v>
      </c>
      <c r="L40" s="144"/>
      <c r="M40" s="67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67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67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7"/>
      <c r="B43" s="148" t="s">
        <v>0</v>
      </c>
      <c r="C43" s="149"/>
      <c r="D43" s="149"/>
      <c r="E43" s="149"/>
      <c r="F43" s="149"/>
      <c r="G43" s="149"/>
      <c r="H43" s="149"/>
      <c r="I43" s="150">
        <f>SUM(I38:J42)</f>
        <v>0</v>
      </c>
      <c r="J43" s="151"/>
      <c r="K43" s="150">
        <f>SUM(K38:L42)</f>
        <v>2010</v>
      </c>
      <c r="L43" s="151"/>
      <c r="M43" s="10">
        <f>SUM(M42:M42)</f>
        <v>0</v>
      </c>
      <c r="N43" s="11" t="s">
        <v>13</v>
      </c>
      <c r="O43" s="9"/>
      <c r="P43" s="168"/>
      <c r="Q43" s="169"/>
      <c r="R43" s="170"/>
    </row>
    <row r="44" spans="1:18" ht="14.55" customHeight="1" x14ac:dyDescent="0.3">
      <c r="D44" s="68"/>
      <c r="E44" s="1"/>
      <c r="F44" s="1"/>
      <c r="G44" s="1"/>
      <c r="H44" s="1"/>
      <c r="M44" s="68"/>
    </row>
    <row r="45" spans="1:18" x14ac:dyDescent="0.3">
      <c r="E45" s="148" t="s">
        <v>34</v>
      </c>
      <c r="F45" s="149"/>
      <c r="G45" s="149"/>
      <c r="H45" s="149"/>
      <c r="I45" s="152" t="s">
        <v>19</v>
      </c>
      <c r="J45" s="153"/>
      <c r="K45" s="152" t="s">
        <v>20</v>
      </c>
      <c r="L45" s="153"/>
    </row>
    <row r="46" spans="1:18" s="36" customFormat="1" x14ac:dyDescent="0.3">
      <c r="E46" s="7"/>
      <c r="F46" s="7"/>
      <c r="G46" s="7"/>
      <c r="H46" s="7"/>
      <c r="I46" s="22">
        <f>I43</f>
        <v>0</v>
      </c>
      <c r="J46" s="14" t="s">
        <v>12</v>
      </c>
      <c r="K46" s="22">
        <f>K43</f>
        <v>2010</v>
      </c>
      <c r="L46" s="15" t="s">
        <v>12</v>
      </c>
    </row>
    <row r="47" spans="1:18" s="1" customFormat="1" ht="24.45" customHeight="1" x14ac:dyDescent="0.3">
      <c r="A47" s="68"/>
      <c r="B47" s="68"/>
      <c r="C47" s="68"/>
      <c r="E47" s="13"/>
      <c r="F47" s="13"/>
      <c r="G47" s="13"/>
      <c r="H47" s="13"/>
      <c r="I47" s="154">
        <f>I46+K46</f>
        <v>2010</v>
      </c>
      <c r="J47" s="155"/>
      <c r="K47" s="155"/>
      <c r="L47" s="156"/>
      <c r="N47" s="68"/>
      <c r="O47" s="68"/>
      <c r="P47" s="68"/>
      <c r="Q47" s="68"/>
      <c r="R47" s="68"/>
    </row>
    <row r="49" spans="1:18" s="8" customFormat="1" ht="30" customHeight="1" x14ac:dyDescent="0.3">
      <c r="A49" s="133" t="s">
        <v>22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5"/>
      <c r="L49" s="135"/>
      <c r="M49" s="135"/>
      <c r="N49" s="135"/>
      <c r="O49" s="134"/>
      <c r="P49" s="134"/>
      <c r="Q49" s="134"/>
      <c r="R49" s="136"/>
    </row>
    <row r="50" spans="1:18" s="12" customFormat="1" ht="14.55" customHeight="1" x14ac:dyDescent="0.3">
      <c r="A50" s="128" t="s">
        <v>1</v>
      </c>
      <c r="B50" s="137" t="s">
        <v>2</v>
      </c>
      <c r="C50" s="137" t="s">
        <v>3</v>
      </c>
      <c r="D50" s="137" t="s">
        <v>4</v>
      </c>
      <c r="E50" s="124" t="s">
        <v>5</v>
      </c>
      <c r="F50" s="138" t="s">
        <v>14</v>
      </c>
      <c r="G50" s="138" t="s">
        <v>15</v>
      </c>
      <c r="H50" s="119" t="s">
        <v>27</v>
      </c>
      <c r="I50" s="121" t="s">
        <v>6</v>
      </c>
      <c r="J50" s="122"/>
      <c r="K50" s="122"/>
      <c r="L50" s="123"/>
      <c r="M50" s="124" t="s">
        <v>7</v>
      </c>
      <c r="N50" s="125"/>
      <c r="O50" s="128" t="s">
        <v>8</v>
      </c>
      <c r="P50" s="128" t="s">
        <v>9</v>
      </c>
      <c r="Q50" s="128"/>
      <c r="R50" s="128"/>
    </row>
    <row r="51" spans="1:18" s="12" customFormat="1" ht="13.05" customHeight="1" x14ac:dyDescent="0.3">
      <c r="A51" s="128"/>
      <c r="B51" s="137"/>
      <c r="C51" s="137"/>
      <c r="D51" s="137"/>
      <c r="E51" s="126"/>
      <c r="F51" s="139"/>
      <c r="G51" s="139"/>
      <c r="H51" s="120"/>
      <c r="I51" s="121" t="s">
        <v>23</v>
      </c>
      <c r="J51" s="123"/>
      <c r="K51" s="121" t="s">
        <v>11</v>
      </c>
      <c r="L51" s="123"/>
      <c r="M51" s="126"/>
      <c r="N51" s="127"/>
      <c r="O51" s="128"/>
      <c r="P51" s="128"/>
      <c r="Q51" s="128"/>
      <c r="R51" s="128"/>
    </row>
    <row r="52" spans="1:18" ht="14.55" customHeight="1" x14ac:dyDescent="0.3">
      <c r="A52" s="140" t="s">
        <v>28</v>
      </c>
      <c r="B52" s="5"/>
      <c r="C52" s="5"/>
      <c r="D52" s="4"/>
      <c r="E52" s="3" t="s">
        <v>250</v>
      </c>
      <c r="F52" s="19"/>
      <c r="G52" s="20"/>
      <c r="H52" s="28"/>
      <c r="I52" s="143"/>
      <c r="J52" s="144"/>
      <c r="K52" s="143"/>
      <c r="L52" s="144"/>
      <c r="M52" s="67"/>
      <c r="N52" s="6" t="s">
        <v>13</v>
      </c>
      <c r="O52" s="21"/>
      <c r="P52" s="168" t="s">
        <v>50</v>
      </c>
      <c r="Q52" s="169"/>
      <c r="R52" s="170"/>
    </row>
    <row r="53" spans="1:18" ht="14.55" customHeight="1" x14ac:dyDescent="0.3">
      <c r="A53" s="141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67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67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1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67"/>
      <c r="N55" s="6" t="s">
        <v>13</v>
      </c>
      <c r="O55" s="21"/>
      <c r="P55" s="168"/>
      <c r="Q55" s="169"/>
      <c r="R55" s="170"/>
    </row>
    <row r="56" spans="1:18" ht="14.55" customHeight="1" x14ac:dyDescent="0.3">
      <c r="A56" s="141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67"/>
      <c r="N56" s="6" t="s">
        <v>13</v>
      </c>
      <c r="O56" s="21"/>
      <c r="P56" s="168"/>
      <c r="Q56" s="169"/>
      <c r="R56" s="170"/>
    </row>
    <row r="57" spans="1:18" ht="14.55" customHeight="1" x14ac:dyDescent="0.3">
      <c r="A57" s="142"/>
      <c r="B57" s="148" t="s">
        <v>0</v>
      </c>
      <c r="C57" s="149"/>
      <c r="D57" s="149"/>
      <c r="E57" s="149"/>
      <c r="F57" s="149"/>
      <c r="G57" s="149"/>
      <c r="H57" s="171"/>
      <c r="I57" s="150">
        <f>SUM(I52:J56)</f>
        <v>0</v>
      </c>
      <c r="J57" s="151"/>
      <c r="K57" s="150">
        <f>SUM(K52:L56)</f>
        <v>0</v>
      </c>
      <c r="L57" s="151"/>
      <c r="M57" s="10">
        <f>SUM(M52:M56)</f>
        <v>0</v>
      </c>
      <c r="N57" s="11" t="s">
        <v>13</v>
      </c>
      <c r="O57" s="9"/>
      <c r="P57" s="168"/>
      <c r="Q57" s="169"/>
      <c r="R57" s="170"/>
    </row>
    <row r="58" spans="1:18" ht="14.55" customHeight="1" x14ac:dyDescent="0.3">
      <c r="A58" s="140" t="s">
        <v>24</v>
      </c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67"/>
      <c r="N58" s="6" t="s">
        <v>13</v>
      </c>
      <c r="O58" s="21"/>
      <c r="P58" s="157" t="s">
        <v>51</v>
      </c>
      <c r="Q58" s="158"/>
      <c r="R58" s="159"/>
    </row>
    <row r="59" spans="1:18" ht="14.55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67"/>
      <c r="N59" s="6" t="s">
        <v>13</v>
      </c>
      <c r="O59" s="21"/>
      <c r="P59" s="160"/>
      <c r="Q59" s="161"/>
      <c r="R59" s="162"/>
    </row>
    <row r="60" spans="1:18" ht="14.55" hidden="1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67"/>
      <c r="N60" s="6" t="s">
        <v>13</v>
      </c>
      <c r="O60" s="21"/>
      <c r="P60" s="160"/>
      <c r="Q60" s="161"/>
      <c r="R60" s="162"/>
    </row>
    <row r="61" spans="1:18" ht="14.55" hidden="1" customHeight="1" x14ac:dyDescent="0.3">
      <c r="A61" s="166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67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67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7"/>
      <c r="B63" s="148" t="s">
        <v>0</v>
      </c>
      <c r="C63" s="149"/>
      <c r="D63" s="149"/>
      <c r="E63" s="149"/>
      <c r="F63" s="149"/>
      <c r="G63" s="149"/>
      <c r="H63" s="171"/>
      <c r="I63" s="150">
        <f>SUM(I58:J62)</f>
        <v>0</v>
      </c>
      <c r="J63" s="151"/>
      <c r="K63" s="150">
        <f>SUM(K58:L62)</f>
        <v>0</v>
      </c>
      <c r="L63" s="151"/>
      <c r="M63" s="10">
        <f>SUM(M58:M62)</f>
        <v>0</v>
      </c>
      <c r="N63" s="11" t="s">
        <v>13</v>
      </c>
      <c r="O63" s="9"/>
      <c r="P63" s="163"/>
      <c r="Q63" s="164"/>
      <c r="R63" s="165"/>
    </row>
    <row r="64" spans="1:18" ht="14.55" customHeight="1" x14ac:dyDescent="0.3">
      <c r="A64" s="140" t="s">
        <v>25</v>
      </c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67"/>
      <c r="N64" s="6" t="s">
        <v>13</v>
      </c>
      <c r="O64" s="21"/>
      <c r="P64" s="145" t="s">
        <v>53</v>
      </c>
      <c r="Q64" s="169"/>
      <c r="R64" s="170"/>
    </row>
    <row r="65" spans="1:18" ht="14.55" hidden="1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67"/>
      <c r="N65" s="6" t="s">
        <v>13</v>
      </c>
      <c r="O65" s="21"/>
      <c r="P65" s="168"/>
      <c r="Q65" s="169"/>
      <c r="R65" s="170"/>
    </row>
    <row r="66" spans="1:18" ht="14.55" hidden="1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67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1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67"/>
      <c r="N67" s="6" t="s">
        <v>13</v>
      </c>
      <c r="O67" s="21"/>
      <c r="P67" s="168"/>
      <c r="Q67" s="169"/>
      <c r="R67" s="170"/>
    </row>
    <row r="68" spans="1:18" ht="14.55" customHeight="1" x14ac:dyDescent="0.3">
      <c r="A68" s="141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67"/>
      <c r="N68" s="6" t="s">
        <v>13</v>
      </c>
      <c r="O68" s="21"/>
      <c r="P68" s="168"/>
      <c r="Q68" s="169"/>
      <c r="R68" s="170"/>
    </row>
    <row r="69" spans="1:18" ht="14.55" customHeight="1" x14ac:dyDescent="0.3">
      <c r="A69" s="142"/>
      <c r="B69" s="148" t="s">
        <v>0</v>
      </c>
      <c r="C69" s="149"/>
      <c r="D69" s="149"/>
      <c r="E69" s="149"/>
      <c r="F69" s="149"/>
      <c r="G69" s="149"/>
      <c r="H69" s="149"/>
      <c r="I69" s="150">
        <f>SUM(I64:J68)</f>
        <v>0</v>
      </c>
      <c r="J69" s="151"/>
      <c r="K69" s="150">
        <f>SUM(K64:L68)</f>
        <v>0</v>
      </c>
      <c r="L69" s="151"/>
      <c r="M69" s="10">
        <f>SUM(M64:M68)</f>
        <v>0</v>
      </c>
      <c r="N69" s="11" t="s">
        <v>13</v>
      </c>
      <c r="O69" s="9"/>
      <c r="P69" s="168"/>
      <c r="Q69" s="169"/>
      <c r="R69" s="170"/>
    </row>
    <row r="71" spans="1:18" x14ac:dyDescent="0.3">
      <c r="E71" s="148" t="s">
        <v>26</v>
      </c>
      <c r="F71" s="149"/>
      <c r="G71" s="149"/>
      <c r="H71" s="149"/>
      <c r="I71" s="152" t="s">
        <v>23</v>
      </c>
      <c r="J71" s="153"/>
      <c r="K71" s="152" t="s">
        <v>11</v>
      </c>
      <c r="L71" s="153"/>
    </row>
    <row r="72" spans="1:18" s="36" customFormat="1" x14ac:dyDescent="0.3">
      <c r="E72" s="7"/>
      <c r="F72" s="7"/>
      <c r="G72" s="7"/>
      <c r="H72" s="7"/>
      <c r="I72" s="22">
        <f>I63+I69</f>
        <v>0</v>
      </c>
      <c r="J72" s="14" t="s">
        <v>12</v>
      </c>
      <c r="K72" s="22">
        <f>K63+K69</f>
        <v>0</v>
      </c>
      <c r="L72" s="15" t="s">
        <v>12</v>
      </c>
    </row>
    <row r="73" spans="1:18" ht="24.45" customHeight="1" x14ac:dyDescent="0.3">
      <c r="E73" s="13"/>
      <c r="F73" s="13"/>
      <c r="G73" s="13"/>
      <c r="H73" s="13"/>
      <c r="I73" s="154">
        <f>I72+K72</f>
        <v>0</v>
      </c>
      <c r="J73" s="155"/>
      <c r="K73" s="155"/>
      <c r="L73" s="156"/>
    </row>
    <row r="75" spans="1:18" s="8" customFormat="1" ht="30" customHeight="1" x14ac:dyDescent="0.3">
      <c r="A75" s="133" t="s">
        <v>131</v>
      </c>
      <c r="B75" s="134"/>
      <c r="C75" s="134"/>
      <c r="D75" s="134"/>
      <c r="E75" s="134"/>
      <c r="F75" s="134"/>
      <c r="G75" s="134"/>
      <c r="H75" s="134"/>
      <c r="I75" s="134"/>
      <c r="J75" s="134"/>
      <c r="K75" s="135"/>
      <c r="L75" s="135"/>
      <c r="M75" s="135"/>
      <c r="N75" s="135"/>
      <c r="O75" s="134"/>
      <c r="P75" s="134"/>
      <c r="Q75" s="134"/>
      <c r="R75" s="136"/>
    </row>
    <row r="76" spans="1:18" s="12" customFormat="1" ht="14.55" customHeight="1" x14ac:dyDescent="0.3">
      <c r="A76" s="128" t="s">
        <v>1</v>
      </c>
      <c r="B76" s="137" t="s">
        <v>2</v>
      </c>
      <c r="C76" s="137" t="s">
        <v>3</v>
      </c>
      <c r="D76" s="137" t="s">
        <v>4</v>
      </c>
      <c r="E76" s="124" t="s">
        <v>5</v>
      </c>
      <c r="F76" s="138" t="s">
        <v>14</v>
      </c>
      <c r="G76" s="138" t="s">
        <v>15</v>
      </c>
      <c r="H76" s="119" t="s">
        <v>27</v>
      </c>
      <c r="I76" s="121" t="s">
        <v>6</v>
      </c>
      <c r="J76" s="122"/>
      <c r="K76" s="122"/>
      <c r="L76" s="123"/>
      <c r="M76" s="124" t="s">
        <v>7</v>
      </c>
      <c r="N76" s="125"/>
      <c r="O76" s="128" t="s">
        <v>8</v>
      </c>
      <c r="P76" s="128" t="s">
        <v>9</v>
      </c>
      <c r="Q76" s="128"/>
      <c r="R76" s="128"/>
    </row>
    <row r="77" spans="1:18" s="12" customFormat="1" ht="13.05" customHeight="1" x14ac:dyDescent="0.3">
      <c r="A77" s="128"/>
      <c r="B77" s="137"/>
      <c r="C77" s="137"/>
      <c r="D77" s="137"/>
      <c r="E77" s="126"/>
      <c r="F77" s="139"/>
      <c r="G77" s="139"/>
      <c r="H77" s="120"/>
      <c r="I77" s="121" t="s">
        <v>23</v>
      </c>
      <c r="J77" s="123"/>
      <c r="K77" s="121" t="s">
        <v>11</v>
      </c>
      <c r="L77" s="123"/>
      <c r="M77" s="126"/>
      <c r="N77" s="127"/>
      <c r="O77" s="128"/>
      <c r="P77" s="128"/>
      <c r="Q77" s="128"/>
      <c r="R77" s="128"/>
    </row>
    <row r="78" spans="1:18" ht="14.55" customHeight="1" x14ac:dyDescent="0.3">
      <c r="A78" s="140" t="s">
        <v>132</v>
      </c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67"/>
      <c r="N78" s="6" t="s">
        <v>13</v>
      </c>
      <c r="O78" s="21"/>
      <c r="P78" s="157"/>
      <c r="Q78" s="158"/>
      <c r="R78" s="159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67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67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67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67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67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67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67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67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67"/>
      <c r="N87" s="6" t="s">
        <v>13</v>
      </c>
      <c r="O87" s="21"/>
      <c r="P87" s="160"/>
      <c r="Q87" s="161"/>
      <c r="R87" s="162"/>
    </row>
    <row r="88" spans="1:18" ht="14.55" customHeight="1" x14ac:dyDescent="0.3">
      <c r="A88" s="167"/>
      <c r="B88" s="148" t="s">
        <v>0</v>
      </c>
      <c r="C88" s="149"/>
      <c r="D88" s="149"/>
      <c r="E88" s="149"/>
      <c r="F88" s="149"/>
      <c r="G88" s="149"/>
      <c r="H88" s="149"/>
      <c r="I88" s="150">
        <f ca="1">SUM(I78:J88)</f>
        <v>0</v>
      </c>
      <c r="J88" s="151"/>
      <c r="K88" s="150">
        <f ca="1">SUM(K78:L88)</f>
        <v>0</v>
      </c>
      <c r="L88" s="151"/>
      <c r="M88" s="10">
        <f>SUM(M83:M87)</f>
        <v>0</v>
      </c>
      <c r="N88" s="11" t="s">
        <v>13</v>
      </c>
      <c r="O88" s="9"/>
      <c r="P88" s="163"/>
      <c r="Q88" s="164"/>
      <c r="R88" s="165"/>
    </row>
    <row r="90" spans="1:18" x14ac:dyDescent="0.3">
      <c r="E90" s="148" t="s">
        <v>26</v>
      </c>
      <c r="F90" s="149"/>
      <c r="G90" s="149"/>
      <c r="H90" s="149"/>
      <c r="I90" s="152" t="s">
        <v>23</v>
      </c>
      <c r="J90" s="153"/>
      <c r="K90" s="172" t="s">
        <v>11</v>
      </c>
      <c r="L90" s="153"/>
    </row>
    <row r="91" spans="1:18" s="36" customFormat="1" x14ac:dyDescent="0.3">
      <c r="E91" s="7"/>
      <c r="F91" s="7"/>
      <c r="G91" s="7"/>
      <c r="H91" s="7"/>
      <c r="I91" s="22">
        <f ca="1">I88</f>
        <v>0</v>
      </c>
      <c r="J91" s="14" t="s">
        <v>12</v>
      </c>
      <c r="K91" s="22">
        <f ca="1">K88</f>
        <v>0</v>
      </c>
      <c r="L91" s="15" t="s">
        <v>12</v>
      </c>
    </row>
    <row r="92" spans="1:18" ht="24.45" customHeight="1" x14ac:dyDescent="0.3">
      <c r="E92" s="13"/>
      <c r="F92" s="13"/>
      <c r="G92" s="13"/>
      <c r="H92" s="13"/>
      <c r="I92" s="154">
        <f ca="1">I91+K91</f>
        <v>0</v>
      </c>
      <c r="J92" s="155"/>
      <c r="K92" s="155"/>
      <c r="L92" s="156"/>
    </row>
  </sheetData>
  <mergeCells count="222">
    <mergeCell ref="A78:A88"/>
    <mergeCell ref="I78:J78"/>
    <mergeCell ref="K78:L78"/>
    <mergeCell ref="I92:L92"/>
    <mergeCell ref="B88:H88"/>
    <mergeCell ref="I88:J88"/>
    <mergeCell ref="K88:L88"/>
    <mergeCell ref="E90:H90"/>
    <mergeCell ref="I90:J90"/>
    <mergeCell ref="K90:L90"/>
    <mergeCell ref="I85:J85"/>
    <mergeCell ref="K85:L85"/>
    <mergeCell ref="I86:J86"/>
    <mergeCell ref="K86:L86"/>
    <mergeCell ref="I87:J87"/>
    <mergeCell ref="K87:L87"/>
    <mergeCell ref="P78:R88"/>
    <mergeCell ref="I79:J79"/>
    <mergeCell ref="K79:L79"/>
    <mergeCell ref="I80:J80"/>
    <mergeCell ref="K80:L80"/>
    <mergeCell ref="I81:J81"/>
    <mergeCell ref="K81:L81"/>
    <mergeCell ref="I76:L76"/>
    <mergeCell ref="M76:N77"/>
    <mergeCell ref="O76:O77"/>
    <mergeCell ref="P76:R77"/>
    <mergeCell ref="I77:J77"/>
    <mergeCell ref="K77:L77"/>
    <mergeCell ref="I82:J82"/>
    <mergeCell ref="K82:L82"/>
    <mergeCell ref="I83:J83"/>
    <mergeCell ref="K83:L83"/>
    <mergeCell ref="I84:J84"/>
    <mergeCell ref="K84:L84"/>
    <mergeCell ref="I73:L73"/>
    <mergeCell ref="A75:R75"/>
    <mergeCell ref="A76:A77"/>
    <mergeCell ref="B76:B77"/>
    <mergeCell ref="C76:C77"/>
    <mergeCell ref="D76:D77"/>
    <mergeCell ref="E76:E77"/>
    <mergeCell ref="F76:F77"/>
    <mergeCell ref="G76:G77"/>
    <mergeCell ref="H76:H77"/>
    <mergeCell ref="B69:H69"/>
    <mergeCell ref="I69:J69"/>
    <mergeCell ref="K69:L69"/>
    <mergeCell ref="E71:H71"/>
    <mergeCell ref="I71:J71"/>
    <mergeCell ref="K71:L71"/>
    <mergeCell ref="A64:A69"/>
    <mergeCell ref="I64:J64"/>
    <mergeCell ref="K64:L64"/>
    <mergeCell ref="P64:R69"/>
    <mergeCell ref="I65:J65"/>
    <mergeCell ref="K65:L65"/>
    <mergeCell ref="I66:J66"/>
    <mergeCell ref="K66:L66"/>
    <mergeCell ref="I67:J67"/>
    <mergeCell ref="K67:L67"/>
    <mergeCell ref="P58:R63"/>
    <mergeCell ref="I59:J59"/>
    <mergeCell ref="K59:L59"/>
    <mergeCell ref="I60:J60"/>
    <mergeCell ref="K60:L60"/>
    <mergeCell ref="I61:J61"/>
    <mergeCell ref="K61:L61"/>
    <mergeCell ref="I62:J62"/>
    <mergeCell ref="K62:L62"/>
    <mergeCell ref="I63:J63"/>
    <mergeCell ref="I68:J68"/>
    <mergeCell ref="K68:L68"/>
    <mergeCell ref="B57:H57"/>
    <mergeCell ref="I57:J57"/>
    <mergeCell ref="K57:L57"/>
    <mergeCell ref="A58:A63"/>
    <mergeCell ref="I58:J58"/>
    <mergeCell ref="K58:L58"/>
    <mergeCell ref="B63:H63"/>
    <mergeCell ref="K63:L63"/>
    <mergeCell ref="A52:A57"/>
    <mergeCell ref="I52:J52"/>
    <mergeCell ref="K52:L52"/>
    <mergeCell ref="P52:R57"/>
    <mergeCell ref="I53:J53"/>
    <mergeCell ref="K53:L53"/>
    <mergeCell ref="I54:J54"/>
    <mergeCell ref="K54:L54"/>
    <mergeCell ref="I55:J55"/>
    <mergeCell ref="K55:L55"/>
    <mergeCell ref="I50:L50"/>
    <mergeCell ref="M50:N51"/>
    <mergeCell ref="O50:O51"/>
    <mergeCell ref="P50:R51"/>
    <mergeCell ref="I51:J51"/>
    <mergeCell ref="K51:L51"/>
    <mergeCell ref="I56:J56"/>
    <mergeCell ref="K56:L56"/>
    <mergeCell ref="A49:R49"/>
    <mergeCell ref="A50:A51"/>
    <mergeCell ref="B50:B51"/>
    <mergeCell ref="C50:C51"/>
    <mergeCell ref="D50:D51"/>
    <mergeCell ref="E50:E51"/>
    <mergeCell ref="F50:F51"/>
    <mergeCell ref="G50:G51"/>
    <mergeCell ref="H50:H51"/>
    <mergeCell ref="E45:H45"/>
    <mergeCell ref="I45:J45"/>
    <mergeCell ref="K45:L45"/>
    <mergeCell ref="K40:L40"/>
    <mergeCell ref="I41:J41"/>
    <mergeCell ref="K41:L41"/>
    <mergeCell ref="I42:J42"/>
    <mergeCell ref="K42:L42"/>
    <mergeCell ref="I47:L47"/>
    <mergeCell ref="P42:R43"/>
    <mergeCell ref="P36:R37"/>
    <mergeCell ref="I37:J37"/>
    <mergeCell ref="K37:L37"/>
    <mergeCell ref="A38:A43"/>
    <mergeCell ref="I38:J38"/>
    <mergeCell ref="K38:L38"/>
    <mergeCell ref="P38:R41"/>
    <mergeCell ref="I39:J39"/>
    <mergeCell ref="K39:L39"/>
    <mergeCell ref="I40:J40"/>
    <mergeCell ref="F36:F37"/>
    <mergeCell ref="G36:G37"/>
    <mergeCell ref="H36:H37"/>
    <mergeCell ref="I36:L36"/>
    <mergeCell ref="M36:N37"/>
    <mergeCell ref="O36:O37"/>
    <mergeCell ref="B43:H43"/>
    <mergeCell ref="I43:J43"/>
    <mergeCell ref="K43:L43"/>
    <mergeCell ref="E31:H31"/>
    <mergeCell ref="I31:J31"/>
    <mergeCell ref="K31:L31"/>
    <mergeCell ref="I33:L33"/>
    <mergeCell ref="A35:R35"/>
    <mergeCell ref="A36:A37"/>
    <mergeCell ref="B36:B37"/>
    <mergeCell ref="C36:C37"/>
    <mergeCell ref="D36:D37"/>
    <mergeCell ref="E36:E37"/>
    <mergeCell ref="A24:A29"/>
    <mergeCell ref="I24:J24"/>
    <mergeCell ref="K24:L24"/>
    <mergeCell ref="P24:R29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I27:J27"/>
    <mergeCell ref="K27:L27"/>
    <mergeCell ref="I28:J28"/>
    <mergeCell ref="K28:L28"/>
    <mergeCell ref="B29:H29"/>
    <mergeCell ref="I29:J29"/>
    <mergeCell ref="K29:L29"/>
    <mergeCell ref="P22:R23"/>
    <mergeCell ref="I23:J23"/>
    <mergeCell ref="K23:L23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0"/>
  <sheetViews>
    <sheetView topLeftCell="A4" zoomScale="85" zoomScaleNormal="85" workbookViewId="0">
      <selection activeCell="B11" sqref="B11:H11"/>
    </sheetView>
  </sheetViews>
  <sheetFormatPr defaultColWidth="8.77734375" defaultRowHeight="14.4" x14ac:dyDescent="0.3"/>
  <cols>
    <col min="1" max="1" width="12.6640625" style="68" customWidth="1"/>
    <col min="2" max="3" width="7.6640625" style="68" customWidth="1"/>
    <col min="4" max="4" width="8.21875" style="1" bestFit="1" customWidth="1"/>
    <col min="5" max="5" width="63.77734375" style="68" bestFit="1" customWidth="1"/>
    <col min="6" max="6" width="5.6640625" style="68" customWidth="1"/>
    <col min="7" max="7" width="6.6640625" style="68" customWidth="1"/>
    <col min="8" max="8" width="15.6640625" style="68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68" customWidth="1"/>
    <col min="15" max="15" width="21.5546875" style="68" bestFit="1" customWidth="1"/>
    <col min="16" max="18" width="7.6640625" style="68" customWidth="1"/>
    <col min="19" max="16384" width="8.77734375" style="68"/>
  </cols>
  <sheetData>
    <row r="1" spans="1:18" x14ac:dyDescent="0.3">
      <c r="D1" s="68"/>
      <c r="I1" s="68"/>
      <c r="J1" s="68"/>
      <c r="K1" s="68"/>
      <c r="L1" s="68"/>
      <c r="M1" s="68"/>
    </row>
    <row r="2" spans="1:18" x14ac:dyDescent="0.3">
      <c r="D2" s="68"/>
      <c r="I2" s="68"/>
      <c r="J2" s="68"/>
      <c r="K2" s="68"/>
      <c r="L2" s="68"/>
      <c r="M2" s="68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45939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72">
        <v>250077</v>
      </c>
      <c r="E7" s="3" t="s">
        <v>261</v>
      </c>
      <c r="F7" s="19">
        <v>430</v>
      </c>
      <c r="G7" s="20">
        <v>0.5</v>
      </c>
      <c r="H7" s="28" t="s">
        <v>55</v>
      </c>
      <c r="I7" s="143">
        <v>650</v>
      </c>
      <c r="J7" s="144"/>
      <c r="K7" s="143"/>
      <c r="L7" s="144"/>
      <c r="M7" s="71">
        <v>45</v>
      </c>
      <c r="N7" s="6" t="s">
        <v>13</v>
      </c>
      <c r="O7" s="21" t="s">
        <v>60</v>
      </c>
      <c r="P7" s="145"/>
      <c r="Q7" s="146"/>
      <c r="R7" s="147"/>
    </row>
    <row r="8" spans="1:18" ht="14.55" customHeight="1" x14ac:dyDescent="0.3">
      <c r="A8" s="141"/>
      <c r="B8" s="5"/>
      <c r="C8" s="5"/>
      <c r="D8" s="44">
        <v>250043</v>
      </c>
      <c r="E8" s="3" t="s">
        <v>262</v>
      </c>
      <c r="F8" s="19">
        <v>304</v>
      </c>
      <c r="G8" s="20">
        <v>0.6</v>
      </c>
      <c r="H8" s="28" t="s">
        <v>244</v>
      </c>
      <c r="I8" s="143"/>
      <c r="J8" s="144"/>
      <c r="K8" s="143">
        <v>1100</v>
      </c>
      <c r="L8" s="144"/>
      <c r="M8" s="71">
        <v>45</v>
      </c>
      <c r="N8" s="6" t="s">
        <v>13</v>
      </c>
      <c r="O8" s="21" t="s">
        <v>60</v>
      </c>
      <c r="P8" s="145"/>
      <c r="Q8" s="146"/>
      <c r="R8" s="147"/>
    </row>
    <row r="9" spans="1:18" ht="14.55" customHeight="1" x14ac:dyDescent="0.3">
      <c r="A9" s="141"/>
      <c r="B9" s="5"/>
      <c r="C9" s="5"/>
      <c r="D9" s="72">
        <v>250044</v>
      </c>
      <c r="E9" s="3" t="s">
        <v>254</v>
      </c>
      <c r="F9" s="19">
        <v>304</v>
      </c>
      <c r="G9" s="20">
        <v>0.6</v>
      </c>
      <c r="H9" s="70" t="s">
        <v>244</v>
      </c>
      <c r="I9" s="143"/>
      <c r="J9" s="144"/>
      <c r="K9" s="143">
        <v>100</v>
      </c>
      <c r="L9" s="144"/>
      <c r="M9" s="71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>
        <v>0.70833333333333337</v>
      </c>
      <c r="D10" s="4">
        <v>250073</v>
      </c>
      <c r="E10" s="69" t="s">
        <v>263</v>
      </c>
      <c r="F10" s="19">
        <v>304</v>
      </c>
      <c r="G10" s="20">
        <v>0.6</v>
      </c>
      <c r="H10" s="70" t="s">
        <v>55</v>
      </c>
      <c r="I10" s="143">
        <v>250</v>
      </c>
      <c r="J10" s="144"/>
      <c r="K10" s="143"/>
      <c r="L10" s="144"/>
      <c r="M10" s="71">
        <v>45</v>
      </c>
      <c r="N10" s="6" t="s">
        <v>13</v>
      </c>
      <c r="O10" s="21" t="s">
        <v>60</v>
      </c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900</v>
      </c>
      <c r="J11" s="151"/>
      <c r="K11" s="150">
        <f>SUM(K7:L10)</f>
        <v>1200</v>
      </c>
      <c r="L11" s="151"/>
      <c r="M11" s="10">
        <f>SUM(M7:M8)</f>
        <v>90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71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71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71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68"/>
      <c r="E16" s="1"/>
      <c r="F16" s="1"/>
      <c r="G16" s="1"/>
      <c r="H16" s="1"/>
      <c r="M16" s="68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900</v>
      </c>
      <c r="J18" s="14" t="s">
        <v>12</v>
      </c>
      <c r="K18" s="22">
        <f>K11+K15</f>
        <v>1200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2100</v>
      </c>
      <c r="J19" s="155"/>
      <c r="K19" s="155"/>
      <c r="L19" s="156"/>
    </row>
    <row r="20" spans="1:18" ht="15" customHeight="1" x14ac:dyDescent="0.3">
      <c r="D20" s="68"/>
      <c r="I20" s="68"/>
      <c r="J20" s="68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250043</v>
      </c>
      <c r="E24" s="3" t="s">
        <v>256</v>
      </c>
      <c r="F24" s="19">
        <v>304</v>
      </c>
      <c r="G24" s="20">
        <v>0.6</v>
      </c>
      <c r="H24" s="28" t="s">
        <v>137</v>
      </c>
      <c r="I24" s="143"/>
      <c r="J24" s="144"/>
      <c r="K24" s="143">
        <v>504</v>
      </c>
      <c r="L24" s="144"/>
      <c r="M24" s="71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>
        <v>250043</v>
      </c>
      <c r="E25" s="3" t="s">
        <v>262</v>
      </c>
      <c r="F25" s="19">
        <v>304</v>
      </c>
      <c r="G25" s="20">
        <v>0.6</v>
      </c>
      <c r="H25" s="28" t="s">
        <v>137</v>
      </c>
      <c r="I25" s="143"/>
      <c r="J25" s="144"/>
      <c r="K25" s="143">
        <v>504</v>
      </c>
      <c r="L25" s="144"/>
      <c r="M25" s="71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>
        <v>270825</v>
      </c>
      <c r="E26" s="3" t="s">
        <v>264</v>
      </c>
      <c r="F26" s="19">
        <v>430</v>
      </c>
      <c r="G26" s="20">
        <v>0.5</v>
      </c>
      <c r="H26" s="28" t="s">
        <v>137</v>
      </c>
      <c r="I26" s="143">
        <v>400</v>
      </c>
      <c r="J26" s="144"/>
      <c r="K26" s="143"/>
      <c r="L26" s="144"/>
      <c r="M26" s="71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>
        <v>0.70833333333333337</v>
      </c>
      <c r="D27" s="4">
        <v>270825</v>
      </c>
      <c r="E27" s="3" t="s">
        <v>265</v>
      </c>
      <c r="F27" s="19">
        <v>430</v>
      </c>
      <c r="G27" s="20">
        <v>0.5</v>
      </c>
      <c r="H27" s="28" t="s">
        <v>137</v>
      </c>
      <c r="I27" s="143">
        <v>752</v>
      </c>
      <c r="J27" s="144"/>
      <c r="K27" s="143"/>
      <c r="L27" s="144"/>
      <c r="M27" s="71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71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7"/>
      <c r="B29" s="148" t="s">
        <v>0</v>
      </c>
      <c r="C29" s="149"/>
      <c r="D29" s="149"/>
      <c r="E29" s="149"/>
      <c r="F29" s="149"/>
      <c r="G29" s="149"/>
      <c r="H29" s="149"/>
      <c r="I29" s="150">
        <f>SUM(I24:J28)</f>
        <v>1152</v>
      </c>
      <c r="J29" s="151"/>
      <c r="K29" s="150">
        <f>SUM(K24:L28)</f>
        <v>1008</v>
      </c>
      <c r="L29" s="151"/>
      <c r="M29" s="10">
        <f>SUM(M28:M28)</f>
        <v>0</v>
      </c>
      <c r="N29" s="11" t="s">
        <v>13</v>
      </c>
      <c r="O29" s="9"/>
      <c r="P29" s="163"/>
      <c r="Q29" s="164"/>
      <c r="R29" s="165"/>
    </row>
    <row r="30" spans="1:18" ht="14.55" customHeight="1" x14ac:dyDescent="0.3">
      <c r="D30" s="68"/>
      <c r="E30" s="1"/>
      <c r="F30" s="1"/>
      <c r="G30" s="1"/>
      <c r="H30" s="1"/>
      <c r="M30" s="68"/>
    </row>
    <row r="31" spans="1:18" x14ac:dyDescent="0.3">
      <c r="E31" s="148" t="s">
        <v>33</v>
      </c>
      <c r="F31" s="149"/>
      <c r="G31" s="149"/>
      <c r="H31" s="149"/>
      <c r="I31" s="152" t="s">
        <v>19</v>
      </c>
      <c r="J31" s="153"/>
      <c r="K31" s="152" t="s">
        <v>20</v>
      </c>
      <c r="L31" s="153"/>
    </row>
    <row r="32" spans="1:18" s="36" customFormat="1" x14ac:dyDescent="0.3">
      <c r="E32" s="7"/>
      <c r="F32" s="7"/>
      <c r="G32" s="7"/>
      <c r="H32" s="7"/>
      <c r="I32" s="22">
        <f>I29</f>
        <v>1152</v>
      </c>
      <c r="J32" s="14" t="s">
        <v>12</v>
      </c>
      <c r="K32" s="22">
        <f>K29</f>
        <v>1008</v>
      </c>
      <c r="L32" s="15" t="s">
        <v>12</v>
      </c>
    </row>
    <row r="33" spans="1:18" ht="24.45" customHeight="1" x14ac:dyDescent="0.3">
      <c r="E33" s="13"/>
      <c r="F33" s="13"/>
      <c r="G33" s="13"/>
      <c r="H33" s="13"/>
      <c r="I33" s="154">
        <f>I32+K32</f>
        <v>2160</v>
      </c>
      <c r="J33" s="155"/>
      <c r="K33" s="155"/>
      <c r="L33" s="156"/>
    </row>
    <row r="35" spans="1:18" s="8" customFormat="1" ht="30" customHeight="1" x14ac:dyDescent="0.3">
      <c r="A35" s="133" t="s">
        <v>30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5"/>
      <c r="L35" s="135"/>
      <c r="M35" s="135"/>
      <c r="N35" s="135"/>
      <c r="O35" s="134"/>
      <c r="P35" s="134"/>
      <c r="Q35" s="134"/>
      <c r="R35" s="136"/>
    </row>
    <row r="36" spans="1:18" s="12" customFormat="1" ht="14.55" customHeight="1" x14ac:dyDescent="0.3">
      <c r="A36" s="128" t="s">
        <v>1</v>
      </c>
      <c r="B36" s="137" t="s">
        <v>2</v>
      </c>
      <c r="C36" s="137" t="s">
        <v>3</v>
      </c>
      <c r="D36" s="137" t="s">
        <v>4</v>
      </c>
      <c r="E36" s="124" t="s">
        <v>5</v>
      </c>
      <c r="F36" s="138" t="s">
        <v>14</v>
      </c>
      <c r="G36" s="138" t="s">
        <v>15</v>
      </c>
      <c r="H36" s="119" t="s">
        <v>29</v>
      </c>
      <c r="I36" s="121" t="s">
        <v>6</v>
      </c>
      <c r="J36" s="122"/>
      <c r="K36" s="122"/>
      <c r="L36" s="123"/>
      <c r="M36" s="124" t="s">
        <v>7</v>
      </c>
      <c r="N36" s="125"/>
      <c r="O36" s="128" t="s">
        <v>8</v>
      </c>
      <c r="P36" s="128" t="s">
        <v>9</v>
      </c>
      <c r="Q36" s="128"/>
      <c r="R36" s="128"/>
    </row>
    <row r="37" spans="1:18" s="12" customFormat="1" ht="13.05" customHeight="1" x14ac:dyDescent="0.3">
      <c r="A37" s="128"/>
      <c r="B37" s="137"/>
      <c r="C37" s="137"/>
      <c r="D37" s="137"/>
      <c r="E37" s="126"/>
      <c r="F37" s="139"/>
      <c r="G37" s="139"/>
      <c r="H37" s="120"/>
      <c r="I37" s="121" t="s">
        <v>19</v>
      </c>
      <c r="J37" s="123"/>
      <c r="K37" s="121" t="s">
        <v>20</v>
      </c>
      <c r="L37" s="123"/>
      <c r="M37" s="126"/>
      <c r="N37" s="127"/>
      <c r="O37" s="128"/>
      <c r="P37" s="128"/>
      <c r="Q37" s="128"/>
      <c r="R37" s="128"/>
    </row>
    <row r="38" spans="1:18" ht="14.55" customHeight="1" x14ac:dyDescent="0.3">
      <c r="A38" s="140" t="s">
        <v>35</v>
      </c>
      <c r="B38" s="5">
        <v>0.33333333333333331</v>
      </c>
      <c r="C38" s="5"/>
      <c r="D38" s="4">
        <v>250054</v>
      </c>
      <c r="E38" s="3" t="s">
        <v>266</v>
      </c>
      <c r="F38" s="19">
        <v>304</v>
      </c>
      <c r="G38" s="20">
        <v>0.7</v>
      </c>
      <c r="H38" s="28" t="s">
        <v>130</v>
      </c>
      <c r="I38" s="143">
        <v>734</v>
      </c>
      <c r="J38" s="144"/>
      <c r="K38" s="143"/>
      <c r="L38" s="144"/>
      <c r="M38" s="71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66"/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71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71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7"/>
      <c r="B41" s="148" t="s">
        <v>0</v>
      </c>
      <c r="C41" s="149"/>
      <c r="D41" s="149"/>
      <c r="E41" s="149"/>
      <c r="F41" s="149"/>
      <c r="G41" s="149"/>
      <c r="H41" s="149"/>
      <c r="I41" s="150">
        <f>SUM(I38:J40)</f>
        <v>734</v>
      </c>
      <c r="J41" s="151"/>
      <c r="K41" s="150">
        <f>SUM(K38:L40)</f>
        <v>0</v>
      </c>
      <c r="L41" s="151"/>
      <c r="M41" s="10">
        <f>SUM(M40:M40)</f>
        <v>0</v>
      </c>
      <c r="N41" s="11" t="s">
        <v>13</v>
      </c>
      <c r="O41" s="9"/>
      <c r="P41" s="168"/>
      <c r="Q41" s="169"/>
      <c r="R41" s="170"/>
    </row>
    <row r="42" spans="1:18" ht="14.55" customHeight="1" x14ac:dyDescent="0.3">
      <c r="D42" s="68"/>
      <c r="E42" s="1"/>
      <c r="F42" s="1"/>
      <c r="G42" s="1"/>
      <c r="H42" s="1"/>
      <c r="M42" s="68"/>
    </row>
    <row r="43" spans="1:18" x14ac:dyDescent="0.3">
      <c r="E43" s="148" t="s">
        <v>34</v>
      </c>
      <c r="F43" s="149"/>
      <c r="G43" s="149"/>
      <c r="H43" s="149"/>
      <c r="I43" s="152" t="s">
        <v>19</v>
      </c>
      <c r="J43" s="153"/>
      <c r="K43" s="152" t="s">
        <v>20</v>
      </c>
      <c r="L43" s="153"/>
    </row>
    <row r="44" spans="1:18" s="36" customFormat="1" x14ac:dyDescent="0.3">
      <c r="E44" s="7"/>
      <c r="F44" s="7"/>
      <c r="G44" s="7"/>
      <c r="H44" s="7"/>
      <c r="I44" s="22">
        <f>I41</f>
        <v>734</v>
      </c>
      <c r="J44" s="14" t="s">
        <v>12</v>
      </c>
      <c r="K44" s="22">
        <f>K41</f>
        <v>0</v>
      </c>
      <c r="L44" s="15" t="s">
        <v>12</v>
      </c>
    </row>
    <row r="45" spans="1:18" s="1" customFormat="1" ht="24.45" customHeight="1" x14ac:dyDescent="0.3">
      <c r="A45" s="68"/>
      <c r="B45" s="68"/>
      <c r="C45" s="68"/>
      <c r="E45" s="13"/>
      <c r="F45" s="13"/>
      <c r="G45" s="13"/>
      <c r="H45" s="13"/>
      <c r="I45" s="154">
        <f>I44+K44</f>
        <v>734</v>
      </c>
      <c r="J45" s="155"/>
      <c r="K45" s="155"/>
      <c r="L45" s="156"/>
      <c r="N45" s="68"/>
      <c r="O45" s="68"/>
      <c r="P45" s="68"/>
      <c r="Q45" s="68"/>
      <c r="R45" s="68"/>
    </row>
    <row r="47" spans="1:18" s="8" customFormat="1" ht="30" customHeight="1" x14ac:dyDescent="0.3">
      <c r="A47" s="133" t="s">
        <v>22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5"/>
      <c r="L47" s="135"/>
      <c r="M47" s="135"/>
      <c r="N47" s="135"/>
      <c r="O47" s="134"/>
      <c r="P47" s="134"/>
      <c r="Q47" s="134"/>
      <c r="R47" s="136"/>
    </row>
    <row r="48" spans="1:18" s="12" customFormat="1" ht="14.55" customHeight="1" x14ac:dyDescent="0.3">
      <c r="A48" s="128" t="s">
        <v>1</v>
      </c>
      <c r="B48" s="137" t="s">
        <v>2</v>
      </c>
      <c r="C48" s="137" t="s">
        <v>3</v>
      </c>
      <c r="D48" s="137" t="s">
        <v>4</v>
      </c>
      <c r="E48" s="124" t="s">
        <v>5</v>
      </c>
      <c r="F48" s="138" t="s">
        <v>14</v>
      </c>
      <c r="G48" s="138" t="s">
        <v>15</v>
      </c>
      <c r="H48" s="119" t="s">
        <v>27</v>
      </c>
      <c r="I48" s="121" t="s">
        <v>6</v>
      </c>
      <c r="J48" s="122"/>
      <c r="K48" s="122"/>
      <c r="L48" s="123"/>
      <c r="M48" s="124" t="s">
        <v>7</v>
      </c>
      <c r="N48" s="125"/>
      <c r="O48" s="128" t="s">
        <v>8</v>
      </c>
      <c r="P48" s="128" t="s">
        <v>9</v>
      </c>
      <c r="Q48" s="128"/>
      <c r="R48" s="128"/>
    </row>
    <row r="49" spans="1:18" s="12" customFormat="1" ht="13.05" customHeight="1" x14ac:dyDescent="0.3">
      <c r="A49" s="128"/>
      <c r="B49" s="137"/>
      <c r="C49" s="137"/>
      <c r="D49" s="137"/>
      <c r="E49" s="126"/>
      <c r="F49" s="139"/>
      <c r="G49" s="139"/>
      <c r="H49" s="120"/>
      <c r="I49" s="121" t="s">
        <v>23</v>
      </c>
      <c r="J49" s="123"/>
      <c r="K49" s="121" t="s">
        <v>11</v>
      </c>
      <c r="L49" s="123"/>
      <c r="M49" s="126"/>
      <c r="N49" s="127"/>
      <c r="O49" s="128"/>
      <c r="P49" s="128"/>
      <c r="Q49" s="128"/>
      <c r="R49" s="128"/>
    </row>
    <row r="50" spans="1:18" ht="14.55" customHeight="1" x14ac:dyDescent="0.3">
      <c r="A50" s="140" t="s">
        <v>28</v>
      </c>
      <c r="B50" s="5"/>
      <c r="C50" s="5"/>
      <c r="D50" s="4"/>
      <c r="E50" s="3" t="s">
        <v>267</v>
      </c>
      <c r="F50" s="19"/>
      <c r="G50" s="20"/>
      <c r="H50" s="28"/>
      <c r="I50" s="143"/>
      <c r="J50" s="144"/>
      <c r="K50" s="143"/>
      <c r="L50" s="144"/>
      <c r="M50" s="71"/>
      <c r="N50" s="6" t="s">
        <v>13</v>
      </c>
      <c r="O50" s="21"/>
      <c r="P50" s="168" t="s">
        <v>50</v>
      </c>
      <c r="Q50" s="169"/>
      <c r="R50" s="170"/>
    </row>
    <row r="51" spans="1:18" ht="14.55" customHeight="1" x14ac:dyDescent="0.3">
      <c r="A51" s="141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71"/>
      <c r="N51" s="6" t="s">
        <v>13</v>
      </c>
      <c r="O51" s="21"/>
      <c r="P51" s="168"/>
      <c r="Q51" s="169"/>
      <c r="R51" s="170"/>
    </row>
    <row r="52" spans="1:18" ht="14.55" customHeight="1" x14ac:dyDescent="0.3">
      <c r="A52" s="141"/>
      <c r="B52" s="5"/>
      <c r="C52" s="5"/>
      <c r="D52" s="4"/>
      <c r="E52" s="3"/>
      <c r="F52" s="19"/>
      <c r="G52" s="20"/>
      <c r="H52" s="28"/>
      <c r="I52" s="143"/>
      <c r="J52" s="144"/>
      <c r="K52" s="143"/>
      <c r="L52" s="144"/>
      <c r="M52" s="71"/>
      <c r="N52" s="6" t="s">
        <v>13</v>
      </c>
      <c r="O52" s="21"/>
      <c r="P52" s="168"/>
      <c r="Q52" s="169"/>
      <c r="R52" s="170"/>
    </row>
    <row r="53" spans="1:18" ht="14.55" customHeight="1" x14ac:dyDescent="0.3">
      <c r="A53" s="141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71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71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2"/>
      <c r="B55" s="148" t="s">
        <v>0</v>
      </c>
      <c r="C55" s="149"/>
      <c r="D55" s="149"/>
      <c r="E55" s="149"/>
      <c r="F55" s="149"/>
      <c r="G55" s="149"/>
      <c r="H55" s="171"/>
      <c r="I55" s="150">
        <f>SUM(I50:J54)</f>
        <v>0</v>
      </c>
      <c r="J55" s="151"/>
      <c r="K55" s="150">
        <f>SUM(K50:L54)</f>
        <v>0</v>
      </c>
      <c r="L55" s="151"/>
      <c r="M55" s="10">
        <f>SUM(M50:M54)</f>
        <v>0</v>
      </c>
      <c r="N55" s="11" t="s">
        <v>13</v>
      </c>
      <c r="O55" s="9"/>
      <c r="P55" s="168"/>
      <c r="Q55" s="169"/>
      <c r="R55" s="170"/>
    </row>
    <row r="56" spans="1:18" ht="14.55" customHeight="1" x14ac:dyDescent="0.3">
      <c r="A56" s="140" t="s">
        <v>24</v>
      </c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71"/>
      <c r="N56" s="6" t="s">
        <v>13</v>
      </c>
      <c r="O56" s="21"/>
      <c r="P56" s="157" t="s">
        <v>51</v>
      </c>
      <c r="Q56" s="158"/>
      <c r="R56" s="159"/>
    </row>
    <row r="57" spans="1:18" ht="14.55" customHeight="1" x14ac:dyDescent="0.3">
      <c r="A57" s="166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71"/>
      <c r="N57" s="6" t="s">
        <v>13</v>
      </c>
      <c r="O57" s="21"/>
      <c r="P57" s="160"/>
      <c r="Q57" s="161"/>
      <c r="R57" s="162"/>
    </row>
    <row r="58" spans="1:18" ht="14.55" hidden="1" customHeight="1" x14ac:dyDescent="0.3">
      <c r="A58" s="166"/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71"/>
      <c r="N58" s="6" t="s">
        <v>13</v>
      </c>
      <c r="O58" s="21"/>
      <c r="P58" s="160"/>
      <c r="Q58" s="161"/>
      <c r="R58" s="162"/>
    </row>
    <row r="59" spans="1:18" ht="14.55" hidden="1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71"/>
      <c r="N59" s="6" t="s">
        <v>13</v>
      </c>
      <c r="O59" s="21"/>
      <c r="P59" s="160"/>
      <c r="Q59" s="161"/>
      <c r="R59" s="162"/>
    </row>
    <row r="60" spans="1:18" ht="14.55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71"/>
      <c r="N60" s="6" t="s">
        <v>13</v>
      </c>
      <c r="O60" s="21"/>
      <c r="P60" s="160"/>
      <c r="Q60" s="161"/>
      <c r="R60" s="162"/>
    </row>
    <row r="61" spans="1:18" ht="14.55" customHeight="1" x14ac:dyDescent="0.3">
      <c r="A61" s="167"/>
      <c r="B61" s="148" t="s">
        <v>0</v>
      </c>
      <c r="C61" s="149"/>
      <c r="D61" s="149"/>
      <c r="E61" s="149"/>
      <c r="F61" s="149"/>
      <c r="G61" s="149"/>
      <c r="H61" s="171"/>
      <c r="I61" s="150">
        <f>SUM(I56:J60)</f>
        <v>0</v>
      </c>
      <c r="J61" s="151"/>
      <c r="K61" s="150">
        <f>SUM(K56:L60)</f>
        <v>0</v>
      </c>
      <c r="L61" s="151"/>
      <c r="M61" s="10">
        <f>SUM(M56:M60)</f>
        <v>0</v>
      </c>
      <c r="N61" s="11" t="s">
        <v>13</v>
      </c>
      <c r="O61" s="9"/>
      <c r="P61" s="163"/>
      <c r="Q61" s="164"/>
      <c r="R61" s="165"/>
    </row>
    <row r="62" spans="1:18" ht="14.55" customHeight="1" x14ac:dyDescent="0.3">
      <c r="A62" s="140" t="s">
        <v>25</v>
      </c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71"/>
      <c r="N62" s="6" t="s">
        <v>13</v>
      </c>
      <c r="O62" s="21"/>
      <c r="P62" s="145" t="s">
        <v>53</v>
      </c>
      <c r="Q62" s="169"/>
      <c r="R62" s="170"/>
    </row>
    <row r="63" spans="1:18" ht="14.55" hidden="1" customHeight="1" x14ac:dyDescent="0.3">
      <c r="A63" s="141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71"/>
      <c r="N63" s="6" t="s">
        <v>13</v>
      </c>
      <c r="O63" s="21"/>
      <c r="P63" s="168"/>
      <c r="Q63" s="169"/>
      <c r="R63" s="170"/>
    </row>
    <row r="64" spans="1:18" ht="14.55" hidden="1" customHeight="1" x14ac:dyDescent="0.3">
      <c r="A64" s="141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71"/>
      <c r="N64" s="6" t="s">
        <v>13</v>
      </c>
      <c r="O64" s="21"/>
      <c r="P64" s="168"/>
      <c r="Q64" s="169"/>
      <c r="R64" s="170"/>
    </row>
    <row r="65" spans="1:18" ht="14.55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71"/>
      <c r="N65" s="6" t="s">
        <v>13</v>
      </c>
      <c r="O65" s="21"/>
      <c r="P65" s="168"/>
      <c r="Q65" s="169"/>
      <c r="R65" s="170"/>
    </row>
    <row r="66" spans="1:18" ht="14.55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71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2"/>
      <c r="B67" s="148" t="s">
        <v>0</v>
      </c>
      <c r="C67" s="149"/>
      <c r="D67" s="149"/>
      <c r="E67" s="149"/>
      <c r="F67" s="149"/>
      <c r="G67" s="149"/>
      <c r="H67" s="149"/>
      <c r="I67" s="150">
        <f>SUM(I62:J66)</f>
        <v>0</v>
      </c>
      <c r="J67" s="151"/>
      <c r="K67" s="150">
        <f>SUM(K62:L66)</f>
        <v>0</v>
      </c>
      <c r="L67" s="151"/>
      <c r="M67" s="10">
        <f>SUM(M62:M66)</f>
        <v>0</v>
      </c>
      <c r="N67" s="11" t="s">
        <v>13</v>
      </c>
      <c r="O67" s="9"/>
      <c r="P67" s="168"/>
      <c r="Q67" s="169"/>
      <c r="R67" s="170"/>
    </row>
    <row r="69" spans="1:18" x14ac:dyDescent="0.3">
      <c r="E69" s="148" t="s">
        <v>26</v>
      </c>
      <c r="F69" s="149"/>
      <c r="G69" s="149"/>
      <c r="H69" s="149"/>
      <c r="I69" s="152" t="s">
        <v>23</v>
      </c>
      <c r="J69" s="153"/>
      <c r="K69" s="152" t="s">
        <v>11</v>
      </c>
      <c r="L69" s="153"/>
    </row>
    <row r="70" spans="1:18" s="36" customFormat="1" x14ac:dyDescent="0.3">
      <c r="E70" s="7"/>
      <c r="F70" s="7"/>
      <c r="G70" s="7"/>
      <c r="H70" s="7"/>
      <c r="I70" s="22">
        <f>I61+I67</f>
        <v>0</v>
      </c>
      <c r="J70" s="14" t="s">
        <v>12</v>
      </c>
      <c r="K70" s="22">
        <f>K61+K67</f>
        <v>0</v>
      </c>
      <c r="L70" s="15" t="s">
        <v>12</v>
      </c>
    </row>
    <row r="71" spans="1:18" ht="24.45" customHeight="1" x14ac:dyDescent="0.3">
      <c r="E71" s="13"/>
      <c r="F71" s="13"/>
      <c r="G71" s="13"/>
      <c r="H71" s="13"/>
      <c r="I71" s="154">
        <f>I70+K70</f>
        <v>0</v>
      </c>
      <c r="J71" s="155"/>
      <c r="K71" s="155"/>
      <c r="L71" s="156"/>
    </row>
    <row r="73" spans="1:18" s="8" customFormat="1" ht="30" customHeight="1" x14ac:dyDescent="0.3">
      <c r="A73" s="133" t="s">
        <v>131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5"/>
      <c r="L73" s="135"/>
      <c r="M73" s="135"/>
      <c r="N73" s="135"/>
      <c r="O73" s="134"/>
      <c r="P73" s="134"/>
      <c r="Q73" s="134"/>
      <c r="R73" s="136"/>
    </row>
    <row r="74" spans="1:18" s="12" customFormat="1" ht="14.55" customHeight="1" x14ac:dyDescent="0.3">
      <c r="A74" s="128" t="s">
        <v>1</v>
      </c>
      <c r="B74" s="137" t="s">
        <v>2</v>
      </c>
      <c r="C74" s="137" t="s">
        <v>3</v>
      </c>
      <c r="D74" s="137" t="s">
        <v>4</v>
      </c>
      <c r="E74" s="124" t="s">
        <v>5</v>
      </c>
      <c r="F74" s="138" t="s">
        <v>14</v>
      </c>
      <c r="G74" s="138" t="s">
        <v>15</v>
      </c>
      <c r="H74" s="119" t="s">
        <v>27</v>
      </c>
      <c r="I74" s="121" t="s">
        <v>6</v>
      </c>
      <c r="J74" s="122"/>
      <c r="K74" s="122"/>
      <c r="L74" s="123"/>
      <c r="M74" s="124" t="s">
        <v>7</v>
      </c>
      <c r="N74" s="125"/>
      <c r="O74" s="128" t="s">
        <v>8</v>
      </c>
      <c r="P74" s="128" t="s">
        <v>9</v>
      </c>
      <c r="Q74" s="128"/>
      <c r="R74" s="128"/>
    </row>
    <row r="75" spans="1:18" s="12" customFormat="1" ht="13.05" customHeight="1" x14ac:dyDescent="0.3">
      <c r="A75" s="128"/>
      <c r="B75" s="137"/>
      <c r="C75" s="137"/>
      <c r="D75" s="137"/>
      <c r="E75" s="126"/>
      <c r="F75" s="139"/>
      <c r="G75" s="139"/>
      <c r="H75" s="120"/>
      <c r="I75" s="121" t="s">
        <v>23</v>
      </c>
      <c r="J75" s="123"/>
      <c r="K75" s="121" t="s">
        <v>11</v>
      </c>
      <c r="L75" s="123"/>
      <c r="M75" s="126"/>
      <c r="N75" s="127"/>
      <c r="O75" s="128"/>
      <c r="P75" s="128"/>
      <c r="Q75" s="128"/>
      <c r="R75" s="128"/>
    </row>
    <row r="76" spans="1:18" ht="14.55" customHeight="1" x14ac:dyDescent="0.3">
      <c r="A76" s="140" t="s">
        <v>132</v>
      </c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71"/>
      <c r="N76" s="6" t="s">
        <v>13</v>
      </c>
      <c r="O76" s="21"/>
      <c r="P76" s="157"/>
      <c r="Q76" s="158"/>
      <c r="R76" s="159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71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71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71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71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71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71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71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71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71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7"/>
      <c r="B86" s="148" t="s">
        <v>0</v>
      </c>
      <c r="C86" s="149"/>
      <c r="D86" s="149"/>
      <c r="E86" s="149"/>
      <c r="F86" s="149"/>
      <c r="G86" s="149"/>
      <c r="H86" s="149"/>
      <c r="I86" s="150">
        <f ca="1">SUM(I76:J86)</f>
        <v>0</v>
      </c>
      <c r="J86" s="151"/>
      <c r="K86" s="150">
        <f ca="1">SUM(K76:L86)</f>
        <v>0</v>
      </c>
      <c r="L86" s="151"/>
      <c r="M86" s="10">
        <f>SUM(M81:M85)</f>
        <v>0</v>
      </c>
      <c r="N86" s="11" t="s">
        <v>13</v>
      </c>
      <c r="O86" s="9"/>
      <c r="P86" s="163"/>
      <c r="Q86" s="164"/>
      <c r="R86" s="165"/>
    </row>
    <row r="88" spans="1:18" x14ac:dyDescent="0.3">
      <c r="E88" s="148" t="s">
        <v>26</v>
      </c>
      <c r="F88" s="149"/>
      <c r="G88" s="149"/>
      <c r="H88" s="149"/>
      <c r="I88" s="152" t="s">
        <v>23</v>
      </c>
      <c r="J88" s="153"/>
      <c r="K88" s="172" t="s">
        <v>11</v>
      </c>
      <c r="L88" s="153"/>
    </row>
    <row r="89" spans="1:18" s="36" customFormat="1" x14ac:dyDescent="0.3">
      <c r="E89" s="7"/>
      <c r="F89" s="7"/>
      <c r="G89" s="7"/>
      <c r="H89" s="7"/>
      <c r="I89" s="22">
        <f ca="1">I86</f>
        <v>0</v>
      </c>
      <c r="J89" s="14" t="s">
        <v>12</v>
      </c>
      <c r="K89" s="22">
        <f ca="1">K86</f>
        <v>0</v>
      </c>
      <c r="L89" s="15" t="s">
        <v>12</v>
      </c>
    </row>
    <row r="90" spans="1:18" ht="24.45" customHeight="1" x14ac:dyDescent="0.3">
      <c r="E90" s="13"/>
      <c r="F90" s="13"/>
      <c r="G90" s="13"/>
      <c r="H90" s="13"/>
      <c r="I90" s="154">
        <f ca="1">I89+K89</f>
        <v>0</v>
      </c>
      <c r="J90" s="155"/>
      <c r="K90" s="155"/>
      <c r="L90" s="156"/>
    </row>
  </sheetData>
  <mergeCells count="218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A24:A29"/>
    <mergeCell ref="I24:J24"/>
    <mergeCell ref="K24:L24"/>
    <mergeCell ref="P24:R29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I27:J27"/>
    <mergeCell ref="K27:L27"/>
    <mergeCell ref="I28:J28"/>
    <mergeCell ref="K28:L28"/>
    <mergeCell ref="B29:H29"/>
    <mergeCell ref="I29:J29"/>
    <mergeCell ref="K29:L29"/>
    <mergeCell ref="P22:R23"/>
    <mergeCell ref="I23:J23"/>
    <mergeCell ref="K23:L23"/>
    <mergeCell ref="E31:H31"/>
    <mergeCell ref="I31:J31"/>
    <mergeCell ref="K31:L31"/>
    <mergeCell ref="I33:L33"/>
    <mergeCell ref="A35:R35"/>
    <mergeCell ref="A36:A37"/>
    <mergeCell ref="B36:B37"/>
    <mergeCell ref="C36:C37"/>
    <mergeCell ref="D36:D37"/>
    <mergeCell ref="E36:E37"/>
    <mergeCell ref="P36:R37"/>
    <mergeCell ref="I37:J37"/>
    <mergeCell ref="K37:L37"/>
    <mergeCell ref="F36:F37"/>
    <mergeCell ref="G36:G37"/>
    <mergeCell ref="H36:H37"/>
    <mergeCell ref="I36:L36"/>
    <mergeCell ref="M36:N37"/>
    <mergeCell ref="O36:O37"/>
    <mergeCell ref="B41:H41"/>
    <mergeCell ref="I41:J41"/>
    <mergeCell ref="K41:L41"/>
    <mergeCell ref="E43:H43"/>
    <mergeCell ref="I43:J43"/>
    <mergeCell ref="K43:L43"/>
    <mergeCell ref="I40:J40"/>
    <mergeCell ref="K40:L40"/>
    <mergeCell ref="P40:R41"/>
    <mergeCell ref="I45:L45"/>
    <mergeCell ref="A47:R47"/>
    <mergeCell ref="A48:A49"/>
    <mergeCell ref="B48:B49"/>
    <mergeCell ref="C48:C49"/>
    <mergeCell ref="D48:D49"/>
    <mergeCell ref="E48:E49"/>
    <mergeCell ref="F48:F49"/>
    <mergeCell ref="G48:G49"/>
    <mergeCell ref="H48:H49"/>
    <mergeCell ref="A38:A41"/>
    <mergeCell ref="I38:J38"/>
    <mergeCell ref="K38:L38"/>
    <mergeCell ref="P38:R39"/>
    <mergeCell ref="I39:J39"/>
    <mergeCell ref="K39:L39"/>
    <mergeCell ref="P50:R55"/>
    <mergeCell ref="I51:J51"/>
    <mergeCell ref="K51:L51"/>
    <mergeCell ref="I52:J52"/>
    <mergeCell ref="K52:L52"/>
    <mergeCell ref="I53:J53"/>
    <mergeCell ref="K53:L53"/>
    <mergeCell ref="I48:L48"/>
    <mergeCell ref="M48:N49"/>
    <mergeCell ref="O48:O49"/>
    <mergeCell ref="P48:R49"/>
    <mergeCell ref="I49:J49"/>
    <mergeCell ref="K49:L49"/>
    <mergeCell ref="I54:J54"/>
    <mergeCell ref="K54:L54"/>
    <mergeCell ref="B55:H55"/>
    <mergeCell ref="I55:J55"/>
    <mergeCell ref="K55:L55"/>
    <mergeCell ref="A56:A61"/>
    <mergeCell ref="I56:J56"/>
    <mergeCell ref="K56:L56"/>
    <mergeCell ref="B61:H61"/>
    <mergeCell ref="K61:L61"/>
    <mergeCell ref="A50:A55"/>
    <mergeCell ref="I50:J50"/>
    <mergeCell ref="K50:L50"/>
    <mergeCell ref="P62:R67"/>
    <mergeCell ref="I63:J63"/>
    <mergeCell ref="K63:L63"/>
    <mergeCell ref="I64:J64"/>
    <mergeCell ref="K64:L64"/>
    <mergeCell ref="I65:J65"/>
    <mergeCell ref="K65:L65"/>
    <mergeCell ref="P56:R61"/>
    <mergeCell ref="I57:J57"/>
    <mergeCell ref="K57:L57"/>
    <mergeCell ref="I58:J58"/>
    <mergeCell ref="K58:L58"/>
    <mergeCell ref="I59:J59"/>
    <mergeCell ref="K59:L59"/>
    <mergeCell ref="I60:J60"/>
    <mergeCell ref="K60:L60"/>
    <mergeCell ref="I61:J61"/>
    <mergeCell ref="I66:J66"/>
    <mergeCell ref="K66:L66"/>
    <mergeCell ref="B67:H67"/>
    <mergeCell ref="I67:J67"/>
    <mergeCell ref="K67:L67"/>
    <mergeCell ref="E69:H69"/>
    <mergeCell ref="I69:J69"/>
    <mergeCell ref="K69:L69"/>
    <mergeCell ref="A62:A67"/>
    <mergeCell ref="I62:J62"/>
    <mergeCell ref="K62:L62"/>
    <mergeCell ref="I71:L71"/>
    <mergeCell ref="A73:R73"/>
    <mergeCell ref="A74:A75"/>
    <mergeCell ref="B74:B75"/>
    <mergeCell ref="C74:C75"/>
    <mergeCell ref="D74:D75"/>
    <mergeCell ref="E74:E75"/>
    <mergeCell ref="F74:F75"/>
    <mergeCell ref="G74:G75"/>
    <mergeCell ref="H74:H75"/>
    <mergeCell ref="P76:R86"/>
    <mergeCell ref="I77:J77"/>
    <mergeCell ref="K77:L77"/>
    <mergeCell ref="I78:J78"/>
    <mergeCell ref="K78:L78"/>
    <mergeCell ref="I79:J79"/>
    <mergeCell ref="K79:L79"/>
    <mergeCell ref="I74:L74"/>
    <mergeCell ref="M74:N75"/>
    <mergeCell ref="O74:O75"/>
    <mergeCell ref="P74:R75"/>
    <mergeCell ref="I75:J75"/>
    <mergeCell ref="K75:L75"/>
    <mergeCell ref="I80:J80"/>
    <mergeCell ref="K80:L80"/>
    <mergeCell ref="I81:J81"/>
    <mergeCell ref="K81:L81"/>
    <mergeCell ref="I82:J82"/>
    <mergeCell ref="K82:L82"/>
    <mergeCell ref="A76:A86"/>
    <mergeCell ref="I76:J76"/>
    <mergeCell ref="K76:L76"/>
    <mergeCell ref="I90:L90"/>
    <mergeCell ref="B86:H86"/>
    <mergeCell ref="I86:J86"/>
    <mergeCell ref="K86:L86"/>
    <mergeCell ref="E88:H88"/>
    <mergeCell ref="I88:J88"/>
    <mergeCell ref="K88:L88"/>
    <mergeCell ref="I83:J83"/>
    <mergeCell ref="K83:L83"/>
    <mergeCell ref="I84:J84"/>
    <mergeCell ref="K84:L84"/>
    <mergeCell ref="I85:J85"/>
    <mergeCell ref="K85:L85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2"/>
  <sheetViews>
    <sheetView zoomScale="85" zoomScaleNormal="85" workbookViewId="0">
      <selection activeCell="D10" sqref="D10"/>
    </sheetView>
  </sheetViews>
  <sheetFormatPr defaultColWidth="8.77734375" defaultRowHeight="14.4" x14ac:dyDescent="0.3"/>
  <cols>
    <col min="1" max="1" width="12.6640625" style="68" customWidth="1"/>
    <col min="2" max="3" width="7.6640625" style="68" customWidth="1"/>
    <col min="4" max="4" width="8.21875" style="1" bestFit="1" customWidth="1"/>
    <col min="5" max="5" width="63.77734375" style="68" bestFit="1" customWidth="1"/>
    <col min="6" max="6" width="5.6640625" style="68" customWidth="1"/>
    <col min="7" max="7" width="6.6640625" style="68" customWidth="1"/>
    <col min="8" max="8" width="15.6640625" style="68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68" customWidth="1"/>
    <col min="15" max="15" width="21.5546875" style="68" bestFit="1" customWidth="1"/>
    <col min="16" max="18" width="7.6640625" style="68" customWidth="1"/>
    <col min="19" max="16384" width="8.77734375" style="68"/>
  </cols>
  <sheetData>
    <row r="1" spans="1:18" x14ac:dyDescent="0.3">
      <c r="D1" s="68"/>
      <c r="I1" s="68"/>
      <c r="J1" s="68"/>
      <c r="K1" s="68"/>
      <c r="L1" s="68"/>
      <c r="M1" s="68"/>
    </row>
    <row r="2" spans="1:18" x14ac:dyDescent="0.3">
      <c r="D2" s="68"/>
      <c r="I2" s="68"/>
      <c r="J2" s="68"/>
      <c r="K2" s="68"/>
      <c r="L2" s="68"/>
      <c r="M2" s="68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45940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5"/>
      <c r="D7" s="72">
        <v>250073</v>
      </c>
      <c r="E7" s="3" t="s">
        <v>263</v>
      </c>
      <c r="F7" s="19">
        <v>304</v>
      </c>
      <c r="G7" s="20">
        <v>0.6</v>
      </c>
      <c r="H7" s="28" t="s">
        <v>55</v>
      </c>
      <c r="I7" s="143">
        <v>500</v>
      </c>
      <c r="J7" s="144"/>
      <c r="K7" s="143"/>
      <c r="L7" s="144"/>
      <c r="M7" s="71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4">
        <v>250072</v>
      </c>
      <c r="E8" s="3" t="s">
        <v>263</v>
      </c>
      <c r="F8" s="19">
        <v>304</v>
      </c>
      <c r="G8" s="20">
        <v>0.7</v>
      </c>
      <c r="H8" s="28" t="s">
        <v>55</v>
      </c>
      <c r="I8" s="143">
        <v>750</v>
      </c>
      <c r="J8" s="144"/>
      <c r="K8" s="143"/>
      <c r="L8" s="144"/>
      <c r="M8" s="71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72">
        <v>250071</v>
      </c>
      <c r="E9" s="3" t="s">
        <v>263</v>
      </c>
      <c r="F9" s="19">
        <v>304</v>
      </c>
      <c r="G9" s="20">
        <v>0.7</v>
      </c>
      <c r="H9" s="70" t="s">
        <v>55</v>
      </c>
      <c r="I9" s="143">
        <v>750</v>
      </c>
      <c r="J9" s="144"/>
      <c r="K9" s="143"/>
      <c r="L9" s="144"/>
      <c r="M9" s="71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>
        <v>0.70833333333333337</v>
      </c>
      <c r="D10" s="4">
        <v>250070</v>
      </c>
      <c r="E10" s="69" t="s">
        <v>263</v>
      </c>
      <c r="F10" s="19">
        <v>304</v>
      </c>
      <c r="G10" s="20">
        <v>0.6</v>
      </c>
      <c r="H10" s="70" t="s">
        <v>55</v>
      </c>
      <c r="I10" s="143">
        <v>400</v>
      </c>
      <c r="J10" s="144"/>
      <c r="K10" s="143"/>
      <c r="L10" s="144"/>
      <c r="M10" s="71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2400</v>
      </c>
      <c r="J11" s="151"/>
      <c r="K11" s="150">
        <f>SUM(K7:L10)</f>
        <v>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71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71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71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68"/>
      <c r="E16" s="1"/>
      <c r="F16" s="1"/>
      <c r="G16" s="1"/>
      <c r="H16" s="1"/>
      <c r="M16" s="68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2400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2400</v>
      </c>
      <c r="J19" s="155"/>
      <c r="K19" s="155"/>
      <c r="L19" s="156"/>
    </row>
    <row r="20" spans="1:18" ht="15" customHeight="1" x14ac:dyDescent="0.3">
      <c r="D20" s="68"/>
      <c r="I20" s="68"/>
      <c r="J20" s="68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250073</v>
      </c>
      <c r="E24" s="3" t="s">
        <v>263</v>
      </c>
      <c r="F24" s="19">
        <v>304</v>
      </c>
      <c r="G24" s="20">
        <v>0.6</v>
      </c>
      <c r="H24" s="28" t="s">
        <v>137</v>
      </c>
      <c r="I24" s="143">
        <v>719</v>
      </c>
      <c r="J24" s="144"/>
      <c r="K24" s="143"/>
      <c r="L24" s="144"/>
      <c r="M24" s="71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>
        <v>250072</v>
      </c>
      <c r="E25" s="3" t="s">
        <v>263</v>
      </c>
      <c r="F25" s="19">
        <v>304</v>
      </c>
      <c r="G25" s="20">
        <v>0.7</v>
      </c>
      <c r="H25" s="28" t="s">
        <v>137</v>
      </c>
      <c r="I25" s="143">
        <v>667</v>
      </c>
      <c r="J25" s="144"/>
      <c r="K25" s="143"/>
      <c r="L25" s="144"/>
      <c r="M25" s="71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>
        <v>250043</v>
      </c>
      <c r="E26" s="3" t="s">
        <v>255</v>
      </c>
      <c r="F26" s="19">
        <v>304</v>
      </c>
      <c r="G26" s="20">
        <v>0.6</v>
      </c>
      <c r="H26" s="28" t="s">
        <v>137</v>
      </c>
      <c r="I26" s="143"/>
      <c r="J26" s="144"/>
      <c r="K26" s="143">
        <v>86</v>
      </c>
      <c r="L26" s="144"/>
      <c r="M26" s="71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>
        <v>250044</v>
      </c>
      <c r="E27" s="3" t="s">
        <v>254</v>
      </c>
      <c r="F27" s="19">
        <v>304</v>
      </c>
      <c r="G27" s="20">
        <v>0.6</v>
      </c>
      <c r="H27" s="28" t="s">
        <v>137</v>
      </c>
      <c r="I27" s="143"/>
      <c r="J27" s="144"/>
      <c r="K27" s="143">
        <v>68</v>
      </c>
      <c r="L27" s="144"/>
      <c r="M27" s="71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>
        <v>0.70833333333333337</v>
      </c>
      <c r="D28" s="4">
        <v>250043</v>
      </c>
      <c r="E28" s="3" t="s">
        <v>262</v>
      </c>
      <c r="F28" s="19">
        <v>304</v>
      </c>
      <c r="G28" s="20">
        <v>0.6</v>
      </c>
      <c r="H28" s="28" t="s">
        <v>137</v>
      </c>
      <c r="I28" s="143"/>
      <c r="J28" s="144"/>
      <c r="K28" s="143">
        <v>102</v>
      </c>
      <c r="L28" s="144"/>
      <c r="M28" s="71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71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71"/>
      <c r="N30" s="6" t="s">
        <v>13</v>
      </c>
      <c r="O30" s="21"/>
      <c r="P30" s="160"/>
      <c r="Q30" s="161"/>
      <c r="R30" s="162"/>
    </row>
    <row r="31" spans="1:18" ht="14.55" customHeight="1" x14ac:dyDescent="0.3">
      <c r="A31" s="167"/>
      <c r="B31" s="148" t="s">
        <v>0</v>
      </c>
      <c r="C31" s="149"/>
      <c r="D31" s="149"/>
      <c r="E31" s="149"/>
      <c r="F31" s="149"/>
      <c r="G31" s="149"/>
      <c r="H31" s="149"/>
      <c r="I31" s="150">
        <f>SUM(I24:J30)</f>
        <v>1386</v>
      </c>
      <c r="J31" s="151"/>
      <c r="K31" s="150">
        <f>SUM(K24:L30)</f>
        <v>256</v>
      </c>
      <c r="L31" s="151"/>
      <c r="M31" s="10">
        <f>SUM(M30:M30)</f>
        <v>0</v>
      </c>
      <c r="N31" s="11" t="s">
        <v>13</v>
      </c>
      <c r="O31" s="9"/>
      <c r="P31" s="163"/>
      <c r="Q31" s="164"/>
      <c r="R31" s="165"/>
    </row>
    <row r="32" spans="1:18" ht="14.55" customHeight="1" x14ac:dyDescent="0.3">
      <c r="D32" s="68"/>
      <c r="E32" s="1"/>
      <c r="F32" s="1"/>
      <c r="G32" s="1"/>
      <c r="H32" s="1"/>
      <c r="M32" s="68"/>
    </row>
    <row r="33" spans="1:18" x14ac:dyDescent="0.3">
      <c r="E33" s="148" t="s">
        <v>33</v>
      </c>
      <c r="F33" s="149"/>
      <c r="G33" s="149"/>
      <c r="H33" s="149"/>
      <c r="I33" s="152" t="s">
        <v>19</v>
      </c>
      <c r="J33" s="153"/>
      <c r="K33" s="152" t="s">
        <v>20</v>
      </c>
      <c r="L33" s="153"/>
    </row>
    <row r="34" spans="1:18" s="36" customFormat="1" x14ac:dyDescent="0.3">
      <c r="E34" s="7"/>
      <c r="F34" s="7"/>
      <c r="G34" s="7"/>
      <c r="H34" s="7"/>
      <c r="I34" s="22">
        <f>I31</f>
        <v>1386</v>
      </c>
      <c r="J34" s="14" t="s">
        <v>12</v>
      </c>
      <c r="K34" s="22">
        <f>K31</f>
        <v>256</v>
      </c>
      <c r="L34" s="15" t="s">
        <v>12</v>
      </c>
    </row>
    <row r="35" spans="1:18" ht="24.45" customHeight="1" x14ac:dyDescent="0.3">
      <c r="E35" s="13"/>
      <c r="F35" s="13"/>
      <c r="G35" s="13"/>
      <c r="H35" s="13"/>
      <c r="I35" s="154">
        <f>I34+K34</f>
        <v>1642</v>
      </c>
      <c r="J35" s="155"/>
      <c r="K35" s="155"/>
      <c r="L35" s="156"/>
    </row>
    <row r="37" spans="1:18" s="8" customFormat="1" ht="30" customHeight="1" x14ac:dyDescent="0.3">
      <c r="A37" s="133" t="s">
        <v>30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5"/>
      <c r="L37" s="135"/>
      <c r="M37" s="135"/>
      <c r="N37" s="135"/>
      <c r="O37" s="134"/>
      <c r="P37" s="134"/>
      <c r="Q37" s="134"/>
      <c r="R37" s="136"/>
    </row>
    <row r="38" spans="1:18" s="12" customFormat="1" ht="14.55" customHeight="1" x14ac:dyDescent="0.3">
      <c r="A38" s="128" t="s">
        <v>1</v>
      </c>
      <c r="B38" s="137" t="s">
        <v>2</v>
      </c>
      <c r="C38" s="137" t="s">
        <v>3</v>
      </c>
      <c r="D38" s="137" t="s">
        <v>4</v>
      </c>
      <c r="E38" s="124" t="s">
        <v>5</v>
      </c>
      <c r="F38" s="138" t="s">
        <v>14</v>
      </c>
      <c r="G38" s="138" t="s">
        <v>15</v>
      </c>
      <c r="H38" s="119" t="s">
        <v>29</v>
      </c>
      <c r="I38" s="121" t="s">
        <v>6</v>
      </c>
      <c r="J38" s="122"/>
      <c r="K38" s="122"/>
      <c r="L38" s="123"/>
      <c r="M38" s="124" t="s">
        <v>7</v>
      </c>
      <c r="N38" s="125"/>
      <c r="O38" s="128" t="s">
        <v>8</v>
      </c>
      <c r="P38" s="128" t="s">
        <v>9</v>
      </c>
      <c r="Q38" s="128"/>
      <c r="R38" s="128"/>
    </row>
    <row r="39" spans="1:18" s="12" customFormat="1" ht="13.05" customHeight="1" x14ac:dyDescent="0.3">
      <c r="A39" s="128"/>
      <c r="B39" s="137"/>
      <c r="C39" s="137"/>
      <c r="D39" s="137"/>
      <c r="E39" s="126"/>
      <c r="F39" s="139"/>
      <c r="G39" s="139"/>
      <c r="H39" s="120"/>
      <c r="I39" s="121" t="s">
        <v>19</v>
      </c>
      <c r="J39" s="123"/>
      <c r="K39" s="121" t="s">
        <v>20</v>
      </c>
      <c r="L39" s="123"/>
      <c r="M39" s="126"/>
      <c r="N39" s="127"/>
      <c r="O39" s="128"/>
      <c r="P39" s="128"/>
      <c r="Q39" s="128"/>
      <c r="R39" s="128"/>
    </row>
    <row r="40" spans="1:18" ht="14.55" customHeight="1" x14ac:dyDescent="0.3">
      <c r="A40" s="140" t="s">
        <v>35</v>
      </c>
      <c r="B40" s="5">
        <v>0.33333333333333331</v>
      </c>
      <c r="C40" s="5"/>
      <c r="D40" s="4">
        <v>210825</v>
      </c>
      <c r="E40" s="3" t="s">
        <v>245</v>
      </c>
      <c r="F40" s="19">
        <v>430</v>
      </c>
      <c r="G40" s="20">
        <v>0.6</v>
      </c>
      <c r="H40" s="28" t="s">
        <v>130</v>
      </c>
      <c r="I40" s="143"/>
      <c r="J40" s="144"/>
      <c r="K40" s="143">
        <v>488</v>
      </c>
      <c r="L40" s="144"/>
      <c r="M40" s="71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6"/>
      <c r="B41" s="5"/>
      <c r="C41" s="5">
        <v>0.70833333333333337</v>
      </c>
      <c r="D41" s="4">
        <v>250044</v>
      </c>
      <c r="E41" s="3" t="s">
        <v>254</v>
      </c>
      <c r="F41" s="19">
        <v>304</v>
      </c>
      <c r="G41" s="20">
        <v>0.6</v>
      </c>
      <c r="H41" s="28" t="s">
        <v>130</v>
      </c>
      <c r="I41" s="143"/>
      <c r="J41" s="144"/>
      <c r="K41" s="143">
        <v>68</v>
      </c>
      <c r="L41" s="144"/>
      <c r="M41" s="71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71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7"/>
      <c r="B43" s="148" t="s">
        <v>0</v>
      </c>
      <c r="C43" s="149"/>
      <c r="D43" s="149"/>
      <c r="E43" s="149"/>
      <c r="F43" s="149"/>
      <c r="G43" s="149"/>
      <c r="H43" s="149"/>
      <c r="I43" s="150">
        <f>SUM(I40:J42)</f>
        <v>0</v>
      </c>
      <c r="J43" s="151"/>
      <c r="K43" s="150">
        <f>SUM(K40:L42)</f>
        <v>556</v>
      </c>
      <c r="L43" s="151"/>
      <c r="M43" s="10">
        <f>SUM(M42:M42)</f>
        <v>0</v>
      </c>
      <c r="N43" s="11" t="s">
        <v>13</v>
      </c>
      <c r="O43" s="9"/>
      <c r="P43" s="168"/>
      <c r="Q43" s="169"/>
      <c r="R43" s="170"/>
    </row>
    <row r="44" spans="1:18" ht="14.55" customHeight="1" x14ac:dyDescent="0.3">
      <c r="D44" s="68"/>
      <c r="E44" s="1"/>
      <c r="F44" s="1"/>
      <c r="G44" s="1"/>
      <c r="H44" s="1"/>
      <c r="M44" s="68"/>
    </row>
    <row r="45" spans="1:18" x14ac:dyDescent="0.3">
      <c r="E45" s="148" t="s">
        <v>34</v>
      </c>
      <c r="F45" s="149"/>
      <c r="G45" s="149"/>
      <c r="H45" s="149"/>
      <c r="I45" s="152" t="s">
        <v>19</v>
      </c>
      <c r="J45" s="153"/>
      <c r="K45" s="152" t="s">
        <v>20</v>
      </c>
      <c r="L45" s="153"/>
    </row>
    <row r="46" spans="1:18" s="36" customFormat="1" x14ac:dyDescent="0.3">
      <c r="E46" s="7"/>
      <c r="F46" s="7"/>
      <c r="G46" s="7"/>
      <c r="H46" s="7"/>
      <c r="I46" s="22">
        <f>I43</f>
        <v>0</v>
      </c>
      <c r="J46" s="14" t="s">
        <v>12</v>
      </c>
      <c r="K46" s="22">
        <f>K43</f>
        <v>556</v>
      </c>
      <c r="L46" s="15" t="s">
        <v>12</v>
      </c>
    </row>
    <row r="47" spans="1:18" s="1" customFormat="1" ht="24.45" customHeight="1" x14ac:dyDescent="0.3">
      <c r="A47" s="68"/>
      <c r="B47" s="68"/>
      <c r="C47" s="68"/>
      <c r="E47" s="13"/>
      <c r="F47" s="13"/>
      <c r="G47" s="13"/>
      <c r="H47" s="13"/>
      <c r="I47" s="154">
        <f>I46+K46</f>
        <v>556</v>
      </c>
      <c r="J47" s="155"/>
      <c r="K47" s="155"/>
      <c r="L47" s="156"/>
      <c r="N47" s="68"/>
      <c r="O47" s="68"/>
      <c r="P47" s="68"/>
      <c r="Q47" s="68"/>
      <c r="R47" s="68"/>
    </row>
    <row r="49" spans="1:18" s="8" customFormat="1" ht="30" customHeight="1" x14ac:dyDescent="0.3">
      <c r="A49" s="133" t="s">
        <v>22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5"/>
      <c r="L49" s="135"/>
      <c r="M49" s="135"/>
      <c r="N49" s="135"/>
      <c r="O49" s="134"/>
      <c r="P49" s="134"/>
      <c r="Q49" s="134"/>
      <c r="R49" s="136"/>
    </row>
    <row r="50" spans="1:18" s="12" customFormat="1" ht="14.55" customHeight="1" x14ac:dyDescent="0.3">
      <c r="A50" s="128" t="s">
        <v>1</v>
      </c>
      <c r="B50" s="137" t="s">
        <v>2</v>
      </c>
      <c r="C50" s="137" t="s">
        <v>3</v>
      </c>
      <c r="D50" s="137" t="s">
        <v>4</v>
      </c>
      <c r="E50" s="124" t="s">
        <v>5</v>
      </c>
      <c r="F50" s="138" t="s">
        <v>14</v>
      </c>
      <c r="G50" s="138" t="s">
        <v>15</v>
      </c>
      <c r="H50" s="119" t="s">
        <v>27</v>
      </c>
      <c r="I50" s="121" t="s">
        <v>6</v>
      </c>
      <c r="J50" s="122"/>
      <c r="K50" s="122"/>
      <c r="L50" s="123"/>
      <c r="M50" s="124" t="s">
        <v>7</v>
      </c>
      <c r="N50" s="125"/>
      <c r="O50" s="128" t="s">
        <v>8</v>
      </c>
      <c r="P50" s="128" t="s">
        <v>9</v>
      </c>
      <c r="Q50" s="128"/>
      <c r="R50" s="128"/>
    </row>
    <row r="51" spans="1:18" s="12" customFormat="1" ht="13.05" customHeight="1" x14ac:dyDescent="0.3">
      <c r="A51" s="128"/>
      <c r="B51" s="137"/>
      <c r="C51" s="137"/>
      <c r="D51" s="137"/>
      <c r="E51" s="126"/>
      <c r="F51" s="139"/>
      <c r="G51" s="139"/>
      <c r="H51" s="120"/>
      <c r="I51" s="121" t="s">
        <v>23</v>
      </c>
      <c r="J51" s="123"/>
      <c r="K51" s="121" t="s">
        <v>11</v>
      </c>
      <c r="L51" s="123"/>
      <c r="M51" s="126"/>
      <c r="N51" s="127"/>
      <c r="O51" s="128"/>
      <c r="P51" s="128"/>
      <c r="Q51" s="128"/>
      <c r="R51" s="128"/>
    </row>
    <row r="52" spans="1:18" ht="14.55" customHeight="1" x14ac:dyDescent="0.3">
      <c r="A52" s="140" t="s">
        <v>28</v>
      </c>
      <c r="B52" s="5"/>
      <c r="C52" s="5"/>
      <c r="D52" s="4"/>
      <c r="E52" s="3" t="s">
        <v>267</v>
      </c>
      <c r="F52" s="19"/>
      <c r="G52" s="20"/>
      <c r="H52" s="28"/>
      <c r="I52" s="143"/>
      <c r="J52" s="144"/>
      <c r="K52" s="143"/>
      <c r="L52" s="144"/>
      <c r="M52" s="71"/>
      <c r="N52" s="6" t="s">
        <v>13</v>
      </c>
      <c r="O52" s="21"/>
      <c r="P52" s="168" t="s">
        <v>50</v>
      </c>
      <c r="Q52" s="169"/>
      <c r="R52" s="170"/>
    </row>
    <row r="53" spans="1:18" ht="14.55" customHeight="1" x14ac:dyDescent="0.3">
      <c r="A53" s="141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71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71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1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71"/>
      <c r="N55" s="6" t="s">
        <v>13</v>
      </c>
      <c r="O55" s="21"/>
      <c r="P55" s="168"/>
      <c r="Q55" s="169"/>
      <c r="R55" s="170"/>
    </row>
    <row r="56" spans="1:18" ht="14.55" customHeight="1" x14ac:dyDescent="0.3">
      <c r="A56" s="141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71"/>
      <c r="N56" s="6" t="s">
        <v>13</v>
      </c>
      <c r="O56" s="21"/>
      <c r="P56" s="168"/>
      <c r="Q56" s="169"/>
      <c r="R56" s="170"/>
    </row>
    <row r="57" spans="1:18" ht="14.55" customHeight="1" x14ac:dyDescent="0.3">
      <c r="A57" s="142"/>
      <c r="B57" s="148" t="s">
        <v>0</v>
      </c>
      <c r="C57" s="149"/>
      <c r="D57" s="149"/>
      <c r="E57" s="149"/>
      <c r="F57" s="149"/>
      <c r="G57" s="149"/>
      <c r="H57" s="171"/>
      <c r="I57" s="150">
        <f>SUM(I52:J56)</f>
        <v>0</v>
      </c>
      <c r="J57" s="151"/>
      <c r="K57" s="150">
        <f>SUM(K52:L56)</f>
        <v>0</v>
      </c>
      <c r="L57" s="151"/>
      <c r="M57" s="10">
        <f>SUM(M52:M56)</f>
        <v>0</v>
      </c>
      <c r="N57" s="11" t="s">
        <v>13</v>
      </c>
      <c r="O57" s="9"/>
      <c r="P57" s="168"/>
      <c r="Q57" s="169"/>
      <c r="R57" s="170"/>
    </row>
    <row r="58" spans="1:18" ht="14.55" customHeight="1" x14ac:dyDescent="0.3">
      <c r="A58" s="140" t="s">
        <v>24</v>
      </c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71"/>
      <c r="N58" s="6" t="s">
        <v>13</v>
      </c>
      <c r="O58" s="21"/>
      <c r="P58" s="157" t="s">
        <v>51</v>
      </c>
      <c r="Q58" s="158"/>
      <c r="R58" s="159"/>
    </row>
    <row r="59" spans="1:18" ht="14.55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71"/>
      <c r="N59" s="6" t="s">
        <v>13</v>
      </c>
      <c r="O59" s="21"/>
      <c r="P59" s="160"/>
      <c r="Q59" s="161"/>
      <c r="R59" s="162"/>
    </row>
    <row r="60" spans="1:18" ht="14.55" hidden="1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71"/>
      <c r="N60" s="6" t="s">
        <v>13</v>
      </c>
      <c r="O60" s="21"/>
      <c r="P60" s="160"/>
      <c r="Q60" s="161"/>
      <c r="R60" s="162"/>
    </row>
    <row r="61" spans="1:18" ht="14.55" hidden="1" customHeight="1" x14ac:dyDescent="0.3">
      <c r="A61" s="166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71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71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7"/>
      <c r="B63" s="148" t="s">
        <v>0</v>
      </c>
      <c r="C63" s="149"/>
      <c r="D63" s="149"/>
      <c r="E63" s="149"/>
      <c r="F63" s="149"/>
      <c r="G63" s="149"/>
      <c r="H63" s="171"/>
      <c r="I63" s="150">
        <f>SUM(I58:J62)</f>
        <v>0</v>
      </c>
      <c r="J63" s="151"/>
      <c r="K63" s="150">
        <f>SUM(K58:L62)</f>
        <v>0</v>
      </c>
      <c r="L63" s="151"/>
      <c r="M63" s="10">
        <f>SUM(M58:M62)</f>
        <v>0</v>
      </c>
      <c r="N63" s="11" t="s">
        <v>13</v>
      </c>
      <c r="O63" s="9"/>
      <c r="P63" s="163"/>
      <c r="Q63" s="164"/>
      <c r="R63" s="165"/>
    </row>
    <row r="64" spans="1:18" ht="14.55" customHeight="1" x14ac:dyDescent="0.3">
      <c r="A64" s="140" t="s">
        <v>25</v>
      </c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71"/>
      <c r="N64" s="6" t="s">
        <v>13</v>
      </c>
      <c r="O64" s="21"/>
      <c r="P64" s="145" t="s">
        <v>53</v>
      </c>
      <c r="Q64" s="169"/>
      <c r="R64" s="170"/>
    </row>
    <row r="65" spans="1:18" ht="14.55" hidden="1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71"/>
      <c r="N65" s="6" t="s">
        <v>13</v>
      </c>
      <c r="O65" s="21"/>
      <c r="P65" s="168"/>
      <c r="Q65" s="169"/>
      <c r="R65" s="170"/>
    </row>
    <row r="66" spans="1:18" ht="14.55" hidden="1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71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1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71"/>
      <c r="N67" s="6" t="s">
        <v>13</v>
      </c>
      <c r="O67" s="21"/>
      <c r="P67" s="168"/>
      <c r="Q67" s="169"/>
      <c r="R67" s="170"/>
    </row>
    <row r="68" spans="1:18" ht="14.55" customHeight="1" x14ac:dyDescent="0.3">
      <c r="A68" s="141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71"/>
      <c r="N68" s="6" t="s">
        <v>13</v>
      </c>
      <c r="O68" s="21"/>
      <c r="P68" s="168"/>
      <c r="Q68" s="169"/>
      <c r="R68" s="170"/>
    </row>
    <row r="69" spans="1:18" ht="14.55" customHeight="1" x14ac:dyDescent="0.3">
      <c r="A69" s="142"/>
      <c r="B69" s="148" t="s">
        <v>0</v>
      </c>
      <c r="C69" s="149"/>
      <c r="D69" s="149"/>
      <c r="E69" s="149"/>
      <c r="F69" s="149"/>
      <c r="G69" s="149"/>
      <c r="H69" s="149"/>
      <c r="I69" s="150">
        <f>SUM(I64:J68)</f>
        <v>0</v>
      </c>
      <c r="J69" s="151"/>
      <c r="K69" s="150">
        <f>SUM(K64:L68)</f>
        <v>0</v>
      </c>
      <c r="L69" s="151"/>
      <c r="M69" s="10">
        <f>SUM(M64:M68)</f>
        <v>0</v>
      </c>
      <c r="N69" s="11" t="s">
        <v>13</v>
      </c>
      <c r="O69" s="9"/>
      <c r="P69" s="168"/>
      <c r="Q69" s="169"/>
      <c r="R69" s="170"/>
    </row>
    <row r="71" spans="1:18" x14ac:dyDescent="0.3">
      <c r="E71" s="148" t="s">
        <v>26</v>
      </c>
      <c r="F71" s="149"/>
      <c r="G71" s="149"/>
      <c r="H71" s="149"/>
      <c r="I71" s="152" t="s">
        <v>23</v>
      </c>
      <c r="J71" s="153"/>
      <c r="K71" s="152" t="s">
        <v>11</v>
      </c>
      <c r="L71" s="153"/>
    </row>
    <row r="72" spans="1:18" s="36" customFormat="1" x14ac:dyDescent="0.3">
      <c r="E72" s="7"/>
      <c r="F72" s="7"/>
      <c r="G72" s="7"/>
      <c r="H72" s="7"/>
      <c r="I72" s="22">
        <f>I63+I69</f>
        <v>0</v>
      </c>
      <c r="J72" s="14" t="s">
        <v>12</v>
      </c>
      <c r="K72" s="22">
        <f>K63+K69</f>
        <v>0</v>
      </c>
      <c r="L72" s="15" t="s">
        <v>12</v>
      </c>
    </row>
    <row r="73" spans="1:18" ht="24.45" customHeight="1" x14ac:dyDescent="0.3">
      <c r="E73" s="13"/>
      <c r="F73" s="13"/>
      <c r="G73" s="13"/>
      <c r="H73" s="13"/>
      <c r="I73" s="154">
        <f>I72+K72</f>
        <v>0</v>
      </c>
      <c r="J73" s="155"/>
      <c r="K73" s="155"/>
      <c r="L73" s="156"/>
    </row>
    <row r="75" spans="1:18" s="8" customFormat="1" ht="30" customHeight="1" x14ac:dyDescent="0.3">
      <c r="A75" s="133" t="s">
        <v>131</v>
      </c>
      <c r="B75" s="134"/>
      <c r="C75" s="134"/>
      <c r="D75" s="134"/>
      <c r="E75" s="134"/>
      <c r="F75" s="134"/>
      <c r="G75" s="134"/>
      <c r="H75" s="134"/>
      <c r="I75" s="134"/>
      <c r="J75" s="134"/>
      <c r="K75" s="135"/>
      <c r="L75" s="135"/>
      <c r="M75" s="135"/>
      <c r="N75" s="135"/>
      <c r="O75" s="134"/>
      <c r="P75" s="134"/>
      <c r="Q75" s="134"/>
      <c r="R75" s="136"/>
    </row>
    <row r="76" spans="1:18" s="12" customFormat="1" ht="14.55" customHeight="1" x14ac:dyDescent="0.3">
      <c r="A76" s="128" t="s">
        <v>1</v>
      </c>
      <c r="B76" s="137" t="s">
        <v>2</v>
      </c>
      <c r="C76" s="137" t="s">
        <v>3</v>
      </c>
      <c r="D76" s="137" t="s">
        <v>4</v>
      </c>
      <c r="E76" s="124" t="s">
        <v>5</v>
      </c>
      <c r="F76" s="138" t="s">
        <v>14</v>
      </c>
      <c r="G76" s="138" t="s">
        <v>15</v>
      </c>
      <c r="H76" s="119" t="s">
        <v>27</v>
      </c>
      <c r="I76" s="121" t="s">
        <v>6</v>
      </c>
      <c r="J76" s="122"/>
      <c r="K76" s="122"/>
      <c r="L76" s="123"/>
      <c r="M76" s="124" t="s">
        <v>7</v>
      </c>
      <c r="N76" s="125"/>
      <c r="O76" s="128" t="s">
        <v>8</v>
      </c>
      <c r="P76" s="128" t="s">
        <v>9</v>
      </c>
      <c r="Q76" s="128"/>
      <c r="R76" s="128"/>
    </row>
    <row r="77" spans="1:18" s="12" customFormat="1" ht="13.05" customHeight="1" x14ac:dyDescent="0.3">
      <c r="A77" s="128"/>
      <c r="B77" s="137"/>
      <c r="C77" s="137"/>
      <c r="D77" s="137"/>
      <c r="E77" s="126"/>
      <c r="F77" s="139"/>
      <c r="G77" s="139"/>
      <c r="H77" s="120"/>
      <c r="I77" s="121" t="s">
        <v>23</v>
      </c>
      <c r="J77" s="123"/>
      <c r="K77" s="121" t="s">
        <v>11</v>
      </c>
      <c r="L77" s="123"/>
      <c r="M77" s="126"/>
      <c r="N77" s="127"/>
      <c r="O77" s="128"/>
      <c r="P77" s="128"/>
      <c r="Q77" s="128"/>
      <c r="R77" s="128"/>
    </row>
    <row r="78" spans="1:18" ht="14.55" customHeight="1" x14ac:dyDescent="0.3">
      <c r="A78" s="140" t="s">
        <v>132</v>
      </c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71"/>
      <c r="N78" s="6" t="s">
        <v>13</v>
      </c>
      <c r="O78" s="21"/>
      <c r="P78" s="157"/>
      <c r="Q78" s="158"/>
      <c r="R78" s="159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71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71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71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71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71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71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71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71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71"/>
      <c r="N87" s="6" t="s">
        <v>13</v>
      </c>
      <c r="O87" s="21"/>
      <c r="P87" s="160"/>
      <c r="Q87" s="161"/>
      <c r="R87" s="162"/>
    </row>
    <row r="88" spans="1:18" ht="14.55" customHeight="1" x14ac:dyDescent="0.3">
      <c r="A88" s="167"/>
      <c r="B88" s="148" t="s">
        <v>0</v>
      </c>
      <c r="C88" s="149"/>
      <c r="D88" s="149"/>
      <c r="E88" s="149"/>
      <c r="F88" s="149"/>
      <c r="G88" s="149"/>
      <c r="H88" s="149"/>
      <c r="I88" s="150">
        <f ca="1">SUM(I78:J88)</f>
        <v>0</v>
      </c>
      <c r="J88" s="151"/>
      <c r="K88" s="150">
        <f ca="1">SUM(K78:L88)</f>
        <v>0</v>
      </c>
      <c r="L88" s="151"/>
      <c r="M88" s="10">
        <f>SUM(M83:M87)</f>
        <v>0</v>
      </c>
      <c r="N88" s="11" t="s">
        <v>13</v>
      </c>
      <c r="O88" s="9"/>
      <c r="P88" s="163"/>
      <c r="Q88" s="164"/>
      <c r="R88" s="165"/>
    </row>
    <row r="90" spans="1:18" x14ac:dyDescent="0.3">
      <c r="E90" s="148" t="s">
        <v>26</v>
      </c>
      <c r="F90" s="149"/>
      <c r="G90" s="149"/>
      <c r="H90" s="149"/>
      <c r="I90" s="152" t="s">
        <v>23</v>
      </c>
      <c r="J90" s="153"/>
      <c r="K90" s="172" t="s">
        <v>11</v>
      </c>
      <c r="L90" s="153"/>
    </row>
    <row r="91" spans="1:18" s="36" customFormat="1" x14ac:dyDescent="0.3">
      <c r="E91" s="7"/>
      <c r="F91" s="7"/>
      <c r="G91" s="7"/>
      <c r="H91" s="7"/>
      <c r="I91" s="22">
        <f ca="1">I88</f>
        <v>0</v>
      </c>
      <c r="J91" s="14" t="s">
        <v>12</v>
      </c>
      <c r="K91" s="22">
        <f ca="1">K88</f>
        <v>0</v>
      </c>
      <c r="L91" s="15" t="s">
        <v>12</v>
      </c>
    </row>
    <row r="92" spans="1:18" ht="24.45" customHeight="1" x14ac:dyDescent="0.3">
      <c r="E92" s="13"/>
      <c r="F92" s="13"/>
      <c r="G92" s="13"/>
      <c r="H92" s="13"/>
      <c r="I92" s="154">
        <f ca="1">I91+K91</f>
        <v>0</v>
      </c>
      <c r="J92" s="155"/>
      <c r="K92" s="155"/>
      <c r="L92" s="156"/>
    </row>
  </sheetData>
  <mergeCells count="222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A24:A31"/>
    <mergeCell ref="I24:J24"/>
    <mergeCell ref="K24:L24"/>
    <mergeCell ref="P24:R31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I29:J29"/>
    <mergeCell ref="K29:L29"/>
    <mergeCell ref="I30:J30"/>
    <mergeCell ref="K30:L30"/>
    <mergeCell ref="B31:H31"/>
    <mergeCell ref="I31:J31"/>
    <mergeCell ref="K31:L31"/>
    <mergeCell ref="P22:R23"/>
    <mergeCell ref="I23:J23"/>
    <mergeCell ref="K23:L23"/>
    <mergeCell ref="E33:H33"/>
    <mergeCell ref="I33:J33"/>
    <mergeCell ref="K33:L33"/>
    <mergeCell ref="I35:L35"/>
    <mergeCell ref="A37:R37"/>
    <mergeCell ref="A38:A39"/>
    <mergeCell ref="B38:B39"/>
    <mergeCell ref="C38:C39"/>
    <mergeCell ref="D38:D39"/>
    <mergeCell ref="E38:E39"/>
    <mergeCell ref="G38:G39"/>
    <mergeCell ref="H38:H39"/>
    <mergeCell ref="I38:L38"/>
    <mergeCell ref="M38:N39"/>
    <mergeCell ref="O38:O39"/>
    <mergeCell ref="K42:L42"/>
    <mergeCell ref="P42:R43"/>
    <mergeCell ref="B43:H43"/>
    <mergeCell ref="I43:J43"/>
    <mergeCell ref="K43:L43"/>
    <mergeCell ref="E45:H45"/>
    <mergeCell ref="I45:J45"/>
    <mergeCell ref="K45:L45"/>
    <mergeCell ref="P38:R39"/>
    <mergeCell ref="I39:J39"/>
    <mergeCell ref="K39:L39"/>
    <mergeCell ref="I47:L47"/>
    <mergeCell ref="A49:R49"/>
    <mergeCell ref="A50:A51"/>
    <mergeCell ref="B50:B51"/>
    <mergeCell ref="C50:C51"/>
    <mergeCell ref="D50:D51"/>
    <mergeCell ref="E50:E51"/>
    <mergeCell ref="F50:F51"/>
    <mergeCell ref="G50:G51"/>
    <mergeCell ref="H50:H51"/>
    <mergeCell ref="A40:A43"/>
    <mergeCell ref="I40:J40"/>
    <mergeCell ref="K40:L40"/>
    <mergeCell ref="P40:R41"/>
    <mergeCell ref="I41:J41"/>
    <mergeCell ref="K41:L41"/>
    <mergeCell ref="I42:J42"/>
    <mergeCell ref="F38:F39"/>
    <mergeCell ref="P52:R57"/>
    <mergeCell ref="I53:J53"/>
    <mergeCell ref="K53:L53"/>
    <mergeCell ref="I54:J54"/>
    <mergeCell ref="K54:L54"/>
    <mergeCell ref="I55:J55"/>
    <mergeCell ref="K55:L55"/>
    <mergeCell ref="I50:L50"/>
    <mergeCell ref="M50:N51"/>
    <mergeCell ref="O50:O51"/>
    <mergeCell ref="P50:R51"/>
    <mergeCell ref="I51:J51"/>
    <mergeCell ref="K51:L51"/>
    <mergeCell ref="I56:J56"/>
    <mergeCell ref="K56:L56"/>
    <mergeCell ref="B57:H57"/>
    <mergeCell ref="I57:J57"/>
    <mergeCell ref="K57:L57"/>
    <mergeCell ref="A58:A63"/>
    <mergeCell ref="I58:J58"/>
    <mergeCell ref="K58:L58"/>
    <mergeCell ref="B63:H63"/>
    <mergeCell ref="K63:L63"/>
    <mergeCell ref="A52:A57"/>
    <mergeCell ref="I52:J52"/>
    <mergeCell ref="K52:L52"/>
    <mergeCell ref="P64:R69"/>
    <mergeCell ref="I65:J65"/>
    <mergeCell ref="K65:L65"/>
    <mergeCell ref="I66:J66"/>
    <mergeCell ref="K66:L66"/>
    <mergeCell ref="I67:J67"/>
    <mergeCell ref="K67:L67"/>
    <mergeCell ref="P58:R63"/>
    <mergeCell ref="I59:J59"/>
    <mergeCell ref="K59:L59"/>
    <mergeCell ref="I60:J60"/>
    <mergeCell ref="K60:L60"/>
    <mergeCell ref="I61:J61"/>
    <mergeCell ref="K61:L61"/>
    <mergeCell ref="I62:J62"/>
    <mergeCell ref="K62:L62"/>
    <mergeCell ref="I63:J63"/>
    <mergeCell ref="I68:J68"/>
    <mergeCell ref="K68:L68"/>
    <mergeCell ref="B69:H69"/>
    <mergeCell ref="I69:J69"/>
    <mergeCell ref="K69:L69"/>
    <mergeCell ref="E71:H71"/>
    <mergeCell ref="I71:J71"/>
    <mergeCell ref="K71:L71"/>
    <mergeCell ref="A64:A69"/>
    <mergeCell ref="I64:J64"/>
    <mergeCell ref="K64:L64"/>
    <mergeCell ref="M76:N77"/>
    <mergeCell ref="O76:O77"/>
    <mergeCell ref="P76:R77"/>
    <mergeCell ref="I77:J77"/>
    <mergeCell ref="K77:L77"/>
    <mergeCell ref="I73:L73"/>
    <mergeCell ref="A75:R75"/>
    <mergeCell ref="A76:A77"/>
    <mergeCell ref="B76:B77"/>
    <mergeCell ref="C76:C77"/>
    <mergeCell ref="D76:D77"/>
    <mergeCell ref="E76:E77"/>
    <mergeCell ref="F76:F77"/>
    <mergeCell ref="G76:G77"/>
    <mergeCell ref="H76:H77"/>
    <mergeCell ref="A78:A88"/>
    <mergeCell ref="I78:J78"/>
    <mergeCell ref="K78:L78"/>
    <mergeCell ref="P78:R88"/>
    <mergeCell ref="I79:J79"/>
    <mergeCell ref="K79:L79"/>
    <mergeCell ref="I80:J80"/>
    <mergeCell ref="K80:L80"/>
    <mergeCell ref="I81:J81"/>
    <mergeCell ref="K81:L81"/>
    <mergeCell ref="I92:L92"/>
    <mergeCell ref="I27:J27"/>
    <mergeCell ref="K27:L27"/>
    <mergeCell ref="I28:J28"/>
    <mergeCell ref="K28:L28"/>
    <mergeCell ref="B88:H88"/>
    <mergeCell ref="I88:J88"/>
    <mergeCell ref="K88:L88"/>
    <mergeCell ref="E90:H90"/>
    <mergeCell ref="I90:J90"/>
    <mergeCell ref="K90:L90"/>
    <mergeCell ref="I85:J85"/>
    <mergeCell ref="K85:L85"/>
    <mergeCell ref="I86:J86"/>
    <mergeCell ref="K86:L86"/>
    <mergeCell ref="I87:J87"/>
    <mergeCell ref="K87:L87"/>
    <mergeCell ref="I82:J82"/>
    <mergeCell ref="K82:L82"/>
    <mergeCell ref="I83:J83"/>
    <mergeCell ref="K83:L83"/>
    <mergeCell ref="I84:J84"/>
    <mergeCell ref="K84:L84"/>
    <mergeCell ref="I76:L76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2"/>
  <sheetViews>
    <sheetView topLeftCell="A19" zoomScale="85" zoomScaleNormal="85" workbookViewId="0">
      <selection activeCell="D8" sqref="D8"/>
    </sheetView>
  </sheetViews>
  <sheetFormatPr defaultColWidth="8.77734375" defaultRowHeight="14.4" x14ac:dyDescent="0.3"/>
  <cols>
    <col min="1" max="1" width="12.6640625" style="68" customWidth="1"/>
    <col min="2" max="3" width="7.6640625" style="68" customWidth="1"/>
    <col min="4" max="4" width="8.21875" style="1" bestFit="1" customWidth="1"/>
    <col min="5" max="5" width="63.77734375" style="68" bestFit="1" customWidth="1"/>
    <col min="6" max="6" width="5.6640625" style="68" customWidth="1"/>
    <col min="7" max="7" width="6.6640625" style="68" customWidth="1"/>
    <col min="8" max="8" width="15.6640625" style="68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68" customWidth="1"/>
    <col min="15" max="15" width="21.5546875" style="68" bestFit="1" customWidth="1"/>
    <col min="16" max="18" width="7.6640625" style="68" customWidth="1"/>
    <col min="19" max="16384" width="8.77734375" style="68"/>
  </cols>
  <sheetData>
    <row r="1" spans="1:18" x14ac:dyDescent="0.3">
      <c r="D1" s="68"/>
      <c r="I1" s="68"/>
      <c r="J1" s="68"/>
      <c r="K1" s="68"/>
      <c r="L1" s="68"/>
      <c r="M1" s="68"/>
    </row>
    <row r="2" spans="1:18" x14ac:dyDescent="0.3">
      <c r="D2" s="68"/>
      <c r="I2" s="68"/>
      <c r="J2" s="68"/>
      <c r="K2" s="68"/>
      <c r="L2" s="68"/>
      <c r="M2" s="68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45941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4"/>
      <c r="D7" s="4">
        <v>250070</v>
      </c>
      <c r="E7" s="3" t="s">
        <v>263</v>
      </c>
      <c r="F7" s="19">
        <v>304</v>
      </c>
      <c r="G7" s="20">
        <v>0.6</v>
      </c>
      <c r="H7" s="28" t="s">
        <v>55</v>
      </c>
      <c r="I7" s="143">
        <v>450</v>
      </c>
      <c r="J7" s="144"/>
      <c r="K7" s="143"/>
      <c r="L7" s="144"/>
      <c r="M7" s="73">
        <v>45</v>
      </c>
      <c r="N7" s="6" t="s">
        <v>13</v>
      </c>
      <c r="O7" s="21" t="s">
        <v>269</v>
      </c>
      <c r="P7" s="145"/>
      <c r="Q7" s="146"/>
      <c r="R7" s="147"/>
    </row>
    <row r="8" spans="1:18" ht="14.55" customHeight="1" x14ac:dyDescent="0.3">
      <c r="A8" s="141"/>
      <c r="B8" s="5"/>
      <c r="C8" s="5">
        <v>0.58333333333333337</v>
      </c>
      <c r="D8" s="44">
        <v>250073</v>
      </c>
      <c r="E8" s="3" t="s">
        <v>268</v>
      </c>
      <c r="F8" s="19">
        <v>304</v>
      </c>
      <c r="G8" s="20">
        <v>0.6</v>
      </c>
      <c r="H8" s="28" t="s">
        <v>55</v>
      </c>
      <c r="I8" s="143">
        <v>800</v>
      </c>
      <c r="J8" s="144"/>
      <c r="K8" s="143"/>
      <c r="L8" s="144"/>
      <c r="M8" s="73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72"/>
      <c r="E9" s="3"/>
      <c r="F9" s="19"/>
      <c r="G9" s="20"/>
      <c r="H9" s="70"/>
      <c r="I9" s="143"/>
      <c r="J9" s="144"/>
      <c r="K9" s="143"/>
      <c r="L9" s="144"/>
      <c r="M9" s="73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4"/>
      <c r="E10" s="69"/>
      <c r="F10" s="19"/>
      <c r="G10" s="20"/>
      <c r="H10" s="70"/>
      <c r="I10" s="143"/>
      <c r="J10" s="144"/>
      <c r="K10" s="143"/>
      <c r="L10" s="144"/>
      <c r="M10" s="73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1250</v>
      </c>
      <c r="J11" s="151"/>
      <c r="K11" s="150">
        <f>SUM(K7:L10)</f>
        <v>0</v>
      </c>
      <c r="L11" s="151"/>
      <c r="M11" s="10">
        <f>SUM(M7:M8)</f>
        <v>45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73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73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73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68"/>
      <c r="E16" s="1"/>
      <c r="F16" s="1"/>
      <c r="G16" s="1"/>
      <c r="H16" s="1"/>
      <c r="M16" s="68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1250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1250</v>
      </c>
      <c r="J19" s="155"/>
      <c r="K19" s="155"/>
      <c r="L19" s="156"/>
    </row>
    <row r="20" spans="1:18" ht="15" customHeight="1" x14ac:dyDescent="0.3">
      <c r="D20" s="68"/>
      <c r="I20" s="68"/>
      <c r="J20" s="68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250070</v>
      </c>
      <c r="E24" s="3" t="s">
        <v>263</v>
      </c>
      <c r="F24" s="19">
        <v>304</v>
      </c>
      <c r="G24" s="20">
        <v>0.6</v>
      </c>
      <c r="H24" s="28" t="s">
        <v>270</v>
      </c>
      <c r="I24" s="143">
        <v>350</v>
      </c>
      <c r="J24" s="144"/>
      <c r="K24" s="143"/>
      <c r="L24" s="144"/>
      <c r="M24" s="73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>
        <v>0.58333333333333337</v>
      </c>
      <c r="D25" s="4">
        <v>250071</v>
      </c>
      <c r="E25" s="3" t="s">
        <v>263</v>
      </c>
      <c r="F25" s="19">
        <v>304</v>
      </c>
      <c r="G25" s="20">
        <v>0.7</v>
      </c>
      <c r="H25" s="28" t="s">
        <v>270</v>
      </c>
      <c r="I25" s="143">
        <v>750</v>
      </c>
      <c r="J25" s="144"/>
      <c r="K25" s="143"/>
      <c r="L25" s="144"/>
      <c r="M25" s="73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73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/>
      <c r="E27" s="3"/>
      <c r="F27" s="19"/>
      <c r="G27" s="20"/>
      <c r="H27" s="28"/>
      <c r="I27" s="143"/>
      <c r="J27" s="144"/>
      <c r="K27" s="143"/>
      <c r="L27" s="144"/>
      <c r="M27" s="73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73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73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73"/>
      <c r="N30" s="6" t="s">
        <v>13</v>
      </c>
      <c r="O30" s="21"/>
      <c r="P30" s="160"/>
      <c r="Q30" s="161"/>
      <c r="R30" s="162"/>
    </row>
    <row r="31" spans="1:18" ht="14.55" customHeight="1" x14ac:dyDescent="0.3">
      <c r="A31" s="167"/>
      <c r="B31" s="148" t="s">
        <v>0</v>
      </c>
      <c r="C31" s="149"/>
      <c r="D31" s="149"/>
      <c r="E31" s="149"/>
      <c r="F31" s="149"/>
      <c r="G31" s="149"/>
      <c r="H31" s="149"/>
      <c r="I31" s="150">
        <f>SUM(I24:J30)</f>
        <v>1100</v>
      </c>
      <c r="J31" s="151"/>
      <c r="K31" s="150">
        <f>SUM(K24:L30)</f>
        <v>0</v>
      </c>
      <c r="L31" s="151"/>
      <c r="M31" s="10">
        <f>SUM(M30:M30)</f>
        <v>0</v>
      </c>
      <c r="N31" s="11" t="s">
        <v>13</v>
      </c>
      <c r="O31" s="9"/>
      <c r="P31" s="163"/>
      <c r="Q31" s="164"/>
      <c r="R31" s="165"/>
    </row>
    <row r="32" spans="1:18" ht="14.55" customHeight="1" x14ac:dyDescent="0.3">
      <c r="D32" s="68"/>
      <c r="E32" s="1"/>
      <c r="F32" s="1"/>
      <c r="G32" s="1"/>
      <c r="H32" s="1"/>
      <c r="M32" s="68"/>
    </row>
    <row r="33" spans="1:18" x14ac:dyDescent="0.3">
      <c r="E33" s="148" t="s">
        <v>33</v>
      </c>
      <c r="F33" s="149"/>
      <c r="G33" s="149"/>
      <c r="H33" s="149"/>
      <c r="I33" s="152" t="s">
        <v>19</v>
      </c>
      <c r="J33" s="153"/>
      <c r="K33" s="152" t="s">
        <v>20</v>
      </c>
      <c r="L33" s="153"/>
    </row>
    <row r="34" spans="1:18" s="36" customFormat="1" x14ac:dyDescent="0.3">
      <c r="E34" s="7"/>
      <c r="F34" s="7"/>
      <c r="G34" s="7"/>
      <c r="H34" s="7"/>
      <c r="I34" s="22">
        <f>I31</f>
        <v>1100</v>
      </c>
      <c r="J34" s="14" t="s">
        <v>12</v>
      </c>
      <c r="K34" s="22">
        <f>K31</f>
        <v>0</v>
      </c>
      <c r="L34" s="15" t="s">
        <v>12</v>
      </c>
    </row>
    <row r="35" spans="1:18" ht="24.45" customHeight="1" x14ac:dyDescent="0.3">
      <c r="E35" s="13"/>
      <c r="F35" s="13"/>
      <c r="G35" s="13"/>
      <c r="H35" s="13"/>
      <c r="I35" s="154">
        <f>I34+K34</f>
        <v>1100</v>
      </c>
      <c r="J35" s="155"/>
      <c r="K35" s="155"/>
      <c r="L35" s="156"/>
    </row>
    <row r="37" spans="1:18" s="8" customFormat="1" ht="30" customHeight="1" x14ac:dyDescent="0.3">
      <c r="A37" s="133" t="s">
        <v>30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5"/>
      <c r="L37" s="135"/>
      <c r="M37" s="135"/>
      <c r="N37" s="135"/>
      <c r="O37" s="134"/>
      <c r="P37" s="134"/>
      <c r="Q37" s="134"/>
      <c r="R37" s="136"/>
    </row>
    <row r="38" spans="1:18" s="12" customFormat="1" ht="14.55" customHeight="1" x14ac:dyDescent="0.3">
      <c r="A38" s="128" t="s">
        <v>1</v>
      </c>
      <c r="B38" s="137" t="s">
        <v>2</v>
      </c>
      <c r="C38" s="137" t="s">
        <v>3</v>
      </c>
      <c r="D38" s="137" t="s">
        <v>4</v>
      </c>
      <c r="E38" s="124" t="s">
        <v>5</v>
      </c>
      <c r="F38" s="138" t="s">
        <v>14</v>
      </c>
      <c r="G38" s="138" t="s">
        <v>15</v>
      </c>
      <c r="H38" s="119" t="s">
        <v>29</v>
      </c>
      <c r="I38" s="121" t="s">
        <v>6</v>
      </c>
      <c r="J38" s="122"/>
      <c r="K38" s="122"/>
      <c r="L38" s="123"/>
      <c r="M38" s="124" t="s">
        <v>7</v>
      </c>
      <c r="N38" s="125"/>
      <c r="O38" s="128" t="s">
        <v>8</v>
      </c>
      <c r="P38" s="128" t="s">
        <v>9</v>
      </c>
      <c r="Q38" s="128"/>
      <c r="R38" s="128"/>
    </row>
    <row r="39" spans="1:18" s="12" customFormat="1" ht="13.05" customHeight="1" x14ac:dyDescent="0.3">
      <c r="A39" s="128"/>
      <c r="B39" s="137"/>
      <c r="C39" s="137"/>
      <c r="D39" s="137"/>
      <c r="E39" s="126"/>
      <c r="F39" s="139"/>
      <c r="G39" s="139"/>
      <c r="H39" s="120"/>
      <c r="I39" s="121" t="s">
        <v>19</v>
      </c>
      <c r="J39" s="123"/>
      <c r="K39" s="121" t="s">
        <v>20</v>
      </c>
      <c r="L39" s="123"/>
      <c r="M39" s="126"/>
      <c r="N39" s="127"/>
      <c r="O39" s="128"/>
      <c r="P39" s="128"/>
      <c r="Q39" s="128"/>
      <c r="R39" s="128"/>
    </row>
    <row r="40" spans="1:18" ht="14.55" customHeight="1" x14ac:dyDescent="0.3">
      <c r="A40" s="140" t="s">
        <v>35</v>
      </c>
      <c r="B40" s="5">
        <v>0.33333333333333331</v>
      </c>
      <c r="C40" s="5">
        <v>0.58333333333333337</v>
      </c>
      <c r="D40" s="4">
        <v>250071</v>
      </c>
      <c r="E40" s="3" t="s">
        <v>263</v>
      </c>
      <c r="F40" s="19">
        <v>304</v>
      </c>
      <c r="G40" s="20">
        <v>0.7</v>
      </c>
      <c r="H40" s="28" t="s">
        <v>271</v>
      </c>
      <c r="I40" s="143">
        <v>458</v>
      </c>
      <c r="J40" s="144"/>
      <c r="K40" s="143"/>
      <c r="L40" s="144"/>
      <c r="M40" s="73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73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73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7"/>
      <c r="B43" s="148" t="s">
        <v>0</v>
      </c>
      <c r="C43" s="149"/>
      <c r="D43" s="149"/>
      <c r="E43" s="149"/>
      <c r="F43" s="149"/>
      <c r="G43" s="149"/>
      <c r="H43" s="149"/>
      <c r="I43" s="150">
        <f>SUM(I40:J42)</f>
        <v>458</v>
      </c>
      <c r="J43" s="151"/>
      <c r="K43" s="150">
        <f>SUM(K40:L42)</f>
        <v>0</v>
      </c>
      <c r="L43" s="151"/>
      <c r="M43" s="10">
        <f>SUM(M42:M42)</f>
        <v>0</v>
      </c>
      <c r="N43" s="11" t="s">
        <v>13</v>
      </c>
      <c r="O43" s="9"/>
      <c r="P43" s="168"/>
      <c r="Q43" s="169"/>
      <c r="R43" s="170"/>
    </row>
    <row r="44" spans="1:18" ht="14.55" customHeight="1" x14ac:dyDescent="0.3">
      <c r="D44" s="68"/>
      <c r="E44" s="1"/>
      <c r="F44" s="1"/>
      <c r="G44" s="1"/>
      <c r="H44" s="1"/>
      <c r="M44" s="68"/>
    </row>
    <row r="45" spans="1:18" x14ac:dyDescent="0.3">
      <c r="E45" s="148" t="s">
        <v>34</v>
      </c>
      <c r="F45" s="149"/>
      <c r="G45" s="149"/>
      <c r="H45" s="149"/>
      <c r="I45" s="152" t="s">
        <v>19</v>
      </c>
      <c r="J45" s="153"/>
      <c r="K45" s="152" t="s">
        <v>20</v>
      </c>
      <c r="L45" s="153"/>
    </row>
    <row r="46" spans="1:18" s="36" customFormat="1" x14ac:dyDescent="0.3">
      <c r="E46" s="7"/>
      <c r="F46" s="7"/>
      <c r="G46" s="7"/>
      <c r="H46" s="7"/>
      <c r="I46" s="22">
        <f>I43</f>
        <v>458</v>
      </c>
      <c r="J46" s="14" t="s">
        <v>12</v>
      </c>
      <c r="K46" s="22">
        <f>K43</f>
        <v>0</v>
      </c>
      <c r="L46" s="15" t="s">
        <v>12</v>
      </c>
    </row>
    <row r="47" spans="1:18" s="1" customFormat="1" ht="24.45" customHeight="1" x14ac:dyDescent="0.3">
      <c r="A47" s="68"/>
      <c r="B47" s="68"/>
      <c r="C47" s="68"/>
      <c r="E47" s="13"/>
      <c r="F47" s="13"/>
      <c r="G47" s="13"/>
      <c r="H47" s="13"/>
      <c r="I47" s="154">
        <f>I46+K46</f>
        <v>458</v>
      </c>
      <c r="J47" s="155"/>
      <c r="K47" s="155"/>
      <c r="L47" s="156"/>
      <c r="N47" s="68"/>
      <c r="O47" s="68"/>
      <c r="P47" s="68"/>
      <c r="Q47" s="68"/>
      <c r="R47" s="68"/>
    </row>
    <row r="49" spans="1:18" s="8" customFormat="1" ht="30" customHeight="1" x14ac:dyDescent="0.3">
      <c r="A49" s="133" t="s">
        <v>22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5"/>
      <c r="L49" s="135"/>
      <c r="M49" s="135"/>
      <c r="N49" s="135"/>
      <c r="O49" s="134"/>
      <c r="P49" s="134"/>
      <c r="Q49" s="134"/>
      <c r="R49" s="136"/>
    </row>
    <row r="50" spans="1:18" s="12" customFormat="1" ht="14.55" customHeight="1" x14ac:dyDescent="0.3">
      <c r="A50" s="128" t="s">
        <v>1</v>
      </c>
      <c r="B50" s="137" t="s">
        <v>2</v>
      </c>
      <c r="C50" s="137" t="s">
        <v>3</v>
      </c>
      <c r="D50" s="137" t="s">
        <v>4</v>
      </c>
      <c r="E50" s="124" t="s">
        <v>5</v>
      </c>
      <c r="F50" s="138" t="s">
        <v>14</v>
      </c>
      <c r="G50" s="138" t="s">
        <v>15</v>
      </c>
      <c r="H50" s="119" t="s">
        <v>27</v>
      </c>
      <c r="I50" s="121" t="s">
        <v>6</v>
      </c>
      <c r="J50" s="122"/>
      <c r="K50" s="122"/>
      <c r="L50" s="123"/>
      <c r="M50" s="124" t="s">
        <v>7</v>
      </c>
      <c r="N50" s="125"/>
      <c r="O50" s="128" t="s">
        <v>8</v>
      </c>
      <c r="P50" s="128" t="s">
        <v>9</v>
      </c>
      <c r="Q50" s="128"/>
      <c r="R50" s="128"/>
    </row>
    <row r="51" spans="1:18" s="12" customFormat="1" ht="13.05" customHeight="1" x14ac:dyDescent="0.3">
      <c r="A51" s="128"/>
      <c r="B51" s="137"/>
      <c r="C51" s="137"/>
      <c r="D51" s="137"/>
      <c r="E51" s="126"/>
      <c r="F51" s="139"/>
      <c r="G51" s="139"/>
      <c r="H51" s="120"/>
      <c r="I51" s="121" t="s">
        <v>23</v>
      </c>
      <c r="J51" s="123"/>
      <c r="K51" s="121" t="s">
        <v>11</v>
      </c>
      <c r="L51" s="123"/>
      <c r="M51" s="126"/>
      <c r="N51" s="127"/>
      <c r="O51" s="128"/>
      <c r="P51" s="128"/>
      <c r="Q51" s="128"/>
      <c r="R51" s="128"/>
    </row>
    <row r="52" spans="1:18" ht="14.55" customHeight="1" x14ac:dyDescent="0.3">
      <c r="A52" s="140" t="s">
        <v>28</v>
      </c>
      <c r="B52" s="5"/>
      <c r="C52" s="5"/>
      <c r="D52" s="4"/>
      <c r="E52" s="3" t="s">
        <v>267</v>
      </c>
      <c r="F52" s="19"/>
      <c r="G52" s="20"/>
      <c r="H52" s="28"/>
      <c r="I52" s="143"/>
      <c r="J52" s="144"/>
      <c r="K52" s="143"/>
      <c r="L52" s="144"/>
      <c r="M52" s="73"/>
      <c r="N52" s="6" t="s">
        <v>13</v>
      </c>
      <c r="O52" s="21"/>
      <c r="P52" s="168" t="s">
        <v>50</v>
      </c>
      <c r="Q52" s="169"/>
      <c r="R52" s="170"/>
    </row>
    <row r="53" spans="1:18" ht="14.55" customHeight="1" x14ac:dyDescent="0.3">
      <c r="A53" s="141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73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73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1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73"/>
      <c r="N55" s="6" t="s">
        <v>13</v>
      </c>
      <c r="O55" s="21"/>
      <c r="P55" s="168"/>
      <c r="Q55" s="169"/>
      <c r="R55" s="170"/>
    </row>
    <row r="56" spans="1:18" ht="14.55" customHeight="1" x14ac:dyDescent="0.3">
      <c r="A56" s="141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73"/>
      <c r="N56" s="6" t="s">
        <v>13</v>
      </c>
      <c r="O56" s="21"/>
      <c r="P56" s="168"/>
      <c r="Q56" s="169"/>
      <c r="R56" s="170"/>
    </row>
    <row r="57" spans="1:18" ht="14.55" customHeight="1" x14ac:dyDescent="0.3">
      <c r="A57" s="142"/>
      <c r="B57" s="148" t="s">
        <v>0</v>
      </c>
      <c r="C57" s="149"/>
      <c r="D57" s="149"/>
      <c r="E57" s="149"/>
      <c r="F57" s="149"/>
      <c r="G57" s="149"/>
      <c r="H57" s="171"/>
      <c r="I57" s="150">
        <f>SUM(I52:J56)</f>
        <v>0</v>
      </c>
      <c r="J57" s="151"/>
      <c r="K57" s="150">
        <f>SUM(K52:L56)</f>
        <v>0</v>
      </c>
      <c r="L57" s="151"/>
      <c r="M57" s="10">
        <f>SUM(M52:M56)</f>
        <v>0</v>
      </c>
      <c r="N57" s="11" t="s">
        <v>13</v>
      </c>
      <c r="O57" s="9"/>
      <c r="P57" s="168"/>
      <c r="Q57" s="169"/>
      <c r="R57" s="170"/>
    </row>
    <row r="58" spans="1:18" ht="14.55" customHeight="1" x14ac:dyDescent="0.3">
      <c r="A58" s="140" t="s">
        <v>24</v>
      </c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73"/>
      <c r="N58" s="6" t="s">
        <v>13</v>
      </c>
      <c r="O58" s="21"/>
      <c r="P58" s="157" t="s">
        <v>51</v>
      </c>
      <c r="Q58" s="158"/>
      <c r="R58" s="159"/>
    </row>
    <row r="59" spans="1:18" ht="14.55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73"/>
      <c r="N59" s="6" t="s">
        <v>13</v>
      </c>
      <c r="O59" s="21"/>
      <c r="P59" s="160"/>
      <c r="Q59" s="161"/>
      <c r="R59" s="162"/>
    </row>
    <row r="60" spans="1:18" ht="14.55" hidden="1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73"/>
      <c r="N60" s="6" t="s">
        <v>13</v>
      </c>
      <c r="O60" s="21"/>
      <c r="P60" s="160"/>
      <c r="Q60" s="161"/>
      <c r="R60" s="162"/>
    </row>
    <row r="61" spans="1:18" ht="14.55" hidden="1" customHeight="1" x14ac:dyDescent="0.3">
      <c r="A61" s="166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73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73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7"/>
      <c r="B63" s="148" t="s">
        <v>0</v>
      </c>
      <c r="C63" s="149"/>
      <c r="D63" s="149"/>
      <c r="E63" s="149"/>
      <c r="F63" s="149"/>
      <c r="G63" s="149"/>
      <c r="H63" s="171"/>
      <c r="I63" s="150">
        <f>SUM(I58:J62)</f>
        <v>0</v>
      </c>
      <c r="J63" s="151"/>
      <c r="K63" s="150">
        <f>SUM(K58:L62)</f>
        <v>0</v>
      </c>
      <c r="L63" s="151"/>
      <c r="M63" s="10">
        <f>SUM(M58:M62)</f>
        <v>0</v>
      </c>
      <c r="N63" s="11" t="s">
        <v>13</v>
      </c>
      <c r="O63" s="9"/>
      <c r="P63" s="163"/>
      <c r="Q63" s="164"/>
      <c r="R63" s="165"/>
    </row>
    <row r="64" spans="1:18" ht="14.55" customHeight="1" x14ac:dyDescent="0.3">
      <c r="A64" s="140" t="s">
        <v>25</v>
      </c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73"/>
      <c r="N64" s="6" t="s">
        <v>13</v>
      </c>
      <c r="O64" s="21"/>
      <c r="P64" s="145" t="s">
        <v>53</v>
      </c>
      <c r="Q64" s="169"/>
      <c r="R64" s="170"/>
    </row>
    <row r="65" spans="1:18" ht="14.55" hidden="1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73"/>
      <c r="N65" s="6" t="s">
        <v>13</v>
      </c>
      <c r="O65" s="21"/>
      <c r="P65" s="168"/>
      <c r="Q65" s="169"/>
      <c r="R65" s="170"/>
    </row>
    <row r="66" spans="1:18" ht="14.55" hidden="1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73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1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73"/>
      <c r="N67" s="6" t="s">
        <v>13</v>
      </c>
      <c r="O67" s="21"/>
      <c r="P67" s="168"/>
      <c r="Q67" s="169"/>
      <c r="R67" s="170"/>
    </row>
    <row r="68" spans="1:18" ht="14.55" customHeight="1" x14ac:dyDescent="0.3">
      <c r="A68" s="141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73"/>
      <c r="N68" s="6" t="s">
        <v>13</v>
      </c>
      <c r="O68" s="21"/>
      <c r="P68" s="168"/>
      <c r="Q68" s="169"/>
      <c r="R68" s="170"/>
    </row>
    <row r="69" spans="1:18" ht="14.55" customHeight="1" x14ac:dyDescent="0.3">
      <c r="A69" s="142"/>
      <c r="B69" s="148" t="s">
        <v>0</v>
      </c>
      <c r="C69" s="149"/>
      <c r="D69" s="149"/>
      <c r="E69" s="149"/>
      <c r="F69" s="149"/>
      <c r="G69" s="149"/>
      <c r="H69" s="149"/>
      <c r="I69" s="150">
        <f>SUM(I64:J68)</f>
        <v>0</v>
      </c>
      <c r="J69" s="151"/>
      <c r="K69" s="150">
        <f>SUM(K64:L68)</f>
        <v>0</v>
      </c>
      <c r="L69" s="151"/>
      <c r="M69" s="10">
        <f>SUM(M64:M68)</f>
        <v>0</v>
      </c>
      <c r="N69" s="11" t="s">
        <v>13</v>
      </c>
      <c r="O69" s="9"/>
      <c r="P69" s="168"/>
      <c r="Q69" s="169"/>
      <c r="R69" s="170"/>
    </row>
    <row r="71" spans="1:18" x14ac:dyDescent="0.3">
      <c r="E71" s="148" t="s">
        <v>26</v>
      </c>
      <c r="F71" s="149"/>
      <c r="G71" s="149"/>
      <c r="H71" s="149"/>
      <c r="I71" s="152" t="s">
        <v>23</v>
      </c>
      <c r="J71" s="153"/>
      <c r="K71" s="152" t="s">
        <v>11</v>
      </c>
      <c r="L71" s="153"/>
    </row>
    <row r="72" spans="1:18" s="36" customFormat="1" x14ac:dyDescent="0.3">
      <c r="E72" s="7"/>
      <c r="F72" s="7"/>
      <c r="G72" s="7"/>
      <c r="H72" s="7"/>
      <c r="I72" s="22">
        <f>I63+I69</f>
        <v>0</v>
      </c>
      <c r="J72" s="14" t="s">
        <v>12</v>
      </c>
      <c r="K72" s="22">
        <f>K63+K69</f>
        <v>0</v>
      </c>
      <c r="L72" s="15" t="s">
        <v>12</v>
      </c>
    </row>
    <row r="73" spans="1:18" ht="24.45" customHeight="1" x14ac:dyDescent="0.3">
      <c r="E73" s="13"/>
      <c r="F73" s="13"/>
      <c r="G73" s="13"/>
      <c r="H73" s="13"/>
      <c r="I73" s="154">
        <f>I72+K72</f>
        <v>0</v>
      </c>
      <c r="J73" s="155"/>
      <c r="K73" s="155"/>
      <c r="L73" s="156"/>
    </row>
    <row r="75" spans="1:18" s="8" customFormat="1" ht="30" customHeight="1" x14ac:dyDescent="0.3">
      <c r="A75" s="133" t="s">
        <v>131</v>
      </c>
      <c r="B75" s="134"/>
      <c r="C75" s="134"/>
      <c r="D75" s="134"/>
      <c r="E75" s="134"/>
      <c r="F75" s="134"/>
      <c r="G75" s="134"/>
      <c r="H75" s="134"/>
      <c r="I75" s="134"/>
      <c r="J75" s="134"/>
      <c r="K75" s="135"/>
      <c r="L75" s="135"/>
      <c r="M75" s="135"/>
      <c r="N75" s="135"/>
      <c r="O75" s="134"/>
      <c r="P75" s="134"/>
      <c r="Q75" s="134"/>
      <c r="R75" s="136"/>
    </row>
    <row r="76" spans="1:18" s="12" customFormat="1" ht="14.55" customHeight="1" x14ac:dyDescent="0.3">
      <c r="A76" s="128" t="s">
        <v>1</v>
      </c>
      <c r="B76" s="137" t="s">
        <v>2</v>
      </c>
      <c r="C76" s="137" t="s">
        <v>3</v>
      </c>
      <c r="D76" s="137" t="s">
        <v>4</v>
      </c>
      <c r="E76" s="124" t="s">
        <v>5</v>
      </c>
      <c r="F76" s="138" t="s">
        <v>14</v>
      </c>
      <c r="G76" s="138" t="s">
        <v>15</v>
      </c>
      <c r="H76" s="119" t="s">
        <v>27</v>
      </c>
      <c r="I76" s="121" t="s">
        <v>6</v>
      </c>
      <c r="J76" s="122"/>
      <c r="K76" s="122"/>
      <c r="L76" s="123"/>
      <c r="M76" s="124" t="s">
        <v>7</v>
      </c>
      <c r="N76" s="125"/>
      <c r="O76" s="128" t="s">
        <v>8</v>
      </c>
      <c r="P76" s="128" t="s">
        <v>9</v>
      </c>
      <c r="Q76" s="128"/>
      <c r="R76" s="128"/>
    </row>
    <row r="77" spans="1:18" s="12" customFormat="1" ht="13.05" customHeight="1" x14ac:dyDescent="0.3">
      <c r="A77" s="128"/>
      <c r="B77" s="137"/>
      <c r="C77" s="137"/>
      <c r="D77" s="137"/>
      <c r="E77" s="126"/>
      <c r="F77" s="139"/>
      <c r="G77" s="139"/>
      <c r="H77" s="120"/>
      <c r="I77" s="121" t="s">
        <v>23</v>
      </c>
      <c r="J77" s="123"/>
      <c r="K77" s="121" t="s">
        <v>11</v>
      </c>
      <c r="L77" s="123"/>
      <c r="M77" s="126"/>
      <c r="N77" s="127"/>
      <c r="O77" s="128"/>
      <c r="P77" s="128"/>
      <c r="Q77" s="128"/>
      <c r="R77" s="128"/>
    </row>
    <row r="78" spans="1:18" ht="14.55" customHeight="1" x14ac:dyDescent="0.3">
      <c r="A78" s="140" t="s">
        <v>132</v>
      </c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73"/>
      <c r="N78" s="6" t="s">
        <v>13</v>
      </c>
      <c r="O78" s="21"/>
      <c r="P78" s="157"/>
      <c r="Q78" s="158"/>
      <c r="R78" s="159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73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73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73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73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73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73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73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73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73"/>
      <c r="N87" s="6" t="s">
        <v>13</v>
      </c>
      <c r="O87" s="21"/>
      <c r="P87" s="160"/>
      <c r="Q87" s="161"/>
      <c r="R87" s="162"/>
    </row>
    <row r="88" spans="1:18" ht="14.55" customHeight="1" x14ac:dyDescent="0.3">
      <c r="A88" s="167"/>
      <c r="B88" s="148" t="s">
        <v>0</v>
      </c>
      <c r="C88" s="149"/>
      <c r="D88" s="149"/>
      <c r="E88" s="149"/>
      <c r="F88" s="149"/>
      <c r="G88" s="149"/>
      <c r="H88" s="149"/>
      <c r="I88" s="150">
        <f ca="1">SUM(I78:J88)</f>
        <v>0</v>
      </c>
      <c r="J88" s="151"/>
      <c r="K88" s="150">
        <f ca="1">SUM(K78:L88)</f>
        <v>0</v>
      </c>
      <c r="L88" s="151"/>
      <c r="M88" s="10">
        <f>SUM(M83:M87)</f>
        <v>0</v>
      </c>
      <c r="N88" s="11" t="s">
        <v>13</v>
      </c>
      <c r="O88" s="9"/>
      <c r="P88" s="163"/>
      <c r="Q88" s="164"/>
      <c r="R88" s="165"/>
    </row>
    <row r="90" spans="1:18" x14ac:dyDescent="0.3">
      <c r="E90" s="148" t="s">
        <v>26</v>
      </c>
      <c r="F90" s="149"/>
      <c r="G90" s="149"/>
      <c r="H90" s="149"/>
      <c r="I90" s="152" t="s">
        <v>23</v>
      </c>
      <c r="J90" s="153"/>
      <c r="K90" s="172" t="s">
        <v>11</v>
      </c>
      <c r="L90" s="153"/>
    </row>
    <row r="91" spans="1:18" s="36" customFormat="1" x14ac:dyDescent="0.3">
      <c r="E91" s="7"/>
      <c r="F91" s="7"/>
      <c r="G91" s="7"/>
      <c r="H91" s="7"/>
      <c r="I91" s="22">
        <f ca="1">I88</f>
        <v>0</v>
      </c>
      <c r="J91" s="14" t="s">
        <v>12</v>
      </c>
      <c r="K91" s="22">
        <f ca="1">K88</f>
        <v>0</v>
      </c>
      <c r="L91" s="15" t="s">
        <v>12</v>
      </c>
    </row>
    <row r="92" spans="1:18" ht="24.45" customHeight="1" x14ac:dyDescent="0.3">
      <c r="E92" s="13"/>
      <c r="F92" s="13"/>
      <c r="G92" s="13"/>
      <c r="H92" s="13"/>
      <c r="I92" s="154">
        <f ca="1">I91+K91</f>
        <v>0</v>
      </c>
      <c r="J92" s="155"/>
      <c r="K92" s="155"/>
      <c r="L92" s="156"/>
    </row>
  </sheetData>
  <mergeCells count="222">
    <mergeCell ref="A78:A88"/>
    <mergeCell ref="I78:J78"/>
    <mergeCell ref="K78:L78"/>
    <mergeCell ref="I92:L92"/>
    <mergeCell ref="B88:H88"/>
    <mergeCell ref="I88:J88"/>
    <mergeCell ref="K88:L88"/>
    <mergeCell ref="E90:H90"/>
    <mergeCell ref="I90:J90"/>
    <mergeCell ref="K90:L90"/>
    <mergeCell ref="I85:J85"/>
    <mergeCell ref="K85:L85"/>
    <mergeCell ref="I86:J86"/>
    <mergeCell ref="K86:L86"/>
    <mergeCell ref="I87:J87"/>
    <mergeCell ref="K87:L87"/>
    <mergeCell ref="P78:R88"/>
    <mergeCell ref="I79:J79"/>
    <mergeCell ref="K79:L79"/>
    <mergeCell ref="I80:J80"/>
    <mergeCell ref="K80:L80"/>
    <mergeCell ref="I81:J81"/>
    <mergeCell ref="K81:L81"/>
    <mergeCell ref="I76:L76"/>
    <mergeCell ref="M76:N77"/>
    <mergeCell ref="O76:O77"/>
    <mergeCell ref="P76:R77"/>
    <mergeCell ref="I77:J77"/>
    <mergeCell ref="K77:L77"/>
    <mergeCell ref="I82:J82"/>
    <mergeCell ref="K82:L82"/>
    <mergeCell ref="I83:J83"/>
    <mergeCell ref="K83:L83"/>
    <mergeCell ref="I84:J84"/>
    <mergeCell ref="K84:L84"/>
    <mergeCell ref="I73:L73"/>
    <mergeCell ref="A75:R75"/>
    <mergeCell ref="A76:A77"/>
    <mergeCell ref="B76:B77"/>
    <mergeCell ref="C76:C77"/>
    <mergeCell ref="D76:D77"/>
    <mergeCell ref="E76:E77"/>
    <mergeCell ref="F76:F77"/>
    <mergeCell ref="G76:G77"/>
    <mergeCell ref="H76:H77"/>
    <mergeCell ref="B69:H69"/>
    <mergeCell ref="I69:J69"/>
    <mergeCell ref="K69:L69"/>
    <mergeCell ref="E71:H71"/>
    <mergeCell ref="I71:J71"/>
    <mergeCell ref="K71:L71"/>
    <mergeCell ref="A64:A69"/>
    <mergeCell ref="I64:J64"/>
    <mergeCell ref="K64:L64"/>
    <mergeCell ref="P64:R69"/>
    <mergeCell ref="I65:J65"/>
    <mergeCell ref="K65:L65"/>
    <mergeCell ref="I66:J66"/>
    <mergeCell ref="K66:L66"/>
    <mergeCell ref="I67:J67"/>
    <mergeCell ref="K67:L67"/>
    <mergeCell ref="P58:R63"/>
    <mergeCell ref="I59:J59"/>
    <mergeCell ref="K59:L59"/>
    <mergeCell ref="I60:J60"/>
    <mergeCell ref="K60:L60"/>
    <mergeCell ref="I61:J61"/>
    <mergeCell ref="K61:L61"/>
    <mergeCell ref="I62:J62"/>
    <mergeCell ref="K62:L62"/>
    <mergeCell ref="I63:J63"/>
    <mergeCell ref="I68:J68"/>
    <mergeCell ref="K68:L68"/>
    <mergeCell ref="A52:A57"/>
    <mergeCell ref="I52:J52"/>
    <mergeCell ref="K52:L52"/>
    <mergeCell ref="P52:R57"/>
    <mergeCell ref="I53:J53"/>
    <mergeCell ref="B57:H57"/>
    <mergeCell ref="I57:J57"/>
    <mergeCell ref="K57:L57"/>
    <mergeCell ref="A58:A63"/>
    <mergeCell ref="I58:J58"/>
    <mergeCell ref="K58:L58"/>
    <mergeCell ref="B63:H63"/>
    <mergeCell ref="K63:L63"/>
    <mergeCell ref="K53:L53"/>
    <mergeCell ref="I54:J54"/>
    <mergeCell ref="K54:L54"/>
    <mergeCell ref="I55:J55"/>
    <mergeCell ref="K55:L55"/>
    <mergeCell ref="I56:J56"/>
    <mergeCell ref="K56:L56"/>
    <mergeCell ref="E45:H45"/>
    <mergeCell ref="I45:J45"/>
    <mergeCell ref="K45:L45"/>
    <mergeCell ref="I47:L47"/>
    <mergeCell ref="A40:A43"/>
    <mergeCell ref="I40:J40"/>
    <mergeCell ref="K40:L40"/>
    <mergeCell ref="A49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L50"/>
    <mergeCell ref="M50:N51"/>
    <mergeCell ref="O50:O51"/>
    <mergeCell ref="P50:R51"/>
    <mergeCell ref="I51:J51"/>
    <mergeCell ref="K51:L51"/>
    <mergeCell ref="P40:R41"/>
    <mergeCell ref="I41:J41"/>
    <mergeCell ref="K41:L41"/>
    <mergeCell ref="I42:J42"/>
    <mergeCell ref="K42:L42"/>
    <mergeCell ref="P42:R43"/>
    <mergeCell ref="B43:H43"/>
    <mergeCell ref="I38:L38"/>
    <mergeCell ref="M38:N39"/>
    <mergeCell ref="O38:O39"/>
    <mergeCell ref="P38:R39"/>
    <mergeCell ref="I39:J39"/>
    <mergeCell ref="K39:L39"/>
    <mergeCell ref="I43:J43"/>
    <mergeCell ref="K43:L43"/>
    <mergeCell ref="I35:L35"/>
    <mergeCell ref="A37:R37"/>
    <mergeCell ref="A38:A39"/>
    <mergeCell ref="B38:B39"/>
    <mergeCell ref="C38:C39"/>
    <mergeCell ref="D38:D39"/>
    <mergeCell ref="E38:E39"/>
    <mergeCell ref="F38:F39"/>
    <mergeCell ref="G38:G39"/>
    <mergeCell ref="H38:H39"/>
    <mergeCell ref="E33:H33"/>
    <mergeCell ref="I33:J33"/>
    <mergeCell ref="K33:L33"/>
    <mergeCell ref="K26:L26"/>
    <mergeCell ref="I27:J27"/>
    <mergeCell ref="K27:L27"/>
    <mergeCell ref="I28:J28"/>
    <mergeCell ref="K28:L28"/>
    <mergeCell ref="I29:J29"/>
    <mergeCell ref="K29:L29"/>
    <mergeCell ref="A24:A31"/>
    <mergeCell ref="I24:J24"/>
    <mergeCell ref="K24:L24"/>
    <mergeCell ref="P24:R31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I30:J30"/>
    <mergeCell ref="K30:L30"/>
    <mergeCell ref="B31:H31"/>
    <mergeCell ref="I31:J31"/>
    <mergeCell ref="K31:L3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2"/>
  <sheetViews>
    <sheetView zoomScale="85" zoomScaleNormal="85" workbookViewId="0">
      <selection activeCell="F7" sqref="F7:G9"/>
    </sheetView>
  </sheetViews>
  <sheetFormatPr defaultColWidth="8.77734375" defaultRowHeight="14.4" x14ac:dyDescent="0.3"/>
  <cols>
    <col min="1" max="1" width="12.6640625" style="68" customWidth="1"/>
    <col min="2" max="3" width="7.6640625" style="68" customWidth="1"/>
    <col min="4" max="4" width="8.21875" style="1" bestFit="1" customWidth="1"/>
    <col min="5" max="5" width="63.77734375" style="68" bestFit="1" customWidth="1"/>
    <col min="6" max="6" width="5.6640625" style="68" customWidth="1"/>
    <col min="7" max="7" width="6.6640625" style="68" customWidth="1"/>
    <col min="8" max="8" width="15.6640625" style="68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68" customWidth="1"/>
    <col min="15" max="15" width="21.5546875" style="68" bestFit="1" customWidth="1"/>
    <col min="16" max="18" width="7.6640625" style="68" customWidth="1"/>
    <col min="19" max="16384" width="8.77734375" style="68"/>
  </cols>
  <sheetData>
    <row r="1" spans="1:18" x14ac:dyDescent="0.3">
      <c r="D1" s="68"/>
      <c r="I1" s="68"/>
      <c r="J1" s="68"/>
      <c r="K1" s="68"/>
      <c r="L1" s="68"/>
      <c r="M1" s="68"/>
    </row>
    <row r="2" spans="1:18" x14ac:dyDescent="0.3">
      <c r="D2" s="68"/>
      <c r="I2" s="68"/>
      <c r="J2" s="68"/>
      <c r="K2" s="68"/>
      <c r="L2" s="68"/>
      <c r="M2" s="68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45943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4"/>
      <c r="D7" s="44">
        <v>250072</v>
      </c>
      <c r="E7" s="3" t="s">
        <v>268</v>
      </c>
      <c r="F7" s="19">
        <v>304</v>
      </c>
      <c r="G7" s="20">
        <v>0.7</v>
      </c>
      <c r="H7" s="28" t="s">
        <v>55</v>
      </c>
      <c r="I7" s="143">
        <v>750</v>
      </c>
      <c r="J7" s="144"/>
      <c r="K7" s="143"/>
      <c r="L7" s="144"/>
      <c r="M7" s="74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4">
        <v>250071</v>
      </c>
      <c r="E8" s="3" t="s">
        <v>268</v>
      </c>
      <c r="F8" s="19">
        <v>304</v>
      </c>
      <c r="G8" s="20">
        <v>0.7</v>
      </c>
      <c r="H8" s="28" t="s">
        <v>55</v>
      </c>
      <c r="I8" s="143">
        <v>750</v>
      </c>
      <c r="J8" s="144"/>
      <c r="K8" s="143"/>
      <c r="L8" s="144"/>
      <c r="M8" s="74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72">
        <v>250070</v>
      </c>
      <c r="E9" s="3" t="s">
        <v>268</v>
      </c>
      <c r="F9" s="19">
        <v>304</v>
      </c>
      <c r="G9" s="20">
        <v>0.6</v>
      </c>
      <c r="H9" s="70" t="s">
        <v>55</v>
      </c>
      <c r="I9" s="143">
        <v>800</v>
      </c>
      <c r="J9" s="144"/>
      <c r="K9" s="143"/>
      <c r="L9" s="144"/>
      <c r="M9" s="74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>
        <v>0.70833333333333337</v>
      </c>
      <c r="D10" s="4">
        <v>250073</v>
      </c>
      <c r="E10" s="69" t="s">
        <v>272</v>
      </c>
      <c r="F10" s="19">
        <v>304</v>
      </c>
      <c r="G10" s="20">
        <v>0.6</v>
      </c>
      <c r="H10" s="70" t="s">
        <v>55</v>
      </c>
      <c r="I10" s="143">
        <v>200</v>
      </c>
      <c r="J10" s="144"/>
      <c r="K10" s="143"/>
      <c r="L10" s="144"/>
      <c r="M10" s="74">
        <v>50</v>
      </c>
      <c r="N10" s="6" t="s">
        <v>13</v>
      </c>
      <c r="O10" s="21" t="s">
        <v>60</v>
      </c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2500</v>
      </c>
      <c r="J11" s="151"/>
      <c r="K11" s="150">
        <f>SUM(K7:L10)</f>
        <v>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74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74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74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68"/>
      <c r="E16" s="1"/>
      <c r="F16" s="1"/>
      <c r="G16" s="1"/>
      <c r="H16" s="1"/>
      <c r="M16" s="68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2500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2500</v>
      </c>
      <c r="J19" s="155"/>
      <c r="K19" s="155"/>
      <c r="L19" s="156"/>
    </row>
    <row r="20" spans="1:18" ht="15" customHeight="1" x14ac:dyDescent="0.3">
      <c r="D20" s="68"/>
      <c r="I20" s="68"/>
      <c r="J20" s="68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210825</v>
      </c>
      <c r="E24" s="3" t="s">
        <v>245</v>
      </c>
      <c r="F24" s="19">
        <v>430</v>
      </c>
      <c r="G24" s="20">
        <v>0.6</v>
      </c>
      <c r="H24" s="28" t="s">
        <v>137</v>
      </c>
      <c r="I24" s="143"/>
      <c r="J24" s="144"/>
      <c r="K24" s="143">
        <v>332</v>
      </c>
      <c r="L24" s="144"/>
      <c r="M24" s="74"/>
      <c r="N24" s="6" t="s">
        <v>13</v>
      </c>
      <c r="O24" s="21"/>
      <c r="P24" s="157" t="s">
        <v>275</v>
      </c>
      <c r="Q24" s="158"/>
      <c r="R24" s="159"/>
    </row>
    <row r="25" spans="1:18" ht="14.55" customHeight="1" x14ac:dyDescent="0.3">
      <c r="A25" s="166"/>
      <c r="B25" s="5"/>
      <c r="C25" s="5"/>
      <c r="D25" s="4">
        <v>210825</v>
      </c>
      <c r="E25" s="3" t="s">
        <v>242</v>
      </c>
      <c r="F25" s="19">
        <v>430</v>
      </c>
      <c r="G25" s="20">
        <v>0.6</v>
      </c>
      <c r="H25" s="28" t="s">
        <v>137</v>
      </c>
      <c r="I25" s="143"/>
      <c r="J25" s="144"/>
      <c r="K25" s="143">
        <v>332</v>
      </c>
      <c r="L25" s="144"/>
      <c r="M25" s="74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>
        <v>210825</v>
      </c>
      <c r="E26" s="3" t="s">
        <v>241</v>
      </c>
      <c r="F26" s="19">
        <v>430</v>
      </c>
      <c r="G26" s="20">
        <v>0.6</v>
      </c>
      <c r="H26" s="28" t="s">
        <v>137</v>
      </c>
      <c r="I26" s="143"/>
      <c r="J26" s="144"/>
      <c r="K26" s="143">
        <v>332</v>
      </c>
      <c r="L26" s="144"/>
      <c r="M26" s="74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>
        <v>250070</v>
      </c>
      <c r="E27" s="3" t="s">
        <v>273</v>
      </c>
      <c r="F27" s="19">
        <v>304</v>
      </c>
      <c r="G27" s="20">
        <v>0.6</v>
      </c>
      <c r="H27" s="28" t="s">
        <v>137</v>
      </c>
      <c r="I27" s="143">
        <v>397</v>
      </c>
      <c r="J27" s="144"/>
      <c r="K27" s="143"/>
      <c r="L27" s="144"/>
      <c r="M27" s="74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>
        <v>250071</v>
      </c>
      <c r="E28" s="3" t="s">
        <v>274</v>
      </c>
      <c r="F28" s="19">
        <v>304</v>
      </c>
      <c r="G28" s="20">
        <v>0.6</v>
      </c>
      <c r="H28" s="28" t="s">
        <v>137</v>
      </c>
      <c r="I28" s="143">
        <v>114</v>
      </c>
      <c r="J28" s="144"/>
      <c r="K28" s="143"/>
      <c r="L28" s="144"/>
      <c r="M28" s="74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6"/>
      <c r="B29" s="5"/>
      <c r="C29" s="5"/>
      <c r="D29" s="4">
        <v>250072</v>
      </c>
      <c r="E29" s="3" t="s">
        <v>274</v>
      </c>
      <c r="F29" s="19">
        <v>304</v>
      </c>
      <c r="G29" s="20">
        <v>0.6</v>
      </c>
      <c r="H29" s="28" t="s">
        <v>137</v>
      </c>
      <c r="I29" s="143">
        <v>712</v>
      </c>
      <c r="J29" s="144"/>
      <c r="K29" s="143"/>
      <c r="L29" s="144"/>
      <c r="M29" s="74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6"/>
      <c r="B30" s="5"/>
      <c r="C30" s="5">
        <v>0.875</v>
      </c>
      <c r="D30" s="4">
        <v>250073</v>
      </c>
      <c r="E30" s="3" t="s">
        <v>274</v>
      </c>
      <c r="F30" s="19">
        <v>304</v>
      </c>
      <c r="G30" s="20">
        <v>0.6</v>
      </c>
      <c r="H30" s="28" t="s">
        <v>137</v>
      </c>
      <c r="I30" s="143">
        <v>615</v>
      </c>
      <c r="J30" s="144"/>
      <c r="K30" s="143"/>
      <c r="L30" s="144"/>
      <c r="M30" s="74"/>
      <c r="N30" s="6" t="s">
        <v>13</v>
      </c>
      <c r="O30" s="21"/>
      <c r="P30" s="160"/>
      <c r="Q30" s="161"/>
      <c r="R30" s="162"/>
    </row>
    <row r="31" spans="1:18" ht="14.55" customHeight="1" x14ac:dyDescent="0.3">
      <c r="A31" s="167"/>
      <c r="B31" s="148" t="s">
        <v>0</v>
      </c>
      <c r="C31" s="149"/>
      <c r="D31" s="149"/>
      <c r="E31" s="149"/>
      <c r="F31" s="149"/>
      <c r="G31" s="149"/>
      <c r="H31" s="149"/>
      <c r="I31" s="150">
        <f>SUM(I24:J30)</f>
        <v>1838</v>
      </c>
      <c r="J31" s="151"/>
      <c r="K31" s="150">
        <f>SUM(K24:L30)</f>
        <v>996</v>
      </c>
      <c r="L31" s="151"/>
      <c r="M31" s="10">
        <f>SUM(M30:M30)</f>
        <v>0</v>
      </c>
      <c r="N31" s="11" t="s">
        <v>13</v>
      </c>
      <c r="O31" s="9"/>
      <c r="P31" s="163"/>
      <c r="Q31" s="164"/>
      <c r="R31" s="165"/>
    </row>
    <row r="32" spans="1:18" ht="14.55" customHeight="1" x14ac:dyDescent="0.3">
      <c r="D32" s="68"/>
      <c r="E32" s="1"/>
      <c r="F32" s="1"/>
      <c r="G32" s="1"/>
      <c r="H32" s="1"/>
      <c r="M32" s="68"/>
    </row>
    <row r="33" spans="1:18" x14ac:dyDescent="0.3">
      <c r="E33" s="148" t="s">
        <v>33</v>
      </c>
      <c r="F33" s="149"/>
      <c r="G33" s="149"/>
      <c r="H33" s="149"/>
      <c r="I33" s="152" t="s">
        <v>19</v>
      </c>
      <c r="J33" s="153"/>
      <c r="K33" s="152" t="s">
        <v>20</v>
      </c>
      <c r="L33" s="153"/>
    </row>
    <row r="34" spans="1:18" s="36" customFormat="1" x14ac:dyDescent="0.3">
      <c r="E34" s="7"/>
      <c r="F34" s="7"/>
      <c r="G34" s="7"/>
      <c r="H34" s="7"/>
      <c r="I34" s="22">
        <f>I31</f>
        <v>1838</v>
      </c>
      <c r="J34" s="14" t="s">
        <v>12</v>
      </c>
      <c r="K34" s="22">
        <f>K31</f>
        <v>996</v>
      </c>
      <c r="L34" s="15" t="s">
        <v>12</v>
      </c>
    </row>
    <row r="35" spans="1:18" ht="24.45" customHeight="1" x14ac:dyDescent="0.3">
      <c r="E35" s="13"/>
      <c r="F35" s="13"/>
      <c r="G35" s="13"/>
      <c r="H35" s="13"/>
      <c r="I35" s="154">
        <f>I34+K34</f>
        <v>2834</v>
      </c>
      <c r="J35" s="155"/>
      <c r="K35" s="155"/>
      <c r="L35" s="156"/>
    </row>
    <row r="37" spans="1:18" s="8" customFormat="1" ht="30" customHeight="1" x14ac:dyDescent="0.3">
      <c r="A37" s="133" t="s">
        <v>30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5"/>
      <c r="L37" s="135"/>
      <c r="M37" s="135"/>
      <c r="N37" s="135"/>
      <c r="O37" s="134"/>
      <c r="P37" s="134"/>
      <c r="Q37" s="134"/>
      <c r="R37" s="136"/>
    </row>
    <row r="38" spans="1:18" s="12" customFormat="1" ht="14.55" customHeight="1" x14ac:dyDescent="0.3">
      <c r="A38" s="128" t="s">
        <v>1</v>
      </c>
      <c r="B38" s="137" t="s">
        <v>2</v>
      </c>
      <c r="C38" s="137" t="s">
        <v>3</v>
      </c>
      <c r="D38" s="137" t="s">
        <v>4</v>
      </c>
      <c r="E38" s="124" t="s">
        <v>5</v>
      </c>
      <c r="F38" s="138" t="s">
        <v>14</v>
      </c>
      <c r="G38" s="138" t="s">
        <v>15</v>
      </c>
      <c r="H38" s="119" t="s">
        <v>29</v>
      </c>
      <c r="I38" s="121" t="s">
        <v>6</v>
      </c>
      <c r="J38" s="122"/>
      <c r="K38" s="122"/>
      <c r="L38" s="123"/>
      <c r="M38" s="124" t="s">
        <v>7</v>
      </c>
      <c r="N38" s="125"/>
      <c r="O38" s="128" t="s">
        <v>8</v>
      </c>
      <c r="P38" s="128" t="s">
        <v>9</v>
      </c>
      <c r="Q38" s="128"/>
      <c r="R38" s="128"/>
    </row>
    <row r="39" spans="1:18" s="12" customFormat="1" ht="13.05" customHeight="1" x14ac:dyDescent="0.3">
      <c r="A39" s="128"/>
      <c r="B39" s="137"/>
      <c r="C39" s="137"/>
      <c r="D39" s="137"/>
      <c r="E39" s="126"/>
      <c r="F39" s="139"/>
      <c r="G39" s="139"/>
      <c r="H39" s="120"/>
      <c r="I39" s="121" t="s">
        <v>19</v>
      </c>
      <c r="J39" s="123"/>
      <c r="K39" s="121" t="s">
        <v>20</v>
      </c>
      <c r="L39" s="123"/>
      <c r="M39" s="126"/>
      <c r="N39" s="127"/>
      <c r="O39" s="128"/>
      <c r="P39" s="128"/>
      <c r="Q39" s="128"/>
      <c r="R39" s="128"/>
    </row>
    <row r="40" spans="1:18" ht="14.55" customHeight="1" x14ac:dyDescent="0.3">
      <c r="A40" s="140" t="s">
        <v>35</v>
      </c>
      <c r="B40" s="5">
        <v>0.33333333333333331</v>
      </c>
      <c r="C40" s="5"/>
      <c r="D40" s="4">
        <v>250071</v>
      </c>
      <c r="E40" s="3" t="s">
        <v>273</v>
      </c>
      <c r="F40" s="19">
        <v>304</v>
      </c>
      <c r="G40" s="20">
        <v>0.6</v>
      </c>
      <c r="H40" s="28" t="s">
        <v>130</v>
      </c>
      <c r="I40" s="143">
        <v>289</v>
      </c>
      <c r="J40" s="144"/>
      <c r="K40" s="143"/>
      <c r="L40" s="144"/>
      <c r="M40" s="74"/>
      <c r="N40" s="6" t="s">
        <v>13</v>
      </c>
      <c r="O40" s="21"/>
      <c r="P40" s="168" t="s">
        <v>276</v>
      </c>
      <c r="Q40" s="169"/>
      <c r="R40" s="170"/>
    </row>
    <row r="41" spans="1:18" s="76" customFormat="1" ht="14.55" customHeight="1" x14ac:dyDescent="0.3">
      <c r="A41" s="166"/>
      <c r="B41" s="5"/>
      <c r="C41" s="5"/>
      <c r="D41" s="4">
        <v>210825</v>
      </c>
      <c r="E41" s="3" t="s">
        <v>245</v>
      </c>
      <c r="F41" s="19">
        <v>430</v>
      </c>
      <c r="G41" s="20">
        <v>0.6</v>
      </c>
      <c r="H41" s="28" t="s">
        <v>130</v>
      </c>
      <c r="I41" s="143"/>
      <c r="J41" s="144"/>
      <c r="K41" s="143">
        <v>332</v>
      </c>
      <c r="L41" s="144"/>
      <c r="M41" s="74"/>
      <c r="N41" s="6" t="s">
        <v>13</v>
      </c>
      <c r="O41" s="21"/>
      <c r="P41" s="168"/>
      <c r="Q41" s="169"/>
      <c r="R41" s="170"/>
    </row>
    <row r="42" spans="1:18" s="76" customFormat="1" ht="14.55" customHeight="1" x14ac:dyDescent="0.3">
      <c r="A42" s="166"/>
      <c r="B42" s="5"/>
      <c r="C42" s="5"/>
      <c r="D42" s="4">
        <v>210825</v>
      </c>
      <c r="E42" s="3" t="s">
        <v>242</v>
      </c>
      <c r="F42" s="19">
        <v>430</v>
      </c>
      <c r="G42" s="20">
        <v>0.6</v>
      </c>
      <c r="H42" s="28" t="s">
        <v>130</v>
      </c>
      <c r="I42" s="143"/>
      <c r="J42" s="144"/>
      <c r="K42" s="143">
        <v>332</v>
      </c>
      <c r="L42" s="144"/>
      <c r="M42" s="74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6"/>
      <c r="B43" s="5"/>
      <c r="C43" s="5">
        <v>0.875</v>
      </c>
      <c r="D43" s="4">
        <v>210825</v>
      </c>
      <c r="E43" s="3" t="s">
        <v>241</v>
      </c>
      <c r="F43" s="19">
        <v>430</v>
      </c>
      <c r="G43" s="20">
        <v>0.6</v>
      </c>
      <c r="H43" s="28" t="s">
        <v>130</v>
      </c>
      <c r="I43" s="143"/>
      <c r="J43" s="144"/>
      <c r="K43" s="143">
        <v>170</v>
      </c>
      <c r="L43" s="144"/>
      <c r="M43" s="74"/>
      <c r="N43" s="6" t="s">
        <v>13</v>
      </c>
      <c r="O43" s="21"/>
      <c r="P43" s="168"/>
      <c r="Q43" s="169"/>
      <c r="R43" s="170"/>
    </row>
    <row r="44" spans="1:18" ht="14.55" customHeight="1" x14ac:dyDescent="0.3">
      <c r="A44" s="166"/>
      <c r="B44" s="5"/>
      <c r="C44" s="5"/>
      <c r="D44" s="4"/>
      <c r="E44" s="3"/>
      <c r="F44" s="19"/>
      <c r="G44" s="20"/>
      <c r="H44" s="28"/>
      <c r="I44" s="143"/>
      <c r="J44" s="144"/>
      <c r="K44" s="143"/>
      <c r="L44" s="144"/>
      <c r="M44" s="74"/>
      <c r="N44" s="6" t="s">
        <v>13</v>
      </c>
      <c r="O44" s="21"/>
      <c r="P44" s="168"/>
      <c r="Q44" s="169"/>
      <c r="R44" s="170"/>
    </row>
    <row r="45" spans="1:18" ht="14.55" customHeight="1" x14ac:dyDescent="0.3">
      <c r="A45" s="167"/>
      <c r="B45" s="148" t="s">
        <v>0</v>
      </c>
      <c r="C45" s="149"/>
      <c r="D45" s="149"/>
      <c r="E45" s="149"/>
      <c r="F45" s="149"/>
      <c r="G45" s="149"/>
      <c r="H45" s="149"/>
      <c r="I45" s="150">
        <f>SUM(I40:J44)</f>
        <v>289</v>
      </c>
      <c r="J45" s="151"/>
      <c r="K45" s="150">
        <f>SUM(K40:L44)</f>
        <v>834</v>
      </c>
      <c r="L45" s="151"/>
      <c r="M45" s="10">
        <f>SUM(M44:M44)</f>
        <v>0</v>
      </c>
      <c r="N45" s="11" t="s">
        <v>13</v>
      </c>
      <c r="O45" s="9"/>
      <c r="P45" s="168"/>
      <c r="Q45" s="169"/>
      <c r="R45" s="170"/>
    </row>
    <row r="46" spans="1:18" ht="14.55" customHeight="1" x14ac:dyDescent="0.3">
      <c r="D46" s="68"/>
      <c r="E46" s="1"/>
      <c r="F46" s="1"/>
      <c r="G46" s="1"/>
      <c r="H46" s="1"/>
      <c r="M46" s="68"/>
    </row>
    <row r="47" spans="1:18" x14ac:dyDescent="0.3">
      <c r="E47" s="148" t="s">
        <v>34</v>
      </c>
      <c r="F47" s="149"/>
      <c r="G47" s="149"/>
      <c r="H47" s="149"/>
      <c r="I47" s="152" t="s">
        <v>19</v>
      </c>
      <c r="J47" s="153"/>
      <c r="K47" s="152" t="s">
        <v>20</v>
      </c>
      <c r="L47" s="153"/>
    </row>
    <row r="48" spans="1:18" s="36" customFormat="1" x14ac:dyDescent="0.3">
      <c r="E48" s="7"/>
      <c r="F48" s="7"/>
      <c r="G48" s="7"/>
      <c r="H48" s="7"/>
      <c r="I48" s="22">
        <f>I45</f>
        <v>289</v>
      </c>
      <c r="J48" s="14" t="s">
        <v>12</v>
      </c>
      <c r="K48" s="22">
        <f>K45</f>
        <v>834</v>
      </c>
      <c r="L48" s="15" t="s">
        <v>12</v>
      </c>
    </row>
    <row r="49" spans="1:18" s="1" customFormat="1" ht="24.45" customHeight="1" x14ac:dyDescent="0.3">
      <c r="A49" s="68"/>
      <c r="B49" s="68"/>
      <c r="C49" s="68"/>
      <c r="E49" s="13"/>
      <c r="F49" s="13"/>
      <c r="G49" s="13"/>
      <c r="H49" s="13"/>
      <c r="I49" s="154">
        <f>I48+K48</f>
        <v>1123</v>
      </c>
      <c r="J49" s="155"/>
      <c r="K49" s="155"/>
      <c r="L49" s="156"/>
      <c r="N49" s="68"/>
      <c r="O49" s="68"/>
      <c r="P49" s="68"/>
      <c r="Q49" s="68"/>
      <c r="R49" s="68"/>
    </row>
    <row r="51" spans="1:18" s="8" customFormat="1" ht="30" customHeight="1" x14ac:dyDescent="0.3">
      <c r="A51" s="133" t="s">
        <v>22</v>
      </c>
      <c r="B51" s="134"/>
      <c r="C51" s="134"/>
      <c r="D51" s="134"/>
      <c r="E51" s="134"/>
      <c r="F51" s="134"/>
      <c r="G51" s="134"/>
      <c r="H51" s="134"/>
      <c r="I51" s="134"/>
      <c r="J51" s="134"/>
      <c r="K51" s="135"/>
      <c r="L51" s="135"/>
      <c r="M51" s="135"/>
      <c r="N51" s="135"/>
      <c r="O51" s="134"/>
      <c r="P51" s="134"/>
      <c r="Q51" s="134"/>
      <c r="R51" s="136"/>
    </row>
    <row r="52" spans="1:18" s="12" customFormat="1" ht="14.55" customHeight="1" x14ac:dyDescent="0.3">
      <c r="A52" s="128" t="s">
        <v>1</v>
      </c>
      <c r="B52" s="137" t="s">
        <v>2</v>
      </c>
      <c r="C52" s="137" t="s">
        <v>3</v>
      </c>
      <c r="D52" s="137" t="s">
        <v>4</v>
      </c>
      <c r="E52" s="124" t="s">
        <v>5</v>
      </c>
      <c r="F52" s="138" t="s">
        <v>14</v>
      </c>
      <c r="G52" s="138" t="s">
        <v>15</v>
      </c>
      <c r="H52" s="119" t="s">
        <v>27</v>
      </c>
      <c r="I52" s="121" t="s">
        <v>6</v>
      </c>
      <c r="J52" s="122"/>
      <c r="K52" s="122"/>
      <c r="L52" s="123"/>
      <c r="M52" s="124" t="s">
        <v>7</v>
      </c>
      <c r="N52" s="125"/>
      <c r="O52" s="128" t="s">
        <v>8</v>
      </c>
      <c r="P52" s="128" t="s">
        <v>9</v>
      </c>
      <c r="Q52" s="128"/>
      <c r="R52" s="128"/>
    </row>
    <row r="53" spans="1:18" s="12" customFormat="1" ht="13.05" customHeight="1" x14ac:dyDescent="0.3">
      <c r="A53" s="128"/>
      <c r="B53" s="137"/>
      <c r="C53" s="137"/>
      <c r="D53" s="137"/>
      <c r="E53" s="126"/>
      <c r="F53" s="139"/>
      <c r="G53" s="139"/>
      <c r="H53" s="120"/>
      <c r="I53" s="121" t="s">
        <v>23</v>
      </c>
      <c r="J53" s="123"/>
      <c r="K53" s="121" t="s">
        <v>11</v>
      </c>
      <c r="L53" s="123"/>
      <c r="M53" s="126"/>
      <c r="N53" s="127"/>
      <c r="O53" s="128"/>
      <c r="P53" s="128"/>
      <c r="Q53" s="128"/>
      <c r="R53" s="128"/>
    </row>
    <row r="54" spans="1:18" ht="14.55" customHeight="1" x14ac:dyDescent="0.3">
      <c r="A54" s="140" t="s">
        <v>28</v>
      </c>
      <c r="B54" s="5">
        <v>0.33333333333333331</v>
      </c>
      <c r="C54" s="5"/>
      <c r="D54" s="44">
        <v>250052</v>
      </c>
      <c r="E54" s="3" t="s">
        <v>243</v>
      </c>
      <c r="F54" s="19">
        <v>304</v>
      </c>
      <c r="G54" s="20">
        <v>0.6</v>
      </c>
      <c r="H54" s="28"/>
      <c r="I54" s="143">
        <v>800</v>
      </c>
      <c r="J54" s="144"/>
      <c r="K54" s="143"/>
      <c r="L54" s="144"/>
      <c r="M54" s="74">
        <v>40</v>
      </c>
      <c r="N54" s="6" t="s">
        <v>13</v>
      </c>
      <c r="O54" s="21" t="s">
        <v>60</v>
      </c>
      <c r="P54" s="168" t="s">
        <v>50</v>
      </c>
      <c r="Q54" s="169"/>
      <c r="R54" s="170"/>
    </row>
    <row r="55" spans="1:18" ht="14.55" customHeight="1" x14ac:dyDescent="0.3">
      <c r="A55" s="141"/>
      <c r="B55" s="5"/>
      <c r="C55" s="5">
        <v>0.70833333333333337</v>
      </c>
      <c r="D55" s="44">
        <v>250052</v>
      </c>
      <c r="E55" s="3" t="s">
        <v>219</v>
      </c>
      <c r="F55" s="19">
        <v>304</v>
      </c>
      <c r="G55" s="20">
        <v>0.6</v>
      </c>
      <c r="H55" s="28"/>
      <c r="I55" s="143">
        <v>800</v>
      </c>
      <c r="J55" s="144"/>
      <c r="K55" s="143"/>
      <c r="L55" s="144"/>
      <c r="M55" s="74"/>
      <c r="N55" s="6" t="s">
        <v>13</v>
      </c>
      <c r="O55" s="21"/>
      <c r="P55" s="168"/>
      <c r="Q55" s="169"/>
      <c r="R55" s="170"/>
    </row>
    <row r="56" spans="1:18" ht="14.55" customHeight="1" x14ac:dyDescent="0.3">
      <c r="A56" s="141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74"/>
      <c r="N56" s="6" t="s">
        <v>13</v>
      </c>
      <c r="O56" s="21"/>
      <c r="P56" s="168"/>
      <c r="Q56" s="169"/>
      <c r="R56" s="170"/>
    </row>
    <row r="57" spans="1:18" ht="14.55" customHeight="1" x14ac:dyDescent="0.3">
      <c r="A57" s="142"/>
      <c r="B57" s="148" t="s">
        <v>0</v>
      </c>
      <c r="C57" s="149"/>
      <c r="D57" s="149"/>
      <c r="E57" s="149"/>
      <c r="F57" s="149"/>
      <c r="G57" s="149"/>
      <c r="H57" s="171"/>
      <c r="I57" s="150">
        <f>SUM(I54:J56)</f>
        <v>1600</v>
      </c>
      <c r="J57" s="151"/>
      <c r="K57" s="150">
        <f>SUM(K54:L56)</f>
        <v>0</v>
      </c>
      <c r="L57" s="151"/>
      <c r="M57" s="10">
        <f>SUM(M54:M56)</f>
        <v>40</v>
      </c>
      <c r="N57" s="11" t="s">
        <v>13</v>
      </c>
      <c r="O57" s="9"/>
      <c r="P57" s="168"/>
      <c r="Q57" s="169"/>
      <c r="R57" s="170"/>
    </row>
    <row r="58" spans="1:18" ht="14.55" customHeight="1" x14ac:dyDescent="0.3">
      <c r="A58" s="140" t="s">
        <v>24</v>
      </c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74"/>
      <c r="N58" s="6" t="s">
        <v>13</v>
      </c>
      <c r="O58" s="21"/>
      <c r="P58" s="157" t="s">
        <v>51</v>
      </c>
      <c r="Q58" s="158"/>
      <c r="R58" s="159"/>
    </row>
    <row r="59" spans="1:18" ht="14.55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74"/>
      <c r="N59" s="6" t="s">
        <v>13</v>
      </c>
      <c r="O59" s="21"/>
      <c r="P59" s="160"/>
      <c r="Q59" s="161"/>
      <c r="R59" s="162"/>
    </row>
    <row r="60" spans="1:18" ht="14.55" hidden="1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74"/>
      <c r="N60" s="6" t="s">
        <v>13</v>
      </c>
      <c r="O60" s="21"/>
      <c r="P60" s="160"/>
      <c r="Q60" s="161"/>
      <c r="R60" s="162"/>
    </row>
    <row r="61" spans="1:18" ht="14.55" hidden="1" customHeight="1" x14ac:dyDescent="0.3">
      <c r="A61" s="166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74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74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7"/>
      <c r="B63" s="148" t="s">
        <v>0</v>
      </c>
      <c r="C63" s="149"/>
      <c r="D63" s="149"/>
      <c r="E63" s="149"/>
      <c r="F63" s="149"/>
      <c r="G63" s="149"/>
      <c r="H63" s="171"/>
      <c r="I63" s="150">
        <f>SUM(I58:J62)</f>
        <v>0</v>
      </c>
      <c r="J63" s="151"/>
      <c r="K63" s="150">
        <f>SUM(K58:L62)</f>
        <v>0</v>
      </c>
      <c r="L63" s="151"/>
      <c r="M63" s="10">
        <f>SUM(M58:M62)</f>
        <v>0</v>
      </c>
      <c r="N63" s="11" t="s">
        <v>13</v>
      </c>
      <c r="O63" s="9"/>
      <c r="P63" s="163"/>
      <c r="Q63" s="164"/>
      <c r="R63" s="165"/>
    </row>
    <row r="64" spans="1:18" ht="14.55" customHeight="1" x14ac:dyDescent="0.3">
      <c r="A64" s="140" t="s">
        <v>25</v>
      </c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74"/>
      <c r="N64" s="6" t="s">
        <v>13</v>
      </c>
      <c r="O64" s="21"/>
      <c r="P64" s="145" t="s">
        <v>53</v>
      </c>
      <c r="Q64" s="169"/>
      <c r="R64" s="170"/>
    </row>
    <row r="65" spans="1:18" ht="14.55" hidden="1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74"/>
      <c r="N65" s="6" t="s">
        <v>13</v>
      </c>
      <c r="O65" s="21"/>
      <c r="P65" s="168"/>
      <c r="Q65" s="169"/>
      <c r="R65" s="170"/>
    </row>
    <row r="66" spans="1:18" ht="14.55" hidden="1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74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1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74"/>
      <c r="N67" s="6" t="s">
        <v>13</v>
      </c>
      <c r="O67" s="21"/>
      <c r="P67" s="168"/>
      <c r="Q67" s="169"/>
      <c r="R67" s="170"/>
    </row>
    <row r="68" spans="1:18" ht="14.55" customHeight="1" x14ac:dyDescent="0.3">
      <c r="A68" s="141"/>
      <c r="B68" s="5"/>
      <c r="C68" s="5"/>
      <c r="D68" s="4"/>
      <c r="E68" s="3"/>
      <c r="F68" s="19"/>
      <c r="G68" s="20"/>
      <c r="H68" s="28"/>
      <c r="I68" s="143"/>
      <c r="J68" s="144"/>
      <c r="K68" s="143"/>
      <c r="L68" s="144"/>
      <c r="M68" s="74"/>
      <c r="N68" s="6" t="s">
        <v>13</v>
      </c>
      <c r="O68" s="21"/>
      <c r="P68" s="168"/>
      <c r="Q68" s="169"/>
      <c r="R68" s="170"/>
    </row>
    <row r="69" spans="1:18" ht="14.55" customHeight="1" x14ac:dyDescent="0.3">
      <c r="A69" s="142"/>
      <c r="B69" s="148" t="s">
        <v>0</v>
      </c>
      <c r="C69" s="149"/>
      <c r="D69" s="149"/>
      <c r="E69" s="149"/>
      <c r="F69" s="149"/>
      <c r="G69" s="149"/>
      <c r="H69" s="149"/>
      <c r="I69" s="150">
        <f>SUM(I64:J68)</f>
        <v>0</v>
      </c>
      <c r="J69" s="151"/>
      <c r="K69" s="150">
        <f>SUM(K64:L68)</f>
        <v>0</v>
      </c>
      <c r="L69" s="151"/>
      <c r="M69" s="10">
        <f>SUM(M64:M68)</f>
        <v>0</v>
      </c>
      <c r="N69" s="11" t="s">
        <v>13</v>
      </c>
      <c r="O69" s="9"/>
      <c r="P69" s="168"/>
      <c r="Q69" s="169"/>
      <c r="R69" s="170"/>
    </row>
    <row r="71" spans="1:18" x14ac:dyDescent="0.3">
      <c r="E71" s="148" t="s">
        <v>26</v>
      </c>
      <c r="F71" s="149"/>
      <c r="G71" s="149"/>
      <c r="H71" s="149"/>
      <c r="I71" s="152" t="s">
        <v>23</v>
      </c>
      <c r="J71" s="153"/>
      <c r="K71" s="152" t="s">
        <v>11</v>
      </c>
      <c r="L71" s="153"/>
    </row>
    <row r="72" spans="1:18" s="36" customFormat="1" x14ac:dyDescent="0.3">
      <c r="E72" s="7"/>
      <c r="F72" s="7"/>
      <c r="G72" s="7"/>
      <c r="H72" s="7"/>
      <c r="I72" s="22">
        <f>I63+I69</f>
        <v>0</v>
      </c>
      <c r="J72" s="14" t="s">
        <v>12</v>
      </c>
      <c r="K72" s="22">
        <f>K63+K69</f>
        <v>0</v>
      </c>
      <c r="L72" s="15" t="s">
        <v>12</v>
      </c>
    </row>
    <row r="73" spans="1:18" ht="24.45" customHeight="1" x14ac:dyDescent="0.3">
      <c r="E73" s="13"/>
      <c r="F73" s="13"/>
      <c r="G73" s="13"/>
      <c r="H73" s="13"/>
      <c r="I73" s="154">
        <f>I72+K72</f>
        <v>0</v>
      </c>
      <c r="J73" s="155"/>
      <c r="K73" s="155"/>
      <c r="L73" s="156"/>
    </row>
    <row r="75" spans="1:18" s="8" customFormat="1" ht="30" customHeight="1" x14ac:dyDescent="0.3">
      <c r="A75" s="133" t="s">
        <v>131</v>
      </c>
      <c r="B75" s="134"/>
      <c r="C75" s="134"/>
      <c r="D75" s="134"/>
      <c r="E75" s="134"/>
      <c r="F75" s="134"/>
      <c r="G75" s="134"/>
      <c r="H75" s="134"/>
      <c r="I75" s="134"/>
      <c r="J75" s="134"/>
      <c r="K75" s="135"/>
      <c r="L75" s="135"/>
      <c r="M75" s="135"/>
      <c r="N75" s="135"/>
      <c r="O75" s="134"/>
      <c r="P75" s="134"/>
      <c r="Q75" s="134"/>
      <c r="R75" s="136"/>
    </row>
    <row r="76" spans="1:18" s="12" customFormat="1" ht="14.55" customHeight="1" x14ac:dyDescent="0.3">
      <c r="A76" s="128" t="s">
        <v>1</v>
      </c>
      <c r="B76" s="137" t="s">
        <v>2</v>
      </c>
      <c r="C76" s="137" t="s">
        <v>3</v>
      </c>
      <c r="D76" s="137" t="s">
        <v>4</v>
      </c>
      <c r="E76" s="124" t="s">
        <v>5</v>
      </c>
      <c r="F76" s="138" t="s">
        <v>14</v>
      </c>
      <c r="G76" s="138" t="s">
        <v>15</v>
      </c>
      <c r="H76" s="119" t="s">
        <v>27</v>
      </c>
      <c r="I76" s="121" t="s">
        <v>6</v>
      </c>
      <c r="J76" s="122"/>
      <c r="K76" s="122"/>
      <c r="L76" s="123"/>
      <c r="M76" s="124" t="s">
        <v>7</v>
      </c>
      <c r="N76" s="125"/>
      <c r="O76" s="128" t="s">
        <v>8</v>
      </c>
      <c r="P76" s="128" t="s">
        <v>9</v>
      </c>
      <c r="Q76" s="128"/>
      <c r="R76" s="128"/>
    </row>
    <row r="77" spans="1:18" s="12" customFormat="1" ht="13.05" customHeight="1" x14ac:dyDescent="0.3">
      <c r="A77" s="128"/>
      <c r="B77" s="137"/>
      <c r="C77" s="137"/>
      <c r="D77" s="137"/>
      <c r="E77" s="126"/>
      <c r="F77" s="139"/>
      <c r="G77" s="139"/>
      <c r="H77" s="120"/>
      <c r="I77" s="121" t="s">
        <v>23</v>
      </c>
      <c r="J77" s="123"/>
      <c r="K77" s="121" t="s">
        <v>11</v>
      </c>
      <c r="L77" s="123"/>
      <c r="M77" s="126"/>
      <c r="N77" s="127"/>
      <c r="O77" s="128"/>
      <c r="P77" s="128"/>
      <c r="Q77" s="128"/>
      <c r="R77" s="128"/>
    </row>
    <row r="78" spans="1:18" ht="14.55" customHeight="1" x14ac:dyDescent="0.3">
      <c r="A78" s="140" t="s">
        <v>132</v>
      </c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74"/>
      <c r="N78" s="6" t="s">
        <v>13</v>
      </c>
      <c r="O78" s="21"/>
      <c r="P78" s="157"/>
      <c r="Q78" s="158"/>
      <c r="R78" s="159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74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74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74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74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74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74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74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74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74"/>
      <c r="N87" s="6" t="s">
        <v>13</v>
      </c>
      <c r="O87" s="21"/>
      <c r="P87" s="160"/>
      <c r="Q87" s="161"/>
      <c r="R87" s="162"/>
    </row>
    <row r="88" spans="1:18" ht="14.55" customHeight="1" x14ac:dyDescent="0.3">
      <c r="A88" s="167"/>
      <c r="B88" s="148" t="s">
        <v>0</v>
      </c>
      <c r="C88" s="149"/>
      <c r="D88" s="149"/>
      <c r="E88" s="149"/>
      <c r="F88" s="149"/>
      <c r="G88" s="149"/>
      <c r="H88" s="149"/>
      <c r="I88" s="150">
        <f ca="1">SUM(I78:J88)</f>
        <v>0</v>
      </c>
      <c r="J88" s="151"/>
      <c r="K88" s="150">
        <f ca="1">SUM(K78:L88)</f>
        <v>0</v>
      </c>
      <c r="L88" s="151"/>
      <c r="M88" s="10">
        <f>SUM(M83:M87)</f>
        <v>0</v>
      </c>
      <c r="N88" s="11" t="s">
        <v>13</v>
      </c>
      <c r="O88" s="9"/>
      <c r="P88" s="163"/>
      <c r="Q88" s="164"/>
      <c r="R88" s="165"/>
    </row>
    <row r="90" spans="1:18" x14ac:dyDescent="0.3">
      <c r="E90" s="148" t="s">
        <v>26</v>
      </c>
      <c r="F90" s="149"/>
      <c r="G90" s="149"/>
      <c r="H90" s="149"/>
      <c r="I90" s="152" t="s">
        <v>23</v>
      </c>
      <c r="J90" s="153"/>
      <c r="K90" s="172" t="s">
        <v>11</v>
      </c>
      <c r="L90" s="153"/>
    </row>
    <row r="91" spans="1:18" s="36" customFormat="1" x14ac:dyDescent="0.3">
      <c r="E91" s="7"/>
      <c r="F91" s="7"/>
      <c r="G91" s="7"/>
      <c r="H91" s="7"/>
      <c r="I91" s="22">
        <f ca="1">I88</f>
        <v>0</v>
      </c>
      <c r="J91" s="14" t="s">
        <v>12</v>
      </c>
      <c r="K91" s="22">
        <f ca="1">K88</f>
        <v>0</v>
      </c>
      <c r="L91" s="15" t="s">
        <v>12</v>
      </c>
    </row>
    <row r="92" spans="1:18" ht="24.45" customHeight="1" x14ac:dyDescent="0.3">
      <c r="E92" s="13"/>
      <c r="F92" s="13"/>
      <c r="G92" s="13"/>
      <c r="H92" s="13"/>
      <c r="I92" s="154">
        <f ca="1">I91+K91</f>
        <v>0</v>
      </c>
      <c r="J92" s="155"/>
      <c r="K92" s="155"/>
      <c r="L92" s="156"/>
    </row>
  </sheetData>
  <mergeCells count="222">
    <mergeCell ref="I92:L92"/>
    <mergeCell ref="I41:J41"/>
    <mergeCell ref="K41:L41"/>
    <mergeCell ref="I42:J42"/>
    <mergeCell ref="K42:L42"/>
    <mergeCell ref="B88:H88"/>
    <mergeCell ref="I88:J88"/>
    <mergeCell ref="K88:L88"/>
    <mergeCell ref="E90:H90"/>
    <mergeCell ref="I90:J90"/>
    <mergeCell ref="K90:L90"/>
    <mergeCell ref="I85:J85"/>
    <mergeCell ref="K85:L85"/>
    <mergeCell ref="I86:J86"/>
    <mergeCell ref="K86:L86"/>
    <mergeCell ref="I87:J87"/>
    <mergeCell ref="K87:L87"/>
    <mergeCell ref="I82:J82"/>
    <mergeCell ref="K82:L82"/>
    <mergeCell ref="I83:J83"/>
    <mergeCell ref="K83:L83"/>
    <mergeCell ref="I84:J84"/>
    <mergeCell ref="K84:L84"/>
    <mergeCell ref="I76:L76"/>
    <mergeCell ref="A78:A88"/>
    <mergeCell ref="I78:J78"/>
    <mergeCell ref="K78:L78"/>
    <mergeCell ref="P78:R88"/>
    <mergeCell ref="I79:J79"/>
    <mergeCell ref="K79:L79"/>
    <mergeCell ref="I80:J80"/>
    <mergeCell ref="K80:L80"/>
    <mergeCell ref="I81:J81"/>
    <mergeCell ref="K81:L81"/>
    <mergeCell ref="M76:N77"/>
    <mergeCell ref="O76:O77"/>
    <mergeCell ref="P76:R77"/>
    <mergeCell ref="I77:J77"/>
    <mergeCell ref="K77:L77"/>
    <mergeCell ref="I73:L73"/>
    <mergeCell ref="A75:R75"/>
    <mergeCell ref="A76:A77"/>
    <mergeCell ref="B76:B77"/>
    <mergeCell ref="C76:C77"/>
    <mergeCell ref="D76:D77"/>
    <mergeCell ref="E76:E77"/>
    <mergeCell ref="F76:F77"/>
    <mergeCell ref="G76:G77"/>
    <mergeCell ref="H76:H77"/>
    <mergeCell ref="B69:H69"/>
    <mergeCell ref="I69:J69"/>
    <mergeCell ref="K69:L69"/>
    <mergeCell ref="E71:H71"/>
    <mergeCell ref="I71:J71"/>
    <mergeCell ref="K71:L71"/>
    <mergeCell ref="A64:A69"/>
    <mergeCell ref="I64:J64"/>
    <mergeCell ref="K64:L64"/>
    <mergeCell ref="P64:R69"/>
    <mergeCell ref="I65:J65"/>
    <mergeCell ref="K65:L65"/>
    <mergeCell ref="I66:J66"/>
    <mergeCell ref="K66:L66"/>
    <mergeCell ref="I67:J67"/>
    <mergeCell ref="K67:L67"/>
    <mergeCell ref="P58:R63"/>
    <mergeCell ref="I59:J59"/>
    <mergeCell ref="K59:L59"/>
    <mergeCell ref="I60:J60"/>
    <mergeCell ref="K60:L60"/>
    <mergeCell ref="I61:J61"/>
    <mergeCell ref="K61:L61"/>
    <mergeCell ref="I62:J62"/>
    <mergeCell ref="K62:L62"/>
    <mergeCell ref="I63:J63"/>
    <mergeCell ref="I68:J68"/>
    <mergeCell ref="K68:L68"/>
    <mergeCell ref="A54:A57"/>
    <mergeCell ref="I54:J54"/>
    <mergeCell ref="K54:L54"/>
    <mergeCell ref="P54:R57"/>
    <mergeCell ref="I55:J55"/>
    <mergeCell ref="B57:H57"/>
    <mergeCell ref="I57:J57"/>
    <mergeCell ref="K57:L57"/>
    <mergeCell ref="A58:A63"/>
    <mergeCell ref="I58:J58"/>
    <mergeCell ref="K58:L58"/>
    <mergeCell ref="B63:H63"/>
    <mergeCell ref="K63:L63"/>
    <mergeCell ref="K55:L55"/>
    <mergeCell ref="I56:J56"/>
    <mergeCell ref="K56:L56"/>
    <mergeCell ref="E47:H47"/>
    <mergeCell ref="I47:J47"/>
    <mergeCell ref="K47:L47"/>
    <mergeCell ref="I49:L49"/>
    <mergeCell ref="A40:A45"/>
    <mergeCell ref="I40:J40"/>
    <mergeCell ref="K40:L40"/>
    <mergeCell ref="A51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L52"/>
    <mergeCell ref="M52:N53"/>
    <mergeCell ref="O52:O53"/>
    <mergeCell ref="P52:R53"/>
    <mergeCell ref="I53:J53"/>
    <mergeCell ref="K53:L53"/>
    <mergeCell ref="P40:R43"/>
    <mergeCell ref="I43:J43"/>
    <mergeCell ref="K43:L43"/>
    <mergeCell ref="I44:J44"/>
    <mergeCell ref="K44:L44"/>
    <mergeCell ref="P44:R45"/>
    <mergeCell ref="B45:H45"/>
    <mergeCell ref="I38:L38"/>
    <mergeCell ref="M38:N39"/>
    <mergeCell ref="O38:O39"/>
    <mergeCell ref="P38:R39"/>
    <mergeCell ref="I39:J39"/>
    <mergeCell ref="K39:L39"/>
    <mergeCell ref="I45:J45"/>
    <mergeCell ref="K45:L45"/>
    <mergeCell ref="I35:L35"/>
    <mergeCell ref="A37:R37"/>
    <mergeCell ref="A38:A39"/>
    <mergeCell ref="B38:B39"/>
    <mergeCell ref="C38:C39"/>
    <mergeCell ref="D38:D39"/>
    <mergeCell ref="E38:E39"/>
    <mergeCell ref="F38:F39"/>
    <mergeCell ref="G38:G39"/>
    <mergeCell ref="H38:H39"/>
    <mergeCell ref="E33:H33"/>
    <mergeCell ref="I33:J33"/>
    <mergeCell ref="K33:L33"/>
    <mergeCell ref="K26:L26"/>
    <mergeCell ref="I27:J27"/>
    <mergeCell ref="K27:L27"/>
    <mergeCell ref="I28:J28"/>
    <mergeCell ref="K28:L28"/>
    <mergeCell ref="I29:J29"/>
    <mergeCell ref="K29:L29"/>
    <mergeCell ref="A24:A31"/>
    <mergeCell ref="I24:J24"/>
    <mergeCell ref="K24:L24"/>
    <mergeCell ref="P24:R31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I30:J30"/>
    <mergeCell ref="K30:L30"/>
    <mergeCell ref="B31:H31"/>
    <mergeCell ref="I31:J31"/>
    <mergeCell ref="K31:L3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8"/>
  <sheetViews>
    <sheetView zoomScale="85" zoomScaleNormal="85" workbookViewId="0">
      <selection activeCell="D51" sqref="D51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63.77734375" style="76" bestFit="1" customWidth="1"/>
    <col min="6" max="6" width="5.6640625" style="76" customWidth="1"/>
    <col min="7" max="7" width="6.6640625" style="76" customWidth="1"/>
    <col min="8" max="8" width="15.6640625" style="76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45944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4"/>
      <c r="D7" s="4">
        <v>250073</v>
      </c>
      <c r="E7" s="3" t="s">
        <v>277</v>
      </c>
      <c r="F7" s="19">
        <v>304</v>
      </c>
      <c r="G7" s="20">
        <v>0.6</v>
      </c>
      <c r="H7" s="28" t="s">
        <v>55</v>
      </c>
      <c r="I7" s="143">
        <v>650</v>
      </c>
      <c r="J7" s="144"/>
      <c r="K7" s="143"/>
      <c r="L7" s="144"/>
      <c r="M7" s="75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4">
        <v>250072</v>
      </c>
      <c r="E8" s="3" t="s">
        <v>277</v>
      </c>
      <c r="F8" s="19">
        <v>304</v>
      </c>
      <c r="G8" s="20">
        <v>0.7</v>
      </c>
      <c r="H8" s="28" t="s">
        <v>55</v>
      </c>
      <c r="I8" s="143">
        <v>750</v>
      </c>
      <c r="J8" s="144"/>
      <c r="K8" s="143"/>
      <c r="L8" s="144"/>
      <c r="M8" s="75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4">
        <v>250071</v>
      </c>
      <c r="E9" s="3" t="s">
        <v>277</v>
      </c>
      <c r="F9" s="19">
        <v>304</v>
      </c>
      <c r="G9" s="20">
        <v>0.7</v>
      </c>
      <c r="H9" s="28" t="s">
        <v>55</v>
      </c>
      <c r="I9" s="143">
        <v>750</v>
      </c>
      <c r="J9" s="144"/>
      <c r="K9" s="143"/>
      <c r="L9" s="144"/>
      <c r="M9" s="75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>
        <v>0.70833333333333337</v>
      </c>
      <c r="D10" s="72">
        <v>250070</v>
      </c>
      <c r="E10" s="3" t="s">
        <v>277</v>
      </c>
      <c r="F10" s="19">
        <v>304</v>
      </c>
      <c r="G10" s="20">
        <v>0.6</v>
      </c>
      <c r="H10" s="28" t="s">
        <v>55</v>
      </c>
      <c r="I10" s="143">
        <v>750</v>
      </c>
      <c r="J10" s="144"/>
      <c r="K10" s="143"/>
      <c r="L10" s="144"/>
      <c r="M10" s="75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2900</v>
      </c>
      <c r="J11" s="151"/>
      <c r="K11" s="150">
        <f>SUM(K7:L10)</f>
        <v>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75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75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75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2900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2900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250073</v>
      </c>
      <c r="E24" s="3" t="s">
        <v>278</v>
      </c>
      <c r="F24" s="19">
        <v>304</v>
      </c>
      <c r="G24" s="20">
        <v>0.6</v>
      </c>
      <c r="H24" s="28" t="s">
        <v>137</v>
      </c>
      <c r="I24" s="143">
        <v>630</v>
      </c>
      <c r="J24" s="144"/>
      <c r="K24" s="143"/>
      <c r="L24" s="144"/>
      <c r="M24" s="75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>
        <v>250070</v>
      </c>
      <c r="E25" s="3" t="s">
        <v>278</v>
      </c>
      <c r="F25" s="19">
        <v>304</v>
      </c>
      <c r="G25" s="20">
        <v>0.6</v>
      </c>
      <c r="H25" s="28" t="s">
        <v>137</v>
      </c>
      <c r="I25" s="143">
        <v>700</v>
      </c>
      <c r="J25" s="144"/>
      <c r="K25" s="143"/>
      <c r="L25" s="144"/>
      <c r="M25" s="75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>
        <v>250072</v>
      </c>
      <c r="E26" s="3" t="s">
        <v>273</v>
      </c>
      <c r="F26" s="19">
        <v>304</v>
      </c>
      <c r="G26" s="20">
        <v>0.6</v>
      </c>
      <c r="H26" s="28" t="s">
        <v>137</v>
      </c>
      <c r="I26" s="143">
        <v>38</v>
      </c>
      <c r="J26" s="144"/>
      <c r="K26" s="143"/>
      <c r="L26" s="144"/>
      <c r="M26" s="75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>
        <v>0.70833333333333337</v>
      </c>
      <c r="D27" s="4">
        <v>250072</v>
      </c>
      <c r="E27" s="3" t="s">
        <v>279</v>
      </c>
      <c r="F27" s="19">
        <v>304</v>
      </c>
      <c r="G27" s="20">
        <v>0.6</v>
      </c>
      <c r="H27" s="28" t="s">
        <v>137</v>
      </c>
      <c r="I27" s="143">
        <v>150</v>
      </c>
      <c r="J27" s="144"/>
      <c r="K27" s="143"/>
      <c r="L27" s="144"/>
      <c r="M27" s="75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75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7"/>
      <c r="B29" s="148" t="s">
        <v>0</v>
      </c>
      <c r="C29" s="149"/>
      <c r="D29" s="149"/>
      <c r="E29" s="149"/>
      <c r="F29" s="149"/>
      <c r="G29" s="149"/>
      <c r="H29" s="149"/>
      <c r="I29" s="150">
        <f>SUM(I24:J28)</f>
        <v>1518</v>
      </c>
      <c r="J29" s="151"/>
      <c r="K29" s="150">
        <f>SUM(K24:L28)</f>
        <v>0</v>
      </c>
      <c r="L29" s="151"/>
      <c r="M29" s="10" t="e">
        <f>SUM(#REF!)</f>
        <v>#REF!</v>
      </c>
      <c r="N29" s="11" t="s">
        <v>13</v>
      </c>
      <c r="O29" s="9"/>
      <c r="P29" s="163"/>
      <c r="Q29" s="164"/>
      <c r="R29" s="165"/>
    </row>
    <row r="30" spans="1:18" ht="14.55" customHeight="1" x14ac:dyDescent="0.3">
      <c r="D30" s="76"/>
      <c r="E30" s="1"/>
      <c r="F30" s="1"/>
      <c r="G30" s="1"/>
      <c r="H30" s="1"/>
      <c r="M30" s="76"/>
    </row>
    <row r="31" spans="1:18" x14ac:dyDescent="0.3">
      <c r="E31" s="148" t="s">
        <v>33</v>
      </c>
      <c r="F31" s="149"/>
      <c r="G31" s="149"/>
      <c r="H31" s="149"/>
      <c r="I31" s="152" t="s">
        <v>19</v>
      </c>
      <c r="J31" s="153"/>
      <c r="K31" s="152" t="s">
        <v>20</v>
      </c>
      <c r="L31" s="153"/>
    </row>
    <row r="32" spans="1:18" s="36" customFormat="1" x14ac:dyDescent="0.3">
      <c r="E32" s="7"/>
      <c r="F32" s="7"/>
      <c r="G32" s="7"/>
      <c r="H32" s="7"/>
      <c r="I32" s="22">
        <f>I29</f>
        <v>1518</v>
      </c>
      <c r="J32" s="14" t="s">
        <v>12</v>
      </c>
      <c r="K32" s="22">
        <f>K29</f>
        <v>0</v>
      </c>
      <c r="L32" s="15" t="s">
        <v>12</v>
      </c>
    </row>
    <row r="33" spans="1:18" ht="24.45" customHeight="1" x14ac:dyDescent="0.3">
      <c r="E33" s="13"/>
      <c r="F33" s="13"/>
      <c r="G33" s="13"/>
      <c r="H33" s="13"/>
      <c r="I33" s="154">
        <f>I32+K32</f>
        <v>1518</v>
      </c>
      <c r="J33" s="155"/>
      <c r="K33" s="155"/>
      <c r="L33" s="156"/>
    </row>
    <row r="35" spans="1:18" s="8" customFormat="1" ht="30" customHeight="1" x14ac:dyDescent="0.3">
      <c r="A35" s="133" t="s">
        <v>30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5"/>
      <c r="L35" s="135"/>
      <c r="M35" s="135"/>
      <c r="N35" s="135"/>
      <c r="O35" s="134"/>
      <c r="P35" s="134"/>
      <c r="Q35" s="134"/>
      <c r="R35" s="136"/>
    </row>
    <row r="36" spans="1:18" s="12" customFormat="1" ht="14.55" customHeight="1" x14ac:dyDescent="0.3">
      <c r="A36" s="128" t="s">
        <v>1</v>
      </c>
      <c r="B36" s="137" t="s">
        <v>2</v>
      </c>
      <c r="C36" s="137" t="s">
        <v>3</v>
      </c>
      <c r="D36" s="137" t="s">
        <v>4</v>
      </c>
      <c r="E36" s="124" t="s">
        <v>5</v>
      </c>
      <c r="F36" s="138" t="s">
        <v>14</v>
      </c>
      <c r="G36" s="138" t="s">
        <v>15</v>
      </c>
      <c r="H36" s="119" t="s">
        <v>29</v>
      </c>
      <c r="I36" s="121" t="s">
        <v>6</v>
      </c>
      <c r="J36" s="122"/>
      <c r="K36" s="122"/>
      <c r="L36" s="123"/>
      <c r="M36" s="124" t="s">
        <v>7</v>
      </c>
      <c r="N36" s="125"/>
      <c r="O36" s="128" t="s">
        <v>8</v>
      </c>
      <c r="P36" s="128" t="s">
        <v>9</v>
      </c>
      <c r="Q36" s="128"/>
      <c r="R36" s="128"/>
    </row>
    <row r="37" spans="1:18" s="12" customFormat="1" ht="13.05" customHeight="1" x14ac:dyDescent="0.3">
      <c r="A37" s="128"/>
      <c r="B37" s="137"/>
      <c r="C37" s="137"/>
      <c r="D37" s="137"/>
      <c r="E37" s="126"/>
      <c r="F37" s="139"/>
      <c r="G37" s="139"/>
      <c r="H37" s="120"/>
      <c r="I37" s="121" t="s">
        <v>19</v>
      </c>
      <c r="J37" s="123"/>
      <c r="K37" s="121" t="s">
        <v>20</v>
      </c>
      <c r="L37" s="123"/>
      <c r="M37" s="126"/>
      <c r="N37" s="127"/>
      <c r="O37" s="128"/>
      <c r="P37" s="128"/>
      <c r="Q37" s="128"/>
      <c r="R37" s="128"/>
    </row>
    <row r="38" spans="1:18" ht="14.55" customHeight="1" x14ac:dyDescent="0.3">
      <c r="A38" s="140" t="s">
        <v>35</v>
      </c>
      <c r="B38" s="5">
        <v>0.33333333333333331</v>
      </c>
      <c r="C38" s="5"/>
      <c r="D38" s="4">
        <v>250053</v>
      </c>
      <c r="E38" s="3" t="s">
        <v>280</v>
      </c>
      <c r="F38" s="19">
        <v>304</v>
      </c>
      <c r="G38" s="20">
        <v>0.7</v>
      </c>
      <c r="H38" s="28" t="s">
        <v>271</v>
      </c>
      <c r="I38" s="143">
        <v>708</v>
      </c>
      <c r="J38" s="144"/>
      <c r="K38" s="143"/>
      <c r="L38" s="144"/>
      <c r="M38" s="75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66"/>
      <c r="B39" s="5"/>
      <c r="C39" s="5">
        <v>0.70833333333333337</v>
      </c>
      <c r="D39" s="4">
        <v>250053</v>
      </c>
      <c r="E39" s="3" t="s">
        <v>281</v>
      </c>
      <c r="F39" s="19">
        <v>304</v>
      </c>
      <c r="G39" s="20">
        <v>0.7</v>
      </c>
      <c r="H39" s="28" t="s">
        <v>130</v>
      </c>
      <c r="I39" s="143">
        <v>342</v>
      </c>
      <c r="J39" s="144"/>
      <c r="K39" s="143"/>
      <c r="L39" s="144"/>
      <c r="M39" s="75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75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7"/>
      <c r="B41" s="148" t="s">
        <v>0</v>
      </c>
      <c r="C41" s="149"/>
      <c r="D41" s="149"/>
      <c r="E41" s="149"/>
      <c r="F41" s="149"/>
      <c r="G41" s="149"/>
      <c r="H41" s="149"/>
      <c r="I41" s="150">
        <f>SUM(I38:J40)</f>
        <v>1050</v>
      </c>
      <c r="J41" s="151"/>
      <c r="K41" s="150">
        <f>SUM(K38:L40)</f>
        <v>0</v>
      </c>
      <c r="L41" s="151"/>
      <c r="M41" s="10" t="e">
        <f>SUM(#REF!)</f>
        <v>#REF!</v>
      </c>
      <c r="N41" s="11" t="s">
        <v>13</v>
      </c>
      <c r="O41" s="9"/>
      <c r="P41" s="168"/>
      <c r="Q41" s="169"/>
      <c r="R41" s="170"/>
    </row>
    <row r="42" spans="1:18" ht="14.55" customHeight="1" x14ac:dyDescent="0.3">
      <c r="D42" s="76"/>
      <c r="E42" s="1"/>
      <c r="F42" s="1"/>
      <c r="G42" s="1"/>
      <c r="H42" s="1"/>
      <c r="M42" s="76"/>
    </row>
    <row r="43" spans="1:18" x14ac:dyDescent="0.3">
      <c r="E43" s="148" t="s">
        <v>34</v>
      </c>
      <c r="F43" s="149"/>
      <c r="G43" s="149"/>
      <c r="H43" s="149"/>
      <c r="I43" s="152" t="s">
        <v>19</v>
      </c>
      <c r="J43" s="153"/>
      <c r="K43" s="152" t="s">
        <v>20</v>
      </c>
      <c r="L43" s="153"/>
    </row>
    <row r="44" spans="1:18" s="36" customFormat="1" x14ac:dyDescent="0.3">
      <c r="E44" s="7"/>
      <c r="F44" s="7"/>
      <c r="G44" s="7"/>
      <c r="H44" s="7"/>
      <c r="I44" s="22">
        <f>I41</f>
        <v>1050</v>
      </c>
      <c r="J44" s="14" t="s">
        <v>12</v>
      </c>
      <c r="K44" s="22">
        <f>K41</f>
        <v>0</v>
      </c>
      <c r="L44" s="15" t="s">
        <v>12</v>
      </c>
    </row>
    <row r="45" spans="1:18" s="1" customFormat="1" ht="24.45" customHeight="1" x14ac:dyDescent="0.3">
      <c r="A45" s="76"/>
      <c r="B45" s="76"/>
      <c r="C45" s="76"/>
      <c r="E45" s="13"/>
      <c r="F45" s="13"/>
      <c r="G45" s="13"/>
      <c r="H45" s="13"/>
      <c r="I45" s="154">
        <f>I44+K44</f>
        <v>1050</v>
      </c>
      <c r="J45" s="155"/>
      <c r="K45" s="155"/>
      <c r="L45" s="156"/>
      <c r="N45" s="76"/>
      <c r="O45" s="76"/>
      <c r="P45" s="76"/>
      <c r="Q45" s="76"/>
      <c r="R45" s="76"/>
    </row>
    <row r="47" spans="1:18" s="8" customFormat="1" ht="30" customHeight="1" x14ac:dyDescent="0.3">
      <c r="A47" s="133" t="s">
        <v>22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5"/>
      <c r="L47" s="135"/>
      <c r="M47" s="135"/>
      <c r="N47" s="135"/>
      <c r="O47" s="134"/>
      <c r="P47" s="134"/>
      <c r="Q47" s="134"/>
      <c r="R47" s="136"/>
    </row>
    <row r="48" spans="1:18" s="12" customFormat="1" ht="14.55" customHeight="1" x14ac:dyDescent="0.3">
      <c r="A48" s="128" t="s">
        <v>1</v>
      </c>
      <c r="B48" s="137" t="s">
        <v>2</v>
      </c>
      <c r="C48" s="137" t="s">
        <v>3</v>
      </c>
      <c r="D48" s="137" t="s">
        <v>4</v>
      </c>
      <c r="E48" s="124" t="s">
        <v>5</v>
      </c>
      <c r="F48" s="138" t="s">
        <v>14</v>
      </c>
      <c r="G48" s="138" t="s">
        <v>15</v>
      </c>
      <c r="H48" s="119" t="s">
        <v>27</v>
      </c>
      <c r="I48" s="121" t="s">
        <v>6</v>
      </c>
      <c r="J48" s="122"/>
      <c r="K48" s="122"/>
      <c r="L48" s="123"/>
      <c r="M48" s="124" t="s">
        <v>7</v>
      </c>
      <c r="N48" s="125"/>
      <c r="O48" s="128" t="s">
        <v>8</v>
      </c>
      <c r="P48" s="128" t="s">
        <v>9</v>
      </c>
      <c r="Q48" s="128"/>
      <c r="R48" s="128"/>
    </row>
    <row r="49" spans="1:18" s="12" customFormat="1" ht="13.05" customHeight="1" x14ac:dyDescent="0.3">
      <c r="A49" s="128"/>
      <c r="B49" s="137"/>
      <c r="C49" s="137"/>
      <c r="D49" s="137"/>
      <c r="E49" s="126"/>
      <c r="F49" s="139"/>
      <c r="G49" s="139"/>
      <c r="H49" s="120"/>
      <c r="I49" s="121" t="s">
        <v>23</v>
      </c>
      <c r="J49" s="123"/>
      <c r="K49" s="121" t="s">
        <v>11</v>
      </c>
      <c r="L49" s="123"/>
      <c r="M49" s="126"/>
      <c r="N49" s="127"/>
      <c r="O49" s="128"/>
      <c r="P49" s="128"/>
      <c r="Q49" s="128"/>
      <c r="R49" s="128"/>
    </row>
    <row r="50" spans="1:18" ht="14.55" customHeight="1" x14ac:dyDescent="0.3">
      <c r="A50" s="140" t="s">
        <v>28</v>
      </c>
      <c r="B50" s="5">
        <v>0.33333333333333331</v>
      </c>
      <c r="C50" s="5"/>
      <c r="D50" s="44">
        <v>250078</v>
      </c>
      <c r="E50" s="3" t="s">
        <v>238</v>
      </c>
      <c r="F50" s="19">
        <v>304</v>
      </c>
      <c r="G50" s="20">
        <v>0.6</v>
      </c>
      <c r="H50" s="28"/>
      <c r="I50" s="143">
        <v>800</v>
      </c>
      <c r="J50" s="144"/>
      <c r="K50" s="143"/>
      <c r="L50" s="144"/>
      <c r="M50" s="75"/>
      <c r="N50" s="6" t="s">
        <v>13</v>
      </c>
      <c r="O50" s="21"/>
      <c r="P50" s="168" t="s">
        <v>50</v>
      </c>
      <c r="Q50" s="169"/>
      <c r="R50" s="170"/>
    </row>
    <row r="51" spans="1:18" ht="14.55" customHeight="1" x14ac:dyDescent="0.3">
      <c r="A51" s="141"/>
      <c r="B51" s="5"/>
      <c r="C51" s="5">
        <v>0.70833333333333337</v>
      </c>
      <c r="D51" s="44">
        <v>250078</v>
      </c>
      <c r="E51" s="3" t="s">
        <v>216</v>
      </c>
      <c r="F51" s="19">
        <v>304</v>
      </c>
      <c r="G51" s="20">
        <v>0.6</v>
      </c>
      <c r="H51" s="28"/>
      <c r="I51" s="143">
        <v>800</v>
      </c>
      <c r="J51" s="144"/>
      <c r="K51" s="143"/>
      <c r="L51" s="144"/>
      <c r="M51" s="75"/>
      <c r="N51" s="6" t="s">
        <v>13</v>
      </c>
      <c r="O51" s="21"/>
      <c r="P51" s="168"/>
      <c r="Q51" s="169"/>
      <c r="R51" s="170"/>
    </row>
    <row r="52" spans="1:18" ht="14.55" customHeight="1" x14ac:dyDescent="0.3">
      <c r="A52" s="141"/>
      <c r="B52" s="5"/>
      <c r="C52" s="5"/>
      <c r="D52" s="4"/>
      <c r="E52" s="3"/>
      <c r="F52" s="19"/>
      <c r="G52" s="20"/>
      <c r="H52" s="28"/>
      <c r="I52" s="143"/>
      <c r="J52" s="144"/>
      <c r="K52" s="143"/>
      <c r="L52" s="144"/>
      <c r="M52" s="75"/>
      <c r="N52" s="6" t="s">
        <v>13</v>
      </c>
      <c r="O52" s="21"/>
      <c r="P52" s="168"/>
      <c r="Q52" s="169"/>
      <c r="R52" s="170"/>
    </row>
    <row r="53" spans="1:18" ht="14.55" customHeight="1" x14ac:dyDescent="0.3">
      <c r="A53" s="142"/>
      <c r="B53" s="148" t="s">
        <v>0</v>
      </c>
      <c r="C53" s="149"/>
      <c r="D53" s="149"/>
      <c r="E53" s="149"/>
      <c r="F53" s="149"/>
      <c r="G53" s="149"/>
      <c r="H53" s="171"/>
      <c r="I53" s="150">
        <f>SUM(I50:J52)</f>
        <v>1600</v>
      </c>
      <c r="J53" s="151"/>
      <c r="K53" s="150">
        <f>SUM(K50:L52)</f>
        <v>0</v>
      </c>
      <c r="L53" s="151"/>
      <c r="M53" s="10">
        <f>SUM(M50:M52)</f>
        <v>0</v>
      </c>
      <c r="N53" s="11" t="s">
        <v>13</v>
      </c>
      <c r="O53" s="9"/>
      <c r="P53" s="168"/>
      <c r="Q53" s="169"/>
      <c r="R53" s="170"/>
    </row>
    <row r="54" spans="1:18" ht="14.55" customHeight="1" x14ac:dyDescent="0.3">
      <c r="A54" s="140" t="s">
        <v>24</v>
      </c>
      <c r="B54" s="5">
        <v>0.33333333333333331</v>
      </c>
      <c r="C54" s="5"/>
      <c r="D54" s="4">
        <v>250080</v>
      </c>
      <c r="E54" s="3" t="s">
        <v>282</v>
      </c>
      <c r="F54" s="19">
        <v>304</v>
      </c>
      <c r="G54" s="20">
        <v>0.6</v>
      </c>
      <c r="H54" s="28"/>
      <c r="I54" s="143">
        <v>300</v>
      </c>
      <c r="J54" s="144"/>
      <c r="K54" s="143"/>
      <c r="L54" s="144"/>
      <c r="M54" s="75"/>
      <c r="N54" s="6" t="s">
        <v>13</v>
      </c>
      <c r="O54" s="21"/>
      <c r="P54" s="157" t="s">
        <v>51</v>
      </c>
      <c r="Q54" s="158"/>
      <c r="R54" s="159"/>
    </row>
    <row r="55" spans="1:18" ht="14.55" customHeight="1" x14ac:dyDescent="0.3">
      <c r="A55" s="166"/>
      <c r="B55" s="5"/>
      <c r="C55" s="5"/>
      <c r="D55" s="4">
        <v>250080</v>
      </c>
      <c r="E55" s="3" t="s">
        <v>283</v>
      </c>
      <c r="F55" s="19">
        <v>304</v>
      </c>
      <c r="G55" s="20">
        <v>0.6</v>
      </c>
      <c r="H55" s="28"/>
      <c r="I55" s="143">
        <v>300</v>
      </c>
      <c r="J55" s="144"/>
      <c r="K55" s="143"/>
      <c r="L55" s="144"/>
      <c r="M55" s="75"/>
      <c r="N55" s="6" t="s">
        <v>13</v>
      </c>
      <c r="O55" s="21"/>
      <c r="P55" s="160"/>
      <c r="Q55" s="161"/>
      <c r="R55" s="162"/>
    </row>
    <row r="56" spans="1:18" ht="14.55" hidden="1" customHeight="1" x14ac:dyDescent="0.3">
      <c r="A56" s="166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75"/>
      <c r="N56" s="6" t="s">
        <v>13</v>
      </c>
      <c r="O56" s="21"/>
      <c r="P56" s="160"/>
      <c r="Q56" s="161"/>
      <c r="R56" s="162"/>
    </row>
    <row r="57" spans="1:18" ht="14.55" hidden="1" customHeight="1" x14ac:dyDescent="0.3">
      <c r="A57" s="166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75"/>
      <c r="N57" s="6" t="s">
        <v>13</v>
      </c>
      <c r="O57" s="21"/>
      <c r="P57" s="160"/>
      <c r="Q57" s="161"/>
      <c r="R57" s="162"/>
    </row>
    <row r="58" spans="1:18" ht="14.55" customHeight="1" x14ac:dyDescent="0.3">
      <c r="A58" s="166"/>
      <c r="B58" s="5"/>
      <c r="C58" s="5">
        <v>0.70833333333333337</v>
      </c>
      <c r="D58" s="4">
        <v>250080</v>
      </c>
      <c r="E58" s="3" t="s">
        <v>284</v>
      </c>
      <c r="F58" s="19">
        <v>304</v>
      </c>
      <c r="G58" s="20">
        <v>0.6</v>
      </c>
      <c r="H58" s="28"/>
      <c r="I58" s="143">
        <v>300</v>
      </c>
      <c r="J58" s="144"/>
      <c r="K58" s="143"/>
      <c r="L58" s="144"/>
      <c r="M58" s="75"/>
      <c r="N58" s="6" t="s">
        <v>13</v>
      </c>
      <c r="O58" s="21"/>
      <c r="P58" s="160"/>
      <c r="Q58" s="161"/>
      <c r="R58" s="162"/>
    </row>
    <row r="59" spans="1:18" ht="14.55" customHeight="1" x14ac:dyDescent="0.3">
      <c r="A59" s="167"/>
      <c r="B59" s="148" t="s">
        <v>0</v>
      </c>
      <c r="C59" s="149"/>
      <c r="D59" s="149"/>
      <c r="E59" s="149"/>
      <c r="F59" s="149"/>
      <c r="G59" s="149"/>
      <c r="H59" s="171"/>
      <c r="I59" s="150">
        <f>SUM(I54:J58)</f>
        <v>900</v>
      </c>
      <c r="J59" s="151"/>
      <c r="K59" s="150">
        <f>SUM(K54:L58)</f>
        <v>0</v>
      </c>
      <c r="L59" s="151"/>
      <c r="M59" s="10">
        <f>SUM(M54:M58)</f>
        <v>0</v>
      </c>
      <c r="N59" s="11" t="s">
        <v>13</v>
      </c>
      <c r="O59" s="9"/>
      <c r="P59" s="163"/>
      <c r="Q59" s="164"/>
      <c r="R59" s="165"/>
    </row>
    <row r="60" spans="1:18" ht="14.55" customHeight="1" x14ac:dyDescent="0.3">
      <c r="A60" s="140" t="s">
        <v>25</v>
      </c>
      <c r="B60" s="5">
        <v>0.33333333333333331</v>
      </c>
      <c r="C60" s="5"/>
      <c r="D60" s="4">
        <v>250078</v>
      </c>
      <c r="E60" s="3" t="s">
        <v>285</v>
      </c>
      <c r="F60" s="19">
        <v>304</v>
      </c>
      <c r="G60" s="20">
        <v>0.6</v>
      </c>
      <c r="H60" s="28"/>
      <c r="I60" s="143">
        <v>500</v>
      </c>
      <c r="J60" s="144"/>
      <c r="K60" s="143"/>
      <c r="L60" s="144"/>
      <c r="M60" s="75"/>
      <c r="N60" s="6" t="s">
        <v>13</v>
      </c>
      <c r="O60" s="21"/>
      <c r="P60" s="145" t="s">
        <v>53</v>
      </c>
      <c r="Q60" s="169"/>
      <c r="R60" s="170"/>
    </row>
    <row r="61" spans="1:18" ht="14.55" hidden="1" customHeight="1" x14ac:dyDescent="0.3">
      <c r="A61" s="141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75"/>
      <c r="N61" s="6" t="s">
        <v>13</v>
      </c>
      <c r="O61" s="21"/>
      <c r="P61" s="168"/>
      <c r="Q61" s="169"/>
      <c r="R61" s="170"/>
    </row>
    <row r="62" spans="1:18" ht="14.55" hidden="1" customHeight="1" x14ac:dyDescent="0.3">
      <c r="A62" s="141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75"/>
      <c r="N62" s="6" t="s">
        <v>13</v>
      </c>
      <c r="O62" s="21"/>
      <c r="P62" s="168"/>
      <c r="Q62" s="169"/>
      <c r="R62" s="170"/>
    </row>
    <row r="63" spans="1:18" ht="14.55" customHeight="1" x14ac:dyDescent="0.3">
      <c r="A63" s="141"/>
      <c r="B63" s="5"/>
      <c r="C63" s="5">
        <v>0.70833333333333337</v>
      </c>
      <c r="D63" s="4">
        <v>250078</v>
      </c>
      <c r="E63" s="3" t="s">
        <v>286</v>
      </c>
      <c r="F63" s="19">
        <v>304</v>
      </c>
      <c r="G63" s="20">
        <v>0.6</v>
      </c>
      <c r="H63" s="28"/>
      <c r="I63" s="143">
        <v>500</v>
      </c>
      <c r="J63" s="144"/>
      <c r="K63" s="143"/>
      <c r="L63" s="144"/>
      <c r="M63" s="75"/>
      <c r="N63" s="6" t="s">
        <v>13</v>
      </c>
      <c r="O63" s="21"/>
      <c r="P63" s="168"/>
      <c r="Q63" s="169"/>
      <c r="R63" s="170"/>
    </row>
    <row r="64" spans="1:18" ht="14.55" customHeight="1" x14ac:dyDescent="0.3">
      <c r="A64" s="141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75"/>
      <c r="N64" s="6" t="s">
        <v>13</v>
      </c>
      <c r="O64" s="21"/>
      <c r="P64" s="168"/>
      <c r="Q64" s="169"/>
      <c r="R64" s="170"/>
    </row>
    <row r="65" spans="1:18" ht="14.55" customHeight="1" x14ac:dyDescent="0.3">
      <c r="A65" s="142"/>
      <c r="B65" s="148" t="s">
        <v>0</v>
      </c>
      <c r="C65" s="149"/>
      <c r="D65" s="149"/>
      <c r="E65" s="149"/>
      <c r="F65" s="149"/>
      <c r="G65" s="149"/>
      <c r="H65" s="149"/>
      <c r="I65" s="150">
        <f>SUM(I60:J64)</f>
        <v>1000</v>
      </c>
      <c r="J65" s="151"/>
      <c r="K65" s="150">
        <f>SUM(K60:L64)</f>
        <v>0</v>
      </c>
      <c r="L65" s="151"/>
      <c r="M65" s="10">
        <f>SUM(M60:M64)</f>
        <v>0</v>
      </c>
      <c r="N65" s="11" t="s">
        <v>13</v>
      </c>
      <c r="O65" s="9"/>
      <c r="P65" s="168"/>
      <c r="Q65" s="169"/>
      <c r="R65" s="170"/>
    </row>
    <row r="67" spans="1:18" x14ac:dyDescent="0.3">
      <c r="E67" s="148" t="s">
        <v>26</v>
      </c>
      <c r="F67" s="149"/>
      <c r="G67" s="149"/>
      <c r="H67" s="149"/>
      <c r="I67" s="152" t="s">
        <v>23</v>
      </c>
      <c r="J67" s="153"/>
      <c r="K67" s="152" t="s">
        <v>11</v>
      </c>
      <c r="L67" s="153"/>
    </row>
    <row r="68" spans="1:18" s="36" customFormat="1" x14ac:dyDescent="0.3">
      <c r="E68" s="7"/>
      <c r="F68" s="7"/>
      <c r="G68" s="7"/>
      <c r="H68" s="7"/>
      <c r="I68" s="22">
        <f>I59+I65</f>
        <v>1900</v>
      </c>
      <c r="J68" s="14" t="s">
        <v>12</v>
      </c>
      <c r="K68" s="22">
        <f>K59+K65</f>
        <v>0</v>
      </c>
      <c r="L68" s="15" t="s">
        <v>12</v>
      </c>
    </row>
    <row r="69" spans="1:18" ht="24.45" customHeight="1" x14ac:dyDescent="0.3">
      <c r="E69" s="13"/>
      <c r="F69" s="13"/>
      <c r="G69" s="13"/>
      <c r="H69" s="13"/>
      <c r="I69" s="154">
        <f>I68+K68</f>
        <v>1900</v>
      </c>
      <c r="J69" s="155"/>
      <c r="K69" s="155"/>
      <c r="L69" s="156"/>
    </row>
    <row r="71" spans="1:18" s="8" customFormat="1" ht="30" customHeight="1" x14ac:dyDescent="0.3">
      <c r="A71" s="133" t="s">
        <v>131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5"/>
      <c r="L71" s="135"/>
      <c r="M71" s="135"/>
      <c r="N71" s="135"/>
      <c r="O71" s="134"/>
      <c r="P71" s="134"/>
      <c r="Q71" s="134"/>
      <c r="R71" s="136"/>
    </row>
    <row r="72" spans="1:18" s="12" customFormat="1" ht="14.55" customHeight="1" x14ac:dyDescent="0.3">
      <c r="A72" s="128" t="s">
        <v>1</v>
      </c>
      <c r="B72" s="137" t="s">
        <v>2</v>
      </c>
      <c r="C72" s="137" t="s">
        <v>3</v>
      </c>
      <c r="D72" s="137" t="s">
        <v>4</v>
      </c>
      <c r="E72" s="124" t="s">
        <v>5</v>
      </c>
      <c r="F72" s="138" t="s">
        <v>14</v>
      </c>
      <c r="G72" s="138" t="s">
        <v>15</v>
      </c>
      <c r="H72" s="119" t="s">
        <v>27</v>
      </c>
      <c r="I72" s="121" t="s">
        <v>6</v>
      </c>
      <c r="J72" s="122"/>
      <c r="K72" s="122"/>
      <c r="L72" s="123"/>
      <c r="M72" s="124" t="s">
        <v>7</v>
      </c>
      <c r="N72" s="125"/>
      <c r="O72" s="128" t="s">
        <v>8</v>
      </c>
      <c r="P72" s="128" t="s">
        <v>9</v>
      </c>
      <c r="Q72" s="128"/>
      <c r="R72" s="128"/>
    </row>
    <row r="73" spans="1:18" s="12" customFormat="1" ht="13.05" customHeight="1" x14ac:dyDescent="0.3">
      <c r="A73" s="128"/>
      <c r="B73" s="137"/>
      <c r="C73" s="137"/>
      <c r="D73" s="137"/>
      <c r="E73" s="126"/>
      <c r="F73" s="139"/>
      <c r="G73" s="139"/>
      <c r="H73" s="120"/>
      <c r="I73" s="121" t="s">
        <v>23</v>
      </c>
      <c r="J73" s="123"/>
      <c r="K73" s="121" t="s">
        <v>11</v>
      </c>
      <c r="L73" s="123"/>
      <c r="M73" s="126"/>
      <c r="N73" s="127"/>
      <c r="O73" s="128"/>
      <c r="P73" s="128"/>
      <c r="Q73" s="128"/>
      <c r="R73" s="128"/>
    </row>
    <row r="74" spans="1:18" ht="14.55" customHeight="1" x14ac:dyDescent="0.3">
      <c r="A74" s="140" t="s">
        <v>132</v>
      </c>
      <c r="B74" s="5"/>
      <c r="C74" s="5"/>
      <c r="D74" s="4"/>
      <c r="E74" s="3"/>
      <c r="F74" s="19"/>
      <c r="G74" s="20"/>
      <c r="H74" s="28"/>
      <c r="I74" s="143"/>
      <c r="J74" s="144"/>
      <c r="K74" s="143"/>
      <c r="L74" s="144"/>
      <c r="M74" s="75"/>
      <c r="N74" s="6" t="s">
        <v>13</v>
      </c>
      <c r="O74" s="21"/>
      <c r="P74" s="157"/>
      <c r="Q74" s="158"/>
      <c r="R74" s="159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75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75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75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75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75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75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75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75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75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7"/>
      <c r="B84" s="148" t="s">
        <v>0</v>
      </c>
      <c r="C84" s="149"/>
      <c r="D84" s="149"/>
      <c r="E84" s="149"/>
      <c r="F84" s="149"/>
      <c r="G84" s="149"/>
      <c r="H84" s="149"/>
      <c r="I84" s="150">
        <f ca="1">SUM(I74:J84)</f>
        <v>0</v>
      </c>
      <c r="J84" s="151"/>
      <c r="K84" s="150">
        <f ca="1">SUM(K74:L84)</f>
        <v>0</v>
      </c>
      <c r="L84" s="151"/>
      <c r="M84" s="10">
        <f>SUM(M79:M83)</f>
        <v>0</v>
      </c>
      <c r="N84" s="11" t="s">
        <v>13</v>
      </c>
      <c r="O84" s="9"/>
      <c r="P84" s="163"/>
      <c r="Q84" s="164"/>
      <c r="R84" s="165"/>
    </row>
    <row r="86" spans="1:18" x14ac:dyDescent="0.3">
      <c r="E86" s="148" t="s">
        <v>26</v>
      </c>
      <c r="F86" s="149"/>
      <c r="G86" s="149"/>
      <c r="H86" s="149"/>
      <c r="I86" s="152" t="s">
        <v>23</v>
      </c>
      <c r="J86" s="153"/>
      <c r="K86" s="172" t="s">
        <v>11</v>
      </c>
      <c r="L86" s="153"/>
    </row>
    <row r="87" spans="1:18" s="36" customFormat="1" x14ac:dyDescent="0.3">
      <c r="E87" s="7"/>
      <c r="F87" s="7"/>
      <c r="G87" s="7"/>
      <c r="H87" s="7"/>
      <c r="I87" s="22">
        <f ca="1">I84</f>
        <v>0</v>
      </c>
      <c r="J87" s="14" t="s">
        <v>12</v>
      </c>
      <c r="K87" s="22">
        <f ca="1">K84</f>
        <v>0</v>
      </c>
      <c r="L87" s="15" t="s">
        <v>12</v>
      </c>
    </row>
    <row r="88" spans="1:18" ht="24.45" customHeight="1" x14ac:dyDescent="0.3">
      <c r="E88" s="13"/>
      <c r="F88" s="13"/>
      <c r="G88" s="13"/>
      <c r="H88" s="13"/>
      <c r="I88" s="154">
        <f ca="1">I87+K87</f>
        <v>0</v>
      </c>
      <c r="J88" s="155"/>
      <c r="K88" s="155"/>
      <c r="L88" s="156"/>
    </row>
  </sheetData>
  <mergeCells count="214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24:A29"/>
    <mergeCell ref="I24:J24"/>
    <mergeCell ref="K24:L24"/>
    <mergeCell ref="P24:R29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B29:H29"/>
    <mergeCell ref="I29:J29"/>
    <mergeCell ref="K29:L29"/>
    <mergeCell ref="E31:H31"/>
    <mergeCell ref="I31:J31"/>
    <mergeCell ref="K31:L31"/>
    <mergeCell ref="K26:L26"/>
    <mergeCell ref="I27:J27"/>
    <mergeCell ref="K27:L27"/>
    <mergeCell ref="I28:J28"/>
    <mergeCell ref="K28:L28"/>
    <mergeCell ref="I36:L36"/>
    <mergeCell ref="M36:N37"/>
    <mergeCell ref="O36:O37"/>
    <mergeCell ref="P36:R37"/>
    <mergeCell ref="I37:J37"/>
    <mergeCell ref="K37:L37"/>
    <mergeCell ref="I33:L33"/>
    <mergeCell ref="A35:R35"/>
    <mergeCell ref="A36:A37"/>
    <mergeCell ref="B36:B37"/>
    <mergeCell ref="C36:C37"/>
    <mergeCell ref="D36:D37"/>
    <mergeCell ref="E36:E37"/>
    <mergeCell ref="F36:F37"/>
    <mergeCell ref="G36:G37"/>
    <mergeCell ref="H36:H37"/>
    <mergeCell ref="P41:R41"/>
    <mergeCell ref="B41:H41"/>
    <mergeCell ref="I41:J41"/>
    <mergeCell ref="K41:L41"/>
    <mergeCell ref="A38:A41"/>
    <mergeCell ref="I38:J38"/>
    <mergeCell ref="K38:L38"/>
    <mergeCell ref="P38:R40"/>
    <mergeCell ref="I39:J39"/>
    <mergeCell ref="K39:L39"/>
    <mergeCell ref="I40:J40"/>
    <mergeCell ref="K40:L40"/>
    <mergeCell ref="E43:H43"/>
    <mergeCell ref="I43:J43"/>
    <mergeCell ref="K43:L43"/>
    <mergeCell ref="I45:L45"/>
    <mergeCell ref="A47:R47"/>
    <mergeCell ref="A48:A49"/>
    <mergeCell ref="B48:B49"/>
    <mergeCell ref="C48:C49"/>
    <mergeCell ref="D48:D49"/>
    <mergeCell ref="E48:E49"/>
    <mergeCell ref="P48:R49"/>
    <mergeCell ref="I49:J49"/>
    <mergeCell ref="K49:L49"/>
    <mergeCell ref="A50:A53"/>
    <mergeCell ref="I50:J50"/>
    <mergeCell ref="K50:L50"/>
    <mergeCell ref="P50:R53"/>
    <mergeCell ref="I51:J51"/>
    <mergeCell ref="K51:L51"/>
    <mergeCell ref="I52:J52"/>
    <mergeCell ref="F48:F49"/>
    <mergeCell ref="G48:G49"/>
    <mergeCell ref="H48:H49"/>
    <mergeCell ref="I48:L48"/>
    <mergeCell ref="M48:N49"/>
    <mergeCell ref="O48:O49"/>
    <mergeCell ref="K52:L52"/>
    <mergeCell ref="B53:H53"/>
    <mergeCell ref="I53:J53"/>
    <mergeCell ref="K53:L53"/>
    <mergeCell ref="A54:A59"/>
    <mergeCell ref="I54:J54"/>
    <mergeCell ref="K54:L54"/>
    <mergeCell ref="B59:H59"/>
    <mergeCell ref="K59:L59"/>
    <mergeCell ref="P60:R65"/>
    <mergeCell ref="I61:J61"/>
    <mergeCell ref="K61:L61"/>
    <mergeCell ref="I62:J62"/>
    <mergeCell ref="K62:L62"/>
    <mergeCell ref="I63:J63"/>
    <mergeCell ref="K63:L63"/>
    <mergeCell ref="P54:R59"/>
    <mergeCell ref="I55:J55"/>
    <mergeCell ref="K55:L55"/>
    <mergeCell ref="I56:J56"/>
    <mergeCell ref="K56:L56"/>
    <mergeCell ref="I57:J57"/>
    <mergeCell ref="K57:L57"/>
    <mergeCell ref="I58:J58"/>
    <mergeCell ref="K58:L58"/>
    <mergeCell ref="I59:J59"/>
    <mergeCell ref="I64:J64"/>
    <mergeCell ref="K64:L64"/>
    <mergeCell ref="B65:H65"/>
    <mergeCell ref="I65:J65"/>
    <mergeCell ref="K65:L65"/>
    <mergeCell ref="E67:H67"/>
    <mergeCell ref="I67:J67"/>
    <mergeCell ref="K67:L67"/>
    <mergeCell ref="A60:A65"/>
    <mergeCell ref="I60:J60"/>
    <mergeCell ref="K60:L60"/>
    <mergeCell ref="I69:L69"/>
    <mergeCell ref="A71:R71"/>
    <mergeCell ref="A72:A73"/>
    <mergeCell ref="B72:B73"/>
    <mergeCell ref="C72:C73"/>
    <mergeCell ref="D72:D73"/>
    <mergeCell ref="E72:E73"/>
    <mergeCell ref="F72:F73"/>
    <mergeCell ref="G72:G73"/>
    <mergeCell ref="H72:H73"/>
    <mergeCell ref="P74:R84"/>
    <mergeCell ref="I75:J75"/>
    <mergeCell ref="K75:L75"/>
    <mergeCell ref="I76:J76"/>
    <mergeCell ref="K76:L76"/>
    <mergeCell ref="I77:J77"/>
    <mergeCell ref="K77:L77"/>
    <mergeCell ref="I72:L72"/>
    <mergeCell ref="M72:N73"/>
    <mergeCell ref="O72:O73"/>
    <mergeCell ref="P72:R73"/>
    <mergeCell ref="I73:J73"/>
    <mergeCell ref="K73:L73"/>
    <mergeCell ref="I78:J78"/>
    <mergeCell ref="K78:L78"/>
    <mergeCell ref="I79:J79"/>
    <mergeCell ref="K79:L79"/>
    <mergeCell ref="I80:J80"/>
    <mergeCell ref="K80:L80"/>
    <mergeCell ref="A74:A84"/>
    <mergeCell ref="I74:J74"/>
    <mergeCell ref="K74:L74"/>
    <mergeCell ref="I88:L88"/>
    <mergeCell ref="B84:H84"/>
    <mergeCell ref="I84:J84"/>
    <mergeCell ref="K84:L84"/>
    <mergeCell ref="E86:H86"/>
    <mergeCell ref="I86:J86"/>
    <mergeCell ref="K86:L86"/>
    <mergeCell ref="I81:J81"/>
    <mergeCell ref="K81:L81"/>
    <mergeCell ref="I82:J82"/>
    <mergeCell ref="K82:L82"/>
    <mergeCell ref="I83:J83"/>
    <mergeCell ref="K83:L83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9"/>
  <sheetViews>
    <sheetView topLeftCell="A14" zoomScale="85" zoomScaleNormal="85" workbookViewId="0">
      <selection activeCell="D24" sqref="D24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63.77734375" style="76" bestFit="1" customWidth="1"/>
    <col min="6" max="6" width="5.6640625" style="76" customWidth="1"/>
    <col min="7" max="7" width="6.6640625" style="76" customWidth="1"/>
    <col min="8" max="8" width="15.6640625" style="76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45945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4"/>
      <c r="D7" s="4">
        <v>250073</v>
      </c>
      <c r="E7" s="3" t="s">
        <v>287</v>
      </c>
      <c r="F7" s="19">
        <v>304</v>
      </c>
      <c r="G7" s="20">
        <v>0.6</v>
      </c>
      <c r="H7" s="28" t="s">
        <v>55</v>
      </c>
      <c r="I7" s="143">
        <v>770</v>
      </c>
      <c r="J7" s="144"/>
      <c r="K7" s="143"/>
      <c r="L7" s="144"/>
      <c r="M7" s="77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4">
        <v>250072</v>
      </c>
      <c r="E8" s="3" t="s">
        <v>287</v>
      </c>
      <c r="F8" s="19">
        <v>304</v>
      </c>
      <c r="G8" s="20">
        <v>0.7</v>
      </c>
      <c r="H8" s="28" t="s">
        <v>55</v>
      </c>
      <c r="I8" s="143">
        <v>770</v>
      </c>
      <c r="J8" s="144"/>
      <c r="K8" s="143"/>
      <c r="L8" s="144"/>
      <c r="M8" s="77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4">
        <v>250071</v>
      </c>
      <c r="E9" s="3" t="s">
        <v>287</v>
      </c>
      <c r="F9" s="19">
        <v>304</v>
      </c>
      <c r="G9" s="20">
        <v>0.7</v>
      </c>
      <c r="H9" s="28" t="s">
        <v>55</v>
      </c>
      <c r="I9" s="143">
        <v>770</v>
      </c>
      <c r="J9" s="144"/>
      <c r="K9" s="143"/>
      <c r="L9" s="144"/>
      <c r="M9" s="77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>
        <v>0.70833333333333337</v>
      </c>
      <c r="D10" s="72">
        <v>250070</v>
      </c>
      <c r="E10" s="3" t="s">
        <v>287</v>
      </c>
      <c r="F10" s="19">
        <v>304</v>
      </c>
      <c r="G10" s="20">
        <v>0.6</v>
      </c>
      <c r="H10" s="28" t="s">
        <v>55</v>
      </c>
      <c r="I10" s="143">
        <v>772</v>
      </c>
      <c r="J10" s="144"/>
      <c r="K10" s="143"/>
      <c r="L10" s="144"/>
      <c r="M10" s="77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3082</v>
      </c>
      <c r="J11" s="151"/>
      <c r="K11" s="150">
        <f>SUM(K7:L10)</f>
        <v>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77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77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77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3082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3082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250072</v>
      </c>
      <c r="E24" s="3" t="s">
        <v>288</v>
      </c>
      <c r="F24" s="19">
        <v>304</v>
      </c>
      <c r="G24" s="20">
        <v>0.7</v>
      </c>
      <c r="H24" s="28" t="s">
        <v>137</v>
      </c>
      <c r="I24" s="143">
        <v>725</v>
      </c>
      <c r="J24" s="144"/>
      <c r="K24" s="143"/>
      <c r="L24" s="144"/>
      <c r="M24" s="77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>
        <v>250073</v>
      </c>
      <c r="E25" s="3" t="s">
        <v>288</v>
      </c>
      <c r="F25" s="19">
        <v>304</v>
      </c>
      <c r="G25" s="20">
        <v>0.6</v>
      </c>
      <c r="H25" s="28" t="s">
        <v>137</v>
      </c>
      <c r="I25" s="143">
        <v>710</v>
      </c>
      <c r="J25" s="144"/>
      <c r="K25" s="143"/>
      <c r="L25" s="144"/>
      <c r="M25" s="77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>
        <v>250070</v>
      </c>
      <c r="E26" s="3" t="s">
        <v>268</v>
      </c>
      <c r="F26" s="19">
        <v>304</v>
      </c>
      <c r="G26" s="20">
        <v>0.6</v>
      </c>
      <c r="H26" s="28" t="s">
        <v>137</v>
      </c>
      <c r="I26" s="143">
        <v>558</v>
      </c>
      <c r="J26" s="144"/>
      <c r="K26" s="143"/>
      <c r="L26" s="144"/>
      <c r="M26" s="77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>
        <v>0.875</v>
      </c>
      <c r="D27" s="4">
        <v>250073</v>
      </c>
      <c r="E27" s="3" t="s">
        <v>272</v>
      </c>
      <c r="F27" s="19">
        <v>304</v>
      </c>
      <c r="G27" s="20">
        <v>0.6</v>
      </c>
      <c r="H27" s="28" t="s">
        <v>137</v>
      </c>
      <c r="I27" s="143">
        <v>261</v>
      </c>
      <c r="J27" s="144"/>
      <c r="K27" s="143"/>
      <c r="L27" s="144"/>
      <c r="M27" s="77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77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7"/>
      <c r="B29" s="148" t="s">
        <v>0</v>
      </c>
      <c r="C29" s="149"/>
      <c r="D29" s="149"/>
      <c r="E29" s="149"/>
      <c r="F29" s="149"/>
      <c r="G29" s="149"/>
      <c r="H29" s="149"/>
      <c r="I29" s="150">
        <f>SUM(I24:J28)</f>
        <v>2254</v>
      </c>
      <c r="J29" s="151"/>
      <c r="K29" s="150">
        <f>SUM(K24:L28)</f>
        <v>0</v>
      </c>
      <c r="L29" s="151"/>
      <c r="M29" s="10" t="e">
        <f>SUM(#REF!)</f>
        <v>#REF!</v>
      </c>
      <c r="N29" s="11" t="s">
        <v>13</v>
      </c>
      <c r="O29" s="9"/>
      <c r="P29" s="163"/>
      <c r="Q29" s="164"/>
      <c r="R29" s="165"/>
    </row>
    <row r="30" spans="1:18" ht="14.55" customHeight="1" x14ac:dyDescent="0.3">
      <c r="D30" s="76"/>
      <c r="E30" s="1"/>
      <c r="F30" s="1"/>
      <c r="G30" s="1"/>
      <c r="H30" s="1"/>
      <c r="M30" s="76"/>
    </row>
    <row r="31" spans="1:18" x14ac:dyDescent="0.3">
      <c r="E31" s="148" t="s">
        <v>33</v>
      </c>
      <c r="F31" s="149"/>
      <c r="G31" s="149"/>
      <c r="H31" s="149"/>
      <c r="I31" s="152" t="s">
        <v>19</v>
      </c>
      <c r="J31" s="153"/>
      <c r="K31" s="152" t="s">
        <v>20</v>
      </c>
      <c r="L31" s="153"/>
    </row>
    <row r="32" spans="1:18" s="36" customFormat="1" x14ac:dyDescent="0.3">
      <c r="E32" s="7"/>
      <c r="F32" s="7"/>
      <c r="G32" s="7"/>
      <c r="H32" s="7"/>
      <c r="I32" s="22">
        <f>I29</f>
        <v>2254</v>
      </c>
      <c r="J32" s="14" t="s">
        <v>12</v>
      </c>
      <c r="K32" s="22">
        <f>K29</f>
        <v>0</v>
      </c>
      <c r="L32" s="15" t="s">
        <v>12</v>
      </c>
    </row>
    <row r="33" spans="1:18" ht="24.45" customHeight="1" x14ac:dyDescent="0.3">
      <c r="E33" s="13"/>
      <c r="F33" s="13"/>
      <c r="G33" s="13"/>
      <c r="H33" s="13"/>
      <c r="I33" s="154">
        <f>I32+K32</f>
        <v>2254</v>
      </c>
      <c r="J33" s="155"/>
      <c r="K33" s="155"/>
      <c r="L33" s="156"/>
    </row>
    <row r="35" spans="1:18" s="8" customFormat="1" ht="30" customHeight="1" x14ac:dyDescent="0.3">
      <c r="A35" s="133" t="s">
        <v>30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5"/>
      <c r="L35" s="135"/>
      <c r="M35" s="135"/>
      <c r="N35" s="135"/>
      <c r="O35" s="134"/>
      <c r="P35" s="134"/>
      <c r="Q35" s="134"/>
      <c r="R35" s="136"/>
    </row>
    <row r="36" spans="1:18" s="12" customFormat="1" ht="14.55" customHeight="1" x14ac:dyDescent="0.3">
      <c r="A36" s="128" t="s">
        <v>1</v>
      </c>
      <c r="B36" s="137" t="s">
        <v>2</v>
      </c>
      <c r="C36" s="137" t="s">
        <v>3</v>
      </c>
      <c r="D36" s="137" t="s">
        <v>4</v>
      </c>
      <c r="E36" s="124" t="s">
        <v>5</v>
      </c>
      <c r="F36" s="138" t="s">
        <v>14</v>
      </c>
      <c r="G36" s="138" t="s">
        <v>15</v>
      </c>
      <c r="H36" s="119" t="s">
        <v>29</v>
      </c>
      <c r="I36" s="121" t="s">
        <v>6</v>
      </c>
      <c r="J36" s="122"/>
      <c r="K36" s="122"/>
      <c r="L36" s="123"/>
      <c r="M36" s="124" t="s">
        <v>7</v>
      </c>
      <c r="N36" s="125"/>
      <c r="O36" s="128" t="s">
        <v>8</v>
      </c>
      <c r="P36" s="128" t="s">
        <v>9</v>
      </c>
      <c r="Q36" s="128"/>
      <c r="R36" s="128"/>
    </row>
    <row r="37" spans="1:18" s="12" customFormat="1" ht="13.05" customHeight="1" x14ac:dyDescent="0.3">
      <c r="A37" s="128"/>
      <c r="B37" s="137"/>
      <c r="C37" s="137"/>
      <c r="D37" s="137"/>
      <c r="E37" s="126"/>
      <c r="F37" s="139"/>
      <c r="G37" s="139"/>
      <c r="H37" s="120"/>
      <c r="I37" s="121" t="s">
        <v>19</v>
      </c>
      <c r="J37" s="123"/>
      <c r="K37" s="121" t="s">
        <v>20</v>
      </c>
      <c r="L37" s="123"/>
      <c r="M37" s="126"/>
      <c r="N37" s="127"/>
      <c r="O37" s="128"/>
      <c r="P37" s="128"/>
      <c r="Q37" s="128"/>
      <c r="R37" s="128"/>
    </row>
    <row r="38" spans="1:18" ht="14.55" customHeight="1" x14ac:dyDescent="0.3">
      <c r="A38" s="140" t="s">
        <v>35</v>
      </c>
      <c r="B38" s="5">
        <v>0.33333333333333331</v>
      </c>
      <c r="C38" s="5"/>
      <c r="D38" s="4">
        <v>250053</v>
      </c>
      <c r="E38" s="3" t="s">
        <v>289</v>
      </c>
      <c r="F38" s="19">
        <v>304</v>
      </c>
      <c r="G38" s="20">
        <v>0.7</v>
      </c>
      <c r="H38" s="28" t="s">
        <v>130</v>
      </c>
      <c r="I38" s="143">
        <v>374</v>
      </c>
      <c r="J38" s="144"/>
      <c r="K38" s="143"/>
      <c r="L38" s="144"/>
      <c r="M38" s="77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66"/>
      <c r="B39" s="5"/>
      <c r="C39" s="5">
        <v>0.875</v>
      </c>
      <c r="D39" s="4">
        <v>210825</v>
      </c>
      <c r="E39" s="3" t="s">
        <v>241</v>
      </c>
      <c r="F39" s="19">
        <v>430</v>
      </c>
      <c r="G39" s="20">
        <v>0.6</v>
      </c>
      <c r="H39" s="28" t="s">
        <v>130</v>
      </c>
      <c r="I39" s="143">
        <v>150</v>
      </c>
      <c r="J39" s="144"/>
      <c r="K39" s="143"/>
      <c r="L39" s="144"/>
      <c r="M39" s="77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78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77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67"/>
      <c r="B42" s="148" t="s">
        <v>0</v>
      </c>
      <c r="C42" s="149"/>
      <c r="D42" s="149"/>
      <c r="E42" s="149"/>
      <c r="F42" s="149"/>
      <c r="G42" s="149"/>
      <c r="H42" s="149"/>
      <c r="I42" s="150">
        <f>SUM(I38:J41)</f>
        <v>524</v>
      </c>
      <c r="J42" s="151"/>
      <c r="K42" s="150">
        <f>SUM(K38:L41)</f>
        <v>0</v>
      </c>
      <c r="L42" s="151"/>
      <c r="M42" s="10" t="e">
        <f>SUM(#REF!)</f>
        <v>#REF!</v>
      </c>
      <c r="N42" s="11" t="s">
        <v>13</v>
      </c>
      <c r="O42" s="9"/>
      <c r="P42" s="168"/>
      <c r="Q42" s="169"/>
      <c r="R42" s="170"/>
    </row>
    <row r="43" spans="1:18" ht="14.55" customHeight="1" x14ac:dyDescent="0.3">
      <c r="D43" s="76"/>
      <c r="E43" s="1"/>
      <c r="F43" s="1"/>
      <c r="G43" s="1"/>
      <c r="H43" s="1"/>
      <c r="M43" s="76"/>
    </row>
    <row r="44" spans="1:18" x14ac:dyDescent="0.3">
      <c r="E44" s="148" t="s">
        <v>34</v>
      </c>
      <c r="F44" s="149"/>
      <c r="G44" s="149"/>
      <c r="H44" s="149"/>
      <c r="I44" s="152" t="s">
        <v>19</v>
      </c>
      <c r="J44" s="153"/>
      <c r="K44" s="152" t="s">
        <v>20</v>
      </c>
      <c r="L44" s="153"/>
    </row>
    <row r="45" spans="1:18" s="36" customFormat="1" x14ac:dyDescent="0.3">
      <c r="E45" s="7"/>
      <c r="F45" s="7"/>
      <c r="G45" s="7"/>
      <c r="H45" s="7"/>
      <c r="I45" s="22">
        <f>I42</f>
        <v>524</v>
      </c>
      <c r="J45" s="14" t="s">
        <v>12</v>
      </c>
      <c r="K45" s="22">
        <f>K42</f>
        <v>0</v>
      </c>
      <c r="L45" s="15" t="s">
        <v>12</v>
      </c>
    </row>
    <row r="46" spans="1:18" s="1" customFormat="1" ht="24.45" customHeight="1" x14ac:dyDescent="0.3">
      <c r="A46" s="76"/>
      <c r="B46" s="76"/>
      <c r="C46" s="76"/>
      <c r="E46" s="13"/>
      <c r="F46" s="13"/>
      <c r="G46" s="13"/>
      <c r="H46" s="13"/>
      <c r="I46" s="154">
        <f>I45+K45</f>
        <v>524</v>
      </c>
      <c r="J46" s="155"/>
      <c r="K46" s="155"/>
      <c r="L46" s="156"/>
      <c r="N46" s="76"/>
      <c r="O46" s="76"/>
      <c r="P46" s="76"/>
      <c r="Q46" s="76"/>
      <c r="R46" s="76"/>
    </row>
    <row r="48" spans="1:18" s="8" customFormat="1" ht="30" customHeight="1" x14ac:dyDescent="0.3">
      <c r="A48" s="133" t="s">
        <v>22</v>
      </c>
      <c r="B48" s="134"/>
      <c r="C48" s="134"/>
      <c r="D48" s="134"/>
      <c r="E48" s="134"/>
      <c r="F48" s="134"/>
      <c r="G48" s="134"/>
      <c r="H48" s="134"/>
      <c r="I48" s="134"/>
      <c r="J48" s="134"/>
      <c r="K48" s="135"/>
      <c r="L48" s="135"/>
      <c r="M48" s="135"/>
      <c r="N48" s="135"/>
      <c r="O48" s="134"/>
      <c r="P48" s="134"/>
      <c r="Q48" s="134"/>
      <c r="R48" s="136"/>
    </row>
    <row r="49" spans="1:18" s="12" customFormat="1" ht="14.55" customHeight="1" x14ac:dyDescent="0.3">
      <c r="A49" s="128" t="s">
        <v>1</v>
      </c>
      <c r="B49" s="137" t="s">
        <v>2</v>
      </c>
      <c r="C49" s="137" t="s">
        <v>3</v>
      </c>
      <c r="D49" s="137" t="s">
        <v>4</v>
      </c>
      <c r="E49" s="124" t="s">
        <v>5</v>
      </c>
      <c r="F49" s="138" t="s">
        <v>14</v>
      </c>
      <c r="G49" s="138" t="s">
        <v>15</v>
      </c>
      <c r="H49" s="119" t="s">
        <v>27</v>
      </c>
      <c r="I49" s="121" t="s">
        <v>6</v>
      </c>
      <c r="J49" s="122"/>
      <c r="K49" s="122"/>
      <c r="L49" s="123"/>
      <c r="M49" s="124" t="s">
        <v>7</v>
      </c>
      <c r="N49" s="125"/>
      <c r="O49" s="128" t="s">
        <v>8</v>
      </c>
      <c r="P49" s="128" t="s">
        <v>9</v>
      </c>
      <c r="Q49" s="128"/>
      <c r="R49" s="128"/>
    </row>
    <row r="50" spans="1:18" s="12" customFormat="1" ht="13.05" customHeight="1" x14ac:dyDescent="0.3">
      <c r="A50" s="128"/>
      <c r="B50" s="137"/>
      <c r="C50" s="137"/>
      <c r="D50" s="137"/>
      <c r="E50" s="126"/>
      <c r="F50" s="139"/>
      <c r="G50" s="139"/>
      <c r="H50" s="120"/>
      <c r="I50" s="121" t="s">
        <v>23</v>
      </c>
      <c r="J50" s="123"/>
      <c r="K50" s="121" t="s">
        <v>11</v>
      </c>
      <c r="L50" s="123"/>
      <c r="M50" s="126"/>
      <c r="N50" s="127"/>
      <c r="O50" s="128"/>
      <c r="P50" s="128"/>
      <c r="Q50" s="128"/>
      <c r="R50" s="128"/>
    </row>
    <row r="51" spans="1:18" ht="14.55" customHeight="1" x14ac:dyDescent="0.3">
      <c r="A51" s="140" t="s">
        <v>28</v>
      </c>
      <c r="B51" s="5">
        <v>0.33333333333333331</v>
      </c>
      <c r="C51" s="5">
        <v>0.58333333333333337</v>
      </c>
      <c r="D51" s="44">
        <v>250078</v>
      </c>
      <c r="E51" s="3" t="s">
        <v>213</v>
      </c>
      <c r="F51" s="19">
        <v>304</v>
      </c>
      <c r="G51" s="20">
        <v>0.6</v>
      </c>
      <c r="H51" s="28"/>
      <c r="I51" s="143">
        <v>800</v>
      </c>
      <c r="J51" s="144"/>
      <c r="K51" s="143"/>
      <c r="L51" s="144"/>
      <c r="M51" s="77"/>
      <c r="N51" s="6" t="s">
        <v>13</v>
      </c>
      <c r="O51" s="21"/>
      <c r="P51" s="168" t="s">
        <v>50</v>
      </c>
      <c r="Q51" s="169"/>
      <c r="R51" s="170"/>
    </row>
    <row r="52" spans="1:18" ht="14.55" customHeight="1" x14ac:dyDescent="0.3">
      <c r="A52" s="141"/>
      <c r="B52" s="5"/>
      <c r="C52" s="5"/>
      <c r="D52" s="44"/>
      <c r="E52" s="3"/>
      <c r="F52" s="19"/>
      <c r="G52" s="20"/>
      <c r="H52" s="28"/>
      <c r="I52" s="143"/>
      <c r="J52" s="144"/>
      <c r="K52" s="143"/>
      <c r="L52" s="144"/>
      <c r="M52" s="77"/>
      <c r="N52" s="6" t="s">
        <v>13</v>
      </c>
      <c r="O52" s="21"/>
      <c r="P52" s="168"/>
      <c r="Q52" s="169"/>
      <c r="R52" s="170"/>
    </row>
    <row r="53" spans="1:18" ht="14.55" customHeight="1" x14ac:dyDescent="0.3">
      <c r="A53" s="141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77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2"/>
      <c r="B54" s="148" t="s">
        <v>0</v>
      </c>
      <c r="C54" s="149"/>
      <c r="D54" s="149"/>
      <c r="E54" s="149"/>
      <c r="F54" s="149"/>
      <c r="G54" s="149"/>
      <c r="H54" s="171"/>
      <c r="I54" s="150">
        <f>SUM(I51:J53)</f>
        <v>800</v>
      </c>
      <c r="J54" s="151"/>
      <c r="K54" s="150">
        <f>SUM(K51:L53)</f>
        <v>0</v>
      </c>
      <c r="L54" s="151"/>
      <c r="M54" s="10">
        <f>SUM(M51:M53)</f>
        <v>0</v>
      </c>
      <c r="N54" s="11" t="s">
        <v>13</v>
      </c>
      <c r="O54" s="9"/>
      <c r="P54" s="168"/>
      <c r="Q54" s="169"/>
      <c r="R54" s="170"/>
    </row>
    <row r="55" spans="1:18" ht="14.55" customHeight="1" x14ac:dyDescent="0.3">
      <c r="A55" s="140" t="s">
        <v>24</v>
      </c>
      <c r="B55" s="5">
        <v>0.33333333333333331</v>
      </c>
      <c r="C55" s="5"/>
      <c r="D55" s="4">
        <v>250080</v>
      </c>
      <c r="E55" s="3" t="s">
        <v>282</v>
      </c>
      <c r="F55" s="19">
        <v>304</v>
      </c>
      <c r="G55" s="20">
        <v>0.6</v>
      </c>
      <c r="H55" s="28"/>
      <c r="I55" s="143">
        <v>500</v>
      </c>
      <c r="J55" s="144"/>
      <c r="K55" s="143"/>
      <c r="L55" s="144"/>
      <c r="M55" s="77"/>
      <c r="N55" s="6" t="s">
        <v>13</v>
      </c>
      <c r="O55" s="21"/>
      <c r="P55" s="157" t="s">
        <v>51</v>
      </c>
      <c r="Q55" s="158"/>
      <c r="R55" s="159"/>
    </row>
    <row r="56" spans="1:18" ht="14.55" customHeight="1" x14ac:dyDescent="0.3">
      <c r="A56" s="166"/>
      <c r="B56" s="5"/>
      <c r="C56" s="5"/>
      <c r="D56" s="4">
        <v>250080</v>
      </c>
      <c r="E56" s="3" t="s">
        <v>283</v>
      </c>
      <c r="F56" s="19">
        <v>304</v>
      </c>
      <c r="G56" s="20">
        <v>0.6</v>
      </c>
      <c r="H56" s="28"/>
      <c r="I56" s="143">
        <v>500</v>
      </c>
      <c r="J56" s="144"/>
      <c r="K56" s="143"/>
      <c r="L56" s="144"/>
      <c r="M56" s="77"/>
      <c r="N56" s="6" t="s">
        <v>13</v>
      </c>
      <c r="O56" s="21"/>
      <c r="P56" s="160"/>
      <c r="Q56" s="161"/>
      <c r="R56" s="162"/>
    </row>
    <row r="57" spans="1:18" ht="14.55" hidden="1" customHeight="1" x14ac:dyDescent="0.3">
      <c r="A57" s="166"/>
      <c r="B57" s="5"/>
      <c r="C57" s="5"/>
      <c r="D57" s="4"/>
      <c r="E57" s="3"/>
      <c r="F57" s="19">
        <v>304</v>
      </c>
      <c r="G57" s="20">
        <v>0.6</v>
      </c>
      <c r="H57" s="28"/>
      <c r="I57" s="143"/>
      <c r="J57" s="144"/>
      <c r="K57" s="143"/>
      <c r="L57" s="144"/>
      <c r="M57" s="77"/>
      <c r="N57" s="6" t="s">
        <v>13</v>
      </c>
      <c r="O57" s="21"/>
      <c r="P57" s="160"/>
      <c r="Q57" s="161"/>
      <c r="R57" s="162"/>
    </row>
    <row r="58" spans="1:18" ht="14.55" hidden="1" customHeight="1" x14ac:dyDescent="0.3">
      <c r="A58" s="166"/>
      <c r="B58" s="5"/>
      <c r="C58" s="5"/>
      <c r="D58" s="4"/>
      <c r="E58" s="3"/>
      <c r="F58" s="19">
        <v>304</v>
      </c>
      <c r="G58" s="20">
        <v>0.6</v>
      </c>
      <c r="H58" s="28"/>
      <c r="I58" s="143"/>
      <c r="J58" s="144"/>
      <c r="K58" s="143"/>
      <c r="L58" s="144"/>
      <c r="M58" s="77"/>
      <c r="N58" s="6" t="s">
        <v>13</v>
      </c>
      <c r="O58" s="21"/>
      <c r="P58" s="160"/>
      <c r="Q58" s="161"/>
      <c r="R58" s="162"/>
    </row>
    <row r="59" spans="1:18" ht="14.55" customHeight="1" x14ac:dyDescent="0.3">
      <c r="A59" s="166"/>
      <c r="B59" s="5"/>
      <c r="C59" s="5">
        <v>0.70833333333333337</v>
      </c>
      <c r="D59" s="4">
        <v>250080</v>
      </c>
      <c r="E59" s="3" t="s">
        <v>284</v>
      </c>
      <c r="F59" s="19">
        <v>304</v>
      </c>
      <c r="G59" s="20">
        <v>0.6</v>
      </c>
      <c r="H59" s="28"/>
      <c r="I59" s="143">
        <v>500</v>
      </c>
      <c r="J59" s="144"/>
      <c r="K59" s="143"/>
      <c r="L59" s="144"/>
      <c r="M59" s="77"/>
      <c r="N59" s="6" t="s">
        <v>13</v>
      </c>
      <c r="O59" s="21"/>
      <c r="P59" s="160"/>
      <c r="Q59" s="161"/>
      <c r="R59" s="162"/>
    </row>
    <row r="60" spans="1:18" ht="14.55" customHeight="1" x14ac:dyDescent="0.3">
      <c r="A60" s="167"/>
      <c r="B60" s="148" t="s">
        <v>0</v>
      </c>
      <c r="C60" s="149"/>
      <c r="D60" s="149"/>
      <c r="E60" s="149"/>
      <c r="F60" s="149"/>
      <c r="G60" s="149"/>
      <c r="H60" s="171"/>
      <c r="I60" s="150">
        <f>SUM(I55:J59)</f>
        <v>1500</v>
      </c>
      <c r="J60" s="151"/>
      <c r="K60" s="150">
        <f>SUM(K55:L59)</f>
        <v>0</v>
      </c>
      <c r="L60" s="151"/>
      <c r="M60" s="10">
        <f>SUM(M55:M59)</f>
        <v>0</v>
      </c>
      <c r="N60" s="11" t="s">
        <v>13</v>
      </c>
      <c r="O60" s="9"/>
      <c r="P60" s="163"/>
      <c r="Q60" s="164"/>
      <c r="R60" s="165"/>
    </row>
    <row r="61" spans="1:18" ht="14.55" customHeight="1" x14ac:dyDescent="0.3">
      <c r="A61" s="140" t="s">
        <v>25</v>
      </c>
      <c r="B61" s="5">
        <v>0.33333333333333331</v>
      </c>
      <c r="C61" s="5">
        <v>0.70833333333333337</v>
      </c>
      <c r="D61" s="4">
        <v>250080</v>
      </c>
      <c r="E61" s="3" t="s">
        <v>282</v>
      </c>
      <c r="F61" s="19">
        <v>304</v>
      </c>
      <c r="G61" s="20">
        <v>0.6</v>
      </c>
      <c r="H61" s="28"/>
      <c r="I61" s="143">
        <v>500</v>
      </c>
      <c r="J61" s="144"/>
      <c r="K61" s="143"/>
      <c r="L61" s="144"/>
      <c r="M61" s="77"/>
      <c r="N61" s="6" t="s">
        <v>13</v>
      </c>
      <c r="O61" s="21"/>
      <c r="P61" s="145" t="s">
        <v>53</v>
      </c>
      <c r="Q61" s="169"/>
      <c r="R61" s="170"/>
    </row>
    <row r="62" spans="1:18" ht="14.55" hidden="1" customHeight="1" x14ac:dyDescent="0.3">
      <c r="A62" s="141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77"/>
      <c r="N62" s="6" t="s">
        <v>13</v>
      </c>
      <c r="O62" s="21"/>
      <c r="P62" s="168"/>
      <c r="Q62" s="169"/>
      <c r="R62" s="170"/>
    </row>
    <row r="63" spans="1:18" ht="14.55" hidden="1" customHeight="1" x14ac:dyDescent="0.3">
      <c r="A63" s="141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77"/>
      <c r="N63" s="6" t="s">
        <v>13</v>
      </c>
      <c r="O63" s="21"/>
      <c r="P63" s="168"/>
      <c r="Q63" s="169"/>
      <c r="R63" s="170"/>
    </row>
    <row r="64" spans="1:18" ht="14.55" customHeight="1" x14ac:dyDescent="0.3">
      <c r="A64" s="141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77"/>
      <c r="N64" s="6" t="s">
        <v>13</v>
      </c>
      <c r="O64" s="21"/>
      <c r="P64" s="168"/>
      <c r="Q64" s="169"/>
      <c r="R64" s="170"/>
    </row>
    <row r="65" spans="1:18" ht="14.55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77"/>
      <c r="N65" s="6" t="s">
        <v>13</v>
      </c>
      <c r="O65" s="21"/>
      <c r="P65" s="168"/>
      <c r="Q65" s="169"/>
      <c r="R65" s="170"/>
    </row>
    <row r="66" spans="1:18" ht="14.55" customHeight="1" x14ac:dyDescent="0.3">
      <c r="A66" s="142"/>
      <c r="B66" s="148" t="s">
        <v>0</v>
      </c>
      <c r="C66" s="149"/>
      <c r="D66" s="149"/>
      <c r="E66" s="149"/>
      <c r="F66" s="149"/>
      <c r="G66" s="149"/>
      <c r="H66" s="149"/>
      <c r="I66" s="150">
        <f>SUM(I61:J65)</f>
        <v>500</v>
      </c>
      <c r="J66" s="151"/>
      <c r="K66" s="150">
        <f>SUM(K61:L65)</f>
        <v>0</v>
      </c>
      <c r="L66" s="151"/>
      <c r="M66" s="10">
        <f>SUM(M61:M65)</f>
        <v>0</v>
      </c>
      <c r="N66" s="11" t="s">
        <v>13</v>
      </c>
      <c r="O66" s="9"/>
      <c r="P66" s="168"/>
      <c r="Q66" s="169"/>
      <c r="R66" s="170"/>
    </row>
    <row r="68" spans="1:18" x14ac:dyDescent="0.3">
      <c r="E68" s="148" t="s">
        <v>26</v>
      </c>
      <c r="F68" s="149"/>
      <c r="G68" s="149"/>
      <c r="H68" s="149"/>
      <c r="I68" s="152" t="s">
        <v>23</v>
      </c>
      <c r="J68" s="153"/>
      <c r="K68" s="152" t="s">
        <v>11</v>
      </c>
      <c r="L68" s="153"/>
    </row>
    <row r="69" spans="1:18" s="36" customFormat="1" x14ac:dyDescent="0.3">
      <c r="E69" s="7"/>
      <c r="F69" s="7"/>
      <c r="G69" s="7"/>
      <c r="H69" s="7"/>
      <c r="I69" s="22">
        <f>I60+I66</f>
        <v>2000</v>
      </c>
      <c r="J69" s="14" t="s">
        <v>12</v>
      </c>
      <c r="K69" s="22">
        <f>K60+K66</f>
        <v>0</v>
      </c>
      <c r="L69" s="15" t="s">
        <v>12</v>
      </c>
    </row>
    <row r="70" spans="1:18" ht="24.45" customHeight="1" x14ac:dyDescent="0.3">
      <c r="E70" s="13"/>
      <c r="F70" s="13"/>
      <c r="G70" s="13"/>
      <c r="H70" s="13"/>
      <c r="I70" s="154">
        <f>I69+K69</f>
        <v>2000</v>
      </c>
      <c r="J70" s="155"/>
      <c r="K70" s="155"/>
      <c r="L70" s="156"/>
    </row>
    <row r="72" spans="1:18" s="8" customFormat="1" ht="30" customHeight="1" x14ac:dyDescent="0.3">
      <c r="A72" s="133" t="s">
        <v>131</v>
      </c>
      <c r="B72" s="134"/>
      <c r="C72" s="134"/>
      <c r="D72" s="134"/>
      <c r="E72" s="134"/>
      <c r="F72" s="134"/>
      <c r="G72" s="134"/>
      <c r="H72" s="134"/>
      <c r="I72" s="134"/>
      <c r="J72" s="134"/>
      <c r="K72" s="135"/>
      <c r="L72" s="135"/>
      <c r="M72" s="135"/>
      <c r="N72" s="135"/>
      <c r="O72" s="134"/>
      <c r="P72" s="134"/>
      <c r="Q72" s="134"/>
      <c r="R72" s="136"/>
    </row>
    <row r="73" spans="1:18" s="12" customFormat="1" ht="14.55" customHeight="1" x14ac:dyDescent="0.3">
      <c r="A73" s="128" t="s">
        <v>1</v>
      </c>
      <c r="B73" s="137" t="s">
        <v>2</v>
      </c>
      <c r="C73" s="137" t="s">
        <v>3</v>
      </c>
      <c r="D73" s="137" t="s">
        <v>4</v>
      </c>
      <c r="E73" s="124" t="s">
        <v>5</v>
      </c>
      <c r="F73" s="138" t="s">
        <v>14</v>
      </c>
      <c r="G73" s="138" t="s">
        <v>15</v>
      </c>
      <c r="H73" s="119" t="s">
        <v>27</v>
      </c>
      <c r="I73" s="121" t="s">
        <v>6</v>
      </c>
      <c r="J73" s="122"/>
      <c r="K73" s="122"/>
      <c r="L73" s="123"/>
      <c r="M73" s="124" t="s">
        <v>7</v>
      </c>
      <c r="N73" s="125"/>
      <c r="O73" s="128" t="s">
        <v>8</v>
      </c>
      <c r="P73" s="128" t="s">
        <v>9</v>
      </c>
      <c r="Q73" s="128"/>
      <c r="R73" s="128"/>
    </row>
    <row r="74" spans="1:18" s="12" customFormat="1" ht="13.05" customHeight="1" x14ac:dyDescent="0.3">
      <c r="A74" s="128"/>
      <c r="B74" s="137"/>
      <c r="C74" s="137"/>
      <c r="D74" s="137"/>
      <c r="E74" s="126"/>
      <c r="F74" s="139"/>
      <c r="G74" s="139"/>
      <c r="H74" s="120"/>
      <c r="I74" s="121" t="s">
        <v>23</v>
      </c>
      <c r="J74" s="123"/>
      <c r="K74" s="121" t="s">
        <v>11</v>
      </c>
      <c r="L74" s="123"/>
      <c r="M74" s="126"/>
      <c r="N74" s="127"/>
      <c r="O74" s="128"/>
      <c r="P74" s="128"/>
      <c r="Q74" s="128"/>
      <c r="R74" s="128"/>
    </row>
    <row r="75" spans="1:18" ht="14.55" customHeight="1" x14ac:dyDescent="0.3">
      <c r="A75" s="140" t="s">
        <v>132</v>
      </c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77"/>
      <c r="N75" s="6" t="s">
        <v>13</v>
      </c>
      <c r="O75" s="21"/>
      <c r="P75" s="157"/>
      <c r="Q75" s="158"/>
      <c r="R75" s="159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77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77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77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77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77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77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77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77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77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7"/>
      <c r="B85" s="148" t="s">
        <v>0</v>
      </c>
      <c r="C85" s="149"/>
      <c r="D85" s="149"/>
      <c r="E85" s="149"/>
      <c r="F85" s="149"/>
      <c r="G85" s="149"/>
      <c r="H85" s="149"/>
      <c r="I85" s="150">
        <f ca="1">SUM(I75:J85)</f>
        <v>0</v>
      </c>
      <c r="J85" s="151"/>
      <c r="K85" s="150">
        <f ca="1">SUM(K75:L85)</f>
        <v>0</v>
      </c>
      <c r="L85" s="151"/>
      <c r="M85" s="10">
        <f>SUM(M80:M84)</f>
        <v>0</v>
      </c>
      <c r="N85" s="11" t="s">
        <v>13</v>
      </c>
      <c r="O85" s="9"/>
      <c r="P85" s="163"/>
      <c r="Q85" s="164"/>
      <c r="R85" s="165"/>
    </row>
    <row r="87" spans="1:18" x14ac:dyDescent="0.3">
      <c r="E87" s="148" t="s">
        <v>26</v>
      </c>
      <c r="F87" s="149"/>
      <c r="G87" s="149"/>
      <c r="H87" s="149"/>
      <c r="I87" s="152" t="s">
        <v>23</v>
      </c>
      <c r="J87" s="153"/>
      <c r="K87" s="172" t="s">
        <v>11</v>
      </c>
      <c r="L87" s="153"/>
    </row>
    <row r="88" spans="1:18" s="36" customFormat="1" x14ac:dyDescent="0.3">
      <c r="E88" s="7"/>
      <c r="F88" s="7"/>
      <c r="G88" s="7"/>
      <c r="H88" s="7"/>
      <c r="I88" s="22">
        <f ca="1">I85</f>
        <v>0</v>
      </c>
      <c r="J88" s="14" t="s">
        <v>12</v>
      </c>
      <c r="K88" s="22">
        <f ca="1">K85</f>
        <v>0</v>
      </c>
      <c r="L88" s="15" t="s">
        <v>12</v>
      </c>
    </row>
    <row r="89" spans="1:18" ht="24.45" customHeight="1" x14ac:dyDescent="0.3">
      <c r="E89" s="13"/>
      <c r="F89" s="13"/>
      <c r="G89" s="13"/>
      <c r="H89" s="13"/>
      <c r="I89" s="154">
        <f ca="1">I88+K88</f>
        <v>0</v>
      </c>
      <c r="J89" s="155"/>
      <c r="K89" s="155"/>
      <c r="L89" s="156"/>
    </row>
  </sheetData>
  <mergeCells count="216">
    <mergeCell ref="A75:A85"/>
    <mergeCell ref="I75:J75"/>
    <mergeCell ref="K75:L75"/>
    <mergeCell ref="I89:L89"/>
    <mergeCell ref="B85:H85"/>
    <mergeCell ref="I85:J85"/>
    <mergeCell ref="K85:L85"/>
    <mergeCell ref="E87:H87"/>
    <mergeCell ref="I87:J87"/>
    <mergeCell ref="K87:L87"/>
    <mergeCell ref="I82:J82"/>
    <mergeCell ref="K82:L82"/>
    <mergeCell ref="I83:J83"/>
    <mergeCell ref="K83:L83"/>
    <mergeCell ref="I84:J84"/>
    <mergeCell ref="K84:L84"/>
    <mergeCell ref="P75:R85"/>
    <mergeCell ref="I76:J76"/>
    <mergeCell ref="K76:L76"/>
    <mergeCell ref="I77:J77"/>
    <mergeCell ref="K77:L77"/>
    <mergeCell ref="I78:J78"/>
    <mergeCell ref="K78:L78"/>
    <mergeCell ref="I73:L73"/>
    <mergeCell ref="M73:N74"/>
    <mergeCell ref="O73:O74"/>
    <mergeCell ref="P73:R74"/>
    <mergeCell ref="I74:J74"/>
    <mergeCell ref="K74:L74"/>
    <mergeCell ref="I79:J79"/>
    <mergeCell ref="K79:L79"/>
    <mergeCell ref="I80:J80"/>
    <mergeCell ref="K80:L80"/>
    <mergeCell ref="I81:J81"/>
    <mergeCell ref="K81:L81"/>
    <mergeCell ref="I70:L70"/>
    <mergeCell ref="A72:R72"/>
    <mergeCell ref="A73:A74"/>
    <mergeCell ref="B73:B74"/>
    <mergeCell ref="C73:C74"/>
    <mergeCell ref="D73:D74"/>
    <mergeCell ref="E73:E74"/>
    <mergeCell ref="F73:F74"/>
    <mergeCell ref="G73:G74"/>
    <mergeCell ref="H73:H74"/>
    <mergeCell ref="B66:H66"/>
    <mergeCell ref="I66:J66"/>
    <mergeCell ref="K66:L66"/>
    <mergeCell ref="E68:H68"/>
    <mergeCell ref="I68:J68"/>
    <mergeCell ref="K68:L68"/>
    <mergeCell ref="A61:A66"/>
    <mergeCell ref="I61:J61"/>
    <mergeCell ref="K61:L61"/>
    <mergeCell ref="P51:R54"/>
    <mergeCell ref="I52:J52"/>
    <mergeCell ref="K52:L52"/>
    <mergeCell ref="I53:J53"/>
    <mergeCell ref="K53:L53"/>
    <mergeCell ref="B54:H54"/>
    <mergeCell ref="I54:J54"/>
    <mergeCell ref="P61:R66"/>
    <mergeCell ref="I62:J62"/>
    <mergeCell ref="K62:L62"/>
    <mergeCell ref="I63:J63"/>
    <mergeCell ref="K63:L63"/>
    <mergeCell ref="I64:J64"/>
    <mergeCell ref="K64:L64"/>
    <mergeCell ref="K58:L58"/>
    <mergeCell ref="I59:J59"/>
    <mergeCell ref="K59:L59"/>
    <mergeCell ref="I65:J65"/>
    <mergeCell ref="K65:L65"/>
    <mergeCell ref="P55:R60"/>
    <mergeCell ref="I56:J56"/>
    <mergeCell ref="K56:L56"/>
    <mergeCell ref="I57:J57"/>
    <mergeCell ref="K57:L57"/>
    <mergeCell ref="A38:A42"/>
    <mergeCell ref="I38:J38"/>
    <mergeCell ref="B60:H60"/>
    <mergeCell ref="I60:J60"/>
    <mergeCell ref="K60:L60"/>
    <mergeCell ref="K54:L54"/>
    <mergeCell ref="A55:A60"/>
    <mergeCell ref="I55:J55"/>
    <mergeCell ref="K55:L55"/>
    <mergeCell ref="I49:L49"/>
    <mergeCell ref="A51:A54"/>
    <mergeCell ref="I51:J51"/>
    <mergeCell ref="K51:L51"/>
    <mergeCell ref="I58:J58"/>
    <mergeCell ref="I40:J40"/>
    <mergeCell ref="K40:L40"/>
    <mergeCell ref="K41:L41"/>
    <mergeCell ref="E44:H44"/>
    <mergeCell ref="I44:J44"/>
    <mergeCell ref="K44:L44"/>
    <mergeCell ref="B42:H42"/>
    <mergeCell ref="I42:J42"/>
    <mergeCell ref="K42:L42"/>
    <mergeCell ref="M49:N50"/>
    <mergeCell ref="O49:O50"/>
    <mergeCell ref="P49:R50"/>
    <mergeCell ref="I50:J50"/>
    <mergeCell ref="K50:L50"/>
    <mergeCell ref="I46:L46"/>
    <mergeCell ref="A48:R48"/>
    <mergeCell ref="A49:A50"/>
    <mergeCell ref="B49:B50"/>
    <mergeCell ref="C49:C50"/>
    <mergeCell ref="D49:D50"/>
    <mergeCell ref="E49:E50"/>
    <mergeCell ref="F49:F50"/>
    <mergeCell ref="G49:G50"/>
    <mergeCell ref="H49:H50"/>
    <mergeCell ref="P42:R42"/>
    <mergeCell ref="K38:L38"/>
    <mergeCell ref="P38:R41"/>
    <mergeCell ref="I39:J39"/>
    <mergeCell ref="K39:L39"/>
    <mergeCell ref="I41:J41"/>
    <mergeCell ref="E31:H31"/>
    <mergeCell ref="I31:J31"/>
    <mergeCell ref="K31:L31"/>
    <mergeCell ref="I33:L33"/>
    <mergeCell ref="A35:R35"/>
    <mergeCell ref="A36:A37"/>
    <mergeCell ref="B36:B37"/>
    <mergeCell ref="C36:C37"/>
    <mergeCell ref="D36:D37"/>
    <mergeCell ref="E36:E37"/>
    <mergeCell ref="F36:F37"/>
    <mergeCell ref="G36:G37"/>
    <mergeCell ref="H36:H37"/>
    <mergeCell ref="I36:L36"/>
    <mergeCell ref="M36:N37"/>
    <mergeCell ref="O36:O37"/>
    <mergeCell ref="P36:R37"/>
    <mergeCell ref="I37:J37"/>
    <mergeCell ref="K37:L37"/>
    <mergeCell ref="A24:A29"/>
    <mergeCell ref="I24:J24"/>
    <mergeCell ref="K24:L24"/>
    <mergeCell ref="P24:R29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I27:J27"/>
    <mergeCell ref="K27:L27"/>
    <mergeCell ref="I28:J28"/>
    <mergeCell ref="K28:L28"/>
    <mergeCell ref="B29:H29"/>
    <mergeCell ref="I29:J29"/>
    <mergeCell ref="K29:L29"/>
    <mergeCell ref="P22:R23"/>
    <mergeCell ref="I23:J23"/>
    <mergeCell ref="K23:L23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0"/>
  <sheetViews>
    <sheetView zoomScale="85" zoomScaleNormal="85" workbookViewId="0">
      <selection activeCell="D7" sqref="D7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63.77734375" style="76" bestFit="1" customWidth="1"/>
    <col min="6" max="6" width="5.6640625" style="76" customWidth="1"/>
    <col min="7" max="7" width="6.6640625" style="76" customWidth="1"/>
    <col min="8" max="8" width="15.6640625" style="76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45945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4"/>
      <c r="D7" s="81">
        <v>250077</v>
      </c>
      <c r="E7" s="3" t="s">
        <v>290</v>
      </c>
      <c r="F7" s="19">
        <v>430</v>
      </c>
      <c r="G7" s="20">
        <v>0.5</v>
      </c>
      <c r="H7" s="28" t="s">
        <v>55</v>
      </c>
      <c r="I7" s="143">
        <v>1470</v>
      </c>
      <c r="J7" s="144"/>
      <c r="K7" s="143"/>
      <c r="L7" s="144"/>
      <c r="M7" s="79">
        <v>90</v>
      </c>
      <c r="N7" s="6" t="s">
        <v>13</v>
      </c>
      <c r="O7" s="21" t="s">
        <v>292</v>
      </c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81">
        <v>250077</v>
      </c>
      <c r="E8" s="3" t="s">
        <v>291</v>
      </c>
      <c r="F8" s="19">
        <v>430</v>
      </c>
      <c r="G8" s="20">
        <v>0.5</v>
      </c>
      <c r="H8" s="28" t="s">
        <v>55</v>
      </c>
      <c r="I8" s="143">
        <v>700</v>
      </c>
      <c r="J8" s="144"/>
      <c r="K8" s="143"/>
      <c r="L8" s="144"/>
      <c r="M8" s="79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4"/>
      <c r="E9" s="3"/>
      <c r="F9" s="19"/>
      <c r="G9" s="20"/>
      <c r="H9" s="28"/>
      <c r="I9" s="143"/>
      <c r="J9" s="144"/>
      <c r="K9" s="143"/>
      <c r="L9" s="144"/>
      <c r="M9" s="79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79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2170</v>
      </c>
      <c r="J11" s="151"/>
      <c r="K11" s="150">
        <f>SUM(K7:L10)</f>
        <v>0</v>
      </c>
      <c r="L11" s="151"/>
      <c r="M11" s="10">
        <f>SUM(M7:M8)</f>
        <v>90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79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79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79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2170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2170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250073</v>
      </c>
      <c r="E24" s="3" t="s">
        <v>293</v>
      </c>
      <c r="F24" s="19">
        <v>304</v>
      </c>
      <c r="G24" s="20">
        <v>0.6</v>
      </c>
      <c r="H24" s="28" t="s">
        <v>137</v>
      </c>
      <c r="I24" s="143">
        <v>562</v>
      </c>
      <c r="J24" s="144"/>
      <c r="K24" s="143"/>
      <c r="L24" s="144"/>
      <c r="M24" s="79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>
        <v>250070</v>
      </c>
      <c r="E25" s="3" t="s">
        <v>288</v>
      </c>
      <c r="F25" s="19">
        <v>304</v>
      </c>
      <c r="G25" s="20">
        <v>0.6</v>
      </c>
      <c r="H25" s="28" t="s">
        <v>137</v>
      </c>
      <c r="I25" s="143">
        <v>719</v>
      </c>
      <c r="J25" s="144"/>
      <c r="K25" s="143"/>
      <c r="L25" s="144"/>
      <c r="M25" s="79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>
        <v>250072</v>
      </c>
      <c r="E26" s="3" t="s">
        <v>272</v>
      </c>
      <c r="F26" s="19">
        <v>304</v>
      </c>
      <c r="G26" s="20">
        <v>0.7</v>
      </c>
      <c r="H26" s="28" t="s">
        <v>137</v>
      </c>
      <c r="I26" s="143">
        <v>687</v>
      </c>
      <c r="J26" s="144"/>
      <c r="K26" s="143"/>
      <c r="L26" s="144"/>
      <c r="M26" s="79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>
        <v>250071</v>
      </c>
      <c r="E27" s="3" t="s">
        <v>293</v>
      </c>
      <c r="F27" s="19">
        <v>304</v>
      </c>
      <c r="G27" s="20">
        <v>0.7</v>
      </c>
      <c r="H27" s="28" t="s">
        <v>137</v>
      </c>
      <c r="I27" s="143">
        <v>233</v>
      </c>
      <c r="J27" s="144"/>
      <c r="K27" s="143"/>
      <c r="L27" s="144"/>
      <c r="M27" s="79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>
        <v>250051</v>
      </c>
      <c r="E28" s="3" t="s">
        <v>294</v>
      </c>
      <c r="F28" s="19">
        <v>304</v>
      </c>
      <c r="G28" s="20">
        <v>0.7</v>
      </c>
      <c r="H28" s="28" t="s">
        <v>137</v>
      </c>
      <c r="I28" s="143">
        <v>112</v>
      </c>
      <c r="J28" s="144"/>
      <c r="K28" s="143"/>
      <c r="L28" s="144"/>
      <c r="M28" s="80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6"/>
      <c r="B29" s="5"/>
      <c r="C29" s="5">
        <v>0.875</v>
      </c>
      <c r="D29" s="4">
        <v>250051</v>
      </c>
      <c r="E29" s="3" t="s">
        <v>295</v>
      </c>
      <c r="F29" s="19">
        <v>304</v>
      </c>
      <c r="G29" s="20">
        <v>0.7</v>
      </c>
      <c r="H29" s="28" t="s">
        <v>137</v>
      </c>
      <c r="I29" s="143">
        <v>50</v>
      </c>
      <c r="J29" s="144"/>
      <c r="K29" s="143"/>
      <c r="L29" s="144"/>
      <c r="M29" s="79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7"/>
      <c r="B30" s="148" t="s">
        <v>0</v>
      </c>
      <c r="C30" s="149"/>
      <c r="D30" s="149"/>
      <c r="E30" s="149"/>
      <c r="F30" s="149"/>
      <c r="G30" s="149"/>
      <c r="H30" s="149"/>
      <c r="I30" s="150">
        <f>SUM(I24:J29)</f>
        <v>2363</v>
      </c>
      <c r="J30" s="151"/>
      <c r="K30" s="150">
        <f>SUM(K24:L29)</f>
        <v>0</v>
      </c>
      <c r="L30" s="151"/>
      <c r="M30" s="10" t="e">
        <f>SUM(#REF!)</f>
        <v>#REF!</v>
      </c>
      <c r="N30" s="11" t="s">
        <v>13</v>
      </c>
      <c r="O30" s="9"/>
      <c r="P30" s="163"/>
      <c r="Q30" s="164"/>
      <c r="R30" s="165"/>
    </row>
    <row r="31" spans="1:18" ht="14.55" customHeight="1" x14ac:dyDescent="0.3">
      <c r="D31" s="76"/>
      <c r="E31" s="1"/>
      <c r="F31" s="1"/>
      <c r="G31" s="1"/>
      <c r="H31" s="1"/>
      <c r="M31" s="76"/>
    </row>
    <row r="32" spans="1:18" x14ac:dyDescent="0.3">
      <c r="E32" s="148" t="s">
        <v>33</v>
      </c>
      <c r="F32" s="149"/>
      <c r="G32" s="149"/>
      <c r="H32" s="149"/>
      <c r="I32" s="152" t="s">
        <v>19</v>
      </c>
      <c r="J32" s="153"/>
      <c r="K32" s="152" t="s">
        <v>20</v>
      </c>
      <c r="L32" s="153"/>
    </row>
    <row r="33" spans="1:18" s="36" customFormat="1" x14ac:dyDescent="0.3">
      <c r="E33" s="7"/>
      <c r="F33" s="7"/>
      <c r="G33" s="7"/>
      <c r="H33" s="7"/>
      <c r="I33" s="22">
        <f>I30</f>
        <v>2363</v>
      </c>
      <c r="J33" s="14" t="s">
        <v>12</v>
      </c>
      <c r="K33" s="22">
        <f>K30</f>
        <v>0</v>
      </c>
      <c r="L33" s="15" t="s">
        <v>12</v>
      </c>
    </row>
    <row r="34" spans="1:18" ht="24.45" customHeight="1" x14ac:dyDescent="0.3">
      <c r="E34" s="13"/>
      <c r="F34" s="13"/>
      <c r="G34" s="13"/>
      <c r="H34" s="13"/>
      <c r="I34" s="154">
        <f>I33+K33</f>
        <v>2363</v>
      </c>
      <c r="J34" s="155"/>
      <c r="K34" s="155"/>
      <c r="L34" s="156"/>
    </row>
    <row r="36" spans="1:18" s="8" customFormat="1" ht="30" customHeight="1" x14ac:dyDescent="0.3">
      <c r="A36" s="133" t="s">
        <v>30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5"/>
      <c r="L36" s="135"/>
      <c r="M36" s="135"/>
      <c r="N36" s="135"/>
      <c r="O36" s="134"/>
      <c r="P36" s="134"/>
      <c r="Q36" s="134"/>
      <c r="R36" s="136"/>
    </row>
    <row r="37" spans="1:18" s="12" customFormat="1" ht="14.55" customHeight="1" x14ac:dyDescent="0.3">
      <c r="A37" s="128" t="s">
        <v>1</v>
      </c>
      <c r="B37" s="137" t="s">
        <v>2</v>
      </c>
      <c r="C37" s="137" t="s">
        <v>3</v>
      </c>
      <c r="D37" s="137" t="s">
        <v>4</v>
      </c>
      <c r="E37" s="124" t="s">
        <v>5</v>
      </c>
      <c r="F37" s="138" t="s">
        <v>14</v>
      </c>
      <c r="G37" s="138" t="s">
        <v>15</v>
      </c>
      <c r="H37" s="119" t="s">
        <v>29</v>
      </c>
      <c r="I37" s="121" t="s">
        <v>6</v>
      </c>
      <c r="J37" s="122"/>
      <c r="K37" s="122"/>
      <c r="L37" s="123"/>
      <c r="M37" s="124" t="s">
        <v>7</v>
      </c>
      <c r="N37" s="125"/>
      <c r="O37" s="128" t="s">
        <v>8</v>
      </c>
      <c r="P37" s="128" t="s">
        <v>9</v>
      </c>
      <c r="Q37" s="128"/>
      <c r="R37" s="128"/>
    </row>
    <row r="38" spans="1:18" s="12" customFormat="1" ht="13.05" customHeight="1" x14ac:dyDescent="0.3">
      <c r="A38" s="128"/>
      <c r="B38" s="137"/>
      <c r="C38" s="137"/>
      <c r="D38" s="137"/>
      <c r="E38" s="126"/>
      <c r="F38" s="139"/>
      <c r="G38" s="139"/>
      <c r="H38" s="120"/>
      <c r="I38" s="121" t="s">
        <v>19</v>
      </c>
      <c r="J38" s="123"/>
      <c r="K38" s="121" t="s">
        <v>20</v>
      </c>
      <c r="L38" s="123"/>
      <c r="M38" s="126"/>
      <c r="N38" s="127"/>
      <c r="O38" s="128"/>
      <c r="P38" s="128"/>
      <c r="Q38" s="128"/>
      <c r="R38" s="128"/>
    </row>
    <row r="39" spans="1:18" ht="14.55" customHeight="1" x14ac:dyDescent="0.3">
      <c r="A39" s="140" t="s">
        <v>35</v>
      </c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79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79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79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79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7"/>
      <c r="B43" s="148" t="s">
        <v>0</v>
      </c>
      <c r="C43" s="149"/>
      <c r="D43" s="149"/>
      <c r="E43" s="149"/>
      <c r="F43" s="149"/>
      <c r="G43" s="149"/>
      <c r="H43" s="149"/>
      <c r="I43" s="150">
        <f>SUM(I39:J42)</f>
        <v>0</v>
      </c>
      <c r="J43" s="151"/>
      <c r="K43" s="150">
        <f>SUM(K39:L42)</f>
        <v>0</v>
      </c>
      <c r="L43" s="151"/>
      <c r="M43" s="10" t="e">
        <f>SUM(#REF!)</f>
        <v>#REF!</v>
      </c>
      <c r="N43" s="11" t="s">
        <v>13</v>
      </c>
      <c r="O43" s="9"/>
      <c r="P43" s="168"/>
      <c r="Q43" s="169"/>
      <c r="R43" s="170"/>
    </row>
    <row r="44" spans="1:18" ht="14.55" customHeight="1" x14ac:dyDescent="0.3">
      <c r="D44" s="76"/>
      <c r="E44" s="1"/>
      <c r="F44" s="1"/>
      <c r="G44" s="1"/>
      <c r="H44" s="1"/>
      <c r="M44" s="76"/>
    </row>
    <row r="45" spans="1:18" x14ac:dyDescent="0.3">
      <c r="E45" s="148" t="s">
        <v>34</v>
      </c>
      <c r="F45" s="149"/>
      <c r="G45" s="149"/>
      <c r="H45" s="149"/>
      <c r="I45" s="152" t="s">
        <v>19</v>
      </c>
      <c r="J45" s="153"/>
      <c r="K45" s="152" t="s">
        <v>20</v>
      </c>
      <c r="L45" s="153"/>
    </row>
    <row r="46" spans="1:18" s="36" customFormat="1" x14ac:dyDescent="0.3">
      <c r="E46" s="7"/>
      <c r="F46" s="7"/>
      <c r="G46" s="7"/>
      <c r="H46" s="7"/>
      <c r="I46" s="22">
        <f>I43</f>
        <v>0</v>
      </c>
      <c r="J46" s="14" t="s">
        <v>12</v>
      </c>
      <c r="K46" s="22">
        <f>K43</f>
        <v>0</v>
      </c>
      <c r="L46" s="15" t="s">
        <v>12</v>
      </c>
    </row>
    <row r="47" spans="1:18" s="1" customFormat="1" ht="24.45" customHeight="1" x14ac:dyDescent="0.3">
      <c r="A47" s="76"/>
      <c r="B47" s="76"/>
      <c r="C47" s="76"/>
      <c r="E47" s="13"/>
      <c r="F47" s="13"/>
      <c r="G47" s="13"/>
      <c r="H47" s="13"/>
      <c r="I47" s="154">
        <f>I46+K46</f>
        <v>0</v>
      </c>
      <c r="J47" s="155"/>
      <c r="K47" s="155"/>
      <c r="L47" s="156"/>
      <c r="N47" s="76"/>
      <c r="O47" s="76"/>
      <c r="P47" s="76"/>
      <c r="Q47" s="76"/>
      <c r="R47" s="76"/>
    </row>
    <row r="49" spans="1:18" s="8" customFormat="1" ht="30" customHeight="1" x14ac:dyDescent="0.3">
      <c r="A49" s="133" t="s">
        <v>22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5"/>
      <c r="L49" s="135"/>
      <c r="M49" s="135"/>
      <c r="N49" s="135"/>
      <c r="O49" s="134"/>
      <c r="P49" s="134"/>
      <c r="Q49" s="134"/>
      <c r="R49" s="136"/>
    </row>
    <row r="50" spans="1:18" s="12" customFormat="1" ht="14.55" customHeight="1" x14ac:dyDescent="0.3">
      <c r="A50" s="128" t="s">
        <v>1</v>
      </c>
      <c r="B50" s="137" t="s">
        <v>2</v>
      </c>
      <c r="C50" s="137" t="s">
        <v>3</v>
      </c>
      <c r="D50" s="137" t="s">
        <v>4</v>
      </c>
      <c r="E50" s="124" t="s">
        <v>5</v>
      </c>
      <c r="F50" s="138" t="s">
        <v>14</v>
      </c>
      <c r="G50" s="138" t="s">
        <v>15</v>
      </c>
      <c r="H50" s="119" t="s">
        <v>27</v>
      </c>
      <c r="I50" s="121" t="s">
        <v>6</v>
      </c>
      <c r="J50" s="122"/>
      <c r="K50" s="122"/>
      <c r="L50" s="123"/>
      <c r="M50" s="124" t="s">
        <v>7</v>
      </c>
      <c r="N50" s="125"/>
      <c r="O50" s="128" t="s">
        <v>8</v>
      </c>
      <c r="P50" s="128" t="s">
        <v>9</v>
      </c>
      <c r="Q50" s="128"/>
      <c r="R50" s="128"/>
    </row>
    <row r="51" spans="1:18" s="12" customFormat="1" ht="13.05" customHeight="1" x14ac:dyDescent="0.3">
      <c r="A51" s="128"/>
      <c r="B51" s="137"/>
      <c r="C51" s="137"/>
      <c r="D51" s="137"/>
      <c r="E51" s="126"/>
      <c r="F51" s="139"/>
      <c r="G51" s="139"/>
      <c r="H51" s="120"/>
      <c r="I51" s="121" t="s">
        <v>23</v>
      </c>
      <c r="J51" s="123"/>
      <c r="K51" s="121" t="s">
        <v>11</v>
      </c>
      <c r="L51" s="123"/>
      <c r="M51" s="126"/>
      <c r="N51" s="127"/>
      <c r="O51" s="128"/>
      <c r="P51" s="128"/>
      <c r="Q51" s="128"/>
      <c r="R51" s="128"/>
    </row>
    <row r="52" spans="1:18" ht="14.55" customHeight="1" x14ac:dyDescent="0.3">
      <c r="A52" s="140" t="s">
        <v>28</v>
      </c>
      <c r="B52" s="5"/>
      <c r="C52" s="5"/>
      <c r="D52" s="44"/>
      <c r="E52" s="3"/>
      <c r="F52" s="19"/>
      <c r="G52" s="20"/>
      <c r="H52" s="28"/>
      <c r="I52" s="143"/>
      <c r="J52" s="144"/>
      <c r="K52" s="143"/>
      <c r="L52" s="144"/>
      <c r="M52" s="79"/>
      <c r="N52" s="6" t="s">
        <v>13</v>
      </c>
      <c r="O52" s="21"/>
      <c r="P52" s="168" t="s">
        <v>50</v>
      </c>
      <c r="Q52" s="169"/>
      <c r="R52" s="170"/>
    </row>
    <row r="53" spans="1:18" ht="14.55" customHeight="1" x14ac:dyDescent="0.3">
      <c r="A53" s="141"/>
      <c r="B53" s="5"/>
      <c r="C53" s="5"/>
      <c r="D53" s="44"/>
      <c r="E53" s="3"/>
      <c r="F53" s="19"/>
      <c r="G53" s="20"/>
      <c r="H53" s="28"/>
      <c r="I53" s="143"/>
      <c r="J53" s="144"/>
      <c r="K53" s="143"/>
      <c r="L53" s="144"/>
      <c r="M53" s="79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79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2"/>
      <c r="B55" s="148" t="s">
        <v>0</v>
      </c>
      <c r="C55" s="149"/>
      <c r="D55" s="149"/>
      <c r="E55" s="149"/>
      <c r="F55" s="149"/>
      <c r="G55" s="149"/>
      <c r="H55" s="171"/>
      <c r="I55" s="150">
        <f>SUM(I52:J54)</f>
        <v>0</v>
      </c>
      <c r="J55" s="151"/>
      <c r="K55" s="150">
        <f>SUM(K52:L54)</f>
        <v>0</v>
      </c>
      <c r="L55" s="151"/>
      <c r="M55" s="10">
        <f>SUM(M52:M54)</f>
        <v>0</v>
      </c>
      <c r="N55" s="11" t="s">
        <v>13</v>
      </c>
      <c r="O55" s="9"/>
      <c r="P55" s="168"/>
      <c r="Q55" s="169"/>
      <c r="R55" s="170"/>
    </row>
    <row r="56" spans="1:18" ht="14.55" customHeight="1" x14ac:dyDescent="0.3">
      <c r="A56" s="140" t="s">
        <v>24</v>
      </c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79"/>
      <c r="N56" s="6" t="s">
        <v>13</v>
      </c>
      <c r="O56" s="21"/>
      <c r="P56" s="157" t="s">
        <v>51</v>
      </c>
      <c r="Q56" s="158"/>
      <c r="R56" s="159"/>
    </row>
    <row r="57" spans="1:18" ht="14.55" customHeight="1" x14ac:dyDescent="0.3">
      <c r="A57" s="166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79"/>
      <c r="N57" s="6" t="s">
        <v>13</v>
      </c>
      <c r="O57" s="21"/>
      <c r="P57" s="160"/>
      <c r="Q57" s="161"/>
      <c r="R57" s="162"/>
    </row>
    <row r="58" spans="1:18" ht="14.55" hidden="1" customHeight="1" x14ac:dyDescent="0.3">
      <c r="A58" s="166"/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79"/>
      <c r="N58" s="6" t="s">
        <v>13</v>
      </c>
      <c r="O58" s="21"/>
      <c r="P58" s="160"/>
      <c r="Q58" s="161"/>
      <c r="R58" s="162"/>
    </row>
    <row r="59" spans="1:18" ht="14.55" hidden="1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79"/>
      <c r="N59" s="6" t="s">
        <v>13</v>
      </c>
      <c r="O59" s="21"/>
      <c r="P59" s="160"/>
      <c r="Q59" s="161"/>
      <c r="R59" s="162"/>
    </row>
    <row r="60" spans="1:18" ht="14.55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79"/>
      <c r="N60" s="6" t="s">
        <v>13</v>
      </c>
      <c r="O60" s="21"/>
      <c r="P60" s="160"/>
      <c r="Q60" s="161"/>
      <c r="R60" s="162"/>
    </row>
    <row r="61" spans="1:18" ht="14.55" customHeight="1" x14ac:dyDescent="0.3">
      <c r="A61" s="167"/>
      <c r="B61" s="148" t="s">
        <v>0</v>
      </c>
      <c r="C61" s="149"/>
      <c r="D61" s="149"/>
      <c r="E61" s="149"/>
      <c r="F61" s="149"/>
      <c r="G61" s="149"/>
      <c r="H61" s="171"/>
      <c r="I61" s="150">
        <f>SUM(I56:J60)</f>
        <v>0</v>
      </c>
      <c r="J61" s="151"/>
      <c r="K61" s="150">
        <f>SUM(K56:L60)</f>
        <v>0</v>
      </c>
      <c r="L61" s="151"/>
      <c r="M61" s="10">
        <f>SUM(M56:M60)</f>
        <v>0</v>
      </c>
      <c r="N61" s="11" t="s">
        <v>13</v>
      </c>
      <c r="O61" s="9"/>
      <c r="P61" s="163"/>
      <c r="Q61" s="164"/>
      <c r="R61" s="165"/>
    </row>
    <row r="62" spans="1:18" ht="14.55" customHeight="1" x14ac:dyDescent="0.3">
      <c r="A62" s="140" t="s">
        <v>25</v>
      </c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79"/>
      <c r="N62" s="6" t="s">
        <v>13</v>
      </c>
      <c r="O62" s="21"/>
      <c r="P62" s="145" t="s">
        <v>53</v>
      </c>
      <c r="Q62" s="169"/>
      <c r="R62" s="170"/>
    </row>
    <row r="63" spans="1:18" ht="14.55" hidden="1" customHeight="1" x14ac:dyDescent="0.3">
      <c r="A63" s="141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79"/>
      <c r="N63" s="6" t="s">
        <v>13</v>
      </c>
      <c r="O63" s="21"/>
      <c r="P63" s="168"/>
      <c r="Q63" s="169"/>
      <c r="R63" s="170"/>
    </row>
    <row r="64" spans="1:18" ht="14.55" hidden="1" customHeight="1" x14ac:dyDescent="0.3">
      <c r="A64" s="141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79"/>
      <c r="N64" s="6" t="s">
        <v>13</v>
      </c>
      <c r="O64" s="21"/>
      <c r="P64" s="168"/>
      <c r="Q64" s="169"/>
      <c r="R64" s="170"/>
    </row>
    <row r="65" spans="1:18" ht="14.55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79"/>
      <c r="N65" s="6" t="s">
        <v>13</v>
      </c>
      <c r="O65" s="21"/>
      <c r="P65" s="168"/>
      <c r="Q65" s="169"/>
      <c r="R65" s="170"/>
    </row>
    <row r="66" spans="1:18" ht="14.55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79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2"/>
      <c r="B67" s="148" t="s">
        <v>0</v>
      </c>
      <c r="C67" s="149"/>
      <c r="D67" s="149"/>
      <c r="E67" s="149"/>
      <c r="F67" s="149"/>
      <c r="G67" s="149"/>
      <c r="H67" s="149"/>
      <c r="I67" s="150">
        <f>SUM(I62:J66)</f>
        <v>0</v>
      </c>
      <c r="J67" s="151"/>
      <c r="K67" s="150">
        <f>SUM(K62:L66)</f>
        <v>0</v>
      </c>
      <c r="L67" s="151"/>
      <c r="M67" s="10">
        <f>SUM(M62:M66)</f>
        <v>0</v>
      </c>
      <c r="N67" s="11" t="s">
        <v>13</v>
      </c>
      <c r="O67" s="9"/>
      <c r="P67" s="168"/>
      <c r="Q67" s="169"/>
      <c r="R67" s="170"/>
    </row>
    <row r="69" spans="1:18" x14ac:dyDescent="0.3">
      <c r="E69" s="148" t="s">
        <v>26</v>
      </c>
      <c r="F69" s="149"/>
      <c r="G69" s="149"/>
      <c r="H69" s="149"/>
      <c r="I69" s="152" t="s">
        <v>23</v>
      </c>
      <c r="J69" s="153"/>
      <c r="K69" s="152" t="s">
        <v>11</v>
      </c>
      <c r="L69" s="153"/>
    </row>
    <row r="70" spans="1:18" s="36" customFormat="1" x14ac:dyDescent="0.3">
      <c r="E70" s="7"/>
      <c r="F70" s="7"/>
      <c r="G70" s="7"/>
      <c r="H70" s="7"/>
      <c r="I70" s="22">
        <f>I61+I67</f>
        <v>0</v>
      </c>
      <c r="J70" s="14" t="s">
        <v>12</v>
      </c>
      <c r="K70" s="22">
        <f>K61+K67</f>
        <v>0</v>
      </c>
      <c r="L70" s="15" t="s">
        <v>12</v>
      </c>
    </row>
    <row r="71" spans="1:18" ht="24.45" customHeight="1" x14ac:dyDescent="0.3">
      <c r="E71" s="13"/>
      <c r="F71" s="13"/>
      <c r="G71" s="13"/>
      <c r="H71" s="13"/>
      <c r="I71" s="154">
        <f>I70+K70</f>
        <v>0</v>
      </c>
      <c r="J71" s="155"/>
      <c r="K71" s="155"/>
      <c r="L71" s="156"/>
    </row>
    <row r="73" spans="1:18" s="8" customFormat="1" ht="30" customHeight="1" x14ac:dyDescent="0.3">
      <c r="A73" s="133" t="s">
        <v>131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5"/>
      <c r="L73" s="135"/>
      <c r="M73" s="135"/>
      <c r="N73" s="135"/>
      <c r="O73" s="134"/>
      <c r="P73" s="134"/>
      <c r="Q73" s="134"/>
      <c r="R73" s="136"/>
    </row>
    <row r="74" spans="1:18" s="12" customFormat="1" ht="14.55" customHeight="1" x14ac:dyDescent="0.3">
      <c r="A74" s="128" t="s">
        <v>1</v>
      </c>
      <c r="B74" s="137" t="s">
        <v>2</v>
      </c>
      <c r="C74" s="137" t="s">
        <v>3</v>
      </c>
      <c r="D74" s="137" t="s">
        <v>4</v>
      </c>
      <c r="E74" s="124" t="s">
        <v>5</v>
      </c>
      <c r="F74" s="138" t="s">
        <v>14</v>
      </c>
      <c r="G74" s="138" t="s">
        <v>15</v>
      </c>
      <c r="H74" s="119" t="s">
        <v>27</v>
      </c>
      <c r="I74" s="121" t="s">
        <v>6</v>
      </c>
      <c r="J74" s="122"/>
      <c r="K74" s="122"/>
      <c r="L74" s="123"/>
      <c r="M74" s="124" t="s">
        <v>7</v>
      </c>
      <c r="N74" s="125"/>
      <c r="O74" s="128" t="s">
        <v>8</v>
      </c>
      <c r="P74" s="128" t="s">
        <v>9</v>
      </c>
      <c r="Q74" s="128"/>
      <c r="R74" s="128"/>
    </row>
    <row r="75" spans="1:18" s="12" customFormat="1" ht="13.05" customHeight="1" x14ac:dyDescent="0.3">
      <c r="A75" s="128"/>
      <c r="B75" s="137"/>
      <c r="C75" s="137"/>
      <c r="D75" s="137"/>
      <c r="E75" s="126"/>
      <c r="F75" s="139"/>
      <c r="G75" s="139"/>
      <c r="H75" s="120"/>
      <c r="I75" s="121" t="s">
        <v>23</v>
      </c>
      <c r="J75" s="123"/>
      <c r="K75" s="121" t="s">
        <v>11</v>
      </c>
      <c r="L75" s="123"/>
      <c r="M75" s="126"/>
      <c r="N75" s="127"/>
      <c r="O75" s="128"/>
      <c r="P75" s="128"/>
      <c r="Q75" s="128"/>
      <c r="R75" s="128"/>
    </row>
    <row r="76" spans="1:18" ht="14.55" customHeight="1" x14ac:dyDescent="0.3">
      <c r="A76" s="140" t="s">
        <v>132</v>
      </c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79"/>
      <c r="N76" s="6" t="s">
        <v>13</v>
      </c>
      <c r="O76" s="21"/>
      <c r="P76" s="157"/>
      <c r="Q76" s="158"/>
      <c r="R76" s="159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79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79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79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79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79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79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79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79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79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7"/>
      <c r="B86" s="148" t="s">
        <v>0</v>
      </c>
      <c r="C86" s="149"/>
      <c r="D86" s="149"/>
      <c r="E86" s="149"/>
      <c r="F86" s="149"/>
      <c r="G86" s="149"/>
      <c r="H86" s="149"/>
      <c r="I86" s="150">
        <f ca="1">SUM(I76:J86)</f>
        <v>0</v>
      </c>
      <c r="J86" s="151"/>
      <c r="K86" s="150">
        <f ca="1">SUM(K76:L86)</f>
        <v>0</v>
      </c>
      <c r="L86" s="151"/>
      <c r="M86" s="10">
        <f>SUM(M81:M85)</f>
        <v>0</v>
      </c>
      <c r="N86" s="11" t="s">
        <v>13</v>
      </c>
      <c r="O86" s="9"/>
      <c r="P86" s="163"/>
      <c r="Q86" s="164"/>
      <c r="R86" s="165"/>
    </row>
    <row r="88" spans="1:18" x14ac:dyDescent="0.3">
      <c r="E88" s="148" t="s">
        <v>26</v>
      </c>
      <c r="F88" s="149"/>
      <c r="G88" s="149"/>
      <c r="H88" s="149"/>
      <c r="I88" s="152" t="s">
        <v>23</v>
      </c>
      <c r="J88" s="153"/>
      <c r="K88" s="172" t="s">
        <v>11</v>
      </c>
      <c r="L88" s="153"/>
    </row>
    <row r="89" spans="1:18" s="36" customFormat="1" x14ac:dyDescent="0.3">
      <c r="E89" s="7"/>
      <c r="F89" s="7"/>
      <c r="G89" s="7"/>
      <c r="H89" s="7"/>
      <c r="I89" s="22">
        <f ca="1">I86</f>
        <v>0</v>
      </c>
      <c r="J89" s="14" t="s">
        <v>12</v>
      </c>
      <c r="K89" s="22">
        <f ca="1">K86</f>
        <v>0</v>
      </c>
      <c r="L89" s="15" t="s">
        <v>12</v>
      </c>
    </row>
    <row r="90" spans="1:18" ht="24.45" customHeight="1" x14ac:dyDescent="0.3">
      <c r="E90" s="13"/>
      <c r="F90" s="13"/>
      <c r="G90" s="13"/>
      <c r="H90" s="13"/>
      <c r="I90" s="154">
        <f ca="1">I89+K89</f>
        <v>0</v>
      </c>
      <c r="J90" s="155"/>
      <c r="K90" s="155"/>
      <c r="L90" s="156"/>
    </row>
  </sheetData>
  <mergeCells count="218">
    <mergeCell ref="A76:A86"/>
    <mergeCell ref="I76:J76"/>
    <mergeCell ref="K76:L76"/>
    <mergeCell ref="I90:L90"/>
    <mergeCell ref="B86:H86"/>
    <mergeCell ref="I86:J86"/>
    <mergeCell ref="K86:L86"/>
    <mergeCell ref="E88:H88"/>
    <mergeCell ref="I88:J88"/>
    <mergeCell ref="K88:L88"/>
    <mergeCell ref="I83:J83"/>
    <mergeCell ref="K83:L83"/>
    <mergeCell ref="I84:J84"/>
    <mergeCell ref="K84:L84"/>
    <mergeCell ref="I85:J85"/>
    <mergeCell ref="K85:L85"/>
    <mergeCell ref="P76:R86"/>
    <mergeCell ref="I77:J77"/>
    <mergeCell ref="K77:L77"/>
    <mergeCell ref="I78:J78"/>
    <mergeCell ref="K78:L78"/>
    <mergeCell ref="I79:J79"/>
    <mergeCell ref="K79:L79"/>
    <mergeCell ref="I74:L74"/>
    <mergeCell ref="M74:N75"/>
    <mergeCell ref="O74:O75"/>
    <mergeCell ref="P74:R75"/>
    <mergeCell ref="I75:J75"/>
    <mergeCell ref="K75:L75"/>
    <mergeCell ref="I80:J80"/>
    <mergeCell ref="K80:L80"/>
    <mergeCell ref="I81:J81"/>
    <mergeCell ref="K81:L81"/>
    <mergeCell ref="I82:J82"/>
    <mergeCell ref="K82:L82"/>
    <mergeCell ref="I71:L71"/>
    <mergeCell ref="A73:R73"/>
    <mergeCell ref="A74:A75"/>
    <mergeCell ref="B74:B75"/>
    <mergeCell ref="C74:C75"/>
    <mergeCell ref="D74:D75"/>
    <mergeCell ref="E74:E75"/>
    <mergeCell ref="F74:F75"/>
    <mergeCell ref="G74:G75"/>
    <mergeCell ref="H74:H75"/>
    <mergeCell ref="B67:H67"/>
    <mergeCell ref="I67:J67"/>
    <mergeCell ref="K67:L67"/>
    <mergeCell ref="E69:H69"/>
    <mergeCell ref="I69:J69"/>
    <mergeCell ref="K69:L69"/>
    <mergeCell ref="A62:A67"/>
    <mergeCell ref="I62:J62"/>
    <mergeCell ref="K62:L62"/>
    <mergeCell ref="P62:R67"/>
    <mergeCell ref="I63:J63"/>
    <mergeCell ref="K63:L63"/>
    <mergeCell ref="I64:J64"/>
    <mergeCell ref="K64:L64"/>
    <mergeCell ref="I65:J65"/>
    <mergeCell ref="K65:L65"/>
    <mergeCell ref="K59:L59"/>
    <mergeCell ref="I60:J60"/>
    <mergeCell ref="K60:L60"/>
    <mergeCell ref="I66:J66"/>
    <mergeCell ref="K66:L66"/>
    <mergeCell ref="B61:H61"/>
    <mergeCell ref="I61:J61"/>
    <mergeCell ref="K61:L61"/>
    <mergeCell ref="K55:L55"/>
    <mergeCell ref="A56:A61"/>
    <mergeCell ref="I56:J56"/>
    <mergeCell ref="K56:L56"/>
    <mergeCell ref="P56:R61"/>
    <mergeCell ref="I57:J57"/>
    <mergeCell ref="K57:L57"/>
    <mergeCell ref="I58:J58"/>
    <mergeCell ref="K58:L58"/>
    <mergeCell ref="I59:J59"/>
    <mergeCell ref="A52:A55"/>
    <mergeCell ref="I52:J52"/>
    <mergeCell ref="K52:L52"/>
    <mergeCell ref="P52:R55"/>
    <mergeCell ref="I53:J53"/>
    <mergeCell ref="K53:L53"/>
    <mergeCell ref="I54:J54"/>
    <mergeCell ref="K54:L54"/>
    <mergeCell ref="B55:H55"/>
    <mergeCell ref="I55:J55"/>
    <mergeCell ref="G50:G51"/>
    <mergeCell ref="H50:H51"/>
    <mergeCell ref="I50:L50"/>
    <mergeCell ref="M50:N51"/>
    <mergeCell ref="O50:O51"/>
    <mergeCell ref="P50:R51"/>
    <mergeCell ref="I51:J51"/>
    <mergeCell ref="K51:L51"/>
    <mergeCell ref="A50:A51"/>
    <mergeCell ref="B50:B51"/>
    <mergeCell ref="C50:C51"/>
    <mergeCell ref="D50:D51"/>
    <mergeCell ref="E50:E51"/>
    <mergeCell ref="F50:F51"/>
    <mergeCell ref="E45:H45"/>
    <mergeCell ref="I45:J45"/>
    <mergeCell ref="K45:L45"/>
    <mergeCell ref="I47:L47"/>
    <mergeCell ref="A49:R49"/>
    <mergeCell ref="K41:L41"/>
    <mergeCell ref="I42:J42"/>
    <mergeCell ref="K42:L42"/>
    <mergeCell ref="B43:H43"/>
    <mergeCell ref="I43:J43"/>
    <mergeCell ref="K43:L43"/>
    <mergeCell ref="A39:A43"/>
    <mergeCell ref="I39:J39"/>
    <mergeCell ref="K39:L39"/>
    <mergeCell ref="P39:R42"/>
    <mergeCell ref="I40:J40"/>
    <mergeCell ref="K40:L40"/>
    <mergeCell ref="I41:J41"/>
    <mergeCell ref="F37:F38"/>
    <mergeCell ref="G37:G38"/>
    <mergeCell ref="H37:H38"/>
    <mergeCell ref="I37:L37"/>
    <mergeCell ref="M37:N38"/>
    <mergeCell ref="O37:O38"/>
    <mergeCell ref="P43:R43"/>
    <mergeCell ref="E32:H32"/>
    <mergeCell ref="I32:J32"/>
    <mergeCell ref="K32:L32"/>
    <mergeCell ref="I34:L34"/>
    <mergeCell ref="A36:R36"/>
    <mergeCell ref="A37:A38"/>
    <mergeCell ref="B37:B38"/>
    <mergeCell ref="C37:C38"/>
    <mergeCell ref="D37:D38"/>
    <mergeCell ref="E37:E38"/>
    <mergeCell ref="P37:R38"/>
    <mergeCell ref="I38:J38"/>
    <mergeCell ref="K38:L38"/>
    <mergeCell ref="A24:A30"/>
    <mergeCell ref="I24:J24"/>
    <mergeCell ref="K24:L24"/>
    <mergeCell ref="P24:R30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I28:J28"/>
    <mergeCell ref="K28:L28"/>
    <mergeCell ref="K26:L26"/>
    <mergeCell ref="I27:J27"/>
    <mergeCell ref="K27:L27"/>
    <mergeCell ref="I29:J29"/>
    <mergeCell ref="K29:L29"/>
    <mergeCell ref="B30:H30"/>
    <mergeCell ref="I30:J30"/>
    <mergeCell ref="K30:L30"/>
    <mergeCell ref="P22:R23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I23:J23"/>
    <mergeCell ref="K23:L23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0"/>
  <sheetViews>
    <sheetView zoomScale="85" zoomScaleNormal="85" workbookViewId="0">
      <selection activeCell="C41" sqref="C41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63.77734375" style="76" bestFit="1" customWidth="1"/>
    <col min="6" max="6" width="5.6640625" style="76" customWidth="1"/>
    <col min="7" max="7" width="6.6640625" style="76" customWidth="1"/>
    <col min="8" max="8" width="15.6640625" style="76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45947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4"/>
      <c r="D7" s="81">
        <v>250077</v>
      </c>
      <c r="E7" s="84" t="s">
        <v>291</v>
      </c>
      <c r="F7" s="19">
        <v>430</v>
      </c>
      <c r="G7" s="20">
        <v>0.5</v>
      </c>
      <c r="H7" s="28" t="s">
        <v>55</v>
      </c>
      <c r="I7" s="143">
        <v>750</v>
      </c>
      <c r="J7" s="144"/>
      <c r="K7" s="143"/>
      <c r="L7" s="144"/>
      <c r="M7" s="82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44">
        <v>160925</v>
      </c>
      <c r="E8" s="3" t="s">
        <v>296</v>
      </c>
      <c r="F8" s="19">
        <v>304</v>
      </c>
      <c r="G8" s="20">
        <v>0.7</v>
      </c>
      <c r="H8" s="28" t="s">
        <v>55</v>
      </c>
      <c r="I8" s="143">
        <v>1120</v>
      </c>
      <c r="J8" s="144"/>
      <c r="K8" s="143"/>
      <c r="L8" s="144"/>
      <c r="M8" s="82">
        <v>60</v>
      </c>
      <c r="N8" s="6" t="s">
        <v>13</v>
      </c>
      <c r="O8" s="21" t="s">
        <v>60</v>
      </c>
      <c r="P8" s="145"/>
      <c r="Q8" s="146"/>
      <c r="R8" s="147"/>
    </row>
    <row r="9" spans="1:18" ht="14.55" customHeight="1" x14ac:dyDescent="0.3">
      <c r="A9" s="141"/>
      <c r="B9" s="5"/>
      <c r="C9" s="5">
        <v>0.70833333333333337</v>
      </c>
      <c r="D9" s="44">
        <v>160925</v>
      </c>
      <c r="E9" s="3" t="s">
        <v>297</v>
      </c>
      <c r="F9" s="19">
        <v>304</v>
      </c>
      <c r="G9" s="20">
        <v>0.7</v>
      </c>
      <c r="H9" s="28" t="s">
        <v>55</v>
      </c>
      <c r="I9" s="143">
        <v>150</v>
      </c>
      <c r="J9" s="144"/>
      <c r="K9" s="143"/>
      <c r="L9" s="144"/>
      <c r="M9" s="82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82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2020</v>
      </c>
      <c r="J11" s="151"/>
      <c r="K11" s="150">
        <f>SUM(K7:L10)</f>
        <v>0</v>
      </c>
      <c r="L11" s="151"/>
      <c r="M11" s="10">
        <f>SUM(M7:M8)</f>
        <v>60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82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82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82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2020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2020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250077</v>
      </c>
      <c r="E24" s="3" t="s">
        <v>291</v>
      </c>
      <c r="F24" s="19">
        <v>430</v>
      </c>
      <c r="G24" s="20">
        <v>0.5</v>
      </c>
      <c r="H24" s="28" t="s">
        <v>137</v>
      </c>
      <c r="I24" s="143">
        <v>1300</v>
      </c>
      <c r="J24" s="144"/>
      <c r="K24" s="143"/>
      <c r="L24" s="144"/>
      <c r="M24" s="82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>
        <v>0.70833333333333337</v>
      </c>
      <c r="D25" s="4">
        <v>250071</v>
      </c>
      <c r="E25" s="3" t="s">
        <v>272</v>
      </c>
      <c r="F25" s="19">
        <v>304</v>
      </c>
      <c r="G25" s="20">
        <v>0.7</v>
      </c>
      <c r="H25" s="28" t="s">
        <v>137</v>
      </c>
      <c r="I25" s="143">
        <v>749</v>
      </c>
      <c r="J25" s="144"/>
      <c r="K25" s="143"/>
      <c r="L25" s="144"/>
      <c r="M25" s="82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82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/>
      <c r="E27" s="3"/>
      <c r="F27" s="19"/>
      <c r="G27" s="20"/>
      <c r="H27" s="28"/>
      <c r="I27" s="143"/>
      <c r="J27" s="144"/>
      <c r="K27" s="143"/>
      <c r="L27" s="144"/>
      <c r="M27" s="82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82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82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7"/>
      <c r="B30" s="148" t="s">
        <v>0</v>
      </c>
      <c r="C30" s="149"/>
      <c r="D30" s="149"/>
      <c r="E30" s="149"/>
      <c r="F30" s="149"/>
      <c r="G30" s="149"/>
      <c r="H30" s="149"/>
      <c r="I30" s="150">
        <f>SUM(I24:J29)</f>
        <v>2049</v>
      </c>
      <c r="J30" s="151"/>
      <c r="K30" s="150">
        <f>SUM(K24:L29)</f>
        <v>0</v>
      </c>
      <c r="L30" s="151"/>
      <c r="M30" s="10" t="e">
        <f>SUM(#REF!)</f>
        <v>#REF!</v>
      </c>
      <c r="N30" s="11" t="s">
        <v>13</v>
      </c>
      <c r="O30" s="9"/>
      <c r="P30" s="163"/>
      <c r="Q30" s="164"/>
      <c r="R30" s="165"/>
    </row>
    <row r="31" spans="1:18" ht="14.55" customHeight="1" x14ac:dyDescent="0.3">
      <c r="D31" s="76"/>
      <c r="E31" s="1"/>
      <c r="F31" s="1"/>
      <c r="G31" s="1"/>
      <c r="H31" s="1"/>
      <c r="M31" s="76"/>
    </row>
    <row r="32" spans="1:18" x14ac:dyDescent="0.3">
      <c r="E32" s="148" t="s">
        <v>33</v>
      </c>
      <c r="F32" s="149"/>
      <c r="G32" s="149"/>
      <c r="H32" s="149"/>
      <c r="I32" s="152" t="s">
        <v>19</v>
      </c>
      <c r="J32" s="153"/>
      <c r="K32" s="152" t="s">
        <v>20</v>
      </c>
      <c r="L32" s="153"/>
    </row>
    <row r="33" spans="1:18" s="36" customFormat="1" x14ac:dyDescent="0.3">
      <c r="E33" s="7"/>
      <c r="F33" s="7"/>
      <c r="G33" s="7"/>
      <c r="H33" s="7"/>
      <c r="I33" s="22">
        <f>I30</f>
        <v>2049</v>
      </c>
      <c r="J33" s="14" t="s">
        <v>12</v>
      </c>
      <c r="K33" s="22">
        <f>K30</f>
        <v>0</v>
      </c>
      <c r="L33" s="15" t="s">
        <v>12</v>
      </c>
    </row>
    <row r="34" spans="1:18" ht="24.45" customHeight="1" x14ac:dyDescent="0.3">
      <c r="E34" s="13"/>
      <c r="F34" s="13"/>
      <c r="G34" s="13"/>
      <c r="H34" s="13"/>
      <c r="I34" s="154">
        <f>I33+K33</f>
        <v>2049</v>
      </c>
      <c r="J34" s="155"/>
      <c r="K34" s="155"/>
      <c r="L34" s="156"/>
    </row>
    <row r="36" spans="1:18" s="8" customFormat="1" ht="30" customHeight="1" x14ac:dyDescent="0.3">
      <c r="A36" s="133" t="s">
        <v>30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5"/>
      <c r="L36" s="135"/>
      <c r="M36" s="135"/>
      <c r="N36" s="135"/>
      <c r="O36" s="134"/>
      <c r="P36" s="134"/>
      <c r="Q36" s="134"/>
      <c r="R36" s="136"/>
    </row>
    <row r="37" spans="1:18" s="12" customFormat="1" ht="14.55" customHeight="1" x14ac:dyDescent="0.3">
      <c r="A37" s="128" t="s">
        <v>1</v>
      </c>
      <c r="B37" s="137" t="s">
        <v>2</v>
      </c>
      <c r="C37" s="137" t="s">
        <v>3</v>
      </c>
      <c r="D37" s="137" t="s">
        <v>4</v>
      </c>
      <c r="E37" s="124" t="s">
        <v>5</v>
      </c>
      <c r="F37" s="138" t="s">
        <v>14</v>
      </c>
      <c r="G37" s="138" t="s">
        <v>15</v>
      </c>
      <c r="H37" s="119" t="s">
        <v>29</v>
      </c>
      <c r="I37" s="121" t="s">
        <v>6</v>
      </c>
      <c r="J37" s="122"/>
      <c r="K37" s="122"/>
      <c r="L37" s="123"/>
      <c r="M37" s="124" t="s">
        <v>7</v>
      </c>
      <c r="N37" s="125"/>
      <c r="O37" s="128" t="s">
        <v>8</v>
      </c>
      <c r="P37" s="128" t="s">
        <v>9</v>
      </c>
      <c r="Q37" s="128"/>
      <c r="R37" s="128"/>
    </row>
    <row r="38" spans="1:18" s="12" customFormat="1" ht="13.05" customHeight="1" x14ac:dyDescent="0.3">
      <c r="A38" s="128"/>
      <c r="B38" s="137"/>
      <c r="C38" s="137"/>
      <c r="D38" s="137"/>
      <c r="E38" s="126"/>
      <c r="F38" s="139"/>
      <c r="G38" s="139"/>
      <c r="H38" s="120"/>
      <c r="I38" s="121" t="s">
        <v>19</v>
      </c>
      <c r="J38" s="123"/>
      <c r="K38" s="121" t="s">
        <v>20</v>
      </c>
      <c r="L38" s="123"/>
      <c r="M38" s="126"/>
      <c r="N38" s="127"/>
      <c r="O38" s="128"/>
      <c r="P38" s="128"/>
      <c r="Q38" s="128"/>
      <c r="R38" s="128"/>
    </row>
    <row r="39" spans="1:18" ht="14.55" customHeight="1" x14ac:dyDescent="0.3">
      <c r="A39" s="140" t="s">
        <v>35</v>
      </c>
      <c r="B39" s="5">
        <v>0.33333333333333331</v>
      </c>
      <c r="C39" s="5"/>
      <c r="D39" s="4">
        <v>250051</v>
      </c>
      <c r="E39" s="3" t="s">
        <v>299</v>
      </c>
      <c r="F39" s="19">
        <v>304</v>
      </c>
      <c r="G39" s="20">
        <v>0.7</v>
      </c>
      <c r="H39" s="28" t="s">
        <v>130</v>
      </c>
      <c r="I39" s="143">
        <v>92</v>
      </c>
      <c r="J39" s="144"/>
      <c r="K39" s="143"/>
      <c r="L39" s="144"/>
      <c r="M39" s="82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>
        <v>0.70833333333333337</v>
      </c>
      <c r="D40" s="4">
        <v>250054</v>
      </c>
      <c r="E40" s="3" t="s">
        <v>289</v>
      </c>
      <c r="F40" s="19">
        <v>304</v>
      </c>
      <c r="G40" s="20">
        <v>0.7</v>
      </c>
      <c r="H40" s="28" t="s">
        <v>130</v>
      </c>
      <c r="I40" s="143">
        <v>22</v>
      </c>
      <c r="J40" s="144"/>
      <c r="K40" s="143"/>
      <c r="L40" s="144"/>
      <c r="M40" s="82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82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82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7"/>
      <c r="B43" s="148" t="s">
        <v>0</v>
      </c>
      <c r="C43" s="149"/>
      <c r="D43" s="149"/>
      <c r="E43" s="149"/>
      <c r="F43" s="149"/>
      <c r="G43" s="149"/>
      <c r="H43" s="149"/>
      <c r="I43" s="150">
        <f>SUM(I39:J42)</f>
        <v>114</v>
      </c>
      <c r="J43" s="151"/>
      <c r="K43" s="150">
        <f>SUM(K39:L42)</f>
        <v>0</v>
      </c>
      <c r="L43" s="151"/>
      <c r="M43" s="10" t="e">
        <f>SUM(#REF!)</f>
        <v>#REF!</v>
      </c>
      <c r="N43" s="11" t="s">
        <v>13</v>
      </c>
      <c r="O43" s="9"/>
      <c r="P43" s="168"/>
      <c r="Q43" s="169"/>
      <c r="R43" s="170"/>
    </row>
    <row r="44" spans="1:18" ht="14.55" customHeight="1" x14ac:dyDescent="0.3">
      <c r="D44" s="76"/>
      <c r="E44" s="1"/>
      <c r="F44" s="1"/>
      <c r="G44" s="1"/>
      <c r="H44" s="1"/>
      <c r="M44" s="76"/>
    </row>
    <row r="45" spans="1:18" x14ac:dyDescent="0.3">
      <c r="E45" s="148" t="s">
        <v>34</v>
      </c>
      <c r="F45" s="149"/>
      <c r="G45" s="149"/>
      <c r="H45" s="149"/>
      <c r="I45" s="152" t="s">
        <v>19</v>
      </c>
      <c r="J45" s="153"/>
      <c r="K45" s="152" t="s">
        <v>20</v>
      </c>
      <c r="L45" s="153"/>
    </row>
    <row r="46" spans="1:18" s="36" customFormat="1" x14ac:dyDescent="0.3">
      <c r="E46" s="7"/>
      <c r="F46" s="7"/>
      <c r="G46" s="7"/>
      <c r="H46" s="7"/>
      <c r="I46" s="22">
        <f>I43</f>
        <v>114</v>
      </c>
      <c r="J46" s="14" t="s">
        <v>12</v>
      </c>
      <c r="K46" s="22">
        <f>K43</f>
        <v>0</v>
      </c>
      <c r="L46" s="15" t="s">
        <v>12</v>
      </c>
    </row>
    <row r="47" spans="1:18" s="1" customFormat="1" ht="24.45" customHeight="1" x14ac:dyDescent="0.3">
      <c r="A47" s="76"/>
      <c r="B47" s="76"/>
      <c r="C47" s="76"/>
      <c r="E47" s="13"/>
      <c r="F47" s="13"/>
      <c r="G47" s="13"/>
      <c r="H47" s="13"/>
      <c r="I47" s="154">
        <f>I46+K46</f>
        <v>114</v>
      </c>
      <c r="J47" s="155"/>
      <c r="K47" s="155"/>
      <c r="L47" s="156"/>
      <c r="N47" s="76"/>
      <c r="O47" s="76"/>
      <c r="P47" s="76"/>
      <c r="Q47" s="76"/>
      <c r="R47" s="76"/>
    </row>
    <row r="49" spans="1:18" s="8" customFormat="1" ht="30" customHeight="1" x14ac:dyDescent="0.3">
      <c r="A49" s="133" t="s">
        <v>22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5"/>
      <c r="L49" s="135"/>
      <c r="M49" s="135"/>
      <c r="N49" s="135"/>
      <c r="O49" s="134"/>
      <c r="P49" s="134"/>
      <c r="Q49" s="134"/>
      <c r="R49" s="136"/>
    </row>
    <row r="50" spans="1:18" s="12" customFormat="1" ht="14.55" customHeight="1" x14ac:dyDescent="0.3">
      <c r="A50" s="128" t="s">
        <v>1</v>
      </c>
      <c r="B50" s="137" t="s">
        <v>2</v>
      </c>
      <c r="C50" s="137" t="s">
        <v>3</v>
      </c>
      <c r="D50" s="137" t="s">
        <v>4</v>
      </c>
      <c r="E50" s="124" t="s">
        <v>5</v>
      </c>
      <c r="F50" s="138" t="s">
        <v>14</v>
      </c>
      <c r="G50" s="138" t="s">
        <v>15</v>
      </c>
      <c r="H50" s="119" t="s">
        <v>27</v>
      </c>
      <c r="I50" s="121" t="s">
        <v>6</v>
      </c>
      <c r="J50" s="122"/>
      <c r="K50" s="122"/>
      <c r="L50" s="123"/>
      <c r="M50" s="124" t="s">
        <v>7</v>
      </c>
      <c r="N50" s="125"/>
      <c r="O50" s="128" t="s">
        <v>8</v>
      </c>
      <c r="P50" s="128" t="s">
        <v>9</v>
      </c>
      <c r="Q50" s="128"/>
      <c r="R50" s="128"/>
    </row>
    <row r="51" spans="1:18" s="12" customFormat="1" ht="13.05" customHeight="1" x14ac:dyDescent="0.3">
      <c r="A51" s="128"/>
      <c r="B51" s="137"/>
      <c r="C51" s="137"/>
      <c r="D51" s="137"/>
      <c r="E51" s="126"/>
      <c r="F51" s="139"/>
      <c r="G51" s="139"/>
      <c r="H51" s="120"/>
      <c r="I51" s="121" t="s">
        <v>23</v>
      </c>
      <c r="J51" s="123"/>
      <c r="K51" s="121" t="s">
        <v>11</v>
      </c>
      <c r="L51" s="123"/>
      <c r="M51" s="126"/>
      <c r="N51" s="127"/>
      <c r="O51" s="128"/>
      <c r="P51" s="128"/>
      <c r="Q51" s="128"/>
      <c r="R51" s="128"/>
    </row>
    <row r="52" spans="1:18" ht="14.55" customHeight="1" x14ac:dyDescent="0.3">
      <c r="A52" s="140" t="s">
        <v>28</v>
      </c>
      <c r="B52" s="5"/>
      <c r="C52" s="5"/>
      <c r="D52" s="44"/>
      <c r="E52" s="3" t="s">
        <v>298</v>
      </c>
      <c r="F52" s="19"/>
      <c r="G52" s="20"/>
      <c r="H52" s="28"/>
      <c r="I52" s="143"/>
      <c r="J52" s="144"/>
      <c r="K52" s="143"/>
      <c r="L52" s="144"/>
      <c r="M52" s="82"/>
      <c r="N52" s="6" t="s">
        <v>13</v>
      </c>
      <c r="O52" s="21"/>
      <c r="P52" s="168" t="s">
        <v>50</v>
      </c>
      <c r="Q52" s="169"/>
      <c r="R52" s="170"/>
    </row>
    <row r="53" spans="1:18" ht="14.55" customHeight="1" x14ac:dyDescent="0.3">
      <c r="A53" s="141"/>
      <c r="B53" s="5"/>
      <c r="C53" s="5"/>
      <c r="D53" s="44"/>
      <c r="E53" s="3"/>
      <c r="F53" s="19"/>
      <c r="G53" s="20"/>
      <c r="H53" s="28"/>
      <c r="I53" s="143"/>
      <c r="J53" s="144"/>
      <c r="K53" s="143"/>
      <c r="L53" s="144"/>
      <c r="M53" s="82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82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2"/>
      <c r="B55" s="148" t="s">
        <v>0</v>
      </c>
      <c r="C55" s="149"/>
      <c r="D55" s="149"/>
      <c r="E55" s="149"/>
      <c r="F55" s="149"/>
      <c r="G55" s="149"/>
      <c r="H55" s="171"/>
      <c r="I55" s="150">
        <f>SUM(I52:J54)</f>
        <v>0</v>
      </c>
      <c r="J55" s="151"/>
      <c r="K55" s="150">
        <f>SUM(K52:L54)</f>
        <v>0</v>
      </c>
      <c r="L55" s="151"/>
      <c r="M55" s="10">
        <f>SUM(M52:M54)</f>
        <v>0</v>
      </c>
      <c r="N55" s="11" t="s">
        <v>13</v>
      </c>
      <c r="O55" s="9"/>
      <c r="P55" s="168"/>
      <c r="Q55" s="169"/>
      <c r="R55" s="170"/>
    </row>
    <row r="56" spans="1:18" ht="14.55" customHeight="1" x14ac:dyDescent="0.3">
      <c r="A56" s="140" t="s">
        <v>24</v>
      </c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82"/>
      <c r="N56" s="6" t="s">
        <v>13</v>
      </c>
      <c r="O56" s="21"/>
      <c r="P56" s="157" t="s">
        <v>51</v>
      </c>
      <c r="Q56" s="158"/>
      <c r="R56" s="159"/>
    </row>
    <row r="57" spans="1:18" ht="14.55" customHeight="1" x14ac:dyDescent="0.3">
      <c r="A57" s="166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82"/>
      <c r="N57" s="6" t="s">
        <v>13</v>
      </c>
      <c r="O57" s="21"/>
      <c r="P57" s="160"/>
      <c r="Q57" s="161"/>
      <c r="R57" s="162"/>
    </row>
    <row r="58" spans="1:18" ht="14.55" hidden="1" customHeight="1" x14ac:dyDescent="0.3">
      <c r="A58" s="166"/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82"/>
      <c r="N58" s="6" t="s">
        <v>13</v>
      </c>
      <c r="O58" s="21"/>
      <c r="P58" s="160"/>
      <c r="Q58" s="161"/>
      <c r="R58" s="162"/>
    </row>
    <row r="59" spans="1:18" ht="14.55" hidden="1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82"/>
      <c r="N59" s="6" t="s">
        <v>13</v>
      </c>
      <c r="O59" s="21"/>
      <c r="P59" s="160"/>
      <c r="Q59" s="161"/>
      <c r="R59" s="162"/>
    </row>
    <row r="60" spans="1:18" ht="14.55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82"/>
      <c r="N60" s="6" t="s">
        <v>13</v>
      </c>
      <c r="O60" s="21"/>
      <c r="P60" s="160"/>
      <c r="Q60" s="161"/>
      <c r="R60" s="162"/>
    </row>
    <row r="61" spans="1:18" ht="14.55" customHeight="1" x14ac:dyDescent="0.3">
      <c r="A61" s="167"/>
      <c r="B61" s="148" t="s">
        <v>0</v>
      </c>
      <c r="C61" s="149"/>
      <c r="D61" s="149"/>
      <c r="E61" s="149"/>
      <c r="F61" s="149"/>
      <c r="G61" s="149"/>
      <c r="H61" s="171"/>
      <c r="I61" s="150">
        <f>SUM(I56:J60)</f>
        <v>0</v>
      </c>
      <c r="J61" s="151"/>
      <c r="K61" s="150">
        <f>SUM(K56:L60)</f>
        <v>0</v>
      </c>
      <c r="L61" s="151"/>
      <c r="M61" s="10">
        <f>SUM(M56:M60)</f>
        <v>0</v>
      </c>
      <c r="N61" s="11" t="s">
        <v>13</v>
      </c>
      <c r="O61" s="9"/>
      <c r="P61" s="163"/>
      <c r="Q61" s="164"/>
      <c r="R61" s="165"/>
    </row>
    <row r="62" spans="1:18" ht="14.55" customHeight="1" x14ac:dyDescent="0.3">
      <c r="A62" s="140" t="s">
        <v>25</v>
      </c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82"/>
      <c r="N62" s="6" t="s">
        <v>13</v>
      </c>
      <c r="O62" s="21"/>
      <c r="P62" s="145" t="s">
        <v>53</v>
      </c>
      <c r="Q62" s="169"/>
      <c r="R62" s="170"/>
    </row>
    <row r="63" spans="1:18" ht="14.55" hidden="1" customHeight="1" x14ac:dyDescent="0.3">
      <c r="A63" s="141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82"/>
      <c r="N63" s="6" t="s">
        <v>13</v>
      </c>
      <c r="O63" s="21"/>
      <c r="P63" s="168"/>
      <c r="Q63" s="169"/>
      <c r="R63" s="170"/>
    </row>
    <row r="64" spans="1:18" ht="14.55" hidden="1" customHeight="1" x14ac:dyDescent="0.3">
      <c r="A64" s="141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82"/>
      <c r="N64" s="6" t="s">
        <v>13</v>
      </c>
      <c r="O64" s="21"/>
      <c r="P64" s="168"/>
      <c r="Q64" s="169"/>
      <c r="R64" s="170"/>
    </row>
    <row r="65" spans="1:18" ht="14.55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82"/>
      <c r="N65" s="6" t="s">
        <v>13</v>
      </c>
      <c r="O65" s="21"/>
      <c r="P65" s="168"/>
      <c r="Q65" s="169"/>
      <c r="R65" s="170"/>
    </row>
    <row r="66" spans="1:18" ht="14.55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82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2"/>
      <c r="B67" s="148" t="s">
        <v>0</v>
      </c>
      <c r="C67" s="149"/>
      <c r="D67" s="149"/>
      <c r="E67" s="149"/>
      <c r="F67" s="149"/>
      <c r="G67" s="149"/>
      <c r="H67" s="149"/>
      <c r="I67" s="150">
        <f>SUM(I62:J66)</f>
        <v>0</v>
      </c>
      <c r="J67" s="151"/>
      <c r="K67" s="150">
        <f>SUM(K62:L66)</f>
        <v>0</v>
      </c>
      <c r="L67" s="151"/>
      <c r="M67" s="10">
        <f>SUM(M62:M66)</f>
        <v>0</v>
      </c>
      <c r="N67" s="11" t="s">
        <v>13</v>
      </c>
      <c r="O67" s="9"/>
      <c r="P67" s="168"/>
      <c r="Q67" s="169"/>
      <c r="R67" s="170"/>
    </row>
    <row r="69" spans="1:18" x14ac:dyDescent="0.3">
      <c r="E69" s="148" t="s">
        <v>26</v>
      </c>
      <c r="F69" s="149"/>
      <c r="G69" s="149"/>
      <c r="H69" s="149"/>
      <c r="I69" s="152" t="s">
        <v>23</v>
      </c>
      <c r="J69" s="153"/>
      <c r="K69" s="152" t="s">
        <v>11</v>
      </c>
      <c r="L69" s="153"/>
    </row>
    <row r="70" spans="1:18" s="36" customFormat="1" x14ac:dyDescent="0.3">
      <c r="E70" s="7"/>
      <c r="F70" s="7"/>
      <c r="G70" s="7"/>
      <c r="H70" s="7"/>
      <c r="I70" s="22">
        <f>I61+I67</f>
        <v>0</v>
      </c>
      <c r="J70" s="14" t="s">
        <v>12</v>
      </c>
      <c r="K70" s="22">
        <f>K61+K67</f>
        <v>0</v>
      </c>
      <c r="L70" s="15" t="s">
        <v>12</v>
      </c>
    </row>
    <row r="71" spans="1:18" ht="24.45" customHeight="1" x14ac:dyDescent="0.3">
      <c r="E71" s="13"/>
      <c r="F71" s="13"/>
      <c r="G71" s="13"/>
      <c r="H71" s="13"/>
      <c r="I71" s="154">
        <f>I70+K70</f>
        <v>0</v>
      </c>
      <c r="J71" s="155"/>
      <c r="K71" s="155"/>
      <c r="L71" s="156"/>
    </row>
    <row r="73" spans="1:18" s="8" customFormat="1" ht="30" customHeight="1" x14ac:dyDescent="0.3">
      <c r="A73" s="133" t="s">
        <v>131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5"/>
      <c r="L73" s="135"/>
      <c r="M73" s="135"/>
      <c r="N73" s="135"/>
      <c r="O73" s="134"/>
      <c r="P73" s="134"/>
      <c r="Q73" s="134"/>
      <c r="R73" s="136"/>
    </row>
    <row r="74" spans="1:18" s="12" customFormat="1" ht="14.55" customHeight="1" x14ac:dyDescent="0.3">
      <c r="A74" s="128" t="s">
        <v>1</v>
      </c>
      <c r="B74" s="137" t="s">
        <v>2</v>
      </c>
      <c r="C74" s="137" t="s">
        <v>3</v>
      </c>
      <c r="D74" s="137" t="s">
        <v>4</v>
      </c>
      <c r="E74" s="124" t="s">
        <v>5</v>
      </c>
      <c r="F74" s="138" t="s">
        <v>14</v>
      </c>
      <c r="G74" s="138" t="s">
        <v>15</v>
      </c>
      <c r="H74" s="119" t="s">
        <v>27</v>
      </c>
      <c r="I74" s="121" t="s">
        <v>6</v>
      </c>
      <c r="J74" s="122"/>
      <c r="K74" s="122"/>
      <c r="L74" s="123"/>
      <c r="M74" s="124" t="s">
        <v>7</v>
      </c>
      <c r="N74" s="125"/>
      <c r="O74" s="128" t="s">
        <v>8</v>
      </c>
      <c r="P74" s="128" t="s">
        <v>9</v>
      </c>
      <c r="Q74" s="128"/>
      <c r="R74" s="128"/>
    </row>
    <row r="75" spans="1:18" s="12" customFormat="1" ht="13.05" customHeight="1" x14ac:dyDescent="0.3">
      <c r="A75" s="128"/>
      <c r="B75" s="137"/>
      <c r="C75" s="137"/>
      <c r="D75" s="137"/>
      <c r="E75" s="126"/>
      <c r="F75" s="139"/>
      <c r="G75" s="139"/>
      <c r="H75" s="120"/>
      <c r="I75" s="121" t="s">
        <v>23</v>
      </c>
      <c r="J75" s="123"/>
      <c r="K75" s="121" t="s">
        <v>11</v>
      </c>
      <c r="L75" s="123"/>
      <c r="M75" s="126"/>
      <c r="N75" s="127"/>
      <c r="O75" s="128"/>
      <c r="P75" s="128"/>
      <c r="Q75" s="128"/>
      <c r="R75" s="128"/>
    </row>
    <row r="76" spans="1:18" ht="14.55" customHeight="1" x14ac:dyDescent="0.3">
      <c r="A76" s="140" t="s">
        <v>132</v>
      </c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82"/>
      <c r="N76" s="6" t="s">
        <v>13</v>
      </c>
      <c r="O76" s="21"/>
      <c r="P76" s="157"/>
      <c r="Q76" s="158"/>
      <c r="R76" s="159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82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82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82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82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82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82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82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82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82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7"/>
      <c r="B86" s="148" t="s">
        <v>0</v>
      </c>
      <c r="C86" s="149"/>
      <c r="D86" s="149"/>
      <c r="E86" s="149"/>
      <c r="F86" s="149"/>
      <c r="G86" s="149"/>
      <c r="H86" s="149"/>
      <c r="I86" s="150">
        <f ca="1">SUM(I76:J86)</f>
        <v>0</v>
      </c>
      <c r="J86" s="151"/>
      <c r="K86" s="150">
        <f ca="1">SUM(K76:L86)</f>
        <v>0</v>
      </c>
      <c r="L86" s="151"/>
      <c r="M86" s="10">
        <f>SUM(M81:M85)</f>
        <v>0</v>
      </c>
      <c r="N86" s="11" t="s">
        <v>13</v>
      </c>
      <c r="O86" s="9"/>
      <c r="P86" s="163"/>
      <c r="Q86" s="164"/>
      <c r="R86" s="165"/>
    </row>
    <row r="88" spans="1:18" x14ac:dyDescent="0.3">
      <c r="E88" s="148" t="s">
        <v>26</v>
      </c>
      <c r="F88" s="149"/>
      <c r="G88" s="149"/>
      <c r="H88" s="149"/>
      <c r="I88" s="152" t="s">
        <v>23</v>
      </c>
      <c r="J88" s="153"/>
      <c r="K88" s="172" t="s">
        <v>11</v>
      </c>
      <c r="L88" s="153"/>
    </row>
    <row r="89" spans="1:18" s="36" customFormat="1" x14ac:dyDescent="0.3">
      <c r="E89" s="7"/>
      <c r="F89" s="7"/>
      <c r="G89" s="7"/>
      <c r="H89" s="7"/>
      <c r="I89" s="22">
        <f ca="1">I86</f>
        <v>0</v>
      </c>
      <c r="J89" s="14" t="s">
        <v>12</v>
      </c>
      <c r="K89" s="22">
        <f ca="1">K86</f>
        <v>0</v>
      </c>
      <c r="L89" s="15" t="s">
        <v>12</v>
      </c>
    </row>
    <row r="90" spans="1:18" ht="24.45" customHeight="1" x14ac:dyDescent="0.3">
      <c r="E90" s="13"/>
      <c r="F90" s="13"/>
      <c r="G90" s="13"/>
      <c r="H90" s="13"/>
      <c r="I90" s="154">
        <f ca="1">I89+K89</f>
        <v>0</v>
      </c>
      <c r="J90" s="155"/>
      <c r="K90" s="155"/>
      <c r="L90" s="156"/>
    </row>
  </sheetData>
  <mergeCells count="218">
    <mergeCell ref="A76:A86"/>
    <mergeCell ref="I76:J76"/>
    <mergeCell ref="K76:L76"/>
    <mergeCell ref="I90:L90"/>
    <mergeCell ref="B86:H86"/>
    <mergeCell ref="I86:J86"/>
    <mergeCell ref="K86:L86"/>
    <mergeCell ref="E88:H88"/>
    <mergeCell ref="I88:J88"/>
    <mergeCell ref="K88:L88"/>
    <mergeCell ref="I83:J83"/>
    <mergeCell ref="K83:L83"/>
    <mergeCell ref="I84:J84"/>
    <mergeCell ref="K84:L84"/>
    <mergeCell ref="I85:J85"/>
    <mergeCell ref="K85:L85"/>
    <mergeCell ref="P76:R86"/>
    <mergeCell ref="I77:J77"/>
    <mergeCell ref="K77:L77"/>
    <mergeCell ref="I78:J78"/>
    <mergeCell ref="K78:L78"/>
    <mergeCell ref="I79:J79"/>
    <mergeCell ref="K79:L79"/>
    <mergeCell ref="I74:L74"/>
    <mergeCell ref="M74:N75"/>
    <mergeCell ref="O74:O75"/>
    <mergeCell ref="P74:R75"/>
    <mergeCell ref="I75:J75"/>
    <mergeCell ref="K75:L75"/>
    <mergeCell ref="I80:J80"/>
    <mergeCell ref="K80:L80"/>
    <mergeCell ref="I81:J81"/>
    <mergeCell ref="K81:L81"/>
    <mergeCell ref="I82:J82"/>
    <mergeCell ref="K82:L82"/>
    <mergeCell ref="I71:L71"/>
    <mergeCell ref="A73:R73"/>
    <mergeCell ref="A74:A75"/>
    <mergeCell ref="B74:B75"/>
    <mergeCell ref="C74:C75"/>
    <mergeCell ref="D74:D75"/>
    <mergeCell ref="E74:E75"/>
    <mergeCell ref="F74:F75"/>
    <mergeCell ref="G74:G75"/>
    <mergeCell ref="H74:H75"/>
    <mergeCell ref="B67:H67"/>
    <mergeCell ref="I67:J67"/>
    <mergeCell ref="K67:L67"/>
    <mergeCell ref="E69:H69"/>
    <mergeCell ref="I69:J69"/>
    <mergeCell ref="K69:L69"/>
    <mergeCell ref="A62:A67"/>
    <mergeCell ref="I62:J62"/>
    <mergeCell ref="K62:L62"/>
    <mergeCell ref="P62:R67"/>
    <mergeCell ref="I63:J63"/>
    <mergeCell ref="K63:L63"/>
    <mergeCell ref="I64:J64"/>
    <mergeCell ref="K64:L64"/>
    <mergeCell ref="I65:J65"/>
    <mergeCell ref="K65:L65"/>
    <mergeCell ref="K59:L59"/>
    <mergeCell ref="I60:J60"/>
    <mergeCell ref="K60:L60"/>
    <mergeCell ref="I66:J66"/>
    <mergeCell ref="K66:L66"/>
    <mergeCell ref="B61:H61"/>
    <mergeCell ref="I61:J61"/>
    <mergeCell ref="K61:L61"/>
    <mergeCell ref="K55:L55"/>
    <mergeCell ref="A56:A61"/>
    <mergeCell ref="I56:J56"/>
    <mergeCell ref="K56:L56"/>
    <mergeCell ref="P56:R61"/>
    <mergeCell ref="I57:J57"/>
    <mergeCell ref="K57:L57"/>
    <mergeCell ref="I58:J58"/>
    <mergeCell ref="K58:L58"/>
    <mergeCell ref="I59:J59"/>
    <mergeCell ref="A52:A55"/>
    <mergeCell ref="I52:J52"/>
    <mergeCell ref="K52:L52"/>
    <mergeCell ref="P52:R55"/>
    <mergeCell ref="I53:J53"/>
    <mergeCell ref="K53:L53"/>
    <mergeCell ref="I54:J54"/>
    <mergeCell ref="K54:L54"/>
    <mergeCell ref="B55:H55"/>
    <mergeCell ref="I55:J55"/>
    <mergeCell ref="I50:L50"/>
    <mergeCell ref="M50:N51"/>
    <mergeCell ref="O50:O51"/>
    <mergeCell ref="P50:R51"/>
    <mergeCell ref="I51:J51"/>
    <mergeCell ref="K51:L51"/>
    <mergeCell ref="I47:L47"/>
    <mergeCell ref="A49:R49"/>
    <mergeCell ref="A50:A51"/>
    <mergeCell ref="B50:B51"/>
    <mergeCell ref="C50:C51"/>
    <mergeCell ref="D50:D51"/>
    <mergeCell ref="E50:E51"/>
    <mergeCell ref="F50:F51"/>
    <mergeCell ref="G50:G51"/>
    <mergeCell ref="H50:H51"/>
    <mergeCell ref="B43:H43"/>
    <mergeCell ref="I43:J43"/>
    <mergeCell ref="K43:L43"/>
    <mergeCell ref="P43:R43"/>
    <mergeCell ref="E45:H45"/>
    <mergeCell ref="I45:J45"/>
    <mergeCell ref="K45:L45"/>
    <mergeCell ref="A39:A43"/>
    <mergeCell ref="I39:J39"/>
    <mergeCell ref="K39:L39"/>
    <mergeCell ref="P39:R42"/>
    <mergeCell ref="I40:J40"/>
    <mergeCell ref="K40:L40"/>
    <mergeCell ref="I41:J41"/>
    <mergeCell ref="K41:L41"/>
    <mergeCell ref="I42:J42"/>
    <mergeCell ref="K42:L42"/>
    <mergeCell ref="I37:L37"/>
    <mergeCell ref="M37:N38"/>
    <mergeCell ref="O37:O38"/>
    <mergeCell ref="P37:R38"/>
    <mergeCell ref="I38:J38"/>
    <mergeCell ref="K38:L38"/>
    <mergeCell ref="I34:L34"/>
    <mergeCell ref="A36:R36"/>
    <mergeCell ref="A37:A38"/>
    <mergeCell ref="B37:B38"/>
    <mergeCell ref="C37:C38"/>
    <mergeCell ref="D37:D38"/>
    <mergeCell ref="E37:E38"/>
    <mergeCell ref="F37:F38"/>
    <mergeCell ref="G37:G38"/>
    <mergeCell ref="H37:H38"/>
    <mergeCell ref="E32:H32"/>
    <mergeCell ref="I32:J32"/>
    <mergeCell ref="K32:L32"/>
    <mergeCell ref="K26:L26"/>
    <mergeCell ref="I27:J27"/>
    <mergeCell ref="K27:L27"/>
    <mergeCell ref="I28:J28"/>
    <mergeCell ref="K28:L28"/>
    <mergeCell ref="I29:J29"/>
    <mergeCell ref="K29:L29"/>
    <mergeCell ref="A24:A30"/>
    <mergeCell ref="I24:J24"/>
    <mergeCell ref="K24:L24"/>
    <mergeCell ref="P24:R30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B30:H30"/>
    <mergeCell ref="I30:J30"/>
    <mergeCell ref="K30:L30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0"/>
  <sheetViews>
    <sheetView topLeftCell="A37" zoomScale="85" zoomScaleNormal="85" workbookViewId="0">
      <selection activeCell="I39" sqref="I39:J40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63.77734375" style="76" bestFit="1" customWidth="1"/>
    <col min="6" max="6" width="5.6640625" style="76" customWidth="1"/>
    <col min="7" max="7" width="6.6640625" style="76" customWidth="1"/>
    <col min="8" max="8" width="15.6640625" style="76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45948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4"/>
      <c r="D7" s="81">
        <v>160925</v>
      </c>
      <c r="E7" s="84" t="s">
        <v>300</v>
      </c>
      <c r="F7" s="19">
        <v>304</v>
      </c>
      <c r="G7" s="20">
        <v>0.7</v>
      </c>
      <c r="H7" s="28" t="s">
        <v>55</v>
      </c>
      <c r="I7" s="143">
        <v>960</v>
      </c>
      <c r="J7" s="144"/>
      <c r="K7" s="143"/>
      <c r="L7" s="144"/>
      <c r="M7" s="83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0.58333333333333337</v>
      </c>
      <c r="D8" s="81">
        <v>160925</v>
      </c>
      <c r="E8" s="3" t="s">
        <v>301</v>
      </c>
      <c r="F8" s="19">
        <v>304</v>
      </c>
      <c r="G8" s="20">
        <v>0.7</v>
      </c>
      <c r="H8" s="28" t="s">
        <v>55</v>
      </c>
      <c r="I8" s="143">
        <v>250</v>
      </c>
      <c r="J8" s="144"/>
      <c r="K8" s="143"/>
      <c r="L8" s="144"/>
      <c r="M8" s="83">
        <v>45</v>
      </c>
      <c r="N8" s="6" t="s">
        <v>13</v>
      </c>
      <c r="O8" s="21" t="s">
        <v>60</v>
      </c>
      <c r="P8" s="145"/>
      <c r="Q8" s="146"/>
      <c r="R8" s="147"/>
    </row>
    <row r="9" spans="1:18" ht="14.55" customHeight="1" x14ac:dyDescent="0.3">
      <c r="A9" s="141"/>
      <c r="B9" s="5"/>
      <c r="C9" s="5"/>
      <c r="D9" s="44"/>
      <c r="E9" s="3"/>
      <c r="F9" s="19"/>
      <c r="G9" s="20"/>
      <c r="H9" s="28"/>
      <c r="I9" s="143"/>
      <c r="J9" s="144"/>
      <c r="K9" s="143"/>
      <c r="L9" s="144"/>
      <c r="M9" s="83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83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1210</v>
      </c>
      <c r="J11" s="151"/>
      <c r="K11" s="150">
        <f>SUM(K7:L10)</f>
        <v>0</v>
      </c>
      <c r="L11" s="151"/>
      <c r="M11" s="10">
        <f>SUM(M7:M8)</f>
        <v>45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83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83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83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316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1210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1210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250073</v>
      </c>
      <c r="E24" s="3" t="s">
        <v>278</v>
      </c>
      <c r="F24" s="19">
        <v>304</v>
      </c>
      <c r="G24" s="20">
        <v>0.6</v>
      </c>
      <c r="H24" s="28" t="s">
        <v>137</v>
      </c>
      <c r="I24" s="143">
        <v>74</v>
      </c>
      <c r="J24" s="144"/>
      <c r="K24" s="143"/>
      <c r="L24" s="144"/>
      <c r="M24" s="83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>
        <v>250070</v>
      </c>
      <c r="E25" s="3" t="s">
        <v>274</v>
      </c>
      <c r="F25" s="19">
        <v>304</v>
      </c>
      <c r="G25" s="20">
        <v>0.6</v>
      </c>
      <c r="H25" s="28" t="s">
        <v>137</v>
      </c>
      <c r="I25" s="143">
        <v>184</v>
      </c>
      <c r="J25" s="144"/>
      <c r="K25" s="143"/>
      <c r="L25" s="144"/>
      <c r="M25" s="83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>
        <v>250077</v>
      </c>
      <c r="E26" s="3" t="s">
        <v>290</v>
      </c>
      <c r="F26" s="19">
        <v>430</v>
      </c>
      <c r="G26" s="20">
        <v>0.5</v>
      </c>
      <c r="H26" s="28" t="s">
        <v>137</v>
      </c>
      <c r="I26" s="143">
        <v>1396</v>
      </c>
      <c r="J26" s="144"/>
      <c r="K26" s="143"/>
      <c r="L26" s="144"/>
      <c r="M26" s="83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>
        <v>0.875</v>
      </c>
      <c r="D27" s="4">
        <v>250070</v>
      </c>
      <c r="E27" s="3" t="s">
        <v>278</v>
      </c>
      <c r="F27" s="19">
        <v>304</v>
      </c>
      <c r="G27" s="20">
        <v>0.6</v>
      </c>
      <c r="H27" s="28" t="s">
        <v>137</v>
      </c>
      <c r="I27" s="143">
        <v>140</v>
      </c>
      <c r="J27" s="144"/>
      <c r="K27" s="143"/>
      <c r="L27" s="144"/>
      <c r="M27" s="83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83"/>
      <c r="N28" s="6" t="s">
        <v>13</v>
      </c>
      <c r="O28" s="21"/>
      <c r="P28" s="160"/>
      <c r="Q28" s="161"/>
      <c r="R28" s="162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83"/>
      <c r="N29" s="6" t="s">
        <v>13</v>
      </c>
      <c r="O29" s="21"/>
      <c r="P29" s="160"/>
      <c r="Q29" s="161"/>
      <c r="R29" s="162"/>
    </row>
    <row r="30" spans="1:18" ht="14.55" customHeight="1" x14ac:dyDescent="0.3">
      <c r="A30" s="167"/>
      <c r="B30" s="148" t="s">
        <v>0</v>
      </c>
      <c r="C30" s="149"/>
      <c r="D30" s="149"/>
      <c r="E30" s="149"/>
      <c r="F30" s="149"/>
      <c r="G30" s="149"/>
      <c r="H30" s="149"/>
      <c r="I30" s="150">
        <f>SUM(I24:J29)</f>
        <v>1794</v>
      </c>
      <c r="J30" s="151"/>
      <c r="K30" s="150">
        <f>SUM(K24:L29)</f>
        <v>0</v>
      </c>
      <c r="L30" s="151"/>
      <c r="M30" s="10">
        <f>SUM(M24:M29)</f>
        <v>0</v>
      </c>
      <c r="N30" s="11" t="s">
        <v>13</v>
      </c>
      <c r="O30" s="9"/>
      <c r="P30" s="163"/>
      <c r="Q30" s="164"/>
      <c r="R30" s="165"/>
    </row>
    <row r="31" spans="1:18" ht="14.55" customHeight="1" x14ac:dyDescent="0.3">
      <c r="D31" s="76"/>
      <c r="E31" s="1"/>
      <c r="F31" s="1"/>
      <c r="G31" s="1"/>
      <c r="H31" s="1"/>
      <c r="M31" s="76"/>
    </row>
    <row r="32" spans="1:18" x14ac:dyDescent="0.3">
      <c r="E32" s="148" t="s">
        <v>33</v>
      </c>
      <c r="F32" s="149"/>
      <c r="G32" s="149"/>
      <c r="H32" s="149"/>
      <c r="I32" s="152" t="s">
        <v>19</v>
      </c>
      <c r="J32" s="153"/>
      <c r="K32" s="152" t="s">
        <v>20</v>
      </c>
      <c r="L32" s="153"/>
    </row>
    <row r="33" spans="1:18" s="36" customFormat="1" x14ac:dyDescent="0.3">
      <c r="E33" s="7"/>
      <c r="F33" s="7"/>
      <c r="G33" s="7"/>
      <c r="H33" s="7"/>
      <c r="I33" s="22">
        <f>I30</f>
        <v>1794</v>
      </c>
      <c r="J33" s="14" t="s">
        <v>12</v>
      </c>
      <c r="K33" s="22">
        <f>K30</f>
        <v>0</v>
      </c>
      <c r="L33" s="15" t="s">
        <v>12</v>
      </c>
    </row>
    <row r="34" spans="1:18" ht="24.45" customHeight="1" x14ac:dyDescent="0.3">
      <c r="E34" s="13"/>
      <c r="F34" s="13"/>
      <c r="G34" s="13"/>
      <c r="H34" s="13"/>
      <c r="I34" s="154">
        <f>I33+K33</f>
        <v>1794</v>
      </c>
      <c r="J34" s="155"/>
      <c r="K34" s="155"/>
      <c r="L34" s="156"/>
    </row>
    <row r="35" spans="1:18" x14ac:dyDescent="0.3">
      <c r="K35" s="25"/>
      <c r="L35" s="25"/>
      <c r="M35" s="25"/>
      <c r="N35" s="23"/>
      <c r="O35" s="23"/>
    </row>
    <row r="36" spans="1:18" s="8" customFormat="1" ht="30" customHeight="1" x14ac:dyDescent="0.3">
      <c r="A36" s="133" t="s">
        <v>30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5"/>
      <c r="L36" s="135"/>
      <c r="M36" s="135"/>
      <c r="N36" s="135"/>
      <c r="O36" s="135"/>
      <c r="P36" s="134"/>
      <c r="Q36" s="134"/>
      <c r="R36" s="136"/>
    </row>
    <row r="37" spans="1:18" s="12" customFormat="1" ht="14.55" customHeight="1" x14ac:dyDescent="0.3">
      <c r="A37" s="128" t="s">
        <v>1</v>
      </c>
      <c r="B37" s="137" t="s">
        <v>2</v>
      </c>
      <c r="C37" s="137" t="s">
        <v>3</v>
      </c>
      <c r="D37" s="137" t="s">
        <v>4</v>
      </c>
      <c r="E37" s="124" t="s">
        <v>5</v>
      </c>
      <c r="F37" s="138" t="s">
        <v>14</v>
      </c>
      <c r="G37" s="138" t="s">
        <v>15</v>
      </c>
      <c r="H37" s="119" t="s">
        <v>29</v>
      </c>
      <c r="I37" s="121" t="s">
        <v>6</v>
      </c>
      <c r="J37" s="122"/>
      <c r="K37" s="122"/>
      <c r="L37" s="123"/>
      <c r="M37" s="124" t="s">
        <v>7</v>
      </c>
      <c r="N37" s="125"/>
      <c r="O37" s="128" t="s">
        <v>8</v>
      </c>
      <c r="P37" s="128" t="s">
        <v>9</v>
      </c>
      <c r="Q37" s="128"/>
      <c r="R37" s="128"/>
    </row>
    <row r="38" spans="1:18" s="12" customFormat="1" ht="13.05" customHeight="1" x14ac:dyDescent="0.3">
      <c r="A38" s="128"/>
      <c r="B38" s="137"/>
      <c r="C38" s="137"/>
      <c r="D38" s="137"/>
      <c r="E38" s="126"/>
      <c r="F38" s="139"/>
      <c r="G38" s="139"/>
      <c r="H38" s="120"/>
      <c r="I38" s="121" t="s">
        <v>19</v>
      </c>
      <c r="J38" s="123"/>
      <c r="K38" s="121" t="s">
        <v>20</v>
      </c>
      <c r="L38" s="123"/>
      <c r="M38" s="126"/>
      <c r="N38" s="127"/>
      <c r="O38" s="128"/>
      <c r="P38" s="128"/>
      <c r="Q38" s="128"/>
      <c r="R38" s="128"/>
    </row>
    <row r="39" spans="1:18" ht="14.55" customHeight="1" x14ac:dyDescent="0.3">
      <c r="A39" s="140" t="s">
        <v>35</v>
      </c>
      <c r="B39" s="5">
        <v>0.33333333333333331</v>
      </c>
      <c r="C39" s="5"/>
      <c r="D39" s="4">
        <v>250072</v>
      </c>
      <c r="E39" s="3" t="s">
        <v>302</v>
      </c>
      <c r="F39" s="19">
        <v>304</v>
      </c>
      <c r="G39" s="20">
        <v>0.7</v>
      </c>
      <c r="H39" s="28" t="s">
        <v>130</v>
      </c>
      <c r="I39" s="143">
        <v>751</v>
      </c>
      <c r="J39" s="144"/>
      <c r="K39" s="143"/>
      <c r="L39" s="144"/>
      <c r="M39" s="83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6"/>
      <c r="B40" s="5"/>
      <c r="C40" s="5">
        <v>0.875</v>
      </c>
      <c r="D40" s="4">
        <v>250073</v>
      </c>
      <c r="E40" s="3" t="s">
        <v>302</v>
      </c>
      <c r="F40" s="19">
        <v>304</v>
      </c>
      <c r="G40" s="20">
        <v>0.6</v>
      </c>
      <c r="H40" s="28" t="s">
        <v>130</v>
      </c>
      <c r="I40" s="143">
        <v>717</v>
      </c>
      <c r="J40" s="144"/>
      <c r="K40" s="143"/>
      <c r="L40" s="144"/>
      <c r="M40" s="83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66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83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66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83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67"/>
      <c r="B43" s="148" t="s">
        <v>0</v>
      </c>
      <c r="C43" s="149"/>
      <c r="D43" s="149"/>
      <c r="E43" s="149"/>
      <c r="F43" s="149"/>
      <c r="G43" s="149"/>
      <c r="H43" s="149"/>
      <c r="I43" s="150">
        <f>SUM(I39:J42)</f>
        <v>1468</v>
      </c>
      <c r="J43" s="151"/>
      <c r="K43" s="150">
        <f>SUM(K39:L42)</f>
        <v>0</v>
      </c>
      <c r="L43" s="151"/>
      <c r="M43" s="10">
        <f>SUM(M39:M42)</f>
        <v>0</v>
      </c>
      <c r="N43" s="11" t="s">
        <v>13</v>
      </c>
      <c r="O43" s="9"/>
      <c r="P43" s="168"/>
      <c r="Q43" s="169"/>
      <c r="R43" s="170"/>
    </row>
    <row r="44" spans="1:18" ht="14.55" customHeight="1" x14ac:dyDescent="0.3">
      <c r="D44" s="76"/>
      <c r="E44" s="1"/>
      <c r="F44" s="1"/>
      <c r="G44" s="1"/>
      <c r="H44" s="1"/>
      <c r="M44" s="76"/>
    </row>
    <row r="45" spans="1:18" x14ac:dyDescent="0.3">
      <c r="E45" s="148" t="s">
        <v>34</v>
      </c>
      <c r="F45" s="149"/>
      <c r="G45" s="149"/>
      <c r="H45" s="149"/>
      <c r="I45" s="152" t="s">
        <v>19</v>
      </c>
      <c r="J45" s="153"/>
      <c r="K45" s="152" t="s">
        <v>20</v>
      </c>
      <c r="L45" s="153"/>
    </row>
    <row r="46" spans="1:18" s="36" customFormat="1" x14ac:dyDescent="0.3">
      <c r="E46" s="7"/>
      <c r="F46" s="7"/>
      <c r="G46" s="7"/>
      <c r="H46" s="7"/>
      <c r="I46" s="22">
        <f>I43</f>
        <v>1468</v>
      </c>
      <c r="J46" s="14" t="s">
        <v>12</v>
      </c>
      <c r="K46" s="22">
        <f>K43</f>
        <v>0</v>
      </c>
      <c r="L46" s="15" t="s">
        <v>12</v>
      </c>
    </row>
    <row r="47" spans="1:18" s="1" customFormat="1" ht="24.45" customHeight="1" x14ac:dyDescent="0.3">
      <c r="A47" s="76"/>
      <c r="B47" s="76"/>
      <c r="C47" s="76"/>
      <c r="E47" s="13"/>
      <c r="F47" s="13"/>
      <c r="G47" s="13"/>
      <c r="H47" s="13"/>
      <c r="I47" s="154">
        <f>I46+K46</f>
        <v>1468</v>
      </c>
      <c r="J47" s="155"/>
      <c r="K47" s="155"/>
      <c r="L47" s="156"/>
      <c r="N47" s="76"/>
      <c r="O47" s="76"/>
      <c r="P47" s="76"/>
      <c r="Q47" s="76"/>
      <c r="R47" s="76"/>
    </row>
    <row r="48" spans="1:18" x14ac:dyDescent="0.3">
      <c r="K48" s="25"/>
      <c r="L48" s="25"/>
      <c r="M48" s="25"/>
      <c r="N48" s="23"/>
    </row>
    <row r="49" spans="1:18" s="8" customFormat="1" ht="30" customHeight="1" x14ac:dyDescent="0.3">
      <c r="A49" s="133" t="s">
        <v>22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5"/>
      <c r="L49" s="135"/>
      <c r="M49" s="135"/>
      <c r="N49" s="135"/>
      <c r="O49" s="134"/>
      <c r="P49" s="134"/>
      <c r="Q49" s="134"/>
      <c r="R49" s="136"/>
    </row>
    <row r="50" spans="1:18" s="12" customFormat="1" ht="14.55" customHeight="1" x14ac:dyDescent="0.3">
      <c r="A50" s="128" t="s">
        <v>1</v>
      </c>
      <c r="B50" s="137" t="s">
        <v>2</v>
      </c>
      <c r="C50" s="137" t="s">
        <v>3</v>
      </c>
      <c r="D50" s="137" t="s">
        <v>4</v>
      </c>
      <c r="E50" s="124" t="s">
        <v>5</v>
      </c>
      <c r="F50" s="138" t="s">
        <v>14</v>
      </c>
      <c r="G50" s="138" t="s">
        <v>15</v>
      </c>
      <c r="H50" s="119" t="s">
        <v>27</v>
      </c>
      <c r="I50" s="121" t="s">
        <v>6</v>
      </c>
      <c r="J50" s="122"/>
      <c r="K50" s="122"/>
      <c r="L50" s="123"/>
      <c r="M50" s="124" t="s">
        <v>7</v>
      </c>
      <c r="N50" s="125"/>
      <c r="O50" s="128" t="s">
        <v>8</v>
      </c>
      <c r="P50" s="128" t="s">
        <v>9</v>
      </c>
      <c r="Q50" s="128"/>
      <c r="R50" s="128"/>
    </row>
    <row r="51" spans="1:18" s="12" customFormat="1" ht="13.05" customHeight="1" x14ac:dyDescent="0.3">
      <c r="A51" s="128"/>
      <c r="B51" s="137"/>
      <c r="C51" s="137"/>
      <c r="D51" s="137"/>
      <c r="E51" s="126"/>
      <c r="F51" s="139"/>
      <c r="G51" s="139"/>
      <c r="H51" s="120"/>
      <c r="I51" s="121" t="s">
        <v>23</v>
      </c>
      <c r="J51" s="123"/>
      <c r="K51" s="121" t="s">
        <v>11</v>
      </c>
      <c r="L51" s="123"/>
      <c r="M51" s="126"/>
      <c r="N51" s="127"/>
      <c r="O51" s="128"/>
      <c r="P51" s="128"/>
      <c r="Q51" s="128"/>
      <c r="R51" s="128"/>
    </row>
    <row r="52" spans="1:18" ht="14.55" customHeight="1" x14ac:dyDescent="0.3">
      <c r="A52" s="140" t="s">
        <v>28</v>
      </c>
      <c r="B52" s="5"/>
      <c r="C52" s="5"/>
      <c r="D52" s="44"/>
      <c r="E52" s="3" t="s">
        <v>298</v>
      </c>
      <c r="F52" s="19"/>
      <c r="G52" s="20"/>
      <c r="H52" s="28"/>
      <c r="I52" s="143"/>
      <c r="J52" s="144"/>
      <c r="K52" s="143"/>
      <c r="L52" s="144"/>
      <c r="M52" s="83"/>
      <c r="N52" s="6" t="s">
        <v>13</v>
      </c>
      <c r="O52" s="21"/>
      <c r="P52" s="168" t="s">
        <v>50</v>
      </c>
      <c r="Q52" s="169"/>
      <c r="R52" s="170"/>
    </row>
    <row r="53" spans="1:18" ht="14.55" customHeight="1" x14ac:dyDescent="0.3">
      <c r="A53" s="141"/>
      <c r="B53" s="5"/>
      <c r="C53" s="5"/>
      <c r="D53" s="44"/>
      <c r="E53" s="3"/>
      <c r="F53" s="19"/>
      <c r="G53" s="20"/>
      <c r="H53" s="28"/>
      <c r="I53" s="143"/>
      <c r="J53" s="144"/>
      <c r="K53" s="143"/>
      <c r="L53" s="144"/>
      <c r="M53" s="83"/>
      <c r="N53" s="6" t="s">
        <v>13</v>
      </c>
      <c r="O53" s="21"/>
      <c r="P53" s="168"/>
      <c r="Q53" s="169"/>
      <c r="R53" s="170"/>
    </row>
    <row r="54" spans="1:18" ht="14.55" customHeight="1" x14ac:dyDescent="0.3">
      <c r="A54" s="141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83"/>
      <c r="N54" s="6" t="s">
        <v>13</v>
      </c>
      <c r="O54" s="21"/>
      <c r="P54" s="168"/>
      <c r="Q54" s="169"/>
      <c r="R54" s="170"/>
    </row>
    <row r="55" spans="1:18" ht="14.55" customHeight="1" x14ac:dyDescent="0.3">
      <c r="A55" s="142"/>
      <c r="B55" s="148" t="s">
        <v>0</v>
      </c>
      <c r="C55" s="149"/>
      <c r="D55" s="149"/>
      <c r="E55" s="149"/>
      <c r="F55" s="149"/>
      <c r="G55" s="149"/>
      <c r="H55" s="171"/>
      <c r="I55" s="150">
        <f>SUM(I52:J54)</f>
        <v>0</v>
      </c>
      <c r="J55" s="151"/>
      <c r="K55" s="150">
        <f>SUM(K52:L54)</f>
        <v>0</v>
      </c>
      <c r="L55" s="151"/>
      <c r="M55" s="10">
        <f>SUM(M52:M54)</f>
        <v>0</v>
      </c>
      <c r="N55" s="11" t="s">
        <v>13</v>
      </c>
      <c r="O55" s="9"/>
      <c r="P55" s="168"/>
      <c r="Q55" s="169"/>
      <c r="R55" s="170"/>
    </row>
    <row r="56" spans="1:18" ht="14.55" customHeight="1" x14ac:dyDescent="0.3">
      <c r="A56" s="140" t="s">
        <v>24</v>
      </c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83"/>
      <c r="N56" s="6" t="s">
        <v>13</v>
      </c>
      <c r="O56" s="21"/>
      <c r="P56" s="157" t="s">
        <v>51</v>
      </c>
      <c r="Q56" s="158"/>
      <c r="R56" s="159"/>
    </row>
    <row r="57" spans="1:18" ht="14.55" customHeight="1" x14ac:dyDescent="0.3">
      <c r="A57" s="166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83"/>
      <c r="N57" s="6" t="s">
        <v>13</v>
      </c>
      <c r="O57" s="21"/>
      <c r="P57" s="160"/>
      <c r="Q57" s="161"/>
      <c r="R57" s="162"/>
    </row>
    <row r="58" spans="1:18" ht="14.55" hidden="1" customHeight="1" x14ac:dyDescent="0.3">
      <c r="A58" s="166"/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83"/>
      <c r="N58" s="6" t="s">
        <v>13</v>
      </c>
      <c r="O58" s="21"/>
      <c r="P58" s="160"/>
      <c r="Q58" s="161"/>
      <c r="R58" s="162"/>
    </row>
    <row r="59" spans="1:18" ht="14.55" hidden="1" customHeight="1" x14ac:dyDescent="0.3">
      <c r="A59" s="166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83"/>
      <c r="N59" s="6" t="s">
        <v>13</v>
      </c>
      <c r="O59" s="21"/>
      <c r="P59" s="160"/>
      <c r="Q59" s="161"/>
      <c r="R59" s="162"/>
    </row>
    <row r="60" spans="1:18" ht="14.55" customHeight="1" x14ac:dyDescent="0.3">
      <c r="A60" s="166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83"/>
      <c r="N60" s="6" t="s">
        <v>13</v>
      </c>
      <c r="O60" s="21"/>
      <c r="P60" s="160"/>
      <c r="Q60" s="161"/>
      <c r="R60" s="162"/>
    </row>
    <row r="61" spans="1:18" ht="14.55" customHeight="1" x14ac:dyDescent="0.3">
      <c r="A61" s="167"/>
      <c r="B61" s="148" t="s">
        <v>0</v>
      </c>
      <c r="C61" s="149"/>
      <c r="D61" s="149"/>
      <c r="E61" s="149"/>
      <c r="F61" s="149"/>
      <c r="G61" s="149"/>
      <c r="H61" s="171"/>
      <c r="I61" s="150">
        <f>SUM(I56:J60)</f>
        <v>0</v>
      </c>
      <c r="J61" s="151"/>
      <c r="K61" s="150">
        <f>SUM(K56:L60)</f>
        <v>0</v>
      </c>
      <c r="L61" s="151"/>
      <c r="M61" s="10">
        <f>SUM(M56:M60)</f>
        <v>0</v>
      </c>
      <c r="N61" s="11" t="s">
        <v>13</v>
      </c>
      <c r="O61" s="9"/>
      <c r="P61" s="163"/>
      <c r="Q61" s="164"/>
      <c r="R61" s="165"/>
    </row>
    <row r="62" spans="1:18" ht="14.55" customHeight="1" x14ac:dyDescent="0.3">
      <c r="A62" s="140" t="s">
        <v>25</v>
      </c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83"/>
      <c r="N62" s="6" t="s">
        <v>13</v>
      </c>
      <c r="O62" s="21"/>
      <c r="P62" s="145" t="s">
        <v>53</v>
      </c>
      <c r="Q62" s="169"/>
      <c r="R62" s="170"/>
    </row>
    <row r="63" spans="1:18" ht="14.55" hidden="1" customHeight="1" x14ac:dyDescent="0.3">
      <c r="A63" s="141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83"/>
      <c r="N63" s="6" t="s">
        <v>13</v>
      </c>
      <c r="O63" s="21"/>
      <c r="P63" s="168"/>
      <c r="Q63" s="169"/>
      <c r="R63" s="170"/>
    </row>
    <row r="64" spans="1:18" ht="14.55" hidden="1" customHeight="1" x14ac:dyDescent="0.3">
      <c r="A64" s="141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83"/>
      <c r="N64" s="6" t="s">
        <v>13</v>
      </c>
      <c r="O64" s="21"/>
      <c r="P64" s="168"/>
      <c r="Q64" s="169"/>
      <c r="R64" s="170"/>
    </row>
    <row r="65" spans="1:18" ht="14.55" customHeight="1" x14ac:dyDescent="0.3">
      <c r="A65" s="141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83"/>
      <c r="N65" s="6" t="s">
        <v>13</v>
      </c>
      <c r="O65" s="21"/>
      <c r="P65" s="168"/>
      <c r="Q65" s="169"/>
      <c r="R65" s="170"/>
    </row>
    <row r="66" spans="1:18" ht="14.55" customHeight="1" x14ac:dyDescent="0.3">
      <c r="A66" s="141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83"/>
      <c r="N66" s="6" t="s">
        <v>13</v>
      </c>
      <c r="O66" s="21"/>
      <c r="P66" s="168"/>
      <c r="Q66" s="169"/>
      <c r="R66" s="170"/>
    </row>
    <row r="67" spans="1:18" ht="14.55" customHeight="1" x14ac:dyDescent="0.3">
      <c r="A67" s="142"/>
      <c r="B67" s="148" t="s">
        <v>0</v>
      </c>
      <c r="C67" s="149"/>
      <c r="D67" s="149"/>
      <c r="E67" s="149"/>
      <c r="F67" s="149"/>
      <c r="G67" s="149"/>
      <c r="H67" s="149"/>
      <c r="I67" s="150">
        <f>SUM(I62:J66)</f>
        <v>0</v>
      </c>
      <c r="J67" s="151"/>
      <c r="K67" s="150">
        <f>SUM(K62:L66)</f>
        <v>0</v>
      </c>
      <c r="L67" s="151"/>
      <c r="M67" s="10">
        <f>SUM(M62:M66)</f>
        <v>0</v>
      </c>
      <c r="N67" s="11" t="s">
        <v>13</v>
      </c>
      <c r="O67" s="9"/>
      <c r="P67" s="168"/>
      <c r="Q67" s="169"/>
      <c r="R67" s="170"/>
    </row>
    <row r="69" spans="1:18" x14ac:dyDescent="0.3">
      <c r="E69" s="148" t="s">
        <v>26</v>
      </c>
      <c r="F69" s="149"/>
      <c r="G69" s="149"/>
      <c r="H69" s="149"/>
      <c r="I69" s="152" t="s">
        <v>23</v>
      </c>
      <c r="J69" s="153"/>
      <c r="K69" s="152" t="s">
        <v>11</v>
      </c>
      <c r="L69" s="153"/>
    </row>
    <row r="70" spans="1:18" s="36" customFormat="1" x14ac:dyDescent="0.3">
      <c r="E70" s="7"/>
      <c r="F70" s="7"/>
      <c r="G70" s="7"/>
      <c r="H70" s="7"/>
      <c r="I70" s="22">
        <f>I61+I67</f>
        <v>0</v>
      </c>
      <c r="J70" s="14" t="s">
        <v>12</v>
      </c>
      <c r="K70" s="22">
        <f>K61+K67</f>
        <v>0</v>
      </c>
      <c r="L70" s="15" t="s">
        <v>12</v>
      </c>
    </row>
    <row r="71" spans="1:18" ht="24.45" customHeight="1" x14ac:dyDescent="0.3">
      <c r="E71" s="13"/>
      <c r="F71" s="13"/>
      <c r="G71" s="13"/>
      <c r="H71" s="13"/>
      <c r="I71" s="154">
        <f>I70+K70</f>
        <v>0</v>
      </c>
      <c r="J71" s="155"/>
      <c r="K71" s="155"/>
      <c r="L71" s="156"/>
    </row>
    <row r="72" spans="1:18" x14ac:dyDescent="0.3">
      <c r="K72" s="25"/>
      <c r="L72" s="25"/>
      <c r="M72" s="25"/>
      <c r="N72" s="23"/>
    </row>
    <row r="73" spans="1:18" s="8" customFormat="1" ht="30" customHeight="1" x14ac:dyDescent="0.3">
      <c r="A73" s="133" t="s">
        <v>131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5"/>
      <c r="L73" s="135"/>
      <c r="M73" s="135"/>
      <c r="N73" s="135"/>
      <c r="O73" s="134"/>
      <c r="P73" s="134"/>
      <c r="Q73" s="134"/>
      <c r="R73" s="136"/>
    </row>
    <row r="74" spans="1:18" s="12" customFormat="1" ht="14.55" customHeight="1" x14ac:dyDescent="0.3">
      <c r="A74" s="128" t="s">
        <v>1</v>
      </c>
      <c r="B74" s="137" t="s">
        <v>2</v>
      </c>
      <c r="C74" s="137" t="s">
        <v>3</v>
      </c>
      <c r="D74" s="137" t="s">
        <v>4</v>
      </c>
      <c r="E74" s="124" t="s">
        <v>5</v>
      </c>
      <c r="F74" s="138" t="s">
        <v>14</v>
      </c>
      <c r="G74" s="138" t="s">
        <v>15</v>
      </c>
      <c r="H74" s="119" t="s">
        <v>27</v>
      </c>
      <c r="I74" s="121" t="s">
        <v>6</v>
      </c>
      <c r="J74" s="122"/>
      <c r="K74" s="122"/>
      <c r="L74" s="123"/>
      <c r="M74" s="124" t="s">
        <v>7</v>
      </c>
      <c r="N74" s="125"/>
      <c r="O74" s="128" t="s">
        <v>8</v>
      </c>
      <c r="P74" s="128" t="s">
        <v>9</v>
      </c>
      <c r="Q74" s="128"/>
      <c r="R74" s="128"/>
    </row>
    <row r="75" spans="1:18" s="12" customFormat="1" ht="13.05" customHeight="1" x14ac:dyDescent="0.3">
      <c r="A75" s="128"/>
      <c r="B75" s="137"/>
      <c r="C75" s="137"/>
      <c r="D75" s="137"/>
      <c r="E75" s="126"/>
      <c r="F75" s="139"/>
      <c r="G75" s="139"/>
      <c r="H75" s="120"/>
      <c r="I75" s="121" t="s">
        <v>23</v>
      </c>
      <c r="J75" s="123"/>
      <c r="K75" s="121" t="s">
        <v>11</v>
      </c>
      <c r="L75" s="123"/>
      <c r="M75" s="126"/>
      <c r="N75" s="127"/>
      <c r="O75" s="128"/>
      <c r="P75" s="128"/>
      <c r="Q75" s="128"/>
      <c r="R75" s="128"/>
    </row>
    <row r="76" spans="1:18" ht="14.55" customHeight="1" x14ac:dyDescent="0.3">
      <c r="A76" s="140" t="s">
        <v>132</v>
      </c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83"/>
      <c r="N76" s="6" t="s">
        <v>13</v>
      </c>
      <c r="O76" s="21"/>
      <c r="P76" s="157"/>
      <c r="Q76" s="158"/>
      <c r="R76" s="159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83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83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83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83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/>
      <c r="D81" s="4"/>
      <c r="E81" s="3"/>
      <c r="F81" s="19"/>
      <c r="G81" s="20"/>
      <c r="H81" s="28"/>
      <c r="I81" s="143"/>
      <c r="J81" s="144"/>
      <c r="K81" s="143"/>
      <c r="L81" s="144"/>
      <c r="M81" s="83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83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83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6"/>
      <c r="B84" s="5"/>
      <c r="C84" s="5"/>
      <c r="D84" s="4"/>
      <c r="E84" s="3"/>
      <c r="F84" s="19"/>
      <c r="G84" s="20"/>
      <c r="H84" s="28"/>
      <c r="I84" s="143"/>
      <c r="J84" s="144"/>
      <c r="K84" s="143"/>
      <c r="L84" s="144"/>
      <c r="M84" s="83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/>
      <c r="D85" s="4"/>
      <c r="E85" s="3"/>
      <c r="F85" s="19"/>
      <c r="G85" s="20"/>
      <c r="H85" s="28"/>
      <c r="I85" s="143"/>
      <c r="J85" s="144"/>
      <c r="K85" s="143"/>
      <c r="L85" s="144"/>
      <c r="M85" s="83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7"/>
      <c r="B86" s="148" t="s">
        <v>0</v>
      </c>
      <c r="C86" s="149"/>
      <c r="D86" s="149"/>
      <c r="E86" s="149"/>
      <c r="F86" s="149"/>
      <c r="G86" s="149"/>
      <c r="H86" s="149"/>
      <c r="I86" s="150">
        <f ca="1">SUM(I76:J86)</f>
        <v>0</v>
      </c>
      <c r="J86" s="151"/>
      <c r="K86" s="150">
        <f ca="1">SUM(K76:L86)</f>
        <v>0</v>
      </c>
      <c r="L86" s="151"/>
      <c r="M86" s="10">
        <f>SUM(M81:M85)</f>
        <v>0</v>
      </c>
      <c r="N86" s="11" t="s">
        <v>13</v>
      </c>
      <c r="O86" s="9"/>
      <c r="P86" s="163"/>
      <c r="Q86" s="164"/>
      <c r="R86" s="165"/>
    </row>
    <row r="88" spans="1:18" x14ac:dyDescent="0.3">
      <c r="E88" s="148" t="s">
        <v>317</v>
      </c>
      <c r="F88" s="149"/>
      <c r="G88" s="149"/>
      <c r="H88" s="149"/>
      <c r="I88" s="152" t="s">
        <v>23</v>
      </c>
      <c r="J88" s="153"/>
      <c r="K88" s="172" t="s">
        <v>11</v>
      </c>
      <c r="L88" s="153"/>
    </row>
    <row r="89" spans="1:18" s="36" customFormat="1" x14ac:dyDescent="0.3">
      <c r="E89" s="7"/>
      <c r="F89" s="7"/>
      <c r="G89" s="7"/>
      <c r="H89" s="7"/>
      <c r="I89" s="22">
        <f ca="1">I86</f>
        <v>0</v>
      </c>
      <c r="J89" s="14" t="s">
        <v>12</v>
      </c>
      <c r="K89" s="22">
        <f ca="1">K86</f>
        <v>0</v>
      </c>
      <c r="L89" s="15" t="s">
        <v>12</v>
      </c>
    </row>
    <row r="90" spans="1:18" ht="24.45" customHeight="1" x14ac:dyDescent="0.3">
      <c r="E90" s="13"/>
      <c r="F90" s="13"/>
      <c r="G90" s="13"/>
      <c r="H90" s="13"/>
      <c r="I90" s="154">
        <f ca="1">I89+K89</f>
        <v>0</v>
      </c>
      <c r="J90" s="155"/>
      <c r="K90" s="155"/>
      <c r="L90" s="156"/>
    </row>
  </sheetData>
  <mergeCells count="218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24:A30"/>
    <mergeCell ref="I24:J24"/>
    <mergeCell ref="K24:L24"/>
    <mergeCell ref="P24:R30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B30:H30"/>
    <mergeCell ref="I30:J30"/>
    <mergeCell ref="K30:L30"/>
    <mergeCell ref="E32:H32"/>
    <mergeCell ref="I32:J32"/>
    <mergeCell ref="K32:L32"/>
    <mergeCell ref="K26:L26"/>
    <mergeCell ref="I27:J27"/>
    <mergeCell ref="K27:L27"/>
    <mergeCell ref="I28:J28"/>
    <mergeCell ref="K28:L28"/>
    <mergeCell ref="I29:J29"/>
    <mergeCell ref="K29:L29"/>
    <mergeCell ref="I37:L37"/>
    <mergeCell ref="M37:N38"/>
    <mergeCell ref="O37:O38"/>
    <mergeCell ref="P37:R38"/>
    <mergeCell ref="I38:J38"/>
    <mergeCell ref="K38:L38"/>
    <mergeCell ref="I34:L34"/>
    <mergeCell ref="A36:R36"/>
    <mergeCell ref="A37:A38"/>
    <mergeCell ref="B37:B38"/>
    <mergeCell ref="C37:C38"/>
    <mergeCell ref="D37:D38"/>
    <mergeCell ref="E37:E38"/>
    <mergeCell ref="F37:F38"/>
    <mergeCell ref="G37:G38"/>
    <mergeCell ref="H37:H38"/>
    <mergeCell ref="B43:H43"/>
    <mergeCell ref="I43:J43"/>
    <mergeCell ref="K43:L43"/>
    <mergeCell ref="P43:R43"/>
    <mergeCell ref="E45:H45"/>
    <mergeCell ref="I45:J45"/>
    <mergeCell ref="K45:L45"/>
    <mergeCell ref="A39:A43"/>
    <mergeCell ref="I39:J39"/>
    <mergeCell ref="K39:L39"/>
    <mergeCell ref="P39:R42"/>
    <mergeCell ref="I40:J40"/>
    <mergeCell ref="K40:L40"/>
    <mergeCell ref="I41:J41"/>
    <mergeCell ref="K41:L41"/>
    <mergeCell ref="I42:J42"/>
    <mergeCell ref="K42:L42"/>
    <mergeCell ref="I50:L50"/>
    <mergeCell ref="M50:N51"/>
    <mergeCell ref="O50:O51"/>
    <mergeCell ref="P50:R51"/>
    <mergeCell ref="I51:J51"/>
    <mergeCell ref="K51:L51"/>
    <mergeCell ref="I47:L47"/>
    <mergeCell ref="A49:R49"/>
    <mergeCell ref="A50:A51"/>
    <mergeCell ref="B50:B51"/>
    <mergeCell ref="C50:C51"/>
    <mergeCell ref="D50:D51"/>
    <mergeCell ref="E50:E51"/>
    <mergeCell ref="F50:F51"/>
    <mergeCell ref="G50:G51"/>
    <mergeCell ref="H50:H51"/>
    <mergeCell ref="B61:H61"/>
    <mergeCell ref="I61:J61"/>
    <mergeCell ref="K61:L61"/>
    <mergeCell ref="K55:L55"/>
    <mergeCell ref="A56:A61"/>
    <mergeCell ref="I56:J56"/>
    <mergeCell ref="K56:L56"/>
    <mergeCell ref="P56:R61"/>
    <mergeCell ref="I57:J57"/>
    <mergeCell ref="K57:L57"/>
    <mergeCell ref="I58:J58"/>
    <mergeCell ref="K58:L58"/>
    <mergeCell ref="I59:J59"/>
    <mergeCell ref="A52:A55"/>
    <mergeCell ref="I52:J52"/>
    <mergeCell ref="K52:L52"/>
    <mergeCell ref="P52:R55"/>
    <mergeCell ref="I53:J53"/>
    <mergeCell ref="K53:L53"/>
    <mergeCell ref="I54:J54"/>
    <mergeCell ref="K54:L54"/>
    <mergeCell ref="B55:H55"/>
    <mergeCell ref="I55:J55"/>
    <mergeCell ref="P62:R67"/>
    <mergeCell ref="I63:J63"/>
    <mergeCell ref="K63:L63"/>
    <mergeCell ref="I64:J64"/>
    <mergeCell ref="K64:L64"/>
    <mergeCell ref="I65:J65"/>
    <mergeCell ref="K65:L65"/>
    <mergeCell ref="K59:L59"/>
    <mergeCell ref="I60:J60"/>
    <mergeCell ref="K60:L60"/>
    <mergeCell ref="I66:J66"/>
    <mergeCell ref="K66:L66"/>
    <mergeCell ref="B67:H67"/>
    <mergeCell ref="I67:J67"/>
    <mergeCell ref="K67:L67"/>
    <mergeCell ref="E69:H69"/>
    <mergeCell ref="I69:J69"/>
    <mergeCell ref="K69:L69"/>
    <mergeCell ref="A62:A67"/>
    <mergeCell ref="I62:J62"/>
    <mergeCell ref="K62:L62"/>
    <mergeCell ref="I71:L71"/>
    <mergeCell ref="A73:R73"/>
    <mergeCell ref="A74:A75"/>
    <mergeCell ref="B74:B75"/>
    <mergeCell ref="C74:C75"/>
    <mergeCell ref="D74:D75"/>
    <mergeCell ref="E74:E75"/>
    <mergeCell ref="F74:F75"/>
    <mergeCell ref="G74:G75"/>
    <mergeCell ref="H74:H75"/>
    <mergeCell ref="P76:R86"/>
    <mergeCell ref="I77:J77"/>
    <mergeCell ref="K77:L77"/>
    <mergeCell ref="I78:J78"/>
    <mergeCell ref="K78:L78"/>
    <mergeCell ref="I79:J79"/>
    <mergeCell ref="K79:L79"/>
    <mergeCell ref="I74:L74"/>
    <mergeCell ref="M74:N75"/>
    <mergeCell ref="O74:O75"/>
    <mergeCell ref="P74:R75"/>
    <mergeCell ref="I75:J75"/>
    <mergeCell ref="K75:L75"/>
    <mergeCell ref="I80:J80"/>
    <mergeCell ref="K80:L80"/>
    <mergeCell ref="I81:J81"/>
    <mergeCell ref="K81:L81"/>
    <mergeCell ref="I82:J82"/>
    <mergeCell ref="K82:L82"/>
    <mergeCell ref="A76:A86"/>
    <mergeCell ref="I76:J76"/>
    <mergeCell ref="K76:L76"/>
    <mergeCell ref="I90:L90"/>
    <mergeCell ref="B86:H86"/>
    <mergeCell ref="I86:J86"/>
    <mergeCell ref="K86:L86"/>
    <mergeCell ref="E88:H88"/>
    <mergeCell ref="I88:J88"/>
    <mergeCell ref="K88:L88"/>
    <mergeCell ref="I83:J83"/>
    <mergeCell ref="K83:L83"/>
    <mergeCell ref="I84:J84"/>
    <mergeCell ref="K84:L84"/>
    <mergeCell ref="I85:J85"/>
    <mergeCell ref="K85:L85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5"/>
  <sheetViews>
    <sheetView topLeftCell="A10" zoomScale="85" zoomScaleNormal="85" workbookViewId="0">
      <selection activeCell="O38" sqref="O38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63.77734375" style="76" bestFit="1" customWidth="1"/>
    <col min="6" max="6" width="5.6640625" style="76" customWidth="1"/>
    <col min="7" max="7" width="6.6640625" style="76" customWidth="1"/>
    <col min="8" max="8" width="15.6640625" style="76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7773437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45949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/>
      <c r="C7" s="4"/>
      <c r="D7" s="81"/>
      <c r="E7" s="84"/>
      <c r="F7" s="19"/>
      <c r="G7" s="20"/>
      <c r="H7" s="28"/>
      <c r="I7" s="143"/>
      <c r="J7" s="144"/>
      <c r="K7" s="143"/>
      <c r="L7" s="144"/>
      <c r="M7" s="85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81"/>
      <c r="E8" s="3"/>
      <c r="F8" s="19"/>
      <c r="G8" s="20"/>
      <c r="H8" s="28"/>
      <c r="I8" s="143"/>
      <c r="J8" s="144"/>
      <c r="K8" s="143"/>
      <c r="L8" s="144"/>
      <c r="M8" s="85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4"/>
      <c r="E9" s="3"/>
      <c r="F9" s="19"/>
      <c r="G9" s="20"/>
      <c r="H9" s="28"/>
      <c r="I9" s="143"/>
      <c r="J9" s="144"/>
      <c r="K9" s="143"/>
      <c r="L9" s="144"/>
      <c r="M9" s="85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85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0</v>
      </c>
      <c r="J11" s="151"/>
      <c r="K11" s="150">
        <f>SUM(K7:L10)</f>
        <v>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85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85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85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0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>
        <v>0.70833333333333337</v>
      </c>
      <c r="D24" s="4">
        <v>250071</v>
      </c>
      <c r="E24" s="3" t="s">
        <v>305</v>
      </c>
      <c r="F24" s="19">
        <v>304</v>
      </c>
      <c r="G24" s="20">
        <v>0.7</v>
      </c>
      <c r="H24" s="28" t="s">
        <v>137</v>
      </c>
      <c r="I24" s="143">
        <v>751</v>
      </c>
      <c r="J24" s="144"/>
      <c r="K24" s="143"/>
      <c r="L24" s="144"/>
      <c r="M24" s="85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/>
      <c r="D25" s="4"/>
      <c r="E25" s="3"/>
      <c r="F25" s="19"/>
      <c r="G25" s="20"/>
      <c r="H25" s="28"/>
      <c r="I25" s="143"/>
      <c r="J25" s="144"/>
      <c r="K25" s="143"/>
      <c r="L25" s="144"/>
      <c r="M25" s="85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7"/>
      <c r="B26" s="148" t="s">
        <v>0</v>
      </c>
      <c r="C26" s="149"/>
      <c r="D26" s="149"/>
      <c r="E26" s="149"/>
      <c r="F26" s="149"/>
      <c r="G26" s="149"/>
      <c r="H26" s="149"/>
      <c r="I26" s="150">
        <f>SUM(I24:J25)</f>
        <v>751</v>
      </c>
      <c r="J26" s="151"/>
      <c r="K26" s="150">
        <f>SUM(K24:L25)</f>
        <v>0</v>
      </c>
      <c r="L26" s="151"/>
      <c r="M26" s="10"/>
      <c r="N26" s="11" t="s">
        <v>13</v>
      </c>
      <c r="O26" s="9"/>
      <c r="P26" s="163"/>
      <c r="Q26" s="164"/>
      <c r="R26" s="165"/>
    </row>
    <row r="27" spans="1:18" ht="14.55" customHeight="1" x14ac:dyDescent="0.3">
      <c r="D27" s="76"/>
      <c r="E27" s="1"/>
      <c r="F27" s="1"/>
      <c r="G27" s="1"/>
      <c r="H27" s="1"/>
      <c r="M27" s="76"/>
    </row>
    <row r="28" spans="1:18" x14ac:dyDescent="0.3">
      <c r="E28" s="148" t="s">
        <v>33</v>
      </c>
      <c r="F28" s="149"/>
      <c r="G28" s="149"/>
      <c r="H28" s="149"/>
      <c r="I28" s="152" t="s">
        <v>19</v>
      </c>
      <c r="J28" s="153"/>
      <c r="K28" s="152" t="s">
        <v>20</v>
      </c>
      <c r="L28" s="153"/>
    </row>
    <row r="29" spans="1:18" s="36" customFormat="1" x14ac:dyDescent="0.3">
      <c r="E29" s="7"/>
      <c r="F29" s="7"/>
      <c r="G29" s="7"/>
      <c r="H29" s="7"/>
      <c r="I29" s="22">
        <f>I26</f>
        <v>751</v>
      </c>
      <c r="J29" s="14" t="s">
        <v>12</v>
      </c>
      <c r="K29" s="22">
        <f>K26</f>
        <v>0</v>
      </c>
      <c r="L29" s="15" t="s">
        <v>12</v>
      </c>
    </row>
    <row r="30" spans="1:18" ht="24.45" customHeight="1" x14ac:dyDescent="0.3">
      <c r="E30" s="13"/>
      <c r="F30" s="13"/>
      <c r="G30" s="13"/>
      <c r="H30" s="13"/>
      <c r="I30" s="154">
        <f>I29+K29</f>
        <v>751</v>
      </c>
      <c r="J30" s="155"/>
      <c r="K30" s="155"/>
      <c r="L30" s="156"/>
    </row>
    <row r="32" spans="1:18" s="8" customFormat="1" ht="30" customHeight="1" x14ac:dyDescent="0.3">
      <c r="A32" s="133" t="s">
        <v>30</v>
      </c>
      <c r="B32" s="134"/>
      <c r="C32" s="134"/>
      <c r="D32" s="134"/>
      <c r="E32" s="134"/>
      <c r="F32" s="134"/>
      <c r="G32" s="134"/>
      <c r="H32" s="134"/>
      <c r="I32" s="134"/>
      <c r="J32" s="134"/>
      <c r="K32" s="135"/>
      <c r="L32" s="135"/>
      <c r="M32" s="135"/>
      <c r="N32" s="135"/>
      <c r="O32" s="134"/>
      <c r="P32" s="134"/>
      <c r="Q32" s="134"/>
      <c r="R32" s="136"/>
    </row>
    <row r="33" spans="1:18" s="12" customFormat="1" ht="14.55" customHeight="1" x14ac:dyDescent="0.3">
      <c r="A33" s="128" t="s">
        <v>1</v>
      </c>
      <c r="B33" s="137" t="s">
        <v>2</v>
      </c>
      <c r="C33" s="137" t="s">
        <v>3</v>
      </c>
      <c r="D33" s="137" t="s">
        <v>4</v>
      </c>
      <c r="E33" s="124" t="s">
        <v>5</v>
      </c>
      <c r="F33" s="138" t="s">
        <v>14</v>
      </c>
      <c r="G33" s="138" t="s">
        <v>15</v>
      </c>
      <c r="H33" s="119" t="s">
        <v>29</v>
      </c>
      <c r="I33" s="121" t="s">
        <v>6</v>
      </c>
      <c r="J33" s="122"/>
      <c r="K33" s="122"/>
      <c r="L33" s="123"/>
      <c r="M33" s="124" t="s">
        <v>7</v>
      </c>
      <c r="N33" s="125"/>
      <c r="O33" s="128" t="s">
        <v>8</v>
      </c>
      <c r="P33" s="128" t="s">
        <v>9</v>
      </c>
      <c r="Q33" s="128"/>
      <c r="R33" s="128"/>
    </row>
    <row r="34" spans="1:18" s="12" customFormat="1" ht="13.05" customHeight="1" x14ac:dyDescent="0.3">
      <c r="A34" s="128"/>
      <c r="B34" s="137"/>
      <c r="C34" s="137"/>
      <c r="D34" s="137"/>
      <c r="E34" s="126"/>
      <c r="F34" s="139"/>
      <c r="G34" s="139"/>
      <c r="H34" s="120"/>
      <c r="I34" s="121" t="s">
        <v>19</v>
      </c>
      <c r="J34" s="123"/>
      <c r="K34" s="121" t="s">
        <v>20</v>
      </c>
      <c r="L34" s="123"/>
      <c r="M34" s="126"/>
      <c r="N34" s="127"/>
      <c r="O34" s="128"/>
      <c r="P34" s="128"/>
      <c r="Q34" s="128"/>
      <c r="R34" s="128"/>
    </row>
    <row r="35" spans="1:18" ht="14.55" customHeight="1" x14ac:dyDescent="0.3">
      <c r="A35" s="140" t="s">
        <v>35</v>
      </c>
      <c r="B35" s="5">
        <v>0.33333333333333331</v>
      </c>
      <c r="C35" s="5">
        <v>0.70833333333333337</v>
      </c>
      <c r="D35" s="4">
        <v>250070</v>
      </c>
      <c r="E35" s="3" t="s">
        <v>302</v>
      </c>
      <c r="F35" s="19">
        <v>304</v>
      </c>
      <c r="G35" s="20">
        <v>0.6</v>
      </c>
      <c r="H35" s="28" t="s">
        <v>130</v>
      </c>
      <c r="I35" s="143">
        <v>698</v>
      </c>
      <c r="J35" s="144"/>
      <c r="K35" s="143"/>
      <c r="L35" s="144"/>
      <c r="M35" s="85"/>
      <c r="N35" s="6" t="s">
        <v>13</v>
      </c>
      <c r="O35" s="21"/>
      <c r="P35" s="168"/>
      <c r="Q35" s="169"/>
      <c r="R35" s="170"/>
    </row>
    <row r="36" spans="1:18" ht="14.55" customHeight="1" x14ac:dyDescent="0.3">
      <c r="A36" s="166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85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66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85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67"/>
      <c r="B38" s="148" t="s">
        <v>0</v>
      </c>
      <c r="C38" s="149"/>
      <c r="D38" s="149"/>
      <c r="E38" s="149"/>
      <c r="F38" s="149"/>
      <c r="G38" s="149"/>
      <c r="H38" s="149"/>
      <c r="I38" s="150">
        <f>SUM(I35:J37)</f>
        <v>698</v>
      </c>
      <c r="J38" s="151"/>
      <c r="K38" s="150">
        <f>SUM(K35:L37)</f>
        <v>0</v>
      </c>
      <c r="L38" s="151"/>
      <c r="M38" s="10"/>
      <c r="N38" s="11" t="s">
        <v>13</v>
      </c>
      <c r="O38" s="9"/>
      <c r="P38" s="168"/>
      <c r="Q38" s="169"/>
      <c r="R38" s="170"/>
    </row>
    <row r="39" spans="1:18" ht="14.55" customHeight="1" x14ac:dyDescent="0.3">
      <c r="D39" s="76"/>
      <c r="E39" s="1"/>
      <c r="F39" s="1"/>
      <c r="G39" s="1"/>
      <c r="H39" s="1"/>
      <c r="M39" s="76"/>
    </row>
    <row r="40" spans="1:18" x14ac:dyDescent="0.3">
      <c r="E40" s="148" t="s">
        <v>34</v>
      </c>
      <c r="F40" s="149"/>
      <c r="G40" s="149"/>
      <c r="H40" s="149"/>
      <c r="I40" s="152" t="s">
        <v>19</v>
      </c>
      <c r="J40" s="153"/>
      <c r="K40" s="152" t="s">
        <v>20</v>
      </c>
      <c r="L40" s="153"/>
    </row>
    <row r="41" spans="1:18" s="36" customFormat="1" x14ac:dyDescent="0.3">
      <c r="E41" s="7"/>
      <c r="F41" s="7"/>
      <c r="G41" s="7"/>
      <c r="H41" s="7"/>
      <c r="I41" s="22">
        <f>I38</f>
        <v>698</v>
      </c>
      <c r="J41" s="14" t="s">
        <v>12</v>
      </c>
      <c r="K41" s="22">
        <f>K38</f>
        <v>0</v>
      </c>
      <c r="L41" s="15" t="s">
        <v>12</v>
      </c>
    </row>
    <row r="42" spans="1:18" s="1" customFormat="1" ht="24.45" customHeight="1" x14ac:dyDescent="0.3">
      <c r="A42" s="76"/>
      <c r="B42" s="76"/>
      <c r="C42" s="76"/>
      <c r="E42" s="13"/>
      <c r="F42" s="13"/>
      <c r="G42" s="13"/>
      <c r="H42" s="13"/>
      <c r="I42" s="154">
        <f>I41+K41</f>
        <v>698</v>
      </c>
      <c r="J42" s="155"/>
      <c r="K42" s="155"/>
      <c r="L42" s="156"/>
      <c r="N42" s="76"/>
      <c r="O42" s="76"/>
      <c r="P42" s="76"/>
      <c r="Q42" s="76"/>
      <c r="R42" s="76"/>
    </row>
    <row r="44" spans="1:18" s="8" customFormat="1" ht="30" customHeight="1" x14ac:dyDescent="0.3">
      <c r="A44" s="133" t="s">
        <v>22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5"/>
      <c r="L44" s="135"/>
      <c r="M44" s="135"/>
      <c r="N44" s="135"/>
      <c r="O44" s="134"/>
      <c r="P44" s="134"/>
      <c r="Q44" s="134"/>
      <c r="R44" s="136"/>
    </row>
    <row r="45" spans="1:18" s="12" customFormat="1" ht="14.55" customHeight="1" x14ac:dyDescent="0.3">
      <c r="A45" s="128" t="s">
        <v>1</v>
      </c>
      <c r="B45" s="137" t="s">
        <v>2</v>
      </c>
      <c r="C45" s="137" t="s">
        <v>3</v>
      </c>
      <c r="D45" s="137" t="s">
        <v>4</v>
      </c>
      <c r="E45" s="124" t="s">
        <v>5</v>
      </c>
      <c r="F45" s="138" t="s">
        <v>14</v>
      </c>
      <c r="G45" s="138" t="s">
        <v>15</v>
      </c>
      <c r="H45" s="119" t="s">
        <v>27</v>
      </c>
      <c r="I45" s="121" t="s">
        <v>6</v>
      </c>
      <c r="J45" s="122"/>
      <c r="K45" s="122"/>
      <c r="L45" s="123"/>
      <c r="M45" s="124" t="s">
        <v>7</v>
      </c>
      <c r="N45" s="125"/>
      <c r="O45" s="128" t="s">
        <v>8</v>
      </c>
      <c r="P45" s="128" t="s">
        <v>9</v>
      </c>
      <c r="Q45" s="128"/>
      <c r="R45" s="128"/>
    </row>
    <row r="46" spans="1:18" s="12" customFormat="1" ht="13.05" customHeight="1" x14ac:dyDescent="0.3">
      <c r="A46" s="128"/>
      <c r="B46" s="137"/>
      <c r="C46" s="137"/>
      <c r="D46" s="137"/>
      <c r="E46" s="126"/>
      <c r="F46" s="139"/>
      <c r="G46" s="139"/>
      <c r="H46" s="120"/>
      <c r="I46" s="121" t="s">
        <v>23</v>
      </c>
      <c r="J46" s="123"/>
      <c r="K46" s="121" t="s">
        <v>11</v>
      </c>
      <c r="L46" s="123"/>
      <c r="M46" s="126"/>
      <c r="N46" s="127"/>
      <c r="O46" s="128"/>
      <c r="P46" s="128"/>
      <c r="Q46" s="128"/>
      <c r="R46" s="128"/>
    </row>
    <row r="47" spans="1:18" ht="14.55" customHeight="1" x14ac:dyDescent="0.3">
      <c r="A47" s="140" t="s">
        <v>28</v>
      </c>
      <c r="B47" s="5"/>
      <c r="C47" s="5"/>
      <c r="D47" s="44"/>
      <c r="E47" s="3"/>
      <c r="F47" s="19"/>
      <c r="G47" s="20"/>
      <c r="H47" s="28"/>
      <c r="I47" s="143"/>
      <c r="J47" s="144"/>
      <c r="K47" s="143"/>
      <c r="L47" s="144"/>
      <c r="M47" s="85"/>
      <c r="N47" s="6" t="s">
        <v>13</v>
      </c>
      <c r="O47" s="21"/>
      <c r="P47" s="168" t="s">
        <v>50</v>
      </c>
      <c r="Q47" s="169"/>
      <c r="R47" s="170"/>
    </row>
    <row r="48" spans="1:18" ht="14.55" customHeight="1" x14ac:dyDescent="0.3">
      <c r="A48" s="141"/>
      <c r="B48" s="5"/>
      <c r="C48" s="5"/>
      <c r="D48" s="44"/>
      <c r="E48" s="3"/>
      <c r="F48" s="19"/>
      <c r="G48" s="20"/>
      <c r="H48" s="28"/>
      <c r="I48" s="143"/>
      <c r="J48" s="144"/>
      <c r="K48" s="143"/>
      <c r="L48" s="144"/>
      <c r="M48" s="85"/>
      <c r="N48" s="6" t="s">
        <v>13</v>
      </c>
      <c r="O48" s="21"/>
      <c r="P48" s="168"/>
      <c r="Q48" s="169"/>
      <c r="R48" s="170"/>
    </row>
    <row r="49" spans="1:18" ht="14.55" customHeight="1" x14ac:dyDescent="0.3">
      <c r="A49" s="141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85"/>
      <c r="N49" s="6" t="s">
        <v>13</v>
      </c>
      <c r="O49" s="21"/>
      <c r="P49" s="168"/>
      <c r="Q49" s="169"/>
      <c r="R49" s="170"/>
    </row>
    <row r="50" spans="1:18" ht="14.55" customHeight="1" x14ac:dyDescent="0.3">
      <c r="A50" s="142"/>
      <c r="B50" s="148" t="s">
        <v>0</v>
      </c>
      <c r="C50" s="149"/>
      <c r="D50" s="149"/>
      <c r="E50" s="149"/>
      <c r="F50" s="149"/>
      <c r="G50" s="149"/>
      <c r="H50" s="171"/>
      <c r="I50" s="150">
        <f>SUM(I47:J49)</f>
        <v>0</v>
      </c>
      <c r="J50" s="151"/>
      <c r="K50" s="150">
        <f>SUM(K47:L49)</f>
        <v>0</v>
      </c>
      <c r="L50" s="151"/>
      <c r="M50" s="10">
        <f>SUM(M47:M49)</f>
        <v>0</v>
      </c>
      <c r="N50" s="11" t="s">
        <v>13</v>
      </c>
      <c r="O50" s="9"/>
      <c r="P50" s="168"/>
      <c r="Q50" s="169"/>
      <c r="R50" s="170"/>
    </row>
    <row r="51" spans="1:18" ht="14.55" customHeight="1" x14ac:dyDescent="0.3">
      <c r="A51" s="140" t="s">
        <v>24</v>
      </c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85"/>
      <c r="N51" s="6" t="s">
        <v>13</v>
      </c>
      <c r="O51" s="21"/>
      <c r="P51" s="157" t="s">
        <v>51</v>
      </c>
      <c r="Q51" s="158"/>
      <c r="R51" s="159"/>
    </row>
    <row r="52" spans="1:18" ht="14.55" customHeight="1" x14ac:dyDescent="0.3">
      <c r="A52" s="166"/>
      <c r="B52" s="5"/>
      <c r="C52" s="5"/>
      <c r="D52" s="4"/>
      <c r="E52" s="3"/>
      <c r="F52" s="19"/>
      <c r="G52" s="20"/>
      <c r="H52" s="28"/>
      <c r="I52" s="143"/>
      <c r="J52" s="144"/>
      <c r="K52" s="143"/>
      <c r="L52" s="144"/>
      <c r="M52" s="85"/>
      <c r="N52" s="6" t="s">
        <v>13</v>
      </c>
      <c r="O52" s="21"/>
      <c r="P52" s="160"/>
      <c r="Q52" s="161"/>
      <c r="R52" s="162"/>
    </row>
    <row r="53" spans="1:18" ht="14.55" hidden="1" customHeight="1" x14ac:dyDescent="0.3">
      <c r="A53" s="166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85"/>
      <c r="N53" s="6" t="s">
        <v>13</v>
      </c>
      <c r="O53" s="21"/>
      <c r="P53" s="160"/>
      <c r="Q53" s="161"/>
      <c r="R53" s="162"/>
    </row>
    <row r="54" spans="1:18" ht="14.55" hidden="1" customHeight="1" x14ac:dyDescent="0.3">
      <c r="A54" s="166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85"/>
      <c r="N54" s="6" t="s">
        <v>13</v>
      </c>
      <c r="O54" s="21"/>
      <c r="P54" s="160"/>
      <c r="Q54" s="161"/>
      <c r="R54" s="162"/>
    </row>
    <row r="55" spans="1:18" ht="14.55" customHeight="1" x14ac:dyDescent="0.3">
      <c r="A55" s="166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85"/>
      <c r="N55" s="6" t="s">
        <v>13</v>
      </c>
      <c r="O55" s="21"/>
      <c r="P55" s="160"/>
      <c r="Q55" s="161"/>
      <c r="R55" s="162"/>
    </row>
    <row r="56" spans="1:18" ht="14.55" customHeight="1" x14ac:dyDescent="0.3">
      <c r="A56" s="167"/>
      <c r="B56" s="148" t="s">
        <v>0</v>
      </c>
      <c r="C56" s="149"/>
      <c r="D56" s="149"/>
      <c r="E56" s="149"/>
      <c r="F56" s="149"/>
      <c r="G56" s="149"/>
      <c r="H56" s="171"/>
      <c r="I56" s="150">
        <f>SUM(I51:J55)</f>
        <v>0</v>
      </c>
      <c r="J56" s="151"/>
      <c r="K56" s="150">
        <f>SUM(K51:L55)</f>
        <v>0</v>
      </c>
      <c r="L56" s="151"/>
      <c r="M56" s="10">
        <f>SUM(M51:M55)</f>
        <v>0</v>
      </c>
      <c r="N56" s="11" t="s">
        <v>13</v>
      </c>
      <c r="O56" s="9"/>
      <c r="P56" s="163"/>
      <c r="Q56" s="164"/>
      <c r="R56" s="165"/>
    </row>
    <row r="57" spans="1:18" ht="14.55" customHeight="1" x14ac:dyDescent="0.3">
      <c r="A57" s="140" t="s">
        <v>25</v>
      </c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85"/>
      <c r="N57" s="6" t="s">
        <v>13</v>
      </c>
      <c r="O57" s="21"/>
      <c r="P57" s="145" t="s">
        <v>53</v>
      </c>
      <c r="Q57" s="169"/>
      <c r="R57" s="170"/>
    </row>
    <row r="58" spans="1:18" ht="14.55" hidden="1" customHeight="1" x14ac:dyDescent="0.3">
      <c r="A58" s="141"/>
      <c r="B58" s="5"/>
      <c r="C58" s="5"/>
      <c r="D58" s="4"/>
      <c r="E58" s="3"/>
      <c r="F58" s="19"/>
      <c r="G58" s="20"/>
      <c r="H58" s="28"/>
      <c r="I58" s="143"/>
      <c r="J58" s="144"/>
      <c r="K58" s="143"/>
      <c r="L58" s="144"/>
      <c r="M58" s="85"/>
      <c r="N58" s="6" t="s">
        <v>13</v>
      </c>
      <c r="O58" s="21"/>
      <c r="P58" s="168"/>
      <c r="Q58" s="169"/>
      <c r="R58" s="170"/>
    </row>
    <row r="59" spans="1:18" ht="14.55" hidden="1" customHeight="1" x14ac:dyDescent="0.3">
      <c r="A59" s="141"/>
      <c r="B59" s="5"/>
      <c r="C59" s="5"/>
      <c r="D59" s="4"/>
      <c r="E59" s="3"/>
      <c r="F59" s="19"/>
      <c r="G59" s="20"/>
      <c r="H59" s="28"/>
      <c r="I59" s="143"/>
      <c r="J59" s="144"/>
      <c r="K59" s="143"/>
      <c r="L59" s="144"/>
      <c r="M59" s="85"/>
      <c r="N59" s="6" t="s">
        <v>13</v>
      </c>
      <c r="O59" s="21"/>
      <c r="P59" s="168"/>
      <c r="Q59" s="169"/>
      <c r="R59" s="170"/>
    </row>
    <row r="60" spans="1:18" ht="14.55" customHeight="1" x14ac:dyDescent="0.3">
      <c r="A60" s="141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85"/>
      <c r="N60" s="6" t="s">
        <v>13</v>
      </c>
      <c r="O60" s="21"/>
      <c r="P60" s="168"/>
      <c r="Q60" s="169"/>
      <c r="R60" s="170"/>
    </row>
    <row r="61" spans="1:18" ht="14.55" customHeight="1" x14ac:dyDescent="0.3">
      <c r="A61" s="141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85"/>
      <c r="N61" s="6" t="s">
        <v>13</v>
      </c>
      <c r="O61" s="21"/>
      <c r="P61" s="168"/>
      <c r="Q61" s="169"/>
      <c r="R61" s="170"/>
    </row>
    <row r="62" spans="1:18" ht="14.55" customHeight="1" x14ac:dyDescent="0.3">
      <c r="A62" s="142"/>
      <c r="B62" s="148" t="s">
        <v>0</v>
      </c>
      <c r="C62" s="149"/>
      <c r="D62" s="149"/>
      <c r="E62" s="149"/>
      <c r="F62" s="149"/>
      <c r="G62" s="149"/>
      <c r="H62" s="149"/>
      <c r="I62" s="150">
        <f>SUM(I57:J61)</f>
        <v>0</v>
      </c>
      <c r="J62" s="151"/>
      <c r="K62" s="150">
        <f>SUM(K57:L61)</f>
        <v>0</v>
      </c>
      <c r="L62" s="151"/>
      <c r="M62" s="10">
        <f>SUM(M57:M61)</f>
        <v>0</v>
      </c>
      <c r="N62" s="11" t="s">
        <v>13</v>
      </c>
      <c r="O62" s="9"/>
      <c r="P62" s="168"/>
      <c r="Q62" s="169"/>
      <c r="R62" s="170"/>
    </row>
    <row r="64" spans="1:18" x14ac:dyDescent="0.3">
      <c r="E64" s="148" t="s">
        <v>26</v>
      </c>
      <c r="F64" s="149"/>
      <c r="G64" s="149"/>
      <c r="H64" s="149"/>
      <c r="I64" s="152" t="s">
        <v>23</v>
      </c>
      <c r="J64" s="153"/>
      <c r="K64" s="152" t="s">
        <v>11</v>
      </c>
      <c r="L64" s="153"/>
    </row>
    <row r="65" spans="1:18" s="36" customFormat="1" x14ac:dyDescent="0.3">
      <c r="E65" s="7"/>
      <c r="F65" s="7"/>
      <c r="G65" s="7"/>
      <c r="H65" s="7"/>
      <c r="I65" s="22">
        <f>I56+I62</f>
        <v>0</v>
      </c>
      <c r="J65" s="14" t="s">
        <v>12</v>
      </c>
      <c r="K65" s="22">
        <f>K56+K62</f>
        <v>0</v>
      </c>
      <c r="L65" s="15" t="s">
        <v>12</v>
      </c>
    </row>
    <row r="66" spans="1:18" ht="24.45" customHeight="1" x14ac:dyDescent="0.3">
      <c r="E66" s="13"/>
      <c r="F66" s="13"/>
      <c r="G66" s="13"/>
      <c r="H66" s="13"/>
      <c r="I66" s="154">
        <f>I65+K65</f>
        <v>0</v>
      </c>
      <c r="J66" s="155"/>
      <c r="K66" s="155"/>
      <c r="L66" s="156"/>
    </row>
    <row r="68" spans="1:18" s="8" customFormat="1" ht="30" customHeight="1" x14ac:dyDescent="0.3">
      <c r="A68" s="133" t="s">
        <v>131</v>
      </c>
      <c r="B68" s="134"/>
      <c r="C68" s="134"/>
      <c r="D68" s="134"/>
      <c r="E68" s="134"/>
      <c r="F68" s="134"/>
      <c r="G68" s="134"/>
      <c r="H68" s="134"/>
      <c r="I68" s="134"/>
      <c r="J68" s="134"/>
      <c r="K68" s="135"/>
      <c r="L68" s="135"/>
      <c r="M68" s="135"/>
      <c r="N68" s="135"/>
      <c r="O68" s="134"/>
      <c r="P68" s="134"/>
      <c r="Q68" s="134"/>
      <c r="R68" s="136"/>
    </row>
    <row r="69" spans="1:18" s="12" customFormat="1" ht="14.55" customHeight="1" x14ac:dyDescent="0.3">
      <c r="A69" s="128" t="s">
        <v>1</v>
      </c>
      <c r="B69" s="137" t="s">
        <v>2</v>
      </c>
      <c r="C69" s="137" t="s">
        <v>3</v>
      </c>
      <c r="D69" s="137" t="s">
        <v>4</v>
      </c>
      <c r="E69" s="124" t="s">
        <v>5</v>
      </c>
      <c r="F69" s="138" t="s">
        <v>14</v>
      </c>
      <c r="G69" s="138" t="s">
        <v>15</v>
      </c>
      <c r="H69" s="119" t="s">
        <v>27</v>
      </c>
      <c r="I69" s="121" t="s">
        <v>6</v>
      </c>
      <c r="J69" s="122"/>
      <c r="K69" s="122"/>
      <c r="L69" s="123"/>
      <c r="M69" s="124" t="s">
        <v>7</v>
      </c>
      <c r="N69" s="125"/>
      <c r="O69" s="128" t="s">
        <v>8</v>
      </c>
      <c r="P69" s="128" t="s">
        <v>9</v>
      </c>
      <c r="Q69" s="128"/>
      <c r="R69" s="128"/>
    </row>
    <row r="70" spans="1:18" s="12" customFormat="1" ht="13.05" customHeight="1" x14ac:dyDescent="0.3">
      <c r="A70" s="128"/>
      <c r="B70" s="137"/>
      <c r="C70" s="137"/>
      <c r="D70" s="137"/>
      <c r="E70" s="126"/>
      <c r="F70" s="139"/>
      <c r="G70" s="139"/>
      <c r="H70" s="120"/>
      <c r="I70" s="121" t="s">
        <v>23</v>
      </c>
      <c r="J70" s="123"/>
      <c r="K70" s="121" t="s">
        <v>11</v>
      </c>
      <c r="L70" s="123"/>
      <c r="M70" s="126"/>
      <c r="N70" s="127"/>
      <c r="O70" s="128"/>
      <c r="P70" s="128"/>
      <c r="Q70" s="128"/>
      <c r="R70" s="128"/>
    </row>
    <row r="71" spans="1:18" ht="14.55" customHeight="1" x14ac:dyDescent="0.3">
      <c r="A71" s="140" t="s">
        <v>132</v>
      </c>
      <c r="B71" s="5"/>
      <c r="C71" s="5"/>
      <c r="D71" s="4"/>
      <c r="E71" s="3"/>
      <c r="F71" s="19"/>
      <c r="G71" s="20"/>
      <c r="H71" s="28"/>
      <c r="I71" s="143"/>
      <c r="J71" s="144"/>
      <c r="K71" s="143"/>
      <c r="L71" s="144"/>
      <c r="M71" s="85"/>
      <c r="N71" s="6" t="s">
        <v>13</v>
      </c>
      <c r="O71" s="21"/>
      <c r="P71" s="157"/>
      <c r="Q71" s="158"/>
      <c r="R71" s="159"/>
    </row>
    <row r="72" spans="1:18" ht="14.55" customHeight="1" x14ac:dyDescent="0.3">
      <c r="A72" s="166"/>
      <c r="B72" s="5"/>
      <c r="C72" s="5"/>
      <c r="D72" s="4"/>
      <c r="E72" s="3"/>
      <c r="F72" s="19"/>
      <c r="G72" s="20"/>
      <c r="H72" s="28"/>
      <c r="I72" s="143"/>
      <c r="J72" s="144"/>
      <c r="K72" s="143"/>
      <c r="L72" s="144"/>
      <c r="M72" s="85"/>
      <c r="N72" s="6" t="s">
        <v>13</v>
      </c>
      <c r="O72" s="21"/>
      <c r="P72" s="160"/>
      <c r="Q72" s="161"/>
      <c r="R72" s="162"/>
    </row>
    <row r="73" spans="1:18" ht="14.55" customHeight="1" x14ac:dyDescent="0.3">
      <c r="A73" s="166"/>
      <c r="B73" s="5"/>
      <c r="C73" s="5"/>
      <c r="D73" s="4"/>
      <c r="E73" s="3"/>
      <c r="F73" s="19"/>
      <c r="G73" s="20"/>
      <c r="H73" s="28"/>
      <c r="I73" s="143"/>
      <c r="J73" s="144"/>
      <c r="K73" s="143"/>
      <c r="L73" s="144"/>
      <c r="M73" s="85"/>
      <c r="N73" s="6" t="s">
        <v>13</v>
      </c>
      <c r="O73" s="21"/>
      <c r="P73" s="160"/>
      <c r="Q73" s="161"/>
      <c r="R73" s="162"/>
    </row>
    <row r="74" spans="1:18" ht="14.55" customHeight="1" x14ac:dyDescent="0.3">
      <c r="A74" s="166"/>
      <c r="B74" s="5"/>
      <c r="C74" s="5"/>
      <c r="D74" s="4"/>
      <c r="E74" s="3"/>
      <c r="F74" s="19"/>
      <c r="G74" s="20"/>
      <c r="H74" s="28"/>
      <c r="I74" s="143"/>
      <c r="J74" s="144"/>
      <c r="K74" s="143"/>
      <c r="L74" s="144"/>
      <c r="M74" s="85"/>
      <c r="N74" s="6" t="s">
        <v>13</v>
      </c>
      <c r="O74" s="21"/>
      <c r="P74" s="160"/>
      <c r="Q74" s="161"/>
      <c r="R74" s="162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85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85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85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85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85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85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7"/>
      <c r="B81" s="148" t="s">
        <v>0</v>
      </c>
      <c r="C81" s="149"/>
      <c r="D81" s="149"/>
      <c r="E81" s="149"/>
      <c r="F81" s="149"/>
      <c r="G81" s="149"/>
      <c r="H81" s="149"/>
      <c r="I81" s="150">
        <f ca="1">SUM(I71:J81)</f>
        <v>0</v>
      </c>
      <c r="J81" s="151"/>
      <c r="K81" s="150">
        <f ca="1">SUM(K71:L81)</f>
        <v>0</v>
      </c>
      <c r="L81" s="151"/>
      <c r="M81" s="10">
        <f>SUM(M76:M80)</f>
        <v>0</v>
      </c>
      <c r="N81" s="11" t="s">
        <v>13</v>
      </c>
      <c r="O81" s="9"/>
      <c r="P81" s="163"/>
      <c r="Q81" s="164"/>
      <c r="R81" s="165"/>
    </row>
    <row r="83" spans="1:18" x14ac:dyDescent="0.3">
      <c r="E83" s="148" t="s">
        <v>26</v>
      </c>
      <c r="F83" s="149"/>
      <c r="G83" s="149"/>
      <c r="H83" s="149"/>
      <c r="I83" s="152" t="s">
        <v>23</v>
      </c>
      <c r="J83" s="153"/>
      <c r="K83" s="172" t="s">
        <v>11</v>
      </c>
      <c r="L83" s="153"/>
    </row>
    <row r="84" spans="1:18" s="36" customFormat="1" x14ac:dyDescent="0.3">
      <c r="E84" s="7"/>
      <c r="F84" s="7"/>
      <c r="G84" s="7"/>
      <c r="H84" s="7"/>
      <c r="I84" s="22">
        <f ca="1">I81</f>
        <v>0</v>
      </c>
      <c r="J84" s="14" t="s">
        <v>12</v>
      </c>
      <c r="K84" s="22">
        <f ca="1">K81</f>
        <v>0</v>
      </c>
      <c r="L84" s="15" t="s">
        <v>12</v>
      </c>
    </row>
    <row r="85" spans="1:18" ht="24.45" customHeight="1" x14ac:dyDescent="0.3">
      <c r="E85" s="13"/>
      <c r="F85" s="13"/>
      <c r="G85" s="13"/>
      <c r="H85" s="13"/>
      <c r="I85" s="154">
        <f ca="1">I84+K84</f>
        <v>0</v>
      </c>
      <c r="J85" s="155"/>
      <c r="K85" s="155"/>
      <c r="L85" s="156"/>
    </row>
  </sheetData>
  <mergeCells count="208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P24:R26"/>
    <mergeCell ref="F22:F23"/>
    <mergeCell ref="G22:G23"/>
    <mergeCell ref="H22:H23"/>
    <mergeCell ref="I22:L22"/>
    <mergeCell ref="M22:N23"/>
    <mergeCell ref="O22:O23"/>
    <mergeCell ref="B26:H26"/>
    <mergeCell ref="I26:J26"/>
    <mergeCell ref="K26:L26"/>
    <mergeCell ref="E28:H28"/>
    <mergeCell ref="I28:J28"/>
    <mergeCell ref="K28:L28"/>
    <mergeCell ref="I25:J25"/>
    <mergeCell ref="K25:L25"/>
    <mergeCell ref="I33:L33"/>
    <mergeCell ref="M33:N34"/>
    <mergeCell ref="O33:O34"/>
    <mergeCell ref="P33:R34"/>
    <mergeCell ref="I34:J34"/>
    <mergeCell ref="K34:L34"/>
    <mergeCell ref="I30:L30"/>
    <mergeCell ref="A32:R32"/>
    <mergeCell ref="A33:A34"/>
    <mergeCell ref="B33:B34"/>
    <mergeCell ref="C33:C34"/>
    <mergeCell ref="D33:D34"/>
    <mergeCell ref="E33:E34"/>
    <mergeCell ref="F33:F34"/>
    <mergeCell ref="G33:G34"/>
    <mergeCell ref="H33:H34"/>
    <mergeCell ref="A24:A26"/>
    <mergeCell ref="I24:J24"/>
    <mergeCell ref="K24:L24"/>
    <mergeCell ref="B38:H38"/>
    <mergeCell ref="I38:J38"/>
    <mergeCell ref="K38:L38"/>
    <mergeCell ref="P38:R38"/>
    <mergeCell ref="E40:H40"/>
    <mergeCell ref="I40:J40"/>
    <mergeCell ref="K40:L40"/>
    <mergeCell ref="A35:A38"/>
    <mergeCell ref="I35:J35"/>
    <mergeCell ref="K35:L35"/>
    <mergeCell ref="P35:R37"/>
    <mergeCell ref="I36:J36"/>
    <mergeCell ref="K36:L36"/>
    <mergeCell ref="I37:J37"/>
    <mergeCell ref="K37:L37"/>
    <mergeCell ref="I45:L45"/>
    <mergeCell ref="M45:N46"/>
    <mergeCell ref="O45:O46"/>
    <mergeCell ref="P45:R46"/>
    <mergeCell ref="I46:J46"/>
    <mergeCell ref="K46:L46"/>
    <mergeCell ref="I42:L42"/>
    <mergeCell ref="A44:R44"/>
    <mergeCell ref="A45:A46"/>
    <mergeCell ref="B45:B46"/>
    <mergeCell ref="C45:C46"/>
    <mergeCell ref="D45:D46"/>
    <mergeCell ref="E45:E46"/>
    <mergeCell ref="F45:F46"/>
    <mergeCell ref="G45:G46"/>
    <mergeCell ref="H45:H46"/>
    <mergeCell ref="B56:H56"/>
    <mergeCell ref="I56:J56"/>
    <mergeCell ref="K56:L56"/>
    <mergeCell ref="K50:L50"/>
    <mergeCell ref="A51:A56"/>
    <mergeCell ref="I51:J51"/>
    <mergeCell ref="K51:L51"/>
    <mergeCell ref="P51:R56"/>
    <mergeCell ref="I52:J52"/>
    <mergeCell ref="K52:L52"/>
    <mergeCell ref="I53:J53"/>
    <mergeCell ref="K53:L53"/>
    <mergeCell ref="I54:J54"/>
    <mergeCell ref="A47:A50"/>
    <mergeCell ref="I47:J47"/>
    <mergeCell ref="K47:L47"/>
    <mergeCell ref="P47:R50"/>
    <mergeCell ref="I48:J48"/>
    <mergeCell ref="K48:L48"/>
    <mergeCell ref="I49:J49"/>
    <mergeCell ref="K49:L49"/>
    <mergeCell ref="B50:H50"/>
    <mergeCell ref="I50:J50"/>
    <mergeCell ref="P57:R62"/>
    <mergeCell ref="I58:J58"/>
    <mergeCell ref="K58:L58"/>
    <mergeCell ref="I59:J59"/>
    <mergeCell ref="K59:L59"/>
    <mergeCell ref="I60:J60"/>
    <mergeCell ref="K60:L60"/>
    <mergeCell ref="K54:L54"/>
    <mergeCell ref="I55:J55"/>
    <mergeCell ref="K55:L55"/>
    <mergeCell ref="I61:J61"/>
    <mergeCell ref="K61:L61"/>
    <mergeCell ref="B62:H62"/>
    <mergeCell ref="I62:J62"/>
    <mergeCell ref="K62:L62"/>
    <mergeCell ref="E64:H64"/>
    <mergeCell ref="I64:J64"/>
    <mergeCell ref="K64:L64"/>
    <mergeCell ref="A57:A62"/>
    <mergeCell ref="I57:J57"/>
    <mergeCell ref="K57:L57"/>
    <mergeCell ref="I66:L66"/>
    <mergeCell ref="A68:R68"/>
    <mergeCell ref="A69:A70"/>
    <mergeCell ref="B69:B70"/>
    <mergeCell ref="C69:C70"/>
    <mergeCell ref="D69:D70"/>
    <mergeCell ref="E69:E70"/>
    <mergeCell ref="F69:F70"/>
    <mergeCell ref="G69:G70"/>
    <mergeCell ref="H69:H70"/>
    <mergeCell ref="P71:R81"/>
    <mergeCell ref="I72:J72"/>
    <mergeCell ref="K72:L72"/>
    <mergeCell ref="I73:J73"/>
    <mergeCell ref="K73:L73"/>
    <mergeCell ref="I74:J74"/>
    <mergeCell ref="K74:L74"/>
    <mergeCell ref="I69:L69"/>
    <mergeCell ref="M69:N70"/>
    <mergeCell ref="O69:O70"/>
    <mergeCell ref="P69:R70"/>
    <mergeCell ref="I70:J70"/>
    <mergeCell ref="K70:L70"/>
    <mergeCell ref="I75:J75"/>
    <mergeCell ref="K75:L75"/>
    <mergeCell ref="I76:J76"/>
    <mergeCell ref="K76:L76"/>
    <mergeCell ref="I77:J77"/>
    <mergeCell ref="K77:L77"/>
    <mergeCell ref="A71:A81"/>
    <mergeCell ref="I71:J71"/>
    <mergeCell ref="K71:L71"/>
    <mergeCell ref="I85:L85"/>
    <mergeCell ref="B81:H81"/>
    <mergeCell ref="I81:J81"/>
    <mergeCell ref="K81:L81"/>
    <mergeCell ref="E83:H83"/>
    <mergeCell ref="I83:J83"/>
    <mergeCell ref="K83:L83"/>
    <mergeCell ref="I78:J78"/>
    <mergeCell ref="K78:L78"/>
    <mergeCell ref="I79:J79"/>
    <mergeCell ref="K79:L79"/>
    <mergeCell ref="I80:J80"/>
    <mergeCell ref="K80:L80"/>
  </mergeCells>
  <pageMargins left="0.39370078740157483" right="0.19685039370078741" top="0.19685039370078741" bottom="0.19685039370078741" header="0.31496062992125984" footer="0.31496062992125984"/>
  <pageSetup paperSize="9" scale="48" orientation="portrait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1"/>
  <sheetViews>
    <sheetView topLeftCell="A45" zoomScale="85" zoomScaleNormal="85" workbookViewId="0">
      <selection activeCell="H81" sqref="H81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63.77734375" style="76" bestFit="1" customWidth="1"/>
    <col min="6" max="6" width="5.6640625" style="76" customWidth="1"/>
    <col min="7" max="7" width="6.6640625" style="76" customWidth="1"/>
    <col min="8" max="8" width="24.5546875" style="76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45950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38</v>
      </c>
      <c r="B7" s="5">
        <v>0.33333333333333331</v>
      </c>
      <c r="C7" s="4"/>
      <c r="D7" s="81">
        <v>160925</v>
      </c>
      <c r="E7" s="84" t="s">
        <v>303</v>
      </c>
      <c r="F7" s="19">
        <v>304</v>
      </c>
      <c r="G7" s="20">
        <v>0.7</v>
      </c>
      <c r="H7" s="28" t="s">
        <v>55</v>
      </c>
      <c r="I7" s="143">
        <v>900</v>
      </c>
      <c r="J7" s="144"/>
      <c r="K7" s="143"/>
      <c r="L7" s="144"/>
      <c r="M7" s="85">
        <v>45</v>
      </c>
      <c r="N7" s="6" t="s">
        <v>13</v>
      </c>
      <c r="O7" s="21" t="s">
        <v>60</v>
      </c>
      <c r="P7" s="145"/>
      <c r="Q7" s="146"/>
      <c r="R7" s="147"/>
    </row>
    <row r="8" spans="1:18" ht="14.55" customHeight="1" x14ac:dyDescent="0.3">
      <c r="A8" s="141"/>
      <c r="B8" s="5"/>
      <c r="C8" s="5"/>
      <c r="D8" s="81">
        <v>160925</v>
      </c>
      <c r="E8" s="3" t="s">
        <v>301</v>
      </c>
      <c r="F8" s="19">
        <v>304</v>
      </c>
      <c r="G8" s="20">
        <v>0.7</v>
      </c>
      <c r="H8" s="28" t="s">
        <v>55</v>
      </c>
      <c r="I8" s="143">
        <v>1130</v>
      </c>
      <c r="J8" s="144"/>
      <c r="K8" s="143"/>
      <c r="L8" s="144"/>
      <c r="M8" s="85">
        <v>45</v>
      </c>
      <c r="N8" s="6" t="s">
        <v>13</v>
      </c>
      <c r="O8" s="21" t="s">
        <v>60</v>
      </c>
      <c r="P8" s="145"/>
      <c r="Q8" s="146"/>
      <c r="R8" s="147"/>
    </row>
    <row r="9" spans="1:18" ht="14.55" customHeight="1" x14ac:dyDescent="0.3">
      <c r="A9" s="141"/>
      <c r="B9" s="5"/>
      <c r="C9" s="5">
        <v>0.70833333333333337</v>
      </c>
      <c r="D9" s="44">
        <v>180925</v>
      </c>
      <c r="E9" s="3" t="s">
        <v>304</v>
      </c>
      <c r="F9" s="19">
        <v>304</v>
      </c>
      <c r="G9" s="20">
        <v>0.7</v>
      </c>
      <c r="H9" s="28" t="s">
        <v>55</v>
      </c>
      <c r="I9" s="143">
        <v>800</v>
      </c>
      <c r="J9" s="144"/>
      <c r="K9" s="143"/>
      <c r="L9" s="144"/>
      <c r="M9" s="85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85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2830</v>
      </c>
      <c r="J11" s="151"/>
      <c r="K11" s="150">
        <f>SUM(K7:L10)</f>
        <v>0</v>
      </c>
      <c r="L11" s="151"/>
      <c r="M11" s="10">
        <f>SUM(M7:M8)</f>
        <v>90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85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85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85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2830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2830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36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29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19</v>
      </c>
      <c r="J23" s="123"/>
      <c r="K23" s="121" t="s">
        <v>20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37</v>
      </c>
      <c r="B24" s="5">
        <v>0.33333333333333331</v>
      </c>
      <c r="C24" s="5"/>
      <c r="D24" s="4">
        <v>250071</v>
      </c>
      <c r="E24" s="3" t="s">
        <v>268</v>
      </c>
      <c r="F24" s="19">
        <v>304</v>
      </c>
      <c r="G24" s="20">
        <v>0.7</v>
      </c>
      <c r="H24" s="28" t="s">
        <v>137</v>
      </c>
      <c r="I24" s="143">
        <v>363</v>
      </c>
      <c r="J24" s="144"/>
      <c r="K24" s="143"/>
      <c r="L24" s="144"/>
      <c r="M24" s="85"/>
      <c r="N24" s="6" t="s">
        <v>13</v>
      </c>
      <c r="O24" s="21"/>
      <c r="P24" s="157"/>
      <c r="Q24" s="158"/>
      <c r="R24" s="159"/>
    </row>
    <row r="25" spans="1:18" ht="14.55" customHeight="1" x14ac:dyDescent="0.3">
      <c r="A25" s="166"/>
      <c r="B25" s="5"/>
      <c r="C25" s="5">
        <v>0.70833333333333337</v>
      </c>
      <c r="D25" s="4">
        <v>160925</v>
      </c>
      <c r="E25" s="3" t="s">
        <v>306</v>
      </c>
      <c r="F25" s="19">
        <v>304</v>
      </c>
      <c r="G25" s="20">
        <v>0.7</v>
      </c>
      <c r="H25" s="28" t="s">
        <v>137</v>
      </c>
      <c r="I25" s="143">
        <v>1099</v>
      </c>
      <c r="J25" s="144"/>
      <c r="K25" s="143"/>
      <c r="L25" s="144"/>
      <c r="M25" s="85"/>
      <c r="N25" s="6" t="s">
        <v>13</v>
      </c>
      <c r="O25" s="21"/>
      <c r="P25" s="160"/>
      <c r="Q25" s="161"/>
      <c r="R25" s="162"/>
    </row>
    <row r="26" spans="1:18" ht="14.55" customHeight="1" x14ac:dyDescent="0.3">
      <c r="A26" s="166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85"/>
      <c r="N26" s="6" t="s">
        <v>13</v>
      </c>
      <c r="O26" s="21"/>
      <c r="P26" s="160"/>
      <c r="Q26" s="161"/>
      <c r="R26" s="162"/>
    </row>
    <row r="27" spans="1:18" ht="14.55" customHeight="1" x14ac:dyDescent="0.3">
      <c r="A27" s="166"/>
      <c r="B27" s="5"/>
      <c r="C27" s="5"/>
      <c r="D27" s="4"/>
      <c r="E27" s="3"/>
      <c r="F27" s="19"/>
      <c r="G27" s="20"/>
      <c r="H27" s="28"/>
      <c r="I27" s="143"/>
      <c r="J27" s="144"/>
      <c r="K27" s="143"/>
      <c r="L27" s="144"/>
      <c r="M27" s="85"/>
      <c r="N27" s="6" t="s">
        <v>13</v>
      </c>
      <c r="O27" s="21"/>
      <c r="P27" s="160"/>
      <c r="Q27" s="161"/>
      <c r="R27" s="162"/>
    </row>
    <row r="28" spans="1:18" ht="14.55" customHeight="1" x14ac:dyDescent="0.3">
      <c r="A28" s="167"/>
      <c r="B28" s="148" t="s">
        <v>0</v>
      </c>
      <c r="C28" s="149"/>
      <c r="D28" s="149"/>
      <c r="E28" s="149"/>
      <c r="F28" s="149"/>
      <c r="G28" s="149"/>
      <c r="H28" s="149"/>
      <c r="I28" s="150">
        <f>SUM(I24:J27)</f>
        <v>1462</v>
      </c>
      <c r="J28" s="151"/>
      <c r="K28" s="150">
        <f>SUM(K24:L27)</f>
        <v>0</v>
      </c>
      <c r="L28" s="151"/>
      <c r="M28" s="10" t="e">
        <f>SUM(#REF!)</f>
        <v>#REF!</v>
      </c>
      <c r="N28" s="11" t="s">
        <v>13</v>
      </c>
      <c r="O28" s="9"/>
      <c r="P28" s="163"/>
      <c r="Q28" s="164"/>
      <c r="R28" s="165"/>
    </row>
    <row r="29" spans="1:18" ht="14.55" customHeight="1" x14ac:dyDescent="0.3">
      <c r="D29" s="76"/>
      <c r="E29" s="1"/>
      <c r="F29" s="1"/>
      <c r="G29" s="1"/>
      <c r="H29" s="1"/>
      <c r="M29" s="76"/>
    </row>
    <row r="30" spans="1:18" x14ac:dyDescent="0.3">
      <c r="E30" s="148" t="s">
        <v>33</v>
      </c>
      <c r="F30" s="149"/>
      <c r="G30" s="149"/>
      <c r="H30" s="149"/>
      <c r="I30" s="152" t="s">
        <v>19</v>
      </c>
      <c r="J30" s="153"/>
      <c r="K30" s="152" t="s">
        <v>20</v>
      </c>
      <c r="L30" s="153"/>
    </row>
    <row r="31" spans="1:18" s="36" customFormat="1" x14ac:dyDescent="0.3">
      <c r="E31" s="7"/>
      <c r="F31" s="7"/>
      <c r="G31" s="7"/>
      <c r="H31" s="7"/>
      <c r="I31" s="22">
        <f>I28</f>
        <v>1462</v>
      </c>
      <c r="J31" s="14" t="s">
        <v>12</v>
      </c>
      <c r="K31" s="22">
        <f>K28</f>
        <v>0</v>
      </c>
      <c r="L31" s="15" t="s">
        <v>12</v>
      </c>
    </row>
    <row r="32" spans="1:18" ht="24.45" customHeight="1" x14ac:dyDescent="0.3">
      <c r="E32" s="13"/>
      <c r="F32" s="13"/>
      <c r="G32" s="13"/>
      <c r="H32" s="13"/>
      <c r="I32" s="154">
        <f>I31+K31</f>
        <v>1462</v>
      </c>
      <c r="J32" s="155"/>
      <c r="K32" s="155"/>
      <c r="L32" s="156"/>
    </row>
    <row r="34" spans="1:18" s="8" customFormat="1" ht="30" customHeight="1" x14ac:dyDescent="0.3">
      <c r="A34" s="133" t="s">
        <v>30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5"/>
      <c r="L34" s="135"/>
      <c r="M34" s="135"/>
      <c r="N34" s="135"/>
      <c r="O34" s="134"/>
      <c r="P34" s="134"/>
      <c r="Q34" s="134"/>
      <c r="R34" s="136"/>
    </row>
    <row r="35" spans="1:18" s="12" customFormat="1" ht="14.55" customHeight="1" x14ac:dyDescent="0.3">
      <c r="A35" s="128" t="s">
        <v>1</v>
      </c>
      <c r="B35" s="137" t="s">
        <v>2</v>
      </c>
      <c r="C35" s="137" t="s">
        <v>3</v>
      </c>
      <c r="D35" s="137" t="s">
        <v>4</v>
      </c>
      <c r="E35" s="124" t="s">
        <v>5</v>
      </c>
      <c r="F35" s="138" t="s">
        <v>14</v>
      </c>
      <c r="G35" s="138" t="s">
        <v>15</v>
      </c>
      <c r="H35" s="119" t="s">
        <v>29</v>
      </c>
      <c r="I35" s="121" t="s">
        <v>6</v>
      </c>
      <c r="J35" s="122"/>
      <c r="K35" s="122"/>
      <c r="L35" s="123"/>
      <c r="M35" s="124" t="s">
        <v>7</v>
      </c>
      <c r="N35" s="125"/>
      <c r="O35" s="128" t="s">
        <v>8</v>
      </c>
      <c r="P35" s="128" t="s">
        <v>9</v>
      </c>
      <c r="Q35" s="128"/>
      <c r="R35" s="128"/>
    </row>
    <row r="36" spans="1:18" s="12" customFormat="1" ht="13.05" customHeight="1" x14ac:dyDescent="0.3">
      <c r="A36" s="128"/>
      <c r="B36" s="137"/>
      <c r="C36" s="137"/>
      <c r="D36" s="137"/>
      <c r="E36" s="126"/>
      <c r="F36" s="139"/>
      <c r="G36" s="139"/>
      <c r="H36" s="120"/>
      <c r="I36" s="121" t="s">
        <v>19</v>
      </c>
      <c r="J36" s="123"/>
      <c r="K36" s="121" t="s">
        <v>20</v>
      </c>
      <c r="L36" s="123"/>
      <c r="M36" s="126"/>
      <c r="N36" s="127"/>
      <c r="O36" s="128"/>
      <c r="P36" s="128"/>
      <c r="Q36" s="128"/>
      <c r="R36" s="128"/>
    </row>
    <row r="37" spans="1:18" ht="14.55" customHeight="1" x14ac:dyDescent="0.3">
      <c r="A37" s="140" t="s">
        <v>35</v>
      </c>
      <c r="B37" s="5">
        <v>0.33333333333333331</v>
      </c>
      <c r="C37" s="5">
        <v>0.70833333333333337</v>
      </c>
      <c r="D37" s="4">
        <v>250071</v>
      </c>
      <c r="E37" s="3" t="s">
        <v>302</v>
      </c>
      <c r="F37" s="19">
        <v>304</v>
      </c>
      <c r="G37" s="20">
        <v>0.7</v>
      </c>
      <c r="H37" s="28" t="s">
        <v>307</v>
      </c>
      <c r="I37" s="143">
        <v>710</v>
      </c>
      <c r="J37" s="144"/>
      <c r="K37" s="143"/>
      <c r="L37" s="144"/>
      <c r="M37" s="85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66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85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66"/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85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67"/>
      <c r="B40" s="148" t="s">
        <v>0</v>
      </c>
      <c r="C40" s="149"/>
      <c r="D40" s="149"/>
      <c r="E40" s="149"/>
      <c r="F40" s="149"/>
      <c r="G40" s="149"/>
      <c r="H40" s="149"/>
      <c r="I40" s="150">
        <f>SUM(I37:J39)</f>
        <v>710</v>
      </c>
      <c r="J40" s="151"/>
      <c r="K40" s="150">
        <f>SUM(K37:L39)</f>
        <v>0</v>
      </c>
      <c r="L40" s="151"/>
      <c r="M40" s="10" t="e">
        <f>SUM(#REF!)</f>
        <v>#REF!</v>
      </c>
      <c r="N40" s="11" t="s">
        <v>13</v>
      </c>
      <c r="O40" s="9"/>
      <c r="P40" s="168"/>
      <c r="Q40" s="169"/>
      <c r="R40" s="170"/>
    </row>
    <row r="41" spans="1:18" ht="14.55" customHeight="1" x14ac:dyDescent="0.3">
      <c r="D41" s="76"/>
      <c r="E41" s="1"/>
      <c r="F41" s="1"/>
      <c r="G41" s="1"/>
      <c r="H41" s="1"/>
      <c r="M41" s="76"/>
    </row>
    <row r="42" spans="1:18" x14ac:dyDescent="0.3">
      <c r="E42" s="148" t="s">
        <v>34</v>
      </c>
      <c r="F42" s="149"/>
      <c r="G42" s="149"/>
      <c r="H42" s="149"/>
      <c r="I42" s="152" t="s">
        <v>19</v>
      </c>
      <c r="J42" s="153"/>
      <c r="K42" s="152" t="s">
        <v>20</v>
      </c>
      <c r="L42" s="153"/>
    </row>
    <row r="43" spans="1:18" s="36" customFormat="1" x14ac:dyDescent="0.3">
      <c r="E43" s="7"/>
      <c r="F43" s="7"/>
      <c r="G43" s="7"/>
      <c r="H43" s="7"/>
      <c r="I43" s="22">
        <f>I40</f>
        <v>710</v>
      </c>
      <c r="J43" s="14" t="s">
        <v>12</v>
      </c>
      <c r="K43" s="22">
        <f>K40</f>
        <v>0</v>
      </c>
      <c r="L43" s="15" t="s">
        <v>12</v>
      </c>
    </row>
    <row r="44" spans="1:18" s="1" customFormat="1" ht="24.45" customHeight="1" x14ac:dyDescent="0.3">
      <c r="A44" s="76"/>
      <c r="B44" s="76"/>
      <c r="C44" s="76"/>
      <c r="E44" s="13"/>
      <c r="F44" s="13"/>
      <c r="G44" s="13"/>
      <c r="H44" s="13"/>
      <c r="I44" s="154">
        <f>I43+K43</f>
        <v>710</v>
      </c>
      <c r="J44" s="155"/>
      <c r="K44" s="155"/>
      <c r="L44" s="156"/>
      <c r="N44" s="76"/>
      <c r="O44" s="76"/>
      <c r="P44" s="76"/>
      <c r="Q44" s="76"/>
      <c r="R44" s="76"/>
    </row>
    <row r="46" spans="1:18" s="8" customFormat="1" ht="30" customHeight="1" x14ac:dyDescent="0.3">
      <c r="A46" s="133" t="s">
        <v>22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5"/>
      <c r="L46" s="135"/>
      <c r="M46" s="135"/>
      <c r="N46" s="135"/>
      <c r="O46" s="134"/>
      <c r="P46" s="134"/>
      <c r="Q46" s="134"/>
      <c r="R46" s="136"/>
    </row>
    <row r="47" spans="1:18" s="12" customFormat="1" ht="14.55" customHeight="1" x14ac:dyDescent="0.3">
      <c r="A47" s="128" t="s">
        <v>1</v>
      </c>
      <c r="B47" s="137" t="s">
        <v>2</v>
      </c>
      <c r="C47" s="137" t="s">
        <v>3</v>
      </c>
      <c r="D47" s="137" t="s">
        <v>4</v>
      </c>
      <c r="E47" s="124" t="s">
        <v>5</v>
      </c>
      <c r="F47" s="138" t="s">
        <v>14</v>
      </c>
      <c r="G47" s="138" t="s">
        <v>15</v>
      </c>
      <c r="H47" s="119" t="s">
        <v>27</v>
      </c>
      <c r="I47" s="121" t="s">
        <v>6</v>
      </c>
      <c r="J47" s="122"/>
      <c r="K47" s="122"/>
      <c r="L47" s="123"/>
      <c r="M47" s="124" t="s">
        <v>7</v>
      </c>
      <c r="N47" s="125"/>
      <c r="O47" s="128" t="s">
        <v>8</v>
      </c>
      <c r="P47" s="128" t="s">
        <v>9</v>
      </c>
      <c r="Q47" s="128"/>
      <c r="R47" s="128"/>
    </row>
    <row r="48" spans="1:18" s="12" customFormat="1" ht="13.05" customHeight="1" x14ac:dyDescent="0.3">
      <c r="A48" s="128"/>
      <c r="B48" s="137"/>
      <c r="C48" s="137"/>
      <c r="D48" s="137"/>
      <c r="E48" s="126"/>
      <c r="F48" s="139"/>
      <c r="G48" s="139"/>
      <c r="H48" s="120"/>
      <c r="I48" s="121" t="s">
        <v>23</v>
      </c>
      <c r="J48" s="123"/>
      <c r="K48" s="121" t="s">
        <v>11</v>
      </c>
      <c r="L48" s="123"/>
      <c r="M48" s="126"/>
      <c r="N48" s="127"/>
      <c r="O48" s="128"/>
      <c r="P48" s="128"/>
      <c r="Q48" s="128"/>
      <c r="R48" s="128"/>
    </row>
    <row r="49" spans="1:18" ht="14.55" customHeight="1" x14ac:dyDescent="0.3">
      <c r="A49" s="140" t="s">
        <v>28</v>
      </c>
      <c r="B49" s="5">
        <v>0.33333333333333331</v>
      </c>
      <c r="C49" s="5">
        <v>0.70833333333333337</v>
      </c>
      <c r="D49" s="44">
        <v>250034</v>
      </c>
      <c r="E49" s="3" t="s">
        <v>312</v>
      </c>
      <c r="F49" s="19">
        <v>304</v>
      </c>
      <c r="G49" s="20">
        <v>0.7</v>
      </c>
      <c r="H49" s="28" t="s">
        <v>313</v>
      </c>
      <c r="I49" s="143"/>
      <c r="J49" s="144"/>
      <c r="K49" s="143">
        <v>1600</v>
      </c>
      <c r="L49" s="144"/>
      <c r="M49" s="85"/>
      <c r="N49" s="6" t="s">
        <v>13</v>
      </c>
      <c r="O49" s="21"/>
      <c r="P49" s="168" t="s">
        <v>50</v>
      </c>
      <c r="Q49" s="169"/>
      <c r="R49" s="170"/>
    </row>
    <row r="50" spans="1:18" ht="14.55" customHeight="1" x14ac:dyDescent="0.3">
      <c r="A50" s="141"/>
      <c r="B50" s="5"/>
      <c r="C50" s="5"/>
      <c r="D50" s="44"/>
      <c r="E50" s="3"/>
      <c r="F50" s="19"/>
      <c r="G50" s="20"/>
      <c r="H50" s="28"/>
      <c r="I50" s="143"/>
      <c r="J50" s="144"/>
      <c r="K50" s="143"/>
      <c r="L50" s="144"/>
      <c r="M50" s="85"/>
      <c r="N50" s="6" t="s">
        <v>13</v>
      </c>
      <c r="O50" s="21"/>
      <c r="P50" s="168"/>
      <c r="Q50" s="169"/>
      <c r="R50" s="170"/>
    </row>
    <row r="51" spans="1:18" ht="14.55" customHeight="1" x14ac:dyDescent="0.3">
      <c r="A51" s="141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85"/>
      <c r="N51" s="6" t="s">
        <v>13</v>
      </c>
      <c r="O51" s="21"/>
      <c r="P51" s="168"/>
      <c r="Q51" s="169"/>
      <c r="R51" s="170"/>
    </row>
    <row r="52" spans="1:18" ht="14.55" customHeight="1" x14ac:dyDescent="0.3">
      <c r="A52" s="142"/>
      <c r="B52" s="148" t="s">
        <v>0</v>
      </c>
      <c r="C52" s="149"/>
      <c r="D52" s="149"/>
      <c r="E52" s="149"/>
      <c r="F52" s="149"/>
      <c r="G52" s="149"/>
      <c r="H52" s="171"/>
      <c r="I52" s="150">
        <f>SUM(I49:J51)</f>
        <v>0</v>
      </c>
      <c r="J52" s="151"/>
      <c r="K52" s="150">
        <f>SUM(K49:L51)</f>
        <v>1600</v>
      </c>
      <c r="L52" s="151"/>
      <c r="M52" s="10">
        <f>SUM(M49:M51)</f>
        <v>0</v>
      </c>
      <c r="N52" s="11" t="s">
        <v>13</v>
      </c>
      <c r="O52" s="9"/>
      <c r="P52" s="168"/>
      <c r="Q52" s="169"/>
      <c r="R52" s="170"/>
    </row>
    <row r="53" spans="1:18" ht="14.55" customHeight="1" x14ac:dyDescent="0.3">
      <c r="A53" s="140" t="s">
        <v>24</v>
      </c>
      <c r="B53" s="5">
        <v>0.33333333333333331</v>
      </c>
      <c r="C53" s="5">
        <v>0.70833333333333337</v>
      </c>
      <c r="D53" s="44">
        <v>250034</v>
      </c>
      <c r="E53" s="3" t="s">
        <v>312</v>
      </c>
      <c r="F53" s="19">
        <v>304</v>
      </c>
      <c r="G53" s="20">
        <v>0.7</v>
      </c>
      <c r="H53" s="28" t="s">
        <v>314</v>
      </c>
      <c r="I53" s="143"/>
      <c r="J53" s="144"/>
      <c r="K53" s="143">
        <v>1600</v>
      </c>
      <c r="L53" s="144"/>
      <c r="M53" s="85"/>
      <c r="N53" s="6" t="s">
        <v>13</v>
      </c>
      <c r="O53" s="21"/>
      <c r="P53" s="157" t="s">
        <v>51</v>
      </c>
      <c r="Q53" s="158"/>
      <c r="R53" s="159"/>
    </row>
    <row r="54" spans="1:18" ht="14.55" customHeight="1" x14ac:dyDescent="0.3">
      <c r="A54" s="166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85"/>
      <c r="N54" s="6" t="s">
        <v>13</v>
      </c>
      <c r="O54" s="21"/>
      <c r="P54" s="160"/>
      <c r="Q54" s="161"/>
      <c r="R54" s="162"/>
    </row>
    <row r="55" spans="1:18" ht="14.55" hidden="1" customHeight="1" x14ac:dyDescent="0.3">
      <c r="A55" s="166"/>
      <c r="B55" s="5"/>
      <c r="C55" s="5"/>
      <c r="D55" s="4"/>
      <c r="E55" s="3"/>
      <c r="F55" s="19"/>
      <c r="G55" s="20"/>
      <c r="H55" s="28"/>
      <c r="I55" s="143"/>
      <c r="J55" s="144"/>
      <c r="K55" s="143"/>
      <c r="L55" s="144"/>
      <c r="M55" s="85"/>
      <c r="N55" s="6" t="s">
        <v>13</v>
      </c>
      <c r="O55" s="21"/>
      <c r="P55" s="160"/>
      <c r="Q55" s="161"/>
      <c r="R55" s="162"/>
    </row>
    <row r="56" spans="1:18" ht="14.55" hidden="1" customHeight="1" x14ac:dyDescent="0.3">
      <c r="A56" s="166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85"/>
      <c r="N56" s="6" t="s">
        <v>13</v>
      </c>
      <c r="O56" s="21"/>
      <c r="P56" s="160"/>
      <c r="Q56" s="161"/>
      <c r="R56" s="162"/>
    </row>
    <row r="57" spans="1:18" ht="14.55" customHeight="1" x14ac:dyDescent="0.3">
      <c r="A57" s="166"/>
      <c r="B57" s="5"/>
      <c r="C57" s="5"/>
      <c r="D57" s="4"/>
      <c r="E57" s="3"/>
      <c r="F57" s="19"/>
      <c r="G57" s="20"/>
      <c r="H57" s="28"/>
      <c r="I57" s="143"/>
      <c r="J57" s="144"/>
      <c r="K57" s="143"/>
      <c r="L57" s="144"/>
      <c r="M57" s="85"/>
      <c r="N57" s="6" t="s">
        <v>13</v>
      </c>
      <c r="O57" s="21"/>
      <c r="P57" s="160"/>
      <c r="Q57" s="161"/>
      <c r="R57" s="162"/>
    </row>
    <row r="58" spans="1:18" ht="14.55" customHeight="1" x14ac:dyDescent="0.3">
      <c r="A58" s="167"/>
      <c r="B58" s="148" t="s">
        <v>0</v>
      </c>
      <c r="C58" s="149"/>
      <c r="D58" s="149"/>
      <c r="E58" s="149"/>
      <c r="F58" s="149"/>
      <c r="G58" s="149"/>
      <c r="H58" s="171"/>
      <c r="I58" s="150">
        <f>SUM(I53:J57)</f>
        <v>0</v>
      </c>
      <c r="J58" s="151"/>
      <c r="K58" s="150">
        <f>SUM(K53:L57)</f>
        <v>1600</v>
      </c>
      <c r="L58" s="151"/>
      <c r="M58" s="10">
        <f>SUM(M53:M57)</f>
        <v>0</v>
      </c>
      <c r="N58" s="11" t="s">
        <v>13</v>
      </c>
      <c r="O58" s="9"/>
      <c r="P58" s="163"/>
      <c r="Q58" s="164"/>
      <c r="R58" s="165"/>
    </row>
    <row r="59" spans="1:18" ht="14.55" customHeight="1" x14ac:dyDescent="0.3">
      <c r="A59" s="140" t="s">
        <v>25</v>
      </c>
      <c r="B59" s="5">
        <v>0.33333333333333331</v>
      </c>
      <c r="C59" s="5">
        <v>0.70833333333333337</v>
      </c>
      <c r="D59" s="44">
        <v>250034</v>
      </c>
      <c r="E59" s="3" t="s">
        <v>312</v>
      </c>
      <c r="F59" s="19">
        <v>304</v>
      </c>
      <c r="G59" s="20">
        <v>0.7</v>
      </c>
      <c r="H59" s="28" t="s">
        <v>315</v>
      </c>
      <c r="I59" s="143"/>
      <c r="J59" s="144"/>
      <c r="K59" s="143">
        <v>1600</v>
      </c>
      <c r="L59" s="144"/>
      <c r="M59" s="85"/>
      <c r="N59" s="6" t="s">
        <v>13</v>
      </c>
      <c r="O59" s="21"/>
      <c r="P59" s="145" t="s">
        <v>53</v>
      </c>
      <c r="Q59" s="169"/>
      <c r="R59" s="170"/>
    </row>
    <row r="60" spans="1:18" ht="14.55" hidden="1" customHeight="1" x14ac:dyDescent="0.3">
      <c r="A60" s="141"/>
      <c r="B60" s="5"/>
      <c r="C60" s="5"/>
      <c r="D60" s="4"/>
      <c r="E60" s="3"/>
      <c r="F60" s="19"/>
      <c r="G60" s="20"/>
      <c r="H60" s="28"/>
      <c r="I60" s="143"/>
      <c r="J60" s="144"/>
      <c r="K60" s="143"/>
      <c r="L60" s="144"/>
      <c r="M60" s="85"/>
      <c r="N60" s="6" t="s">
        <v>13</v>
      </c>
      <c r="O60" s="21"/>
      <c r="P60" s="168"/>
      <c r="Q60" s="169"/>
      <c r="R60" s="170"/>
    </row>
    <row r="61" spans="1:18" ht="14.55" hidden="1" customHeight="1" x14ac:dyDescent="0.3">
      <c r="A61" s="141"/>
      <c r="B61" s="5"/>
      <c r="C61" s="5"/>
      <c r="D61" s="4"/>
      <c r="E61" s="3"/>
      <c r="F61" s="19"/>
      <c r="G61" s="20"/>
      <c r="H61" s="28"/>
      <c r="I61" s="143"/>
      <c r="J61" s="144"/>
      <c r="K61" s="143"/>
      <c r="L61" s="144"/>
      <c r="M61" s="85"/>
      <c r="N61" s="6" t="s">
        <v>13</v>
      </c>
      <c r="O61" s="21"/>
      <c r="P61" s="168"/>
      <c r="Q61" s="169"/>
      <c r="R61" s="170"/>
    </row>
    <row r="62" spans="1:18" ht="14.55" customHeight="1" x14ac:dyDescent="0.3">
      <c r="A62" s="141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85"/>
      <c r="N62" s="6" t="s">
        <v>13</v>
      </c>
      <c r="O62" s="21"/>
      <c r="P62" s="168"/>
      <c r="Q62" s="169"/>
      <c r="R62" s="170"/>
    </row>
    <row r="63" spans="1:18" ht="14.55" customHeight="1" x14ac:dyDescent="0.3">
      <c r="A63" s="141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85"/>
      <c r="N63" s="6" t="s">
        <v>13</v>
      </c>
      <c r="O63" s="21"/>
      <c r="P63" s="168"/>
      <c r="Q63" s="169"/>
      <c r="R63" s="170"/>
    </row>
    <row r="64" spans="1:18" ht="14.55" customHeight="1" x14ac:dyDescent="0.3">
      <c r="A64" s="142"/>
      <c r="B64" s="148" t="s">
        <v>0</v>
      </c>
      <c r="C64" s="149"/>
      <c r="D64" s="149"/>
      <c r="E64" s="149"/>
      <c r="F64" s="149"/>
      <c r="G64" s="149"/>
      <c r="H64" s="149"/>
      <c r="I64" s="150">
        <f>SUM(I59:J63)</f>
        <v>0</v>
      </c>
      <c r="J64" s="151"/>
      <c r="K64" s="150">
        <f>SUM(K59:L63)</f>
        <v>1600</v>
      </c>
      <c r="L64" s="151"/>
      <c r="M64" s="10">
        <f>SUM(M59:M63)</f>
        <v>0</v>
      </c>
      <c r="N64" s="11" t="s">
        <v>13</v>
      </c>
      <c r="O64" s="9"/>
      <c r="P64" s="168"/>
      <c r="Q64" s="169"/>
      <c r="R64" s="170"/>
    </row>
    <row r="66" spans="1:18" x14ac:dyDescent="0.3">
      <c r="E66" s="148" t="s">
        <v>26</v>
      </c>
      <c r="F66" s="149"/>
      <c r="G66" s="149"/>
      <c r="H66" s="149"/>
      <c r="I66" s="152" t="s">
        <v>23</v>
      </c>
      <c r="J66" s="153"/>
      <c r="K66" s="152" t="s">
        <v>11</v>
      </c>
      <c r="L66" s="153"/>
    </row>
    <row r="67" spans="1:18" s="36" customFormat="1" x14ac:dyDescent="0.3">
      <c r="E67" s="7"/>
      <c r="F67" s="7"/>
      <c r="G67" s="7"/>
      <c r="H67" s="7"/>
      <c r="I67" s="22">
        <f>I58+I64</f>
        <v>0</v>
      </c>
      <c r="J67" s="14" t="s">
        <v>12</v>
      </c>
      <c r="K67" s="22">
        <f>K58+K64</f>
        <v>3200</v>
      </c>
      <c r="L67" s="15" t="s">
        <v>12</v>
      </c>
    </row>
    <row r="68" spans="1:18" ht="24.45" customHeight="1" x14ac:dyDescent="0.3">
      <c r="E68" s="13"/>
      <c r="F68" s="13"/>
      <c r="G68" s="13"/>
      <c r="H68" s="13"/>
      <c r="I68" s="154">
        <f>I67+K67</f>
        <v>3200</v>
      </c>
      <c r="J68" s="155"/>
      <c r="K68" s="155"/>
      <c r="L68" s="156"/>
    </row>
    <row r="70" spans="1:18" s="8" customFormat="1" ht="30" customHeight="1" x14ac:dyDescent="0.3">
      <c r="A70" s="133" t="s">
        <v>131</v>
      </c>
      <c r="B70" s="134"/>
      <c r="C70" s="134"/>
      <c r="D70" s="134"/>
      <c r="E70" s="134"/>
      <c r="F70" s="134"/>
      <c r="G70" s="134"/>
      <c r="H70" s="134"/>
      <c r="I70" s="134"/>
      <c r="J70" s="134"/>
      <c r="K70" s="135"/>
      <c r="L70" s="135"/>
      <c r="M70" s="135"/>
      <c r="N70" s="135"/>
      <c r="O70" s="134"/>
      <c r="P70" s="134"/>
      <c r="Q70" s="134"/>
      <c r="R70" s="136"/>
    </row>
    <row r="71" spans="1:18" s="12" customFormat="1" ht="14.55" customHeight="1" x14ac:dyDescent="0.3">
      <c r="A71" s="128" t="s">
        <v>1</v>
      </c>
      <c r="B71" s="137" t="s">
        <v>2</v>
      </c>
      <c r="C71" s="137" t="s">
        <v>3</v>
      </c>
      <c r="D71" s="137" t="s">
        <v>4</v>
      </c>
      <c r="E71" s="124" t="s">
        <v>5</v>
      </c>
      <c r="F71" s="138" t="s">
        <v>14</v>
      </c>
      <c r="G71" s="138" t="s">
        <v>15</v>
      </c>
      <c r="H71" s="119" t="s">
        <v>27</v>
      </c>
      <c r="I71" s="121" t="s">
        <v>6</v>
      </c>
      <c r="J71" s="122"/>
      <c r="K71" s="122"/>
      <c r="L71" s="123"/>
      <c r="M71" s="124" t="s">
        <v>7</v>
      </c>
      <c r="N71" s="125"/>
      <c r="O71" s="128" t="s">
        <v>8</v>
      </c>
      <c r="P71" s="128" t="s">
        <v>9</v>
      </c>
      <c r="Q71" s="128"/>
      <c r="R71" s="128"/>
    </row>
    <row r="72" spans="1:18" s="12" customFormat="1" ht="13.05" customHeight="1" x14ac:dyDescent="0.3">
      <c r="A72" s="128"/>
      <c r="B72" s="137"/>
      <c r="C72" s="137"/>
      <c r="D72" s="137"/>
      <c r="E72" s="126"/>
      <c r="F72" s="139"/>
      <c r="G72" s="139"/>
      <c r="H72" s="120"/>
      <c r="I72" s="121" t="s">
        <v>23</v>
      </c>
      <c r="J72" s="123"/>
      <c r="K72" s="121" t="s">
        <v>11</v>
      </c>
      <c r="L72" s="123"/>
      <c r="M72" s="126"/>
      <c r="N72" s="127"/>
      <c r="O72" s="128"/>
      <c r="P72" s="128"/>
      <c r="Q72" s="128"/>
      <c r="R72" s="128"/>
    </row>
    <row r="73" spans="1:18" ht="14.55" customHeight="1" x14ac:dyDescent="0.3">
      <c r="A73" s="140" t="s">
        <v>132</v>
      </c>
      <c r="B73" s="5">
        <v>0.33333333333333331</v>
      </c>
      <c r="C73" s="5"/>
      <c r="D73" s="4">
        <v>250071</v>
      </c>
      <c r="E73" s="3" t="s">
        <v>308</v>
      </c>
      <c r="F73" s="19">
        <v>304</v>
      </c>
      <c r="G73" s="20">
        <v>0.6</v>
      </c>
      <c r="H73" s="28" t="s">
        <v>309</v>
      </c>
      <c r="I73" s="143">
        <v>750</v>
      </c>
      <c r="J73" s="144"/>
      <c r="K73" s="143"/>
      <c r="L73" s="144"/>
      <c r="M73" s="85"/>
      <c r="N73" s="6" t="s">
        <v>13</v>
      </c>
      <c r="O73" s="21"/>
      <c r="P73" s="157"/>
      <c r="Q73" s="158"/>
      <c r="R73" s="159"/>
    </row>
    <row r="74" spans="1:18" ht="14.55" customHeight="1" x14ac:dyDescent="0.3">
      <c r="A74" s="166"/>
      <c r="B74" s="5"/>
      <c r="C74" s="5"/>
      <c r="D74" s="4">
        <v>250071</v>
      </c>
      <c r="E74" s="3" t="s">
        <v>310</v>
      </c>
      <c r="F74" s="19">
        <v>304</v>
      </c>
      <c r="G74" s="20">
        <v>0.6</v>
      </c>
      <c r="H74" s="28" t="s">
        <v>309</v>
      </c>
      <c r="I74" s="143">
        <v>750</v>
      </c>
      <c r="J74" s="144"/>
      <c r="K74" s="143"/>
      <c r="L74" s="144"/>
      <c r="M74" s="85"/>
      <c r="N74" s="6" t="s">
        <v>13</v>
      </c>
      <c r="O74" s="21"/>
      <c r="P74" s="160"/>
      <c r="Q74" s="161"/>
      <c r="R74" s="162"/>
    </row>
    <row r="75" spans="1:18" ht="14.55" customHeight="1" x14ac:dyDescent="0.3">
      <c r="A75" s="166"/>
      <c r="B75" s="5"/>
      <c r="C75" s="5">
        <v>0.70833333333333337</v>
      </c>
      <c r="D75" s="4">
        <v>250071</v>
      </c>
      <c r="E75" s="3" t="s">
        <v>311</v>
      </c>
      <c r="F75" s="19">
        <v>304</v>
      </c>
      <c r="G75" s="20">
        <v>0.6</v>
      </c>
      <c r="H75" s="28" t="s">
        <v>309</v>
      </c>
      <c r="I75" s="143">
        <v>750</v>
      </c>
      <c r="J75" s="144"/>
      <c r="K75" s="143"/>
      <c r="L75" s="144"/>
      <c r="M75" s="85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85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7"/>
      <c r="B77" s="148" t="s">
        <v>0</v>
      </c>
      <c r="C77" s="149"/>
      <c r="D77" s="149"/>
      <c r="E77" s="149"/>
      <c r="F77" s="149"/>
      <c r="G77" s="149"/>
      <c r="H77" s="149"/>
      <c r="I77" s="150">
        <f ca="1">SUM(I73:J77)</f>
        <v>0</v>
      </c>
      <c r="J77" s="151"/>
      <c r="K77" s="150">
        <f ca="1">SUM(K73:L77)</f>
        <v>0</v>
      </c>
      <c r="L77" s="151"/>
      <c r="M77" s="10" t="e">
        <f>SUM(#REF!)</f>
        <v>#REF!</v>
      </c>
      <c r="N77" s="11" t="s">
        <v>13</v>
      </c>
      <c r="O77" s="9"/>
      <c r="P77" s="163"/>
      <c r="Q77" s="164"/>
      <c r="R77" s="165"/>
    </row>
    <row r="79" spans="1:18" x14ac:dyDescent="0.3">
      <c r="E79" s="148" t="s">
        <v>26</v>
      </c>
      <c r="F79" s="149"/>
      <c r="G79" s="149"/>
      <c r="H79" s="149"/>
      <c r="I79" s="152" t="s">
        <v>23</v>
      </c>
      <c r="J79" s="153"/>
      <c r="K79" s="172" t="s">
        <v>11</v>
      </c>
      <c r="L79" s="153"/>
    </row>
    <row r="80" spans="1:18" s="36" customFormat="1" x14ac:dyDescent="0.3">
      <c r="E80" s="7"/>
      <c r="F80" s="7"/>
      <c r="G80" s="7"/>
      <c r="H80" s="7"/>
      <c r="I80" s="22">
        <f ca="1">I77</f>
        <v>0</v>
      </c>
      <c r="J80" s="14" t="s">
        <v>12</v>
      </c>
      <c r="K80" s="22">
        <f ca="1">K77</f>
        <v>0</v>
      </c>
      <c r="L80" s="15" t="s">
        <v>12</v>
      </c>
    </row>
    <row r="81" spans="5:12" ht="24.45" customHeight="1" x14ac:dyDescent="0.3">
      <c r="E81" s="13"/>
      <c r="F81" s="13"/>
      <c r="G81" s="13"/>
      <c r="H81" s="13"/>
      <c r="I81" s="154">
        <f ca="1">I80+K80</f>
        <v>0</v>
      </c>
      <c r="J81" s="155"/>
      <c r="K81" s="155"/>
      <c r="L81" s="156"/>
    </row>
  </sheetData>
  <mergeCells count="200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24:A28"/>
    <mergeCell ref="I24:J24"/>
    <mergeCell ref="K24:L24"/>
    <mergeCell ref="P24:R28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B28:H28"/>
    <mergeCell ref="I28:J28"/>
    <mergeCell ref="K28:L28"/>
    <mergeCell ref="E30:H30"/>
    <mergeCell ref="I30:J30"/>
    <mergeCell ref="K30:L30"/>
    <mergeCell ref="K26:L26"/>
    <mergeCell ref="I27:J27"/>
    <mergeCell ref="K27:L27"/>
    <mergeCell ref="I35:L35"/>
    <mergeCell ref="M35:N36"/>
    <mergeCell ref="O35:O36"/>
    <mergeCell ref="P35:R36"/>
    <mergeCell ref="I36:J36"/>
    <mergeCell ref="K36:L36"/>
    <mergeCell ref="I32:L32"/>
    <mergeCell ref="A34:R34"/>
    <mergeCell ref="A35:A36"/>
    <mergeCell ref="B35:B36"/>
    <mergeCell ref="C35:C36"/>
    <mergeCell ref="D35:D36"/>
    <mergeCell ref="E35:E36"/>
    <mergeCell ref="F35:F36"/>
    <mergeCell ref="G35:G36"/>
    <mergeCell ref="H35:H36"/>
    <mergeCell ref="B40:H40"/>
    <mergeCell ref="I40:J40"/>
    <mergeCell ref="K40:L40"/>
    <mergeCell ref="P40:R40"/>
    <mergeCell ref="E42:H42"/>
    <mergeCell ref="I42:J42"/>
    <mergeCell ref="K42:L42"/>
    <mergeCell ref="A37:A40"/>
    <mergeCell ref="I37:J37"/>
    <mergeCell ref="K37:L37"/>
    <mergeCell ref="P37:R39"/>
    <mergeCell ref="I38:J38"/>
    <mergeCell ref="K38:L38"/>
    <mergeCell ref="I39:J39"/>
    <mergeCell ref="K39:L39"/>
    <mergeCell ref="I47:L47"/>
    <mergeCell ref="M47:N48"/>
    <mergeCell ref="O47:O48"/>
    <mergeCell ref="P47:R48"/>
    <mergeCell ref="I48:J48"/>
    <mergeCell ref="K48:L48"/>
    <mergeCell ref="I44:L44"/>
    <mergeCell ref="A46:R46"/>
    <mergeCell ref="A47:A48"/>
    <mergeCell ref="B47:B48"/>
    <mergeCell ref="C47:C48"/>
    <mergeCell ref="D47:D48"/>
    <mergeCell ref="E47:E48"/>
    <mergeCell ref="F47:F48"/>
    <mergeCell ref="G47:G48"/>
    <mergeCell ref="H47:H48"/>
    <mergeCell ref="B58:H58"/>
    <mergeCell ref="I58:J58"/>
    <mergeCell ref="K58:L58"/>
    <mergeCell ref="K52:L52"/>
    <mergeCell ref="A53:A58"/>
    <mergeCell ref="I53:J53"/>
    <mergeCell ref="K53:L53"/>
    <mergeCell ref="P53:R58"/>
    <mergeCell ref="I54:J54"/>
    <mergeCell ref="K54:L54"/>
    <mergeCell ref="I55:J55"/>
    <mergeCell ref="K55:L55"/>
    <mergeCell ref="I56:J56"/>
    <mergeCell ref="A49:A52"/>
    <mergeCell ref="I49:J49"/>
    <mergeCell ref="K49:L49"/>
    <mergeCell ref="P49:R52"/>
    <mergeCell ref="I50:J50"/>
    <mergeCell ref="K50:L50"/>
    <mergeCell ref="I51:J51"/>
    <mergeCell ref="K51:L51"/>
    <mergeCell ref="B52:H52"/>
    <mergeCell ref="I52:J52"/>
    <mergeCell ref="P59:R64"/>
    <mergeCell ref="I60:J60"/>
    <mergeCell ref="K60:L60"/>
    <mergeCell ref="I61:J61"/>
    <mergeCell ref="K61:L61"/>
    <mergeCell ref="I62:J62"/>
    <mergeCell ref="K62:L62"/>
    <mergeCell ref="K56:L56"/>
    <mergeCell ref="I57:J57"/>
    <mergeCell ref="K57:L57"/>
    <mergeCell ref="I63:J63"/>
    <mergeCell ref="K63:L63"/>
    <mergeCell ref="B64:H64"/>
    <mergeCell ref="I64:J64"/>
    <mergeCell ref="K64:L64"/>
    <mergeCell ref="E66:H66"/>
    <mergeCell ref="I66:J66"/>
    <mergeCell ref="K66:L66"/>
    <mergeCell ref="A59:A64"/>
    <mergeCell ref="I59:J59"/>
    <mergeCell ref="K59:L59"/>
    <mergeCell ref="I68:L68"/>
    <mergeCell ref="A70:R70"/>
    <mergeCell ref="A71:A72"/>
    <mergeCell ref="B71:B72"/>
    <mergeCell ref="C71:C72"/>
    <mergeCell ref="D71:D72"/>
    <mergeCell ref="E71:E72"/>
    <mergeCell ref="F71:F72"/>
    <mergeCell ref="G71:G72"/>
    <mergeCell ref="H71:H72"/>
    <mergeCell ref="P73:R77"/>
    <mergeCell ref="I74:J74"/>
    <mergeCell ref="K74:L74"/>
    <mergeCell ref="I75:J75"/>
    <mergeCell ref="K75:L75"/>
    <mergeCell ref="I76:J76"/>
    <mergeCell ref="K76:L76"/>
    <mergeCell ref="I71:L71"/>
    <mergeCell ref="M71:N72"/>
    <mergeCell ref="O71:O72"/>
    <mergeCell ref="P71:R72"/>
    <mergeCell ref="I72:J72"/>
    <mergeCell ref="K72:L72"/>
    <mergeCell ref="A73:A77"/>
    <mergeCell ref="I73:J73"/>
    <mergeCell ref="K73:L73"/>
    <mergeCell ref="I81:L81"/>
    <mergeCell ref="B77:H77"/>
    <mergeCell ref="I77:J77"/>
    <mergeCell ref="K77:L77"/>
    <mergeCell ref="E79:H79"/>
    <mergeCell ref="I79:J79"/>
    <mergeCell ref="K79:L79"/>
  </mergeCells>
  <pageMargins left="0.39370078740157483" right="0.19685039370078741" top="0.19685039370078741" bottom="0.19685039370078741" header="0.31496062992125984" footer="0.31496062992125984"/>
  <pageSetup paperSize="9" scale="46" orientation="portrait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3"/>
  <sheetViews>
    <sheetView topLeftCell="A36" zoomScale="85" zoomScaleNormal="85" workbookViewId="0">
      <selection activeCell="D61" sqref="D61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40.6640625" style="76" customWidth="1"/>
    <col min="6" max="6" width="5.6640625" style="76" customWidth="1"/>
    <col min="7" max="7" width="6.6640625" style="76" customWidth="1"/>
    <col min="8" max="8" width="24.5546875" style="76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45951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44">
        <v>180925</v>
      </c>
      <c r="E7" s="84" t="s">
        <v>325</v>
      </c>
      <c r="F7" s="19">
        <v>304</v>
      </c>
      <c r="G7" s="20">
        <v>0.7</v>
      </c>
      <c r="H7" s="28" t="s">
        <v>55</v>
      </c>
      <c r="I7" s="143">
        <v>1400</v>
      </c>
      <c r="J7" s="144"/>
      <c r="K7" s="143"/>
      <c r="L7" s="144"/>
      <c r="M7" s="87">
        <v>45</v>
      </c>
      <c r="N7" s="6" t="s">
        <v>13</v>
      </c>
      <c r="O7" s="21" t="s">
        <v>326</v>
      </c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44">
        <v>180925</v>
      </c>
      <c r="E8" s="3" t="s">
        <v>233</v>
      </c>
      <c r="F8" s="19">
        <v>304</v>
      </c>
      <c r="G8" s="20">
        <v>0.7</v>
      </c>
      <c r="H8" s="28" t="s">
        <v>55</v>
      </c>
      <c r="I8" s="143">
        <v>1000</v>
      </c>
      <c r="J8" s="144"/>
      <c r="K8" s="143"/>
      <c r="L8" s="144"/>
      <c r="M8" s="87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72"/>
      <c r="E9" s="3"/>
      <c r="F9" s="19"/>
      <c r="G9" s="20"/>
      <c r="H9" s="28"/>
      <c r="I9" s="143"/>
      <c r="J9" s="144"/>
      <c r="K9" s="143"/>
      <c r="L9" s="144"/>
      <c r="M9" s="87"/>
      <c r="N9" s="6" t="s">
        <v>13</v>
      </c>
      <c r="O9" s="21"/>
      <c r="P9" s="145"/>
      <c r="Q9" s="146"/>
      <c r="R9" s="147"/>
    </row>
    <row r="10" spans="1:18" ht="14.55" customHeight="1" x14ac:dyDescent="0.3">
      <c r="A10" s="142"/>
      <c r="B10" s="148" t="s">
        <v>0</v>
      </c>
      <c r="C10" s="149"/>
      <c r="D10" s="149"/>
      <c r="E10" s="149"/>
      <c r="F10" s="149"/>
      <c r="G10" s="149"/>
      <c r="H10" s="149"/>
      <c r="I10" s="150">
        <f>SUM(I7:J9)</f>
        <v>2400</v>
      </c>
      <c r="J10" s="151"/>
      <c r="K10" s="150">
        <f>SUM(K7:L9)</f>
        <v>0</v>
      </c>
      <c r="L10" s="151"/>
      <c r="M10" s="10">
        <f>SUM(M7:M8)</f>
        <v>45</v>
      </c>
      <c r="N10" s="11" t="s">
        <v>13</v>
      </c>
      <c r="O10" s="9"/>
      <c r="P10" s="145"/>
      <c r="Q10" s="146"/>
      <c r="R10" s="147"/>
    </row>
    <row r="11" spans="1:18" ht="14.55" customHeight="1" x14ac:dyDescent="0.3">
      <c r="A11" s="140" t="s">
        <v>21</v>
      </c>
      <c r="B11" s="5"/>
      <c r="C11" s="5"/>
      <c r="D11" s="44"/>
      <c r="E11" s="69"/>
      <c r="F11" s="19"/>
      <c r="G11" s="20"/>
      <c r="H11" s="70"/>
      <c r="I11" s="143"/>
      <c r="J11" s="144"/>
      <c r="K11" s="143"/>
      <c r="L11" s="144"/>
      <c r="M11" s="87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4"/>
      <c r="E12" s="3"/>
      <c r="F12" s="19"/>
      <c r="G12" s="20"/>
      <c r="H12" s="28"/>
      <c r="I12" s="143"/>
      <c r="J12" s="144"/>
      <c r="K12" s="143"/>
      <c r="L12" s="144"/>
      <c r="M12" s="87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87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2"/>
      <c r="B14" s="148" t="s">
        <v>0</v>
      </c>
      <c r="C14" s="149"/>
      <c r="D14" s="149"/>
      <c r="E14" s="149"/>
      <c r="F14" s="149"/>
      <c r="G14" s="149"/>
      <c r="H14" s="149"/>
      <c r="I14" s="150">
        <f>SUM(I11:J13)</f>
        <v>0</v>
      </c>
      <c r="J14" s="151"/>
      <c r="K14" s="150">
        <f>SUM(K11:L13)</f>
        <v>0</v>
      </c>
      <c r="L14" s="151"/>
      <c r="M14" s="10">
        <f>SUM(M11:M13)</f>
        <v>0</v>
      </c>
      <c r="N14" s="11" t="s">
        <v>13</v>
      </c>
      <c r="O14" s="9"/>
      <c r="P14" s="145"/>
      <c r="Q14" s="146"/>
      <c r="R14" s="147"/>
    </row>
    <row r="15" spans="1:18" ht="14.55" customHeight="1" x14ac:dyDescent="0.3">
      <c r="D15" s="76"/>
      <c r="E15" s="1"/>
      <c r="F15" s="1"/>
      <c r="G15" s="1"/>
      <c r="H15" s="1"/>
      <c r="M15" s="76"/>
    </row>
    <row r="16" spans="1:18" x14ac:dyDescent="0.3">
      <c r="E16" s="148" t="s">
        <v>316</v>
      </c>
      <c r="F16" s="149"/>
      <c r="G16" s="149"/>
      <c r="H16" s="149"/>
      <c r="I16" s="152" t="s">
        <v>19</v>
      </c>
      <c r="J16" s="153"/>
      <c r="K16" s="152" t="s">
        <v>20</v>
      </c>
      <c r="L16" s="153"/>
    </row>
    <row r="17" spans="1:18" s="36" customFormat="1" x14ac:dyDescent="0.3">
      <c r="E17" s="7"/>
      <c r="F17" s="7"/>
      <c r="G17" s="7"/>
      <c r="H17" s="7"/>
      <c r="I17" s="22">
        <f>I10+I14</f>
        <v>2400</v>
      </c>
      <c r="J17" s="14" t="s">
        <v>12</v>
      </c>
      <c r="K17" s="22">
        <f>K10+K14</f>
        <v>0</v>
      </c>
      <c r="L17" s="15" t="s">
        <v>12</v>
      </c>
    </row>
    <row r="18" spans="1:18" ht="24.45" customHeight="1" x14ac:dyDescent="0.3">
      <c r="E18" s="13"/>
      <c r="F18" s="13"/>
      <c r="G18" s="13"/>
      <c r="H18" s="13"/>
      <c r="I18" s="154">
        <f>I17+K17</f>
        <v>2400</v>
      </c>
      <c r="J18" s="155"/>
      <c r="K18" s="155"/>
      <c r="L18" s="156"/>
    </row>
    <row r="19" spans="1:18" ht="15" customHeight="1" x14ac:dyDescent="0.3">
      <c r="D19" s="76"/>
      <c r="I19" s="76"/>
      <c r="J19" s="76"/>
      <c r="K19" s="23"/>
      <c r="L19" s="23"/>
      <c r="M19" s="23"/>
      <c r="N19" s="23"/>
    </row>
    <row r="20" spans="1:18" s="8" customFormat="1" ht="30" customHeight="1" x14ac:dyDescent="0.3">
      <c r="A20" s="133" t="s">
        <v>22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5"/>
      <c r="L20" s="135"/>
      <c r="M20" s="135"/>
      <c r="N20" s="135"/>
      <c r="O20" s="134"/>
      <c r="P20" s="134"/>
      <c r="Q20" s="134"/>
      <c r="R20" s="136"/>
    </row>
    <row r="21" spans="1:18" s="12" customFormat="1" ht="14.55" customHeight="1" x14ac:dyDescent="0.3">
      <c r="A21" s="128" t="s">
        <v>1</v>
      </c>
      <c r="B21" s="137" t="s">
        <v>2</v>
      </c>
      <c r="C21" s="137" t="s">
        <v>3</v>
      </c>
      <c r="D21" s="137" t="s">
        <v>4</v>
      </c>
      <c r="E21" s="124" t="s">
        <v>5</v>
      </c>
      <c r="F21" s="138" t="s">
        <v>14</v>
      </c>
      <c r="G21" s="138" t="s">
        <v>15</v>
      </c>
      <c r="H21" s="119" t="s">
        <v>27</v>
      </c>
      <c r="I21" s="121" t="s">
        <v>6</v>
      </c>
      <c r="J21" s="122"/>
      <c r="K21" s="122"/>
      <c r="L21" s="123"/>
      <c r="M21" s="124" t="s">
        <v>7</v>
      </c>
      <c r="N21" s="125"/>
      <c r="O21" s="128" t="s">
        <v>8</v>
      </c>
      <c r="P21" s="128" t="s">
        <v>9</v>
      </c>
      <c r="Q21" s="128"/>
      <c r="R21" s="128"/>
    </row>
    <row r="22" spans="1:18" s="12" customFormat="1" ht="13.05" customHeight="1" x14ac:dyDescent="0.3">
      <c r="A22" s="128"/>
      <c r="B22" s="137"/>
      <c r="C22" s="137"/>
      <c r="D22" s="137"/>
      <c r="E22" s="126"/>
      <c r="F22" s="139"/>
      <c r="G22" s="139"/>
      <c r="H22" s="120"/>
      <c r="I22" s="121" t="s">
        <v>23</v>
      </c>
      <c r="J22" s="123"/>
      <c r="K22" s="121" t="s">
        <v>11</v>
      </c>
      <c r="L22" s="123"/>
      <c r="M22" s="126"/>
      <c r="N22" s="127"/>
      <c r="O22" s="128"/>
      <c r="P22" s="128"/>
      <c r="Q22" s="128"/>
      <c r="R22" s="128"/>
    </row>
    <row r="23" spans="1:18" ht="14.55" customHeight="1" x14ac:dyDescent="0.3">
      <c r="A23" s="140" t="s">
        <v>28</v>
      </c>
      <c r="B23" s="5">
        <v>0.33333333333333331</v>
      </c>
      <c r="C23" s="5"/>
      <c r="D23" s="44">
        <v>250034</v>
      </c>
      <c r="E23" s="3" t="s">
        <v>333</v>
      </c>
      <c r="F23" s="19">
        <v>304</v>
      </c>
      <c r="G23" s="20">
        <v>0.7</v>
      </c>
      <c r="H23" s="28" t="s">
        <v>148</v>
      </c>
      <c r="I23" s="143"/>
      <c r="J23" s="144"/>
      <c r="K23" s="143"/>
      <c r="L23" s="144"/>
      <c r="M23" s="87"/>
      <c r="N23" s="6" t="s">
        <v>13</v>
      </c>
      <c r="O23" s="21"/>
      <c r="P23" s="168" t="s">
        <v>50</v>
      </c>
      <c r="Q23" s="169"/>
      <c r="R23" s="170"/>
    </row>
    <row r="24" spans="1:18" ht="14.55" customHeight="1" x14ac:dyDescent="0.3">
      <c r="A24" s="141"/>
      <c r="B24" s="5"/>
      <c r="C24" s="5">
        <v>0.70833333333333337</v>
      </c>
      <c r="D24" s="44">
        <v>250034</v>
      </c>
      <c r="E24" s="3" t="s">
        <v>332</v>
      </c>
      <c r="F24" s="19">
        <v>304</v>
      </c>
      <c r="G24" s="20">
        <v>0.7</v>
      </c>
      <c r="H24" s="28" t="s">
        <v>148</v>
      </c>
      <c r="I24" s="143"/>
      <c r="J24" s="144"/>
      <c r="K24" s="143"/>
      <c r="L24" s="144"/>
      <c r="M24" s="87"/>
      <c r="N24" s="6" t="s">
        <v>13</v>
      </c>
      <c r="O24" s="21"/>
      <c r="P24" s="168"/>
      <c r="Q24" s="169"/>
      <c r="R24" s="170"/>
    </row>
    <row r="25" spans="1:18" ht="14.55" customHeight="1" x14ac:dyDescent="0.3">
      <c r="A25" s="141"/>
      <c r="B25" s="5"/>
      <c r="C25" s="5"/>
      <c r="D25" s="4"/>
      <c r="E25" s="3"/>
      <c r="F25" s="19"/>
      <c r="G25" s="20"/>
      <c r="H25" s="28"/>
      <c r="I25" s="143"/>
      <c r="J25" s="144"/>
      <c r="K25" s="143"/>
      <c r="L25" s="144"/>
      <c r="M25" s="87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2"/>
      <c r="B26" s="148" t="s">
        <v>0</v>
      </c>
      <c r="C26" s="149"/>
      <c r="D26" s="149"/>
      <c r="E26" s="149"/>
      <c r="F26" s="149"/>
      <c r="G26" s="149"/>
      <c r="H26" s="171"/>
      <c r="I26" s="150">
        <f>SUM(I23:J25)</f>
        <v>0</v>
      </c>
      <c r="J26" s="151"/>
      <c r="K26" s="150">
        <f>SUM(K23:L25)</f>
        <v>0</v>
      </c>
      <c r="L26" s="151"/>
      <c r="M26" s="10">
        <f>SUM(M23:M25)</f>
        <v>0</v>
      </c>
      <c r="N26" s="11" t="s">
        <v>13</v>
      </c>
      <c r="O26" s="9"/>
      <c r="P26" s="168"/>
      <c r="Q26" s="169"/>
      <c r="R26" s="170"/>
    </row>
    <row r="27" spans="1:18" ht="14.55" customHeight="1" x14ac:dyDescent="0.3">
      <c r="A27" s="140" t="s">
        <v>24</v>
      </c>
      <c r="B27" s="5">
        <v>0.33333333333333331</v>
      </c>
      <c r="C27" s="5"/>
      <c r="D27" s="44">
        <v>250034</v>
      </c>
      <c r="E27" s="3" t="s">
        <v>284</v>
      </c>
      <c r="F27" s="19">
        <v>304</v>
      </c>
      <c r="G27" s="20">
        <v>0.7</v>
      </c>
      <c r="H27" s="28" t="s">
        <v>327</v>
      </c>
      <c r="I27" s="143"/>
      <c r="J27" s="144"/>
      <c r="K27" s="143">
        <v>850</v>
      </c>
      <c r="L27" s="144"/>
      <c r="M27" s="87"/>
      <c r="N27" s="6" t="s">
        <v>13</v>
      </c>
      <c r="O27" s="21"/>
      <c r="P27" s="157" t="s">
        <v>51</v>
      </c>
      <c r="Q27" s="158"/>
      <c r="R27" s="159"/>
    </row>
    <row r="28" spans="1:18" ht="14.55" customHeight="1" x14ac:dyDescent="0.3">
      <c r="A28" s="166"/>
      <c r="B28" s="5"/>
      <c r="C28" s="5"/>
      <c r="D28" s="44">
        <v>250034</v>
      </c>
      <c r="E28" s="3" t="s">
        <v>147</v>
      </c>
      <c r="F28" s="19">
        <v>304</v>
      </c>
      <c r="G28" s="20">
        <v>0.7</v>
      </c>
      <c r="H28" s="28" t="s">
        <v>327</v>
      </c>
      <c r="I28" s="143"/>
      <c r="J28" s="144"/>
      <c r="K28" s="143">
        <v>850</v>
      </c>
      <c r="L28" s="144"/>
      <c r="M28" s="87"/>
      <c r="N28" s="6" t="s">
        <v>13</v>
      </c>
      <c r="O28" s="21"/>
      <c r="P28" s="160"/>
      <c r="Q28" s="161"/>
      <c r="R28" s="162"/>
    </row>
    <row r="29" spans="1:18" ht="14.55" hidden="1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87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87"/>
      <c r="N30" s="6" t="s">
        <v>13</v>
      </c>
      <c r="O30" s="21"/>
      <c r="P30" s="160"/>
      <c r="Q30" s="161"/>
      <c r="R30" s="162"/>
    </row>
    <row r="31" spans="1:18" ht="14.55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87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7"/>
      <c r="B32" s="148" t="s">
        <v>0</v>
      </c>
      <c r="C32" s="149"/>
      <c r="D32" s="149"/>
      <c r="E32" s="149"/>
      <c r="F32" s="149"/>
      <c r="G32" s="149"/>
      <c r="H32" s="171"/>
      <c r="I32" s="150">
        <f>SUM(I27:J31)</f>
        <v>0</v>
      </c>
      <c r="J32" s="151"/>
      <c r="K32" s="150">
        <f>SUM(K27:L31)</f>
        <v>1700</v>
      </c>
      <c r="L32" s="151"/>
      <c r="M32" s="10">
        <f>SUM(M27:M31)</f>
        <v>0</v>
      </c>
      <c r="N32" s="11" t="s">
        <v>13</v>
      </c>
      <c r="O32" s="9"/>
      <c r="P32" s="163"/>
      <c r="Q32" s="164"/>
      <c r="R32" s="165"/>
    </row>
    <row r="33" spans="1:18" ht="14.55" customHeight="1" x14ac:dyDescent="0.3">
      <c r="A33" s="140" t="s">
        <v>25</v>
      </c>
      <c r="B33" s="5"/>
      <c r="C33" s="5"/>
      <c r="D33" s="44"/>
      <c r="E33" s="3"/>
      <c r="F33" s="19"/>
      <c r="G33" s="20"/>
      <c r="H33" s="28"/>
      <c r="I33" s="143"/>
      <c r="J33" s="144"/>
      <c r="K33" s="143"/>
      <c r="L33" s="144"/>
      <c r="M33" s="87"/>
      <c r="N33" s="6" t="s">
        <v>13</v>
      </c>
      <c r="O33" s="21"/>
      <c r="P33" s="145" t="s">
        <v>53</v>
      </c>
      <c r="Q33" s="169"/>
      <c r="R33" s="170"/>
    </row>
    <row r="34" spans="1:18" ht="14.55" hidden="1" customHeight="1" x14ac:dyDescent="0.3">
      <c r="A34" s="141"/>
      <c r="B34" s="5"/>
      <c r="C34" s="5"/>
      <c r="D34" s="4"/>
      <c r="E34" s="3"/>
      <c r="F34" s="19"/>
      <c r="G34" s="20"/>
      <c r="H34" s="28"/>
      <c r="I34" s="143"/>
      <c r="J34" s="144"/>
      <c r="K34" s="143"/>
      <c r="L34" s="144"/>
      <c r="M34" s="87"/>
      <c r="N34" s="6" t="s">
        <v>13</v>
      </c>
      <c r="O34" s="21"/>
      <c r="P34" s="168"/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87"/>
      <c r="N35" s="6" t="s">
        <v>13</v>
      </c>
      <c r="O35" s="21"/>
      <c r="P35" s="168"/>
      <c r="Q35" s="169"/>
      <c r="R35" s="170"/>
    </row>
    <row r="36" spans="1:18" ht="14.55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87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87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2"/>
      <c r="B38" s="148" t="s">
        <v>0</v>
      </c>
      <c r="C38" s="149"/>
      <c r="D38" s="149"/>
      <c r="E38" s="149"/>
      <c r="F38" s="149"/>
      <c r="G38" s="149"/>
      <c r="H38" s="149"/>
      <c r="I38" s="150">
        <f>SUM(I33:J37)</f>
        <v>0</v>
      </c>
      <c r="J38" s="151"/>
      <c r="K38" s="150">
        <f>SUM(K33:L37)</f>
        <v>0</v>
      </c>
      <c r="L38" s="151"/>
      <c r="M38" s="10">
        <f>SUM(M33:M37)</f>
        <v>0</v>
      </c>
      <c r="N38" s="11" t="s">
        <v>13</v>
      </c>
      <c r="O38" s="9"/>
      <c r="P38" s="168"/>
      <c r="Q38" s="169"/>
      <c r="R38" s="170"/>
    </row>
    <row r="40" spans="1:18" x14ac:dyDescent="0.3">
      <c r="E40" s="148" t="s">
        <v>26</v>
      </c>
      <c r="F40" s="149"/>
      <c r="G40" s="149"/>
      <c r="H40" s="149"/>
      <c r="I40" s="152" t="s">
        <v>23</v>
      </c>
      <c r="J40" s="153"/>
      <c r="K40" s="152" t="s">
        <v>11</v>
      </c>
      <c r="L40" s="153"/>
    </row>
    <row r="41" spans="1:18" s="36" customFormat="1" x14ac:dyDescent="0.3">
      <c r="E41" s="7"/>
      <c r="F41" s="7"/>
      <c r="G41" s="7"/>
      <c r="H41" s="7"/>
      <c r="I41" s="22">
        <f>I32+I38</f>
        <v>0</v>
      </c>
      <c r="J41" s="14" t="s">
        <v>12</v>
      </c>
      <c r="K41" s="22">
        <f>K32+K38</f>
        <v>1700</v>
      </c>
      <c r="L41" s="15" t="s">
        <v>12</v>
      </c>
    </row>
    <row r="42" spans="1:18" ht="24.45" customHeight="1" x14ac:dyDescent="0.3">
      <c r="E42" s="13"/>
      <c r="F42" s="13"/>
      <c r="G42" s="13"/>
      <c r="H42" s="13"/>
      <c r="I42" s="154">
        <f>I41+K41</f>
        <v>1700</v>
      </c>
      <c r="J42" s="155"/>
      <c r="K42" s="155"/>
      <c r="L42" s="156"/>
    </row>
    <row r="44" spans="1:18" s="8" customFormat="1" ht="30" customHeight="1" x14ac:dyDescent="0.3">
      <c r="A44" s="133" t="s">
        <v>321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6"/>
    </row>
    <row r="45" spans="1:18" s="12" customFormat="1" ht="14.55" customHeight="1" x14ac:dyDescent="0.3">
      <c r="A45" s="128" t="s">
        <v>1</v>
      </c>
      <c r="B45" s="137" t="s">
        <v>2</v>
      </c>
      <c r="C45" s="137" t="s">
        <v>3</v>
      </c>
      <c r="D45" s="137" t="s">
        <v>4</v>
      </c>
      <c r="E45" s="124" t="s">
        <v>5</v>
      </c>
      <c r="F45" s="138" t="s">
        <v>14</v>
      </c>
      <c r="G45" s="138" t="s">
        <v>15</v>
      </c>
      <c r="H45" s="119" t="s">
        <v>27</v>
      </c>
      <c r="I45" s="121" t="s">
        <v>6</v>
      </c>
      <c r="J45" s="122"/>
      <c r="K45" s="122"/>
      <c r="L45" s="123"/>
      <c r="M45" s="124" t="s">
        <v>7</v>
      </c>
      <c r="N45" s="125"/>
      <c r="O45" s="128" t="s">
        <v>8</v>
      </c>
      <c r="P45" s="128" t="s">
        <v>9</v>
      </c>
      <c r="Q45" s="128"/>
      <c r="R45" s="128"/>
    </row>
    <row r="46" spans="1:18" s="12" customFormat="1" ht="13.05" customHeight="1" x14ac:dyDescent="0.3">
      <c r="A46" s="128"/>
      <c r="B46" s="137"/>
      <c r="C46" s="137"/>
      <c r="D46" s="137"/>
      <c r="E46" s="126"/>
      <c r="F46" s="139"/>
      <c r="G46" s="139"/>
      <c r="H46" s="120"/>
      <c r="I46" s="121" t="s">
        <v>23</v>
      </c>
      <c r="J46" s="123"/>
      <c r="K46" s="121" t="s">
        <v>11</v>
      </c>
      <c r="L46" s="123"/>
      <c r="M46" s="126"/>
      <c r="N46" s="127"/>
      <c r="O46" s="128"/>
      <c r="P46" s="128"/>
      <c r="Q46" s="128"/>
      <c r="R46" s="128"/>
    </row>
    <row r="47" spans="1:18" ht="14.55" customHeight="1" x14ac:dyDescent="0.3">
      <c r="A47" s="140" t="s">
        <v>132</v>
      </c>
      <c r="B47" s="5"/>
      <c r="C47" s="5"/>
      <c r="D47" s="4"/>
      <c r="E47" s="3" t="s">
        <v>329</v>
      </c>
      <c r="F47" s="19"/>
      <c r="G47" s="20"/>
      <c r="H47" s="28"/>
      <c r="I47" s="143"/>
      <c r="J47" s="144"/>
      <c r="K47" s="143"/>
      <c r="L47" s="144"/>
      <c r="M47" s="87"/>
      <c r="N47" s="6" t="s">
        <v>13</v>
      </c>
      <c r="O47" s="21"/>
      <c r="P47" s="157"/>
      <c r="Q47" s="158"/>
      <c r="R47" s="159"/>
    </row>
    <row r="48" spans="1:18" ht="14.55" customHeight="1" x14ac:dyDescent="0.3">
      <c r="A48" s="166"/>
      <c r="B48" s="5"/>
      <c r="C48" s="5"/>
      <c r="D48" s="4"/>
      <c r="E48" s="3"/>
      <c r="F48" s="19"/>
      <c r="G48" s="20"/>
      <c r="H48" s="28"/>
      <c r="I48" s="143"/>
      <c r="J48" s="144"/>
      <c r="K48" s="143"/>
      <c r="L48" s="144"/>
      <c r="M48" s="87"/>
      <c r="N48" s="6" t="s">
        <v>13</v>
      </c>
      <c r="O48" s="21"/>
      <c r="P48" s="160"/>
      <c r="Q48" s="161"/>
      <c r="R48" s="162"/>
    </row>
    <row r="49" spans="1:18" ht="14.55" customHeight="1" x14ac:dyDescent="0.3">
      <c r="A49" s="166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87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87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7"/>
      <c r="B51" s="148" t="s">
        <v>0</v>
      </c>
      <c r="C51" s="149"/>
      <c r="D51" s="149"/>
      <c r="E51" s="149"/>
      <c r="F51" s="149"/>
      <c r="G51" s="149"/>
      <c r="H51" s="149"/>
      <c r="I51" s="150">
        <f ca="1">SUM(I47:J51)</f>
        <v>0</v>
      </c>
      <c r="J51" s="151"/>
      <c r="K51" s="150">
        <f ca="1">SUM(K47:L51)</f>
        <v>0</v>
      </c>
      <c r="L51" s="151"/>
      <c r="M51" s="10">
        <f>SUM(M47:M50)</f>
        <v>0</v>
      </c>
      <c r="N51" s="11" t="s">
        <v>13</v>
      </c>
      <c r="O51" s="9"/>
      <c r="P51" s="163"/>
      <c r="Q51" s="164"/>
      <c r="R51" s="165"/>
    </row>
    <row r="53" spans="1:18" x14ac:dyDescent="0.3">
      <c r="E53" s="148" t="s">
        <v>317</v>
      </c>
      <c r="F53" s="149"/>
      <c r="G53" s="149"/>
      <c r="H53" s="149"/>
      <c r="I53" s="152" t="s">
        <v>23</v>
      </c>
      <c r="J53" s="153"/>
      <c r="K53" s="172" t="s">
        <v>11</v>
      </c>
      <c r="L53" s="153"/>
    </row>
    <row r="54" spans="1:18" s="36" customFormat="1" x14ac:dyDescent="0.3">
      <c r="E54" s="7"/>
      <c r="F54" s="7"/>
      <c r="G54" s="7"/>
      <c r="H54" s="7"/>
      <c r="I54" s="22">
        <f ca="1">I51</f>
        <v>0</v>
      </c>
      <c r="J54" s="14" t="s">
        <v>12</v>
      </c>
      <c r="K54" s="22">
        <f ca="1">K51</f>
        <v>0</v>
      </c>
      <c r="L54" s="15" t="s">
        <v>12</v>
      </c>
    </row>
    <row r="55" spans="1:18" s="1" customFormat="1" ht="24.45" customHeight="1" x14ac:dyDescent="0.3">
      <c r="A55" s="76"/>
      <c r="B55" s="76"/>
      <c r="C55" s="76"/>
      <c r="E55" s="13"/>
      <c r="F55" s="13"/>
      <c r="G55" s="13"/>
      <c r="H55" s="13"/>
      <c r="I55" s="154">
        <f ca="1">I54+K54</f>
        <v>0</v>
      </c>
      <c r="J55" s="155"/>
      <c r="K55" s="155"/>
      <c r="L55" s="156"/>
      <c r="N55" s="76"/>
      <c r="O55" s="76"/>
      <c r="P55" s="76"/>
      <c r="Q55" s="76"/>
      <c r="R55" s="76"/>
    </row>
    <row r="57" spans="1:18" s="8" customFormat="1" ht="30" customHeight="1" x14ac:dyDescent="0.3">
      <c r="A57" s="133" t="s">
        <v>36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6"/>
    </row>
    <row r="58" spans="1:18" s="12" customFormat="1" ht="14.55" customHeight="1" x14ac:dyDescent="0.3">
      <c r="A58" s="128" t="s">
        <v>1</v>
      </c>
      <c r="B58" s="137" t="s">
        <v>2</v>
      </c>
      <c r="C58" s="137" t="s">
        <v>3</v>
      </c>
      <c r="D58" s="137" t="s">
        <v>4</v>
      </c>
      <c r="E58" s="124" t="s">
        <v>5</v>
      </c>
      <c r="F58" s="138" t="s">
        <v>14</v>
      </c>
      <c r="G58" s="138" t="s">
        <v>15</v>
      </c>
      <c r="H58" s="119" t="s">
        <v>29</v>
      </c>
      <c r="I58" s="121" t="s">
        <v>6</v>
      </c>
      <c r="J58" s="122"/>
      <c r="K58" s="122"/>
      <c r="L58" s="123"/>
      <c r="M58" s="124" t="s">
        <v>7</v>
      </c>
      <c r="N58" s="125"/>
      <c r="O58" s="128" t="s">
        <v>8</v>
      </c>
      <c r="P58" s="128" t="s">
        <v>9</v>
      </c>
      <c r="Q58" s="128"/>
      <c r="R58" s="128"/>
    </row>
    <row r="59" spans="1:18" s="12" customFormat="1" ht="13.05" customHeight="1" x14ac:dyDescent="0.3">
      <c r="A59" s="128"/>
      <c r="B59" s="137"/>
      <c r="C59" s="137"/>
      <c r="D59" s="137"/>
      <c r="E59" s="126"/>
      <c r="F59" s="139"/>
      <c r="G59" s="139"/>
      <c r="H59" s="120"/>
      <c r="I59" s="121" t="s">
        <v>19</v>
      </c>
      <c r="J59" s="123"/>
      <c r="K59" s="121" t="s">
        <v>20</v>
      </c>
      <c r="L59" s="123"/>
      <c r="M59" s="126"/>
      <c r="N59" s="127"/>
      <c r="O59" s="128"/>
      <c r="P59" s="128"/>
      <c r="Q59" s="128"/>
      <c r="R59" s="128"/>
    </row>
    <row r="60" spans="1:18" ht="14.55" customHeight="1" x14ac:dyDescent="0.3">
      <c r="A60" s="140" t="s">
        <v>37</v>
      </c>
      <c r="B60" s="5">
        <v>0.33333333333333331</v>
      </c>
      <c r="C60" s="5"/>
      <c r="D60" s="4">
        <v>160925</v>
      </c>
      <c r="E60" s="3" t="s">
        <v>328</v>
      </c>
      <c r="F60" s="19">
        <v>304</v>
      </c>
      <c r="G60" s="20">
        <v>0.7</v>
      </c>
      <c r="H60" s="28" t="s">
        <v>137</v>
      </c>
      <c r="I60" s="143">
        <v>1094</v>
      </c>
      <c r="J60" s="144"/>
      <c r="K60" s="143"/>
      <c r="L60" s="144"/>
      <c r="M60" s="87"/>
      <c r="N60" s="6" t="s">
        <v>13</v>
      </c>
      <c r="O60" s="21"/>
      <c r="P60" s="157"/>
      <c r="Q60" s="158"/>
      <c r="R60" s="159"/>
    </row>
    <row r="61" spans="1:18" ht="14.55" customHeight="1" x14ac:dyDescent="0.3">
      <c r="A61" s="166"/>
      <c r="B61" s="5"/>
      <c r="C61" s="5">
        <v>0.70833333333333337</v>
      </c>
      <c r="D61" s="4">
        <v>180925</v>
      </c>
      <c r="E61" s="3" t="s">
        <v>304</v>
      </c>
      <c r="F61" s="19">
        <v>304</v>
      </c>
      <c r="G61" s="20">
        <v>0.7</v>
      </c>
      <c r="H61" s="28" t="s">
        <v>137</v>
      </c>
      <c r="I61" s="143">
        <v>1300</v>
      </c>
      <c r="J61" s="144"/>
      <c r="K61" s="143"/>
      <c r="L61" s="144"/>
      <c r="M61" s="87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/>
      <c r="D62" s="4"/>
      <c r="E62" s="3"/>
      <c r="F62" s="19"/>
      <c r="G62" s="20"/>
      <c r="H62" s="28"/>
      <c r="I62" s="143"/>
      <c r="J62" s="144"/>
      <c r="K62" s="143"/>
      <c r="L62" s="144"/>
      <c r="M62" s="87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87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7"/>
      <c r="B64" s="148" t="s">
        <v>0</v>
      </c>
      <c r="C64" s="149"/>
      <c r="D64" s="149"/>
      <c r="E64" s="149"/>
      <c r="F64" s="149"/>
      <c r="G64" s="149"/>
      <c r="H64" s="149"/>
      <c r="I64" s="150">
        <f>SUM(I60:J63)</f>
        <v>2394</v>
      </c>
      <c r="J64" s="151"/>
      <c r="K64" s="150">
        <f>SUM(K60:L63)</f>
        <v>0</v>
      </c>
      <c r="L64" s="151"/>
      <c r="M64" s="10">
        <f>SUM(M60:M63)</f>
        <v>0</v>
      </c>
      <c r="N64" s="11" t="s">
        <v>13</v>
      </c>
      <c r="O64" s="9"/>
      <c r="P64" s="163"/>
      <c r="Q64" s="164"/>
      <c r="R64" s="165"/>
    </row>
    <row r="65" spans="1:18" ht="14.55" customHeight="1" x14ac:dyDescent="0.3">
      <c r="D65" s="76"/>
      <c r="E65" s="1"/>
      <c r="F65" s="1"/>
      <c r="G65" s="1"/>
      <c r="H65" s="1"/>
      <c r="M65" s="76"/>
    </row>
    <row r="66" spans="1:18" x14ac:dyDescent="0.3">
      <c r="E66" s="148" t="s">
        <v>324</v>
      </c>
      <c r="F66" s="149"/>
      <c r="G66" s="149"/>
      <c r="H66" s="149"/>
      <c r="I66" s="152" t="s">
        <v>19</v>
      </c>
      <c r="J66" s="153"/>
      <c r="K66" s="152" t="s">
        <v>20</v>
      </c>
      <c r="L66" s="153"/>
    </row>
    <row r="67" spans="1:18" s="36" customFormat="1" x14ac:dyDescent="0.3">
      <c r="E67" s="7"/>
      <c r="F67" s="7"/>
      <c r="G67" s="7"/>
      <c r="H67" s="7"/>
      <c r="I67" s="22">
        <f>I64</f>
        <v>2394</v>
      </c>
      <c r="J67" s="14" t="s">
        <v>12</v>
      </c>
      <c r="K67" s="22">
        <f>K64</f>
        <v>0</v>
      </c>
      <c r="L67" s="15" t="s">
        <v>12</v>
      </c>
    </row>
    <row r="68" spans="1:18" ht="24.45" customHeight="1" x14ac:dyDescent="0.3">
      <c r="E68" s="13"/>
      <c r="F68" s="13"/>
      <c r="G68" s="13"/>
      <c r="H68" s="13"/>
      <c r="I68" s="154">
        <f>I67+K67</f>
        <v>2394</v>
      </c>
      <c r="J68" s="155"/>
      <c r="K68" s="155"/>
      <c r="L68" s="156"/>
    </row>
    <row r="70" spans="1:18" s="8" customFormat="1" ht="30" customHeight="1" x14ac:dyDescent="0.3">
      <c r="A70" s="133" t="s">
        <v>322</v>
      </c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6"/>
    </row>
    <row r="71" spans="1:18" s="12" customFormat="1" ht="14.55" customHeight="1" x14ac:dyDescent="0.3">
      <c r="A71" s="128" t="s">
        <v>1</v>
      </c>
      <c r="B71" s="137" t="s">
        <v>2</v>
      </c>
      <c r="C71" s="137" t="s">
        <v>3</v>
      </c>
      <c r="D71" s="137" t="s">
        <v>4</v>
      </c>
      <c r="E71" s="124" t="s">
        <v>5</v>
      </c>
      <c r="F71" s="138" t="s">
        <v>14</v>
      </c>
      <c r="G71" s="138" t="s">
        <v>15</v>
      </c>
      <c r="H71" s="119" t="s">
        <v>29</v>
      </c>
      <c r="I71" s="121" t="s">
        <v>6</v>
      </c>
      <c r="J71" s="122"/>
      <c r="K71" s="122"/>
      <c r="L71" s="123"/>
      <c r="M71" s="124" t="s">
        <v>7</v>
      </c>
      <c r="N71" s="125"/>
      <c r="O71" s="128" t="s">
        <v>8</v>
      </c>
      <c r="P71" s="128" t="s">
        <v>9</v>
      </c>
      <c r="Q71" s="128"/>
      <c r="R71" s="128"/>
    </row>
    <row r="72" spans="1:18" s="12" customFormat="1" ht="13.05" customHeight="1" x14ac:dyDescent="0.3">
      <c r="A72" s="128"/>
      <c r="B72" s="137"/>
      <c r="C72" s="137"/>
      <c r="D72" s="137"/>
      <c r="E72" s="126"/>
      <c r="F72" s="139"/>
      <c r="G72" s="139"/>
      <c r="H72" s="120"/>
      <c r="I72" s="121" t="s">
        <v>19</v>
      </c>
      <c r="J72" s="123"/>
      <c r="K72" s="121" t="s">
        <v>20</v>
      </c>
      <c r="L72" s="123"/>
      <c r="M72" s="126"/>
      <c r="N72" s="127"/>
      <c r="O72" s="128"/>
      <c r="P72" s="128"/>
      <c r="Q72" s="128"/>
      <c r="R72" s="128"/>
    </row>
    <row r="73" spans="1:18" ht="14.55" customHeight="1" x14ac:dyDescent="0.3">
      <c r="A73" s="140" t="s">
        <v>37</v>
      </c>
      <c r="B73" s="5"/>
      <c r="C73" s="5"/>
      <c r="D73" s="4"/>
      <c r="E73" s="3" t="s">
        <v>330</v>
      </c>
      <c r="F73" s="19"/>
      <c r="G73" s="20"/>
      <c r="H73" s="28"/>
      <c r="I73" s="143"/>
      <c r="J73" s="144"/>
      <c r="K73" s="143"/>
      <c r="L73" s="144"/>
      <c r="M73" s="87"/>
      <c r="N73" s="6" t="s">
        <v>13</v>
      </c>
      <c r="O73" s="21"/>
      <c r="P73" s="157"/>
      <c r="Q73" s="158"/>
      <c r="R73" s="159"/>
    </row>
    <row r="74" spans="1:18" ht="14.55" customHeight="1" x14ac:dyDescent="0.3">
      <c r="A74" s="166"/>
      <c r="B74" s="5"/>
      <c r="C74" s="5"/>
      <c r="D74" s="4"/>
      <c r="E74" s="3"/>
      <c r="F74" s="19"/>
      <c r="G74" s="20"/>
      <c r="H74" s="28"/>
      <c r="I74" s="143"/>
      <c r="J74" s="144"/>
      <c r="K74" s="143"/>
      <c r="L74" s="144"/>
      <c r="M74" s="87"/>
      <c r="N74" s="6" t="s">
        <v>13</v>
      </c>
      <c r="O74" s="21"/>
      <c r="P74" s="160"/>
      <c r="Q74" s="161"/>
      <c r="R74" s="162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87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87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7"/>
      <c r="B77" s="148" t="s">
        <v>0</v>
      </c>
      <c r="C77" s="149"/>
      <c r="D77" s="149"/>
      <c r="E77" s="149"/>
      <c r="F77" s="149"/>
      <c r="G77" s="149"/>
      <c r="H77" s="149"/>
      <c r="I77" s="150">
        <f>SUM(I73:J76)</f>
        <v>0</v>
      </c>
      <c r="J77" s="151"/>
      <c r="K77" s="150">
        <f>SUM(K73:L76)</f>
        <v>0</v>
      </c>
      <c r="L77" s="151"/>
      <c r="M77" s="10">
        <f>SUM(M73:M76)</f>
        <v>0</v>
      </c>
      <c r="N77" s="11" t="s">
        <v>13</v>
      </c>
      <c r="O77" s="9"/>
      <c r="P77" s="163"/>
      <c r="Q77" s="164"/>
      <c r="R77" s="165"/>
    </row>
    <row r="78" spans="1:18" ht="14.55" customHeight="1" x14ac:dyDescent="0.3">
      <c r="D78" s="76"/>
      <c r="E78" s="1"/>
      <c r="F78" s="1"/>
      <c r="G78" s="1"/>
      <c r="H78" s="1"/>
      <c r="M78" s="76"/>
    </row>
    <row r="79" spans="1:18" x14ac:dyDescent="0.3">
      <c r="E79" s="148" t="s">
        <v>323</v>
      </c>
      <c r="F79" s="149"/>
      <c r="G79" s="149"/>
      <c r="H79" s="149"/>
      <c r="I79" s="152" t="s">
        <v>19</v>
      </c>
      <c r="J79" s="153"/>
      <c r="K79" s="152" t="s">
        <v>20</v>
      </c>
      <c r="L79" s="153"/>
    </row>
    <row r="80" spans="1:18" s="36" customFormat="1" x14ac:dyDescent="0.3">
      <c r="E80" s="7"/>
      <c r="F80" s="7"/>
      <c r="G80" s="7"/>
      <c r="H80" s="7"/>
      <c r="I80" s="22">
        <f>I77</f>
        <v>0</v>
      </c>
      <c r="J80" s="14" t="s">
        <v>12</v>
      </c>
      <c r="K80" s="22">
        <f>K77</f>
        <v>0</v>
      </c>
      <c r="L80" s="15" t="s">
        <v>12</v>
      </c>
    </row>
    <row r="81" spans="1:18" ht="24.45" customHeight="1" x14ac:dyDescent="0.3">
      <c r="E81" s="13"/>
      <c r="F81" s="13"/>
      <c r="G81" s="13"/>
      <c r="H81" s="13"/>
      <c r="I81" s="154">
        <f>I80+K80</f>
        <v>0</v>
      </c>
      <c r="J81" s="155"/>
      <c r="K81" s="155"/>
      <c r="L81" s="156"/>
    </row>
    <row r="83" spans="1:18" s="8" customFormat="1" ht="30" customHeight="1" x14ac:dyDescent="0.3">
      <c r="A83" s="133" t="s">
        <v>30</v>
      </c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6"/>
    </row>
    <row r="84" spans="1:18" s="12" customFormat="1" ht="14.55" customHeight="1" x14ac:dyDescent="0.3">
      <c r="A84" s="128" t="s">
        <v>1</v>
      </c>
      <c r="B84" s="137" t="s">
        <v>2</v>
      </c>
      <c r="C84" s="137" t="s">
        <v>3</v>
      </c>
      <c r="D84" s="137" t="s">
        <v>4</v>
      </c>
      <c r="E84" s="124" t="s">
        <v>5</v>
      </c>
      <c r="F84" s="138" t="s">
        <v>14</v>
      </c>
      <c r="G84" s="138" t="s">
        <v>15</v>
      </c>
      <c r="H84" s="119" t="s">
        <v>29</v>
      </c>
      <c r="I84" s="121" t="s">
        <v>6</v>
      </c>
      <c r="J84" s="122"/>
      <c r="K84" s="122"/>
      <c r="L84" s="123"/>
      <c r="M84" s="124" t="s">
        <v>7</v>
      </c>
      <c r="N84" s="125"/>
      <c r="O84" s="128" t="s">
        <v>8</v>
      </c>
      <c r="P84" s="128" t="s">
        <v>9</v>
      </c>
      <c r="Q84" s="128"/>
      <c r="R84" s="128"/>
    </row>
    <row r="85" spans="1:18" s="12" customFormat="1" ht="13.05" customHeight="1" x14ac:dyDescent="0.3">
      <c r="A85" s="128"/>
      <c r="B85" s="137"/>
      <c r="C85" s="137"/>
      <c r="D85" s="137"/>
      <c r="E85" s="126"/>
      <c r="F85" s="139"/>
      <c r="G85" s="139"/>
      <c r="H85" s="120"/>
      <c r="I85" s="121" t="s">
        <v>19</v>
      </c>
      <c r="J85" s="123"/>
      <c r="K85" s="121" t="s">
        <v>20</v>
      </c>
      <c r="L85" s="123"/>
      <c r="M85" s="126"/>
      <c r="N85" s="127"/>
      <c r="O85" s="128"/>
      <c r="P85" s="128"/>
      <c r="Q85" s="128"/>
      <c r="R85" s="128"/>
    </row>
    <row r="86" spans="1:18" ht="14.55" customHeight="1" x14ac:dyDescent="0.3">
      <c r="A86" s="140" t="s">
        <v>35</v>
      </c>
      <c r="B86" s="5"/>
      <c r="C86" s="5"/>
      <c r="D86" s="4"/>
      <c r="E86" s="3" t="s">
        <v>331</v>
      </c>
      <c r="F86" s="19"/>
      <c r="G86" s="20"/>
      <c r="H86" s="28"/>
      <c r="I86" s="143"/>
      <c r="J86" s="144"/>
      <c r="K86" s="143"/>
      <c r="L86" s="144"/>
      <c r="M86" s="87"/>
      <c r="N86" s="6" t="s">
        <v>13</v>
      </c>
      <c r="O86" s="21"/>
      <c r="P86" s="168"/>
      <c r="Q86" s="169"/>
      <c r="R86" s="170"/>
    </row>
    <row r="87" spans="1:18" ht="14.55" customHeight="1" x14ac:dyDescent="0.3">
      <c r="A87" s="166"/>
      <c r="B87" s="5"/>
      <c r="C87" s="5"/>
      <c r="D87" s="4"/>
      <c r="E87" s="3"/>
      <c r="F87" s="19"/>
      <c r="G87" s="20"/>
      <c r="H87" s="28"/>
      <c r="I87" s="143"/>
      <c r="J87" s="144"/>
      <c r="K87" s="143"/>
      <c r="L87" s="144"/>
      <c r="M87" s="87"/>
      <c r="N87" s="6" t="s">
        <v>13</v>
      </c>
      <c r="O87" s="21"/>
      <c r="P87" s="168"/>
      <c r="Q87" s="169"/>
      <c r="R87" s="170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87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7"/>
      <c r="B89" s="148" t="s">
        <v>0</v>
      </c>
      <c r="C89" s="149"/>
      <c r="D89" s="149"/>
      <c r="E89" s="149"/>
      <c r="F89" s="149"/>
      <c r="G89" s="149"/>
      <c r="H89" s="149"/>
      <c r="I89" s="150">
        <f>SUM(I86:J88)</f>
        <v>0</v>
      </c>
      <c r="J89" s="151"/>
      <c r="K89" s="150">
        <f>SUM(K86:L88)</f>
        <v>0</v>
      </c>
      <c r="L89" s="151"/>
      <c r="M89" s="10">
        <f>SUM(M86:M88)</f>
        <v>0</v>
      </c>
      <c r="N89" s="11" t="s">
        <v>13</v>
      </c>
      <c r="O89" s="9"/>
      <c r="P89" s="168"/>
      <c r="Q89" s="169"/>
      <c r="R89" s="170"/>
    </row>
    <row r="90" spans="1:18" ht="14.55" customHeight="1" x14ac:dyDescent="0.3">
      <c r="D90" s="76"/>
      <c r="E90" s="1"/>
      <c r="F90" s="1"/>
      <c r="G90" s="1"/>
      <c r="H90" s="1"/>
      <c r="M90" s="76"/>
    </row>
    <row r="91" spans="1:18" x14ac:dyDescent="0.3">
      <c r="E91" s="148" t="s">
        <v>34</v>
      </c>
      <c r="F91" s="149"/>
      <c r="G91" s="149"/>
      <c r="H91" s="149"/>
      <c r="I91" s="152" t="s">
        <v>19</v>
      </c>
      <c r="J91" s="153"/>
      <c r="K91" s="152" t="s">
        <v>20</v>
      </c>
      <c r="L91" s="153"/>
    </row>
    <row r="92" spans="1:18" s="36" customFormat="1" x14ac:dyDescent="0.3">
      <c r="E92" s="7"/>
      <c r="F92" s="7"/>
      <c r="G92" s="7"/>
      <c r="H92" s="7"/>
      <c r="I92" s="22">
        <f>I89</f>
        <v>0</v>
      </c>
      <c r="J92" s="14" t="s">
        <v>12</v>
      </c>
      <c r="K92" s="22">
        <f>K89</f>
        <v>0</v>
      </c>
      <c r="L92" s="15" t="s">
        <v>12</v>
      </c>
    </row>
    <row r="93" spans="1:18" s="1" customFormat="1" ht="24.45" customHeight="1" x14ac:dyDescent="0.3">
      <c r="A93" s="76"/>
      <c r="B93" s="76"/>
      <c r="C93" s="76"/>
      <c r="E93" s="13"/>
      <c r="F93" s="13"/>
      <c r="G93" s="13"/>
      <c r="H93" s="13"/>
      <c r="I93" s="154">
        <f>I92+K92</f>
        <v>0</v>
      </c>
      <c r="J93" s="155"/>
      <c r="K93" s="155"/>
      <c r="L93" s="156"/>
      <c r="N93" s="76"/>
      <c r="O93" s="76"/>
      <c r="P93" s="76"/>
      <c r="Q93" s="76"/>
      <c r="R93" s="76"/>
    </row>
  </sheetData>
  <mergeCells count="230">
    <mergeCell ref="K89:L89"/>
    <mergeCell ref="P89:R89"/>
    <mergeCell ref="E91:H91"/>
    <mergeCell ref="I91:J91"/>
    <mergeCell ref="K91:L91"/>
    <mergeCell ref="I93:L93"/>
    <mergeCell ref="A86:A89"/>
    <mergeCell ref="I86:J86"/>
    <mergeCell ref="K86:L86"/>
    <mergeCell ref="P86:R88"/>
    <mergeCell ref="I87:J87"/>
    <mergeCell ref="K87:L87"/>
    <mergeCell ref="I88:J88"/>
    <mergeCell ref="K88:L88"/>
    <mergeCell ref="B89:H89"/>
    <mergeCell ref="I89:J89"/>
    <mergeCell ref="I84:L84"/>
    <mergeCell ref="M84:N85"/>
    <mergeCell ref="O84:O85"/>
    <mergeCell ref="P84:R85"/>
    <mergeCell ref="I85:J85"/>
    <mergeCell ref="K85:L85"/>
    <mergeCell ref="I81:L81"/>
    <mergeCell ref="A83:R83"/>
    <mergeCell ref="A84:A85"/>
    <mergeCell ref="B84:B85"/>
    <mergeCell ref="C84:C85"/>
    <mergeCell ref="D84:D85"/>
    <mergeCell ref="E84:E85"/>
    <mergeCell ref="F84:F85"/>
    <mergeCell ref="G84:G85"/>
    <mergeCell ref="H84:H85"/>
    <mergeCell ref="B77:H77"/>
    <mergeCell ref="I77:J77"/>
    <mergeCell ref="K77:L77"/>
    <mergeCell ref="E79:H79"/>
    <mergeCell ref="I79:J79"/>
    <mergeCell ref="K79:L79"/>
    <mergeCell ref="A73:A77"/>
    <mergeCell ref="I73:J73"/>
    <mergeCell ref="K73:L73"/>
    <mergeCell ref="P73:R77"/>
    <mergeCell ref="I74:J74"/>
    <mergeCell ref="K74:L74"/>
    <mergeCell ref="I75:J75"/>
    <mergeCell ref="K75:L75"/>
    <mergeCell ref="I76:J76"/>
    <mergeCell ref="K76:L76"/>
    <mergeCell ref="I71:L71"/>
    <mergeCell ref="M71:N72"/>
    <mergeCell ref="O71:O72"/>
    <mergeCell ref="P71:R72"/>
    <mergeCell ref="I72:J72"/>
    <mergeCell ref="K72:L72"/>
    <mergeCell ref="I68:L68"/>
    <mergeCell ref="A70:R70"/>
    <mergeCell ref="A71:A72"/>
    <mergeCell ref="B71:B72"/>
    <mergeCell ref="C71:C72"/>
    <mergeCell ref="D71:D72"/>
    <mergeCell ref="E71:E72"/>
    <mergeCell ref="F71:F72"/>
    <mergeCell ref="G71:G72"/>
    <mergeCell ref="H71:H72"/>
    <mergeCell ref="B64:H64"/>
    <mergeCell ref="I64:J64"/>
    <mergeCell ref="K64:L64"/>
    <mergeCell ref="E66:H66"/>
    <mergeCell ref="I66:J66"/>
    <mergeCell ref="K66:L66"/>
    <mergeCell ref="A60:A64"/>
    <mergeCell ref="I60:J60"/>
    <mergeCell ref="K60:L60"/>
    <mergeCell ref="P60:R64"/>
    <mergeCell ref="I61:J61"/>
    <mergeCell ref="K61:L61"/>
    <mergeCell ref="I62:J62"/>
    <mergeCell ref="K62:L62"/>
    <mergeCell ref="I63:J63"/>
    <mergeCell ref="K63:L63"/>
    <mergeCell ref="I58:L58"/>
    <mergeCell ref="M58:N59"/>
    <mergeCell ref="O58:O59"/>
    <mergeCell ref="P58:R59"/>
    <mergeCell ref="I59:J59"/>
    <mergeCell ref="K59:L59"/>
    <mergeCell ref="I55:L55"/>
    <mergeCell ref="A57:R57"/>
    <mergeCell ref="A58:A59"/>
    <mergeCell ref="B58:B59"/>
    <mergeCell ref="C58:C59"/>
    <mergeCell ref="D58:D59"/>
    <mergeCell ref="E58:E59"/>
    <mergeCell ref="F58:F59"/>
    <mergeCell ref="G58:G59"/>
    <mergeCell ref="H58:H59"/>
    <mergeCell ref="B51:H51"/>
    <mergeCell ref="I51:J51"/>
    <mergeCell ref="K51:L51"/>
    <mergeCell ref="E53:H53"/>
    <mergeCell ref="I53:J53"/>
    <mergeCell ref="K53:L53"/>
    <mergeCell ref="A47:A51"/>
    <mergeCell ref="I47:J47"/>
    <mergeCell ref="K47:L47"/>
    <mergeCell ref="P47:R51"/>
    <mergeCell ref="I48:J48"/>
    <mergeCell ref="K48:L48"/>
    <mergeCell ref="I49:J49"/>
    <mergeCell ref="K49:L49"/>
    <mergeCell ref="I50:J50"/>
    <mergeCell ref="K50:L50"/>
    <mergeCell ref="I45:L45"/>
    <mergeCell ref="M45:N46"/>
    <mergeCell ref="O45:O46"/>
    <mergeCell ref="P45:R46"/>
    <mergeCell ref="I46:J46"/>
    <mergeCell ref="K46:L46"/>
    <mergeCell ref="I42:L42"/>
    <mergeCell ref="A44:R44"/>
    <mergeCell ref="A45:A46"/>
    <mergeCell ref="B45:B46"/>
    <mergeCell ref="C45:C46"/>
    <mergeCell ref="D45:D46"/>
    <mergeCell ref="E45:E46"/>
    <mergeCell ref="F45:F46"/>
    <mergeCell ref="G45:G46"/>
    <mergeCell ref="H45:H46"/>
    <mergeCell ref="B38:H38"/>
    <mergeCell ref="I38:J38"/>
    <mergeCell ref="K38:L38"/>
    <mergeCell ref="E40:H40"/>
    <mergeCell ref="I40:J40"/>
    <mergeCell ref="K40:L40"/>
    <mergeCell ref="A33:A38"/>
    <mergeCell ref="I33:J33"/>
    <mergeCell ref="K33:L33"/>
    <mergeCell ref="A27:A32"/>
    <mergeCell ref="I27:J27"/>
    <mergeCell ref="K27:L27"/>
    <mergeCell ref="B32:H32"/>
    <mergeCell ref="K32:L32"/>
    <mergeCell ref="P33:R38"/>
    <mergeCell ref="I34:J34"/>
    <mergeCell ref="K34:L34"/>
    <mergeCell ref="I35:J35"/>
    <mergeCell ref="K35:L35"/>
    <mergeCell ref="I36:J36"/>
    <mergeCell ref="K36:L36"/>
    <mergeCell ref="P27:R32"/>
    <mergeCell ref="I28:J28"/>
    <mergeCell ref="K28:L28"/>
    <mergeCell ref="I29:J29"/>
    <mergeCell ref="K29:L29"/>
    <mergeCell ref="I30:J30"/>
    <mergeCell ref="K30:L30"/>
    <mergeCell ref="I31:J31"/>
    <mergeCell ref="K31:L31"/>
    <mergeCell ref="I32:J32"/>
    <mergeCell ref="I37:J37"/>
    <mergeCell ref="K37:L37"/>
    <mergeCell ref="A23:A26"/>
    <mergeCell ref="I23:J23"/>
    <mergeCell ref="K23:L23"/>
    <mergeCell ref="P23:R26"/>
    <mergeCell ref="I24:J24"/>
    <mergeCell ref="K24:L24"/>
    <mergeCell ref="I25:J25"/>
    <mergeCell ref="F21:F22"/>
    <mergeCell ref="G21:G22"/>
    <mergeCell ref="H21:H22"/>
    <mergeCell ref="I21:L21"/>
    <mergeCell ref="M21:N22"/>
    <mergeCell ref="O21:O22"/>
    <mergeCell ref="K25:L25"/>
    <mergeCell ref="B26:H26"/>
    <mergeCell ref="I26:J26"/>
    <mergeCell ref="K26:L26"/>
    <mergeCell ref="E16:H16"/>
    <mergeCell ref="I16:J16"/>
    <mergeCell ref="K16:L16"/>
    <mergeCell ref="I18:L18"/>
    <mergeCell ref="A20:R20"/>
    <mergeCell ref="A21:A22"/>
    <mergeCell ref="B21:B22"/>
    <mergeCell ref="C21:C22"/>
    <mergeCell ref="D21:D22"/>
    <mergeCell ref="E21:E22"/>
    <mergeCell ref="P21:R22"/>
    <mergeCell ref="I22:J22"/>
    <mergeCell ref="K22:L22"/>
    <mergeCell ref="A11:A14"/>
    <mergeCell ref="I11:J11"/>
    <mergeCell ref="K11:L11"/>
    <mergeCell ref="A7:A10"/>
    <mergeCell ref="I7:J7"/>
    <mergeCell ref="K7:L7"/>
    <mergeCell ref="P7:R10"/>
    <mergeCell ref="I8:J8"/>
    <mergeCell ref="K8:L8"/>
    <mergeCell ref="I9:J9"/>
    <mergeCell ref="K9:L9"/>
    <mergeCell ref="P11:R14"/>
    <mergeCell ref="I12:J12"/>
    <mergeCell ref="K12:L12"/>
    <mergeCell ref="I13:J13"/>
    <mergeCell ref="K13:L13"/>
    <mergeCell ref="B14:H14"/>
    <mergeCell ref="I14:J14"/>
    <mergeCell ref="K14:L14"/>
    <mergeCell ref="B10:H10"/>
    <mergeCell ref="I10:J10"/>
    <mergeCell ref="K10:L10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4"/>
  <sheetViews>
    <sheetView zoomScale="85" zoomScaleNormal="85" workbookViewId="0">
      <selection activeCell="D8" sqref="D8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40.6640625" style="76" customWidth="1"/>
    <col min="6" max="6" width="5.6640625" style="76" customWidth="1"/>
    <col min="7" max="7" width="6.6640625" style="76" customWidth="1"/>
    <col min="8" max="8" width="24.5546875" style="76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45952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44">
        <v>180925</v>
      </c>
      <c r="E7" s="89" t="s">
        <v>334</v>
      </c>
      <c r="F7" s="19">
        <v>304</v>
      </c>
      <c r="G7" s="20">
        <v>0.7</v>
      </c>
      <c r="H7" s="28" t="s">
        <v>55</v>
      </c>
      <c r="I7" s="143">
        <v>1150</v>
      </c>
      <c r="J7" s="144"/>
      <c r="K7" s="143"/>
      <c r="L7" s="144"/>
      <c r="M7" s="88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44">
        <v>180925</v>
      </c>
      <c r="E8" s="3" t="s">
        <v>335</v>
      </c>
      <c r="F8" s="19">
        <v>304</v>
      </c>
      <c r="G8" s="20">
        <v>0.7</v>
      </c>
      <c r="H8" s="28" t="s">
        <v>55</v>
      </c>
      <c r="I8" s="143">
        <v>1400</v>
      </c>
      <c r="J8" s="144"/>
      <c r="K8" s="143"/>
      <c r="L8" s="144"/>
      <c r="M8" s="88">
        <v>45</v>
      </c>
      <c r="N8" s="6" t="s">
        <v>13</v>
      </c>
      <c r="O8" s="21" t="s">
        <v>60</v>
      </c>
      <c r="P8" s="145"/>
      <c r="Q8" s="146"/>
      <c r="R8" s="147"/>
    </row>
    <row r="9" spans="1:18" ht="14.55" customHeight="1" x14ac:dyDescent="0.3">
      <c r="A9" s="141"/>
      <c r="B9" s="5"/>
      <c r="C9" s="5"/>
      <c r="D9" s="44"/>
      <c r="E9" s="3" t="s">
        <v>340</v>
      </c>
      <c r="F9" s="19"/>
      <c r="G9" s="20"/>
      <c r="H9" s="28"/>
      <c r="I9" s="143"/>
      <c r="J9" s="144"/>
      <c r="K9" s="143"/>
      <c r="L9" s="144"/>
      <c r="M9" s="88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88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2550</v>
      </c>
      <c r="J11" s="151"/>
      <c r="K11" s="150">
        <f>SUM(K7:L10)</f>
        <v>0</v>
      </c>
      <c r="L11" s="151"/>
      <c r="M11" s="10">
        <f>SUM(M7:M8)</f>
        <v>45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88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88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88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316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2550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2550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22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27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23</v>
      </c>
      <c r="J23" s="123"/>
      <c r="K23" s="121" t="s">
        <v>11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28</v>
      </c>
      <c r="B24" s="5">
        <v>0.33333333333333331</v>
      </c>
      <c r="C24" s="5">
        <v>0.70833333333333337</v>
      </c>
      <c r="D24" s="44">
        <v>250034</v>
      </c>
      <c r="E24" s="3" t="s">
        <v>283</v>
      </c>
      <c r="F24" s="19">
        <v>304</v>
      </c>
      <c r="G24" s="20">
        <v>0.7</v>
      </c>
      <c r="H24" s="28"/>
      <c r="I24" s="143"/>
      <c r="J24" s="144"/>
      <c r="K24" s="143">
        <v>850</v>
      </c>
      <c r="L24" s="144"/>
      <c r="M24" s="88"/>
      <c r="N24" s="6" t="s">
        <v>13</v>
      </c>
      <c r="O24" s="21"/>
      <c r="P24" s="168" t="s">
        <v>50</v>
      </c>
      <c r="Q24" s="169"/>
      <c r="R24" s="170"/>
    </row>
    <row r="25" spans="1:18" ht="14.55" customHeight="1" x14ac:dyDescent="0.3">
      <c r="A25" s="141"/>
      <c r="B25" s="5"/>
      <c r="C25" s="5"/>
      <c r="D25" s="44"/>
      <c r="E25" s="3"/>
      <c r="F25" s="19"/>
      <c r="G25" s="20"/>
      <c r="H25" s="28"/>
      <c r="I25" s="143"/>
      <c r="J25" s="144"/>
      <c r="K25" s="143"/>
      <c r="L25" s="144"/>
      <c r="M25" s="88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1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88"/>
      <c r="N26" s="6" t="s">
        <v>13</v>
      </c>
      <c r="O26" s="21"/>
      <c r="P26" s="168"/>
      <c r="Q26" s="169"/>
      <c r="R26" s="170"/>
    </row>
    <row r="27" spans="1:18" ht="14.55" customHeight="1" x14ac:dyDescent="0.3">
      <c r="A27" s="142"/>
      <c r="B27" s="148" t="s">
        <v>0</v>
      </c>
      <c r="C27" s="149"/>
      <c r="D27" s="149"/>
      <c r="E27" s="149"/>
      <c r="F27" s="149"/>
      <c r="G27" s="149"/>
      <c r="H27" s="171"/>
      <c r="I27" s="150">
        <f>SUM(I24:J26)</f>
        <v>0</v>
      </c>
      <c r="J27" s="151"/>
      <c r="K27" s="150">
        <f>SUM(K24:L26)</f>
        <v>850</v>
      </c>
      <c r="L27" s="151"/>
      <c r="M27" s="10">
        <f>SUM(M24:M26)</f>
        <v>0</v>
      </c>
      <c r="N27" s="11" t="s">
        <v>13</v>
      </c>
      <c r="O27" s="9"/>
      <c r="P27" s="168"/>
      <c r="Q27" s="169"/>
      <c r="R27" s="170"/>
    </row>
    <row r="28" spans="1:18" ht="14.55" customHeight="1" x14ac:dyDescent="0.3">
      <c r="A28" s="140" t="s">
        <v>24</v>
      </c>
      <c r="B28" s="5">
        <v>0.33333333333333331</v>
      </c>
      <c r="C28" s="5">
        <v>0.70833333333333337</v>
      </c>
      <c r="D28" s="44">
        <v>250034</v>
      </c>
      <c r="E28" s="3" t="s">
        <v>282</v>
      </c>
      <c r="F28" s="19">
        <v>304</v>
      </c>
      <c r="G28" s="20">
        <v>0.7</v>
      </c>
      <c r="H28" s="28"/>
      <c r="I28" s="143"/>
      <c r="J28" s="144"/>
      <c r="K28" s="143">
        <v>850</v>
      </c>
      <c r="L28" s="144"/>
      <c r="M28" s="88"/>
      <c r="N28" s="6" t="s">
        <v>13</v>
      </c>
      <c r="O28" s="21"/>
      <c r="P28" s="157" t="s">
        <v>51</v>
      </c>
      <c r="Q28" s="158"/>
      <c r="R28" s="159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88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88"/>
      <c r="N30" s="6" t="s">
        <v>13</v>
      </c>
      <c r="O30" s="21"/>
      <c r="P30" s="160"/>
      <c r="Q30" s="161"/>
      <c r="R30" s="162"/>
    </row>
    <row r="31" spans="1:18" ht="14.55" hidden="1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88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88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7"/>
      <c r="B33" s="148" t="s">
        <v>0</v>
      </c>
      <c r="C33" s="149"/>
      <c r="D33" s="149"/>
      <c r="E33" s="149"/>
      <c r="F33" s="149"/>
      <c r="G33" s="149"/>
      <c r="H33" s="171"/>
      <c r="I33" s="150">
        <f>SUM(I28:J32)</f>
        <v>0</v>
      </c>
      <c r="J33" s="151"/>
      <c r="K33" s="150">
        <f>SUM(K28:L32)</f>
        <v>850</v>
      </c>
      <c r="L33" s="151"/>
      <c r="M33" s="10">
        <f>SUM(M28:M32)</f>
        <v>0</v>
      </c>
      <c r="N33" s="11" t="s">
        <v>13</v>
      </c>
      <c r="O33" s="9"/>
      <c r="P33" s="163"/>
      <c r="Q33" s="164"/>
      <c r="R33" s="165"/>
    </row>
    <row r="34" spans="1:18" ht="14.55" customHeight="1" x14ac:dyDescent="0.3">
      <c r="A34" s="140" t="s">
        <v>25</v>
      </c>
      <c r="B34" s="5"/>
      <c r="C34" s="5"/>
      <c r="D34" s="44"/>
      <c r="E34" s="3"/>
      <c r="F34" s="19"/>
      <c r="G34" s="20"/>
      <c r="H34" s="28"/>
      <c r="I34" s="143"/>
      <c r="J34" s="144"/>
      <c r="K34" s="143"/>
      <c r="L34" s="144"/>
      <c r="M34" s="88"/>
      <c r="N34" s="6" t="s">
        <v>13</v>
      </c>
      <c r="O34" s="21"/>
      <c r="P34" s="145" t="s">
        <v>53</v>
      </c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88"/>
      <c r="N35" s="6" t="s">
        <v>13</v>
      </c>
      <c r="O35" s="21"/>
      <c r="P35" s="168"/>
      <c r="Q35" s="169"/>
      <c r="R35" s="170"/>
    </row>
    <row r="36" spans="1:18" ht="14.55" hidden="1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88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88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1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88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42"/>
      <c r="B39" s="148" t="s">
        <v>0</v>
      </c>
      <c r="C39" s="149"/>
      <c r="D39" s="149"/>
      <c r="E39" s="149"/>
      <c r="F39" s="149"/>
      <c r="G39" s="149"/>
      <c r="H39" s="149"/>
      <c r="I39" s="150">
        <f>SUM(I34:J38)</f>
        <v>0</v>
      </c>
      <c r="J39" s="151"/>
      <c r="K39" s="150">
        <f>SUM(K34:L38)</f>
        <v>0</v>
      </c>
      <c r="L39" s="151"/>
      <c r="M39" s="10">
        <f>SUM(M34:M38)</f>
        <v>0</v>
      </c>
      <c r="N39" s="11" t="s">
        <v>13</v>
      </c>
      <c r="O39" s="9"/>
      <c r="P39" s="168"/>
      <c r="Q39" s="169"/>
      <c r="R39" s="170"/>
    </row>
    <row r="41" spans="1:18" x14ac:dyDescent="0.3">
      <c r="E41" s="148" t="s">
        <v>26</v>
      </c>
      <c r="F41" s="149"/>
      <c r="G41" s="149"/>
      <c r="H41" s="149"/>
      <c r="I41" s="152" t="s">
        <v>23</v>
      </c>
      <c r="J41" s="153"/>
      <c r="K41" s="152" t="s">
        <v>11</v>
      </c>
      <c r="L41" s="153"/>
    </row>
    <row r="42" spans="1:18" s="36" customFormat="1" x14ac:dyDescent="0.3">
      <c r="E42" s="7"/>
      <c r="F42" s="7"/>
      <c r="G42" s="7"/>
      <c r="H42" s="7"/>
      <c r="I42" s="22">
        <f>I33+I39</f>
        <v>0</v>
      </c>
      <c r="J42" s="14" t="s">
        <v>12</v>
      </c>
      <c r="K42" s="22">
        <f>K33+K39</f>
        <v>850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850</v>
      </c>
      <c r="J43" s="155"/>
      <c r="K43" s="155"/>
      <c r="L43" s="156"/>
    </row>
    <row r="45" spans="1:18" s="8" customFormat="1" ht="30" customHeight="1" x14ac:dyDescent="0.3">
      <c r="A45" s="133" t="s">
        <v>321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27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23</v>
      </c>
      <c r="J47" s="123"/>
      <c r="K47" s="121" t="s">
        <v>11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132</v>
      </c>
      <c r="B48" s="5"/>
      <c r="C48" s="5"/>
      <c r="D48" s="4"/>
      <c r="E48" s="3" t="s">
        <v>336</v>
      </c>
      <c r="F48" s="19"/>
      <c r="G48" s="20"/>
      <c r="H48" s="28"/>
      <c r="I48" s="143"/>
      <c r="J48" s="144"/>
      <c r="K48" s="143"/>
      <c r="L48" s="144"/>
      <c r="M48" s="88"/>
      <c r="N48" s="6" t="s">
        <v>13</v>
      </c>
      <c r="O48" s="21"/>
      <c r="P48" s="157"/>
      <c r="Q48" s="158"/>
      <c r="R48" s="159"/>
    </row>
    <row r="49" spans="1:18" ht="14.55" customHeight="1" x14ac:dyDescent="0.3">
      <c r="A49" s="166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88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88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6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88"/>
      <c r="N51" s="6" t="s">
        <v>13</v>
      </c>
      <c r="O51" s="21"/>
      <c r="P51" s="160"/>
      <c r="Q51" s="161"/>
      <c r="R51" s="162"/>
    </row>
    <row r="52" spans="1:18" ht="14.55" customHeight="1" x14ac:dyDescent="0.3">
      <c r="A52" s="167"/>
      <c r="B52" s="148" t="s">
        <v>0</v>
      </c>
      <c r="C52" s="149"/>
      <c r="D52" s="149"/>
      <c r="E52" s="149"/>
      <c r="F52" s="149"/>
      <c r="G52" s="149"/>
      <c r="H52" s="149"/>
      <c r="I52" s="150">
        <f ca="1">SUM(I48:J52)</f>
        <v>0</v>
      </c>
      <c r="J52" s="151"/>
      <c r="K52" s="150">
        <f ca="1">SUM(K48:L52)</f>
        <v>0</v>
      </c>
      <c r="L52" s="151"/>
      <c r="M52" s="10">
        <f>SUM(M48:M51)</f>
        <v>0</v>
      </c>
      <c r="N52" s="11" t="s">
        <v>13</v>
      </c>
      <c r="O52" s="9"/>
      <c r="P52" s="163"/>
      <c r="Q52" s="164"/>
      <c r="R52" s="165"/>
    </row>
    <row r="54" spans="1:18" x14ac:dyDescent="0.3">
      <c r="E54" s="148" t="s">
        <v>317</v>
      </c>
      <c r="F54" s="149"/>
      <c r="G54" s="149"/>
      <c r="H54" s="149"/>
      <c r="I54" s="152" t="s">
        <v>23</v>
      </c>
      <c r="J54" s="153"/>
      <c r="K54" s="172" t="s">
        <v>11</v>
      </c>
      <c r="L54" s="153"/>
    </row>
    <row r="55" spans="1:18" s="36" customFormat="1" x14ac:dyDescent="0.3">
      <c r="E55" s="7"/>
      <c r="F55" s="7"/>
      <c r="G55" s="7"/>
      <c r="H55" s="7"/>
      <c r="I55" s="22">
        <f ca="1">I52</f>
        <v>0</v>
      </c>
      <c r="J55" s="14" t="s">
        <v>12</v>
      </c>
      <c r="K55" s="22">
        <f ca="1">K52</f>
        <v>0</v>
      </c>
      <c r="L55" s="15" t="s">
        <v>12</v>
      </c>
    </row>
    <row r="56" spans="1:18" s="1" customFormat="1" ht="24.45" customHeight="1" x14ac:dyDescent="0.3">
      <c r="A56" s="76"/>
      <c r="B56" s="76"/>
      <c r="C56" s="76"/>
      <c r="E56" s="13"/>
      <c r="F56" s="13"/>
      <c r="G56" s="13"/>
      <c r="H56" s="13"/>
      <c r="I56" s="154">
        <f ca="1">I55+K55</f>
        <v>0</v>
      </c>
      <c r="J56" s="155"/>
      <c r="K56" s="155"/>
      <c r="L56" s="156"/>
      <c r="N56" s="76"/>
      <c r="O56" s="76"/>
      <c r="P56" s="76"/>
      <c r="Q56" s="76"/>
      <c r="R56" s="76"/>
    </row>
    <row r="58" spans="1:18" s="8" customFormat="1" ht="30" customHeight="1" x14ac:dyDescent="0.3">
      <c r="A58" s="133" t="s">
        <v>36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6"/>
    </row>
    <row r="59" spans="1:18" s="12" customFormat="1" ht="14.55" customHeight="1" x14ac:dyDescent="0.3">
      <c r="A59" s="128" t="s">
        <v>1</v>
      </c>
      <c r="B59" s="137" t="s">
        <v>2</v>
      </c>
      <c r="C59" s="137" t="s">
        <v>3</v>
      </c>
      <c r="D59" s="137" t="s">
        <v>4</v>
      </c>
      <c r="E59" s="124" t="s">
        <v>5</v>
      </c>
      <c r="F59" s="138" t="s">
        <v>14</v>
      </c>
      <c r="G59" s="138" t="s">
        <v>15</v>
      </c>
      <c r="H59" s="119" t="s">
        <v>29</v>
      </c>
      <c r="I59" s="121" t="s">
        <v>6</v>
      </c>
      <c r="J59" s="122"/>
      <c r="K59" s="122"/>
      <c r="L59" s="123"/>
      <c r="M59" s="124" t="s">
        <v>7</v>
      </c>
      <c r="N59" s="125"/>
      <c r="O59" s="128" t="s">
        <v>8</v>
      </c>
      <c r="P59" s="128" t="s">
        <v>9</v>
      </c>
      <c r="Q59" s="128"/>
      <c r="R59" s="128"/>
    </row>
    <row r="60" spans="1:18" s="12" customFormat="1" ht="13.05" customHeight="1" x14ac:dyDescent="0.3">
      <c r="A60" s="128"/>
      <c r="B60" s="137"/>
      <c r="C60" s="137"/>
      <c r="D60" s="137"/>
      <c r="E60" s="126"/>
      <c r="F60" s="139"/>
      <c r="G60" s="139"/>
      <c r="H60" s="120"/>
      <c r="I60" s="121" t="s">
        <v>19</v>
      </c>
      <c r="J60" s="123"/>
      <c r="K60" s="121" t="s">
        <v>20</v>
      </c>
      <c r="L60" s="123"/>
      <c r="M60" s="126"/>
      <c r="N60" s="127"/>
      <c r="O60" s="128"/>
      <c r="P60" s="128"/>
      <c r="Q60" s="128"/>
      <c r="R60" s="128"/>
    </row>
    <row r="61" spans="1:18" ht="14.55" customHeight="1" x14ac:dyDescent="0.3">
      <c r="A61" s="140" t="s">
        <v>37</v>
      </c>
      <c r="B61" s="5">
        <v>0.33333333333333331</v>
      </c>
      <c r="C61" s="5"/>
      <c r="D61" s="4">
        <v>180925</v>
      </c>
      <c r="E61" s="3" t="s">
        <v>337</v>
      </c>
      <c r="F61" s="19">
        <v>304</v>
      </c>
      <c r="G61" s="20">
        <v>0.7</v>
      </c>
      <c r="H61" s="28" t="s">
        <v>137</v>
      </c>
      <c r="I61" s="143">
        <v>612</v>
      </c>
      <c r="J61" s="144"/>
      <c r="K61" s="143"/>
      <c r="L61" s="144"/>
      <c r="M61" s="88"/>
      <c r="N61" s="6" t="s">
        <v>13</v>
      </c>
      <c r="O61" s="21"/>
      <c r="P61" s="157"/>
      <c r="Q61" s="158"/>
      <c r="R61" s="159"/>
    </row>
    <row r="62" spans="1:18" ht="14.55" customHeight="1" x14ac:dyDescent="0.3">
      <c r="A62" s="166"/>
      <c r="B62" s="5"/>
      <c r="C62" s="5">
        <v>0.70833333333333337</v>
      </c>
      <c r="D62" s="4">
        <v>180925</v>
      </c>
      <c r="E62" s="3" t="s">
        <v>338</v>
      </c>
      <c r="F62" s="19">
        <v>304</v>
      </c>
      <c r="G62" s="20">
        <v>0.7</v>
      </c>
      <c r="H62" s="28" t="s">
        <v>137</v>
      </c>
      <c r="I62" s="143">
        <v>2006</v>
      </c>
      <c r="J62" s="144"/>
      <c r="K62" s="143"/>
      <c r="L62" s="144"/>
      <c r="M62" s="88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88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88"/>
      <c r="N64" s="6" t="s">
        <v>13</v>
      </c>
      <c r="O64" s="21"/>
      <c r="P64" s="160"/>
      <c r="Q64" s="161"/>
      <c r="R64" s="162"/>
    </row>
    <row r="65" spans="1:18" ht="14.55" customHeight="1" x14ac:dyDescent="0.3">
      <c r="A65" s="167"/>
      <c r="B65" s="148" t="s">
        <v>0</v>
      </c>
      <c r="C65" s="149"/>
      <c r="D65" s="149"/>
      <c r="E65" s="149"/>
      <c r="F65" s="149"/>
      <c r="G65" s="149"/>
      <c r="H65" s="149"/>
      <c r="I65" s="150">
        <f>SUM(I61:J64)</f>
        <v>2618</v>
      </c>
      <c r="J65" s="151"/>
      <c r="K65" s="150">
        <f>SUM(K61:L64)</f>
        <v>0</v>
      </c>
      <c r="L65" s="151"/>
      <c r="M65" s="10">
        <f>SUM(M61:M64)</f>
        <v>0</v>
      </c>
      <c r="N65" s="11" t="s">
        <v>13</v>
      </c>
      <c r="O65" s="9"/>
      <c r="P65" s="163"/>
      <c r="Q65" s="164"/>
      <c r="R65" s="165"/>
    </row>
    <row r="66" spans="1:18" ht="14.55" customHeight="1" x14ac:dyDescent="0.3">
      <c r="D66" s="76"/>
      <c r="E66" s="1"/>
      <c r="F66" s="1"/>
      <c r="G66" s="1"/>
      <c r="H66" s="1"/>
      <c r="M66" s="76"/>
    </row>
    <row r="67" spans="1:18" x14ac:dyDescent="0.3">
      <c r="E67" s="148" t="s">
        <v>324</v>
      </c>
      <c r="F67" s="149"/>
      <c r="G67" s="149"/>
      <c r="H67" s="149"/>
      <c r="I67" s="152" t="s">
        <v>19</v>
      </c>
      <c r="J67" s="153"/>
      <c r="K67" s="152" t="s">
        <v>20</v>
      </c>
      <c r="L67" s="153"/>
    </row>
    <row r="68" spans="1:18" s="36" customFormat="1" x14ac:dyDescent="0.3">
      <c r="E68" s="7"/>
      <c r="F68" s="7"/>
      <c r="G68" s="7"/>
      <c r="H68" s="7"/>
      <c r="I68" s="22">
        <f>I65</f>
        <v>2618</v>
      </c>
      <c r="J68" s="14" t="s">
        <v>12</v>
      </c>
      <c r="K68" s="22">
        <f>K65</f>
        <v>0</v>
      </c>
      <c r="L68" s="15" t="s">
        <v>12</v>
      </c>
    </row>
    <row r="69" spans="1:18" ht="24.45" customHeight="1" x14ac:dyDescent="0.3">
      <c r="E69" s="13"/>
      <c r="F69" s="13"/>
      <c r="G69" s="13"/>
      <c r="H69" s="13"/>
      <c r="I69" s="154">
        <f>I68+K68</f>
        <v>2618</v>
      </c>
      <c r="J69" s="155"/>
      <c r="K69" s="155"/>
      <c r="L69" s="156"/>
    </row>
    <row r="71" spans="1:18" s="8" customFormat="1" ht="30" customHeight="1" x14ac:dyDescent="0.3">
      <c r="A71" s="133" t="s">
        <v>322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6"/>
    </row>
    <row r="72" spans="1:18" s="12" customFormat="1" ht="14.55" customHeight="1" x14ac:dyDescent="0.3">
      <c r="A72" s="128" t="s">
        <v>1</v>
      </c>
      <c r="B72" s="137" t="s">
        <v>2</v>
      </c>
      <c r="C72" s="137" t="s">
        <v>3</v>
      </c>
      <c r="D72" s="137" t="s">
        <v>4</v>
      </c>
      <c r="E72" s="124" t="s">
        <v>5</v>
      </c>
      <c r="F72" s="138" t="s">
        <v>14</v>
      </c>
      <c r="G72" s="138" t="s">
        <v>15</v>
      </c>
      <c r="H72" s="119" t="s">
        <v>29</v>
      </c>
      <c r="I72" s="121" t="s">
        <v>6</v>
      </c>
      <c r="J72" s="122"/>
      <c r="K72" s="122"/>
      <c r="L72" s="123"/>
      <c r="M72" s="124" t="s">
        <v>7</v>
      </c>
      <c r="N72" s="125"/>
      <c r="O72" s="128" t="s">
        <v>8</v>
      </c>
      <c r="P72" s="128" t="s">
        <v>9</v>
      </c>
      <c r="Q72" s="128"/>
      <c r="R72" s="128"/>
    </row>
    <row r="73" spans="1:18" s="12" customFormat="1" ht="13.05" customHeight="1" x14ac:dyDescent="0.3">
      <c r="A73" s="128"/>
      <c r="B73" s="137"/>
      <c r="C73" s="137"/>
      <c r="D73" s="137"/>
      <c r="E73" s="126"/>
      <c r="F73" s="139"/>
      <c r="G73" s="139"/>
      <c r="H73" s="120"/>
      <c r="I73" s="121" t="s">
        <v>19</v>
      </c>
      <c r="J73" s="123"/>
      <c r="K73" s="121" t="s">
        <v>20</v>
      </c>
      <c r="L73" s="123"/>
      <c r="M73" s="126"/>
      <c r="N73" s="127"/>
      <c r="O73" s="128"/>
      <c r="P73" s="128"/>
      <c r="Q73" s="128"/>
      <c r="R73" s="128"/>
    </row>
    <row r="74" spans="1:18" ht="14.55" customHeight="1" x14ac:dyDescent="0.3">
      <c r="A74" s="140" t="s">
        <v>37</v>
      </c>
      <c r="B74" s="5"/>
      <c r="C74" s="5"/>
      <c r="D74" s="4"/>
      <c r="E74" s="3" t="s">
        <v>339</v>
      </c>
      <c r="F74" s="19"/>
      <c r="G74" s="20"/>
      <c r="H74" s="28"/>
      <c r="I74" s="143"/>
      <c r="J74" s="144"/>
      <c r="K74" s="143"/>
      <c r="L74" s="144"/>
      <c r="M74" s="88"/>
      <c r="N74" s="6" t="s">
        <v>13</v>
      </c>
      <c r="O74" s="21"/>
      <c r="P74" s="157"/>
      <c r="Q74" s="158"/>
      <c r="R74" s="159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88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88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88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7"/>
      <c r="B78" s="148" t="s">
        <v>0</v>
      </c>
      <c r="C78" s="149"/>
      <c r="D78" s="149"/>
      <c r="E78" s="149"/>
      <c r="F78" s="149"/>
      <c r="G78" s="149"/>
      <c r="H78" s="149"/>
      <c r="I78" s="150">
        <f>SUM(I74:J77)</f>
        <v>0</v>
      </c>
      <c r="J78" s="151"/>
      <c r="K78" s="150">
        <f>SUM(K74:L77)</f>
        <v>0</v>
      </c>
      <c r="L78" s="151"/>
      <c r="M78" s="10">
        <f>SUM(M74:M77)</f>
        <v>0</v>
      </c>
      <c r="N78" s="11" t="s">
        <v>13</v>
      </c>
      <c r="O78" s="9"/>
      <c r="P78" s="163"/>
      <c r="Q78" s="164"/>
      <c r="R78" s="165"/>
    </row>
    <row r="79" spans="1:18" ht="14.55" customHeight="1" x14ac:dyDescent="0.3">
      <c r="D79" s="76"/>
      <c r="E79" s="1"/>
      <c r="F79" s="1"/>
      <c r="G79" s="1"/>
      <c r="H79" s="1"/>
      <c r="M79" s="76"/>
    </row>
    <row r="80" spans="1:18" x14ac:dyDescent="0.3">
      <c r="E80" s="148" t="s">
        <v>323</v>
      </c>
      <c r="F80" s="149"/>
      <c r="G80" s="149"/>
      <c r="H80" s="149"/>
      <c r="I80" s="152" t="s">
        <v>19</v>
      </c>
      <c r="J80" s="153"/>
      <c r="K80" s="152" t="s">
        <v>20</v>
      </c>
      <c r="L80" s="153"/>
    </row>
    <row r="81" spans="1:18" s="36" customFormat="1" x14ac:dyDescent="0.3">
      <c r="E81" s="7"/>
      <c r="F81" s="7"/>
      <c r="G81" s="7"/>
      <c r="H81" s="7"/>
      <c r="I81" s="22">
        <f>I78</f>
        <v>0</v>
      </c>
      <c r="J81" s="14" t="s">
        <v>12</v>
      </c>
      <c r="K81" s="22">
        <f>K78</f>
        <v>0</v>
      </c>
      <c r="L81" s="15" t="s">
        <v>12</v>
      </c>
    </row>
    <row r="82" spans="1:18" ht="24.45" customHeight="1" x14ac:dyDescent="0.3">
      <c r="E82" s="13"/>
      <c r="F82" s="13"/>
      <c r="G82" s="13"/>
      <c r="H82" s="13"/>
      <c r="I82" s="154">
        <f>I81+K81</f>
        <v>0</v>
      </c>
      <c r="J82" s="155"/>
      <c r="K82" s="155"/>
      <c r="L82" s="156"/>
    </row>
    <row r="84" spans="1:18" s="8" customFormat="1" ht="30" customHeight="1" x14ac:dyDescent="0.3">
      <c r="A84" s="133" t="s">
        <v>30</v>
      </c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6"/>
    </row>
    <row r="85" spans="1:18" s="12" customFormat="1" ht="14.55" customHeight="1" x14ac:dyDescent="0.3">
      <c r="A85" s="128" t="s">
        <v>1</v>
      </c>
      <c r="B85" s="137" t="s">
        <v>2</v>
      </c>
      <c r="C85" s="137" t="s">
        <v>3</v>
      </c>
      <c r="D85" s="137" t="s">
        <v>4</v>
      </c>
      <c r="E85" s="124" t="s">
        <v>5</v>
      </c>
      <c r="F85" s="138" t="s">
        <v>14</v>
      </c>
      <c r="G85" s="138" t="s">
        <v>15</v>
      </c>
      <c r="H85" s="119" t="s">
        <v>29</v>
      </c>
      <c r="I85" s="121" t="s">
        <v>6</v>
      </c>
      <c r="J85" s="122"/>
      <c r="K85" s="122"/>
      <c r="L85" s="123"/>
      <c r="M85" s="124" t="s">
        <v>7</v>
      </c>
      <c r="N85" s="125"/>
      <c r="O85" s="128" t="s">
        <v>8</v>
      </c>
      <c r="P85" s="128" t="s">
        <v>9</v>
      </c>
      <c r="Q85" s="128"/>
      <c r="R85" s="128"/>
    </row>
    <row r="86" spans="1:18" s="12" customFormat="1" ht="13.05" customHeight="1" x14ac:dyDescent="0.3">
      <c r="A86" s="128"/>
      <c r="B86" s="137"/>
      <c r="C86" s="137"/>
      <c r="D86" s="137"/>
      <c r="E86" s="126"/>
      <c r="F86" s="139"/>
      <c r="G86" s="139"/>
      <c r="H86" s="120"/>
      <c r="I86" s="121" t="s">
        <v>19</v>
      </c>
      <c r="J86" s="123"/>
      <c r="K86" s="121" t="s">
        <v>20</v>
      </c>
      <c r="L86" s="123"/>
      <c r="M86" s="126"/>
      <c r="N86" s="127"/>
      <c r="O86" s="128"/>
      <c r="P86" s="128"/>
      <c r="Q86" s="128"/>
      <c r="R86" s="128"/>
    </row>
    <row r="87" spans="1:18" ht="14.55" customHeight="1" x14ac:dyDescent="0.3">
      <c r="A87" s="140" t="s">
        <v>35</v>
      </c>
      <c r="B87" s="5"/>
      <c r="C87" s="5"/>
      <c r="D87" s="4"/>
      <c r="E87" s="3" t="s">
        <v>339</v>
      </c>
      <c r="F87" s="19"/>
      <c r="G87" s="20"/>
      <c r="H87" s="28"/>
      <c r="I87" s="143"/>
      <c r="J87" s="144"/>
      <c r="K87" s="143"/>
      <c r="L87" s="144"/>
      <c r="M87" s="88"/>
      <c r="N87" s="6" t="s">
        <v>13</v>
      </c>
      <c r="O87" s="21"/>
      <c r="P87" s="168"/>
      <c r="Q87" s="169"/>
      <c r="R87" s="170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88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88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7"/>
      <c r="B90" s="148" t="s">
        <v>0</v>
      </c>
      <c r="C90" s="149"/>
      <c r="D90" s="149"/>
      <c r="E90" s="149"/>
      <c r="F90" s="149"/>
      <c r="G90" s="149"/>
      <c r="H90" s="149"/>
      <c r="I90" s="150">
        <f>SUM(I87:J89)</f>
        <v>0</v>
      </c>
      <c r="J90" s="151"/>
      <c r="K90" s="150">
        <f>SUM(K87:L89)</f>
        <v>0</v>
      </c>
      <c r="L90" s="151"/>
      <c r="M90" s="10">
        <f>SUM(M87:M89)</f>
        <v>0</v>
      </c>
      <c r="N90" s="11" t="s">
        <v>13</v>
      </c>
      <c r="O90" s="9"/>
      <c r="P90" s="168"/>
      <c r="Q90" s="169"/>
      <c r="R90" s="170"/>
    </row>
    <row r="91" spans="1:18" ht="14.55" customHeight="1" x14ac:dyDescent="0.3">
      <c r="D91" s="76"/>
      <c r="E91" s="1"/>
      <c r="F91" s="1"/>
      <c r="G91" s="1"/>
      <c r="H91" s="1"/>
      <c r="M91" s="76"/>
    </row>
    <row r="92" spans="1:18" x14ac:dyDescent="0.3">
      <c r="E92" s="148" t="s">
        <v>34</v>
      </c>
      <c r="F92" s="149"/>
      <c r="G92" s="149"/>
      <c r="H92" s="149"/>
      <c r="I92" s="152" t="s">
        <v>19</v>
      </c>
      <c r="J92" s="153"/>
      <c r="K92" s="152" t="s">
        <v>20</v>
      </c>
      <c r="L92" s="153"/>
    </row>
    <row r="93" spans="1:18" s="36" customFormat="1" x14ac:dyDescent="0.3">
      <c r="E93" s="7"/>
      <c r="F93" s="7"/>
      <c r="G93" s="7"/>
      <c r="H93" s="7"/>
      <c r="I93" s="22">
        <f>I90</f>
        <v>0</v>
      </c>
      <c r="J93" s="14" t="s">
        <v>12</v>
      </c>
      <c r="K93" s="22">
        <f>K90</f>
        <v>0</v>
      </c>
      <c r="L93" s="15" t="s">
        <v>12</v>
      </c>
    </row>
    <row r="94" spans="1:18" s="1" customFormat="1" ht="24.45" customHeight="1" x14ac:dyDescent="0.3">
      <c r="A94" s="76"/>
      <c r="B94" s="76"/>
      <c r="C94" s="76"/>
      <c r="E94" s="13"/>
      <c r="F94" s="13"/>
      <c r="G94" s="13"/>
      <c r="H94" s="13"/>
      <c r="I94" s="154">
        <f>I93+K93</f>
        <v>0</v>
      </c>
      <c r="J94" s="155"/>
      <c r="K94" s="155"/>
      <c r="L94" s="156"/>
      <c r="N94" s="76"/>
      <c r="O94" s="76"/>
      <c r="P94" s="76"/>
      <c r="Q94" s="76"/>
      <c r="R94" s="76"/>
    </row>
  </sheetData>
  <mergeCells count="232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24:A27"/>
    <mergeCell ref="I24:J24"/>
    <mergeCell ref="K24:L24"/>
    <mergeCell ref="P24:R27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B27:H27"/>
    <mergeCell ref="I27:J27"/>
    <mergeCell ref="K27:L27"/>
    <mergeCell ref="A28:A33"/>
    <mergeCell ref="I28:J28"/>
    <mergeCell ref="K28:L28"/>
    <mergeCell ref="B33:H33"/>
    <mergeCell ref="K33:L33"/>
    <mergeCell ref="P34:R39"/>
    <mergeCell ref="I35:J35"/>
    <mergeCell ref="K35:L35"/>
    <mergeCell ref="I36:J36"/>
    <mergeCell ref="K36:L36"/>
    <mergeCell ref="I37:J37"/>
    <mergeCell ref="K37:L37"/>
    <mergeCell ref="P28:R33"/>
    <mergeCell ref="I29:J29"/>
    <mergeCell ref="K29:L29"/>
    <mergeCell ref="I30:J30"/>
    <mergeCell ref="K30:L30"/>
    <mergeCell ref="I31:J31"/>
    <mergeCell ref="K31:L31"/>
    <mergeCell ref="I32:J32"/>
    <mergeCell ref="K32:L32"/>
    <mergeCell ref="I33:J33"/>
    <mergeCell ref="I38:J38"/>
    <mergeCell ref="K38:L38"/>
    <mergeCell ref="B39:H39"/>
    <mergeCell ref="I39:J39"/>
    <mergeCell ref="K39:L39"/>
    <mergeCell ref="E41:H41"/>
    <mergeCell ref="I41:J41"/>
    <mergeCell ref="K41:L41"/>
    <mergeCell ref="A34:A39"/>
    <mergeCell ref="I34:J34"/>
    <mergeCell ref="K34:L34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P48:R52"/>
    <mergeCell ref="I49:J49"/>
    <mergeCell ref="K49:L49"/>
    <mergeCell ref="I50:J50"/>
    <mergeCell ref="K50:L50"/>
    <mergeCell ref="I51:J51"/>
    <mergeCell ref="K51:L51"/>
    <mergeCell ref="I46:L46"/>
    <mergeCell ref="M46:N47"/>
    <mergeCell ref="O46:O47"/>
    <mergeCell ref="P46:R47"/>
    <mergeCell ref="I47:J47"/>
    <mergeCell ref="K47:L47"/>
    <mergeCell ref="B52:H52"/>
    <mergeCell ref="I52:J52"/>
    <mergeCell ref="K52:L52"/>
    <mergeCell ref="E54:H54"/>
    <mergeCell ref="I54:J54"/>
    <mergeCell ref="K54:L54"/>
    <mergeCell ref="A48:A52"/>
    <mergeCell ref="I48:J48"/>
    <mergeCell ref="K48:L48"/>
    <mergeCell ref="I56:L56"/>
    <mergeCell ref="A58:R58"/>
    <mergeCell ref="A59:A60"/>
    <mergeCell ref="B59:B60"/>
    <mergeCell ref="C59:C60"/>
    <mergeCell ref="D59:D60"/>
    <mergeCell ref="E59:E60"/>
    <mergeCell ref="F59:F60"/>
    <mergeCell ref="G59:G60"/>
    <mergeCell ref="H59:H60"/>
    <mergeCell ref="P61:R65"/>
    <mergeCell ref="I62:J62"/>
    <mergeCell ref="K62:L62"/>
    <mergeCell ref="I63:J63"/>
    <mergeCell ref="K63:L63"/>
    <mergeCell ref="I64:J64"/>
    <mergeCell ref="K64:L64"/>
    <mergeCell ref="I59:L59"/>
    <mergeCell ref="M59:N60"/>
    <mergeCell ref="O59:O60"/>
    <mergeCell ref="P59:R60"/>
    <mergeCell ref="I60:J60"/>
    <mergeCell ref="K60:L60"/>
    <mergeCell ref="B65:H65"/>
    <mergeCell ref="I65:J65"/>
    <mergeCell ref="K65:L65"/>
    <mergeCell ref="E67:H67"/>
    <mergeCell ref="I67:J67"/>
    <mergeCell ref="K67:L67"/>
    <mergeCell ref="A61:A65"/>
    <mergeCell ref="I61:J61"/>
    <mergeCell ref="K61:L61"/>
    <mergeCell ref="I69:L69"/>
    <mergeCell ref="A71:R71"/>
    <mergeCell ref="A72:A73"/>
    <mergeCell ref="B72:B73"/>
    <mergeCell ref="C72:C73"/>
    <mergeCell ref="D72:D73"/>
    <mergeCell ref="E72:E73"/>
    <mergeCell ref="F72:F73"/>
    <mergeCell ref="G72:G73"/>
    <mergeCell ref="H72:H73"/>
    <mergeCell ref="P74:R78"/>
    <mergeCell ref="I75:J75"/>
    <mergeCell ref="K75:L75"/>
    <mergeCell ref="I76:J76"/>
    <mergeCell ref="K76:L76"/>
    <mergeCell ref="I77:J77"/>
    <mergeCell ref="K77:L77"/>
    <mergeCell ref="I72:L72"/>
    <mergeCell ref="M72:N73"/>
    <mergeCell ref="O72:O73"/>
    <mergeCell ref="P72:R73"/>
    <mergeCell ref="I73:J73"/>
    <mergeCell ref="K73:L73"/>
    <mergeCell ref="B78:H78"/>
    <mergeCell ref="I78:J78"/>
    <mergeCell ref="K78:L78"/>
    <mergeCell ref="E80:H80"/>
    <mergeCell ref="I80:J80"/>
    <mergeCell ref="K80:L80"/>
    <mergeCell ref="A74:A78"/>
    <mergeCell ref="I74:J74"/>
    <mergeCell ref="K74:L74"/>
    <mergeCell ref="I85:L85"/>
    <mergeCell ref="M85:N86"/>
    <mergeCell ref="O85:O86"/>
    <mergeCell ref="P85:R86"/>
    <mergeCell ref="I86:J86"/>
    <mergeCell ref="K86:L86"/>
    <mergeCell ref="I82:L82"/>
    <mergeCell ref="A84:R84"/>
    <mergeCell ref="A85:A86"/>
    <mergeCell ref="B85:B86"/>
    <mergeCell ref="C85:C86"/>
    <mergeCell ref="D85:D86"/>
    <mergeCell ref="E85:E86"/>
    <mergeCell ref="F85:F86"/>
    <mergeCell ref="G85:G86"/>
    <mergeCell ref="H85:H86"/>
    <mergeCell ref="K90:L90"/>
    <mergeCell ref="P90:R90"/>
    <mergeCell ref="E92:H92"/>
    <mergeCell ref="I92:J92"/>
    <mergeCell ref="K92:L92"/>
    <mergeCell ref="I94:L94"/>
    <mergeCell ref="A87:A90"/>
    <mergeCell ref="I87:J87"/>
    <mergeCell ref="K87:L87"/>
    <mergeCell ref="P87:R89"/>
    <mergeCell ref="I88:J88"/>
    <mergeCell ref="K88:L88"/>
    <mergeCell ref="I89:J89"/>
    <mergeCell ref="K89:L89"/>
    <mergeCell ref="B90:H90"/>
    <mergeCell ref="I90:J90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4"/>
  <sheetViews>
    <sheetView zoomScale="85" zoomScaleNormal="85" workbookViewId="0">
      <selection activeCell="A4" sqref="A4:R4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40.6640625" style="76" customWidth="1"/>
    <col min="6" max="6" width="5.6640625" style="76" customWidth="1"/>
    <col min="7" max="7" width="6.6640625" style="76" customWidth="1"/>
    <col min="8" max="8" width="24.5546875" style="76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45953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44">
        <v>180925</v>
      </c>
      <c r="E7" s="84" t="s">
        <v>341</v>
      </c>
      <c r="F7" s="19">
        <v>304</v>
      </c>
      <c r="G7" s="20">
        <v>0.7</v>
      </c>
      <c r="H7" s="28" t="s">
        <v>55</v>
      </c>
      <c r="I7" s="143">
        <v>750</v>
      </c>
      <c r="J7" s="144"/>
      <c r="K7" s="143"/>
      <c r="L7" s="144"/>
      <c r="M7" s="90">
        <v>45</v>
      </c>
      <c r="N7" s="6" t="s">
        <v>13</v>
      </c>
      <c r="O7" s="21" t="s">
        <v>60</v>
      </c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44">
        <v>180925</v>
      </c>
      <c r="E8" s="3" t="s">
        <v>342</v>
      </c>
      <c r="F8" s="19">
        <v>304</v>
      </c>
      <c r="G8" s="20">
        <v>0.7</v>
      </c>
      <c r="H8" s="28" t="s">
        <v>55</v>
      </c>
      <c r="I8" s="143">
        <v>1800</v>
      </c>
      <c r="J8" s="144"/>
      <c r="K8" s="143"/>
      <c r="L8" s="144"/>
      <c r="M8" s="90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4"/>
      <c r="E9" s="3"/>
      <c r="F9" s="19"/>
      <c r="G9" s="20"/>
      <c r="H9" s="28"/>
      <c r="I9" s="143"/>
      <c r="J9" s="144"/>
      <c r="K9" s="143"/>
      <c r="L9" s="144"/>
      <c r="M9" s="90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90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2550</v>
      </c>
      <c r="J11" s="151"/>
      <c r="K11" s="150">
        <f>SUM(K7:L10)</f>
        <v>0</v>
      </c>
      <c r="L11" s="151"/>
      <c r="M11" s="10">
        <f>SUM(M7:M8)</f>
        <v>45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90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90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90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316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2550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2550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22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27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23</v>
      </c>
      <c r="J23" s="123"/>
      <c r="K23" s="121" t="s">
        <v>11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28</v>
      </c>
      <c r="B24" s="5"/>
      <c r="C24" s="5"/>
      <c r="D24" s="44"/>
      <c r="E24" s="3" t="s">
        <v>343</v>
      </c>
      <c r="F24" s="19"/>
      <c r="G24" s="20"/>
      <c r="H24" s="28"/>
      <c r="I24" s="143"/>
      <c r="J24" s="144"/>
      <c r="K24" s="143"/>
      <c r="L24" s="144"/>
      <c r="M24" s="90"/>
      <c r="N24" s="6" t="s">
        <v>13</v>
      </c>
      <c r="O24" s="21"/>
      <c r="P24" s="168" t="s">
        <v>50</v>
      </c>
      <c r="Q24" s="169"/>
      <c r="R24" s="170"/>
    </row>
    <row r="25" spans="1:18" ht="14.55" customHeight="1" x14ac:dyDescent="0.3">
      <c r="A25" s="141"/>
      <c r="B25" s="5"/>
      <c r="C25" s="5"/>
      <c r="D25" s="44"/>
      <c r="E25" s="3"/>
      <c r="F25" s="19"/>
      <c r="G25" s="20"/>
      <c r="H25" s="28"/>
      <c r="I25" s="143"/>
      <c r="J25" s="144"/>
      <c r="K25" s="143"/>
      <c r="L25" s="144"/>
      <c r="M25" s="90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1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90"/>
      <c r="N26" s="6" t="s">
        <v>13</v>
      </c>
      <c r="O26" s="21"/>
      <c r="P26" s="168"/>
      <c r="Q26" s="169"/>
      <c r="R26" s="170"/>
    </row>
    <row r="27" spans="1:18" ht="14.55" customHeight="1" x14ac:dyDescent="0.3">
      <c r="A27" s="142"/>
      <c r="B27" s="148" t="s">
        <v>0</v>
      </c>
      <c r="C27" s="149"/>
      <c r="D27" s="149"/>
      <c r="E27" s="149"/>
      <c r="F27" s="149"/>
      <c r="G27" s="149"/>
      <c r="H27" s="171"/>
      <c r="I27" s="150">
        <f>SUM(I24:J26)</f>
        <v>0</v>
      </c>
      <c r="J27" s="151"/>
      <c r="K27" s="150">
        <f>SUM(K24:L26)</f>
        <v>0</v>
      </c>
      <c r="L27" s="151"/>
      <c r="M27" s="10">
        <f>SUM(M24:M26)</f>
        <v>0</v>
      </c>
      <c r="N27" s="11" t="s">
        <v>13</v>
      </c>
      <c r="O27" s="9"/>
      <c r="P27" s="168"/>
      <c r="Q27" s="169"/>
      <c r="R27" s="170"/>
    </row>
    <row r="28" spans="1:18" ht="14.55" customHeight="1" x14ac:dyDescent="0.3">
      <c r="A28" s="140" t="s">
        <v>24</v>
      </c>
      <c r="B28" s="5"/>
      <c r="C28" s="5"/>
      <c r="D28" s="44"/>
      <c r="E28" s="3"/>
      <c r="F28" s="19"/>
      <c r="G28" s="20"/>
      <c r="H28" s="28"/>
      <c r="I28" s="143"/>
      <c r="J28" s="144"/>
      <c r="K28" s="143"/>
      <c r="L28" s="144"/>
      <c r="M28" s="90"/>
      <c r="N28" s="6" t="s">
        <v>13</v>
      </c>
      <c r="O28" s="21"/>
      <c r="P28" s="157" t="s">
        <v>51</v>
      </c>
      <c r="Q28" s="158"/>
      <c r="R28" s="159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90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90"/>
      <c r="N30" s="6" t="s">
        <v>13</v>
      </c>
      <c r="O30" s="21"/>
      <c r="P30" s="160"/>
      <c r="Q30" s="161"/>
      <c r="R30" s="162"/>
    </row>
    <row r="31" spans="1:18" ht="14.55" hidden="1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90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90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7"/>
      <c r="B33" s="148" t="s">
        <v>0</v>
      </c>
      <c r="C33" s="149"/>
      <c r="D33" s="149"/>
      <c r="E33" s="149"/>
      <c r="F33" s="149"/>
      <c r="G33" s="149"/>
      <c r="H33" s="171"/>
      <c r="I33" s="150">
        <f>SUM(I28:J32)</f>
        <v>0</v>
      </c>
      <c r="J33" s="151"/>
      <c r="K33" s="150">
        <f>SUM(K28:L32)</f>
        <v>0</v>
      </c>
      <c r="L33" s="151"/>
      <c r="M33" s="10">
        <f>SUM(M28:M32)</f>
        <v>0</v>
      </c>
      <c r="N33" s="11" t="s">
        <v>13</v>
      </c>
      <c r="O33" s="9"/>
      <c r="P33" s="163"/>
      <c r="Q33" s="164"/>
      <c r="R33" s="165"/>
    </row>
    <row r="34" spans="1:18" ht="14.55" customHeight="1" x14ac:dyDescent="0.3">
      <c r="A34" s="140" t="s">
        <v>25</v>
      </c>
      <c r="B34" s="5"/>
      <c r="C34" s="5"/>
      <c r="D34" s="44"/>
      <c r="E34" s="3"/>
      <c r="F34" s="19"/>
      <c r="G34" s="20"/>
      <c r="H34" s="28"/>
      <c r="I34" s="143"/>
      <c r="J34" s="144"/>
      <c r="K34" s="143"/>
      <c r="L34" s="144"/>
      <c r="M34" s="90"/>
      <c r="N34" s="6" t="s">
        <v>13</v>
      </c>
      <c r="O34" s="21"/>
      <c r="P34" s="145" t="s">
        <v>53</v>
      </c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90"/>
      <c r="N35" s="6" t="s">
        <v>13</v>
      </c>
      <c r="O35" s="21"/>
      <c r="P35" s="168"/>
      <c r="Q35" s="169"/>
      <c r="R35" s="170"/>
    </row>
    <row r="36" spans="1:18" ht="14.55" hidden="1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90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90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1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90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42"/>
      <c r="B39" s="148" t="s">
        <v>0</v>
      </c>
      <c r="C39" s="149"/>
      <c r="D39" s="149"/>
      <c r="E39" s="149"/>
      <c r="F39" s="149"/>
      <c r="G39" s="149"/>
      <c r="H39" s="149"/>
      <c r="I39" s="150">
        <f>SUM(I34:J38)</f>
        <v>0</v>
      </c>
      <c r="J39" s="151"/>
      <c r="K39" s="150">
        <f>SUM(K34:L38)</f>
        <v>0</v>
      </c>
      <c r="L39" s="151"/>
      <c r="M39" s="10">
        <f>SUM(M34:M38)</f>
        <v>0</v>
      </c>
      <c r="N39" s="11" t="s">
        <v>13</v>
      </c>
      <c r="O39" s="9"/>
      <c r="P39" s="168"/>
      <c r="Q39" s="169"/>
      <c r="R39" s="170"/>
    </row>
    <row r="41" spans="1:18" x14ac:dyDescent="0.3">
      <c r="E41" s="148" t="s">
        <v>26</v>
      </c>
      <c r="F41" s="149"/>
      <c r="G41" s="149"/>
      <c r="H41" s="149"/>
      <c r="I41" s="152" t="s">
        <v>23</v>
      </c>
      <c r="J41" s="153"/>
      <c r="K41" s="152" t="s">
        <v>11</v>
      </c>
      <c r="L41" s="153"/>
    </row>
    <row r="42" spans="1:18" s="36" customFormat="1" x14ac:dyDescent="0.3">
      <c r="E42" s="7"/>
      <c r="F42" s="7"/>
      <c r="G42" s="7"/>
      <c r="H42" s="7"/>
      <c r="I42" s="22">
        <f>I33+I39</f>
        <v>0</v>
      </c>
      <c r="J42" s="14" t="s">
        <v>12</v>
      </c>
      <c r="K42" s="22">
        <f>K33+K39</f>
        <v>0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0</v>
      </c>
      <c r="J43" s="155"/>
      <c r="K43" s="155"/>
      <c r="L43" s="156"/>
    </row>
    <row r="45" spans="1:18" s="8" customFormat="1" ht="30" customHeight="1" x14ac:dyDescent="0.3">
      <c r="A45" s="133" t="s">
        <v>321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27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23</v>
      </c>
      <c r="J47" s="123"/>
      <c r="K47" s="121" t="s">
        <v>11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132</v>
      </c>
      <c r="B48" s="5"/>
      <c r="C48" s="5"/>
      <c r="D48" s="4"/>
      <c r="E48" s="3" t="s">
        <v>344</v>
      </c>
      <c r="F48" s="19"/>
      <c r="G48" s="20"/>
      <c r="H48" s="28"/>
      <c r="I48" s="143"/>
      <c r="J48" s="144"/>
      <c r="K48" s="143"/>
      <c r="L48" s="144"/>
      <c r="M48" s="90"/>
      <c r="N48" s="6" t="s">
        <v>13</v>
      </c>
      <c r="O48" s="21"/>
      <c r="P48" s="157"/>
      <c r="Q48" s="158"/>
      <c r="R48" s="159"/>
    </row>
    <row r="49" spans="1:18" ht="14.55" customHeight="1" x14ac:dyDescent="0.3">
      <c r="A49" s="166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90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90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6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90"/>
      <c r="N51" s="6" t="s">
        <v>13</v>
      </c>
      <c r="O51" s="21"/>
      <c r="P51" s="160"/>
      <c r="Q51" s="161"/>
      <c r="R51" s="162"/>
    </row>
    <row r="52" spans="1:18" ht="14.55" customHeight="1" x14ac:dyDescent="0.3">
      <c r="A52" s="167"/>
      <c r="B52" s="148" t="s">
        <v>0</v>
      </c>
      <c r="C52" s="149"/>
      <c r="D52" s="149"/>
      <c r="E52" s="149"/>
      <c r="F52" s="149"/>
      <c r="G52" s="149"/>
      <c r="H52" s="149"/>
      <c r="I52" s="150">
        <f ca="1">SUM(I48:J52)</f>
        <v>0</v>
      </c>
      <c r="J52" s="151"/>
      <c r="K52" s="150">
        <f ca="1">SUM(K48:L52)</f>
        <v>0</v>
      </c>
      <c r="L52" s="151"/>
      <c r="M52" s="10">
        <f>SUM(M48:M51)</f>
        <v>0</v>
      </c>
      <c r="N52" s="11" t="s">
        <v>13</v>
      </c>
      <c r="O52" s="9"/>
      <c r="P52" s="163"/>
      <c r="Q52" s="164"/>
      <c r="R52" s="165"/>
    </row>
    <row r="54" spans="1:18" x14ac:dyDescent="0.3">
      <c r="E54" s="148" t="s">
        <v>317</v>
      </c>
      <c r="F54" s="149"/>
      <c r="G54" s="149"/>
      <c r="H54" s="149"/>
      <c r="I54" s="152" t="s">
        <v>23</v>
      </c>
      <c r="J54" s="153"/>
      <c r="K54" s="172" t="s">
        <v>11</v>
      </c>
      <c r="L54" s="153"/>
    </row>
    <row r="55" spans="1:18" s="36" customFormat="1" x14ac:dyDescent="0.3">
      <c r="E55" s="7"/>
      <c r="F55" s="7"/>
      <c r="G55" s="7"/>
      <c r="H55" s="7"/>
      <c r="I55" s="22">
        <f ca="1">I52</f>
        <v>0</v>
      </c>
      <c r="J55" s="14" t="s">
        <v>12</v>
      </c>
      <c r="K55" s="22">
        <f ca="1">K52</f>
        <v>0</v>
      </c>
      <c r="L55" s="15" t="s">
        <v>12</v>
      </c>
    </row>
    <row r="56" spans="1:18" s="1" customFormat="1" ht="24.45" customHeight="1" x14ac:dyDescent="0.3">
      <c r="A56" s="76"/>
      <c r="B56" s="76"/>
      <c r="C56" s="76"/>
      <c r="E56" s="13"/>
      <c r="F56" s="13"/>
      <c r="G56" s="13"/>
      <c r="H56" s="13"/>
      <c r="I56" s="154">
        <f ca="1">I55+K55</f>
        <v>0</v>
      </c>
      <c r="J56" s="155"/>
      <c r="K56" s="155"/>
      <c r="L56" s="156"/>
      <c r="N56" s="76"/>
      <c r="O56" s="76"/>
      <c r="P56" s="76"/>
      <c r="Q56" s="76"/>
      <c r="R56" s="76"/>
    </row>
    <row r="58" spans="1:18" s="8" customFormat="1" ht="30" customHeight="1" x14ac:dyDescent="0.3">
      <c r="A58" s="133" t="s">
        <v>36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6"/>
    </row>
    <row r="59" spans="1:18" s="12" customFormat="1" ht="14.55" customHeight="1" x14ac:dyDescent="0.3">
      <c r="A59" s="128" t="s">
        <v>1</v>
      </c>
      <c r="B59" s="137" t="s">
        <v>2</v>
      </c>
      <c r="C59" s="137" t="s">
        <v>3</v>
      </c>
      <c r="D59" s="137" t="s">
        <v>4</v>
      </c>
      <c r="E59" s="124" t="s">
        <v>5</v>
      </c>
      <c r="F59" s="138" t="s">
        <v>14</v>
      </c>
      <c r="G59" s="138" t="s">
        <v>15</v>
      </c>
      <c r="H59" s="119" t="s">
        <v>29</v>
      </c>
      <c r="I59" s="121" t="s">
        <v>6</v>
      </c>
      <c r="J59" s="122"/>
      <c r="K59" s="122"/>
      <c r="L59" s="123"/>
      <c r="M59" s="124" t="s">
        <v>7</v>
      </c>
      <c r="N59" s="125"/>
      <c r="O59" s="128" t="s">
        <v>8</v>
      </c>
      <c r="P59" s="128" t="s">
        <v>9</v>
      </c>
      <c r="Q59" s="128"/>
      <c r="R59" s="128"/>
    </row>
    <row r="60" spans="1:18" s="12" customFormat="1" ht="13.05" customHeight="1" x14ac:dyDescent="0.3">
      <c r="A60" s="128"/>
      <c r="B60" s="137"/>
      <c r="C60" s="137"/>
      <c r="D60" s="137"/>
      <c r="E60" s="126"/>
      <c r="F60" s="139"/>
      <c r="G60" s="139"/>
      <c r="H60" s="120"/>
      <c r="I60" s="121" t="s">
        <v>19</v>
      </c>
      <c r="J60" s="123"/>
      <c r="K60" s="121" t="s">
        <v>20</v>
      </c>
      <c r="L60" s="123"/>
      <c r="M60" s="126"/>
      <c r="N60" s="127"/>
      <c r="O60" s="128"/>
      <c r="P60" s="128"/>
      <c r="Q60" s="128"/>
      <c r="R60" s="128"/>
    </row>
    <row r="61" spans="1:18" ht="14.55" customHeight="1" x14ac:dyDescent="0.3">
      <c r="A61" s="140" t="s">
        <v>37</v>
      </c>
      <c r="B61" s="5">
        <v>0.33333333333333331</v>
      </c>
      <c r="C61" s="5"/>
      <c r="D61" s="4">
        <v>180925</v>
      </c>
      <c r="E61" s="3" t="s">
        <v>341</v>
      </c>
      <c r="F61" s="19">
        <v>304</v>
      </c>
      <c r="G61" s="20">
        <v>0.7</v>
      </c>
      <c r="H61" s="28" t="s">
        <v>137</v>
      </c>
      <c r="I61" s="143">
        <v>1799</v>
      </c>
      <c r="J61" s="144"/>
      <c r="K61" s="143"/>
      <c r="L61" s="144"/>
      <c r="M61" s="90"/>
      <c r="N61" s="6" t="s">
        <v>13</v>
      </c>
      <c r="O61" s="21"/>
      <c r="P61" s="157"/>
      <c r="Q61" s="158"/>
      <c r="R61" s="159"/>
    </row>
    <row r="62" spans="1:18" ht="14.55" customHeight="1" x14ac:dyDescent="0.3">
      <c r="A62" s="166"/>
      <c r="B62" s="5"/>
      <c r="C62" s="5"/>
      <c r="D62" s="4">
        <v>180925</v>
      </c>
      <c r="E62" s="3" t="s">
        <v>342</v>
      </c>
      <c r="F62" s="19">
        <v>304</v>
      </c>
      <c r="G62" s="20">
        <v>0.7</v>
      </c>
      <c r="H62" s="28" t="s">
        <v>137</v>
      </c>
      <c r="I62" s="143">
        <v>1300</v>
      </c>
      <c r="J62" s="144"/>
      <c r="K62" s="143"/>
      <c r="L62" s="144"/>
      <c r="M62" s="90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>
        <v>0.875</v>
      </c>
      <c r="D63" s="4">
        <v>250077</v>
      </c>
      <c r="E63" s="3" t="s">
        <v>345</v>
      </c>
      <c r="F63" s="19">
        <v>430</v>
      </c>
      <c r="G63" s="20">
        <v>0.5</v>
      </c>
      <c r="H63" s="28" t="s">
        <v>137</v>
      </c>
      <c r="I63" s="143">
        <v>206</v>
      </c>
      <c r="J63" s="144"/>
      <c r="K63" s="143"/>
      <c r="L63" s="144"/>
      <c r="M63" s="90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90"/>
      <c r="N64" s="6" t="s">
        <v>13</v>
      </c>
      <c r="O64" s="21"/>
      <c r="P64" s="160"/>
      <c r="Q64" s="161"/>
      <c r="R64" s="162"/>
    </row>
    <row r="65" spans="1:18" ht="14.55" customHeight="1" x14ac:dyDescent="0.3">
      <c r="A65" s="167"/>
      <c r="B65" s="148" t="s">
        <v>0</v>
      </c>
      <c r="C65" s="149"/>
      <c r="D65" s="149"/>
      <c r="E65" s="149"/>
      <c r="F65" s="149"/>
      <c r="G65" s="149"/>
      <c r="H65" s="149"/>
      <c r="I65" s="150">
        <f>SUM(I61:J64)</f>
        <v>3305</v>
      </c>
      <c r="J65" s="151"/>
      <c r="K65" s="150">
        <f>SUM(K61:L64)</f>
        <v>0</v>
      </c>
      <c r="L65" s="151"/>
      <c r="M65" s="10">
        <f>SUM(M61:M64)</f>
        <v>0</v>
      </c>
      <c r="N65" s="11" t="s">
        <v>13</v>
      </c>
      <c r="O65" s="9"/>
      <c r="P65" s="163"/>
      <c r="Q65" s="164"/>
      <c r="R65" s="165"/>
    </row>
    <row r="66" spans="1:18" ht="14.55" customHeight="1" x14ac:dyDescent="0.3">
      <c r="D66" s="76"/>
      <c r="E66" s="1"/>
      <c r="F66" s="1"/>
      <c r="G66" s="1"/>
      <c r="H66" s="1"/>
      <c r="M66" s="76"/>
    </row>
    <row r="67" spans="1:18" x14ac:dyDescent="0.3">
      <c r="E67" s="148" t="s">
        <v>324</v>
      </c>
      <c r="F67" s="149"/>
      <c r="G67" s="149"/>
      <c r="H67" s="149"/>
      <c r="I67" s="152" t="s">
        <v>19</v>
      </c>
      <c r="J67" s="153"/>
      <c r="K67" s="152" t="s">
        <v>20</v>
      </c>
      <c r="L67" s="153"/>
    </row>
    <row r="68" spans="1:18" s="36" customFormat="1" x14ac:dyDescent="0.3">
      <c r="E68" s="7"/>
      <c r="F68" s="7"/>
      <c r="G68" s="7"/>
      <c r="H68" s="7"/>
      <c r="I68" s="22">
        <f>I65</f>
        <v>3305</v>
      </c>
      <c r="J68" s="14" t="s">
        <v>12</v>
      </c>
      <c r="K68" s="22">
        <f>K65</f>
        <v>0</v>
      </c>
      <c r="L68" s="15" t="s">
        <v>12</v>
      </c>
    </row>
    <row r="69" spans="1:18" ht="24.45" customHeight="1" x14ac:dyDescent="0.3">
      <c r="E69" s="13"/>
      <c r="F69" s="13"/>
      <c r="G69" s="13"/>
      <c r="H69" s="13"/>
      <c r="I69" s="154">
        <f>I68+K68</f>
        <v>3305</v>
      </c>
      <c r="J69" s="155"/>
      <c r="K69" s="155"/>
      <c r="L69" s="156"/>
    </row>
    <row r="71" spans="1:18" s="8" customFormat="1" ht="30" customHeight="1" x14ac:dyDescent="0.3">
      <c r="A71" s="133" t="s">
        <v>322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6"/>
    </row>
    <row r="72" spans="1:18" s="12" customFormat="1" ht="14.55" customHeight="1" x14ac:dyDescent="0.3">
      <c r="A72" s="128" t="s">
        <v>1</v>
      </c>
      <c r="B72" s="137" t="s">
        <v>2</v>
      </c>
      <c r="C72" s="137" t="s">
        <v>3</v>
      </c>
      <c r="D72" s="137" t="s">
        <v>4</v>
      </c>
      <c r="E72" s="124" t="s">
        <v>5</v>
      </c>
      <c r="F72" s="138" t="s">
        <v>14</v>
      </c>
      <c r="G72" s="138" t="s">
        <v>15</v>
      </c>
      <c r="H72" s="119" t="s">
        <v>29</v>
      </c>
      <c r="I72" s="121" t="s">
        <v>6</v>
      </c>
      <c r="J72" s="122"/>
      <c r="K72" s="122"/>
      <c r="L72" s="123"/>
      <c r="M72" s="124" t="s">
        <v>7</v>
      </c>
      <c r="N72" s="125"/>
      <c r="O72" s="128" t="s">
        <v>8</v>
      </c>
      <c r="P72" s="128" t="s">
        <v>9</v>
      </c>
      <c r="Q72" s="128"/>
      <c r="R72" s="128"/>
    </row>
    <row r="73" spans="1:18" s="12" customFormat="1" ht="13.05" customHeight="1" x14ac:dyDescent="0.3">
      <c r="A73" s="128"/>
      <c r="B73" s="137"/>
      <c r="C73" s="137"/>
      <c r="D73" s="137"/>
      <c r="E73" s="126"/>
      <c r="F73" s="139"/>
      <c r="G73" s="139"/>
      <c r="H73" s="120"/>
      <c r="I73" s="121" t="s">
        <v>19</v>
      </c>
      <c r="J73" s="123"/>
      <c r="K73" s="121" t="s">
        <v>20</v>
      </c>
      <c r="L73" s="123"/>
      <c r="M73" s="126"/>
      <c r="N73" s="127"/>
      <c r="O73" s="128"/>
      <c r="P73" s="128"/>
      <c r="Q73" s="128"/>
      <c r="R73" s="128"/>
    </row>
    <row r="74" spans="1:18" ht="14.55" customHeight="1" x14ac:dyDescent="0.3">
      <c r="A74" s="140" t="s">
        <v>37</v>
      </c>
      <c r="B74" s="5">
        <v>0.33333333333333331</v>
      </c>
      <c r="C74" s="5">
        <v>0.875</v>
      </c>
      <c r="D74" s="44">
        <v>210825</v>
      </c>
      <c r="E74" s="3" t="s">
        <v>241</v>
      </c>
      <c r="F74" s="19">
        <v>430</v>
      </c>
      <c r="G74" s="20">
        <v>0.6</v>
      </c>
      <c r="H74" s="28" t="s">
        <v>130</v>
      </c>
      <c r="I74" s="143"/>
      <c r="J74" s="144"/>
      <c r="K74" s="143">
        <v>200</v>
      </c>
      <c r="L74" s="144"/>
      <c r="M74" s="90"/>
      <c r="N74" s="6" t="s">
        <v>13</v>
      </c>
      <c r="O74" s="21"/>
      <c r="P74" s="157"/>
      <c r="Q74" s="158"/>
      <c r="R74" s="159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90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90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90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7"/>
      <c r="B78" s="148" t="s">
        <v>0</v>
      </c>
      <c r="C78" s="149"/>
      <c r="D78" s="149"/>
      <c r="E78" s="149"/>
      <c r="F78" s="149"/>
      <c r="G78" s="149"/>
      <c r="H78" s="149"/>
      <c r="I78" s="150">
        <f>SUM(I74:J77)</f>
        <v>0</v>
      </c>
      <c r="J78" s="151"/>
      <c r="K78" s="150">
        <f>SUM(K74:L77)</f>
        <v>200</v>
      </c>
      <c r="L78" s="151"/>
      <c r="M78" s="10">
        <f>SUM(M74:M77)</f>
        <v>0</v>
      </c>
      <c r="N78" s="11" t="s">
        <v>13</v>
      </c>
      <c r="O78" s="9"/>
      <c r="P78" s="163"/>
      <c r="Q78" s="164"/>
      <c r="R78" s="165"/>
    </row>
    <row r="79" spans="1:18" ht="14.55" customHeight="1" x14ac:dyDescent="0.3">
      <c r="D79" s="76"/>
      <c r="E79" s="1"/>
      <c r="F79" s="1"/>
      <c r="G79" s="1"/>
      <c r="H79" s="1"/>
      <c r="M79" s="76"/>
    </row>
    <row r="80" spans="1:18" x14ac:dyDescent="0.3">
      <c r="E80" s="148" t="s">
        <v>323</v>
      </c>
      <c r="F80" s="149"/>
      <c r="G80" s="149"/>
      <c r="H80" s="149"/>
      <c r="I80" s="152" t="s">
        <v>19</v>
      </c>
      <c r="J80" s="153"/>
      <c r="K80" s="152" t="s">
        <v>20</v>
      </c>
      <c r="L80" s="153"/>
    </row>
    <row r="81" spans="1:18" s="36" customFormat="1" x14ac:dyDescent="0.3">
      <c r="E81" s="7"/>
      <c r="F81" s="7"/>
      <c r="G81" s="7"/>
      <c r="H81" s="7"/>
      <c r="I81" s="22">
        <f>I78</f>
        <v>0</v>
      </c>
      <c r="J81" s="14" t="s">
        <v>12</v>
      </c>
      <c r="K81" s="22">
        <f>K78</f>
        <v>200</v>
      </c>
      <c r="L81" s="15" t="s">
        <v>12</v>
      </c>
    </row>
    <row r="82" spans="1:18" ht="24.45" customHeight="1" x14ac:dyDescent="0.3">
      <c r="E82" s="13"/>
      <c r="F82" s="13"/>
      <c r="G82" s="13"/>
      <c r="H82" s="13"/>
      <c r="I82" s="154">
        <f>I81+K81</f>
        <v>200</v>
      </c>
      <c r="J82" s="155"/>
      <c r="K82" s="155"/>
      <c r="L82" s="156"/>
    </row>
    <row r="84" spans="1:18" s="8" customFormat="1" ht="30" customHeight="1" x14ac:dyDescent="0.3">
      <c r="A84" s="133" t="s">
        <v>30</v>
      </c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6"/>
    </row>
    <row r="85" spans="1:18" s="12" customFormat="1" ht="14.55" customHeight="1" x14ac:dyDescent="0.3">
      <c r="A85" s="128" t="s">
        <v>1</v>
      </c>
      <c r="B85" s="137" t="s">
        <v>2</v>
      </c>
      <c r="C85" s="137" t="s">
        <v>3</v>
      </c>
      <c r="D85" s="137" t="s">
        <v>4</v>
      </c>
      <c r="E85" s="124" t="s">
        <v>5</v>
      </c>
      <c r="F85" s="138" t="s">
        <v>14</v>
      </c>
      <c r="G85" s="138" t="s">
        <v>15</v>
      </c>
      <c r="H85" s="119" t="s">
        <v>29</v>
      </c>
      <c r="I85" s="121" t="s">
        <v>6</v>
      </c>
      <c r="J85" s="122"/>
      <c r="K85" s="122"/>
      <c r="L85" s="123"/>
      <c r="M85" s="124" t="s">
        <v>7</v>
      </c>
      <c r="N85" s="125"/>
      <c r="O85" s="128" t="s">
        <v>8</v>
      </c>
      <c r="P85" s="128" t="s">
        <v>9</v>
      </c>
      <c r="Q85" s="128"/>
      <c r="R85" s="128"/>
    </row>
    <row r="86" spans="1:18" s="12" customFormat="1" ht="13.05" customHeight="1" x14ac:dyDescent="0.3">
      <c r="A86" s="128"/>
      <c r="B86" s="137"/>
      <c r="C86" s="137"/>
      <c r="D86" s="137"/>
      <c r="E86" s="126"/>
      <c r="F86" s="139"/>
      <c r="G86" s="139"/>
      <c r="H86" s="120"/>
      <c r="I86" s="121" t="s">
        <v>19</v>
      </c>
      <c r="J86" s="123"/>
      <c r="K86" s="121" t="s">
        <v>20</v>
      </c>
      <c r="L86" s="123"/>
      <c r="M86" s="126"/>
      <c r="N86" s="127"/>
      <c r="O86" s="128"/>
      <c r="P86" s="128"/>
      <c r="Q86" s="128"/>
      <c r="R86" s="128"/>
    </row>
    <row r="87" spans="1:18" ht="14.55" customHeight="1" x14ac:dyDescent="0.3">
      <c r="A87" s="140" t="s">
        <v>35</v>
      </c>
      <c r="B87" s="5">
        <v>0.33333333333333331</v>
      </c>
      <c r="C87" s="5">
        <v>0.875</v>
      </c>
      <c r="D87" s="4">
        <v>250077</v>
      </c>
      <c r="E87" s="3" t="s">
        <v>346</v>
      </c>
      <c r="F87" s="19">
        <v>430</v>
      </c>
      <c r="G87" s="20">
        <v>0.5</v>
      </c>
      <c r="H87" s="28" t="s">
        <v>130</v>
      </c>
      <c r="I87" s="143">
        <v>400</v>
      </c>
      <c r="J87" s="144"/>
      <c r="K87" s="143"/>
      <c r="L87" s="144"/>
      <c r="M87" s="90"/>
      <c r="N87" s="6" t="s">
        <v>13</v>
      </c>
      <c r="O87" s="21"/>
      <c r="P87" s="168"/>
      <c r="Q87" s="169"/>
      <c r="R87" s="170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90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90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7"/>
      <c r="B90" s="148" t="s">
        <v>0</v>
      </c>
      <c r="C90" s="149"/>
      <c r="D90" s="149"/>
      <c r="E90" s="149"/>
      <c r="F90" s="149"/>
      <c r="G90" s="149"/>
      <c r="H90" s="149"/>
      <c r="I90" s="150">
        <f>SUM(I87:J89)</f>
        <v>400</v>
      </c>
      <c r="J90" s="151"/>
      <c r="K90" s="150">
        <f>SUM(K87:L89)</f>
        <v>0</v>
      </c>
      <c r="L90" s="151"/>
      <c r="M90" s="10">
        <f>SUM(M87:M89)</f>
        <v>0</v>
      </c>
      <c r="N90" s="11" t="s">
        <v>13</v>
      </c>
      <c r="O90" s="9"/>
      <c r="P90" s="168"/>
      <c r="Q90" s="169"/>
      <c r="R90" s="170"/>
    </row>
    <row r="91" spans="1:18" ht="14.55" customHeight="1" x14ac:dyDescent="0.3">
      <c r="D91" s="76"/>
      <c r="E91" s="1"/>
      <c r="F91" s="1"/>
      <c r="G91" s="1"/>
      <c r="H91" s="1"/>
      <c r="M91" s="76"/>
    </row>
    <row r="92" spans="1:18" x14ac:dyDescent="0.3">
      <c r="E92" s="148" t="s">
        <v>34</v>
      </c>
      <c r="F92" s="149"/>
      <c r="G92" s="149"/>
      <c r="H92" s="149"/>
      <c r="I92" s="152" t="s">
        <v>19</v>
      </c>
      <c r="J92" s="153"/>
      <c r="K92" s="152" t="s">
        <v>20</v>
      </c>
      <c r="L92" s="153"/>
    </row>
    <row r="93" spans="1:18" s="36" customFormat="1" x14ac:dyDescent="0.3">
      <c r="E93" s="7"/>
      <c r="F93" s="7"/>
      <c r="G93" s="7"/>
      <c r="H93" s="7"/>
      <c r="I93" s="22">
        <f>I90</f>
        <v>400</v>
      </c>
      <c r="J93" s="14" t="s">
        <v>12</v>
      </c>
      <c r="K93" s="22">
        <f>K90</f>
        <v>0</v>
      </c>
      <c r="L93" s="15" t="s">
        <v>12</v>
      </c>
    </row>
    <row r="94" spans="1:18" s="1" customFormat="1" ht="24.45" customHeight="1" x14ac:dyDescent="0.3">
      <c r="A94" s="76"/>
      <c r="B94" s="76"/>
      <c r="C94" s="76"/>
      <c r="E94" s="13"/>
      <c r="F94" s="13"/>
      <c r="G94" s="13"/>
      <c r="H94" s="13"/>
      <c r="I94" s="154">
        <f>I93+K93</f>
        <v>400</v>
      </c>
      <c r="J94" s="155"/>
      <c r="K94" s="155"/>
      <c r="L94" s="156"/>
      <c r="N94" s="76"/>
      <c r="O94" s="76"/>
      <c r="P94" s="76"/>
      <c r="Q94" s="76"/>
      <c r="R94" s="76"/>
    </row>
  </sheetData>
  <mergeCells count="232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24:A27"/>
    <mergeCell ref="I24:J24"/>
    <mergeCell ref="K24:L24"/>
    <mergeCell ref="P24:R27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B27:H27"/>
    <mergeCell ref="I27:J27"/>
    <mergeCell ref="K27:L27"/>
    <mergeCell ref="A28:A33"/>
    <mergeCell ref="I28:J28"/>
    <mergeCell ref="K28:L28"/>
    <mergeCell ref="B33:H33"/>
    <mergeCell ref="K33:L33"/>
    <mergeCell ref="P34:R39"/>
    <mergeCell ref="I35:J35"/>
    <mergeCell ref="K35:L35"/>
    <mergeCell ref="I36:J36"/>
    <mergeCell ref="K36:L36"/>
    <mergeCell ref="I37:J37"/>
    <mergeCell ref="K37:L37"/>
    <mergeCell ref="P28:R33"/>
    <mergeCell ref="I29:J29"/>
    <mergeCell ref="K29:L29"/>
    <mergeCell ref="I30:J30"/>
    <mergeCell ref="K30:L30"/>
    <mergeCell ref="I31:J31"/>
    <mergeCell ref="K31:L31"/>
    <mergeCell ref="I32:J32"/>
    <mergeCell ref="K32:L32"/>
    <mergeCell ref="I33:J33"/>
    <mergeCell ref="I38:J38"/>
    <mergeCell ref="K38:L38"/>
    <mergeCell ref="B39:H39"/>
    <mergeCell ref="I39:J39"/>
    <mergeCell ref="K39:L39"/>
    <mergeCell ref="E41:H41"/>
    <mergeCell ref="I41:J41"/>
    <mergeCell ref="K41:L41"/>
    <mergeCell ref="A34:A39"/>
    <mergeCell ref="I34:J34"/>
    <mergeCell ref="K34:L34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P48:R52"/>
    <mergeCell ref="I49:J49"/>
    <mergeCell ref="K49:L49"/>
    <mergeCell ref="I50:J50"/>
    <mergeCell ref="K50:L50"/>
    <mergeCell ref="I51:J51"/>
    <mergeCell ref="K51:L51"/>
    <mergeCell ref="I46:L46"/>
    <mergeCell ref="M46:N47"/>
    <mergeCell ref="O46:O47"/>
    <mergeCell ref="P46:R47"/>
    <mergeCell ref="I47:J47"/>
    <mergeCell ref="K47:L47"/>
    <mergeCell ref="B52:H52"/>
    <mergeCell ref="I52:J52"/>
    <mergeCell ref="K52:L52"/>
    <mergeCell ref="E54:H54"/>
    <mergeCell ref="I54:J54"/>
    <mergeCell ref="K54:L54"/>
    <mergeCell ref="A48:A52"/>
    <mergeCell ref="I48:J48"/>
    <mergeCell ref="K48:L48"/>
    <mergeCell ref="I56:L56"/>
    <mergeCell ref="A58:R58"/>
    <mergeCell ref="A59:A60"/>
    <mergeCell ref="B59:B60"/>
    <mergeCell ref="C59:C60"/>
    <mergeCell ref="D59:D60"/>
    <mergeCell ref="E59:E60"/>
    <mergeCell ref="F59:F60"/>
    <mergeCell ref="G59:G60"/>
    <mergeCell ref="H59:H60"/>
    <mergeCell ref="P61:R65"/>
    <mergeCell ref="I62:J62"/>
    <mergeCell ref="K62:L62"/>
    <mergeCell ref="I63:J63"/>
    <mergeCell ref="K63:L63"/>
    <mergeCell ref="I64:J64"/>
    <mergeCell ref="K64:L64"/>
    <mergeCell ref="I59:L59"/>
    <mergeCell ref="M59:N60"/>
    <mergeCell ref="O59:O60"/>
    <mergeCell ref="P59:R60"/>
    <mergeCell ref="I60:J60"/>
    <mergeCell ref="K60:L60"/>
    <mergeCell ref="B65:H65"/>
    <mergeCell ref="I65:J65"/>
    <mergeCell ref="K65:L65"/>
    <mergeCell ref="E67:H67"/>
    <mergeCell ref="I67:J67"/>
    <mergeCell ref="K67:L67"/>
    <mergeCell ref="A61:A65"/>
    <mergeCell ref="I61:J61"/>
    <mergeCell ref="K61:L61"/>
    <mergeCell ref="I69:L69"/>
    <mergeCell ref="A71:R71"/>
    <mergeCell ref="A72:A73"/>
    <mergeCell ref="B72:B73"/>
    <mergeCell ref="C72:C73"/>
    <mergeCell ref="D72:D73"/>
    <mergeCell ref="E72:E73"/>
    <mergeCell ref="F72:F73"/>
    <mergeCell ref="G72:G73"/>
    <mergeCell ref="H72:H73"/>
    <mergeCell ref="P74:R78"/>
    <mergeCell ref="I75:J75"/>
    <mergeCell ref="K75:L75"/>
    <mergeCell ref="I76:J76"/>
    <mergeCell ref="K76:L76"/>
    <mergeCell ref="I77:J77"/>
    <mergeCell ref="K77:L77"/>
    <mergeCell ref="I72:L72"/>
    <mergeCell ref="M72:N73"/>
    <mergeCell ref="O72:O73"/>
    <mergeCell ref="P72:R73"/>
    <mergeCell ref="I73:J73"/>
    <mergeCell ref="K73:L73"/>
    <mergeCell ref="B78:H78"/>
    <mergeCell ref="I78:J78"/>
    <mergeCell ref="K78:L78"/>
    <mergeCell ref="E80:H80"/>
    <mergeCell ref="I80:J80"/>
    <mergeCell ref="K80:L80"/>
    <mergeCell ref="A74:A78"/>
    <mergeCell ref="I74:J74"/>
    <mergeCell ref="K74:L74"/>
    <mergeCell ref="I85:L85"/>
    <mergeCell ref="M85:N86"/>
    <mergeCell ref="O85:O86"/>
    <mergeCell ref="P85:R86"/>
    <mergeCell ref="I86:J86"/>
    <mergeCell ref="K86:L86"/>
    <mergeCell ref="I82:L82"/>
    <mergeCell ref="A84:R84"/>
    <mergeCell ref="A85:A86"/>
    <mergeCell ref="B85:B86"/>
    <mergeCell ref="C85:C86"/>
    <mergeCell ref="D85:D86"/>
    <mergeCell ref="E85:E86"/>
    <mergeCell ref="F85:F86"/>
    <mergeCell ref="G85:G86"/>
    <mergeCell ref="H85:H86"/>
    <mergeCell ref="K90:L90"/>
    <mergeCell ref="P90:R90"/>
    <mergeCell ref="E92:H92"/>
    <mergeCell ref="I92:J92"/>
    <mergeCell ref="K92:L92"/>
    <mergeCell ref="I94:L94"/>
    <mergeCell ref="A87:A90"/>
    <mergeCell ref="I87:J87"/>
    <mergeCell ref="K87:L87"/>
    <mergeCell ref="P87:R89"/>
    <mergeCell ref="I88:J88"/>
    <mergeCell ref="K88:L88"/>
    <mergeCell ref="I89:J89"/>
    <mergeCell ref="K89:L89"/>
    <mergeCell ref="B90:H90"/>
    <mergeCell ref="I90:J90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7"/>
  <sheetViews>
    <sheetView topLeftCell="A40" zoomScale="85" zoomScaleNormal="85" workbookViewId="0">
      <selection activeCell="D65" sqref="D65"/>
    </sheetView>
  </sheetViews>
  <sheetFormatPr defaultColWidth="8.77734375" defaultRowHeight="14.4" x14ac:dyDescent="0.3"/>
  <cols>
    <col min="1" max="1" width="12.6640625" style="76" customWidth="1"/>
    <col min="2" max="3" width="7.6640625" style="76" customWidth="1"/>
    <col min="4" max="4" width="8.21875" style="1" bestFit="1" customWidth="1"/>
    <col min="5" max="5" width="40.6640625" style="76" customWidth="1"/>
    <col min="6" max="6" width="5.6640625" style="76" customWidth="1"/>
    <col min="7" max="7" width="6.6640625" style="76" customWidth="1"/>
    <col min="8" max="8" width="24.5546875" style="76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76" customWidth="1"/>
    <col min="15" max="15" width="21.5546875" style="76" bestFit="1" customWidth="1"/>
    <col min="16" max="18" width="7.6640625" style="76" customWidth="1"/>
    <col min="19" max="16384" width="8.77734375" style="76"/>
  </cols>
  <sheetData>
    <row r="1" spans="1:18" x14ac:dyDescent="0.3">
      <c r="D1" s="76"/>
      <c r="I1" s="76"/>
      <c r="J1" s="76"/>
      <c r="K1" s="76"/>
      <c r="L1" s="76"/>
      <c r="M1" s="76"/>
    </row>
    <row r="2" spans="1:18" x14ac:dyDescent="0.3">
      <c r="D2" s="76"/>
      <c r="I2" s="76"/>
      <c r="J2" s="76"/>
      <c r="K2" s="76"/>
      <c r="L2" s="76"/>
      <c r="M2" s="7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45954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44">
        <v>180925</v>
      </c>
      <c r="E7" s="84" t="s">
        <v>353</v>
      </c>
      <c r="F7" s="19">
        <v>304</v>
      </c>
      <c r="G7" s="20">
        <v>0.7</v>
      </c>
      <c r="H7" s="28" t="s">
        <v>55</v>
      </c>
      <c r="I7" s="143">
        <v>300</v>
      </c>
      <c r="J7" s="144"/>
      <c r="K7" s="143"/>
      <c r="L7" s="144"/>
      <c r="M7" s="91">
        <v>60</v>
      </c>
      <c r="N7" s="6" t="s">
        <v>13</v>
      </c>
      <c r="O7" s="21" t="s">
        <v>348</v>
      </c>
      <c r="P7" s="145"/>
      <c r="Q7" s="146"/>
      <c r="R7" s="147"/>
    </row>
    <row r="8" spans="1:18" ht="14.55" customHeight="1" x14ac:dyDescent="0.3">
      <c r="A8" s="141"/>
      <c r="B8" s="5"/>
      <c r="C8" s="5"/>
      <c r="D8" s="81">
        <v>250048</v>
      </c>
      <c r="E8" s="3" t="s">
        <v>354</v>
      </c>
      <c r="F8" s="19">
        <v>304</v>
      </c>
      <c r="G8" s="20">
        <v>0.7</v>
      </c>
      <c r="H8" s="28" t="s">
        <v>55</v>
      </c>
      <c r="I8" s="143">
        <v>585</v>
      </c>
      <c r="J8" s="144"/>
      <c r="K8" s="143"/>
      <c r="L8" s="144"/>
      <c r="M8" s="91">
        <v>60</v>
      </c>
      <c r="N8" s="6" t="s">
        <v>13</v>
      </c>
      <c r="O8" s="21" t="s">
        <v>326</v>
      </c>
      <c r="P8" s="145"/>
      <c r="Q8" s="146"/>
      <c r="R8" s="147"/>
    </row>
    <row r="9" spans="1:18" ht="14.55" customHeight="1" x14ac:dyDescent="0.3">
      <c r="A9" s="141"/>
      <c r="B9" s="5"/>
      <c r="C9" s="5">
        <v>0.70833333333333337</v>
      </c>
      <c r="D9" s="81">
        <v>250046</v>
      </c>
      <c r="E9" s="3" t="s">
        <v>355</v>
      </c>
      <c r="F9" s="19">
        <v>304</v>
      </c>
      <c r="G9" s="20">
        <v>0.7</v>
      </c>
      <c r="H9" s="28" t="s">
        <v>55</v>
      </c>
      <c r="I9" s="143">
        <v>970</v>
      </c>
      <c r="J9" s="144"/>
      <c r="K9" s="143"/>
      <c r="L9" s="144"/>
      <c r="M9" s="91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91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1855</v>
      </c>
      <c r="J11" s="151"/>
      <c r="K11" s="150">
        <f>SUM(K7:L10)</f>
        <v>0</v>
      </c>
      <c r="L11" s="151"/>
      <c r="M11" s="10">
        <f>SUM(M7:M8)</f>
        <v>120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91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91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91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76"/>
      <c r="E16" s="1"/>
      <c r="F16" s="1"/>
      <c r="G16" s="1"/>
      <c r="H16" s="1"/>
      <c r="M16" s="76"/>
    </row>
    <row r="17" spans="1:18" x14ac:dyDescent="0.3">
      <c r="E17" s="148" t="s">
        <v>316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1855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1855</v>
      </c>
      <c r="J19" s="155"/>
      <c r="K19" s="155"/>
      <c r="L19" s="156"/>
    </row>
    <row r="20" spans="1:18" ht="15" customHeight="1" x14ac:dyDescent="0.3">
      <c r="D20" s="76"/>
      <c r="I20" s="76"/>
      <c r="J20" s="76"/>
      <c r="K20" s="23"/>
      <c r="L20" s="23"/>
      <c r="M20" s="23"/>
      <c r="N20" s="23"/>
    </row>
    <row r="21" spans="1:18" s="8" customFormat="1" ht="30" customHeight="1" x14ac:dyDescent="0.3">
      <c r="A21" s="133" t="s">
        <v>22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27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23</v>
      </c>
      <c r="J23" s="123"/>
      <c r="K23" s="121" t="s">
        <v>11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28</v>
      </c>
      <c r="B24" s="5"/>
      <c r="C24" s="5"/>
      <c r="D24" s="44"/>
      <c r="E24" s="3"/>
      <c r="F24" s="19"/>
      <c r="G24" s="20"/>
      <c r="H24" s="28"/>
      <c r="I24" s="143"/>
      <c r="J24" s="144"/>
      <c r="K24" s="143"/>
      <c r="L24" s="144"/>
      <c r="M24" s="91"/>
      <c r="N24" s="6" t="s">
        <v>13</v>
      </c>
      <c r="O24" s="21"/>
      <c r="P24" s="145" t="s">
        <v>356</v>
      </c>
      <c r="Q24" s="169"/>
      <c r="R24" s="170"/>
    </row>
    <row r="25" spans="1:18" ht="14.55" customHeight="1" x14ac:dyDescent="0.3">
      <c r="A25" s="141"/>
      <c r="B25" s="5"/>
      <c r="C25" s="5"/>
      <c r="D25" s="44"/>
      <c r="E25" s="3"/>
      <c r="F25" s="19"/>
      <c r="G25" s="20"/>
      <c r="H25" s="28"/>
      <c r="I25" s="143"/>
      <c r="J25" s="144"/>
      <c r="K25" s="143"/>
      <c r="L25" s="144"/>
      <c r="M25" s="91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1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91"/>
      <c r="N26" s="6" t="s">
        <v>13</v>
      </c>
      <c r="O26" s="21"/>
      <c r="P26" s="168"/>
      <c r="Q26" s="169"/>
      <c r="R26" s="170"/>
    </row>
    <row r="27" spans="1:18" ht="14.55" customHeight="1" x14ac:dyDescent="0.3">
      <c r="A27" s="142"/>
      <c r="B27" s="148" t="s">
        <v>0</v>
      </c>
      <c r="C27" s="149"/>
      <c r="D27" s="149"/>
      <c r="E27" s="149"/>
      <c r="F27" s="149"/>
      <c r="G27" s="149"/>
      <c r="H27" s="171"/>
      <c r="I27" s="150">
        <f>SUM(I24:J26)</f>
        <v>0</v>
      </c>
      <c r="J27" s="151"/>
      <c r="K27" s="150">
        <f>SUM(K24:L26)</f>
        <v>0</v>
      </c>
      <c r="L27" s="151"/>
      <c r="M27" s="10">
        <f>SUM(M24:M26)</f>
        <v>0</v>
      </c>
      <c r="N27" s="11" t="s">
        <v>13</v>
      </c>
      <c r="O27" s="9"/>
      <c r="P27" s="168"/>
      <c r="Q27" s="169"/>
      <c r="R27" s="170"/>
    </row>
    <row r="28" spans="1:18" ht="14.55" customHeight="1" x14ac:dyDescent="0.3">
      <c r="A28" s="140" t="s">
        <v>24</v>
      </c>
      <c r="B28" s="5"/>
      <c r="C28" s="5"/>
      <c r="D28" s="44"/>
      <c r="E28" s="3"/>
      <c r="F28" s="19"/>
      <c r="G28" s="20"/>
      <c r="H28" s="28"/>
      <c r="I28" s="143"/>
      <c r="J28" s="144"/>
      <c r="K28" s="143"/>
      <c r="L28" s="144"/>
      <c r="M28" s="91"/>
      <c r="N28" s="6" t="s">
        <v>13</v>
      </c>
      <c r="O28" s="21"/>
      <c r="P28" s="157" t="s">
        <v>51</v>
      </c>
      <c r="Q28" s="158"/>
      <c r="R28" s="159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91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91"/>
      <c r="N30" s="6" t="s">
        <v>13</v>
      </c>
      <c r="O30" s="21"/>
      <c r="P30" s="160"/>
      <c r="Q30" s="161"/>
      <c r="R30" s="162"/>
    </row>
    <row r="31" spans="1:18" ht="14.55" hidden="1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91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91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7"/>
      <c r="B33" s="148" t="s">
        <v>0</v>
      </c>
      <c r="C33" s="149"/>
      <c r="D33" s="149"/>
      <c r="E33" s="149"/>
      <c r="F33" s="149"/>
      <c r="G33" s="149"/>
      <c r="H33" s="171"/>
      <c r="I33" s="150">
        <f>SUM(I28:J32)</f>
        <v>0</v>
      </c>
      <c r="J33" s="151"/>
      <c r="K33" s="150">
        <f>SUM(K28:L32)</f>
        <v>0</v>
      </c>
      <c r="L33" s="151"/>
      <c r="M33" s="10">
        <f>SUM(M28:M32)</f>
        <v>0</v>
      </c>
      <c r="N33" s="11" t="s">
        <v>13</v>
      </c>
      <c r="O33" s="9"/>
      <c r="P33" s="163"/>
      <c r="Q33" s="164"/>
      <c r="R33" s="165"/>
    </row>
    <row r="34" spans="1:18" ht="14.55" customHeight="1" x14ac:dyDescent="0.3">
      <c r="A34" s="140" t="s">
        <v>25</v>
      </c>
      <c r="B34" s="5"/>
      <c r="C34" s="5"/>
      <c r="D34" s="44"/>
      <c r="E34" s="3"/>
      <c r="F34" s="19"/>
      <c r="G34" s="20"/>
      <c r="H34" s="28"/>
      <c r="I34" s="143"/>
      <c r="J34" s="144"/>
      <c r="K34" s="143"/>
      <c r="L34" s="144"/>
      <c r="M34" s="91"/>
      <c r="N34" s="6" t="s">
        <v>13</v>
      </c>
      <c r="O34" s="21"/>
      <c r="P34" s="145" t="s">
        <v>53</v>
      </c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91"/>
      <c r="N35" s="6" t="s">
        <v>13</v>
      </c>
      <c r="O35" s="21"/>
      <c r="P35" s="168"/>
      <c r="Q35" s="169"/>
      <c r="R35" s="170"/>
    </row>
    <row r="36" spans="1:18" ht="14.55" hidden="1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91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91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1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91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42"/>
      <c r="B39" s="148" t="s">
        <v>0</v>
      </c>
      <c r="C39" s="149"/>
      <c r="D39" s="149"/>
      <c r="E39" s="149"/>
      <c r="F39" s="149"/>
      <c r="G39" s="149"/>
      <c r="H39" s="149"/>
      <c r="I39" s="150">
        <f>SUM(I34:J38)</f>
        <v>0</v>
      </c>
      <c r="J39" s="151"/>
      <c r="K39" s="150">
        <f>SUM(K34:L38)</f>
        <v>0</v>
      </c>
      <c r="L39" s="151"/>
      <c r="M39" s="10">
        <f>SUM(M34:M38)</f>
        <v>0</v>
      </c>
      <c r="N39" s="11" t="s">
        <v>13</v>
      </c>
      <c r="O39" s="9"/>
      <c r="P39" s="168"/>
      <c r="Q39" s="169"/>
      <c r="R39" s="170"/>
    </row>
    <row r="41" spans="1:18" x14ac:dyDescent="0.3">
      <c r="E41" s="148" t="s">
        <v>26</v>
      </c>
      <c r="F41" s="149"/>
      <c r="G41" s="149"/>
      <c r="H41" s="149"/>
      <c r="I41" s="152" t="s">
        <v>23</v>
      </c>
      <c r="J41" s="153"/>
      <c r="K41" s="152" t="s">
        <v>11</v>
      </c>
      <c r="L41" s="153"/>
    </row>
    <row r="42" spans="1:18" s="36" customFormat="1" x14ac:dyDescent="0.3">
      <c r="E42" s="7"/>
      <c r="F42" s="7"/>
      <c r="G42" s="7"/>
      <c r="H42" s="7"/>
      <c r="I42" s="22">
        <f>I33+I39</f>
        <v>0</v>
      </c>
      <c r="J42" s="14" t="s">
        <v>12</v>
      </c>
      <c r="K42" s="22">
        <f>K33+K39</f>
        <v>0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0</v>
      </c>
      <c r="J43" s="155"/>
      <c r="K43" s="155"/>
      <c r="L43" s="156"/>
    </row>
    <row r="45" spans="1:18" s="8" customFormat="1" ht="30" customHeight="1" x14ac:dyDescent="0.3">
      <c r="A45" s="133" t="s">
        <v>321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27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23</v>
      </c>
      <c r="J47" s="123"/>
      <c r="K47" s="121" t="s">
        <v>11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132</v>
      </c>
      <c r="B48" s="5"/>
      <c r="C48" s="5"/>
      <c r="D48" s="4"/>
      <c r="E48" s="3" t="s">
        <v>339</v>
      </c>
      <c r="F48" s="19"/>
      <c r="G48" s="20"/>
      <c r="H48" s="28"/>
      <c r="I48" s="143"/>
      <c r="J48" s="144"/>
      <c r="K48" s="143"/>
      <c r="L48" s="144"/>
      <c r="M48" s="91"/>
      <c r="N48" s="6" t="s">
        <v>13</v>
      </c>
      <c r="O48" s="21"/>
      <c r="P48" s="157"/>
      <c r="Q48" s="158"/>
      <c r="R48" s="159"/>
    </row>
    <row r="49" spans="1:18" ht="14.55" customHeight="1" x14ac:dyDescent="0.3">
      <c r="A49" s="166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91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91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6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91"/>
      <c r="N51" s="6" t="s">
        <v>13</v>
      </c>
      <c r="O51" s="21"/>
      <c r="P51" s="160"/>
      <c r="Q51" s="161"/>
      <c r="R51" s="162"/>
    </row>
    <row r="52" spans="1:18" ht="14.55" customHeight="1" x14ac:dyDescent="0.3">
      <c r="A52" s="167"/>
      <c r="B52" s="148" t="s">
        <v>0</v>
      </c>
      <c r="C52" s="149"/>
      <c r="D52" s="149"/>
      <c r="E52" s="149"/>
      <c r="F52" s="149"/>
      <c r="G52" s="149"/>
      <c r="H52" s="149"/>
      <c r="I52" s="150">
        <f ca="1">SUM(I48:J52)</f>
        <v>0</v>
      </c>
      <c r="J52" s="151"/>
      <c r="K52" s="150">
        <f ca="1">SUM(K48:L52)</f>
        <v>0</v>
      </c>
      <c r="L52" s="151"/>
      <c r="M52" s="10">
        <f>SUM(M48:M51)</f>
        <v>0</v>
      </c>
      <c r="N52" s="11" t="s">
        <v>13</v>
      </c>
      <c r="O52" s="9"/>
      <c r="P52" s="163"/>
      <c r="Q52" s="164"/>
      <c r="R52" s="165"/>
    </row>
    <row r="54" spans="1:18" x14ac:dyDescent="0.3">
      <c r="E54" s="148" t="s">
        <v>317</v>
      </c>
      <c r="F54" s="149"/>
      <c r="G54" s="149"/>
      <c r="H54" s="149"/>
      <c r="I54" s="152" t="s">
        <v>23</v>
      </c>
      <c r="J54" s="153"/>
      <c r="K54" s="172" t="s">
        <v>11</v>
      </c>
      <c r="L54" s="153"/>
    </row>
    <row r="55" spans="1:18" s="36" customFormat="1" x14ac:dyDescent="0.3">
      <c r="E55" s="7"/>
      <c r="F55" s="7"/>
      <c r="G55" s="7"/>
      <c r="H55" s="7"/>
      <c r="I55" s="22">
        <f ca="1">I52</f>
        <v>0</v>
      </c>
      <c r="J55" s="14" t="s">
        <v>12</v>
      </c>
      <c r="K55" s="22">
        <f ca="1">K52</f>
        <v>0</v>
      </c>
      <c r="L55" s="15" t="s">
        <v>12</v>
      </c>
    </row>
    <row r="56" spans="1:18" s="1" customFormat="1" ht="24.45" customHeight="1" x14ac:dyDescent="0.3">
      <c r="A56" s="76"/>
      <c r="B56" s="76"/>
      <c r="C56" s="76"/>
      <c r="E56" s="13"/>
      <c r="F56" s="13"/>
      <c r="G56" s="13"/>
      <c r="H56" s="13"/>
      <c r="I56" s="154">
        <f ca="1">I55+K55</f>
        <v>0</v>
      </c>
      <c r="J56" s="155"/>
      <c r="K56" s="155"/>
      <c r="L56" s="156"/>
      <c r="N56" s="76"/>
      <c r="O56" s="76"/>
      <c r="P56" s="76"/>
      <c r="Q56" s="76"/>
      <c r="R56" s="76"/>
    </row>
    <row r="58" spans="1:18" s="8" customFormat="1" ht="30" customHeight="1" x14ac:dyDescent="0.3">
      <c r="A58" s="133" t="s">
        <v>36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6"/>
    </row>
    <row r="59" spans="1:18" s="12" customFormat="1" ht="14.55" customHeight="1" x14ac:dyDescent="0.3">
      <c r="A59" s="128" t="s">
        <v>1</v>
      </c>
      <c r="B59" s="137" t="s">
        <v>2</v>
      </c>
      <c r="C59" s="137" t="s">
        <v>3</v>
      </c>
      <c r="D59" s="137" t="s">
        <v>4</v>
      </c>
      <c r="E59" s="124" t="s">
        <v>5</v>
      </c>
      <c r="F59" s="138" t="s">
        <v>14</v>
      </c>
      <c r="G59" s="138" t="s">
        <v>15</v>
      </c>
      <c r="H59" s="119" t="s">
        <v>29</v>
      </c>
      <c r="I59" s="121" t="s">
        <v>6</v>
      </c>
      <c r="J59" s="122"/>
      <c r="K59" s="122"/>
      <c r="L59" s="123"/>
      <c r="M59" s="124" t="s">
        <v>7</v>
      </c>
      <c r="N59" s="125"/>
      <c r="O59" s="128" t="s">
        <v>8</v>
      </c>
      <c r="P59" s="128" t="s">
        <v>9</v>
      </c>
      <c r="Q59" s="128"/>
      <c r="R59" s="128"/>
    </row>
    <row r="60" spans="1:18" s="12" customFormat="1" ht="13.05" customHeight="1" x14ac:dyDescent="0.3">
      <c r="A60" s="128"/>
      <c r="B60" s="137"/>
      <c r="C60" s="137"/>
      <c r="D60" s="137"/>
      <c r="E60" s="126"/>
      <c r="F60" s="139"/>
      <c r="G60" s="139"/>
      <c r="H60" s="120"/>
      <c r="I60" s="121" t="s">
        <v>19</v>
      </c>
      <c r="J60" s="123"/>
      <c r="K60" s="121" t="s">
        <v>20</v>
      </c>
      <c r="L60" s="123"/>
      <c r="M60" s="126"/>
      <c r="N60" s="127"/>
      <c r="O60" s="128"/>
      <c r="P60" s="128"/>
      <c r="Q60" s="128"/>
      <c r="R60" s="128"/>
    </row>
    <row r="61" spans="1:18" ht="14.55" customHeight="1" x14ac:dyDescent="0.3">
      <c r="A61" s="140" t="s">
        <v>37</v>
      </c>
      <c r="B61" s="5">
        <v>0.33333333333333331</v>
      </c>
      <c r="C61" s="5"/>
      <c r="D61" s="4">
        <v>180925</v>
      </c>
      <c r="E61" s="3" t="s">
        <v>347</v>
      </c>
      <c r="F61" s="19">
        <v>304</v>
      </c>
      <c r="G61" s="20">
        <v>0.7</v>
      </c>
      <c r="H61" s="28" t="s">
        <v>137</v>
      </c>
      <c r="I61" s="143">
        <v>800</v>
      </c>
      <c r="J61" s="144"/>
      <c r="K61" s="143"/>
      <c r="L61" s="144"/>
      <c r="M61" s="91"/>
      <c r="N61" s="6" t="s">
        <v>13</v>
      </c>
      <c r="O61" s="21"/>
      <c r="P61" s="157"/>
      <c r="Q61" s="158"/>
      <c r="R61" s="159"/>
    </row>
    <row r="62" spans="1:18" s="93" customFormat="1" ht="14.55" customHeight="1" x14ac:dyDescent="0.3">
      <c r="A62" s="166"/>
      <c r="B62" s="5"/>
      <c r="C62" s="5"/>
      <c r="D62" s="4">
        <v>180925</v>
      </c>
      <c r="E62" s="3" t="s">
        <v>352</v>
      </c>
      <c r="F62" s="19">
        <v>304</v>
      </c>
      <c r="G62" s="20">
        <v>0.7</v>
      </c>
      <c r="H62" s="28" t="s">
        <v>137</v>
      </c>
      <c r="I62" s="143">
        <v>77</v>
      </c>
      <c r="J62" s="144"/>
      <c r="K62" s="143"/>
      <c r="L62" s="144"/>
      <c r="M62" s="92"/>
      <c r="N62" s="6" t="s">
        <v>13</v>
      </c>
      <c r="O62" s="21"/>
      <c r="P62" s="160"/>
      <c r="Q62" s="161"/>
      <c r="R62" s="162"/>
    </row>
    <row r="63" spans="1:18" s="93" customFormat="1" ht="14.55" customHeight="1" x14ac:dyDescent="0.3">
      <c r="A63" s="166"/>
      <c r="B63" s="5"/>
      <c r="C63" s="5"/>
      <c r="D63" s="4">
        <v>180925</v>
      </c>
      <c r="E63" s="3" t="s">
        <v>349</v>
      </c>
      <c r="F63" s="19">
        <v>304</v>
      </c>
      <c r="G63" s="20">
        <v>0.7</v>
      </c>
      <c r="H63" s="28" t="s">
        <v>137</v>
      </c>
      <c r="I63" s="143">
        <v>93</v>
      </c>
      <c r="J63" s="144"/>
      <c r="K63" s="143"/>
      <c r="L63" s="144"/>
      <c r="M63" s="92"/>
      <c r="N63" s="6" t="s">
        <v>13</v>
      </c>
      <c r="O63" s="21"/>
      <c r="P63" s="160"/>
      <c r="Q63" s="161"/>
      <c r="R63" s="162"/>
    </row>
    <row r="64" spans="1:18" s="93" customFormat="1" ht="14.55" customHeight="1" x14ac:dyDescent="0.3">
      <c r="A64" s="166"/>
      <c r="B64" s="5"/>
      <c r="C64" s="5"/>
      <c r="D64" s="4">
        <v>180925</v>
      </c>
      <c r="E64" s="3" t="s">
        <v>350</v>
      </c>
      <c r="F64" s="19">
        <v>304</v>
      </c>
      <c r="G64" s="20">
        <v>0.7</v>
      </c>
      <c r="H64" s="28" t="s">
        <v>137</v>
      </c>
      <c r="I64" s="143">
        <v>195</v>
      </c>
      <c r="J64" s="144"/>
      <c r="K64" s="143"/>
      <c r="L64" s="144"/>
      <c r="M64" s="92"/>
      <c r="N64" s="6" t="s">
        <v>13</v>
      </c>
      <c r="O64" s="21"/>
      <c r="P64" s="160"/>
      <c r="Q64" s="161"/>
      <c r="R64" s="162"/>
    </row>
    <row r="65" spans="1:18" ht="14.4" customHeight="1" x14ac:dyDescent="0.3">
      <c r="A65" s="166"/>
      <c r="B65" s="5"/>
      <c r="C65" s="5">
        <v>0.70833333333333337</v>
      </c>
      <c r="D65" s="4">
        <v>250077</v>
      </c>
      <c r="E65" s="3" t="s">
        <v>351</v>
      </c>
      <c r="F65" s="19">
        <v>430</v>
      </c>
      <c r="G65" s="20">
        <v>0.5</v>
      </c>
      <c r="H65" s="28" t="s">
        <v>137</v>
      </c>
      <c r="I65" s="143">
        <v>1200</v>
      </c>
      <c r="J65" s="144"/>
      <c r="K65" s="143"/>
      <c r="L65" s="144"/>
      <c r="M65" s="91"/>
      <c r="N65" s="6" t="s">
        <v>13</v>
      </c>
      <c r="O65" s="21"/>
      <c r="P65" s="160"/>
      <c r="Q65" s="161"/>
      <c r="R65" s="162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91"/>
      <c r="N66" s="6" t="s">
        <v>13</v>
      </c>
      <c r="O66" s="21"/>
      <c r="P66" s="160"/>
      <c r="Q66" s="161"/>
      <c r="R66" s="162"/>
    </row>
    <row r="67" spans="1:18" ht="14.55" customHeight="1" x14ac:dyDescent="0.3">
      <c r="A67" s="166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91"/>
      <c r="N67" s="6" t="s">
        <v>13</v>
      </c>
      <c r="O67" s="21"/>
      <c r="P67" s="160"/>
      <c r="Q67" s="161"/>
      <c r="R67" s="162"/>
    </row>
    <row r="68" spans="1:18" ht="14.55" customHeight="1" x14ac:dyDescent="0.3">
      <c r="A68" s="167"/>
      <c r="B68" s="148" t="s">
        <v>0</v>
      </c>
      <c r="C68" s="149"/>
      <c r="D68" s="149"/>
      <c r="E68" s="149"/>
      <c r="F68" s="149"/>
      <c r="G68" s="149"/>
      <c r="H68" s="149"/>
      <c r="I68" s="150">
        <f>SUM(I61:J67)</f>
        <v>2365</v>
      </c>
      <c r="J68" s="151"/>
      <c r="K68" s="150">
        <f>SUM(K61:L67)</f>
        <v>0</v>
      </c>
      <c r="L68" s="151"/>
      <c r="M68" s="10">
        <f>SUM(M61:M67)</f>
        <v>0</v>
      </c>
      <c r="N68" s="11" t="s">
        <v>13</v>
      </c>
      <c r="O68" s="9"/>
      <c r="P68" s="163"/>
      <c r="Q68" s="164"/>
      <c r="R68" s="165"/>
    </row>
    <row r="69" spans="1:18" ht="14.55" customHeight="1" x14ac:dyDescent="0.3">
      <c r="D69" s="76"/>
      <c r="E69" s="1"/>
      <c r="F69" s="1"/>
      <c r="G69" s="1"/>
      <c r="H69" s="1"/>
      <c r="M69" s="76"/>
    </row>
    <row r="70" spans="1:18" x14ac:dyDescent="0.3">
      <c r="E70" s="148" t="s">
        <v>324</v>
      </c>
      <c r="F70" s="149"/>
      <c r="G70" s="149"/>
      <c r="H70" s="149"/>
      <c r="I70" s="152" t="s">
        <v>19</v>
      </c>
      <c r="J70" s="153"/>
      <c r="K70" s="152" t="s">
        <v>20</v>
      </c>
      <c r="L70" s="153"/>
    </row>
    <row r="71" spans="1:18" s="36" customFormat="1" x14ac:dyDescent="0.3">
      <c r="E71" s="7"/>
      <c r="F71" s="7"/>
      <c r="G71" s="7"/>
      <c r="H71" s="7"/>
      <c r="I71" s="22">
        <f>I68</f>
        <v>2365</v>
      </c>
      <c r="J71" s="14" t="s">
        <v>12</v>
      </c>
      <c r="K71" s="22">
        <f>K68</f>
        <v>0</v>
      </c>
      <c r="L71" s="15" t="s">
        <v>12</v>
      </c>
    </row>
    <row r="72" spans="1:18" ht="24.45" customHeight="1" x14ac:dyDescent="0.3">
      <c r="E72" s="13"/>
      <c r="F72" s="13"/>
      <c r="G72" s="13"/>
      <c r="H72" s="13"/>
      <c r="I72" s="154">
        <f>I71+K71</f>
        <v>2365</v>
      </c>
      <c r="J72" s="155"/>
      <c r="K72" s="155"/>
      <c r="L72" s="156"/>
    </row>
    <row r="74" spans="1:18" s="8" customFormat="1" ht="30" customHeight="1" x14ac:dyDescent="0.3">
      <c r="A74" s="133" t="s">
        <v>322</v>
      </c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6"/>
    </row>
    <row r="75" spans="1:18" s="12" customFormat="1" ht="14.55" customHeight="1" x14ac:dyDescent="0.3">
      <c r="A75" s="128" t="s">
        <v>1</v>
      </c>
      <c r="B75" s="137" t="s">
        <v>2</v>
      </c>
      <c r="C75" s="137" t="s">
        <v>3</v>
      </c>
      <c r="D75" s="137" t="s">
        <v>4</v>
      </c>
      <c r="E75" s="124" t="s">
        <v>5</v>
      </c>
      <c r="F75" s="138" t="s">
        <v>14</v>
      </c>
      <c r="G75" s="138" t="s">
        <v>15</v>
      </c>
      <c r="H75" s="119" t="s">
        <v>29</v>
      </c>
      <c r="I75" s="121" t="s">
        <v>6</v>
      </c>
      <c r="J75" s="122"/>
      <c r="K75" s="122"/>
      <c r="L75" s="123"/>
      <c r="M75" s="124" t="s">
        <v>7</v>
      </c>
      <c r="N75" s="125"/>
      <c r="O75" s="128" t="s">
        <v>8</v>
      </c>
      <c r="P75" s="128" t="s">
        <v>9</v>
      </c>
      <c r="Q75" s="128"/>
      <c r="R75" s="128"/>
    </row>
    <row r="76" spans="1:18" s="12" customFormat="1" ht="13.05" customHeight="1" x14ac:dyDescent="0.3">
      <c r="A76" s="128"/>
      <c r="B76" s="137"/>
      <c r="C76" s="137"/>
      <c r="D76" s="137"/>
      <c r="E76" s="126"/>
      <c r="F76" s="139"/>
      <c r="G76" s="139"/>
      <c r="H76" s="120"/>
      <c r="I76" s="121" t="s">
        <v>19</v>
      </c>
      <c r="J76" s="123"/>
      <c r="K76" s="121" t="s">
        <v>20</v>
      </c>
      <c r="L76" s="123"/>
      <c r="M76" s="126"/>
      <c r="N76" s="127"/>
      <c r="O76" s="128"/>
      <c r="P76" s="128"/>
      <c r="Q76" s="128"/>
      <c r="R76" s="128"/>
    </row>
    <row r="77" spans="1:18" ht="14.55" customHeight="1" x14ac:dyDescent="0.3">
      <c r="A77" s="140" t="s">
        <v>37</v>
      </c>
      <c r="B77" s="5">
        <v>0.33333333333333331</v>
      </c>
      <c r="C77" s="5">
        <v>0.70833333333333337</v>
      </c>
      <c r="D77" s="44">
        <v>210825</v>
      </c>
      <c r="E77" s="3" t="s">
        <v>245</v>
      </c>
      <c r="F77" s="19">
        <v>430</v>
      </c>
      <c r="G77" s="20">
        <v>0.6</v>
      </c>
      <c r="H77" s="28" t="s">
        <v>130</v>
      </c>
      <c r="I77" s="143"/>
      <c r="J77" s="144"/>
      <c r="K77" s="143">
        <v>305</v>
      </c>
      <c r="L77" s="144"/>
      <c r="M77" s="91"/>
      <c r="N77" s="6" t="s">
        <v>13</v>
      </c>
      <c r="O77" s="21"/>
      <c r="P77" s="157"/>
      <c r="Q77" s="158"/>
      <c r="R77" s="159"/>
    </row>
    <row r="78" spans="1:18" ht="14.55" customHeight="1" x14ac:dyDescent="0.3">
      <c r="A78" s="166"/>
      <c r="B78" s="5"/>
      <c r="C78" s="5"/>
      <c r="D78" s="44"/>
      <c r="E78" s="3"/>
      <c r="F78" s="19"/>
      <c r="G78" s="20"/>
      <c r="H78" s="28"/>
      <c r="I78" s="143"/>
      <c r="J78" s="144"/>
      <c r="K78" s="143"/>
      <c r="L78" s="144"/>
      <c r="M78" s="91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91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91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7"/>
      <c r="B81" s="148" t="s">
        <v>0</v>
      </c>
      <c r="C81" s="149"/>
      <c r="D81" s="149"/>
      <c r="E81" s="149"/>
      <c r="F81" s="149"/>
      <c r="G81" s="149"/>
      <c r="H81" s="149"/>
      <c r="I81" s="150">
        <f>SUM(I77:J80)</f>
        <v>0</v>
      </c>
      <c r="J81" s="151"/>
      <c r="K81" s="150">
        <f>SUM(K77:L80)</f>
        <v>305</v>
      </c>
      <c r="L81" s="151"/>
      <c r="M81" s="10">
        <f>SUM(M77:M80)</f>
        <v>0</v>
      </c>
      <c r="N81" s="11" t="s">
        <v>13</v>
      </c>
      <c r="O81" s="9"/>
      <c r="P81" s="163"/>
      <c r="Q81" s="164"/>
      <c r="R81" s="165"/>
    </row>
    <row r="82" spans="1:18" ht="14.55" customHeight="1" x14ac:dyDescent="0.3">
      <c r="D82" s="76"/>
      <c r="E82" s="1"/>
      <c r="F82" s="1"/>
      <c r="G82" s="1"/>
      <c r="H82" s="1"/>
      <c r="M82" s="76"/>
    </row>
    <row r="83" spans="1:18" x14ac:dyDescent="0.3">
      <c r="E83" s="148" t="s">
        <v>323</v>
      </c>
      <c r="F83" s="149"/>
      <c r="G83" s="149"/>
      <c r="H83" s="149"/>
      <c r="I83" s="152" t="s">
        <v>19</v>
      </c>
      <c r="J83" s="153"/>
      <c r="K83" s="152" t="s">
        <v>20</v>
      </c>
      <c r="L83" s="153"/>
    </row>
    <row r="84" spans="1:18" s="36" customFormat="1" x14ac:dyDescent="0.3">
      <c r="E84" s="7"/>
      <c r="F84" s="7"/>
      <c r="G84" s="7"/>
      <c r="H84" s="7"/>
      <c r="I84" s="22">
        <f>I81</f>
        <v>0</v>
      </c>
      <c r="J84" s="14" t="s">
        <v>12</v>
      </c>
      <c r="K84" s="22">
        <f>K81</f>
        <v>305</v>
      </c>
      <c r="L84" s="15" t="s">
        <v>12</v>
      </c>
    </row>
    <row r="85" spans="1:18" ht="24.45" customHeight="1" x14ac:dyDescent="0.3">
      <c r="E85" s="13"/>
      <c r="F85" s="13"/>
      <c r="G85" s="13"/>
      <c r="H85" s="13"/>
      <c r="I85" s="154">
        <f>I84+K84</f>
        <v>305</v>
      </c>
      <c r="J85" s="155"/>
      <c r="K85" s="155"/>
      <c r="L85" s="156"/>
    </row>
    <row r="87" spans="1:18" s="8" customFormat="1" ht="30" customHeight="1" x14ac:dyDescent="0.3">
      <c r="A87" s="133" t="s">
        <v>30</v>
      </c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6"/>
    </row>
    <row r="88" spans="1:18" s="12" customFormat="1" ht="14.55" customHeight="1" x14ac:dyDescent="0.3">
      <c r="A88" s="128" t="s">
        <v>1</v>
      </c>
      <c r="B88" s="137" t="s">
        <v>2</v>
      </c>
      <c r="C88" s="137" t="s">
        <v>3</v>
      </c>
      <c r="D88" s="137" t="s">
        <v>4</v>
      </c>
      <c r="E88" s="124" t="s">
        <v>5</v>
      </c>
      <c r="F88" s="138" t="s">
        <v>14</v>
      </c>
      <c r="G88" s="138" t="s">
        <v>15</v>
      </c>
      <c r="H88" s="119" t="s">
        <v>29</v>
      </c>
      <c r="I88" s="121" t="s">
        <v>6</v>
      </c>
      <c r="J88" s="122"/>
      <c r="K88" s="122"/>
      <c r="L88" s="123"/>
      <c r="M88" s="124" t="s">
        <v>7</v>
      </c>
      <c r="N88" s="125"/>
      <c r="O88" s="128" t="s">
        <v>8</v>
      </c>
      <c r="P88" s="128" t="s">
        <v>9</v>
      </c>
      <c r="Q88" s="128"/>
      <c r="R88" s="128"/>
    </row>
    <row r="89" spans="1:18" s="12" customFormat="1" ht="13.05" customHeight="1" x14ac:dyDescent="0.3">
      <c r="A89" s="128"/>
      <c r="B89" s="137"/>
      <c r="C89" s="137"/>
      <c r="D89" s="137"/>
      <c r="E89" s="126"/>
      <c r="F89" s="139"/>
      <c r="G89" s="139"/>
      <c r="H89" s="120"/>
      <c r="I89" s="121" t="s">
        <v>19</v>
      </c>
      <c r="J89" s="123"/>
      <c r="K89" s="121" t="s">
        <v>20</v>
      </c>
      <c r="L89" s="123"/>
      <c r="M89" s="126"/>
      <c r="N89" s="127"/>
      <c r="O89" s="128"/>
      <c r="P89" s="128"/>
      <c r="Q89" s="128"/>
      <c r="R89" s="128"/>
    </row>
    <row r="90" spans="1:18" ht="14.55" customHeight="1" x14ac:dyDescent="0.3">
      <c r="A90" s="140" t="s">
        <v>35</v>
      </c>
      <c r="B90" s="5">
        <v>0.33333333333333331</v>
      </c>
      <c r="C90" s="5">
        <v>0.70833333333333337</v>
      </c>
      <c r="D90" s="4">
        <v>250077</v>
      </c>
      <c r="E90" s="3" t="s">
        <v>346</v>
      </c>
      <c r="F90" s="19">
        <v>430</v>
      </c>
      <c r="G90" s="20">
        <v>0.5</v>
      </c>
      <c r="H90" s="28" t="s">
        <v>130</v>
      </c>
      <c r="I90" s="143">
        <v>937</v>
      </c>
      <c r="J90" s="144"/>
      <c r="K90" s="143"/>
      <c r="L90" s="144"/>
      <c r="M90" s="91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66"/>
      <c r="B91" s="5"/>
      <c r="C91" s="5"/>
      <c r="D91" s="44"/>
      <c r="E91" s="3"/>
      <c r="F91" s="19"/>
      <c r="G91" s="20"/>
      <c r="H91" s="28"/>
      <c r="I91" s="143"/>
      <c r="J91" s="144"/>
      <c r="K91" s="143"/>
      <c r="L91" s="144"/>
      <c r="M91" s="91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66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91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67"/>
      <c r="B93" s="148" t="s">
        <v>0</v>
      </c>
      <c r="C93" s="149"/>
      <c r="D93" s="149"/>
      <c r="E93" s="149"/>
      <c r="F93" s="149"/>
      <c r="G93" s="149"/>
      <c r="H93" s="149"/>
      <c r="I93" s="150">
        <f>SUM(I90:J92)</f>
        <v>937</v>
      </c>
      <c r="J93" s="151"/>
      <c r="K93" s="150">
        <f>SUM(K90:L92)</f>
        <v>0</v>
      </c>
      <c r="L93" s="151"/>
      <c r="M93" s="10">
        <f>SUM(M90:M92)</f>
        <v>0</v>
      </c>
      <c r="N93" s="11" t="s">
        <v>13</v>
      </c>
      <c r="O93" s="9"/>
      <c r="P93" s="168"/>
      <c r="Q93" s="169"/>
      <c r="R93" s="170"/>
    </row>
    <row r="94" spans="1:18" ht="14.55" customHeight="1" x14ac:dyDescent="0.3">
      <c r="D94" s="76"/>
      <c r="E94" s="1"/>
      <c r="F94" s="1"/>
      <c r="G94" s="1"/>
      <c r="H94" s="1"/>
      <c r="M94" s="76"/>
    </row>
    <row r="95" spans="1:18" x14ac:dyDescent="0.3">
      <c r="E95" s="148" t="s">
        <v>34</v>
      </c>
      <c r="F95" s="149"/>
      <c r="G95" s="149"/>
      <c r="H95" s="149"/>
      <c r="I95" s="152" t="s">
        <v>19</v>
      </c>
      <c r="J95" s="153"/>
      <c r="K95" s="152" t="s">
        <v>20</v>
      </c>
      <c r="L95" s="153"/>
    </row>
    <row r="96" spans="1:18" s="36" customFormat="1" x14ac:dyDescent="0.3">
      <c r="E96" s="7"/>
      <c r="F96" s="7"/>
      <c r="G96" s="7"/>
      <c r="H96" s="7"/>
      <c r="I96" s="22">
        <f>I93</f>
        <v>937</v>
      </c>
      <c r="J96" s="14" t="s">
        <v>12</v>
      </c>
      <c r="K96" s="22">
        <f>K93</f>
        <v>0</v>
      </c>
      <c r="L96" s="15" t="s">
        <v>12</v>
      </c>
    </row>
    <row r="97" spans="1:18" s="1" customFormat="1" ht="24.45" customHeight="1" x14ac:dyDescent="0.3">
      <c r="A97" s="76"/>
      <c r="B97" s="76"/>
      <c r="C97" s="76"/>
      <c r="E97" s="13"/>
      <c r="F97" s="13"/>
      <c r="G97" s="13"/>
      <c r="H97" s="13"/>
      <c r="I97" s="154">
        <f>I96+K96</f>
        <v>937</v>
      </c>
      <c r="J97" s="155"/>
      <c r="K97" s="155"/>
      <c r="L97" s="156"/>
      <c r="N97" s="76"/>
      <c r="O97" s="76"/>
      <c r="P97" s="76"/>
      <c r="Q97" s="76"/>
      <c r="R97" s="76"/>
    </row>
  </sheetData>
  <mergeCells count="238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24:A27"/>
    <mergeCell ref="I24:J24"/>
    <mergeCell ref="K24:L24"/>
    <mergeCell ref="P24:R27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B27:H27"/>
    <mergeCell ref="I27:J27"/>
    <mergeCell ref="K27:L27"/>
    <mergeCell ref="A28:A33"/>
    <mergeCell ref="I28:J28"/>
    <mergeCell ref="K28:L28"/>
    <mergeCell ref="B33:H33"/>
    <mergeCell ref="K33:L33"/>
    <mergeCell ref="P34:R39"/>
    <mergeCell ref="I35:J35"/>
    <mergeCell ref="K35:L35"/>
    <mergeCell ref="I36:J36"/>
    <mergeCell ref="K36:L36"/>
    <mergeCell ref="I37:J37"/>
    <mergeCell ref="K37:L37"/>
    <mergeCell ref="P28:R33"/>
    <mergeCell ref="I29:J29"/>
    <mergeCell ref="K29:L29"/>
    <mergeCell ref="I30:J30"/>
    <mergeCell ref="K30:L30"/>
    <mergeCell ref="I31:J31"/>
    <mergeCell ref="K31:L31"/>
    <mergeCell ref="I32:J32"/>
    <mergeCell ref="K32:L32"/>
    <mergeCell ref="I33:J33"/>
    <mergeCell ref="I38:J38"/>
    <mergeCell ref="K38:L38"/>
    <mergeCell ref="B39:H39"/>
    <mergeCell ref="I39:J39"/>
    <mergeCell ref="K39:L39"/>
    <mergeCell ref="E41:H41"/>
    <mergeCell ref="I41:J41"/>
    <mergeCell ref="K41:L41"/>
    <mergeCell ref="A34:A39"/>
    <mergeCell ref="I34:J34"/>
    <mergeCell ref="K34:L34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P48:R52"/>
    <mergeCell ref="I49:J49"/>
    <mergeCell ref="K49:L49"/>
    <mergeCell ref="I50:J50"/>
    <mergeCell ref="K50:L50"/>
    <mergeCell ref="I51:J51"/>
    <mergeCell ref="K51:L51"/>
    <mergeCell ref="I46:L46"/>
    <mergeCell ref="M46:N47"/>
    <mergeCell ref="O46:O47"/>
    <mergeCell ref="P46:R47"/>
    <mergeCell ref="I47:J47"/>
    <mergeCell ref="K47:L47"/>
    <mergeCell ref="B52:H52"/>
    <mergeCell ref="I52:J52"/>
    <mergeCell ref="K52:L52"/>
    <mergeCell ref="E54:H54"/>
    <mergeCell ref="I54:J54"/>
    <mergeCell ref="K54:L54"/>
    <mergeCell ref="A48:A52"/>
    <mergeCell ref="I48:J48"/>
    <mergeCell ref="K48:L48"/>
    <mergeCell ref="I56:L56"/>
    <mergeCell ref="A58:R58"/>
    <mergeCell ref="A59:A60"/>
    <mergeCell ref="B59:B60"/>
    <mergeCell ref="C59:C60"/>
    <mergeCell ref="D59:D60"/>
    <mergeCell ref="E59:E60"/>
    <mergeCell ref="F59:F60"/>
    <mergeCell ref="G59:G60"/>
    <mergeCell ref="H59:H60"/>
    <mergeCell ref="P61:R68"/>
    <mergeCell ref="I65:J65"/>
    <mergeCell ref="K65:L65"/>
    <mergeCell ref="I66:J66"/>
    <mergeCell ref="K66:L66"/>
    <mergeCell ref="I67:J67"/>
    <mergeCell ref="K67:L67"/>
    <mergeCell ref="I59:L59"/>
    <mergeCell ref="M59:N60"/>
    <mergeCell ref="O59:O60"/>
    <mergeCell ref="P59:R60"/>
    <mergeCell ref="I60:J60"/>
    <mergeCell ref="K60:L60"/>
    <mergeCell ref="I62:J62"/>
    <mergeCell ref="K62:L62"/>
    <mergeCell ref="I63:J63"/>
    <mergeCell ref="B68:H68"/>
    <mergeCell ref="I68:J68"/>
    <mergeCell ref="K68:L68"/>
    <mergeCell ref="E70:H70"/>
    <mergeCell ref="I70:J70"/>
    <mergeCell ref="K70:L70"/>
    <mergeCell ref="A61:A68"/>
    <mergeCell ref="I61:J61"/>
    <mergeCell ref="K61:L61"/>
    <mergeCell ref="K63:L63"/>
    <mergeCell ref="I64:J64"/>
    <mergeCell ref="K64:L64"/>
    <mergeCell ref="I72:L72"/>
    <mergeCell ref="A74:R74"/>
    <mergeCell ref="A75:A76"/>
    <mergeCell ref="B75:B76"/>
    <mergeCell ref="C75:C76"/>
    <mergeCell ref="D75:D76"/>
    <mergeCell ref="E75:E76"/>
    <mergeCell ref="F75:F76"/>
    <mergeCell ref="G75:G76"/>
    <mergeCell ref="H75:H76"/>
    <mergeCell ref="P77:R81"/>
    <mergeCell ref="I78:J78"/>
    <mergeCell ref="K78:L78"/>
    <mergeCell ref="I79:J79"/>
    <mergeCell ref="K79:L79"/>
    <mergeCell ref="I80:J80"/>
    <mergeCell ref="K80:L80"/>
    <mergeCell ref="I75:L75"/>
    <mergeCell ref="M75:N76"/>
    <mergeCell ref="O75:O76"/>
    <mergeCell ref="P75:R76"/>
    <mergeCell ref="I76:J76"/>
    <mergeCell ref="K76:L76"/>
    <mergeCell ref="B81:H81"/>
    <mergeCell ref="I81:J81"/>
    <mergeCell ref="K81:L81"/>
    <mergeCell ref="E83:H83"/>
    <mergeCell ref="I83:J83"/>
    <mergeCell ref="K83:L83"/>
    <mergeCell ref="A77:A81"/>
    <mergeCell ref="I77:J77"/>
    <mergeCell ref="K77:L77"/>
    <mergeCell ref="I88:L88"/>
    <mergeCell ref="M88:N89"/>
    <mergeCell ref="O88:O89"/>
    <mergeCell ref="P88:R89"/>
    <mergeCell ref="I89:J89"/>
    <mergeCell ref="K89:L89"/>
    <mergeCell ref="I85:L85"/>
    <mergeCell ref="A87:R87"/>
    <mergeCell ref="A88:A89"/>
    <mergeCell ref="B88:B89"/>
    <mergeCell ref="C88:C89"/>
    <mergeCell ref="D88:D89"/>
    <mergeCell ref="E88:E89"/>
    <mergeCell ref="F88:F89"/>
    <mergeCell ref="G88:G89"/>
    <mergeCell ref="H88:H89"/>
    <mergeCell ref="K93:L93"/>
    <mergeCell ref="P93:R93"/>
    <mergeCell ref="E95:H95"/>
    <mergeCell ref="I95:J95"/>
    <mergeCell ref="K95:L95"/>
    <mergeCell ref="I97:L97"/>
    <mergeCell ref="A90:A93"/>
    <mergeCell ref="I90:J90"/>
    <mergeCell ref="K90:L90"/>
    <mergeCell ref="P90:R92"/>
    <mergeCell ref="I91:J91"/>
    <mergeCell ref="K91:L91"/>
    <mergeCell ref="I92:J92"/>
    <mergeCell ref="K92:L92"/>
    <mergeCell ref="B93:H93"/>
    <mergeCell ref="I93:J93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6"/>
  <sheetViews>
    <sheetView zoomScale="85" zoomScaleNormal="85" workbookViewId="0">
      <selection activeCell="E9" sqref="E9"/>
    </sheetView>
  </sheetViews>
  <sheetFormatPr defaultColWidth="8.77734375" defaultRowHeight="14.4" x14ac:dyDescent="0.3"/>
  <cols>
    <col min="1" max="1" width="12.6640625" style="93" customWidth="1"/>
    <col min="2" max="3" width="7.6640625" style="93" customWidth="1"/>
    <col min="4" max="4" width="8.21875" style="1" bestFit="1" customWidth="1"/>
    <col min="5" max="5" width="40.6640625" style="93" customWidth="1"/>
    <col min="6" max="6" width="5.6640625" style="93" customWidth="1"/>
    <col min="7" max="7" width="6.6640625" style="93" customWidth="1"/>
    <col min="8" max="8" width="24.5546875" style="93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93" customWidth="1"/>
    <col min="15" max="15" width="21.5546875" style="93" bestFit="1" customWidth="1"/>
    <col min="16" max="18" width="7.6640625" style="93" customWidth="1"/>
    <col min="19" max="16384" width="8.77734375" style="93"/>
  </cols>
  <sheetData>
    <row r="1" spans="1:18" x14ac:dyDescent="0.3">
      <c r="D1" s="93"/>
      <c r="I1" s="93"/>
      <c r="J1" s="93"/>
      <c r="K1" s="93"/>
      <c r="L1" s="93"/>
      <c r="M1" s="93"/>
    </row>
    <row r="2" spans="1:18" x14ac:dyDescent="0.3">
      <c r="D2" s="93"/>
      <c r="I2" s="93"/>
      <c r="J2" s="93"/>
      <c r="K2" s="93"/>
      <c r="L2" s="93"/>
      <c r="M2" s="93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45950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81">
        <v>250046</v>
      </c>
      <c r="E7" s="84" t="s">
        <v>362</v>
      </c>
      <c r="F7" s="19">
        <v>304</v>
      </c>
      <c r="G7" s="20">
        <v>0.7</v>
      </c>
      <c r="H7" s="28" t="s">
        <v>55</v>
      </c>
      <c r="I7" s="143">
        <v>980</v>
      </c>
      <c r="J7" s="144"/>
      <c r="K7" s="143"/>
      <c r="L7" s="144"/>
      <c r="M7" s="94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0.58333333333333337</v>
      </c>
      <c r="D8" s="81">
        <v>250048</v>
      </c>
      <c r="E8" s="3" t="s">
        <v>363</v>
      </c>
      <c r="F8" s="19">
        <v>304</v>
      </c>
      <c r="G8" s="20">
        <v>0.7</v>
      </c>
      <c r="H8" s="28" t="s">
        <v>55</v>
      </c>
      <c r="I8" s="143">
        <v>585</v>
      </c>
      <c r="J8" s="144"/>
      <c r="K8" s="143"/>
      <c r="L8" s="144"/>
      <c r="M8" s="94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4"/>
      <c r="E9" s="3"/>
      <c r="F9" s="19"/>
      <c r="G9" s="20"/>
      <c r="H9" s="28"/>
      <c r="I9" s="143"/>
      <c r="J9" s="144"/>
      <c r="K9" s="143"/>
      <c r="L9" s="144"/>
      <c r="M9" s="94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94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1565</v>
      </c>
      <c r="J11" s="151"/>
      <c r="K11" s="150">
        <f>SUM(K7:L10)</f>
        <v>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94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94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94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93"/>
      <c r="E16" s="1"/>
      <c r="F16" s="1"/>
      <c r="G16" s="1"/>
      <c r="H16" s="1"/>
      <c r="M16" s="93"/>
    </row>
    <row r="17" spans="1:18" x14ac:dyDescent="0.3">
      <c r="E17" s="148" t="s">
        <v>316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1565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1565</v>
      </c>
      <c r="J19" s="155"/>
      <c r="K19" s="155"/>
      <c r="L19" s="156"/>
    </row>
    <row r="20" spans="1:18" ht="15" customHeight="1" x14ac:dyDescent="0.3">
      <c r="D20" s="93"/>
      <c r="I20" s="93"/>
      <c r="J20" s="93"/>
      <c r="K20" s="23"/>
      <c r="L20" s="23"/>
      <c r="M20" s="23"/>
      <c r="N20" s="23"/>
    </row>
    <row r="21" spans="1:18" s="8" customFormat="1" ht="30" customHeight="1" x14ac:dyDescent="0.3">
      <c r="A21" s="133" t="s">
        <v>22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27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23</v>
      </c>
      <c r="J23" s="123"/>
      <c r="K23" s="121" t="s">
        <v>11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28</v>
      </c>
      <c r="B24" s="5"/>
      <c r="C24" s="5"/>
      <c r="D24" s="44"/>
      <c r="E24" s="3" t="s">
        <v>358</v>
      </c>
      <c r="F24" s="19"/>
      <c r="G24" s="20"/>
      <c r="H24" s="28"/>
      <c r="I24" s="143"/>
      <c r="J24" s="144"/>
      <c r="K24" s="143"/>
      <c r="L24" s="144"/>
      <c r="M24" s="94"/>
      <c r="N24" s="6" t="s">
        <v>13</v>
      </c>
      <c r="O24" s="21"/>
      <c r="P24" s="168" t="s">
        <v>50</v>
      </c>
      <c r="Q24" s="169"/>
      <c r="R24" s="170"/>
    </row>
    <row r="25" spans="1:18" ht="14.55" customHeight="1" x14ac:dyDescent="0.3">
      <c r="A25" s="141"/>
      <c r="B25" s="5"/>
      <c r="C25" s="5"/>
      <c r="D25" s="44"/>
      <c r="E25" s="3"/>
      <c r="F25" s="19"/>
      <c r="G25" s="20"/>
      <c r="H25" s="28"/>
      <c r="I25" s="143"/>
      <c r="J25" s="144"/>
      <c r="K25" s="143"/>
      <c r="L25" s="144"/>
      <c r="M25" s="94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1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94"/>
      <c r="N26" s="6" t="s">
        <v>13</v>
      </c>
      <c r="O26" s="21"/>
      <c r="P26" s="168"/>
      <c r="Q26" s="169"/>
      <c r="R26" s="170"/>
    </row>
    <row r="27" spans="1:18" ht="14.55" customHeight="1" x14ac:dyDescent="0.3">
      <c r="A27" s="142"/>
      <c r="B27" s="148" t="s">
        <v>0</v>
      </c>
      <c r="C27" s="149"/>
      <c r="D27" s="149"/>
      <c r="E27" s="149"/>
      <c r="F27" s="149"/>
      <c r="G27" s="149"/>
      <c r="H27" s="171"/>
      <c r="I27" s="150">
        <f>SUM(I24:J26)</f>
        <v>0</v>
      </c>
      <c r="J27" s="151"/>
      <c r="K27" s="150">
        <f>SUM(K24:L26)</f>
        <v>0</v>
      </c>
      <c r="L27" s="151"/>
      <c r="M27" s="10">
        <f>SUM(M24:M26)</f>
        <v>0</v>
      </c>
      <c r="N27" s="11" t="s">
        <v>13</v>
      </c>
      <c r="O27" s="9"/>
      <c r="P27" s="168"/>
      <c r="Q27" s="169"/>
      <c r="R27" s="170"/>
    </row>
    <row r="28" spans="1:18" ht="14.55" customHeight="1" x14ac:dyDescent="0.3">
      <c r="A28" s="140" t="s">
        <v>24</v>
      </c>
      <c r="B28" s="5"/>
      <c r="C28" s="5"/>
      <c r="D28" s="44"/>
      <c r="E28" s="3" t="s">
        <v>358</v>
      </c>
      <c r="F28" s="19"/>
      <c r="G28" s="20"/>
      <c r="H28" s="28"/>
      <c r="I28" s="143"/>
      <c r="J28" s="144"/>
      <c r="K28" s="143"/>
      <c r="L28" s="144"/>
      <c r="M28" s="94"/>
      <c r="N28" s="6" t="s">
        <v>13</v>
      </c>
      <c r="O28" s="21"/>
      <c r="P28" s="157" t="s">
        <v>51</v>
      </c>
      <c r="Q28" s="158"/>
      <c r="R28" s="159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94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94"/>
      <c r="N30" s="6" t="s">
        <v>13</v>
      </c>
      <c r="O30" s="21"/>
      <c r="P30" s="160"/>
      <c r="Q30" s="161"/>
      <c r="R30" s="162"/>
    </row>
    <row r="31" spans="1:18" ht="14.55" hidden="1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94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94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7"/>
      <c r="B33" s="148" t="s">
        <v>0</v>
      </c>
      <c r="C33" s="149"/>
      <c r="D33" s="149"/>
      <c r="E33" s="149"/>
      <c r="F33" s="149"/>
      <c r="G33" s="149"/>
      <c r="H33" s="171"/>
      <c r="I33" s="150">
        <f>SUM(I28:J32)</f>
        <v>0</v>
      </c>
      <c r="J33" s="151"/>
      <c r="K33" s="150">
        <f>SUM(K28:L32)</f>
        <v>0</v>
      </c>
      <c r="L33" s="151"/>
      <c r="M33" s="10">
        <f>SUM(M28:M32)</f>
        <v>0</v>
      </c>
      <c r="N33" s="11" t="s">
        <v>13</v>
      </c>
      <c r="O33" s="9"/>
      <c r="P33" s="163"/>
      <c r="Q33" s="164"/>
      <c r="R33" s="165"/>
    </row>
    <row r="34" spans="1:18" ht="14.55" customHeight="1" x14ac:dyDescent="0.3">
      <c r="A34" s="140" t="s">
        <v>25</v>
      </c>
      <c r="B34" s="5"/>
      <c r="C34" s="5"/>
      <c r="D34" s="44"/>
      <c r="E34" s="3" t="s">
        <v>358</v>
      </c>
      <c r="F34" s="19"/>
      <c r="G34" s="20"/>
      <c r="H34" s="28"/>
      <c r="I34" s="143"/>
      <c r="J34" s="144"/>
      <c r="K34" s="143"/>
      <c r="L34" s="144"/>
      <c r="M34" s="94"/>
      <c r="N34" s="6" t="s">
        <v>13</v>
      </c>
      <c r="O34" s="21"/>
      <c r="P34" s="145" t="s">
        <v>53</v>
      </c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94"/>
      <c r="N35" s="6" t="s">
        <v>13</v>
      </c>
      <c r="O35" s="21"/>
      <c r="P35" s="168"/>
      <c r="Q35" s="169"/>
      <c r="R35" s="170"/>
    </row>
    <row r="36" spans="1:18" ht="14.55" hidden="1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94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94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1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94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42"/>
      <c r="B39" s="148" t="s">
        <v>0</v>
      </c>
      <c r="C39" s="149"/>
      <c r="D39" s="149"/>
      <c r="E39" s="149"/>
      <c r="F39" s="149"/>
      <c r="G39" s="149"/>
      <c r="H39" s="149"/>
      <c r="I39" s="150">
        <f>SUM(I34:J38)</f>
        <v>0</v>
      </c>
      <c r="J39" s="151"/>
      <c r="K39" s="150">
        <f>SUM(K34:L38)</f>
        <v>0</v>
      </c>
      <c r="L39" s="151"/>
      <c r="M39" s="10">
        <f>SUM(M34:M38)</f>
        <v>0</v>
      </c>
      <c r="N39" s="11" t="s">
        <v>13</v>
      </c>
      <c r="O39" s="9"/>
      <c r="P39" s="168"/>
      <c r="Q39" s="169"/>
      <c r="R39" s="170"/>
    </row>
    <row r="41" spans="1:18" x14ac:dyDescent="0.3">
      <c r="E41" s="148" t="s">
        <v>26</v>
      </c>
      <c r="F41" s="149"/>
      <c r="G41" s="149"/>
      <c r="H41" s="149"/>
      <c r="I41" s="152" t="s">
        <v>23</v>
      </c>
      <c r="J41" s="153"/>
      <c r="K41" s="152" t="s">
        <v>11</v>
      </c>
      <c r="L41" s="153"/>
    </row>
    <row r="42" spans="1:18" s="36" customFormat="1" x14ac:dyDescent="0.3">
      <c r="E42" s="7"/>
      <c r="F42" s="7"/>
      <c r="G42" s="7"/>
      <c r="H42" s="7"/>
      <c r="I42" s="22">
        <f>I33+I39</f>
        <v>0</v>
      </c>
      <c r="J42" s="14" t="s">
        <v>12</v>
      </c>
      <c r="K42" s="22">
        <f>K33+K39</f>
        <v>0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0</v>
      </c>
      <c r="J43" s="155"/>
      <c r="K43" s="155"/>
      <c r="L43" s="156"/>
    </row>
    <row r="45" spans="1:18" s="8" customFormat="1" ht="30" customHeight="1" x14ac:dyDescent="0.3">
      <c r="A45" s="133" t="s">
        <v>321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27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23</v>
      </c>
      <c r="J47" s="123"/>
      <c r="K47" s="121" t="s">
        <v>11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132</v>
      </c>
      <c r="B48" s="5"/>
      <c r="C48" s="5"/>
      <c r="D48" s="4"/>
      <c r="E48" s="3" t="s">
        <v>339</v>
      </c>
      <c r="F48" s="19"/>
      <c r="G48" s="20"/>
      <c r="H48" s="28"/>
      <c r="I48" s="143"/>
      <c r="J48" s="144"/>
      <c r="K48" s="143"/>
      <c r="L48" s="144"/>
      <c r="M48" s="94"/>
      <c r="N48" s="6" t="s">
        <v>13</v>
      </c>
      <c r="O48" s="21"/>
      <c r="P48" s="157"/>
      <c r="Q48" s="158"/>
      <c r="R48" s="159"/>
    </row>
    <row r="49" spans="1:18" ht="14.55" customHeight="1" x14ac:dyDescent="0.3">
      <c r="A49" s="166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94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94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6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94"/>
      <c r="N51" s="6" t="s">
        <v>13</v>
      </c>
      <c r="O51" s="21"/>
      <c r="P51" s="160"/>
      <c r="Q51" s="161"/>
      <c r="R51" s="162"/>
    </row>
    <row r="52" spans="1:18" ht="14.55" customHeight="1" x14ac:dyDescent="0.3">
      <c r="A52" s="167"/>
      <c r="B52" s="148" t="s">
        <v>0</v>
      </c>
      <c r="C52" s="149"/>
      <c r="D52" s="149"/>
      <c r="E52" s="149"/>
      <c r="F52" s="149"/>
      <c r="G52" s="149"/>
      <c r="H52" s="149"/>
      <c r="I52" s="150">
        <f ca="1">SUM(I48:J52)</f>
        <v>0</v>
      </c>
      <c r="J52" s="151"/>
      <c r="K52" s="150">
        <f ca="1">SUM(K48:L52)</f>
        <v>0</v>
      </c>
      <c r="L52" s="151"/>
      <c r="M52" s="10">
        <f>SUM(M48:M51)</f>
        <v>0</v>
      </c>
      <c r="N52" s="11" t="s">
        <v>13</v>
      </c>
      <c r="O52" s="9"/>
      <c r="P52" s="163"/>
      <c r="Q52" s="164"/>
      <c r="R52" s="165"/>
    </row>
    <row r="54" spans="1:18" x14ac:dyDescent="0.3">
      <c r="E54" s="148" t="s">
        <v>317</v>
      </c>
      <c r="F54" s="149"/>
      <c r="G54" s="149"/>
      <c r="H54" s="149"/>
      <c r="I54" s="152" t="s">
        <v>23</v>
      </c>
      <c r="J54" s="153"/>
      <c r="K54" s="172" t="s">
        <v>11</v>
      </c>
      <c r="L54" s="153"/>
    </row>
    <row r="55" spans="1:18" s="36" customFormat="1" x14ac:dyDescent="0.3">
      <c r="E55" s="7"/>
      <c r="F55" s="7"/>
      <c r="G55" s="7"/>
      <c r="H55" s="7"/>
      <c r="I55" s="22">
        <f ca="1">I52</f>
        <v>0</v>
      </c>
      <c r="J55" s="14" t="s">
        <v>12</v>
      </c>
      <c r="K55" s="22">
        <f ca="1">K52</f>
        <v>0</v>
      </c>
      <c r="L55" s="15" t="s">
        <v>12</v>
      </c>
    </row>
    <row r="56" spans="1:18" s="1" customFormat="1" ht="24.45" customHeight="1" x14ac:dyDescent="0.3">
      <c r="A56" s="93"/>
      <c r="B56" s="93"/>
      <c r="C56" s="93"/>
      <c r="E56" s="13"/>
      <c r="F56" s="13"/>
      <c r="G56" s="13"/>
      <c r="H56" s="13"/>
      <c r="I56" s="154">
        <f ca="1">I55+K55</f>
        <v>0</v>
      </c>
      <c r="J56" s="155"/>
      <c r="K56" s="155"/>
      <c r="L56" s="156"/>
      <c r="N56" s="93"/>
      <c r="O56" s="93"/>
      <c r="P56" s="93"/>
      <c r="Q56" s="93"/>
      <c r="R56" s="93"/>
    </row>
    <row r="58" spans="1:18" s="8" customFormat="1" ht="30" customHeight="1" x14ac:dyDescent="0.3">
      <c r="A58" s="133" t="s">
        <v>36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6"/>
    </row>
    <row r="59" spans="1:18" s="12" customFormat="1" ht="14.55" customHeight="1" x14ac:dyDescent="0.3">
      <c r="A59" s="128" t="s">
        <v>1</v>
      </c>
      <c r="B59" s="137" t="s">
        <v>2</v>
      </c>
      <c r="C59" s="137" t="s">
        <v>3</v>
      </c>
      <c r="D59" s="137" t="s">
        <v>4</v>
      </c>
      <c r="E59" s="124" t="s">
        <v>5</v>
      </c>
      <c r="F59" s="138" t="s">
        <v>14</v>
      </c>
      <c r="G59" s="138" t="s">
        <v>15</v>
      </c>
      <c r="H59" s="119" t="s">
        <v>29</v>
      </c>
      <c r="I59" s="121" t="s">
        <v>6</v>
      </c>
      <c r="J59" s="122"/>
      <c r="K59" s="122"/>
      <c r="L59" s="123"/>
      <c r="M59" s="124" t="s">
        <v>7</v>
      </c>
      <c r="N59" s="125"/>
      <c r="O59" s="128" t="s">
        <v>8</v>
      </c>
      <c r="P59" s="128" t="s">
        <v>9</v>
      </c>
      <c r="Q59" s="128"/>
      <c r="R59" s="128"/>
    </row>
    <row r="60" spans="1:18" s="12" customFormat="1" ht="13.05" customHeight="1" x14ac:dyDescent="0.3">
      <c r="A60" s="128"/>
      <c r="B60" s="137"/>
      <c r="C60" s="137"/>
      <c r="D60" s="137"/>
      <c r="E60" s="126"/>
      <c r="F60" s="139"/>
      <c r="G60" s="139"/>
      <c r="H60" s="120"/>
      <c r="I60" s="121" t="s">
        <v>19</v>
      </c>
      <c r="J60" s="123"/>
      <c r="K60" s="121" t="s">
        <v>20</v>
      </c>
      <c r="L60" s="123"/>
      <c r="M60" s="126"/>
      <c r="N60" s="127"/>
      <c r="O60" s="128"/>
      <c r="P60" s="128"/>
      <c r="Q60" s="128"/>
      <c r="R60" s="128"/>
    </row>
    <row r="61" spans="1:18" ht="14.55" customHeight="1" x14ac:dyDescent="0.3">
      <c r="A61" s="140" t="s">
        <v>37</v>
      </c>
      <c r="B61" s="5">
        <v>0.33333333333333331</v>
      </c>
      <c r="C61" s="5"/>
      <c r="D61" s="4">
        <v>250046</v>
      </c>
      <c r="E61" s="3" t="s">
        <v>360</v>
      </c>
      <c r="F61" s="19">
        <v>304</v>
      </c>
      <c r="G61" s="20">
        <v>0.7</v>
      </c>
      <c r="H61" s="28" t="s">
        <v>137</v>
      </c>
      <c r="I61" s="143">
        <v>783</v>
      </c>
      <c r="J61" s="144"/>
      <c r="K61" s="143"/>
      <c r="L61" s="144"/>
      <c r="M61" s="94"/>
      <c r="N61" s="6" t="s">
        <v>13</v>
      </c>
      <c r="O61" s="21"/>
      <c r="P61" s="157"/>
      <c r="Q61" s="158"/>
      <c r="R61" s="159"/>
    </row>
    <row r="62" spans="1:18" ht="14.55" customHeight="1" x14ac:dyDescent="0.3">
      <c r="A62" s="166"/>
      <c r="B62" s="5"/>
      <c r="C62" s="5"/>
      <c r="D62" s="4">
        <v>250046</v>
      </c>
      <c r="E62" s="3" t="s">
        <v>357</v>
      </c>
      <c r="F62" s="19">
        <v>304</v>
      </c>
      <c r="G62" s="20">
        <v>0.7</v>
      </c>
      <c r="H62" s="28" t="s">
        <v>137</v>
      </c>
      <c r="I62" s="143">
        <v>286</v>
      </c>
      <c r="J62" s="144"/>
      <c r="K62" s="143"/>
      <c r="L62" s="144"/>
      <c r="M62" s="94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>
        <v>0.58333333333333337</v>
      </c>
      <c r="D63" s="4">
        <v>250077</v>
      </c>
      <c r="E63" s="3" t="s">
        <v>260</v>
      </c>
      <c r="F63" s="19">
        <v>430</v>
      </c>
      <c r="G63" s="20">
        <v>0.5</v>
      </c>
      <c r="H63" s="28" t="s">
        <v>137</v>
      </c>
      <c r="I63" s="143">
        <v>600</v>
      </c>
      <c r="J63" s="144"/>
      <c r="K63" s="143"/>
      <c r="L63" s="144"/>
      <c r="M63" s="94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94"/>
      <c r="N64" s="6" t="s">
        <v>13</v>
      </c>
      <c r="O64" s="21"/>
      <c r="P64" s="160"/>
      <c r="Q64" s="161"/>
      <c r="R64" s="162"/>
    </row>
    <row r="65" spans="1:18" ht="14.55" customHeight="1" x14ac:dyDescent="0.3">
      <c r="A65" s="167"/>
      <c r="B65" s="148" t="s">
        <v>0</v>
      </c>
      <c r="C65" s="149"/>
      <c r="D65" s="149"/>
      <c r="E65" s="149"/>
      <c r="F65" s="149"/>
      <c r="G65" s="149"/>
      <c r="H65" s="149"/>
      <c r="I65" s="150">
        <f>SUM(I61:J64)</f>
        <v>1669</v>
      </c>
      <c r="J65" s="151"/>
      <c r="K65" s="150">
        <f>SUM(K61:L64)</f>
        <v>0</v>
      </c>
      <c r="L65" s="151"/>
      <c r="M65" s="10">
        <f>SUM(M61:M64)</f>
        <v>0</v>
      </c>
      <c r="N65" s="11" t="s">
        <v>13</v>
      </c>
      <c r="O65" s="9"/>
      <c r="P65" s="163"/>
      <c r="Q65" s="164"/>
      <c r="R65" s="165"/>
    </row>
    <row r="66" spans="1:18" ht="14.55" customHeight="1" x14ac:dyDescent="0.3">
      <c r="D66" s="93"/>
      <c r="E66" s="1"/>
      <c r="F66" s="1"/>
      <c r="G66" s="1"/>
      <c r="H66" s="1"/>
      <c r="M66" s="93"/>
    </row>
    <row r="67" spans="1:18" x14ac:dyDescent="0.3">
      <c r="E67" s="148" t="s">
        <v>324</v>
      </c>
      <c r="F67" s="149"/>
      <c r="G67" s="149"/>
      <c r="H67" s="149"/>
      <c r="I67" s="152" t="s">
        <v>19</v>
      </c>
      <c r="J67" s="153"/>
      <c r="K67" s="152" t="s">
        <v>20</v>
      </c>
      <c r="L67" s="153"/>
    </row>
    <row r="68" spans="1:18" s="36" customFormat="1" x14ac:dyDescent="0.3">
      <c r="E68" s="7"/>
      <c r="F68" s="7"/>
      <c r="G68" s="7"/>
      <c r="H68" s="7"/>
      <c r="I68" s="22">
        <f>I65</f>
        <v>1669</v>
      </c>
      <c r="J68" s="14" t="s">
        <v>12</v>
      </c>
      <c r="K68" s="22">
        <f>K65</f>
        <v>0</v>
      </c>
      <c r="L68" s="15" t="s">
        <v>12</v>
      </c>
    </row>
    <row r="69" spans="1:18" ht="24.45" customHeight="1" x14ac:dyDescent="0.3">
      <c r="E69" s="13"/>
      <c r="F69" s="13"/>
      <c r="G69" s="13"/>
      <c r="H69" s="13"/>
      <c r="I69" s="154">
        <f>I68+K68</f>
        <v>1669</v>
      </c>
      <c r="J69" s="155"/>
      <c r="K69" s="155"/>
      <c r="L69" s="156"/>
    </row>
    <row r="71" spans="1:18" s="8" customFormat="1" ht="30" customHeight="1" x14ac:dyDescent="0.3">
      <c r="A71" s="133" t="s">
        <v>322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6"/>
    </row>
    <row r="72" spans="1:18" s="12" customFormat="1" ht="14.55" customHeight="1" x14ac:dyDescent="0.3">
      <c r="A72" s="128" t="s">
        <v>1</v>
      </c>
      <c r="B72" s="137" t="s">
        <v>2</v>
      </c>
      <c r="C72" s="137" t="s">
        <v>3</v>
      </c>
      <c r="D72" s="137" t="s">
        <v>4</v>
      </c>
      <c r="E72" s="124" t="s">
        <v>5</v>
      </c>
      <c r="F72" s="138" t="s">
        <v>14</v>
      </c>
      <c r="G72" s="138" t="s">
        <v>15</v>
      </c>
      <c r="H72" s="119" t="s">
        <v>29</v>
      </c>
      <c r="I72" s="121" t="s">
        <v>6</v>
      </c>
      <c r="J72" s="122"/>
      <c r="K72" s="122"/>
      <c r="L72" s="123"/>
      <c r="M72" s="124" t="s">
        <v>7</v>
      </c>
      <c r="N72" s="125"/>
      <c r="O72" s="128" t="s">
        <v>8</v>
      </c>
      <c r="P72" s="128" t="s">
        <v>9</v>
      </c>
      <c r="Q72" s="128"/>
      <c r="R72" s="128"/>
    </row>
    <row r="73" spans="1:18" s="12" customFormat="1" ht="13.05" customHeight="1" x14ac:dyDescent="0.3">
      <c r="A73" s="128"/>
      <c r="B73" s="137"/>
      <c r="C73" s="137"/>
      <c r="D73" s="137"/>
      <c r="E73" s="126"/>
      <c r="F73" s="139"/>
      <c r="G73" s="139"/>
      <c r="H73" s="120"/>
      <c r="I73" s="121" t="s">
        <v>19</v>
      </c>
      <c r="J73" s="123"/>
      <c r="K73" s="121" t="s">
        <v>20</v>
      </c>
      <c r="L73" s="123"/>
      <c r="M73" s="126"/>
      <c r="N73" s="127"/>
      <c r="O73" s="128"/>
      <c r="P73" s="128"/>
      <c r="Q73" s="128"/>
      <c r="R73" s="128"/>
    </row>
    <row r="74" spans="1:18" ht="14.55" customHeight="1" x14ac:dyDescent="0.3">
      <c r="A74" s="140" t="s">
        <v>37</v>
      </c>
      <c r="B74" s="5"/>
      <c r="C74" s="5"/>
      <c r="D74" s="4"/>
      <c r="E74" s="3" t="s">
        <v>359</v>
      </c>
      <c r="F74" s="19"/>
      <c r="G74" s="20"/>
      <c r="H74" s="28"/>
      <c r="I74" s="143"/>
      <c r="J74" s="144"/>
      <c r="K74" s="143"/>
      <c r="L74" s="144"/>
      <c r="M74" s="94"/>
      <c r="N74" s="6" t="s">
        <v>13</v>
      </c>
      <c r="O74" s="21"/>
      <c r="P74" s="157"/>
      <c r="Q74" s="158"/>
      <c r="R74" s="159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94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94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94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7"/>
      <c r="B78" s="148" t="s">
        <v>0</v>
      </c>
      <c r="C78" s="149"/>
      <c r="D78" s="149"/>
      <c r="E78" s="149"/>
      <c r="F78" s="149"/>
      <c r="G78" s="149"/>
      <c r="H78" s="149"/>
      <c r="I78" s="150">
        <f>SUM(I74:J77)</f>
        <v>0</v>
      </c>
      <c r="J78" s="151"/>
      <c r="K78" s="150">
        <f>SUM(K74:L77)</f>
        <v>0</v>
      </c>
      <c r="L78" s="151"/>
      <c r="M78" s="10">
        <f>SUM(M74:M77)</f>
        <v>0</v>
      </c>
      <c r="N78" s="11" t="s">
        <v>13</v>
      </c>
      <c r="O78" s="9"/>
      <c r="P78" s="163"/>
      <c r="Q78" s="164"/>
      <c r="R78" s="165"/>
    </row>
    <row r="79" spans="1:18" ht="14.55" customHeight="1" x14ac:dyDescent="0.3">
      <c r="D79" s="93"/>
      <c r="E79" s="1"/>
      <c r="F79" s="1"/>
      <c r="G79" s="1"/>
      <c r="H79" s="1"/>
      <c r="M79" s="93"/>
    </row>
    <row r="80" spans="1:18" x14ac:dyDescent="0.3">
      <c r="E80" s="148" t="s">
        <v>323</v>
      </c>
      <c r="F80" s="149"/>
      <c r="G80" s="149"/>
      <c r="H80" s="149"/>
      <c r="I80" s="152" t="s">
        <v>19</v>
      </c>
      <c r="J80" s="153"/>
      <c r="K80" s="152" t="s">
        <v>20</v>
      </c>
      <c r="L80" s="153"/>
    </row>
    <row r="81" spans="1:18" s="36" customFormat="1" x14ac:dyDescent="0.3">
      <c r="E81" s="7"/>
      <c r="F81" s="7"/>
      <c r="G81" s="7"/>
      <c r="H81" s="7"/>
      <c r="I81" s="22">
        <f>I78</f>
        <v>0</v>
      </c>
      <c r="J81" s="14" t="s">
        <v>12</v>
      </c>
      <c r="K81" s="22">
        <f>K78</f>
        <v>0</v>
      </c>
      <c r="L81" s="15" t="s">
        <v>12</v>
      </c>
    </row>
    <row r="82" spans="1:18" ht="24.45" customHeight="1" x14ac:dyDescent="0.3">
      <c r="E82" s="13"/>
      <c r="F82" s="13"/>
      <c r="G82" s="13"/>
      <c r="H82" s="13"/>
      <c r="I82" s="154">
        <f>I81+K81</f>
        <v>0</v>
      </c>
      <c r="J82" s="155"/>
      <c r="K82" s="155"/>
      <c r="L82" s="156"/>
    </row>
    <row r="84" spans="1:18" s="8" customFormat="1" ht="30" customHeight="1" x14ac:dyDescent="0.3">
      <c r="A84" s="133" t="s">
        <v>30</v>
      </c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6"/>
    </row>
    <row r="85" spans="1:18" s="12" customFormat="1" ht="14.55" customHeight="1" x14ac:dyDescent="0.3">
      <c r="A85" s="128" t="s">
        <v>1</v>
      </c>
      <c r="B85" s="137" t="s">
        <v>2</v>
      </c>
      <c r="C85" s="137" t="s">
        <v>3</v>
      </c>
      <c r="D85" s="137" t="s">
        <v>4</v>
      </c>
      <c r="E85" s="124" t="s">
        <v>5</v>
      </c>
      <c r="F85" s="138" t="s">
        <v>14</v>
      </c>
      <c r="G85" s="138" t="s">
        <v>15</v>
      </c>
      <c r="H85" s="119" t="s">
        <v>29</v>
      </c>
      <c r="I85" s="121" t="s">
        <v>6</v>
      </c>
      <c r="J85" s="122"/>
      <c r="K85" s="122"/>
      <c r="L85" s="123"/>
      <c r="M85" s="124" t="s">
        <v>7</v>
      </c>
      <c r="N85" s="125"/>
      <c r="O85" s="128" t="s">
        <v>8</v>
      </c>
      <c r="P85" s="128" t="s">
        <v>9</v>
      </c>
      <c r="Q85" s="128"/>
      <c r="R85" s="128"/>
    </row>
    <row r="86" spans="1:18" s="12" customFormat="1" ht="13.05" customHeight="1" x14ac:dyDescent="0.3">
      <c r="A86" s="128"/>
      <c r="B86" s="137"/>
      <c r="C86" s="137"/>
      <c r="D86" s="137"/>
      <c r="E86" s="126"/>
      <c r="F86" s="139"/>
      <c r="G86" s="139"/>
      <c r="H86" s="120"/>
      <c r="I86" s="121" t="s">
        <v>19</v>
      </c>
      <c r="J86" s="123"/>
      <c r="K86" s="121" t="s">
        <v>20</v>
      </c>
      <c r="L86" s="123"/>
      <c r="M86" s="126"/>
      <c r="N86" s="127"/>
      <c r="O86" s="128"/>
      <c r="P86" s="128"/>
      <c r="Q86" s="128"/>
      <c r="R86" s="128"/>
    </row>
    <row r="87" spans="1:18" ht="14.55" customHeight="1" x14ac:dyDescent="0.3">
      <c r="A87" s="140" t="s">
        <v>35</v>
      </c>
      <c r="B87" s="5">
        <v>0.33333333333333331</v>
      </c>
      <c r="C87" s="5"/>
      <c r="D87" s="4">
        <v>210825</v>
      </c>
      <c r="E87" s="3" t="s">
        <v>245</v>
      </c>
      <c r="F87" s="19">
        <v>430</v>
      </c>
      <c r="G87" s="20">
        <v>0.6</v>
      </c>
      <c r="H87" s="28" t="s">
        <v>130</v>
      </c>
      <c r="I87" s="143"/>
      <c r="J87" s="144"/>
      <c r="K87" s="143">
        <v>152</v>
      </c>
      <c r="L87" s="144"/>
      <c r="M87" s="94"/>
      <c r="N87" s="6" t="s">
        <v>13</v>
      </c>
      <c r="O87" s="21"/>
      <c r="P87" s="168"/>
      <c r="Q87" s="169"/>
      <c r="R87" s="170"/>
    </row>
    <row r="88" spans="1:18" ht="14.55" customHeight="1" x14ac:dyDescent="0.3">
      <c r="A88" s="166"/>
      <c r="B88" s="5"/>
      <c r="C88" s="5"/>
      <c r="D88" s="4">
        <v>210825</v>
      </c>
      <c r="E88" s="3" t="s">
        <v>241</v>
      </c>
      <c r="F88" s="19">
        <v>430</v>
      </c>
      <c r="G88" s="20">
        <v>0.6</v>
      </c>
      <c r="H88" s="28" t="s">
        <v>130</v>
      </c>
      <c r="I88" s="143"/>
      <c r="J88" s="144"/>
      <c r="K88" s="143">
        <v>86</v>
      </c>
      <c r="L88" s="144"/>
      <c r="M88" s="94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6"/>
      <c r="B89" s="5"/>
      <c r="C89" s="5"/>
      <c r="D89" s="4">
        <v>210825</v>
      </c>
      <c r="E89" s="3" t="s">
        <v>242</v>
      </c>
      <c r="F89" s="19">
        <v>430</v>
      </c>
      <c r="G89" s="20">
        <v>0.6</v>
      </c>
      <c r="H89" s="28" t="s">
        <v>130</v>
      </c>
      <c r="I89" s="143"/>
      <c r="J89" s="144"/>
      <c r="K89" s="143">
        <v>13</v>
      </c>
      <c r="L89" s="144"/>
      <c r="M89" s="94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6"/>
      <c r="B90" s="5"/>
      <c r="C90" s="5">
        <v>0.58333333333333337</v>
      </c>
      <c r="D90" s="4">
        <v>250077</v>
      </c>
      <c r="E90" s="3" t="s">
        <v>361</v>
      </c>
      <c r="F90" s="19">
        <v>430</v>
      </c>
      <c r="G90" s="20">
        <v>0.5</v>
      </c>
      <c r="H90" s="28" t="s">
        <v>130</v>
      </c>
      <c r="I90" s="143">
        <v>655</v>
      </c>
      <c r="J90" s="144"/>
      <c r="K90" s="143"/>
      <c r="L90" s="144"/>
      <c r="M90" s="94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66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94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67"/>
      <c r="B92" s="148" t="s">
        <v>0</v>
      </c>
      <c r="C92" s="149"/>
      <c r="D92" s="149"/>
      <c r="E92" s="149"/>
      <c r="F92" s="149"/>
      <c r="G92" s="149"/>
      <c r="H92" s="149"/>
      <c r="I92" s="150">
        <f>SUM(I87:J91)</f>
        <v>655</v>
      </c>
      <c r="J92" s="151"/>
      <c r="K92" s="150">
        <f>SUM(K87:L91)</f>
        <v>251</v>
      </c>
      <c r="L92" s="151"/>
      <c r="M92" s="10">
        <f>SUM(M87:M91)</f>
        <v>0</v>
      </c>
      <c r="N92" s="11" t="s">
        <v>13</v>
      </c>
      <c r="O92" s="9"/>
      <c r="P92" s="168"/>
      <c r="Q92" s="169"/>
      <c r="R92" s="170"/>
    </row>
    <row r="93" spans="1:18" ht="14.55" customHeight="1" x14ac:dyDescent="0.3">
      <c r="D93" s="93"/>
      <c r="E93" s="1"/>
      <c r="F93" s="1"/>
      <c r="G93" s="1"/>
      <c r="H93" s="1"/>
      <c r="M93" s="93"/>
    </row>
    <row r="94" spans="1:18" x14ac:dyDescent="0.3">
      <c r="E94" s="148" t="s">
        <v>34</v>
      </c>
      <c r="F94" s="149"/>
      <c r="G94" s="149"/>
      <c r="H94" s="149"/>
      <c r="I94" s="152" t="s">
        <v>19</v>
      </c>
      <c r="J94" s="153"/>
      <c r="K94" s="152" t="s">
        <v>20</v>
      </c>
      <c r="L94" s="153"/>
    </row>
    <row r="95" spans="1:18" s="36" customFormat="1" x14ac:dyDescent="0.3">
      <c r="E95" s="7"/>
      <c r="F95" s="7"/>
      <c r="G95" s="7"/>
      <c r="H95" s="7"/>
      <c r="I95" s="22">
        <f>I92</f>
        <v>655</v>
      </c>
      <c r="J95" s="14" t="s">
        <v>12</v>
      </c>
      <c r="K95" s="22">
        <f>K92</f>
        <v>251</v>
      </c>
      <c r="L95" s="15" t="s">
        <v>12</v>
      </c>
    </row>
    <row r="96" spans="1:18" s="1" customFormat="1" ht="24.45" customHeight="1" x14ac:dyDescent="0.3">
      <c r="A96" s="93"/>
      <c r="B96" s="93"/>
      <c r="C96" s="93"/>
      <c r="E96" s="13"/>
      <c r="F96" s="13"/>
      <c r="G96" s="13"/>
      <c r="H96" s="13"/>
      <c r="I96" s="154">
        <f>I95+K95</f>
        <v>906</v>
      </c>
      <c r="J96" s="155"/>
      <c r="K96" s="155"/>
      <c r="L96" s="156"/>
      <c r="N96" s="93"/>
      <c r="O96" s="93"/>
      <c r="P96" s="93"/>
      <c r="Q96" s="93"/>
      <c r="R96" s="93"/>
    </row>
  </sheetData>
  <mergeCells count="236">
    <mergeCell ref="I96:L96"/>
    <mergeCell ref="A87:A92"/>
    <mergeCell ref="I87:J87"/>
    <mergeCell ref="K87:L87"/>
    <mergeCell ref="P87:R91"/>
    <mergeCell ref="I91:J91"/>
    <mergeCell ref="K91:L91"/>
    <mergeCell ref="B92:H92"/>
    <mergeCell ref="I92:J92"/>
    <mergeCell ref="I88:J88"/>
    <mergeCell ref="K88:L88"/>
    <mergeCell ref="I89:J89"/>
    <mergeCell ref="K89:L89"/>
    <mergeCell ref="I90:J90"/>
    <mergeCell ref="K90:L90"/>
    <mergeCell ref="K92:L92"/>
    <mergeCell ref="P92:R92"/>
    <mergeCell ref="E94:H94"/>
    <mergeCell ref="I94:J94"/>
    <mergeCell ref="K94:L94"/>
    <mergeCell ref="I85:L85"/>
    <mergeCell ref="M85:N86"/>
    <mergeCell ref="O85:O86"/>
    <mergeCell ref="P85:R86"/>
    <mergeCell ref="I86:J86"/>
    <mergeCell ref="K86:L86"/>
    <mergeCell ref="I82:L82"/>
    <mergeCell ref="A84:R84"/>
    <mergeCell ref="A85:A86"/>
    <mergeCell ref="B85:B86"/>
    <mergeCell ref="C85:C86"/>
    <mergeCell ref="D85:D86"/>
    <mergeCell ref="E85:E86"/>
    <mergeCell ref="F85:F86"/>
    <mergeCell ref="G85:G86"/>
    <mergeCell ref="H85:H86"/>
    <mergeCell ref="B78:H78"/>
    <mergeCell ref="I78:J78"/>
    <mergeCell ref="K78:L78"/>
    <mergeCell ref="E80:H80"/>
    <mergeCell ref="I80:J80"/>
    <mergeCell ref="K80:L80"/>
    <mergeCell ref="A74:A78"/>
    <mergeCell ref="I74:J74"/>
    <mergeCell ref="K74:L74"/>
    <mergeCell ref="P74:R78"/>
    <mergeCell ref="I75:J75"/>
    <mergeCell ref="K75:L75"/>
    <mergeCell ref="I76:J76"/>
    <mergeCell ref="K76:L76"/>
    <mergeCell ref="I77:J77"/>
    <mergeCell ref="K77:L77"/>
    <mergeCell ref="I72:L72"/>
    <mergeCell ref="M72:N73"/>
    <mergeCell ref="O72:O73"/>
    <mergeCell ref="P72:R73"/>
    <mergeCell ref="I73:J73"/>
    <mergeCell ref="K73:L73"/>
    <mergeCell ref="I69:L69"/>
    <mergeCell ref="A71:R71"/>
    <mergeCell ref="A72:A73"/>
    <mergeCell ref="B72:B73"/>
    <mergeCell ref="C72:C73"/>
    <mergeCell ref="D72:D73"/>
    <mergeCell ref="E72:E73"/>
    <mergeCell ref="F72:F73"/>
    <mergeCell ref="G72:G73"/>
    <mergeCell ref="H72:H73"/>
    <mergeCell ref="B65:H65"/>
    <mergeCell ref="I65:J65"/>
    <mergeCell ref="K65:L65"/>
    <mergeCell ref="E67:H67"/>
    <mergeCell ref="I67:J67"/>
    <mergeCell ref="K67:L67"/>
    <mergeCell ref="A61:A65"/>
    <mergeCell ref="I61:J61"/>
    <mergeCell ref="K61:L61"/>
    <mergeCell ref="P61:R65"/>
    <mergeCell ref="I62:J62"/>
    <mergeCell ref="K62:L62"/>
    <mergeCell ref="I63:J63"/>
    <mergeCell ref="K63:L63"/>
    <mergeCell ref="I64:J64"/>
    <mergeCell ref="K64:L64"/>
    <mergeCell ref="I59:L59"/>
    <mergeCell ref="M59:N60"/>
    <mergeCell ref="O59:O60"/>
    <mergeCell ref="P59:R60"/>
    <mergeCell ref="I60:J60"/>
    <mergeCell ref="K60:L60"/>
    <mergeCell ref="I56:L56"/>
    <mergeCell ref="A58:R58"/>
    <mergeCell ref="A59:A60"/>
    <mergeCell ref="B59:B60"/>
    <mergeCell ref="C59:C60"/>
    <mergeCell ref="D59:D60"/>
    <mergeCell ref="E59:E60"/>
    <mergeCell ref="F59:F60"/>
    <mergeCell ref="G59:G60"/>
    <mergeCell ref="H59:H60"/>
    <mergeCell ref="B52:H52"/>
    <mergeCell ref="I52:J52"/>
    <mergeCell ref="K52:L52"/>
    <mergeCell ref="E54:H54"/>
    <mergeCell ref="I54:J54"/>
    <mergeCell ref="K54:L54"/>
    <mergeCell ref="A48:A52"/>
    <mergeCell ref="I48:J48"/>
    <mergeCell ref="K48:L48"/>
    <mergeCell ref="P48:R52"/>
    <mergeCell ref="I49:J49"/>
    <mergeCell ref="K49:L49"/>
    <mergeCell ref="I50:J50"/>
    <mergeCell ref="K50:L50"/>
    <mergeCell ref="I51:J51"/>
    <mergeCell ref="K51:L51"/>
    <mergeCell ref="I46:L46"/>
    <mergeCell ref="M46:N47"/>
    <mergeCell ref="O46:O47"/>
    <mergeCell ref="P46:R47"/>
    <mergeCell ref="I47:J47"/>
    <mergeCell ref="K47:L47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B39:H39"/>
    <mergeCell ref="I39:J39"/>
    <mergeCell ref="K39:L39"/>
    <mergeCell ref="E41:H41"/>
    <mergeCell ref="I41:J41"/>
    <mergeCell ref="K41:L41"/>
    <mergeCell ref="A34:A39"/>
    <mergeCell ref="I34:J34"/>
    <mergeCell ref="K34:L34"/>
    <mergeCell ref="A28:A33"/>
    <mergeCell ref="I28:J28"/>
    <mergeCell ref="K28:L28"/>
    <mergeCell ref="B33:H33"/>
    <mergeCell ref="K33:L33"/>
    <mergeCell ref="P34:R39"/>
    <mergeCell ref="I35:J35"/>
    <mergeCell ref="K35:L35"/>
    <mergeCell ref="I36:J36"/>
    <mergeCell ref="K36:L36"/>
    <mergeCell ref="I37:J37"/>
    <mergeCell ref="K37:L37"/>
    <mergeCell ref="P28:R33"/>
    <mergeCell ref="I29:J29"/>
    <mergeCell ref="K29:L29"/>
    <mergeCell ref="I30:J30"/>
    <mergeCell ref="K30:L30"/>
    <mergeCell ref="I31:J31"/>
    <mergeCell ref="K31:L31"/>
    <mergeCell ref="I32:J32"/>
    <mergeCell ref="K32:L32"/>
    <mergeCell ref="I33:J33"/>
    <mergeCell ref="I38:J38"/>
    <mergeCell ref="K38:L38"/>
    <mergeCell ref="A24:A27"/>
    <mergeCell ref="I24:J24"/>
    <mergeCell ref="K24:L24"/>
    <mergeCell ref="P24:R27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B27:H27"/>
    <mergeCell ref="I27:J27"/>
    <mergeCell ref="K27:L27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4"/>
  <sheetViews>
    <sheetView topLeftCell="A52" zoomScale="85" zoomScaleNormal="85" workbookViewId="0">
      <selection activeCell="D74" sqref="D74"/>
    </sheetView>
  </sheetViews>
  <sheetFormatPr defaultColWidth="8.77734375" defaultRowHeight="14.4" x14ac:dyDescent="0.3"/>
  <cols>
    <col min="1" max="1" width="12.6640625" style="93" customWidth="1"/>
    <col min="2" max="3" width="7.6640625" style="93" customWidth="1"/>
    <col min="4" max="4" width="8.21875" style="1" bestFit="1" customWidth="1"/>
    <col min="5" max="5" width="40.6640625" style="93" customWidth="1"/>
    <col min="6" max="6" width="5.6640625" style="93" customWidth="1"/>
    <col min="7" max="7" width="6.6640625" style="93" customWidth="1"/>
    <col min="8" max="8" width="24.5546875" style="93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93" customWidth="1"/>
    <col min="15" max="15" width="21.5546875" style="93" bestFit="1" customWidth="1"/>
    <col min="16" max="18" width="7.6640625" style="93" customWidth="1"/>
    <col min="19" max="16384" width="8.77734375" style="93"/>
  </cols>
  <sheetData>
    <row r="1" spans="1:18" x14ac:dyDescent="0.3">
      <c r="D1" s="93"/>
      <c r="I1" s="93"/>
      <c r="J1" s="93"/>
      <c r="K1" s="93"/>
      <c r="L1" s="93"/>
      <c r="M1" s="93"/>
    </row>
    <row r="2" spans="1:18" x14ac:dyDescent="0.3">
      <c r="D2" s="93"/>
      <c r="I2" s="93"/>
      <c r="J2" s="93"/>
      <c r="K2" s="93"/>
      <c r="L2" s="93"/>
      <c r="M2" s="93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45957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96">
        <v>250048</v>
      </c>
      <c r="E7" s="84" t="s">
        <v>364</v>
      </c>
      <c r="F7" s="19">
        <v>304</v>
      </c>
      <c r="G7" s="20">
        <v>0.7</v>
      </c>
      <c r="H7" s="28" t="s">
        <v>55</v>
      </c>
      <c r="I7" s="143">
        <v>600</v>
      </c>
      <c r="J7" s="144"/>
      <c r="K7" s="143"/>
      <c r="L7" s="144"/>
      <c r="M7" s="95">
        <v>40</v>
      </c>
      <c r="N7" s="6" t="s">
        <v>13</v>
      </c>
      <c r="O7" s="21" t="s">
        <v>326</v>
      </c>
      <c r="P7" s="145"/>
      <c r="Q7" s="146"/>
      <c r="R7" s="147"/>
    </row>
    <row r="8" spans="1:18" ht="14.55" customHeight="1" x14ac:dyDescent="0.3">
      <c r="A8" s="141"/>
      <c r="B8" s="5"/>
      <c r="C8" s="5"/>
      <c r="D8" s="96">
        <v>250048</v>
      </c>
      <c r="E8" s="3" t="s">
        <v>365</v>
      </c>
      <c r="F8" s="19">
        <v>304</v>
      </c>
      <c r="G8" s="20">
        <v>0.7</v>
      </c>
      <c r="H8" s="28" t="s">
        <v>55</v>
      </c>
      <c r="I8" s="143">
        <v>660</v>
      </c>
      <c r="J8" s="144"/>
      <c r="K8" s="143"/>
      <c r="L8" s="144"/>
      <c r="M8" s="95">
        <v>40</v>
      </c>
      <c r="N8" s="6" t="s">
        <v>13</v>
      </c>
      <c r="O8" s="21" t="s">
        <v>60</v>
      </c>
      <c r="P8" s="145"/>
      <c r="Q8" s="146"/>
      <c r="R8" s="147"/>
    </row>
    <row r="9" spans="1:18" ht="14.55" customHeight="1" x14ac:dyDescent="0.3">
      <c r="A9" s="141"/>
      <c r="B9" s="5"/>
      <c r="C9" s="5"/>
      <c r="D9" s="44">
        <v>250046</v>
      </c>
      <c r="E9" s="3" t="s">
        <v>366</v>
      </c>
      <c r="F9" s="19">
        <v>304</v>
      </c>
      <c r="G9" s="20">
        <v>0.7</v>
      </c>
      <c r="H9" s="28" t="s">
        <v>55</v>
      </c>
      <c r="I9" s="143">
        <v>950</v>
      </c>
      <c r="J9" s="144"/>
      <c r="K9" s="143"/>
      <c r="L9" s="144"/>
      <c r="M9" s="95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>
        <v>0.70833333333333337</v>
      </c>
      <c r="D10" s="72">
        <v>250048</v>
      </c>
      <c r="E10" s="3" t="s">
        <v>367</v>
      </c>
      <c r="F10" s="19">
        <v>304</v>
      </c>
      <c r="G10" s="20">
        <v>0.7</v>
      </c>
      <c r="H10" s="28" t="s">
        <v>55</v>
      </c>
      <c r="I10" s="143">
        <v>300</v>
      </c>
      <c r="J10" s="144"/>
      <c r="K10" s="143"/>
      <c r="L10" s="144"/>
      <c r="M10" s="95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2510</v>
      </c>
      <c r="J11" s="151"/>
      <c r="K11" s="150">
        <f>SUM(K7:L10)</f>
        <v>0</v>
      </c>
      <c r="L11" s="151"/>
      <c r="M11" s="10">
        <f>SUM(M7:M8)</f>
        <v>80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 t="s">
        <v>372</v>
      </c>
      <c r="F12" s="19"/>
      <c r="G12" s="20"/>
      <c r="H12" s="70"/>
      <c r="I12" s="143"/>
      <c r="J12" s="144"/>
      <c r="K12" s="143"/>
      <c r="L12" s="144"/>
      <c r="M12" s="95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95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95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93"/>
      <c r="E16" s="1"/>
      <c r="F16" s="1"/>
      <c r="G16" s="1"/>
      <c r="H16" s="1"/>
      <c r="M16" s="93"/>
    </row>
    <row r="17" spans="1:18" x14ac:dyDescent="0.3">
      <c r="E17" s="148" t="s">
        <v>316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2510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2510</v>
      </c>
      <c r="J19" s="155"/>
      <c r="K19" s="155"/>
      <c r="L19" s="156"/>
    </row>
    <row r="20" spans="1:18" ht="15" customHeight="1" x14ac:dyDescent="0.3">
      <c r="D20" s="93"/>
      <c r="I20" s="93"/>
      <c r="J20" s="93"/>
      <c r="K20" s="23"/>
      <c r="L20" s="23"/>
      <c r="M20" s="23"/>
      <c r="N20" s="23"/>
    </row>
    <row r="21" spans="1:18" s="8" customFormat="1" ht="30" customHeight="1" x14ac:dyDescent="0.3">
      <c r="A21" s="133" t="s">
        <v>22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27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23</v>
      </c>
      <c r="J23" s="123"/>
      <c r="K23" s="121" t="s">
        <v>11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28</v>
      </c>
      <c r="B24" s="5">
        <v>0.33333333333333331</v>
      </c>
      <c r="C24" s="5"/>
      <c r="D24" s="44">
        <v>250082</v>
      </c>
      <c r="E24" s="3" t="s">
        <v>368</v>
      </c>
      <c r="F24" s="19">
        <v>430</v>
      </c>
      <c r="G24" s="20">
        <v>0.6</v>
      </c>
      <c r="H24" s="28" t="s">
        <v>327</v>
      </c>
      <c r="I24" s="143">
        <v>1050</v>
      </c>
      <c r="J24" s="144"/>
      <c r="K24" s="143"/>
      <c r="L24" s="144"/>
      <c r="M24" s="95"/>
      <c r="N24" s="6" t="s">
        <v>13</v>
      </c>
      <c r="O24" s="21"/>
      <c r="P24" s="168" t="s">
        <v>50</v>
      </c>
      <c r="Q24" s="169"/>
      <c r="R24" s="170"/>
    </row>
    <row r="25" spans="1:18" ht="14.55" customHeight="1" x14ac:dyDescent="0.3">
      <c r="A25" s="141"/>
      <c r="B25" s="5"/>
      <c r="C25" s="5">
        <v>0.70833333333333337</v>
      </c>
      <c r="D25" s="44">
        <v>250082</v>
      </c>
      <c r="E25" s="3" t="s">
        <v>369</v>
      </c>
      <c r="F25" s="19">
        <v>430</v>
      </c>
      <c r="G25" s="20">
        <v>0.6</v>
      </c>
      <c r="H25" s="28" t="s">
        <v>327</v>
      </c>
      <c r="I25" s="143">
        <v>250</v>
      </c>
      <c r="J25" s="144"/>
      <c r="K25" s="143"/>
      <c r="L25" s="144"/>
      <c r="M25" s="95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1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95"/>
      <c r="N26" s="6" t="s">
        <v>13</v>
      </c>
      <c r="O26" s="21"/>
      <c r="P26" s="168"/>
      <c r="Q26" s="169"/>
      <c r="R26" s="170"/>
    </row>
    <row r="27" spans="1:18" ht="14.55" customHeight="1" x14ac:dyDescent="0.3">
      <c r="A27" s="142"/>
      <c r="B27" s="148" t="s">
        <v>0</v>
      </c>
      <c r="C27" s="149"/>
      <c r="D27" s="149"/>
      <c r="E27" s="149"/>
      <c r="F27" s="149"/>
      <c r="G27" s="149"/>
      <c r="H27" s="171"/>
      <c r="I27" s="150">
        <f>SUM(I24:J26)</f>
        <v>1300</v>
      </c>
      <c r="J27" s="151"/>
      <c r="K27" s="150">
        <f>SUM(K24:L26)</f>
        <v>0</v>
      </c>
      <c r="L27" s="151"/>
      <c r="M27" s="10">
        <f>SUM(M24:M26)</f>
        <v>0</v>
      </c>
      <c r="N27" s="11" t="s">
        <v>13</v>
      </c>
      <c r="O27" s="9"/>
      <c r="P27" s="168"/>
      <c r="Q27" s="169"/>
      <c r="R27" s="170"/>
    </row>
    <row r="28" spans="1:18" ht="14.55" customHeight="1" x14ac:dyDescent="0.3">
      <c r="A28" s="140" t="s">
        <v>24</v>
      </c>
      <c r="B28" s="5"/>
      <c r="C28" s="5"/>
      <c r="D28" s="44"/>
      <c r="E28" s="3"/>
      <c r="F28" s="19"/>
      <c r="G28" s="20"/>
      <c r="H28" s="28"/>
      <c r="I28" s="143"/>
      <c r="J28" s="144"/>
      <c r="K28" s="143"/>
      <c r="L28" s="144"/>
      <c r="M28" s="95"/>
      <c r="N28" s="6" t="s">
        <v>13</v>
      </c>
      <c r="O28" s="21"/>
      <c r="P28" s="157" t="s">
        <v>51</v>
      </c>
      <c r="Q28" s="158"/>
      <c r="R28" s="159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95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95"/>
      <c r="N30" s="6" t="s">
        <v>13</v>
      </c>
      <c r="O30" s="21"/>
      <c r="P30" s="160"/>
      <c r="Q30" s="161"/>
      <c r="R30" s="162"/>
    </row>
    <row r="31" spans="1:18" ht="14.55" hidden="1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95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95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7"/>
      <c r="B33" s="148" t="s">
        <v>0</v>
      </c>
      <c r="C33" s="149"/>
      <c r="D33" s="149"/>
      <c r="E33" s="149"/>
      <c r="F33" s="149"/>
      <c r="G33" s="149"/>
      <c r="H33" s="171"/>
      <c r="I33" s="150">
        <f>SUM(I28:J32)</f>
        <v>0</v>
      </c>
      <c r="J33" s="151"/>
      <c r="K33" s="150">
        <f>SUM(K28:L32)</f>
        <v>0</v>
      </c>
      <c r="L33" s="151"/>
      <c r="M33" s="10">
        <f>SUM(M28:M32)</f>
        <v>0</v>
      </c>
      <c r="N33" s="11" t="s">
        <v>13</v>
      </c>
      <c r="O33" s="9"/>
      <c r="P33" s="163"/>
      <c r="Q33" s="164"/>
      <c r="R33" s="165"/>
    </row>
    <row r="34" spans="1:18" ht="14.55" customHeight="1" x14ac:dyDescent="0.3">
      <c r="A34" s="140" t="s">
        <v>25</v>
      </c>
      <c r="B34" s="5">
        <v>0.33333333333333331</v>
      </c>
      <c r="C34" s="5"/>
      <c r="D34" s="44">
        <v>250084</v>
      </c>
      <c r="E34" s="3" t="s">
        <v>370</v>
      </c>
      <c r="F34" s="19"/>
      <c r="G34" s="20"/>
      <c r="H34" s="28"/>
      <c r="I34" s="143"/>
      <c r="J34" s="144"/>
      <c r="K34" s="143"/>
      <c r="L34" s="144"/>
      <c r="M34" s="95"/>
      <c r="N34" s="6" t="s">
        <v>13</v>
      </c>
      <c r="O34" s="21"/>
      <c r="P34" s="145" t="s">
        <v>53</v>
      </c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95"/>
      <c r="N35" s="6" t="s">
        <v>13</v>
      </c>
      <c r="O35" s="21"/>
      <c r="P35" s="168"/>
      <c r="Q35" s="169"/>
      <c r="R35" s="170"/>
    </row>
    <row r="36" spans="1:18" ht="14.55" hidden="1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95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>
        <v>250084</v>
      </c>
      <c r="E37" s="3" t="s">
        <v>371</v>
      </c>
      <c r="F37" s="19"/>
      <c r="G37" s="20"/>
      <c r="H37" s="28"/>
      <c r="I37" s="143"/>
      <c r="J37" s="144"/>
      <c r="K37" s="143"/>
      <c r="L37" s="144"/>
      <c r="M37" s="95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1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95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42"/>
      <c r="B39" s="148" t="s">
        <v>0</v>
      </c>
      <c r="C39" s="149"/>
      <c r="D39" s="149"/>
      <c r="E39" s="149"/>
      <c r="F39" s="149"/>
      <c r="G39" s="149"/>
      <c r="H39" s="149"/>
      <c r="I39" s="150">
        <f>SUM(I34:J38)</f>
        <v>0</v>
      </c>
      <c r="J39" s="151"/>
      <c r="K39" s="150">
        <f>SUM(K34:L38)</f>
        <v>0</v>
      </c>
      <c r="L39" s="151"/>
      <c r="M39" s="10">
        <f>SUM(M34:M38)</f>
        <v>0</v>
      </c>
      <c r="N39" s="11" t="s">
        <v>13</v>
      </c>
      <c r="O39" s="9"/>
      <c r="P39" s="168"/>
      <c r="Q39" s="169"/>
      <c r="R39" s="170"/>
    </row>
    <row r="41" spans="1:18" x14ac:dyDescent="0.3">
      <c r="E41" s="148" t="s">
        <v>26</v>
      </c>
      <c r="F41" s="149"/>
      <c r="G41" s="149"/>
      <c r="H41" s="149"/>
      <c r="I41" s="152" t="s">
        <v>23</v>
      </c>
      <c r="J41" s="153"/>
      <c r="K41" s="152" t="s">
        <v>11</v>
      </c>
      <c r="L41" s="153"/>
    </row>
    <row r="42" spans="1:18" s="36" customFormat="1" x14ac:dyDescent="0.3">
      <c r="E42" s="7"/>
      <c r="F42" s="7"/>
      <c r="G42" s="7"/>
      <c r="H42" s="7"/>
      <c r="I42" s="22">
        <f>I33+I39</f>
        <v>0</v>
      </c>
      <c r="J42" s="14" t="s">
        <v>12</v>
      </c>
      <c r="K42" s="22">
        <f>K33+K39</f>
        <v>0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0</v>
      </c>
      <c r="J43" s="155"/>
      <c r="K43" s="155"/>
      <c r="L43" s="156"/>
    </row>
    <row r="45" spans="1:18" s="8" customFormat="1" ht="30" customHeight="1" x14ac:dyDescent="0.3">
      <c r="A45" s="133" t="s">
        <v>321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27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23</v>
      </c>
      <c r="J47" s="123"/>
      <c r="K47" s="121" t="s">
        <v>11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132</v>
      </c>
      <c r="B48" s="5">
        <v>0.33333333333333331</v>
      </c>
      <c r="C48" s="5"/>
      <c r="D48" s="44">
        <v>180925</v>
      </c>
      <c r="E48" s="3" t="s">
        <v>375</v>
      </c>
      <c r="F48" s="19"/>
      <c r="G48" s="20"/>
      <c r="H48" s="28" t="s">
        <v>373</v>
      </c>
      <c r="I48" s="143">
        <v>1500</v>
      </c>
      <c r="J48" s="144"/>
      <c r="K48" s="143"/>
      <c r="L48" s="144"/>
      <c r="M48" s="95"/>
      <c r="N48" s="6" t="s">
        <v>13</v>
      </c>
      <c r="O48" s="21"/>
      <c r="P48" s="157"/>
      <c r="Q48" s="158"/>
      <c r="R48" s="159"/>
    </row>
    <row r="49" spans="1:18" ht="14.55" customHeight="1" x14ac:dyDescent="0.3">
      <c r="A49" s="166"/>
      <c r="B49" s="5"/>
      <c r="C49" s="5">
        <v>0.70833333333333337</v>
      </c>
      <c r="D49" s="4">
        <v>250077</v>
      </c>
      <c r="E49" s="3" t="s">
        <v>374</v>
      </c>
      <c r="F49" s="19"/>
      <c r="G49" s="20"/>
      <c r="H49" s="28" t="s">
        <v>376</v>
      </c>
      <c r="I49" s="143">
        <v>1000</v>
      </c>
      <c r="J49" s="144"/>
      <c r="K49" s="143"/>
      <c r="L49" s="144"/>
      <c r="M49" s="95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95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6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95"/>
      <c r="N51" s="6" t="s">
        <v>13</v>
      </c>
      <c r="O51" s="21"/>
      <c r="P51" s="160"/>
      <c r="Q51" s="161"/>
      <c r="R51" s="162"/>
    </row>
    <row r="52" spans="1:18" ht="14.55" customHeight="1" x14ac:dyDescent="0.3">
      <c r="A52" s="167"/>
      <c r="B52" s="148" t="s">
        <v>0</v>
      </c>
      <c r="C52" s="149"/>
      <c r="D52" s="149"/>
      <c r="E52" s="149"/>
      <c r="F52" s="149"/>
      <c r="G52" s="149"/>
      <c r="H52" s="149"/>
      <c r="I52" s="150">
        <f ca="1">SUM(I48:J52)</f>
        <v>0</v>
      </c>
      <c r="J52" s="151"/>
      <c r="K52" s="150">
        <f ca="1">SUM(K48:L52)</f>
        <v>0</v>
      </c>
      <c r="L52" s="151"/>
      <c r="M52" s="10">
        <f>SUM(M48:M51)</f>
        <v>0</v>
      </c>
      <c r="N52" s="11" t="s">
        <v>13</v>
      </c>
      <c r="O52" s="9"/>
      <c r="P52" s="163"/>
      <c r="Q52" s="164"/>
      <c r="R52" s="165"/>
    </row>
    <row r="54" spans="1:18" x14ac:dyDescent="0.3">
      <c r="E54" s="148" t="s">
        <v>317</v>
      </c>
      <c r="F54" s="149"/>
      <c r="G54" s="149"/>
      <c r="H54" s="149"/>
      <c r="I54" s="152" t="s">
        <v>23</v>
      </c>
      <c r="J54" s="153"/>
      <c r="K54" s="172" t="s">
        <v>11</v>
      </c>
      <c r="L54" s="153"/>
    </row>
    <row r="55" spans="1:18" s="36" customFormat="1" x14ac:dyDescent="0.3">
      <c r="E55" s="7"/>
      <c r="F55" s="7"/>
      <c r="G55" s="7"/>
      <c r="H55" s="7"/>
      <c r="I55" s="22">
        <f ca="1">I52</f>
        <v>0</v>
      </c>
      <c r="J55" s="14" t="s">
        <v>12</v>
      </c>
      <c r="K55" s="22">
        <f ca="1">K52</f>
        <v>0</v>
      </c>
      <c r="L55" s="15" t="s">
        <v>12</v>
      </c>
    </row>
    <row r="56" spans="1:18" s="1" customFormat="1" ht="24.45" customHeight="1" x14ac:dyDescent="0.3">
      <c r="A56" s="93"/>
      <c r="B56" s="93"/>
      <c r="C56" s="93"/>
      <c r="E56" s="13"/>
      <c r="F56" s="13"/>
      <c r="G56" s="13"/>
      <c r="H56" s="13"/>
      <c r="I56" s="154">
        <f ca="1">I55+K55</f>
        <v>0</v>
      </c>
      <c r="J56" s="155"/>
      <c r="K56" s="155"/>
      <c r="L56" s="156"/>
      <c r="N56" s="93"/>
      <c r="O56" s="93"/>
      <c r="P56" s="93"/>
      <c r="Q56" s="93"/>
      <c r="R56" s="93"/>
    </row>
    <row r="58" spans="1:18" s="8" customFormat="1" ht="30" customHeight="1" x14ac:dyDescent="0.3">
      <c r="A58" s="133" t="s">
        <v>36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6"/>
    </row>
    <row r="59" spans="1:18" s="12" customFormat="1" ht="14.55" customHeight="1" x14ac:dyDescent="0.3">
      <c r="A59" s="128" t="s">
        <v>1</v>
      </c>
      <c r="B59" s="137" t="s">
        <v>2</v>
      </c>
      <c r="C59" s="137" t="s">
        <v>3</v>
      </c>
      <c r="D59" s="137" t="s">
        <v>4</v>
      </c>
      <c r="E59" s="124" t="s">
        <v>5</v>
      </c>
      <c r="F59" s="138" t="s">
        <v>14</v>
      </c>
      <c r="G59" s="138" t="s">
        <v>15</v>
      </c>
      <c r="H59" s="119" t="s">
        <v>29</v>
      </c>
      <c r="I59" s="121" t="s">
        <v>6</v>
      </c>
      <c r="J59" s="122"/>
      <c r="K59" s="122"/>
      <c r="L59" s="123"/>
      <c r="M59" s="124" t="s">
        <v>7</v>
      </c>
      <c r="N59" s="125"/>
      <c r="O59" s="128" t="s">
        <v>8</v>
      </c>
      <c r="P59" s="128" t="s">
        <v>9</v>
      </c>
      <c r="Q59" s="128"/>
      <c r="R59" s="128"/>
    </row>
    <row r="60" spans="1:18" s="12" customFormat="1" ht="13.05" customHeight="1" x14ac:dyDescent="0.3">
      <c r="A60" s="128"/>
      <c r="B60" s="137"/>
      <c r="C60" s="137"/>
      <c r="D60" s="137"/>
      <c r="E60" s="126"/>
      <c r="F60" s="139"/>
      <c r="G60" s="139"/>
      <c r="H60" s="120"/>
      <c r="I60" s="121" t="s">
        <v>19</v>
      </c>
      <c r="J60" s="123"/>
      <c r="K60" s="121" t="s">
        <v>20</v>
      </c>
      <c r="L60" s="123"/>
      <c r="M60" s="126"/>
      <c r="N60" s="127"/>
      <c r="O60" s="128"/>
      <c r="P60" s="128"/>
      <c r="Q60" s="128"/>
      <c r="R60" s="128"/>
    </row>
    <row r="61" spans="1:18" ht="14.55" customHeight="1" x14ac:dyDescent="0.3">
      <c r="A61" s="140" t="s">
        <v>37</v>
      </c>
      <c r="B61" s="5">
        <v>0.33333333333333331</v>
      </c>
      <c r="C61" s="5"/>
      <c r="D61" s="4">
        <v>160925</v>
      </c>
      <c r="E61" s="3" t="s">
        <v>377</v>
      </c>
      <c r="F61" s="19">
        <v>304</v>
      </c>
      <c r="G61" s="20">
        <v>0.7</v>
      </c>
      <c r="H61" s="28" t="s">
        <v>137</v>
      </c>
      <c r="I61" s="143">
        <v>1098</v>
      </c>
      <c r="J61" s="144"/>
      <c r="K61" s="143"/>
      <c r="L61" s="144"/>
      <c r="M61" s="95"/>
      <c r="N61" s="6" t="s">
        <v>13</v>
      </c>
      <c r="O61" s="21"/>
      <c r="P61" s="157"/>
      <c r="Q61" s="158"/>
      <c r="R61" s="159"/>
    </row>
    <row r="62" spans="1:18" ht="14.55" customHeight="1" x14ac:dyDescent="0.3">
      <c r="A62" s="166"/>
      <c r="B62" s="5"/>
      <c r="C62" s="5"/>
      <c r="D62" s="4">
        <v>250046</v>
      </c>
      <c r="E62" s="3" t="s">
        <v>380</v>
      </c>
      <c r="F62" s="19">
        <v>304</v>
      </c>
      <c r="G62" s="20">
        <v>0.7</v>
      </c>
      <c r="H62" s="28" t="s">
        <v>137</v>
      </c>
      <c r="I62" s="143">
        <v>611</v>
      </c>
      <c r="J62" s="144"/>
      <c r="K62" s="143"/>
      <c r="L62" s="144"/>
      <c r="M62" s="95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>
        <v>0.70833333333333337</v>
      </c>
      <c r="D63" s="4">
        <v>250046</v>
      </c>
      <c r="E63" s="3" t="s">
        <v>379</v>
      </c>
      <c r="F63" s="19">
        <v>304</v>
      </c>
      <c r="G63" s="20">
        <v>0.7</v>
      </c>
      <c r="H63" s="28" t="s">
        <v>137</v>
      </c>
      <c r="I63" s="143">
        <v>55</v>
      </c>
      <c r="J63" s="144"/>
      <c r="K63" s="143"/>
      <c r="L63" s="144"/>
      <c r="M63" s="95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95"/>
      <c r="N64" s="6" t="s">
        <v>13</v>
      </c>
      <c r="O64" s="21"/>
      <c r="P64" s="160"/>
      <c r="Q64" s="161"/>
      <c r="R64" s="162"/>
    </row>
    <row r="65" spans="1:18" ht="14.55" customHeight="1" x14ac:dyDescent="0.3">
      <c r="A65" s="167"/>
      <c r="B65" s="148" t="s">
        <v>0</v>
      </c>
      <c r="C65" s="149"/>
      <c r="D65" s="149"/>
      <c r="E65" s="149"/>
      <c r="F65" s="149"/>
      <c r="G65" s="149"/>
      <c r="H65" s="149"/>
      <c r="I65" s="150">
        <f>SUM(I61:J64)</f>
        <v>1764</v>
      </c>
      <c r="J65" s="151"/>
      <c r="K65" s="150">
        <f>SUM(K61:L64)</f>
        <v>0</v>
      </c>
      <c r="L65" s="151"/>
      <c r="M65" s="10">
        <f>SUM(M61:M64)</f>
        <v>0</v>
      </c>
      <c r="N65" s="11" t="s">
        <v>13</v>
      </c>
      <c r="O65" s="9"/>
      <c r="P65" s="163"/>
      <c r="Q65" s="164"/>
      <c r="R65" s="165"/>
    </row>
    <row r="66" spans="1:18" ht="14.55" customHeight="1" x14ac:dyDescent="0.3">
      <c r="D66" s="93"/>
      <c r="E66" s="1"/>
      <c r="F66" s="1"/>
      <c r="G66" s="1"/>
      <c r="H66" s="1"/>
      <c r="M66" s="93"/>
    </row>
    <row r="67" spans="1:18" x14ac:dyDescent="0.3">
      <c r="E67" s="148" t="s">
        <v>324</v>
      </c>
      <c r="F67" s="149"/>
      <c r="G67" s="149"/>
      <c r="H67" s="149"/>
      <c r="I67" s="152" t="s">
        <v>19</v>
      </c>
      <c r="J67" s="153"/>
      <c r="K67" s="152" t="s">
        <v>20</v>
      </c>
      <c r="L67" s="153"/>
    </row>
    <row r="68" spans="1:18" s="36" customFormat="1" x14ac:dyDescent="0.3">
      <c r="E68" s="7"/>
      <c r="F68" s="7"/>
      <c r="G68" s="7"/>
      <c r="H68" s="7"/>
      <c r="I68" s="22">
        <f>I65</f>
        <v>1764</v>
      </c>
      <c r="J68" s="14" t="s">
        <v>12</v>
      </c>
      <c r="K68" s="22">
        <f>K65</f>
        <v>0</v>
      </c>
      <c r="L68" s="15" t="s">
        <v>12</v>
      </c>
    </row>
    <row r="69" spans="1:18" ht="24.45" customHeight="1" x14ac:dyDescent="0.3">
      <c r="E69" s="13"/>
      <c r="F69" s="13"/>
      <c r="G69" s="13"/>
      <c r="H69" s="13"/>
      <c r="I69" s="154">
        <f>I68+K68</f>
        <v>1764</v>
      </c>
      <c r="J69" s="155"/>
      <c r="K69" s="155"/>
      <c r="L69" s="156"/>
    </row>
    <row r="71" spans="1:18" s="8" customFormat="1" ht="30" customHeight="1" x14ac:dyDescent="0.3">
      <c r="A71" s="133" t="s">
        <v>322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6"/>
    </row>
    <row r="72" spans="1:18" s="12" customFormat="1" ht="14.55" customHeight="1" x14ac:dyDescent="0.3">
      <c r="A72" s="128" t="s">
        <v>1</v>
      </c>
      <c r="B72" s="137" t="s">
        <v>2</v>
      </c>
      <c r="C72" s="137" t="s">
        <v>3</v>
      </c>
      <c r="D72" s="137" t="s">
        <v>4</v>
      </c>
      <c r="E72" s="124" t="s">
        <v>5</v>
      </c>
      <c r="F72" s="138" t="s">
        <v>14</v>
      </c>
      <c r="G72" s="138" t="s">
        <v>15</v>
      </c>
      <c r="H72" s="119" t="s">
        <v>29</v>
      </c>
      <c r="I72" s="121" t="s">
        <v>6</v>
      </c>
      <c r="J72" s="122"/>
      <c r="K72" s="122"/>
      <c r="L72" s="123"/>
      <c r="M72" s="124" t="s">
        <v>7</v>
      </c>
      <c r="N72" s="125"/>
      <c r="O72" s="128" t="s">
        <v>8</v>
      </c>
      <c r="P72" s="128" t="s">
        <v>9</v>
      </c>
      <c r="Q72" s="128"/>
      <c r="R72" s="128"/>
    </row>
    <row r="73" spans="1:18" s="12" customFormat="1" ht="13.05" customHeight="1" x14ac:dyDescent="0.3">
      <c r="A73" s="128"/>
      <c r="B73" s="137"/>
      <c r="C73" s="137"/>
      <c r="D73" s="137"/>
      <c r="E73" s="126"/>
      <c r="F73" s="139"/>
      <c r="G73" s="139"/>
      <c r="H73" s="120"/>
      <c r="I73" s="121" t="s">
        <v>19</v>
      </c>
      <c r="J73" s="123"/>
      <c r="K73" s="121" t="s">
        <v>20</v>
      </c>
      <c r="L73" s="123"/>
      <c r="M73" s="126"/>
      <c r="N73" s="127"/>
      <c r="O73" s="128"/>
      <c r="P73" s="128"/>
      <c r="Q73" s="128"/>
      <c r="R73" s="128"/>
    </row>
    <row r="74" spans="1:18" ht="14.55" customHeight="1" x14ac:dyDescent="0.3">
      <c r="A74" s="140" t="s">
        <v>37</v>
      </c>
      <c r="B74" s="5">
        <v>0.33333333333333331</v>
      </c>
      <c r="C74" s="5">
        <v>0.70833333333333337</v>
      </c>
      <c r="D74" s="4">
        <v>180925</v>
      </c>
      <c r="E74" s="3" t="s">
        <v>378</v>
      </c>
      <c r="F74" s="19">
        <v>304</v>
      </c>
      <c r="G74" s="20">
        <v>0.7</v>
      </c>
      <c r="H74" s="28" t="s">
        <v>271</v>
      </c>
      <c r="I74" s="143">
        <v>980</v>
      </c>
      <c r="J74" s="144"/>
      <c r="K74" s="143"/>
      <c r="L74" s="144"/>
      <c r="M74" s="95"/>
      <c r="N74" s="6" t="s">
        <v>13</v>
      </c>
      <c r="O74" s="21"/>
      <c r="P74" s="157"/>
      <c r="Q74" s="158"/>
      <c r="R74" s="159"/>
    </row>
    <row r="75" spans="1:18" ht="14.55" customHeight="1" x14ac:dyDescent="0.3">
      <c r="A75" s="166"/>
      <c r="B75" s="5"/>
      <c r="C75" s="5"/>
      <c r="D75" s="4"/>
      <c r="E75" s="3"/>
      <c r="F75" s="19"/>
      <c r="G75" s="20"/>
      <c r="H75" s="28"/>
      <c r="I75" s="143"/>
      <c r="J75" s="144"/>
      <c r="K75" s="143"/>
      <c r="L75" s="144"/>
      <c r="M75" s="95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95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95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7"/>
      <c r="B78" s="148" t="s">
        <v>0</v>
      </c>
      <c r="C78" s="149"/>
      <c r="D78" s="149"/>
      <c r="E78" s="149"/>
      <c r="F78" s="149"/>
      <c r="G78" s="149"/>
      <c r="H78" s="149"/>
      <c r="I78" s="150">
        <f>SUM(I74:J77)</f>
        <v>980</v>
      </c>
      <c r="J78" s="151"/>
      <c r="K78" s="150">
        <f>SUM(K74:L77)</f>
        <v>0</v>
      </c>
      <c r="L78" s="151"/>
      <c r="M78" s="10">
        <f>SUM(M74:M77)</f>
        <v>0</v>
      </c>
      <c r="N78" s="11" t="s">
        <v>13</v>
      </c>
      <c r="O78" s="9"/>
      <c r="P78" s="163"/>
      <c r="Q78" s="164"/>
      <c r="R78" s="165"/>
    </row>
    <row r="79" spans="1:18" ht="14.55" customHeight="1" x14ac:dyDescent="0.3">
      <c r="D79" s="93"/>
      <c r="E79" s="1"/>
      <c r="F79" s="1"/>
      <c r="G79" s="1"/>
      <c r="H79" s="1"/>
      <c r="M79" s="93"/>
    </row>
    <row r="80" spans="1:18" x14ac:dyDescent="0.3">
      <c r="E80" s="148" t="s">
        <v>323</v>
      </c>
      <c r="F80" s="149"/>
      <c r="G80" s="149"/>
      <c r="H80" s="149"/>
      <c r="I80" s="152" t="s">
        <v>19</v>
      </c>
      <c r="J80" s="153"/>
      <c r="K80" s="152" t="s">
        <v>20</v>
      </c>
      <c r="L80" s="153"/>
    </row>
    <row r="81" spans="1:18" s="36" customFormat="1" x14ac:dyDescent="0.3">
      <c r="E81" s="7"/>
      <c r="F81" s="7"/>
      <c r="G81" s="7"/>
      <c r="H81" s="7"/>
      <c r="I81" s="22">
        <f>I78</f>
        <v>980</v>
      </c>
      <c r="J81" s="14" t="s">
        <v>12</v>
      </c>
      <c r="K81" s="22">
        <f>K78</f>
        <v>0</v>
      </c>
      <c r="L81" s="15" t="s">
        <v>12</v>
      </c>
    </row>
    <row r="82" spans="1:18" ht="24.45" customHeight="1" x14ac:dyDescent="0.3">
      <c r="E82" s="13"/>
      <c r="F82" s="13"/>
      <c r="G82" s="13"/>
      <c r="H82" s="13"/>
      <c r="I82" s="154">
        <f>I81+K81</f>
        <v>980</v>
      </c>
      <c r="J82" s="155"/>
      <c r="K82" s="155"/>
      <c r="L82" s="156"/>
    </row>
    <row r="84" spans="1:18" s="8" customFormat="1" ht="30" customHeight="1" x14ac:dyDescent="0.3">
      <c r="A84" s="133" t="s">
        <v>30</v>
      </c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6"/>
    </row>
    <row r="85" spans="1:18" s="12" customFormat="1" ht="14.55" customHeight="1" x14ac:dyDescent="0.3">
      <c r="A85" s="128" t="s">
        <v>1</v>
      </c>
      <c r="B85" s="137" t="s">
        <v>2</v>
      </c>
      <c r="C85" s="137" t="s">
        <v>3</v>
      </c>
      <c r="D85" s="137" t="s">
        <v>4</v>
      </c>
      <c r="E85" s="124" t="s">
        <v>5</v>
      </c>
      <c r="F85" s="138" t="s">
        <v>14</v>
      </c>
      <c r="G85" s="138" t="s">
        <v>15</v>
      </c>
      <c r="H85" s="119" t="s">
        <v>29</v>
      </c>
      <c r="I85" s="121" t="s">
        <v>6</v>
      </c>
      <c r="J85" s="122"/>
      <c r="K85" s="122"/>
      <c r="L85" s="123"/>
      <c r="M85" s="124" t="s">
        <v>7</v>
      </c>
      <c r="N85" s="125"/>
      <c r="O85" s="128" t="s">
        <v>8</v>
      </c>
      <c r="P85" s="128" t="s">
        <v>9</v>
      </c>
      <c r="Q85" s="128"/>
      <c r="R85" s="128"/>
    </row>
    <row r="86" spans="1:18" s="12" customFormat="1" ht="13.05" customHeight="1" x14ac:dyDescent="0.3">
      <c r="A86" s="128"/>
      <c r="B86" s="137"/>
      <c r="C86" s="137"/>
      <c r="D86" s="137"/>
      <c r="E86" s="126"/>
      <c r="F86" s="139"/>
      <c r="G86" s="139"/>
      <c r="H86" s="120"/>
      <c r="I86" s="121" t="s">
        <v>19</v>
      </c>
      <c r="J86" s="123"/>
      <c r="K86" s="121" t="s">
        <v>20</v>
      </c>
      <c r="L86" s="123"/>
      <c r="M86" s="126"/>
      <c r="N86" s="127"/>
      <c r="O86" s="128"/>
      <c r="P86" s="128"/>
      <c r="Q86" s="128"/>
      <c r="R86" s="128"/>
    </row>
    <row r="87" spans="1:18" ht="14.55" customHeight="1" x14ac:dyDescent="0.3">
      <c r="A87" s="140" t="s">
        <v>35</v>
      </c>
      <c r="B87" s="5">
        <v>0.33333333333333331</v>
      </c>
      <c r="C87" s="5"/>
      <c r="D87" s="4">
        <v>250077</v>
      </c>
      <c r="E87" s="3" t="s">
        <v>361</v>
      </c>
      <c r="F87" s="19">
        <v>430</v>
      </c>
      <c r="G87" s="20">
        <v>0.5</v>
      </c>
      <c r="H87" s="28" t="s">
        <v>130</v>
      </c>
      <c r="I87" s="143">
        <v>682</v>
      </c>
      <c r="J87" s="144"/>
      <c r="K87" s="143"/>
      <c r="L87" s="144"/>
      <c r="M87" s="95"/>
      <c r="N87" s="6" t="s">
        <v>13</v>
      </c>
      <c r="O87" s="21"/>
      <c r="P87" s="168"/>
      <c r="Q87" s="169"/>
      <c r="R87" s="170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95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95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7"/>
      <c r="B90" s="148" t="s">
        <v>0</v>
      </c>
      <c r="C90" s="149"/>
      <c r="D90" s="149"/>
      <c r="E90" s="149"/>
      <c r="F90" s="149"/>
      <c r="G90" s="149"/>
      <c r="H90" s="149"/>
      <c r="I90" s="150">
        <f>SUM(I87:J89)</f>
        <v>682</v>
      </c>
      <c r="J90" s="151"/>
      <c r="K90" s="150">
        <f>SUM(K87:L89)</f>
        <v>0</v>
      </c>
      <c r="L90" s="151"/>
      <c r="M90" s="10">
        <f>SUM(M87:M89)</f>
        <v>0</v>
      </c>
      <c r="N90" s="11" t="s">
        <v>13</v>
      </c>
      <c r="O90" s="9"/>
      <c r="P90" s="168"/>
      <c r="Q90" s="169"/>
      <c r="R90" s="170"/>
    </row>
    <row r="91" spans="1:18" ht="14.55" customHeight="1" x14ac:dyDescent="0.3">
      <c r="D91" s="93"/>
      <c r="E91" s="1"/>
      <c r="F91" s="1"/>
      <c r="G91" s="1"/>
      <c r="H91" s="1"/>
      <c r="M91" s="93"/>
    </row>
    <row r="92" spans="1:18" x14ac:dyDescent="0.3">
      <c r="E92" s="148" t="s">
        <v>34</v>
      </c>
      <c r="F92" s="149"/>
      <c r="G92" s="149"/>
      <c r="H92" s="149"/>
      <c r="I92" s="152" t="s">
        <v>19</v>
      </c>
      <c r="J92" s="153"/>
      <c r="K92" s="152" t="s">
        <v>20</v>
      </c>
      <c r="L92" s="153"/>
    </row>
    <row r="93" spans="1:18" s="36" customFormat="1" x14ac:dyDescent="0.3">
      <c r="E93" s="7"/>
      <c r="F93" s="7"/>
      <c r="G93" s="7"/>
      <c r="H93" s="7"/>
      <c r="I93" s="22">
        <f>I90</f>
        <v>682</v>
      </c>
      <c r="J93" s="14" t="s">
        <v>12</v>
      </c>
      <c r="K93" s="22">
        <f>K90</f>
        <v>0</v>
      </c>
      <c r="L93" s="15" t="s">
        <v>12</v>
      </c>
    </row>
    <row r="94" spans="1:18" s="1" customFormat="1" ht="24.45" customHeight="1" x14ac:dyDescent="0.3">
      <c r="A94" s="93"/>
      <c r="B94" s="93"/>
      <c r="C94" s="93"/>
      <c r="E94" s="13"/>
      <c r="F94" s="13"/>
      <c r="G94" s="13"/>
      <c r="H94" s="13"/>
      <c r="I94" s="154">
        <f>I93+K93</f>
        <v>682</v>
      </c>
      <c r="J94" s="155"/>
      <c r="K94" s="155"/>
      <c r="L94" s="156"/>
      <c r="N94" s="93"/>
      <c r="O94" s="93"/>
      <c r="P94" s="93"/>
      <c r="Q94" s="93"/>
      <c r="R94" s="93"/>
    </row>
  </sheetData>
  <mergeCells count="232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24:A27"/>
    <mergeCell ref="I24:J24"/>
    <mergeCell ref="K24:L24"/>
    <mergeCell ref="P24:R27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B27:H27"/>
    <mergeCell ref="I27:J27"/>
    <mergeCell ref="K27:L27"/>
    <mergeCell ref="A28:A33"/>
    <mergeCell ref="I28:J28"/>
    <mergeCell ref="K28:L28"/>
    <mergeCell ref="B33:H33"/>
    <mergeCell ref="K33:L33"/>
    <mergeCell ref="P34:R39"/>
    <mergeCell ref="I35:J35"/>
    <mergeCell ref="K35:L35"/>
    <mergeCell ref="I36:J36"/>
    <mergeCell ref="K36:L36"/>
    <mergeCell ref="I37:J37"/>
    <mergeCell ref="K37:L37"/>
    <mergeCell ref="P28:R33"/>
    <mergeCell ref="I29:J29"/>
    <mergeCell ref="K29:L29"/>
    <mergeCell ref="I30:J30"/>
    <mergeCell ref="K30:L30"/>
    <mergeCell ref="I31:J31"/>
    <mergeCell ref="K31:L31"/>
    <mergeCell ref="I32:J32"/>
    <mergeCell ref="K32:L32"/>
    <mergeCell ref="I33:J33"/>
    <mergeCell ref="I38:J38"/>
    <mergeCell ref="K38:L38"/>
    <mergeCell ref="B39:H39"/>
    <mergeCell ref="I39:J39"/>
    <mergeCell ref="K39:L39"/>
    <mergeCell ref="E41:H41"/>
    <mergeCell ref="I41:J41"/>
    <mergeCell ref="K41:L41"/>
    <mergeCell ref="A34:A39"/>
    <mergeCell ref="I34:J34"/>
    <mergeCell ref="K34:L34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P48:R52"/>
    <mergeCell ref="I49:J49"/>
    <mergeCell ref="K49:L49"/>
    <mergeCell ref="I50:J50"/>
    <mergeCell ref="K50:L50"/>
    <mergeCell ref="I51:J51"/>
    <mergeCell ref="K51:L51"/>
    <mergeCell ref="I46:L46"/>
    <mergeCell ref="M46:N47"/>
    <mergeCell ref="O46:O47"/>
    <mergeCell ref="P46:R47"/>
    <mergeCell ref="I47:J47"/>
    <mergeCell ref="K47:L47"/>
    <mergeCell ref="B52:H52"/>
    <mergeCell ref="I52:J52"/>
    <mergeCell ref="K52:L52"/>
    <mergeCell ref="E54:H54"/>
    <mergeCell ref="I54:J54"/>
    <mergeCell ref="K54:L54"/>
    <mergeCell ref="A48:A52"/>
    <mergeCell ref="I48:J48"/>
    <mergeCell ref="K48:L48"/>
    <mergeCell ref="I56:L56"/>
    <mergeCell ref="A58:R58"/>
    <mergeCell ref="A59:A60"/>
    <mergeCell ref="B59:B60"/>
    <mergeCell ref="C59:C60"/>
    <mergeCell ref="D59:D60"/>
    <mergeCell ref="E59:E60"/>
    <mergeCell ref="F59:F60"/>
    <mergeCell ref="G59:G60"/>
    <mergeCell ref="H59:H60"/>
    <mergeCell ref="P61:R65"/>
    <mergeCell ref="I62:J62"/>
    <mergeCell ref="K62:L62"/>
    <mergeCell ref="I63:J63"/>
    <mergeCell ref="K63:L63"/>
    <mergeCell ref="I64:J64"/>
    <mergeCell ref="K64:L64"/>
    <mergeCell ref="I59:L59"/>
    <mergeCell ref="M59:N60"/>
    <mergeCell ref="O59:O60"/>
    <mergeCell ref="P59:R60"/>
    <mergeCell ref="I60:J60"/>
    <mergeCell ref="K60:L60"/>
    <mergeCell ref="B65:H65"/>
    <mergeCell ref="I65:J65"/>
    <mergeCell ref="K65:L65"/>
    <mergeCell ref="E67:H67"/>
    <mergeCell ref="I67:J67"/>
    <mergeCell ref="K67:L67"/>
    <mergeCell ref="A61:A65"/>
    <mergeCell ref="I61:J61"/>
    <mergeCell ref="K61:L61"/>
    <mergeCell ref="I69:L69"/>
    <mergeCell ref="A71:R71"/>
    <mergeCell ref="A72:A73"/>
    <mergeCell ref="B72:B73"/>
    <mergeCell ref="C72:C73"/>
    <mergeCell ref="D72:D73"/>
    <mergeCell ref="E72:E73"/>
    <mergeCell ref="F72:F73"/>
    <mergeCell ref="G72:G73"/>
    <mergeCell ref="H72:H73"/>
    <mergeCell ref="P74:R78"/>
    <mergeCell ref="I75:J75"/>
    <mergeCell ref="K75:L75"/>
    <mergeCell ref="I76:J76"/>
    <mergeCell ref="K76:L76"/>
    <mergeCell ref="I77:J77"/>
    <mergeCell ref="K77:L77"/>
    <mergeCell ref="I72:L72"/>
    <mergeCell ref="M72:N73"/>
    <mergeCell ref="O72:O73"/>
    <mergeCell ref="P72:R73"/>
    <mergeCell ref="I73:J73"/>
    <mergeCell ref="K73:L73"/>
    <mergeCell ref="B78:H78"/>
    <mergeCell ref="I78:J78"/>
    <mergeCell ref="K78:L78"/>
    <mergeCell ref="E80:H80"/>
    <mergeCell ref="I80:J80"/>
    <mergeCell ref="K80:L80"/>
    <mergeCell ref="A74:A78"/>
    <mergeCell ref="I74:J74"/>
    <mergeCell ref="K74:L74"/>
    <mergeCell ref="I85:L85"/>
    <mergeCell ref="M85:N86"/>
    <mergeCell ref="O85:O86"/>
    <mergeCell ref="P85:R86"/>
    <mergeCell ref="I86:J86"/>
    <mergeCell ref="K86:L86"/>
    <mergeCell ref="I82:L82"/>
    <mergeCell ref="A84:R84"/>
    <mergeCell ref="A85:A86"/>
    <mergeCell ref="B85:B86"/>
    <mergeCell ref="C85:C86"/>
    <mergeCell ref="D85:D86"/>
    <mergeCell ref="E85:E86"/>
    <mergeCell ref="F85:F86"/>
    <mergeCell ref="G85:G86"/>
    <mergeCell ref="H85:H86"/>
    <mergeCell ref="K90:L90"/>
    <mergeCell ref="P90:R90"/>
    <mergeCell ref="E92:H92"/>
    <mergeCell ref="I92:J92"/>
    <mergeCell ref="K92:L92"/>
    <mergeCell ref="I94:L94"/>
    <mergeCell ref="A87:A90"/>
    <mergeCell ref="I87:J87"/>
    <mergeCell ref="K87:L87"/>
    <mergeCell ref="P87:R89"/>
    <mergeCell ref="I88:J88"/>
    <mergeCell ref="K88:L88"/>
    <mergeCell ref="I89:J89"/>
    <mergeCell ref="K89:L89"/>
    <mergeCell ref="B90:H90"/>
    <mergeCell ref="I90:J90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4"/>
  <sheetViews>
    <sheetView zoomScale="85" zoomScaleNormal="85" workbookViewId="0">
      <selection activeCell="I82" sqref="I82:L82"/>
    </sheetView>
  </sheetViews>
  <sheetFormatPr defaultColWidth="8.77734375" defaultRowHeight="14.4" x14ac:dyDescent="0.3"/>
  <cols>
    <col min="1" max="1" width="12.6640625" style="93" customWidth="1"/>
    <col min="2" max="3" width="7.6640625" style="93" customWidth="1"/>
    <col min="4" max="4" width="8.21875" style="1" bestFit="1" customWidth="1"/>
    <col min="5" max="5" width="40.6640625" style="93" customWidth="1"/>
    <col min="6" max="6" width="5.6640625" style="93" customWidth="1"/>
    <col min="7" max="7" width="6.6640625" style="93" customWidth="1"/>
    <col min="8" max="8" width="24.5546875" style="93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93" customWidth="1"/>
    <col min="15" max="15" width="21.5546875" style="93" bestFit="1" customWidth="1"/>
    <col min="16" max="18" width="7.6640625" style="93" customWidth="1"/>
    <col min="19" max="16384" width="8.77734375" style="93"/>
  </cols>
  <sheetData>
    <row r="1" spans="1:18" x14ac:dyDescent="0.3">
      <c r="D1" s="93"/>
      <c r="I1" s="93"/>
      <c r="J1" s="93"/>
      <c r="K1" s="93"/>
      <c r="L1" s="93"/>
      <c r="M1" s="93"/>
    </row>
    <row r="2" spans="1:18" x14ac:dyDescent="0.3">
      <c r="D2" s="93"/>
      <c r="I2" s="93"/>
      <c r="J2" s="93"/>
      <c r="K2" s="93"/>
      <c r="L2" s="93"/>
      <c r="M2" s="93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45958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72">
        <v>250048</v>
      </c>
      <c r="E7" s="84" t="s">
        <v>383</v>
      </c>
      <c r="F7" s="19">
        <v>304</v>
      </c>
      <c r="G7" s="20">
        <v>0.7</v>
      </c>
      <c r="H7" s="28" t="s">
        <v>55</v>
      </c>
      <c r="I7" s="143">
        <v>400</v>
      </c>
      <c r="J7" s="144"/>
      <c r="K7" s="143"/>
      <c r="L7" s="144"/>
      <c r="M7" s="97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99">
        <v>250048</v>
      </c>
      <c r="E8" s="3" t="s">
        <v>384</v>
      </c>
      <c r="F8" s="19">
        <v>304</v>
      </c>
      <c r="G8" s="20">
        <v>0.7</v>
      </c>
      <c r="H8" s="28" t="s">
        <v>55</v>
      </c>
      <c r="I8" s="143">
        <v>1040</v>
      </c>
      <c r="J8" s="144"/>
      <c r="K8" s="143"/>
      <c r="L8" s="144"/>
      <c r="M8" s="97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100">
        <v>250046</v>
      </c>
      <c r="E9" s="3" t="s">
        <v>381</v>
      </c>
      <c r="F9" s="19">
        <v>304</v>
      </c>
      <c r="G9" s="20">
        <v>0.7</v>
      </c>
      <c r="H9" s="28" t="s">
        <v>55</v>
      </c>
      <c r="I9" s="143">
        <v>630</v>
      </c>
      <c r="J9" s="144"/>
      <c r="K9" s="143"/>
      <c r="L9" s="144"/>
      <c r="M9" s="97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>
        <v>0.70833333333333337</v>
      </c>
      <c r="D10" s="99">
        <v>250048</v>
      </c>
      <c r="E10" s="3" t="s">
        <v>382</v>
      </c>
      <c r="F10" s="19">
        <v>304</v>
      </c>
      <c r="G10" s="20">
        <v>0.7</v>
      </c>
      <c r="H10" s="28" t="s">
        <v>55</v>
      </c>
      <c r="I10" s="143">
        <v>300</v>
      </c>
      <c r="J10" s="144"/>
      <c r="K10" s="143"/>
      <c r="L10" s="144"/>
      <c r="M10" s="97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2370</v>
      </c>
      <c r="J11" s="151"/>
      <c r="K11" s="150">
        <f>SUM(K7:L10)</f>
        <v>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>
        <v>250046</v>
      </c>
      <c r="E12" s="69" t="s">
        <v>385</v>
      </c>
      <c r="F12" s="19">
        <v>304</v>
      </c>
      <c r="G12" s="20">
        <v>0.7</v>
      </c>
      <c r="H12" s="70" t="s">
        <v>55</v>
      </c>
      <c r="I12" s="143"/>
      <c r="J12" s="144"/>
      <c r="K12" s="143"/>
      <c r="L12" s="144"/>
      <c r="M12" s="97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97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97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93"/>
      <c r="E16" s="1"/>
      <c r="F16" s="1"/>
      <c r="G16" s="1"/>
      <c r="H16" s="1"/>
      <c r="M16" s="93"/>
    </row>
    <row r="17" spans="1:18" x14ac:dyDescent="0.3">
      <c r="E17" s="148" t="s">
        <v>316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2370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2370</v>
      </c>
      <c r="J19" s="155"/>
      <c r="K19" s="155"/>
      <c r="L19" s="156"/>
    </row>
    <row r="20" spans="1:18" ht="15" customHeight="1" x14ac:dyDescent="0.3">
      <c r="D20" s="93"/>
      <c r="I20" s="93"/>
      <c r="J20" s="93"/>
      <c r="K20" s="23"/>
      <c r="L20" s="23"/>
      <c r="M20" s="23"/>
      <c r="N20" s="23"/>
    </row>
    <row r="21" spans="1:18" s="8" customFormat="1" ht="30" customHeight="1" x14ac:dyDescent="0.3">
      <c r="A21" s="133" t="s">
        <v>22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27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23</v>
      </c>
      <c r="J23" s="123"/>
      <c r="K23" s="121" t="s">
        <v>11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28</v>
      </c>
      <c r="B24" s="5">
        <v>0.33333333333333331</v>
      </c>
      <c r="C24" s="5"/>
      <c r="D24" s="44">
        <v>250082</v>
      </c>
      <c r="E24" s="3" t="s">
        <v>386</v>
      </c>
      <c r="F24" s="19">
        <v>430</v>
      </c>
      <c r="G24" s="20">
        <v>0.6</v>
      </c>
      <c r="H24" s="28" t="s">
        <v>327</v>
      </c>
      <c r="I24" s="143">
        <v>750</v>
      </c>
      <c r="J24" s="144"/>
      <c r="K24" s="143"/>
      <c r="L24" s="144"/>
      <c r="M24" s="97"/>
      <c r="N24" s="6" t="s">
        <v>13</v>
      </c>
      <c r="O24" s="21"/>
      <c r="P24" s="168" t="s">
        <v>50</v>
      </c>
      <c r="Q24" s="169"/>
      <c r="R24" s="170"/>
    </row>
    <row r="25" spans="1:18" ht="14.55" customHeight="1" x14ac:dyDescent="0.3">
      <c r="A25" s="141"/>
      <c r="B25" s="5"/>
      <c r="C25" s="5">
        <v>0.70833333333333337</v>
      </c>
      <c r="D25" s="44">
        <v>250082</v>
      </c>
      <c r="E25" s="3" t="s">
        <v>387</v>
      </c>
      <c r="F25" s="19">
        <v>430</v>
      </c>
      <c r="G25" s="20">
        <v>0.6</v>
      </c>
      <c r="H25" s="28" t="s">
        <v>327</v>
      </c>
      <c r="I25" s="143">
        <v>500</v>
      </c>
      <c r="J25" s="144"/>
      <c r="K25" s="143"/>
      <c r="L25" s="144"/>
      <c r="M25" s="97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1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97"/>
      <c r="N26" s="6" t="s">
        <v>13</v>
      </c>
      <c r="O26" s="21"/>
      <c r="P26" s="168"/>
      <c r="Q26" s="169"/>
      <c r="R26" s="170"/>
    </row>
    <row r="27" spans="1:18" ht="14.55" customHeight="1" x14ac:dyDescent="0.3">
      <c r="A27" s="142"/>
      <c r="B27" s="148" t="s">
        <v>0</v>
      </c>
      <c r="C27" s="149"/>
      <c r="D27" s="149"/>
      <c r="E27" s="149"/>
      <c r="F27" s="149"/>
      <c r="G27" s="149"/>
      <c r="H27" s="171"/>
      <c r="I27" s="150">
        <f>SUM(I24:J26)</f>
        <v>1250</v>
      </c>
      <c r="J27" s="151"/>
      <c r="K27" s="150">
        <f>SUM(K24:L26)</f>
        <v>0</v>
      </c>
      <c r="L27" s="151"/>
      <c r="M27" s="10">
        <f>SUM(M24:M26)</f>
        <v>0</v>
      </c>
      <c r="N27" s="11" t="s">
        <v>13</v>
      </c>
      <c r="O27" s="9"/>
      <c r="P27" s="168"/>
      <c r="Q27" s="169"/>
      <c r="R27" s="170"/>
    </row>
    <row r="28" spans="1:18" ht="14.55" customHeight="1" x14ac:dyDescent="0.3">
      <c r="A28" s="140" t="s">
        <v>24</v>
      </c>
      <c r="B28" s="5">
        <v>0.33333333333333331</v>
      </c>
      <c r="C28" s="5"/>
      <c r="D28" s="44">
        <v>250084</v>
      </c>
      <c r="E28" s="3" t="s">
        <v>388</v>
      </c>
      <c r="F28" s="19">
        <v>304</v>
      </c>
      <c r="G28" s="20">
        <v>0.6</v>
      </c>
      <c r="H28" s="28" t="s">
        <v>327</v>
      </c>
      <c r="I28" s="143">
        <v>750</v>
      </c>
      <c r="J28" s="144"/>
      <c r="K28" s="143"/>
      <c r="L28" s="144"/>
      <c r="M28" s="97"/>
      <c r="N28" s="6" t="s">
        <v>13</v>
      </c>
      <c r="O28" s="21"/>
      <c r="P28" s="157" t="s">
        <v>51</v>
      </c>
      <c r="Q28" s="158"/>
      <c r="R28" s="159"/>
    </row>
    <row r="29" spans="1:18" ht="14.55" customHeight="1" x14ac:dyDescent="0.3">
      <c r="A29" s="166"/>
      <c r="B29" s="5"/>
      <c r="C29" s="5">
        <v>0.70833333333333337</v>
      </c>
      <c r="D29" s="4">
        <v>250084</v>
      </c>
      <c r="E29" s="3" t="s">
        <v>389</v>
      </c>
      <c r="F29" s="19">
        <v>304</v>
      </c>
      <c r="G29" s="20">
        <v>0.6</v>
      </c>
      <c r="H29" s="28" t="s">
        <v>327</v>
      </c>
      <c r="I29" s="143">
        <v>750</v>
      </c>
      <c r="J29" s="144"/>
      <c r="K29" s="143"/>
      <c r="L29" s="144"/>
      <c r="M29" s="97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97"/>
      <c r="N30" s="6" t="s">
        <v>13</v>
      </c>
      <c r="O30" s="21"/>
      <c r="P30" s="160"/>
      <c r="Q30" s="161"/>
      <c r="R30" s="162"/>
    </row>
    <row r="31" spans="1:18" ht="14.55" hidden="1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97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97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7"/>
      <c r="B33" s="148" t="s">
        <v>0</v>
      </c>
      <c r="C33" s="149"/>
      <c r="D33" s="149"/>
      <c r="E33" s="149"/>
      <c r="F33" s="149"/>
      <c r="G33" s="149"/>
      <c r="H33" s="171"/>
      <c r="I33" s="150">
        <f>SUM(I28:J32)</f>
        <v>1500</v>
      </c>
      <c r="J33" s="151"/>
      <c r="K33" s="150">
        <f>SUM(K28:L32)</f>
        <v>0</v>
      </c>
      <c r="L33" s="151"/>
      <c r="M33" s="10">
        <f>SUM(M28:M32)</f>
        <v>0</v>
      </c>
      <c r="N33" s="11" t="s">
        <v>13</v>
      </c>
      <c r="O33" s="9"/>
      <c r="P33" s="163"/>
      <c r="Q33" s="164"/>
      <c r="R33" s="165"/>
    </row>
    <row r="34" spans="1:18" ht="14.55" customHeight="1" x14ac:dyDescent="0.3">
      <c r="A34" s="140" t="s">
        <v>25</v>
      </c>
      <c r="B34" s="5">
        <v>0.33333333333333331</v>
      </c>
      <c r="C34" s="5">
        <v>0.70833333333333337</v>
      </c>
      <c r="D34" s="44">
        <v>250084</v>
      </c>
      <c r="E34" s="3" t="s">
        <v>390</v>
      </c>
      <c r="F34" s="19"/>
      <c r="G34" s="20"/>
      <c r="H34" s="28"/>
      <c r="I34" s="143"/>
      <c r="J34" s="144"/>
      <c r="K34" s="143"/>
      <c r="L34" s="144"/>
      <c r="M34" s="97"/>
      <c r="N34" s="6" t="s">
        <v>13</v>
      </c>
      <c r="O34" s="21"/>
      <c r="P34" s="145" t="s">
        <v>53</v>
      </c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97"/>
      <c r="N35" s="6" t="s">
        <v>13</v>
      </c>
      <c r="O35" s="21"/>
      <c r="P35" s="168"/>
      <c r="Q35" s="169"/>
      <c r="R35" s="170"/>
    </row>
    <row r="36" spans="1:18" ht="14.55" hidden="1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97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97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1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97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42"/>
      <c r="B39" s="148" t="s">
        <v>0</v>
      </c>
      <c r="C39" s="149"/>
      <c r="D39" s="149"/>
      <c r="E39" s="149"/>
      <c r="F39" s="149"/>
      <c r="G39" s="149"/>
      <c r="H39" s="149"/>
      <c r="I39" s="150">
        <f>SUM(I34:J38)</f>
        <v>0</v>
      </c>
      <c r="J39" s="151"/>
      <c r="K39" s="150">
        <f>SUM(K34:L38)</f>
        <v>0</v>
      </c>
      <c r="L39" s="151"/>
      <c r="M39" s="10">
        <f>SUM(M34:M38)</f>
        <v>0</v>
      </c>
      <c r="N39" s="11" t="s">
        <v>13</v>
      </c>
      <c r="O39" s="9"/>
      <c r="P39" s="168"/>
      <c r="Q39" s="169"/>
      <c r="R39" s="170"/>
    </row>
    <row r="41" spans="1:18" x14ac:dyDescent="0.3">
      <c r="E41" s="148" t="s">
        <v>26</v>
      </c>
      <c r="F41" s="149"/>
      <c r="G41" s="149"/>
      <c r="H41" s="149"/>
      <c r="I41" s="152" t="s">
        <v>23</v>
      </c>
      <c r="J41" s="153"/>
      <c r="K41" s="152" t="s">
        <v>11</v>
      </c>
      <c r="L41" s="153"/>
    </row>
    <row r="42" spans="1:18" s="36" customFormat="1" x14ac:dyDescent="0.3">
      <c r="E42" s="7"/>
      <c r="F42" s="7"/>
      <c r="G42" s="7"/>
      <c r="H42" s="7"/>
      <c r="I42" s="22">
        <f>I33+I39</f>
        <v>1500</v>
      </c>
      <c r="J42" s="14" t="s">
        <v>12</v>
      </c>
      <c r="K42" s="22">
        <f>K33+K39</f>
        <v>0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1500</v>
      </c>
      <c r="J43" s="155"/>
      <c r="K43" s="155"/>
      <c r="L43" s="156"/>
    </row>
    <row r="45" spans="1:18" s="8" customFormat="1" ht="30" customHeight="1" x14ac:dyDescent="0.3">
      <c r="A45" s="133" t="s">
        <v>321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27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23</v>
      </c>
      <c r="J47" s="123"/>
      <c r="K47" s="121" t="s">
        <v>11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132</v>
      </c>
      <c r="B48" s="5">
        <v>0.33333333333333331</v>
      </c>
      <c r="C48" s="5">
        <v>0.70833333333333337</v>
      </c>
      <c r="D48" s="44">
        <v>180925</v>
      </c>
      <c r="E48" s="3" t="s">
        <v>375</v>
      </c>
      <c r="F48" s="19"/>
      <c r="G48" s="20"/>
      <c r="H48" s="28" t="s">
        <v>391</v>
      </c>
      <c r="I48" s="143">
        <v>2000</v>
      </c>
      <c r="J48" s="144"/>
      <c r="K48" s="143"/>
      <c r="L48" s="144"/>
      <c r="M48" s="97"/>
      <c r="N48" s="6" t="s">
        <v>13</v>
      </c>
      <c r="O48" s="21"/>
      <c r="P48" s="157"/>
      <c r="Q48" s="158"/>
      <c r="R48" s="159"/>
    </row>
    <row r="49" spans="1:18" ht="14.55" customHeight="1" x14ac:dyDescent="0.3">
      <c r="A49" s="166"/>
      <c r="B49" s="5"/>
      <c r="C49" s="5"/>
      <c r="D49" s="4"/>
      <c r="E49" s="3"/>
      <c r="F49" s="19"/>
      <c r="G49" s="20"/>
      <c r="H49" s="28"/>
      <c r="I49" s="143"/>
      <c r="J49" s="144"/>
      <c r="K49" s="143"/>
      <c r="L49" s="144"/>
      <c r="M49" s="97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97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6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97"/>
      <c r="N51" s="6" t="s">
        <v>13</v>
      </c>
      <c r="O51" s="21"/>
      <c r="P51" s="160"/>
      <c r="Q51" s="161"/>
      <c r="R51" s="162"/>
    </row>
    <row r="52" spans="1:18" ht="14.55" customHeight="1" x14ac:dyDescent="0.3">
      <c r="A52" s="167"/>
      <c r="B52" s="148" t="s">
        <v>0</v>
      </c>
      <c r="C52" s="149"/>
      <c r="D52" s="149"/>
      <c r="E52" s="149"/>
      <c r="F52" s="149"/>
      <c r="G52" s="149"/>
      <c r="H52" s="149"/>
      <c r="I52" s="150">
        <f ca="1">SUM(I48:J52)</f>
        <v>0</v>
      </c>
      <c r="J52" s="151"/>
      <c r="K52" s="150">
        <f ca="1">SUM(K48:L52)</f>
        <v>0</v>
      </c>
      <c r="L52" s="151"/>
      <c r="M52" s="10">
        <f>SUM(M48:M51)</f>
        <v>0</v>
      </c>
      <c r="N52" s="11" t="s">
        <v>13</v>
      </c>
      <c r="O52" s="9"/>
      <c r="P52" s="163"/>
      <c r="Q52" s="164"/>
      <c r="R52" s="165"/>
    </row>
    <row r="54" spans="1:18" x14ac:dyDescent="0.3">
      <c r="E54" s="148" t="s">
        <v>317</v>
      </c>
      <c r="F54" s="149"/>
      <c r="G54" s="149"/>
      <c r="H54" s="149"/>
      <c r="I54" s="152" t="s">
        <v>23</v>
      </c>
      <c r="J54" s="153"/>
      <c r="K54" s="172" t="s">
        <v>11</v>
      </c>
      <c r="L54" s="153"/>
    </row>
    <row r="55" spans="1:18" s="36" customFormat="1" x14ac:dyDescent="0.3">
      <c r="E55" s="7"/>
      <c r="F55" s="7"/>
      <c r="G55" s="7"/>
      <c r="H55" s="7"/>
      <c r="I55" s="22">
        <f ca="1">I52</f>
        <v>0</v>
      </c>
      <c r="J55" s="14" t="s">
        <v>12</v>
      </c>
      <c r="K55" s="22">
        <f ca="1">K52</f>
        <v>0</v>
      </c>
      <c r="L55" s="15" t="s">
        <v>12</v>
      </c>
    </row>
    <row r="56" spans="1:18" s="1" customFormat="1" ht="24.45" customHeight="1" x14ac:dyDescent="0.3">
      <c r="A56" s="93"/>
      <c r="B56" s="93"/>
      <c r="C56" s="93"/>
      <c r="E56" s="13"/>
      <c r="F56" s="13"/>
      <c r="G56" s="13"/>
      <c r="H56" s="13"/>
      <c r="I56" s="154">
        <f ca="1">I55+K55</f>
        <v>0</v>
      </c>
      <c r="J56" s="155"/>
      <c r="K56" s="155"/>
      <c r="L56" s="156"/>
      <c r="N56" s="93"/>
      <c r="O56" s="93"/>
      <c r="P56" s="93"/>
      <c r="Q56" s="93"/>
      <c r="R56" s="93"/>
    </row>
    <row r="58" spans="1:18" s="8" customFormat="1" ht="30" customHeight="1" x14ac:dyDescent="0.3">
      <c r="A58" s="133" t="s">
        <v>36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6"/>
    </row>
    <row r="59" spans="1:18" s="12" customFormat="1" ht="14.55" customHeight="1" x14ac:dyDescent="0.3">
      <c r="A59" s="128" t="s">
        <v>1</v>
      </c>
      <c r="B59" s="137" t="s">
        <v>2</v>
      </c>
      <c r="C59" s="137" t="s">
        <v>3</v>
      </c>
      <c r="D59" s="137" t="s">
        <v>4</v>
      </c>
      <c r="E59" s="124" t="s">
        <v>5</v>
      </c>
      <c r="F59" s="138" t="s">
        <v>14</v>
      </c>
      <c r="G59" s="138" t="s">
        <v>15</v>
      </c>
      <c r="H59" s="119" t="s">
        <v>29</v>
      </c>
      <c r="I59" s="121" t="s">
        <v>6</v>
      </c>
      <c r="J59" s="122"/>
      <c r="K59" s="122"/>
      <c r="L59" s="123"/>
      <c r="M59" s="124" t="s">
        <v>7</v>
      </c>
      <c r="N59" s="125"/>
      <c r="O59" s="128" t="s">
        <v>8</v>
      </c>
      <c r="P59" s="128" t="s">
        <v>9</v>
      </c>
      <c r="Q59" s="128"/>
      <c r="R59" s="128"/>
    </row>
    <row r="60" spans="1:18" s="12" customFormat="1" ht="13.05" customHeight="1" x14ac:dyDescent="0.3">
      <c r="A60" s="128"/>
      <c r="B60" s="137"/>
      <c r="C60" s="137"/>
      <c r="D60" s="137"/>
      <c r="E60" s="126"/>
      <c r="F60" s="139"/>
      <c r="G60" s="139"/>
      <c r="H60" s="120"/>
      <c r="I60" s="121" t="s">
        <v>19</v>
      </c>
      <c r="J60" s="123"/>
      <c r="K60" s="121" t="s">
        <v>20</v>
      </c>
      <c r="L60" s="123"/>
      <c r="M60" s="126"/>
      <c r="N60" s="127"/>
      <c r="O60" s="128"/>
      <c r="P60" s="128"/>
      <c r="Q60" s="128"/>
      <c r="R60" s="128"/>
    </row>
    <row r="61" spans="1:18" ht="14.55" customHeight="1" x14ac:dyDescent="0.3">
      <c r="A61" s="140" t="s">
        <v>37</v>
      </c>
      <c r="B61" s="5">
        <v>0.33333333333333331</v>
      </c>
      <c r="C61" s="5"/>
      <c r="D61" s="4">
        <v>250046</v>
      </c>
      <c r="E61" s="3" t="s">
        <v>366</v>
      </c>
      <c r="F61" s="19">
        <v>304</v>
      </c>
      <c r="G61" s="20">
        <v>0.7</v>
      </c>
      <c r="H61" s="28" t="s">
        <v>137</v>
      </c>
      <c r="I61" s="143">
        <v>854</v>
      </c>
      <c r="J61" s="144"/>
      <c r="K61" s="143"/>
      <c r="L61" s="144"/>
      <c r="M61" s="97"/>
      <c r="N61" s="6" t="s">
        <v>13</v>
      </c>
      <c r="O61" s="21"/>
      <c r="P61" s="157"/>
      <c r="Q61" s="158"/>
      <c r="R61" s="159"/>
    </row>
    <row r="62" spans="1:18" ht="14.55" customHeight="1" x14ac:dyDescent="0.3">
      <c r="A62" s="166"/>
      <c r="B62" s="5"/>
      <c r="C62" s="5"/>
      <c r="D62" s="4">
        <v>250046</v>
      </c>
      <c r="E62" s="3" t="s">
        <v>392</v>
      </c>
      <c r="F62" s="19">
        <v>304</v>
      </c>
      <c r="G62" s="20">
        <v>0.7</v>
      </c>
      <c r="H62" s="28" t="s">
        <v>137</v>
      </c>
      <c r="I62" s="143">
        <v>286</v>
      </c>
      <c r="J62" s="144"/>
      <c r="K62" s="143"/>
      <c r="L62" s="144"/>
      <c r="M62" s="97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>
        <v>250048</v>
      </c>
      <c r="E63" s="3" t="s">
        <v>367</v>
      </c>
      <c r="F63" s="19">
        <v>304</v>
      </c>
      <c r="G63" s="20">
        <v>0.7</v>
      </c>
      <c r="H63" s="28" t="s">
        <v>137</v>
      </c>
      <c r="I63" s="143">
        <v>571</v>
      </c>
      <c r="J63" s="144"/>
      <c r="K63" s="143"/>
      <c r="L63" s="144"/>
      <c r="M63" s="97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>
        <v>0.70833333333333337</v>
      </c>
      <c r="D64" s="4">
        <v>250048</v>
      </c>
      <c r="E64" s="3" t="s">
        <v>393</v>
      </c>
      <c r="F64" s="19">
        <v>304</v>
      </c>
      <c r="G64" s="20">
        <v>0.7</v>
      </c>
      <c r="H64" s="28" t="s">
        <v>137</v>
      </c>
      <c r="I64" s="143">
        <v>191</v>
      </c>
      <c r="J64" s="144"/>
      <c r="K64" s="143"/>
      <c r="L64" s="144"/>
      <c r="M64" s="97"/>
      <c r="N64" s="6" t="s">
        <v>13</v>
      </c>
      <c r="O64" s="21"/>
      <c r="P64" s="160"/>
      <c r="Q64" s="161"/>
      <c r="R64" s="162"/>
    </row>
    <row r="65" spans="1:18" ht="14.55" customHeight="1" x14ac:dyDescent="0.3">
      <c r="A65" s="167"/>
      <c r="B65" s="148" t="s">
        <v>0</v>
      </c>
      <c r="C65" s="149"/>
      <c r="D65" s="149"/>
      <c r="E65" s="149"/>
      <c r="F65" s="149"/>
      <c r="G65" s="149"/>
      <c r="H65" s="149"/>
      <c r="I65" s="150">
        <f>SUM(I61:J64)</f>
        <v>1902</v>
      </c>
      <c r="J65" s="151"/>
      <c r="K65" s="150">
        <f>SUM(K61:L64)</f>
        <v>0</v>
      </c>
      <c r="L65" s="151"/>
      <c r="M65" s="10">
        <f>SUM(M61:M64)</f>
        <v>0</v>
      </c>
      <c r="N65" s="11" t="s">
        <v>13</v>
      </c>
      <c r="O65" s="9"/>
      <c r="P65" s="163"/>
      <c r="Q65" s="164"/>
      <c r="R65" s="165"/>
    </row>
    <row r="66" spans="1:18" ht="14.55" customHeight="1" x14ac:dyDescent="0.3">
      <c r="D66" s="93"/>
      <c r="E66" s="1"/>
      <c r="F66" s="1"/>
      <c r="G66" s="1"/>
      <c r="H66" s="1"/>
      <c r="M66" s="93"/>
    </row>
    <row r="67" spans="1:18" x14ac:dyDescent="0.3">
      <c r="E67" s="148" t="s">
        <v>324</v>
      </c>
      <c r="F67" s="149"/>
      <c r="G67" s="149"/>
      <c r="H67" s="149"/>
      <c r="I67" s="152" t="s">
        <v>19</v>
      </c>
      <c r="J67" s="153"/>
      <c r="K67" s="152" t="s">
        <v>20</v>
      </c>
      <c r="L67" s="153"/>
    </row>
    <row r="68" spans="1:18" s="36" customFormat="1" x14ac:dyDescent="0.3">
      <c r="E68" s="7"/>
      <c r="F68" s="7"/>
      <c r="G68" s="7"/>
      <c r="H68" s="7"/>
      <c r="I68" s="22">
        <f>I65</f>
        <v>1902</v>
      </c>
      <c r="J68" s="14" t="s">
        <v>12</v>
      </c>
      <c r="K68" s="22">
        <f>K65</f>
        <v>0</v>
      </c>
      <c r="L68" s="15" t="s">
        <v>12</v>
      </c>
    </row>
    <row r="69" spans="1:18" ht="24.45" customHeight="1" x14ac:dyDescent="0.3">
      <c r="E69" s="13"/>
      <c r="F69" s="13"/>
      <c r="G69" s="13"/>
      <c r="H69" s="13"/>
      <c r="I69" s="154">
        <f>I68+K68</f>
        <v>1902</v>
      </c>
      <c r="J69" s="155"/>
      <c r="K69" s="155"/>
      <c r="L69" s="156"/>
    </row>
    <row r="71" spans="1:18" s="8" customFormat="1" ht="30" customHeight="1" x14ac:dyDescent="0.3">
      <c r="A71" s="133" t="s">
        <v>322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6"/>
    </row>
    <row r="72" spans="1:18" s="12" customFormat="1" ht="14.55" customHeight="1" x14ac:dyDescent="0.3">
      <c r="A72" s="128" t="s">
        <v>1</v>
      </c>
      <c r="B72" s="137" t="s">
        <v>2</v>
      </c>
      <c r="C72" s="137" t="s">
        <v>3</v>
      </c>
      <c r="D72" s="137" t="s">
        <v>4</v>
      </c>
      <c r="E72" s="124" t="s">
        <v>5</v>
      </c>
      <c r="F72" s="138" t="s">
        <v>14</v>
      </c>
      <c r="G72" s="138" t="s">
        <v>15</v>
      </c>
      <c r="H72" s="119" t="s">
        <v>29</v>
      </c>
      <c r="I72" s="121" t="s">
        <v>6</v>
      </c>
      <c r="J72" s="122"/>
      <c r="K72" s="122"/>
      <c r="L72" s="123"/>
      <c r="M72" s="124" t="s">
        <v>7</v>
      </c>
      <c r="N72" s="125"/>
      <c r="O72" s="128" t="s">
        <v>8</v>
      </c>
      <c r="P72" s="128" t="s">
        <v>9</v>
      </c>
      <c r="Q72" s="128"/>
      <c r="R72" s="128"/>
    </row>
    <row r="73" spans="1:18" s="12" customFormat="1" ht="13.05" customHeight="1" x14ac:dyDescent="0.3">
      <c r="A73" s="128"/>
      <c r="B73" s="137"/>
      <c r="C73" s="137"/>
      <c r="D73" s="137"/>
      <c r="E73" s="126"/>
      <c r="F73" s="139"/>
      <c r="G73" s="139"/>
      <c r="H73" s="120"/>
      <c r="I73" s="121" t="s">
        <v>19</v>
      </c>
      <c r="J73" s="123"/>
      <c r="K73" s="121" t="s">
        <v>20</v>
      </c>
      <c r="L73" s="123"/>
      <c r="M73" s="126"/>
      <c r="N73" s="127"/>
      <c r="O73" s="128"/>
      <c r="P73" s="128"/>
      <c r="Q73" s="128"/>
      <c r="R73" s="128"/>
    </row>
    <row r="74" spans="1:18" ht="14.55" customHeight="1" x14ac:dyDescent="0.3">
      <c r="A74" s="140" t="s">
        <v>37</v>
      </c>
      <c r="B74" s="5">
        <v>0.33333333333333331</v>
      </c>
      <c r="C74" s="5"/>
      <c r="D74" s="44">
        <v>180925</v>
      </c>
      <c r="E74" s="3" t="s">
        <v>394</v>
      </c>
      <c r="F74" s="19">
        <v>304</v>
      </c>
      <c r="G74" s="20">
        <v>0.7</v>
      </c>
      <c r="H74" s="28" t="s">
        <v>271</v>
      </c>
      <c r="I74" s="143">
        <v>519</v>
      </c>
      <c r="J74" s="144"/>
      <c r="K74" s="143"/>
      <c r="L74" s="144"/>
      <c r="M74" s="97"/>
      <c r="N74" s="6" t="s">
        <v>13</v>
      </c>
      <c r="O74" s="21"/>
      <c r="P74" s="157"/>
      <c r="Q74" s="158"/>
      <c r="R74" s="159"/>
    </row>
    <row r="75" spans="1:18" ht="14.55" customHeight="1" x14ac:dyDescent="0.3">
      <c r="A75" s="166"/>
      <c r="B75" s="5"/>
      <c r="C75" s="5">
        <v>0.70833333333333337</v>
      </c>
      <c r="D75" s="44">
        <v>180925</v>
      </c>
      <c r="E75" s="3" t="s">
        <v>350</v>
      </c>
      <c r="F75" s="19">
        <v>304</v>
      </c>
      <c r="G75" s="20">
        <v>0.7</v>
      </c>
      <c r="H75" s="28" t="s">
        <v>271</v>
      </c>
      <c r="I75" s="143">
        <v>1300</v>
      </c>
      <c r="J75" s="144"/>
      <c r="K75" s="143"/>
      <c r="L75" s="144"/>
      <c r="M75" s="97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97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97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7"/>
      <c r="B78" s="148" t="s">
        <v>0</v>
      </c>
      <c r="C78" s="149"/>
      <c r="D78" s="149"/>
      <c r="E78" s="149"/>
      <c r="F78" s="149"/>
      <c r="G78" s="149"/>
      <c r="H78" s="149"/>
      <c r="I78" s="150">
        <f>SUM(I74:J77)</f>
        <v>1819</v>
      </c>
      <c r="J78" s="151"/>
      <c r="K78" s="150">
        <f>SUM(K74:L77)</f>
        <v>0</v>
      </c>
      <c r="L78" s="151"/>
      <c r="M78" s="10">
        <f>SUM(M74:M77)</f>
        <v>0</v>
      </c>
      <c r="N78" s="11" t="s">
        <v>13</v>
      </c>
      <c r="O78" s="9"/>
      <c r="P78" s="163"/>
      <c r="Q78" s="164"/>
      <c r="R78" s="165"/>
    </row>
    <row r="79" spans="1:18" ht="14.55" customHeight="1" x14ac:dyDescent="0.3">
      <c r="D79" s="93"/>
      <c r="E79" s="1"/>
      <c r="F79" s="1"/>
      <c r="G79" s="1"/>
      <c r="H79" s="1"/>
      <c r="M79" s="93"/>
    </row>
    <row r="80" spans="1:18" x14ac:dyDescent="0.3">
      <c r="E80" s="148" t="s">
        <v>323</v>
      </c>
      <c r="F80" s="149"/>
      <c r="G80" s="149"/>
      <c r="H80" s="149"/>
      <c r="I80" s="152" t="s">
        <v>19</v>
      </c>
      <c r="J80" s="153"/>
      <c r="K80" s="152" t="s">
        <v>20</v>
      </c>
      <c r="L80" s="153"/>
    </row>
    <row r="81" spans="1:18" s="36" customFormat="1" x14ac:dyDescent="0.3">
      <c r="E81" s="7"/>
      <c r="F81" s="7"/>
      <c r="G81" s="7"/>
      <c r="H81" s="7"/>
      <c r="I81" s="22">
        <f>I78</f>
        <v>1819</v>
      </c>
      <c r="J81" s="14" t="s">
        <v>12</v>
      </c>
      <c r="K81" s="22">
        <f>K78</f>
        <v>0</v>
      </c>
      <c r="L81" s="15" t="s">
        <v>12</v>
      </c>
    </row>
    <row r="82" spans="1:18" ht="24.45" customHeight="1" x14ac:dyDescent="0.3">
      <c r="E82" s="13"/>
      <c r="F82" s="13"/>
      <c r="G82" s="13"/>
      <c r="H82" s="13"/>
      <c r="I82" s="154">
        <f>I81+K81</f>
        <v>1819</v>
      </c>
      <c r="J82" s="155"/>
      <c r="K82" s="155"/>
      <c r="L82" s="156"/>
    </row>
    <row r="84" spans="1:18" s="8" customFormat="1" ht="30" customHeight="1" x14ac:dyDescent="0.3">
      <c r="A84" s="133" t="s">
        <v>30</v>
      </c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6"/>
    </row>
    <row r="85" spans="1:18" s="12" customFormat="1" ht="14.55" customHeight="1" x14ac:dyDescent="0.3">
      <c r="A85" s="128" t="s">
        <v>1</v>
      </c>
      <c r="B85" s="137" t="s">
        <v>2</v>
      </c>
      <c r="C85" s="137" t="s">
        <v>3</v>
      </c>
      <c r="D85" s="137" t="s">
        <v>4</v>
      </c>
      <c r="E85" s="124" t="s">
        <v>5</v>
      </c>
      <c r="F85" s="138" t="s">
        <v>14</v>
      </c>
      <c r="G85" s="138" t="s">
        <v>15</v>
      </c>
      <c r="H85" s="119" t="s">
        <v>29</v>
      </c>
      <c r="I85" s="121" t="s">
        <v>6</v>
      </c>
      <c r="J85" s="122"/>
      <c r="K85" s="122"/>
      <c r="L85" s="123"/>
      <c r="M85" s="124" t="s">
        <v>7</v>
      </c>
      <c r="N85" s="125"/>
      <c r="O85" s="128" t="s">
        <v>8</v>
      </c>
      <c r="P85" s="128" t="s">
        <v>9</v>
      </c>
      <c r="Q85" s="128"/>
      <c r="R85" s="128"/>
    </row>
    <row r="86" spans="1:18" s="12" customFormat="1" ht="13.05" customHeight="1" x14ac:dyDescent="0.3">
      <c r="A86" s="128"/>
      <c r="B86" s="137"/>
      <c r="C86" s="137"/>
      <c r="D86" s="137"/>
      <c r="E86" s="126"/>
      <c r="F86" s="139"/>
      <c r="G86" s="139"/>
      <c r="H86" s="120"/>
      <c r="I86" s="121" t="s">
        <v>19</v>
      </c>
      <c r="J86" s="123"/>
      <c r="K86" s="121" t="s">
        <v>20</v>
      </c>
      <c r="L86" s="123"/>
      <c r="M86" s="126"/>
      <c r="N86" s="127"/>
      <c r="O86" s="128"/>
      <c r="P86" s="128"/>
      <c r="Q86" s="128"/>
      <c r="R86" s="128"/>
    </row>
    <row r="87" spans="1:18" ht="14.55" customHeight="1" x14ac:dyDescent="0.3">
      <c r="A87" s="140" t="s">
        <v>35</v>
      </c>
      <c r="B87" s="5">
        <v>0.33333333333333331</v>
      </c>
      <c r="C87" s="5"/>
      <c r="D87" s="4">
        <v>250077</v>
      </c>
      <c r="E87" s="3" t="s">
        <v>346</v>
      </c>
      <c r="F87" s="19">
        <v>430</v>
      </c>
      <c r="G87" s="20">
        <v>0.5</v>
      </c>
      <c r="H87" s="28" t="s">
        <v>130</v>
      </c>
      <c r="I87" s="143">
        <v>16</v>
      </c>
      <c r="J87" s="144"/>
      <c r="K87" s="143"/>
      <c r="L87" s="144"/>
      <c r="M87" s="97"/>
      <c r="N87" s="6" t="s">
        <v>13</v>
      </c>
      <c r="O87" s="21"/>
      <c r="P87" s="168"/>
      <c r="Q87" s="169"/>
      <c r="R87" s="170"/>
    </row>
    <row r="88" spans="1:18" ht="14.55" customHeight="1" x14ac:dyDescent="0.3">
      <c r="A88" s="166"/>
      <c r="B88" s="5"/>
      <c r="C88" s="5">
        <v>0.70833333333333337</v>
      </c>
      <c r="D88" s="4">
        <v>250077</v>
      </c>
      <c r="E88" s="3" t="s">
        <v>361</v>
      </c>
      <c r="F88" s="19">
        <v>430</v>
      </c>
      <c r="G88" s="20">
        <v>0.5</v>
      </c>
      <c r="H88" s="28" t="s">
        <v>130</v>
      </c>
      <c r="I88" s="143">
        <v>76</v>
      </c>
      <c r="J88" s="144"/>
      <c r="K88" s="143"/>
      <c r="L88" s="144"/>
      <c r="M88" s="97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97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7"/>
      <c r="B90" s="148" t="s">
        <v>0</v>
      </c>
      <c r="C90" s="149"/>
      <c r="D90" s="149"/>
      <c r="E90" s="149"/>
      <c r="F90" s="149"/>
      <c r="G90" s="149"/>
      <c r="H90" s="149"/>
      <c r="I90" s="150">
        <f>SUM(I87:J89)</f>
        <v>92</v>
      </c>
      <c r="J90" s="151"/>
      <c r="K90" s="150">
        <f>SUM(K87:L89)</f>
        <v>0</v>
      </c>
      <c r="L90" s="151"/>
      <c r="M90" s="10">
        <f>SUM(M87:M89)</f>
        <v>0</v>
      </c>
      <c r="N90" s="11" t="s">
        <v>13</v>
      </c>
      <c r="O90" s="9"/>
      <c r="P90" s="168"/>
      <c r="Q90" s="169"/>
      <c r="R90" s="170"/>
    </row>
    <row r="91" spans="1:18" ht="14.55" customHeight="1" x14ac:dyDescent="0.3">
      <c r="D91" s="93"/>
      <c r="E91" s="1"/>
      <c r="F91" s="1"/>
      <c r="G91" s="1"/>
      <c r="H91" s="1"/>
      <c r="M91" s="93"/>
    </row>
    <row r="92" spans="1:18" x14ac:dyDescent="0.3">
      <c r="E92" s="148" t="s">
        <v>34</v>
      </c>
      <c r="F92" s="149"/>
      <c r="G92" s="149"/>
      <c r="H92" s="149"/>
      <c r="I92" s="152" t="s">
        <v>19</v>
      </c>
      <c r="J92" s="153"/>
      <c r="K92" s="152" t="s">
        <v>20</v>
      </c>
      <c r="L92" s="153"/>
    </row>
    <row r="93" spans="1:18" s="36" customFormat="1" x14ac:dyDescent="0.3">
      <c r="E93" s="7"/>
      <c r="F93" s="7"/>
      <c r="G93" s="7"/>
      <c r="H93" s="7"/>
      <c r="I93" s="22">
        <f>I90</f>
        <v>92</v>
      </c>
      <c r="J93" s="14" t="s">
        <v>12</v>
      </c>
      <c r="K93" s="22">
        <f>K90</f>
        <v>0</v>
      </c>
      <c r="L93" s="15" t="s">
        <v>12</v>
      </c>
    </row>
    <row r="94" spans="1:18" s="1" customFormat="1" ht="24.45" customHeight="1" x14ac:dyDescent="0.3">
      <c r="A94" s="93"/>
      <c r="B94" s="93"/>
      <c r="C94" s="93"/>
      <c r="E94" s="13"/>
      <c r="F94" s="13"/>
      <c r="G94" s="13"/>
      <c r="H94" s="13"/>
      <c r="I94" s="154">
        <f>I93+K93</f>
        <v>92</v>
      </c>
      <c r="J94" s="155"/>
      <c r="K94" s="155"/>
      <c r="L94" s="156"/>
      <c r="N94" s="93"/>
      <c r="O94" s="93"/>
      <c r="P94" s="93"/>
      <c r="Q94" s="93"/>
      <c r="R94" s="93"/>
    </row>
  </sheetData>
  <mergeCells count="232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24:A27"/>
    <mergeCell ref="I24:J24"/>
    <mergeCell ref="K24:L24"/>
    <mergeCell ref="P24:R27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B27:H27"/>
    <mergeCell ref="I27:J27"/>
    <mergeCell ref="K27:L27"/>
    <mergeCell ref="A28:A33"/>
    <mergeCell ref="I28:J28"/>
    <mergeCell ref="K28:L28"/>
    <mergeCell ref="B33:H33"/>
    <mergeCell ref="K33:L33"/>
    <mergeCell ref="P34:R39"/>
    <mergeCell ref="I35:J35"/>
    <mergeCell ref="K35:L35"/>
    <mergeCell ref="I36:J36"/>
    <mergeCell ref="K36:L36"/>
    <mergeCell ref="I37:J37"/>
    <mergeCell ref="K37:L37"/>
    <mergeCell ref="P28:R33"/>
    <mergeCell ref="I29:J29"/>
    <mergeCell ref="K29:L29"/>
    <mergeCell ref="I30:J30"/>
    <mergeCell ref="K30:L30"/>
    <mergeCell ref="I31:J31"/>
    <mergeCell ref="K31:L31"/>
    <mergeCell ref="I32:J32"/>
    <mergeCell ref="K32:L32"/>
    <mergeCell ref="I33:J33"/>
    <mergeCell ref="I38:J38"/>
    <mergeCell ref="K38:L38"/>
    <mergeCell ref="B39:H39"/>
    <mergeCell ref="I39:J39"/>
    <mergeCell ref="K39:L39"/>
    <mergeCell ref="E41:H41"/>
    <mergeCell ref="I41:J41"/>
    <mergeCell ref="K41:L41"/>
    <mergeCell ref="A34:A39"/>
    <mergeCell ref="I34:J34"/>
    <mergeCell ref="K34:L34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P48:R52"/>
    <mergeCell ref="I49:J49"/>
    <mergeCell ref="K49:L49"/>
    <mergeCell ref="I50:J50"/>
    <mergeCell ref="K50:L50"/>
    <mergeCell ref="I51:J51"/>
    <mergeCell ref="K51:L51"/>
    <mergeCell ref="I46:L46"/>
    <mergeCell ref="M46:N47"/>
    <mergeCell ref="O46:O47"/>
    <mergeCell ref="P46:R47"/>
    <mergeCell ref="I47:J47"/>
    <mergeCell ref="K47:L47"/>
    <mergeCell ref="B52:H52"/>
    <mergeCell ref="I52:J52"/>
    <mergeCell ref="K52:L52"/>
    <mergeCell ref="E54:H54"/>
    <mergeCell ref="I54:J54"/>
    <mergeCell ref="K54:L54"/>
    <mergeCell ref="A48:A52"/>
    <mergeCell ref="I48:J48"/>
    <mergeCell ref="K48:L48"/>
    <mergeCell ref="I56:L56"/>
    <mergeCell ref="A58:R58"/>
    <mergeCell ref="A59:A60"/>
    <mergeCell ref="B59:B60"/>
    <mergeCell ref="C59:C60"/>
    <mergeCell ref="D59:D60"/>
    <mergeCell ref="E59:E60"/>
    <mergeCell ref="F59:F60"/>
    <mergeCell ref="G59:G60"/>
    <mergeCell ref="H59:H60"/>
    <mergeCell ref="P61:R65"/>
    <mergeCell ref="I62:J62"/>
    <mergeCell ref="K62:L62"/>
    <mergeCell ref="I63:J63"/>
    <mergeCell ref="K63:L63"/>
    <mergeCell ref="I64:J64"/>
    <mergeCell ref="K64:L64"/>
    <mergeCell ref="I59:L59"/>
    <mergeCell ref="M59:N60"/>
    <mergeCell ref="O59:O60"/>
    <mergeCell ref="P59:R60"/>
    <mergeCell ref="I60:J60"/>
    <mergeCell ref="K60:L60"/>
    <mergeCell ref="B65:H65"/>
    <mergeCell ref="I65:J65"/>
    <mergeCell ref="K65:L65"/>
    <mergeCell ref="E67:H67"/>
    <mergeCell ref="I67:J67"/>
    <mergeCell ref="K67:L67"/>
    <mergeCell ref="A61:A65"/>
    <mergeCell ref="I61:J61"/>
    <mergeCell ref="K61:L61"/>
    <mergeCell ref="I69:L69"/>
    <mergeCell ref="A71:R71"/>
    <mergeCell ref="A72:A73"/>
    <mergeCell ref="B72:B73"/>
    <mergeCell ref="C72:C73"/>
    <mergeCell ref="D72:D73"/>
    <mergeCell ref="E72:E73"/>
    <mergeCell ref="F72:F73"/>
    <mergeCell ref="G72:G73"/>
    <mergeCell ref="H72:H73"/>
    <mergeCell ref="P74:R78"/>
    <mergeCell ref="I75:J75"/>
    <mergeCell ref="K75:L75"/>
    <mergeCell ref="I76:J76"/>
    <mergeCell ref="K76:L76"/>
    <mergeCell ref="I77:J77"/>
    <mergeCell ref="K77:L77"/>
    <mergeCell ref="I72:L72"/>
    <mergeCell ref="M72:N73"/>
    <mergeCell ref="O72:O73"/>
    <mergeCell ref="P72:R73"/>
    <mergeCell ref="I73:J73"/>
    <mergeCell ref="K73:L73"/>
    <mergeCell ref="B78:H78"/>
    <mergeCell ref="I78:J78"/>
    <mergeCell ref="K78:L78"/>
    <mergeCell ref="E80:H80"/>
    <mergeCell ref="I80:J80"/>
    <mergeCell ref="K80:L80"/>
    <mergeCell ref="A74:A78"/>
    <mergeCell ref="I74:J74"/>
    <mergeCell ref="K74:L74"/>
    <mergeCell ref="I85:L85"/>
    <mergeCell ref="M85:N86"/>
    <mergeCell ref="O85:O86"/>
    <mergeCell ref="P85:R86"/>
    <mergeCell ref="I86:J86"/>
    <mergeCell ref="K86:L86"/>
    <mergeCell ref="I82:L82"/>
    <mergeCell ref="A84:R84"/>
    <mergeCell ref="A85:A86"/>
    <mergeCell ref="B85:B86"/>
    <mergeCell ref="C85:C86"/>
    <mergeCell ref="D85:D86"/>
    <mergeCell ref="E85:E86"/>
    <mergeCell ref="F85:F86"/>
    <mergeCell ref="G85:G86"/>
    <mergeCell ref="H85:H86"/>
    <mergeCell ref="K90:L90"/>
    <mergeCell ref="P90:R90"/>
    <mergeCell ref="E92:H92"/>
    <mergeCell ref="I92:J92"/>
    <mergeCell ref="K92:L92"/>
    <mergeCell ref="I94:L94"/>
    <mergeCell ref="A87:A90"/>
    <mergeCell ref="I87:J87"/>
    <mergeCell ref="K87:L87"/>
    <mergeCell ref="P87:R89"/>
    <mergeCell ref="I88:J88"/>
    <mergeCell ref="K88:L88"/>
    <mergeCell ref="I89:J89"/>
    <mergeCell ref="K89:L89"/>
    <mergeCell ref="B90:H90"/>
    <mergeCell ref="I90:J90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6"/>
  <sheetViews>
    <sheetView zoomScale="85" zoomScaleNormal="85" workbookViewId="0">
      <selection activeCell="D48" sqref="D48:D49"/>
    </sheetView>
  </sheetViews>
  <sheetFormatPr defaultColWidth="8.77734375" defaultRowHeight="14.4" x14ac:dyDescent="0.3"/>
  <cols>
    <col min="1" max="1" width="12.6640625" style="93" customWidth="1"/>
    <col min="2" max="3" width="7.6640625" style="93" customWidth="1"/>
    <col min="4" max="4" width="8.21875" style="1" bestFit="1" customWidth="1"/>
    <col min="5" max="5" width="40.6640625" style="93" customWidth="1"/>
    <col min="6" max="6" width="5.6640625" style="93" customWidth="1"/>
    <col min="7" max="7" width="6.6640625" style="93" customWidth="1"/>
    <col min="8" max="8" width="24.5546875" style="93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93" customWidth="1"/>
    <col min="15" max="15" width="21.5546875" style="93" bestFit="1" customWidth="1"/>
    <col min="16" max="18" width="7.6640625" style="93" customWidth="1"/>
    <col min="19" max="16384" width="8.77734375" style="93"/>
  </cols>
  <sheetData>
    <row r="1" spans="1:18" x14ac:dyDescent="0.3">
      <c r="D1" s="93"/>
      <c r="I1" s="93"/>
      <c r="J1" s="93"/>
      <c r="K1" s="93"/>
      <c r="L1" s="93"/>
      <c r="M1" s="93"/>
    </row>
    <row r="2" spans="1:18" x14ac:dyDescent="0.3">
      <c r="D2" s="93"/>
      <c r="I2" s="93"/>
      <c r="J2" s="93"/>
      <c r="K2" s="93"/>
      <c r="L2" s="93"/>
      <c r="M2" s="93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45960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99">
        <v>250048</v>
      </c>
      <c r="E7" s="84" t="s">
        <v>397</v>
      </c>
      <c r="F7" s="19">
        <v>304</v>
      </c>
      <c r="G7" s="20">
        <v>0.7</v>
      </c>
      <c r="H7" s="28" t="s">
        <v>55</v>
      </c>
      <c r="I7" s="143">
        <v>300</v>
      </c>
      <c r="J7" s="144"/>
      <c r="K7" s="143"/>
      <c r="L7" s="144"/>
      <c r="M7" s="98">
        <v>45</v>
      </c>
      <c r="N7" s="6" t="s">
        <v>13</v>
      </c>
      <c r="O7" s="21" t="s">
        <v>60</v>
      </c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81">
        <v>250042</v>
      </c>
      <c r="E8" s="3" t="s">
        <v>398</v>
      </c>
      <c r="F8" s="19">
        <v>304</v>
      </c>
      <c r="G8" s="20">
        <v>0.9</v>
      </c>
      <c r="H8" s="28" t="s">
        <v>396</v>
      </c>
      <c r="I8" s="143">
        <v>811</v>
      </c>
      <c r="J8" s="144"/>
      <c r="K8" s="143"/>
      <c r="L8" s="144"/>
      <c r="M8" s="98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4"/>
      <c r="E9" s="3"/>
      <c r="F9" s="19"/>
      <c r="G9" s="20"/>
      <c r="H9" s="28"/>
      <c r="I9" s="143"/>
      <c r="J9" s="144"/>
      <c r="K9" s="143"/>
      <c r="L9" s="144"/>
      <c r="M9" s="98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98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1111</v>
      </c>
      <c r="J11" s="151"/>
      <c r="K11" s="150">
        <f>SUM(K7:L10)</f>
        <v>0</v>
      </c>
      <c r="L11" s="151"/>
      <c r="M11" s="10">
        <f>SUM(M7:M8)</f>
        <v>45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98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98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98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93"/>
      <c r="E16" s="1"/>
      <c r="F16" s="1"/>
      <c r="G16" s="1"/>
      <c r="H16" s="1"/>
      <c r="M16" s="93"/>
    </row>
    <row r="17" spans="1:18" x14ac:dyDescent="0.3">
      <c r="E17" s="148" t="s">
        <v>316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1111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1111</v>
      </c>
      <c r="J19" s="155"/>
      <c r="K19" s="155"/>
      <c r="L19" s="156"/>
    </row>
    <row r="20" spans="1:18" ht="15" customHeight="1" x14ac:dyDescent="0.3">
      <c r="D20" s="93"/>
      <c r="I20" s="93"/>
      <c r="J20" s="93"/>
      <c r="K20" s="23"/>
      <c r="L20" s="23"/>
      <c r="M20" s="23"/>
      <c r="N20" s="23"/>
    </row>
    <row r="21" spans="1:18" s="8" customFormat="1" ht="30" customHeight="1" x14ac:dyDescent="0.3">
      <c r="A21" s="133" t="s">
        <v>22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27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23</v>
      </c>
      <c r="J23" s="123"/>
      <c r="K23" s="121" t="s">
        <v>11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28</v>
      </c>
      <c r="B24" s="5">
        <v>0.33333333333333331</v>
      </c>
      <c r="C24" s="5"/>
      <c r="D24" s="44">
        <v>250082</v>
      </c>
      <c r="E24" s="3" t="s">
        <v>400</v>
      </c>
      <c r="F24" s="19">
        <v>430</v>
      </c>
      <c r="G24" s="20">
        <v>0.6</v>
      </c>
      <c r="H24" s="28" t="s">
        <v>399</v>
      </c>
      <c r="I24" s="143"/>
      <c r="J24" s="144"/>
      <c r="K24" s="143"/>
      <c r="L24" s="144"/>
      <c r="M24" s="98"/>
      <c r="N24" s="6" t="s">
        <v>13</v>
      </c>
      <c r="O24" s="21"/>
      <c r="P24" s="168" t="s">
        <v>50</v>
      </c>
      <c r="Q24" s="169"/>
      <c r="R24" s="170"/>
    </row>
    <row r="25" spans="1:18" ht="14.55" customHeight="1" x14ac:dyDescent="0.3">
      <c r="A25" s="141"/>
      <c r="B25" s="5"/>
      <c r="C25" s="5">
        <v>0.70833333333333337</v>
      </c>
      <c r="D25" s="4">
        <v>250084</v>
      </c>
      <c r="E25" s="3" t="s">
        <v>401</v>
      </c>
      <c r="F25" s="19"/>
      <c r="G25" s="20"/>
      <c r="H25" s="28"/>
      <c r="I25" s="143"/>
      <c r="J25" s="144"/>
      <c r="K25" s="143"/>
      <c r="L25" s="144"/>
      <c r="M25" s="98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1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98"/>
      <c r="N26" s="6" t="s">
        <v>13</v>
      </c>
      <c r="O26" s="21"/>
      <c r="P26" s="168"/>
      <c r="Q26" s="169"/>
      <c r="R26" s="170"/>
    </row>
    <row r="27" spans="1:18" ht="14.55" customHeight="1" x14ac:dyDescent="0.3">
      <c r="A27" s="142"/>
      <c r="B27" s="148" t="s">
        <v>0</v>
      </c>
      <c r="C27" s="149"/>
      <c r="D27" s="149"/>
      <c r="E27" s="149"/>
      <c r="F27" s="149"/>
      <c r="G27" s="149"/>
      <c r="H27" s="171"/>
      <c r="I27" s="150">
        <f>SUM(I24:J26)</f>
        <v>0</v>
      </c>
      <c r="J27" s="151"/>
      <c r="K27" s="150">
        <f>SUM(K24:L26)</f>
        <v>0</v>
      </c>
      <c r="L27" s="151"/>
      <c r="M27" s="10">
        <f>SUM(M24:M26)</f>
        <v>0</v>
      </c>
      <c r="N27" s="11" t="s">
        <v>13</v>
      </c>
      <c r="O27" s="9"/>
      <c r="P27" s="168"/>
      <c r="Q27" s="169"/>
      <c r="R27" s="170"/>
    </row>
    <row r="28" spans="1:18" ht="14.55" customHeight="1" x14ac:dyDescent="0.3">
      <c r="A28" s="140" t="s">
        <v>24</v>
      </c>
      <c r="B28" s="5"/>
      <c r="C28" s="5"/>
      <c r="D28" s="44"/>
      <c r="E28" s="3"/>
      <c r="F28" s="19"/>
      <c r="G28" s="20"/>
      <c r="H28" s="28"/>
      <c r="I28" s="143"/>
      <c r="J28" s="144"/>
      <c r="K28" s="143"/>
      <c r="L28" s="144"/>
      <c r="M28" s="98"/>
      <c r="N28" s="6" t="s">
        <v>13</v>
      </c>
      <c r="O28" s="21"/>
      <c r="P28" s="157" t="s">
        <v>51</v>
      </c>
      <c r="Q28" s="158"/>
      <c r="R28" s="159"/>
    </row>
    <row r="29" spans="1:18" ht="14.55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98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98"/>
      <c r="N30" s="6" t="s">
        <v>13</v>
      </c>
      <c r="O30" s="21"/>
      <c r="P30" s="160"/>
      <c r="Q30" s="161"/>
      <c r="R30" s="162"/>
    </row>
    <row r="31" spans="1:18" ht="14.55" hidden="1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98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98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7"/>
      <c r="B33" s="148" t="s">
        <v>0</v>
      </c>
      <c r="C33" s="149"/>
      <c r="D33" s="149"/>
      <c r="E33" s="149"/>
      <c r="F33" s="149"/>
      <c r="G33" s="149"/>
      <c r="H33" s="171"/>
      <c r="I33" s="150">
        <f>SUM(I28:J32)</f>
        <v>0</v>
      </c>
      <c r="J33" s="151"/>
      <c r="K33" s="150">
        <f>SUM(K28:L32)</f>
        <v>0</v>
      </c>
      <c r="L33" s="151"/>
      <c r="M33" s="10">
        <f>SUM(M28:M32)</f>
        <v>0</v>
      </c>
      <c r="N33" s="11" t="s">
        <v>13</v>
      </c>
      <c r="O33" s="9"/>
      <c r="P33" s="163"/>
      <c r="Q33" s="164"/>
      <c r="R33" s="165"/>
    </row>
    <row r="34" spans="1:18" ht="14.55" customHeight="1" x14ac:dyDescent="0.3">
      <c r="A34" s="140" t="s">
        <v>25</v>
      </c>
      <c r="B34" s="5"/>
      <c r="C34" s="5"/>
      <c r="D34" s="44"/>
      <c r="E34" s="3"/>
      <c r="F34" s="19"/>
      <c r="G34" s="20"/>
      <c r="H34" s="28"/>
      <c r="I34" s="143"/>
      <c r="J34" s="144"/>
      <c r="K34" s="143"/>
      <c r="L34" s="144"/>
      <c r="M34" s="98"/>
      <c r="N34" s="6" t="s">
        <v>13</v>
      </c>
      <c r="O34" s="21"/>
      <c r="P34" s="145" t="s">
        <v>53</v>
      </c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98"/>
      <c r="N35" s="6" t="s">
        <v>13</v>
      </c>
      <c r="O35" s="21"/>
      <c r="P35" s="168"/>
      <c r="Q35" s="169"/>
      <c r="R35" s="170"/>
    </row>
    <row r="36" spans="1:18" ht="14.55" hidden="1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98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98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1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98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42"/>
      <c r="B39" s="148" t="s">
        <v>0</v>
      </c>
      <c r="C39" s="149"/>
      <c r="D39" s="149"/>
      <c r="E39" s="149"/>
      <c r="F39" s="149"/>
      <c r="G39" s="149"/>
      <c r="H39" s="149"/>
      <c r="I39" s="150">
        <f>SUM(I34:J38)</f>
        <v>0</v>
      </c>
      <c r="J39" s="151"/>
      <c r="K39" s="150">
        <f>SUM(K34:L38)</f>
        <v>0</v>
      </c>
      <c r="L39" s="151"/>
      <c r="M39" s="10">
        <f>SUM(M34:M38)</f>
        <v>0</v>
      </c>
      <c r="N39" s="11" t="s">
        <v>13</v>
      </c>
      <c r="O39" s="9"/>
      <c r="P39" s="168"/>
      <c r="Q39" s="169"/>
      <c r="R39" s="170"/>
    </row>
    <row r="41" spans="1:18" x14ac:dyDescent="0.3">
      <c r="E41" s="148" t="s">
        <v>26</v>
      </c>
      <c r="F41" s="149"/>
      <c r="G41" s="149"/>
      <c r="H41" s="149"/>
      <c r="I41" s="152" t="s">
        <v>23</v>
      </c>
      <c r="J41" s="153"/>
      <c r="K41" s="152" t="s">
        <v>11</v>
      </c>
      <c r="L41" s="153"/>
    </row>
    <row r="42" spans="1:18" s="36" customFormat="1" x14ac:dyDescent="0.3">
      <c r="E42" s="7"/>
      <c r="F42" s="7"/>
      <c r="G42" s="7"/>
      <c r="H42" s="7"/>
      <c r="I42" s="22">
        <f>I33+I39</f>
        <v>0</v>
      </c>
      <c r="J42" s="14" t="s">
        <v>12</v>
      </c>
      <c r="K42" s="22">
        <f>K33+K39</f>
        <v>0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0</v>
      </c>
      <c r="J43" s="155"/>
      <c r="K43" s="155"/>
      <c r="L43" s="156"/>
    </row>
    <row r="45" spans="1:18" s="8" customFormat="1" ht="30" customHeight="1" x14ac:dyDescent="0.3">
      <c r="A45" s="133" t="s">
        <v>321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27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23</v>
      </c>
      <c r="J47" s="123"/>
      <c r="K47" s="121" t="s">
        <v>11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132</v>
      </c>
      <c r="B48" s="5">
        <v>0.33333333333333331</v>
      </c>
      <c r="C48" s="5"/>
      <c r="D48" s="44">
        <v>180925</v>
      </c>
      <c r="E48" s="3" t="s">
        <v>375</v>
      </c>
      <c r="F48" s="19"/>
      <c r="G48" s="20"/>
      <c r="H48" s="28"/>
      <c r="I48" s="143">
        <v>1700</v>
      </c>
      <c r="J48" s="144"/>
      <c r="K48" s="143"/>
      <c r="L48" s="144"/>
      <c r="M48" s="98"/>
      <c r="N48" s="6" t="s">
        <v>13</v>
      </c>
      <c r="O48" s="21"/>
      <c r="P48" s="157"/>
      <c r="Q48" s="158"/>
      <c r="R48" s="159"/>
    </row>
    <row r="49" spans="1:18" ht="14.55" customHeight="1" x14ac:dyDescent="0.3">
      <c r="A49" s="166"/>
      <c r="B49" s="5"/>
      <c r="C49" s="5">
        <v>0.70833333333333337</v>
      </c>
      <c r="D49" s="44">
        <v>180925</v>
      </c>
      <c r="E49" s="3" t="s">
        <v>402</v>
      </c>
      <c r="F49" s="19"/>
      <c r="G49" s="20"/>
      <c r="H49" s="28"/>
      <c r="I49" s="143">
        <v>1000</v>
      </c>
      <c r="J49" s="144"/>
      <c r="K49" s="143"/>
      <c r="L49" s="144"/>
      <c r="M49" s="98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98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6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98"/>
      <c r="N51" s="6" t="s">
        <v>13</v>
      </c>
      <c r="O51" s="21"/>
      <c r="P51" s="160"/>
      <c r="Q51" s="161"/>
      <c r="R51" s="162"/>
    </row>
    <row r="52" spans="1:18" ht="14.55" customHeight="1" x14ac:dyDescent="0.3">
      <c r="A52" s="167"/>
      <c r="B52" s="148" t="s">
        <v>0</v>
      </c>
      <c r="C52" s="149"/>
      <c r="D52" s="149"/>
      <c r="E52" s="149"/>
      <c r="F52" s="149"/>
      <c r="G52" s="149"/>
      <c r="H52" s="149"/>
      <c r="I52" s="150">
        <f ca="1">SUM(I48:J52)</f>
        <v>0</v>
      </c>
      <c r="J52" s="151"/>
      <c r="K52" s="150">
        <f ca="1">SUM(K48:L52)</f>
        <v>0</v>
      </c>
      <c r="L52" s="151"/>
      <c r="M52" s="10">
        <f>SUM(M48:M51)</f>
        <v>0</v>
      </c>
      <c r="N52" s="11" t="s">
        <v>13</v>
      </c>
      <c r="O52" s="9"/>
      <c r="P52" s="163"/>
      <c r="Q52" s="164"/>
      <c r="R52" s="165"/>
    </row>
    <row r="54" spans="1:18" x14ac:dyDescent="0.3">
      <c r="E54" s="148" t="s">
        <v>317</v>
      </c>
      <c r="F54" s="149"/>
      <c r="G54" s="149"/>
      <c r="H54" s="149"/>
      <c r="I54" s="152" t="s">
        <v>23</v>
      </c>
      <c r="J54" s="153"/>
      <c r="K54" s="172" t="s">
        <v>11</v>
      </c>
      <c r="L54" s="153"/>
    </row>
    <row r="55" spans="1:18" s="36" customFormat="1" x14ac:dyDescent="0.3">
      <c r="E55" s="7"/>
      <c r="F55" s="7"/>
      <c r="G55" s="7"/>
      <c r="H55" s="7"/>
      <c r="I55" s="22">
        <f ca="1">I52</f>
        <v>0</v>
      </c>
      <c r="J55" s="14" t="s">
        <v>12</v>
      </c>
      <c r="K55" s="22">
        <f ca="1">K52</f>
        <v>0</v>
      </c>
      <c r="L55" s="15" t="s">
        <v>12</v>
      </c>
    </row>
    <row r="56" spans="1:18" s="1" customFormat="1" ht="24.45" customHeight="1" x14ac:dyDescent="0.3">
      <c r="A56" s="93"/>
      <c r="B56" s="93"/>
      <c r="C56" s="93"/>
      <c r="E56" s="13"/>
      <c r="F56" s="13"/>
      <c r="G56" s="13"/>
      <c r="H56" s="13"/>
      <c r="I56" s="154">
        <f ca="1">I55+K55</f>
        <v>0</v>
      </c>
      <c r="J56" s="155"/>
      <c r="K56" s="155"/>
      <c r="L56" s="156"/>
      <c r="N56" s="93"/>
      <c r="O56" s="93"/>
      <c r="P56" s="93"/>
      <c r="Q56" s="93"/>
      <c r="R56" s="93"/>
    </row>
    <row r="58" spans="1:18" s="8" customFormat="1" ht="30" customHeight="1" x14ac:dyDescent="0.3">
      <c r="A58" s="133" t="s">
        <v>36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6"/>
    </row>
    <row r="59" spans="1:18" s="12" customFormat="1" ht="14.55" customHeight="1" x14ac:dyDescent="0.3">
      <c r="A59" s="128" t="s">
        <v>1</v>
      </c>
      <c r="B59" s="137" t="s">
        <v>2</v>
      </c>
      <c r="C59" s="137" t="s">
        <v>3</v>
      </c>
      <c r="D59" s="137" t="s">
        <v>4</v>
      </c>
      <c r="E59" s="124" t="s">
        <v>5</v>
      </c>
      <c r="F59" s="138" t="s">
        <v>14</v>
      </c>
      <c r="G59" s="138" t="s">
        <v>15</v>
      </c>
      <c r="H59" s="119" t="s">
        <v>29</v>
      </c>
      <c r="I59" s="121" t="s">
        <v>6</v>
      </c>
      <c r="J59" s="122"/>
      <c r="K59" s="122"/>
      <c r="L59" s="123"/>
      <c r="M59" s="124" t="s">
        <v>7</v>
      </c>
      <c r="N59" s="125"/>
      <c r="O59" s="128" t="s">
        <v>8</v>
      </c>
      <c r="P59" s="128" t="s">
        <v>9</v>
      </c>
      <c r="Q59" s="128"/>
      <c r="R59" s="128"/>
    </row>
    <row r="60" spans="1:18" s="12" customFormat="1" ht="13.05" customHeight="1" x14ac:dyDescent="0.3">
      <c r="A60" s="128"/>
      <c r="B60" s="137"/>
      <c r="C60" s="137"/>
      <c r="D60" s="137"/>
      <c r="E60" s="126"/>
      <c r="F60" s="139"/>
      <c r="G60" s="139"/>
      <c r="H60" s="120"/>
      <c r="I60" s="121" t="s">
        <v>19</v>
      </c>
      <c r="J60" s="123"/>
      <c r="K60" s="121" t="s">
        <v>20</v>
      </c>
      <c r="L60" s="123"/>
      <c r="M60" s="126"/>
      <c r="N60" s="127"/>
      <c r="O60" s="128"/>
      <c r="P60" s="128"/>
      <c r="Q60" s="128"/>
      <c r="R60" s="128"/>
    </row>
    <row r="61" spans="1:18" ht="14.55" customHeight="1" x14ac:dyDescent="0.3">
      <c r="A61" s="140" t="s">
        <v>37</v>
      </c>
      <c r="B61" s="5">
        <v>0.33333333333333331</v>
      </c>
      <c r="C61" s="5"/>
      <c r="D61" s="4">
        <v>250048</v>
      </c>
      <c r="E61" s="3" t="s">
        <v>403</v>
      </c>
      <c r="F61" s="19">
        <v>304</v>
      </c>
      <c r="G61" s="20">
        <v>0.7</v>
      </c>
      <c r="H61" s="28" t="s">
        <v>137</v>
      </c>
      <c r="I61" s="143">
        <v>613</v>
      </c>
      <c r="J61" s="144"/>
      <c r="K61" s="143"/>
      <c r="L61" s="144"/>
      <c r="M61" s="98"/>
      <c r="N61" s="6" t="s">
        <v>13</v>
      </c>
      <c r="O61" s="21"/>
      <c r="P61" s="157"/>
      <c r="Q61" s="158"/>
      <c r="R61" s="159"/>
    </row>
    <row r="62" spans="1:18" ht="14.55" customHeight="1" x14ac:dyDescent="0.3">
      <c r="A62" s="166"/>
      <c r="B62" s="5"/>
      <c r="C62" s="5"/>
      <c r="D62" s="4">
        <v>250046</v>
      </c>
      <c r="E62" s="3" t="s">
        <v>404</v>
      </c>
      <c r="F62" s="19">
        <v>304</v>
      </c>
      <c r="G62" s="20">
        <v>0.7</v>
      </c>
      <c r="H62" s="28" t="s">
        <v>137</v>
      </c>
      <c r="I62" s="143">
        <v>190</v>
      </c>
      <c r="J62" s="144"/>
      <c r="K62" s="143"/>
      <c r="L62" s="144"/>
      <c r="M62" s="98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>
        <v>250046</v>
      </c>
      <c r="E63" s="3" t="s">
        <v>381</v>
      </c>
      <c r="F63" s="19">
        <v>304</v>
      </c>
      <c r="G63" s="20">
        <v>0.7</v>
      </c>
      <c r="H63" s="28" t="s">
        <v>137</v>
      </c>
      <c r="I63" s="143">
        <v>335</v>
      </c>
      <c r="J63" s="144"/>
      <c r="K63" s="143"/>
      <c r="L63" s="144"/>
      <c r="M63" s="98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/>
      <c r="D64" s="4">
        <v>250046</v>
      </c>
      <c r="E64" s="3" t="s">
        <v>405</v>
      </c>
      <c r="F64" s="19">
        <v>304</v>
      </c>
      <c r="G64" s="20">
        <v>0.7</v>
      </c>
      <c r="H64" s="28" t="s">
        <v>137</v>
      </c>
      <c r="I64" s="143">
        <v>381</v>
      </c>
      <c r="J64" s="144"/>
      <c r="K64" s="143"/>
      <c r="L64" s="144"/>
      <c r="M64" s="98"/>
      <c r="N64" s="6" t="s">
        <v>13</v>
      </c>
      <c r="O64" s="21"/>
      <c r="P64" s="160"/>
      <c r="Q64" s="161"/>
      <c r="R64" s="162"/>
    </row>
    <row r="65" spans="1:18" ht="14.55" customHeight="1" x14ac:dyDescent="0.3">
      <c r="A65" s="166"/>
      <c r="B65" s="5"/>
      <c r="C65" s="5">
        <v>0.70833333333333337</v>
      </c>
      <c r="D65" s="4">
        <v>250042</v>
      </c>
      <c r="E65" s="3" t="s">
        <v>395</v>
      </c>
      <c r="F65" s="19">
        <v>304</v>
      </c>
      <c r="G65" s="20">
        <v>0.9</v>
      </c>
      <c r="H65" s="28" t="s">
        <v>137</v>
      </c>
      <c r="I65" s="143">
        <v>500</v>
      </c>
      <c r="J65" s="144"/>
      <c r="K65" s="143"/>
      <c r="L65" s="144"/>
      <c r="M65" s="98"/>
      <c r="N65" s="6" t="s">
        <v>13</v>
      </c>
      <c r="O65" s="21"/>
      <c r="P65" s="160"/>
      <c r="Q65" s="161"/>
      <c r="R65" s="162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98"/>
      <c r="N66" s="6" t="s">
        <v>13</v>
      </c>
      <c r="O66" s="21"/>
      <c r="P66" s="160"/>
      <c r="Q66" s="161"/>
      <c r="R66" s="162"/>
    </row>
    <row r="67" spans="1:18" ht="14.55" customHeight="1" x14ac:dyDescent="0.3">
      <c r="A67" s="167"/>
      <c r="B67" s="148" t="s">
        <v>0</v>
      </c>
      <c r="C67" s="149"/>
      <c r="D67" s="149"/>
      <c r="E67" s="149"/>
      <c r="F67" s="149"/>
      <c r="G67" s="149"/>
      <c r="H67" s="149"/>
      <c r="I67" s="150">
        <f>SUM(I61:J66)</f>
        <v>2019</v>
      </c>
      <c r="J67" s="151"/>
      <c r="K67" s="150">
        <f>SUM(K61:L66)</f>
        <v>0</v>
      </c>
      <c r="L67" s="151"/>
      <c r="M67" s="10">
        <f>SUM(M61:M66)</f>
        <v>0</v>
      </c>
      <c r="N67" s="11" t="s">
        <v>13</v>
      </c>
      <c r="O67" s="9"/>
      <c r="P67" s="163"/>
      <c r="Q67" s="164"/>
      <c r="R67" s="165"/>
    </row>
    <row r="68" spans="1:18" ht="14.55" customHeight="1" x14ac:dyDescent="0.3">
      <c r="D68" s="93"/>
      <c r="E68" s="1"/>
      <c r="F68" s="1"/>
      <c r="G68" s="1"/>
      <c r="H68" s="1"/>
      <c r="M68" s="93"/>
    </row>
    <row r="69" spans="1:18" x14ac:dyDescent="0.3">
      <c r="E69" s="148" t="s">
        <v>324</v>
      </c>
      <c r="F69" s="149"/>
      <c r="G69" s="149"/>
      <c r="H69" s="149"/>
      <c r="I69" s="152" t="s">
        <v>19</v>
      </c>
      <c r="J69" s="153"/>
      <c r="K69" s="152" t="s">
        <v>20</v>
      </c>
      <c r="L69" s="153"/>
    </row>
    <row r="70" spans="1:18" s="36" customFormat="1" x14ac:dyDescent="0.3">
      <c r="E70" s="7"/>
      <c r="F70" s="7"/>
      <c r="G70" s="7"/>
      <c r="H70" s="7"/>
      <c r="I70" s="22">
        <f>I67</f>
        <v>2019</v>
      </c>
      <c r="J70" s="14" t="s">
        <v>12</v>
      </c>
      <c r="K70" s="22">
        <f>K67</f>
        <v>0</v>
      </c>
      <c r="L70" s="15" t="s">
        <v>12</v>
      </c>
    </row>
    <row r="71" spans="1:18" ht="24.45" customHeight="1" x14ac:dyDescent="0.3">
      <c r="E71" s="13"/>
      <c r="F71" s="13"/>
      <c r="G71" s="13"/>
      <c r="H71" s="13"/>
      <c r="I71" s="154">
        <f>I70+K70</f>
        <v>2019</v>
      </c>
      <c r="J71" s="155"/>
      <c r="K71" s="155"/>
      <c r="L71" s="156"/>
    </row>
    <row r="73" spans="1:18" s="8" customFormat="1" ht="30" customHeight="1" x14ac:dyDescent="0.3">
      <c r="A73" s="133" t="s">
        <v>322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6"/>
    </row>
    <row r="74" spans="1:18" s="12" customFormat="1" ht="14.55" customHeight="1" x14ac:dyDescent="0.3">
      <c r="A74" s="128" t="s">
        <v>1</v>
      </c>
      <c r="B74" s="137" t="s">
        <v>2</v>
      </c>
      <c r="C74" s="137" t="s">
        <v>3</v>
      </c>
      <c r="D74" s="137" t="s">
        <v>4</v>
      </c>
      <c r="E74" s="124" t="s">
        <v>5</v>
      </c>
      <c r="F74" s="138" t="s">
        <v>14</v>
      </c>
      <c r="G74" s="138" t="s">
        <v>15</v>
      </c>
      <c r="H74" s="119" t="s">
        <v>29</v>
      </c>
      <c r="I74" s="121" t="s">
        <v>6</v>
      </c>
      <c r="J74" s="122"/>
      <c r="K74" s="122"/>
      <c r="L74" s="123"/>
      <c r="M74" s="124" t="s">
        <v>7</v>
      </c>
      <c r="N74" s="125"/>
      <c r="O74" s="128" t="s">
        <v>8</v>
      </c>
      <c r="P74" s="128" t="s">
        <v>9</v>
      </c>
      <c r="Q74" s="128"/>
      <c r="R74" s="128"/>
    </row>
    <row r="75" spans="1:18" s="12" customFormat="1" ht="13.05" customHeight="1" x14ac:dyDescent="0.3">
      <c r="A75" s="128"/>
      <c r="B75" s="137"/>
      <c r="C75" s="137"/>
      <c r="D75" s="137"/>
      <c r="E75" s="126"/>
      <c r="F75" s="139"/>
      <c r="G75" s="139"/>
      <c r="H75" s="120"/>
      <c r="I75" s="121" t="s">
        <v>19</v>
      </c>
      <c r="J75" s="123"/>
      <c r="K75" s="121" t="s">
        <v>20</v>
      </c>
      <c r="L75" s="123"/>
      <c r="M75" s="126"/>
      <c r="N75" s="127"/>
      <c r="O75" s="128"/>
      <c r="P75" s="128"/>
      <c r="Q75" s="128"/>
      <c r="R75" s="128"/>
    </row>
    <row r="76" spans="1:18" ht="14.55" customHeight="1" x14ac:dyDescent="0.3">
      <c r="A76" s="140" t="s">
        <v>37</v>
      </c>
      <c r="B76" s="5">
        <v>0.33333333333333331</v>
      </c>
      <c r="C76" s="5"/>
      <c r="D76" s="4">
        <v>180925</v>
      </c>
      <c r="E76" s="3" t="s">
        <v>406</v>
      </c>
      <c r="F76" s="19">
        <v>304</v>
      </c>
      <c r="G76" s="20">
        <v>0.7</v>
      </c>
      <c r="H76" s="28" t="s">
        <v>271</v>
      </c>
      <c r="I76" s="143">
        <v>826</v>
      </c>
      <c r="J76" s="144"/>
      <c r="K76" s="143"/>
      <c r="L76" s="144"/>
      <c r="M76" s="98"/>
      <c r="N76" s="6" t="s">
        <v>13</v>
      </c>
      <c r="O76" s="21"/>
      <c r="P76" s="157"/>
      <c r="Q76" s="158"/>
      <c r="R76" s="159"/>
    </row>
    <row r="77" spans="1:18" ht="14.55" customHeight="1" x14ac:dyDescent="0.3">
      <c r="A77" s="166"/>
      <c r="B77" s="5"/>
      <c r="C77" s="5"/>
      <c r="D77" s="4">
        <v>180925</v>
      </c>
      <c r="E77" s="3" t="s">
        <v>378</v>
      </c>
      <c r="F77" s="19">
        <v>304</v>
      </c>
      <c r="G77" s="20">
        <v>0.7</v>
      </c>
      <c r="H77" s="28" t="s">
        <v>271</v>
      </c>
      <c r="I77" s="143">
        <v>783</v>
      </c>
      <c r="J77" s="144"/>
      <c r="K77" s="143"/>
      <c r="L77" s="144"/>
      <c r="M77" s="98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>
        <v>0.70833333333333337</v>
      </c>
      <c r="D78" s="4">
        <v>180925</v>
      </c>
      <c r="E78" s="3" t="s">
        <v>407</v>
      </c>
      <c r="F78" s="19">
        <v>304</v>
      </c>
      <c r="G78" s="20">
        <v>0.7</v>
      </c>
      <c r="H78" s="28" t="s">
        <v>271</v>
      </c>
      <c r="I78" s="143">
        <v>660</v>
      </c>
      <c r="J78" s="144"/>
      <c r="K78" s="143"/>
      <c r="L78" s="144"/>
      <c r="M78" s="98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98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7"/>
      <c r="B80" s="148" t="s">
        <v>0</v>
      </c>
      <c r="C80" s="149"/>
      <c r="D80" s="149"/>
      <c r="E80" s="149"/>
      <c r="F80" s="149"/>
      <c r="G80" s="149"/>
      <c r="H80" s="149"/>
      <c r="I80" s="150">
        <f>SUM(I76:J79)</f>
        <v>2269</v>
      </c>
      <c r="J80" s="151"/>
      <c r="K80" s="150">
        <f>SUM(K76:L79)</f>
        <v>0</v>
      </c>
      <c r="L80" s="151"/>
      <c r="M80" s="10">
        <f>SUM(M76:M79)</f>
        <v>0</v>
      </c>
      <c r="N80" s="11" t="s">
        <v>13</v>
      </c>
      <c r="O80" s="9"/>
      <c r="P80" s="163"/>
      <c r="Q80" s="164"/>
      <c r="R80" s="165"/>
    </row>
    <row r="81" spans="1:18" ht="14.55" customHeight="1" x14ac:dyDescent="0.3">
      <c r="D81" s="93"/>
      <c r="E81" s="1"/>
      <c r="F81" s="1"/>
      <c r="G81" s="1"/>
      <c r="H81" s="1"/>
      <c r="M81" s="93"/>
    </row>
    <row r="82" spans="1:18" x14ac:dyDescent="0.3">
      <c r="E82" s="148" t="s">
        <v>323</v>
      </c>
      <c r="F82" s="149"/>
      <c r="G82" s="149"/>
      <c r="H82" s="149"/>
      <c r="I82" s="152" t="s">
        <v>19</v>
      </c>
      <c r="J82" s="153"/>
      <c r="K82" s="152" t="s">
        <v>20</v>
      </c>
      <c r="L82" s="153"/>
    </row>
    <row r="83" spans="1:18" s="36" customFormat="1" x14ac:dyDescent="0.3">
      <c r="E83" s="7"/>
      <c r="F83" s="7"/>
      <c r="G83" s="7"/>
      <c r="H83" s="7"/>
      <c r="I83" s="22">
        <f>I80</f>
        <v>2269</v>
      </c>
      <c r="J83" s="14" t="s">
        <v>12</v>
      </c>
      <c r="K83" s="22">
        <f>K80</f>
        <v>0</v>
      </c>
      <c r="L83" s="15" t="s">
        <v>12</v>
      </c>
    </row>
    <row r="84" spans="1:18" ht="24.45" customHeight="1" x14ac:dyDescent="0.3">
      <c r="E84" s="13"/>
      <c r="F84" s="13"/>
      <c r="G84" s="13"/>
      <c r="H84" s="13"/>
      <c r="I84" s="154">
        <f>I83+K83</f>
        <v>2269</v>
      </c>
      <c r="J84" s="155"/>
      <c r="K84" s="155"/>
      <c r="L84" s="156"/>
    </row>
    <row r="86" spans="1:18" s="8" customFormat="1" ht="30" customHeight="1" x14ac:dyDescent="0.3">
      <c r="A86" s="133" t="s">
        <v>30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6"/>
    </row>
    <row r="87" spans="1:18" s="12" customFormat="1" ht="14.55" customHeight="1" x14ac:dyDescent="0.3">
      <c r="A87" s="128" t="s">
        <v>1</v>
      </c>
      <c r="B87" s="137" t="s">
        <v>2</v>
      </c>
      <c r="C87" s="137" t="s">
        <v>3</v>
      </c>
      <c r="D87" s="137" t="s">
        <v>4</v>
      </c>
      <c r="E87" s="124" t="s">
        <v>5</v>
      </c>
      <c r="F87" s="138" t="s">
        <v>14</v>
      </c>
      <c r="G87" s="138" t="s">
        <v>15</v>
      </c>
      <c r="H87" s="119" t="s">
        <v>29</v>
      </c>
      <c r="I87" s="121" t="s">
        <v>6</v>
      </c>
      <c r="J87" s="122"/>
      <c r="K87" s="122"/>
      <c r="L87" s="123"/>
      <c r="M87" s="124" t="s">
        <v>7</v>
      </c>
      <c r="N87" s="125"/>
      <c r="O87" s="128" t="s">
        <v>8</v>
      </c>
      <c r="P87" s="128" t="s">
        <v>9</v>
      </c>
      <c r="Q87" s="128"/>
      <c r="R87" s="128"/>
    </row>
    <row r="88" spans="1:18" s="12" customFormat="1" ht="13.05" customHeight="1" x14ac:dyDescent="0.3">
      <c r="A88" s="128"/>
      <c r="B88" s="137"/>
      <c r="C88" s="137"/>
      <c r="D88" s="137"/>
      <c r="E88" s="126"/>
      <c r="F88" s="139"/>
      <c r="G88" s="139"/>
      <c r="H88" s="120"/>
      <c r="I88" s="121" t="s">
        <v>19</v>
      </c>
      <c r="J88" s="123"/>
      <c r="K88" s="121" t="s">
        <v>20</v>
      </c>
      <c r="L88" s="123"/>
      <c r="M88" s="126"/>
      <c r="N88" s="127"/>
      <c r="O88" s="128"/>
      <c r="P88" s="128"/>
      <c r="Q88" s="128"/>
      <c r="R88" s="128"/>
    </row>
    <row r="89" spans="1:18" ht="14.55" customHeight="1" x14ac:dyDescent="0.3">
      <c r="A89" s="140" t="s">
        <v>35</v>
      </c>
      <c r="B89" s="5">
        <v>0.33333333333333331</v>
      </c>
      <c r="C89" s="5">
        <v>0.70833333333333337</v>
      </c>
      <c r="D89" s="4">
        <v>180925</v>
      </c>
      <c r="E89" s="3" t="s">
        <v>408</v>
      </c>
      <c r="F89" s="19">
        <v>304</v>
      </c>
      <c r="G89" s="20">
        <v>0.7</v>
      </c>
      <c r="H89" s="28" t="s">
        <v>130</v>
      </c>
      <c r="I89" s="143">
        <v>60</v>
      </c>
      <c r="J89" s="144"/>
      <c r="K89" s="143"/>
      <c r="L89" s="144"/>
      <c r="M89" s="98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6"/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98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66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98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67"/>
      <c r="B92" s="148" t="s">
        <v>0</v>
      </c>
      <c r="C92" s="149"/>
      <c r="D92" s="149"/>
      <c r="E92" s="149"/>
      <c r="F92" s="149"/>
      <c r="G92" s="149"/>
      <c r="H92" s="149"/>
      <c r="I92" s="150">
        <f>SUM(I89:J91)</f>
        <v>60</v>
      </c>
      <c r="J92" s="151"/>
      <c r="K92" s="150">
        <f>SUM(K89:L91)</f>
        <v>0</v>
      </c>
      <c r="L92" s="151"/>
      <c r="M92" s="10">
        <f>SUM(M89:M91)</f>
        <v>0</v>
      </c>
      <c r="N92" s="11" t="s">
        <v>13</v>
      </c>
      <c r="O92" s="9"/>
      <c r="P92" s="168"/>
      <c r="Q92" s="169"/>
      <c r="R92" s="170"/>
    </row>
    <row r="93" spans="1:18" ht="14.55" customHeight="1" x14ac:dyDescent="0.3">
      <c r="D93" s="93"/>
      <c r="E93" s="1"/>
      <c r="F93" s="1"/>
      <c r="G93" s="1"/>
      <c r="H93" s="1"/>
      <c r="M93" s="93"/>
    </row>
    <row r="94" spans="1:18" x14ac:dyDescent="0.3">
      <c r="E94" s="148" t="s">
        <v>34</v>
      </c>
      <c r="F94" s="149"/>
      <c r="G94" s="149"/>
      <c r="H94" s="149"/>
      <c r="I94" s="152" t="s">
        <v>19</v>
      </c>
      <c r="J94" s="153"/>
      <c r="K94" s="152" t="s">
        <v>20</v>
      </c>
      <c r="L94" s="153"/>
    </row>
    <row r="95" spans="1:18" s="36" customFormat="1" x14ac:dyDescent="0.3">
      <c r="E95" s="7"/>
      <c r="F95" s="7"/>
      <c r="G95" s="7"/>
      <c r="H95" s="7"/>
      <c r="I95" s="22">
        <f>I92</f>
        <v>60</v>
      </c>
      <c r="J95" s="14" t="s">
        <v>12</v>
      </c>
      <c r="K95" s="22">
        <f>K92</f>
        <v>0</v>
      </c>
      <c r="L95" s="15" t="s">
        <v>12</v>
      </c>
    </row>
    <row r="96" spans="1:18" s="1" customFormat="1" ht="24.45" customHeight="1" x14ac:dyDescent="0.3">
      <c r="A96" s="93"/>
      <c r="B96" s="93"/>
      <c r="C96" s="93"/>
      <c r="E96" s="13"/>
      <c r="F96" s="13"/>
      <c r="G96" s="13"/>
      <c r="H96" s="13"/>
      <c r="I96" s="154">
        <f>I95+K95</f>
        <v>60</v>
      </c>
      <c r="J96" s="155"/>
      <c r="K96" s="155"/>
      <c r="L96" s="156"/>
      <c r="N96" s="93"/>
      <c r="O96" s="93"/>
      <c r="P96" s="93"/>
      <c r="Q96" s="93"/>
      <c r="R96" s="93"/>
    </row>
  </sheetData>
  <mergeCells count="236">
    <mergeCell ref="M87:N88"/>
    <mergeCell ref="O87:O88"/>
    <mergeCell ref="P87:R88"/>
    <mergeCell ref="I88:J88"/>
    <mergeCell ref="K88:L88"/>
    <mergeCell ref="I84:L84"/>
    <mergeCell ref="A86:R86"/>
    <mergeCell ref="A87:A88"/>
    <mergeCell ref="B87:B88"/>
    <mergeCell ref="C87:C88"/>
    <mergeCell ref="D87:D88"/>
    <mergeCell ref="E87:E88"/>
    <mergeCell ref="F87:F88"/>
    <mergeCell ref="G87:G88"/>
    <mergeCell ref="H87:H88"/>
    <mergeCell ref="I96:L96"/>
    <mergeCell ref="A89:A92"/>
    <mergeCell ref="I89:J89"/>
    <mergeCell ref="K89:L89"/>
    <mergeCell ref="P89:R91"/>
    <mergeCell ref="I90:J90"/>
    <mergeCell ref="K90:L90"/>
    <mergeCell ref="I91:J91"/>
    <mergeCell ref="K91:L91"/>
    <mergeCell ref="B92:H92"/>
    <mergeCell ref="I92:J92"/>
    <mergeCell ref="K92:L92"/>
    <mergeCell ref="P92:R92"/>
    <mergeCell ref="E94:H94"/>
    <mergeCell ref="I94:J94"/>
    <mergeCell ref="K94:L94"/>
    <mergeCell ref="B80:H80"/>
    <mergeCell ref="I80:J80"/>
    <mergeCell ref="K80:L80"/>
    <mergeCell ref="E82:H82"/>
    <mergeCell ref="I82:J82"/>
    <mergeCell ref="K82:L82"/>
    <mergeCell ref="I87:L87"/>
    <mergeCell ref="A76:A80"/>
    <mergeCell ref="I76:J76"/>
    <mergeCell ref="K76:L76"/>
    <mergeCell ref="P76:R80"/>
    <mergeCell ref="I77:J77"/>
    <mergeCell ref="K77:L77"/>
    <mergeCell ref="I78:J78"/>
    <mergeCell ref="K78:L78"/>
    <mergeCell ref="I79:J79"/>
    <mergeCell ref="K79:L79"/>
    <mergeCell ref="I74:L74"/>
    <mergeCell ref="M74:N75"/>
    <mergeCell ref="O74:O75"/>
    <mergeCell ref="P74:R75"/>
    <mergeCell ref="I75:J75"/>
    <mergeCell ref="K75:L75"/>
    <mergeCell ref="I71:L71"/>
    <mergeCell ref="A73:R73"/>
    <mergeCell ref="A74:A75"/>
    <mergeCell ref="B74:B75"/>
    <mergeCell ref="C74:C75"/>
    <mergeCell ref="D74:D75"/>
    <mergeCell ref="E74:E75"/>
    <mergeCell ref="F74:F75"/>
    <mergeCell ref="G74:G75"/>
    <mergeCell ref="H74:H75"/>
    <mergeCell ref="B67:H67"/>
    <mergeCell ref="I67:J67"/>
    <mergeCell ref="K67:L67"/>
    <mergeCell ref="E69:H69"/>
    <mergeCell ref="I69:J69"/>
    <mergeCell ref="K69:L69"/>
    <mergeCell ref="A61:A67"/>
    <mergeCell ref="I61:J61"/>
    <mergeCell ref="K61:L61"/>
    <mergeCell ref="I63:J63"/>
    <mergeCell ref="K63:L63"/>
    <mergeCell ref="I64:J64"/>
    <mergeCell ref="K64:L64"/>
    <mergeCell ref="I65:J65"/>
    <mergeCell ref="K65:L65"/>
    <mergeCell ref="P61:R67"/>
    <mergeCell ref="I62:J62"/>
    <mergeCell ref="K62:L62"/>
    <mergeCell ref="I66:J66"/>
    <mergeCell ref="K66:L66"/>
    <mergeCell ref="I59:L59"/>
    <mergeCell ref="M59:N60"/>
    <mergeCell ref="O59:O60"/>
    <mergeCell ref="P59:R60"/>
    <mergeCell ref="I60:J60"/>
    <mergeCell ref="K60:L60"/>
    <mergeCell ref="I56:L56"/>
    <mergeCell ref="A58:R58"/>
    <mergeCell ref="A59:A60"/>
    <mergeCell ref="B59:B60"/>
    <mergeCell ref="C59:C60"/>
    <mergeCell ref="D59:D60"/>
    <mergeCell ref="E59:E60"/>
    <mergeCell ref="F59:F60"/>
    <mergeCell ref="G59:G60"/>
    <mergeCell ref="H59:H60"/>
    <mergeCell ref="B52:H52"/>
    <mergeCell ref="I52:J52"/>
    <mergeCell ref="K52:L52"/>
    <mergeCell ref="E54:H54"/>
    <mergeCell ref="I54:J54"/>
    <mergeCell ref="K54:L54"/>
    <mergeCell ref="A48:A52"/>
    <mergeCell ref="I48:J48"/>
    <mergeCell ref="K48:L48"/>
    <mergeCell ref="P48:R52"/>
    <mergeCell ref="I49:J49"/>
    <mergeCell ref="K49:L49"/>
    <mergeCell ref="I50:J50"/>
    <mergeCell ref="K50:L50"/>
    <mergeCell ref="I51:J51"/>
    <mergeCell ref="K51:L51"/>
    <mergeCell ref="I46:L46"/>
    <mergeCell ref="M46:N47"/>
    <mergeCell ref="O46:O47"/>
    <mergeCell ref="P46:R47"/>
    <mergeCell ref="I47:J47"/>
    <mergeCell ref="K47:L47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B39:H39"/>
    <mergeCell ref="I39:J39"/>
    <mergeCell ref="K39:L39"/>
    <mergeCell ref="E41:H41"/>
    <mergeCell ref="I41:J41"/>
    <mergeCell ref="K41:L41"/>
    <mergeCell ref="A34:A39"/>
    <mergeCell ref="I34:J34"/>
    <mergeCell ref="K34:L34"/>
    <mergeCell ref="A28:A33"/>
    <mergeCell ref="I28:J28"/>
    <mergeCell ref="K28:L28"/>
    <mergeCell ref="B33:H33"/>
    <mergeCell ref="K33:L33"/>
    <mergeCell ref="P34:R39"/>
    <mergeCell ref="I35:J35"/>
    <mergeCell ref="K35:L35"/>
    <mergeCell ref="I36:J36"/>
    <mergeCell ref="K36:L36"/>
    <mergeCell ref="I37:J37"/>
    <mergeCell ref="K37:L37"/>
    <mergeCell ref="P28:R33"/>
    <mergeCell ref="I29:J29"/>
    <mergeCell ref="K29:L29"/>
    <mergeCell ref="I30:J30"/>
    <mergeCell ref="K30:L30"/>
    <mergeCell ref="I31:J31"/>
    <mergeCell ref="K31:L31"/>
    <mergeCell ref="I32:J32"/>
    <mergeCell ref="K32:L32"/>
    <mergeCell ref="I33:J33"/>
    <mergeCell ref="I38:J38"/>
    <mergeCell ref="K38:L38"/>
    <mergeCell ref="A24:A27"/>
    <mergeCell ref="I24:J24"/>
    <mergeCell ref="K24:L24"/>
    <mergeCell ref="P24:R27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B27:H27"/>
    <mergeCell ref="I27:J27"/>
    <mergeCell ref="K27:L27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4"/>
  <sheetViews>
    <sheetView zoomScale="85" zoomScaleNormal="85" workbookViewId="0">
      <selection activeCell="I7" sqref="I7:J8"/>
    </sheetView>
  </sheetViews>
  <sheetFormatPr defaultColWidth="8.77734375" defaultRowHeight="14.4" x14ac:dyDescent="0.3"/>
  <cols>
    <col min="1" max="1" width="12.6640625" style="93" customWidth="1"/>
    <col min="2" max="3" width="7.6640625" style="93" customWidth="1"/>
    <col min="4" max="4" width="8.21875" style="1" bestFit="1" customWidth="1"/>
    <col min="5" max="5" width="44.5546875" style="93" bestFit="1" customWidth="1"/>
    <col min="6" max="6" width="5.6640625" style="93" customWidth="1"/>
    <col min="7" max="7" width="6.6640625" style="93" customWidth="1"/>
    <col min="8" max="8" width="24.5546875" style="93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93" customWidth="1"/>
    <col min="15" max="15" width="21.5546875" style="93" bestFit="1" customWidth="1"/>
    <col min="16" max="18" width="7.6640625" style="93" customWidth="1"/>
    <col min="19" max="16384" width="8.77734375" style="93"/>
  </cols>
  <sheetData>
    <row r="1" spans="1:18" x14ac:dyDescent="0.3">
      <c r="D1" s="93"/>
      <c r="I1" s="93"/>
      <c r="J1" s="93"/>
      <c r="K1" s="93"/>
      <c r="L1" s="93"/>
      <c r="M1" s="93"/>
    </row>
    <row r="2" spans="1:18" x14ac:dyDescent="0.3">
      <c r="D2" s="93"/>
      <c r="I2" s="93"/>
      <c r="J2" s="93"/>
      <c r="K2" s="93"/>
      <c r="L2" s="93"/>
      <c r="M2" s="93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45961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103">
        <v>250042</v>
      </c>
      <c r="E7" s="84" t="s">
        <v>417</v>
      </c>
      <c r="F7" s="19">
        <v>304</v>
      </c>
      <c r="G7" s="20">
        <v>0.9</v>
      </c>
      <c r="H7" s="28" t="s">
        <v>396</v>
      </c>
      <c r="I7" s="143">
        <v>760</v>
      </c>
      <c r="J7" s="144"/>
      <c r="K7" s="143"/>
      <c r="L7" s="144"/>
      <c r="M7" s="101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>
        <v>0.70833333333333337</v>
      </c>
      <c r="D8" s="106">
        <v>160925</v>
      </c>
      <c r="E8" s="84" t="s">
        <v>409</v>
      </c>
      <c r="F8" s="19">
        <v>304</v>
      </c>
      <c r="G8" s="20">
        <v>0.9</v>
      </c>
      <c r="H8" s="28" t="s">
        <v>396</v>
      </c>
      <c r="I8" s="143">
        <v>840</v>
      </c>
      <c r="J8" s="144"/>
      <c r="K8" s="143"/>
      <c r="L8" s="144"/>
      <c r="M8" s="101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4"/>
      <c r="E9" s="3"/>
      <c r="F9" s="19"/>
      <c r="G9" s="20"/>
      <c r="H9" s="28"/>
      <c r="I9" s="143"/>
      <c r="J9" s="144"/>
      <c r="K9" s="143"/>
      <c r="L9" s="144"/>
      <c r="M9" s="101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72"/>
      <c r="E10" s="3"/>
      <c r="F10" s="19"/>
      <c r="G10" s="20"/>
      <c r="H10" s="28"/>
      <c r="I10" s="143"/>
      <c r="J10" s="144"/>
      <c r="K10" s="143"/>
      <c r="L10" s="144"/>
      <c r="M10" s="101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2"/>
      <c r="B11" s="148" t="s">
        <v>0</v>
      </c>
      <c r="C11" s="149"/>
      <c r="D11" s="149"/>
      <c r="E11" s="149"/>
      <c r="F11" s="149"/>
      <c r="G11" s="149"/>
      <c r="H11" s="149"/>
      <c r="I11" s="150">
        <f>SUM(I7:J10)</f>
        <v>1600</v>
      </c>
      <c r="J11" s="151"/>
      <c r="K11" s="150">
        <f>SUM(K7:L10)</f>
        <v>0</v>
      </c>
      <c r="L11" s="151"/>
      <c r="M11" s="10">
        <f>SUM(M7:M8)</f>
        <v>0</v>
      </c>
      <c r="N11" s="11" t="s">
        <v>13</v>
      </c>
      <c r="O11" s="9"/>
      <c r="P11" s="145"/>
      <c r="Q11" s="146"/>
      <c r="R11" s="147"/>
    </row>
    <row r="12" spans="1:18" ht="14.55" customHeight="1" x14ac:dyDescent="0.3">
      <c r="A12" s="140" t="s">
        <v>21</v>
      </c>
      <c r="B12" s="5"/>
      <c r="C12" s="5"/>
      <c r="D12" s="44"/>
      <c r="E12" s="69"/>
      <c r="F12" s="19"/>
      <c r="G12" s="20"/>
      <c r="H12" s="70"/>
      <c r="I12" s="143"/>
      <c r="J12" s="144"/>
      <c r="K12" s="143"/>
      <c r="L12" s="144"/>
      <c r="M12" s="101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101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4"/>
      <c r="E14" s="3"/>
      <c r="F14" s="19"/>
      <c r="G14" s="20"/>
      <c r="H14" s="28"/>
      <c r="I14" s="143"/>
      <c r="J14" s="144"/>
      <c r="K14" s="143"/>
      <c r="L14" s="144"/>
      <c r="M14" s="101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SUM(I12:J14)</f>
        <v>0</v>
      </c>
      <c r="J15" s="151"/>
      <c r="K15" s="150">
        <f>SUM(K12:L14)</f>
        <v>0</v>
      </c>
      <c r="L15" s="151"/>
      <c r="M15" s="10">
        <f>SUM(M12:M14)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D16" s="93"/>
      <c r="E16" s="1"/>
      <c r="F16" s="1"/>
      <c r="G16" s="1"/>
      <c r="H16" s="1"/>
      <c r="M16" s="93"/>
    </row>
    <row r="17" spans="1:18" x14ac:dyDescent="0.3">
      <c r="E17" s="148" t="s">
        <v>316</v>
      </c>
      <c r="F17" s="149"/>
      <c r="G17" s="149"/>
      <c r="H17" s="149"/>
      <c r="I17" s="152" t="s">
        <v>19</v>
      </c>
      <c r="J17" s="153"/>
      <c r="K17" s="152" t="s">
        <v>20</v>
      </c>
      <c r="L17" s="153"/>
    </row>
    <row r="18" spans="1:18" s="36" customFormat="1" x14ac:dyDescent="0.3">
      <c r="E18" s="7"/>
      <c r="F18" s="7"/>
      <c r="G18" s="7"/>
      <c r="H18" s="7"/>
      <c r="I18" s="22">
        <f>I11+I15</f>
        <v>1600</v>
      </c>
      <c r="J18" s="14" t="s">
        <v>12</v>
      </c>
      <c r="K18" s="22">
        <f>K11+K15</f>
        <v>0</v>
      </c>
      <c r="L18" s="15" t="s">
        <v>12</v>
      </c>
    </row>
    <row r="19" spans="1:18" ht="24.45" customHeight="1" x14ac:dyDescent="0.3">
      <c r="E19" s="13"/>
      <c r="F19" s="13"/>
      <c r="G19" s="13"/>
      <c r="H19" s="13"/>
      <c r="I19" s="154">
        <f>I18+K18</f>
        <v>1600</v>
      </c>
      <c r="J19" s="155"/>
      <c r="K19" s="155"/>
      <c r="L19" s="156"/>
    </row>
    <row r="20" spans="1:18" ht="15" customHeight="1" x14ac:dyDescent="0.3">
      <c r="D20" s="93"/>
      <c r="I20" s="93"/>
      <c r="J20" s="93"/>
      <c r="K20" s="23"/>
      <c r="L20" s="23"/>
      <c r="M20" s="23"/>
      <c r="N20" s="23"/>
    </row>
    <row r="21" spans="1:18" s="8" customFormat="1" ht="30" customHeight="1" x14ac:dyDescent="0.3">
      <c r="A21" s="133" t="s">
        <v>22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5"/>
      <c r="L21" s="135"/>
      <c r="M21" s="135"/>
      <c r="N21" s="135"/>
      <c r="O21" s="134"/>
      <c r="P21" s="134"/>
      <c r="Q21" s="134"/>
      <c r="R21" s="136"/>
    </row>
    <row r="22" spans="1:18" s="12" customFormat="1" ht="14.55" customHeight="1" x14ac:dyDescent="0.3">
      <c r="A22" s="128" t="s">
        <v>1</v>
      </c>
      <c r="B22" s="137" t="s">
        <v>2</v>
      </c>
      <c r="C22" s="137" t="s">
        <v>3</v>
      </c>
      <c r="D22" s="137" t="s">
        <v>4</v>
      </c>
      <c r="E22" s="124" t="s">
        <v>5</v>
      </c>
      <c r="F22" s="138" t="s">
        <v>14</v>
      </c>
      <c r="G22" s="138" t="s">
        <v>15</v>
      </c>
      <c r="H22" s="119" t="s">
        <v>27</v>
      </c>
      <c r="I22" s="121" t="s">
        <v>6</v>
      </c>
      <c r="J22" s="122"/>
      <c r="K22" s="122"/>
      <c r="L22" s="123"/>
      <c r="M22" s="124" t="s">
        <v>7</v>
      </c>
      <c r="N22" s="125"/>
      <c r="O22" s="128" t="s">
        <v>8</v>
      </c>
      <c r="P22" s="128" t="s">
        <v>9</v>
      </c>
      <c r="Q22" s="128"/>
      <c r="R22" s="128"/>
    </row>
    <row r="23" spans="1:18" s="12" customFormat="1" ht="13.05" customHeight="1" x14ac:dyDescent="0.3">
      <c r="A23" s="128"/>
      <c r="B23" s="137"/>
      <c r="C23" s="137"/>
      <c r="D23" s="137"/>
      <c r="E23" s="126"/>
      <c r="F23" s="139"/>
      <c r="G23" s="139"/>
      <c r="H23" s="120"/>
      <c r="I23" s="121" t="s">
        <v>23</v>
      </c>
      <c r="J23" s="123"/>
      <c r="K23" s="121" t="s">
        <v>11</v>
      </c>
      <c r="L23" s="123"/>
      <c r="M23" s="126"/>
      <c r="N23" s="127"/>
      <c r="O23" s="128"/>
      <c r="P23" s="128"/>
      <c r="Q23" s="128"/>
      <c r="R23" s="128"/>
    </row>
    <row r="24" spans="1:18" ht="14.55" customHeight="1" x14ac:dyDescent="0.3">
      <c r="A24" s="140" t="s">
        <v>28</v>
      </c>
      <c r="B24" s="5">
        <v>8</v>
      </c>
      <c r="C24" s="5"/>
      <c r="D24" s="4">
        <v>250084</v>
      </c>
      <c r="E24" s="3" t="s">
        <v>410</v>
      </c>
      <c r="F24" s="19">
        <v>304</v>
      </c>
      <c r="G24" s="20">
        <v>0.6</v>
      </c>
      <c r="H24" s="28"/>
      <c r="I24" s="143"/>
      <c r="J24" s="144"/>
      <c r="K24" s="143"/>
      <c r="L24" s="144"/>
      <c r="M24" s="101"/>
      <c r="N24" s="6" t="s">
        <v>13</v>
      </c>
      <c r="O24" s="21"/>
      <c r="P24" s="168" t="s">
        <v>50</v>
      </c>
      <c r="Q24" s="169"/>
      <c r="R24" s="170"/>
    </row>
    <row r="25" spans="1:18" ht="14.55" customHeight="1" x14ac:dyDescent="0.3">
      <c r="A25" s="141"/>
      <c r="B25" s="5"/>
      <c r="C25" s="5">
        <v>0.70833333333333337</v>
      </c>
      <c r="D25" s="4">
        <v>250084</v>
      </c>
      <c r="E25" s="3" t="s">
        <v>411</v>
      </c>
      <c r="F25" s="19">
        <v>304</v>
      </c>
      <c r="G25" s="20">
        <v>0.6</v>
      </c>
      <c r="H25" s="28"/>
      <c r="I25" s="143"/>
      <c r="J25" s="144"/>
      <c r="K25" s="143"/>
      <c r="L25" s="144"/>
      <c r="M25" s="101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1"/>
      <c r="B26" s="5"/>
      <c r="C26" s="5"/>
      <c r="D26" s="4"/>
      <c r="E26" s="3"/>
      <c r="F26" s="19"/>
      <c r="G26" s="20"/>
      <c r="H26" s="28"/>
      <c r="I26" s="143"/>
      <c r="J26" s="144"/>
      <c r="K26" s="143"/>
      <c r="L26" s="144"/>
      <c r="M26" s="101"/>
      <c r="N26" s="6" t="s">
        <v>13</v>
      </c>
      <c r="O26" s="21"/>
      <c r="P26" s="168"/>
      <c r="Q26" s="169"/>
      <c r="R26" s="170"/>
    </row>
    <row r="27" spans="1:18" ht="14.55" customHeight="1" x14ac:dyDescent="0.3">
      <c r="A27" s="142"/>
      <c r="B27" s="148" t="s">
        <v>0</v>
      </c>
      <c r="C27" s="149"/>
      <c r="D27" s="149"/>
      <c r="E27" s="149"/>
      <c r="F27" s="149"/>
      <c r="G27" s="149"/>
      <c r="H27" s="171"/>
      <c r="I27" s="150">
        <f>SUM(I24:J26)</f>
        <v>0</v>
      </c>
      <c r="J27" s="151"/>
      <c r="K27" s="150">
        <f>SUM(K24:L26)</f>
        <v>0</v>
      </c>
      <c r="L27" s="151"/>
      <c r="M27" s="10">
        <f>SUM(M24:M26)</f>
        <v>0</v>
      </c>
      <c r="N27" s="11" t="s">
        <v>13</v>
      </c>
      <c r="O27" s="9"/>
      <c r="P27" s="168"/>
      <c r="Q27" s="169"/>
      <c r="R27" s="170"/>
    </row>
    <row r="28" spans="1:18" ht="14.55" customHeight="1" x14ac:dyDescent="0.3">
      <c r="A28" s="140" t="s">
        <v>24</v>
      </c>
      <c r="B28" s="5">
        <v>0.33333333333333331</v>
      </c>
      <c r="C28" s="5"/>
      <c r="D28" s="4">
        <v>250084</v>
      </c>
      <c r="E28" s="3" t="s">
        <v>412</v>
      </c>
      <c r="F28" s="19">
        <v>304</v>
      </c>
      <c r="G28" s="20">
        <v>0.6</v>
      </c>
      <c r="H28" s="28" t="s">
        <v>327</v>
      </c>
      <c r="I28" s="143">
        <v>750</v>
      </c>
      <c r="J28" s="144"/>
      <c r="K28" s="143"/>
      <c r="L28" s="144"/>
      <c r="M28" s="101"/>
      <c r="N28" s="6" t="s">
        <v>13</v>
      </c>
      <c r="O28" s="21"/>
      <c r="P28" s="157" t="s">
        <v>51</v>
      </c>
      <c r="Q28" s="158"/>
      <c r="R28" s="159"/>
    </row>
    <row r="29" spans="1:18" ht="14.55" customHeight="1" x14ac:dyDescent="0.3">
      <c r="A29" s="166"/>
      <c r="B29" s="5"/>
      <c r="C29" s="5">
        <v>0.70833333333333337</v>
      </c>
      <c r="D29" s="4">
        <v>250084</v>
      </c>
      <c r="E29" s="3" t="s">
        <v>413</v>
      </c>
      <c r="F29" s="19">
        <v>304</v>
      </c>
      <c r="G29" s="20">
        <v>0.6</v>
      </c>
      <c r="H29" s="28" t="s">
        <v>327</v>
      </c>
      <c r="I29" s="143">
        <v>750</v>
      </c>
      <c r="J29" s="144"/>
      <c r="K29" s="143"/>
      <c r="L29" s="144"/>
      <c r="M29" s="101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101"/>
      <c r="N30" s="6" t="s">
        <v>13</v>
      </c>
      <c r="O30" s="21"/>
      <c r="P30" s="160"/>
      <c r="Q30" s="161"/>
      <c r="R30" s="162"/>
    </row>
    <row r="31" spans="1:18" ht="14.55" hidden="1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101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6"/>
      <c r="B32" s="5"/>
      <c r="C32" s="5"/>
      <c r="D32" s="4"/>
      <c r="E32" s="3"/>
      <c r="F32" s="19"/>
      <c r="G32" s="20"/>
      <c r="H32" s="28"/>
      <c r="I32" s="143"/>
      <c r="J32" s="144"/>
      <c r="K32" s="143"/>
      <c r="L32" s="144"/>
      <c r="M32" s="101"/>
      <c r="N32" s="6" t="s">
        <v>13</v>
      </c>
      <c r="O32" s="21"/>
      <c r="P32" s="160"/>
      <c r="Q32" s="161"/>
      <c r="R32" s="162"/>
    </row>
    <row r="33" spans="1:18" ht="14.55" customHeight="1" x14ac:dyDescent="0.3">
      <c r="A33" s="167"/>
      <c r="B33" s="148" t="s">
        <v>0</v>
      </c>
      <c r="C33" s="149"/>
      <c r="D33" s="149"/>
      <c r="E33" s="149"/>
      <c r="F33" s="149"/>
      <c r="G33" s="149"/>
      <c r="H33" s="171"/>
      <c r="I33" s="150">
        <f>SUM(I28:J32)</f>
        <v>1500</v>
      </c>
      <c r="J33" s="151"/>
      <c r="K33" s="150">
        <f>SUM(K28:L32)</f>
        <v>0</v>
      </c>
      <c r="L33" s="151"/>
      <c r="M33" s="10">
        <f>SUM(M28:M32)</f>
        <v>0</v>
      </c>
      <c r="N33" s="11" t="s">
        <v>13</v>
      </c>
      <c r="O33" s="9"/>
      <c r="P33" s="163"/>
      <c r="Q33" s="164"/>
      <c r="R33" s="165"/>
    </row>
    <row r="34" spans="1:18" ht="14.55" customHeight="1" x14ac:dyDescent="0.3">
      <c r="A34" s="140" t="s">
        <v>25</v>
      </c>
      <c r="B34" s="5"/>
      <c r="C34" s="5"/>
      <c r="D34" s="44"/>
      <c r="E34" s="3"/>
      <c r="F34" s="19"/>
      <c r="G34" s="20"/>
      <c r="H34" s="28"/>
      <c r="I34" s="143"/>
      <c r="J34" s="144"/>
      <c r="K34" s="143"/>
      <c r="L34" s="144"/>
      <c r="M34" s="101"/>
      <c r="N34" s="6" t="s">
        <v>13</v>
      </c>
      <c r="O34" s="21"/>
      <c r="P34" s="145" t="s">
        <v>53</v>
      </c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101"/>
      <c r="N35" s="6" t="s">
        <v>13</v>
      </c>
      <c r="O35" s="21"/>
      <c r="P35" s="168"/>
      <c r="Q35" s="169"/>
      <c r="R35" s="170"/>
    </row>
    <row r="36" spans="1:18" ht="14.55" hidden="1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101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101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1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101"/>
      <c r="N38" s="6" t="s">
        <v>13</v>
      </c>
      <c r="O38" s="21"/>
      <c r="P38" s="168"/>
      <c r="Q38" s="169"/>
      <c r="R38" s="170"/>
    </row>
    <row r="39" spans="1:18" ht="14.55" customHeight="1" x14ac:dyDescent="0.3">
      <c r="A39" s="142"/>
      <c r="B39" s="148" t="s">
        <v>0</v>
      </c>
      <c r="C39" s="149"/>
      <c r="D39" s="149"/>
      <c r="E39" s="149"/>
      <c r="F39" s="149"/>
      <c r="G39" s="149"/>
      <c r="H39" s="149"/>
      <c r="I39" s="150">
        <f>SUM(I34:J38)</f>
        <v>0</v>
      </c>
      <c r="J39" s="151"/>
      <c r="K39" s="150">
        <f>SUM(K34:L38)</f>
        <v>0</v>
      </c>
      <c r="L39" s="151"/>
      <c r="M39" s="10">
        <f>SUM(M34:M38)</f>
        <v>0</v>
      </c>
      <c r="N39" s="11" t="s">
        <v>13</v>
      </c>
      <c r="O39" s="9"/>
      <c r="P39" s="168"/>
      <c r="Q39" s="169"/>
      <c r="R39" s="170"/>
    </row>
    <row r="41" spans="1:18" x14ac:dyDescent="0.3">
      <c r="E41" s="148" t="s">
        <v>26</v>
      </c>
      <c r="F41" s="149"/>
      <c r="G41" s="149"/>
      <c r="H41" s="149"/>
      <c r="I41" s="152" t="s">
        <v>23</v>
      </c>
      <c r="J41" s="153"/>
      <c r="K41" s="152" t="s">
        <v>11</v>
      </c>
      <c r="L41" s="153"/>
    </row>
    <row r="42" spans="1:18" s="36" customFormat="1" x14ac:dyDescent="0.3">
      <c r="E42" s="7"/>
      <c r="F42" s="7"/>
      <c r="G42" s="7"/>
      <c r="H42" s="7"/>
      <c r="I42" s="22">
        <f>I33+I39</f>
        <v>1500</v>
      </c>
      <c r="J42" s="14" t="s">
        <v>12</v>
      </c>
      <c r="K42" s="22">
        <f>K33+K39</f>
        <v>0</v>
      </c>
      <c r="L42" s="15" t="s">
        <v>12</v>
      </c>
    </row>
    <row r="43" spans="1:18" ht="24.45" customHeight="1" x14ac:dyDescent="0.3">
      <c r="E43" s="13"/>
      <c r="F43" s="13"/>
      <c r="G43" s="13"/>
      <c r="H43" s="13"/>
      <c r="I43" s="154">
        <f>I42+K42</f>
        <v>1500</v>
      </c>
      <c r="J43" s="155"/>
      <c r="K43" s="155"/>
      <c r="L43" s="156"/>
    </row>
    <row r="45" spans="1:18" s="8" customFormat="1" ht="30" customHeight="1" x14ac:dyDescent="0.3">
      <c r="A45" s="133" t="s">
        <v>321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6"/>
    </row>
    <row r="46" spans="1:18" s="12" customFormat="1" ht="14.55" customHeight="1" x14ac:dyDescent="0.3">
      <c r="A46" s="128" t="s">
        <v>1</v>
      </c>
      <c r="B46" s="137" t="s">
        <v>2</v>
      </c>
      <c r="C46" s="137" t="s">
        <v>3</v>
      </c>
      <c r="D46" s="137" t="s">
        <v>4</v>
      </c>
      <c r="E46" s="124" t="s">
        <v>5</v>
      </c>
      <c r="F46" s="138" t="s">
        <v>14</v>
      </c>
      <c r="G46" s="138" t="s">
        <v>15</v>
      </c>
      <c r="H46" s="119" t="s">
        <v>27</v>
      </c>
      <c r="I46" s="121" t="s">
        <v>6</v>
      </c>
      <c r="J46" s="122"/>
      <c r="K46" s="122"/>
      <c r="L46" s="123"/>
      <c r="M46" s="124" t="s">
        <v>7</v>
      </c>
      <c r="N46" s="125"/>
      <c r="O46" s="128" t="s">
        <v>8</v>
      </c>
      <c r="P46" s="128" t="s">
        <v>9</v>
      </c>
      <c r="Q46" s="128"/>
      <c r="R46" s="128"/>
    </row>
    <row r="47" spans="1:18" s="12" customFormat="1" ht="13.05" customHeight="1" x14ac:dyDescent="0.3">
      <c r="A47" s="128"/>
      <c r="B47" s="137"/>
      <c r="C47" s="137"/>
      <c r="D47" s="137"/>
      <c r="E47" s="126"/>
      <c r="F47" s="139"/>
      <c r="G47" s="139"/>
      <c r="H47" s="120"/>
      <c r="I47" s="121" t="s">
        <v>23</v>
      </c>
      <c r="J47" s="123"/>
      <c r="K47" s="121" t="s">
        <v>11</v>
      </c>
      <c r="L47" s="123"/>
      <c r="M47" s="126"/>
      <c r="N47" s="127"/>
      <c r="O47" s="128"/>
      <c r="P47" s="128"/>
      <c r="Q47" s="128"/>
      <c r="R47" s="128"/>
    </row>
    <row r="48" spans="1:18" ht="14.55" customHeight="1" x14ac:dyDescent="0.3">
      <c r="A48" s="140" t="s">
        <v>132</v>
      </c>
      <c r="B48" s="5">
        <v>0.33333333333333331</v>
      </c>
      <c r="C48" s="5"/>
      <c r="D48" s="44">
        <v>180925</v>
      </c>
      <c r="E48" s="3" t="s">
        <v>414</v>
      </c>
      <c r="F48" s="19"/>
      <c r="G48" s="20"/>
      <c r="H48" s="28"/>
      <c r="I48" s="143">
        <v>1300</v>
      </c>
      <c r="J48" s="144"/>
      <c r="K48" s="143"/>
      <c r="L48" s="144"/>
      <c r="M48" s="101"/>
      <c r="N48" s="6" t="s">
        <v>13</v>
      </c>
      <c r="O48" s="21"/>
      <c r="P48" s="157"/>
      <c r="Q48" s="158"/>
      <c r="R48" s="159"/>
    </row>
    <row r="49" spans="1:18" ht="14.55" customHeight="1" x14ac:dyDescent="0.3">
      <c r="A49" s="166"/>
      <c r="B49" s="5"/>
      <c r="C49" s="5">
        <v>0.70833333333333337</v>
      </c>
      <c r="D49" s="44">
        <v>180925</v>
      </c>
      <c r="E49" s="3" t="s">
        <v>415</v>
      </c>
      <c r="F49" s="19"/>
      <c r="G49" s="20"/>
      <c r="H49" s="28"/>
      <c r="I49" s="143">
        <v>1000</v>
      </c>
      <c r="J49" s="144"/>
      <c r="K49" s="143"/>
      <c r="L49" s="144"/>
      <c r="M49" s="101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/>
      <c r="D50" s="4"/>
      <c r="E50" s="3"/>
      <c r="F50" s="19"/>
      <c r="G50" s="20"/>
      <c r="H50" s="28"/>
      <c r="I50" s="143"/>
      <c r="J50" s="144"/>
      <c r="K50" s="143"/>
      <c r="L50" s="144"/>
      <c r="M50" s="101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6"/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101"/>
      <c r="N51" s="6" t="s">
        <v>13</v>
      </c>
      <c r="O51" s="21"/>
      <c r="P51" s="160"/>
      <c r="Q51" s="161"/>
      <c r="R51" s="162"/>
    </row>
    <row r="52" spans="1:18" ht="14.55" customHeight="1" x14ac:dyDescent="0.3">
      <c r="A52" s="167"/>
      <c r="B52" s="148" t="s">
        <v>0</v>
      </c>
      <c r="C52" s="149"/>
      <c r="D52" s="149"/>
      <c r="E52" s="149"/>
      <c r="F52" s="149"/>
      <c r="G52" s="149"/>
      <c r="H52" s="149"/>
      <c r="I52" s="150">
        <f ca="1">SUM(I48:J52)</f>
        <v>0</v>
      </c>
      <c r="J52" s="151"/>
      <c r="K52" s="150">
        <f ca="1">SUM(K48:L52)</f>
        <v>0</v>
      </c>
      <c r="L52" s="151"/>
      <c r="M52" s="10">
        <f>SUM(M48:M51)</f>
        <v>0</v>
      </c>
      <c r="N52" s="11" t="s">
        <v>13</v>
      </c>
      <c r="O52" s="9"/>
      <c r="P52" s="163"/>
      <c r="Q52" s="164"/>
      <c r="R52" s="165"/>
    </row>
    <row r="54" spans="1:18" x14ac:dyDescent="0.3">
      <c r="E54" s="148" t="s">
        <v>317</v>
      </c>
      <c r="F54" s="149"/>
      <c r="G54" s="149"/>
      <c r="H54" s="149"/>
      <c r="I54" s="152" t="s">
        <v>23</v>
      </c>
      <c r="J54" s="153"/>
      <c r="K54" s="172" t="s">
        <v>11</v>
      </c>
      <c r="L54" s="153"/>
    </row>
    <row r="55" spans="1:18" s="36" customFormat="1" x14ac:dyDescent="0.3">
      <c r="E55" s="7"/>
      <c r="F55" s="7"/>
      <c r="G55" s="7"/>
      <c r="H55" s="7"/>
      <c r="I55" s="22">
        <f ca="1">I52</f>
        <v>0</v>
      </c>
      <c r="J55" s="14" t="s">
        <v>12</v>
      </c>
      <c r="K55" s="22">
        <f ca="1">K52</f>
        <v>0</v>
      </c>
      <c r="L55" s="15" t="s">
        <v>12</v>
      </c>
    </row>
    <row r="56" spans="1:18" s="1" customFormat="1" ht="24.45" customHeight="1" x14ac:dyDescent="0.3">
      <c r="A56" s="93"/>
      <c r="B56" s="93"/>
      <c r="C56" s="93"/>
      <c r="E56" s="13"/>
      <c r="F56" s="13"/>
      <c r="G56" s="13"/>
      <c r="H56" s="13"/>
      <c r="I56" s="154">
        <f ca="1">I55+K55</f>
        <v>0</v>
      </c>
      <c r="J56" s="155"/>
      <c r="K56" s="155"/>
      <c r="L56" s="156"/>
      <c r="N56" s="93"/>
      <c r="O56" s="93"/>
      <c r="P56" s="93"/>
      <c r="Q56" s="93"/>
      <c r="R56" s="93"/>
    </row>
    <row r="58" spans="1:18" s="8" customFormat="1" ht="30" customHeight="1" x14ac:dyDescent="0.3">
      <c r="A58" s="133" t="s">
        <v>36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6"/>
    </row>
    <row r="59" spans="1:18" s="12" customFormat="1" ht="14.55" customHeight="1" x14ac:dyDescent="0.3">
      <c r="A59" s="128" t="s">
        <v>1</v>
      </c>
      <c r="B59" s="137" t="s">
        <v>2</v>
      </c>
      <c r="C59" s="137" t="s">
        <v>3</v>
      </c>
      <c r="D59" s="137" t="s">
        <v>4</v>
      </c>
      <c r="E59" s="124" t="s">
        <v>5</v>
      </c>
      <c r="F59" s="138" t="s">
        <v>14</v>
      </c>
      <c r="G59" s="138" t="s">
        <v>15</v>
      </c>
      <c r="H59" s="119" t="s">
        <v>29</v>
      </c>
      <c r="I59" s="121" t="s">
        <v>6</v>
      </c>
      <c r="J59" s="122"/>
      <c r="K59" s="122"/>
      <c r="L59" s="123"/>
      <c r="M59" s="124" t="s">
        <v>7</v>
      </c>
      <c r="N59" s="125"/>
      <c r="O59" s="128" t="s">
        <v>8</v>
      </c>
      <c r="P59" s="128" t="s">
        <v>9</v>
      </c>
      <c r="Q59" s="128"/>
      <c r="R59" s="128"/>
    </row>
    <row r="60" spans="1:18" s="12" customFormat="1" ht="13.05" customHeight="1" x14ac:dyDescent="0.3">
      <c r="A60" s="128"/>
      <c r="B60" s="137"/>
      <c r="C60" s="137"/>
      <c r="D60" s="137"/>
      <c r="E60" s="126"/>
      <c r="F60" s="139"/>
      <c r="G60" s="139"/>
      <c r="H60" s="120"/>
      <c r="I60" s="121" t="s">
        <v>19</v>
      </c>
      <c r="J60" s="123"/>
      <c r="K60" s="121" t="s">
        <v>20</v>
      </c>
      <c r="L60" s="123"/>
      <c r="M60" s="126"/>
      <c r="N60" s="127"/>
      <c r="O60" s="128"/>
      <c r="P60" s="128"/>
      <c r="Q60" s="128"/>
      <c r="R60" s="128"/>
    </row>
    <row r="61" spans="1:18" ht="14.55" customHeight="1" x14ac:dyDescent="0.3">
      <c r="A61" s="140" t="s">
        <v>37</v>
      </c>
      <c r="B61" s="5">
        <v>0.33333333333333331</v>
      </c>
      <c r="C61" s="5"/>
      <c r="D61" s="4">
        <v>250042</v>
      </c>
      <c r="E61" s="3" t="s">
        <v>395</v>
      </c>
      <c r="F61" s="19">
        <v>304</v>
      </c>
      <c r="G61" s="20">
        <v>0.9</v>
      </c>
      <c r="H61" s="28" t="s">
        <v>137</v>
      </c>
      <c r="I61" s="143">
        <v>230</v>
      </c>
      <c r="J61" s="144"/>
      <c r="K61" s="143"/>
      <c r="L61" s="144"/>
      <c r="M61" s="101"/>
      <c r="N61" s="6" t="s">
        <v>13</v>
      </c>
      <c r="O61" s="21"/>
      <c r="P61" s="157"/>
      <c r="Q61" s="158"/>
      <c r="R61" s="159"/>
    </row>
    <row r="62" spans="1:18" ht="14.55" customHeight="1" x14ac:dyDescent="0.3">
      <c r="A62" s="166"/>
      <c r="B62" s="5"/>
      <c r="C62" s="5"/>
      <c r="D62" s="4">
        <v>250042</v>
      </c>
      <c r="E62" s="3" t="s">
        <v>409</v>
      </c>
      <c r="F62" s="19">
        <v>304</v>
      </c>
      <c r="G62" s="20">
        <v>0.9</v>
      </c>
      <c r="H62" s="28" t="s">
        <v>137</v>
      </c>
      <c r="I62" s="143">
        <v>700</v>
      </c>
      <c r="J62" s="144"/>
      <c r="K62" s="143"/>
      <c r="L62" s="144"/>
      <c r="M62" s="101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>
        <v>160925</v>
      </c>
      <c r="E63" s="3" t="s">
        <v>409</v>
      </c>
      <c r="F63" s="19">
        <v>304</v>
      </c>
      <c r="G63" s="20">
        <v>0.9</v>
      </c>
      <c r="H63" s="28" t="s">
        <v>137</v>
      </c>
      <c r="I63" s="143">
        <v>800</v>
      </c>
      <c r="J63" s="144"/>
      <c r="K63" s="143"/>
      <c r="L63" s="144"/>
      <c r="M63" s="101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6"/>
      <c r="B64" s="5"/>
      <c r="C64" s="5">
        <v>0.70833333333333337</v>
      </c>
      <c r="D64" s="4">
        <v>250048</v>
      </c>
      <c r="E64" s="3" t="s">
        <v>416</v>
      </c>
      <c r="F64" s="19">
        <v>304</v>
      </c>
      <c r="G64" s="20">
        <v>0.7</v>
      </c>
      <c r="H64" s="28" t="s">
        <v>137</v>
      </c>
      <c r="I64" s="143">
        <v>381</v>
      </c>
      <c r="J64" s="144"/>
      <c r="K64" s="143"/>
      <c r="L64" s="144"/>
      <c r="M64" s="101"/>
      <c r="N64" s="6" t="s">
        <v>13</v>
      </c>
      <c r="O64" s="21"/>
      <c r="P64" s="160"/>
      <c r="Q64" s="161"/>
      <c r="R64" s="162"/>
    </row>
    <row r="65" spans="1:18" ht="14.55" customHeight="1" x14ac:dyDescent="0.3">
      <c r="A65" s="167"/>
      <c r="B65" s="148" t="s">
        <v>0</v>
      </c>
      <c r="C65" s="149"/>
      <c r="D65" s="149"/>
      <c r="E65" s="149"/>
      <c r="F65" s="149"/>
      <c r="G65" s="149"/>
      <c r="H65" s="149"/>
      <c r="I65" s="150">
        <f>SUM(I61:J64)</f>
        <v>2111</v>
      </c>
      <c r="J65" s="151"/>
      <c r="K65" s="150">
        <f>SUM(K61:L64)</f>
        <v>0</v>
      </c>
      <c r="L65" s="151"/>
      <c r="M65" s="10">
        <f>SUM(M61:M64)</f>
        <v>0</v>
      </c>
      <c r="N65" s="11" t="s">
        <v>13</v>
      </c>
      <c r="O65" s="9"/>
      <c r="P65" s="163"/>
      <c r="Q65" s="164"/>
      <c r="R65" s="165"/>
    </row>
    <row r="66" spans="1:18" ht="14.55" customHeight="1" x14ac:dyDescent="0.3">
      <c r="D66" s="93"/>
      <c r="E66" s="1"/>
      <c r="F66" s="1"/>
      <c r="G66" s="1"/>
      <c r="H66" s="1"/>
      <c r="M66" s="93"/>
    </row>
    <row r="67" spans="1:18" x14ac:dyDescent="0.3">
      <c r="E67" s="148" t="s">
        <v>324</v>
      </c>
      <c r="F67" s="149"/>
      <c r="G67" s="149"/>
      <c r="H67" s="149"/>
      <c r="I67" s="152" t="s">
        <v>19</v>
      </c>
      <c r="J67" s="153"/>
      <c r="K67" s="152" t="s">
        <v>20</v>
      </c>
      <c r="L67" s="153"/>
    </row>
    <row r="68" spans="1:18" s="36" customFormat="1" x14ac:dyDescent="0.3">
      <c r="E68" s="7"/>
      <c r="F68" s="7"/>
      <c r="G68" s="7"/>
      <c r="H68" s="7"/>
      <c r="I68" s="22">
        <f>I65</f>
        <v>2111</v>
      </c>
      <c r="J68" s="14" t="s">
        <v>12</v>
      </c>
      <c r="K68" s="22">
        <f>K65</f>
        <v>0</v>
      </c>
      <c r="L68" s="15" t="s">
        <v>12</v>
      </c>
    </row>
    <row r="69" spans="1:18" ht="24.45" customHeight="1" x14ac:dyDescent="0.3">
      <c r="E69" s="13"/>
      <c r="F69" s="13"/>
      <c r="G69" s="13"/>
      <c r="H69" s="13"/>
      <c r="I69" s="154">
        <f>I68+K68</f>
        <v>2111</v>
      </c>
      <c r="J69" s="155"/>
      <c r="K69" s="155"/>
      <c r="L69" s="156"/>
    </row>
    <row r="71" spans="1:18" s="8" customFormat="1" ht="30" customHeight="1" x14ac:dyDescent="0.3">
      <c r="A71" s="133" t="s">
        <v>322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6"/>
    </row>
    <row r="72" spans="1:18" s="12" customFormat="1" ht="14.55" customHeight="1" x14ac:dyDescent="0.3">
      <c r="A72" s="128" t="s">
        <v>1</v>
      </c>
      <c r="B72" s="137" t="s">
        <v>2</v>
      </c>
      <c r="C72" s="137" t="s">
        <v>3</v>
      </c>
      <c r="D72" s="137" t="s">
        <v>4</v>
      </c>
      <c r="E72" s="124" t="s">
        <v>5</v>
      </c>
      <c r="F72" s="138" t="s">
        <v>14</v>
      </c>
      <c r="G72" s="138" t="s">
        <v>15</v>
      </c>
      <c r="H72" s="119" t="s">
        <v>29</v>
      </c>
      <c r="I72" s="121" t="s">
        <v>6</v>
      </c>
      <c r="J72" s="122"/>
      <c r="K72" s="122"/>
      <c r="L72" s="123"/>
      <c r="M72" s="124" t="s">
        <v>7</v>
      </c>
      <c r="N72" s="125"/>
      <c r="O72" s="128" t="s">
        <v>8</v>
      </c>
      <c r="P72" s="128" t="s">
        <v>9</v>
      </c>
      <c r="Q72" s="128"/>
      <c r="R72" s="128"/>
    </row>
    <row r="73" spans="1:18" s="12" customFormat="1" ht="13.05" customHeight="1" x14ac:dyDescent="0.3">
      <c r="A73" s="128"/>
      <c r="B73" s="137"/>
      <c r="C73" s="137"/>
      <c r="D73" s="137"/>
      <c r="E73" s="126"/>
      <c r="F73" s="139"/>
      <c r="G73" s="139"/>
      <c r="H73" s="120"/>
      <c r="I73" s="121" t="s">
        <v>19</v>
      </c>
      <c r="J73" s="123"/>
      <c r="K73" s="121" t="s">
        <v>20</v>
      </c>
      <c r="L73" s="123"/>
      <c r="M73" s="126"/>
      <c r="N73" s="127"/>
      <c r="O73" s="128"/>
      <c r="P73" s="128"/>
      <c r="Q73" s="128"/>
      <c r="R73" s="128"/>
    </row>
    <row r="74" spans="1:18" ht="14.55" customHeight="1" x14ac:dyDescent="0.3">
      <c r="A74" s="140" t="s">
        <v>37</v>
      </c>
      <c r="B74" s="5">
        <v>0.33333333333333331</v>
      </c>
      <c r="C74" s="5"/>
      <c r="D74" s="4">
        <v>180925</v>
      </c>
      <c r="E74" s="3" t="s">
        <v>220</v>
      </c>
      <c r="F74" s="19">
        <v>304</v>
      </c>
      <c r="G74" s="20">
        <v>0.7</v>
      </c>
      <c r="H74" s="28" t="s">
        <v>271</v>
      </c>
      <c r="I74" s="143">
        <v>640</v>
      </c>
      <c r="J74" s="144"/>
      <c r="K74" s="143"/>
      <c r="L74" s="144"/>
      <c r="M74" s="101"/>
      <c r="N74" s="6" t="s">
        <v>13</v>
      </c>
      <c r="O74" s="21"/>
      <c r="P74" s="157"/>
      <c r="Q74" s="158"/>
      <c r="R74" s="159"/>
    </row>
    <row r="75" spans="1:18" ht="14.55" customHeight="1" x14ac:dyDescent="0.3">
      <c r="A75" s="166"/>
      <c r="B75" s="5"/>
      <c r="C75" s="5">
        <v>0.70833333333333337</v>
      </c>
      <c r="D75" s="4">
        <v>180925</v>
      </c>
      <c r="E75" s="3" t="s">
        <v>232</v>
      </c>
      <c r="F75" s="19">
        <v>304</v>
      </c>
      <c r="G75" s="20">
        <v>0.7</v>
      </c>
      <c r="H75" s="28" t="s">
        <v>271</v>
      </c>
      <c r="I75" s="143">
        <v>1300</v>
      </c>
      <c r="J75" s="144"/>
      <c r="K75" s="143"/>
      <c r="L75" s="144"/>
      <c r="M75" s="101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/>
      <c r="E76" s="3"/>
      <c r="F76" s="19"/>
      <c r="G76" s="20"/>
      <c r="H76" s="28"/>
      <c r="I76" s="143"/>
      <c r="J76" s="144"/>
      <c r="K76" s="143"/>
      <c r="L76" s="144"/>
      <c r="M76" s="101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101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7"/>
      <c r="B78" s="148" t="s">
        <v>0</v>
      </c>
      <c r="C78" s="149"/>
      <c r="D78" s="149"/>
      <c r="E78" s="149"/>
      <c r="F78" s="149"/>
      <c r="G78" s="149"/>
      <c r="H78" s="149"/>
      <c r="I78" s="150">
        <f>SUM(I74:J77)</f>
        <v>1940</v>
      </c>
      <c r="J78" s="151"/>
      <c r="K78" s="150">
        <f>SUM(K74:L77)</f>
        <v>0</v>
      </c>
      <c r="L78" s="151"/>
      <c r="M78" s="10">
        <f>SUM(M74:M77)</f>
        <v>0</v>
      </c>
      <c r="N78" s="11" t="s">
        <v>13</v>
      </c>
      <c r="O78" s="9"/>
      <c r="P78" s="163"/>
      <c r="Q78" s="164"/>
      <c r="R78" s="165"/>
    </row>
    <row r="79" spans="1:18" ht="14.55" customHeight="1" x14ac:dyDescent="0.3">
      <c r="D79" s="93"/>
      <c r="E79" s="1"/>
      <c r="F79" s="1"/>
      <c r="G79" s="1"/>
      <c r="H79" s="1"/>
      <c r="M79" s="93"/>
    </row>
    <row r="80" spans="1:18" x14ac:dyDescent="0.3">
      <c r="E80" s="148" t="s">
        <v>323</v>
      </c>
      <c r="F80" s="149"/>
      <c r="G80" s="149"/>
      <c r="H80" s="149"/>
      <c r="I80" s="152" t="s">
        <v>19</v>
      </c>
      <c r="J80" s="153"/>
      <c r="K80" s="152" t="s">
        <v>20</v>
      </c>
      <c r="L80" s="153"/>
    </row>
    <row r="81" spans="1:18" s="36" customFormat="1" x14ac:dyDescent="0.3">
      <c r="E81" s="7"/>
      <c r="F81" s="7"/>
      <c r="G81" s="7"/>
      <c r="H81" s="7"/>
      <c r="I81" s="22">
        <f>I78</f>
        <v>1940</v>
      </c>
      <c r="J81" s="14" t="s">
        <v>12</v>
      </c>
      <c r="K81" s="22">
        <f>K78</f>
        <v>0</v>
      </c>
      <c r="L81" s="15" t="s">
        <v>12</v>
      </c>
    </row>
    <row r="82" spans="1:18" ht="24.45" customHeight="1" x14ac:dyDescent="0.3">
      <c r="E82" s="13"/>
      <c r="F82" s="13"/>
      <c r="G82" s="13"/>
      <c r="H82" s="13"/>
      <c r="I82" s="154">
        <f>I81+K81</f>
        <v>1940</v>
      </c>
      <c r="J82" s="155"/>
      <c r="K82" s="155"/>
      <c r="L82" s="156"/>
    </row>
    <row r="84" spans="1:18" s="8" customFormat="1" ht="30" customHeight="1" x14ac:dyDescent="0.3">
      <c r="A84" s="133" t="s">
        <v>30</v>
      </c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6"/>
    </row>
    <row r="85" spans="1:18" s="12" customFormat="1" ht="14.55" customHeight="1" x14ac:dyDescent="0.3">
      <c r="A85" s="128" t="s">
        <v>1</v>
      </c>
      <c r="B85" s="137" t="s">
        <v>2</v>
      </c>
      <c r="C85" s="137" t="s">
        <v>3</v>
      </c>
      <c r="D85" s="137" t="s">
        <v>4</v>
      </c>
      <c r="E85" s="124" t="s">
        <v>5</v>
      </c>
      <c r="F85" s="138" t="s">
        <v>14</v>
      </c>
      <c r="G85" s="138" t="s">
        <v>15</v>
      </c>
      <c r="H85" s="119" t="s">
        <v>29</v>
      </c>
      <c r="I85" s="121" t="s">
        <v>6</v>
      </c>
      <c r="J85" s="122"/>
      <c r="K85" s="122"/>
      <c r="L85" s="123"/>
      <c r="M85" s="124" t="s">
        <v>7</v>
      </c>
      <c r="N85" s="125"/>
      <c r="O85" s="128" t="s">
        <v>8</v>
      </c>
      <c r="P85" s="128" t="s">
        <v>9</v>
      </c>
      <c r="Q85" s="128"/>
      <c r="R85" s="128"/>
    </row>
    <row r="86" spans="1:18" s="12" customFormat="1" ht="13.05" customHeight="1" x14ac:dyDescent="0.3">
      <c r="A86" s="128"/>
      <c r="B86" s="137"/>
      <c r="C86" s="137"/>
      <c r="D86" s="137"/>
      <c r="E86" s="126"/>
      <c r="F86" s="139"/>
      <c r="G86" s="139"/>
      <c r="H86" s="120"/>
      <c r="I86" s="121" t="s">
        <v>19</v>
      </c>
      <c r="J86" s="123"/>
      <c r="K86" s="121" t="s">
        <v>20</v>
      </c>
      <c r="L86" s="123"/>
      <c r="M86" s="126"/>
      <c r="N86" s="127"/>
      <c r="O86" s="128"/>
      <c r="P86" s="128"/>
      <c r="Q86" s="128"/>
      <c r="R86" s="128"/>
    </row>
    <row r="87" spans="1:18" ht="14.55" customHeight="1" x14ac:dyDescent="0.3">
      <c r="A87" s="140" t="s">
        <v>35</v>
      </c>
      <c r="B87" s="5">
        <v>0.33333333333333331</v>
      </c>
      <c r="C87" s="5">
        <v>0.70833333333333337</v>
      </c>
      <c r="D87" s="4">
        <v>180925</v>
      </c>
      <c r="E87" s="3" t="s">
        <v>408</v>
      </c>
      <c r="F87" s="19">
        <v>304</v>
      </c>
      <c r="G87" s="20">
        <v>0.7</v>
      </c>
      <c r="H87" s="28" t="s">
        <v>130</v>
      </c>
      <c r="I87" s="143">
        <v>1000</v>
      </c>
      <c r="J87" s="144"/>
      <c r="K87" s="143"/>
      <c r="L87" s="144"/>
      <c r="M87" s="101"/>
      <c r="N87" s="6" t="s">
        <v>13</v>
      </c>
      <c r="O87" s="21"/>
      <c r="P87" s="168"/>
      <c r="Q87" s="169"/>
      <c r="R87" s="170"/>
    </row>
    <row r="88" spans="1:18" ht="14.55" customHeight="1" x14ac:dyDescent="0.3">
      <c r="A88" s="166"/>
      <c r="B88" s="5"/>
      <c r="C88" s="5"/>
      <c r="D88" s="4"/>
      <c r="E88" s="3"/>
      <c r="F88" s="19"/>
      <c r="G88" s="20"/>
      <c r="H88" s="28"/>
      <c r="I88" s="143"/>
      <c r="J88" s="144"/>
      <c r="K88" s="143"/>
      <c r="L88" s="144"/>
      <c r="M88" s="101"/>
      <c r="N88" s="6" t="s">
        <v>13</v>
      </c>
      <c r="O88" s="21"/>
      <c r="P88" s="168"/>
      <c r="Q88" s="169"/>
      <c r="R88" s="170"/>
    </row>
    <row r="89" spans="1:18" ht="14.55" customHeight="1" x14ac:dyDescent="0.3">
      <c r="A89" s="166"/>
      <c r="B89" s="5"/>
      <c r="C89" s="5"/>
      <c r="D89" s="4"/>
      <c r="E89" s="3"/>
      <c r="F89" s="19"/>
      <c r="G89" s="20"/>
      <c r="H89" s="28"/>
      <c r="I89" s="143"/>
      <c r="J89" s="144"/>
      <c r="K89" s="143"/>
      <c r="L89" s="144"/>
      <c r="M89" s="101"/>
      <c r="N89" s="6" t="s">
        <v>13</v>
      </c>
      <c r="O89" s="21"/>
      <c r="P89" s="168"/>
      <c r="Q89" s="169"/>
      <c r="R89" s="170"/>
    </row>
    <row r="90" spans="1:18" ht="14.55" customHeight="1" x14ac:dyDescent="0.3">
      <c r="A90" s="167"/>
      <c r="B90" s="148" t="s">
        <v>0</v>
      </c>
      <c r="C90" s="149"/>
      <c r="D90" s="149"/>
      <c r="E90" s="149"/>
      <c r="F90" s="149"/>
      <c r="G90" s="149"/>
      <c r="H90" s="149"/>
      <c r="I90" s="150">
        <f>SUM(I87:J89)</f>
        <v>1000</v>
      </c>
      <c r="J90" s="151"/>
      <c r="K90" s="150">
        <f>SUM(K87:L89)</f>
        <v>0</v>
      </c>
      <c r="L90" s="151"/>
      <c r="M90" s="10">
        <f>SUM(M87:M89)</f>
        <v>0</v>
      </c>
      <c r="N90" s="11" t="s">
        <v>13</v>
      </c>
      <c r="O90" s="9"/>
      <c r="P90" s="168"/>
      <c r="Q90" s="169"/>
      <c r="R90" s="170"/>
    </row>
    <row r="91" spans="1:18" ht="14.55" customHeight="1" x14ac:dyDescent="0.3">
      <c r="D91" s="93"/>
      <c r="E91" s="1"/>
      <c r="F91" s="1"/>
      <c r="G91" s="1"/>
      <c r="H91" s="1"/>
      <c r="M91" s="93"/>
    </row>
    <row r="92" spans="1:18" x14ac:dyDescent="0.3">
      <c r="E92" s="148" t="s">
        <v>34</v>
      </c>
      <c r="F92" s="149"/>
      <c r="G92" s="149"/>
      <c r="H92" s="149"/>
      <c r="I92" s="152" t="s">
        <v>19</v>
      </c>
      <c r="J92" s="153"/>
      <c r="K92" s="152" t="s">
        <v>20</v>
      </c>
      <c r="L92" s="153"/>
    </row>
    <row r="93" spans="1:18" s="36" customFormat="1" x14ac:dyDescent="0.3">
      <c r="E93" s="7"/>
      <c r="F93" s="7"/>
      <c r="G93" s="7"/>
      <c r="H93" s="7"/>
      <c r="I93" s="22">
        <f>I90</f>
        <v>1000</v>
      </c>
      <c r="J93" s="14" t="s">
        <v>12</v>
      </c>
      <c r="K93" s="22">
        <f>K90</f>
        <v>0</v>
      </c>
      <c r="L93" s="15" t="s">
        <v>12</v>
      </c>
    </row>
    <row r="94" spans="1:18" s="1" customFormat="1" ht="24.45" customHeight="1" x14ac:dyDescent="0.3">
      <c r="A94" s="93"/>
      <c r="B94" s="93"/>
      <c r="C94" s="93"/>
      <c r="E94" s="13"/>
      <c r="F94" s="13"/>
      <c r="G94" s="13"/>
      <c r="H94" s="13"/>
      <c r="I94" s="154">
        <f>I93+K93</f>
        <v>1000</v>
      </c>
      <c r="J94" s="155"/>
      <c r="K94" s="155"/>
      <c r="L94" s="156"/>
      <c r="N94" s="93"/>
      <c r="O94" s="93"/>
      <c r="P94" s="93"/>
      <c r="Q94" s="93"/>
      <c r="R94" s="93"/>
    </row>
  </sheetData>
  <mergeCells count="232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2:A15"/>
    <mergeCell ref="I12:J12"/>
    <mergeCell ref="K12:L12"/>
    <mergeCell ref="A7:A11"/>
    <mergeCell ref="I7:J7"/>
    <mergeCell ref="K7:L7"/>
    <mergeCell ref="P7:R11"/>
    <mergeCell ref="I8:J8"/>
    <mergeCell ref="K8:L8"/>
    <mergeCell ref="I9:J9"/>
    <mergeCell ref="K9:L9"/>
    <mergeCell ref="I10:J10"/>
    <mergeCell ref="K10:L10"/>
    <mergeCell ref="P12:R15"/>
    <mergeCell ref="I13:J13"/>
    <mergeCell ref="K13:L13"/>
    <mergeCell ref="I14:J14"/>
    <mergeCell ref="K14:L14"/>
    <mergeCell ref="B15:H15"/>
    <mergeCell ref="I15:J15"/>
    <mergeCell ref="K15:L15"/>
    <mergeCell ref="B11:H11"/>
    <mergeCell ref="I11:J11"/>
    <mergeCell ref="K11:L11"/>
    <mergeCell ref="E17:H17"/>
    <mergeCell ref="I17:J17"/>
    <mergeCell ref="K17:L17"/>
    <mergeCell ref="I19:L19"/>
    <mergeCell ref="A21:R21"/>
    <mergeCell ref="A22:A23"/>
    <mergeCell ref="B22:B23"/>
    <mergeCell ref="C22:C23"/>
    <mergeCell ref="D22:D23"/>
    <mergeCell ref="E22:E23"/>
    <mergeCell ref="P22:R23"/>
    <mergeCell ref="I23:J23"/>
    <mergeCell ref="K23:L23"/>
    <mergeCell ref="A24:A27"/>
    <mergeCell ref="I24:J24"/>
    <mergeCell ref="K24:L24"/>
    <mergeCell ref="P24:R27"/>
    <mergeCell ref="I25:J25"/>
    <mergeCell ref="K25:L25"/>
    <mergeCell ref="I26:J26"/>
    <mergeCell ref="F22:F23"/>
    <mergeCell ref="G22:G23"/>
    <mergeCell ref="H22:H23"/>
    <mergeCell ref="I22:L22"/>
    <mergeCell ref="M22:N23"/>
    <mergeCell ref="O22:O23"/>
    <mergeCell ref="K26:L26"/>
    <mergeCell ref="B27:H27"/>
    <mergeCell ref="I27:J27"/>
    <mergeCell ref="K27:L27"/>
    <mergeCell ref="A28:A33"/>
    <mergeCell ref="I28:J28"/>
    <mergeCell ref="K28:L28"/>
    <mergeCell ref="B33:H33"/>
    <mergeCell ref="K33:L33"/>
    <mergeCell ref="P34:R39"/>
    <mergeCell ref="I35:J35"/>
    <mergeCell ref="K35:L35"/>
    <mergeCell ref="I36:J36"/>
    <mergeCell ref="K36:L36"/>
    <mergeCell ref="I37:J37"/>
    <mergeCell ref="K37:L37"/>
    <mergeCell ref="P28:R33"/>
    <mergeCell ref="I29:J29"/>
    <mergeCell ref="K29:L29"/>
    <mergeCell ref="I30:J30"/>
    <mergeCell ref="K30:L30"/>
    <mergeCell ref="I31:J31"/>
    <mergeCell ref="K31:L31"/>
    <mergeCell ref="I32:J32"/>
    <mergeCell ref="K32:L32"/>
    <mergeCell ref="I33:J33"/>
    <mergeCell ref="I38:J38"/>
    <mergeCell ref="K38:L38"/>
    <mergeCell ref="B39:H39"/>
    <mergeCell ref="I39:J39"/>
    <mergeCell ref="K39:L39"/>
    <mergeCell ref="E41:H41"/>
    <mergeCell ref="I41:J41"/>
    <mergeCell ref="K41:L41"/>
    <mergeCell ref="A34:A39"/>
    <mergeCell ref="I34:J34"/>
    <mergeCell ref="K34:L34"/>
    <mergeCell ref="I43:L43"/>
    <mergeCell ref="A45:R45"/>
    <mergeCell ref="A46:A47"/>
    <mergeCell ref="B46:B47"/>
    <mergeCell ref="C46:C47"/>
    <mergeCell ref="D46:D47"/>
    <mergeCell ref="E46:E47"/>
    <mergeCell ref="F46:F47"/>
    <mergeCell ref="G46:G47"/>
    <mergeCell ref="H46:H47"/>
    <mergeCell ref="P48:R52"/>
    <mergeCell ref="I49:J49"/>
    <mergeCell ref="K49:L49"/>
    <mergeCell ref="I50:J50"/>
    <mergeCell ref="K50:L50"/>
    <mergeCell ref="I51:J51"/>
    <mergeCell ref="K51:L51"/>
    <mergeCell ref="I46:L46"/>
    <mergeCell ref="M46:N47"/>
    <mergeCell ref="O46:O47"/>
    <mergeCell ref="P46:R47"/>
    <mergeCell ref="I47:J47"/>
    <mergeCell ref="K47:L47"/>
    <mergeCell ref="B52:H52"/>
    <mergeCell ref="I52:J52"/>
    <mergeCell ref="K52:L52"/>
    <mergeCell ref="E54:H54"/>
    <mergeCell ref="I54:J54"/>
    <mergeCell ref="K54:L54"/>
    <mergeCell ref="A48:A52"/>
    <mergeCell ref="I48:J48"/>
    <mergeCell ref="K48:L48"/>
    <mergeCell ref="I56:L56"/>
    <mergeCell ref="A58:R58"/>
    <mergeCell ref="A59:A60"/>
    <mergeCell ref="B59:B60"/>
    <mergeCell ref="C59:C60"/>
    <mergeCell ref="D59:D60"/>
    <mergeCell ref="E59:E60"/>
    <mergeCell ref="F59:F60"/>
    <mergeCell ref="G59:G60"/>
    <mergeCell ref="H59:H60"/>
    <mergeCell ref="P61:R65"/>
    <mergeCell ref="I62:J62"/>
    <mergeCell ref="K62:L62"/>
    <mergeCell ref="I63:J63"/>
    <mergeCell ref="K63:L63"/>
    <mergeCell ref="I64:J64"/>
    <mergeCell ref="K64:L64"/>
    <mergeCell ref="I59:L59"/>
    <mergeCell ref="M59:N60"/>
    <mergeCell ref="O59:O60"/>
    <mergeCell ref="P59:R60"/>
    <mergeCell ref="I60:J60"/>
    <mergeCell ref="K60:L60"/>
    <mergeCell ref="B65:H65"/>
    <mergeCell ref="I65:J65"/>
    <mergeCell ref="K65:L65"/>
    <mergeCell ref="E67:H67"/>
    <mergeCell ref="I67:J67"/>
    <mergeCell ref="K67:L67"/>
    <mergeCell ref="A61:A65"/>
    <mergeCell ref="I61:J61"/>
    <mergeCell ref="K61:L61"/>
    <mergeCell ref="I69:L69"/>
    <mergeCell ref="A71:R71"/>
    <mergeCell ref="A72:A73"/>
    <mergeCell ref="B72:B73"/>
    <mergeCell ref="C72:C73"/>
    <mergeCell ref="D72:D73"/>
    <mergeCell ref="E72:E73"/>
    <mergeCell ref="F72:F73"/>
    <mergeCell ref="G72:G73"/>
    <mergeCell ref="H72:H73"/>
    <mergeCell ref="P74:R78"/>
    <mergeCell ref="I75:J75"/>
    <mergeCell ref="K75:L75"/>
    <mergeCell ref="I76:J76"/>
    <mergeCell ref="K76:L76"/>
    <mergeCell ref="I77:J77"/>
    <mergeCell ref="K77:L77"/>
    <mergeCell ref="I72:L72"/>
    <mergeCell ref="M72:N73"/>
    <mergeCell ref="O72:O73"/>
    <mergeCell ref="P72:R73"/>
    <mergeCell ref="I73:J73"/>
    <mergeCell ref="K73:L73"/>
    <mergeCell ref="B78:H78"/>
    <mergeCell ref="I78:J78"/>
    <mergeCell ref="K78:L78"/>
    <mergeCell ref="E80:H80"/>
    <mergeCell ref="I80:J80"/>
    <mergeCell ref="K80:L80"/>
    <mergeCell ref="A74:A78"/>
    <mergeCell ref="I74:J74"/>
    <mergeCell ref="K74:L74"/>
    <mergeCell ref="I85:L85"/>
    <mergeCell ref="M85:N86"/>
    <mergeCell ref="O85:O86"/>
    <mergeCell ref="P85:R86"/>
    <mergeCell ref="I86:J86"/>
    <mergeCell ref="K86:L86"/>
    <mergeCell ref="I82:L82"/>
    <mergeCell ref="A84:R84"/>
    <mergeCell ref="A85:A86"/>
    <mergeCell ref="B85:B86"/>
    <mergeCell ref="C85:C86"/>
    <mergeCell ref="D85:D86"/>
    <mergeCell ref="E85:E86"/>
    <mergeCell ref="F85:F86"/>
    <mergeCell ref="G85:G86"/>
    <mergeCell ref="H85:H86"/>
    <mergeCell ref="K90:L90"/>
    <mergeCell ref="P90:R90"/>
    <mergeCell ref="E92:H92"/>
    <mergeCell ref="I92:J92"/>
    <mergeCell ref="K92:L92"/>
    <mergeCell ref="I94:L94"/>
    <mergeCell ref="A87:A90"/>
    <mergeCell ref="I87:J87"/>
    <mergeCell ref="K87:L87"/>
    <mergeCell ref="P87:R89"/>
    <mergeCell ref="I88:J88"/>
    <mergeCell ref="K88:L88"/>
    <mergeCell ref="I89:J89"/>
    <mergeCell ref="K89:L89"/>
    <mergeCell ref="B90:H90"/>
    <mergeCell ref="I90:J90"/>
  </mergeCells>
  <pageMargins left="0.39370078740157483" right="0.19685039370078741" top="0.19685039370078741" bottom="0.19685039370078741" header="0.31496062992125984" footer="0.31496062992125984"/>
  <pageSetup paperSize="9" scale="50" orientation="portrait" horizontalDpi="1200" verticalDpi="12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9"/>
  <sheetViews>
    <sheetView zoomScale="85" zoomScaleNormal="85" workbookViewId="0">
      <selection activeCell="A4" sqref="A4:R4"/>
    </sheetView>
  </sheetViews>
  <sheetFormatPr defaultColWidth="8.77734375" defaultRowHeight="14.4" x14ac:dyDescent="0.3"/>
  <cols>
    <col min="1" max="1" width="12.6640625" style="104" customWidth="1"/>
    <col min="2" max="3" width="7.6640625" style="104" customWidth="1"/>
    <col min="4" max="4" width="8.21875" style="1" bestFit="1" customWidth="1"/>
    <col min="5" max="5" width="40.6640625" style="104" customWidth="1"/>
    <col min="6" max="6" width="5.6640625" style="104" customWidth="1"/>
    <col min="7" max="7" width="6.6640625" style="104" customWidth="1"/>
    <col min="8" max="8" width="24.5546875" style="104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104" customWidth="1"/>
    <col min="15" max="15" width="21.5546875" style="104" bestFit="1" customWidth="1"/>
    <col min="16" max="18" width="7.6640625" style="104" customWidth="1"/>
    <col min="19" max="16384" width="8.77734375" style="104"/>
  </cols>
  <sheetData>
    <row r="1" spans="1:18" x14ac:dyDescent="0.3">
      <c r="D1" s="104"/>
      <c r="I1" s="104"/>
      <c r="J1" s="104"/>
      <c r="K1" s="104"/>
      <c r="L1" s="104"/>
      <c r="M1" s="104"/>
    </row>
    <row r="2" spans="1:18" x14ac:dyDescent="0.3">
      <c r="D2" s="104"/>
      <c r="I2" s="104"/>
      <c r="J2" s="104"/>
      <c r="K2" s="104"/>
      <c r="L2" s="104"/>
      <c r="M2" s="104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45962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81">
        <v>160925</v>
      </c>
      <c r="E7" s="84" t="s">
        <v>418</v>
      </c>
      <c r="F7" s="19">
        <v>304</v>
      </c>
      <c r="G7" s="20">
        <v>0.9</v>
      </c>
      <c r="H7" s="28"/>
      <c r="I7" s="143"/>
      <c r="J7" s="144"/>
      <c r="K7" s="143">
        <v>275</v>
      </c>
      <c r="L7" s="144"/>
      <c r="M7" s="101">
        <v>60</v>
      </c>
      <c r="N7" s="6" t="s">
        <v>13</v>
      </c>
      <c r="O7" s="21" t="s">
        <v>420</v>
      </c>
      <c r="P7" s="145"/>
      <c r="Q7" s="146"/>
      <c r="R7" s="147"/>
    </row>
    <row r="8" spans="1:18" ht="14.55" customHeight="1" x14ac:dyDescent="0.3">
      <c r="A8" s="141"/>
      <c r="B8" s="5"/>
      <c r="C8" s="5">
        <v>0.58333333333333337</v>
      </c>
      <c r="D8" s="81">
        <v>250052</v>
      </c>
      <c r="E8" s="3" t="s">
        <v>419</v>
      </c>
      <c r="F8" s="19">
        <v>304</v>
      </c>
      <c r="G8" s="20">
        <v>0.7</v>
      </c>
      <c r="H8" s="28"/>
      <c r="I8" s="143">
        <v>620</v>
      </c>
      <c r="J8" s="144"/>
      <c r="K8" s="143"/>
      <c r="L8" s="144"/>
      <c r="M8" s="101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44"/>
      <c r="E9" s="3"/>
      <c r="F9" s="19"/>
      <c r="G9" s="20"/>
      <c r="H9" s="28"/>
      <c r="I9" s="143"/>
      <c r="J9" s="144"/>
      <c r="K9" s="143"/>
      <c r="L9" s="144"/>
      <c r="M9" s="101"/>
      <c r="N9" s="6" t="s">
        <v>13</v>
      </c>
      <c r="O9" s="21"/>
      <c r="P9" s="145"/>
      <c r="Q9" s="146"/>
      <c r="R9" s="147"/>
    </row>
    <row r="10" spans="1:18" ht="14.55" customHeight="1" x14ac:dyDescent="0.3">
      <c r="A10" s="142"/>
      <c r="B10" s="148" t="s">
        <v>0</v>
      </c>
      <c r="C10" s="149"/>
      <c r="D10" s="149"/>
      <c r="E10" s="149"/>
      <c r="F10" s="149"/>
      <c r="G10" s="149"/>
      <c r="H10" s="149"/>
      <c r="I10" s="150">
        <f>SUM(I7:J9)</f>
        <v>620</v>
      </c>
      <c r="J10" s="151"/>
      <c r="K10" s="150">
        <f>SUM(K7:L9)</f>
        <v>275</v>
      </c>
      <c r="L10" s="151"/>
      <c r="M10" s="10">
        <f>SUM(M7:M8)</f>
        <v>60</v>
      </c>
      <c r="N10" s="11" t="s">
        <v>13</v>
      </c>
      <c r="O10" s="9"/>
      <c r="P10" s="145"/>
      <c r="Q10" s="146"/>
      <c r="R10" s="147"/>
    </row>
    <row r="11" spans="1:18" ht="14.55" customHeight="1" x14ac:dyDescent="0.3">
      <c r="A11" s="140" t="s">
        <v>21</v>
      </c>
      <c r="B11" s="5"/>
      <c r="C11" s="5"/>
      <c r="D11" s="44"/>
      <c r="E11" s="69"/>
      <c r="F11" s="19"/>
      <c r="G11" s="20"/>
      <c r="H11" s="70"/>
      <c r="I11" s="143"/>
      <c r="J11" s="144"/>
      <c r="K11" s="143"/>
      <c r="L11" s="144"/>
      <c r="M11" s="101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44"/>
      <c r="E12" s="3"/>
      <c r="F12" s="19"/>
      <c r="G12" s="20"/>
      <c r="H12" s="28"/>
      <c r="I12" s="143"/>
      <c r="J12" s="144"/>
      <c r="K12" s="143"/>
      <c r="L12" s="144"/>
      <c r="M12" s="101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"/>
      <c r="E13" s="3"/>
      <c r="F13" s="19"/>
      <c r="G13" s="20"/>
      <c r="H13" s="28"/>
      <c r="I13" s="143"/>
      <c r="J13" s="144"/>
      <c r="K13" s="143"/>
      <c r="L13" s="144"/>
      <c r="M13" s="101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2"/>
      <c r="B14" s="148" t="s">
        <v>0</v>
      </c>
      <c r="C14" s="149"/>
      <c r="D14" s="149"/>
      <c r="E14" s="149"/>
      <c r="F14" s="149"/>
      <c r="G14" s="149"/>
      <c r="H14" s="149"/>
      <c r="I14" s="150">
        <f>SUM(I11:J13)</f>
        <v>0</v>
      </c>
      <c r="J14" s="151"/>
      <c r="K14" s="150">
        <f>SUM(K11:L13)</f>
        <v>0</v>
      </c>
      <c r="L14" s="151"/>
      <c r="M14" s="10">
        <f>SUM(M11:M13)</f>
        <v>0</v>
      </c>
      <c r="N14" s="11" t="s">
        <v>13</v>
      </c>
      <c r="O14" s="9"/>
      <c r="P14" s="145"/>
      <c r="Q14" s="146"/>
      <c r="R14" s="147"/>
    </row>
    <row r="15" spans="1:18" ht="14.55" customHeight="1" x14ac:dyDescent="0.3">
      <c r="D15" s="104"/>
      <c r="E15" s="1"/>
      <c r="F15" s="1"/>
      <c r="G15" s="1"/>
      <c r="H15" s="1"/>
      <c r="M15" s="104"/>
    </row>
    <row r="16" spans="1:18" x14ac:dyDescent="0.3">
      <c r="E16" s="148" t="s">
        <v>316</v>
      </c>
      <c r="F16" s="149"/>
      <c r="G16" s="149"/>
      <c r="H16" s="149"/>
      <c r="I16" s="152" t="s">
        <v>19</v>
      </c>
      <c r="J16" s="153"/>
      <c r="K16" s="152" t="s">
        <v>20</v>
      </c>
      <c r="L16" s="153"/>
    </row>
    <row r="17" spans="1:18" s="105" customFormat="1" x14ac:dyDescent="0.3">
      <c r="E17" s="7"/>
      <c r="F17" s="7"/>
      <c r="G17" s="7"/>
      <c r="H17" s="7"/>
      <c r="I17" s="22">
        <f>I10+I14</f>
        <v>620</v>
      </c>
      <c r="J17" s="14" t="s">
        <v>12</v>
      </c>
      <c r="K17" s="22">
        <f>K10+K14</f>
        <v>275</v>
      </c>
      <c r="L17" s="15" t="s">
        <v>12</v>
      </c>
    </row>
    <row r="18" spans="1:18" ht="24.45" customHeight="1" x14ac:dyDescent="0.3">
      <c r="E18" s="13"/>
      <c r="F18" s="13"/>
      <c r="G18" s="13"/>
      <c r="H18" s="13"/>
      <c r="I18" s="154">
        <f>I17+K17</f>
        <v>895</v>
      </c>
      <c r="J18" s="155"/>
      <c r="K18" s="155"/>
      <c r="L18" s="156"/>
    </row>
    <row r="19" spans="1:18" ht="15" customHeight="1" x14ac:dyDescent="0.3">
      <c r="D19" s="104"/>
      <c r="I19" s="104"/>
      <c r="J19" s="104"/>
      <c r="K19" s="23"/>
      <c r="L19" s="23"/>
      <c r="M19" s="23"/>
      <c r="N19" s="23"/>
    </row>
    <row r="20" spans="1:18" s="8" customFormat="1" ht="30" customHeight="1" x14ac:dyDescent="0.3">
      <c r="A20" s="133" t="s">
        <v>22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5"/>
      <c r="L20" s="135"/>
      <c r="M20" s="135"/>
      <c r="N20" s="135"/>
      <c r="O20" s="134"/>
      <c r="P20" s="134"/>
      <c r="Q20" s="134"/>
      <c r="R20" s="136"/>
    </row>
    <row r="21" spans="1:18" s="12" customFormat="1" ht="14.55" customHeight="1" x14ac:dyDescent="0.3">
      <c r="A21" s="128" t="s">
        <v>1</v>
      </c>
      <c r="B21" s="137" t="s">
        <v>2</v>
      </c>
      <c r="C21" s="137" t="s">
        <v>3</v>
      </c>
      <c r="D21" s="137" t="s">
        <v>4</v>
      </c>
      <c r="E21" s="124" t="s">
        <v>5</v>
      </c>
      <c r="F21" s="138" t="s">
        <v>14</v>
      </c>
      <c r="G21" s="138" t="s">
        <v>15</v>
      </c>
      <c r="H21" s="119" t="s">
        <v>27</v>
      </c>
      <c r="I21" s="121" t="s">
        <v>6</v>
      </c>
      <c r="J21" s="122"/>
      <c r="K21" s="122"/>
      <c r="L21" s="123"/>
      <c r="M21" s="124" t="s">
        <v>7</v>
      </c>
      <c r="N21" s="125"/>
      <c r="O21" s="128" t="s">
        <v>8</v>
      </c>
      <c r="P21" s="128" t="s">
        <v>9</v>
      </c>
      <c r="Q21" s="128"/>
      <c r="R21" s="128"/>
    </row>
    <row r="22" spans="1:18" s="12" customFormat="1" ht="13.05" customHeight="1" x14ac:dyDescent="0.3">
      <c r="A22" s="128"/>
      <c r="B22" s="137"/>
      <c r="C22" s="137"/>
      <c r="D22" s="137"/>
      <c r="E22" s="126"/>
      <c r="F22" s="139"/>
      <c r="G22" s="139"/>
      <c r="H22" s="120"/>
      <c r="I22" s="121" t="s">
        <v>23</v>
      </c>
      <c r="J22" s="123"/>
      <c r="K22" s="121" t="s">
        <v>11</v>
      </c>
      <c r="L22" s="123"/>
      <c r="M22" s="126"/>
      <c r="N22" s="127"/>
      <c r="O22" s="128"/>
      <c r="P22" s="128"/>
      <c r="Q22" s="128"/>
      <c r="R22" s="128"/>
    </row>
    <row r="23" spans="1:18" ht="14.55" customHeight="1" x14ac:dyDescent="0.3">
      <c r="A23" s="140" t="s">
        <v>28</v>
      </c>
      <c r="B23" s="5">
        <v>0.33333333333333331</v>
      </c>
      <c r="C23" s="5">
        <v>0.58333333333333337</v>
      </c>
      <c r="D23" s="4">
        <v>250084</v>
      </c>
      <c r="E23" s="3" t="s">
        <v>421</v>
      </c>
      <c r="F23" s="19">
        <v>304</v>
      </c>
      <c r="G23" s="20">
        <v>0.6</v>
      </c>
      <c r="H23" s="28" t="s">
        <v>327</v>
      </c>
      <c r="I23" s="143">
        <v>500</v>
      </c>
      <c r="J23" s="144"/>
      <c r="K23" s="143"/>
      <c r="L23" s="144"/>
      <c r="M23" s="101"/>
      <c r="N23" s="6" t="s">
        <v>13</v>
      </c>
      <c r="O23" s="21"/>
      <c r="P23" s="168" t="s">
        <v>50</v>
      </c>
      <c r="Q23" s="169"/>
      <c r="R23" s="170"/>
    </row>
    <row r="24" spans="1:18" ht="14.55" customHeight="1" x14ac:dyDescent="0.3">
      <c r="A24" s="141"/>
      <c r="B24" s="5"/>
      <c r="C24" s="5"/>
      <c r="D24" s="44"/>
      <c r="E24" s="3"/>
      <c r="F24" s="19"/>
      <c r="G24" s="20"/>
      <c r="H24" s="28"/>
      <c r="I24" s="143"/>
      <c r="J24" s="144"/>
      <c r="K24" s="143"/>
      <c r="L24" s="144"/>
      <c r="M24" s="101"/>
      <c r="N24" s="6" t="s">
        <v>13</v>
      </c>
      <c r="O24" s="21"/>
      <c r="P24" s="168"/>
      <c r="Q24" s="169"/>
      <c r="R24" s="170"/>
    </row>
    <row r="25" spans="1:18" ht="14.55" customHeight="1" x14ac:dyDescent="0.3">
      <c r="A25" s="141"/>
      <c r="B25" s="5"/>
      <c r="C25" s="5"/>
      <c r="D25" s="4"/>
      <c r="E25" s="3"/>
      <c r="F25" s="19"/>
      <c r="G25" s="20"/>
      <c r="H25" s="28"/>
      <c r="I25" s="143"/>
      <c r="J25" s="144"/>
      <c r="K25" s="143"/>
      <c r="L25" s="144"/>
      <c r="M25" s="101"/>
      <c r="N25" s="6" t="s">
        <v>13</v>
      </c>
      <c r="O25" s="21"/>
      <c r="P25" s="168"/>
      <c r="Q25" s="169"/>
      <c r="R25" s="170"/>
    </row>
    <row r="26" spans="1:18" ht="14.55" customHeight="1" x14ac:dyDescent="0.3">
      <c r="A26" s="142"/>
      <c r="B26" s="148" t="s">
        <v>0</v>
      </c>
      <c r="C26" s="149"/>
      <c r="D26" s="149"/>
      <c r="E26" s="149"/>
      <c r="F26" s="149"/>
      <c r="G26" s="149"/>
      <c r="H26" s="171"/>
      <c r="I26" s="150">
        <f>SUM(I23:J25)</f>
        <v>500</v>
      </c>
      <c r="J26" s="151"/>
      <c r="K26" s="150">
        <f>SUM(K23:L25)</f>
        <v>0</v>
      </c>
      <c r="L26" s="151"/>
      <c r="M26" s="10">
        <f>SUM(M23:M25)</f>
        <v>0</v>
      </c>
      <c r="N26" s="11" t="s">
        <v>13</v>
      </c>
      <c r="O26" s="9"/>
      <c r="P26" s="168"/>
      <c r="Q26" s="169"/>
      <c r="R26" s="170"/>
    </row>
    <row r="27" spans="1:18" ht="14.55" customHeight="1" x14ac:dyDescent="0.3">
      <c r="A27" s="140" t="s">
        <v>24</v>
      </c>
      <c r="B27" s="5">
        <v>0.33333333333333331</v>
      </c>
      <c r="C27" s="5">
        <v>0.58333333333333337</v>
      </c>
      <c r="D27" s="44">
        <v>250084</v>
      </c>
      <c r="E27" s="3" t="s">
        <v>423</v>
      </c>
      <c r="F27" s="19">
        <v>304</v>
      </c>
      <c r="G27" s="20">
        <v>0.6</v>
      </c>
      <c r="H27" s="28"/>
      <c r="I27" s="143"/>
      <c r="J27" s="144"/>
      <c r="K27" s="143"/>
      <c r="L27" s="144"/>
      <c r="M27" s="101"/>
      <c r="N27" s="6" t="s">
        <v>13</v>
      </c>
      <c r="O27" s="21"/>
      <c r="P27" s="157" t="s">
        <v>51</v>
      </c>
      <c r="Q27" s="158"/>
      <c r="R27" s="159"/>
    </row>
    <row r="28" spans="1:18" ht="14.55" customHeight="1" x14ac:dyDescent="0.3">
      <c r="A28" s="166"/>
      <c r="B28" s="5"/>
      <c r="C28" s="5"/>
      <c r="D28" s="4"/>
      <c r="E28" s="3"/>
      <c r="F28" s="19"/>
      <c r="G28" s="20"/>
      <c r="H28" s="28"/>
      <c r="I28" s="143"/>
      <c r="J28" s="144"/>
      <c r="K28" s="143"/>
      <c r="L28" s="144"/>
      <c r="M28" s="101"/>
      <c r="N28" s="6" t="s">
        <v>13</v>
      </c>
      <c r="O28" s="21"/>
      <c r="P28" s="160"/>
      <c r="Q28" s="161"/>
      <c r="R28" s="162"/>
    </row>
    <row r="29" spans="1:18" ht="14.55" hidden="1" customHeight="1" x14ac:dyDescent="0.3">
      <c r="A29" s="166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101"/>
      <c r="N29" s="6" t="s">
        <v>13</v>
      </c>
      <c r="O29" s="21"/>
      <c r="P29" s="160"/>
      <c r="Q29" s="161"/>
      <c r="R29" s="162"/>
    </row>
    <row r="30" spans="1:18" ht="14.55" hidden="1" customHeight="1" x14ac:dyDescent="0.3">
      <c r="A30" s="166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101"/>
      <c r="N30" s="6" t="s">
        <v>13</v>
      </c>
      <c r="O30" s="21"/>
      <c r="P30" s="160"/>
      <c r="Q30" s="161"/>
      <c r="R30" s="162"/>
    </row>
    <row r="31" spans="1:18" ht="14.55" customHeight="1" x14ac:dyDescent="0.3">
      <c r="A31" s="166"/>
      <c r="B31" s="5"/>
      <c r="C31" s="5"/>
      <c r="D31" s="4"/>
      <c r="E31" s="3"/>
      <c r="F31" s="19"/>
      <c r="G31" s="20"/>
      <c r="H31" s="28"/>
      <c r="I31" s="143"/>
      <c r="J31" s="144"/>
      <c r="K31" s="143"/>
      <c r="L31" s="144"/>
      <c r="M31" s="101"/>
      <c r="N31" s="6" t="s">
        <v>13</v>
      </c>
      <c r="O31" s="21"/>
      <c r="P31" s="160"/>
      <c r="Q31" s="161"/>
      <c r="R31" s="162"/>
    </row>
    <row r="32" spans="1:18" ht="14.55" customHeight="1" x14ac:dyDescent="0.3">
      <c r="A32" s="167"/>
      <c r="B32" s="148" t="s">
        <v>0</v>
      </c>
      <c r="C32" s="149"/>
      <c r="D32" s="149"/>
      <c r="E32" s="149"/>
      <c r="F32" s="149"/>
      <c r="G32" s="149"/>
      <c r="H32" s="171"/>
      <c r="I32" s="150">
        <f>SUM(I27:J31)</f>
        <v>0</v>
      </c>
      <c r="J32" s="151"/>
      <c r="K32" s="150">
        <f>SUM(K27:L31)</f>
        <v>0</v>
      </c>
      <c r="L32" s="151"/>
      <c r="M32" s="10">
        <f>SUM(M27:M31)</f>
        <v>0</v>
      </c>
      <c r="N32" s="11" t="s">
        <v>13</v>
      </c>
      <c r="O32" s="9"/>
      <c r="P32" s="163"/>
      <c r="Q32" s="164"/>
      <c r="R32" s="165"/>
    </row>
    <row r="33" spans="1:18" ht="14.55" customHeight="1" x14ac:dyDescent="0.3">
      <c r="A33" s="140" t="s">
        <v>25</v>
      </c>
      <c r="B33" s="5">
        <v>8</v>
      </c>
      <c r="C33" s="5">
        <v>0.58333333333333337</v>
      </c>
      <c r="D33" s="4">
        <v>250084</v>
      </c>
      <c r="E33" s="3" t="s">
        <v>422</v>
      </c>
      <c r="F33" s="19">
        <v>304</v>
      </c>
      <c r="G33" s="20">
        <v>0.6</v>
      </c>
      <c r="H33" s="28"/>
      <c r="I33" s="143"/>
      <c r="J33" s="144"/>
      <c r="K33" s="143"/>
      <c r="L33" s="144"/>
      <c r="M33" s="101"/>
      <c r="N33" s="6" t="s">
        <v>13</v>
      </c>
      <c r="O33" s="21"/>
      <c r="P33" s="145" t="s">
        <v>53</v>
      </c>
      <c r="Q33" s="169"/>
      <c r="R33" s="170"/>
    </row>
    <row r="34" spans="1:18" ht="14.55" hidden="1" customHeight="1" x14ac:dyDescent="0.3">
      <c r="A34" s="141"/>
      <c r="B34" s="5"/>
      <c r="C34" s="5"/>
      <c r="D34" s="4"/>
      <c r="E34" s="3"/>
      <c r="F34" s="19"/>
      <c r="G34" s="20"/>
      <c r="H34" s="28"/>
      <c r="I34" s="143"/>
      <c r="J34" s="144"/>
      <c r="K34" s="143"/>
      <c r="L34" s="144"/>
      <c r="M34" s="101"/>
      <c r="N34" s="6" t="s">
        <v>13</v>
      </c>
      <c r="O34" s="21"/>
      <c r="P34" s="168"/>
      <c r="Q34" s="169"/>
      <c r="R34" s="170"/>
    </row>
    <row r="35" spans="1:18" ht="14.55" hidden="1" customHeight="1" x14ac:dyDescent="0.3">
      <c r="A35" s="141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101"/>
      <c r="N35" s="6" t="s">
        <v>13</v>
      </c>
      <c r="O35" s="21"/>
      <c r="P35" s="168"/>
      <c r="Q35" s="169"/>
      <c r="R35" s="170"/>
    </row>
    <row r="36" spans="1:18" ht="14.55" customHeight="1" x14ac:dyDescent="0.3">
      <c r="A36" s="141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101"/>
      <c r="N36" s="6" t="s">
        <v>13</v>
      </c>
      <c r="O36" s="21"/>
      <c r="P36" s="168"/>
      <c r="Q36" s="169"/>
      <c r="R36" s="170"/>
    </row>
    <row r="37" spans="1:18" ht="14.55" customHeight="1" x14ac:dyDescent="0.3">
      <c r="A37" s="141"/>
      <c r="B37" s="5"/>
      <c r="C37" s="5"/>
      <c r="D37" s="4"/>
      <c r="E37" s="3"/>
      <c r="F37" s="19"/>
      <c r="G37" s="20"/>
      <c r="H37" s="28"/>
      <c r="I37" s="143"/>
      <c r="J37" s="144"/>
      <c r="K37" s="143"/>
      <c r="L37" s="144"/>
      <c r="M37" s="101"/>
      <c r="N37" s="6" t="s">
        <v>13</v>
      </c>
      <c r="O37" s="21"/>
      <c r="P37" s="168"/>
      <c r="Q37" s="169"/>
      <c r="R37" s="170"/>
    </row>
    <row r="38" spans="1:18" ht="14.55" customHeight="1" x14ac:dyDescent="0.3">
      <c r="A38" s="142"/>
      <c r="B38" s="148" t="s">
        <v>0</v>
      </c>
      <c r="C38" s="149"/>
      <c r="D38" s="149"/>
      <c r="E38" s="149"/>
      <c r="F38" s="149"/>
      <c r="G38" s="149"/>
      <c r="H38" s="149"/>
      <c r="I38" s="150">
        <f>SUM(I33:J37)</f>
        <v>0</v>
      </c>
      <c r="J38" s="151"/>
      <c r="K38" s="150">
        <f>SUM(K33:L37)</f>
        <v>0</v>
      </c>
      <c r="L38" s="151"/>
      <c r="M38" s="10">
        <f>SUM(M33:M37)</f>
        <v>0</v>
      </c>
      <c r="N38" s="11" t="s">
        <v>13</v>
      </c>
      <c r="O38" s="9"/>
      <c r="P38" s="168"/>
      <c r="Q38" s="169"/>
      <c r="R38" s="170"/>
    </row>
    <row r="40" spans="1:18" x14ac:dyDescent="0.3">
      <c r="E40" s="148" t="s">
        <v>26</v>
      </c>
      <c r="F40" s="149"/>
      <c r="G40" s="149"/>
      <c r="H40" s="149"/>
      <c r="I40" s="152" t="s">
        <v>23</v>
      </c>
      <c r="J40" s="153"/>
      <c r="K40" s="152" t="s">
        <v>11</v>
      </c>
      <c r="L40" s="153"/>
    </row>
    <row r="41" spans="1:18" s="105" customFormat="1" x14ac:dyDescent="0.3">
      <c r="E41" s="7"/>
      <c r="F41" s="7"/>
      <c r="G41" s="7"/>
      <c r="H41" s="7"/>
      <c r="I41" s="22">
        <f>I32+I38+I26</f>
        <v>500</v>
      </c>
      <c r="J41" s="14" t="s">
        <v>12</v>
      </c>
      <c r="K41" s="22">
        <f>K32+K38</f>
        <v>0</v>
      </c>
      <c r="L41" s="15" t="s">
        <v>12</v>
      </c>
    </row>
    <row r="42" spans="1:18" ht="24.45" customHeight="1" x14ac:dyDescent="0.3">
      <c r="E42" s="13"/>
      <c r="F42" s="13"/>
      <c r="G42" s="13"/>
      <c r="H42" s="13"/>
      <c r="I42" s="154">
        <f>I41+K41</f>
        <v>500</v>
      </c>
      <c r="J42" s="155"/>
      <c r="K42" s="155"/>
      <c r="L42" s="156"/>
    </row>
    <row r="44" spans="1:18" s="8" customFormat="1" ht="30" customHeight="1" x14ac:dyDescent="0.3">
      <c r="A44" s="133" t="s">
        <v>321</v>
      </c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6"/>
    </row>
    <row r="45" spans="1:18" s="12" customFormat="1" ht="14.55" customHeight="1" x14ac:dyDescent="0.3">
      <c r="A45" s="128" t="s">
        <v>1</v>
      </c>
      <c r="B45" s="137" t="s">
        <v>2</v>
      </c>
      <c r="C45" s="137" t="s">
        <v>3</v>
      </c>
      <c r="D45" s="137" t="s">
        <v>4</v>
      </c>
      <c r="E45" s="124" t="s">
        <v>5</v>
      </c>
      <c r="F45" s="138" t="s">
        <v>14</v>
      </c>
      <c r="G45" s="138" t="s">
        <v>15</v>
      </c>
      <c r="H45" s="119" t="s">
        <v>27</v>
      </c>
      <c r="I45" s="121" t="s">
        <v>6</v>
      </c>
      <c r="J45" s="122"/>
      <c r="K45" s="122"/>
      <c r="L45" s="123"/>
      <c r="M45" s="124" t="s">
        <v>7</v>
      </c>
      <c r="N45" s="125"/>
      <c r="O45" s="128" t="s">
        <v>8</v>
      </c>
      <c r="P45" s="128" t="s">
        <v>9</v>
      </c>
      <c r="Q45" s="128"/>
      <c r="R45" s="128"/>
    </row>
    <row r="46" spans="1:18" s="12" customFormat="1" ht="13.05" customHeight="1" x14ac:dyDescent="0.3">
      <c r="A46" s="128"/>
      <c r="B46" s="137"/>
      <c r="C46" s="137"/>
      <c r="D46" s="137"/>
      <c r="E46" s="126"/>
      <c r="F46" s="139"/>
      <c r="G46" s="139"/>
      <c r="H46" s="120"/>
      <c r="I46" s="121" t="s">
        <v>23</v>
      </c>
      <c r="J46" s="123"/>
      <c r="K46" s="121" t="s">
        <v>11</v>
      </c>
      <c r="L46" s="123"/>
      <c r="M46" s="126"/>
      <c r="N46" s="127"/>
      <c r="O46" s="128"/>
      <c r="P46" s="128"/>
      <c r="Q46" s="128"/>
      <c r="R46" s="128"/>
    </row>
    <row r="47" spans="1:18" ht="14.55" customHeight="1" x14ac:dyDescent="0.3">
      <c r="A47" s="140" t="s">
        <v>132</v>
      </c>
      <c r="B47" s="5">
        <v>0.33333333333333331</v>
      </c>
      <c r="C47" s="5"/>
      <c r="D47" s="4">
        <v>160925</v>
      </c>
      <c r="E47" s="3" t="s">
        <v>439</v>
      </c>
      <c r="F47" s="19"/>
      <c r="G47" s="20"/>
      <c r="H47" s="28"/>
      <c r="I47" s="143">
        <v>100</v>
      </c>
      <c r="J47" s="144"/>
      <c r="K47" s="143"/>
      <c r="L47" s="144"/>
      <c r="M47" s="101"/>
      <c r="N47" s="6" t="s">
        <v>13</v>
      </c>
      <c r="O47" s="21"/>
      <c r="P47" s="157"/>
      <c r="Q47" s="158"/>
      <c r="R47" s="159"/>
    </row>
    <row r="48" spans="1:18" ht="14.55" customHeight="1" x14ac:dyDescent="0.3">
      <c r="A48" s="166"/>
      <c r="B48" s="5"/>
      <c r="C48" s="5"/>
      <c r="D48" s="4">
        <v>160925</v>
      </c>
      <c r="E48" s="3" t="s">
        <v>440</v>
      </c>
      <c r="F48" s="19"/>
      <c r="G48" s="20"/>
      <c r="H48" s="28"/>
      <c r="I48" s="143">
        <v>100</v>
      </c>
      <c r="J48" s="144"/>
      <c r="K48" s="143"/>
      <c r="L48" s="144"/>
      <c r="M48" s="101"/>
      <c r="N48" s="6" t="s">
        <v>13</v>
      </c>
      <c r="O48" s="21"/>
      <c r="P48" s="160"/>
      <c r="Q48" s="161"/>
      <c r="R48" s="162"/>
    </row>
    <row r="49" spans="1:18" ht="14.55" customHeight="1" x14ac:dyDescent="0.3">
      <c r="A49" s="166"/>
      <c r="B49" s="5"/>
      <c r="C49" s="5"/>
      <c r="D49" s="4">
        <v>160925</v>
      </c>
      <c r="E49" s="3" t="s">
        <v>441</v>
      </c>
      <c r="F49" s="19"/>
      <c r="G49" s="20"/>
      <c r="H49" s="28"/>
      <c r="I49" s="143">
        <v>200</v>
      </c>
      <c r="J49" s="144"/>
      <c r="K49" s="143"/>
      <c r="L49" s="144"/>
      <c r="M49" s="101"/>
      <c r="N49" s="6" t="s">
        <v>13</v>
      </c>
      <c r="O49" s="21"/>
      <c r="P49" s="160"/>
      <c r="Q49" s="161"/>
      <c r="R49" s="162"/>
    </row>
    <row r="50" spans="1:18" ht="14.55" customHeight="1" x14ac:dyDescent="0.3">
      <c r="A50" s="166"/>
      <c r="B50" s="5"/>
      <c r="C50" s="5">
        <v>0.70833333333333337</v>
      </c>
      <c r="D50" s="4">
        <v>180925</v>
      </c>
      <c r="E50" s="3" t="s">
        <v>414</v>
      </c>
      <c r="F50" s="19"/>
      <c r="G50" s="20"/>
      <c r="H50" s="28"/>
      <c r="I50" s="143">
        <v>800</v>
      </c>
      <c r="J50" s="144"/>
      <c r="K50" s="143"/>
      <c r="L50" s="144"/>
      <c r="M50" s="101"/>
      <c r="N50" s="6" t="s">
        <v>13</v>
      </c>
      <c r="O50" s="21"/>
      <c r="P50" s="160"/>
      <c r="Q50" s="161"/>
      <c r="R50" s="162"/>
    </row>
    <row r="51" spans="1:18" ht="14.55" customHeight="1" x14ac:dyDescent="0.3">
      <c r="A51" s="167"/>
      <c r="B51" s="148" t="s">
        <v>0</v>
      </c>
      <c r="C51" s="149"/>
      <c r="D51" s="149"/>
      <c r="E51" s="149"/>
      <c r="F51" s="149"/>
      <c r="G51" s="149"/>
      <c r="H51" s="149"/>
      <c r="I51" s="150">
        <f>SUM(I47:J50)</f>
        <v>1200</v>
      </c>
      <c r="J51" s="151"/>
      <c r="K51" s="150">
        <f ca="1">SUM(K47:L51)</f>
        <v>0</v>
      </c>
      <c r="L51" s="151"/>
      <c r="M51" s="10">
        <f>SUM(M47:M50)</f>
        <v>0</v>
      </c>
      <c r="N51" s="11" t="s">
        <v>13</v>
      </c>
      <c r="O51" s="9"/>
      <c r="P51" s="163"/>
      <c r="Q51" s="164"/>
      <c r="R51" s="165"/>
    </row>
    <row r="53" spans="1:18" x14ac:dyDescent="0.3">
      <c r="E53" s="148" t="s">
        <v>317</v>
      </c>
      <c r="F53" s="149"/>
      <c r="G53" s="149"/>
      <c r="H53" s="149"/>
      <c r="I53" s="152" t="s">
        <v>23</v>
      </c>
      <c r="J53" s="153"/>
      <c r="K53" s="172" t="s">
        <v>11</v>
      </c>
      <c r="L53" s="153"/>
    </row>
    <row r="54" spans="1:18" s="105" customFormat="1" x14ac:dyDescent="0.3">
      <c r="E54" s="7"/>
      <c r="F54" s="7"/>
      <c r="G54" s="7"/>
      <c r="H54" s="7"/>
      <c r="I54" s="22">
        <f>I51</f>
        <v>1200</v>
      </c>
      <c r="J54" s="14" t="s">
        <v>12</v>
      </c>
      <c r="K54" s="22">
        <f ca="1">K51</f>
        <v>0</v>
      </c>
      <c r="L54" s="15" t="s">
        <v>12</v>
      </c>
    </row>
    <row r="55" spans="1:18" s="1" customFormat="1" ht="24.45" customHeight="1" x14ac:dyDescent="0.3">
      <c r="A55" s="104"/>
      <c r="B55" s="104"/>
      <c r="C55" s="104"/>
      <c r="E55" s="13"/>
      <c r="F55" s="13"/>
      <c r="G55" s="13"/>
      <c r="H55" s="13"/>
      <c r="I55" s="154">
        <f ca="1">I54+K54</f>
        <v>0</v>
      </c>
      <c r="J55" s="155"/>
      <c r="K55" s="155"/>
      <c r="L55" s="156"/>
      <c r="N55" s="104"/>
      <c r="O55" s="104"/>
      <c r="P55" s="104"/>
      <c r="Q55" s="104"/>
      <c r="R55" s="104"/>
    </row>
    <row r="57" spans="1:18" s="8" customFormat="1" ht="30" customHeight="1" x14ac:dyDescent="0.3">
      <c r="A57" s="133" t="s">
        <v>36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6"/>
    </row>
    <row r="58" spans="1:18" s="12" customFormat="1" ht="14.55" customHeight="1" x14ac:dyDescent="0.3">
      <c r="A58" s="128" t="s">
        <v>1</v>
      </c>
      <c r="B58" s="137" t="s">
        <v>2</v>
      </c>
      <c r="C58" s="137" t="s">
        <v>3</v>
      </c>
      <c r="D58" s="137" t="s">
        <v>4</v>
      </c>
      <c r="E58" s="124" t="s">
        <v>5</v>
      </c>
      <c r="F58" s="138" t="s">
        <v>14</v>
      </c>
      <c r="G58" s="138" t="s">
        <v>15</v>
      </c>
      <c r="H58" s="119" t="s">
        <v>29</v>
      </c>
      <c r="I58" s="121" t="s">
        <v>6</v>
      </c>
      <c r="J58" s="122"/>
      <c r="K58" s="122"/>
      <c r="L58" s="123"/>
      <c r="M58" s="124" t="s">
        <v>7</v>
      </c>
      <c r="N58" s="125"/>
      <c r="O58" s="128" t="s">
        <v>8</v>
      </c>
      <c r="P58" s="128" t="s">
        <v>9</v>
      </c>
      <c r="Q58" s="128"/>
      <c r="R58" s="128"/>
    </row>
    <row r="59" spans="1:18" s="12" customFormat="1" ht="13.05" customHeight="1" x14ac:dyDescent="0.3">
      <c r="A59" s="128"/>
      <c r="B59" s="137"/>
      <c r="C59" s="137"/>
      <c r="D59" s="137"/>
      <c r="E59" s="126"/>
      <c r="F59" s="139"/>
      <c r="G59" s="139"/>
      <c r="H59" s="120"/>
      <c r="I59" s="121" t="s">
        <v>19</v>
      </c>
      <c r="J59" s="123"/>
      <c r="K59" s="121" t="s">
        <v>20</v>
      </c>
      <c r="L59" s="123"/>
      <c r="M59" s="126"/>
      <c r="N59" s="127"/>
      <c r="O59" s="128"/>
      <c r="P59" s="128"/>
      <c r="Q59" s="128"/>
      <c r="R59" s="128"/>
    </row>
    <row r="60" spans="1:18" ht="14.55" customHeight="1" x14ac:dyDescent="0.3">
      <c r="A60" s="140" t="s">
        <v>37</v>
      </c>
      <c r="B60" s="5">
        <v>0.33333333333333331</v>
      </c>
      <c r="C60" s="5"/>
      <c r="D60" s="4">
        <v>250048</v>
      </c>
      <c r="E60" s="3" t="s">
        <v>424</v>
      </c>
      <c r="F60" s="19">
        <v>304</v>
      </c>
      <c r="G60" s="20">
        <v>0.7</v>
      </c>
      <c r="H60" s="28" t="s">
        <v>137</v>
      </c>
      <c r="I60" s="143">
        <v>152</v>
      </c>
      <c r="J60" s="144"/>
      <c r="K60" s="143"/>
      <c r="L60" s="144"/>
      <c r="M60" s="101"/>
      <c r="N60" s="6" t="s">
        <v>13</v>
      </c>
      <c r="O60" s="21"/>
      <c r="P60" s="157"/>
      <c r="Q60" s="158"/>
      <c r="R60" s="159"/>
    </row>
    <row r="61" spans="1:18" ht="14.55" customHeight="1" x14ac:dyDescent="0.3">
      <c r="A61" s="166"/>
      <c r="B61" s="5"/>
      <c r="C61" s="5"/>
      <c r="D61" s="4">
        <v>160925</v>
      </c>
      <c r="E61" s="3" t="s">
        <v>303</v>
      </c>
      <c r="F61" s="19">
        <v>304</v>
      </c>
      <c r="G61" s="20">
        <v>0.7</v>
      </c>
      <c r="H61" s="28" t="s">
        <v>137</v>
      </c>
      <c r="I61" s="143">
        <v>900</v>
      </c>
      <c r="J61" s="144"/>
      <c r="K61" s="143"/>
      <c r="L61" s="144"/>
      <c r="M61" s="101"/>
      <c r="N61" s="6" t="s">
        <v>13</v>
      </c>
      <c r="O61" s="21"/>
      <c r="P61" s="160"/>
      <c r="Q61" s="161"/>
      <c r="R61" s="162"/>
    </row>
    <row r="62" spans="1:18" ht="14.55" customHeight="1" x14ac:dyDescent="0.3">
      <c r="A62" s="166"/>
      <c r="B62" s="5"/>
      <c r="C62" s="5">
        <v>0.875</v>
      </c>
      <c r="D62" s="4">
        <v>160925</v>
      </c>
      <c r="E62" s="3" t="s">
        <v>409</v>
      </c>
      <c r="F62" s="19">
        <v>304</v>
      </c>
      <c r="G62" s="20">
        <v>0.9</v>
      </c>
      <c r="H62" s="28" t="s">
        <v>137</v>
      </c>
      <c r="I62" s="143"/>
      <c r="J62" s="144"/>
      <c r="K62" s="143">
        <v>200</v>
      </c>
      <c r="L62" s="144"/>
      <c r="M62" s="101"/>
      <c r="N62" s="6" t="s">
        <v>13</v>
      </c>
      <c r="O62" s="21"/>
      <c r="P62" s="160"/>
      <c r="Q62" s="161"/>
      <c r="R62" s="162"/>
    </row>
    <row r="63" spans="1:18" ht="14.55" customHeight="1" x14ac:dyDescent="0.3">
      <c r="A63" s="166"/>
      <c r="B63" s="5"/>
      <c r="C63" s="5"/>
      <c r="D63" s="4"/>
      <c r="E63" s="3"/>
      <c r="F63" s="19"/>
      <c r="G63" s="20"/>
      <c r="H63" s="28"/>
      <c r="I63" s="143"/>
      <c r="J63" s="144"/>
      <c r="K63" s="143"/>
      <c r="L63" s="144"/>
      <c r="M63" s="101"/>
      <c r="N63" s="6" t="s">
        <v>13</v>
      </c>
      <c r="O63" s="21"/>
      <c r="P63" s="160"/>
      <c r="Q63" s="161"/>
      <c r="R63" s="162"/>
    </row>
    <row r="64" spans="1:18" ht="14.55" customHeight="1" x14ac:dyDescent="0.3">
      <c r="A64" s="167"/>
      <c r="B64" s="148" t="s">
        <v>0</v>
      </c>
      <c r="C64" s="149"/>
      <c r="D64" s="149"/>
      <c r="E64" s="149"/>
      <c r="F64" s="149"/>
      <c r="G64" s="149"/>
      <c r="H64" s="149"/>
      <c r="I64" s="150">
        <f>SUM(I60:J63)</f>
        <v>1052</v>
      </c>
      <c r="J64" s="151"/>
      <c r="K64" s="150">
        <f>SUM(K60:L63)</f>
        <v>200</v>
      </c>
      <c r="L64" s="151"/>
      <c r="M64" s="10">
        <f>SUM(M60:M63)</f>
        <v>0</v>
      </c>
      <c r="N64" s="11" t="s">
        <v>13</v>
      </c>
      <c r="O64" s="9"/>
      <c r="P64" s="163"/>
      <c r="Q64" s="164"/>
      <c r="R64" s="165"/>
    </row>
    <row r="65" spans="1:18" ht="14.55" customHeight="1" x14ac:dyDescent="0.3">
      <c r="D65" s="104"/>
      <c r="E65" s="1"/>
      <c r="F65" s="1"/>
      <c r="G65" s="1"/>
      <c r="H65" s="1"/>
      <c r="M65" s="104"/>
    </row>
    <row r="66" spans="1:18" x14ac:dyDescent="0.3">
      <c r="E66" s="148" t="s">
        <v>324</v>
      </c>
      <c r="F66" s="149"/>
      <c r="G66" s="149"/>
      <c r="H66" s="149"/>
      <c r="I66" s="152" t="s">
        <v>19</v>
      </c>
      <c r="J66" s="153"/>
      <c r="K66" s="152" t="s">
        <v>20</v>
      </c>
      <c r="L66" s="153"/>
    </row>
    <row r="67" spans="1:18" s="105" customFormat="1" x14ac:dyDescent="0.3">
      <c r="E67" s="7"/>
      <c r="F67" s="7"/>
      <c r="G67" s="7"/>
      <c r="H67" s="7"/>
      <c r="I67" s="22">
        <f>I64</f>
        <v>1052</v>
      </c>
      <c r="J67" s="14" t="s">
        <v>12</v>
      </c>
      <c r="K67" s="22">
        <f>K64</f>
        <v>200</v>
      </c>
      <c r="L67" s="15" t="s">
        <v>12</v>
      </c>
    </row>
    <row r="68" spans="1:18" ht="24.45" customHeight="1" x14ac:dyDescent="0.3">
      <c r="E68" s="13"/>
      <c r="F68" s="13"/>
      <c r="G68" s="13"/>
      <c r="H68" s="13"/>
      <c r="I68" s="154">
        <f>I67+K67</f>
        <v>1252</v>
      </c>
      <c r="J68" s="155"/>
      <c r="K68" s="155"/>
      <c r="L68" s="156"/>
    </row>
    <row r="70" spans="1:18" s="8" customFormat="1" ht="30" customHeight="1" x14ac:dyDescent="0.3">
      <c r="A70" s="133" t="s">
        <v>322</v>
      </c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6"/>
    </row>
    <row r="71" spans="1:18" s="12" customFormat="1" ht="14.55" customHeight="1" x14ac:dyDescent="0.3">
      <c r="A71" s="128" t="s">
        <v>1</v>
      </c>
      <c r="B71" s="137" t="s">
        <v>2</v>
      </c>
      <c r="C71" s="137" t="s">
        <v>3</v>
      </c>
      <c r="D71" s="137" t="s">
        <v>4</v>
      </c>
      <c r="E71" s="124" t="s">
        <v>5</v>
      </c>
      <c r="F71" s="138" t="s">
        <v>14</v>
      </c>
      <c r="G71" s="138" t="s">
        <v>15</v>
      </c>
      <c r="H71" s="119" t="s">
        <v>29</v>
      </c>
      <c r="I71" s="121" t="s">
        <v>6</v>
      </c>
      <c r="J71" s="122"/>
      <c r="K71" s="122"/>
      <c r="L71" s="123"/>
      <c r="M71" s="124" t="s">
        <v>7</v>
      </c>
      <c r="N71" s="125"/>
      <c r="O71" s="128" t="s">
        <v>8</v>
      </c>
      <c r="P71" s="128" t="s">
        <v>9</v>
      </c>
      <c r="Q71" s="128"/>
      <c r="R71" s="128"/>
    </row>
    <row r="72" spans="1:18" s="12" customFormat="1" ht="13.05" customHeight="1" x14ac:dyDescent="0.3">
      <c r="A72" s="128"/>
      <c r="B72" s="137"/>
      <c r="C72" s="137"/>
      <c r="D72" s="137"/>
      <c r="E72" s="126"/>
      <c r="F72" s="139"/>
      <c r="G72" s="139"/>
      <c r="H72" s="120"/>
      <c r="I72" s="121" t="s">
        <v>19</v>
      </c>
      <c r="J72" s="123"/>
      <c r="K72" s="121" t="s">
        <v>20</v>
      </c>
      <c r="L72" s="123"/>
      <c r="M72" s="126"/>
      <c r="N72" s="127"/>
      <c r="O72" s="128"/>
      <c r="P72" s="128"/>
      <c r="Q72" s="128"/>
      <c r="R72" s="128"/>
    </row>
    <row r="73" spans="1:18" ht="14.55" customHeight="1" x14ac:dyDescent="0.3">
      <c r="A73" s="140" t="s">
        <v>37</v>
      </c>
      <c r="B73" s="5">
        <v>0.33333333333333331</v>
      </c>
      <c r="C73" s="5"/>
      <c r="D73" s="44">
        <v>160925</v>
      </c>
      <c r="E73" s="3" t="s">
        <v>409</v>
      </c>
      <c r="F73" s="19">
        <v>304</v>
      </c>
      <c r="G73" s="20">
        <v>0.9</v>
      </c>
      <c r="H73" s="28" t="s">
        <v>271</v>
      </c>
      <c r="I73" s="143"/>
      <c r="J73" s="144"/>
      <c r="K73" s="143">
        <v>200</v>
      </c>
      <c r="L73" s="144"/>
      <c r="M73" s="101"/>
      <c r="N73" s="6" t="s">
        <v>13</v>
      </c>
      <c r="O73" s="21"/>
      <c r="P73" s="157"/>
      <c r="Q73" s="158"/>
      <c r="R73" s="159"/>
    </row>
    <row r="74" spans="1:18" ht="14.55" customHeight="1" x14ac:dyDescent="0.3">
      <c r="A74" s="166"/>
      <c r="B74" s="5"/>
      <c r="C74" s="5"/>
      <c r="D74" s="44">
        <v>160925</v>
      </c>
      <c r="E74" s="3" t="s">
        <v>425</v>
      </c>
      <c r="F74" s="19">
        <v>304</v>
      </c>
      <c r="G74" s="20">
        <v>0.7</v>
      </c>
      <c r="H74" s="28" t="s">
        <v>271</v>
      </c>
      <c r="I74" s="143">
        <v>100</v>
      </c>
      <c r="J74" s="144"/>
      <c r="K74" s="143"/>
      <c r="L74" s="144"/>
      <c r="M74" s="102"/>
      <c r="N74" s="6" t="s">
        <v>13</v>
      </c>
      <c r="O74" s="21"/>
      <c r="P74" s="160"/>
      <c r="Q74" s="161"/>
      <c r="R74" s="162"/>
    </row>
    <row r="75" spans="1:18" ht="14.55" customHeight="1" x14ac:dyDescent="0.3">
      <c r="A75" s="166"/>
      <c r="B75" s="5"/>
      <c r="C75" s="5"/>
      <c r="D75" s="44">
        <v>160925</v>
      </c>
      <c r="E75" s="3" t="s">
        <v>303</v>
      </c>
      <c r="F75" s="19">
        <v>304</v>
      </c>
      <c r="G75" s="20">
        <v>0.7</v>
      </c>
      <c r="H75" s="28" t="s">
        <v>271</v>
      </c>
      <c r="I75" s="143">
        <v>100</v>
      </c>
      <c r="J75" s="144"/>
      <c r="K75" s="143"/>
      <c r="L75" s="144"/>
      <c r="M75" s="102"/>
      <c r="N75" s="6" t="s">
        <v>13</v>
      </c>
      <c r="O75" s="21"/>
      <c r="P75" s="160"/>
      <c r="Q75" s="161"/>
      <c r="R75" s="162"/>
    </row>
    <row r="76" spans="1:18" ht="14.55" customHeight="1" x14ac:dyDescent="0.3">
      <c r="A76" s="166"/>
      <c r="B76" s="5"/>
      <c r="C76" s="5"/>
      <c r="D76" s="4">
        <v>240625</v>
      </c>
      <c r="E76" s="3" t="s">
        <v>426</v>
      </c>
      <c r="F76" s="19">
        <v>304</v>
      </c>
      <c r="G76" s="20">
        <v>0.7</v>
      </c>
      <c r="H76" s="28" t="s">
        <v>271</v>
      </c>
      <c r="I76" s="143">
        <v>393</v>
      </c>
      <c r="J76" s="144"/>
      <c r="K76" s="143"/>
      <c r="L76" s="144"/>
      <c r="M76" s="102"/>
      <c r="N76" s="6" t="s">
        <v>13</v>
      </c>
      <c r="O76" s="21"/>
      <c r="P76" s="160"/>
      <c r="Q76" s="161"/>
      <c r="R76" s="162"/>
    </row>
    <row r="77" spans="1:18" ht="14.55" customHeight="1" x14ac:dyDescent="0.3">
      <c r="A77" s="166"/>
      <c r="B77" s="5"/>
      <c r="C77" s="5"/>
      <c r="D77" s="4">
        <v>240625</v>
      </c>
      <c r="E77" s="3" t="s">
        <v>427</v>
      </c>
      <c r="F77" s="19">
        <v>304</v>
      </c>
      <c r="G77" s="20">
        <v>0.7</v>
      </c>
      <c r="H77" s="28" t="s">
        <v>271</v>
      </c>
      <c r="I77" s="143">
        <v>386</v>
      </c>
      <c r="J77" s="144"/>
      <c r="K77" s="143"/>
      <c r="L77" s="144"/>
      <c r="M77" s="102"/>
      <c r="N77" s="6" t="s">
        <v>13</v>
      </c>
      <c r="O77" s="21"/>
      <c r="P77" s="160"/>
      <c r="Q77" s="161"/>
      <c r="R77" s="162"/>
    </row>
    <row r="78" spans="1:18" ht="14.55" customHeight="1" x14ac:dyDescent="0.3">
      <c r="A78" s="166"/>
      <c r="B78" s="5"/>
      <c r="C78" s="5"/>
      <c r="D78" s="4">
        <v>240625</v>
      </c>
      <c r="E78" s="3" t="s">
        <v>428</v>
      </c>
      <c r="F78" s="19">
        <v>304</v>
      </c>
      <c r="G78" s="20">
        <v>0.7</v>
      </c>
      <c r="H78" s="28" t="s">
        <v>271</v>
      </c>
      <c r="I78" s="143">
        <v>270</v>
      </c>
      <c r="J78" s="144"/>
      <c r="K78" s="143"/>
      <c r="L78" s="144"/>
      <c r="M78" s="102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>
        <v>240625</v>
      </c>
      <c r="E79" s="3" t="s">
        <v>429</v>
      </c>
      <c r="F79" s="19">
        <v>304</v>
      </c>
      <c r="G79" s="20">
        <v>0.7</v>
      </c>
      <c r="H79" s="28" t="s">
        <v>271</v>
      </c>
      <c r="I79" s="143">
        <v>70</v>
      </c>
      <c r="J79" s="144"/>
      <c r="K79" s="143"/>
      <c r="L79" s="144"/>
      <c r="M79" s="102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>
        <v>160925</v>
      </c>
      <c r="E80" s="3" t="s">
        <v>430</v>
      </c>
      <c r="F80" s="19">
        <v>304</v>
      </c>
      <c r="G80" s="20">
        <v>0.7</v>
      </c>
      <c r="H80" s="28" t="s">
        <v>271</v>
      </c>
      <c r="I80" s="143">
        <v>100</v>
      </c>
      <c r="J80" s="144"/>
      <c r="K80" s="143"/>
      <c r="L80" s="144"/>
      <c r="M80" s="101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6"/>
      <c r="B81" s="5"/>
      <c r="C81" s="5">
        <v>0.875</v>
      </c>
      <c r="D81" s="4">
        <v>160925</v>
      </c>
      <c r="E81" s="3" t="s">
        <v>301</v>
      </c>
      <c r="F81" s="19">
        <v>304</v>
      </c>
      <c r="G81" s="20">
        <v>0.7</v>
      </c>
      <c r="H81" s="28" t="s">
        <v>271</v>
      </c>
      <c r="I81" s="143">
        <v>100</v>
      </c>
      <c r="J81" s="144"/>
      <c r="K81" s="143"/>
      <c r="L81" s="144"/>
      <c r="M81" s="101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/>
      <c r="D82" s="4"/>
      <c r="E82" s="3"/>
      <c r="F82" s="19"/>
      <c r="G82" s="20"/>
      <c r="H82" s="28"/>
      <c r="I82" s="143"/>
      <c r="J82" s="144"/>
      <c r="K82" s="143"/>
      <c r="L82" s="144"/>
      <c r="M82" s="101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7"/>
      <c r="B83" s="148" t="s">
        <v>0</v>
      </c>
      <c r="C83" s="149"/>
      <c r="D83" s="149"/>
      <c r="E83" s="149"/>
      <c r="F83" s="149"/>
      <c r="G83" s="149"/>
      <c r="H83" s="149"/>
      <c r="I83" s="150">
        <f>SUM(I73:J82)</f>
        <v>1519</v>
      </c>
      <c r="J83" s="151"/>
      <c r="K83" s="150">
        <f>SUM(K73:L82)</f>
        <v>200</v>
      </c>
      <c r="L83" s="151"/>
      <c r="M83" s="10">
        <f>SUM(M73:M82)</f>
        <v>0</v>
      </c>
      <c r="N83" s="11" t="s">
        <v>13</v>
      </c>
      <c r="O83" s="9"/>
      <c r="P83" s="163"/>
      <c r="Q83" s="164"/>
      <c r="R83" s="165"/>
    </row>
    <row r="84" spans="1:18" ht="14.55" customHeight="1" x14ac:dyDescent="0.3">
      <c r="D84" s="104"/>
      <c r="E84" s="1"/>
      <c r="F84" s="1"/>
      <c r="G84" s="1"/>
      <c r="H84" s="1"/>
      <c r="M84" s="104"/>
    </row>
    <row r="85" spans="1:18" x14ac:dyDescent="0.3">
      <c r="E85" s="148" t="s">
        <v>323</v>
      </c>
      <c r="F85" s="149"/>
      <c r="G85" s="149"/>
      <c r="H85" s="149"/>
      <c r="I85" s="152" t="s">
        <v>19</v>
      </c>
      <c r="J85" s="153"/>
      <c r="K85" s="152" t="s">
        <v>20</v>
      </c>
      <c r="L85" s="153"/>
    </row>
    <row r="86" spans="1:18" s="105" customFormat="1" x14ac:dyDescent="0.3">
      <c r="E86" s="7"/>
      <c r="F86" s="7"/>
      <c r="G86" s="7"/>
      <c r="H86" s="7"/>
      <c r="I86" s="22">
        <f>I83</f>
        <v>1519</v>
      </c>
      <c r="J86" s="14" t="s">
        <v>12</v>
      </c>
      <c r="K86" s="22">
        <f>K83</f>
        <v>200</v>
      </c>
      <c r="L86" s="15" t="s">
        <v>12</v>
      </c>
    </row>
    <row r="87" spans="1:18" ht="24.45" customHeight="1" x14ac:dyDescent="0.3">
      <c r="E87" s="13"/>
      <c r="F87" s="13"/>
      <c r="G87" s="13"/>
      <c r="H87" s="13"/>
      <c r="I87" s="154">
        <f>I86+K86</f>
        <v>1719</v>
      </c>
      <c r="J87" s="155"/>
      <c r="K87" s="155"/>
      <c r="L87" s="156"/>
    </row>
    <row r="89" spans="1:18" s="8" customFormat="1" ht="30" customHeight="1" x14ac:dyDescent="0.3">
      <c r="A89" s="133" t="s">
        <v>30</v>
      </c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6"/>
    </row>
    <row r="90" spans="1:18" s="12" customFormat="1" ht="14.55" customHeight="1" x14ac:dyDescent="0.3">
      <c r="A90" s="128" t="s">
        <v>1</v>
      </c>
      <c r="B90" s="137" t="s">
        <v>2</v>
      </c>
      <c r="C90" s="137" t="s">
        <v>3</v>
      </c>
      <c r="D90" s="137" t="s">
        <v>4</v>
      </c>
      <c r="E90" s="124" t="s">
        <v>5</v>
      </c>
      <c r="F90" s="138" t="s">
        <v>14</v>
      </c>
      <c r="G90" s="138" t="s">
        <v>15</v>
      </c>
      <c r="H90" s="119" t="s">
        <v>29</v>
      </c>
      <c r="I90" s="121" t="s">
        <v>6</v>
      </c>
      <c r="J90" s="122"/>
      <c r="K90" s="122"/>
      <c r="L90" s="123"/>
      <c r="M90" s="124" t="s">
        <v>7</v>
      </c>
      <c r="N90" s="125"/>
      <c r="O90" s="128" t="s">
        <v>8</v>
      </c>
      <c r="P90" s="128" t="s">
        <v>9</v>
      </c>
      <c r="Q90" s="128"/>
      <c r="R90" s="128"/>
    </row>
    <row r="91" spans="1:18" s="12" customFormat="1" ht="13.05" customHeight="1" x14ac:dyDescent="0.3">
      <c r="A91" s="128"/>
      <c r="B91" s="137"/>
      <c r="C91" s="137"/>
      <c r="D91" s="137"/>
      <c r="E91" s="126"/>
      <c r="F91" s="139"/>
      <c r="G91" s="139"/>
      <c r="H91" s="120"/>
      <c r="I91" s="121" t="s">
        <v>19</v>
      </c>
      <c r="J91" s="123"/>
      <c r="K91" s="121" t="s">
        <v>20</v>
      </c>
      <c r="L91" s="123"/>
      <c r="M91" s="126"/>
      <c r="N91" s="127"/>
      <c r="O91" s="128"/>
      <c r="P91" s="128"/>
      <c r="Q91" s="128"/>
      <c r="R91" s="128"/>
    </row>
    <row r="92" spans="1:18" ht="14.55" customHeight="1" x14ac:dyDescent="0.3">
      <c r="A92" s="140" t="s">
        <v>35</v>
      </c>
      <c r="B92" s="5">
        <v>0.33333333333333331</v>
      </c>
      <c r="C92" s="5"/>
      <c r="D92" s="44">
        <v>180925</v>
      </c>
      <c r="E92" s="3" t="s">
        <v>408</v>
      </c>
      <c r="F92" s="19">
        <v>304</v>
      </c>
      <c r="G92" s="20">
        <v>0.7</v>
      </c>
      <c r="H92" s="28" t="s">
        <v>130</v>
      </c>
      <c r="I92" s="143">
        <v>240</v>
      </c>
      <c r="J92" s="144"/>
      <c r="K92" s="143"/>
      <c r="L92" s="144"/>
      <c r="M92" s="101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66"/>
      <c r="B93" s="5"/>
      <c r="C93" s="5"/>
      <c r="D93" s="4">
        <v>240625</v>
      </c>
      <c r="E93" s="3" t="s">
        <v>431</v>
      </c>
      <c r="F93" s="19">
        <v>304</v>
      </c>
      <c r="G93" s="20">
        <v>0.7</v>
      </c>
      <c r="H93" s="28" t="s">
        <v>130</v>
      </c>
      <c r="I93" s="143">
        <v>270</v>
      </c>
      <c r="J93" s="144"/>
      <c r="K93" s="143"/>
      <c r="L93" s="144"/>
      <c r="M93" s="101"/>
      <c r="N93" s="6" t="s">
        <v>13</v>
      </c>
      <c r="O93" s="21"/>
      <c r="P93" s="168"/>
      <c r="Q93" s="169"/>
      <c r="R93" s="170"/>
    </row>
    <row r="94" spans="1:18" ht="14.55" customHeight="1" x14ac:dyDescent="0.3">
      <c r="A94" s="166"/>
      <c r="B94" s="5"/>
      <c r="C94" s="5">
        <v>0.875</v>
      </c>
      <c r="D94" s="4">
        <v>240625</v>
      </c>
      <c r="E94" s="3" t="s">
        <v>432</v>
      </c>
      <c r="F94" s="19">
        <v>304</v>
      </c>
      <c r="G94" s="20">
        <v>0.7</v>
      </c>
      <c r="H94" s="28" t="s">
        <v>130</v>
      </c>
      <c r="I94" s="143">
        <v>100</v>
      </c>
      <c r="J94" s="144"/>
      <c r="K94" s="143"/>
      <c r="L94" s="144"/>
      <c r="M94" s="101"/>
      <c r="N94" s="6" t="s">
        <v>13</v>
      </c>
      <c r="O94" s="21"/>
      <c r="P94" s="168"/>
      <c r="Q94" s="169"/>
      <c r="R94" s="170"/>
    </row>
    <row r="95" spans="1:18" ht="14.55" customHeight="1" x14ac:dyDescent="0.3">
      <c r="A95" s="167"/>
      <c r="B95" s="148" t="s">
        <v>0</v>
      </c>
      <c r="C95" s="149"/>
      <c r="D95" s="149"/>
      <c r="E95" s="149"/>
      <c r="F95" s="149"/>
      <c r="G95" s="149"/>
      <c r="H95" s="149"/>
      <c r="I95" s="150">
        <f>SUM(I92:J94)</f>
        <v>610</v>
      </c>
      <c r="J95" s="151"/>
      <c r="K95" s="150">
        <f>SUM(K92:L94)</f>
        <v>0</v>
      </c>
      <c r="L95" s="151"/>
      <c r="M95" s="10">
        <f>SUM(M92:M94)</f>
        <v>0</v>
      </c>
      <c r="N95" s="11" t="s">
        <v>13</v>
      </c>
      <c r="O95" s="9"/>
      <c r="P95" s="168"/>
      <c r="Q95" s="169"/>
      <c r="R95" s="170"/>
    </row>
    <row r="96" spans="1:18" ht="14.55" customHeight="1" x14ac:dyDescent="0.3">
      <c r="D96" s="104"/>
      <c r="E96" s="1"/>
      <c r="F96" s="1"/>
      <c r="G96" s="1"/>
      <c r="H96" s="1"/>
      <c r="M96" s="104"/>
    </row>
    <row r="97" spans="1:18" x14ac:dyDescent="0.3">
      <c r="E97" s="148" t="s">
        <v>34</v>
      </c>
      <c r="F97" s="149"/>
      <c r="G97" s="149"/>
      <c r="H97" s="149"/>
      <c r="I97" s="152" t="s">
        <v>19</v>
      </c>
      <c r="J97" s="153"/>
      <c r="K97" s="152" t="s">
        <v>20</v>
      </c>
      <c r="L97" s="153"/>
    </row>
    <row r="98" spans="1:18" s="105" customFormat="1" x14ac:dyDescent="0.3">
      <c r="E98" s="7"/>
      <c r="F98" s="7"/>
      <c r="G98" s="7"/>
      <c r="H98" s="7"/>
      <c r="I98" s="22">
        <f>I95</f>
        <v>610</v>
      </c>
      <c r="J98" s="14" t="s">
        <v>12</v>
      </c>
      <c r="K98" s="22">
        <f>K95</f>
        <v>0</v>
      </c>
      <c r="L98" s="15" t="s">
        <v>12</v>
      </c>
    </row>
    <row r="99" spans="1:18" s="1" customFormat="1" ht="24.45" customHeight="1" x14ac:dyDescent="0.3">
      <c r="A99" s="104"/>
      <c r="B99" s="104"/>
      <c r="C99" s="104"/>
      <c r="E99" s="13"/>
      <c r="F99" s="13"/>
      <c r="G99" s="13"/>
      <c r="H99" s="13"/>
      <c r="I99" s="154">
        <f>I98+K98</f>
        <v>610</v>
      </c>
      <c r="J99" s="155"/>
      <c r="K99" s="155"/>
      <c r="L99" s="156"/>
      <c r="N99" s="104"/>
      <c r="O99" s="104"/>
      <c r="P99" s="104"/>
      <c r="Q99" s="104"/>
      <c r="R99" s="104"/>
    </row>
  </sheetData>
  <mergeCells count="242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1:A14"/>
    <mergeCell ref="I11:J11"/>
    <mergeCell ref="K11:L11"/>
    <mergeCell ref="A7:A10"/>
    <mergeCell ref="I7:J7"/>
    <mergeCell ref="K7:L7"/>
    <mergeCell ref="P7:R10"/>
    <mergeCell ref="I8:J8"/>
    <mergeCell ref="K8:L8"/>
    <mergeCell ref="I9:J9"/>
    <mergeCell ref="K9:L9"/>
    <mergeCell ref="P11:R14"/>
    <mergeCell ref="I12:J12"/>
    <mergeCell ref="K12:L12"/>
    <mergeCell ref="I13:J13"/>
    <mergeCell ref="K13:L13"/>
    <mergeCell ref="B14:H14"/>
    <mergeCell ref="I14:J14"/>
    <mergeCell ref="K14:L14"/>
    <mergeCell ref="B10:H10"/>
    <mergeCell ref="I10:J10"/>
    <mergeCell ref="K10:L10"/>
    <mergeCell ref="E16:H16"/>
    <mergeCell ref="I16:J16"/>
    <mergeCell ref="K16:L16"/>
    <mergeCell ref="I18:L18"/>
    <mergeCell ref="A20:R20"/>
    <mergeCell ref="A21:A22"/>
    <mergeCell ref="B21:B22"/>
    <mergeCell ref="C21:C22"/>
    <mergeCell ref="D21:D22"/>
    <mergeCell ref="E21:E22"/>
    <mergeCell ref="P21:R22"/>
    <mergeCell ref="I22:J22"/>
    <mergeCell ref="K22:L22"/>
    <mergeCell ref="A23:A26"/>
    <mergeCell ref="I23:J23"/>
    <mergeCell ref="K23:L23"/>
    <mergeCell ref="P23:R26"/>
    <mergeCell ref="I24:J24"/>
    <mergeCell ref="K24:L24"/>
    <mergeCell ref="I25:J25"/>
    <mergeCell ref="F21:F22"/>
    <mergeCell ref="G21:G22"/>
    <mergeCell ref="H21:H22"/>
    <mergeCell ref="I21:L21"/>
    <mergeCell ref="M21:N22"/>
    <mergeCell ref="O21:O22"/>
    <mergeCell ref="K25:L25"/>
    <mergeCell ref="B26:H26"/>
    <mergeCell ref="I26:J26"/>
    <mergeCell ref="K26:L26"/>
    <mergeCell ref="A27:A32"/>
    <mergeCell ref="I27:J27"/>
    <mergeCell ref="K27:L27"/>
    <mergeCell ref="B32:H32"/>
    <mergeCell ref="K32:L32"/>
    <mergeCell ref="P33:R38"/>
    <mergeCell ref="I34:J34"/>
    <mergeCell ref="K34:L34"/>
    <mergeCell ref="I35:J35"/>
    <mergeCell ref="K35:L35"/>
    <mergeCell ref="I36:J36"/>
    <mergeCell ref="K36:L36"/>
    <mergeCell ref="P27:R32"/>
    <mergeCell ref="I28:J28"/>
    <mergeCell ref="K28:L28"/>
    <mergeCell ref="I29:J29"/>
    <mergeCell ref="K29:L29"/>
    <mergeCell ref="I30:J30"/>
    <mergeCell ref="K30:L30"/>
    <mergeCell ref="I31:J31"/>
    <mergeCell ref="K31:L31"/>
    <mergeCell ref="I32:J32"/>
    <mergeCell ref="I37:J37"/>
    <mergeCell ref="K37:L37"/>
    <mergeCell ref="B38:H38"/>
    <mergeCell ref="I38:J38"/>
    <mergeCell ref="K38:L38"/>
    <mergeCell ref="E40:H40"/>
    <mergeCell ref="I40:J40"/>
    <mergeCell ref="K40:L40"/>
    <mergeCell ref="A33:A38"/>
    <mergeCell ref="I33:J33"/>
    <mergeCell ref="K33:L33"/>
    <mergeCell ref="I42:L42"/>
    <mergeCell ref="A44:R44"/>
    <mergeCell ref="A45:A46"/>
    <mergeCell ref="B45:B46"/>
    <mergeCell ref="C45:C46"/>
    <mergeCell ref="D45:D46"/>
    <mergeCell ref="E45:E46"/>
    <mergeCell ref="F45:F46"/>
    <mergeCell ref="G45:G46"/>
    <mergeCell ref="H45:H46"/>
    <mergeCell ref="P47:R51"/>
    <mergeCell ref="I48:J48"/>
    <mergeCell ref="K48:L48"/>
    <mergeCell ref="I49:J49"/>
    <mergeCell ref="K49:L49"/>
    <mergeCell ref="I50:J50"/>
    <mergeCell ref="K50:L50"/>
    <mergeCell ref="I45:L45"/>
    <mergeCell ref="M45:N46"/>
    <mergeCell ref="O45:O46"/>
    <mergeCell ref="P45:R46"/>
    <mergeCell ref="I46:J46"/>
    <mergeCell ref="K46:L46"/>
    <mergeCell ref="B51:H51"/>
    <mergeCell ref="I51:J51"/>
    <mergeCell ref="K51:L51"/>
    <mergeCell ref="E53:H53"/>
    <mergeCell ref="I53:J53"/>
    <mergeCell ref="K53:L53"/>
    <mergeCell ref="A47:A51"/>
    <mergeCell ref="I47:J47"/>
    <mergeCell ref="K47:L47"/>
    <mergeCell ref="I55:L55"/>
    <mergeCell ref="A57:R57"/>
    <mergeCell ref="A58:A59"/>
    <mergeCell ref="B58:B59"/>
    <mergeCell ref="C58:C59"/>
    <mergeCell ref="D58:D59"/>
    <mergeCell ref="E58:E59"/>
    <mergeCell ref="F58:F59"/>
    <mergeCell ref="G58:G59"/>
    <mergeCell ref="H58:H59"/>
    <mergeCell ref="P60:R64"/>
    <mergeCell ref="I61:J61"/>
    <mergeCell ref="K61:L61"/>
    <mergeCell ref="I62:J62"/>
    <mergeCell ref="K62:L62"/>
    <mergeCell ref="I63:J63"/>
    <mergeCell ref="K63:L63"/>
    <mergeCell ref="I58:L58"/>
    <mergeCell ref="M58:N59"/>
    <mergeCell ref="O58:O59"/>
    <mergeCell ref="P58:R59"/>
    <mergeCell ref="I59:J59"/>
    <mergeCell ref="K59:L59"/>
    <mergeCell ref="B64:H64"/>
    <mergeCell ref="I64:J64"/>
    <mergeCell ref="K64:L64"/>
    <mergeCell ref="E66:H66"/>
    <mergeCell ref="I66:J66"/>
    <mergeCell ref="K66:L66"/>
    <mergeCell ref="A60:A64"/>
    <mergeCell ref="I60:J60"/>
    <mergeCell ref="K60:L60"/>
    <mergeCell ref="I68:L68"/>
    <mergeCell ref="A70:R70"/>
    <mergeCell ref="A71:A72"/>
    <mergeCell ref="B71:B72"/>
    <mergeCell ref="C71:C72"/>
    <mergeCell ref="D71:D72"/>
    <mergeCell ref="E71:E72"/>
    <mergeCell ref="F71:F72"/>
    <mergeCell ref="G71:G72"/>
    <mergeCell ref="H71:H72"/>
    <mergeCell ref="P73:R83"/>
    <mergeCell ref="I80:J80"/>
    <mergeCell ref="K80:L80"/>
    <mergeCell ref="I81:J81"/>
    <mergeCell ref="K81:L81"/>
    <mergeCell ref="I82:J82"/>
    <mergeCell ref="K82:L82"/>
    <mergeCell ref="I71:L71"/>
    <mergeCell ref="M71:N72"/>
    <mergeCell ref="O71:O72"/>
    <mergeCell ref="P71:R72"/>
    <mergeCell ref="I72:J72"/>
    <mergeCell ref="K72:L72"/>
    <mergeCell ref="I74:J74"/>
    <mergeCell ref="K74:L74"/>
    <mergeCell ref="I75:J75"/>
    <mergeCell ref="K75:L75"/>
    <mergeCell ref="I76:J76"/>
    <mergeCell ref="K76:L76"/>
    <mergeCell ref="I77:J77"/>
    <mergeCell ref="K77:L77"/>
    <mergeCell ref="I78:J78"/>
    <mergeCell ref="K78:L78"/>
    <mergeCell ref="I79:J79"/>
    <mergeCell ref="B83:H83"/>
    <mergeCell ref="I83:J83"/>
    <mergeCell ref="K83:L83"/>
    <mergeCell ref="E85:H85"/>
    <mergeCell ref="I85:J85"/>
    <mergeCell ref="K85:L85"/>
    <mergeCell ref="A73:A83"/>
    <mergeCell ref="I73:J73"/>
    <mergeCell ref="K73:L73"/>
    <mergeCell ref="K79:L79"/>
    <mergeCell ref="I90:L90"/>
    <mergeCell ref="M90:N91"/>
    <mergeCell ref="O90:O91"/>
    <mergeCell ref="P90:R91"/>
    <mergeCell ref="I91:J91"/>
    <mergeCell ref="K91:L91"/>
    <mergeCell ref="I87:L87"/>
    <mergeCell ref="A89:R89"/>
    <mergeCell ref="A90:A91"/>
    <mergeCell ref="B90:B91"/>
    <mergeCell ref="C90:C91"/>
    <mergeCell ref="D90:D91"/>
    <mergeCell ref="E90:E91"/>
    <mergeCell ref="F90:F91"/>
    <mergeCell ref="G90:G91"/>
    <mergeCell ref="H90:H91"/>
    <mergeCell ref="K95:L95"/>
    <mergeCell ref="P95:R95"/>
    <mergeCell ref="E97:H97"/>
    <mergeCell ref="I97:J97"/>
    <mergeCell ref="K97:L97"/>
    <mergeCell ref="I99:L99"/>
    <mergeCell ref="A92:A95"/>
    <mergeCell ref="I92:J92"/>
    <mergeCell ref="K92:L92"/>
    <mergeCell ref="P92:R94"/>
    <mergeCell ref="I93:J93"/>
    <mergeCell ref="K93:L93"/>
    <mergeCell ref="I94:J94"/>
    <mergeCell ref="K94:L94"/>
    <mergeCell ref="B95:H95"/>
    <mergeCell ref="I95:J95"/>
  </mergeCells>
  <pageMargins left="0.39370078740157483" right="0.19685039370078741" top="0.19685039370078741" bottom="0.19685039370078741" header="0.31496062992125984" footer="0.31496062992125984"/>
  <pageSetup paperSize="9" scale="51" orientation="portrait" horizontalDpi="1200" verticalDpi="12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0"/>
  <sheetViews>
    <sheetView topLeftCell="A19" zoomScale="85" zoomScaleNormal="85" workbookViewId="0">
      <selection activeCell="D32" sqref="D32"/>
    </sheetView>
  </sheetViews>
  <sheetFormatPr defaultColWidth="8.77734375" defaultRowHeight="14.4" x14ac:dyDescent="0.3"/>
  <cols>
    <col min="1" max="1" width="12.6640625" style="104" customWidth="1"/>
    <col min="2" max="3" width="7.6640625" style="104" customWidth="1"/>
    <col min="4" max="4" width="8.21875" style="1" bestFit="1" customWidth="1"/>
    <col min="5" max="5" width="40.6640625" style="104" customWidth="1"/>
    <col min="6" max="6" width="5.6640625" style="104" customWidth="1"/>
    <col min="7" max="7" width="6.6640625" style="104" customWidth="1"/>
    <col min="8" max="8" width="24.5546875" style="104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104" customWidth="1"/>
    <col min="15" max="15" width="21.5546875" style="104" bestFit="1" customWidth="1"/>
    <col min="16" max="18" width="7.6640625" style="104" customWidth="1"/>
    <col min="19" max="16384" width="8.77734375" style="104"/>
  </cols>
  <sheetData>
    <row r="1" spans="1:18" x14ac:dyDescent="0.3">
      <c r="D1" s="104"/>
      <c r="I1" s="104"/>
      <c r="J1" s="104"/>
      <c r="K1" s="104"/>
      <c r="L1" s="104"/>
      <c r="M1" s="104"/>
    </row>
    <row r="2" spans="1:18" x14ac:dyDescent="0.3">
      <c r="D2" s="104"/>
      <c r="I2" s="104"/>
      <c r="J2" s="104"/>
      <c r="K2" s="104"/>
      <c r="L2" s="104"/>
      <c r="M2" s="104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45964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108">
        <v>250052</v>
      </c>
      <c r="E7" s="109" t="s">
        <v>436</v>
      </c>
      <c r="F7" s="108">
        <v>304</v>
      </c>
      <c r="G7" s="110">
        <v>0.7</v>
      </c>
      <c r="H7" s="111" t="s">
        <v>58</v>
      </c>
      <c r="I7" s="191">
        <v>180</v>
      </c>
      <c r="J7" s="192"/>
      <c r="K7" s="143"/>
      <c r="L7" s="144"/>
      <c r="M7" s="107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108">
        <v>250055</v>
      </c>
      <c r="E8" s="109" t="s">
        <v>220</v>
      </c>
      <c r="F8" s="108">
        <v>304</v>
      </c>
      <c r="G8" s="110">
        <v>0.7</v>
      </c>
      <c r="H8" s="111" t="s">
        <v>58</v>
      </c>
      <c r="I8" s="191">
        <v>830</v>
      </c>
      <c r="J8" s="192"/>
      <c r="K8" s="143"/>
      <c r="L8" s="144"/>
      <c r="M8" s="107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108">
        <v>250061</v>
      </c>
      <c r="E9" s="109" t="s">
        <v>220</v>
      </c>
      <c r="F9" s="108">
        <v>304</v>
      </c>
      <c r="G9" s="110">
        <v>0.7</v>
      </c>
      <c r="H9" s="111" t="s">
        <v>58</v>
      </c>
      <c r="I9" s="191">
        <v>540</v>
      </c>
      <c r="J9" s="192"/>
      <c r="K9" s="143"/>
      <c r="L9" s="144"/>
      <c r="M9" s="107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108">
        <v>250057</v>
      </c>
      <c r="E10" s="109" t="s">
        <v>220</v>
      </c>
      <c r="F10" s="108">
        <v>304</v>
      </c>
      <c r="G10" s="110">
        <v>0.7</v>
      </c>
      <c r="H10" s="111" t="s">
        <v>58</v>
      </c>
      <c r="I10" s="191">
        <v>410</v>
      </c>
      <c r="J10" s="192"/>
      <c r="K10" s="143"/>
      <c r="L10" s="144"/>
      <c r="M10" s="107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1"/>
      <c r="B11" s="5"/>
      <c r="C11" s="5"/>
      <c r="D11" s="108">
        <v>250080</v>
      </c>
      <c r="E11" s="109" t="s">
        <v>433</v>
      </c>
      <c r="F11" s="19">
        <v>304</v>
      </c>
      <c r="G11" s="20">
        <v>0.6</v>
      </c>
      <c r="H11" s="28" t="s">
        <v>58</v>
      </c>
      <c r="I11" s="143">
        <v>120</v>
      </c>
      <c r="J11" s="144"/>
      <c r="K11" s="143"/>
      <c r="L11" s="144"/>
      <c r="M11" s="107">
        <v>20</v>
      </c>
      <c r="N11" s="6" t="s">
        <v>13</v>
      </c>
      <c r="O11" s="21" t="s">
        <v>447</v>
      </c>
      <c r="P11" s="145"/>
      <c r="Q11" s="146"/>
      <c r="R11" s="147"/>
    </row>
    <row r="12" spans="1:18" ht="14.55" customHeight="1" x14ac:dyDescent="0.3">
      <c r="A12" s="141"/>
      <c r="B12" s="5"/>
      <c r="C12" s="5">
        <v>0.70833333333333337</v>
      </c>
      <c r="D12" s="108">
        <v>250080</v>
      </c>
      <c r="E12" s="109" t="s">
        <v>220</v>
      </c>
      <c r="F12" s="19">
        <v>304</v>
      </c>
      <c r="G12" s="20">
        <v>0.6</v>
      </c>
      <c r="H12" s="28" t="s">
        <v>55</v>
      </c>
      <c r="I12" s="143">
        <v>390</v>
      </c>
      <c r="J12" s="144"/>
      <c r="K12" s="143"/>
      <c r="L12" s="144"/>
      <c r="M12" s="107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44"/>
      <c r="E13" s="3"/>
      <c r="F13" s="19"/>
      <c r="G13" s="20"/>
      <c r="H13" s="28"/>
      <c r="I13" s="143"/>
      <c r="J13" s="144"/>
      <c r="K13" s="143"/>
      <c r="L13" s="144"/>
      <c r="M13" s="107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72"/>
      <c r="E14" s="3"/>
      <c r="F14" s="19"/>
      <c r="G14" s="20"/>
      <c r="H14" s="28"/>
      <c r="I14" s="143"/>
      <c r="J14" s="144"/>
      <c r="K14" s="143"/>
      <c r="L14" s="144"/>
      <c r="M14" s="107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2470</v>
      </c>
      <c r="J15" s="151"/>
      <c r="K15" s="150">
        <f>SUM(K7:L14)</f>
        <v>0</v>
      </c>
      <c r="L15" s="151"/>
      <c r="M15" s="10">
        <f>SUM(M7:M8)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/>
      <c r="C16" s="5"/>
      <c r="D16" s="44"/>
      <c r="E16" s="69"/>
      <c r="F16" s="19"/>
      <c r="G16" s="20"/>
      <c r="H16" s="70"/>
      <c r="I16" s="143"/>
      <c r="J16" s="144"/>
      <c r="K16" s="143"/>
      <c r="L16" s="144"/>
      <c r="M16" s="107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41"/>
      <c r="B17" s="5"/>
      <c r="C17" s="5"/>
      <c r="D17" s="44"/>
      <c r="E17" s="3"/>
      <c r="F17" s="19"/>
      <c r="G17" s="20"/>
      <c r="H17" s="28"/>
      <c r="I17" s="143"/>
      <c r="J17" s="144"/>
      <c r="K17" s="143"/>
      <c r="L17" s="144"/>
      <c r="M17" s="107"/>
      <c r="N17" s="6" t="s">
        <v>13</v>
      </c>
      <c r="O17" s="21"/>
      <c r="P17" s="145"/>
      <c r="Q17" s="146"/>
      <c r="R17" s="147"/>
    </row>
    <row r="18" spans="1:18" ht="14.55" customHeight="1" x14ac:dyDescent="0.3">
      <c r="A18" s="141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107"/>
      <c r="N18" s="6" t="s">
        <v>13</v>
      </c>
      <c r="O18" s="21"/>
      <c r="P18" s="145"/>
      <c r="Q18" s="146"/>
      <c r="R18" s="147"/>
    </row>
    <row r="19" spans="1:18" ht="14.55" customHeight="1" x14ac:dyDescent="0.3">
      <c r="A19" s="142"/>
      <c r="B19" s="148" t="s">
        <v>0</v>
      </c>
      <c r="C19" s="149"/>
      <c r="D19" s="149"/>
      <c r="E19" s="149"/>
      <c r="F19" s="149"/>
      <c r="G19" s="149"/>
      <c r="H19" s="149"/>
      <c r="I19" s="150">
        <f>SUM(I16:J18)</f>
        <v>0</v>
      </c>
      <c r="J19" s="151"/>
      <c r="K19" s="150">
        <f>SUM(K16:L18)</f>
        <v>0</v>
      </c>
      <c r="L19" s="151"/>
      <c r="M19" s="10">
        <f>SUM(M16:M18)</f>
        <v>0</v>
      </c>
      <c r="N19" s="11" t="s">
        <v>13</v>
      </c>
      <c r="O19" s="9"/>
      <c r="P19" s="145"/>
      <c r="Q19" s="146"/>
      <c r="R19" s="147"/>
    </row>
    <row r="20" spans="1:18" ht="14.55" customHeight="1" x14ac:dyDescent="0.3">
      <c r="D20" s="104"/>
      <c r="E20" s="1"/>
      <c r="F20" s="1"/>
      <c r="G20" s="1"/>
      <c r="H20" s="1"/>
      <c r="M20" s="104"/>
    </row>
    <row r="21" spans="1:18" x14ac:dyDescent="0.3">
      <c r="E21" s="148" t="s">
        <v>316</v>
      </c>
      <c r="F21" s="149"/>
      <c r="G21" s="149"/>
      <c r="H21" s="149"/>
      <c r="I21" s="152" t="s">
        <v>19</v>
      </c>
      <c r="J21" s="153"/>
      <c r="K21" s="152" t="s">
        <v>20</v>
      </c>
      <c r="L21" s="153"/>
    </row>
    <row r="22" spans="1:18" s="105" customFormat="1" x14ac:dyDescent="0.3">
      <c r="E22" s="7"/>
      <c r="F22" s="7"/>
      <c r="G22" s="7"/>
      <c r="H22" s="7"/>
      <c r="I22" s="22">
        <f>I15+I19</f>
        <v>2470</v>
      </c>
      <c r="J22" s="14" t="s">
        <v>12</v>
      </c>
      <c r="K22" s="22">
        <f>K15+K19</f>
        <v>0</v>
      </c>
      <c r="L22" s="15" t="s">
        <v>12</v>
      </c>
    </row>
    <row r="23" spans="1:18" ht="24.45" customHeight="1" x14ac:dyDescent="0.3">
      <c r="E23" s="13"/>
      <c r="F23" s="13"/>
      <c r="G23" s="13"/>
      <c r="H23" s="13"/>
      <c r="I23" s="154">
        <f>I22+K22</f>
        <v>2470</v>
      </c>
      <c r="J23" s="155"/>
      <c r="K23" s="155"/>
      <c r="L23" s="156"/>
    </row>
    <row r="24" spans="1:18" ht="15" customHeight="1" x14ac:dyDescent="0.3">
      <c r="D24" s="104"/>
      <c r="I24" s="104"/>
      <c r="J24" s="104"/>
      <c r="K24" s="23"/>
      <c r="L24" s="23"/>
      <c r="M24" s="23"/>
      <c r="N24" s="23"/>
    </row>
    <row r="25" spans="1:18" s="8" customFormat="1" ht="30" customHeight="1" x14ac:dyDescent="0.3">
      <c r="A25" s="133" t="s">
        <v>22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5"/>
      <c r="L25" s="135"/>
      <c r="M25" s="135"/>
      <c r="N25" s="135"/>
      <c r="O25" s="134"/>
      <c r="P25" s="134"/>
      <c r="Q25" s="134"/>
      <c r="R25" s="136"/>
    </row>
    <row r="26" spans="1:18" s="12" customFormat="1" ht="14.55" customHeight="1" x14ac:dyDescent="0.3">
      <c r="A26" s="128" t="s">
        <v>1</v>
      </c>
      <c r="B26" s="137" t="s">
        <v>2</v>
      </c>
      <c r="C26" s="137" t="s">
        <v>3</v>
      </c>
      <c r="D26" s="137" t="s">
        <v>4</v>
      </c>
      <c r="E26" s="124" t="s">
        <v>5</v>
      </c>
      <c r="F26" s="138" t="s">
        <v>14</v>
      </c>
      <c r="G26" s="138" t="s">
        <v>15</v>
      </c>
      <c r="H26" s="119" t="s">
        <v>27</v>
      </c>
      <c r="I26" s="121" t="s">
        <v>6</v>
      </c>
      <c r="J26" s="122"/>
      <c r="K26" s="122"/>
      <c r="L26" s="123"/>
      <c r="M26" s="124" t="s">
        <v>7</v>
      </c>
      <c r="N26" s="125"/>
      <c r="O26" s="128" t="s">
        <v>8</v>
      </c>
      <c r="P26" s="128" t="s">
        <v>9</v>
      </c>
      <c r="Q26" s="128"/>
      <c r="R26" s="128"/>
    </row>
    <row r="27" spans="1:18" s="12" customFormat="1" ht="13.05" customHeight="1" x14ac:dyDescent="0.3">
      <c r="A27" s="128"/>
      <c r="B27" s="137"/>
      <c r="C27" s="137"/>
      <c r="D27" s="137"/>
      <c r="E27" s="126"/>
      <c r="F27" s="139"/>
      <c r="G27" s="139"/>
      <c r="H27" s="120"/>
      <c r="I27" s="121" t="s">
        <v>23</v>
      </c>
      <c r="J27" s="123"/>
      <c r="K27" s="121" t="s">
        <v>11</v>
      </c>
      <c r="L27" s="123"/>
      <c r="M27" s="126"/>
      <c r="N27" s="127"/>
      <c r="O27" s="128"/>
      <c r="P27" s="128"/>
      <c r="Q27" s="128"/>
      <c r="R27" s="128"/>
    </row>
    <row r="28" spans="1:18" ht="14.55" customHeight="1" x14ac:dyDescent="0.3">
      <c r="A28" s="140" t="s">
        <v>28</v>
      </c>
      <c r="B28" s="5">
        <v>0.33333333333333331</v>
      </c>
      <c r="C28" s="5"/>
      <c r="D28" s="4">
        <v>250084</v>
      </c>
      <c r="E28" s="3" t="s">
        <v>434</v>
      </c>
      <c r="F28" s="19"/>
      <c r="G28" s="20"/>
      <c r="H28" s="28"/>
      <c r="I28" s="143"/>
      <c r="J28" s="144"/>
      <c r="K28" s="143"/>
      <c r="L28" s="144"/>
      <c r="M28" s="107"/>
      <c r="N28" s="6" t="s">
        <v>13</v>
      </c>
      <c r="O28" s="21"/>
      <c r="P28" s="168" t="s">
        <v>50</v>
      </c>
      <c r="Q28" s="169"/>
      <c r="R28" s="170"/>
    </row>
    <row r="29" spans="1:18" ht="14.55" customHeight="1" x14ac:dyDescent="0.3">
      <c r="A29" s="141"/>
      <c r="B29" s="5"/>
      <c r="C29" s="5">
        <v>0.70833333333333337</v>
      </c>
      <c r="D29" s="4">
        <v>250084</v>
      </c>
      <c r="E29" s="3" t="s">
        <v>435</v>
      </c>
      <c r="F29" s="19"/>
      <c r="G29" s="20"/>
      <c r="H29" s="28"/>
      <c r="I29" s="143"/>
      <c r="J29" s="144"/>
      <c r="K29" s="143"/>
      <c r="L29" s="144"/>
      <c r="M29" s="107"/>
      <c r="N29" s="6" t="s">
        <v>13</v>
      </c>
      <c r="O29" s="21"/>
      <c r="P29" s="168"/>
      <c r="Q29" s="169"/>
      <c r="R29" s="170"/>
    </row>
    <row r="30" spans="1:18" ht="14.55" customHeight="1" x14ac:dyDescent="0.3">
      <c r="A30" s="141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107"/>
      <c r="N30" s="6" t="s">
        <v>13</v>
      </c>
      <c r="O30" s="21"/>
      <c r="P30" s="168"/>
      <c r="Q30" s="169"/>
      <c r="R30" s="170"/>
    </row>
    <row r="31" spans="1:18" ht="14.55" customHeight="1" x14ac:dyDescent="0.3">
      <c r="A31" s="142"/>
      <c r="B31" s="148" t="s">
        <v>0</v>
      </c>
      <c r="C31" s="149"/>
      <c r="D31" s="149"/>
      <c r="E31" s="149"/>
      <c r="F31" s="149"/>
      <c r="G31" s="149"/>
      <c r="H31" s="171"/>
      <c r="I31" s="150">
        <f>SUM(I28:J30)</f>
        <v>0</v>
      </c>
      <c r="J31" s="151"/>
      <c r="K31" s="150">
        <f>SUM(K28:L30)</f>
        <v>0</v>
      </c>
      <c r="L31" s="151"/>
      <c r="M31" s="10">
        <f>SUM(M28:M30)</f>
        <v>0</v>
      </c>
      <c r="N31" s="11" t="s">
        <v>13</v>
      </c>
      <c r="O31" s="9"/>
      <c r="P31" s="168"/>
      <c r="Q31" s="169"/>
      <c r="R31" s="170"/>
    </row>
    <row r="32" spans="1:18" ht="14.55" customHeight="1" x14ac:dyDescent="0.3">
      <c r="A32" s="140" t="s">
        <v>24</v>
      </c>
      <c r="B32" s="5">
        <v>0.33333333333333331</v>
      </c>
      <c r="C32" s="5"/>
      <c r="D32" s="4">
        <v>250084</v>
      </c>
      <c r="E32" s="3" t="s">
        <v>437</v>
      </c>
      <c r="F32" s="19"/>
      <c r="G32" s="20"/>
      <c r="H32" s="28"/>
      <c r="I32" s="143"/>
      <c r="J32" s="144"/>
      <c r="K32" s="143"/>
      <c r="L32" s="144"/>
      <c r="M32" s="107"/>
      <c r="N32" s="6" t="s">
        <v>13</v>
      </c>
      <c r="O32" s="21"/>
      <c r="P32" s="157" t="s">
        <v>51</v>
      </c>
      <c r="Q32" s="158"/>
      <c r="R32" s="159"/>
    </row>
    <row r="33" spans="1:18" ht="14.55" customHeight="1" x14ac:dyDescent="0.3">
      <c r="A33" s="166"/>
      <c r="B33" s="5"/>
      <c r="C33" s="5">
        <v>0.70833333333333337</v>
      </c>
      <c r="D33" s="4">
        <v>250084</v>
      </c>
      <c r="E33" s="3" t="s">
        <v>438</v>
      </c>
      <c r="F33" s="19">
        <v>304</v>
      </c>
      <c r="G33" s="20">
        <v>0.6</v>
      </c>
      <c r="H33" s="28" t="s">
        <v>327</v>
      </c>
      <c r="I33" s="143">
        <v>350</v>
      </c>
      <c r="J33" s="144"/>
      <c r="K33" s="143"/>
      <c r="L33" s="144"/>
      <c r="M33" s="107"/>
      <c r="N33" s="6" t="s">
        <v>13</v>
      </c>
      <c r="O33" s="21"/>
      <c r="P33" s="160"/>
      <c r="Q33" s="161"/>
      <c r="R33" s="162"/>
    </row>
    <row r="34" spans="1:18" ht="14.55" hidden="1" customHeight="1" x14ac:dyDescent="0.3">
      <c r="A34" s="166"/>
      <c r="B34" s="5"/>
      <c r="C34" s="5"/>
      <c r="D34" s="4"/>
      <c r="E34" s="3"/>
      <c r="F34" s="19"/>
      <c r="G34" s="20"/>
      <c r="H34" s="28"/>
      <c r="I34" s="143"/>
      <c r="J34" s="144"/>
      <c r="K34" s="143"/>
      <c r="L34" s="144"/>
      <c r="M34" s="107"/>
      <c r="N34" s="6" t="s">
        <v>13</v>
      </c>
      <c r="O34" s="21"/>
      <c r="P34" s="160"/>
      <c r="Q34" s="161"/>
      <c r="R34" s="162"/>
    </row>
    <row r="35" spans="1:18" ht="14.55" hidden="1" customHeight="1" x14ac:dyDescent="0.3">
      <c r="A35" s="166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107"/>
      <c r="N35" s="6" t="s">
        <v>13</v>
      </c>
      <c r="O35" s="21"/>
      <c r="P35" s="160"/>
      <c r="Q35" s="161"/>
      <c r="R35" s="162"/>
    </row>
    <row r="36" spans="1:18" ht="14.55" customHeight="1" x14ac:dyDescent="0.3">
      <c r="A36" s="166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107"/>
      <c r="N36" s="6" t="s">
        <v>13</v>
      </c>
      <c r="O36" s="21"/>
      <c r="P36" s="160"/>
      <c r="Q36" s="161"/>
      <c r="R36" s="162"/>
    </row>
    <row r="37" spans="1:18" ht="14.55" customHeight="1" x14ac:dyDescent="0.3">
      <c r="A37" s="167"/>
      <c r="B37" s="148" t="s">
        <v>0</v>
      </c>
      <c r="C37" s="149"/>
      <c r="D37" s="149"/>
      <c r="E37" s="149"/>
      <c r="F37" s="149"/>
      <c r="G37" s="149"/>
      <c r="H37" s="171"/>
      <c r="I37" s="150">
        <f>SUM(I32:J36)</f>
        <v>350</v>
      </c>
      <c r="J37" s="151"/>
      <c r="K37" s="150">
        <f>SUM(K32:L36)</f>
        <v>0</v>
      </c>
      <c r="L37" s="151"/>
      <c r="M37" s="10">
        <f>SUM(M32:M36)</f>
        <v>0</v>
      </c>
      <c r="N37" s="11" t="s">
        <v>13</v>
      </c>
      <c r="O37" s="9"/>
      <c r="P37" s="163"/>
      <c r="Q37" s="164"/>
      <c r="R37" s="165"/>
    </row>
    <row r="38" spans="1:18" ht="14.55" customHeight="1" x14ac:dyDescent="0.3">
      <c r="A38" s="140" t="s">
        <v>25</v>
      </c>
      <c r="B38" s="5"/>
      <c r="C38" s="5"/>
      <c r="D38" s="44"/>
      <c r="E38" s="3"/>
      <c r="F38" s="19"/>
      <c r="G38" s="20"/>
      <c r="H38" s="28"/>
      <c r="I38" s="143"/>
      <c r="J38" s="144"/>
      <c r="K38" s="143"/>
      <c r="L38" s="144"/>
      <c r="M38" s="107"/>
      <c r="N38" s="6" t="s">
        <v>13</v>
      </c>
      <c r="O38" s="21"/>
      <c r="P38" s="145" t="s">
        <v>53</v>
      </c>
      <c r="Q38" s="169"/>
      <c r="R38" s="170"/>
    </row>
    <row r="39" spans="1:18" ht="14.55" hidden="1" customHeight="1" x14ac:dyDescent="0.3">
      <c r="A39" s="141"/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107"/>
      <c r="N39" s="6" t="s">
        <v>13</v>
      </c>
      <c r="O39" s="21"/>
      <c r="P39" s="168"/>
      <c r="Q39" s="169"/>
      <c r="R39" s="170"/>
    </row>
    <row r="40" spans="1:18" ht="14.55" hidden="1" customHeight="1" x14ac:dyDescent="0.3">
      <c r="A40" s="141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107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41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107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41"/>
      <c r="B42" s="5"/>
      <c r="C42" s="5"/>
      <c r="D42" s="4"/>
      <c r="E42" s="3"/>
      <c r="F42" s="19"/>
      <c r="G42" s="20"/>
      <c r="H42" s="28"/>
      <c r="I42" s="143"/>
      <c r="J42" s="144"/>
      <c r="K42" s="143"/>
      <c r="L42" s="144"/>
      <c r="M42" s="107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42"/>
      <c r="B43" s="148" t="s">
        <v>0</v>
      </c>
      <c r="C43" s="149"/>
      <c r="D43" s="149"/>
      <c r="E43" s="149"/>
      <c r="F43" s="149"/>
      <c r="G43" s="149"/>
      <c r="H43" s="149"/>
      <c r="I43" s="150">
        <f>SUM(I38:J42)</f>
        <v>0</v>
      </c>
      <c r="J43" s="151"/>
      <c r="K43" s="150">
        <f>SUM(K38:L42)</f>
        <v>0</v>
      </c>
      <c r="L43" s="151"/>
      <c r="M43" s="10">
        <f>SUM(M38:M42)</f>
        <v>0</v>
      </c>
      <c r="N43" s="11" t="s">
        <v>13</v>
      </c>
      <c r="O43" s="9"/>
      <c r="P43" s="168"/>
      <c r="Q43" s="169"/>
      <c r="R43" s="170"/>
    </row>
    <row r="45" spans="1:18" x14ac:dyDescent="0.3">
      <c r="E45" s="148" t="s">
        <v>26</v>
      </c>
      <c r="F45" s="149"/>
      <c r="G45" s="149"/>
      <c r="H45" s="149"/>
      <c r="I45" s="152" t="s">
        <v>23</v>
      </c>
      <c r="J45" s="153"/>
      <c r="K45" s="152" t="s">
        <v>11</v>
      </c>
      <c r="L45" s="153"/>
    </row>
    <row r="46" spans="1:18" s="105" customFormat="1" x14ac:dyDescent="0.3">
      <c r="E46" s="7"/>
      <c r="F46" s="7"/>
      <c r="G46" s="7"/>
      <c r="H46" s="7"/>
      <c r="I46" s="22">
        <f>I37+I43</f>
        <v>350</v>
      </c>
      <c r="J46" s="14" t="s">
        <v>12</v>
      </c>
      <c r="K46" s="22">
        <f>K37+K43</f>
        <v>0</v>
      </c>
      <c r="L46" s="15" t="s">
        <v>12</v>
      </c>
    </row>
    <row r="47" spans="1:18" ht="24.45" customHeight="1" x14ac:dyDescent="0.3">
      <c r="E47" s="13"/>
      <c r="F47" s="13"/>
      <c r="G47" s="13"/>
      <c r="H47" s="13"/>
      <c r="I47" s="154">
        <f>I46+K46</f>
        <v>350</v>
      </c>
      <c r="J47" s="155"/>
      <c r="K47" s="155"/>
      <c r="L47" s="156"/>
    </row>
    <row r="49" spans="1:18" s="8" customFormat="1" ht="30" customHeight="1" x14ac:dyDescent="0.3">
      <c r="A49" s="133" t="s">
        <v>321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6"/>
    </row>
    <row r="50" spans="1:18" s="12" customFormat="1" ht="14.55" customHeight="1" x14ac:dyDescent="0.3">
      <c r="A50" s="128" t="s">
        <v>1</v>
      </c>
      <c r="B50" s="137" t="s">
        <v>2</v>
      </c>
      <c r="C50" s="137" t="s">
        <v>3</v>
      </c>
      <c r="D50" s="137" t="s">
        <v>4</v>
      </c>
      <c r="E50" s="124" t="s">
        <v>5</v>
      </c>
      <c r="F50" s="138" t="s">
        <v>14</v>
      </c>
      <c r="G50" s="138" t="s">
        <v>15</v>
      </c>
      <c r="H50" s="119" t="s">
        <v>27</v>
      </c>
      <c r="I50" s="121" t="s">
        <v>6</v>
      </c>
      <c r="J50" s="122"/>
      <c r="K50" s="122"/>
      <c r="L50" s="123"/>
      <c r="M50" s="124" t="s">
        <v>7</v>
      </c>
      <c r="N50" s="125"/>
      <c r="O50" s="128" t="s">
        <v>8</v>
      </c>
      <c r="P50" s="128" t="s">
        <v>9</v>
      </c>
      <c r="Q50" s="128"/>
      <c r="R50" s="128"/>
    </row>
    <row r="51" spans="1:18" s="12" customFormat="1" ht="13.05" customHeight="1" x14ac:dyDescent="0.3">
      <c r="A51" s="128"/>
      <c r="B51" s="137"/>
      <c r="C51" s="137"/>
      <c r="D51" s="137"/>
      <c r="E51" s="126"/>
      <c r="F51" s="139"/>
      <c r="G51" s="139"/>
      <c r="H51" s="120"/>
      <c r="I51" s="121" t="s">
        <v>23</v>
      </c>
      <c r="J51" s="123"/>
      <c r="K51" s="121" t="s">
        <v>11</v>
      </c>
      <c r="L51" s="123"/>
      <c r="M51" s="126"/>
      <c r="N51" s="127"/>
      <c r="O51" s="128"/>
      <c r="P51" s="128"/>
      <c r="Q51" s="128"/>
      <c r="R51" s="128"/>
    </row>
    <row r="52" spans="1:18" ht="14.55" customHeight="1" x14ac:dyDescent="0.3">
      <c r="A52" s="140" t="s">
        <v>132</v>
      </c>
      <c r="B52" s="5">
        <v>0.33333333333333331</v>
      </c>
      <c r="C52" s="5">
        <v>0.875</v>
      </c>
      <c r="D52" s="4">
        <v>250049</v>
      </c>
      <c r="E52" s="3" t="s">
        <v>442</v>
      </c>
      <c r="F52" s="19">
        <v>304</v>
      </c>
      <c r="G52" s="20">
        <v>0.7</v>
      </c>
      <c r="H52" s="28"/>
      <c r="I52" s="143">
        <v>800</v>
      </c>
      <c r="J52" s="144"/>
      <c r="K52" s="143"/>
      <c r="L52" s="144"/>
      <c r="M52" s="107"/>
      <c r="N52" s="6" t="s">
        <v>13</v>
      </c>
      <c r="O52" s="21"/>
      <c r="P52" s="157"/>
      <c r="Q52" s="158"/>
      <c r="R52" s="159"/>
    </row>
    <row r="53" spans="1:18" ht="14.55" customHeight="1" x14ac:dyDescent="0.3">
      <c r="A53" s="166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107"/>
      <c r="N53" s="6" t="s">
        <v>13</v>
      </c>
      <c r="O53" s="21"/>
      <c r="P53" s="160"/>
      <c r="Q53" s="161"/>
      <c r="R53" s="162"/>
    </row>
    <row r="54" spans="1:18" ht="14.55" customHeight="1" x14ac:dyDescent="0.3">
      <c r="A54" s="166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107"/>
      <c r="N54" s="6" t="s">
        <v>13</v>
      </c>
      <c r="O54" s="21"/>
      <c r="P54" s="160"/>
      <c r="Q54" s="161"/>
      <c r="R54" s="162"/>
    </row>
    <row r="55" spans="1:18" ht="14.55" customHeight="1" x14ac:dyDescent="0.3">
      <c r="A55" s="167"/>
      <c r="B55" s="148" t="s">
        <v>0</v>
      </c>
      <c r="C55" s="149"/>
      <c r="D55" s="149"/>
      <c r="E55" s="149"/>
      <c r="F55" s="149"/>
      <c r="G55" s="149"/>
      <c r="H55" s="149"/>
      <c r="I55" s="150">
        <f ca="1">SUM(I52:J55)</f>
        <v>0</v>
      </c>
      <c r="J55" s="151"/>
      <c r="K55" s="150">
        <f ca="1">SUM(K52:L55)</f>
        <v>0</v>
      </c>
      <c r="L55" s="151"/>
      <c r="M55" s="10">
        <f>SUM(M52:M54)</f>
        <v>0</v>
      </c>
      <c r="N55" s="11" t="s">
        <v>13</v>
      </c>
      <c r="O55" s="9"/>
      <c r="P55" s="163"/>
      <c r="Q55" s="164"/>
      <c r="R55" s="165"/>
    </row>
    <row r="57" spans="1:18" x14ac:dyDescent="0.3">
      <c r="E57" s="148" t="s">
        <v>317</v>
      </c>
      <c r="F57" s="149"/>
      <c r="G57" s="149"/>
      <c r="H57" s="149"/>
      <c r="I57" s="152" t="s">
        <v>23</v>
      </c>
      <c r="J57" s="153"/>
      <c r="K57" s="172" t="s">
        <v>11</v>
      </c>
      <c r="L57" s="153"/>
    </row>
    <row r="58" spans="1:18" s="105" customFormat="1" x14ac:dyDescent="0.3">
      <c r="E58" s="7"/>
      <c r="F58" s="7"/>
      <c r="G58" s="7"/>
      <c r="H58" s="7"/>
      <c r="I58" s="22">
        <f ca="1">I55</f>
        <v>0</v>
      </c>
      <c r="J58" s="14" t="s">
        <v>12</v>
      </c>
      <c r="K58" s="22">
        <f ca="1">K55</f>
        <v>0</v>
      </c>
      <c r="L58" s="15" t="s">
        <v>12</v>
      </c>
    </row>
    <row r="59" spans="1:18" s="1" customFormat="1" ht="24.45" customHeight="1" x14ac:dyDescent="0.3">
      <c r="A59" s="104"/>
      <c r="B59" s="104"/>
      <c r="C59" s="104"/>
      <c r="E59" s="13"/>
      <c r="F59" s="13"/>
      <c r="G59" s="13"/>
      <c r="H59" s="13"/>
      <c r="I59" s="154">
        <f ca="1">I58+K58</f>
        <v>0</v>
      </c>
      <c r="J59" s="155"/>
      <c r="K59" s="155"/>
      <c r="L59" s="156"/>
      <c r="N59" s="104"/>
      <c r="O59" s="104"/>
      <c r="P59" s="104"/>
      <c r="Q59" s="104"/>
      <c r="R59" s="104"/>
    </row>
    <row r="61" spans="1:18" s="8" customFormat="1" ht="30" customHeight="1" x14ac:dyDescent="0.3">
      <c r="A61" s="133" t="s">
        <v>36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6"/>
    </row>
    <row r="62" spans="1:18" s="12" customFormat="1" ht="14.55" customHeight="1" x14ac:dyDescent="0.3">
      <c r="A62" s="128" t="s">
        <v>1</v>
      </c>
      <c r="B62" s="137" t="s">
        <v>2</v>
      </c>
      <c r="C62" s="137" t="s">
        <v>3</v>
      </c>
      <c r="D62" s="137" t="s">
        <v>4</v>
      </c>
      <c r="E62" s="124" t="s">
        <v>5</v>
      </c>
      <c r="F62" s="138" t="s">
        <v>14</v>
      </c>
      <c r="G62" s="138" t="s">
        <v>15</v>
      </c>
      <c r="H62" s="119" t="s">
        <v>29</v>
      </c>
      <c r="I62" s="121" t="s">
        <v>6</v>
      </c>
      <c r="J62" s="122"/>
      <c r="K62" s="122"/>
      <c r="L62" s="123"/>
      <c r="M62" s="124" t="s">
        <v>7</v>
      </c>
      <c r="N62" s="125"/>
      <c r="O62" s="128" t="s">
        <v>8</v>
      </c>
      <c r="P62" s="128" t="s">
        <v>9</v>
      </c>
      <c r="Q62" s="128"/>
      <c r="R62" s="128"/>
    </row>
    <row r="63" spans="1:18" s="12" customFormat="1" ht="13.05" customHeight="1" x14ac:dyDescent="0.3">
      <c r="A63" s="128"/>
      <c r="B63" s="137"/>
      <c r="C63" s="137"/>
      <c r="D63" s="137"/>
      <c r="E63" s="126"/>
      <c r="F63" s="139"/>
      <c r="G63" s="139"/>
      <c r="H63" s="120"/>
      <c r="I63" s="121" t="s">
        <v>19</v>
      </c>
      <c r="J63" s="123"/>
      <c r="K63" s="121" t="s">
        <v>20</v>
      </c>
      <c r="L63" s="123"/>
      <c r="M63" s="126"/>
      <c r="N63" s="127"/>
      <c r="O63" s="128"/>
      <c r="P63" s="128"/>
      <c r="Q63" s="128"/>
      <c r="R63" s="128"/>
    </row>
    <row r="64" spans="1:18" ht="14.55" customHeight="1" x14ac:dyDescent="0.3">
      <c r="A64" s="140" t="s">
        <v>37</v>
      </c>
      <c r="B64" s="5">
        <v>0.33333333333333331</v>
      </c>
      <c r="C64" s="5"/>
      <c r="D64" s="4">
        <v>270825</v>
      </c>
      <c r="E64" s="3" t="s">
        <v>443</v>
      </c>
      <c r="F64" s="19">
        <v>430</v>
      </c>
      <c r="G64" s="20">
        <v>0.5</v>
      </c>
      <c r="H64" s="28" t="s">
        <v>137</v>
      </c>
      <c r="I64" s="143">
        <v>1230</v>
      </c>
      <c r="J64" s="144"/>
      <c r="K64" s="143"/>
      <c r="L64" s="144"/>
      <c r="M64" s="107"/>
      <c r="N64" s="6" t="s">
        <v>13</v>
      </c>
      <c r="O64" s="21"/>
      <c r="P64" s="157"/>
      <c r="Q64" s="158"/>
      <c r="R64" s="159"/>
    </row>
    <row r="65" spans="1:18" ht="14.55" customHeight="1" x14ac:dyDescent="0.3">
      <c r="A65" s="166"/>
      <c r="B65" s="5"/>
      <c r="C65" s="5"/>
      <c r="D65" s="4">
        <v>250052</v>
      </c>
      <c r="E65" s="3" t="s">
        <v>220</v>
      </c>
      <c r="F65" s="19">
        <v>304</v>
      </c>
      <c r="G65" s="20">
        <v>0.7</v>
      </c>
      <c r="H65" s="28" t="s">
        <v>137</v>
      </c>
      <c r="I65" s="143">
        <v>1552</v>
      </c>
      <c r="J65" s="144"/>
      <c r="K65" s="143"/>
      <c r="L65" s="144"/>
      <c r="M65" s="107"/>
      <c r="N65" s="6" t="s">
        <v>13</v>
      </c>
      <c r="O65" s="21"/>
      <c r="P65" s="160"/>
      <c r="Q65" s="161"/>
      <c r="R65" s="162"/>
    </row>
    <row r="66" spans="1:18" ht="14.55" customHeight="1" x14ac:dyDescent="0.3">
      <c r="A66" s="166"/>
      <c r="B66" s="5"/>
      <c r="C66" s="5"/>
      <c r="D66" s="4">
        <v>160925</v>
      </c>
      <c r="E66" s="3" t="s">
        <v>444</v>
      </c>
      <c r="F66" s="19">
        <v>304</v>
      </c>
      <c r="G66" s="20">
        <v>0.7</v>
      </c>
      <c r="H66" s="28" t="s">
        <v>137</v>
      </c>
      <c r="I66" s="143">
        <v>150</v>
      </c>
      <c r="J66" s="144"/>
      <c r="K66" s="143"/>
      <c r="L66" s="144"/>
      <c r="M66" s="107"/>
      <c r="N66" s="6" t="s">
        <v>13</v>
      </c>
      <c r="O66" s="21"/>
      <c r="P66" s="160"/>
      <c r="Q66" s="161"/>
      <c r="R66" s="162"/>
    </row>
    <row r="67" spans="1:18" ht="14.55" customHeight="1" x14ac:dyDescent="0.3">
      <c r="A67" s="166"/>
      <c r="B67" s="5"/>
      <c r="C67" s="5"/>
      <c r="D67" s="4">
        <v>160925</v>
      </c>
      <c r="E67" s="3" t="s">
        <v>445</v>
      </c>
      <c r="F67" s="19">
        <v>304</v>
      </c>
      <c r="G67" s="20">
        <v>0.9</v>
      </c>
      <c r="H67" s="28" t="s">
        <v>137</v>
      </c>
      <c r="I67" s="143"/>
      <c r="J67" s="144"/>
      <c r="K67" s="143">
        <v>52</v>
      </c>
      <c r="L67" s="144"/>
      <c r="M67" s="107"/>
      <c r="N67" s="6" t="s">
        <v>13</v>
      </c>
      <c r="O67" s="21"/>
      <c r="P67" s="160"/>
      <c r="Q67" s="161"/>
      <c r="R67" s="162"/>
    </row>
    <row r="68" spans="1:18" ht="14.55" customHeight="1" x14ac:dyDescent="0.3">
      <c r="A68" s="166"/>
      <c r="B68" s="5"/>
      <c r="C68" s="5">
        <v>0.875</v>
      </c>
      <c r="D68" s="4">
        <v>270825</v>
      </c>
      <c r="E68" s="3" t="s">
        <v>446</v>
      </c>
      <c r="F68" s="19">
        <v>430</v>
      </c>
      <c r="G68" s="20">
        <v>0.5</v>
      </c>
      <c r="H68" s="28" t="s">
        <v>137</v>
      </c>
      <c r="I68" s="143">
        <v>460</v>
      </c>
      <c r="J68" s="144"/>
      <c r="K68" s="143"/>
      <c r="L68" s="144"/>
      <c r="M68" s="107"/>
      <c r="N68" s="6" t="s">
        <v>13</v>
      </c>
      <c r="O68" s="21"/>
      <c r="P68" s="160"/>
      <c r="Q68" s="161"/>
      <c r="R68" s="162"/>
    </row>
    <row r="69" spans="1:18" ht="14.55" customHeight="1" x14ac:dyDescent="0.3">
      <c r="A69" s="166"/>
      <c r="B69" s="5"/>
      <c r="C69" s="5"/>
      <c r="D69" s="4"/>
      <c r="E69" s="3"/>
      <c r="F69" s="19"/>
      <c r="G69" s="20"/>
      <c r="H69" s="28"/>
      <c r="I69" s="143"/>
      <c r="J69" s="144"/>
      <c r="K69" s="143"/>
      <c r="L69" s="144"/>
      <c r="M69" s="107"/>
      <c r="N69" s="6" t="s">
        <v>13</v>
      </c>
      <c r="O69" s="21"/>
      <c r="P69" s="160"/>
      <c r="Q69" s="161"/>
      <c r="R69" s="162"/>
    </row>
    <row r="70" spans="1:18" ht="14.55" customHeight="1" x14ac:dyDescent="0.3">
      <c r="A70" s="166"/>
      <c r="B70" s="5"/>
      <c r="C70" s="5"/>
      <c r="D70" s="4"/>
      <c r="E70" s="3"/>
      <c r="F70" s="19"/>
      <c r="G70" s="20"/>
      <c r="H70" s="28"/>
      <c r="I70" s="143"/>
      <c r="J70" s="144"/>
      <c r="K70" s="143"/>
      <c r="L70" s="144"/>
      <c r="M70" s="107"/>
      <c r="N70" s="6" t="s">
        <v>13</v>
      </c>
      <c r="O70" s="21"/>
      <c r="P70" s="160"/>
      <c r="Q70" s="161"/>
      <c r="R70" s="162"/>
    </row>
    <row r="71" spans="1:18" ht="14.55" customHeight="1" x14ac:dyDescent="0.3">
      <c r="A71" s="167"/>
      <c r="B71" s="148" t="s">
        <v>0</v>
      </c>
      <c r="C71" s="149"/>
      <c r="D71" s="149"/>
      <c r="E71" s="149"/>
      <c r="F71" s="149"/>
      <c r="G71" s="149"/>
      <c r="H71" s="149"/>
      <c r="I71" s="150">
        <f>SUM(I64:J70)</f>
        <v>3392</v>
      </c>
      <c r="J71" s="151"/>
      <c r="K71" s="150">
        <f>SUM(K64:L70)</f>
        <v>52</v>
      </c>
      <c r="L71" s="151"/>
      <c r="M71" s="10">
        <f>SUM(M64:M70)</f>
        <v>0</v>
      </c>
      <c r="N71" s="11" t="s">
        <v>13</v>
      </c>
      <c r="O71" s="9"/>
      <c r="P71" s="163"/>
      <c r="Q71" s="164"/>
      <c r="R71" s="165"/>
    </row>
    <row r="72" spans="1:18" ht="14.55" customHeight="1" x14ac:dyDescent="0.3">
      <c r="D72" s="104"/>
      <c r="E72" s="1"/>
      <c r="F72" s="1"/>
      <c r="G72" s="1"/>
      <c r="H72" s="1"/>
      <c r="M72" s="104"/>
    </row>
    <row r="73" spans="1:18" x14ac:dyDescent="0.3">
      <c r="E73" s="148" t="s">
        <v>324</v>
      </c>
      <c r="F73" s="149"/>
      <c r="G73" s="149"/>
      <c r="H73" s="149"/>
      <c r="I73" s="152" t="s">
        <v>19</v>
      </c>
      <c r="J73" s="153"/>
      <c r="K73" s="152" t="s">
        <v>20</v>
      </c>
      <c r="L73" s="153"/>
    </row>
    <row r="74" spans="1:18" s="105" customFormat="1" x14ac:dyDescent="0.3">
      <c r="E74" s="7"/>
      <c r="F74" s="7"/>
      <c r="G74" s="7"/>
      <c r="H74" s="7"/>
      <c r="I74" s="22">
        <f>I71</f>
        <v>3392</v>
      </c>
      <c r="J74" s="14" t="s">
        <v>12</v>
      </c>
      <c r="K74" s="22">
        <f>K71</f>
        <v>52</v>
      </c>
      <c r="L74" s="15" t="s">
        <v>12</v>
      </c>
    </row>
    <row r="75" spans="1:18" ht="24.45" customHeight="1" x14ac:dyDescent="0.3">
      <c r="E75" s="13"/>
      <c r="F75" s="13"/>
      <c r="G75" s="13"/>
      <c r="H75" s="13"/>
      <c r="I75" s="154">
        <f>I74+K74</f>
        <v>3444</v>
      </c>
      <c r="J75" s="155"/>
      <c r="K75" s="155"/>
      <c r="L75" s="156"/>
    </row>
    <row r="77" spans="1:18" s="8" customFormat="1" ht="30" customHeight="1" x14ac:dyDescent="0.3">
      <c r="A77" s="133" t="s">
        <v>322</v>
      </c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6"/>
    </row>
    <row r="78" spans="1:18" s="12" customFormat="1" ht="14.55" customHeight="1" x14ac:dyDescent="0.3">
      <c r="A78" s="128" t="s">
        <v>1</v>
      </c>
      <c r="B78" s="137" t="s">
        <v>2</v>
      </c>
      <c r="C78" s="137" t="s">
        <v>3</v>
      </c>
      <c r="D78" s="137" t="s">
        <v>4</v>
      </c>
      <c r="E78" s="124" t="s">
        <v>5</v>
      </c>
      <c r="F78" s="138" t="s">
        <v>14</v>
      </c>
      <c r="G78" s="138" t="s">
        <v>15</v>
      </c>
      <c r="H78" s="119" t="s">
        <v>29</v>
      </c>
      <c r="I78" s="121" t="s">
        <v>6</v>
      </c>
      <c r="J78" s="122"/>
      <c r="K78" s="122"/>
      <c r="L78" s="123"/>
      <c r="M78" s="124" t="s">
        <v>7</v>
      </c>
      <c r="N78" s="125"/>
      <c r="O78" s="128" t="s">
        <v>8</v>
      </c>
      <c r="P78" s="128" t="s">
        <v>9</v>
      </c>
      <c r="Q78" s="128"/>
      <c r="R78" s="128"/>
    </row>
    <row r="79" spans="1:18" s="12" customFormat="1" ht="13.05" customHeight="1" x14ac:dyDescent="0.3">
      <c r="A79" s="128"/>
      <c r="B79" s="137"/>
      <c r="C79" s="137"/>
      <c r="D79" s="137"/>
      <c r="E79" s="126"/>
      <c r="F79" s="139"/>
      <c r="G79" s="139"/>
      <c r="H79" s="120"/>
      <c r="I79" s="121" t="s">
        <v>19</v>
      </c>
      <c r="J79" s="123"/>
      <c r="K79" s="121" t="s">
        <v>20</v>
      </c>
      <c r="L79" s="123"/>
      <c r="M79" s="126"/>
      <c r="N79" s="127"/>
      <c r="O79" s="128"/>
      <c r="P79" s="128"/>
      <c r="Q79" s="128"/>
      <c r="R79" s="128"/>
    </row>
    <row r="80" spans="1:18" ht="14.55" customHeight="1" x14ac:dyDescent="0.3">
      <c r="A80" s="140" t="s">
        <v>37</v>
      </c>
      <c r="B80" s="5">
        <v>0.33333333333333331</v>
      </c>
      <c r="C80" s="5"/>
      <c r="D80" s="4">
        <v>190925</v>
      </c>
      <c r="E80" s="3" t="s">
        <v>409</v>
      </c>
      <c r="F80" s="19">
        <v>304</v>
      </c>
      <c r="G80" s="20">
        <v>0.9</v>
      </c>
      <c r="H80" s="28" t="s">
        <v>271</v>
      </c>
      <c r="I80" s="143"/>
      <c r="J80" s="144"/>
      <c r="K80" s="143">
        <v>890</v>
      </c>
      <c r="L80" s="144"/>
      <c r="M80" s="107"/>
      <c r="N80" s="6" t="s">
        <v>13</v>
      </c>
      <c r="O80" s="21"/>
      <c r="P80" s="157"/>
      <c r="Q80" s="158"/>
      <c r="R80" s="159"/>
    </row>
    <row r="81" spans="1:18" ht="14.55" customHeight="1" x14ac:dyDescent="0.3">
      <c r="A81" s="166"/>
      <c r="B81" s="5"/>
      <c r="C81" s="5"/>
      <c r="D81" s="4">
        <v>180925</v>
      </c>
      <c r="E81" s="3" t="s">
        <v>341</v>
      </c>
      <c r="F81" s="19">
        <v>304</v>
      </c>
      <c r="G81" s="20">
        <v>0.7</v>
      </c>
      <c r="H81" s="28" t="s">
        <v>271</v>
      </c>
      <c r="I81" s="143">
        <v>740</v>
      </c>
      <c r="J81" s="144"/>
      <c r="K81" s="143"/>
      <c r="L81" s="144"/>
      <c r="M81" s="107"/>
      <c r="N81" s="6" t="s">
        <v>13</v>
      </c>
      <c r="O81" s="21"/>
      <c r="P81" s="160"/>
      <c r="Q81" s="161"/>
      <c r="R81" s="162"/>
    </row>
    <row r="82" spans="1:18" ht="14.55" customHeight="1" x14ac:dyDescent="0.3">
      <c r="A82" s="166"/>
      <c r="B82" s="5"/>
      <c r="C82" s="5">
        <v>0.875</v>
      </c>
      <c r="D82" s="4">
        <v>180925</v>
      </c>
      <c r="E82" s="3" t="s">
        <v>342</v>
      </c>
      <c r="F82" s="19">
        <v>304</v>
      </c>
      <c r="G82" s="20">
        <v>0.7</v>
      </c>
      <c r="H82" s="28" t="s">
        <v>271</v>
      </c>
      <c r="I82" s="143">
        <v>800</v>
      </c>
      <c r="J82" s="144"/>
      <c r="K82" s="143"/>
      <c r="L82" s="144"/>
      <c r="M82" s="107"/>
      <c r="N82" s="6" t="s">
        <v>13</v>
      </c>
      <c r="O82" s="21"/>
      <c r="P82" s="160"/>
      <c r="Q82" s="161"/>
      <c r="R82" s="162"/>
    </row>
    <row r="83" spans="1:18" ht="14.55" customHeight="1" x14ac:dyDescent="0.3">
      <c r="A83" s="166"/>
      <c r="B83" s="5"/>
      <c r="C83" s="5"/>
      <c r="D83" s="4"/>
      <c r="E83" s="3"/>
      <c r="F83" s="19"/>
      <c r="G83" s="20"/>
      <c r="H83" s="28"/>
      <c r="I83" s="143"/>
      <c r="J83" s="144"/>
      <c r="K83" s="143"/>
      <c r="L83" s="144"/>
      <c r="M83" s="107"/>
      <c r="N83" s="6" t="s">
        <v>13</v>
      </c>
      <c r="O83" s="21"/>
      <c r="P83" s="160"/>
      <c r="Q83" s="161"/>
      <c r="R83" s="162"/>
    </row>
    <row r="84" spans="1:18" ht="14.55" customHeight="1" x14ac:dyDescent="0.3">
      <c r="A84" s="167"/>
      <c r="B84" s="148" t="s">
        <v>0</v>
      </c>
      <c r="C84" s="149"/>
      <c r="D84" s="149"/>
      <c r="E84" s="149"/>
      <c r="F84" s="149"/>
      <c r="G84" s="149"/>
      <c r="H84" s="149"/>
      <c r="I84" s="150">
        <f>SUM(I80:J83)</f>
        <v>1540</v>
      </c>
      <c r="J84" s="151"/>
      <c r="K84" s="150">
        <f>SUM(K80:L83)</f>
        <v>890</v>
      </c>
      <c r="L84" s="151"/>
      <c r="M84" s="10">
        <f>SUM(M80:M83)</f>
        <v>0</v>
      </c>
      <c r="N84" s="11" t="s">
        <v>13</v>
      </c>
      <c r="O84" s="9"/>
      <c r="P84" s="163"/>
      <c r="Q84" s="164"/>
      <c r="R84" s="165"/>
    </row>
    <row r="85" spans="1:18" ht="14.55" customHeight="1" x14ac:dyDescent="0.3">
      <c r="D85" s="104"/>
      <c r="E85" s="1"/>
      <c r="F85" s="1"/>
      <c r="G85" s="1"/>
      <c r="H85" s="1"/>
      <c r="M85" s="104"/>
    </row>
    <row r="86" spans="1:18" x14ac:dyDescent="0.3">
      <c r="E86" s="148" t="s">
        <v>323</v>
      </c>
      <c r="F86" s="149"/>
      <c r="G86" s="149"/>
      <c r="H86" s="149"/>
      <c r="I86" s="152" t="s">
        <v>19</v>
      </c>
      <c r="J86" s="153"/>
      <c r="K86" s="152" t="s">
        <v>20</v>
      </c>
      <c r="L86" s="153"/>
    </row>
    <row r="87" spans="1:18" s="105" customFormat="1" x14ac:dyDescent="0.3">
      <c r="E87" s="7"/>
      <c r="F87" s="7"/>
      <c r="G87" s="7"/>
      <c r="H87" s="7"/>
      <c r="I87" s="22">
        <f>I84</f>
        <v>1540</v>
      </c>
      <c r="J87" s="14" t="s">
        <v>12</v>
      </c>
      <c r="K87" s="22">
        <f>K84</f>
        <v>890</v>
      </c>
      <c r="L87" s="15" t="s">
        <v>12</v>
      </c>
    </row>
    <row r="88" spans="1:18" ht="24.45" customHeight="1" x14ac:dyDescent="0.3">
      <c r="E88" s="13"/>
      <c r="F88" s="13"/>
      <c r="G88" s="13"/>
      <c r="H88" s="13"/>
      <c r="I88" s="154">
        <f>I87+K87</f>
        <v>2430</v>
      </c>
      <c r="J88" s="155"/>
      <c r="K88" s="155"/>
      <c r="L88" s="156"/>
    </row>
    <row r="90" spans="1:18" s="8" customFormat="1" ht="30" customHeight="1" x14ac:dyDescent="0.3">
      <c r="A90" s="133" t="s">
        <v>30</v>
      </c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6"/>
    </row>
    <row r="91" spans="1:18" s="12" customFormat="1" ht="14.55" customHeight="1" x14ac:dyDescent="0.3">
      <c r="A91" s="128" t="s">
        <v>1</v>
      </c>
      <c r="B91" s="137" t="s">
        <v>2</v>
      </c>
      <c r="C91" s="137" t="s">
        <v>3</v>
      </c>
      <c r="D91" s="137" t="s">
        <v>4</v>
      </c>
      <c r="E91" s="124" t="s">
        <v>5</v>
      </c>
      <c r="F91" s="138" t="s">
        <v>14</v>
      </c>
      <c r="G91" s="138" t="s">
        <v>15</v>
      </c>
      <c r="H91" s="119" t="s">
        <v>29</v>
      </c>
      <c r="I91" s="121" t="s">
        <v>6</v>
      </c>
      <c r="J91" s="122"/>
      <c r="K91" s="122"/>
      <c r="L91" s="123"/>
      <c r="M91" s="124" t="s">
        <v>7</v>
      </c>
      <c r="N91" s="125"/>
      <c r="O91" s="128" t="s">
        <v>8</v>
      </c>
      <c r="P91" s="128" t="s">
        <v>9</v>
      </c>
      <c r="Q91" s="128"/>
      <c r="R91" s="128"/>
    </row>
    <row r="92" spans="1:18" s="12" customFormat="1" ht="13.05" customHeight="1" x14ac:dyDescent="0.3">
      <c r="A92" s="128"/>
      <c r="B92" s="137"/>
      <c r="C92" s="137"/>
      <c r="D92" s="137"/>
      <c r="E92" s="126"/>
      <c r="F92" s="139"/>
      <c r="G92" s="139"/>
      <c r="H92" s="120"/>
      <c r="I92" s="121" t="s">
        <v>19</v>
      </c>
      <c r="J92" s="123"/>
      <c r="K92" s="121" t="s">
        <v>20</v>
      </c>
      <c r="L92" s="123"/>
      <c r="M92" s="126"/>
      <c r="N92" s="127"/>
      <c r="O92" s="128"/>
      <c r="P92" s="128"/>
      <c r="Q92" s="128"/>
      <c r="R92" s="128"/>
    </row>
    <row r="93" spans="1:18" ht="14.55" customHeight="1" x14ac:dyDescent="0.3">
      <c r="A93" s="140" t="s">
        <v>35</v>
      </c>
      <c r="B93" s="5">
        <v>0.33333333333333331</v>
      </c>
      <c r="C93" s="5">
        <v>0.875</v>
      </c>
      <c r="D93" s="4">
        <v>180925</v>
      </c>
      <c r="E93" s="3" t="s">
        <v>408</v>
      </c>
      <c r="F93" s="19">
        <v>304</v>
      </c>
      <c r="G93" s="20">
        <v>0.7</v>
      </c>
      <c r="H93" s="28" t="s">
        <v>130</v>
      </c>
      <c r="I93" s="143">
        <v>805</v>
      </c>
      <c r="J93" s="144"/>
      <c r="K93" s="143"/>
      <c r="L93" s="144"/>
      <c r="M93" s="107"/>
      <c r="N93" s="6" t="s">
        <v>13</v>
      </c>
      <c r="O93" s="21"/>
      <c r="P93" s="168"/>
      <c r="Q93" s="169"/>
      <c r="R93" s="170"/>
    </row>
    <row r="94" spans="1:18" ht="14.55" customHeight="1" x14ac:dyDescent="0.3">
      <c r="A94" s="166"/>
      <c r="B94" s="5"/>
      <c r="C94" s="5"/>
      <c r="D94" s="4"/>
      <c r="E94" s="3"/>
      <c r="F94" s="19"/>
      <c r="G94" s="20"/>
      <c r="H94" s="28"/>
      <c r="I94" s="143"/>
      <c r="J94" s="144"/>
      <c r="K94" s="143"/>
      <c r="L94" s="144"/>
      <c r="M94" s="107"/>
      <c r="N94" s="6" t="s">
        <v>13</v>
      </c>
      <c r="O94" s="21"/>
      <c r="P94" s="168"/>
      <c r="Q94" s="169"/>
      <c r="R94" s="170"/>
    </row>
    <row r="95" spans="1:18" ht="14.55" customHeight="1" x14ac:dyDescent="0.3">
      <c r="A95" s="166"/>
      <c r="B95" s="5"/>
      <c r="C95" s="5"/>
      <c r="D95" s="4"/>
      <c r="E95" s="3"/>
      <c r="F95" s="19"/>
      <c r="G95" s="20"/>
      <c r="H95" s="28"/>
      <c r="I95" s="143"/>
      <c r="J95" s="144"/>
      <c r="K95" s="143"/>
      <c r="L95" s="144"/>
      <c r="M95" s="107"/>
      <c r="N95" s="6" t="s">
        <v>13</v>
      </c>
      <c r="O95" s="21"/>
      <c r="P95" s="168"/>
      <c r="Q95" s="169"/>
      <c r="R95" s="170"/>
    </row>
    <row r="96" spans="1:18" ht="14.55" customHeight="1" x14ac:dyDescent="0.3">
      <c r="A96" s="167"/>
      <c r="B96" s="148" t="s">
        <v>0</v>
      </c>
      <c r="C96" s="149"/>
      <c r="D96" s="149"/>
      <c r="E96" s="149"/>
      <c r="F96" s="149"/>
      <c r="G96" s="149"/>
      <c r="H96" s="149"/>
      <c r="I96" s="150">
        <f>SUM(I93:J95)</f>
        <v>805</v>
      </c>
      <c r="J96" s="151"/>
      <c r="K96" s="150">
        <f>SUM(K93:L95)</f>
        <v>0</v>
      </c>
      <c r="L96" s="151"/>
      <c r="M96" s="10">
        <f>SUM(M93:M95)</f>
        <v>0</v>
      </c>
      <c r="N96" s="11" t="s">
        <v>13</v>
      </c>
      <c r="O96" s="9"/>
      <c r="P96" s="168"/>
      <c r="Q96" s="169"/>
      <c r="R96" s="170"/>
    </row>
    <row r="97" spans="1:18" ht="14.55" customHeight="1" x14ac:dyDescent="0.3">
      <c r="D97" s="104"/>
      <c r="E97" s="1"/>
      <c r="F97" s="1"/>
      <c r="G97" s="1"/>
      <c r="H97" s="1"/>
      <c r="M97" s="104"/>
    </row>
    <row r="98" spans="1:18" x14ac:dyDescent="0.3">
      <c r="E98" s="148" t="s">
        <v>34</v>
      </c>
      <c r="F98" s="149"/>
      <c r="G98" s="149"/>
      <c r="H98" s="149"/>
      <c r="I98" s="152" t="s">
        <v>19</v>
      </c>
      <c r="J98" s="153"/>
      <c r="K98" s="152" t="s">
        <v>20</v>
      </c>
      <c r="L98" s="153"/>
    </row>
    <row r="99" spans="1:18" s="105" customFormat="1" x14ac:dyDescent="0.3">
      <c r="E99" s="7"/>
      <c r="F99" s="7"/>
      <c r="G99" s="7"/>
      <c r="H99" s="7"/>
      <c r="I99" s="22">
        <f>I96</f>
        <v>805</v>
      </c>
      <c r="J99" s="14" t="s">
        <v>12</v>
      </c>
      <c r="K99" s="22">
        <f>K96</f>
        <v>0</v>
      </c>
      <c r="L99" s="15" t="s">
        <v>12</v>
      </c>
    </row>
    <row r="100" spans="1:18" s="1" customFormat="1" ht="24.45" customHeight="1" x14ac:dyDescent="0.3">
      <c r="A100" s="104"/>
      <c r="B100" s="104"/>
      <c r="C100" s="104"/>
      <c r="E100" s="13"/>
      <c r="F100" s="13"/>
      <c r="G100" s="13"/>
      <c r="H100" s="13"/>
      <c r="I100" s="154">
        <f>I99+K99</f>
        <v>805</v>
      </c>
      <c r="J100" s="155"/>
      <c r="K100" s="155"/>
      <c r="L100" s="156"/>
      <c r="N100" s="104"/>
      <c r="O100" s="104"/>
      <c r="P100" s="104"/>
      <c r="Q100" s="104"/>
      <c r="R100" s="104"/>
    </row>
  </sheetData>
  <mergeCells count="244"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  <mergeCell ref="A16:A19"/>
    <mergeCell ref="I16:J16"/>
    <mergeCell ref="K16:L16"/>
    <mergeCell ref="A7:A15"/>
    <mergeCell ref="I7:J7"/>
    <mergeCell ref="K7:L7"/>
    <mergeCell ref="P7:R15"/>
    <mergeCell ref="I8:J8"/>
    <mergeCell ref="K8:L8"/>
    <mergeCell ref="I13:J13"/>
    <mergeCell ref="K13:L13"/>
    <mergeCell ref="I14:J14"/>
    <mergeCell ref="K14:L14"/>
    <mergeCell ref="P16:R19"/>
    <mergeCell ref="I17:J17"/>
    <mergeCell ref="K17:L17"/>
    <mergeCell ref="I18:J18"/>
    <mergeCell ref="K18:L18"/>
    <mergeCell ref="B19:H19"/>
    <mergeCell ref="I19:J19"/>
    <mergeCell ref="K19:L19"/>
    <mergeCell ref="B15:H15"/>
    <mergeCell ref="I15:J15"/>
    <mergeCell ref="K15:L15"/>
    <mergeCell ref="E21:H21"/>
    <mergeCell ref="I21:J21"/>
    <mergeCell ref="K21:L21"/>
    <mergeCell ref="I23:L23"/>
    <mergeCell ref="A25:R25"/>
    <mergeCell ref="A26:A27"/>
    <mergeCell ref="B26:B27"/>
    <mergeCell ref="C26:C27"/>
    <mergeCell ref="D26:D27"/>
    <mergeCell ref="E26:E27"/>
    <mergeCell ref="P26:R27"/>
    <mergeCell ref="I27:J27"/>
    <mergeCell ref="K27:L27"/>
    <mergeCell ref="A28:A31"/>
    <mergeCell ref="I28:J28"/>
    <mergeCell ref="K28:L28"/>
    <mergeCell ref="P28:R31"/>
    <mergeCell ref="I29:J29"/>
    <mergeCell ref="K29:L29"/>
    <mergeCell ref="I30:J30"/>
    <mergeCell ref="F26:F27"/>
    <mergeCell ref="G26:G27"/>
    <mergeCell ref="H26:H27"/>
    <mergeCell ref="I26:L26"/>
    <mergeCell ref="M26:N27"/>
    <mergeCell ref="O26:O27"/>
    <mergeCell ref="K30:L30"/>
    <mergeCell ref="B31:H31"/>
    <mergeCell ref="I31:J31"/>
    <mergeCell ref="K31:L31"/>
    <mergeCell ref="A32:A37"/>
    <mergeCell ref="I32:J32"/>
    <mergeCell ref="K32:L32"/>
    <mergeCell ref="B37:H37"/>
    <mergeCell ref="K37:L37"/>
    <mergeCell ref="P38:R43"/>
    <mergeCell ref="I39:J39"/>
    <mergeCell ref="K39:L39"/>
    <mergeCell ref="I40:J40"/>
    <mergeCell ref="K40:L40"/>
    <mergeCell ref="I41:J41"/>
    <mergeCell ref="K41:L41"/>
    <mergeCell ref="P32:R37"/>
    <mergeCell ref="I33:J33"/>
    <mergeCell ref="K33:L33"/>
    <mergeCell ref="I34:J34"/>
    <mergeCell ref="K34:L34"/>
    <mergeCell ref="I35:J35"/>
    <mergeCell ref="K35:L35"/>
    <mergeCell ref="I36:J36"/>
    <mergeCell ref="K36:L36"/>
    <mergeCell ref="I37:J37"/>
    <mergeCell ref="I42:J42"/>
    <mergeCell ref="K42:L42"/>
    <mergeCell ref="B43:H43"/>
    <mergeCell ref="I43:J43"/>
    <mergeCell ref="K43:L43"/>
    <mergeCell ref="E45:H45"/>
    <mergeCell ref="I45:J45"/>
    <mergeCell ref="K45:L45"/>
    <mergeCell ref="A38:A43"/>
    <mergeCell ref="I38:J38"/>
    <mergeCell ref="K38:L38"/>
    <mergeCell ref="I47:L47"/>
    <mergeCell ref="A49:R49"/>
    <mergeCell ref="A50:A51"/>
    <mergeCell ref="B50:B51"/>
    <mergeCell ref="C50:C51"/>
    <mergeCell ref="D50:D51"/>
    <mergeCell ref="E50:E51"/>
    <mergeCell ref="F50:F51"/>
    <mergeCell ref="G50:G51"/>
    <mergeCell ref="H50:H51"/>
    <mergeCell ref="A52:A55"/>
    <mergeCell ref="I52:J52"/>
    <mergeCell ref="K52:L52"/>
    <mergeCell ref="P52:R55"/>
    <mergeCell ref="I53:J53"/>
    <mergeCell ref="K53:L53"/>
    <mergeCell ref="I54:J54"/>
    <mergeCell ref="K54:L54"/>
    <mergeCell ref="I50:L50"/>
    <mergeCell ref="M50:N51"/>
    <mergeCell ref="O50:O51"/>
    <mergeCell ref="P50:R51"/>
    <mergeCell ref="I51:J51"/>
    <mergeCell ref="K51:L51"/>
    <mergeCell ref="M62:N63"/>
    <mergeCell ref="O62:O63"/>
    <mergeCell ref="P62:R63"/>
    <mergeCell ref="I63:J63"/>
    <mergeCell ref="K63:L63"/>
    <mergeCell ref="B55:H55"/>
    <mergeCell ref="I55:J55"/>
    <mergeCell ref="K55:L55"/>
    <mergeCell ref="E57:H57"/>
    <mergeCell ref="I57:J57"/>
    <mergeCell ref="K57:L57"/>
    <mergeCell ref="B71:H71"/>
    <mergeCell ref="I71:J71"/>
    <mergeCell ref="K71:L71"/>
    <mergeCell ref="E73:H73"/>
    <mergeCell ref="I73:J73"/>
    <mergeCell ref="K73:L73"/>
    <mergeCell ref="A64:A71"/>
    <mergeCell ref="I64:J64"/>
    <mergeCell ref="K64:L64"/>
    <mergeCell ref="I69:J69"/>
    <mergeCell ref="K69:L69"/>
    <mergeCell ref="I65:J65"/>
    <mergeCell ref="K65:L65"/>
    <mergeCell ref="I66:J66"/>
    <mergeCell ref="K66:L66"/>
    <mergeCell ref="I70:J70"/>
    <mergeCell ref="K70:L70"/>
    <mergeCell ref="I75:L75"/>
    <mergeCell ref="A77:R77"/>
    <mergeCell ref="A78:A79"/>
    <mergeCell ref="B78:B79"/>
    <mergeCell ref="C78:C79"/>
    <mergeCell ref="D78:D79"/>
    <mergeCell ref="E78:E79"/>
    <mergeCell ref="F78:F79"/>
    <mergeCell ref="G78:G79"/>
    <mergeCell ref="H78:H79"/>
    <mergeCell ref="P80:R84"/>
    <mergeCell ref="I81:J81"/>
    <mergeCell ref="K81:L81"/>
    <mergeCell ref="I82:J82"/>
    <mergeCell ref="K82:L82"/>
    <mergeCell ref="I83:J83"/>
    <mergeCell ref="K83:L83"/>
    <mergeCell ref="I78:L78"/>
    <mergeCell ref="M78:N79"/>
    <mergeCell ref="O78:O79"/>
    <mergeCell ref="P78:R79"/>
    <mergeCell ref="I79:J79"/>
    <mergeCell ref="K79:L79"/>
    <mergeCell ref="B84:H84"/>
    <mergeCell ref="I84:J84"/>
    <mergeCell ref="K84:L84"/>
    <mergeCell ref="E86:H86"/>
    <mergeCell ref="I86:J86"/>
    <mergeCell ref="K86:L86"/>
    <mergeCell ref="A80:A84"/>
    <mergeCell ref="I80:J80"/>
    <mergeCell ref="K80:L80"/>
    <mergeCell ref="I91:L91"/>
    <mergeCell ref="M91:N92"/>
    <mergeCell ref="O91:O92"/>
    <mergeCell ref="P91:R92"/>
    <mergeCell ref="I92:J92"/>
    <mergeCell ref="K92:L92"/>
    <mergeCell ref="I88:L88"/>
    <mergeCell ref="A90:R90"/>
    <mergeCell ref="A91:A92"/>
    <mergeCell ref="B91:B92"/>
    <mergeCell ref="C91:C92"/>
    <mergeCell ref="D91:D92"/>
    <mergeCell ref="E91:E92"/>
    <mergeCell ref="F91:F92"/>
    <mergeCell ref="G91:G92"/>
    <mergeCell ref="H91:H92"/>
    <mergeCell ref="K96:L96"/>
    <mergeCell ref="P96:R96"/>
    <mergeCell ref="E98:H98"/>
    <mergeCell ref="I98:J98"/>
    <mergeCell ref="K98:L98"/>
    <mergeCell ref="I100:L100"/>
    <mergeCell ref="A93:A96"/>
    <mergeCell ref="I93:J93"/>
    <mergeCell ref="K93:L93"/>
    <mergeCell ref="P93:R95"/>
    <mergeCell ref="I94:J94"/>
    <mergeCell ref="K94:L94"/>
    <mergeCell ref="I95:J95"/>
    <mergeCell ref="K95:L95"/>
    <mergeCell ref="B96:H96"/>
    <mergeCell ref="I96:J96"/>
    <mergeCell ref="I12:J12"/>
    <mergeCell ref="K12:L12"/>
    <mergeCell ref="I67:J67"/>
    <mergeCell ref="K67:L67"/>
    <mergeCell ref="I68:J68"/>
    <mergeCell ref="K68:L68"/>
    <mergeCell ref="I9:J9"/>
    <mergeCell ref="K9:L9"/>
    <mergeCell ref="I10:J10"/>
    <mergeCell ref="K10:L10"/>
    <mergeCell ref="I11:J11"/>
    <mergeCell ref="K11:L11"/>
    <mergeCell ref="I59:L59"/>
    <mergeCell ref="A61:R61"/>
    <mergeCell ref="A62:A63"/>
    <mergeCell ref="B62:B63"/>
    <mergeCell ref="C62:C63"/>
    <mergeCell ref="D62:D63"/>
    <mergeCell ref="E62:E63"/>
    <mergeCell ref="F62:F63"/>
    <mergeCell ref="G62:G63"/>
    <mergeCell ref="H62:H63"/>
    <mergeCell ref="P64:R71"/>
    <mergeCell ref="I62:L62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3"/>
  <sheetViews>
    <sheetView zoomScale="85" zoomScaleNormal="85" workbookViewId="0">
      <selection activeCell="H58" sqref="H58"/>
    </sheetView>
  </sheetViews>
  <sheetFormatPr defaultColWidth="8.77734375" defaultRowHeight="14.4" x14ac:dyDescent="0.3"/>
  <cols>
    <col min="1" max="1" width="12.6640625" style="104" customWidth="1"/>
    <col min="2" max="3" width="7.6640625" style="104" customWidth="1"/>
    <col min="4" max="4" width="8.21875" style="1" bestFit="1" customWidth="1"/>
    <col min="5" max="5" width="40.6640625" style="104" customWidth="1"/>
    <col min="6" max="6" width="5.6640625" style="104" customWidth="1"/>
    <col min="7" max="7" width="6.6640625" style="104" customWidth="1"/>
    <col min="8" max="8" width="24.5546875" style="104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104" customWidth="1"/>
    <col min="15" max="15" width="21.5546875" style="104" bestFit="1" customWidth="1"/>
    <col min="16" max="18" width="7.6640625" style="104" customWidth="1"/>
    <col min="19" max="16384" width="8.77734375" style="104"/>
  </cols>
  <sheetData>
    <row r="1" spans="1:18" x14ac:dyDescent="0.3">
      <c r="D1" s="104"/>
      <c r="I1" s="104"/>
      <c r="J1" s="104"/>
      <c r="K1" s="104"/>
      <c r="L1" s="104"/>
      <c r="M1" s="104"/>
    </row>
    <row r="2" spans="1:18" x14ac:dyDescent="0.3">
      <c r="D2" s="104"/>
      <c r="I2" s="104"/>
      <c r="J2" s="104"/>
      <c r="K2" s="104"/>
      <c r="L2" s="104"/>
      <c r="M2" s="104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45965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113">
        <v>250080</v>
      </c>
      <c r="E7" s="84" t="s">
        <v>448</v>
      </c>
      <c r="F7" s="19">
        <v>304</v>
      </c>
      <c r="G7" s="20">
        <v>0.6</v>
      </c>
      <c r="H7" s="28" t="s">
        <v>55</v>
      </c>
      <c r="I7" s="143">
        <v>535</v>
      </c>
      <c r="J7" s="144"/>
      <c r="K7" s="143"/>
      <c r="L7" s="144"/>
      <c r="M7" s="112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113">
        <v>250057</v>
      </c>
      <c r="E8" s="3" t="s">
        <v>449</v>
      </c>
      <c r="F8" s="19">
        <v>304</v>
      </c>
      <c r="G8" s="20">
        <v>0.6</v>
      </c>
      <c r="H8" s="28" t="s">
        <v>58</v>
      </c>
      <c r="I8" s="143">
        <v>550</v>
      </c>
      <c r="J8" s="144"/>
      <c r="K8" s="143"/>
      <c r="L8" s="144"/>
      <c r="M8" s="112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117">
        <v>250061</v>
      </c>
      <c r="E9" s="3" t="s">
        <v>462</v>
      </c>
      <c r="F9" s="19">
        <v>304</v>
      </c>
      <c r="G9" s="20">
        <v>0.6</v>
      </c>
      <c r="H9" s="28" t="s">
        <v>58</v>
      </c>
      <c r="I9" s="143">
        <v>420</v>
      </c>
      <c r="J9" s="144"/>
      <c r="K9" s="143"/>
      <c r="L9" s="144"/>
      <c r="M9" s="112"/>
      <c r="N9" s="6" t="s">
        <v>13</v>
      </c>
      <c r="O9" s="21"/>
      <c r="P9" s="145"/>
      <c r="Q9" s="146"/>
      <c r="R9" s="147"/>
    </row>
    <row r="10" spans="1:18" s="114" customFormat="1" ht="14.55" customHeight="1" x14ac:dyDescent="0.3">
      <c r="A10" s="141"/>
      <c r="B10" s="5"/>
      <c r="C10" s="5"/>
      <c r="D10" s="113">
        <v>250080</v>
      </c>
      <c r="E10" s="3" t="s">
        <v>433</v>
      </c>
      <c r="F10" s="19">
        <v>304</v>
      </c>
      <c r="G10" s="20">
        <v>0.6</v>
      </c>
      <c r="H10" s="28" t="s">
        <v>55</v>
      </c>
      <c r="I10" s="143">
        <v>500</v>
      </c>
      <c r="J10" s="144"/>
      <c r="K10" s="143"/>
      <c r="L10" s="144"/>
      <c r="M10" s="112">
        <v>40</v>
      </c>
      <c r="N10" s="6" t="s">
        <v>13</v>
      </c>
      <c r="O10" s="21" t="s">
        <v>60</v>
      </c>
      <c r="P10" s="145"/>
      <c r="Q10" s="146"/>
      <c r="R10" s="147"/>
    </row>
    <row r="11" spans="1:18" s="114" customFormat="1" ht="14.55" customHeight="1" x14ac:dyDescent="0.3">
      <c r="A11" s="141"/>
      <c r="B11" s="5"/>
      <c r="C11" s="5">
        <v>0.70833333333333337</v>
      </c>
      <c r="D11" s="113">
        <v>250057</v>
      </c>
      <c r="E11" s="3" t="s">
        <v>226</v>
      </c>
      <c r="F11" s="19">
        <v>304</v>
      </c>
      <c r="G11" s="20">
        <v>0.7</v>
      </c>
      <c r="H11" s="28" t="s">
        <v>58</v>
      </c>
      <c r="I11" s="143">
        <v>100</v>
      </c>
      <c r="J11" s="144"/>
      <c r="K11" s="143"/>
      <c r="L11" s="144"/>
      <c r="M11" s="112"/>
      <c r="N11" s="6" t="s">
        <v>13</v>
      </c>
      <c r="O11" s="21"/>
      <c r="P11" s="145"/>
      <c r="Q11" s="146"/>
      <c r="R11" s="147"/>
    </row>
    <row r="12" spans="1:18" s="114" customFormat="1" ht="14.55" customHeight="1" x14ac:dyDescent="0.3">
      <c r="A12" s="141"/>
      <c r="B12" s="5"/>
      <c r="C12" s="5"/>
      <c r="D12" s="115"/>
      <c r="E12" s="3"/>
      <c r="F12" s="19"/>
      <c r="G12" s="20"/>
      <c r="H12" s="28"/>
      <c r="I12" s="143"/>
      <c r="J12" s="144"/>
      <c r="K12" s="143"/>
      <c r="L12" s="144"/>
      <c r="M12" s="112"/>
      <c r="N12" s="6" t="s">
        <v>13</v>
      </c>
      <c r="O12" s="21"/>
      <c r="P12" s="145"/>
      <c r="Q12" s="146"/>
      <c r="R12" s="147"/>
    </row>
    <row r="13" spans="1:18" s="114" customFormat="1" ht="14.55" customHeight="1" x14ac:dyDescent="0.3">
      <c r="A13" s="141"/>
      <c r="B13" s="5"/>
      <c r="C13" s="5"/>
      <c r="D13" s="115"/>
      <c r="E13" s="3"/>
      <c r="F13" s="19"/>
      <c r="G13" s="20"/>
      <c r="H13" s="28"/>
      <c r="I13" s="143"/>
      <c r="J13" s="144"/>
      <c r="K13" s="143"/>
      <c r="L13" s="144"/>
      <c r="M13" s="112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1"/>
      <c r="B14" s="5"/>
      <c r="C14" s="5"/>
      <c r="D14" s="72"/>
      <c r="E14" s="3"/>
      <c r="F14" s="19"/>
      <c r="G14" s="20"/>
      <c r="H14" s="28"/>
      <c r="I14" s="143"/>
      <c r="J14" s="144"/>
      <c r="K14" s="143"/>
      <c r="L14" s="144"/>
      <c r="M14" s="112"/>
      <c r="N14" s="6" t="s">
        <v>13</v>
      </c>
      <c r="O14" s="21"/>
      <c r="P14" s="145"/>
      <c r="Q14" s="146"/>
      <c r="R14" s="147"/>
    </row>
    <row r="15" spans="1:18" ht="14.55" customHeight="1" x14ac:dyDescent="0.3">
      <c r="A15" s="142"/>
      <c r="B15" s="148" t="s">
        <v>0</v>
      </c>
      <c r="C15" s="149"/>
      <c r="D15" s="149"/>
      <c r="E15" s="149"/>
      <c r="F15" s="149"/>
      <c r="G15" s="149"/>
      <c r="H15" s="149"/>
      <c r="I15" s="150">
        <f>SUM(I7:J14)</f>
        <v>2105</v>
      </c>
      <c r="J15" s="151"/>
      <c r="K15" s="150">
        <f>SUM(K7:L14)</f>
        <v>0</v>
      </c>
      <c r="L15" s="151"/>
      <c r="M15" s="10">
        <f>SUM(M7:M8)</f>
        <v>0</v>
      </c>
      <c r="N15" s="11" t="s">
        <v>13</v>
      </c>
      <c r="O15" s="9"/>
      <c r="P15" s="145"/>
      <c r="Q15" s="146"/>
      <c r="R15" s="147"/>
    </row>
    <row r="16" spans="1:18" ht="14.55" customHeight="1" x14ac:dyDescent="0.3">
      <c r="A16" s="140" t="s">
        <v>21</v>
      </c>
      <c r="B16" s="5"/>
      <c r="C16" s="5"/>
      <c r="D16" s="44"/>
      <c r="E16" s="69"/>
      <c r="F16" s="19"/>
      <c r="G16" s="20"/>
      <c r="H16" s="70"/>
      <c r="I16" s="143"/>
      <c r="J16" s="144"/>
      <c r="K16" s="143"/>
      <c r="L16" s="144"/>
      <c r="M16" s="112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41"/>
      <c r="B17" s="5"/>
      <c r="C17" s="5"/>
      <c r="D17" s="44"/>
      <c r="E17" s="3"/>
      <c r="F17" s="19"/>
      <c r="G17" s="20"/>
      <c r="H17" s="28"/>
      <c r="I17" s="143"/>
      <c r="J17" s="144"/>
      <c r="K17" s="143"/>
      <c r="L17" s="144"/>
      <c r="M17" s="112"/>
      <c r="N17" s="6" t="s">
        <v>13</v>
      </c>
      <c r="O17" s="21"/>
      <c r="P17" s="145"/>
      <c r="Q17" s="146"/>
      <c r="R17" s="147"/>
    </row>
    <row r="18" spans="1:18" ht="14.55" customHeight="1" x14ac:dyDescent="0.3">
      <c r="A18" s="141"/>
      <c r="B18" s="5"/>
      <c r="C18" s="5"/>
      <c r="D18" s="4"/>
      <c r="E18" s="3"/>
      <c r="F18" s="19"/>
      <c r="G18" s="20"/>
      <c r="H18" s="28"/>
      <c r="I18" s="143"/>
      <c r="J18" s="144"/>
      <c r="K18" s="143"/>
      <c r="L18" s="144"/>
      <c r="M18" s="112"/>
      <c r="N18" s="6" t="s">
        <v>13</v>
      </c>
      <c r="O18" s="21"/>
      <c r="P18" s="145"/>
      <c r="Q18" s="146"/>
      <c r="R18" s="147"/>
    </row>
    <row r="19" spans="1:18" ht="14.55" customHeight="1" x14ac:dyDescent="0.3">
      <c r="A19" s="142"/>
      <c r="B19" s="148" t="s">
        <v>0</v>
      </c>
      <c r="C19" s="149"/>
      <c r="D19" s="149"/>
      <c r="E19" s="149"/>
      <c r="F19" s="149"/>
      <c r="G19" s="149"/>
      <c r="H19" s="149"/>
      <c r="I19" s="150">
        <f>SUM(I16:J18)</f>
        <v>0</v>
      </c>
      <c r="J19" s="151"/>
      <c r="K19" s="150">
        <f>SUM(K16:L18)</f>
        <v>0</v>
      </c>
      <c r="L19" s="151"/>
      <c r="M19" s="10">
        <f>SUM(M16:M18)</f>
        <v>0</v>
      </c>
      <c r="N19" s="11" t="s">
        <v>13</v>
      </c>
      <c r="O19" s="9"/>
      <c r="P19" s="145"/>
      <c r="Q19" s="146"/>
      <c r="R19" s="147"/>
    </row>
    <row r="20" spans="1:18" ht="14.55" customHeight="1" x14ac:dyDescent="0.3">
      <c r="D20" s="104"/>
      <c r="E20" s="1"/>
      <c r="F20" s="1"/>
      <c r="G20" s="1"/>
      <c r="H20" s="1"/>
      <c r="M20" s="104"/>
    </row>
    <row r="21" spans="1:18" x14ac:dyDescent="0.3">
      <c r="E21" s="148" t="s">
        <v>316</v>
      </c>
      <c r="F21" s="149"/>
      <c r="G21" s="149"/>
      <c r="H21" s="149"/>
      <c r="I21" s="152" t="s">
        <v>19</v>
      </c>
      <c r="J21" s="153"/>
      <c r="K21" s="152" t="s">
        <v>20</v>
      </c>
      <c r="L21" s="153"/>
    </row>
    <row r="22" spans="1:18" s="105" customFormat="1" x14ac:dyDescent="0.3">
      <c r="E22" s="7"/>
      <c r="F22" s="7"/>
      <c r="G22" s="7"/>
      <c r="H22" s="7"/>
      <c r="I22" s="22">
        <f>I15+I19</f>
        <v>2105</v>
      </c>
      <c r="J22" s="14" t="s">
        <v>12</v>
      </c>
      <c r="K22" s="22">
        <f>K15+K19</f>
        <v>0</v>
      </c>
      <c r="L22" s="15" t="s">
        <v>12</v>
      </c>
    </row>
    <row r="23" spans="1:18" ht="24.45" customHeight="1" x14ac:dyDescent="0.3">
      <c r="E23" s="13"/>
      <c r="F23" s="13"/>
      <c r="G23" s="13"/>
      <c r="H23" s="13"/>
      <c r="I23" s="154">
        <f>I22+K22</f>
        <v>2105</v>
      </c>
      <c r="J23" s="155"/>
      <c r="K23" s="155"/>
      <c r="L23" s="156"/>
    </row>
    <row r="24" spans="1:18" ht="15" customHeight="1" x14ac:dyDescent="0.3">
      <c r="D24" s="104"/>
      <c r="I24" s="104"/>
      <c r="J24" s="104"/>
      <c r="K24" s="23"/>
      <c r="L24" s="23"/>
      <c r="M24" s="23"/>
      <c r="N24" s="23"/>
    </row>
    <row r="25" spans="1:18" s="8" customFormat="1" ht="30" customHeight="1" x14ac:dyDescent="0.3">
      <c r="A25" s="133" t="s">
        <v>22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5"/>
      <c r="L25" s="135"/>
      <c r="M25" s="135"/>
      <c r="N25" s="135"/>
      <c r="O25" s="134"/>
      <c r="P25" s="134"/>
      <c r="Q25" s="134"/>
      <c r="R25" s="136"/>
    </row>
    <row r="26" spans="1:18" s="12" customFormat="1" ht="14.55" customHeight="1" x14ac:dyDescent="0.3">
      <c r="A26" s="128" t="s">
        <v>1</v>
      </c>
      <c r="B26" s="137" t="s">
        <v>2</v>
      </c>
      <c r="C26" s="137" t="s">
        <v>3</v>
      </c>
      <c r="D26" s="137" t="s">
        <v>4</v>
      </c>
      <c r="E26" s="124" t="s">
        <v>5</v>
      </c>
      <c r="F26" s="138" t="s">
        <v>14</v>
      </c>
      <c r="G26" s="138" t="s">
        <v>15</v>
      </c>
      <c r="H26" s="119" t="s">
        <v>27</v>
      </c>
      <c r="I26" s="121" t="s">
        <v>6</v>
      </c>
      <c r="J26" s="122"/>
      <c r="K26" s="122"/>
      <c r="L26" s="123"/>
      <c r="M26" s="124" t="s">
        <v>7</v>
      </c>
      <c r="N26" s="125"/>
      <c r="O26" s="128" t="s">
        <v>8</v>
      </c>
      <c r="P26" s="128" t="s">
        <v>9</v>
      </c>
      <c r="Q26" s="128"/>
      <c r="R26" s="128"/>
    </row>
    <row r="27" spans="1:18" s="12" customFormat="1" ht="13.05" customHeight="1" x14ac:dyDescent="0.3">
      <c r="A27" s="128"/>
      <c r="B27" s="137"/>
      <c r="C27" s="137"/>
      <c r="D27" s="137"/>
      <c r="E27" s="126"/>
      <c r="F27" s="139"/>
      <c r="G27" s="139"/>
      <c r="H27" s="120"/>
      <c r="I27" s="121" t="s">
        <v>23</v>
      </c>
      <c r="J27" s="123"/>
      <c r="K27" s="121" t="s">
        <v>11</v>
      </c>
      <c r="L27" s="123"/>
      <c r="M27" s="126"/>
      <c r="N27" s="127"/>
      <c r="O27" s="128"/>
      <c r="P27" s="128"/>
      <c r="Q27" s="128"/>
      <c r="R27" s="128"/>
    </row>
    <row r="28" spans="1:18" ht="14.55" customHeight="1" x14ac:dyDescent="0.3">
      <c r="A28" s="140" t="s">
        <v>28</v>
      </c>
      <c r="B28" s="5">
        <v>0.33333333333333331</v>
      </c>
      <c r="C28" s="5">
        <v>0.70833333333333337</v>
      </c>
      <c r="D28" s="44">
        <v>250084</v>
      </c>
      <c r="E28" s="3" t="s">
        <v>452</v>
      </c>
      <c r="F28" s="19"/>
      <c r="G28" s="20"/>
      <c r="H28" s="28"/>
      <c r="I28" s="143"/>
      <c r="J28" s="144"/>
      <c r="K28" s="143"/>
      <c r="L28" s="144"/>
      <c r="M28" s="112"/>
      <c r="N28" s="6" t="s">
        <v>13</v>
      </c>
      <c r="O28" s="21"/>
      <c r="P28" s="168" t="s">
        <v>50</v>
      </c>
      <c r="Q28" s="169"/>
      <c r="R28" s="170"/>
    </row>
    <row r="29" spans="1:18" ht="14.55" customHeight="1" x14ac:dyDescent="0.3">
      <c r="A29" s="141"/>
      <c r="B29" s="5"/>
      <c r="C29" s="5"/>
      <c r="D29" s="44"/>
      <c r="E29" s="3"/>
      <c r="F29" s="19"/>
      <c r="G29" s="20"/>
      <c r="H29" s="28"/>
      <c r="I29" s="143"/>
      <c r="J29" s="144"/>
      <c r="K29" s="143"/>
      <c r="L29" s="144"/>
      <c r="M29" s="112"/>
      <c r="N29" s="6" t="s">
        <v>13</v>
      </c>
      <c r="O29" s="21"/>
      <c r="P29" s="168"/>
      <c r="Q29" s="169"/>
      <c r="R29" s="170"/>
    </row>
    <row r="30" spans="1:18" ht="14.55" customHeight="1" x14ac:dyDescent="0.3">
      <c r="A30" s="141"/>
      <c r="B30" s="5"/>
      <c r="C30" s="5"/>
      <c r="D30" s="4"/>
      <c r="E30" s="3"/>
      <c r="F30" s="19"/>
      <c r="G30" s="20"/>
      <c r="H30" s="28"/>
      <c r="I30" s="143"/>
      <c r="J30" s="144"/>
      <c r="K30" s="143"/>
      <c r="L30" s="144"/>
      <c r="M30" s="112"/>
      <c r="N30" s="6" t="s">
        <v>13</v>
      </c>
      <c r="O30" s="21"/>
      <c r="P30" s="168"/>
      <c r="Q30" s="169"/>
      <c r="R30" s="170"/>
    </row>
    <row r="31" spans="1:18" ht="14.55" customHeight="1" x14ac:dyDescent="0.3">
      <c r="A31" s="142"/>
      <c r="B31" s="148" t="s">
        <v>0</v>
      </c>
      <c r="C31" s="149"/>
      <c r="D31" s="149"/>
      <c r="E31" s="149"/>
      <c r="F31" s="149"/>
      <c r="G31" s="149"/>
      <c r="H31" s="171"/>
      <c r="I31" s="150">
        <f>SUM(I28:J30)</f>
        <v>0</v>
      </c>
      <c r="J31" s="151"/>
      <c r="K31" s="150">
        <f>SUM(K28:L30)</f>
        <v>0</v>
      </c>
      <c r="L31" s="151"/>
      <c r="M31" s="10">
        <f>SUM(M28:M30)</f>
        <v>0</v>
      </c>
      <c r="N31" s="11" t="s">
        <v>13</v>
      </c>
      <c r="O31" s="9"/>
      <c r="P31" s="168"/>
      <c r="Q31" s="169"/>
      <c r="R31" s="170"/>
    </row>
    <row r="32" spans="1:18" ht="14.55" customHeight="1" x14ac:dyDescent="0.3">
      <c r="A32" s="140" t="s">
        <v>24</v>
      </c>
      <c r="B32" s="5">
        <v>0.33333333333333331</v>
      </c>
      <c r="C32" s="5"/>
      <c r="D32" s="4">
        <v>250084</v>
      </c>
      <c r="E32" s="3" t="s">
        <v>450</v>
      </c>
      <c r="F32" s="19">
        <v>304</v>
      </c>
      <c r="G32" s="20">
        <v>0.6</v>
      </c>
      <c r="H32" s="28" t="s">
        <v>327</v>
      </c>
      <c r="I32" s="143">
        <v>750</v>
      </c>
      <c r="J32" s="144"/>
      <c r="K32" s="143"/>
      <c r="L32" s="144"/>
      <c r="M32" s="112"/>
      <c r="N32" s="6" t="s">
        <v>13</v>
      </c>
      <c r="O32" s="21"/>
      <c r="P32" s="157" t="s">
        <v>51</v>
      </c>
      <c r="Q32" s="158"/>
      <c r="R32" s="159"/>
    </row>
    <row r="33" spans="1:18" ht="14.55" customHeight="1" x14ac:dyDescent="0.3">
      <c r="A33" s="166"/>
      <c r="B33" s="5"/>
      <c r="C33" s="5">
        <v>0.70833333333333337</v>
      </c>
      <c r="D33" s="4">
        <v>250084</v>
      </c>
      <c r="E33" s="3" t="s">
        <v>451</v>
      </c>
      <c r="F33" s="19">
        <v>304</v>
      </c>
      <c r="G33" s="20">
        <v>0.6</v>
      </c>
      <c r="H33" s="28" t="s">
        <v>327</v>
      </c>
      <c r="I33" s="143">
        <v>750</v>
      </c>
      <c r="J33" s="144"/>
      <c r="K33" s="143"/>
      <c r="L33" s="144"/>
      <c r="M33" s="112"/>
      <c r="N33" s="6" t="s">
        <v>13</v>
      </c>
      <c r="O33" s="21"/>
      <c r="P33" s="160"/>
      <c r="Q33" s="161"/>
      <c r="R33" s="162"/>
    </row>
    <row r="34" spans="1:18" ht="14.55" hidden="1" customHeight="1" x14ac:dyDescent="0.3">
      <c r="A34" s="166"/>
      <c r="B34" s="5"/>
      <c r="C34" s="5"/>
      <c r="D34" s="4"/>
      <c r="E34" s="3"/>
      <c r="F34" s="19"/>
      <c r="G34" s="20"/>
      <c r="H34" s="28"/>
      <c r="I34" s="143"/>
      <c r="J34" s="144"/>
      <c r="K34" s="143"/>
      <c r="L34" s="144"/>
      <c r="M34" s="112"/>
      <c r="N34" s="6" t="s">
        <v>13</v>
      </c>
      <c r="O34" s="21"/>
      <c r="P34" s="160"/>
      <c r="Q34" s="161"/>
      <c r="R34" s="162"/>
    </row>
    <row r="35" spans="1:18" ht="14.55" hidden="1" customHeight="1" x14ac:dyDescent="0.3">
      <c r="A35" s="166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112"/>
      <c r="N35" s="6" t="s">
        <v>13</v>
      </c>
      <c r="O35" s="21"/>
      <c r="P35" s="160"/>
      <c r="Q35" s="161"/>
      <c r="R35" s="162"/>
    </row>
    <row r="36" spans="1:18" ht="14.55" customHeight="1" x14ac:dyDescent="0.3">
      <c r="A36" s="166"/>
      <c r="B36" s="5"/>
      <c r="C36" s="5"/>
      <c r="D36" s="4"/>
      <c r="E36" s="3"/>
      <c r="F36" s="19"/>
      <c r="G36" s="20"/>
      <c r="H36" s="28"/>
      <c r="I36" s="143"/>
      <c r="J36" s="144"/>
      <c r="K36" s="143"/>
      <c r="L36" s="144"/>
      <c r="M36" s="112"/>
      <c r="N36" s="6" t="s">
        <v>13</v>
      </c>
      <c r="O36" s="21"/>
      <c r="P36" s="160"/>
      <c r="Q36" s="161"/>
      <c r="R36" s="162"/>
    </row>
    <row r="37" spans="1:18" ht="14.55" customHeight="1" x14ac:dyDescent="0.3">
      <c r="A37" s="167"/>
      <c r="B37" s="148" t="s">
        <v>0</v>
      </c>
      <c r="C37" s="149"/>
      <c r="D37" s="149"/>
      <c r="E37" s="149"/>
      <c r="F37" s="149"/>
      <c r="G37" s="149"/>
      <c r="H37" s="171"/>
      <c r="I37" s="150">
        <f>SUM(I32:J36)</f>
        <v>1500</v>
      </c>
      <c r="J37" s="151"/>
      <c r="K37" s="150">
        <f>SUM(K32:L36)</f>
        <v>0</v>
      </c>
      <c r="L37" s="151"/>
      <c r="M37" s="10">
        <f>SUM(M32:M36)</f>
        <v>0</v>
      </c>
      <c r="N37" s="11" t="s">
        <v>13</v>
      </c>
      <c r="O37" s="9"/>
      <c r="P37" s="163"/>
      <c r="Q37" s="164"/>
      <c r="R37" s="165"/>
    </row>
    <row r="38" spans="1:18" ht="14.55" customHeight="1" x14ac:dyDescent="0.3">
      <c r="A38" s="140" t="s">
        <v>25</v>
      </c>
      <c r="B38" s="5">
        <v>0.33333333333333331</v>
      </c>
      <c r="C38" s="5"/>
      <c r="D38" s="44">
        <v>250084</v>
      </c>
      <c r="E38" s="3" t="s">
        <v>453</v>
      </c>
      <c r="F38" s="19"/>
      <c r="G38" s="20"/>
      <c r="H38" s="28"/>
      <c r="I38" s="143"/>
      <c r="J38" s="144"/>
      <c r="K38" s="143"/>
      <c r="L38" s="144"/>
      <c r="M38" s="112"/>
      <c r="N38" s="6" t="s">
        <v>13</v>
      </c>
      <c r="O38" s="21"/>
      <c r="P38" s="145" t="s">
        <v>53</v>
      </c>
      <c r="Q38" s="169"/>
      <c r="R38" s="170"/>
    </row>
    <row r="39" spans="1:18" ht="14.55" hidden="1" customHeight="1" x14ac:dyDescent="0.3">
      <c r="A39" s="141"/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112"/>
      <c r="N39" s="6" t="s">
        <v>13</v>
      </c>
      <c r="O39" s="21"/>
      <c r="P39" s="168"/>
      <c r="Q39" s="169"/>
      <c r="R39" s="170"/>
    </row>
    <row r="40" spans="1:18" ht="14.55" hidden="1" customHeight="1" x14ac:dyDescent="0.3">
      <c r="A40" s="141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112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41"/>
      <c r="B41" s="5"/>
      <c r="C41" s="5"/>
      <c r="D41" s="44">
        <v>250084</v>
      </c>
      <c r="E41" s="3" t="s">
        <v>410</v>
      </c>
      <c r="F41" s="19"/>
      <c r="G41" s="20"/>
      <c r="H41" s="28"/>
      <c r="I41" s="143"/>
      <c r="J41" s="144"/>
      <c r="K41" s="143"/>
      <c r="L41" s="144"/>
      <c r="M41" s="112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41"/>
      <c r="B42" s="5"/>
      <c r="C42" s="5">
        <v>0.70833333333333337</v>
      </c>
      <c r="D42" s="44">
        <v>250084</v>
      </c>
      <c r="E42" s="3" t="s">
        <v>454</v>
      </c>
      <c r="F42" s="19"/>
      <c r="G42" s="20"/>
      <c r="H42" s="28"/>
      <c r="I42" s="143"/>
      <c r="J42" s="144"/>
      <c r="K42" s="143"/>
      <c r="L42" s="144"/>
      <c r="M42" s="112"/>
      <c r="N42" s="6" t="s">
        <v>13</v>
      </c>
      <c r="O42" s="21"/>
      <c r="P42" s="168"/>
      <c r="Q42" s="169"/>
      <c r="R42" s="170"/>
    </row>
    <row r="43" spans="1:18" ht="14.55" customHeight="1" x14ac:dyDescent="0.3">
      <c r="A43" s="142"/>
      <c r="B43" s="148" t="s">
        <v>0</v>
      </c>
      <c r="C43" s="149"/>
      <c r="D43" s="149"/>
      <c r="E43" s="149"/>
      <c r="F43" s="149"/>
      <c r="G43" s="149"/>
      <c r="H43" s="149"/>
      <c r="I43" s="150">
        <f>SUM(I38:J42)</f>
        <v>0</v>
      </c>
      <c r="J43" s="151"/>
      <c r="K43" s="150">
        <f>SUM(K38:L42)</f>
        <v>0</v>
      </c>
      <c r="L43" s="151"/>
      <c r="M43" s="10">
        <f>SUM(M38:M42)</f>
        <v>0</v>
      </c>
      <c r="N43" s="11" t="s">
        <v>13</v>
      </c>
      <c r="O43" s="9"/>
      <c r="P43" s="168"/>
      <c r="Q43" s="169"/>
      <c r="R43" s="170"/>
    </row>
    <row r="45" spans="1:18" x14ac:dyDescent="0.3">
      <c r="E45" s="148" t="s">
        <v>26</v>
      </c>
      <c r="F45" s="149"/>
      <c r="G45" s="149"/>
      <c r="H45" s="149"/>
      <c r="I45" s="152" t="s">
        <v>23</v>
      </c>
      <c r="J45" s="153"/>
      <c r="K45" s="152" t="s">
        <v>11</v>
      </c>
      <c r="L45" s="153"/>
    </row>
    <row r="46" spans="1:18" s="105" customFormat="1" x14ac:dyDescent="0.3">
      <c r="E46" s="7"/>
      <c r="F46" s="7"/>
      <c r="G46" s="7"/>
      <c r="H46" s="7"/>
      <c r="I46" s="22">
        <f>I37+I43</f>
        <v>1500</v>
      </c>
      <c r="J46" s="14" t="s">
        <v>12</v>
      </c>
      <c r="K46" s="22">
        <f>K37+K43</f>
        <v>0</v>
      </c>
      <c r="L46" s="15" t="s">
        <v>12</v>
      </c>
    </row>
    <row r="47" spans="1:18" ht="24.45" customHeight="1" x14ac:dyDescent="0.3">
      <c r="E47" s="13"/>
      <c r="F47" s="13"/>
      <c r="G47" s="13"/>
      <c r="H47" s="13"/>
      <c r="I47" s="154">
        <f>I46+K46</f>
        <v>1500</v>
      </c>
      <c r="J47" s="155"/>
      <c r="K47" s="155"/>
      <c r="L47" s="156"/>
    </row>
    <row r="49" spans="1:18" s="8" customFormat="1" ht="30" customHeight="1" x14ac:dyDescent="0.3">
      <c r="A49" s="133" t="s">
        <v>321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6"/>
    </row>
    <row r="50" spans="1:18" s="12" customFormat="1" ht="14.55" customHeight="1" x14ac:dyDescent="0.3">
      <c r="A50" s="128" t="s">
        <v>1</v>
      </c>
      <c r="B50" s="137" t="s">
        <v>2</v>
      </c>
      <c r="C50" s="137" t="s">
        <v>3</v>
      </c>
      <c r="D50" s="137" t="s">
        <v>4</v>
      </c>
      <c r="E50" s="124" t="s">
        <v>5</v>
      </c>
      <c r="F50" s="138" t="s">
        <v>14</v>
      </c>
      <c r="G50" s="138" t="s">
        <v>15</v>
      </c>
      <c r="H50" s="119" t="s">
        <v>27</v>
      </c>
      <c r="I50" s="121" t="s">
        <v>6</v>
      </c>
      <c r="J50" s="122"/>
      <c r="K50" s="122"/>
      <c r="L50" s="123"/>
      <c r="M50" s="124" t="s">
        <v>7</v>
      </c>
      <c r="N50" s="125"/>
      <c r="O50" s="128" t="s">
        <v>8</v>
      </c>
      <c r="P50" s="128" t="s">
        <v>9</v>
      </c>
      <c r="Q50" s="128"/>
      <c r="R50" s="128"/>
    </row>
    <row r="51" spans="1:18" s="12" customFormat="1" ht="13.05" customHeight="1" x14ac:dyDescent="0.3">
      <c r="A51" s="128"/>
      <c r="B51" s="137"/>
      <c r="C51" s="137"/>
      <c r="D51" s="137"/>
      <c r="E51" s="126"/>
      <c r="F51" s="139"/>
      <c r="G51" s="139"/>
      <c r="H51" s="120"/>
      <c r="I51" s="121" t="s">
        <v>23</v>
      </c>
      <c r="J51" s="123"/>
      <c r="K51" s="121" t="s">
        <v>11</v>
      </c>
      <c r="L51" s="123"/>
      <c r="M51" s="126"/>
      <c r="N51" s="127"/>
      <c r="O51" s="128"/>
      <c r="P51" s="128"/>
      <c r="Q51" s="128"/>
      <c r="R51" s="128"/>
    </row>
    <row r="52" spans="1:18" ht="14.55" customHeight="1" x14ac:dyDescent="0.3">
      <c r="A52" s="140" t="s">
        <v>132</v>
      </c>
      <c r="B52" s="5">
        <v>0.33333333333333331</v>
      </c>
      <c r="C52" s="5"/>
      <c r="D52" s="4">
        <v>250049</v>
      </c>
      <c r="E52" s="3" t="s">
        <v>389</v>
      </c>
      <c r="F52" s="19">
        <v>304</v>
      </c>
      <c r="G52" s="20">
        <v>0.7</v>
      </c>
      <c r="H52" s="28"/>
      <c r="I52" s="143">
        <v>640</v>
      </c>
      <c r="J52" s="144"/>
      <c r="K52" s="143"/>
      <c r="L52" s="144"/>
      <c r="M52" s="112"/>
      <c r="N52" s="6" t="s">
        <v>13</v>
      </c>
      <c r="O52" s="21"/>
      <c r="P52" s="157"/>
      <c r="Q52" s="158"/>
      <c r="R52" s="159"/>
    </row>
    <row r="53" spans="1:18" ht="14.55" customHeight="1" x14ac:dyDescent="0.3">
      <c r="A53" s="166"/>
      <c r="B53" s="5"/>
      <c r="C53" s="5"/>
      <c r="D53" s="4">
        <v>250049</v>
      </c>
      <c r="E53" s="3" t="s">
        <v>458</v>
      </c>
      <c r="F53" s="19">
        <v>304</v>
      </c>
      <c r="G53" s="20">
        <v>0.7</v>
      </c>
      <c r="H53" s="28"/>
      <c r="I53" s="143">
        <v>250</v>
      </c>
      <c r="J53" s="144"/>
      <c r="K53" s="143"/>
      <c r="L53" s="144"/>
      <c r="M53" s="112"/>
      <c r="N53" s="6" t="s">
        <v>13</v>
      </c>
      <c r="O53" s="21"/>
      <c r="P53" s="160"/>
      <c r="Q53" s="161"/>
      <c r="R53" s="162"/>
    </row>
    <row r="54" spans="1:18" ht="14.55" customHeight="1" x14ac:dyDescent="0.3">
      <c r="A54" s="166"/>
      <c r="B54" s="5"/>
      <c r="C54" s="5"/>
      <c r="D54" s="4">
        <v>250049</v>
      </c>
      <c r="E54" s="3" t="s">
        <v>459</v>
      </c>
      <c r="F54" s="19">
        <v>304</v>
      </c>
      <c r="G54" s="20">
        <v>0.7</v>
      </c>
      <c r="H54" s="28"/>
      <c r="I54" s="143">
        <v>400</v>
      </c>
      <c r="J54" s="144"/>
      <c r="K54" s="143"/>
      <c r="L54" s="144"/>
      <c r="M54" s="112"/>
      <c r="N54" s="6" t="s">
        <v>13</v>
      </c>
      <c r="O54" s="21"/>
      <c r="P54" s="160"/>
      <c r="Q54" s="161"/>
      <c r="R54" s="162"/>
    </row>
    <row r="55" spans="1:18" s="116" customFormat="1" ht="14.55" customHeight="1" x14ac:dyDescent="0.3">
      <c r="A55" s="166"/>
      <c r="B55" s="5"/>
      <c r="C55" s="5">
        <v>0.70833333333333337</v>
      </c>
      <c r="D55" s="4">
        <v>250049</v>
      </c>
      <c r="E55" s="3" t="s">
        <v>455</v>
      </c>
      <c r="F55" s="19">
        <v>304</v>
      </c>
      <c r="G55" s="20">
        <v>0.7</v>
      </c>
      <c r="H55" s="28"/>
      <c r="I55" s="143">
        <v>150</v>
      </c>
      <c r="J55" s="144"/>
      <c r="K55" s="143"/>
      <c r="L55" s="144"/>
      <c r="M55" s="112"/>
      <c r="N55" s="6" t="s">
        <v>13</v>
      </c>
      <c r="O55" s="21"/>
      <c r="P55" s="160"/>
      <c r="Q55" s="161"/>
      <c r="R55" s="162"/>
    </row>
    <row r="56" spans="1:18" ht="14.55" customHeight="1" x14ac:dyDescent="0.3">
      <c r="A56" s="166"/>
      <c r="B56" s="5"/>
      <c r="C56" s="5"/>
      <c r="D56" s="4"/>
      <c r="E56" s="3"/>
      <c r="F56" s="19"/>
      <c r="G56" s="20"/>
      <c r="H56" s="28"/>
      <c r="I56" s="143"/>
      <c r="J56" s="144"/>
      <c r="K56" s="143"/>
      <c r="L56" s="144"/>
      <c r="M56" s="112"/>
      <c r="N56" s="6" t="s">
        <v>13</v>
      </c>
      <c r="O56" s="21"/>
      <c r="P56" s="160"/>
      <c r="Q56" s="161"/>
      <c r="R56" s="162"/>
    </row>
    <row r="57" spans="1:18" ht="14.55" customHeight="1" x14ac:dyDescent="0.3">
      <c r="A57" s="167"/>
      <c r="B57" s="148" t="s">
        <v>0</v>
      </c>
      <c r="C57" s="149"/>
      <c r="D57" s="149"/>
      <c r="E57" s="149"/>
      <c r="F57" s="149"/>
      <c r="G57" s="149"/>
      <c r="H57" s="149"/>
      <c r="I57" s="150">
        <f>SUM(I52:J56)</f>
        <v>1440</v>
      </c>
      <c r="J57" s="151"/>
      <c r="K57" s="150">
        <f>SUM(K52:L56)</f>
        <v>0</v>
      </c>
      <c r="L57" s="151"/>
      <c r="M57" s="10">
        <f>SUM(M52:M56)</f>
        <v>0</v>
      </c>
      <c r="N57" s="11" t="s">
        <v>13</v>
      </c>
      <c r="O57" s="9"/>
      <c r="P57" s="163"/>
      <c r="Q57" s="164"/>
      <c r="R57" s="165"/>
    </row>
    <row r="59" spans="1:18" x14ac:dyDescent="0.3">
      <c r="E59" s="148" t="s">
        <v>317</v>
      </c>
      <c r="F59" s="149"/>
      <c r="G59" s="149"/>
      <c r="H59" s="149"/>
      <c r="I59" s="152" t="s">
        <v>23</v>
      </c>
      <c r="J59" s="153"/>
      <c r="K59" s="172" t="s">
        <v>11</v>
      </c>
      <c r="L59" s="153"/>
    </row>
    <row r="60" spans="1:18" s="105" customFormat="1" x14ac:dyDescent="0.3">
      <c r="E60" s="7"/>
      <c r="F60" s="7"/>
      <c r="G60" s="7"/>
      <c r="H60" s="7"/>
      <c r="I60" s="22">
        <f>I57</f>
        <v>1440</v>
      </c>
      <c r="J60" s="14" t="s">
        <v>12</v>
      </c>
      <c r="K60" s="22">
        <f>K57</f>
        <v>0</v>
      </c>
      <c r="L60" s="15" t="s">
        <v>12</v>
      </c>
    </row>
    <row r="61" spans="1:18" s="1" customFormat="1" ht="24.45" customHeight="1" x14ac:dyDescent="0.3">
      <c r="A61" s="104"/>
      <c r="B61" s="104"/>
      <c r="C61" s="104"/>
      <c r="E61" s="13"/>
      <c r="F61" s="13"/>
      <c r="G61" s="13"/>
      <c r="H61" s="13"/>
      <c r="I61" s="154">
        <f>I60+K60</f>
        <v>1440</v>
      </c>
      <c r="J61" s="155"/>
      <c r="K61" s="155"/>
      <c r="L61" s="156"/>
      <c r="N61" s="104"/>
      <c r="O61" s="104"/>
      <c r="P61" s="104"/>
      <c r="Q61" s="104"/>
      <c r="R61" s="104"/>
    </row>
    <row r="63" spans="1:18" s="8" customFormat="1" ht="30" customHeight="1" x14ac:dyDescent="0.3">
      <c r="A63" s="133" t="s">
        <v>36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6"/>
    </row>
    <row r="64" spans="1:18" s="12" customFormat="1" ht="14.55" customHeight="1" x14ac:dyDescent="0.3">
      <c r="A64" s="128" t="s">
        <v>1</v>
      </c>
      <c r="B64" s="137" t="s">
        <v>2</v>
      </c>
      <c r="C64" s="137" t="s">
        <v>3</v>
      </c>
      <c r="D64" s="137" t="s">
        <v>4</v>
      </c>
      <c r="E64" s="124" t="s">
        <v>5</v>
      </c>
      <c r="F64" s="138" t="s">
        <v>14</v>
      </c>
      <c r="G64" s="138" t="s">
        <v>15</v>
      </c>
      <c r="H64" s="119" t="s">
        <v>29</v>
      </c>
      <c r="I64" s="121" t="s">
        <v>6</v>
      </c>
      <c r="J64" s="122"/>
      <c r="K64" s="122"/>
      <c r="L64" s="123"/>
      <c r="M64" s="124" t="s">
        <v>7</v>
      </c>
      <c r="N64" s="125"/>
      <c r="O64" s="128" t="s">
        <v>8</v>
      </c>
      <c r="P64" s="128" t="s">
        <v>9</v>
      </c>
      <c r="Q64" s="128"/>
      <c r="R64" s="128"/>
    </row>
    <row r="65" spans="1:18" s="12" customFormat="1" ht="13.05" customHeight="1" x14ac:dyDescent="0.3">
      <c r="A65" s="128"/>
      <c r="B65" s="137"/>
      <c r="C65" s="137"/>
      <c r="D65" s="137"/>
      <c r="E65" s="126"/>
      <c r="F65" s="139"/>
      <c r="G65" s="139"/>
      <c r="H65" s="120"/>
      <c r="I65" s="121" t="s">
        <v>19</v>
      </c>
      <c r="J65" s="123"/>
      <c r="K65" s="121" t="s">
        <v>20</v>
      </c>
      <c r="L65" s="123"/>
      <c r="M65" s="126"/>
      <c r="N65" s="127"/>
      <c r="O65" s="128"/>
      <c r="P65" s="128"/>
      <c r="Q65" s="128"/>
      <c r="R65" s="128"/>
    </row>
    <row r="66" spans="1:18" ht="14.55" customHeight="1" x14ac:dyDescent="0.3">
      <c r="A66" s="140" t="s">
        <v>37</v>
      </c>
      <c r="B66" s="5">
        <v>0.33333333333333331</v>
      </c>
      <c r="C66" s="5"/>
      <c r="D66" s="4"/>
      <c r="E66" s="3" t="s">
        <v>456</v>
      </c>
      <c r="F66" s="19">
        <v>430</v>
      </c>
      <c r="G66" s="20">
        <v>0.5</v>
      </c>
      <c r="H66" s="28" t="s">
        <v>137</v>
      </c>
      <c r="I66" s="143">
        <v>1440</v>
      </c>
      <c r="J66" s="144"/>
      <c r="K66" s="143"/>
      <c r="L66" s="144"/>
      <c r="M66" s="112"/>
      <c r="N66" s="6" t="s">
        <v>13</v>
      </c>
      <c r="O66" s="21"/>
      <c r="P66" s="157"/>
      <c r="Q66" s="158"/>
      <c r="R66" s="159"/>
    </row>
    <row r="67" spans="1:18" s="116" customFormat="1" ht="14.55" customHeight="1" x14ac:dyDescent="0.3">
      <c r="A67" s="166"/>
      <c r="B67" s="5"/>
      <c r="C67" s="5"/>
      <c r="D67" s="4">
        <v>250048</v>
      </c>
      <c r="E67" s="3" t="s">
        <v>457</v>
      </c>
      <c r="F67" s="19">
        <v>304</v>
      </c>
      <c r="G67" s="20">
        <v>0.7</v>
      </c>
      <c r="H67" s="28" t="s">
        <v>137</v>
      </c>
      <c r="I67" s="143">
        <v>328</v>
      </c>
      <c r="J67" s="144"/>
      <c r="K67" s="143"/>
      <c r="L67" s="144"/>
      <c r="M67" s="112"/>
      <c r="N67" s="6" t="s">
        <v>13</v>
      </c>
      <c r="O67" s="21"/>
      <c r="P67" s="160"/>
      <c r="Q67" s="161"/>
      <c r="R67" s="162"/>
    </row>
    <row r="68" spans="1:18" s="116" customFormat="1" ht="14.55" customHeight="1" x14ac:dyDescent="0.3">
      <c r="A68" s="166"/>
      <c r="B68" s="5"/>
      <c r="C68" s="5"/>
      <c r="D68" s="4">
        <v>250046</v>
      </c>
      <c r="E68" s="3" t="s">
        <v>360</v>
      </c>
      <c r="F68" s="19">
        <v>304</v>
      </c>
      <c r="G68" s="20">
        <v>0.7</v>
      </c>
      <c r="H68" s="28" t="s">
        <v>137</v>
      </c>
      <c r="I68" s="143">
        <v>45</v>
      </c>
      <c r="J68" s="144"/>
      <c r="K68" s="143"/>
      <c r="L68" s="144"/>
      <c r="M68" s="112"/>
      <c r="N68" s="6" t="s">
        <v>13</v>
      </c>
      <c r="O68" s="21"/>
      <c r="P68" s="160"/>
      <c r="Q68" s="161"/>
      <c r="R68" s="162"/>
    </row>
    <row r="69" spans="1:18" s="116" customFormat="1" ht="14.55" customHeight="1" x14ac:dyDescent="0.3">
      <c r="A69" s="166"/>
      <c r="B69" s="5"/>
      <c r="C69" s="5"/>
      <c r="D69" s="4">
        <v>250048</v>
      </c>
      <c r="E69" s="3" t="s">
        <v>367</v>
      </c>
      <c r="F69" s="19">
        <v>304</v>
      </c>
      <c r="G69" s="20">
        <v>0.7</v>
      </c>
      <c r="H69" s="28" t="s">
        <v>137</v>
      </c>
      <c r="I69" s="143">
        <v>19</v>
      </c>
      <c r="J69" s="144"/>
      <c r="K69" s="143"/>
      <c r="L69" s="144"/>
      <c r="M69" s="112"/>
      <c r="N69" s="6" t="s">
        <v>13</v>
      </c>
      <c r="O69" s="21"/>
      <c r="P69" s="160"/>
      <c r="Q69" s="161"/>
      <c r="R69" s="162"/>
    </row>
    <row r="70" spans="1:18" s="116" customFormat="1" ht="14.55" customHeight="1" x14ac:dyDescent="0.3">
      <c r="A70" s="166"/>
      <c r="B70" s="5"/>
      <c r="C70" s="5"/>
      <c r="D70" s="4">
        <v>250048</v>
      </c>
      <c r="E70" s="3" t="s">
        <v>393</v>
      </c>
      <c r="F70" s="19">
        <v>304</v>
      </c>
      <c r="G70" s="20">
        <v>0.7</v>
      </c>
      <c r="H70" s="28" t="s">
        <v>137</v>
      </c>
      <c r="I70" s="143">
        <v>21</v>
      </c>
      <c r="J70" s="144"/>
      <c r="K70" s="143"/>
      <c r="L70" s="144"/>
      <c r="M70" s="112"/>
      <c r="N70" s="6" t="s">
        <v>13</v>
      </c>
      <c r="O70" s="21"/>
      <c r="P70" s="160"/>
      <c r="Q70" s="161"/>
      <c r="R70" s="162"/>
    </row>
    <row r="71" spans="1:18" ht="14.55" customHeight="1" x14ac:dyDescent="0.3">
      <c r="A71" s="166"/>
      <c r="B71" s="5"/>
      <c r="C71" s="5"/>
      <c r="D71" s="4">
        <v>250046</v>
      </c>
      <c r="E71" s="3" t="s">
        <v>357</v>
      </c>
      <c r="F71" s="19">
        <v>304</v>
      </c>
      <c r="G71" s="20">
        <v>0.7</v>
      </c>
      <c r="H71" s="28" t="s">
        <v>137</v>
      </c>
      <c r="I71" s="143">
        <v>100</v>
      </c>
      <c r="J71" s="144"/>
      <c r="K71" s="143"/>
      <c r="L71" s="144"/>
      <c r="M71" s="112"/>
      <c r="N71" s="6" t="s">
        <v>13</v>
      </c>
      <c r="O71" s="21"/>
      <c r="P71" s="160"/>
      <c r="Q71" s="161"/>
      <c r="R71" s="162"/>
    </row>
    <row r="72" spans="1:18" ht="14.55" customHeight="1" x14ac:dyDescent="0.3">
      <c r="A72" s="166"/>
      <c r="B72" s="5"/>
      <c r="C72" s="5"/>
      <c r="D72" s="4">
        <v>250046</v>
      </c>
      <c r="E72" s="3" t="s">
        <v>366</v>
      </c>
      <c r="F72" s="19">
        <v>304</v>
      </c>
      <c r="G72" s="20">
        <v>0.7</v>
      </c>
      <c r="H72" s="28" t="s">
        <v>137</v>
      </c>
      <c r="I72" s="143">
        <v>46</v>
      </c>
      <c r="J72" s="144"/>
      <c r="K72" s="143"/>
      <c r="L72" s="144"/>
      <c r="M72" s="112"/>
      <c r="N72" s="6" t="s">
        <v>13</v>
      </c>
      <c r="O72" s="21"/>
      <c r="P72" s="160"/>
      <c r="Q72" s="161"/>
      <c r="R72" s="162"/>
    </row>
    <row r="73" spans="1:18" ht="14.55" customHeight="1" x14ac:dyDescent="0.3">
      <c r="A73" s="166"/>
      <c r="B73" s="5"/>
      <c r="C73" s="5">
        <v>0.70833333333333337</v>
      </c>
      <c r="D73" s="4">
        <v>250046</v>
      </c>
      <c r="E73" s="3" t="s">
        <v>392</v>
      </c>
      <c r="F73" s="19">
        <v>304</v>
      </c>
      <c r="G73" s="20">
        <v>0.7</v>
      </c>
      <c r="H73" s="28" t="s">
        <v>137</v>
      </c>
      <c r="I73" s="143">
        <v>47</v>
      </c>
      <c r="J73" s="144"/>
      <c r="K73" s="143"/>
      <c r="L73" s="144"/>
      <c r="M73" s="112"/>
      <c r="N73" s="6" t="s">
        <v>13</v>
      </c>
      <c r="O73" s="21"/>
      <c r="P73" s="160"/>
      <c r="Q73" s="161"/>
      <c r="R73" s="162"/>
    </row>
    <row r="74" spans="1:18" ht="14.55" customHeight="1" x14ac:dyDescent="0.3">
      <c r="A74" s="167"/>
      <c r="B74" s="148" t="s">
        <v>0</v>
      </c>
      <c r="C74" s="149"/>
      <c r="D74" s="149"/>
      <c r="E74" s="149"/>
      <c r="F74" s="149"/>
      <c r="G74" s="149"/>
      <c r="H74" s="149"/>
      <c r="I74" s="150">
        <f>SUM(I66:J73)</f>
        <v>2046</v>
      </c>
      <c r="J74" s="151"/>
      <c r="K74" s="150">
        <f>SUM(K66:L73)</f>
        <v>0</v>
      </c>
      <c r="L74" s="151"/>
      <c r="M74" s="10">
        <f>SUM(M66:M73)</f>
        <v>0</v>
      </c>
      <c r="N74" s="11" t="s">
        <v>13</v>
      </c>
      <c r="O74" s="9"/>
      <c r="P74" s="163"/>
      <c r="Q74" s="164"/>
      <c r="R74" s="165"/>
    </row>
    <row r="75" spans="1:18" ht="14.55" customHeight="1" x14ac:dyDescent="0.3">
      <c r="D75" s="104"/>
      <c r="E75" s="1"/>
      <c r="F75" s="1"/>
      <c r="G75" s="1"/>
      <c r="H75" s="1"/>
      <c r="M75" s="104"/>
    </row>
    <row r="76" spans="1:18" x14ac:dyDescent="0.3">
      <c r="E76" s="148" t="s">
        <v>324</v>
      </c>
      <c r="F76" s="149"/>
      <c r="G76" s="149"/>
      <c r="H76" s="149"/>
      <c r="I76" s="152" t="s">
        <v>19</v>
      </c>
      <c r="J76" s="153"/>
      <c r="K76" s="152" t="s">
        <v>20</v>
      </c>
      <c r="L76" s="153"/>
    </row>
    <row r="77" spans="1:18" s="105" customFormat="1" x14ac:dyDescent="0.3">
      <c r="E77" s="7"/>
      <c r="F77" s="7"/>
      <c r="G77" s="7"/>
      <c r="H77" s="7"/>
      <c r="I77" s="22">
        <f>I74</f>
        <v>2046</v>
      </c>
      <c r="J77" s="14" t="s">
        <v>12</v>
      </c>
      <c r="K77" s="22">
        <f>K74</f>
        <v>0</v>
      </c>
      <c r="L77" s="15" t="s">
        <v>12</v>
      </c>
    </row>
    <row r="78" spans="1:18" ht="24.45" customHeight="1" x14ac:dyDescent="0.3">
      <c r="E78" s="13"/>
      <c r="F78" s="13"/>
      <c r="G78" s="13"/>
      <c r="H78" s="13"/>
      <c r="I78" s="154">
        <f>I77+K77</f>
        <v>2046</v>
      </c>
      <c r="J78" s="155"/>
      <c r="K78" s="155"/>
      <c r="L78" s="156"/>
    </row>
    <row r="80" spans="1:18" s="8" customFormat="1" ht="30" customHeight="1" x14ac:dyDescent="0.3">
      <c r="A80" s="133" t="s">
        <v>322</v>
      </c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6"/>
    </row>
    <row r="81" spans="1:18" s="12" customFormat="1" ht="14.55" customHeight="1" x14ac:dyDescent="0.3">
      <c r="A81" s="128" t="s">
        <v>1</v>
      </c>
      <c r="B81" s="137" t="s">
        <v>2</v>
      </c>
      <c r="C81" s="137" t="s">
        <v>3</v>
      </c>
      <c r="D81" s="137" t="s">
        <v>4</v>
      </c>
      <c r="E81" s="124" t="s">
        <v>5</v>
      </c>
      <c r="F81" s="138" t="s">
        <v>14</v>
      </c>
      <c r="G81" s="138" t="s">
        <v>15</v>
      </c>
      <c r="H81" s="119" t="s">
        <v>29</v>
      </c>
      <c r="I81" s="121" t="s">
        <v>6</v>
      </c>
      <c r="J81" s="122"/>
      <c r="K81" s="122"/>
      <c r="L81" s="123"/>
      <c r="M81" s="124" t="s">
        <v>7</v>
      </c>
      <c r="N81" s="125"/>
      <c r="O81" s="128" t="s">
        <v>8</v>
      </c>
      <c r="P81" s="128" t="s">
        <v>9</v>
      </c>
      <c r="Q81" s="128"/>
      <c r="R81" s="128"/>
    </row>
    <row r="82" spans="1:18" s="12" customFormat="1" ht="13.05" customHeight="1" x14ac:dyDescent="0.3">
      <c r="A82" s="128"/>
      <c r="B82" s="137"/>
      <c r="C82" s="137"/>
      <c r="D82" s="137"/>
      <c r="E82" s="126"/>
      <c r="F82" s="139"/>
      <c r="G82" s="139"/>
      <c r="H82" s="120"/>
      <c r="I82" s="121" t="s">
        <v>19</v>
      </c>
      <c r="J82" s="123"/>
      <c r="K82" s="121" t="s">
        <v>20</v>
      </c>
      <c r="L82" s="123"/>
      <c r="M82" s="126"/>
      <c r="N82" s="127"/>
      <c r="O82" s="128"/>
      <c r="P82" s="128"/>
      <c r="Q82" s="128"/>
      <c r="R82" s="128"/>
    </row>
    <row r="83" spans="1:18" ht="14.55" customHeight="1" x14ac:dyDescent="0.3">
      <c r="A83" s="140" t="s">
        <v>37</v>
      </c>
      <c r="B83" s="5">
        <v>0.33333333333333331</v>
      </c>
      <c r="C83" s="5"/>
      <c r="D83" s="4">
        <v>250049</v>
      </c>
      <c r="E83" s="3" t="s">
        <v>257</v>
      </c>
      <c r="F83" s="19">
        <v>304</v>
      </c>
      <c r="G83" s="20">
        <v>0.7</v>
      </c>
      <c r="H83" s="28" t="s">
        <v>271</v>
      </c>
      <c r="I83" s="143">
        <v>767</v>
      </c>
      <c r="J83" s="144"/>
      <c r="K83" s="143"/>
      <c r="L83" s="144"/>
      <c r="M83" s="112"/>
      <c r="N83" s="6" t="s">
        <v>13</v>
      </c>
      <c r="O83" s="21"/>
      <c r="P83" s="157"/>
      <c r="Q83" s="158"/>
      <c r="R83" s="159"/>
    </row>
    <row r="84" spans="1:18" ht="14.55" customHeight="1" x14ac:dyDescent="0.3">
      <c r="A84" s="166"/>
      <c r="B84" s="5"/>
      <c r="C84" s="5"/>
      <c r="D84" s="4">
        <v>250049</v>
      </c>
      <c r="E84" s="3" t="s">
        <v>460</v>
      </c>
      <c r="F84" s="19">
        <v>304</v>
      </c>
      <c r="G84" s="20">
        <v>0.7</v>
      </c>
      <c r="H84" s="28" t="s">
        <v>271</v>
      </c>
      <c r="I84" s="143">
        <v>757</v>
      </c>
      <c r="J84" s="144"/>
      <c r="K84" s="143"/>
      <c r="L84" s="144"/>
      <c r="M84" s="112"/>
      <c r="N84" s="6" t="s">
        <v>13</v>
      </c>
      <c r="O84" s="21"/>
      <c r="P84" s="160"/>
      <c r="Q84" s="161"/>
      <c r="R84" s="162"/>
    </row>
    <row r="85" spans="1:18" ht="14.55" customHeight="1" x14ac:dyDescent="0.3">
      <c r="A85" s="166"/>
      <c r="B85" s="5"/>
      <c r="C85" s="5">
        <v>0.70833333333333337</v>
      </c>
      <c r="D85" s="4">
        <v>250049</v>
      </c>
      <c r="E85" s="3" t="s">
        <v>248</v>
      </c>
      <c r="F85" s="19">
        <v>304</v>
      </c>
      <c r="G85" s="20">
        <v>0.7</v>
      </c>
      <c r="H85" s="28" t="s">
        <v>271</v>
      </c>
      <c r="I85" s="143">
        <v>225</v>
      </c>
      <c r="J85" s="144"/>
      <c r="K85" s="143"/>
      <c r="L85" s="144"/>
      <c r="M85" s="112"/>
      <c r="N85" s="6" t="s">
        <v>13</v>
      </c>
      <c r="O85" s="21"/>
      <c r="P85" s="160"/>
      <c r="Q85" s="161"/>
      <c r="R85" s="162"/>
    </row>
    <row r="86" spans="1:18" ht="14.55" customHeight="1" x14ac:dyDescent="0.3">
      <c r="A86" s="166"/>
      <c r="B86" s="5"/>
      <c r="C86" s="5"/>
      <c r="D86" s="4"/>
      <c r="E86" s="3"/>
      <c r="F86" s="19"/>
      <c r="G86" s="20"/>
      <c r="H86" s="28"/>
      <c r="I86" s="143"/>
      <c r="J86" s="144"/>
      <c r="K86" s="143"/>
      <c r="L86" s="144"/>
      <c r="M86" s="112"/>
      <c r="N86" s="6" t="s">
        <v>13</v>
      </c>
      <c r="O86" s="21"/>
      <c r="P86" s="160"/>
      <c r="Q86" s="161"/>
      <c r="R86" s="162"/>
    </row>
    <row r="87" spans="1:18" ht="14.55" customHeight="1" x14ac:dyDescent="0.3">
      <c r="A87" s="167"/>
      <c r="B87" s="148" t="s">
        <v>0</v>
      </c>
      <c r="C87" s="149"/>
      <c r="D87" s="149"/>
      <c r="E87" s="149"/>
      <c r="F87" s="149"/>
      <c r="G87" s="149"/>
      <c r="H87" s="149"/>
      <c r="I87" s="150">
        <f>SUM(I83:J86)</f>
        <v>1749</v>
      </c>
      <c r="J87" s="151"/>
      <c r="K87" s="150">
        <f>SUM(K83:L86)</f>
        <v>0</v>
      </c>
      <c r="L87" s="151"/>
      <c r="M87" s="10">
        <f>SUM(M83:M86)</f>
        <v>0</v>
      </c>
      <c r="N87" s="11" t="s">
        <v>13</v>
      </c>
      <c r="O87" s="9"/>
      <c r="P87" s="163"/>
      <c r="Q87" s="164"/>
      <c r="R87" s="165"/>
    </row>
    <row r="88" spans="1:18" ht="14.55" customHeight="1" x14ac:dyDescent="0.3">
      <c r="D88" s="104"/>
      <c r="E88" s="1"/>
      <c r="F88" s="1"/>
      <c r="G88" s="1"/>
      <c r="H88" s="1"/>
      <c r="M88" s="104"/>
    </row>
    <row r="89" spans="1:18" x14ac:dyDescent="0.3">
      <c r="E89" s="148" t="s">
        <v>323</v>
      </c>
      <c r="F89" s="149"/>
      <c r="G89" s="149"/>
      <c r="H89" s="149"/>
      <c r="I89" s="152" t="s">
        <v>19</v>
      </c>
      <c r="J89" s="153"/>
      <c r="K89" s="152" t="s">
        <v>20</v>
      </c>
      <c r="L89" s="153"/>
    </row>
    <row r="90" spans="1:18" s="105" customFormat="1" x14ac:dyDescent="0.3">
      <c r="E90" s="7"/>
      <c r="F90" s="7"/>
      <c r="G90" s="7"/>
      <c r="H90" s="7"/>
      <c r="I90" s="22">
        <f>I87</f>
        <v>1749</v>
      </c>
      <c r="J90" s="14" t="s">
        <v>12</v>
      </c>
      <c r="K90" s="22">
        <f>K87</f>
        <v>0</v>
      </c>
      <c r="L90" s="15" t="s">
        <v>12</v>
      </c>
    </row>
    <row r="91" spans="1:18" ht="24.45" customHeight="1" x14ac:dyDescent="0.3">
      <c r="E91" s="13"/>
      <c r="F91" s="13"/>
      <c r="G91" s="13"/>
      <c r="H91" s="13"/>
      <c r="I91" s="154">
        <f>I90+K90</f>
        <v>1749</v>
      </c>
      <c r="J91" s="155"/>
      <c r="K91" s="155"/>
      <c r="L91" s="156"/>
    </row>
    <row r="93" spans="1:18" s="8" customFormat="1" ht="30" customHeight="1" x14ac:dyDescent="0.3">
      <c r="A93" s="133" t="s">
        <v>30</v>
      </c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6"/>
    </row>
    <row r="94" spans="1:18" s="12" customFormat="1" ht="14.55" customHeight="1" x14ac:dyDescent="0.3">
      <c r="A94" s="128" t="s">
        <v>1</v>
      </c>
      <c r="B94" s="137" t="s">
        <v>2</v>
      </c>
      <c r="C94" s="137" t="s">
        <v>3</v>
      </c>
      <c r="D94" s="137" t="s">
        <v>4</v>
      </c>
      <c r="E94" s="124" t="s">
        <v>5</v>
      </c>
      <c r="F94" s="138" t="s">
        <v>14</v>
      </c>
      <c r="G94" s="138" t="s">
        <v>15</v>
      </c>
      <c r="H94" s="119" t="s">
        <v>29</v>
      </c>
      <c r="I94" s="121" t="s">
        <v>6</v>
      </c>
      <c r="J94" s="122"/>
      <c r="K94" s="122"/>
      <c r="L94" s="123"/>
      <c r="M94" s="124" t="s">
        <v>7</v>
      </c>
      <c r="N94" s="125"/>
      <c r="O94" s="128" t="s">
        <v>8</v>
      </c>
      <c r="P94" s="128" t="s">
        <v>9</v>
      </c>
      <c r="Q94" s="128"/>
      <c r="R94" s="128"/>
    </row>
    <row r="95" spans="1:18" s="12" customFormat="1" ht="13.05" customHeight="1" x14ac:dyDescent="0.3">
      <c r="A95" s="128"/>
      <c r="B95" s="137"/>
      <c r="C95" s="137"/>
      <c r="D95" s="137"/>
      <c r="E95" s="126"/>
      <c r="F95" s="139"/>
      <c r="G95" s="139"/>
      <c r="H95" s="120"/>
      <c r="I95" s="121" t="s">
        <v>19</v>
      </c>
      <c r="J95" s="123"/>
      <c r="K95" s="121" t="s">
        <v>20</v>
      </c>
      <c r="L95" s="123"/>
      <c r="M95" s="126"/>
      <c r="N95" s="127"/>
      <c r="O95" s="128"/>
      <c r="P95" s="128"/>
      <c r="Q95" s="128"/>
      <c r="R95" s="128"/>
    </row>
    <row r="96" spans="1:18" ht="14.55" customHeight="1" x14ac:dyDescent="0.3">
      <c r="A96" s="140" t="s">
        <v>35</v>
      </c>
      <c r="B96" s="5">
        <v>0.33333333333333331</v>
      </c>
      <c r="C96" s="5">
        <v>0.70833333333333337</v>
      </c>
      <c r="D96" s="4"/>
      <c r="E96" s="3" t="s">
        <v>461</v>
      </c>
      <c r="F96" s="19"/>
      <c r="G96" s="20"/>
      <c r="H96" s="28"/>
      <c r="I96" s="143"/>
      <c r="J96" s="144"/>
      <c r="K96" s="143"/>
      <c r="L96" s="144"/>
      <c r="M96" s="112"/>
      <c r="N96" s="6" t="s">
        <v>13</v>
      </c>
      <c r="O96" s="21"/>
      <c r="P96" s="168"/>
      <c r="Q96" s="169"/>
      <c r="R96" s="170"/>
    </row>
    <row r="97" spans="1:18" ht="14.55" customHeight="1" x14ac:dyDescent="0.3">
      <c r="A97" s="166"/>
      <c r="B97" s="5"/>
      <c r="C97" s="5"/>
      <c r="D97" s="4"/>
      <c r="E97" s="3"/>
      <c r="F97" s="19"/>
      <c r="G97" s="20"/>
      <c r="H97" s="28"/>
      <c r="I97" s="143"/>
      <c r="J97" s="144"/>
      <c r="K97" s="143"/>
      <c r="L97" s="144"/>
      <c r="M97" s="112"/>
      <c r="N97" s="6" t="s">
        <v>13</v>
      </c>
      <c r="O97" s="21"/>
      <c r="P97" s="168"/>
      <c r="Q97" s="169"/>
      <c r="R97" s="170"/>
    </row>
    <row r="98" spans="1:18" ht="14.55" customHeight="1" x14ac:dyDescent="0.3">
      <c r="A98" s="166"/>
      <c r="B98" s="5"/>
      <c r="C98" s="5"/>
      <c r="D98" s="4"/>
      <c r="E98" s="3"/>
      <c r="F98" s="19"/>
      <c r="G98" s="20"/>
      <c r="H98" s="28"/>
      <c r="I98" s="143"/>
      <c r="J98" s="144"/>
      <c r="K98" s="143"/>
      <c r="L98" s="144"/>
      <c r="M98" s="112"/>
      <c r="N98" s="6" t="s">
        <v>13</v>
      </c>
      <c r="O98" s="21"/>
      <c r="P98" s="168"/>
      <c r="Q98" s="169"/>
      <c r="R98" s="170"/>
    </row>
    <row r="99" spans="1:18" ht="14.55" customHeight="1" x14ac:dyDescent="0.3">
      <c r="A99" s="167"/>
      <c r="B99" s="148" t="s">
        <v>0</v>
      </c>
      <c r="C99" s="149"/>
      <c r="D99" s="149"/>
      <c r="E99" s="149"/>
      <c r="F99" s="149"/>
      <c r="G99" s="149"/>
      <c r="H99" s="149"/>
      <c r="I99" s="150">
        <f>SUM(I96:J98)</f>
        <v>0</v>
      </c>
      <c r="J99" s="151"/>
      <c r="K99" s="150">
        <f>SUM(K96:L98)</f>
        <v>0</v>
      </c>
      <c r="L99" s="151"/>
      <c r="M99" s="10">
        <f>SUM(M96:M98)</f>
        <v>0</v>
      </c>
      <c r="N99" s="11" t="s">
        <v>13</v>
      </c>
      <c r="O99" s="9"/>
      <c r="P99" s="168"/>
      <c r="Q99" s="169"/>
      <c r="R99" s="170"/>
    </row>
    <row r="100" spans="1:18" ht="14.55" customHeight="1" x14ac:dyDescent="0.3">
      <c r="D100" s="104"/>
      <c r="E100" s="1"/>
      <c r="F100" s="1"/>
      <c r="G100" s="1"/>
      <c r="H100" s="1"/>
      <c r="M100" s="104"/>
    </row>
    <row r="101" spans="1:18" x14ac:dyDescent="0.3">
      <c r="E101" s="148" t="s">
        <v>34</v>
      </c>
      <c r="F101" s="149"/>
      <c r="G101" s="149"/>
      <c r="H101" s="149"/>
      <c r="I101" s="152" t="s">
        <v>19</v>
      </c>
      <c r="J101" s="153"/>
      <c r="K101" s="152" t="s">
        <v>20</v>
      </c>
      <c r="L101" s="153"/>
    </row>
    <row r="102" spans="1:18" s="105" customFormat="1" x14ac:dyDescent="0.3">
      <c r="E102" s="7"/>
      <c r="F102" s="7"/>
      <c r="G102" s="7"/>
      <c r="H102" s="7"/>
      <c r="I102" s="22">
        <f>I99</f>
        <v>0</v>
      </c>
      <c r="J102" s="14" t="s">
        <v>12</v>
      </c>
      <c r="K102" s="22">
        <f>K99</f>
        <v>0</v>
      </c>
      <c r="L102" s="15" t="s">
        <v>12</v>
      </c>
    </row>
    <row r="103" spans="1:18" s="1" customFormat="1" ht="24.45" customHeight="1" x14ac:dyDescent="0.3">
      <c r="A103" s="104"/>
      <c r="B103" s="104"/>
      <c r="C103" s="104"/>
      <c r="E103" s="13"/>
      <c r="F103" s="13"/>
      <c r="G103" s="13"/>
      <c r="H103" s="13"/>
      <c r="I103" s="154">
        <f>I102+K102</f>
        <v>0</v>
      </c>
      <c r="J103" s="155"/>
      <c r="K103" s="155"/>
      <c r="L103" s="156"/>
      <c r="N103" s="104"/>
      <c r="O103" s="104"/>
      <c r="P103" s="104"/>
      <c r="Q103" s="104"/>
      <c r="R103" s="104"/>
    </row>
  </sheetData>
  <mergeCells count="250">
    <mergeCell ref="I13:J13"/>
    <mergeCell ref="K13:L13"/>
    <mergeCell ref="I67:J67"/>
    <mergeCell ref="K67:L67"/>
    <mergeCell ref="I68:J68"/>
    <mergeCell ref="K68:L68"/>
    <mergeCell ref="I55:J55"/>
    <mergeCell ref="K55:L55"/>
    <mergeCell ref="K99:L99"/>
    <mergeCell ref="I94:L94"/>
    <mergeCell ref="I78:L78"/>
    <mergeCell ref="A80:R80"/>
    <mergeCell ref="A81:A82"/>
    <mergeCell ref="B81:B82"/>
    <mergeCell ref="C81:C82"/>
    <mergeCell ref="D81:D82"/>
    <mergeCell ref="E81:E82"/>
    <mergeCell ref="F81:F82"/>
    <mergeCell ref="G81:G82"/>
    <mergeCell ref="H81:H82"/>
    <mergeCell ref="B74:H74"/>
    <mergeCell ref="I74:J74"/>
    <mergeCell ref="K74:L74"/>
    <mergeCell ref="E76:H76"/>
    <mergeCell ref="P99:R99"/>
    <mergeCell ref="E101:H101"/>
    <mergeCell ref="I101:J101"/>
    <mergeCell ref="K101:L101"/>
    <mergeCell ref="I103:L103"/>
    <mergeCell ref="A96:A99"/>
    <mergeCell ref="I96:J96"/>
    <mergeCell ref="K96:L96"/>
    <mergeCell ref="P96:R98"/>
    <mergeCell ref="I97:J97"/>
    <mergeCell ref="K97:L97"/>
    <mergeCell ref="I98:J98"/>
    <mergeCell ref="K98:L98"/>
    <mergeCell ref="B99:H99"/>
    <mergeCell ref="I99:J99"/>
    <mergeCell ref="M94:N95"/>
    <mergeCell ref="O94:O95"/>
    <mergeCell ref="P94:R95"/>
    <mergeCell ref="I95:J95"/>
    <mergeCell ref="K95:L95"/>
    <mergeCell ref="I91:L91"/>
    <mergeCell ref="A93:R93"/>
    <mergeCell ref="A94:A95"/>
    <mergeCell ref="B94:B95"/>
    <mergeCell ref="C94:C95"/>
    <mergeCell ref="D94:D95"/>
    <mergeCell ref="E94:E95"/>
    <mergeCell ref="F94:F95"/>
    <mergeCell ref="G94:G95"/>
    <mergeCell ref="H94:H95"/>
    <mergeCell ref="B87:H87"/>
    <mergeCell ref="I87:J87"/>
    <mergeCell ref="K87:L87"/>
    <mergeCell ref="E89:H89"/>
    <mergeCell ref="I89:J89"/>
    <mergeCell ref="K89:L89"/>
    <mergeCell ref="A83:A87"/>
    <mergeCell ref="I83:J83"/>
    <mergeCell ref="K83:L83"/>
    <mergeCell ref="P83:R87"/>
    <mergeCell ref="I84:J84"/>
    <mergeCell ref="K84:L84"/>
    <mergeCell ref="I85:J85"/>
    <mergeCell ref="K85:L85"/>
    <mergeCell ref="I86:J86"/>
    <mergeCell ref="K86:L86"/>
    <mergeCell ref="I81:L81"/>
    <mergeCell ref="M81:N82"/>
    <mergeCell ref="O81:O82"/>
    <mergeCell ref="P81:R82"/>
    <mergeCell ref="I82:J82"/>
    <mergeCell ref="K82:L82"/>
    <mergeCell ref="I76:J76"/>
    <mergeCell ref="K76:L76"/>
    <mergeCell ref="A66:A74"/>
    <mergeCell ref="I66:J66"/>
    <mergeCell ref="K66:L66"/>
    <mergeCell ref="P66:R74"/>
    <mergeCell ref="I71:J71"/>
    <mergeCell ref="K71:L71"/>
    <mergeCell ref="I72:J72"/>
    <mergeCell ref="K72:L72"/>
    <mergeCell ref="I73:J73"/>
    <mergeCell ref="K73:L73"/>
    <mergeCell ref="I69:J69"/>
    <mergeCell ref="K69:L69"/>
    <mergeCell ref="I70:J70"/>
    <mergeCell ref="K70:L70"/>
    <mergeCell ref="I64:L64"/>
    <mergeCell ref="M64:N65"/>
    <mergeCell ref="O64:O65"/>
    <mergeCell ref="P64:R65"/>
    <mergeCell ref="I65:J65"/>
    <mergeCell ref="K65:L65"/>
    <mergeCell ref="I61:L61"/>
    <mergeCell ref="A63:R63"/>
    <mergeCell ref="A64:A65"/>
    <mergeCell ref="B64:B65"/>
    <mergeCell ref="C64:C65"/>
    <mergeCell ref="D64:D65"/>
    <mergeCell ref="E64:E65"/>
    <mergeCell ref="F64:F65"/>
    <mergeCell ref="G64:G65"/>
    <mergeCell ref="H64:H65"/>
    <mergeCell ref="B57:H57"/>
    <mergeCell ref="I57:J57"/>
    <mergeCell ref="K57:L57"/>
    <mergeCell ref="E59:H59"/>
    <mergeCell ref="I59:J59"/>
    <mergeCell ref="K59:L59"/>
    <mergeCell ref="A52:A57"/>
    <mergeCell ref="I52:J52"/>
    <mergeCell ref="K52:L52"/>
    <mergeCell ref="P52:R57"/>
    <mergeCell ref="I53:J53"/>
    <mergeCell ref="K53:L53"/>
    <mergeCell ref="I54:J54"/>
    <mergeCell ref="K54:L54"/>
    <mergeCell ref="I56:J56"/>
    <mergeCell ref="K56:L56"/>
    <mergeCell ref="I50:L50"/>
    <mergeCell ref="M50:N51"/>
    <mergeCell ref="O50:O51"/>
    <mergeCell ref="P50:R51"/>
    <mergeCell ref="I51:J51"/>
    <mergeCell ref="K51:L51"/>
    <mergeCell ref="I47:L47"/>
    <mergeCell ref="A49:R49"/>
    <mergeCell ref="A50:A51"/>
    <mergeCell ref="B50:B51"/>
    <mergeCell ref="C50:C51"/>
    <mergeCell ref="D50:D51"/>
    <mergeCell ref="E50:E51"/>
    <mergeCell ref="F50:F51"/>
    <mergeCell ref="G50:G51"/>
    <mergeCell ref="H50:H51"/>
    <mergeCell ref="B43:H43"/>
    <mergeCell ref="I43:J43"/>
    <mergeCell ref="K43:L43"/>
    <mergeCell ref="E45:H45"/>
    <mergeCell ref="I45:J45"/>
    <mergeCell ref="K45:L45"/>
    <mergeCell ref="A38:A43"/>
    <mergeCell ref="I38:J38"/>
    <mergeCell ref="K38:L38"/>
    <mergeCell ref="A32:A37"/>
    <mergeCell ref="I32:J32"/>
    <mergeCell ref="K32:L32"/>
    <mergeCell ref="B37:H37"/>
    <mergeCell ref="K37:L37"/>
    <mergeCell ref="P38:R43"/>
    <mergeCell ref="I39:J39"/>
    <mergeCell ref="K39:L39"/>
    <mergeCell ref="I40:J40"/>
    <mergeCell ref="K40:L40"/>
    <mergeCell ref="I41:J41"/>
    <mergeCell ref="K41:L41"/>
    <mergeCell ref="P32:R37"/>
    <mergeCell ref="I33:J33"/>
    <mergeCell ref="K33:L33"/>
    <mergeCell ref="I34:J34"/>
    <mergeCell ref="K34:L34"/>
    <mergeCell ref="I35:J35"/>
    <mergeCell ref="K35:L35"/>
    <mergeCell ref="I36:J36"/>
    <mergeCell ref="K36:L36"/>
    <mergeCell ref="I37:J37"/>
    <mergeCell ref="I42:J42"/>
    <mergeCell ref="K42:L42"/>
    <mergeCell ref="A28:A31"/>
    <mergeCell ref="I28:J28"/>
    <mergeCell ref="K28:L28"/>
    <mergeCell ref="P28:R31"/>
    <mergeCell ref="I29:J29"/>
    <mergeCell ref="K29:L29"/>
    <mergeCell ref="I30:J30"/>
    <mergeCell ref="F26:F27"/>
    <mergeCell ref="G26:G27"/>
    <mergeCell ref="H26:H27"/>
    <mergeCell ref="I26:L26"/>
    <mergeCell ref="M26:N27"/>
    <mergeCell ref="O26:O27"/>
    <mergeCell ref="K30:L30"/>
    <mergeCell ref="B31:H31"/>
    <mergeCell ref="I31:J31"/>
    <mergeCell ref="K31:L31"/>
    <mergeCell ref="I23:L23"/>
    <mergeCell ref="A25:R25"/>
    <mergeCell ref="A26:A27"/>
    <mergeCell ref="B26:B27"/>
    <mergeCell ref="C26:C27"/>
    <mergeCell ref="D26:D27"/>
    <mergeCell ref="E26:E27"/>
    <mergeCell ref="P26:R27"/>
    <mergeCell ref="I27:J27"/>
    <mergeCell ref="K27:L27"/>
    <mergeCell ref="B19:H19"/>
    <mergeCell ref="I19:J19"/>
    <mergeCell ref="K19:L19"/>
    <mergeCell ref="B15:H15"/>
    <mergeCell ref="I15:J15"/>
    <mergeCell ref="K15:L15"/>
    <mergeCell ref="E21:H21"/>
    <mergeCell ref="I21:J21"/>
    <mergeCell ref="K21:L21"/>
    <mergeCell ref="A16:A19"/>
    <mergeCell ref="I16:J16"/>
    <mergeCell ref="K16:L16"/>
    <mergeCell ref="A7:A15"/>
    <mergeCell ref="I7:J7"/>
    <mergeCell ref="K7:L7"/>
    <mergeCell ref="P7:R15"/>
    <mergeCell ref="I8:J8"/>
    <mergeCell ref="K8:L8"/>
    <mergeCell ref="I9:J9"/>
    <mergeCell ref="K9:L9"/>
    <mergeCell ref="I14:J14"/>
    <mergeCell ref="K14:L14"/>
    <mergeCell ref="I10:J10"/>
    <mergeCell ref="K10:L10"/>
    <mergeCell ref="I11:J11"/>
    <mergeCell ref="K11:L11"/>
    <mergeCell ref="I12:J12"/>
    <mergeCell ref="K12:L12"/>
    <mergeCell ref="P16:R19"/>
    <mergeCell ref="I17:J17"/>
    <mergeCell ref="K17:L17"/>
    <mergeCell ref="I18:J18"/>
    <mergeCell ref="K18:L18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7"/>
  <sheetViews>
    <sheetView tabSelected="1" topLeftCell="A35" zoomScale="85" zoomScaleNormal="85" workbookViewId="0">
      <selection activeCell="C35" sqref="C35"/>
    </sheetView>
  </sheetViews>
  <sheetFormatPr defaultColWidth="8.77734375" defaultRowHeight="14.4" x14ac:dyDescent="0.3"/>
  <cols>
    <col min="1" max="1" width="12.6640625" style="116" customWidth="1"/>
    <col min="2" max="3" width="7.6640625" style="116" customWidth="1"/>
    <col min="4" max="4" width="8.21875" style="1" bestFit="1" customWidth="1"/>
    <col min="5" max="5" width="40.6640625" style="116" customWidth="1"/>
    <col min="6" max="6" width="5.6640625" style="116" customWidth="1"/>
    <col min="7" max="7" width="6.6640625" style="116" customWidth="1"/>
    <col min="8" max="8" width="24.5546875" style="116" bestFit="1" customWidth="1"/>
    <col min="9" max="9" width="6.6640625" style="1" customWidth="1"/>
    <col min="10" max="10" width="5.21875" style="1" customWidth="1"/>
    <col min="11" max="11" width="6.6640625" style="1" customWidth="1"/>
    <col min="12" max="12" width="5.21875" style="1" customWidth="1"/>
    <col min="13" max="13" width="6.44140625" style="1" customWidth="1"/>
    <col min="14" max="14" width="3.21875" style="116" customWidth="1"/>
    <col min="15" max="15" width="21.5546875" style="116" bestFit="1" customWidth="1"/>
    <col min="16" max="18" width="7.6640625" style="116" customWidth="1"/>
    <col min="19" max="16384" width="8.77734375" style="116"/>
  </cols>
  <sheetData>
    <row r="1" spans="1:18" x14ac:dyDescent="0.3">
      <c r="D1" s="116"/>
      <c r="I1" s="116"/>
      <c r="J1" s="116"/>
      <c r="K1" s="116"/>
      <c r="L1" s="116"/>
      <c r="M1" s="116"/>
    </row>
    <row r="2" spans="1:18" x14ac:dyDescent="0.3">
      <c r="D2" s="116"/>
      <c r="I2" s="116"/>
      <c r="J2" s="116"/>
      <c r="K2" s="116"/>
      <c r="L2" s="116"/>
      <c r="M2" s="116"/>
      <c r="O2" s="1"/>
      <c r="P2" s="1"/>
      <c r="Q2" s="1"/>
      <c r="R2" s="1"/>
    </row>
    <row r="3" spans="1:18" s="18" customFormat="1" ht="19.95" customHeight="1" x14ac:dyDescent="0.4">
      <c r="A3" s="16"/>
      <c r="B3" s="16"/>
      <c r="C3" s="16"/>
      <c r="D3" s="16"/>
      <c r="E3" s="16"/>
      <c r="F3" s="16"/>
      <c r="G3" s="16"/>
      <c r="H3" s="16"/>
      <c r="I3" s="16"/>
      <c r="J3" s="16"/>
      <c r="K3" s="17"/>
      <c r="L3" s="129" t="s">
        <v>10</v>
      </c>
      <c r="M3" s="129"/>
      <c r="N3" s="129"/>
      <c r="O3" s="130">
        <v>45966</v>
      </c>
      <c r="P3" s="131"/>
      <c r="Q3" s="131"/>
      <c r="R3" s="132"/>
    </row>
    <row r="4" spans="1:18" s="8" customFormat="1" ht="30" customHeight="1" x14ac:dyDescent="0.3">
      <c r="A4" s="133" t="s">
        <v>18</v>
      </c>
      <c r="B4" s="134"/>
      <c r="C4" s="134"/>
      <c r="D4" s="134"/>
      <c r="E4" s="134"/>
      <c r="F4" s="134"/>
      <c r="G4" s="134"/>
      <c r="H4" s="134"/>
      <c r="I4" s="134"/>
      <c r="J4" s="134"/>
      <c r="K4" s="135"/>
      <c r="L4" s="135"/>
      <c r="M4" s="135"/>
      <c r="N4" s="135"/>
      <c r="O4" s="134"/>
      <c r="P4" s="134"/>
      <c r="Q4" s="134"/>
      <c r="R4" s="136"/>
    </row>
    <row r="5" spans="1:18" s="12" customFormat="1" ht="14.55" customHeight="1" x14ac:dyDescent="0.3">
      <c r="A5" s="128" t="s">
        <v>1</v>
      </c>
      <c r="B5" s="137" t="s">
        <v>2</v>
      </c>
      <c r="C5" s="137" t="s">
        <v>3</v>
      </c>
      <c r="D5" s="137" t="s">
        <v>4</v>
      </c>
      <c r="E5" s="124" t="s">
        <v>5</v>
      </c>
      <c r="F5" s="138" t="s">
        <v>14</v>
      </c>
      <c r="G5" s="138" t="s">
        <v>15</v>
      </c>
      <c r="H5" s="119" t="s">
        <v>43</v>
      </c>
      <c r="I5" s="121" t="s">
        <v>6</v>
      </c>
      <c r="J5" s="122"/>
      <c r="K5" s="122"/>
      <c r="L5" s="123"/>
      <c r="M5" s="124" t="s">
        <v>7</v>
      </c>
      <c r="N5" s="125"/>
      <c r="O5" s="128" t="s">
        <v>8</v>
      </c>
      <c r="P5" s="128" t="s">
        <v>9</v>
      </c>
      <c r="Q5" s="128"/>
      <c r="R5" s="128"/>
    </row>
    <row r="6" spans="1:18" s="12" customFormat="1" ht="13.05" customHeight="1" x14ac:dyDescent="0.3">
      <c r="A6" s="128"/>
      <c r="B6" s="137"/>
      <c r="C6" s="137"/>
      <c r="D6" s="137"/>
      <c r="E6" s="126"/>
      <c r="F6" s="139"/>
      <c r="G6" s="139"/>
      <c r="H6" s="120"/>
      <c r="I6" s="121" t="s">
        <v>19</v>
      </c>
      <c r="J6" s="123"/>
      <c r="K6" s="121" t="s">
        <v>20</v>
      </c>
      <c r="L6" s="123"/>
      <c r="M6" s="126"/>
      <c r="N6" s="127"/>
      <c r="O6" s="128"/>
      <c r="P6" s="128"/>
      <c r="Q6" s="128"/>
      <c r="R6" s="128"/>
    </row>
    <row r="7" spans="1:18" ht="14.55" customHeight="1" x14ac:dyDescent="0.3">
      <c r="A7" s="140" t="s">
        <v>320</v>
      </c>
      <c r="B7" s="5">
        <v>0.33333333333333331</v>
      </c>
      <c r="C7" s="4"/>
      <c r="D7" s="81">
        <v>250057</v>
      </c>
      <c r="E7" s="84" t="s">
        <v>463</v>
      </c>
      <c r="F7" s="19">
        <v>304</v>
      </c>
      <c r="G7" s="20">
        <v>0.7</v>
      </c>
      <c r="H7" s="28" t="s">
        <v>58</v>
      </c>
      <c r="I7" s="143">
        <v>345</v>
      </c>
      <c r="J7" s="144"/>
      <c r="K7" s="143"/>
      <c r="L7" s="144"/>
      <c r="M7" s="118"/>
      <c r="N7" s="6" t="s">
        <v>13</v>
      </c>
      <c r="O7" s="21"/>
      <c r="P7" s="145"/>
      <c r="Q7" s="146"/>
      <c r="R7" s="147"/>
    </row>
    <row r="8" spans="1:18" ht="14.55" customHeight="1" x14ac:dyDescent="0.3">
      <c r="A8" s="141"/>
      <c r="B8" s="5"/>
      <c r="C8" s="5"/>
      <c r="D8" s="81">
        <v>250061</v>
      </c>
      <c r="E8" s="84" t="s">
        <v>463</v>
      </c>
      <c r="F8" s="19">
        <v>304</v>
      </c>
      <c r="G8" s="20">
        <v>0.7</v>
      </c>
      <c r="H8" s="28" t="s">
        <v>58</v>
      </c>
      <c r="I8" s="143">
        <v>575</v>
      </c>
      <c r="J8" s="144"/>
      <c r="K8" s="143"/>
      <c r="L8" s="144"/>
      <c r="M8" s="118"/>
      <c r="N8" s="6" t="s">
        <v>13</v>
      </c>
      <c r="O8" s="21"/>
      <c r="P8" s="145"/>
      <c r="Q8" s="146"/>
      <c r="R8" s="147"/>
    </row>
    <row r="9" spans="1:18" ht="14.55" customHeight="1" x14ac:dyDescent="0.3">
      <c r="A9" s="141"/>
      <c r="B9" s="5"/>
      <c r="C9" s="5"/>
      <c r="D9" s="81">
        <v>250055</v>
      </c>
      <c r="E9" s="84" t="s">
        <v>463</v>
      </c>
      <c r="F9" s="19">
        <v>304</v>
      </c>
      <c r="G9" s="20">
        <v>0.7</v>
      </c>
      <c r="H9" s="28" t="s">
        <v>58</v>
      </c>
      <c r="I9" s="143">
        <v>880</v>
      </c>
      <c r="J9" s="144"/>
      <c r="K9" s="143"/>
      <c r="L9" s="144"/>
      <c r="M9" s="118"/>
      <c r="N9" s="6" t="s">
        <v>13</v>
      </c>
      <c r="O9" s="21"/>
      <c r="P9" s="145"/>
      <c r="Q9" s="146"/>
      <c r="R9" s="147"/>
    </row>
    <row r="10" spans="1:18" ht="14.55" customHeight="1" x14ac:dyDescent="0.3">
      <c r="A10" s="141"/>
      <c r="B10" s="5"/>
      <c r="C10" s="5"/>
      <c r="D10" s="81">
        <v>250080</v>
      </c>
      <c r="E10" s="3" t="s">
        <v>464</v>
      </c>
      <c r="F10" s="19">
        <v>304</v>
      </c>
      <c r="G10" s="20">
        <v>0.6</v>
      </c>
      <c r="H10" s="28" t="s">
        <v>58</v>
      </c>
      <c r="I10" s="143">
        <v>308</v>
      </c>
      <c r="J10" s="144"/>
      <c r="K10" s="143"/>
      <c r="L10" s="144"/>
      <c r="M10" s="118"/>
      <c r="N10" s="6" t="s">
        <v>13</v>
      </c>
      <c r="O10" s="21"/>
      <c r="P10" s="145"/>
      <c r="Q10" s="146"/>
      <c r="R10" s="147"/>
    </row>
    <row r="11" spans="1:18" ht="14.55" customHeight="1" x14ac:dyDescent="0.3">
      <c r="A11" s="141"/>
      <c r="B11" s="5"/>
      <c r="C11" s="5">
        <v>0.70833333333333337</v>
      </c>
      <c r="D11" s="81">
        <v>250080</v>
      </c>
      <c r="E11" s="3" t="s">
        <v>465</v>
      </c>
      <c r="F11" s="19">
        <v>304</v>
      </c>
      <c r="G11" s="20">
        <v>0.6</v>
      </c>
      <c r="H11" s="28" t="s">
        <v>55</v>
      </c>
      <c r="I11" s="143">
        <v>400</v>
      </c>
      <c r="J11" s="144"/>
      <c r="K11" s="143"/>
      <c r="L11" s="144"/>
      <c r="M11" s="118"/>
      <c r="N11" s="6" t="s">
        <v>13</v>
      </c>
      <c r="O11" s="21"/>
      <c r="P11" s="145"/>
      <c r="Q11" s="146"/>
      <c r="R11" s="147"/>
    </row>
    <row r="12" spans="1:18" ht="14.55" customHeight="1" x14ac:dyDescent="0.3">
      <c r="A12" s="141"/>
      <c r="B12" s="5"/>
      <c r="C12" s="5"/>
      <c r="D12" s="81"/>
      <c r="E12" s="3"/>
      <c r="F12" s="19"/>
      <c r="G12" s="20"/>
      <c r="H12" s="28"/>
      <c r="I12" s="143"/>
      <c r="J12" s="144"/>
      <c r="K12" s="143"/>
      <c r="L12" s="144"/>
      <c r="M12" s="118"/>
      <c r="N12" s="6" t="s">
        <v>13</v>
      </c>
      <c r="O12" s="21"/>
      <c r="P12" s="145"/>
      <c r="Q12" s="146"/>
      <c r="R12" s="147"/>
    </row>
    <row r="13" spans="1:18" ht="14.55" customHeight="1" x14ac:dyDescent="0.3">
      <c r="A13" s="141"/>
      <c r="B13" s="5"/>
      <c r="C13" s="5"/>
      <c r="D13" s="72"/>
      <c r="E13" s="3"/>
      <c r="F13" s="19"/>
      <c r="G13" s="20"/>
      <c r="H13" s="28"/>
      <c r="I13" s="143"/>
      <c r="J13" s="144"/>
      <c r="K13" s="143"/>
      <c r="L13" s="144"/>
      <c r="M13" s="118"/>
      <c r="N13" s="6" t="s">
        <v>13</v>
      </c>
      <c r="O13" s="21"/>
      <c r="P13" s="145"/>
      <c r="Q13" s="146"/>
      <c r="R13" s="147"/>
    </row>
    <row r="14" spans="1:18" ht="14.55" customHeight="1" x14ac:dyDescent="0.3">
      <c r="A14" s="142"/>
      <c r="B14" s="148" t="s">
        <v>0</v>
      </c>
      <c r="C14" s="149"/>
      <c r="D14" s="149"/>
      <c r="E14" s="149"/>
      <c r="F14" s="149"/>
      <c r="G14" s="149"/>
      <c r="H14" s="149"/>
      <c r="I14" s="150">
        <f>SUM(I7:J13)</f>
        <v>2508</v>
      </c>
      <c r="J14" s="151"/>
      <c r="K14" s="150">
        <f>SUM(K7:L13)</f>
        <v>0</v>
      </c>
      <c r="L14" s="151"/>
      <c r="M14" s="10">
        <f>SUM(M7:M8)</f>
        <v>0</v>
      </c>
      <c r="N14" s="11" t="s">
        <v>13</v>
      </c>
      <c r="O14" s="9"/>
      <c r="P14" s="145"/>
      <c r="Q14" s="146"/>
      <c r="R14" s="147"/>
    </row>
    <row r="15" spans="1:18" ht="14.55" customHeight="1" x14ac:dyDescent="0.3">
      <c r="A15" s="140" t="s">
        <v>21</v>
      </c>
      <c r="B15" s="5"/>
      <c r="C15" s="5"/>
      <c r="D15" s="44"/>
      <c r="E15" s="69"/>
      <c r="F15" s="19"/>
      <c r="G15" s="20"/>
      <c r="H15" s="70"/>
      <c r="I15" s="143"/>
      <c r="J15" s="144"/>
      <c r="K15" s="143"/>
      <c r="L15" s="144"/>
      <c r="M15" s="118"/>
      <c r="N15" s="6" t="s">
        <v>13</v>
      </c>
      <c r="O15" s="21"/>
      <c r="P15" s="145"/>
      <c r="Q15" s="146"/>
      <c r="R15" s="147"/>
    </row>
    <row r="16" spans="1:18" ht="14.55" customHeight="1" x14ac:dyDescent="0.3">
      <c r="A16" s="141"/>
      <c r="B16" s="5"/>
      <c r="C16" s="5"/>
      <c r="D16" s="44"/>
      <c r="E16" s="3"/>
      <c r="F16" s="19"/>
      <c r="G16" s="20"/>
      <c r="H16" s="28"/>
      <c r="I16" s="143"/>
      <c r="J16" s="144"/>
      <c r="K16" s="143"/>
      <c r="L16" s="144"/>
      <c r="M16" s="118"/>
      <c r="N16" s="6" t="s">
        <v>13</v>
      </c>
      <c r="O16" s="21"/>
      <c r="P16" s="145"/>
      <c r="Q16" s="146"/>
      <c r="R16" s="147"/>
    </row>
    <row r="17" spans="1:18" ht="14.55" customHeight="1" x14ac:dyDescent="0.3">
      <c r="A17" s="141"/>
      <c r="B17" s="5"/>
      <c r="C17" s="5"/>
      <c r="D17" s="4"/>
      <c r="E17" s="3"/>
      <c r="F17" s="19"/>
      <c r="G17" s="20"/>
      <c r="H17" s="28"/>
      <c r="I17" s="143"/>
      <c r="J17" s="144"/>
      <c r="K17" s="143"/>
      <c r="L17" s="144"/>
      <c r="M17" s="118"/>
      <c r="N17" s="6" t="s">
        <v>13</v>
      </c>
      <c r="O17" s="21"/>
      <c r="P17" s="145"/>
      <c r="Q17" s="146"/>
      <c r="R17" s="147"/>
    </row>
    <row r="18" spans="1:18" ht="14.55" customHeight="1" x14ac:dyDescent="0.3">
      <c r="A18" s="142"/>
      <c r="B18" s="148" t="s">
        <v>0</v>
      </c>
      <c r="C18" s="149"/>
      <c r="D18" s="149"/>
      <c r="E18" s="149"/>
      <c r="F18" s="149"/>
      <c r="G18" s="149"/>
      <c r="H18" s="149"/>
      <c r="I18" s="150">
        <f>SUM(I15:J17)</f>
        <v>0</v>
      </c>
      <c r="J18" s="151"/>
      <c r="K18" s="150">
        <f>SUM(K15:L17)</f>
        <v>0</v>
      </c>
      <c r="L18" s="151"/>
      <c r="M18" s="10">
        <f>SUM(M15:M17)</f>
        <v>0</v>
      </c>
      <c r="N18" s="11" t="s">
        <v>13</v>
      </c>
      <c r="O18" s="9"/>
      <c r="P18" s="145"/>
      <c r="Q18" s="146"/>
      <c r="R18" s="147"/>
    </row>
    <row r="19" spans="1:18" ht="14.55" customHeight="1" x14ac:dyDescent="0.3">
      <c r="D19" s="116"/>
      <c r="E19" s="1"/>
      <c r="F19" s="1"/>
      <c r="G19" s="1"/>
      <c r="H19" s="1"/>
      <c r="M19" s="116"/>
    </row>
    <row r="20" spans="1:18" x14ac:dyDescent="0.3">
      <c r="E20" s="148" t="s">
        <v>316</v>
      </c>
      <c r="F20" s="149"/>
      <c r="G20" s="149"/>
      <c r="H20" s="149"/>
      <c r="I20" s="152" t="s">
        <v>19</v>
      </c>
      <c r="J20" s="153"/>
      <c r="K20" s="152" t="s">
        <v>20</v>
      </c>
      <c r="L20" s="153"/>
    </row>
    <row r="21" spans="1:18" s="105" customFormat="1" x14ac:dyDescent="0.3">
      <c r="E21" s="7"/>
      <c r="F21" s="7"/>
      <c r="G21" s="7"/>
      <c r="H21" s="7"/>
      <c r="I21" s="22">
        <f>I14+I18</f>
        <v>2508</v>
      </c>
      <c r="J21" s="14" t="s">
        <v>12</v>
      </c>
      <c r="K21" s="22">
        <f>K14+K18</f>
        <v>0</v>
      </c>
      <c r="L21" s="15" t="s">
        <v>12</v>
      </c>
    </row>
    <row r="22" spans="1:18" ht="24.45" customHeight="1" x14ac:dyDescent="0.3">
      <c r="E22" s="13"/>
      <c r="F22" s="13"/>
      <c r="G22" s="13"/>
      <c r="H22" s="13"/>
      <c r="I22" s="154">
        <f>I21+K21</f>
        <v>2508</v>
      </c>
      <c r="J22" s="155"/>
      <c r="K22" s="155"/>
      <c r="L22" s="156"/>
    </row>
    <row r="23" spans="1:18" ht="15" customHeight="1" x14ac:dyDescent="0.3">
      <c r="D23" s="116"/>
      <c r="I23" s="116"/>
      <c r="J23" s="116"/>
      <c r="K23" s="23"/>
      <c r="L23" s="23"/>
      <c r="M23" s="23"/>
      <c r="N23" s="23"/>
    </row>
    <row r="24" spans="1:18" s="8" customFormat="1" ht="30" customHeight="1" x14ac:dyDescent="0.3">
      <c r="A24" s="133" t="s">
        <v>22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5"/>
      <c r="L24" s="135"/>
      <c r="M24" s="135"/>
      <c r="N24" s="135"/>
      <c r="O24" s="134"/>
      <c r="P24" s="134"/>
      <c r="Q24" s="134"/>
      <c r="R24" s="136"/>
    </row>
    <row r="25" spans="1:18" s="12" customFormat="1" ht="14.55" customHeight="1" x14ac:dyDescent="0.3">
      <c r="A25" s="128" t="s">
        <v>1</v>
      </c>
      <c r="B25" s="137" t="s">
        <v>2</v>
      </c>
      <c r="C25" s="137" t="s">
        <v>3</v>
      </c>
      <c r="D25" s="137" t="s">
        <v>4</v>
      </c>
      <c r="E25" s="124" t="s">
        <v>5</v>
      </c>
      <c r="F25" s="138" t="s">
        <v>14</v>
      </c>
      <c r="G25" s="138" t="s">
        <v>15</v>
      </c>
      <c r="H25" s="119" t="s">
        <v>27</v>
      </c>
      <c r="I25" s="121" t="s">
        <v>6</v>
      </c>
      <c r="J25" s="122"/>
      <c r="K25" s="122"/>
      <c r="L25" s="123"/>
      <c r="M25" s="124" t="s">
        <v>7</v>
      </c>
      <c r="N25" s="125"/>
      <c r="O25" s="128" t="s">
        <v>8</v>
      </c>
      <c r="P25" s="128" t="s">
        <v>9</v>
      </c>
      <c r="Q25" s="128"/>
      <c r="R25" s="128"/>
    </row>
    <row r="26" spans="1:18" s="12" customFormat="1" ht="13.05" customHeight="1" x14ac:dyDescent="0.3">
      <c r="A26" s="128"/>
      <c r="B26" s="137"/>
      <c r="C26" s="137"/>
      <c r="D26" s="137"/>
      <c r="E26" s="126"/>
      <c r="F26" s="139"/>
      <c r="G26" s="139"/>
      <c r="H26" s="120"/>
      <c r="I26" s="121" t="s">
        <v>23</v>
      </c>
      <c r="J26" s="123"/>
      <c r="K26" s="121" t="s">
        <v>11</v>
      </c>
      <c r="L26" s="123"/>
      <c r="M26" s="126"/>
      <c r="N26" s="127"/>
      <c r="O26" s="128"/>
      <c r="P26" s="128"/>
      <c r="Q26" s="128"/>
      <c r="R26" s="128"/>
    </row>
    <row r="27" spans="1:18" ht="14.55" customHeight="1" x14ac:dyDescent="0.3">
      <c r="A27" s="140" t="s">
        <v>28</v>
      </c>
      <c r="B27" s="5"/>
      <c r="C27" s="5"/>
      <c r="D27" s="44"/>
      <c r="E27" s="3"/>
      <c r="F27" s="19"/>
      <c r="G27" s="20"/>
      <c r="H27" s="28"/>
      <c r="I27" s="143"/>
      <c r="J27" s="144"/>
      <c r="K27" s="143"/>
      <c r="L27" s="144"/>
      <c r="M27" s="118"/>
      <c r="N27" s="6" t="s">
        <v>13</v>
      </c>
      <c r="O27" s="21"/>
      <c r="P27" s="168" t="s">
        <v>50</v>
      </c>
      <c r="Q27" s="169"/>
      <c r="R27" s="170"/>
    </row>
    <row r="28" spans="1:18" ht="14.55" customHeight="1" x14ac:dyDescent="0.3">
      <c r="A28" s="141"/>
      <c r="B28" s="5"/>
      <c r="C28" s="5"/>
      <c r="D28" s="44"/>
      <c r="E28" s="3"/>
      <c r="F28" s="19"/>
      <c r="G28" s="20"/>
      <c r="H28" s="28"/>
      <c r="I28" s="143"/>
      <c r="J28" s="144"/>
      <c r="K28" s="143"/>
      <c r="L28" s="144"/>
      <c r="M28" s="118"/>
      <c r="N28" s="6" t="s">
        <v>13</v>
      </c>
      <c r="O28" s="21"/>
      <c r="P28" s="168"/>
      <c r="Q28" s="169"/>
      <c r="R28" s="170"/>
    </row>
    <row r="29" spans="1:18" ht="14.55" customHeight="1" x14ac:dyDescent="0.3">
      <c r="A29" s="141"/>
      <c r="B29" s="5"/>
      <c r="C29" s="5"/>
      <c r="D29" s="4"/>
      <c r="E29" s="3"/>
      <c r="F29" s="19"/>
      <c r="G29" s="20"/>
      <c r="H29" s="28"/>
      <c r="I29" s="143"/>
      <c r="J29" s="144"/>
      <c r="K29" s="143"/>
      <c r="L29" s="144"/>
      <c r="M29" s="118"/>
      <c r="N29" s="6" t="s">
        <v>13</v>
      </c>
      <c r="O29" s="21"/>
      <c r="P29" s="168"/>
      <c r="Q29" s="169"/>
      <c r="R29" s="170"/>
    </row>
    <row r="30" spans="1:18" ht="14.55" customHeight="1" x14ac:dyDescent="0.3">
      <c r="A30" s="142"/>
      <c r="B30" s="148" t="s">
        <v>0</v>
      </c>
      <c r="C30" s="149"/>
      <c r="D30" s="149"/>
      <c r="E30" s="149"/>
      <c r="F30" s="149"/>
      <c r="G30" s="149"/>
      <c r="H30" s="171"/>
      <c r="I30" s="150">
        <f>SUM(I27:J29)</f>
        <v>0</v>
      </c>
      <c r="J30" s="151"/>
      <c r="K30" s="150">
        <f>SUM(K27:L29)</f>
        <v>0</v>
      </c>
      <c r="L30" s="151"/>
      <c r="M30" s="10">
        <f>SUM(M27:M29)</f>
        <v>0</v>
      </c>
      <c r="N30" s="11" t="s">
        <v>13</v>
      </c>
      <c r="O30" s="9"/>
      <c r="P30" s="168"/>
      <c r="Q30" s="169"/>
      <c r="R30" s="170"/>
    </row>
    <row r="31" spans="1:18" ht="14.55" customHeight="1" x14ac:dyDescent="0.3">
      <c r="A31" s="140" t="s">
        <v>24</v>
      </c>
      <c r="B31" s="5">
        <v>0.33333333333333331</v>
      </c>
      <c r="C31" s="5"/>
      <c r="D31" s="44">
        <v>250084</v>
      </c>
      <c r="E31" s="3" t="s">
        <v>389</v>
      </c>
      <c r="F31" s="19">
        <v>304</v>
      </c>
      <c r="G31" s="20">
        <v>0.6</v>
      </c>
      <c r="H31" s="28" t="s">
        <v>327</v>
      </c>
      <c r="I31" s="143">
        <v>750</v>
      </c>
      <c r="J31" s="144"/>
      <c r="K31" s="143"/>
      <c r="L31" s="144"/>
      <c r="M31" s="118"/>
      <c r="N31" s="6" t="s">
        <v>13</v>
      </c>
      <c r="O31" s="21"/>
      <c r="P31" s="157" t="s">
        <v>51</v>
      </c>
      <c r="Q31" s="158"/>
      <c r="R31" s="159"/>
    </row>
    <row r="32" spans="1:18" ht="14.55" customHeight="1" x14ac:dyDescent="0.3">
      <c r="A32" s="166"/>
      <c r="B32" s="5"/>
      <c r="C32" s="5">
        <v>0.70833333333333337</v>
      </c>
      <c r="D32" s="44">
        <v>250084</v>
      </c>
      <c r="E32" s="3" t="s">
        <v>458</v>
      </c>
      <c r="F32" s="19">
        <v>304</v>
      </c>
      <c r="G32" s="20">
        <v>0.6</v>
      </c>
      <c r="H32" s="28" t="s">
        <v>327</v>
      </c>
      <c r="I32" s="143">
        <v>750</v>
      </c>
      <c r="J32" s="144"/>
      <c r="K32" s="143"/>
      <c r="L32" s="144"/>
      <c r="M32" s="118"/>
      <c r="N32" s="6" t="s">
        <v>13</v>
      </c>
      <c r="O32" s="21"/>
      <c r="P32" s="160"/>
      <c r="Q32" s="161"/>
      <c r="R32" s="162"/>
    </row>
    <row r="33" spans="1:18" ht="14.55" hidden="1" customHeight="1" x14ac:dyDescent="0.3">
      <c r="A33" s="166"/>
      <c r="B33" s="5"/>
      <c r="C33" s="5"/>
      <c r="D33" s="4"/>
      <c r="E33" s="3"/>
      <c r="F33" s="19"/>
      <c r="G33" s="20"/>
      <c r="H33" s="28"/>
      <c r="I33" s="143"/>
      <c r="J33" s="144"/>
      <c r="K33" s="143"/>
      <c r="L33" s="144"/>
      <c r="M33" s="118"/>
      <c r="N33" s="6" t="s">
        <v>13</v>
      </c>
      <c r="O33" s="21"/>
      <c r="P33" s="160"/>
      <c r="Q33" s="161"/>
      <c r="R33" s="162"/>
    </row>
    <row r="34" spans="1:18" ht="14.55" hidden="1" customHeight="1" x14ac:dyDescent="0.3">
      <c r="A34" s="166"/>
      <c r="B34" s="5"/>
      <c r="C34" s="5"/>
      <c r="D34" s="4"/>
      <c r="E34" s="3"/>
      <c r="F34" s="19"/>
      <c r="G34" s="20"/>
      <c r="H34" s="28"/>
      <c r="I34" s="143"/>
      <c r="J34" s="144"/>
      <c r="K34" s="143"/>
      <c r="L34" s="144"/>
      <c r="M34" s="118"/>
      <c r="N34" s="6" t="s">
        <v>13</v>
      </c>
      <c r="O34" s="21"/>
      <c r="P34" s="160"/>
      <c r="Q34" s="161"/>
      <c r="R34" s="162"/>
    </row>
    <row r="35" spans="1:18" ht="14.55" customHeight="1" x14ac:dyDescent="0.3">
      <c r="A35" s="166"/>
      <c r="B35" s="5"/>
      <c r="C35" s="5"/>
      <c r="D35" s="4"/>
      <c r="E35" s="3"/>
      <c r="F35" s="19"/>
      <c r="G35" s="20"/>
      <c r="H35" s="28"/>
      <c r="I35" s="143"/>
      <c r="J35" s="144"/>
      <c r="K35" s="143"/>
      <c r="L35" s="144"/>
      <c r="M35" s="118"/>
      <c r="N35" s="6" t="s">
        <v>13</v>
      </c>
      <c r="O35" s="21"/>
      <c r="P35" s="160"/>
      <c r="Q35" s="161"/>
      <c r="R35" s="162"/>
    </row>
    <row r="36" spans="1:18" ht="14.55" customHeight="1" x14ac:dyDescent="0.3">
      <c r="A36" s="167"/>
      <c r="B36" s="148" t="s">
        <v>0</v>
      </c>
      <c r="C36" s="149"/>
      <c r="D36" s="149"/>
      <c r="E36" s="149"/>
      <c r="F36" s="149"/>
      <c r="G36" s="149"/>
      <c r="H36" s="171"/>
      <c r="I36" s="150">
        <f>SUM(I31:J35)</f>
        <v>1500</v>
      </c>
      <c r="J36" s="151"/>
      <c r="K36" s="150">
        <f>SUM(K31:L35)</f>
        <v>0</v>
      </c>
      <c r="L36" s="151"/>
      <c r="M36" s="10">
        <f>SUM(M31:M35)</f>
        <v>0</v>
      </c>
      <c r="N36" s="11" t="s">
        <v>13</v>
      </c>
      <c r="O36" s="9"/>
      <c r="P36" s="163"/>
      <c r="Q36" s="164"/>
      <c r="R36" s="165"/>
    </row>
    <row r="37" spans="1:18" ht="14.55" customHeight="1" x14ac:dyDescent="0.3">
      <c r="A37" s="140" t="s">
        <v>25</v>
      </c>
      <c r="B37" s="5"/>
      <c r="C37" s="5"/>
      <c r="D37" s="44"/>
      <c r="E37" s="3"/>
      <c r="F37" s="19"/>
      <c r="G37" s="20"/>
      <c r="H37" s="28"/>
      <c r="I37" s="143"/>
      <c r="J37" s="144"/>
      <c r="K37" s="143"/>
      <c r="L37" s="144"/>
      <c r="M37" s="118"/>
      <c r="N37" s="6" t="s">
        <v>13</v>
      </c>
      <c r="O37" s="21"/>
      <c r="P37" s="145" t="s">
        <v>53</v>
      </c>
      <c r="Q37" s="169"/>
      <c r="R37" s="170"/>
    </row>
    <row r="38" spans="1:18" ht="14.55" hidden="1" customHeight="1" x14ac:dyDescent="0.3">
      <c r="A38" s="141"/>
      <c r="B38" s="5"/>
      <c r="C38" s="5"/>
      <c r="D38" s="4"/>
      <c r="E38" s="3"/>
      <c r="F38" s="19"/>
      <c r="G38" s="20"/>
      <c r="H38" s="28"/>
      <c r="I38" s="143"/>
      <c r="J38" s="144"/>
      <c r="K38" s="143"/>
      <c r="L38" s="144"/>
      <c r="M38" s="118"/>
      <c r="N38" s="6" t="s">
        <v>13</v>
      </c>
      <c r="O38" s="21"/>
      <c r="P38" s="168"/>
      <c r="Q38" s="169"/>
      <c r="R38" s="170"/>
    </row>
    <row r="39" spans="1:18" ht="14.55" hidden="1" customHeight="1" x14ac:dyDescent="0.3">
      <c r="A39" s="141"/>
      <c r="B39" s="5"/>
      <c r="C39" s="5"/>
      <c r="D39" s="4"/>
      <c r="E39" s="3"/>
      <c r="F39" s="19"/>
      <c r="G39" s="20"/>
      <c r="H39" s="28"/>
      <c r="I39" s="143"/>
      <c r="J39" s="144"/>
      <c r="K39" s="143"/>
      <c r="L39" s="144"/>
      <c r="M39" s="118"/>
      <c r="N39" s="6" t="s">
        <v>13</v>
      </c>
      <c r="O39" s="21"/>
      <c r="P39" s="168"/>
      <c r="Q39" s="169"/>
      <c r="R39" s="170"/>
    </row>
    <row r="40" spans="1:18" ht="14.55" customHeight="1" x14ac:dyDescent="0.3">
      <c r="A40" s="141"/>
      <c r="B40" s="5"/>
      <c r="C40" s="5"/>
      <c r="D40" s="4"/>
      <c r="E40" s="3"/>
      <c r="F40" s="19"/>
      <c r="G40" s="20"/>
      <c r="H40" s="28"/>
      <c r="I40" s="143"/>
      <c r="J40" s="144"/>
      <c r="K40" s="143"/>
      <c r="L40" s="144"/>
      <c r="M40" s="118"/>
      <c r="N40" s="6" t="s">
        <v>13</v>
      </c>
      <c r="O40" s="21"/>
      <c r="P40" s="168"/>
      <c r="Q40" s="169"/>
      <c r="R40" s="170"/>
    </row>
    <row r="41" spans="1:18" ht="14.55" customHeight="1" x14ac:dyDescent="0.3">
      <c r="A41" s="141"/>
      <c r="B41" s="5"/>
      <c r="C41" s="5"/>
      <c r="D41" s="4"/>
      <c r="E41" s="3"/>
      <c r="F41" s="19"/>
      <c r="G41" s="20"/>
      <c r="H41" s="28"/>
      <c r="I41" s="143"/>
      <c r="J41" s="144"/>
      <c r="K41" s="143"/>
      <c r="L41" s="144"/>
      <c r="M41" s="118"/>
      <c r="N41" s="6" t="s">
        <v>13</v>
      </c>
      <c r="O41" s="21"/>
      <c r="P41" s="168"/>
      <c r="Q41" s="169"/>
      <c r="R41" s="170"/>
    </row>
    <row r="42" spans="1:18" ht="14.55" customHeight="1" x14ac:dyDescent="0.3">
      <c r="A42" s="142"/>
      <c r="B42" s="148" t="s">
        <v>0</v>
      </c>
      <c r="C42" s="149"/>
      <c r="D42" s="149"/>
      <c r="E42" s="149"/>
      <c r="F42" s="149"/>
      <c r="G42" s="149"/>
      <c r="H42" s="149"/>
      <c r="I42" s="150">
        <f>SUM(I37:J41)</f>
        <v>0</v>
      </c>
      <c r="J42" s="151"/>
      <c r="K42" s="150">
        <f>SUM(K37:L41)</f>
        <v>0</v>
      </c>
      <c r="L42" s="151"/>
      <c r="M42" s="10">
        <f>SUM(M37:M41)</f>
        <v>0</v>
      </c>
      <c r="N42" s="11" t="s">
        <v>13</v>
      </c>
      <c r="O42" s="9"/>
      <c r="P42" s="168"/>
      <c r="Q42" s="169"/>
      <c r="R42" s="170"/>
    </row>
    <row r="44" spans="1:18" x14ac:dyDescent="0.3">
      <c r="E44" s="148" t="s">
        <v>26</v>
      </c>
      <c r="F44" s="149"/>
      <c r="G44" s="149"/>
      <c r="H44" s="149"/>
      <c r="I44" s="152" t="s">
        <v>23</v>
      </c>
      <c r="J44" s="153"/>
      <c r="K44" s="152" t="s">
        <v>11</v>
      </c>
      <c r="L44" s="153"/>
    </row>
    <row r="45" spans="1:18" s="105" customFormat="1" x14ac:dyDescent="0.3">
      <c r="E45" s="7"/>
      <c r="F45" s="7"/>
      <c r="G45" s="7"/>
      <c r="H45" s="7"/>
      <c r="I45" s="22">
        <f>I36+I42</f>
        <v>1500</v>
      </c>
      <c r="J45" s="14" t="s">
        <v>12</v>
      </c>
      <c r="K45" s="22">
        <f>K36+K42</f>
        <v>0</v>
      </c>
      <c r="L45" s="15" t="s">
        <v>12</v>
      </c>
    </row>
    <row r="46" spans="1:18" ht="24.45" customHeight="1" x14ac:dyDescent="0.3">
      <c r="E46" s="13"/>
      <c r="F46" s="13"/>
      <c r="G46" s="13"/>
      <c r="H46" s="13"/>
      <c r="I46" s="154">
        <f>I45+K45</f>
        <v>1500</v>
      </c>
      <c r="J46" s="155"/>
      <c r="K46" s="155"/>
      <c r="L46" s="156"/>
    </row>
    <row r="48" spans="1:18" s="8" customFormat="1" ht="30" customHeight="1" x14ac:dyDescent="0.3">
      <c r="A48" s="133" t="s">
        <v>321</v>
      </c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6"/>
    </row>
    <row r="49" spans="1:18" s="12" customFormat="1" ht="14.55" customHeight="1" x14ac:dyDescent="0.3">
      <c r="A49" s="128" t="s">
        <v>1</v>
      </c>
      <c r="B49" s="137" t="s">
        <v>2</v>
      </c>
      <c r="C49" s="137" t="s">
        <v>3</v>
      </c>
      <c r="D49" s="137" t="s">
        <v>4</v>
      </c>
      <c r="E49" s="124" t="s">
        <v>5</v>
      </c>
      <c r="F49" s="138" t="s">
        <v>14</v>
      </c>
      <c r="G49" s="138" t="s">
        <v>15</v>
      </c>
      <c r="H49" s="119" t="s">
        <v>27</v>
      </c>
      <c r="I49" s="121" t="s">
        <v>6</v>
      </c>
      <c r="J49" s="122"/>
      <c r="K49" s="122"/>
      <c r="L49" s="123"/>
      <c r="M49" s="124" t="s">
        <v>7</v>
      </c>
      <c r="N49" s="125"/>
      <c r="O49" s="128" t="s">
        <v>8</v>
      </c>
      <c r="P49" s="128" t="s">
        <v>9</v>
      </c>
      <c r="Q49" s="128"/>
      <c r="R49" s="128"/>
    </row>
    <row r="50" spans="1:18" s="12" customFormat="1" ht="13.05" customHeight="1" x14ac:dyDescent="0.3">
      <c r="A50" s="128"/>
      <c r="B50" s="137"/>
      <c r="C50" s="137"/>
      <c r="D50" s="137"/>
      <c r="E50" s="126"/>
      <c r="F50" s="139"/>
      <c r="G50" s="139"/>
      <c r="H50" s="120"/>
      <c r="I50" s="121" t="s">
        <v>23</v>
      </c>
      <c r="J50" s="123"/>
      <c r="K50" s="121" t="s">
        <v>11</v>
      </c>
      <c r="L50" s="123"/>
      <c r="M50" s="126"/>
      <c r="N50" s="127"/>
      <c r="O50" s="128"/>
      <c r="P50" s="128"/>
      <c r="Q50" s="128"/>
      <c r="R50" s="128"/>
    </row>
    <row r="51" spans="1:18" ht="14.55" customHeight="1" x14ac:dyDescent="0.3">
      <c r="A51" s="140" t="s">
        <v>132</v>
      </c>
      <c r="B51" s="5"/>
      <c r="C51" s="5"/>
      <c r="D51" s="4"/>
      <c r="E51" s="3"/>
      <c r="F51" s="19"/>
      <c r="G51" s="20"/>
      <c r="H51" s="28"/>
      <c r="I51" s="143"/>
      <c r="J51" s="144"/>
      <c r="K51" s="143"/>
      <c r="L51" s="144"/>
      <c r="M51" s="118"/>
      <c r="N51" s="6" t="s">
        <v>13</v>
      </c>
      <c r="O51" s="21"/>
      <c r="P51" s="157"/>
      <c r="Q51" s="158"/>
      <c r="R51" s="159"/>
    </row>
    <row r="52" spans="1:18" ht="14.55" customHeight="1" x14ac:dyDescent="0.3">
      <c r="A52" s="166"/>
      <c r="B52" s="5"/>
      <c r="C52" s="5"/>
      <c r="D52" s="4"/>
      <c r="E52" s="3"/>
      <c r="F52" s="19"/>
      <c r="G52" s="20"/>
      <c r="H52" s="28"/>
      <c r="I52" s="143"/>
      <c r="J52" s="144"/>
      <c r="K52" s="143"/>
      <c r="L52" s="144"/>
      <c r="M52" s="118"/>
      <c r="N52" s="6" t="s">
        <v>13</v>
      </c>
      <c r="O52" s="21"/>
      <c r="P52" s="160"/>
      <c r="Q52" s="161"/>
      <c r="R52" s="162"/>
    </row>
    <row r="53" spans="1:18" ht="14.55" customHeight="1" x14ac:dyDescent="0.3">
      <c r="A53" s="166"/>
      <c r="B53" s="5"/>
      <c r="C53" s="5"/>
      <c r="D53" s="4"/>
      <c r="E53" s="3"/>
      <c r="F53" s="19"/>
      <c r="G53" s="20"/>
      <c r="H53" s="28"/>
      <c r="I53" s="143"/>
      <c r="J53" s="144"/>
      <c r="K53" s="143"/>
      <c r="L53" s="144"/>
      <c r="M53" s="118"/>
      <c r="N53" s="6" t="s">
        <v>13</v>
      </c>
      <c r="O53" s="21"/>
      <c r="P53" s="160"/>
      <c r="Q53" s="161"/>
      <c r="R53" s="162"/>
    </row>
    <row r="54" spans="1:18" ht="14.55" customHeight="1" x14ac:dyDescent="0.3">
      <c r="A54" s="166"/>
      <c r="B54" s="5"/>
      <c r="C54" s="5"/>
      <c r="D54" s="4"/>
      <c r="E54" s="3"/>
      <c r="F54" s="19"/>
      <c r="G54" s="20"/>
      <c r="H54" s="28"/>
      <c r="I54" s="143"/>
      <c r="J54" s="144"/>
      <c r="K54" s="143"/>
      <c r="L54" s="144"/>
      <c r="M54" s="118"/>
      <c r="N54" s="6" t="s">
        <v>13</v>
      </c>
      <c r="O54" s="21"/>
      <c r="P54" s="160"/>
      <c r="Q54" s="161"/>
      <c r="R54" s="162"/>
    </row>
    <row r="55" spans="1:18" ht="14.55" customHeight="1" x14ac:dyDescent="0.3">
      <c r="A55" s="167"/>
      <c r="B55" s="148" t="s">
        <v>0</v>
      </c>
      <c r="C55" s="149"/>
      <c r="D55" s="149"/>
      <c r="E55" s="149"/>
      <c r="F55" s="149"/>
      <c r="G55" s="149"/>
      <c r="H55" s="149"/>
      <c r="I55" s="150">
        <f ca="1">SUM(I51:J55)</f>
        <v>0</v>
      </c>
      <c r="J55" s="151"/>
      <c r="K55" s="150">
        <f ca="1">SUM(K51:L55)</f>
        <v>0</v>
      </c>
      <c r="L55" s="151"/>
      <c r="M55" s="10">
        <f>SUM(M51:M54)</f>
        <v>0</v>
      </c>
      <c r="N55" s="11" t="s">
        <v>13</v>
      </c>
      <c r="O55" s="9"/>
      <c r="P55" s="163"/>
      <c r="Q55" s="164"/>
      <c r="R55" s="165"/>
    </row>
    <row r="57" spans="1:18" x14ac:dyDescent="0.3">
      <c r="E57" s="148" t="s">
        <v>317</v>
      </c>
      <c r="F57" s="149"/>
      <c r="G57" s="149"/>
      <c r="H57" s="149"/>
      <c r="I57" s="152" t="s">
        <v>23</v>
      </c>
      <c r="J57" s="153"/>
      <c r="K57" s="172" t="s">
        <v>11</v>
      </c>
      <c r="L57" s="153"/>
    </row>
    <row r="58" spans="1:18" s="105" customFormat="1" x14ac:dyDescent="0.3">
      <c r="E58" s="7"/>
      <c r="F58" s="7"/>
      <c r="G58" s="7"/>
      <c r="H58" s="7"/>
      <c r="I58" s="22">
        <f ca="1">I55</f>
        <v>0</v>
      </c>
      <c r="J58" s="14" t="s">
        <v>12</v>
      </c>
      <c r="K58" s="22">
        <f ca="1">K55</f>
        <v>0</v>
      </c>
      <c r="L58" s="15" t="s">
        <v>12</v>
      </c>
    </row>
    <row r="59" spans="1:18" s="1" customFormat="1" ht="24.45" customHeight="1" x14ac:dyDescent="0.3">
      <c r="A59" s="116"/>
      <c r="B59" s="116"/>
      <c r="C59" s="116"/>
      <c r="E59" s="13"/>
      <c r="F59" s="13"/>
      <c r="G59" s="13"/>
      <c r="H59" s="13"/>
      <c r="I59" s="154">
        <f ca="1">I58+K58</f>
        <v>0</v>
      </c>
      <c r="J59" s="155"/>
      <c r="K59" s="155"/>
      <c r="L59" s="156"/>
      <c r="N59" s="116"/>
      <c r="O59" s="116"/>
      <c r="P59" s="116"/>
      <c r="Q59" s="116"/>
      <c r="R59" s="116"/>
    </row>
    <row r="61" spans="1:18" s="8" customFormat="1" ht="30" customHeight="1" x14ac:dyDescent="0.3">
      <c r="A61" s="133" t="s">
        <v>36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6"/>
    </row>
    <row r="62" spans="1:18" s="12" customFormat="1" ht="14.55" customHeight="1" x14ac:dyDescent="0.3">
      <c r="A62" s="128" t="s">
        <v>1</v>
      </c>
      <c r="B62" s="137" t="s">
        <v>2</v>
      </c>
      <c r="C62" s="137" t="s">
        <v>3</v>
      </c>
      <c r="D62" s="137" t="s">
        <v>4</v>
      </c>
      <c r="E62" s="124" t="s">
        <v>5</v>
      </c>
      <c r="F62" s="138" t="s">
        <v>14</v>
      </c>
      <c r="G62" s="138" t="s">
        <v>15</v>
      </c>
      <c r="H62" s="119" t="s">
        <v>29</v>
      </c>
      <c r="I62" s="121" t="s">
        <v>6</v>
      </c>
      <c r="J62" s="122"/>
      <c r="K62" s="122"/>
      <c r="L62" s="123"/>
      <c r="M62" s="124" t="s">
        <v>7</v>
      </c>
      <c r="N62" s="125"/>
      <c r="O62" s="128" t="s">
        <v>8</v>
      </c>
      <c r="P62" s="128" t="s">
        <v>9</v>
      </c>
      <c r="Q62" s="128"/>
      <c r="R62" s="128"/>
    </row>
    <row r="63" spans="1:18" s="12" customFormat="1" ht="13.05" customHeight="1" x14ac:dyDescent="0.3">
      <c r="A63" s="128"/>
      <c r="B63" s="137"/>
      <c r="C63" s="137"/>
      <c r="D63" s="137"/>
      <c r="E63" s="126"/>
      <c r="F63" s="139"/>
      <c r="G63" s="139"/>
      <c r="H63" s="120"/>
      <c r="I63" s="121" t="s">
        <v>19</v>
      </c>
      <c r="J63" s="123"/>
      <c r="K63" s="121" t="s">
        <v>20</v>
      </c>
      <c r="L63" s="123"/>
      <c r="M63" s="126"/>
      <c r="N63" s="127"/>
      <c r="O63" s="128"/>
      <c r="P63" s="128"/>
      <c r="Q63" s="128"/>
      <c r="R63" s="128"/>
    </row>
    <row r="64" spans="1:18" ht="14.55" customHeight="1" x14ac:dyDescent="0.3">
      <c r="A64" s="140" t="s">
        <v>37</v>
      </c>
      <c r="B64" s="5"/>
      <c r="C64" s="5"/>
      <c r="D64" s="4"/>
      <c r="E64" s="3"/>
      <c r="F64" s="19"/>
      <c r="G64" s="20"/>
      <c r="H64" s="28"/>
      <c r="I64" s="143"/>
      <c r="J64" s="144"/>
      <c r="K64" s="143"/>
      <c r="L64" s="144"/>
      <c r="M64" s="118"/>
      <c r="N64" s="6" t="s">
        <v>13</v>
      </c>
      <c r="O64" s="21"/>
      <c r="P64" s="157"/>
      <c r="Q64" s="158"/>
      <c r="R64" s="159"/>
    </row>
    <row r="65" spans="1:18" ht="14.55" customHeight="1" x14ac:dyDescent="0.3">
      <c r="A65" s="166"/>
      <c r="B65" s="5"/>
      <c r="C65" s="5"/>
      <c r="D65" s="4"/>
      <c r="E65" s="3"/>
      <c r="F65" s="19"/>
      <c r="G65" s="20"/>
      <c r="H65" s="28"/>
      <c r="I65" s="143"/>
      <c r="J65" s="144"/>
      <c r="K65" s="143"/>
      <c r="L65" s="144"/>
      <c r="M65" s="118"/>
      <c r="N65" s="6" t="s">
        <v>13</v>
      </c>
      <c r="O65" s="21"/>
      <c r="P65" s="160"/>
      <c r="Q65" s="161"/>
      <c r="R65" s="162"/>
    </row>
    <row r="66" spans="1:18" ht="14.55" customHeight="1" x14ac:dyDescent="0.3">
      <c r="A66" s="166"/>
      <c r="B66" s="5"/>
      <c r="C66" s="5"/>
      <c r="D66" s="4"/>
      <c r="E66" s="3"/>
      <c r="F66" s="19"/>
      <c r="G66" s="20"/>
      <c r="H66" s="28"/>
      <c r="I66" s="143"/>
      <c r="J66" s="144"/>
      <c r="K66" s="143"/>
      <c r="L66" s="144"/>
      <c r="M66" s="118"/>
      <c r="N66" s="6" t="s">
        <v>13</v>
      </c>
      <c r="O66" s="21"/>
      <c r="P66" s="160"/>
      <c r="Q66" s="161"/>
      <c r="R66" s="162"/>
    </row>
    <row r="67" spans="1:18" ht="14.55" customHeight="1" x14ac:dyDescent="0.3">
      <c r="A67" s="166"/>
      <c r="B67" s="5"/>
      <c r="C67" s="5"/>
      <c r="D67" s="4"/>
      <c r="E67" s="3"/>
      <c r="F67" s="19"/>
      <c r="G67" s="20"/>
      <c r="H67" s="28"/>
      <c r="I67" s="143"/>
      <c r="J67" s="144"/>
      <c r="K67" s="143"/>
      <c r="L67" s="144"/>
      <c r="M67" s="118"/>
      <c r="N67" s="6" t="s">
        <v>13</v>
      </c>
      <c r="O67" s="21"/>
      <c r="P67" s="160"/>
      <c r="Q67" s="161"/>
      <c r="R67" s="162"/>
    </row>
    <row r="68" spans="1:18" ht="14.55" customHeight="1" x14ac:dyDescent="0.3">
      <c r="A68" s="167"/>
      <c r="B68" s="148" t="s">
        <v>0</v>
      </c>
      <c r="C68" s="149"/>
      <c r="D68" s="149"/>
      <c r="E68" s="149"/>
      <c r="F68" s="149"/>
      <c r="G68" s="149"/>
      <c r="H68" s="149"/>
      <c r="I68" s="150">
        <f>SUM(I64:J67)</f>
        <v>0</v>
      </c>
      <c r="J68" s="151"/>
      <c r="K68" s="150">
        <f>SUM(K64:L67)</f>
        <v>0</v>
      </c>
      <c r="L68" s="151"/>
      <c r="M68" s="10">
        <f>SUM(M64:M67)</f>
        <v>0</v>
      </c>
      <c r="N68" s="11" t="s">
        <v>13</v>
      </c>
      <c r="O68" s="9"/>
      <c r="P68" s="163"/>
      <c r="Q68" s="164"/>
      <c r="R68" s="165"/>
    </row>
    <row r="69" spans="1:18" ht="14.55" customHeight="1" x14ac:dyDescent="0.3">
      <c r="D69" s="116"/>
      <c r="E69" s="1"/>
      <c r="F69" s="1"/>
      <c r="G69" s="1"/>
      <c r="H69" s="1"/>
      <c r="M69" s="116"/>
    </row>
    <row r="70" spans="1:18" x14ac:dyDescent="0.3">
      <c r="E70" s="148" t="s">
        <v>324</v>
      </c>
      <c r="F70" s="149"/>
      <c r="G70" s="149"/>
      <c r="H70" s="149"/>
      <c r="I70" s="152" t="s">
        <v>19</v>
      </c>
      <c r="J70" s="153"/>
      <c r="K70" s="152" t="s">
        <v>20</v>
      </c>
      <c r="L70" s="153"/>
    </row>
    <row r="71" spans="1:18" s="105" customFormat="1" x14ac:dyDescent="0.3">
      <c r="E71" s="7"/>
      <c r="F71" s="7"/>
      <c r="G71" s="7"/>
      <c r="H71" s="7"/>
      <c r="I71" s="22">
        <f>I68</f>
        <v>0</v>
      </c>
      <c r="J71" s="14" t="s">
        <v>12</v>
      </c>
      <c r="K71" s="22">
        <f>K68</f>
        <v>0</v>
      </c>
      <c r="L71" s="15" t="s">
        <v>12</v>
      </c>
    </row>
    <row r="72" spans="1:18" ht="24.45" customHeight="1" x14ac:dyDescent="0.3">
      <c r="E72" s="13"/>
      <c r="F72" s="13"/>
      <c r="G72" s="13"/>
      <c r="H72" s="13"/>
      <c r="I72" s="154">
        <f>I71+K71</f>
        <v>0</v>
      </c>
      <c r="J72" s="155"/>
      <c r="K72" s="155"/>
      <c r="L72" s="156"/>
    </row>
    <row r="74" spans="1:18" s="8" customFormat="1" ht="30" customHeight="1" x14ac:dyDescent="0.3">
      <c r="A74" s="133" t="s">
        <v>322</v>
      </c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6"/>
    </row>
    <row r="75" spans="1:18" s="12" customFormat="1" ht="14.55" customHeight="1" x14ac:dyDescent="0.3">
      <c r="A75" s="128" t="s">
        <v>1</v>
      </c>
      <c r="B75" s="137" t="s">
        <v>2</v>
      </c>
      <c r="C75" s="137" t="s">
        <v>3</v>
      </c>
      <c r="D75" s="137" t="s">
        <v>4</v>
      </c>
      <c r="E75" s="124" t="s">
        <v>5</v>
      </c>
      <c r="F75" s="138" t="s">
        <v>14</v>
      </c>
      <c r="G75" s="138" t="s">
        <v>15</v>
      </c>
      <c r="H75" s="119" t="s">
        <v>29</v>
      </c>
      <c r="I75" s="121" t="s">
        <v>6</v>
      </c>
      <c r="J75" s="122"/>
      <c r="K75" s="122"/>
      <c r="L75" s="123"/>
      <c r="M75" s="124" t="s">
        <v>7</v>
      </c>
      <c r="N75" s="125"/>
      <c r="O75" s="128" t="s">
        <v>8</v>
      </c>
      <c r="P75" s="128" t="s">
        <v>9</v>
      </c>
      <c r="Q75" s="128"/>
      <c r="R75" s="128"/>
    </row>
    <row r="76" spans="1:18" s="12" customFormat="1" ht="13.05" customHeight="1" x14ac:dyDescent="0.3">
      <c r="A76" s="128"/>
      <c r="B76" s="137"/>
      <c r="C76" s="137"/>
      <c r="D76" s="137"/>
      <c r="E76" s="126"/>
      <c r="F76" s="139"/>
      <c r="G76" s="139"/>
      <c r="H76" s="120"/>
      <c r="I76" s="121" t="s">
        <v>19</v>
      </c>
      <c r="J76" s="123"/>
      <c r="K76" s="121" t="s">
        <v>20</v>
      </c>
      <c r="L76" s="123"/>
      <c r="M76" s="126"/>
      <c r="N76" s="127"/>
      <c r="O76" s="128"/>
      <c r="P76" s="128"/>
      <c r="Q76" s="128"/>
      <c r="R76" s="128"/>
    </row>
    <row r="77" spans="1:18" ht="14.55" customHeight="1" x14ac:dyDescent="0.3">
      <c r="A77" s="140" t="s">
        <v>37</v>
      </c>
      <c r="B77" s="5"/>
      <c r="C77" s="5"/>
      <c r="D77" s="4"/>
      <c r="E77" s="3"/>
      <c r="F77" s="19"/>
      <c r="G77" s="20"/>
      <c r="H77" s="28"/>
      <c r="I77" s="143"/>
      <c r="J77" s="144"/>
      <c r="K77" s="143"/>
      <c r="L77" s="144"/>
      <c r="M77" s="118"/>
      <c r="N77" s="6" t="s">
        <v>13</v>
      </c>
      <c r="O77" s="21"/>
      <c r="P77" s="157"/>
      <c r="Q77" s="158"/>
      <c r="R77" s="159"/>
    </row>
    <row r="78" spans="1:18" ht="14.55" customHeight="1" x14ac:dyDescent="0.3">
      <c r="A78" s="166"/>
      <c r="B78" s="5"/>
      <c r="C78" s="5"/>
      <c r="D78" s="4"/>
      <c r="E78" s="3"/>
      <c r="F78" s="19"/>
      <c r="G78" s="20"/>
      <c r="H78" s="28"/>
      <c r="I78" s="143"/>
      <c r="J78" s="144"/>
      <c r="K78" s="143"/>
      <c r="L78" s="144"/>
      <c r="M78" s="118"/>
      <c r="N78" s="6" t="s">
        <v>13</v>
      </c>
      <c r="O78" s="21"/>
      <c r="P78" s="160"/>
      <c r="Q78" s="161"/>
      <c r="R78" s="162"/>
    </row>
    <row r="79" spans="1:18" ht="14.55" customHeight="1" x14ac:dyDescent="0.3">
      <c r="A79" s="166"/>
      <c r="B79" s="5"/>
      <c r="C79" s="5"/>
      <c r="D79" s="4"/>
      <c r="E79" s="3"/>
      <c r="F79" s="19"/>
      <c r="G79" s="20"/>
      <c r="H79" s="28"/>
      <c r="I79" s="143"/>
      <c r="J79" s="144"/>
      <c r="K79" s="143"/>
      <c r="L79" s="144"/>
      <c r="M79" s="118"/>
      <c r="N79" s="6" t="s">
        <v>13</v>
      </c>
      <c r="O79" s="21"/>
      <c r="P79" s="160"/>
      <c r="Q79" s="161"/>
      <c r="R79" s="162"/>
    </row>
    <row r="80" spans="1:18" ht="14.55" customHeight="1" x14ac:dyDescent="0.3">
      <c r="A80" s="166"/>
      <c r="B80" s="5"/>
      <c r="C80" s="5"/>
      <c r="D80" s="4"/>
      <c r="E80" s="3"/>
      <c r="F80" s="19"/>
      <c r="G80" s="20"/>
      <c r="H80" s="28"/>
      <c r="I80" s="143"/>
      <c r="J80" s="144"/>
      <c r="K80" s="143"/>
      <c r="L80" s="144"/>
      <c r="M80" s="118"/>
      <c r="N80" s="6" t="s">
        <v>13</v>
      </c>
      <c r="O80" s="21"/>
      <c r="P80" s="160"/>
      <c r="Q80" s="161"/>
      <c r="R80" s="162"/>
    </row>
    <row r="81" spans="1:18" ht="14.55" customHeight="1" x14ac:dyDescent="0.3">
      <c r="A81" s="167"/>
      <c r="B81" s="148" t="s">
        <v>0</v>
      </c>
      <c r="C81" s="149"/>
      <c r="D81" s="149"/>
      <c r="E81" s="149"/>
      <c r="F81" s="149"/>
      <c r="G81" s="149"/>
      <c r="H81" s="149"/>
      <c r="I81" s="150">
        <f>SUM(I77:J80)</f>
        <v>0</v>
      </c>
      <c r="J81" s="151"/>
      <c r="K81" s="150">
        <f>SUM(K77:L80)</f>
        <v>0</v>
      </c>
      <c r="L81" s="151"/>
      <c r="M81" s="10">
        <f>SUM(M77:M80)</f>
        <v>0</v>
      </c>
      <c r="N81" s="11" t="s">
        <v>13</v>
      </c>
      <c r="O81" s="9"/>
      <c r="P81" s="163"/>
      <c r="Q81" s="164"/>
      <c r="R81" s="165"/>
    </row>
    <row r="82" spans="1:18" ht="14.55" customHeight="1" x14ac:dyDescent="0.3">
      <c r="D82" s="116"/>
      <c r="E82" s="1"/>
      <c r="F82" s="1"/>
      <c r="G82" s="1"/>
      <c r="H82" s="1"/>
      <c r="M82" s="116"/>
    </row>
    <row r="83" spans="1:18" x14ac:dyDescent="0.3">
      <c r="E83" s="148" t="s">
        <v>323</v>
      </c>
      <c r="F83" s="149"/>
      <c r="G83" s="149"/>
      <c r="H83" s="149"/>
      <c r="I83" s="152" t="s">
        <v>19</v>
      </c>
      <c r="J83" s="153"/>
      <c r="K83" s="152" t="s">
        <v>20</v>
      </c>
      <c r="L83" s="153"/>
    </row>
    <row r="84" spans="1:18" s="105" customFormat="1" x14ac:dyDescent="0.3">
      <c r="E84" s="7"/>
      <c r="F84" s="7"/>
      <c r="G84" s="7"/>
      <c r="H84" s="7"/>
      <c r="I84" s="22">
        <f>I81</f>
        <v>0</v>
      </c>
      <c r="J84" s="14" t="s">
        <v>12</v>
      </c>
      <c r="K84" s="22">
        <f>K81</f>
        <v>0</v>
      </c>
      <c r="L84" s="15" t="s">
        <v>12</v>
      </c>
    </row>
    <row r="85" spans="1:18" ht="24.45" customHeight="1" x14ac:dyDescent="0.3">
      <c r="E85" s="13"/>
      <c r="F85" s="13"/>
      <c r="G85" s="13"/>
      <c r="H85" s="13"/>
      <c r="I85" s="154">
        <f>I84+K84</f>
        <v>0</v>
      </c>
      <c r="J85" s="155"/>
      <c r="K85" s="155"/>
      <c r="L85" s="156"/>
    </row>
    <row r="87" spans="1:18" s="8" customFormat="1" ht="30" customHeight="1" x14ac:dyDescent="0.3">
      <c r="A87" s="133" t="s">
        <v>30</v>
      </c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6"/>
    </row>
    <row r="88" spans="1:18" s="12" customFormat="1" ht="14.55" customHeight="1" x14ac:dyDescent="0.3">
      <c r="A88" s="128" t="s">
        <v>1</v>
      </c>
      <c r="B88" s="137" t="s">
        <v>2</v>
      </c>
      <c r="C88" s="137" t="s">
        <v>3</v>
      </c>
      <c r="D88" s="137" t="s">
        <v>4</v>
      </c>
      <c r="E88" s="124" t="s">
        <v>5</v>
      </c>
      <c r="F88" s="138" t="s">
        <v>14</v>
      </c>
      <c r="G88" s="138" t="s">
        <v>15</v>
      </c>
      <c r="H88" s="119" t="s">
        <v>29</v>
      </c>
      <c r="I88" s="121" t="s">
        <v>6</v>
      </c>
      <c r="J88" s="122"/>
      <c r="K88" s="122"/>
      <c r="L88" s="123"/>
      <c r="M88" s="124" t="s">
        <v>7</v>
      </c>
      <c r="N88" s="125"/>
      <c r="O88" s="128" t="s">
        <v>8</v>
      </c>
      <c r="P88" s="128" t="s">
        <v>9</v>
      </c>
      <c r="Q88" s="128"/>
      <c r="R88" s="128"/>
    </row>
    <row r="89" spans="1:18" s="12" customFormat="1" ht="13.05" customHeight="1" x14ac:dyDescent="0.3">
      <c r="A89" s="128"/>
      <c r="B89" s="137"/>
      <c r="C89" s="137"/>
      <c r="D89" s="137"/>
      <c r="E89" s="126"/>
      <c r="F89" s="139"/>
      <c r="G89" s="139"/>
      <c r="H89" s="120"/>
      <c r="I89" s="121" t="s">
        <v>19</v>
      </c>
      <c r="J89" s="123"/>
      <c r="K89" s="121" t="s">
        <v>20</v>
      </c>
      <c r="L89" s="123"/>
      <c r="M89" s="126"/>
      <c r="N89" s="127"/>
      <c r="O89" s="128"/>
      <c r="P89" s="128"/>
      <c r="Q89" s="128"/>
      <c r="R89" s="128"/>
    </row>
    <row r="90" spans="1:18" ht="14.55" customHeight="1" x14ac:dyDescent="0.3">
      <c r="A90" s="140" t="s">
        <v>35</v>
      </c>
      <c r="B90" s="5"/>
      <c r="C90" s="5"/>
      <c r="D90" s="4"/>
      <c r="E90" s="3"/>
      <c r="F90" s="19"/>
      <c r="G90" s="20"/>
      <c r="H90" s="28"/>
      <c r="I90" s="143"/>
      <c r="J90" s="144"/>
      <c r="K90" s="143"/>
      <c r="L90" s="144"/>
      <c r="M90" s="118"/>
      <c r="N90" s="6" t="s">
        <v>13</v>
      </c>
      <c r="O90" s="21"/>
      <c r="P90" s="168"/>
      <c r="Q90" s="169"/>
      <c r="R90" s="170"/>
    </row>
    <row r="91" spans="1:18" ht="14.55" customHeight="1" x14ac:dyDescent="0.3">
      <c r="A91" s="166"/>
      <c r="B91" s="5"/>
      <c r="C91" s="5"/>
      <c r="D91" s="4"/>
      <c r="E91" s="3"/>
      <c r="F91" s="19"/>
      <c r="G91" s="20"/>
      <c r="H91" s="28"/>
      <c r="I91" s="143"/>
      <c r="J91" s="144"/>
      <c r="K91" s="143"/>
      <c r="L91" s="144"/>
      <c r="M91" s="118"/>
      <c r="N91" s="6" t="s">
        <v>13</v>
      </c>
      <c r="O91" s="21"/>
      <c r="P91" s="168"/>
      <c r="Q91" s="169"/>
      <c r="R91" s="170"/>
    </row>
    <row r="92" spans="1:18" ht="14.55" customHeight="1" x14ac:dyDescent="0.3">
      <c r="A92" s="166"/>
      <c r="B92" s="5"/>
      <c r="C92" s="5"/>
      <c r="D92" s="4"/>
      <c r="E92" s="3"/>
      <c r="F92" s="19"/>
      <c r="G92" s="20"/>
      <c r="H92" s="28"/>
      <c r="I92" s="143"/>
      <c r="J92" s="144"/>
      <c r="K92" s="143"/>
      <c r="L92" s="144"/>
      <c r="M92" s="118"/>
      <c r="N92" s="6" t="s">
        <v>13</v>
      </c>
      <c r="O92" s="21"/>
      <c r="P92" s="168"/>
      <c r="Q92" s="169"/>
      <c r="R92" s="170"/>
    </row>
    <row r="93" spans="1:18" ht="14.55" customHeight="1" x14ac:dyDescent="0.3">
      <c r="A93" s="167"/>
      <c r="B93" s="148" t="s">
        <v>0</v>
      </c>
      <c r="C93" s="149"/>
      <c r="D93" s="149"/>
      <c r="E93" s="149"/>
      <c r="F93" s="149"/>
      <c r="G93" s="149"/>
      <c r="H93" s="149"/>
      <c r="I93" s="150">
        <f>SUM(I90:J92)</f>
        <v>0</v>
      </c>
      <c r="J93" s="151"/>
      <c r="K93" s="150">
        <f>SUM(K90:L92)</f>
        <v>0</v>
      </c>
      <c r="L93" s="151"/>
      <c r="M93" s="10">
        <f>SUM(M90:M92)</f>
        <v>0</v>
      </c>
      <c r="N93" s="11" t="s">
        <v>13</v>
      </c>
      <c r="O93" s="9"/>
      <c r="P93" s="168"/>
      <c r="Q93" s="169"/>
      <c r="R93" s="170"/>
    </row>
    <row r="94" spans="1:18" ht="14.55" customHeight="1" x14ac:dyDescent="0.3">
      <c r="D94" s="116"/>
      <c r="E94" s="1"/>
      <c r="F94" s="1"/>
      <c r="G94" s="1"/>
      <c r="H94" s="1"/>
      <c r="M94" s="116"/>
    </row>
    <row r="95" spans="1:18" x14ac:dyDescent="0.3">
      <c r="E95" s="148" t="s">
        <v>34</v>
      </c>
      <c r="F95" s="149"/>
      <c r="G95" s="149"/>
      <c r="H95" s="149"/>
      <c r="I95" s="152" t="s">
        <v>19</v>
      </c>
      <c r="J95" s="153"/>
      <c r="K95" s="152" t="s">
        <v>20</v>
      </c>
      <c r="L95" s="153"/>
    </row>
    <row r="96" spans="1:18" s="105" customFormat="1" x14ac:dyDescent="0.3">
      <c r="E96" s="7"/>
      <c r="F96" s="7"/>
      <c r="G96" s="7"/>
      <c r="H96" s="7"/>
      <c r="I96" s="22">
        <f>I93</f>
        <v>0</v>
      </c>
      <c r="J96" s="14" t="s">
        <v>12</v>
      </c>
      <c r="K96" s="22">
        <f>K93</f>
        <v>0</v>
      </c>
      <c r="L96" s="15" t="s">
        <v>12</v>
      </c>
    </row>
    <row r="97" spans="1:18" s="1" customFormat="1" ht="24.45" customHeight="1" x14ac:dyDescent="0.3">
      <c r="A97" s="116"/>
      <c r="B97" s="116"/>
      <c r="C97" s="116"/>
      <c r="E97" s="13"/>
      <c r="F97" s="13"/>
      <c r="G97" s="13"/>
      <c r="H97" s="13"/>
      <c r="I97" s="154">
        <f>I96+K96</f>
        <v>0</v>
      </c>
      <c r="J97" s="155"/>
      <c r="K97" s="155"/>
      <c r="L97" s="156"/>
      <c r="N97" s="116"/>
      <c r="O97" s="116"/>
      <c r="P97" s="116"/>
      <c r="Q97" s="116"/>
      <c r="R97" s="116"/>
    </row>
  </sheetData>
  <mergeCells count="238">
    <mergeCell ref="I12:J12"/>
    <mergeCell ref="K12:L12"/>
    <mergeCell ref="I9:J9"/>
    <mergeCell ref="K9:L9"/>
    <mergeCell ref="I10:J10"/>
    <mergeCell ref="K10:L10"/>
    <mergeCell ref="I11:J11"/>
    <mergeCell ref="K11:L11"/>
    <mergeCell ref="K93:L93"/>
    <mergeCell ref="P93:R93"/>
    <mergeCell ref="E95:H95"/>
    <mergeCell ref="I95:J95"/>
    <mergeCell ref="K95:L95"/>
    <mergeCell ref="I97:L97"/>
    <mergeCell ref="A90:A93"/>
    <mergeCell ref="I90:J90"/>
    <mergeCell ref="K90:L90"/>
    <mergeCell ref="P90:R92"/>
    <mergeCell ref="I91:J91"/>
    <mergeCell ref="K91:L91"/>
    <mergeCell ref="I92:J92"/>
    <mergeCell ref="K92:L92"/>
    <mergeCell ref="B93:H93"/>
    <mergeCell ref="I93:J93"/>
    <mergeCell ref="I88:L88"/>
    <mergeCell ref="M88:N89"/>
    <mergeCell ref="O88:O89"/>
    <mergeCell ref="P88:R89"/>
    <mergeCell ref="I89:J89"/>
    <mergeCell ref="K89:L89"/>
    <mergeCell ref="I85:L85"/>
    <mergeCell ref="A87:R87"/>
    <mergeCell ref="A88:A89"/>
    <mergeCell ref="B88:B89"/>
    <mergeCell ref="C88:C89"/>
    <mergeCell ref="D88:D89"/>
    <mergeCell ref="E88:E89"/>
    <mergeCell ref="F88:F89"/>
    <mergeCell ref="G88:G89"/>
    <mergeCell ref="H88:H89"/>
    <mergeCell ref="B81:H81"/>
    <mergeCell ref="I81:J81"/>
    <mergeCell ref="K81:L81"/>
    <mergeCell ref="E83:H83"/>
    <mergeCell ref="I83:J83"/>
    <mergeCell ref="K83:L83"/>
    <mergeCell ref="A77:A81"/>
    <mergeCell ref="I77:J77"/>
    <mergeCell ref="K77:L77"/>
    <mergeCell ref="P77:R81"/>
    <mergeCell ref="I78:J78"/>
    <mergeCell ref="K78:L78"/>
    <mergeCell ref="I79:J79"/>
    <mergeCell ref="K79:L79"/>
    <mergeCell ref="I80:J80"/>
    <mergeCell ref="K80:L80"/>
    <mergeCell ref="I75:L75"/>
    <mergeCell ref="M75:N76"/>
    <mergeCell ref="O75:O76"/>
    <mergeCell ref="P75:R76"/>
    <mergeCell ref="I76:J76"/>
    <mergeCell ref="K76:L76"/>
    <mergeCell ref="I72:L72"/>
    <mergeCell ref="A74:R74"/>
    <mergeCell ref="A75:A76"/>
    <mergeCell ref="B75:B76"/>
    <mergeCell ref="C75:C76"/>
    <mergeCell ref="D75:D76"/>
    <mergeCell ref="E75:E76"/>
    <mergeCell ref="F75:F76"/>
    <mergeCell ref="G75:G76"/>
    <mergeCell ref="H75:H76"/>
    <mergeCell ref="B68:H68"/>
    <mergeCell ref="I68:J68"/>
    <mergeCell ref="K68:L68"/>
    <mergeCell ref="E70:H70"/>
    <mergeCell ref="I70:J70"/>
    <mergeCell ref="K70:L70"/>
    <mergeCell ref="A64:A68"/>
    <mergeCell ref="I64:J64"/>
    <mergeCell ref="K64:L64"/>
    <mergeCell ref="P64:R68"/>
    <mergeCell ref="I65:J65"/>
    <mergeCell ref="K65:L65"/>
    <mergeCell ref="I66:J66"/>
    <mergeCell ref="K66:L66"/>
    <mergeCell ref="I67:J67"/>
    <mergeCell ref="K67:L67"/>
    <mergeCell ref="I62:L62"/>
    <mergeCell ref="M62:N63"/>
    <mergeCell ref="O62:O63"/>
    <mergeCell ref="P62:R63"/>
    <mergeCell ref="I63:J63"/>
    <mergeCell ref="K63:L63"/>
    <mergeCell ref="I59:L59"/>
    <mergeCell ref="A61:R61"/>
    <mergeCell ref="A62:A63"/>
    <mergeCell ref="B62:B63"/>
    <mergeCell ref="C62:C63"/>
    <mergeCell ref="D62:D63"/>
    <mergeCell ref="E62:E63"/>
    <mergeCell ref="F62:F63"/>
    <mergeCell ref="G62:G63"/>
    <mergeCell ref="H62:H63"/>
    <mergeCell ref="B55:H55"/>
    <mergeCell ref="I55:J55"/>
    <mergeCell ref="K55:L55"/>
    <mergeCell ref="E57:H57"/>
    <mergeCell ref="I57:J57"/>
    <mergeCell ref="K57:L57"/>
    <mergeCell ref="A51:A55"/>
    <mergeCell ref="I51:J51"/>
    <mergeCell ref="K51:L51"/>
    <mergeCell ref="P51:R55"/>
    <mergeCell ref="I52:J52"/>
    <mergeCell ref="K52:L52"/>
    <mergeCell ref="I53:J53"/>
    <mergeCell ref="K53:L53"/>
    <mergeCell ref="I54:J54"/>
    <mergeCell ref="K54:L54"/>
    <mergeCell ref="I49:L49"/>
    <mergeCell ref="M49:N50"/>
    <mergeCell ref="O49:O50"/>
    <mergeCell ref="P49:R50"/>
    <mergeCell ref="I50:J50"/>
    <mergeCell ref="K50:L50"/>
    <mergeCell ref="I46:L46"/>
    <mergeCell ref="A48:R48"/>
    <mergeCell ref="A49:A50"/>
    <mergeCell ref="B49:B50"/>
    <mergeCell ref="C49:C50"/>
    <mergeCell ref="D49:D50"/>
    <mergeCell ref="E49:E50"/>
    <mergeCell ref="F49:F50"/>
    <mergeCell ref="G49:G50"/>
    <mergeCell ref="H49:H50"/>
    <mergeCell ref="I41:J41"/>
    <mergeCell ref="K41:L41"/>
    <mergeCell ref="B42:H42"/>
    <mergeCell ref="I42:J42"/>
    <mergeCell ref="K42:L42"/>
    <mergeCell ref="E44:H44"/>
    <mergeCell ref="I44:J44"/>
    <mergeCell ref="K44:L44"/>
    <mergeCell ref="A37:A42"/>
    <mergeCell ref="I37:J37"/>
    <mergeCell ref="K37:L37"/>
    <mergeCell ref="P37:R42"/>
    <mergeCell ref="I38:J38"/>
    <mergeCell ref="K38:L38"/>
    <mergeCell ref="I39:J39"/>
    <mergeCell ref="K39:L39"/>
    <mergeCell ref="I40:J40"/>
    <mergeCell ref="K40:L40"/>
    <mergeCell ref="P31:R36"/>
    <mergeCell ref="I32:J32"/>
    <mergeCell ref="K32:L32"/>
    <mergeCell ref="I33:J33"/>
    <mergeCell ref="K33:L33"/>
    <mergeCell ref="I34:J34"/>
    <mergeCell ref="K34:L34"/>
    <mergeCell ref="I35:J35"/>
    <mergeCell ref="K35:L35"/>
    <mergeCell ref="I36:J36"/>
    <mergeCell ref="K29:L29"/>
    <mergeCell ref="B30:H30"/>
    <mergeCell ref="I30:J30"/>
    <mergeCell ref="K30:L30"/>
    <mergeCell ref="A31:A36"/>
    <mergeCell ref="I31:J31"/>
    <mergeCell ref="K31:L31"/>
    <mergeCell ref="B36:H36"/>
    <mergeCell ref="K36:L36"/>
    <mergeCell ref="P25:R26"/>
    <mergeCell ref="I26:J26"/>
    <mergeCell ref="K26:L26"/>
    <mergeCell ref="A27:A30"/>
    <mergeCell ref="I27:J27"/>
    <mergeCell ref="K27:L27"/>
    <mergeCell ref="P27:R30"/>
    <mergeCell ref="I28:J28"/>
    <mergeCell ref="K28:L28"/>
    <mergeCell ref="I29:J29"/>
    <mergeCell ref="F25:F26"/>
    <mergeCell ref="G25:G26"/>
    <mergeCell ref="H25:H26"/>
    <mergeCell ref="I25:L25"/>
    <mergeCell ref="M25:N26"/>
    <mergeCell ref="O25:O26"/>
    <mergeCell ref="E20:H20"/>
    <mergeCell ref="I20:J20"/>
    <mergeCell ref="K20:L20"/>
    <mergeCell ref="I22:L22"/>
    <mergeCell ref="A24:R24"/>
    <mergeCell ref="A25:A26"/>
    <mergeCell ref="B25:B26"/>
    <mergeCell ref="C25:C26"/>
    <mergeCell ref="D25:D26"/>
    <mergeCell ref="E25:E26"/>
    <mergeCell ref="P15:R18"/>
    <mergeCell ref="I16:J16"/>
    <mergeCell ref="K16:L16"/>
    <mergeCell ref="I17:J17"/>
    <mergeCell ref="K17:L17"/>
    <mergeCell ref="B18:H18"/>
    <mergeCell ref="I18:J18"/>
    <mergeCell ref="K18:L18"/>
    <mergeCell ref="B14:H14"/>
    <mergeCell ref="I14:J14"/>
    <mergeCell ref="K14:L14"/>
    <mergeCell ref="A15:A18"/>
    <mergeCell ref="I15:J15"/>
    <mergeCell ref="K15:L15"/>
    <mergeCell ref="A7:A14"/>
    <mergeCell ref="I7:J7"/>
    <mergeCell ref="K7:L7"/>
    <mergeCell ref="P7:R14"/>
    <mergeCell ref="I8:J8"/>
    <mergeCell ref="K8:L8"/>
    <mergeCell ref="I13:J13"/>
    <mergeCell ref="K13:L13"/>
    <mergeCell ref="H5:H6"/>
    <mergeCell ref="I5:L5"/>
    <mergeCell ref="M5:N6"/>
    <mergeCell ref="O5:O6"/>
    <mergeCell ref="P5:R6"/>
    <mergeCell ref="I6:J6"/>
    <mergeCell ref="K6:L6"/>
    <mergeCell ref="L3:N3"/>
    <mergeCell ref="O3:R3"/>
    <mergeCell ref="A4:R4"/>
    <mergeCell ref="A5:A6"/>
    <mergeCell ref="B5:B6"/>
    <mergeCell ref="C5:C6"/>
    <mergeCell ref="D5:D6"/>
    <mergeCell ref="E5:E6"/>
    <mergeCell ref="F5:F6"/>
    <mergeCell ref="G5:G6"/>
  </mergeCells>
  <pageMargins left="0.39370078740157483" right="0.19685039370078741" top="0.19685039370078741" bottom="0.19685039370078741" header="0.31496062992125984" footer="0.31496062992125984"/>
  <pageSetup paperSize="9" scale="5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ANA TASLAK</vt:lpstr>
      <vt:lpstr>15.09.2025</vt:lpstr>
      <vt:lpstr>16.09.2025</vt:lpstr>
      <vt:lpstr>17.09.2025</vt:lpstr>
      <vt:lpstr>18.09.2025</vt:lpstr>
      <vt:lpstr>19.09.2025</vt:lpstr>
      <vt:lpstr>20.09.2025</vt:lpstr>
      <vt:lpstr>22.09.2025</vt:lpstr>
      <vt:lpstr>23.09.2025</vt:lpstr>
      <vt:lpstr>24.09.2025</vt:lpstr>
      <vt:lpstr>25.09.2025</vt:lpstr>
      <vt:lpstr>26.09.2025</vt:lpstr>
      <vt:lpstr>27.09.2025</vt:lpstr>
      <vt:lpstr>29.09.2025</vt:lpstr>
      <vt:lpstr>30.092025</vt:lpstr>
      <vt:lpstr>01.10.2025</vt:lpstr>
      <vt:lpstr>02.10.2025</vt:lpstr>
      <vt:lpstr>03.10.2025</vt:lpstr>
      <vt:lpstr>04.10.2025</vt:lpstr>
      <vt:lpstr>06.10.2025</vt:lpstr>
      <vt:lpstr>07.10.2025</vt:lpstr>
      <vt:lpstr>08.10.2025</vt:lpstr>
      <vt:lpstr>09.10.2025</vt:lpstr>
      <vt:lpstr>10.10.2025</vt:lpstr>
      <vt:lpstr>11.10.2025</vt:lpstr>
      <vt:lpstr>13.10.2025</vt:lpstr>
      <vt:lpstr>14.10.2025</vt:lpstr>
      <vt:lpstr>15.10.2025</vt:lpstr>
      <vt:lpstr>16.10.2025</vt:lpstr>
      <vt:lpstr>17.10.2025</vt:lpstr>
      <vt:lpstr>18.10.2025</vt:lpstr>
      <vt:lpstr>19.10.2025</vt:lpstr>
      <vt:lpstr>20.10.2025</vt:lpstr>
      <vt:lpstr>21.10.2025</vt:lpstr>
      <vt:lpstr>22.10.2025</vt:lpstr>
      <vt:lpstr>23.10.2025</vt:lpstr>
      <vt:lpstr>24.10.2025</vt:lpstr>
      <vt:lpstr>25.10.2025</vt:lpstr>
      <vt:lpstr>27.10.2025</vt:lpstr>
      <vt:lpstr>28.10.2025</vt:lpstr>
      <vt:lpstr>30.10.2025</vt:lpstr>
      <vt:lpstr>31.10.2025</vt:lpstr>
      <vt:lpstr>01.11.2025</vt:lpstr>
      <vt:lpstr>03.11.2025</vt:lpstr>
      <vt:lpstr>04.11.2025</vt:lpstr>
      <vt:lpstr>05.11.2025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LİNES İŞLETME</dc:creator>
  <cp:lastModifiedBy>DELL</cp:lastModifiedBy>
  <cp:lastPrinted>2025-11-04T07:32:18Z</cp:lastPrinted>
  <dcterms:created xsi:type="dcterms:W3CDTF">2015-06-05T18:17:20Z</dcterms:created>
  <dcterms:modified xsi:type="dcterms:W3CDTF">2025-11-06T07:53:49Z</dcterms:modified>
</cp:coreProperties>
</file>