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072" firstSheet="33" activeTab="35"/>
  </bookViews>
  <sheets>
    <sheet name="PRESHANE ANA TASLAK" sheetId="2" r:id="rId1"/>
    <sheet name="38.HAFTA 2025" sheetId="3" r:id="rId2"/>
    <sheet name="38.HAFTA 2025 (2)" sheetId="4" r:id="rId3"/>
    <sheet name="39.HAFTA 2025" sheetId="6" r:id="rId4"/>
    <sheet name="40. HAFTA 2025 29.09" sheetId="7" r:id="rId5"/>
    <sheet name="40. HAFTA 2025 30.09" sheetId="8" r:id="rId6"/>
    <sheet name="40. HAFTA 2025 01.10" sheetId="9" r:id="rId7"/>
    <sheet name="40. HAFTA 2025 02.10" sheetId="10" r:id="rId8"/>
    <sheet name="40. HAFTA 2025 03.10" sheetId="11" r:id="rId9"/>
    <sheet name="40. HAFTA 2025 04.10" sheetId="12" r:id="rId10"/>
    <sheet name="41. HAFTA 2025 06.10" sheetId="13" r:id="rId11"/>
    <sheet name="41. HAFTA 2025 07.10" sheetId="14" r:id="rId12"/>
    <sheet name="41. HAFTA 2025 08.10" sheetId="15" r:id="rId13"/>
    <sheet name="41. HAFTA 2025 09.10" sheetId="16" r:id="rId14"/>
    <sheet name="41. HAFTA 2025 10.10" sheetId="17" r:id="rId15"/>
    <sheet name="41. HAFTA 2025 11.10" sheetId="18" r:id="rId16"/>
    <sheet name="42. HAFTA 2025 13.10" sheetId="19" r:id="rId17"/>
    <sheet name="42. HAFTA 2025 14.10" sheetId="20" r:id="rId18"/>
    <sheet name="42. HAFTA 2025 15.10" sheetId="21" r:id="rId19"/>
    <sheet name="42. HAFTA 2025 16.10" sheetId="22" r:id="rId20"/>
    <sheet name="42. HAFTA 2025 17.10" sheetId="23" r:id="rId21"/>
    <sheet name="42. HAFTA 2025 18.10" sheetId="24" r:id="rId22"/>
    <sheet name="43. HAFTA 2025 20.10" sheetId="25" r:id="rId23"/>
    <sheet name="43. HAFTA 2025 21.10.2025" sheetId="26" r:id="rId24"/>
    <sheet name="43. HAFTA 2025 22.10.2025" sheetId="27" r:id="rId25"/>
    <sheet name="43. HAFTA 2025 23.10.2025" sheetId="28" r:id="rId26"/>
    <sheet name="43. HAFTA 2025 24.10.2025" sheetId="29" r:id="rId27"/>
    <sheet name="43. HAFTA 2025 27.10.2025" sheetId="30" r:id="rId28"/>
    <sheet name="43. HAFTA 2025 28.10.2025" sheetId="31" r:id="rId29"/>
    <sheet name="43. HAFTA 2025 30.10.2025" sheetId="32" r:id="rId30"/>
    <sheet name="43. HAFTA 2025 31.10.2025" sheetId="33" r:id="rId31"/>
    <sheet name="43. HAFTA 2025 01.11.2025" sheetId="34" r:id="rId32"/>
    <sheet name="44. HAFTA 2025 03.11.2025" sheetId="35" r:id="rId33"/>
    <sheet name="44. HAFTA 2025 04.11.2025" sheetId="36" r:id="rId34"/>
    <sheet name="44. HAFTA 2025 05.11.2025" sheetId="37" r:id="rId35"/>
    <sheet name="44. HAFTA 2025 06.11.2025" sheetId="38" r:id="rId36"/>
  </sheets>
  <definedNames>
    <definedName name="_xlnm.Print_Area" localSheetId="1">'38.HAFTA 2025'!$A$1:$N$14</definedName>
    <definedName name="_xlnm.Print_Area" localSheetId="2">'38.HAFTA 2025 (2)'!$A$1:$N$14</definedName>
    <definedName name="_xlnm.Print_Area" localSheetId="3">'39.HAFTA 2025'!$A$1:$N$52</definedName>
    <definedName name="_xlnm.Print_Area" localSheetId="4">'40. HAFTA 2025 29.09'!$A$1:$N$52</definedName>
    <definedName name="_xlnm.Print_Area" localSheetId="5">'40. HAFTA 2025 30.09'!$A$1:$N$52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5" i="38" l="1"/>
  <c r="L15" i="38"/>
  <c r="N14" i="38"/>
  <c r="N13" i="38"/>
  <c r="N12" i="38"/>
  <c r="N11" i="38"/>
  <c r="N10" i="38"/>
  <c r="N9" i="38"/>
  <c r="N8" i="38"/>
  <c r="N7" i="38"/>
  <c r="N6" i="38"/>
  <c r="N5" i="38"/>
  <c r="N4" i="38"/>
  <c r="N15" i="38" l="1"/>
  <c r="L18" i="37"/>
  <c r="N17" i="37"/>
  <c r="N16" i="37"/>
  <c r="N15" i="37"/>
  <c r="N14" i="37"/>
  <c r="N13" i="37"/>
  <c r="N12" i="37"/>
  <c r="N11" i="37"/>
  <c r="N10" i="37"/>
  <c r="N9" i="37"/>
  <c r="N8" i="37"/>
  <c r="N7" i="37"/>
  <c r="N6" i="37"/>
  <c r="N5" i="37"/>
  <c r="N4" i="37"/>
  <c r="M4" i="36"/>
  <c r="N17" i="36"/>
  <c r="N18" i="36"/>
  <c r="N19" i="36"/>
  <c r="N18" i="37" l="1"/>
  <c r="M18" i="37"/>
  <c r="L21" i="36"/>
  <c r="N20" i="36"/>
  <c r="N16" i="36"/>
  <c r="N15" i="36"/>
  <c r="N14" i="36"/>
  <c r="N13" i="36"/>
  <c r="N12" i="36"/>
  <c r="N11" i="36"/>
  <c r="N10" i="36"/>
  <c r="N9" i="36"/>
  <c r="N8" i="36"/>
  <c r="N7" i="36"/>
  <c r="N6" i="36"/>
  <c r="N5" i="36"/>
  <c r="M21" i="36"/>
  <c r="N5" i="35"/>
  <c r="M4" i="35"/>
  <c r="N4" i="36" l="1"/>
  <c r="N21" i="36" s="1"/>
  <c r="L20" i="35"/>
  <c r="N19" i="35"/>
  <c r="N18" i="35"/>
  <c r="N17" i="35"/>
  <c r="N16" i="35"/>
  <c r="N15" i="35"/>
  <c r="N14" i="35"/>
  <c r="N13" i="35"/>
  <c r="N12" i="35"/>
  <c r="N11" i="35"/>
  <c r="N10" i="35"/>
  <c r="N9" i="35"/>
  <c r="N8" i="35"/>
  <c r="N7" i="35"/>
  <c r="N6" i="35"/>
  <c r="N4" i="35"/>
  <c r="M4" i="34"/>
  <c r="N20" i="35" l="1"/>
  <c r="M20" i="35"/>
  <c r="N18" i="34"/>
  <c r="N17" i="34"/>
  <c r="N13" i="34"/>
  <c r="N14" i="34"/>
  <c r="N15" i="34"/>
  <c r="N16" i="34"/>
  <c r="N19" i="34"/>
  <c r="L20" i="34"/>
  <c r="N12" i="34"/>
  <c r="N11" i="34"/>
  <c r="N10" i="34"/>
  <c r="N9" i="34"/>
  <c r="N8" i="34"/>
  <c r="N7" i="34"/>
  <c r="N6" i="34"/>
  <c r="N5" i="34"/>
  <c r="N4" i="34"/>
  <c r="M20" i="34"/>
  <c r="M5" i="33"/>
  <c r="M4" i="33"/>
  <c r="N20" i="34" l="1"/>
  <c r="L15" i="33"/>
  <c r="N14" i="33"/>
  <c r="N13" i="33"/>
  <c r="N12" i="33"/>
  <c r="N11" i="33"/>
  <c r="N10" i="33"/>
  <c r="N9" i="33"/>
  <c r="N8" i="33"/>
  <c r="N7" i="33"/>
  <c r="N6" i="33"/>
  <c r="N5" i="33"/>
  <c r="M15" i="33"/>
  <c r="M4" i="32"/>
  <c r="N4" i="33" l="1"/>
  <c r="N15" i="33" s="1"/>
  <c r="L15" i="32"/>
  <c r="N14" i="32"/>
  <c r="N13" i="32"/>
  <c r="N12" i="32"/>
  <c r="N11" i="32"/>
  <c r="N10" i="32"/>
  <c r="N9" i="32"/>
  <c r="N8" i="32"/>
  <c r="N7" i="32"/>
  <c r="N6" i="32"/>
  <c r="N5" i="32"/>
  <c r="N4" i="32"/>
  <c r="N15" i="32" s="1"/>
  <c r="M4" i="31"/>
  <c r="M15" i="32" l="1"/>
  <c r="M15" i="31"/>
  <c r="L15" i="31"/>
  <c r="N14" i="31"/>
  <c r="N13" i="31"/>
  <c r="N12" i="31"/>
  <c r="N11" i="31"/>
  <c r="N10" i="31"/>
  <c r="N9" i="31"/>
  <c r="N8" i="31"/>
  <c r="N7" i="31"/>
  <c r="N6" i="31"/>
  <c r="N5" i="31"/>
  <c r="N4" i="31"/>
  <c r="N15" i="31" s="1"/>
  <c r="M4" i="29" l="1"/>
  <c r="L15" i="30" l="1"/>
  <c r="N14" i="30"/>
  <c r="N13" i="30"/>
  <c r="N12" i="30"/>
  <c r="N11" i="30"/>
  <c r="N10" i="30"/>
  <c r="N9" i="30"/>
  <c r="N8" i="30"/>
  <c r="N7" i="30"/>
  <c r="N6" i="30"/>
  <c r="N5" i="30"/>
  <c r="M15" i="30"/>
  <c r="N4" i="30" l="1"/>
  <c r="N15" i="30" s="1"/>
  <c r="M4" i="28"/>
  <c r="N15" i="28"/>
  <c r="N16" i="28"/>
  <c r="N17" i="28"/>
  <c r="N18" i="28"/>
  <c r="N19" i="28"/>
  <c r="M16" i="29"/>
  <c r="L16" i="29"/>
  <c r="N15" i="29"/>
  <c r="N14" i="29"/>
  <c r="N13" i="29"/>
  <c r="N12" i="29"/>
  <c r="N11" i="29"/>
  <c r="N10" i="29"/>
  <c r="N9" i="29"/>
  <c r="N8" i="29"/>
  <c r="N7" i="29"/>
  <c r="N6" i="29"/>
  <c r="N5" i="29"/>
  <c r="N4" i="29"/>
  <c r="N16" i="29" s="1"/>
  <c r="L21" i="28" l="1"/>
  <c r="N20" i="28"/>
  <c r="N14" i="28"/>
  <c r="N13" i="28"/>
  <c r="N12" i="28"/>
  <c r="N11" i="28"/>
  <c r="N10" i="28"/>
  <c r="N9" i="28"/>
  <c r="N8" i="28"/>
  <c r="N7" i="28"/>
  <c r="N6" i="28"/>
  <c r="N5" i="28"/>
  <c r="M21" i="28"/>
  <c r="M5" i="27"/>
  <c r="M4" i="27"/>
  <c r="N4" i="28" l="1"/>
  <c r="N21" i="28" s="1"/>
  <c r="L22" i="27"/>
  <c r="N21" i="27"/>
  <c r="N20" i="27"/>
  <c r="N19" i="27"/>
  <c r="N18" i="27"/>
  <c r="N17" i="27"/>
  <c r="N16" i="27"/>
  <c r="N15" i="27"/>
  <c r="N14" i="27"/>
  <c r="N13" i="27"/>
  <c r="N12" i="27"/>
  <c r="N11" i="27"/>
  <c r="N10" i="27"/>
  <c r="N9" i="27"/>
  <c r="N8" i="27"/>
  <c r="N7" i="27"/>
  <c r="N6" i="27"/>
  <c r="M22" i="27"/>
  <c r="N4" i="27"/>
  <c r="M6" i="26"/>
  <c r="M5" i="26"/>
  <c r="N5" i="27" l="1"/>
  <c r="N22" i="27" s="1"/>
  <c r="L23" i="26"/>
  <c r="N22" i="26"/>
  <c r="N21" i="26"/>
  <c r="N20" i="26"/>
  <c r="N19" i="26"/>
  <c r="N18" i="26"/>
  <c r="N17" i="26"/>
  <c r="N16" i="26"/>
  <c r="N15" i="26"/>
  <c r="N14" i="26"/>
  <c r="N13" i="26"/>
  <c r="N12" i="26"/>
  <c r="N11" i="26"/>
  <c r="N10" i="26"/>
  <c r="N9" i="26"/>
  <c r="N8" i="26"/>
  <c r="N7" i="26"/>
  <c r="N6" i="26"/>
  <c r="N5" i="26"/>
  <c r="N4" i="26"/>
  <c r="N23" i="26" s="1"/>
  <c r="M7" i="25"/>
  <c r="M4" i="25"/>
  <c r="M23" i="26" l="1"/>
  <c r="N15" i="25"/>
  <c r="N16" i="25"/>
  <c r="N17" i="25"/>
  <c r="N18" i="25"/>
  <c r="N19" i="25"/>
  <c r="N20" i="25"/>
  <c r="N21" i="25"/>
  <c r="N22" i="25"/>
  <c r="L24" i="25" l="1"/>
  <c r="N23" i="25"/>
  <c r="N14" i="25"/>
  <c r="N13" i="25"/>
  <c r="N12" i="25"/>
  <c r="N11" i="25"/>
  <c r="N10" i="25"/>
  <c r="N9" i="25"/>
  <c r="N8" i="25"/>
  <c r="N7" i="25"/>
  <c r="N6" i="25"/>
  <c r="M6" i="25"/>
  <c r="N5" i="25"/>
  <c r="N4" i="25"/>
  <c r="M24" i="25"/>
  <c r="M6" i="24"/>
  <c r="M4" i="24"/>
  <c r="N24" i="25" l="1"/>
  <c r="M16" i="24"/>
  <c r="L16" i="24"/>
  <c r="N15" i="24"/>
  <c r="N14" i="24"/>
  <c r="N13" i="24"/>
  <c r="N12" i="24"/>
  <c r="N11" i="24"/>
  <c r="N10" i="24"/>
  <c r="N9" i="24"/>
  <c r="N8" i="24"/>
  <c r="N7" i="24"/>
  <c r="N6" i="24"/>
  <c r="N5" i="24"/>
  <c r="N4" i="24"/>
  <c r="M4" i="23"/>
  <c r="N16" i="24" l="1"/>
  <c r="N6" i="23"/>
  <c r="N5" i="23"/>
  <c r="L16" i="23" l="1"/>
  <c r="N15" i="23"/>
  <c r="N14" i="23"/>
  <c r="N13" i="23"/>
  <c r="N12" i="23"/>
  <c r="N11" i="23"/>
  <c r="N10" i="23"/>
  <c r="N9" i="23"/>
  <c r="N8" i="23"/>
  <c r="N7" i="23"/>
  <c r="M16" i="23"/>
  <c r="M4" i="22"/>
  <c r="N4" i="23" l="1"/>
  <c r="N16" i="23" s="1"/>
  <c r="L17" i="22"/>
  <c r="N16" i="22"/>
  <c r="N15" i="22"/>
  <c r="N14" i="22"/>
  <c r="N13" i="22"/>
  <c r="N12" i="22"/>
  <c r="N11" i="22"/>
  <c r="N10" i="22"/>
  <c r="N9" i="22"/>
  <c r="N8" i="22"/>
  <c r="N7" i="22"/>
  <c r="N6" i="22"/>
  <c r="N5" i="22"/>
  <c r="M17" i="22"/>
  <c r="N14" i="21"/>
  <c r="N15" i="21"/>
  <c r="M4" i="21"/>
  <c r="N4" i="22" l="1"/>
  <c r="N17" i="22" s="1"/>
  <c r="L17" i="21"/>
  <c r="N16" i="21"/>
  <c r="N13" i="21"/>
  <c r="N12" i="21"/>
  <c r="N11" i="21"/>
  <c r="N10" i="21"/>
  <c r="N9" i="21"/>
  <c r="N8" i="21"/>
  <c r="N7" i="21"/>
  <c r="N6" i="21"/>
  <c r="N5" i="21"/>
  <c r="M17" i="21"/>
  <c r="N4" i="21" l="1"/>
  <c r="N17" i="21" s="1"/>
  <c r="M4" i="20" l="1"/>
  <c r="M17" i="20" l="1"/>
  <c r="L17" i="20"/>
  <c r="N16" i="20"/>
  <c r="N15" i="20"/>
  <c r="N14" i="20"/>
  <c r="N13" i="20"/>
  <c r="N12" i="20"/>
  <c r="N11" i="20"/>
  <c r="N10" i="20"/>
  <c r="N9" i="20"/>
  <c r="N8" i="20"/>
  <c r="N7" i="20"/>
  <c r="N6" i="20"/>
  <c r="N5" i="20"/>
  <c r="N4" i="20"/>
  <c r="N17" i="20" l="1"/>
  <c r="L18" i="19"/>
  <c r="N17" i="19"/>
  <c r="N16" i="19"/>
  <c r="N15" i="19"/>
  <c r="N14" i="19"/>
  <c r="N13" i="19"/>
  <c r="N12" i="19"/>
  <c r="N11" i="19"/>
  <c r="N10" i="19"/>
  <c r="N9" i="19"/>
  <c r="N8" i="19"/>
  <c r="N7" i="19"/>
  <c r="N6" i="19"/>
  <c r="N5" i="19"/>
  <c r="N4" i="19"/>
  <c r="M4" i="18"/>
  <c r="N18" i="19" l="1"/>
  <c r="M18" i="19"/>
  <c r="L20" i="18"/>
  <c r="N19" i="18"/>
  <c r="N18" i="18"/>
  <c r="N17" i="18"/>
  <c r="N16" i="18"/>
  <c r="N15" i="18"/>
  <c r="N14" i="18"/>
  <c r="N13" i="18"/>
  <c r="N12" i="18"/>
  <c r="N11" i="18"/>
  <c r="N10" i="18"/>
  <c r="N9" i="18"/>
  <c r="N8" i="18"/>
  <c r="N7" i="18"/>
  <c r="N6" i="18"/>
  <c r="N5" i="18"/>
  <c r="M20" i="18"/>
  <c r="M4" i="17"/>
  <c r="N4" i="18" l="1"/>
  <c r="N20" i="18" s="1"/>
  <c r="L20" i="17"/>
  <c r="N19" i="17"/>
  <c r="N18" i="17"/>
  <c r="N17" i="17"/>
  <c r="N16" i="17"/>
  <c r="N15" i="17"/>
  <c r="N14" i="17"/>
  <c r="N13" i="17"/>
  <c r="N12" i="17"/>
  <c r="N11" i="17"/>
  <c r="N10" i="17"/>
  <c r="N9" i="17"/>
  <c r="N8" i="17"/>
  <c r="N7" i="17"/>
  <c r="N6" i="17"/>
  <c r="N5" i="17"/>
  <c r="N4" i="17"/>
  <c r="M20" i="17"/>
  <c r="M4" i="16"/>
  <c r="N20" i="17" l="1"/>
  <c r="L22" i="16"/>
  <c r="N21" i="16"/>
  <c r="N20" i="16"/>
  <c r="N19" i="16"/>
  <c r="N18" i="16"/>
  <c r="N17" i="16"/>
  <c r="N16" i="16"/>
  <c r="N15" i="16"/>
  <c r="N14" i="16"/>
  <c r="N13" i="16"/>
  <c r="N12" i="16"/>
  <c r="N11" i="16"/>
  <c r="N10" i="16"/>
  <c r="N9" i="16"/>
  <c r="N8" i="16"/>
  <c r="N7" i="16"/>
  <c r="N6" i="16"/>
  <c r="N5" i="16"/>
  <c r="M22" i="16"/>
  <c r="M4" i="15"/>
  <c r="N4" i="16" l="1"/>
  <c r="N22" i="16" s="1"/>
  <c r="M24" i="15"/>
  <c r="L24" i="15"/>
  <c r="N23" i="15"/>
  <c r="N22" i="15"/>
  <c r="N21" i="15"/>
  <c r="N20" i="15"/>
  <c r="N19" i="15"/>
  <c r="N18" i="15"/>
  <c r="N17" i="15"/>
  <c r="N16" i="15"/>
  <c r="N15" i="15"/>
  <c r="N14" i="15"/>
  <c r="N13" i="15"/>
  <c r="N12" i="15"/>
  <c r="N11" i="15"/>
  <c r="N10" i="15"/>
  <c r="N9" i="15"/>
  <c r="N8" i="15"/>
  <c r="N7" i="15"/>
  <c r="N6" i="15"/>
  <c r="N5" i="15"/>
  <c r="N4" i="15"/>
  <c r="N24" i="15" l="1"/>
  <c r="N50" i="14"/>
  <c r="N49" i="14"/>
  <c r="N4" i="14" l="1"/>
  <c r="N6" i="14" l="1"/>
  <c r="L52" i="14" l="1"/>
  <c r="N51" i="14"/>
  <c r="N48" i="14"/>
  <c r="N47" i="14"/>
  <c r="N46" i="14"/>
  <c r="N45" i="14"/>
  <c r="N44" i="14"/>
  <c r="N43" i="14"/>
  <c r="N42" i="14"/>
  <c r="N21" i="14"/>
  <c r="N20" i="14"/>
  <c r="N19" i="14"/>
  <c r="N18" i="14"/>
  <c r="N17" i="14"/>
  <c r="N16" i="14"/>
  <c r="N15" i="14"/>
  <c r="N14" i="14"/>
  <c r="N13" i="14"/>
  <c r="N12" i="14"/>
  <c r="N11" i="14"/>
  <c r="N10" i="14"/>
  <c r="N9" i="14"/>
  <c r="N8" i="14"/>
  <c r="N7" i="14"/>
  <c r="N5" i="14"/>
  <c r="M52" i="14"/>
  <c r="M4" i="13"/>
  <c r="N52" i="14" l="1"/>
  <c r="N49" i="13"/>
  <c r="N48" i="13"/>
  <c r="N47" i="13"/>
  <c r="N50" i="13"/>
  <c r="N46" i="13"/>
  <c r="L52" i="13" l="1"/>
  <c r="N51" i="13"/>
  <c r="N45" i="13"/>
  <c r="N44" i="13"/>
  <c r="N43" i="13"/>
  <c r="N4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N7" i="13"/>
  <c r="N6" i="13"/>
  <c r="N5" i="13"/>
  <c r="M52" i="13"/>
  <c r="M4" i="12"/>
  <c r="N4" i="13" l="1"/>
  <c r="N52" i="13" s="1"/>
  <c r="M47" i="12"/>
  <c r="L47" i="12"/>
  <c r="N46" i="12"/>
  <c r="N45" i="12"/>
  <c r="N44" i="12"/>
  <c r="N43" i="12"/>
  <c r="N42" i="12"/>
  <c r="N21" i="12"/>
  <c r="N20" i="12"/>
  <c r="N19" i="12"/>
  <c r="N18" i="12"/>
  <c r="N17" i="12"/>
  <c r="N16" i="12"/>
  <c r="N15" i="12"/>
  <c r="N14" i="12"/>
  <c r="N13" i="12"/>
  <c r="N12" i="12"/>
  <c r="N11" i="12"/>
  <c r="N10" i="12"/>
  <c r="N9" i="12"/>
  <c r="N8" i="12"/>
  <c r="N7" i="12"/>
  <c r="N6" i="12"/>
  <c r="N5" i="12"/>
  <c r="N4" i="12"/>
  <c r="N47" i="12" l="1"/>
  <c r="N4" i="11"/>
  <c r="N6" i="11"/>
  <c r="N7" i="11"/>
  <c r="L47" i="11"/>
  <c r="N46" i="11"/>
  <c r="N45" i="11"/>
  <c r="N44" i="11"/>
  <c r="N43" i="11"/>
  <c r="N42" i="1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5" i="11"/>
  <c r="M47" i="11"/>
  <c r="M4" i="10"/>
  <c r="N47" i="11" l="1"/>
  <c r="L47" i="10"/>
  <c r="N46" i="10"/>
  <c r="N45" i="10"/>
  <c r="N44" i="10"/>
  <c r="N43" i="10"/>
  <c r="N4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47" i="10" s="1"/>
  <c r="M47" i="10"/>
  <c r="M4" i="9"/>
  <c r="L47" i="9" l="1"/>
  <c r="N46" i="9"/>
  <c r="N45" i="9"/>
  <c r="N44" i="9"/>
  <c r="N43" i="9"/>
  <c r="N42" i="9"/>
  <c r="N21" i="9"/>
  <c r="N20" i="9"/>
  <c r="N19" i="9"/>
  <c r="N18" i="9"/>
  <c r="N17" i="9"/>
  <c r="N16" i="9"/>
  <c r="N15" i="9"/>
  <c r="N14" i="9"/>
  <c r="N13" i="9"/>
  <c r="N12" i="9"/>
  <c r="N11" i="9"/>
  <c r="N10" i="9"/>
  <c r="N9" i="9"/>
  <c r="N8" i="9"/>
  <c r="N7" i="9"/>
  <c r="N6" i="9"/>
  <c r="N5" i="9"/>
  <c r="M47" i="9"/>
  <c r="M6" i="8"/>
  <c r="M5" i="8"/>
  <c r="L52" i="8"/>
  <c r="N51" i="8"/>
  <c r="N50" i="8"/>
  <c r="N49" i="8"/>
  <c r="N48" i="8"/>
  <c r="N4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6" i="8"/>
  <c r="N5" i="8"/>
  <c r="M4" i="8"/>
  <c r="N4" i="8" s="1"/>
  <c r="N52" i="8" s="1"/>
  <c r="M5" i="7"/>
  <c r="M4" i="7"/>
  <c r="N4" i="9" l="1"/>
  <c r="N47" i="9" s="1"/>
  <c r="M52" i="8"/>
  <c r="M52" i="7"/>
  <c r="L52" i="7"/>
  <c r="N51" i="7"/>
  <c r="N50" i="7"/>
  <c r="N49" i="7"/>
  <c r="N48" i="7"/>
  <c r="N4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M4" i="6"/>
  <c r="M5" i="6"/>
  <c r="M6" i="6"/>
  <c r="M7" i="6"/>
  <c r="N4" i="7" l="1"/>
  <c r="N52" i="7" s="1"/>
  <c r="N24" i="6"/>
  <c r="N25" i="6"/>
  <c r="N26" i="6"/>
  <c r="L52" i="6"/>
  <c r="N51" i="6" l="1"/>
  <c r="N50" i="6"/>
  <c r="N8" i="6"/>
  <c r="N7" i="6"/>
  <c r="N6" i="6"/>
  <c r="N20" i="6"/>
  <c r="N19" i="6" l="1"/>
  <c r="N15" i="6"/>
  <c r="N16" i="6"/>
  <c r="N17" i="6"/>
  <c r="N18" i="6"/>
  <c r="N21" i="6"/>
  <c r="N22" i="6"/>
  <c r="N23" i="6"/>
  <c r="N47" i="6"/>
  <c r="N48" i="6"/>
  <c r="N49" i="6"/>
  <c r="N14" i="6"/>
  <c r="N11" i="4"/>
  <c r="N4" i="6"/>
  <c r="N5" i="6"/>
  <c r="N9" i="6"/>
  <c r="N13" i="6"/>
  <c r="N12" i="6"/>
  <c r="N11" i="6"/>
  <c r="N10" i="6"/>
  <c r="N52" i="6" l="1"/>
  <c r="M52" i="6"/>
  <c r="L14" i="4"/>
  <c r="N13" i="4"/>
  <c r="N12" i="4"/>
  <c r="N10" i="4"/>
  <c r="N9" i="4"/>
  <c r="N8" i="4"/>
  <c r="N7" i="4"/>
  <c r="M6" i="4"/>
  <c r="N6" i="4" s="1"/>
  <c r="M5" i="4"/>
  <c r="N5" i="4" s="1"/>
  <c r="N4" i="4"/>
  <c r="M4" i="4"/>
  <c r="M12" i="3"/>
  <c r="M6" i="3"/>
  <c r="M5" i="3"/>
  <c r="N14" i="4" l="1"/>
  <c r="M14" i="4"/>
  <c r="M4" i="3"/>
  <c r="N6" i="3" l="1"/>
  <c r="M14" i="3" l="1"/>
  <c r="L14" i="3"/>
  <c r="N13" i="3"/>
  <c r="N12" i="3"/>
  <c r="N10" i="3"/>
  <c r="N9" i="3"/>
  <c r="N8" i="3"/>
  <c r="N7" i="3"/>
  <c r="N5" i="3"/>
  <c r="N4" i="3"/>
  <c r="N11" i="2"/>
  <c r="N14" i="3" l="1"/>
  <c r="N9" i="2"/>
  <c r="N8" i="2"/>
  <c r="N7" i="2"/>
  <c r="N6" i="2"/>
  <c r="N5" i="2"/>
  <c r="N4" i="2"/>
  <c r="M13" i="2" l="1"/>
  <c r="L13" i="2"/>
  <c r="N12" i="2"/>
  <c r="N10" i="2"/>
  <c r="N13" i="2" l="1"/>
</calcChain>
</file>

<file path=xl/sharedStrings.xml><?xml version="1.0" encoding="utf-8"?>
<sst xmlns="http://schemas.openxmlformats.org/spreadsheetml/2006/main" count="3893" uniqueCount="107">
  <si>
    <t>TARİH :</t>
  </si>
  <si>
    <t>Takip No</t>
  </si>
  <si>
    <t>Kalite</t>
  </si>
  <si>
    <t>Gövde Kalınlık</t>
  </si>
  <si>
    <t>Pul</t>
  </si>
  <si>
    <t>Ürün Adı</t>
  </si>
  <si>
    <t>Taban</t>
  </si>
  <si>
    <t>Kapsül</t>
  </si>
  <si>
    <t>Kapsül 
Kalınlık</t>
  </si>
  <si>
    <t>Alüminyum
Çap</t>
  </si>
  <si>
    <t>Alüminyum Kalınlık</t>
  </si>
  <si>
    <t>Dudak</t>
  </si>
  <si>
    <t>Miktar</t>
  </si>
  <si>
    <t>Üretim</t>
  </si>
  <si>
    <t>Kalan</t>
  </si>
  <si>
    <t>DİK</t>
  </si>
  <si>
    <t>**</t>
  </si>
  <si>
    <t>YOK</t>
  </si>
  <si>
    <t>YONCA JUMBO 10NO BELİNDA ÇAYDANLIK</t>
  </si>
  <si>
    <t>TABANSIZ JUMBO 10 NO BELİNDA DEMLİK</t>
  </si>
  <si>
    <t>YONCA AİLE 3,5 NO BELİNDA ÇAYDANLIK</t>
  </si>
  <si>
    <t>TABANSIZ AİLE 3,5NO BELİDA DEMLİK</t>
  </si>
  <si>
    <t>SOR</t>
  </si>
  <si>
    <t>YONCA MEGA 7NO BELİNDA ÇAYDANLIK</t>
  </si>
  <si>
    <t>LİNES AİLE 7 NO AYPERİ ÇAYDANLIK</t>
  </si>
  <si>
    <t>38.HAFTA ÇAYDANLIK BOĞMA İŞ PLANI</t>
  </si>
  <si>
    <t>TABANSIZ MEGA 7NO BELİNDA DEMLİK</t>
  </si>
  <si>
    <t>MASTERCHEF 2 LT KIZARTMALIK</t>
  </si>
  <si>
    <t>10925-1</t>
  </si>
  <si>
    <t>TABANSIZ 7 NO AİLE AYPERİ DEMLİK</t>
  </si>
  <si>
    <t>LİNES 7 NO AİLE AYPERİ ÇAYDANLIK</t>
  </si>
  <si>
    <t>0,.90</t>
  </si>
  <si>
    <t>34.5</t>
  </si>
  <si>
    <t>COOKER 7 NO ORTA AYCAN ÇAYDANLIK</t>
  </si>
  <si>
    <t>TABANSIZ COOKER7 NO ORTA AYCAN DEMLİK</t>
  </si>
  <si>
    <t>26.8</t>
  </si>
  <si>
    <t>COOKER 10 NO AİLE AYCAN ÇAYDANLIK</t>
  </si>
  <si>
    <t>TABANSIZ COOKER 10  NO AİLE AYCAN DEMLİK</t>
  </si>
  <si>
    <t>LİNES 10 NO AİLE AYCAN ÇAYDANLIK</t>
  </si>
  <si>
    <t>TABANSIZ LİNES 10  NO AİLE AYCAN DEMLİK</t>
  </si>
  <si>
    <t>39.5</t>
  </si>
  <si>
    <t>31.8</t>
  </si>
  <si>
    <t>100925-1</t>
  </si>
  <si>
    <t>COOKER 7 NO AİLE YILDIZ ÇAYDANLIK</t>
  </si>
  <si>
    <t>TABANSIZ COOKER 7 NO AİLE DEMLİK</t>
  </si>
  <si>
    <t>40.2</t>
  </si>
  <si>
    <t>COOKER 10 NO MEGA YILDIZ ÇAYDANLIK</t>
  </si>
  <si>
    <t>TABANSIZ COOKER MEGA YILDIZ DEMLİK</t>
  </si>
  <si>
    <t>33.2</t>
  </si>
  <si>
    <t>LİNES 3 NO ORTA KÜRE ZEYCAN ÇAYDANLIK</t>
  </si>
  <si>
    <t>27.5</t>
  </si>
  <si>
    <t>TABANSIZ LİNES 3 NO ORTA KÜRE ZEYCAN DEMLİK</t>
  </si>
  <si>
    <t>*</t>
  </si>
  <si>
    <t>COOKER 3 NO ORTA YILDIZ ÇAYDANLIK</t>
  </si>
  <si>
    <t>26.5</t>
  </si>
  <si>
    <t>TABANSIZ COOKER 3 NO ORTA YILDIZ DEMLİK</t>
  </si>
  <si>
    <t>32,0</t>
  </si>
  <si>
    <t>36,0</t>
  </si>
  <si>
    <t>30,0</t>
  </si>
  <si>
    <t>32,4</t>
  </si>
  <si>
    <t>GEMAK 2 LT KÜRE</t>
  </si>
  <si>
    <t>HELVANE</t>
  </si>
  <si>
    <t>GEMAK 1,5 LT KÜRE</t>
  </si>
  <si>
    <t>GEMAK 1 LT KÜRE</t>
  </si>
  <si>
    <t>30,7</t>
  </si>
  <si>
    <t>26,5</t>
  </si>
  <si>
    <t>TABANSIZ AİLE 3,5NO BELİNDA DEMLİK</t>
  </si>
  <si>
    <t>TABANSIZ COOKER 7 NO ORTA AYCAN DEMLİK</t>
  </si>
  <si>
    <t>40.HAFTA ÇAYDANLIK BOĞMA İŞ PLANI</t>
  </si>
  <si>
    <t>41.HAFTA ÇAYDANLIK BOĞMA İŞ PLANI</t>
  </si>
  <si>
    <t>LİNES 5 NO AİLE NAZ ÇAYDANLIK ÇİZGİLİ SADE</t>
  </si>
  <si>
    <t>TABANSIZ LİNES 5 NO AİLE NAZ DEMLİK ÇİZGİLİ SADE</t>
  </si>
  <si>
    <t>LİNES 3 NO ORTA AYPERİ ÇAYDANLIK ÇİZGİLİ SADE</t>
  </si>
  <si>
    <t>36,9</t>
  </si>
  <si>
    <t>29,0</t>
  </si>
  <si>
    <t>33</t>
  </si>
  <si>
    <t>TABANSIZ LİNES 3 NO ORTA AYPERİ DEMLİK ÇİZGİLİ SADE</t>
  </si>
  <si>
    <t>LİNES 1,5 LT KÜRE ÇAYDANLIK YARI SATENLİ</t>
  </si>
  <si>
    <t>LİNES 1,5 LT KÜRE ÇAYDANLIK YARI SATENLİ GÜMRÜK</t>
  </si>
  <si>
    <t>LİNES 1 LT KÜRE ÇAYDANLIK YARI SATENLI</t>
  </si>
  <si>
    <t xml:space="preserve">HELVANE </t>
  </si>
  <si>
    <t>LİNES 1 LT KÜRE ÇAYDANLIK YARI SATENLI GÜMRÜK</t>
  </si>
  <si>
    <t>YONCA JUMBO DAMLA ÇAYDANLIK (SADE PARLAK)</t>
  </si>
  <si>
    <t>YONCA TABANSIZ JUMBO DAMLA DEMLİK (SADE PARLAK)</t>
  </si>
  <si>
    <t>ŞAHMERAN SEMAVER GÖVDE</t>
  </si>
  <si>
    <t>?</t>
  </si>
  <si>
    <t>ŞAHMERAN SEMAVER DEMLİK</t>
  </si>
  <si>
    <t>LİNES 1,5 LT KÜRE ÇAYDANLIK YARI SATENLİ 
24 PCS</t>
  </si>
  <si>
    <t>LİNES 1,5 LT KÜRE ÇAYDANLIK YARI SATENLİ GÜMRÜK 24 PCS</t>
  </si>
  <si>
    <t>LİNES 1 LT KÜRE ÇAYDANLIK YARI SATENLI 
18 PCS</t>
  </si>
  <si>
    <t>LİNES 1 LT KÜRE ÇAYDANLIK YARI SATENLI GÜMRÜK 18 PCS</t>
  </si>
  <si>
    <t>YONCA 2 LT KÜRE MODEL DEMLİK - SADE PARLAK</t>
  </si>
  <si>
    <t>YONCA 2 LT KÜRE MODEL DEMLİK - SADE PARLAK
GÜMRÜK</t>
  </si>
  <si>
    <t>LİNES 1,5 LT KÜRE MODEL DEMLİK - YARI SATENLİ</t>
  </si>
  <si>
    <t>YONCA 1,5 LT KÜRE MODEL DEMLİK - SADE PARLAK</t>
  </si>
  <si>
    <t>YONCA 1,5 LT KÜRE MODEL DEMLİK - SADE PARLAK GÜMRÜK</t>
  </si>
  <si>
    <t>LİNES 1 LT KÜRE MODEL DEMLİK - YARI SATENLİ</t>
  </si>
  <si>
    <t>YONCA 1 LT KÜRE MODEL DEMLİK - SADE PARLAK</t>
  </si>
  <si>
    <t>YONCA 1 LT KÜRE MODEL DEMLİK - SADE PARLAK GÜMRÜK</t>
  </si>
  <si>
    <t>LİNES 2 NO AYPERİ MODEL ÇAYDANLIK -
ÇİZGİLİ SADE</t>
  </si>
  <si>
    <t>LİNES 2 NO AYPERİ MODEL DEMLİK - ÇİZGİLİ SADE</t>
  </si>
  <si>
    <t>TABANSIZ</t>
  </si>
  <si>
    <t>LİNES 3 NO ORTA BOY NAZ MODEL ÇAYDANLIK - 
ÇİZGİLİ SADE</t>
  </si>
  <si>
    <t>LİNES 5 NO AİLE BOY NAZ MODEL ÇAYDANLIK - 
ALTIN KEMERLİ</t>
  </si>
  <si>
    <t>LİNES 3 NO ORTA BOY NAZ MODEL DEMLİK - 
ÇİZGİLİ SADE</t>
  </si>
  <si>
    <t>LİNES 5 NO AİLE BOY NAZ MODEL DEMLİK - 
ALTIN KEMERLİ</t>
  </si>
  <si>
    <t>LİNES 1 LT NAZ ÇAYDANLIK - ALTIN KEMERLİ- 13PCS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</si>
</sst>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\,\ mmmm\ dd\,\ yyyy"/>
    <numFmt numFmtId="165" formatCode="#,##0.0"/>
  </numFmts>
  <fonts count="9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sz val="40"/>
      <color theme="1"/>
      <name val="Calibri"/>
      <family val="2"/>
      <charset val="162"/>
      <scheme val="minor"/>
    </font>
    <font>
      <sz val="36"/>
      <color theme="1"/>
      <name val="Calibri"/>
      <family val="2"/>
      <charset val="162"/>
      <scheme val="minor"/>
    </font>
    <font>
      <b/>
      <sz val="36"/>
      <color theme="1"/>
      <name val="Calibri"/>
      <family val="2"/>
      <charset val="162"/>
      <scheme val="minor"/>
    </font>
    <font>
      <b/>
      <sz val="40"/>
      <color rgb="FFFF0000"/>
      <name val="Calibri"/>
      <family val="2"/>
      <charset val="162"/>
      <scheme val="minor"/>
    </font>
    <font>
      <b/>
      <sz val="30"/>
      <color theme="1"/>
      <name val="Calibri"/>
      <family val="2"/>
      <charset val="16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 applyAlignment="1"/>
    <xf numFmtId="0" fontId="4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3" fontId="3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6" xfId="0" applyFont="1" applyBorder="1" applyAlignment="1">
      <alignment horizontal="center" vertical="center"/>
    </xf>
    <xf numFmtId="4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3" fontId="6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" fontId="1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4" fontId="3" fillId="0" borderId="5" xfId="0" applyNumberFormat="1" applyFont="1" applyFill="1" applyBorder="1" applyAlignment="1">
      <alignment horizontal="center" vertical="center"/>
    </xf>
    <xf numFmtId="165" fontId="3" fillId="0" borderId="5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3" fontId="3" fillId="0" borderId="5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49" fontId="3" fillId="0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vertical="center" wrapText="1"/>
    </xf>
    <xf numFmtId="3" fontId="3" fillId="4" borderId="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left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406400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44170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406400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43535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406400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7566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1</xdr:col>
      <xdr:colOff>833120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7566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1</xdr:col>
      <xdr:colOff>833120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42392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1</xdr:col>
      <xdr:colOff>833120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6804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1</xdr:col>
      <xdr:colOff>833120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6804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1</xdr:col>
      <xdr:colOff>833120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6804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1</xdr:col>
      <xdr:colOff>833120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42392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1</xdr:col>
      <xdr:colOff>833120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42392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1</xdr:col>
      <xdr:colOff>833120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42392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1</xdr:col>
      <xdr:colOff>833120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6804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1</xdr:col>
      <xdr:colOff>833120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6804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1</xdr:col>
      <xdr:colOff>833120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6804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1</xdr:col>
      <xdr:colOff>833120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6804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1</xdr:col>
      <xdr:colOff>833120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6804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1</xdr:col>
      <xdr:colOff>833120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6804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1</xdr:col>
      <xdr:colOff>833120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6804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1</xdr:col>
      <xdr:colOff>833120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6804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1</xdr:col>
      <xdr:colOff>833120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6804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1</xdr:col>
      <xdr:colOff>833120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6804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1</xdr:col>
      <xdr:colOff>833120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6804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1</xdr:col>
      <xdr:colOff>833120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6804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1</xdr:col>
      <xdr:colOff>833120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6804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1</xdr:col>
      <xdr:colOff>833120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6804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1</xdr:col>
      <xdr:colOff>833120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6804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1</xdr:col>
      <xdr:colOff>833120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6804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1</xdr:col>
      <xdr:colOff>833120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6804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1</xdr:col>
      <xdr:colOff>833120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6804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1</xdr:col>
      <xdr:colOff>833120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6804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1</xdr:col>
      <xdr:colOff>833120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6804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1</xdr:col>
      <xdr:colOff>833120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6804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1</xdr:col>
      <xdr:colOff>833120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6804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1</xdr:col>
      <xdr:colOff>833120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6804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1</xdr:col>
      <xdr:colOff>833120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6804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1</xdr:col>
      <xdr:colOff>833120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6804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zoomScale="25" zoomScaleNormal="25" workbookViewId="0">
      <selection activeCell="J6" sqref="J6"/>
    </sheetView>
  </sheetViews>
  <sheetFormatPr defaultColWidth="8.88671875" defaultRowHeight="14.4" x14ac:dyDescent="0.3"/>
  <cols>
    <col min="1" max="1" width="28.44140625" style="17" bestFit="1" customWidth="1"/>
    <col min="2" max="2" width="19.6640625" style="17" customWidth="1"/>
    <col min="3" max="3" width="29.21875" style="17" customWidth="1"/>
    <col min="4" max="4" width="19.77734375" style="20" bestFit="1" customWidth="1"/>
    <col min="5" max="5" width="145.6640625" style="17" customWidth="1"/>
    <col min="6" max="6" width="32.109375" style="17" bestFit="1" customWidth="1"/>
    <col min="7" max="7" width="21.88671875" style="17" bestFit="1" customWidth="1"/>
    <col min="8" max="8" width="26.6640625" style="17" bestFit="1" customWidth="1"/>
    <col min="9" max="9" width="40.109375" style="17" bestFit="1" customWidth="1"/>
    <col min="10" max="10" width="37.88671875" style="17" customWidth="1"/>
    <col min="11" max="11" width="25.6640625" style="17" customWidth="1"/>
    <col min="12" max="14" width="23.6640625" style="17" customWidth="1"/>
    <col min="15" max="16384" width="8.88671875" style="18"/>
  </cols>
  <sheetData>
    <row r="1" spans="1:14" s="3" customFormat="1" ht="100.05" customHeight="1" x14ac:dyDescent="0.95">
      <c r="A1" s="37"/>
      <c r="B1" s="37"/>
      <c r="C1" s="37"/>
      <c r="D1" s="19"/>
      <c r="E1" s="1"/>
      <c r="F1" s="1"/>
      <c r="G1" s="1"/>
      <c r="H1" s="1"/>
      <c r="I1" s="1"/>
      <c r="J1" s="2" t="s">
        <v>0</v>
      </c>
      <c r="K1" s="38">
        <v>45915</v>
      </c>
      <c r="L1" s="38"/>
      <c r="M1" s="38"/>
      <c r="N1" s="38"/>
    </row>
    <row r="2" spans="1:14" s="4" customFormat="1" ht="100.05" customHeight="1" x14ac:dyDescent="0.3">
      <c r="A2" s="39" t="s">
        <v>25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</row>
    <row r="3" spans="1:14" s="4" customFormat="1" ht="150" customHeight="1" x14ac:dyDescent="0.3">
      <c r="A3" s="5" t="s">
        <v>1</v>
      </c>
      <c r="B3" s="5" t="s">
        <v>2</v>
      </c>
      <c r="C3" s="6" t="s">
        <v>3</v>
      </c>
      <c r="D3" s="7" t="s">
        <v>4</v>
      </c>
      <c r="E3" s="5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6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s="11" customFormat="1" ht="150" customHeight="1" x14ac:dyDescent="0.3">
      <c r="A4" s="5"/>
      <c r="B4" s="5"/>
      <c r="C4" s="7"/>
      <c r="D4" s="21"/>
      <c r="E4" s="8"/>
      <c r="F4" s="5"/>
      <c r="G4" s="5"/>
      <c r="H4" s="7"/>
      <c r="I4" s="5"/>
      <c r="J4" s="5"/>
      <c r="K4" s="5"/>
      <c r="L4" s="9"/>
      <c r="M4" s="10"/>
      <c r="N4" s="9">
        <f t="shared" ref="N4:N9" si="0">L4-M4</f>
        <v>0</v>
      </c>
    </row>
    <row r="5" spans="1:14" s="11" customFormat="1" ht="150" customHeight="1" x14ac:dyDescent="0.3">
      <c r="A5" s="5"/>
      <c r="B5" s="5"/>
      <c r="C5" s="7"/>
      <c r="D5" s="21"/>
      <c r="E5" s="8"/>
      <c r="F5" s="5"/>
      <c r="G5" s="5"/>
      <c r="H5" s="7"/>
      <c r="I5" s="5"/>
      <c r="J5" s="5"/>
      <c r="K5" s="5"/>
      <c r="L5" s="9"/>
      <c r="M5" s="10"/>
      <c r="N5" s="9">
        <f t="shared" si="0"/>
        <v>0</v>
      </c>
    </row>
    <row r="6" spans="1:14" s="11" customFormat="1" ht="150" customHeight="1" x14ac:dyDescent="0.3">
      <c r="A6" s="5"/>
      <c r="B6" s="5"/>
      <c r="C6" s="7"/>
      <c r="D6" s="21"/>
      <c r="E6" s="8"/>
      <c r="F6" s="5"/>
      <c r="G6" s="5"/>
      <c r="H6" s="7"/>
      <c r="I6" s="5"/>
      <c r="J6" s="5"/>
      <c r="K6" s="5"/>
      <c r="L6" s="9"/>
      <c r="M6" s="10"/>
      <c r="N6" s="9">
        <f t="shared" si="0"/>
        <v>0</v>
      </c>
    </row>
    <row r="7" spans="1:14" s="11" customFormat="1" ht="150" customHeight="1" x14ac:dyDescent="0.3">
      <c r="A7" s="5"/>
      <c r="B7" s="5"/>
      <c r="C7" s="7"/>
      <c r="D7" s="21"/>
      <c r="E7" s="8"/>
      <c r="F7" s="5"/>
      <c r="G7" s="5"/>
      <c r="H7" s="7"/>
      <c r="I7" s="5"/>
      <c r="J7" s="5"/>
      <c r="K7" s="5"/>
      <c r="L7" s="9"/>
      <c r="M7" s="10"/>
      <c r="N7" s="9">
        <f t="shared" si="0"/>
        <v>0</v>
      </c>
    </row>
    <row r="8" spans="1:14" s="11" customFormat="1" ht="150" customHeight="1" x14ac:dyDescent="0.3">
      <c r="A8" s="5"/>
      <c r="B8" s="5"/>
      <c r="C8" s="7"/>
      <c r="D8" s="21"/>
      <c r="E8" s="8"/>
      <c r="F8" s="5"/>
      <c r="G8" s="5"/>
      <c r="H8" s="7"/>
      <c r="I8" s="5"/>
      <c r="J8" s="5"/>
      <c r="K8" s="5"/>
      <c r="L8" s="9"/>
      <c r="M8" s="10"/>
      <c r="N8" s="9">
        <f t="shared" si="0"/>
        <v>0</v>
      </c>
    </row>
    <row r="9" spans="1:14" s="11" customFormat="1" ht="150" customHeight="1" x14ac:dyDescent="0.3">
      <c r="A9" s="5"/>
      <c r="B9" s="5"/>
      <c r="C9" s="7"/>
      <c r="D9" s="21"/>
      <c r="E9" s="8"/>
      <c r="F9" s="5"/>
      <c r="G9" s="5"/>
      <c r="H9" s="7"/>
      <c r="I9" s="5"/>
      <c r="J9" s="5"/>
      <c r="K9" s="5"/>
      <c r="L9" s="9"/>
      <c r="M9" s="10"/>
      <c r="N9" s="9">
        <f t="shared" si="0"/>
        <v>0</v>
      </c>
    </row>
    <row r="10" spans="1:14" s="11" customFormat="1" ht="150" customHeight="1" x14ac:dyDescent="0.3">
      <c r="A10" s="5"/>
      <c r="B10" s="5"/>
      <c r="C10" s="7"/>
      <c r="D10" s="21"/>
      <c r="E10" s="8"/>
      <c r="F10" s="5"/>
      <c r="G10" s="5"/>
      <c r="H10" s="7"/>
      <c r="I10" s="5"/>
      <c r="J10" s="7"/>
      <c r="K10" s="5"/>
      <c r="L10" s="9"/>
      <c r="M10" s="10"/>
      <c r="N10" s="9">
        <f t="shared" ref="N10:N12" si="1">L10-M10</f>
        <v>0</v>
      </c>
    </row>
    <row r="11" spans="1:14" s="11" customFormat="1" ht="150" customHeight="1" x14ac:dyDescent="0.3">
      <c r="A11" s="5"/>
      <c r="B11" s="5"/>
      <c r="C11" s="7"/>
      <c r="D11" s="21"/>
      <c r="E11" s="8"/>
      <c r="F11" s="5"/>
      <c r="G11" s="5"/>
      <c r="H11" s="7"/>
      <c r="I11" s="5"/>
      <c r="J11" s="7"/>
      <c r="K11" s="5"/>
      <c r="L11" s="9"/>
      <c r="M11" s="10"/>
      <c r="N11" s="9">
        <f t="shared" si="1"/>
        <v>0</v>
      </c>
    </row>
    <row r="12" spans="1:14" s="11" customFormat="1" ht="150" customHeight="1" x14ac:dyDescent="0.3">
      <c r="A12" s="5"/>
      <c r="B12" s="5"/>
      <c r="C12" s="7"/>
      <c r="D12" s="21"/>
      <c r="E12" s="8"/>
      <c r="F12" s="5"/>
      <c r="G12" s="5"/>
      <c r="H12" s="7"/>
      <c r="I12" s="5"/>
      <c r="J12" s="5"/>
      <c r="K12" s="5"/>
      <c r="L12" s="5"/>
      <c r="M12" s="10"/>
      <c r="N12" s="9">
        <f t="shared" si="1"/>
        <v>0</v>
      </c>
    </row>
    <row r="13" spans="1:14" s="11" customFormat="1" ht="150" customHeight="1" x14ac:dyDescent="0.3">
      <c r="A13" s="13"/>
      <c r="B13" s="13"/>
      <c r="C13" s="14"/>
      <c r="D13" s="14"/>
      <c r="E13" s="15"/>
      <c r="F13" s="13"/>
      <c r="G13" s="13"/>
      <c r="H13" s="14"/>
      <c r="I13" s="13"/>
      <c r="J13" s="13"/>
      <c r="K13" s="13"/>
      <c r="L13" s="9">
        <f>SUM(L4:L12)</f>
        <v>0</v>
      </c>
      <c r="M13" s="16">
        <f>SUM(M4:M12)</f>
        <v>0</v>
      </c>
      <c r="N13" s="9">
        <f>SUM(N4:N12)</f>
        <v>0</v>
      </c>
    </row>
    <row r="14" spans="1:14" s="12" customFormat="1" ht="100.05" customHeight="1" x14ac:dyDescent="0.3">
      <c r="A14" s="17"/>
      <c r="B14" s="17"/>
      <c r="C14" s="17"/>
      <c r="D14" s="20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1:14" ht="100.05" customHeight="1" x14ac:dyDescent="0.3"/>
    <row r="16" spans="1:14" s="4" customFormat="1" ht="100.05" customHeight="1" x14ac:dyDescent="0.3">
      <c r="A16" s="17"/>
      <c r="B16" s="17"/>
      <c r="C16" s="17"/>
      <c r="D16" s="20"/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spans="1:14" s="4" customFormat="1" ht="100.05" customHeight="1" x14ac:dyDescent="0.3">
      <c r="A17" s="17"/>
      <c r="B17" s="17"/>
      <c r="C17" s="17"/>
      <c r="D17" s="20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1:14" s="11" customFormat="1" ht="100.05" customHeight="1" x14ac:dyDescent="0.3">
      <c r="A18" s="17"/>
      <c r="B18" s="17"/>
      <c r="C18" s="17"/>
      <c r="D18" s="20"/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spans="1:14" s="11" customFormat="1" ht="100.05" customHeight="1" x14ac:dyDescent="0.3">
      <c r="A19" s="17"/>
      <c r="B19" s="17"/>
      <c r="C19" s="17"/>
      <c r="D19" s="20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spans="1:14" s="11" customFormat="1" ht="100.05" customHeight="1" x14ac:dyDescent="0.3">
      <c r="A20" s="17"/>
      <c r="B20" s="17"/>
      <c r="C20" s="17"/>
      <c r="D20" s="20"/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spans="1:14" s="11" customFormat="1" ht="100.05" customHeight="1" x14ac:dyDescent="0.3">
      <c r="A21" s="17"/>
      <c r="B21" s="17"/>
      <c r="C21" s="17"/>
      <c r="D21" s="20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spans="1:14" s="11" customFormat="1" ht="100.05" customHeight="1" x14ac:dyDescent="0.3">
      <c r="A22" s="17"/>
      <c r="B22" s="17"/>
      <c r="C22" s="17"/>
      <c r="D22" s="20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1:14" s="11" customFormat="1" ht="100.05" customHeight="1" x14ac:dyDescent="0.3">
      <c r="A23" s="17"/>
      <c r="B23" s="17"/>
      <c r="C23" s="17"/>
      <c r="D23" s="20"/>
      <c r="E23" s="17"/>
      <c r="F23" s="17"/>
      <c r="G23" s="17"/>
      <c r="H23" s="17"/>
      <c r="I23" s="17"/>
      <c r="J23" s="17"/>
      <c r="K23" s="17"/>
      <c r="L23" s="17"/>
      <c r="M23" s="17"/>
      <c r="N23" s="17"/>
    </row>
    <row r="24" spans="1:14" s="11" customFormat="1" ht="100.05" customHeight="1" x14ac:dyDescent="0.3">
      <c r="A24" s="17"/>
      <c r="B24" s="17"/>
      <c r="C24" s="17"/>
      <c r="D24" s="20"/>
      <c r="E24" s="17"/>
      <c r="F24" s="17"/>
      <c r="G24" s="17"/>
      <c r="H24" s="17"/>
      <c r="I24" s="17"/>
      <c r="J24" s="17"/>
      <c r="K24" s="17"/>
      <c r="L24" s="17"/>
      <c r="M24" s="17"/>
      <c r="N24" s="17"/>
    </row>
    <row r="25" spans="1:14" s="11" customFormat="1" ht="100.05" customHeight="1" x14ac:dyDescent="0.3">
      <c r="A25" s="17"/>
      <c r="B25" s="17"/>
      <c r="C25" s="17"/>
      <c r="D25" s="20"/>
      <c r="E25" s="17"/>
      <c r="F25" s="17"/>
      <c r="G25" s="17"/>
      <c r="H25" s="17"/>
      <c r="I25" s="17"/>
      <c r="J25" s="17"/>
      <c r="K25" s="17"/>
      <c r="L25" s="17"/>
      <c r="M25" s="17"/>
      <c r="N25" s="17"/>
    </row>
    <row r="26" spans="1:14" s="11" customFormat="1" ht="100.05" customHeight="1" x14ac:dyDescent="0.3">
      <c r="A26" s="17"/>
      <c r="B26" s="17"/>
      <c r="C26" s="17"/>
      <c r="D26" s="20"/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spans="1:14" s="11" customFormat="1" ht="100.05" customHeight="1" x14ac:dyDescent="0.3">
      <c r="A27" s="17"/>
      <c r="B27" s="17"/>
      <c r="C27" s="17"/>
      <c r="D27" s="20"/>
      <c r="E27" s="17"/>
      <c r="F27" s="17"/>
      <c r="G27" s="17"/>
      <c r="H27" s="17"/>
      <c r="I27" s="17"/>
      <c r="J27" s="17"/>
      <c r="K27" s="17"/>
      <c r="L27" s="17"/>
      <c r="M27" s="17"/>
      <c r="N27" s="17"/>
    </row>
  </sheetData>
  <mergeCells count="3">
    <mergeCell ref="A1:C1"/>
    <mergeCell ref="K1:N1"/>
    <mergeCell ref="A2:N2"/>
  </mergeCells>
  <printOptions horizontalCentered="1" verticalCentered="1"/>
  <pageMargins left="0.19685039370078741" right="0.19685039370078741" top="0.39370078740157483" bottom="0.39370078740157483" header="0.31496062992125984" footer="0.31496062992125984"/>
  <pageSetup paperSize="9" scale="29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8"/>
  <sheetViews>
    <sheetView zoomScale="25" zoomScaleNormal="25" workbookViewId="0">
      <selection activeCell="M13" sqref="M13"/>
    </sheetView>
  </sheetViews>
  <sheetFormatPr defaultColWidth="8.88671875" defaultRowHeight="14.4" x14ac:dyDescent="0.3"/>
  <cols>
    <col min="1" max="1" width="28.44140625" style="17" bestFit="1" customWidth="1"/>
    <col min="2" max="2" width="19.6640625" style="17" customWidth="1"/>
    <col min="3" max="3" width="29.21875" style="17" customWidth="1"/>
    <col min="4" max="4" width="19.77734375" style="20" bestFit="1" customWidth="1"/>
    <col min="5" max="5" width="145.6640625" style="17" customWidth="1"/>
    <col min="6" max="6" width="32.109375" style="17" bestFit="1" customWidth="1"/>
    <col min="7" max="7" width="21.88671875" style="17" bestFit="1" customWidth="1"/>
    <col min="8" max="8" width="26.6640625" style="17" bestFit="1" customWidth="1"/>
    <col min="9" max="9" width="40.109375" style="17" bestFit="1" customWidth="1"/>
    <col min="10" max="10" width="37.88671875" style="17" customWidth="1"/>
    <col min="11" max="11" width="25.6640625" style="17" customWidth="1"/>
    <col min="12" max="14" width="26.77734375" style="17" bestFit="1" customWidth="1"/>
    <col min="15" max="16384" width="8.88671875" style="18"/>
  </cols>
  <sheetData>
    <row r="1" spans="1:14" s="3" customFormat="1" ht="100.05" customHeight="1" x14ac:dyDescent="0.95">
      <c r="A1" s="37"/>
      <c r="B1" s="37"/>
      <c r="C1" s="37"/>
      <c r="D1" s="19"/>
      <c r="E1" s="1"/>
      <c r="F1" s="1"/>
      <c r="G1" s="1"/>
      <c r="H1" s="1"/>
      <c r="I1" s="1"/>
      <c r="J1" s="2" t="s">
        <v>0</v>
      </c>
      <c r="K1" s="38">
        <v>45915</v>
      </c>
      <c r="L1" s="38"/>
      <c r="M1" s="38"/>
      <c r="N1" s="38"/>
    </row>
    <row r="2" spans="1:14" s="4" customFormat="1" ht="100.05" customHeight="1" x14ac:dyDescent="0.3">
      <c r="A2" s="39" t="s">
        <v>25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</row>
    <row r="3" spans="1:14" s="4" customFormat="1" ht="150" customHeight="1" x14ac:dyDescent="0.3">
      <c r="A3" s="5" t="s">
        <v>1</v>
      </c>
      <c r="B3" s="5" t="s">
        <v>2</v>
      </c>
      <c r="C3" s="6" t="s">
        <v>3</v>
      </c>
      <c r="D3" s="7" t="s">
        <v>4</v>
      </c>
      <c r="E3" s="5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6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s="28" customFormat="1" ht="150" customHeight="1" x14ac:dyDescent="0.3">
      <c r="A4" s="22">
        <v>10925</v>
      </c>
      <c r="B4" s="22">
        <v>430</v>
      </c>
      <c r="C4" s="23">
        <v>0.8</v>
      </c>
      <c r="D4" s="24">
        <v>43.5</v>
      </c>
      <c r="E4" s="25" t="s">
        <v>18</v>
      </c>
      <c r="F4" s="22" t="s">
        <v>15</v>
      </c>
      <c r="G4" s="22">
        <v>430</v>
      </c>
      <c r="H4" s="23">
        <v>0.6</v>
      </c>
      <c r="I4" s="22" t="s">
        <v>16</v>
      </c>
      <c r="J4" s="22" t="s">
        <v>16</v>
      </c>
      <c r="K4" s="22" t="s">
        <v>17</v>
      </c>
      <c r="L4" s="26">
        <v>3300</v>
      </c>
      <c r="M4" s="27">
        <f>600+1750+1060</f>
        <v>3410</v>
      </c>
      <c r="N4" s="26">
        <f t="shared" ref="N4:N13" si="0">L4-M4</f>
        <v>-110</v>
      </c>
    </row>
    <row r="5" spans="1:14" s="28" customFormat="1" ht="150" customHeight="1" x14ac:dyDescent="0.3">
      <c r="A5" s="22">
        <v>10925</v>
      </c>
      <c r="B5" s="22">
        <v>430</v>
      </c>
      <c r="C5" s="23">
        <v>0.8</v>
      </c>
      <c r="D5" s="24">
        <v>36.5</v>
      </c>
      <c r="E5" s="25" t="s">
        <v>19</v>
      </c>
      <c r="F5" s="22" t="s">
        <v>16</v>
      </c>
      <c r="G5" s="22" t="s">
        <v>16</v>
      </c>
      <c r="H5" s="23" t="s">
        <v>16</v>
      </c>
      <c r="I5" s="22" t="s">
        <v>16</v>
      </c>
      <c r="J5" s="22" t="s">
        <v>16</v>
      </c>
      <c r="K5" s="22" t="s">
        <v>17</v>
      </c>
      <c r="L5" s="26">
        <v>3300</v>
      </c>
      <c r="M5" s="27">
        <f>2190+500+600</f>
        <v>3290</v>
      </c>
      <c r="N5" s="26">
        <f t="shared" si="0"/>
        <v>10</v>
      </c>
    </row>
    <row r="6" spans="1:14" s="28" customFormat="1" ht="150" customHeight="1" x14ac:dyDescent="0.3">
      <c r="A6" s="22">
        <v>10925</v>
      </c>
      <c r="B6" s="22">
        <v>430</v>
      </c>
      <c r="C6" s="23">
        <v>0.8</v>
      </c>
      <c r="D6" s="24">
        <v>31.3</v>
      </c>
      <c r="E6" s="25" t="s">
        <v>20</v>
      </c>
      <c r="F6" s="22" t="s">
        <v>15</v>
      </c>
      <c r="G6" s="22" t="s">
        <v>16</v>
      </c>
      <c r="H6" s="23" t="s">
        <v>16</v>
      </c>
      <c r="I6" s="22" t="s">
        <v>16</v>
      </c>
      <c r="J6" s="22" t="s">
        <v>16</v>
      </c>
      <c r="K6" s="22" t="s">
        <v>16</v>
      </c>
      <c r="L6" s="26">
        <v>3100</v>
      </c>
      <c r="M6" s="27">
        <f>1600+1600</f>
        <v>3200</v>
      </c>
      <c r="N6" s="26">
        <f t="shared" ref="N6" si="1">L6-M6</f>
        <v>-100</v>
      </c>
    </row>
    <row r="7" spans="1:14" s="28" customFormat="1" ht="150" customHeight="1" x14ac:dyDescent="0.3">
      <c r="A7" s="22">
        <v>10925</v>
      </c>
      <c r="B7" s="22">
        <v>430</v>
      </c>
      <c r="C7" s="23">
        <v>0.8</v>
      </c>
      <c r="D7" s="24">
        <v>26.5</v>
      </c>
      <c r="E7" s="25" t="s">
        <v>21</v>
      </c>
      <c r="F7" s="22" t="s">
        <v>16</v>
      </c>
      <c r="G7" s="22" t="s">
        <v>16</v>
      </c>
      <c r="H7" s="23" t="s">
        <v>16</v>
      </c>
      <c r="I7" s="22" t="s">
        <v>16</v>
      </c>
      <c r="J7" s="22" t="s">
        <v>16</v>
      </c>
      <c r="K7" s="22" t="s">
        <v>16</v>
      </c>
      <c r="L7" s="26">
        <v>3100</v>
      </c>
      <c r="M7" s="27"/>
      <c r="N7" s="26">
        <f t="shared" si="0"/>
        <v>3100</v>
      </c>
    </row>
    <row r="8" spans="1:14" s="28" customFormat="1" ht="150" customHeight="1" x14ac:dyDescent="0.3">
      <c r="A8" s="22">
        <v>10925</v>
      </c>
      <c r="B8" s="22">
        <v>430</v>
      </c>
      <c r="C8" s="23">
        <v>0.8</v>
      </c>
      <c r="D8" s="24">
        <v>38.299999999999997</v>
      </c>
      <c r="E8" s="25" t="s">
        <v>23</v>
      </c>
      <c r="F8" s="22" t="s">
        <v>15</v>
      </c>
      <c r="G8" s="22">
        <v>430</v>
      </c>
      <c r="H8" s="23">
        <v>0.6</v>
      </c>
      <c r="I8" s="22" t="s">
        <v>16</v>
      </c>
      <c r="J8" s="22" t="s">
        <v>16</v>
      </c>
      <c r="K8" s="22" t="s">
        <v>17</v>
      </c>
      <c r="L8" s="26">
        <v>3300</v>
      </c>
      <c r="M8" s="27"/>
      <c r="N8" s="26">
        <f t="shared" si="0"/>
        <v>3300</v>
      </c>
    </row>
    <row r="9" spans="1:14" s="28" customFormat="1" ht="150" customHeight="1" x14ac:dyDescent="0.3">
      <c r="A9" s="22">
        <v>10925</v>
      </c>
      <c r="B9" s="22">
        <v>304</v>
      </c>
      <c r="C9" s="23">
        <v>0.8</v>
      </c>
      <c r="D9" s="24">
        <v>37.700000000000003</v>
      </c>
      <c r="E9" s="25" t="s">
        <v>24</v>
      </c>
      <c r="F9" s="22" t="s">
        <v>15</v>
      </c>
      <c r="G9" s="22" t="s">
        <v>16</v>
      </c>
      <c r="H9" s="23">
        <v>0.6</v>
      </c>
      <c r="I9" s="22">
        <v>157</v>
      </c>
      <c r="J9" s="23">
        <v>4</v>
      </c>
      <c r="K9" s="22" t="s">
        <v>17</v>
      </c>
      <c r="L9" s="26">
        <v>3200</v>
      </c>
      <c r="M9" s="27"/>
      <c r="N9" s="26">
        <f t="shared" si="0"/>
        <v>3200</v>
      </c>
    </row>
    <row r="10" spans="1:14" s="28" customFormat="1" ht="150" customHeight="1" x14ac:dyDescent="0.3">
      <c r="A10" s="22">
        <v>10925</v>
      </c>
      <c r="B10" s="22">
        <v>304</v>
      </c>
      <c r="C10" s="23">
        <v>0.8</v>
      </c>
      <c r="D10" s="24">
        <v>37.700000000000003</v>
      </c>
      <c r="E10" s="25" t="s">
        <v>24</v>
      </c>
      <c r="F10" s="22" t="s">
        <v>15</v>
      </c>
      <c r="G10" s="22" t="s">
        <v>16</v>
      </c>
      <c r="H10" s="23">
        <v>0.6</v>
      </c>
      <c r="I10" s="22">
        <v>157</v>
      </c>
      <c r="J10" s="23">
        <v>4</v>
      </c>
      <c r="K10" s="22" t="s">
        <v>17</v>
      </c>
      <c r="L10" s="26">
        <v>3200</v>
      </c>
      <c r="M10" s="27"/>
      <c r="N10" s="26">
        <f t="shared" si="0"/>
        <v>3200</v>
      </c>
    </row>
    <row r="11" spans="1:14" s="28" customFormat="1" ht="150" customHeight="1" x14ac:dyDescent="0.3">
      <c r="A11" s="22">
        <v>10925</v>
      </c>
      <c r="B11" s="22">
        <v>430</v>
      </c>
      <c r="C11" s="23">
        <v>0.8</v>
      </c>
      <c r="D11" s="24" t="s">
        <v>22</v>
      </c>
      <c r="E11" s="25" t="s">
        <v>26</v>
      </c>
      <c r="F11" s="22" t="s">
        <v>16</v>
      </c>
      <c r="G11" s="22" t="s">
        <v>16</v>
      </c>
      <c r="H11" s="23" t="s">
        <v>16</v>
      </c>
      <c r="I11" s="22" t="s">
        <v>16</v>
      </c>
      <c r="J11" s="22" t="s">
        <v>16</v>
      </c>
      <c r="K11" s="22" t="s">
        <v>17</v>
      </c>
      <c r="L11" s="26">
        <v>3300</v>
      </c>
      <c r="M11" s="27"/>
      <c r="N11" s="26"/>
    </row>
    <row r="12" spans="1:14" s="28" customFormat="1" ht="150" customHeight="1" x14ac:dyDescent="0.3">
      <c r="A12" s="22">
        <v>210825</v>
      </c>
      <c r="B12" s="22">
        <v>304</v>
      </c>
      <c r="C12" s="23">
        <v>0.7</v>
      </c>
      <c r="D12" s="24">
        <v>33</v>
      </c>
      <c r="E12" s="25" t="s">
        <v>27</v>
      </c>
      <c r="F12" s="22" t="s">
        <v>16</v>
      </c>
      <c r="G12" s="22" t="s">
        <v>16</v>
      </c>
      <c r="H12" s="23" t="s">
        <v>16</v>
      </c>
      <c r="I12" s="22" t="s">
        <v>16</v>
      </c>
      <c r="J12" s="22" t="s">
        <v>16</v>
      </c>
      <c r="K12" s="22" t="s">
        <v>17</v>
      </c>
      <c r="L12" s="26">
        <v>4000</v>
      </c>
      <c r="M12" s="27">
        <f>650+1350</f>
        <v>2000</v>
      </c>
      <c r="N12" s="26">
        <f t="shared" si="0"/>
        <v>2000</v>
      </c>
    </row>
    <row r="13" spans="1:14" s="11" customFormat="1" ht="150" customHeight="1" x14ac:dyDescent="0.3">
      <c r="A13" s="22"/>
      <c r="B13" s="22"/>
      <c r="C13" s="23"/>
      <c r="D13" s="24"/>
      <c r="E13" s="25"/>
      <c r="F13" s="22"/>
      <c r="G13" s="22"/>
      <c r="H13" s="23"/>
      <c r="I13" s="22"/>
      <c r="J13" s="22"/>
      <c r="K13" s="22"/>
      <c r="L13" s="26"/>
      <c r="M13" s="27"/>
      <c r="N13" s="9">
        <f t="shared" si="0"/>
        <v>0</v>
      </c>
    </row>
    <row r="14" spans="1:14" s="11" customFormat="1" ht="150" customHeight="1" x14ac:dyDescent="0.3">
      <c r="A14" s="13"/>
      <c r="B14" s="13"/>
      <c r="C14" s="14"/>
      <c r="D14" s="14"/>
      <c r="E14" s="15"/>
      <c r="F14" s="13"/>
      <c r="G14" s="13"/>
      <c r="H14" s="14"/>
      <c r="I14" s="13"/>
      <c r="J14" s="13"/>
      <c r="K14" s="13"/>
      <c r="L14" s="9">
        <f>SUM(L4:L13)</f>
        <v>29800</v>
      </c>
      <c r="M14" s="16">
        <f>SUM(M4:M13)</f>
        <v>11900</v>
      </c>
      <c r="N14" s="9">
        <f>SUM(N4:N13)</f>
        <v>14600</v>
      </c>
    </row>
    <row r="15" spans="1:14" s="12" customFormat="1" ht="100.05" customHeight="1" x14ac:dyDescent="0.3">
      <c r="A15" s="17"/>
      <c r="B15" s="17"/>
      <c r="C15" s="17"/>
      <c r="D15" s="20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ht="100.05" customHeight="1" x14ac:dyDescent="0.3"/>
    <row r="17" spans="1:14" s="4" customFormat="1" ht="100.05" customHeight="1" x14ac:dyDescent="0.3">
      <c r="A17" s="17"/>
      <c r="B17" s="17"/>
      <c r="C17" s="17"/>
      <c r="D17" s="20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1:14" s="4" customFormat="1" ht="100.05" customHeight="1" x14ac:dyDescent="0.3">
      <c r="A18" s="17"/>
      <c r="B18" s="17"/>
      <c r="C18" s="17"/>
      <c r="D18" s="20"/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spans="1:14" s="11" customFormat="1" ht="100.05" customHeight="1" x14ac:dyDescent="0.3">
      <c r="A19" s="17"/>
      <c r="B19" s="17"/>
      <c r="C19" s="17"/>
      <c r="D19" s="20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spans="1:14" s="11" customFormat="1" ht="100.05" customHeight="1" x14ac:dyDescent="0.3">
      <c r="A20" s="17"/>
      <c r="B20" s="17"/>
      <c r="C20" s="17"/>
      <c r="D20" s="20"/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spans="1:14" s="11" customFormat="1" ht="100.05" customHeight="1" x14ac:dyDescent="0.3">
      <c r="A21" s="17"/>
      <c r="B21" s="17"/>
      <c r="C21" s="17"/>
      <c r="D21" s="20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spans="1:14" s="11" customFormat="1" ht="100.05" customHeight="1" x14ac:dyDescent="0.3">
      <c r="A22" s="17"/>
      <c r="B22" s="17"/>
      <c r="C22" s="17"/>
      <c r="D22" s="20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1:14" s="11" customFormat="1" ht="100.05" customHeight="1" x14ac:dyDescent="0.3">
      <c r="A23" s="17"/>
      <c r="B23" s="17"/>
      <c r="C23" s="17"/>
      <c r="D23" s="20"/>
      <c r="E23" s="17"/>
      <c r="F23" s="17"/>
      <c r="G23" s="17"/>
      <c r="H23" s="17"/>
      <c r="I23" s="17"/>
      <c r="J23" s="17"/>
      <c r="K23" s="17"/>
      <c r="L23" s="17"/>
      <c r="M23" s="17"/>
      <c r="N23" s="17"/>
    </row>
    <row r="24" spans="1:14" s="11" customFormat="1" ht="100.05" customHeight="1" x14ac:dyDescent="0.3">
      <c r="A24" s="17"/>
      <c r="B24" s="17"/>
      <c r="C24" s="17"/>
      <c r="D24" s="20"/>
      <c r="E24" s="17"/>
      <c r="F24" s="17"/>
      <c r="G24" s="17"/>
      <c r="H24" s="17"/>
      <c r="I24" s="17"/>
      <c r="J24" s="17"/>
      <c r="K24" s="17"/>
      <c r="L24" s="17"/>
      <c r="M24" s="17"/>
      <c r="N24" s="17"/>
    </row>
    <row r="25" spans="1:14" s="11" customFormat="1" ht="100.05" customHeight="1" x14ac:dyDescent="0.3">
      <c r="A25" s="17"/>
      <c r="B25" s="17"/>
      <c r="C25" s="17"/>
      <c r="D25" s="20"/>
      <c r="E25" s="17"/>
      <c r="F25" s="17"/>
      <c r="G25" s="17"/>
      <c r="H25" s="17"/>
      <c r="I25" s="17"/>
      <c r="J25" s="17"/>
      <c r="K25" s="17"/>
      <c r="L25" s="17"/>
      <c r="M25" s="17"/>
      <c r="N25" s="17"/>
    </row>
    <row r="26" spans="1:14" s="11" customFormat="1" ht="100.05" customHeight="1" x14ac:dyDescent="0.3">
      <c r="A26" s="17"/>
      <c r="B26" s="17"/>
      <c r="C26" s="17"/>
      <c r="D26" s="20"/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spans="1:14" s="11" customFormat="1" ht="100.05" customHeight="1" x14ac:dyDescent="0.3">
      <c r="A27" s="17"/>
      <c r="B27" s="17"/>
      <c r="C27" s="17"/>
      <c r="D27" s="20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14" s="11" customFormat="1" ht="100.05" customHeight="1" x14ac:dyDescent="0.3">
      <c r="A28" s="17"/>
      <c r="B28" s="17"/>
      <c r="C28" s="17"/>
      <c r="D28" s="20"/>
      <c r="E28" s="17"/>
      <c r="F28" s="17"/>
      <c r="G28" s="17"/>
      <c r="H28" s="17"/>
      <c r="I28" s="17"/>
      <c r="J28" s="17"/>
      <c r="K28" s="17"/>
      <c r="L28" s="17"/>
      <c r="M28" s="17"/>
      <c r="N28" s="17"/>
    </row>
  </sheetData>
  <mergeCells count="3">
    <mergeCell ref="A1:C1"/>
    <mergeCell ref="K1:N1"/>
    <mergeCell ref="A2:N2"/>
  </mergeCells>
  <printOptions horizontalCentered="1" verticalCentered="1"/>
  <pageMargins left="0.19685039370078741" right="0.19685039370078741" top="0.39370078740157483" bottom="0.39370078740157483" header="0.31496062992125984" footer="0.31496062992125984"/>
  <pageSetup paperSize="9" scale="2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8"/>
  <sheetViews>
    <sheetView zoomScale="25" zoomScaleNormal="25" workbookViewId="0">
      <selection activeCell="M12" sqref="M12"/>
    </sheetView>
  </sheetViews>
  <sheetFormatPr defaultColWidth="8.88671875" defaultRowHeight="14.4" x14ac:dyDescent="0.3"/>
  <cols>
    <col min="1" max="1" width="28.44140625" style="17" bestFit="1" customWidth="1"/>
    <col min="2" max="2" width="19.6640625" style="17" customWidth="1"/>
    <col min="3" max="3" width="29.21875" style="17" customWidth="1"/>
    <col min="4" max="4" width="19.77734375" style="20" bestFit="1" customWidth="1"/>
    <col min="5" max="5" width="145.6640625" style="17" customWidth="1"/>
    <col min="6" max="6" width="32.109375" style="17" bestFit="1" customWidth="1"/>
    <col min="7" max="7" width="21.88671875" style="17" bestFit="1" customWidth="1"/>
    <col min="8" max="8" width="26.6640625" style="17" bestFit="1" customWidth="1"/>
    <col min="9" max="9" width="40.109375" style="17" bestFit="1" customWidth="1"/>
    <col min="10" max="10" width="37.88671875" style="17" customWidth="1"/>
    <col min="11" max="11" width="25.6640625" style="17" customWidth="1"/>
    <col min="12" max="14" width="26.77734375" style="17" bestFit="1" customWidth="1"/>
    <col min="15" max="16384" width="8.88671875" style="18"/>
  </cols>
  <sheetData>
    <row r="1" spans="1:14" s="3" customFormat="1" ht="100.05" customHeight="1" x14ac:dyDescent="0.95">
      <c r="A1" s="37"/>
      <c r="B1" s="37"/>
      <c r="C1" s="37"/>
      <c r="D1" s="19"/>
      <c r="E1" s="1"/>
      <c r="F1" s="1"/>
      <c r="G1" s="1"/>
      <c r="H1" s="1"/>
      <c r="I1" s="1"/>
      <c r="J1" s="2" t="s">
        <v>0</v>
      </c>
      <c r="K1" s="38">
        <v>45915</v>
      </c>
      <c r="L1" s="38"/>
      <c r="M1" s="38"/>
      <c r="N1" s="38"/>
    </row>
    <row r="2" spans="1:14" s="4" customFormat="1" ht="100.05" customHeight="1" x14ac:dyDescent="0.3">
      <c r="A2" s="39" t="s">
        <v>25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</row>
    <row r="3" spans="1:14" s="4" customFormat="1" ht="150" customHeight="1" x14ac:dyDescent="0.3">
      <c r="A3" s="5" t="s">
        <v>1</v>
      </c>
      <c r="B3" s="5" t="s">
        <v>2</v>
      </c>
      <c r="C3" s="6" t="s">
        <v>3</v>
      </c>
      <c r="D3" s="7" t="s">
        <v>4</v>
      </c>
      <c r="E3" s="5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6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s="28" customFormat="1" ht="150" customHeight="1" x14ac:dyDescent="0.3">
      <c r="A4" s="22">
        <v>10925</v>
      </c>
      <c r="B4" s="22">
        <v>430</v>
      </c>
      <c r="C4" s="23">
        <v>0.8</v>
      </c>
      <c r="D4" s="24">
        <v>43.5</v>
      </c>
      <c r="E4" s="25" t="s">
        <v>18</v>
      </c>
      <c r="F4" s="22" t="s">
        <v>15</v>
      </c>
      <c r="G4" s="22">
        <v>430</v>
      </c>
      <c r="H4" s="23">
        <v>0.6</v>
      </c>
      <c r="I4" s="22" t="s">
        <v>16</v>
      </c>
      <c r="J4" s="22" t="s">
        <v>16</v>
      </c>
      <c r="K4" s="22" t="s">
        <v>17</v>
      </c>
      <c r="L4" s="26">
        <v>3300</v>
      </c>
      <c r="M4" s="27">
        <f>600+1750+1060</f>
        <v>3410</v>
      </c>
      <c r="N4" s="26">
        <f t="shared" ref="N4:N13" si="0">L4-M4</f>
        <v>-110</v>
      </c>
    </row>
    <row r="5" spans="1:14" s="28" customFormat="1" ht="150" customHeight="1" x14ac:dyDescent="0.3">
      <c r="A5" s="22">
        <v>10925</v>
      </c>
      <c r="B5" s="22">
        <v>430</v>
      </c>
      <c r="C5" s="23">
        <v>0.8</v>
      </c>
      <c r="D5" s="24">
        <v>36.5</v>
      </c>
      <c r="E5" s="25" t="s">
        <v>19</v>
      </c>
      <c r="F5" s="22" t="s">
        <v>16</v>
      </c>
      <c r="G5" s="22" t="s">
        <v>16</v>
      </c>
      <c r="H5" s="23" t="s">
        <v>16</v>
      </c>
      <c r="I5" s="22" t="s">
        <v>16</v>
      </c>
      <c r="J5" s="22" t="s">
        <v>16</v>
      </c>
      <c r="K5" s="22" t="s">
        <v>17</v>
      </c>
      <c r="L5" s="26">
        <v>3300</v>
      </c>
      <c r="M5" s="27">
        <f>2190+500+600</f>
        <v>3290</v>
      </c>
      <c r="N5" s="26">
        <f t="shared" si="0"/>
        <v>10</v>
      </c>
    </row>
    <row r="6" spans="1:14" s="28" customFormat="1" ht="150" customHeight="1" x14ac:dyDescent="0.3">
      <c r="A6" s="22">
        <v>10925</v>
      </c>
      <c r="B6" s="22">
        <v>430</v>
      </c>
      <c r="C6" s="23">
        <v>0.8</v>
      </c>
      <c r="D6" s="24">
        <v>31.3</v>
      </c>
      <c r="E6" s="25" t="s">
        <v>20</v>
      </c>
      <c r="F6" s="22" t="s">
        <v>15</v>
      </c>
      <c r="G6" s="22" t="s">
        <v>16</v>
      </c>
      <c r="H6" s="23" t="s">
        <v>16</v>
      </c>
      <c r="I6" s="22" t="s">
        <v>16</v>
      </c>
      <c r="J6" s="22" t="s">
        <v>16</v>
      </c>
      <c r="K6" s="22" t="s">
        <v>16</v>
      </c>
      <c r="L6" s="26">
        <v>3100</v>
      </c>
      <c r="M6" s="27">
        <f>1600+1600</f>
        <v>3200</v>
      </c>
      <c r="N6" s="26">
        <f t="shared" si="0"/>
        <v>-100</v>
      </c>
    </row>
    <row r="7" spans="1:14" s="28" customFormat="1" ht="150" customHeight="1" x14ac:dyDescent="0.3">
      <c r="A7" s="22">
        <v>10925</v>
      </c>
      <c r="B7" s="22">
        <v>430</v>
      </c>
      <c r="C7" s="23">
        <v>0.8</v>
      </c>
      <c r="D7" s="24">
        <v>26.5</v>
      </c>
      <c r="E7" s="25" t="s">
        <v>21</v>
      </c>
      <c r="F7" s="22" t="s">
        <v>16</v>
      </c>
      <c r="G7" s="22" t="s">
        <v>16</v>
      </c>
      <c r="H7" s="23" t="s">
        <v>16</v>
      </c>
      <c r="I7" s="22" t="s">
        <v>16</v>
      </c>
      <c r="J7" s="22" t="s">
        <v>16</v>
      </c>
      <c r="K7" s="22" t="s">
        <v>16</v>
      </c>
      <c r="L7" s="26">
        <v>3100</v>
      </c>
      <c r="M7" s="27"/>
      <c r="N7" s="26">
        <f t="shared" si="0"/>
        <v>3100</v>
      </c>
    </row>
    <row r="8" spans="1:14" s="28" customFormat="1" ht="150" customHeight="1" x14ac:dyDescent="0.3">
      <c r="A8" s="22">
        <v>10925</v>
      </c>
      <c r="B8" s="22">
        <v>430</v>
      </c>
      <c r="C8" s="23">
        <v>0.8</v>
      </c>
      <c r="D8" s="24">
        <v>38.299999999999997</v>
      </c>
      <c r="E8" s="25" t="s">
        <v>23</v>
      </c>
      <c r="F8" s="22" t="s">
        <v>15</v>
      </c>
      <c r="G8" s="22">
        <v>430</v>
      </c>
      <c r="H8" s="23">
        <v>0.6</v>
      </c>
      <c r="I8" s="22" t="s">
        <v>16</v>
      </c>
      <c r="J8" s="22" t="s">
        <v>16</v>
      </c>
      <c r="K8" s="22" t="s">
        <v>17</v>
      </c>
      <c r="L8" s="26">
        <v>3300</v>
      </c>
      <c r="M8" s="27"/>
      <c r="N8" s="26">
        <f t="shared" si="0"/>
        <v>3300</v>
      </c>
    </row>
    <row r="9" spans="1:14" s="28" customFormat="1" ht="150" customHeight="1" x14ac:dyDescent="0.3">
      <c r="A9" s="22">
        <v>10925</v>
      </c>
      <c r="B9" s="22">
        <v>304</v>
      </c>
      <c r="C9" s="23">
        <v>0.8</v>
      </c>
      <c r="D9" s="24">
        <v>37.700000000000003</v>
      </c>
      <c r="E9" s="25" t="s">
        <v>24</v>
      </c>
      <c r="F9" s="22" t="s">
        <v>15</v>
      </c>
      <c r="G9" s="22" t="s">
        <v>16</v>
      </c>
      <c r="H9" s="23">
        <v>0.6</v>
      </c>
      <c r="I9" s="22">
        <v>157</v>
      </c>
      <c r="J9" s="23">
        <v>4</v>
      </c>
      <c r="K9" s="22" t="s">
        <v>17</v>
      </c>
      <c r="L9" s="26">
        <v>3200</v>
      </c>
      <c r="M9" s="27"/>
      <c r="N9" s="26">
        <f t="shared" si="0"/>
        <v>3200</v>
      </c>
    </row>
    <row r="10" spans="1:14" s="28" customFormat="1" ht="150" customHeight="1" x14ac:dyDescent="0.3">
      <c r="A10" s="22">
        <v>10925</v>
      </c>
      <c r="B10" s="22">
        <v>430</v>
      </c>
      <c r="C10" s="23">
        <v>0.8</v>
      </c>
      <c r="D10" s="24" t="s">
        <v>22</v>
      </c>
      <c r="E10" s="25" t="s">
        <v>26</v>
      </c>
      <c r="F10" s="22" t="s">
        <v>16</v>
      </c>
      <c r="G10" s="22" t="s">
        <v>16</v>
      </c>
      <c r="H10" s="23" t="s">
        <v>16</v>
      </c>
      <c r="I10" s="22" t="s">
        <v>16</v>
      </c>
      <c r="J10" s="22" t="s">
        <v>16</v>
      </c>
      <c r="K10" s="22" t="s">
        <v>17</v>
      </c>
      <c r="L10" s="26">
        <v>3300</v>
      </c>
      <c r="M10" s="27"/>
      <c r="N10" s="26">
        <f t="shared" si="0"/>
        <v>3300</v>
      </c>
    </row>
    <row r="11" spans="1:14" s="28" customFormat="1" ht="150" customHeight="1" x14ac:dyDescent="0.3">
      <c r="A11" s="22">
        <v>210825</v>
      </c>
      <c r="B11" s="22">
        <v>304</v>
      </c>
      <c r="C11" s="23">
        <v>0.7</v>
      </c>
      <c r="D11" s="24">
        <v>33</v>
      </c>
      <c r="E11" s="25" t="s">
        <v>27</v>
      </c>
      <c r="F11" s="22" t="s">
        <v>16</v>
      </c>
      <c r="G11" s="22" t="s">
        <v>16</v>
      </c>
      <c r="H11" s="23" t="s">
        <v>16</v>
      </c>
      <c r="I11" s="22" t="s">
        <v>16</v>
      </c>
      <c r="J11" s="22" t="s">
        <v>16</v>
      </c>
      <c r="K11" s="22" t="s">
        <v>17</v>
      </c>
      <c r="L11" s="26">
        <v>4000</v>
      </c>
      <c r="M11" s="27">
        <v>2000</v>
      </c>
      <c r="N11" s="26">
        <f t="shared" si="0"/>
        <v>2000</v>
      </c>
    </row>
    <row r="12" spans="1:14" s="28" customFormat="1" ht="150" customHeight="1" x14ac:dyDescent="0.3">
      <c r="A12" s="22"/>
      <c r="B12" s="22"/>
      <c r="C12" s="23"/>
      <c r="D12" s="24"/>
      <c r="E12" s="25"/>
      <c r="F12" s="22"/>
      <c r="G12" s="22"/>
      <c r="H12" s="23"/>
      <c r="I12" s="22"/>
      <c r="J12" s="22"/>
      <c r="K12" s="22"/>
      <c r="L12" s="26"/>
      <c r="M12" s="27"/>
      <c r="N12" s="26">
        <f t="shared" si="0"/>
        <v>0</v>
      </c>
    </row>
    <row r="13" spans="1:14" s="11" customFormat="1" ht="150" customHeight="1" x14ac:dyDescent="0.3">
      <c r="A13" s="22"/>
      <c r="B13" s="22"/>
      <c r="C13" s="23"/>
      <c r="D13" s="24"/>
      <c r="E13" s="25"/>
      <c r="F13" s="22"/>
      <c r="G13" s="22"/>
      <c r="H13" s="23"/>
      <c r="I13" s="22"/>
      <c r="J13" s="22"/>
      <c r="K13" s="22"/>
      <c r="L13" s="26"/>
      <c r="M13" s="27"/>
      <c r="N13" s="9">
        <f t="shared" si="0"/>
        <v>0</v>
      </c>
    </row>
    <row r="14" spans="1:14" s="11" customFormat="1" ht="150" customHeight="1" x14ac:dyDescent="0.3">
      <c r="A14" s="13"/>
      <c r="B14" s="13"/>
      <c r="C14" s="14"/>
      <c r="D14" s="14"/>
      <c r="E14" s="15"/>
      <c r="F14" s="13"/>
      <c r="G14" s="13"/>
      <c r="H14" s="14"/>
      <c r="I14" s="13"/>
      <c r="J14" s="13"/>
      <c r="K14" s="13"/>
      <c r="L14" s="9">
        <f>SUM(L4:L13)</f>
        <v>26600</v>
      </c>
      <c r="M14" s="16">
        <f>SUM(M4:M13)</f>
        <v>11900</v>
      </c>
      <c r="N14" s="9">
        <f>SUM(N4:N13)</f>
        <v>14700</v>
      </c>
    </row>
    <row r="15" spans="1:14" s="12" customFormat="1" ht="100.05" customHeight="1" x14ac:dyDescent="0.3">
      <c r="A15" s="17"/>
      <c r="B15" s="17"/>
      <c r="C15" s="17"/>
      <c r="D15" s="20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ht="100.05" customHeight="1" x14ac:dyDescent="0.3"/>
    <row r="17" spans="1:14" s="4" customFormat="1" ht="100.05" customHeight="1" x14ac:dyDescent="0.3">
      <c r="A17" s="17"/>
      <c r="B17" s="17"/>
      <c r="C17" s="17"/>
      <c r="D17" s="20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1:14" s="4" customFormat="1" ht="100.05" customHeight="1" x14ac:dyDescent="0.3">
      <c r="A18" s="17"/>
      <c r="B18" s="17"/>
      <c r="C18" s="17"/>
      <c r="D18" s="20"/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spans="1:14" s="11" customFormat="1" ht="100.05" customHeight="1" x14ac:dyDescent="0.3">
      <c r="A19" s="17"/>
      <c r="B19" s="17"/>
      <c r="C19" s="17"/>
      <c r="D19" s="20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spans="1:14" s="11" customFormat="1" ht="100.05" customHeight="1" x14ac:dyDescent="0.3">
      <c r="A20" s="17"/>
      <c r="B20" s="17"/>
      <c r="C20" s="17"/>
      <c r="D20" s="20"/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spans="1:14" s="11" customFormat="1" ht="100.05" customHeight="1" x14ac:dyDescent="0.3">
      <c r="A21" s="17"/>
      <c r="B21" s="17"/>
      <c r="C21" s="17"/>
      <c r="D21" s="20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spans="1:14" s="11" customFormat="1" ht="100.05" customHeight="1" x14ac:dyDescent="0.3">
      <c r="A22" s="17"/>
      <c r="B22" s="17"/>
      <c r="C22" s="17"/>
      <c r="D22" s="20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1:14" s="11" customFormat="1" ht="100.05" customHeight="1" x14ac:dyDescent="0.3">
      <c r="A23" s="17"/>
      <c r="B23" s="17"/>
      <c r="C23" s="17"/>
      <c r="D23" s="20"/>
      <c r="E23" s="17"/>
      <c r="F23" s="17"/>
      <c r="G23" s="17"/>
      <c r="H23" s="17"/>
      <c r="I23" s="17"/>
      <c r="J23" s="17"/>
      <c r="K23" s="17"/>
      <c r="L23" s="17"/>
      <c r="M23" s="17"/>
      <c r="N23" s="17"/>
    </row>
    <row r="24" spans="1:14" s="11" customFormat="1" ht="100.05" customHeight="1" x14ac:dyDescent="0.3">
      <c r="A24" s="17"/>
      <c r="B24" s="17"/>
      <c r="C24" s="17"/>
      <c r="D24" s="20"/>
      <c r="E24" s="17"/>
      <c r="F24" s="17"/>
      <c r="G24" s="17"/>
      <c r="H24" s="17"/>
      <c r="I24" s="17"/>
      <c r="J24" s="17"/>
      <c r="K24" s="17"/>
      <c r="L24" s="17"/>
      <c r="M24" s="17"/>
      <c r="N24" s="17"/>
    </row>
    <row r="25" spans="1:14" s="11" customFormat="1" ht="100.05" customHeight="1" x14ac:dyDescent="0.3">
      <c r="A25" s="17"/>
      <c r="B25" s="17"/>
      <c r="C25" s="17"/>
      <c r="D25" s="20"/>
      <c r="E25" s="17"/>
      <c r="F25" s="17"/>
      <c r="G25" s="17"/>
      <c r="H25" s="17"/>
      <c r="I25" s="17"/>
      <c r="J25" s="17"/>
      <c r="K25" s="17"/>
      <c r="L25" s="17"/>
      <c r="M25" s="17"/>
      <c r="N25" s="17"/>
    </row>
    <row r="26" spans="1:14" s="11" customFormat="1" ht="100.05" customHeight="1" x14ac:dyDescent="0.3">
      <c r="A26" s="17"/>
      <c r="B26" s="17"/>
      <c r="C26" s="17"/>
      <c r="D26" s="20"/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spans="1:14" s="11" customFormat="1" ht="100.05" customHeight="1" x14ac:dyDescent="0.3">
      <c r="A27" s="17"/>
      <c r="B27" s="17"/>
      <c r="C27" s="17"/>
      <c r="D27" s="20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14" s="11" customFormat="1" ht="100.05" customHeight="1" x14ac:dyDescent="0.3">
      <c r="A28" s="17"/>
      <c r="B28" s="17"/>
      <c r="C28" s="17"/>
      <c r="D28" s="20"/>
      <c r="E28" s="17"/>
      <c r="F28" s="17"/>
      <c r="G28" s="17"/>
      <c r="H28" s="17"/>
      <c r="I28" s="17"/>
      <c r="J28" s="17"/>
      <c r="K28" s="17"/>
      <c r="L28" s="17"/>
      <c r="M28" s="17"/>
      <c r="N28" s="17"/>
    </row>
  </sheetData>
  <mergeCells count="3">
    <mergeCell ref="A1:C1"/>
    <mergeCell ref="K1:N1"/>
    <mergeCell ref="A2:N2"/>
  </mergeCells>
  <printOptions horizontalCentered="1" verticalCentered="1"/>
  <pageMargins left="0.19685039370078741" right="0.19685039370078741" top="0.39370078740157483" bottom="0.39370078740157483" header="0.31496062992125984" footer="0.31496062992125984"/>
  <pageSetup paperSize="9" scale="29" orientation="landscape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6"/>
  <sheetViews>
    <sheetView topLeftCell="A10" zoomScale="25" zoomScaleNormal="25" workbookViewId="0">
      <selection activeCell="S6" sqref="S6"/>
    </sheetView>
  </sheetViews>
  <sheetFormatPr defaultColWidth="8.88671875" defaultRowHeight="14.4" x14ac:dyDescent="0.3"/>
  <cols>
    <col min="1" max="1" width="41.77734375" style="17" customWidth="1"/>
    <col min="2" max="2" width="19.6640625" style="17" customWidth="1"/>
    <col min="3" max="3" width="29.21875" style="17" customWidth="1"/>
    <col min="4" max="4" width="28.6640625" style="20" customWidth="1"/>
    <col min="5" max="5" width="162.109375" style="17" customWidth="1"/>
    <col min="6" max="6" width="32.109375" style="17" bestFit="1" customWidth="1"/>
    <col min="7" max="7" width="21.88671875" style="17" bestFit="1" customWidth="1"/>
    <col min="8" max="8" width="26.6640625" style="17" bestFit="1" customWidth="1"/>
    <col min="9" max="9" width="40.109375" style="17" bestFit="1" customWidth="1"/>
    <col min="10" max="10" width="37.88671875" style="17" customWidth="1"/>
    <col min="11" max="11" width="25.6640625" style="17" customWidth="1"/>
    <col min="12" max="14" width="26.77734375" style="17" bestFit="1" customWidth="1"/>
    <col min="15" max="16384" width="8.88671875" style="18"/>
  </cols>
  <sheetData>
    <row r="1" spans="1:14" s="3" customFormat="1" ht="100.05" customHeight="1" x14ac:dyDescent="0.95">
      <c r="A1" s="37"/>
      <c r="B1" s="37"/>
      <c r="C1" s="37"/>
      <c r="D1" s="19"/>
      <c r="E1" s="1"/>
      <c r="F1" s="1"/>
      <c r="G1" s="1"/>
      <c r="H1" s="1"/>
      <c r="I1" s="1"/>
      <c r="J1" s="2" t="s">
        <v>0</v>
      </c>
      <c r="K1" s="38">
        <v>45922</v>
      </c>
      <c r="L1" s="38"/>
      <c r="M1" s="38"/>
      <c r="N1" s="38"/>
    </row>
    <row r="2" spans="1:14" s="4" customFormat="1" ht="100.05" customHeight="1" x14ac:dyDescent="0.3">
      <c r="A2" s="39" t="s">
        <v>25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</row>
    <row r="3" spans="1:14" s="4" customFormat="1" ht="150" customHeight="1" x14ac:dyDescent="0.3">
      <c r="A3" s="5" t="s">
        <v>1</v>
      </c>
      <c r="B3" s="5" t="s">
        <v>2</v>
      </c>
      <c r="C3" s="6" t="s">
        <v>3</v>
      </c>
      <c r="D3" s="7" t="s">
        <v>4</v>
      </c>
      <c r="E3" s="5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6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s="28" customFormat="1" ht="150" customHeight="1" x14ac:dyDescent="0.3">
      <c r="A4" s="22">
        <v>210825</v>
      </c>
      <c r="B4" s="22">
        <v>304</v>
      </c>
      <c r="C4" s="23">
        <v>0.7</v>
      </c>
      <c r="D4" s="24">
        <v>33</v>
      </c>
      <c r="E4" s="25" t="s">
        <v>27</v>
      </c>
      <c r="F4" s="22" t="s">
        <v>16</v>
      </c>
      <c r="G4" s="22" t="s">
        <v>16</v>
      </c>
      <c r="H4" s="23" t="s">
        <v>16</v>
      </c>
      <c r="I4" s="22" t="s">
        <v>16</v>
      </c>
      <c r="J4" s="22" t="s">
        <v>16</v>
      </c>
      <c r="K4" s="22" t="s">
        <v>17</v>
      </c>
      <c r="L4" s="26">
        <v>4000</v>
      </c>
      <c r="M4" s="27">
        <f>650+1350+1870+130</f>
        <v>4000</v>
      </c>
      <c r="N4" s="26">
        <f t="shared" ref="N4:N13" si="0">L4-M4</f>
        <v>0</v>
      </c>
    </row>
    <row r="5" spans="1:14" s="28" customFormat="1" ht="150" customHeight="1" x14ac:dyDescent="0.3">
      <c r="A5" s="22">
        <v>10925</v>
      </c>
      <c r="B5" s="22">
        <v>430</v>
      </c>
      <c r="C5" s="23">
        <v>0.8</v>
      </c>
      <c r="D5" s="24">
        <v>26.5</v>
      </c>
      <c r="E5" s="25" t="s">
        <v>66</v>
      </c>
      <c r="F5" s="22" t="s">
        <v>16</v>
      </c>
      <c r="G5" s="22" t="s">
        <v>16</v>
      </c>
      <c r="H5" s="23" t="s">
        <v>16</v>
      </c>
      <c r="I5" s="22" t="s">
        <v>16</v>
      </c>
      <c r="J5" s="22" t="s">
        <v>16</v>
      </c>
      <c r="K5" s="22" t="s">
        <v>16</v>
      </c>
      <c r="L5" s="26">
        <v>3100</v>
      </c>
      <c r="M5" s="27">
        <f>1800+1400</f>
        <v>3200</v>
      </c>
      <c r="N5" s="26">
        <f t="shared" si="0"/>
        <v>-100</v>
      </c>
    </row>
    <row r="6" spans="1:14" s="28" customFormat="1" ht="150" customHeight="1" x14ac:dyDescent="0.3">
      <c r="A6" s="22">
        <v>10925</v>
      </c>
      <c r="B6" s="22">
        <v>430</v>
      </c>
      <c r="C6" s="23">
        <v>0.8</v>
      </c>
      <c r="D6" s="24">
        <v>38.299999999999997</v>
      </c>
      <c r="E6" s="25" t="s">
        <v>23</v>
      </c>
      <c r="F6" s="22" t="s">
        <v>15</v>
      </c>
      <c r="G6" s="22">
        <v>430</v>
      </c>
      <c r="H6" s="23">
        <v>0.6</v>
      </c>
      <c r="I6" s="22" t="s">
        <v>16</v>
      </c>
      <c r="J6" s="22" t="s">
        <v>16</v>
      </c>
      <c r="K6" s="22" t="s">
        <v>17</v>
      </c>
      <c r="L6" s="26">
        <v>3300</v>
      </c>
      <c r="M6" s="27">
        <f>650+2450+300</f>
        <v>3400</v>
      </c>
      <c r="N6" s="26">
        <f t="shared" si="0"/>
        <v>-100</v>
      </c>
    </row>
    <row r="7" spans="1:14" s="28" customFormat="1" ht="150" customHeight="1" x14ac:dyDescent="0.3">
      <c r="A7" s="22" t="s">
        <v>28</v>
      </c>
      <c r="B7" s="22">
        <v>304</v>
      </c>
      <c r="C7" s="23">
        <v>0.8</v>
      </c>
      <c r="D7" s="24">
        <v>37.700000000000003</v>
      </c>
      <c r="E7" s="25" t="s">
        <v>30</v>
      </c>
      <c r="F7" s="22" t="s">
        <v>15</v>
      </c>
      <c r="G7" s="22">
        <v>430</v>
      </c>
      <c r="H7" s="23">
        <v>0.6</v>
      </c>
      <c r="I7" s="22">
        <v>157</v>
      </c>
      <c r="J7" s="23">
        <v>4</v>
      </c>
      <c r="K7" s="22" t="s">
        <v>17</v>
      </c>
      <c r="L7" s="26">
        <v>3200</v>
      </c>
      <c r="M7" s="27">
        <f>1300+1750</f>
        <v>3050</v>
      </c>
      <c r="N7" s="26">
        <f t="shared" si="0"/>
        <v>150</v>
      </c>
    </row>
    <row r="8" spans="1:14" s="28" customFormat="1" ht="150" customHeight="1" x14ac:dyDescent="0.3">
      <c r="A8" s="22">
        <v>10925</v>
      </c>
      <c r="B8" s="22">
        <v>430</v>
      </c>
      <c r="C8" s="23">
        <v>0.8</v>
      </c>
      <c r="D8" s="24" t="s">
        <v>22</v>
      </c>
      <c r="E8" s="25" t="s">
        <v>26</v>
      </c>
      <c r="F8" s="22" t="s">
        <v>16</v>
      </c>
      <c r="G8" s="22" t="s">
        <v>16</v>
      </c>
      <c r="H8" s="23" t="s">
        <v>16</v>
      </c>
      <c r="I8" s="22" t="s">
        <v>16</v>
      </c>
      <c r="J8" s="22" t="s">
        <v>16</v>
      </c>
      <c r="K8" s="22" t="s">
        <v>17</v>
      </c>
      <c r="L8" s="26">
        <v>3300</v>
      </c>
      <c r="M8" s="27"/>
      <c r="N8" s="26">
        <f t="shared" si="0"/>
        <v>3300</v>
      </c>
    </row>
    <row r="9" spans="1:14" s="28" customFormat="1" ht="150" customHeight="1" x14ac:dyDescent="0.3">
      <c r="A9" s="22" t="s">
        <v>28</v>
      </c>
      <c r="B9" s="22">
        <v>304</v>
      </c>
      <c r="C9" s="23">
        <v>0.8</v>
      </c>
      <c r="D9" s="24">
        <v>30</v>
      </c>
      <c r="E9" s="25" t="s">
        <v>29</v>
      </c>
      <c r="F9" s="22" t="s">
        <v>16</v>
      </c>
      <c r="G9" s="22" t="s">
        <v>16</v>
      </c>
      <c r="H9" s="23" t="s">
        <v>16</v>
      </c>
      <c r="I9" s="22" t="s">
        <v>16</v>
      </c>
      <c r="J9" s="23" t="s">
        <v>16</v>
      </c>
      <c r="K9" s="22" t="s">
        <v>17</v>
      </c>
      <c r="L9" s="26">
        <v>3200</v>
      </c>
      <c r="M9" s="27"/>
      <c r="N9" s="26">
        <f t="shared" si="0"/>
        <v>3200</v>
      </c>
    </row>
    <row r="10" spans="1:14" s="28" customFormat="1" ht="150" customHeight="1" x14ac:dyDescent="0.3">
      <c r="A10" s="22">
        <v>250074</v>
      </c>
      <c r="B10" s="22">
        <v>304</v>
      </c>
      <c r="C10" s="23">
        <v>0.7</v>
      </c>
      <c r="D10" s="29" t="s">
        <v>59</v>
      </c>
      <c r="E10" s="25" t="s">
        <v>60</v>
      </c>
      <c r="F10" s="22" t="s">
        <v>61</v>
      </c>
      <c r="G10" s="22">
        <v>430</v>
      </c>
      <c r="H10" s="23">
        <v>0.6</v>
      </c>
      <c r="I10" s="22" t="s">
        <v>16</v>
      </c>
      <c r="J10" s="23" t="s">
        <v>16</v>
      </c>
      <c r="K10" s="22" t="s">
        <v>17</v>
      </c>
      <c r="L10" s="26">
        <v>708</v>
      </c>
      <c r="M10" s="27"/>
      <c r="N10" s="26">
        <f t="shared" si="0"/>
        <v>708</v>
      </c>
    </row>
    <row r="11" spans="1:14" s="28" customFormat="1" ht="150" customHeight="1" x14ac:dyDescent="0.3">
      <c r="A11" s="22">
        <v>250074</v>
      </c>
      <c r="B11" s="22">
        <v>304</v>
      </c>
      <c r="C11" s="23">
        <v>0.7</v>
      </c>
      <c r="D11" s="29" t="s">
        <v>64</v>
      </c>
      <c r="E11" s="25" t="s">
        <v>62</v>
      </c>
      <c r="F11" s="22" t="s">
        <v>61</v>
      </c>
      <c r="G11" s="22">
        <v>430</v>
      </c>
      <c r="H11" s="23">
        <v>0.6</v>
      </c>
      <c r="I11" s="22" t="s">
        <v>16</v>
      </c>
      <c r="J11" s="23" t="s">
        <v>16</v>
      </c>
      <c r="K11" s="22" t="s">
        <v>17</v>
      </c>
      <c r="L11" s="26">
        <v>708</v>
      </c>
      <c r="M11" s="27"/>
      <c r="N11" s="26">
        <f t="shared" si="0"/>
        <v>708</v>
      </c>
    </row>
    <row r="12" spans="1:14" s="28" customFormat="1" ht="150" customHeight="1" x14ac:dyDescent="0.3">
      <c r="A12" s="22">
        <v>250074</v>
      </c>
      <c r="B12" s="22">
        <v>304</v>
      </c>
      <c r="C12" s="23">
        <v>0.7</v>
      </c>
      <c r="D12" s="29" t="s">
        <v>65</v>
      </c>
      <c r="E12" s="25" t="s">
        <v>63</v>
      </c>
      <c r="F12" s="22" t="s">
        <v>61</v>
      </c>
      <c r="G12" s="22">
        <v>430</v>
      </c>
      <c r="H12" s="23">
        <v>0.6</v>
      </c>
      <c r="I12" s="22" t="s">
        <v>16</v>
      </c>
      <c r="J12" s="23" t="s">
        <v>16</v>
      </c>
      <c r="K12" s="22" t="s">
        <v>17</v>
      </c>
      <c r="L12" s="26">
        <v>708</v>
      </c>
      <c r="M12" s="27"/>
      <c r="N12" s="26">
        <f t="shared" si="0"/>
        <v>708</v>
      </c>
    </row>
    <row r="13" spans="1:14" s="28" customFormat="1" ht="150" customHeight="1" x14ac:dyDescent="0.3">
      <c r="A13" s="22">
        <v>100925</v>
      </c>
      <c r="B13" s="22">
        <v>304</v>
      </c>
      <c r="C13" s="23" t="s">
        <v>31</v>
      </c>
      <c r="D13" s="24" t="s">
        <v>32</v>
      </c>
      <c r="E13" s="25" t="s">
        <v>33</v>
      </c>
      <c r="F13" s="22" t="s">
        <v>16</v>
      </c>
      <c r="G13" s="22">
        <v>430</v>
      </c>
      <c r="H13" s="23">
        <v>0.6</v>
      </c>
      <c r="I13" s="22" t="s">
        <v>16</v>
      </c>
      <c r="J13" s="23" t="s">
        <v>16</v>
      </c>
      <c r="K13" s="22" t="s">
        <v>17</v>
      </c>
      <c r="L13" s="26">
        <v>1200</v>
      </c>
      <c r="M13" s="27"/>
      <c r="N13" s="26">
        <f t="shared" si="0"/>
        <v>1200</v>
      </c>
    </row>
    <row r="14" spans="1:14" s="28" customFormat="1" ht="150" customHeight="1" x14ac:dyDescent="0.3">
      <c r="A14" s="22">
        <v>100925</v>
      </c>
      <c r="B14" s="22">
        <v>304</v>
      </c>
      <c r="C14" s="23" t="s">
        <v>31</v>
      </c>
      <c r="D14" s="29" t="s">
        <v>35</v>
      </c>
      <c r="E14" s="25" t="s">
        <v>34</v>
      </c>
      <c r="F14" s="22" t="s">
        <v>16</v>
      </c>
      <c r="G14" s="22" t="s">
        <v>16</v>
      </c>
      <c r="H14" s="23" t="s">
        <v>16</v>
      </c>
      <c r="I14" s="22" t="s">
        <v>16</v>
      </c>
      <c r="J14" s="23" t="s">
        <v>16</v>
      </c>
      <c r="K14" s="22" t="s">
        <v>17</v>
      </c>
      <c r="L14" s="26">
        <v>1200</v>
      </c>
      <c r="M14" s="27"/>
      <c r="N14" s="26">
        <f>L14-M14</f>
        <v>1200</v>
      </c>
    </row>
    <row r="15" spans="1:14" s="28" customFormat="1" ht="150" customHeight="1" x14ac:dyDescent="0.3">
      <c r="A15" s="22">
        <v>100925</v>
      </c>
      <c r="B15" s="22">
        <v>304</v>
      </c>
      <c r="C15" s="23" t="s">
        <v>31</v>
      </c>
      <c r="D15" s="24" t="s">
        <v>40</v>
      </c>
      <c r="E15" s="25" t="s">
        <v>36</v>
      </c>
      <c r="F15" s="22" t="s">
        <v>16</v>
      </c>
      <c r="G15" s="22">
        <v>430</v>
      </c>
      <c r="H15" s="23">
        <v>0.6</v>
      </c>
      <c r="I15" s="22" t="s">
        <v>16</v>
      </c>
      <c r="J15" s="23" t="s">
        <v>16</v>
      </c>
      <c r="K15" s="22" t="s">
        <v>17</v>
      </c>
      <c r="L15" s="26">
        <v>1500</v>
      </c>
      <c r="M15" s="27"/>
      <c r="N15" s="26">
        <f t="shared" ref="N15:N51" si="1">L15-M15</f>
        <v>1500</v>
      </c>
    </row>
    <row r="16" spans="1:14" s="28" customFormat="1" ht="150" customHeight="1" x14ac:dyDescent="0.3">
      <c r="A16" s="22">
        <v>100925</v>
      </c>
      <c r="B16" s="22">
        <v>304</v>
      </c>
      <c r="C16" s="23" t="s">
        <v>31</v>
      </c>
      <c r="D16" s="29" t="s">
        <v>41</v>
      </c>
      <c r="E16" s="25" t="s">
        <v>37</v>
      </c>
      <c r="F16" s="22" t="s">
        <v>16</v>
      </c>
      <c r="G16" s="22" t="s">
        <v>16</v>
      </c>
      <c r="H16" s="23" t="s">
        <v>16</v>
      </c>
      <c r="I16" s="22" t="s">
        <v>16</v>
      </c>
      <c r="J16" s="23" t="s">
        <v>16</v>
      </c>
      <c r="K16" s="22" t="s">
        <v>17</v>
      </c>
      <c r="L16" s="26">
        <v>1500</v>
      </c>
      <c r="M16" s="27"/>
      <c r="N16" s="26">
        <f t="shared" si="1"/>
        <v>1500</v>
      </c>
    </row>
    <row r="17" spans="1:14" s="28" customFormat="1" ht="150" customHeight="1" x14ac:dyDescent="0.3">
      <c r="A17" s="22">
        <v>100925</v>
      </c>
      <c r="B17" s="22">
        <v>304</v>
      </c>
      <c r="C17" s="23" t="s">
        <v>31</v>
      </c>
      <c r="D17" s="24" t="s">
        <v>40</v>
      </c>
      <c r="E17" s="25" t="s">
        <v>38</v>
      </c>
      <c r="F17" s="22" t="s">
        <v>16</v>
      </c>
      <c r="G17" s="22">
        <v>430</v>
      </c>
      <c r="H17" s="23">
        <v>0.6</v>
      </c>
      <c r="I17" s="22" t="s">
        <v>16</v>
      </c>
      <c r="J17" s="23" t="s">
        <v>16</v>
      </c>
      <c r="K17" s="22" t="s">
        <v>17</v>
      </c>
      <c r="L17" s="26">
        <v>600</v>
      </c>
      <c r="M17" s="27"/>
      <c r="N17" s="26">
        <f t="shared" si="1"/>
        <v>600</v>
      </c>
    </row>
    <row r="18" spans="1:14" s="28" customFormat="1" ht="150" customHeight="1" x14ac:dyDescent="0.3">
      <c r="A18" s="22">
        <v>100925</v>
      </c>
      <c r="B18" s="22">
        <v>304</v>
      </c>
      <c r="C18" s="23" t="s">
        <v>31</v>
      </c>
      <c r="D18" s="29" t="s">
        <v>41</v>
      </c>
      <c r="E18" s="25" t="s">
        <v>39</v>
      </c>
      <c r="F18" s="22" t="s">
        <v>16</v>
      </c>
      <c r="G18" s="22" t="s">
        <v>16</v>
      </c>
      <c r="H18" s="23" t="s">
        <v>16</v>
      </c>
      <c r="I18" s="22" t="s">
        <v>16</v>
      </c>
      <c r="J18" s="23" t="s">
        <v>16</v>
      </c>
      <c r="K18" s="22" t="s">
        <v>17</v>
      </c>
      <c r="L18" s="26">
        <v>600</v>
      </c>
      <c r="M18" s="27"/>
      <c r="N18" s="26">
        <f t="shared" si="1"/>
        <v>600</v>
      </c>
    </row>
    <row r="19" spans="1:14" s="28" customFormat="1" ht="150" customHeight="1" x14ac:dyDescent="0.3">
      <c r="A19" s="22" t="s">
        <v>42</v>
      </c>
      <c r="B19" s="22">
        <v>304</v>
      </c>
      <c r="C19" s="23">
        <v>0.9</v>
      </c>
      <c r="D19" s="29" t="s">
        <v>56</v>
      </c>
      <c r="E19" s="25" t="s">
        <v>53</v>
      </c>
      <c r="F19" s="22" t="s">
        <v>16</v>
      </c>
      <c r="G19" s="22">
        <v>430</v>
      </c>
      <c r="H19" s="23">
        <v>0.6</v>
      </c>
      <c r="I19" s="22" t="s">
        <v>16</v>
      </c>
      <c r="J19" s="23" t="s">
        <v>16</v>
      </c>
      <c r="K19" s="22" t="s">
        <v>17</v>
      </c>
      <c r="L19" s="26">
        <v>1200</v>
      </c>
      <c r="M19" s="27"/>
      <c r="N19" s="26">
        <f t="shared" si="1"/>
        <v>1200</v>
      </c>
    </row>
    <row r="20" spans="1:14" s="28" customFormat="1" ht="150" customHeight="1" x14ac:dyDescent="0.3">
      <c r="A20" s="22" t="s">
        <v>42</v>
      </c>
      <c r="B20" s="22">
        <v>304</v>
      </c>
      <c r="C20" s="23">
        <v>0.9</v>
      </c>
      <c r="D20" s="29" t="s">
        <v>54</v>
      </c>
      <c r="E20" s="25" t="s">
        <v>55</v>
      </c>
      <c r="F20" s="22" t="s">
        <v>16</v>
      </c>
      <c r="G20" s="22" t="s">
        <v>16</v>
      </c>
      <c r="H20" s="23" t="s">
        <v>16</v>
      </c>
      <c r="I20" s="22" t="s">
        <v>16</v>
      </c>
      <c r="J20" s="23" t="s">
        <v>16</v>
      </c>
      <c r="K20" s="22" t="s">
        <v>17</v>
      </c>
      <c r="L20" s="26">
        <v>1200</v>
      </c>
      <c r="M20" s="27"/>
      <c r="N20" s="26">
        <f t="shared" si="1"/>
        <v>1200</v>
      </c>
    </row>
    <row r="21" spans="1:14" s="28" customFormat="1" ht="150" customHeight="1" x14ac:dyDescent="0.3">
      <c r="A21" s="22" t="s">
        <v>42</v>
      </c>
      <c r="B21" s="22">
        <v>304</v>
      </c>
      <c r="C21" s="23">
        <v>0.9</v>
      </c>
      <c r="D21" s="29" t="s">
        <v>57</v>
      </c>
      <c r="E21" s="25" t="s">
        <v>43</v>
      </c>
      <c r="F21" s="22" t="s">
        <v>16</v>
      </c>
      <c r="G21" s="22">
        <v>430</v>
      </c>
      <c r="H21" s="23">
        <v>0.6</v>
      </c>
      <c r="I21" s="22" t="s">
        <v>16</v>
      </c>
      <c r="J21" s="23" t="s">
        <v>16</v>
      </c>
      <c r="K21" s="22" t="s">
        <v>17</v>
      </c>
      <c r="L21" s="26">
        <v>1500</v>
      </c>
      <c r="M21" s="27"/>
      <c r="N21" s="26">
        <f t="shared" si="1"/>
        <v>1500</v>
      </c>
    </row>
    <row r="22" spans="1:14" s="28" customFormat="1" ht="150" customHeight="1" x14ac:dyDescent="0.3">
      <c r="A22" s="22" t="s">
        <v>42</v>
      </c>
      <c r="B22" s="22">
        <v>304</v>
      </c>
      <c r="C22" s="23">
        <v>0.9</v>
      </c>
      <c r="D22" s="29" t="s">
        <v>58</v>
      </c>
      <c r="E22" s="25" t="s">
        <v>44</v>
      </c>
      <c r="F22" s="22" t="s">
        <v>16</v>
      </c>
      <c r="G22" s="22" t="s">
        <v>16</v>
      </c>
      <c r="H22" s="23" t="s">
        <v>16</v>
      </c>
      <c r="I22" s="22" t="s">
        <v>16</v>
      </c>
      <c r="J22" s="23" t="s">
        <v>16</v>
      </c>
      <c r="K22" s="22" t="s">
        <v>17</v>
      </c>
      <c r="L22" s="26">
        <v>1500</v>
      </c>
      <c r="M22" s="27"/>
      <c r="N22" s="26">
        <f t="shared" si="1"/>
        <v>1500</v>
      </c>
    </row>
    <row r="23" spans="1:14" s="28" customFormat="1" ht="150" customHeight="1" x14ac:dyDescent="0.3">
      <c r="A23" s="22" t="s">
        <v>42</v>
      </c>
      <c r="B23" s="22">
        <v>304</v>
      </c>
      <c r="C23" s="23">
        <v>0.9</v>
      </c>
      <c r="D23" s="29" t="s">
        <v>45</v>
      </c>
      <c r="E23" s="25" t="s">
        <v>46</v>
      </c>
      <c r="F23" s="22" t="s">
        <v>16</v>
      </c>
      <c r="G23" s="22">
        <v>430</v>
      </c>
      <c r="H23" s="23">
        <v>0.6</v>
      </c>
      <c r="I23" s="22" t="s">
        <v>16</v>
      </c>
      <c r="J23" s="23" t="s">
        <v>16</v>
      </c>
      <c r="K23" s="22" t="s">
        <v>17</v>
      </c>
      <c r="L23" s="26">
        <v>1500</v>
      </c>
      <c r="M23" s="27"/>
      <c r="N23" s="26">
        <f t="shared" si="1"/>
        <v>1500</v>
      </c>
    </row>
    <row r="24" spans="1:14" s="28" customFormat="1" ht="150" customHeight="1" x14ac:dyDescent="0.3">
      <c r="A24" s="22" t="s">
        <v>42</v>
      </c>
      <c r="B24" s="22">
        <v>304</v>
      </c>
      <c r="C24" s="23">
        <v>0.9</v>
      </c>
      <c r="D24" s="29" t="s">
        <v>57</v>
      </c>
      <c r="E24" s="25" t="s">
        <v>47</v>
      </c>
      <c r="F24" s="22" t="s">
        <v>16</v>
      </c>
      <c r="G24" s="22" t="s">
        <v>16</v>
      </c>
      <c r="H24" s="23" t="s">
        <v>16</v>
      </c>
      <c r="I24" s="22" t="s">
        <v>16</v>
      </c>
      <c r="J24" s="23" t="s">
        <v>16</v>
      </c>
      <c r="K24" s="22" t="s">
        <v>17</v>
      </c>
      <c r="L24" s="26">
        <v>1500</v>
      </c>
      <c r="M24" s="27"/>
      <c r="N24" s="26">
        <f t="shared" si="1"/>
        <v>1500</v>
      </c>
    </row>
    <row r="25" spans="1:14" s="28" customFormat="1" ht="150" customHeight="1" x14ac:dyDescent="0.3">
      <c r="A25" s="22">
        <v>160925</v>
      </c>
      <c r="B25" s="22">
        <v>304</v>
      </c>
      <c r="C25" s="23">
        <v>0.9</v>
      </c>
      <c r="D25" s="29" t="s">
        <v>48</v>
      </c>
      <c r="E25" s="25" t="s">
        <v>49</v>
      </c>
      <c r="F25" s="22" t="s">
        <v>16</v>
      </c>
      <c r="G25" s="22">
        <v>430</v>
      </c>
      <c r="H25" s="23">
        <v>0.6</v>
      </c>
      <c r="I25" s="22" t="s">
        <v>16</v>
      </c>
      <c r="J25" s="23" t="s">
        <v>16</v>
      </c>
      <c r="K25" s="22" t="s">
        <v>17</v>
      </c>
      <c r="L25" s="26">
        <v>1100</v>
      </c>
      <c r="M25" s="27"/>
      <c r="N25" s="26">
        <f t="shared" si="1"/>
        <v>1100</v>
      </c>
    </row>
    <row r="26" spans="1:14" s="28" customFormat="1" ht="150" customHeight="1" x14ac:dyDescent="0.3">
      <c r="A26" s="22">
        <v>160925</v>
      </c>
      <c r="B26" s="22">
        <v>304</v>
      </c>
      <c r="C26" s="23">
        <v>0.9</v>
      </c>
      <c r="D26" s="29" t="s">
        <v>50</v>
      </c>
      <c r="E26" s="25" t="s">
        <v>51</v>
      </c>
      <c r="F26" s="22" t="s">
        <v>16</v>
      </c>
      <c r="G26" s="22" t="s">
        <v>52</v>
      </c>
      <c r="H26" s="23" t="s">
        <v>52</v>
      </c>
      <c r="I26" s="22" t="s">
        <v>16</v>
      </c>
      <c r="J26" s="23" t="s">
        <v>16</v>
      </c>
      <c r="K26" s="22" t="s">
        <v>17</v>
      </c>
      <c r="L26" s="26">
        <v>1100</v>
      </c>
      <c r="M26" s="27"/>
      <c r="N26" s="26">
        <f t="shared" si="1"/>
        <v>1100</v>
      </c>
    </row>
    <row r="27" spans="1:14" s="28" customFormat="1" ht="150" hidden="1" customHeight="1" x14ac:dyDescent="0.3">
      <c r="A27" s="22"/>
      <c r="B27" s="22"/>
      <c r="C27" s="23"/>
      <c r="D27" s="24"/>
      <c r="E27" s="25"/>
      <c r="F27" s="22"/>
      <c r="G27" s="22"/>
      <c r="H27" s="23"/>
      <c r="I27" s="22"/>
      <c r="J27" s="23"/>
      <c r="K27" s="22"/>
      <c r="L27" s="26"/>
      <c r="M27" s="27"/>
      <c r="N27" s="26"/>
    </row>
    <row r="28" spans="1:14" s="28" customFormat="1" ht="150" hidden="1" customHeight="1" x14ac:dyDescent="0.3">
      <c r="A28" s="22"/>
      <c r="B28" s="22"/>
      <c r="C28" s="23"/>
      <c r="D28" s="29"/>
      <c r="E28" s="25"/>
      <c r="F28" s="22"/>
      <c r="G28" s="22"/>
      <c r="H28" s="23"/>
      <c r="I28" s="22"/>
      <c r="J28" s="23"/>
      <c r="K28" s="22"/>
      <c r="L28" s="26"/>
      <c r="M28" s="27"/>
      <c r="N28" s="26"/>
    </row>
    <row r="29" spans="1:14" s="28" customFormat="1" ht="150" hidden="1" customHeight="1" x14ac:dyDescent="0.3">
      <c r="A29" s="22"/>
      <c r="B29" s="22"/>
      <c r="C29" s="23"/>
      <c r="D29" s="24"/>
      <c r="E29" s="25"/>
      <c r="F29" s="22"/>
      <c r="G29" s="22"/>
      <c r="H29" s="23"/>
      <c r="I29" s="22"/>
      <c r="J29" s="23"/>
      <c r="K29" s="22"/>
      <c r="L29" s="26"/>
      <c r="M29" s="27"/>
      <c r="N29" s="26"/>
    </row>
    <row r="30" spans="1:14" s="28" customFormat="1" ht="150" hidden="1" customHeight="1" x14ac:dyDescent="0.3">
      <c r="A30" s="22"/>
      <c r="B30" s="22"/>
      <c r="C30" s="23"/>
      <c r="D30" s="29"/>
      <c r="E30" s="25"/>
      <c r="F30" s="22"/>
      <c r="G30" s="22"/>
      <c r="H30" s="23"/>
      <c r="I30" s="22"/>
      <c r="J30" s="23"/>
      <c r="K30" s="22"/>
      <c r="L30" s="26"/>
      <c r="M30" s="27"/>
      <c r="N30" s="26"/>
    </row>
    <row r="31" spans="1:14" s="28" customFormat="1" ht="150" hidden="1" customHeight="1" x14ac:dyDescent="0.3">
      <c r="A31" s="22"/>
      <c r="B31" s="22"/>
      <c r="C31" s="23"/>
      <c r="D31" s="24"/>
      <c r="E31" s="25"/>
      <c r="F31" s="22"/>
      <c r="G31" s="22"/>
      <c r="H31" s="23"/>
      <c r="I31" s="22"/>
      <c r="J31" s="23"/>
      <c r="K31" s="22"/>
      <c r="L31" s="26"/>
      <c r="M31" s="27"/>
      <c r="N31" s="26"/>
    </row>
    <row r="32" spans="1:14" s="28" customFormat="1" ht="150" hidden="1" customHeight="1" x14ac:dyDescent="0.3">
      <c r="A32" s="22"/>
      <c r="B32" s="22"/>
      <c r="C32" s="23"/>
      <c r="D32" s="29"/>
      <c r="E32" s="25"/>
      <c r="F32" s="22"/>
      <c r="G32" s="22"/>
      <c r="H32" s="23"/>
      <c r="I32" s="22"/>
      <c r="J32" s="23"/>
      <c r="K32" s="22"/>
      <c r="L32" s="26"/>
      <c r="M32" s="27"/>
      <c r="N32" s="26"/>
    </row>
    <row r="33" spans="1:14" s="28" customFormat="1" ht="150" hidden="1" customHeight="1" x14ac:dyDescent="0.3">
      <c r="A33" s="22"/>
      <c r="B33" s="22"/>
      <c r="C33" s="23"/>
      <c r="D33" s="29"/>
      <c r="E33" s="25"/>
      <c r="F33" s="22"/>
      <c r="G33" s="22"/>
      <c r="H33" s="23"/>
      <c r="I33" s="22"/>
      <c r="J33" s="23"/>
      <c r="K33" s="22"/>
      <c r="L33" s="26"/>
      <c r="M33" s="27"/>
      <c r="N33" s="26"/>
    </row>
    <row r="34" spans="1:14" s="28" customFormat="1" ht="150" hidden="1" customHeight="1" x14ac:dyDescent="0.3">
      <c r="A34" s="22"/>
      <c r="B34" s="22"/>
      <c r="C34" s="23"/>
      <c r="D34" s="29"/>
      <c r="E34" s="25"/>
      <c r="F34" s="22"/>
      <c r="G34" s="22"/>
      <c r="H34" s="23"/>
      <c r="I34" s="22"/>
      <c r="J34" s="23"/>
      <c r="K34" s="22"/>
      <c r="L34" s="26"/>
      <c r="M34" s="27"/>
      <c r="N34" s="26"/>
    </row>
    <row r="35" spans="1:14" s="28" customFormat="1" ht="150" hidden="1" customHeight="1" x14ac:dyDescent="0.3">
      <c r="A35" s="22"/>
      <c r="B35" s="22"/>
      <c r="C35" s="23"/>
      <c r="D35" s="29"/>
      <c r="E35" s="25"/>
      <c r="F35" s="22"/>
      <c r="G35" s="22"/>
      <c r="H35" s="23"/>
      <c r="I35" s="22"/>
      <c r="J35" s="23"/>
      <c r="K35" s="22"/>
      <c r="L35" s="26"/>
      <c r="M35" s="27"/>
      <c r="N35" s="26"/>
    </row>
    <row r="36" spans="1:14" s="28" customFormat="1" ht="150" hidden="1" customHeight="1" x14ac:dyDescent="0.3">
      <c r="A36" s="22"/>
      <c r="B36" s="22"/>
      <c r="C36" s="23"/>
      <c r="D36" s="29"/>
      <c r="E36" s="25"/>
      <c r="F36" s="22"/>
      <c r="G36" s="22"/>
      <c r="H36" s="23"/>
      <c r="I36" s="22"/>
      <c r="J36" s="23"/>
      <c r="K36" s="22"/>
      <c r="L36" s="26"/>
      <c r="M36" s="27"/>
      <c r="N36" s="26"/>
    </row>
    <row r="37" spans="1:14" s="28" customFormat="1" ht="150" hidden="1" customHeight="1" x14ac:dyDescent="0.3">
      <c r="A37" s="22"/>
      <c r="B37" s="22"/>
      <c r="C37" s="23"/>
      <c r="D37" s="29"/>
      <c r="E37" s="25"/>
      <c r="F37" s="22"/>
      <c r="G37" s="22"/>
      <c r="H37" s="23"/>
      <c r="I37" s="22"/>
      <c r="J37" s="23"/>
      <c r="K37" s="22"/>
      <c r="L37" s="26"/>
      <c r="M37" s="27"/>
      <c r="N37" s="26"/>
    </row>
    <row r="38" spans="1:14" s="28" customFormat="1" ht="150" hidden="1" customHeight="1" x14ac:dyDescent="0.3">
      <c r="A38" s="22"/>
      <c r="B38" s="22"/>
      <c r="C38" s="23"/>
      <c r="D38" s="29"/>
      <c r="E38" s="25"/>
      <c r="F38" s="22"/>
      <c r="G38" s="22"/>
      <c r="H38" s="23"/>
      <c r="I38" s="22"/>
      <c r="J38" s="23"/>
      <c r="K38" s="22"/>
      <c r="L38" s="26"/>
      <c r="M38" s="27"/>
      <c r="N38" s="26"/>
    </row>
    <row r="39" spans="1:14" s="28" customFormat="1" ht="150" hidden="1" customHeight="1" x14ac:dyDescent="0.3">
      <c r="A39" s="22"/>
      <c r="B39" s="22"/>
      <c r="C39" s="23"/>
      <c r="D39" s="29"/>
      <c r="E39" s="25"/>
      <c r="F39" s="22"/>
      <c r="G39" s="22"/>
      <c r="H39" s="23"/>
      <c r="I39" s="22"/>
      <c r="J39" s="23"/>
      <c r="K39" s="22"/>
      <c r="L39" s="26"/>
      <c r="M39" s="27"/>
      <c r="N39" s="26"/>
    </row>
    <row r="40" spans="1:14" s="28" customFormat="1" ht="150" hidden="1" customHeight="1" x14ac:dyDescent="0.3">
      <c r="A40" s="22"/>
      <c r="B40" s="22"/>
      <c r="C40" s="23"/>
      <c r="D40" s="29"/>
      <c r="E40" s="25"/>
      <c r="F40" s="22"/>
      <c r="G40" s="22"/>
      <c r="H40" s="23"/>
      <c r="I40" s="22"/>
      <c r="J40" s="23"/>
      <c r="K40" s="22"/>
      <c r="L40" s="26"/>
      <c r="M40" s="27"/>
      <c r="N40" s="26"/>
    </row>
    <row r="41" spans="1:14" s="28" customFormat="1" ht="150" hidden="1" customHeight="1" x14ac:dyDescent="0.3">
      <c r="A41" s="22"/>
      <c r="B41" s="22"/>
      <c r="C41" s="23"/>
      <c r="D41" s="29"/>
      <c r="E41" s="25"/>
      <c r="F41" s="22"/>
      <c r="G41" s="22"/>
      <c r="H41" s="23"/>
      <c r="I41" s="22"/>
      <c r="J41" s="23"/>
      <c r="K41" s="22"/>
      <c r="L41" s="26"/>
      <c r="M41" s="27"/>
      <c r="N41" s="26"/>
    </row>
    <row r="42" spans="1:14" s="28" customFormat="1" ht="150" hidden="1" customHeight="1" x14ac:dyDescent="0.3">
      <c r="A42" s="22"/>
      <c r="B42" s="22"/>
      <c r="C42" s="23"/>
      <c r="D42" s="29"/>
      <c r="E42" s="25"/>
      <c r="F42" s="22"/>
      <c r="G42" s="22"/>
      <c r="H42" s="23"/>
      <c r="I42" s="22"/>
      <c r="J42" s="23"/>
      <c r="K42" s="22"/>
      <c r="L42" s="26"/>
      <c r="M42" s="27"/>
      <c r="N42" s="26"/>
    </row>
    <row r="43" spans="1:14" s="28" customFormat="1" ht="150" hidden="1" customHeight="1" x14ac:dyDescent="0.3">
      <c r="A43" s="22"/>
      <c r="B43" s="22"/>
      <c r="C43" s="23"/>
      <c r="D43" s="29"/>
      <c r="E43" s="25"/>
      <c r="F43" s="22"/>
      <c r="G43" s="22"/>
      <c r="H43" s="23"/>
      <c r="I43" s="22"/>
      <c r="J43" s="23"/>
      <c r="K43" s="22"/>
      <c r="L43" s="26"/>
      <c r="M43" s="27"/>
      <c r="N43" s="26"/>
    </row>
    <row r="44" spans="1:14" s="28" customFormat="1" ht="150" hidden="1" customHeight="1" x14ac:dyDescent="0.3">
      <c r="A44" s="22"/>
      <c r="B44" s="22"/>
      <c r="C44" s="23"/>
      <c r="D44" s="29"/>
      <c r="E44" s="25"/>
      <c r="F44" s="22"/>
      <c r="G44" s="22"/>
      <c r="H44" s="23"/>
      <c r="I44" s="22"/>
      <c r="J44" s="23"/>
      <c r="K44" s="22"/>
      <c r="L44" s="26"/>
      <c r="M44" s="27"/>
      <c r="N44" s="26"/>
    </row>
    <row r="45" spans="1:14" s="28" customFormat="1" ht="150" hidden="1" customHeight="1" x14ac:dyDescent="0.3">
      <c r="A45" s="22"/>
      <c r="B45" s="22"/>
      <c r="C45" s="23"/>
      <c r="D45" s="29"/>
      <c r="E45" s="25"/>
      <c r="F45" s="22"/>
      <c r="G45" s="22"/>
      <c r="H45" s="23"/>
      <c r="I45" s="22"/>
      <c r="J45" s="23"/>
      <c r="K45" s="22"/>
      <c r="L45" s="26"/>
      <c r="M45" s="27"/>
      <c r="N45" s="26"/>
    </row>
    <row r="46" spans="1:14" s="28" customFormat="1" ht="150" hidden="1" customHeight="1" x14ac:dyDescent="0.3">
      <c r="A46" s="22"/>
      <c r="B46" s="22"/>
      <c r="C46" s="23"/>
      <c r="D46" s="29"/>
      <c r="E46" s="25"/>
      <c r="F46" s="22"/>
      <c r="G46" s="22"/>
      <c r="H46" s="23"/>
      <c r="I46" s="22"/>
      <c r="J46" s="23"/>
      <c r="K46" s="22"/>
      <c r="L46" s="26"/>
      <c r="M46" s="27"/>
      <c r="N46" s="26"/>
    </row>
    <row r="47" spans="1:14" s="28" customFormat="1" ht="150" hidden="1" customHeight="1" x14ac:dyDescent="0.3">
      <c r="A47" s="22"/>
      <c r="B47" s="22"/>
      <c r="C47" s="23"/>
      <c r="D47" s="29"/>
      <c r="E47" s="25"/>
      <c r="F47" s="22"/>
      <c r="G47" s="22"/>
      <c r="H47" s="23"/>
      <c r="I47" s="22"/>
      <c r="J47" s="23"/>
      <c r="K47" s="22"/>
      <c r="L47" s="26"/>
      <c r="M47" s="27"/>
      <c r="N47" s="26">
        <f t="shared" si="1"/>
        <v>0</v>
      </c>
    </row>
    <row r="48" spans="1:14" s="28" customFormat="1" ht="150" hidden="1" customHeight="1" x14ac:dyDescent="0.3">
      <c r="A48" s="22"/>
      <c r="B48" s="22"/>
      <c r="C48" s="23"/>
      <c r="D48" s="29"/>
      <c r="E48" s="25"/>
      <c r="F48" s="22"/>
      <c r="G48" s="22"/>
      <c r="H48" s="23"/>
      <c r="I48" s="22"/>
      <c r="J48" s="23"/>
      <c r="K48" s="22"/>
      <c r="L48" s="26"/>
      <c r="M48" s="27"/>
      <c r="N48" s="26">
        <f t="shared" si="1"/>
        <v>0</v>
      </c>
    </row>
    <row r="49" spans="1:14" s="28" customFormat="1" ht="150" hidden="1" customHeight="1" x14ac:dyDescent="0.3">
      <c r="A49" s="22"/>
      <c r="B49" s="22"/>
      <c r="C49" s="23"/>
      <c r="D49" s="29"/>
      <c r="E49" s="25"/>
      <c r="F49" s="22"/>
      <c r="G49" s="22"/>
      <c r="H49" s="23"/>
      <c r="I49" s="22"/>
      <c r="J49" s="23"/>
      <c r="K49" s="22"/>
      <c r="L49" s="26"/>
      <c r="M49" s="27"/>
      <c r="N49" s="26">
        <f t="shared" si="1"/>
        <v>0</v>
      </c>
    </row>
    <row r="50" spans="1:14" s="28" customFormat="1" ht="150" hidden="1" customHeight="1" x14ac:dyDescent="0.3">
      <c r="A50" s="22"/>
      <c r="B50" s="22"/>
      <c r="C50" s="23"/>
      <c r="D50" s="29"/>
      <c r="E50" s="25"/>
      <c r="F50" s="22"/>
      <c r="G50" s="22"/>
      <c r="H50" s="23"/>
      <c r="I50" s="22"/>
      <c r="J50" s="23"/>
      <c r="K50" s="22"/>
      <c r="L50" s="26"/>
      <c r="M50" s="27"/>
      <c r="N50" s="26">
        <f t="shared" si="1"/>
        <v>0</v>
      </c>
    </row>
    <row r="51" spans="1:14" s="11" customFormat="1" ht="150" customHeight="1" x14ac:dyDescent="0.3">
      <c r="A51" s="22"/>
      <c r="B51" s="22"/>
      <c r="C51" s="23"/>
      <c r="D51" s="29"/>
      <c r="E51" s="25"/>
      <c r="F51" s="22"/>
      <c r="G51" s="22"/>
      <c r="H51" s="23"/>
      <c r="I51" s="22"/>
      <c r="J51" s="22"/>
      <c r="K51" s="22"/>
      <c r="L51" s="26"/>
      <c r="M51" s="27"/>
      <c r="N51" s="26">
        <f t="shared" si="1"/>
        <v>0</v>
      </c>
    </row>
    <row r="52" spans="1:14" s="11" customFormat="1" ht="150" customHeight="1" x14ac:dyDescent="0.3">
      <c r="A52" s="13"/>
      <c r="B52" s="13"/>
      <c r="C52" s="14"/>
      <c r="D52" s="14"/>
      <c r="E52" s="15"/>
      <c r="F52" s="13"/>
      <c r="G52" s="13"/>
      <c r="H52" s="14"/>
      <c r="I52" s="13"/>
      <c r="J52" s="13"/>
      <c r="K52" s="13"/>
      <c r="L52" s="9">
        <f>SUM(L4:L51)</f>
        <v>39424</v>
      </c>
      <c r="M52" s="16">
        <f>SUM(M4:M51)</f>
        <v>13650</v>
      </c>
      <c r="N52" s="9">
        <f>SUM(N4:N51)</f>
        <v>25774</v>
      </c>
    </row>
    <row r="53" spans="1:14" s="12" customFormat="1" ht="100.05" customHeight="1" x14ac:dyDescent="0.3">
      <c r="A53" s="17"/>
      <c r="B53" s="17"/>
      <c r="C53" s="17"/>
      <c r="D53" s="20"/>
      <c r="E53" s="17"/>
      <c r="F53" s="17"/>
      <c r="G53" s="17"/>
      <c r="H53" s="17"/>
      <c r="I53" s="17"/>
      <c r="J53" s="17"/>
      <c r="K53" s="17"/>
      <c r="L53" s="17"/>
      <c r="M53" s="17"/>
      <c r="N53" s="17"/>
    </row>
    <row r="54" spans="1:14" ht="100.05" customHeight="1" x14ac:dyDescent="0.3"/>
    <row r="55" spans="1:14" s="4" customFormat="1" ht="100.05" customHeight="1" x14ac:dyDescent="0.3">
      <c r="A55" s="17"/>
      <c r="B55" s="17"/>
      <c r="C55" s="17"/>
      <c r="D55" s="20"/>
      <c r="E55" s="17"/>
      <c r="F55" s="17"/>
      <c r="G55" s="17"/>
      <c r="H55" s="17"/>
      <c r="I55" s="17"/>
      <c r="J55" s="17"/>
      <c r="K55" s="17"/>
      <c r="L55" s="17"/>
      <c r="M55" s="17"/>
      <c r="N55" s="17"/>
    </row>
    <row r="56" spans="1:14" s="4" customFormat="1" ht="100.05" customHeight="1" x14ac:dyDescent="0.3">
      <c r="A56" s="17"/>
      <c r="B56" s="17"/>
      <c r="C56" s="17"/>
      <c r="D56" s="20"/>
      <c r="E56" s="17"/>
      <c r="F56" s="17"/>
      <c r="G56" s="17"/>
      <c r="H56" s="17"/>
      <c r="I56" s="17"/>
      <c r="J56" s="17"/>
      <c r="K56" s="17"/>
      <c r="L56" s="17"/>
      <c r="M56" s="17"/>
      <c r="N56" s="17"/>
    </row>
    <row r="57" spans="1:14" s="11" customFormat="1" ht="100.05" customHeight="1" x14ac:dyDescent="0.3">
      <c r="A57" s="17"/>
      <c r="B57" s="17"/>
      <c r="C57" s="17"/>
      <c r="D57" s="20"/>
      <c r="E57" s="17"/>
      <c r="F57" s="17"/>
      <c r="G57" s="17"/>
      <c r="H57" s="17"/>
      <c r="I57" s="17"/>
      <c r="J57" s="17"/>
      <c r="K57" s="17"/>
      <c r="L57" s="17"/>
      <c r="M57" s="17"/>
      <c r="N57" s="17"/>
    </row>
    <row r="58" spans="1:14" s="11" customFormat="1" ht="100.05" customHeight="1" x14ac:dyDescent="0.3">
      <c r="A58" s="17"/>
      <c r="B58" s="17"/>
      <c r="C58" s="17"/>
      <c r="D58" s="20"/>
      <c r="E58" s="17"/>
      <c r="F58" s="17"/>
      <c r="G58" s="17"/>
      <c r="H58" s="17"/>
      <c r="I58" s="17"/>
      <c r="J58" s="17"/>
      <c r="K58" s="17"/>
      <c r="L58" s="17"/>
      <c r="M58" s="17"/>
      <c r="N58" s="17"/>
    </row>
    <row r="59" spans="1:14" s="11" customFormat="1" ht="100.05" customHeight="1" x14ac:dyDescent="0.3">
      <c r="A59" s="17"/>
      <c r="B59" s="17"/>
      <c r="C59" s="17"/>
      <c r="D59" s="20"/>
      <c r="E59" s="17"/>
      <c r="F59" s="17"/>
      <c r="G59" s="17"/>
      <c r="H59" s="17"/>
      <c r="I59" s="17"/>
      <c r="J59" s="17"/>
      <c r="K59" s="17"/>
      <c r="L59" s="17"/>
      <c r="M59" s="17"/>
      <c r="N59" s="17"/>
    </row>
    <row r="60" spans="1:14" s="11" customFormat="1" ht="100.05" customHeight="1" x14ac:dyDescent="0.3">
      <c r="A60" s="17"/>
      <c r="B60" s="17"/>
      <c r="C60" s="17"/>
      <c r="D60" s="20"/>
      <c r="E60" s="17"/>
      <c r="F60" s="17"/>
      <c r="G60" s="17"/>
      <c r="H60" s="17"/>
      <c r="I60" s="17"/>
      <c r="J60" s="17"/>
      <c r="K60" s="17"/>
      <c r="L60" s="17"/>
      <c r="M60" s="17"/>
      <c r="N60" s="17"/>
    </row>
    <row r="61" spans="1:14" s="11" customFormat="1" ht="100.05" customHeight="1" x14ac:dyDescent="0.3">
      <c r="A61" s="17"/>
      <c r="B61" s="17"/>
      <c r="C61" s="17"/>
      <c r="D61" s="20"/>
      <c r="E61" s="17"/>
      <c r="F61" s="17"/>
      <c r="G61" s="17"/>
      <c r="H61" s="17"/>
      <c r="I61" s="17"/>
      <c r="J61" s="17"/>
      <c r="K61" s="17"/>
      <c r="L61" s="17"/>
      <c r="M61" s="17"/>
      <c r="N61" s="17"/>
    </row>
    <row r="62" spans="1:14" s="11" customFormat="1" ht="100.05" customHeight="1" x14ac:dyDescent="0.3">
      <c r="A62" s="17"/>
      <c r="B62" s="17"/>
      <c r="C62" s="17"/>
      <c r="D62" s="20"/>
      <c r="E62" s="17"/>
      <c r="F62" s="17"/>
      <c r="G62" s="17"/>
      <c r="H62" s="17"/>
      <c r="I62" s="17"/>
      <c r="J62" s="17"/>
      <c r="K62" s="17"/>
      <c r="L62" s="17"/>
      <c r="M62" s="17"/>
      <c r="N62" s="17"/>
    </row>
    <row r="63" spans="1:14" s="11" customFormat="1" ht="100.05" customHeight="1" x14ac:dyDescent="0.3">
      <c r="A63" s="17"/>
      <c r="B63" s="17"/>
      <c r="C63" s="17"/>
      <c r="D63" s="20"/>
      <c r="E63" s="17"/>
      <c r="F63" s="17"/>
      <c r="G63" s="17"/>
      <c r="H63" s="17"/>
      <c r="I63" s="17"/>
      <c r="J63" s="17"/>
      <c r="K63" s="17"/>
      <c r="L63" s="17"/>
      <c r="M63" s="17"/>
      <c r="N63" s="17"/>
    </row>
    <row r="64" spans="1:14" s="11" customFormat="1" ht="100.05" customHeight="1" x14ac:dyDescent="0.3">
      <c r="A64" s="17"/>
      <c r="B64" s="17"/>
      <c r="C64" s="17"/>
      <c r="D64" s="20"/>
      <c r="E64" s="17"/>
      <c r="F64" s="17"/>
      <c r="G64" s="17"/>
      <c r="H64" s="17"/>
      <c r="I64" s="17"/>
      <c r="J64" s="17"/>
      <c r="K64" s="17"/>
      <c r="L64" s="17"/>
      <c r="M64" s="17"/>
      <c r="N64" s="17"/>
    </row>
    <row r="65" spans="1:14" s="11" customFormat="1" ht="100.05" customHeight="1" x14ac:dyDescent="0.3">
      <c r="A65" s="17"/>
      <c r="B65" s="17"/>
      <c r="C65" s="17"/>
      <c r="D65" s="20"/>
      <c r="E65" s="17"/>
      <c r="F65" s="17"/>
      <c r="G65" s="17"/>
      <c r="H65" s="17"/>
      <c r="I65" s="17"/>
      <c r="J65" s="17"/>
      <c r="K65" s="17"/>
      <c r="L65" s="17"/>
      <c r="M65" s="17"/>
      <c r="N65" s="17"/>
    </row>
    <row r="66" spans="1:14" s="11" customFormat="1" ht="100.05" customHeight="1" x14ac:dyDescent="0.3">
      <c r="A66" s="17"/>
      <c r="B66" s="17"/>
      <c r="C66" s="17"/>
      <c r="D66" s="20"/>
      <c r="E66" s="17"/>
      <c r="F66" s="17"/>
      <c r="G66" s="17"/>
      <c r="H66" s="17"/>
      <c r="I66" s="17"/>
      <c r="J66" s="17"/>
      <c r="K66" s="17"/>
      <c r="L66" s="17"/>
      <c r="M66" s="17"/>
      <c r="N66" s="17"/>
    </row>
  </sheetData>
  <mergeCells count="3">
    <mergeCell ref="A1:C1"/>
    <mergeCell ref="K1:N1"/>
    <mergeCell ref="A2:N2"/>
  </mergeCells>
  <phoneticPr fontId="8" type="noConversion"/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18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6"/>
  <sheetViews>
    <sheetView zoomScale="25" zoomScaleNormal="25" workbookViewId="0">
      <selection activeCell="A3" sqref="A3"/>
    </sheetView>
  </sheetViews>
  <sheetFormatPr defaultColWidth="8.88671875" defaultRowHeight="14.4" x14ac:dyDescent="0.3"/>
  <cols>
    <col min="1" max="1" width="41.77734375" style="17" customWidth="1"/>
    <col min="2" max="2" width="19.6640625" style="17" customWidth="1"/>
    <col min="3" max="3" width="29.21875" style="17" customWidth="1"/>
    <col min="4" max="4" width="28.6640625" style="20" customWidth="1"/>
    <col min="5" max="5" width="162.109375" style="17" customWidth="1"/>
    <col min="6" max="6" width="32.109375" style="17" bestFit="1" customWidth="1"/>
    <col min="7" max="7" width="21.88671875" style="17" bestFit="1" customWidth="1"/>
    <col min="8" max="8" width="26.6640625" style="17" bestFit="1" customWidth="1"/>
    <col min="9" max="9" width="40.109375" style="17" bestFit="1" customWidth="1"/>
    <col min="10" max="10" width="37.88671875" style="17" customWidth="1"/>
    <col min="11" max="11" width="25.6640625" style="17" customWidth="1"/>
    <col min="12" max="14" width="26.77734375" style="17" bestFit="1" customWidth="1"/>
    <col min="15" max="16384" width="8.88671875" style="18"/>
  </cols>
  <sheetData>
    <row r="1" spans="1:14" s="3" customFormat="1" ht="100.05" customHeight="1" x14ac:dyDescent="0.95">
      <c r="A1" s="37"/>
      <c r="B1" s="37"/>
      <c r="C1" s="37"/>
      <c r="D1" s="19"/>
      <c r="E1" s="1"/>
      <c r="F1" s="1"/>
      <c r="G1" s="1"/>
      <c r="H1" s="1"/>
      <c r="I1" s="1"/>
      <c r="J1" s="2" t="s">
        <v>0</v>
      </c>
      <c r="K1" s="38">
        <v>45929</v>
      </c>
      <c r="L1" s="38"/>
      <c r="M1" s="38"/>
      <c r="N1" s="38"/>
    </row>
    <row r="2" spans="1:14" s="4" customFormat="1" ht="100.05" customHeight="1" x14ac:dyDescent="0.3">
      <c r="A2" s="39" t="s">
        <v>68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</row>
    <row r="3" spans="1:14" s="4" customFormat="1" ht="150" customHeight="1" x14ac:dyDescent="0.3">
      <c r="A3" s="5" t="s">
        <v>1</v>
      </c>
      <c r="B3" s="5" t="s">
        <v>2</v>
      </c>
      <c r="C3" s="6" t="s">
        <v>3</v>
      </c>
      <c r="D3" s="7" t="s">
        <v>4</v>
      </c>
      <c r="E3" s="5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6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s="28" customFormat="1" ht="150" customHeight="1" x14ac:dyDescent="0.3">
      <c r="A4" s="22" t="s">
        <v>28</v>
      </c>
      <c r="B4" s="22">
        <v>304</v>
      </c>
      <c r="C4" s="23">
        <v>0.8</v>
      </c>
      <c r="D4" s="24">
        <v>37.700000000000003</v>
      </c>
      <c r="E4" s="30" t="s">
        <v>30</v>
      </c>
      <c r="F4" s="22" t="s">
        <v>15</v>
      </c>
      <c r="G4" s="22">
        <v>430</v>
      </c>
      <c r="H4" s="23">
        <v>0.6</v>
      </c>
      <c r="I4" s="22">
        <v>157</v>
      </c>
      <c r="J4" s="23">
        <v>4</v>
      </c>
      <c r="K4" s="22" t="s">
        <v>17</v>
      </c>
      <c r="L4" s="26">
        <v>3200</v>
      </c>
      <c r="M4" s="27">
        <f>1300+1750+200</f>
        <v>3250</v>
      </c>
      <c r="N4" s="26">
        <f t="shared" ref="N4:N13" si="0">L4-M4</f>
        <v>-50</v>
      </c>
    </row>
    <row r="5" spans="1:14" s="28" customFormat="1" ht="150" customHeight="1" x14ac:dyDescent="0.3">
      <c r="A5" s="22">
        <v>10925</v>
      </c>
      <c r="B5" s="22">
        <v>430</v>
      </c>
      <c r="C5" s="23">
        <v>0.8</v>
      </c>
      <c r="D5" s="24" t="s">
        <v>22</v>
      </c>
      <c r="E5" s="25" t="s">
        <v>26</v>
      </c>
      <c r="F5" s="22" t="s">
        <v>16</v>
      </c>
      <c r="G5" s="22" t="s">
        <v>16</v>
      </c>
      <c r="H5" s="23" t="s">
        <v>16</v>
      </c>
      <c r="I5" s="22" t="s">
        <v>16</v>
      </c>
      <c r="J5" s="22" t="s">
        <v>16</v>
      </c>
      <c r="K5" s="22" t="s">
        <v>17</v>
      </c>
      <c r="L5" s="26">
        <v>3300</v>
      </c>
      <c r="M5" s="27">
        <f>1700</f>
        <v>1700</v>
      </c>
      <c r="N5" s="26">
        <f t="shared" si="0"/>
        <v>1600</v>
      </c>
    </row>
    <row r="6" spans="1:14" s="28" customFormat="1" ht="150" customHeight="1" x14ac:dyDescent="0.3">
      <c r="A6" s="22" t="s">
        <v>28</v>
      </c>
      <c r="B6" s="22">
        <v>304</v>
      </c>
      <c r="C6" s="23">
        <v>0.8</v>
      </c>
      <c r="D6" s="24">
        <v>30</v>
      </c>
      <c r="E6" s="25" t="s">
        <v>29</v>
      </c>
      <c r="F6" s="22" t="s">
        <v>16</v>
      </c>
      <c r="G6" s="22" t="s">
        <v>16</v>
      </c>
      <c r="H6" s="23" t="s">
        <v>16</v>
      </c>
      <c r="I6" s="22" t="s">
        <v>16</v>
      </c>
      <c r="J6" s="23" t="s">
        <v>16</v>
      </c>
      <c r="K6" s="22" t="s">
        <v>17</v>
      </c>
      <c r="L6" s="26">
        <v>3200</v>
      </c>
      <c r="M6" s="27"/>
      <c r="N6" s="26">
        <f t="shared" si="0"/>
        <v>3200</v>
      </c>
    </row>
    <row r="7" spans="1:14" s="28" customFormat="1" ht="150" customHeight="1" x14ac:dyDescent="0.3">
      <c r="A7" s="22">
        <v>250074</v>
      </c>
      <c r="B7" s="22">
        <v>304</v>
      </c>
      <c r="C7" s="23">
        <v>0.7</v>
      </c>
      <c r="D7" s="29" t="s">
        <v>59</v>
      </c>
      <c r="E7" s="30" t="s">
        <v>60</v>
      </c>
      <c r="F7" s="22" t="s">
        <v>61</v>
      </c>
      <c r="G7" s="22">
        <v>430</v>
      </c>
      <c r="H7" s="23">
        <v>0.6</v>
      </c>
      <c r="I7" s="22" t="s">
        <v>16</v>
      </c>
      <c r="J7" s="23" t="s">
        <v>16</v>
      </c>
      <c r="K7" s="22" t="s">
        <v>17</v>
      </c>
      <c r="L7" s="26">
        <v>708</v>
      </c>
      <c r="M7" s="27"/>
      <c r="N7" s="26">
        <f t="shared" si="0"/>
        <v>708</v>
      </c>
    </row>
    <row r="8" spans="1:14" s="28" customFormat="1" ht="150" customHeight="1" x14ac:dyDescent="0.3">
      <c r="A8" s="22">
        <v>250074</v>
      </c>
      <c r="B8" s="22">
        <v>304</v>
      </c>
      <c r="C8" s="23">
        <v>0.7</v>
      </c>
      <c r="D8" s="29" t="s">
        <v>64</v>
      </c>
      <c r="E8" s="30" t="s">
        <v>62</v>
      </c>
      <c r="F8" s="22" t="s">
        <v>61</v>
      </c>
      <c r="G8" s="22">
        <v>430</v>
      </c>
      <c r="H8" s="23">
        <v>0.6</v>
      </c>
      <c r="I8" s="22" t="s">
        <v>16</v>
      </c>
      <c r="J8" s="23" t="s">
        <v>16</v>
      </c>
      <c r="K8" s="22" t="s">
        <v>17</v>
      </c>
      <c r="L8" s="26">
        <v>708</v>
      </c>
      <c r="M8" s="27"/>
      <c r="N8" s="26">
        <f t="shared" si="0"/>
        <v>708</v>
      </c>
    </row>
    <row r="9" spans="1:14" s="28" customFormat="1" ht="150" customHeight="1" x14ac:dyDescent="0.3">
      <c r="A9" s="22">
        <v>250074</v>
      </c>
      <c r="B9" s="22">
        <v>304</v>
      </c>
      <c r="C9" s="23">
        <v>0.7</v>
      </c>
      <c r="D9" s="29" t="s">
        <v>65</v>
      </c>
      <c r="E9" s="30" t="s">
        <v>63</v>
      </c>
      <c r="F9" s="22" t="s">
        <v>61</v>
      </c>
      <c r="G9" s="22">
        <v>430</v>
      </c>
      <c r="H9" s="23">
        <v>0.6</v>
      </c>
      <c r="I9" s="22" t="s">
        <v>16</v>
      </c>
      <c r="J9" s="23" t="s">
        <v>16</v>
      </c>
      <c r="K9" s="22" t="s">
        <v>17</v>
      </c>
      <c r="L9" s="26">
        <v>708</v>
      </c>
      <c r="M9" s="27"/>
      <c r="N9" s="26">
        <f t="shared" si="0"/>
        <v>708</v>
      </c>
    </row>
    <row r="10" spans="1:14" s="28" customFormat="1" ht="150" customHeight="1" x14ac:dyDescent="0.3">
      <c r="A10" s="22">
        <v>100925</v>
      </c>
      <c r="B10" s="22">
        <v>304</v>
      </c>
      <c r="C10" s="23" t="s">
        <v>31</v>
      </c>
      <c r="D10" s="24" t="s">
        <v>32</v>
      </c>
      <c r="E10" s="30" t="s">
        <v>33</v>
      </c>
      <c r="F10" s="22" t="s">
        <v>16</v>
      </c>
      <c r="G10" s="22">
        <v>430</v>
      </c>
      <c r="H10" s="23">
        <v>0.6</v>
      </c>
      <c r="I10" s="22" t="s">
        <v>16</v>
      </c>
      <c r="J10" s="23" t="s">
        <v>16</v>
      </c>
      <c r="K10" s="22" t="s">
        <v>17</v>
      </c>
      <c r="L10" s="26">
        <v>1200</v>
      </c>
      <c r="M10" s="27"/>
      <c r="N10" s="26">
        <f t="shared" si="0"/>
        <v>1200</v>
      </c>
    </row>
    <row r="11" spans="1:14" s="28" customFormat="1" ht="150" customHeight="1" x14ac:dyDescent="0.3">
      <c r="A11" s="22">
        <v>100925</v>
      </c>
      <c r="B11" s="22">
        <v>304</v>
      </c>
      <c r="C11" s="23" t="s">
        <v>31</v>
      </c>
      <c r="D11" s="29" t="s">
        <v>35</v>
      </c>
      <c r="E11" s="25" t="s">
        <v>67</v>
      </c>
      <c r="F11" s="22" t="s">
        <v>16</v>
      </c>
      <c r="G11" s="22" t="s">
        <v>16</v>
      </c>
      <c r="H11" s="23" t="s">
        <v>16</v>
      </c>
      <c r="I11" s="22" t="s">
        <v>16</v>
      </c>
      <c r="J11" s="23" t="s">
        <v>16</v>
      </c>
      <c r="K11" s="22" t="s">
        <v>17</v>
      </c>
      <c r="L11" s="26">
        <v>1200</v>
      </c>
      <c r="M11" s="27"/>
      <c r="N11" s="26">
        <f t="shared" si="0"/>
        <v>1200</v>
      </c>
    </row>
    <row r="12" spans="1:14" s="28" customFormat="1" ht="150" customHeight="1" x14ac:dyDescent="0.3">
      <c r="A12" s="22">
        <v>100925</v>
      </c>
      <c r="B12" s="22">
        <v>304</v>
      </c>
      <c r="C12" s="23" t="s">
        <v>31</v>
      </c>
      <c r="D12" s="24" t="s">
        <v>40</v>
      </c>
      <c r="E12" s="25" t="s">
        <v>36</v>
      </c>
      <c r="F12" s="22" t="s">
        <v>16</v>
      </c>
      <c r="G12" s="22">
        <v>430</v>
      </c>
      <c r="H12" s="23">
        <v>0.6</v>
      </c>
      <c r="I12" s="22" t="s">
        <v>16</v>
      </c>
      <c r="J12" s="23" t="s">
        <v>16</v>
      </c>
      <c r="K12" s="22" t="s">
        <v>17</v>
      </c>
      <c r="L12" s="26">
        <v>1500</v>
      </c>
      <c r="M12" s="27"/>
      <c r="N12" s="26">
        <f t="shared" si="0"/>
        <v>1500</v>
      </c>
    </row>
    <row r="13" spans="1:14" s="28" customFormat="1" ht="150" customHeight="1" x14ac:dyDescent="0.3">
      <c r="A13" s="22">
        <v>100925</v>
      </c>
      <c r="B13" s="22">
        <v>304</v>
      </c>
      <c r="C13" s="23" t="s">
        <v>31</v>
      </c>
      <c r="D13" s="29" t="s">
        <v>41</v>
      </c>
      <c r="E13" s="25" t="s">
        <v>37</v>
      </c>
      <c r="F13" s="22" t="s">
        <v>16</v>
      </c>
      <c r="G13" s="22" t="s">
        <v>16</v>
      </c>
      <c r="H13" s="23" t="s">
        <v>16</v>
      </c>
      <c r="I13" s="22" t="s">
        <v>16</v>
      </c>
      <c r="J13" s="23" t="s">
        <v>16</v>
      </c>
      <c r="K13" s="22" t="s">
        <v>17</v>
      </c>
      <c r="L13" s="26">
        <v>1500</v>
      </c>
      <c r="M13" s="27"/>
      <c r="N13" s="26">
        <f t="shared" si="0"/>
        <v>1500</v>
      </c>
    </row>
    <row r="14" spans="1:14" s="28" customFormat="1" ht="150" customHeight="1" x14ac:dyDescent="0.3">
      <c r="A14" s="22">
        <v>100925</v>
      </c>
      <c r="B14" s="22">
        <v>304</v>
      </c>
      <c r="C14" s="23" t="s">
        <v>31</v>
      </c>
      <c r="D14" s="24" t="s">
        <v>40</v>
      </c>
      <c r="E14" s="25" t="s">
        <v>38</v>
      </c>
      <c r="F14" s="22" t="s">
        <v>16</v>
      </c>
      <c r="G14" s="22">
        <v>430</v>
      </c>
      <c r="H14" s="23">
        <v>0.6</v>
      </c>
      <c r="I14" s="22" t="s">
        <v>16</v>
      </c>
      <c r="J14" s="23" t="s">
        <v>16</v>
      </c>
      <c r="K14" s="22" t="s">
        <v>17</v>
      </c>
      <c r="L14" s="26">
        <v>600</v>
      </c>
      <c r="M14" s="27"/>
      <c r="N14" s="26">
        <f>L14-M14</f>
        <v>600</v>
      </c>
    </row>
    <row r="15" spans="1:14" s="28" customFormat="1" ht="150" customHeight="1" x14ac:dyDescent="0.3">
      <c r="A15" s="22">
        <v>100925</v>
      </c>
      <c r="B15" s="22">
        <v>304</v>
      </c>
      <c r="C15" s="23" t="s">
        <v>31</v>
      </c>
      <c r="D15" s="29" t="s">
        <v>41</v>
      </c>
      <c r="E15" s="25" t="s">
        <v>39</v>
      </c>
      <c r="F15" s="22" t="s">
        <v>16</v>
      </c>
      <c r="G15" s="22" t="s">
        <v>16</v>
      </c>
      <c r="H15" s="23" t="s">
        <v>16</v>
      </c>
      <c r="I15" s="22" t="s">
        <v>16</v>
      </c>
      <c r="J15" s="23" t="s">
        <v>16</v>
      </c>
      <c r="K15" s="22" t="s">
        <v>17</v>
      </c>
      <c r="L15" s="26">
        <v>600</v>
      </c>
      <c r="M15" s="27"/>
      <c r="N15" s="26">
        <f t="shared" ref="N15:N51" si="1">L15-M15</f>
        <v>600</v>
      </c>
    </row>
    <row r="16" spans="1:14" s="28" customFormat="1" ht="150" customHeight="1" x14ac:dyDescent="0.3">
      <c r="A16" s="22" t="s">
        <v>42</v>
      </c>
      <c r="B16" s="22">
        <v>304</v>
      </c>
      <c r="C16" s="23">
        <v>0.9</v>
      </c>
      <c r="D16" s="29" t="s">
        <v>56</v>
      </c>
      <c r="E16" s="25" t="s">
        <v>53</v>
      </c>
      <c r="F16" s="22" t="s">
        <v>16</v>
      </c>
      <c r="G16" s="22">
        <v>430</v>
      </c>
      <c r="H16" s="23">
        <v>0.6</v>
      </c>
      <c r="I16" s="22" t="s">
        <v>16</v>
      </c>
      <c r="J16" s="23" t="s">
        <v>16</v>
      </c>
      <c r="K16" s="22" t="s">
        <v>17</v>
      </c>
      <c r="L16" s="26">
        <v>1200</v>
      </c>
      <c r="M16" s="27"/>
      <c r="N16" s="26">
        <f t="shared" si="1"/>
        <v>1200</v>
      </c>
    </row>
    <row r="17" spans="1:14" s="28" customFormat="1" ht="150" customHeight="1" x14ac:dyDescent="0.3">
      <c r="A17" s="22" t="s">
        <v>42</v>
      </c>
      <c r="B17" s="22">
        <v>304</v>
      </c>
      <c r="C17" s="23">
        <v>0.9</v>
      </c>
      <c r="D17" s="29" t="s">
        <v>54</v>
      </c>
      <c r="E17" s="25" t="s">
        <v>55</v>
      </c>
      <c r="F17" s="22" t="s">
        <v>16</v>
      </c>
      <c r="G17" s="22" t="s">
        <v>16</v>
      </c>
      <c r="H17" s="23" t="s">
        <v>16</v>
      </c>
      <c r="I17" s="22" t="s">
        <v>16</v>
      </c>
      <c r="J17" s="23" t="s">
        <v>16</v>
      </c>
      <c r="K17" s="22" t="s">
        <v>17</v>
      </c>
      <c r="L17" s="26">
        <v>1200</v>
      </c>
      <c r="M17" s="27"/>
      <c r="N17" s="26">
        <f t="shared" si="1"/>
        <v>1200</v>
      </c>
    </row>
    <row r="18" spans="1:14" s="28" customFormat="1" ht="150" customHeight="1" x14ac:dyDescent="0.3">
      <c r="A18" s="22" t="s">
        <v>42</v>
      </c>
      <c r="B18" s="22">
        <v>304</v>
      </c>
      <c r="C18" s="23">
        <v>0.9</v>
      </c>
      <c r="D18" s="29" t="s">
        <v>57</v>
      </c>
      <c r="E18" s="25" t="s">
        <v>43</v>
      </c>
      <c r="F18" s="22" t="s">
        <v>16</v>
      </c>
      <c r="G18" s="22">
        <v>430</v>
      </c>
      <c r="H18" s="23">
        <v>0.6</v>
      </c>
      <c r="I18" s="22" t="s">
        <v>16</v>
      </c>
      <c r="J18" s="23" t="s">
        <v>16</v>
      </c>
      <c r="K18" s="22" t="s">
        <v>17</v>
      </c>
      <c r="L18" s="26">
        <v>1500</v>
      </c>
      <c r="M18" s="27"/>
      <c r="N18" s="26">
        <f t="shared" si="1"/>
        <v>1500</v>
      </c>
    </row>
    <row r="19" spans="1:14" s="28" customFormat="1" ht="150" customHeight="1" x14ac:dyDescent="0.3">
      <c r="A19" s="22" t="s">
        <v>42</v>
      </c>
      <c r="B19" s="22">
        <v>304</v>
      </c>
      <c r="C19" s="23">
        <v>0.9</v>
      </c>
      <c r="D19" s="29" t="s">
        <v>58</v>
      </c>
      <c r="E19" s="25" t="s">
        <v>44</v>
      </c>
      <c r="F19" s="22" t="s">
        <v>16</v>
      </c>
      <c r="G19" s="22" t="s">
        <v>16</v>
      </c>
      <c r="H19" s="23" t="s">
        <v>16</v>
      </c>
      <c r="I19" s="22" t="s">
        <v>16</v>
      </c>
      <c r="J19" s="23" t="s">
        <v>16</v>
      </c>
      <c r="K19" s="22" t="s">
        <v>17</v>
      </c>
      <c r="L19" s="26">
        <v>1500</v>
      </c>
      <c r="M19" s="27"/>
      <c r="N19" s="26">
        <f t="shared" si="1"/>
        <v>1500</v>
      </c>
    </row>
    <row r="20" spans="1:14" s="28" customFormat="1" ht="150" customHeight="1" x14ac:dyDescent="0.3">
      <c r="A20" s="22" t="s">
        <v>42</v>
      </c>
      <c r="B20" s="22">
        <v>304</v>
      </c>
      <c r="C20" s="23">
        <v>0.9</v>
      </c>
      <c r="D20" s="29" t="s">
        <v>45</v>
      </c>
      <c r="E20" s="25" t="s">
        <v>46</v>
      </c>
      <c r="F20" s="22" t="s">
        <v>16</v>
      </c>
      <c r="G20" s="22">
        <v>430</v>
      </c>
      <c r="H20" s="23">
        <v>0.6</v>
      </c>
      <c r="I20" s="22" t="s">
        <v>16</v>
      </c>
      <c r="J20" s="23" t="s">
        <v>16</v>
      </c>
      <c r="K20" s="22" t="s">
        <v>17</v>
      </c>
      <c r="L20" s="26">
        <v>1500</v>
      </c>
      <c r="M20" s="27"/>
      <c r="N20" s="26">
        <f t="shared" si="1"/>
        <v>1500</v>
      </c>
    </row>
    <row r="21" spans="1:14" s="28" customFormat="1" ht="150" customHeight="1" x14ac:dyDescent="0.3">
      <c r="A21" s="22" t="s">
        <v>42</v>
      </c>
      <c r="B21" s="22">
        <v>304</v>
      </c>
      <c r="C21" s="23">
        <v>0.9</v>
      </c>
      <c r="D21" s="29" t="s">
        <v>57</v>
      </c>
      <c r="E21" s="25" t="s">
        <v>47</v>
      </c>
      <c r="F21" s="22" t="s">
        <v>16</v>
      </c>
      <c r="G21" s="22" t="s">
        <v>16</v>
      </c>
      <c r="H21" s="23" t="s">
        <v>16</v>
      </c>
      <c r="I21" s="22" t="s">
        <v>16</v>
      </c>
      <c r="J21" s="23" t="s">
        <v>16</v>
      </c>
      <c r="K21" s="22" t="s">
        <v>17</v>
      </c>
      <c r="L21" s="26">
        <v>1500</v>
      </c>
      <c r="M21" s="27"/>
      <c r="N21" s="26">
        <f t="shared" si="1"/>
        <v>1500</v>
      </c>
    </row>
    <row r="22" spans="1:14" s="28" customFormat="1" ht="150" customHeight="1" x14ac:dyDescent="0.3">
      <c r="A22" s="22">
        <v>160925</v>
      </c>
      <c r="B22" s="22">
        <v>304</v>
      </c>
      <c r="C22" s="23">
        <v>0.9</v>
      </c>
      <c r="D22" s="29" t="s">
        <v>48</v>
      </c>
      <c r="E22" s="25" t="s">
        <v>49</v>
      </c>
      <c r="F22" s="22" t="s">
        <v>16</v>
      </c>
      <c r="G22" s="22">
        <v>430</v>
      </c>
      <c r="H22" s="23">
        <v>0.6</v>
      </c>
      <c r="I22" s="22" t="s">
        <v>16</v>
      </c>
      <c r="J22" s="23" t="s">
        <v>16</v>
      </c>
      <c r="K22" s="22" t="s">
        <v>17</v>
      </c>
      <c r="L22" s="26">
        <v>1100</v>
      </c>
      <c r="M22" s="27"/>
      <c r="N22" s="26">
        <f t="shared" si="1"/>
        <v>1100</v>
      </c>
    </row>
    <row r="23" spans="1:14" s="28" customFormat="1" ht="150" customHeight="1" x14ac:dyDescent="0.3">
      <c r="A23" s="22">
        <v>160925</v>
      </c>
      <c r="B23" s="22">
        <v>304</v>
      </c>
      <c r="C23" s="23">
        <v>0.9</v>
      </c>
      <c r="D23" s="29" t="s">
        <v>50</v>
      </c>
      <c r="E23" s="25" t="s">
        <v>51</v>
      </c>
      <c r="F23" s="22" t="s">
        <v>16</v>
      </c>
      <c r="G23" s="22" t="s">
        <v>52</v>
      </c>
      <c r="H23" s="23" t="s">
        <v>52</v>
      </c>
      <c r="I23" s="22" t="s">
        <v>16</v>
      </c>
      <c r="J23" s="23" t="s">
        <v>16</v>
      </c>
      <c r="K23" s="22" t="s">
        <v>17</v>
      </c>
      <c r="L23" s="26">
        <v>1100</v>
      </c>
      <c r="M23" s="27"/>
      <c r="N23" s="26">
        <f t="shared" si="1"/>
        <v>1100</v>
      </c>
    </row>
    <row r="24" spans="1:14" s="28" customFormat="1" ht="150" customHeight="1" x14ac:dyDescent="0.3">
      <c r="A24" s="22"/>
      <c r="B24" s="22"/>
      <c r="C24" s="23"/>
      <c r="D24" s="29"/>
      <c r="E24" s="25"/>
      <c r="F24" s="22"/>
      <c r="G24" s="22"/>
      <c r="H24" s="23"/>
      <c r="I24" s="22"/>
      <c r="J24" s="23"/>
      <c r="K24" s="22"/>
      <c r="L24" s="26"/>
      <c r="M24" s="27"/>
      <c r="N24" s="26">
        <f t="shared" si="1"/>
        <v>0</v>
      </c>
    </row>
    <row r="25" spans="1:14" s="28" customFormat="1" ht="150" customHeight="1" x14ac:dyDescent="0.3">
      <c r="A25" s="22"/>
      <c r="B25" s="22"/>
      <c r="C25" s="23"/>
      <c r="D25" s="29"/>
      <c r="E25" s="25"/>
      <c r="F25" s="22"/>
      <c r="G25" s="22"/>
      <c r="H25" s="23"/>
      <c r="I25" s="22"/>
      <c r="J25" s="23"/>
      <c r="K25" s="22"/>
      <c r="L25" s="26"/>
      <c r="M25" s="27"/>
      <c r="N25" s="26">
        <f t="shared" si="1"/>
        <v>0</v>
      </c>
    </row>
    <row r="26" spans="1:14" s="28" customFormat="1" ht="150" customHeight="1" x14ac:dyDescent="0.3">
      <c r="A26" s="22"/>
      <c r="B26" s="22"/>
      <c r="C26" s="23"/>
      <c r="D26" s="29"/>
      <c r="E26" s="25"/>
      <c r="F26" s="22"/>
      <c r="G26" s="22"/>
      <c r="H26" s="23"/>
      <c r="I26" s="22"/>
      <c r="J26" s="23"/>
      <c r="K26" s="22"/>
      <c r="L26" s="26"/>
      <c r="M26" s="27"/>
      <c r="N26" s="26">
        <f t="shared" si="1"/>
        <v>0</v>
      </c>
    </row>
    <row r="27" spans="1:14" s="28" customFormat="1" ht="150" hidden="1" customHeight="1" x14ac:dyDescent="0.3">
      <c r="A27" s="22"/>
      <c r="B27" s="22"/>
      <c r="C27" s="23"/>
      <c r="D27" s="24"/>
      <c r="E27" s="25"/>
      <c r="F27" s="22"/>
      <c r="G27" s="22"/>
      <c r="H27" s="23"/>
      <c r="I27" s="22"/>
      <c r="J27" s="23"/>
      <c r="K27" s="22"/>
      <c r="L27" s="26"/>
      <c r="M27" s="27"/>
      <c r="N27" s="26"/>
    </row>
    <row r="28" spans="1:14" s="28" customFormat="1" ht="150" hidden="1" customHeight="1" x14ac:dyDescent="0.3">
      <c r="A28" s="22"/>
      <c r="B28" s="22"/>
      <c r="C28" s="23"/>
      <c r="D28" s="29"/>
      <c r="E28" s="25"/>
      <c r="F28" s="22"/>
      <c r="G28" s="22"/>
      <c r="H28" s="23"/>
      <c r="I28" s="22"/>
      <c r="J28" s="23"/>
      <c r="K28" s="22"/>
      <c r="L28" s="26"/>
      <c r="M28" s="27"/>
      <c r="N28" s="26"/>
    </row>
    <row r="29" spans="1:14" s="28" customFormat="1" ht="150" hidden="1" customHeight="1" x14ac:dyDescent="0.3">
      <c r="A29" s="22"/>
      <c r="B29" s="22"/>
      <c r="C29" s="23"/>
      <c r="D29" s="24"/>
      <c r="E29" s="25"/>
      <c r="F29" s="22"/>
      <c r="G29" s="22"/>
      <c r="H29" s="23"/>
      <c r="I29" s="22"/>
      <c r="J29" s="23"/>
      <c r="K29" s="22"/>
      <c r="L29" s="26"/>
      <c r="M29" s="27"/>
      <c r="N29" s="26"/>
    </row>
    <row r="30" spans="1:14" s="28" customFormat="1" ht="150" hidden="1" customHeight="1" x14ac:dyDescent="0.3">
      <c r="A30" s="22"/>
      <c r="B30" s="22"/>
      <c r="C30" s="23"/>
      <c r="D30" s="29"/>
      <c r="E30" s="25"/>
      <c r="F30" s="22"/>
      <c r="G30" s="22"/>
      <c r="H30" s="23"/>
      <c r="I30" s="22"/>
      <c r="J30" s="23"/>
      <c r="K30" s="22"/>
      <c r="L30" s="26"/>
      <c r="M30" s="27"/>
      <c r="N30" s="26"/>
    </row>
    <row r="31" spans="1:14" s="28" customFormat="1" ht="150" hidden="1" customHeight="1" x14ac:dyDescent="0.3">
      <c r="A31" s="22"/>
      <c r="B31" s="22"/>
      <c r="C31" s="23"/>
      <c r="D31" s="24"/>
      <c r="E31" s="25"/>
      <c r="F31" s="22"/>
      <c r="G31" s="22"/>
      <c r="H31" s="23"/>
      <c r="I31" s="22"/>
      <c r="J31" s="23"/>
      <c r="K31" s="22"/>
      <c r="L31" s="26"/>
      <c r="M31" s="27"/>
      <c r="N31" s="26"/>
    </row>
    <row r="32" spans="1:14" s="28" customFormat="1" ht="150" hidden="1" customHeight="1" x14ac:dyDescent="0.3">
      <c r="A32" s="22"/>
      <c r="B32" s="22"/>
      <c r="C32" s="23"/>
      <c r="D32" s="29"/>
      <c r="E32" s="25"/>
      <c r="F32" s="22"/>
      <c r="G32" s="22"/>
      <c r="H32" s="23"/>
      <c r="I32" s="22"/>
      <c r="J32" s="23"/>
      <c r="K32" s="22"/>
      <c r="L32" s="26"/>
      <c r="M32" s="27"/>
      <c r="N32" s="26"/>
    </row>
    <row r="33" spans="1:14" s="28" customFormat="1" ht="150" hidden="1" customHeight="1" x14ac:dyDescent="0.3">
      <c r="A33" s="22"/>
      <c r="B33" s="22"/>
      <c r="C33" s="23"/>
      <c r="D33" s="29"/>
      <c r="E33" s="25"/>
      <c r="F33" s="22"/>
      <c r="G33" s="22"/>
      <c r="H33" s="23"/>
      <c r="I33" s="22"/>
      <c r="J33" s="23"/>
      <c r="K33" s="22"/>
      <c r="L33" s="26"/>
      <c r="M33" s="27"/>
      <c r="N33" s="26"/>
    </row>
    <row r="34" spans="1:14" s="28" customFormat="1" ht="150" hidden="1" customHeight="1" x14ac:dyDescent="0.3">
      <c r="A34" s="22"/>
      <c r="B34" s="22"/>
      <c r="C34" s="23"/>
      <c r="D34" s="29"/>
      <c r="E34" s="25"/>
      <c r="F34" s="22"/>
      <c r="G34" s="22"/>
      <c r="H34" s="23"/>
      <c r="I34" s="22"/>
      <c r="J34" s="23"/>
      <c r="K34" s="22"/>
      <c r="L34" s="26"/>
      <c r="M34" s="27"/>
      <c r="N34" s="26"/>
    </row>
    <row r="35" spans="1:14" s="28" customFormat="1" ht="150" hidden="1" customHeight="1" x14ac:dyDescent="0.3">
      <c r="A35" s="22"/>
      <c r="B35" s="22"/>
      <c r="C35" s="23"/>
      <c r="D35" s="29"/>
      <c r="E35" s="25"/>
      <c r="F35" s="22"/>
      <c r="G35" s="22"/>
      <c r="H35" s="23"/>
      <c r="I35" s="22"/>
      <c r="J35" s="23"/>
      <c r="K35" s="22"/>
      <c r="L35" s="26"/>
      <c r="M35" s="27"/>
      <c r="N35" s="26"/>
    </row>
    <row r="36" spans="1:14" s="28" customFormat="1" ht="150" hidden="1" customHeight="1" x14ac:dyDescent="0.3">
      <c r="A36" s="22"/>
      <c r="B36" s="22"/>
      <c r="C36" s="23"/>
      <c r="D36" s="29"/>
      <c r="E36" s="25"/>
      <c r="F36" s="22"/>
      <c r="G36" s="22"/>
      <c r="H36" s="23"/>
      <c r="I36" s="22"/>
      <c r="J36" s="23"/>
      <c r="K36" s="22"/>
      <c r="L36" s="26"/>
      <c r="M36" s="27"/>
      <c r="N36" s="26"/>
    </row>
    <row r="37" spans="1:14" s="28" customFormat="1" ht="150" hidden="1" customHeight="1" x14ac:dyDescent="0.3">
      <c r="A37" s="22"/>
      <c r="B37" s="22"/>
      <c r="C37" s="23"/>
      <c r="D37" s="29"/>
      <c r="E37" s="25"/>
      <c r="F37" s="22"/>
      <c r="G37" s="22"/>
      <c r="H37" s="23"/>
      <c r="I37" s="22"/>
      <c r="J37" s="23"/>
      <c r="K37" s="22"/>
      <c r="L37" s="26"/>
      <c r="M37" s="27"/>
      <c r="N37" s="26"/>
    </row>
    <row r="38" spans="1:14" s="28" customFormat="1" ht="150" hidden="1" customHeight="1" x14ac:dyDescent="0.3">
      <c r="A38" s="22"/>
      <c r="B38" s="22"/>
      <c r="C38" s="23"/>
      <c r="D38" s="29"/>
      <c r="E38" s="25"/>
      <c r="F38" s="22"/>
      <c r="G38" s="22"/>
      <c r="H38" s="23"/>
      <c r="I38" s="22"/>
      <c r="J38" s="23"/>
      <c r="K38" s="22"/>
      <c r="L38" s="26"/>
      <c r="M38" s="27"/>
      <c r="N38" s="26"/>
    </row>
    <row r="39" spans="1:14" s="28" customFormat="1" ht="150" hidden="1" customHeight="1" x14ac:dyDescent="0.3">
      <c r="A39" s="22"/>
      <c r="B39" s="22"/>
      <c r="C39" s="23"/>
      <c r="D39" s="29"/>
      <c r="E39" s="25"/>
      <c r="F39" s="22"/>
      <c r="G39" s="22"/>
      <c r="H39" s="23"/>
      <c r="I39" s="22"/>
      <c r="J39" s="23"/>
      <c r="K39" s="22"/>
      <c r="L39" s="26"/>
      <c r="M39" s="27"/>
      <c r="N39" s="26"/>
    </row>
    <row r="40" spans="1:14" s="28" customFormat="1" ht="150" hidden="1" customHeight="1" x14ac:dyDescent="0.3">
      <c r="A40" s="22"/>
      <c r="B40" s="22"/>
      <c r="C40" s="23"/>
      <c r="D40" s="29"/>
      <c r="E40" s="25"/>
      <c r="F40" s="22"/>
      <c r="G40" s="22"/>
      <c r="H40" s="23"/>
      <c r="I40" s="22"/>
      <c r="J40" s="23"/>
      <c r="K40" s="22"/>
      <c r="L40" s="26"/>
      <c r="M40" s="27"/>
      <c r="N40" s="26"/>
    </row>
    <row r="41" spans="1:14" s="28" customFormat="1" ht="150" hidden="1" customHeight="1" x14ac:dyDescent="0.3">
      <c r="A41" s="22"/>
      <c r="B41" s="22"/>
      <c r="C41" s="23"/>
      <c r="D41" s="29"/>
      <c r="E41" s="25"/>
      <c r="F41" s="22"/>
      <c r="G41" s="22"/>
      <c r="H41" s="23"/>
      <c r="I41" s="22"/>
      <c r="J41" s="23"/>
      <c r="K41" s="22"/>
      <c r="L41" s="26"/>
      <c r="M41" s="27"/>
      <c r="N41" s="26"/>
    </row>
    <row r="42" spans="1:14" s="28" customFormat="1" ht="150" hidden="1" customHeight="1" x14ac:dyDescent="0.3">
      <c r="A42" s="22"/>
      <c r="B42" s="22"/>
      <c r="C42" s="23"/>
      <c r="D42" s="29"/>
      <c r="E42" s="25"/>
      <c r="F42" s="22"/>
      <c r="G42" s="22"/>
      <c r="H42" s="23"/>
      <c r="I42" s="22"/>
      <c r="J42" s="23"/>
      <c r="K42" s="22"/>
      <c r="L42" s="26"/>
      <c r="M42" s="27"/>
      <c r="N42" s="26"/>
    </row>
    <row r="43" spans="1:14" s="28" customFormat="1" ht="150" hidden="1" customHeight="1" x14ac:dyDescent="0.3">
      <c r="A43" s="22"/>
      <c r="B43" s="22"/>
      <c r="C43" s="23"/>
      <c r="D43" s="29"/>
      <c r="E43" s="25"/>
      <c r="F43" s="22"/>
      <c r="G43" s="22"/>
      <c r="H43" s="23"/>
      <c r="I43" s="22"/>
      <c r="J43" s="23"/>
      <c r="K43" s="22"/>
      <c r="L43" s="26"/>
      <c r="M43" s="27"/>
      <c r="N43" s="26"/>
    </row>
    <row r="44" spans="1:14" s="28" customFormat="1" ht="150" hidden="1" customHeight="1" x14ac:dyDescent="0.3">
      <c r="A44" s="22"/>
      <c r="B44" s="22"/>
      <c r="C44" s="23"/>
      <c r="D44" s="29"/>
      <c r="E44" s="25"/>
      <c r="F44" s="22"/>
      <c r="G44" s="22"/>
      <c r="H44" s="23"/>
      <c r="I44" s="22"/>
      <c r="J44" s="23"/>
      <c r="K44" s="22"/>
      <c r="L44" s="26"/>
      <c r="M44" s="27"/>
      <c r="N44" s="26"/>
    </row>
    <row r="45" spans="1:14" s="28" customFormat="1" ht="150" hidden="1" customHeight="1" x14ac:dyDescent="0.3">
      <c r="A45" s="22"/>
      <c r="B45" s="22"/>
      <c r="C45" s="23"/>
      <c r="D45" s="29"/>
      <c r="E45" s="25"/>
      <c r="F45" s="22"/>
      <c r="G45" s="22"/>
      <c r="H45" s="23"/>
      <c r="I45" s="22"/>
      <c r="J45" s="23"/>
      <c r="K45" s="22"/>
      <c r="L45" s="26"/>
      <c r="M45" s="27"/>
      <c r="N45" s="26"/>
    </row>
    <row r="46" spans="1:14" s="28" customFormat="1" ht="150" hidden="1" customHeight="1" x14ac:dyDescent="0.3">
      <c r="A46" s="22"/>
      <c r="B46" s="22"/>
      <c r="C46" s="23"/>
      <c r="D46" s="29"/>
      <c r="E46" s="25"/>
      <c r="F46" s="22"/>
      <c r="G46" s="22"/>
      <c r="H46" s="23"/>
      <c r="I46" s="22"/>
      <c r="J46" s="23"/>
      <c r="K46" s="22"/>
      <c r="L46" s="26"/>
      <c r="M46" s="27"/>
      <c r="N46" s="26"/>
    </row>
    <row r="47" spans="1:14" s="28" customFormat="1" ht="150" hidden="1" customHeight="1" x14ac:dyDescent="0.3">
      <c r="A47" s="22"/>
      <c r="B47" s="22"/>
      <c r="C47" s="23"/>
      <c r="D47" s="29"/>
      <c r="E47" s="25"/>
      <c r="F47" s="22"/>
      <c r="G47" s="22"/>
      <c r="H47" s="23"/>
      <c r="I47" s="22"/>
      <c r="J47" s="23"/>
      <c r="K47" s="22"/>
      <c r="L47" s="26"/>
      <c r="M47" s="27"/>
      <c r="N47" s="26">
        <f t="shared" si="1"/>
        <v>0</v>
      </c>
    </row>
    <row r="48" spans="1:14" s="28" customFormat="1" ht="150" hidden="1" customHeight="1" x14ac:dyDescent="0.3">
      <c r="A48" s="22"/>
      <c r="B48" s="22"/>
      <c r="C48" s="23"/>
      <c r="D48" s="29"/>
      <c r="E48" s="25"/>
      <c r="F48" s="22"/>
      <c r="G48" s="22"/>
      <c r="H48" s="23"/>
      <c r="I48" s="22"/>
      <c r="J48" s="23"/>
      <c r="K48" s="22"/>
      <c r="L48" s="26"/>
      <c r="M48" s="27"/>
      <c r="N48" s="26">
        <f t="shared" si="1"/>
        <v>0</v>
      </c>
    </row>
    <row r="49" spans="1:14" s="28" customFormat="1" ht="150" hidden="1" customHeight="1" x14ac:dyDescent="0.3">
      <c r="A49" s="22"/>
      <c r="B49" s="22"/>
      <c r="C49" s="23"/>
      <c r="D49" s="29"/>
      <c r="E49" s="25"/>
      <c r="F49" s="22"/>
      <c r="G49" s="22"/>
      <c r="H49" s="23"/>
      <c r="I49" s="22"/>
      <c r="J49" s="23"/>
      <c r="K49" s="22"/>
      <c r="L49" s="26"/>
      <c r="M49" s="27"/>
      <c r="N49" s="26">
        <f t="shared" si="1"/>
        <v>0</v>
      </c>
    </row>
    <row r="50" spans="1:14" s="28" customFormat="1" ht="150" hidden="1" customHeight="1" x14ac:dyDescent="0.3">
      <c r="A50" s="22"/>
      <c r="B50" s="22"/>
      <c r="C50" s="23"/>
      <c r="D50" s="29"/>
      <c r="E50" s="25"/>
      <c r="F50" s="22"/>
      <c r="G50" s="22"/>
      <c r="H50" s="23"/>
      <c r="I50" s="22"/>
      <c r="J50" s="23"/>
      <c r="K50" s="22"/>
      <c r="L50" s="26"/>
      <c r="M50" s="27"/>
      <c r="N50" s="26">
        <f t="shared" si="1"/>
        <v>0</v>
      </c>
    </row>
    <row r="51" spans="1:14" s="11" customFormat="1" ht="150" customHeight="1" x14ac:dyDescent="0.3">
      <c r="A51" s="22"/>
      <c r="B51" s="22"/>
      <c r="C51" s="23"/>
      <c r="D51" s="29"/>
      <c r="E51" s="25"/>
      <c r="F51" s="22"/>
      <c r="G51" s="22"/>
      <c r="H51" s="23"/>
      <c r="I51" s="22"/>
      <c r="J51" s="22"/>
      <c r="K51" s="22"/>
      <c r="L51" s="26"/>
      <c r="M51" s="27"/>
      <c r="N51" s="26">
        <f t="shared" si="1"/>
        <v>0</v>
      </c>
    </row>
    <row r="52" spans="1:14" s="11" customFormat="1" ht="150" customHeight="1" x14ac:dyDescent="0.3">
      <c r="A52" s="13"/>
      <c r="B52" s="13"/>
      <c r="C52" s="14"/>
      <c r="D52" s="14"/>
      <c r="E52" s="15"/>
      <c r="F52" s="13"/>
      <c r="G52" s="13"/>
      <c r="H52" s="14"/>
      <c r="I52" s="13"/>
      <c r="J52" s="13"/>
      <c r="K52" s="13"/>
      <c r="L52" s="9">
        <f>SUM(L4:L51)</f>
        <v>29024</v>
      </c>
      <c r="M52" s="16">
        <f>SUM(M4:M51)</f>
        <v>4950</v>
      </c>
      <c r="N52" s="9">
        <f>SUM(N4:N51)</f>
        <v>24074</v>
      </c>
    </row>
    <row r="53" spans="1:14" s="12" customFormat="1" ht="100.05" customHeight="1" x14ac:dyDescent="0.3">
      <c r="A53" s="17"/>
      <c r="B53" s="17"/>
      <c r="C53" s="17"/>
      <c r="D53" s="20"/>
      <c r="E53" s="17"/>
      <c r="F53" s="17"/>
      <c r="G53" s="17"/>
      <c r="H53" s="17"/>
      <c r="I53" s="17"/>
      <c r="J53" s="17"/>
      <c r="K53" s="17"/>
      <c r="L53" s="17"/>
      <c r="M53" s="17"/>
      <c r="N53" s="17"/>
    </row>
    <row r="54" spans="1:14" ht="100.05" customHeight="1" x14ac:dyDescent="0.3"/>
    <row r="55" spans="1:14" s="4" customFormat="1" ht="100.05" customHeight="1" x14ac:dyDescent="0.3">
      <c r="A55" s="17"/>
      <c r="B55" s="17"/>
      <c r="C55" s="17"/>
      <c r="D55" s="20"/>
      <c r="E55" s="17"/>
      <c r="F55" s="17"/>
      <c r="G55" s="17"/>
      <c r="H55" s="17"/>
      <c r="I55" s="17"/>
      <c r="J55" s="17"/>
      <c r="K55" s="17"/>
      <c r="L55" s="17"/>
      <c r="M55" s="17"/>
      <c r="N55" s="17"/>
    </row>
    <row r="56" spans="1:14" s="4" customFormat="1" ht="100.05" customHeight="1" x14ac:dyDescent="0.3">
      <c r="A56" s="17"/>
      <c r="B56" s="17"/>
      <c r="C56" s="17"/>
      <c r="D56" s="20"/>
      <c r="E56" s="17"/>
      <c r="F56" s="17"/>
      <c r="G56" s="17"/>
      <c r="H56" s="17"/>
      <c r="I56" s="17"/>
      <c r="J56" s="17"/>
      <c r="K56" s="17"/>
      <c r="L56" s="17"/>
      <c r="M56" s="17"/>
      <c r="N56" s="17"/>
    </row>
    <row r="57" spans="1:14" s="11" customFormat="1" ht="100.05" customHeight="1" x14ac:dyDescent="0.3">
      <c r="A57" s="17"/>
      <c r="B57" s="17"/>
      <c r="C57" s="17"/>
      <c r="D57" s="20"/>
      <c r="E57" s="17"/>
      <c r="F57" s="17"/>
      <c r="G57" s="17"/>
      <c r="H57" s="17"/>
      <c r="I57" s="17"/>
      <c r="J57" s="17"/>
      <c r="K57" s="17"/>
      <c r="L57" s="17"/>
      <c r="M57" s="17"/>
      <c r="N57" s="17"/>
    </row>
    <row r="58" spans="1:14" s="11" customFormat="1" ht="100.05" customHeight="1" x14ac:dyDescent="0.3">
      <c r="A58" s="17"/>
      <c r="B58" s="17"/>
      <c r="C58" s="17"/>
      <c r="D58" s="20"/>
      <c r="E58" s="17"/>
      <c r="F58" s="17"/>
      <c r="G58" s="17"/>
      <c r="H58" s="17"/>
      <c r="I58" s="17"/>
      <c r="J58" s="17"/>
      <c r="K58" s="17"/>
      <c r="L58" s="17"/>
      <c r="M58" s="17"/>
      <c r="N58" s="17"/>
    </row>
    <row r="59" spans="1:14" s="11" customFormat="1" ht="100.05" customHeight="1" x14ac:dyDescent="0.3">
      <c r="A59" s="17"/>
      <c r="B59" s="17"/>
      <c r="C59" s="17"/>
      <c r="D59" s="20"/>
      <c r="E59" s="17"/>
      <c r="F59" s="17"/>
      <c r="G59" s="17"/>
      <c r="H59" s="17"/>
      <c r="I59" s="17"/>
      <c r="J59" s="17"/>
      <c r="K59" s="17"/>
      <c r="L59" s="17"/>
      <c r="M59" s="17"/>
      <c r="N59" s="17"/>
    </row>
    <row r="60" spans="1:14" s="11" customFormat="1" ht="100.05" customHeight="1" x14ac:dyDescent="0.3">
      <c r="A60" s="17"/>
      <c r="B60" s="17"/>
      <c r="C60" s="17"/>
      <c r="D60" s="20"/>
      <c r="E60" s="17"/>
      <c r="F60" s="17"/>
      <c r="G60" s="17"/>
      <c r="H60" s="17"/>
      <c r="I60" s="17"/>
      <c r="J60" s="17"/>
      <c r="K60" s="17"/>
      <c r="L60" s="17"/>
      <c r="M60" s="17"/>
      <c r="N60" s="17"/>
    </row>
    <row r="61" spans="1:14" s="11" customFormat="1" ht="100.05" customHeight="1" x14ac:dyDescent="0.3">
      <c r="A61" s="17"/>
      <c r="B61" s="17"/>
      <c r="C61" s="17"/>
      <c r="D61" s="20"/>
      <c r="E61" s="17"/>
      <c r="F61" s="17"/>
      <c r="G61" s="17"/>
      <c r="H61" s="17"/>
      <c r="I61" s="17"/>
      <c r="J61" s="17"/>
      <c r="K61" s="17"/>
      <c r="L61" s="17"/>
      <c r="M61" s="17"/>
      <c r="N61" s="17"/>
    </row>
    <row r="62" spans="1:14" s="11" customFormat="1" ht="100.05" customHeight="1" x14ac:dyDescent="0.3">
      <c r="A62" s="17"/>
      <c r="B62" s="17"/>
      <c r="C62" s="17"/>
      <c r="D62" s="20"/>
      <c r="E62" s="17"/>
      <c r="F62" s="17"/>
      <c r="G62" s="17"/>
      <c r="H62" s="17"/>
      <c r="I62" s="17"/>
      <c r="J62" s="17"/>
      <c r="K62" s="17"/>
      <c r="L62" s="17"/>
      <c r="M62" s="17"/>
      <c r="N62" s="17"/>
    </row>
    <row r="63" spans="1:14" s="11" customFormat="1" ht="100.05" customHeight="1" x14ac:dyDescent="0.3">
      <c r="A63" s="17"/>
      <c r="B63" s="17"/>
      <c r="C63" s="17"/>
      <c r="D63" s="20"/>
      <c r="E63" s="17"/>
      <c r="F63" s="17"/>
      <c r="G63" s="17"/>
      <c r="H63" s="17"/>
      <c r="I63" s="17"/>
      <c r="J63" s="17"/>
      <c r="K63" s="17"/>
      <c r="L63" s="17"/>
      <c r="M63" s="17"/>
      <c r="N63" s="17"/>
    </row>
    <row r="64" spans="1:14" s="11" customFormat="1" ht="100.05" customHeight="1" x14ac:dyDescent="0.3">
      <c r="A64" s="17"/>
      <c r="B64" s="17"/>
      <c r="C64" s="17"/>
      <c r="D64" s="20"/>
      <c r="E64" s="17"/>
      <c r="F64" s="17"/>
      <c r="G64" s="17"/>
      <c r="H64" s="17"/>
      <c r="I64" s="17"/>
      <c r="J64" s="17"/>
      <c r="K64" s="17"/>
      <c r="L64" s="17"/>
      <c r="M64" s="17"/>
      <c r="N64" s="17"/>
    </row>
    <row r="65" spans="1:14" s="11" customFormat="1" ht="100.05" customHeight="1" x14ac:dyDescent="0.3">
      <c r="A65" s="17"/>
      <c r="B65" s="17"/>
      <c r="C65" s="17"/>
      <c r="D65" s="20"/>
      <c r="E65" s="17"/>
      <c r="F65" s="17"/>
      <c r="G65" s="17"/>
      <c r="H65" s="17"/>
      <c r="I65" s="17"/>
      <c r="J65" s="17"/>
      <c r="K65" s="17"/>
      <c r="L65" s="17"/>
      <c r="M65" s="17"/>
      <c r="N65" s="17"/>
    </row>
    <row r="66" spans="1:14" s="11" customFormat="1" ht="100.05" customHeight="1" x14ac:dyDescent="0.3">
      <c r="A66" s="17"/>
      <c r="B66" s="17"/>
      <c r="C66" s="17"/>
      <c r="D66" s="20"/>
      <c r="E66" s="17"/>
      <c r="F66" s="17"/>
      <c r="G66" s="17"/>
      <c r="H66" s="17"/>
      <c r="I66" s="17"/>
      <c r="J66" s="17"/>
      <c r="K66" s="17"/>
      <c r="L66" s="17"/>
      <c r="M66" s="17"/>
      <c r="N66" s="17"/>
    </row>
  </sheetData>
  <mergeCells count="3">
    <mergeCell ref="A1:C1"/>
    <mergeCell ref="K1:N1"/>
    <mergeCell ref="A2:N2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18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6"/>
  <sheetViews>
    <sheetView zoomScale="25" zoomScaleNormal="25" workbookViewId="0">
      <selection activeCell="A3" sqref="A3"/>
    </sheetView>
  </sheetViews>
  <sheetFormatPr defaultColWidth="8.88671875" defaultRowHeight="14.4" x14ac:dyDescent="0.3"/>
  <cols>
    <col min="1" max="1" width="41.77734375" style="17" customWidth="1"/>
    <col min="2" max="2" width="19.6640625" style="17" customWidth="1"/>
    <col min="3" max="3" width="29.21875" style="17" customWidth="1"/>
    <col min="4" max="4" width="28.6640625" style="20" customWidth="1"/>
    <col min="5" max="5" width="162.109375" style="17" customWidth="1"/>
    <col min="6" max="6" width="32.109375" style="17" bestFit="1" customWidth="1"/>
    <col min="7" max="7" width="21.88671875" style="17" bestFit="1" customWidth="1"/>
    <col min="8" max="8" width="26.6640625" style="17" bestFit="1" customWidth="1"/>
    <col min="9" max="9" width="40.109375" style="17" bestFit="1" customWidth="1"/>
    <col min="10" max="10" width="37.88671875" style="17" customWidth="1"/>
    <col min="11" max="11" width="25.6640625" style="17" customWidth="1"/>
    <col min="12" max="14" width="26.77734375" style="17" bestFit="1" customWidth="1"/>
    <col min="15" max="16384" width="8.88671875" style="18"/>
  </cols>
  <sheetData>
    <row r="1" spans="1:14" s="3" customFormat="1" ht="100.05" customHeight="1" x14ac:dyDescent="0.95">
      <c r="A1" s="37"/>
      <c r="B1" s="37"/>
      <c r="C1" s="37"/>
      <c r="D1" s="19"/>
      <c r="E1" s="1"/>
      <c r="F1" s="1"/>
      <c r="G1" s="1"/>
      <c r="H1" s="1"/>
      <c r="I1" s="1"/>
      <c r="J1" s="2" t="s">
        <v>0</v>
      </c>
      <c r="K1" s="38">
        <v>45930</v>
      </c>
      <c r="L1" s="38"/>
      <c r="M1" s="38"/>
      <c r="N1" s="38"/>
    </row>
    <row r="2" spans="1:14" s="4" customFormat="1" ht="100.05" customHeight="1" x14ac:dyDescent="0.3">
      <c r="A2" s="39" t="s">
        <v>68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</row>
    <row r="3" spans="1:14" s="4" customFormat="1" ht="150" customHeight="1" x14ac:dyDescent="0.3">
      <c r="A3" s="5" t="s">
        <v>1</v>
      </c>
      <c r="B3" s="5" t="s">
        <v>2</v>
      </c>
      <c r="C3" s="6" t="s">
        <v>3</v>
      </c>
      <c r="D3" s="7" t="s">
        <v>4</v>
      </c>
      <c r="E3" s="5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6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s="28" customFormat="1" ht="150" customHeight="1" x14ac:dyDescent="0.3">
      <c r="A4" s="22" t="s">
        <v>28</v>
      </c>
      <c r="B4" s="22">
        <v>304</v>
      </c>
      <c r="C4" s="23">
        <v>0.8</v>
      </c>
      <c r="D4" s="24">
        <v>37.700000000000003</v>
      </c>
      <c r="E4" s="30" t="s">
        <v>30</v>
      </c>
      <c r="F4" s="22" t="s">
        <v>15</v>
      </c>
      <c r="G4" s="22">
        <v>430</v>
      </c>
      <c r="H4" s="23">
        <v>0.6</v>
      </c>
      <c r="I4" s="22">
        <v>157</v>
      </c>
      <c r="J4" s="23">
        <v>4</v>
      </c>
      <c r="K4" s="22" t="s">
        <v>17</v>
      </c>
      <c r="L4" s="26">
        <v>3200</v>
      </c>
      <c r="M4" s="27">
        <f>1300+1750+200</f>
        <v>3250</v>
      </c>
      <c r="N4" s="26">
        <f t="shared" ref="N4:N13" si="0">L4-M4</f>
        <v>-50</v>
      </c>
    </row>
    <row r="5" spans="1:14" s="28" customFormat="1" ht="150" customHeight="1" x14ac:dyDescent="0.3">
      <c r="A5" s="22">
        <v>10925</v>
      </c>
      <c r="B5" s="22">
        <v>430</v>
      </c>
      <c r="C5" s="23">
        <v>0.8</v>
      </c>
      <c r="D5" s="24" t="s">
        <v>22</v>
      </c>
      <c r="E5" s="25" t="s">
        <v>26</v>
      </c>
      <c r="F5" s="22" t="s">
        <v>16</v>
      </c>
      <c r="G5" s="22" t="s">
        <v>16</v>
      </c>
      <c r="H5" s="23" t="s">
        <v>16</v>
      </c>
      <c r="I5" s="22" t="s">
        <v>16</v>
      </c>
      <c r="J5" s="22" t="s">
        <v>16</v>
      </c>
      <c r="K5" s="22" t="s">
        <v>17</v>
      </c>
      <c r="L5" s="26">
        <v>3300</v>
      </c>
      <c r="M5" s="27">
        <f>1700+1700</f>
        <v>3400</v>
      </c>
      <c r="N5" s="26">
        <f t="shared" si="0"/>
        <v>-100</v>
      </c>
    </row>
    <row r="6" spans="1:14" s="28" customFormat="1" ht="150" customHeight="1" x14ac:dyDescent="0.3">
      <c r="A6" s="22" t="s">
        <v>28</v>
      </c>
      <c r="B6" s="22">
        <v>304</v>
      </c>
      <c r="C6" s="23">
        <v>0.8</v>
      </c>
      <c r="D6" s="24">
        <v>30</v>
      </c>
      <c r="E6" s="25" t="s">
        <v>29</v>
      </c>
      <c r="F6" s="22" t="s">
        <v>16</v>
      </c>
      <c r="G6" s="22" t="s">
        <v>16</v>
      </c>
      <c r="H6" s="23" t="s">
        <v>16</v>
      </c>
      <c r="I6" s="22" t="s">
        <v>16</v>
      </c>
      <c r="J6" s="23" t="s">
        <v>16</v>
      </c>
      <c r="K6" s="22" t="s">
        <v>17</v>
      </c>
      <c r="L6" s="26">
        <v>3200</v>
      </c>
      <c r="M6" s="27">
        <f>450</f>
        <v>450</v>
      </c>
      <c r="N6" s="26">
        <f t="shared" si="0"/>
        <v>2750</v>
      </c>
    </row>
    <row r="7" spans="1:14" s="28" customFormat="1" ht="150" customHeight="1" x14ac:dyDescent="0.3">
      <c r="A7" s="22">
        <v>250074</v>
      </c>
      <c r="B7" s="22">
        <v>304</v>
      </c>
      <c r="C7" s="23">
        <v>0.7</v>
      </c>
      <c r="D7" s="29" t="s">
        <v>59</v>
      </c>
      <c r="E7" s="30" t="s">
        <v>60</v>
      </c>
      <c r="F7" s="22" t="s">
        <v>61</v>
      </c>
      <c r="G7" s="22">
        <v>430</v>
      </c>
      <c r="H7" s="23">
        <v>0.6</v>
      </c>
      <c r="I7" s="22" t="s">
        <v>16</v>
      </c>
      <c r="J7" s="23" t="s">
        <v>16</v>
      </c>
      <c r="K7" s="22" t="s">
        <v>17</v>
      </c>
      <c r="L7" s="26">
        <v>708</v>
      </c>
      <c r="M7" s="27"/>
      <c r="N7" s="26">
        <f t="shared" si="0"/>
        <v>708</v>
      </c>
    </row>
    <row r="8" spans="1:14" s="28" customFormat="1" ht="150" customHeight="1" x14ac:dyDescent="0.3">
      <c r="A8" s="22">
        <v>250074</v>
      </c>
      <c r="B8" s="22">
        <v>304</v>
      </c>
      <c r="C8" s="23">
        <v>0.7</v>
      </c>
      <c r="D8" s="29" t="s">
        <v>64</v>
      </c>
      <c r="E8" s="30" t="s">
        <v>62</v>
      </c>
      <c r="F8" s="22" t="s">
        <v>61</v>
      </c>
      <c r="G8" s="22">
        <v>430</v>
      </c>
      <c r="H8" s="23">
        <v>0.6</v>
      </c>
      <c r="I8" s="22" t="s">
        <v>16</v>
      </c>
      <c r="J8" s="23" t="s">
        <v>16</v>
      </c>
      <c r="K8" s="22" t="s">
        <v>17</v>
      </c>
      <c r="L8" s="26">
        <v>708</v>
      </c>
      <c r="M8" s="27"/>
      <c r="N8" s="26">
        <f t="shared" si="0"/>
        <v>708</v>
      </c>
    </row>
    <row r="9" spans="1:14" s="28" customFormat="1" ht="150" customHeight="1" x14ac:dyDescent="0.3">
      <c r="A9" s="22">
        <v>250074</v>
      </c>
      <c r="B9" s="22">
        <v>304</v>
      </c>
      <c r="C9" s="23">
        <v>0.7</v>
      </c>
      <c r="D9" s="29" t="s">
        <v>65</v>
      </c>
      <c r="E9" s="30" t="s">
        <v>63</v>
      </c>
      <c r="F9" s="22" t="s">
        <v>61</v>
      </c>
      <c r="G9" s="22">
        <v>430</v>
      </c>
      <c r="H9" s="23">
        <v>0.6</v>
      </c>
      <c r="I9" s="22" t="s">
        <v>16</v>
      </c>
      <c r="J9" s="23" t="s">
        <v>16</v>
      </c>
      <c r="K9" s="22" t="s">
        <v>17</v>
      </c>
      <c r="L9" s="26">
        <v>708</v>
      </c>
      <c r="M9" s="27"/>
      <c r="N9" s="26">
        <f t="shared" si="0"/>
        <v>708</v>
      </c>
    </row>
    <row r="10" spans="1:14" s="28" customFormat="1" ht="150" customHeight="1" x14ac:dyDescent="0.3">
      <c r="A10" s="22">
        <v>100925</v>
      </c>
      <c r="B10" s="22">
        <v>304</v>
      </c>
      <c r="C10" s="23" t="s">
        <v>31</v>
      </c>
      <c r="D10" s="24" t="s">
        <v>32</v>
      </c>
      <c r="E10" s="30" t="s">
        <v>33</v>
      </c>
      <c r="F10" s="22" t="s">
        <v>16</v>
      </c>
      <c r="G10" s="22">
        <v>430</v>
      </c>
      <c r="H10" s="23">
        <v>0.6</v>
      </c>
      <c r="I10" s="22" t="s">
        <v>16</v>
      </c>
      <c r="J10" s="23" t="s">
        <v>16</v>
      </c>
      <c r="K10" s="22" t="s">
        <v>17</v>
      </c>
      <c r="L10" s="26">
        <v>1200</v>
      </c>
      <c r="M10" s="27"/>
      <c r="N10" s="26">
        <f t="shared" si="0"/>
        <v>1200</v>
      </c>
    </row>
    <row r="11" spans="1:14" s="28" customFormat="1" ht="150" customHeight="1" x14ac:dyDescent="0.3">
      <c r="A11" s="22">
        <v>100925</v>
      </c>
      <c r="B11" s="22">
        <v>304</v>
      </c>
      <c r="C11" s="23" t="s">
        <v>31</v>
      </c>
      <c r="D11" s="29" t="s">
        <v>35</v>
      </c>
      <c r="E11" s="25" t="s">
        <v>67</v>
      </c>
      <c r="F11" s="22" t="s">
        <v>16</v>
      </c>
      <c r="G11" s="22" t="s">
        <v>16</v>
      </c>
      <c r="H11" s="23" t="s">
        <v>16</v>
      </c>
      <c r="I11" s="22" t="s">
        <v>16</v>
      </c>
      <c r="J11" s="23" t="s">
        <v>16</v>
      </c>
      <c r="K11" s="22" t="s">
        <v>17</v>
      </c>
      <c r="L11" s="26">
        <v>1200</v>
      </c>
      <c r="M11" s="27"/>
      <c r="N11" s="26">
        <f t="shared" si="0"/>
        <v>1200</v>
      </c>
    </row>
    <row r="12" spans="1:14" s="28" customFormat="1" ht="150" customHeight="1" x14ac:dyDescent="0.3">
      <c r="A12" s="22">
        <v>100925</v>
      </c>
      <c r="B12" s="22">
        <v>304</v>
      </c>
      <c r="C12" s="23" t="s">
        <v>31</v>
      </c>
      <c r="D12" s="24" t="s">
        <v>40</v>
      </c>
      <c r="E12" s="25" t="s">
        <v>36</v>
      </c>
      <c r="F12" s="22" t="s">
        <v>16</v>
      </c>
      <c r="G12" s="22">
        <v>430</v>
      </c>
      <c r="H12" s="23">
        <v>0.6</v>
      </c>
      <c r="I12" s="22" t="s">
        <v>16</v>
      </c>
      <c r="J12" s="23" t="s">
        <v>16</v>
      </c>
      <c r="K12" s="22" t="s">
        <v>17</v>
      </c>
      <c r="L12" s="26">
        <v>1500</v>
      </c>
      <c r="M12" s="27"/>
      <c r="N12" s="26">
        <f t="shared" si="0"/>
        <v>1500</v>
      </c>
    </row>
    <row r="13" spans="1:14" s="28" customFormat="1" ht="150" customHeight="1" x14ac:dyDescent="0.3">
      <c r="A13" s="22">
        <v>100925</v>
      </c>
      <c r="B13" s="22">
        <v>304</v>
      </c>
      <c r="C13" s="23" t="s">
        <v>31</v>
      </c>
      <c r="D13" s="29" t="s">
        <v>41</v>
      </c>
      <c r="E13" s="25" t="s">
        <v>37</v>
      </c>
      <c r="F13" s="22" t="s">
        <v>16</v>
      </c>
      <c r="G13" s="22" t="s">
        <v>16</v>
      </c>
      <c r="H13" s="23" t="s">
        <v>16</v>
      </c>
      <c r="I13" s="22" t="s">
        <v>16</v>
      </c>
      <c r="J13" s="23" t="s">
        <v>16</v>
      </c>
      <c r="K13" s="22" t="s">
        <v>17</v>
      </c>
      <c r="L13" s="26">
        <v>1500</v>
      </c>
      <c r="M13" s="27"/>
      <c r="N13" s="26">
        <f t="shared" si="0"/>
        <v>1500</v>
      </c>
    </row>
    <row r="14" spans="1:14" s="28" customFormat="1" ht="150" customHeight="1" x14ac:dyDescent="0.3">
      <c r="A14" s="22">
        <v>100925</v>
      </c>
      <c r="B14" s="22">
        <v>304</v>
      </c>
      <c r="C14" s="23" t="s">
        <v>31</v>
      </c>
      <c r="D14" s="24" t="s">
        <v>40</v>
      </c>
      <c r="E14" s="25" t="s">
        <v>38</v>
      </c>
      <c r="F14" s="22" t="s">
        <v>16</v>
      </c>
      <c r="G14" s="22">
        <v>430</v>
      </c>
      <c r="H14" s="23">
        <v>0.6</v>
      </c>
      <c r="I14" s="22" t="s">
        <v>16</v>
      </c>
      <c r="J14" s="23" t="s">
        <v>16</v>
      </c>
      <c r="K14" s="22" t="s">
        <v>17</v>
      </c>
      <c r="L14" s="26">
        <v>600</v>
      </c>
      <c r="M14" s="27"/>
      <c r="N14" s="26">
        <f>L14-M14</f>
        <v>600</v>
      </c>
    </row>
    <row r="15" spans="1:14" s="28" customFormat="1" ht="150" customHeight="1" x14ac:dyDescent="0.3">
      <c r="A15" s="22">
        <v>100925</v>
      </c>
      <c r="B15" s="22">
        <v>304</v>
      </c>
      <c r="C15" s="23" t="s">
        <v>31</v>
      </c>
      <c r="D15" s="29" t="s">
        <v>41</v>
      </c>
      <c r="E15" s="25" t="s">
        <v>39</v>
      </c>
      <c r="F15" s="22" t="s">
        <v>16</v>
      </c>
      <c r="G15" s="22" t="s">
        <v>16</v>
      </c>
      <c r="H15" s="23" t="s">
        <v>16</v>
      </c>
      <c r="I15" s="22" t="s">
        <v>16</v>
      </c>
      <c r="J15" s="23" t="s">
        <v>16</v>
      </c>
      <c r="K15" s="22" t="s">
        <v>17</v>
      </c>
      <c r="L15" s="26">
        <v>600</v>
      </c>
      <c r="M15" s="27"/>
      <c r="N15" s="26">
        <f t="shared" ref="N15:N51" si="1">L15-M15</f>
        <v>600</v>
      </c>
    </row>
    <row r="16" spans="1:14" s="28" customFormat="1" ht="150" customHeight="1" x14ac:dyDescent="0.3">
      <c r="A16" s="22" t="s">
        <v>42</v>
      </c>
      <c r="B16" s="22">
        <v>304</v>
      </c>
      <c r="C16" s="23">
        <v>0.9</v>
      </c>
      <c r="D16" s="29" t="s">
        <v>56</v>
      </c>
      <c r="E16" s="25" t="s">
        <v>53</v>
      </c>
      <c r="F16" s="22" t="s">
        <v>16</v>
      </c>
      <c r="G16" s="22">
        <v>430</v>
      </c>
      <c r="H16" s="23">
        <v>0.6</v>
      </c>
      <c r="I16" s="22" t="s">
        <v>16</v>
      </c>
      <c r="J16" s="23" t="s">
        <v>16</v>
      </c>
      <c r="K16" s="22" t="s">
        <v>17</v>
      </c>
      <c r="L16" s="26">
        <v>1200</v>
      </c>
      <c r="M16" s="27"/>
      <c r="N16" s="26">
        <f t="shared" si="1"/>
        <v>1200</v>
      </c>
    </row>
    <row r="17" spans="1:14" s="28" customFormat="1" ht="150" customHeight="1" x14ac:dyDescent="0.3">
      <c r="A17" s="22" t="s">
        <v>42</v>
      </c>
      <c r="B17" s="22">
        <v>304</v>
      </c>
      <c r="C17" s="23">
        <v>0.9</v>
      </c>
      <c r="D17" s="29" t="s">
        <v>54</v>
      </c>
      <c r="E17" s="25" t="s">
        <v>55</v>
      </c>
      <c r="F17" s="22" t="s">
        <v>16</v>
      </c>
      <c r="G17" s="22" t="s">
        <v>16</v>
      </c>
      <c r="H17" s="23" t="s">
        <v>16</v>
      </c>
      <c r="I17" s="22" t="s">
        <v>16</v>
      </c>
      <c r="J17" s="23" t="s">
        <v>16</v>
      </c>
      <c r="K17" s="22" t="s">
        <v>17</v>
      </c>
      <c r="L17" s="26">
        <v>1200</v>
      </c>
      <c r="M17" s="27"/>
      <c r="N17" s="26">
        <f t="shared" si="1"/>
        <v>1200</v>
      </c>
    </row>
    <row r="18" spans="1:14" s="28" customFormat="1" ht="150" customHeight="1" x14ac:dyDescent="0.3">
      <c r="A18" s="22" t="s">
        <v>42</v>
      </c>
      <c r="B18" s="22">
        <v>304</v>
      </c>
      <c r="C18" s="23">
        <v>0.9</v>
      </c>
      <c r="D18" s="29" t="s">
        <v>57</v>
      </c>
      <c r="E18" s="25" t="s">
        <v>43</v>
      </c>
      <c r="F18" s="22" t="s">
        <v>16</v>
      </c>
      <c r="G18" s="22">
        <v>430</v>
      </c>
      <c r="H18" s="23">
        <v>0.6</v>
      </c>
      <c r="I18" s="22" t="s">
        <v>16</v>
      </c>
      <c r="J18" s="23" t="s">
        <v>16</v>
      </c>
      <c r="K18" s="22" t="s">
        <v>17</v>
      </c>
      <c r="L18" s="26">
        <v>1500</v>
      </c>
      <c r="M18" s="27"/>
      <c r="N18" s="26">
        <f t="shared" si="1"/>
        <v>1500</v>
      </c>
    </row>
    <row r="19" spans="1:14" s="28" customFormat="1" ht="150" customHeight="1" x14ac:dyDescent="0.3">
      <c r="A19" s="22" t="s">
        <v>42</v>
      </c>
      <c r="B19" s="22">
        <v>304</v>
      </c>
      <c r="C19" s="23">
        <v>0.9</v>
      </c>
      <c r="D19" s="29" t="s">
        <v>58</v>
      </c>
      <c r="E19" s="25" t="s">
        <v>44</v>
      </c>
      <c r="F19" s="22" t="s">
        <v>16</v>
      </c>
      <c r="G19" s="22" t="s">
        <v>16</v>
      </c>
      <c r="H19" s="23" t="s">
        <v>16</v>
      </c>
      <c r="I19" s="22" t="s">
        <v>16</v>
      </c>
      <c r="J19" s="23" t="s">
        <v>16</v>
      </c>
      <c r="K19" s="22" t="s">
        <v>17</v>
      </c>
      <c r="L19" s="26">
        <v>1500</v>
      </c>
      <c r="M19" s="27"/>
      <c r="N19" s="26">
        <f t="shared" si="1"/>
        <v>1500</v>
      </c>
    </row>
    <row r="20" spans="1:14" s="28" customFormat="1" ht="150" customHeight="1" x14ac:dyDescent="0.3">
      <c r="A20" s="22" t="s">
        <v>42</v>
      </c>
      <c r="B20" s="22">
        <v>304</v>
      </c>
      <c r="C20" s="23">
        <v>0.9</v>
      </c>
      <c r="D20" s="29" t="s">
        <v>45</v>
      </c>
      <c r="E20" s="25" t="s">
        <v>46</v>
      </c>
      <c r="F20" s="22" t="s">
        <v>16</v>
      </c>
      <c r="G20" s="22">
        <v>430</v>
      </c>
      <c r="H20" s="23">
        <v>0.6</v>
      </c>
      <c r="I20" s="22" t="s">
        <v>16</v>
      </c>
      <c r="J20" s="23" t="s">
        <v>16</v>
      </c>
      <c r="K20" s="22" t="s">
        <v>17</v>
      </c>
      <c r="L20" s="26">
        <v>1500</v>
      </c>
      <c r="M20" s="27"/>
      <c r="N20" s="26">
        <f t="shared" si="1"/>
        <v>1500</v>
      </c>
    </row>
    <row r="21" spans="1:14" s="28" customFormat="1" ht="150" customHeight="1" x14ac:dyDescent="0.3">
      <c r="A21" s="22" t="s">
        <v>42</v>
      </c>
      <c r="B21" s="22">
        <v>304</v>
      </c>
      <c r="C21" s="23">
        <v>0.9</v>
      </c>
      <c r="D21" s="29" t="s">
        <v>57</v>
      </c>
      <c r="E21" s="25" t="s">
        <v>47</v>
      </c>
      <c r="F21" s="22" t="s">
        <v>16</v>
      </c>
      <c r="G21" s="22" t="s">
        <v>16</v>
      </c>
      <c r="H21" s="23" t="s">
        <v>16</v>
      </c>
      <c r="I21" s="22" t="s">
        <v>16</v>
      </c>
      <c r="J21" s="23" t="s">
        <v>16</v>
      </c>
      <c r="K21" s="22" t="s">
        <v>17</v>
      </c>
      <c r="L21" s="26">
        <v>1500</v>
      </c>
      <c r="M21" s="27"/>
      <c r="N21" s="26">
        <f t="shared" si="1"/>
        <v>1500</v>
      </c>
    </row>
    <row r="22" spans="1:14" s="28" customFormat="1" ht="150" customHeight="1" x14ac:dyDescent="0.3">
      <c r="A22" s="22">
        <v>160925</v>
      </c>
      <c r="B22" s="22">
        <v>304</v>
      </c>
      <c r="C22" s="23">
        <v>0.9</v>
      </c>
      <c r="D22" s="29" t="s">
        <v>48</v>
      </c>
      <c r="E22" s="25" t="s">
        <v>49</v>
      </c>
      <c r="F22" s="22" t="s">
        <v>16</v>
      </c>
      <c r="G22" s="22">
        <v>430</v>
      </c>
      <c r="H22" s="23">
        <v>0.6</v>
      </c>
      <c r="I22" s="22" t="s">
        <v>16</v>
      </c>
      <c r="J22" s="23" t="s">
        <v>16</v>
      </c>
      <c r="K22" s="22" t="s">
        <v>17</v>
      </c>
      <c r="L22" s="26">
        <v>1100</v>
      </c>
      <c r="M22" s="27"/>
      <c r="N22" s="26">
        <f t="shared" si="1"/>
        <v>1100</v>
      </c>
    </row>
    <row r="23" spans="1:14" s="28" customFormat="1" ht="150" customHeight="1" x14ac:dyDescent="0.3">
      <c r="A23" s="22">
        <v>160925</v>
      </c>
      <c r="B23" s="22">
        <v>304</v>
      </c>
      <c r="C23" s="23">
        <v>0.9</v>
      </c>
      <c r="D23" s="29" t="s">
        <v>50</v>
      </c>
      <c r="E23" s="25" t="s">
        <v>51</v>
      </c>
      <c r="F23" s="22" t="s">
        <v>16</v>
      </c>
      <c r="G23" s="22" t="s">
        <v>52</v>
      </c>
      <c r="H23" s="23" t="s">
        <v>52</v>
      </c>
      <c r="I23" s="22" t="s">
        <v>16</v>
      </c>
      <c r="J23" s="23" t="s">
        <v>16</v>
      </c>
      <c r="K23" s="22" t="s">
        <v>17</v>
      </c>
      <c r="L23" s="26">
        <v>1100</v>
      </c>
      <c r="M23" s="27"/>
      <c r="N23" s="26">
        <f t="shared" si="1"/>
        <v>1100</v>
      </c>
    </row>
    <row r="24" spans="1:14" s="28" customFormat="1" ht="150" customHeight="1" x14ac:dyDescent="0.3">
      <c r="A24" s="22"/>
      <c r="B24" s="22"/>
      <c r="C24" s="23"/>
      <c r="D24" s="29"/>
      <c r="E24" s="25"/>
      <c r="F24" s="22"/>
      <c r="G24" s="22"/>
      <c r="H24" s="23"/>
      <c r="I24" s="22"/>
      <c r="J24" s="23"/>
      <c r="K24" s="22"/>
      <c r="L24" s="26"/>
      <c r="M24" s="27"/>
      <c r="N24" s="26">
        <f t="shared" si="1"/>
        <v>0</v>
      </c>
    </row>
    <row r="25" spans="1:14" s="28" customFormat="1" ht="150" customHeight="1" x14ac:dyDescent="0.3">
      <c r="A25" s="22"/>
      <c r="B25" s="22"/>
      <c r="C25" s="23"/>
      <c r="D25" s="29"/>
      <c r="E25" s="25"/>
      <c r="F25" s="22"/>
      <c r="G25" s="22"/>
      <c r="H25" s="23"/>
      <c r="I25" s="22"/>
      <c r="J25" s="23"/>
      <c r="K25" s="22"/>
      <c r="L25" s="26"/>
      <c r="M25" s="27"/>
      <c r="N25" s="26">
        <f t="shared" si="1"/>
        <v>0</v>
      </c>
    </row>
    <row r="26" spans="1:14" s="28" customFormat="1" ht="150" customHeight="1" x14ac:dyDescent="0.3">
      <c r="A26" s="22"/>
      <c r="B26" s="22"/>
      <c r="C26" s="23"/>
      <c r="D26" s="29"/>
      <c r="E26" s="25"/>
      <c r="F26" s="22"/>
      <c r="G26" s="22"/>
      <c r="H26" s="23"/>
      <c r="I26" s="22"/>
      <c r="J26" s="23"/>
      <c r="K26" s="22"/>
      <c r="L26" s="26"/>
      <c r="M26" s="27"/>
      <c r="N26" s="26">
        <f t="shared" si="1"/>
        <v>0</v>
      </c>
    </row>
    <row r="27" spans="1:14" s="28" customFormat="1" ht="150" hidden="1" customHeight="1" x14ac:dyDescent="0.3">
      <c r="A27" s="22"/>
      <c r="B27" s="22"/>
      <c r="C27" s="23"/>
      <c r="D27" s="24"/>
      <c r="E27" s="25"/>
      <c r="F27" s="22"/>
      <c r="G27" s="22"/>
      <c r="H27" s="23"/>
      <c r="I27" s="22"/>
      <c r="J27" s="23"/>
      <c r="K27" s="22"/>
      <c r="L27" s="26"/>
      <c r="M27" s="27"/>
      <c r="N27" s="26"/>
    </row>
    <row r="28" spans="1:14" s="28" customFormat="1" ht="150" hidden="1" customHeight="1" x14ac:dyDescent="0.3">
      <c r="A28" s="22"/>
      <c r="B28" s="22"/>
      <c r="C28" s="23"/>
      <c r="D28" s="29"/>
      <c r="E28" s="25"/>
      <c r="F28" s="22"/>
      <c r="G28" s="22"/>
      <c r="H28" s="23"/>
      <c r="I28" s="22"/>
      <c r="J28" s="23"/>
      <c r="K28" s="22"/>
      <c r="L28" s="26"/>
      <c r="M28" s="27"/>
      <c r="N28" s="26"/>
    </row>
    <row r="29" spans="1:14" s="28" customFormat="1" ht="150" hidden="1" customHeight="1" x14ac:dyDescent="0.3">
      <c r="A29" s="22"/>
      <c r="B29" s="22"/>
      <c r="C29" s="23"/>
      <c r="D29" s="24"/>
      <c r="E29" s="25"/>
      <c r="F29" s="22"/>
      <c r="G29" s="22"/>
      <c r="H29" s="23"/>
      <c r="I29" s="22"/>
      <c r="J29" s="23"/>
      <c r="K29" s="22"/>
      <c r="L29" s="26"/>
      <c r="M29" s="27"/>
      <c r="N29" s="26"/>
    </row>
    <row r="30" spans="1:14" s="28" customFormat="1" ht="150" hidden="1" customHeight="1" x14ac:dyDescent="0.3">
      <c r="A30" s="22"/>
      <c r="B30" s="22"/>
      <c r="C30" s="23"/>
      <c r="D30" s="29"/>
      <c r="E30" s="25"/>
      <c r="F30" s="22"/>
      <c r="G30" s="22"/>
      <c r="H30" s="23"/>
      <c r="I30" s="22"/>
      <c r="J30" s="23"/>
      <c r="K30" s="22"/>
      <c r="L30" s="26"/>
      <c r="M30" s="27"/>
      <c r="N30" s="26"/>
    </row>
    <row r="31" spans="1:14" s="28" customFormat="1" ht="150" hidden="1" customHeight="1" x14ac:dyDescent="0.3">
      <c r="A31" s="22"/>
      <c r="B31" s="22"/>
      <c r="C31" s="23"/>
      <c r="D31" s="24"/>
      <c r="E31" s="25"/>
      <c r="F31" s="22"/>
      <c r="G31" s="22"/>
      <c r="H31" s="23"/>
      <c r="I31" s="22"/>
      <c r="J31" s="23"/>
      <c r="K31" s="22"/>
      <c r="L31" s="26"/>
      <c r="M31" s="27"/>
      <c r="N31" s="26"/>
    </row>
    <row r="32" spans="1:14" s="28" customFormat="1" ht="150" hidden="1" customHeight="1" x14ac:dyDescent="0.3">
      <c r="A32" s="22"/>
      <c r="B32" s="22"/>
      <c r="C32" s="23"/>
      <c r="D32" s="29"/>
      <c r="E32" s="25"/>
      <c r="F32" s="22"/>
      <c r="G32" s="22"/>
      <c r="H32" s="23"/>
      <c r="I32" s="22"/>
      <c r="J32" s="23"/>
      <c r="K32" s="22"/>
      <c r="L32" s="26"/>
      <c r="M32" s="27"/>
      <c r="N32" s="26"/>
    </row>
    <row r="33" spans="1:14" s="28" customFormat="1" ht="150" hidden="1" customHeight="1" x14ac:dyDescent="0.3">
      <c r="A33" s="22"/>
      <c r="B33" s="22"/>
      <c r="C33" s="23"/>
      <c r="D33" s="29"/>
      <c r="E33" s="25"/>
      <c r="F33" s="22"/>
      <c r="G33" s="22"/>
      <c r="H33" s="23"/>
      <c r="I33" s="22"/>
      <c r="J33" s="23"/>
      <c r="K33" s="22"/>
      <c r="L33" s="26"/>
      <c r="M33" s="27"/>
      <c r="N33" s="26"/>
    </row>
    <row r="34" spans="1:14" s="28" customFormat="1" ht="150" hidden="1" customHeight="1" x14ac:dyDescent="0.3">
      <c r="A34" s="22"/>
      <c r="B34" s="22"/>
      <c r="C34" s="23"/>
      <c r="D34" s="29"/>
      <c r="E34" s="25"/>
      <c r="F34" s="22"/>
      <c r="G34" s="22"/>
      <c r="H34" s="23"/>
      <c r="I34" s="22"/>
      <c r="J34" s="23"/>
      <c r="K34" s="22"/>
      <c r="L34" s="26"/>
      <c r="M34" s="27"/>
      <c r="N34" s="26"/>
    </row>
    <row r="35" spans="1:14" s="28" customFormat="1" ht="150" hidden="1" customHeight="1" x14ac:dyDescent="0.3">
      <c r="A35" s="22"/>
      <c r="B35" s="22"/>
      <c r="C35" s="23"/>
      <c r="D35" s="29"/>
      <c r="E35" s="25"/>
      <c r="F35" s="22"/>
      <c r="G35" s="22"/>
      <c r="H35" s="23"/>
      <c r="I35" s="22"/>
      <c r="J35" s="23"/>
      <c r="K35" s="22"/>
      <c r="L35" s="26"/>
      <c r="M35" s="27"/>
      <c r="N35" s="26"/>
    </row>
    <row r="36" spans="1:14" s="28" customFormat="1" ht="150" hidden="1" customHeight="1" x14ac:dyDescent="0.3">
      <c r="A36" s="22"/>
      <c r="B36" s="22"/>
      <c r="C36" s="23"/>
      <c r="D36" s="29"/>
      <c r="E36" s="25"/>
      <c r="F36" s="22"/>
      <c r="G36" s="22"/>
      <c r="H36" s="23"/>
      <c r="I36" s="22"/>
      <c r="J36" s="23"/>
      <c r="K36" s="22"/>
      <c r="L36" s="26"/>
      <c r="M36" s="27"/>
      <c r="N36" s="26"/>
    </row>
    <row r="37" spans="1:14" s="28" customFormat="1" ht="150" hidden="1" customHeight="1" x14ac:dyDescent="0.3">
      <c r="A37" s="22"/>
      <c r="B37" s="22"/>
      <c r="C37" s="23"/>
      <c r="D37" s="29"/>
      <c r="E37" s="25"/>
      <c r="F37" s="22"/>
      <c r="G37" s="22"/>
      <c r="H37" s="23"/>
      <c r="I37" s="22"/>
      <c r="J37" s="23"/>
      <c r="K37" s="22"/>
      <c r="L37" s="26"/>
      <c r="M37" s="27"/>
      <c r="N37" s="26"/>
    </row>
    <row r="38" spans="1:14" s="28" customFormat="1" ht="150" hidden="1" customHeight="1" x14ac:dyDescent="0.3">
      <c r="A38" s="22"/>
      <c r="B38" s="22"/>
      <c r="C38" s="23"/>
      <c r="D38" s="29"/>
      <c r="E38" s="25"/>
      <c r="F38" s="22"/>
      <c r="G38" s="22"/>
      <c r="H38" s="23"/>
      <c r="I38" s="22"/>
      <c r="J38" s="23"/>
      <c r="K38" s="22"/>
      <c r="L38" s="26"/>
      <c r="M38" s="27"/>
      <c r="N38" s="26"/>
    </row>
    <row r="39" spans="1:14" s="28" customFormat="1" ht="150" hidden="1" customHeight="1" x14ac:dyDescent="0.3">
      <c r="A39" s="22"/>
      <c r="B39" s="22"/>
      <c r="C39" s="23"/>
      <c r="D39" s="29"/>
      <c r="E39" s="25"/>
      <c r="F39" s="22"/>
      <c r="G39" s="22"/>
      <c r="H39" s="23"/>
      <c r="I39" s="22"/>
      <c r="J39" s="23"/>
      <c r="K39" s="22"/>
      <c r="L39" s="26"/>
      <c r="M39" s="27"/>
      <c r="N39" s="26"/>
    </row>
    <row r="40" spans="1:14" s="28" customFormat="1" ht="150" hidden="1" customHeight="1" x14ac:dyDescent="0.3">
      <c r="A40" s="22"/>
      <c r="B40" s="22"/>
      <c r="C40" s="23"/>
      <c r="D40" s="29"/>
      <c r="E40" s="25"/>
      <c r="F40" s="22"/>
      <c r="G40" s="22"/>
      <c r="H40" s="23"/>
      <c r="I40" s="22"/>
      <c r="J40" s="23"/>
      <c r="K40" s="22"/>
      <c r="L40" s="26"/>
      <c r="M40" s="27"/>
      <c r="N40" s="26"/>
    </row>
    <row r="41" spans="1:14" s="28" customFormat="1" ht="150" hidden="1" customHeight="1" x14ac:dyDescent="0.3">
      <c r="A41" s="22"/>
      <c r="B41" s="22"/>
      <c r="C41" s="23"/>
      <c r="D41" s="29"/>
      <c r="E41" s="25"/>
      <c r="F41" s="22"/>
      <c r="G41" s="22"/>
      <c r="H41" s="23"/>
      <c r="I41" s="22"/>
      <c r="J41" s="23"/>
      <c r="K41" s="22"/>
      <c r="L41" s="26"/>
      <c r="M41" s="27"/>
      <c r="N41" s="26"/>
    </row>
    <row r="42" spans="1:14" s="28" customFormat="1" ht="150" hidden="1" customHeight="1" x14ac:dyDescent="0.3">
      <c r="A42" s="22"/>
      <c r="B42" s="22"/>
      <c r="C42" s="23"/>
      <c r="D42" s="29"/>
      <c r="E42" s="25"/>
      <c r="F42" s="22"/>
      <c r="G42" s="22"/>
      <c r="H42" s="23"/>
      <c r="I42" s="22"/>
      <c r="J42" s="23"/>
      <c r="K42" s="22"/>
      <c r="L42" s="26"/>
      <c r="M42" s="27"/>
      <c r="N42" s="26"/>
    </row>
    <row r="43" spans="1:14" s="28" customFormat="1" ht="150" hidden="1" customHeight="1" x14ac:dyDescent="0.3">
      <c r="A43" s="22"/>
      <c r="B43" s="22"/>
      <c r="C43" s="23"/>
      <c r="D43" s="29"/>
      <c r="E43" s="25"/>
      <c r="F43" s="22"/>
      <c r="G43" s="22"/>
      <c r="H43" s="23"/>
      <c r="I43" s="22"/>
      <c r="J43" s="23"/>
      <c r="K43" s="22"/>
      <c r="L43" s="26"/>
      <c r="M43" s="27"/>
      <c r="N43" s="26"/>
    </row>
    <row r="44" spans="1:14" s="28" customFormat="1" ht="150" hidden="1" customHeight="1" x14ac:dyDescent="0.3">
      <c r="A44" s="22"/>
      <c r="B44" s="22"/>
      <c r="C44" s="23"/>
      <c r="D44" s="29"/>
      <c r="E44" s="25"/>
      <c r="F44" s="22"/>
      <c r="G44" s="22"/>
      <c r="H44" s="23"/>
      <c r="I44" s="22"/>
      <c r="J44" s="23"/>
      <c r="K44" s="22"/>
      <c r="L44" s="26"/>
      <c r="M44" s="27"/>
      <c r="N44" s="26"/>
    </row>
    <row r="45" spans="1:14" s="28" customFormat="1" ht="150" hidden="1" customHeight="1" x14ac:dyDescent="0.3">
      <c r="A45" s="22"/>
      <c r="B45" s="22"/>
      <c r="C45" s="23"/>
      <c r="D45" s="29"/>
      <c r="E45" s="25"/>
      <c r="F45" s="22"/>
      <c r="G45" s="22"/>
      <c r="H45" s="23"/>
      <c r="I45" s="22"/>
      <c r="J45" s="23"/>
      <c r="K45" s="22"/>
      <c r="L45" s="26"/>
      <c r="M45" s="27"/>
      <c r="N45" s="26"/>
    </row>
    <row r="46" spans="1:14" s="28" customFormat="1" ht="150" hidden="1" customHeight="1" x14ac:dyDescent="0.3">
      <c r="A46" s="22"/>
      <c r="B46" s="22"/>
      <c r="C46" s="23"/>
      <c r="D46" s="29"/>
      <c r="E46" s="25"/>
      <c r="F46" s="22"/>
      <c r="G46" s="22"/>
      <c r="H46" s="23"/>
      <c r="I46" s="22"/>
      <c r="J46" s="23"/>
      <c r="K46" s="22"/>
      <c r="L46" s="26"/>
      <c r="M46" s="27"/>
      <c r="N46" s="26"/>
    </row>
    <row r="47" spans="1:14" s="28" customFormat="1" ht="150" hidden="1" customHeight="1" x14ac:dyDescent="0.3">
      <c r="A47" s="22"/>
      <c r="B47" s="22"/>
      <c r="C47" s="23"/>
      <c r="D47" s="29"/>
      <c r="E47" s="25"/>
      <c r="F47" s="22"/>
      <c r="G47" s="22"/>
      <c r="H47" s="23"/>
      <c r="I47" s="22"/>
      <c r="J47" s="23"/>
      <c r="K47" s="22"/>
      <c r="L47" s="26"/>
      <c r="M47" s="27"/>
      <c r="N47" s="26">
        <f t="shared" si="1"/>
        <v>0</v>
      </c>
    </row>
    <row r="48" spans="1:14" s="28" customFormat="1" ht="150" hidden="1" customHeight="1" x14ac:dyDescent="0.3">
      <c r="A48" s="22"/>
      <c r="B48" s="22"/>
      <c r="C48" s="23"/>
      <c r="D48" s="29"/>
      <c r="E48" s="25"/>
      <c r="F48" s="22"/>
      <c r="G48" s="22"/>
      <c r="H48" s="23"/>
      <c r="I48" s="22"/>
      <c r="J48" s="23"/>
      <c r="K48" s="22"/>
      <c r="L48" s="26"/>
      <c r="M48" s="27"/>
      <c r="N48" s="26">
        <f t="shared" si="1"/>
        <v>0</v>
      </c>
    </row>
    <row r="49" spans="1:14" s="28" customFormat="1" ht="150" hidden="1" customHeight="1" x14ac:dyDescent="0.3">
      <c r="A49" s="22"/>
      <c r="B49" s="22"/>
      <c r="C49" s="23"/>
      <c r="D49" s="29"/>
      <c r="E49" s="25"/>
      <c r="F49" s="22"/>
      <c r="G49" s="22"/>
      <c r="H49" s="23"/>
      <c r="I49" s="22"/>
      <c r="J49" s="23"/>
      <c r="K49" s="22"/>
      <c r="L49" s="26"/>
      <c r="M49" s="27"/>
      <c r="N49" s="26">
        <f t="shared" si="1"/>
        <v>0</v>
      </c>
    </row>
    <row r="50" spans="1:14" s="28" customFormat="1" ht="150" hidden="1" customHeight="1" x14ac:dyDescent="0.3">
      <c r="A50" s="22"/>
      <c r="B50" s="22"/>
      <c r="C50" s="23"/>
      <c r="D50" s="29"/>
      <c r="E50" s="25"/>
      <c r="F50" s="22"/>
      <c r="G50" s="22"/>
      <c r="H50" s="23"/>
      <c r="I50" s="22"/>
      <c r="J50" s="23"/>
      <c r="K50" s="22"/>
      <c r="L50" s="26"/>
      <c r="M50" s="27"/>
      <c r="N50" s="26">
        <f t="shared" si="1"/>
        <v>0</v>
      </c>
    </row>
    <row r="51" spans="1:14" s="11" customFormat="1" ht="150" customHeight="1" x14ac:dyDescent="0.3">
      <c r="A51" s="22"/>
      <c r="B51" s="22"/>
      <c r="C51" s="23"/>
      <c r="D51" s="29"/>
      <c r="E51" s="25"/>
      <c r="F51" s="22"/>
      <c r="G51" s="22"/>
      <c r="H51" s="23"/>
      <c r="I51" s="22"/>
      <c r="J51" s="22"/>
      <c r="K51" s="22"/>
      <c r="L51" s="26"/>
      <c r="M51" s="27"/>
      <c r="N51" s="26">
        <f t="shared" si="1"/>
        <v>0</v>
      </c>
    </row>
    <row r="52" spans="1:14" s="11" customFormat="1" ht="150" customHeight="1" x14ac:dyDescent="0.3">
      <c r="A52" s="13"/>
      <c r="B52" s="13"/>
      <c r="C52" s="14"/>
      <c r="D52" s="14"/>
      <c r="E52" s="15"/>
      <c r="F52" s="13"/>
      <c r="G52" s="13"/>
      <c r="H52" s="14"/>
      <c r="I52" s="13"/>
      <c r="J52" s="13"/>
      <c r="K52" s="13"/>
      <c r="L52" s="9">
        <f>SUM(L4:L51)</f>
        <v>29024</v>
      </c>
      <c r="M52" s="16">
        <f>SUM(M4:M51)</f>
        <v>7100</v>
      </c>
      <c r="N52" s="9">
        <f>SUM(N4:N51)</f>
        <v>21924</v>
      </c>
    </row>
    <row r="53" spans="1:14" s="12" customFormat="1" ht="100.05" customHeight="1" x14ac:dyDescent="0.3">
      <c r="A53" s="17"/>
      <c r="B53" s="17"/>
      <c r="C53" s="17"/>
      <c r="D53" s="20"/>
      <c r="E53" s="17"/>
      <c r="F53" s="17"/>
      <c r="G53" s="17"/>
      <c r="H53" s="17"/>
      <c r="I53" s="17"/>
      <c r="J53" s="17"/>
      <c r="K53" s="17"/>
      <c r="L53" s="17"/>
      <c r="M53" s="17"/>
      <c r="N53" s="17"/>
    </row>
    <row r="54" spans="1:14" ht="100.05" customHeight="1" x14ac:dyDescent="0.3"/>
    <row r="55" spans="1:14" s="4" customFormat="1" ht="100.05" customHeight="1" x14ac:dyDescent="0.3">
      <c r="A55" s="17"/>
      <c r="B55" s="17"/>
      <c r="C55" s="17"/>
      <c r="D55" s="20"/>
      <c r="E55" s="17"/>
      <c r="F55" s="17"/>
      <c r="G55" s="17"/>
      <c r="H55" s="17"/>
      <c r="I55" s="17"/>
      <c r="J55" s="17"/>
      <c r="K55" s="17"/>
      <c r="L55" s="17"/>
      <c r="M55" s="17"/>
      <c r="N55" s="17"/>
    </row>
    <row r="56" spans="1:14" s="4" customFormat="1" ht="100.05" customHeight="1" x14ac:dyDescent="0.3">
      <c r="A56" s="17"/>
      <c r="B56" s="17"/>
      <c r="C56" s="17"/>
      <c r="D56" s="20"/>
      <c r="E56" s="17"/>
      <c r="F56" s="17"/>
      <c r="G56" s="17"/>
      <c r="H56" s="17"/>
      <c r="I56" s="17"/>
      <c r="J56" s="17"/>
      <c r="K56" s="17"/>
      <c r="L56" s="17"/>
      <c r="M56" s="17"/>
      <c r="N56" s="17"/>
    </row>
    <row r="57" spans="1:14" s="11" customFormat="1" ht="100.05" customHeight="1" x14ac:dyDescent="0.3">
      <c r="A57" s="17"/>
      <c r="B57" s="17"/>
      <c r="C57" s="17"/>
      <c r="D57" s="20"/>
      <c r="E57" s="17"/>
      <c r="F57" s="17"/>
      <c r="G57" s="17"/>
      <c r="H57" s="17"/>
      <c r="I57" s="17"/>
      <c r="J57" s="17"/>
      <c r="K57" s="17"/>
      <c r="L57" s="17"/>
      <c r="M57" s="17"/>
      <c r="N57" s="17"/>
    </row>
    <row r="58" spans="1:14" s="11" customFormat="1" ht="100.05" customHeight="1" x14ac:dyDescent="0.3">
      <c r="A58" s="17"/>
      <c r="B58" s="17"/>
      <c r="C58" s="17"/>
      <c r="D58" s="20"/>
      <c r="E58" s="17"/>
      <c r="F58" s="17"/>
      <c r="G58" s="17"/>
      <c r="H58" s="17"/>
      <c r="I58" s="17"/>
      <c r="J58" s="17"/>
      <c r="K58" s="17"/>
      <c r="L58" s="17"/>
      <c r="M58" s="17"/>
      <c r="N58" s="17"/>
    </row>
    <row r="59" spans="1:14" s="11" customFormat="1" ht="100.05" customHeight="1" x14ac:dyDescent="0.3">
      <c r="A59" s="17"/>
      <c r="B59" s="17"/>
      <c r="C59" s="17"/>
      <c r="D59" s="20"/>
      <c r="E59" s="17"/>
      <c r="F59" s="17"/>
      <c r="G59" s="17"/>
      <c r="H59" s="17"/>
      <c r="I59" s="17"/>
      <c r="J59" s="17"/>
      <c r="K59" s="17"/>
      <c r="L59" s="17"/>
      <c r="M59" s="17"/>
      <c r="N59" s="17"/>
    </row>
    <row r="60" spans="1:14" s="11" customFormat="1" ht="100.05" customHeight="1" x14ac:dyDescent="0.3">
      <c r="A60" s="17"/>
      <c r="B60" s="17"/>
      <c r="C60" s="17"/>
      <c r="D60" s="20"/>
      <c r="E60" s="17"/>
      <c r="F60" s="17"/>
      <c r="G60" s="17"/>
      <c r="H60" s="17"/>
      <c r="I60" s="17"/>
      <c r="J60" s="17"/>
      <c r="K60" s="17"/>
      <c r="L60" s="17"/>
      <c r="M60" s="17"/>
      <c r="N60" s="17"/>
    </row>
    <row r="61" spans="1:14" s="11" customFormat="1" ht="100.05" customHeight="1" x14ac:dyDescent="0.3">
      <c r="A61" s="17"/>
      <c r="B61" s="17"/>
      <c r="C61" s="17"/>
      <c r="D61" s="20"/>
      <c r="E61" s="17"/>
      <c r="F61" s="17"/>
      <c r="G61" s="17"/>
      <c r="H61" s="17"/>
      <c r="I61" s="17"/>
      <c r="J61" s="17"/>
      <c r="K61" s="17"/>
      <c r="L61" s="17"/>
      <c r="M61" s="17"/>
      <c r="N61" s="17"/>
    </row>
    <row r="62" spans="1:14" s="11" customFormat="1" ht="100.05" customHeight="1" x14ac:dyDescent="0.3">
      <c r="A62" s="17"/>
      <c r="B62" s="17"/>
      <c r="C62" s="17"/>
      <c r="D62" s="20"/>
      <c r="E62" s="17"/>
      <c r="F62" s="17"/>
      <c r="G62" s="17"/>
      <c r="H62" s="17"/>
      <c r="I62" s="17"/>
      <c r="J62" s="17"/>
      <c r="K62" s="17"/>
      <c r="L62" s="17"/>
      <c r="M62" s="17"/>
      <c r="N62" s="17"/>
    </row>
    <row r="63" spans="1:14" s="11" customFormat="1" ht="100.05" customHeight="1" x14ac:dyDescent="0.3">
      <c r="A63" s="17"/>
      <c r="B63" s="17"/>
      <c r="C63" s="17"/>
      <c r="D63" s="20"/>
      <c r="E63" s="17"/>
      <c r="F63" s="17"/>
      <c r="G63" s="17"/>
      <c r="H63" s="17"/>
      <c r="I63" s="17"/>
      <c r="J63" s="17"/>
      <c r="K63" s="17"/>
      <c r="L63" s="17"/>
      <c r="M63" s="17"/>
      <c r="N63" s="17"/>
    </row>
    <row r="64" spans="1:14" s="11" customFormat="1" ht="100.05" customHeight="1" x14ac:dyDescent="0.3">
      <c r="A64" s="17"/>
      <c r="B64" s="17"/>
      <c r="C64" s="17"/>
      <c r="D64" s="20"/>
      <c r="E64" s="17"/>
      <c r="F64" s="17"/>
      <c r="G64" s="17"/>
      <c r="H64" s="17"/>
      <c r="I64" s="17"/>
      <c r="J64" s="17"/>
      <c r="K64" s="17"/>
      <c r="L64" s="17"/>
      <c r="M64" s="17"/>
      <c r="N64" s="17"/>
    </row>
    <row r="65" spans="1:14" s="11" customFormat="1" ht="100.05" customHeight="1" x14ac:dyDescent="0.3">
      <c r="A65" s="17"/>
      <c r="B65" s="17"/>
      <c r="C65" s="17"/>
      <c r="D65" s="20"/>
      <c r="E65" s="17"/>
      <c r="F65" s="17"/>
      <c r="G65" s="17"/>
      <c r="H65" s="17"/>
      <c r="I65" s="17"/>
      <c r="J65" s="17"/>
      <c r="K65" s="17"/>
      <c r="L65" s="17"/>
      <c r="M65" s="17"/>
      <c r="N65" s="17"/>
    </row>
    <row r="66" spans="1:14" s="11" customFormat="1" ht="100.05" customHeight="1" x14ac:dyDescent="0.3">
      <c r="A66" s="17"/>
      <c r="B66" s="17"/>
      <c r="C66" s="17"/>
      <c r="D66" s="20"/>
      <c r="E66" s="17"/>
      <c r="F66" s="17"/>
      <c r="G66" s="17"/>
      <c r="H66" s="17"/>
      <c r="I66" s="17"/>
      <c r="J66" s="17"/>
      <c r="K66" s="17"/>
      <c r="L66" s="17"/>
      <c r="M66" s="17"/>
      <c r="N66" s="17"/>
    </row>
  </sheetData>
  <mergeCells count="3">
    <mergeCell ref="A1:C1"/>
    <mergeCell ref="K1:N1"/>
    <mergeCell ref="A2:N2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18"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1"/>
  <sheetViews>
    <sheetView zoomScale="25" zoomScaleNormal="25" workbookViewId="0">
      <selection activeCell="A3" sqref="A3"/>
    </sheetView>
  </sheetViews>
  <sheetFormatPr defaultColWidth="8.88671875" defaultRowHeight="14.4" x14ac:dyDescent="0.3"/>
  <cols>
    <col min="1" max="1" width="41.77734375" style="17" customWidth="1"/>
    <col min="2" max="2" width="19.6640625" style="17" customWidth="1"/>
    <col min="3" max="3" width="29.21875" style="17" customWidth="1"/>
    <col min="4" max="4" width="28.6640625" style="20" customWidth="1"/>
    <col min="5" max="5" width="162.109375" style="17" customWidth="1"/>
    <col min="6" max="6" width="32.109375" style="17" bestFit="1" customWidth="1"/>
    <col min="7" max="7" width="21.88671875" style="17" bestFit="1" customWidth="1"/>
    <col min="8" max="8" width="26.6640625" style="17" bestFit="1" customWidth="1"/>
    <col min="9" max="9" width="40.109375" style="17" bestFit="1" customWidth="1"/>
    <col min="10" max="10" width="37.88671875" style="17" customWidth="1"/>
    <col min="11" max="11" width="25.6640625" style="17" customWidth="1"/>
    <col min="12" max="14" width="26.77734375" style="17" bestFit="1" customWidth="1"/>
    <col min="15" max="16384" width="8.88671875" style="18"/>
  </cols>
  <sheetData>
    <row r="1" spans="1:14" s="3" customFormat="1" ht="100.05" customHeight="1" x14ac:dyDescent="0.95">
      <c r="A1" s="37"/>
      <c r="B1" s="37"/>
      <c r="C1" s="37"/>
      <c r="D1" s="19"/>
      <c r="E1" s="1"/>
      <c r="F1" s="1"/>
      <c r="G1" s="1"/>
      <c r="H1" s="1"/>
      <c r="I1" s="1"/>
      <c r="J1" s="2" t="s">
        <v>0</v>
      </c>
      <c r="K1" s="38">
        <v>45931</v>
      </c>
      <c r="L1" s="38"/>
      <c r="M1" s="38"/>
      <c r="N1" s="38"/>
    </row>
    <row r="2" spans="1:14" s="4" customFormat="1" ht="100.05" customHeight="1" x14ac:dyDescent="0.3">
      <c r="A2" s="39" t="s">
        <v>68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</row>
    <row r="3" spans="1:14" s="4" customFormat="1" ht="150" customHeight="1" x14ac:dyDescent="0.3">
      <c r="A3" s="5" t="s">
        <v>1</v>
      </c>
      <c r="B3" s="5" t="s">
        <v>2</v>
      </c>
      <c r="C3" s="6" t="s">
        <v>3</v>
      </c>
      <c r="D3" s="7" t="s">
        <v>4</v>
      </c>
      <c r="E3" s="5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6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s="28" customFormat="1" ht="150" customHeight="1" x14ac:dyDescent="0.3">
      <c r="A4" s="22" t="s">
        <v>28</v>
      </c>
      <c r="B4" s="22">
        <v>304</v>
      </c>
      <c r="C4" s="23">
        <v>0.8</v>
      </c>
      <c r="D4" s="24">
        <v>30</v>
      </c>
      <c r="E4" s="25" t="s">
        <v>29</v>
      </c>
      <c r="F4" s="22" t="s">
        <v>16</v>
      </c>
      <c r="G4" s="22" t="s">
        <v>16</v>
      </c>
      <c r="H4" s="23" t="s">
        <v>16</v>
      </c>
      <c r="I4" s="22" t="s">
        <v>16</v>
      </c>
      <c r="J4" s="23" t="s">
        <v>16</v>
      </c>
      <c r="K4" s="22" t="s">
        <v>17</v>
      </c>
      <c r="L4" s="26">
        <v>3200</v>
      </c>
      <c r="M4" s="27">
        <f>450+2400</f>
        <v>2850</v>
      </c>
      <c r="N4" s="26">
        <f t="shared" ref="N4:N13" si="0">L4-M4</f>
        <v>350</v>
      </c>
    </row>
    <row r="5" spans="1:14" s="28" customFormat="1" ht="150" customHeight="1" x14ac:dyDescent="0.3">
      <c r="A5" s="22">
        <v>250074</v>
      </c>
      <c r="B5" s="22">
        <v>304</v>
      </c>
      <c r="C5" s="23">
        <v>0.7</v>
      </c>
      <c r="D5" s="29" t="s">
        <v>59</v>
      </c>
      <c r="E5" s="25" t="s">
        <v>60</v>
      </c>
      <c r="F5" s="22" t="s">
        <v>61</v>
      </c>
      <c r="G5" s="22">
        <v>430</v>
      </c>
      <c r="H5" s="23">
        <v>0.6</v>
      </c>
      <c r="I5" s="22" t="s">
        <v>16</v>
      </c>
      <c r="J5" s="23" t="s">
        <v>16</v>
      </c>
      <c r="K5" s="22" t="s">
        <v>17</v>
      </c>
      <c r="L5" s="26">
        <v>708</v>
      </c>
      <c r="M5" s="27"/>
      <c r="N5" s="26">
        <f t="shared" si="0"/>
        <v>708</v>
      </c>
    </row>
    <row r="6" spans="1:14" s="28" customFormat="1" ht="150" customHeight="1" x14ac:dyDescent="0.3">
      <c r="A6" s="22">
        <v>250074</v>
      </c>
      <c r="B6" s="22">
        <v>304</v>
      </c>
      <c r="C6" s="23">
        <v>0.7</v>
      </c>
      <c r="D6" s="29" t="s">
        <v>64</v>
      </c>
      <c r="E6" s="25" t="s">
        <v>62</v>
      </c>
      <c r="F6" s="22" t="s">
        <v>61</v>
      </c>
      <c r="G6" s="22">
        <v>430</v>
      </c>
      <c r="H6" s="23">
        <v>0.6</v>
      </c>
      <c r="I6" s="22" t="s">
        <v>16</v>
      </c>
      <c r="J6" s="23" t="s">
        <v>16</v>
      </c>
      <c r="K6" s="22" t="s">
        <v>17</v>
      </c>
      <c r="L6" s="26">
        <v>708</v>
      </c>
      <c r="M6" s="27"/>
      <c r="N6" s="26">
        <f t="shared" si="0"/>
        <v>708</v>
      </c>
    </row>
    <row r="7" spans="1:14" s="28" customFormat="1" ht="150" customHeight="1" x14ac:dyDescent="0.3">
      <c r="A7" s="22">
        <v>250074</v>
      </c>
      <c r="B7" s="22">
        <v>304</v>
      </c>
      <c r="C7" s="23">
        <v>0.7</v>
      </c>
      <c r="D7" s="29" t="s">
        <v>65</v>
      </c>
      <c r="E7" s="25" t="s">
        <v>63</v>
      </c>
      <c r="F7" s="22" t="s">
        <v>61</v>
      </c>
      <c r="G7" s="22">
        <v>430</v>
      </c>
      <c r="H7" s="23">
        <v>0.6</v>
      </c>
      <c r="I7" s="22" t="s">
        <v>16</v>
      </c>
      <c r="J7" s="23" t="s">
        <v>16</v>
      </c>
      <c r="K7" s="22" t="s">
        <v>17</v>
      </c>
      <c r="L7" s="26">
        <v>708</v>
      </c>
      <c r="M7" s="27"/>
      <c r="N7" s="26">
        <f t="shared" si="0"/>
        <v>708</v>
      </c>
    </row>
    <row r="8" spans="1:14" s="28" customFormat="1" ht="150" customHeight="1" x14ac:dyDescent="0.3">
      <c r="A8" s="22">
        <v>100925</v>
      </c>
      <c r="B8" s="22">
        <v>304</v>
      </c>
      <c r="C8" s="23" t="s">
        <v>31</v>
      </c>
      <c r="D8" s="24" t="s">
        <v>32</v>
      </c>
      <c r="E8" s="25" t="s">
        <v>33</v>
      </c>
      <c r="F8" s="22" t="s">
        <v>16</v>
      </c>
      <c r="G8" s="22">
        <v>430</v>
      </c>
      <c r="H8" s="23">
        <v>0.6</v>
      </c>
      <c r="I8" s="22" t="s">
        <v>16</v>
      </c>
      <c r="J8" s="23" t="s">
        <v>16</v>
      </c>
      <c r="K8" s="22" t="s">
        <v>17</v>
      </c>
      <c r="L8" s="26">
        <v>1200</v>
      </c>
      <c r="M8" s="27"/>
      <c r="N8" s="26">
        <f t="shared" si="0"/>
        <v>1200</v>
      </c>
    </row>
    <row r="9" spans="1:14" s="28" customFormat="1" ht="150" customHeight="1" x14ac:dyDescent="0.3">
      <c r="A9" s="22">
        <v>100925</v>
      </c>
      <c r="B9" s="22">
        <v>304</v>
      </c>
      <c r="C9" s="23" t="s">
        <v>31</v>
      </c>
      <c r="D9" s="29" t="s">
        <v>35</v>
      </c>
      <c r="E9" s="25" t="s">
        <v>67</v>
      </c>
      <c r="F9" s="22" t="s">
        <v>16</v>
      </c>
      <c r="G9" s="22" t="s">
        <v>16</v>
      </c>
      <c r="H9" s="23" t="s">
        <v>16</v>
      </c>
      <c r="I9" s="22" t="s">
        <v>16</v>
      </c>
      <c r="J9" s="23" t="s">
        <v>16</v>
      </c>
      <c r="K9" s="22" t="s">
        <v>17</v>
      </c>
      <c r="L9" s="26">
        <v>1200</v>
      </c>
      <c r="M9" s="27"/>
      <c r="N9" s="26">
        <f t="shared" si="0"/>
        <v>1200</v>
      </c>
    </row>
    <row r="10" spans="1:14" s="28" customFormat="1" ht="150" customHeight="1" x14ac:dyDescent="0.3">
      <c r="A10" s="22">
        <v>100925</v>
      </c>
      <c r="B10" s="22">
        <v>304</v>
      </c>
      <c r="C10" s="23" t="s">
        <v>31</v>
      </c>
      <c r="D10" s="24" t="s">
        <v>40</v>
      </c>
      <c r="E10" s="25" t="s">
        <v>36</v>
      </c>
      <c r="F10" s="22" t="s">
        <v>16</v>
      </c>
      <c r="G10" s="22">
        <v>430</v>
      </c>
      <c r="H10" s="23">
        <v>0.6</v>
      </c>
      <c r="I10" s="22" t="s">
        <v>16</v>
      </c>
      <c r="J10" s="23" t="s">
        <v>16</v>
      </c>
      <c r="K10" s="22" t="s">
        <v>17</v>
      </c>
      <c r="L10" s="26">
        <v>1500</v>
      </c>
      <c r="M10" s="27"/>
      <c r="N10" s="26">
        <f t="shared" si="0"/>
        <v>1500</v>
      </c>
    </row>
    <row r="11" spans="1:14" s="28" customFormat="1" ht="150" customHeight="1" x14ac:dyDescent="0.3">
      <c r="A11" s="22">
        <v>100925</v>
      </c>
      <c r="B11" s="22">
        <v>304</v>
      </c>
      <c r="C11" s="23" t="s">
        <v>31</v>
      </c>
      <c r="D11" s="29" t="s">
        <v>41</v>
      </c>
      <c r="E11" s="25" t="s">
        <v>37</v>
      </c>
      <c r="F11" s="22" t="s">
        <v>16</v>
      </c>
      <c r="G11" s="22" t="s">
        <v>16</v>
      </c>
      <c r="H11" s="23" t="s">
        <v>16</v>
      </c>
      <c r="I11" s="22" t="s">
        <v>16</v>
      </c>
      <c r="J11" s="23" t="s">
        <v>16</v>
      </c>
      <c r="K11" s="22" t="s">
        <v>17</v>
      </c>
      <c r="L11" s="26">
        <v>1500</v>
      </c>
      <c r="M11" s="27"/>
      <c r="N11" s="26">
        <f t="shared" si="0"/>
        <v>1500</v>
      </c>
    </row>
    <row r="12" spans="1:14" s="28" customFormat="1" ht="150" customHeight="1" x14ac:dyDescent="0.3">
      <c r="A12" s="22">
        <v>100925</v>
      </c>
      <c r="B12" s="22">
        <v>304</v>
      </c>
      <c r="C12" s="23" t="s">
        <v>31</v>
      </c>
      <c r="D12" s="24" t="s">
        <v>40</v>
      </c>
      <c r="E12" s="25" t="s">
        <v>38</v>
      </c>
      <c r="F12" s="22" t="s">
        <v>16</v>
      </c>
      <c r="G12" s="22">
        <v>430</v>
      </c>
      <c r="H12" s="23">
        <v>0.6</v>
      </c>
      <c r="I12" s="22" t="s">
        <v>16</v>
      </c>
      <c r="J12" s="23" t="s">
        <v>16</v>
      </c>
      <c r="K12" s="22" t="s">
        <v>17</v>
      </c>
      <c r="L12" s="26">
        <v>600</v>
      </c>
      <c r="M12" s="27"/>
      <c r="N12" s="26">
        <f t="shared" si="0"/>
        <v>600</v>
      </c>
    </row>
    <row r="13" spans="1:14" s="28" customFormat="1" ht="150" customHeight="1" x14ac:dyDescent="0.3">
      <c r="A13" s="22">
        <v>100925</v>
      </c>
      <c r="B13" s="22">
        <v>304</v>
      </c>
      <c r="C13" s="23" t="s">
        <v>31</v>
      </c>
      <c r="D13" s="29" t="s">
        <v>41</v>
      </c>
      <c r="E13" s="25" t="s">
        <v>39</v>
      </c>
      <c r="F13" s="22" t="s">
        <v>16</v>
      </c>
      <c r="G13" s="22" t="s">
        <v>16</v>
      </c>
      <c r="H13" s="23" t="s">
        <v>16</v>
      </c>
      <c r="I13" s="22" t="s">
        <v>16</v>
      </c>
      <c r="J13" s="23" t="s">
        <v>16</v>
      </c>
      <c r="K13" s="22" t="s">
        <v>17</v>
      </c>
      <c r="L13" s="26">
        <v>600</v>
      </c>
      <c r="M13" s="27"/>
      <c r="N13" s="26">
        <f t="shared" si="0"/>
        <v>600</v>
      </c>
    </row>
    <row r="14" spans="1:14" s="28" customFormat="1" ht="150" customHeight="1" x14ac:dyDescent="0.3">
      <c r="A14" s="22" t="s">
        <v>42</v>
      </c>
      <c r="B14" s="22">
        <v>304</v>
      </c>
      <c r="C14" s="23">
        <v>0.9</v>
      </c>
      <c r="D14" s="29" t="s">
        <v>56</v>
      </c>
      <c r="E14" s="25" t="s">
        <v>53</v>
      </c>
      <c r="F14" s="22" t="s">
        <v>16</v>
      </c>
      <c r="G14" s="22">
        <v>430</v>
      </c>
      <c r="H14" s="23">
        <v>0.6</v>
      </c>
      <c r="I14" s="22" t="s">
        <v>16</v>
      </c>
      <c r="J14" s="23" t="s">
        <v>16</v>
      </c>
      <c r="K14" s="22" t="s">
        <v>17</v>
      </c>
      <c r="L14" s="26">
        <v>1200</v>
      </c>
      <c r="M14" s="27"/>
      <c r="N14" s="26">
        <f>L14-M14</f>
        <v>1200</v>
      </c>
    </row>
    <row r="15" spans="1:14" s="28" customFormat="1" ht="150" customHeight="1" x14ac:dyDescent="0.3">
      <c r="A15" s="22" t="s">
        <v>42</v>
      </c>
      <c r="B15" s="22">
        <v>304</v>
      </c>
      <c r="C15" s="23">
        <v>0.9</v>
      </c>
      <c r="D15" s="29" t="s">
        <v>54</v>
      </c>
      <c r="E15" s="25" t="s">
        <v>55</v>
      </c>
      <c r="F15" s="22" t="s">
        <v>16</v>
      </c>
      <c r="G15" s="22" t="s">
        <v>16</v>
      </c>
      <c r="H15" s="23" t="s">
        <v>16</v>
      </c>
      <c r="I15" s="22" t="s">
        <v>16</v>
      </c>
      <c r="J15" s="23" t="s">
        <v>16</v>
      </c>
      <c r="K15" s="22" t="s">
        <v>17</v>
      </c>
      <c r="L15" s="26">
        <v>1200</v>
      </c>
      <c r="M15" s="27"/>
      <c r="N15" s="26">
        <f t="shared" ref="N15:N46" si="1">L15-M15</f>
        <v>1200</v>
      </c>
    </row>
    <row r="16" spans="1:14" s="28" customFormat="1" ht="150" customHeight="1" x14ac:dyDescent="0.3">
      <c r="A16" s="22" t="s">
        <v>42</v>
      </c>
      <c r="B16" s="22">
        <v>304</v>
      </c>
      <c r="C16" s="23">
        <v>0.9</v>
      </c>
      <c r="D16" s="29" t="s">
        <v>57</v>
      </c>
      <c r="E16" s="25" t="s">
        <v>43</v>
      </c>
      <c r="F16" s="22" t="s">
        <v>16</v>
      </c>
      <c r="G16" s="22">
        <v>430</v>
      </c>
      <c r="H16" s="23">
        <v>0.6</v>
      </c>
      <c r="I16" s="22" t="s">
        <v>16</v>
      </c>
      <c r="J16" s="23" t="s">
        <v>16</v>
      </c>
      <c r="K16" s="22" t="s">
        <v>17</v>
      </c>
      <c r="L16" s="26">
        <v>1500</v>
      </c>
      <c r="M16" s="27"/>
      <c r="N16" s="26">
        <f t="shared" si="1"/>
        <v>1500</v>
      </c>
    </row>
    <row r="17" spans="1:14" s="28" customFormat="1" ht="150" customHeight="1" x14ac:dyDescent="0.3">
      <c r="A17" s="22" t="s">
        <v>42</v>
      </c>
      <c r="B17" s="22">
        <v>304</v>
      </c>
      <c r="C17" s="23">
        <v>0.9</v>
      </c>
      <c r="D17" s="29" t="s">
        <v>58</v>
      </c>
      <c r="E17" s="25" t="s">
        <v>44</v>
      </c>
      <c r="F17" s="22" t="s">
        <v>16</v>
      </c>
      <c r="G17" s="22" t="s">
        <v>16</v>
      </c>
      <c r="H17" s="23" t="s">
        <v>16</v>
      </c>
      <c r="I17" s="22" t="s">
        <v>16</v>
      </c>
      <c r="J17" s="23" t="s">
        <v>16</v>
      </c>
      <c r="K17" s="22" t="s">
        <v>17</v>
      </c>
      <c r="L17" s="26">
        <v>1500</v>
      </c>
      <c r="M17" s="27"/>
      <c r="N17" s="26">
        <f t="shared" si="1"/>
        <v>1500</v>
      </c>
    </row>
    <row r="18" spans="1:14" s="28" customFormat="1" ht="150" customHeight="1" x14ac:dyDescent="0.3">
      <c r="A18" s="22" t="s">
        <v>42</v>
      </c>
      <c r="B18" s="22">
        <v>304</v>
      </c>
      <c r="C18" s="23">
        <v>0.9</v>
      </c>
      <c r="D18" s="29" t="s">
        <v>45</v>
      </c>
      <c r="E18" s="25" t="s">
        <v>46</v>
      </c>
      <c r="F18" s="22" t="s">
        <v>16</v>
      </c>
      <c r="G18" s="22">
        <v>430</v>
      </c>
      <c r="H18" s="23">
        <v>0.6</v>
      </c>
      <c r="I18" s="22" t="s">
        <v>16</v>
      </c>
      <c r="J18" s="23" t="s">
        <v>16</v>
      </c>
      <c r="K18" s="22" t="s">
        <v>17</v>
      </c>
      <c r="L18" s="26">
        <v>1500</v>
      </c>
      <c r="M18" s="27"/>
      <c r="N18" s="26">
        <f t="shared" si="1"/>
        <v>1500</v>
      </c>
    </row>
    <row r="19" spans="1:14" s="28" customFormat="1" ht="150" customHeight="1" x14ac:dyDescent="0.3">
      <c r="A19" s="22" t="s">
        <v>42</v>
      </c>
      <c r="B19" s="22">
        <v>304</v>
      </c>
      <c r="C19" s="23">
        <v>0.9</v>
      </c>
      <c r="D19" s="29" t="s">
        <v>57</v>
      </c>
      <c r="E19" s="25" t="s">
        <v>47</v>
      </c>
      <c r="F19" s="22" t="s">
        <v>16</v>
      </c>
      <c r="G19" s="22" t="s">
        <v>16</v>
      </c>
      <c r="H19" s="23" t="s">
        <v>16</v>
      </c>
      <c r="I19" s="22" t="s">
        <v>16</v>
      </c>
      <c r="J19" s="23" t="s">
        <v>16</v>
      </c>
      <c r="K19" s="22" t="s">
        <v>17</v>
      </c>
      <c r="L19" s="26">
        <v>1500</v>
      </c>
      <c r="M19" s="27"/>
      <c r="N19" s="26">
        <f t="shared" si="1"/>
        <v>1500</v>
      </c>
    </row>
    <row r="20" spans="1:14" s="28" customFormat="1" ht="150" customHeight="1" x14ac:dyDescent="0.3">
      <c r="A20" s="22">
        <v>160925</v>
      </c>
      <c r="B20" s="22">
        <v>304</v>
      </c>
      <c r="C20" s="23">
        <v>0.9</v>
      </c>
      <c r="D20" s="29" t="s">
        <v>48</v>
      </c>
      <c r="E20" s="25" t="s">
        <v>49</v>
      </c>
      <c r="F20" s="22" t="s">
        <v>16</v>
      </c>
      <c r="G20" s="22">
        <v>430</v>
      </c>
      <c r="H20" s="23">
        <v>0.6</v>
      </c>
      <c r="I20" s="22" t="s">
        <v>16</v>
      </c>
      <c r="J20" s="23" t="s">
        <v>16</v>
      </c>
      <c r="K20" s="22" t="s">
        <v>17</v>
      </c>
      <c r="L20" s="26">
        <v>1100</v>
      </c>
      <c r="M20" s="27"/>
      <c r="N20" s="26">
        <f t="shared" si="1"/>
        <v>1100</v>
      </c>
    </row>
    <row r="21" spans="1:14" s="28" customFormat="1" ht="150" customHeight="1" x14ac:dyDescent="0.3">
      <c r="A21" s="22">
        <v>160925</v>
      </c>
      <c r="B21" s="22">
        <v>304</v>
      </c>
      <c r="C21" s="23">
        <v>0.9</v>
      </c>
      <c r="D21" s="29" t="s">
        <v>50</v>
      </c>
      <c r="E21" s="25" t="s">
        <v>51</v>
      </c>
      <c r="F21" s="22" t="s">
        <v>16</v>
      </c>
      <c r="G21" s="22" t="s">
        <v>52</v>
      </c>
      <c r="H21" s="23" t="s">
        <v>52</v>
      </c>
      <c r="I21" s="22" t="s">
        <v>16</v>
      </c>
      <c r="J21" s="23" t="s">
        <v>16</v>
      </c>
      <c r="K21" s="22" t="s">
        <v>17</v>
      </c>
      <c r="L21" s="26">
        <v>1100</v>
      </c>
      <c r="M21" s="27"/>
      <c r="N21" s="26">
        <f t="shared" si="1"/>
        <v>1100</v>
      </c>
    </row>
    <row r="22" spans="1:14" s="28" customFormat="1" ht="150" hidden="1" customHeight="1" x14ac:dyDescent="0.3">
      <c r="A22" s="22"/>
      <c r="B22" s="22"/>
      <c r="C22" s="23"/>
      <c r="D22" s="24"/>
      <c r="E22" s="25"/>
      <c r="F22" s="22"/>
      <c r="G22" s="22"/>
      <c r="H22" s="23"/>
      <c r="I22" s="22"/>
      <c r="J22" s="23"/>
      <c r="K22" s="22"/>
      <c r="L22" s="26"/>
      <c r="M22" s="27"/>
      <c r="N22" s="26"/>
    </row>
    <row r="23" spans="1:14" s="28" customFormat="1" ht="150" hidden="1" customHeight="1" x14ac:dyDescent="0.3">
      <c r="A23" s="22"/>
      <c r="B23" s="22"/>
      <c r="C23" s="23"/>
      <c r="D23" s="29"/>
      <c r="E23" s="25"/>
      <c r="F23" s="22"/>
      <c r="G23" s="22"/>
      <c r="H23" s="23"/>
      <c r="I23" s="22"/>
      <c r="J23" s="23"/>
      <c r="K23" s="22"/>
      <c r="L23" s="26"/>
      <c r="M23" s="27"/>
      <c r="N23" s="26"/>
    </row>
    <row r="24" spans="1:14" s="28" customFormat="1" ht="150" hidden="1" customHeight="1" x14ac:dyDescent="0.3">
      <c r="A24" s="22"/>
      <c r="B24" s="22"/>
      <c r="C24" s="23"/>
      <c r="D24" s="24"/>
      <c r="E24" s="25"/>
      <c r="F24" s="22"/>
      <c r="G24" s="22"/>
      <c r="H24" s="23"/>
      <c r="I24" s="22"/>
      <c r="J24" s="23"/>
      <c r="K24" s="22"/>
      <c r="L24" s="26"/>
      <c r="M24" s="27"/>
      <c r="N24" s="26"/>
    </row>
    <row r="25" spans="1:14" s="28" customFormat="1" ht="150" hidden="1" customHeight="1" x14ac:dyDescent="0.3">
      <c r="A25" s="22"/>
      <c r="B25" s="22"/>
      <c r="C25" s="23"/>
      <c r="D25" s="29"/>
      <c r="E25" s="25"/>
      <c r="F25" s="22"/>
      <c r="G25" s="22"/>
      <c r="H25" s="23"/>
      <c r="I25" s="22"/>
      <c r="J25" s="23"/>
      <c r="K25" s="22"/>
      <c r="L25" s="26"/>
      <c r="M25" s="27"/>
      <c r="N25" s="26"/>
    </row>
    <row r="26" spans="1:14" s="28" customFormat="1" ht="150" hidden="1" customHeight="1" x14ac:dyDescent="0.3">
      <c r="A26" s="22"/>
      <c r="B26" s="22"/>
      <c r="C26" s="23"/>
      <c r="D26" s="24"/>
      <c r="E26" s="25"/>
      <c r="F26" s="22"/>
      <c r="G26" s="22"/>
      <c r="H26" s="23"/>
      <c r="I26" s="22"/>
      <c r="J26" s="23"/>
      <c r="K26" s="22"/>
      <c r="L26" s="26"/>
      <c r="M26" s="27"/>
      <c r="N26" s="26"/>
    </row>
    <row r="27" spans="1:14" s="28" customFormat="1" ht="150" hidden="1" customHeight="1" x14ac:dyDescent="0.3">
      <c r="A27" s="22"/>
      <c r="B27" s="22"/>
      <c r="C27" s="23"/>
      <c r="D27" s="29"/>
      <c r="E27" s="25"/>
      <c r="F27" s="22"/>
      <c r="G27" s="22"/>
      <c r="H27" s="23"/>
      <c r="I27" s="22"/>
      <c r="J27" s="23"/>
      <c r="K27" s="22"/>
      <c r="L27" s="26"/>
      <c r="M27" s="27"/>
      <c r="N27" s="26"/>
    </row>
    <row r="28" spans="1:14" s="28" customFormat="1" ht="150" hidden="1" customHeight="1" x14ac:dyDescent="0.3">
      <c r="A28" s="22"/>
      <c r="B28" s="22"/>
      <c r="C28" s="23"/>
      <c r="D28" s="29"/>
      <c r="E28" s="25"/>
      <c r="F28" s="22"/>
      <c r="G28" s="22"/>
      <c r="H28" s="23"/>
      <c r="I28" s="22"/>
      <c r="J28" s="23"/>
      <c r="K28" s="22"/>
      <c r="L28" s="26"/>
      <c r="M28" s="27"/>
      <c r="N28" s="26"/>
    </row>
    <row r="29" spans="1:14" s="28" customFormat="1" ht="150" hidden="1" customHeight="1" x14ac:dyDescent="0.3">
      <c r="A29" s="22"/>
      <c r="B29" s="22"/>
      <c r="C29" s="23"/>
      <c r="D29" s="29"/>
      <c r="E29" s="25"/>
      <c r="F29" s="22"/>
      <c r="G29" s="22"/>
      <c r="H29" s="23"/>
      <c r="I29" s="22"/>
      <c r="J29" s="23"/>
      <c r="K29" s="22"/>
      <c r="L29" s="26"/>
      <c r="M29" s="27"/>
      <c r="N29" s="26"/>
    </row>
    <row r="30" spans="1:14" s="28" customFormat="1" ht="150" hidden="1" customHeight="1" x14ac:dyDescent="0.3">
      <c r="A30" s="22"/>
      <c r="B30" s="22"/>
      <c r="C30" s="23"/>
      <c r="D30" s="29"/>
      <c r="E30" s="25"/>
      <c r="F30" s="22"/>
      <c r="G30" s="22"/>
      <c r="H30" s="23"/>
      <c r="I30" s="22"/>
      <c r="J30" s="23"/>
      <c r="K30" s="22"/>
      <c r="L30" s="26"/>
      <c r="M30" s="27"/>
      <c r="N30" s="26"/>
    </row>
    <row r="31" spans="1:14" s="28" customFormat="1" ht="150" hidden="1" customHeight="1" x14ac:dyDescent="0.3">
      <c r="A31" s="22"/>
      <c r="B31" s="22"/>
      <c r="C31" s="23"/>
      <c r="D31" s="29"/>
      <c r="E31" s="25"/>
      <c r="F31" s="22"/>
      <c r="G31" s="22"/>
      <c r="H31" s="23"/>
      <c r="I31" s="22"/>
      <c r="J31" s="23"/>
      <c r="K31" s="22"/>
      <c r="L31" s="26"/>
      <c r="M31" s="27"/>
      <c r="N31" s="26"/>
    </row>
    <row r="32" spans="1:14" s="28" customFormat="1" ht="150" hidden="1" customHeight="1" x14ac:dyDescent="0.3">
      <c r="A32" s="22"/>
      <c r="B32" s="22"/>
      <c r="C32" s="23"/>
      <c r="D32" s="29"/>
      <c r="E32" s="25"/>
      <c r="F32" s="22"/>
      <c r="G32" s="22"/>
      <c r="H32" s="23"/>
      <c r="I32" s="22"/>
      <c r="J32" s="23"/>
      <c r="K32" s="22"/>
      <c r="L32" s="26"/>
      <c r="M32" s="27"/>
      <c r="N32" s="26"/>
    </row>
    <row r="33" spans="1:14" s="28" customFormat="1" ht="150" hidden="1" customHeight="1" x14ac:dyDescent="0.3">
      <c r="A33" s="22"/>
      <c r="B33" s="22"/>
      <c r="C33" s="23"/>
      <c r="D33" s="29"/>
      <c r="E33" s="25"/>
      <c r="F33" s="22"/>
      <c r="G33" s="22"/>
      <c r="H33" s="23"/>
      <c r="I33" s="22"/>
      <c r="J33" s="23"/>
      <c r="K33" s="22"/>
      <c r="L33" s="26"/>
      <c r="M33" s="27"/>
      <c r="N33" s="26"/>
    </row>
    <row r="34" spans="1:14" s="28" customFormat="1" ht="150" hidden="1" customHeight="1" x14ac:dyDescent="0.3">
      <c r="A34" s="22"/>
      <c r="B34" s="22"/>
      <c r="C34" s="23"/>
      <c r="D34" s="29"/>
      <c r="E34" s="25"/>
      <c r="F34" s="22"/>
      <c r="G34" s="22"/>
      <c r="H34" s="23"/>
      <c r="I34" s="22"/>
      <c r="J34" s="23"/>
      <c r="K34" s="22"/>
      <c r="L34" s="26"/>
      <c r="M34" s="27"/>
      <c r="N34" s="26"/>
    </row>
    <row r="35" spans="1:14" s="28" customFormat="1" ht="150" hidden="1" customHeight="1" x14ac:dyDescent="0.3">
      <c r="A35" s="22"/>
      <c r="B35" s="22"/>
      <c r="C35" s="23"/>
      <c r="D35" s="29"/>
      <c r="E35" s="25"/>
      <c r="F35" s="22"/>
      <c r="G35" s="22"/>
      <c r="H35" s="23"/>
      <c r="I35" s="22"/>
      <c r="J35" s="23"/>
      <c r="K35" s="22"/>
      <c r="L35" s="26"/>
      <c r="M35" s="27"/>
      <c r="N35" s="26"/>
    </row>
    <row r="36" spans="1:14" s="28" customFormat="1" ht="150" hidden="1" customHeight="1" x14ac:dyDescent="0.3">
      <c r="A36" s="22"/>
      <c r="B36" s="22"/>
      <c r="C36" s="23"/>
      <c r="D36" s="29"/>
      <c r="E36" s="25"/>
      <c r="F36" s="22"/>
      <c r="G36" s="22"/>
      <c r="H36" s="23"/>
      <c r="I36" s="22"/>
      <c r="J36" s="23"/>
      <c r="K36" s="22"/>
      <c r="L36" s="26"/>
      <c r="M36" s="27"/>
      <c r="N36" s="26"/>
    </row>
    <row r="37" spans="1:14" s="28" customFormat="1" ht="150" hidden="1" customHeight="1" x14ac:dyDescent="0.3">
      <c r="A37" s="22"/>
      <c r="B37" s="22"/>
      <c r="C37" s="23"/>
      <c r="D37" s="29"/>
      <c r="E37" s="25"/>
      <c r="F37" s="22"/>
      <c r="G37" s="22"/>
      <c r="H37" s="23"/>
      <c r="I37" s="22"/>
      <c r="J37" s="23"/>
      <c r="K37" s="22"/>
      <c r="L37" s="26"/>
      <c r="M37" s="27"/>
      <c r="N37" s="26"/>
    </row>
    <row r="38" spans="1:14" s="28" customFormat="1" ht="150" hidden="1" customHeight="1" x14ac:dyDescent="0.3">
      <c r="A38" s="22"/>
      <c r="B38" s="22"/>
      <c r="C38" s="23"/>
      <c r="D38" s="29"/>
      <c r="E38" s="25"/>
      <c r="F38" s="22"/>
      <c r="G38" s="22"/>
      <c r="H38" s="23"/>
      <c r="I38" s="22"/>
      <c r="J38" s="23"/>
      <c r="K38" s="22"/>
      <c r="L38" s="26"/>
      <c r="M38" s="27"/>
      <c r="N38" s="26"/>
    </row>
    <row r="39" spans="1:14" s="28" customFormat="1" ht="150" hidden="1" customHeight="1" x14ac:dyDescent="0.3">
      <c r="A39" s="22"/>
      <c r="B39" s="22"/>
      <c r="C39" s="23"/>
      <c r="D39" s="29"/>
      <c r="E39" s="25"/>
      <c r="F39" s="22"/>
      <c r="G39" s="22"/>
      <c r="H39" s="23"/>
      <c r="I39" s="22"/>
      <c r="J39" s="23"/>
      <c r="K39" s="22"/>
      <c r="L39" s="26"/>
      <c r="M39" s="27"/>
      <c r="N39" s="26"/>
    </row>
    <row r="40" spans="1:14" s="28" customFormat="1" ht="150" hidden="1" customHeight="1" x14ac:dyDescent="0.3">
      <c r="A40" s="22"/>
      <c r="B40" s="22"/>
      <c r="C40" s="23"/>
      <c r="D40" s="29"/>
      <c r="E40" s="25"/>
      <c r="F40" s="22"/>
      <c r="G40" s="22"/>
      <c r="H40" s="23"/>
      <c r="I40" s="22"/>
      <c r="J40" s="23"/>
      <c r="K40" s="22"/>
      <c r="L40" s="26"/>
      <c r="M40" s="27"/>
      <c r="N40" s="26"/>
    </row>
    <row r="41" spans="1:14" s="28" customFormat="1" ht="150" hidden="1" customHeight="1" x14ac:dyDescent="0.3">
      <c r="A41" s="22"/>
      <c r="B41" s="22"/>
      <c r="C41" s="23"/>
      <c r="D41" s="29"/>
      <c r="E41" s="25"/>
      <c r="F41" s="22"/>
      <c r="G41" s="22"/>
      <c r="H41" s="23"/>
      <c r="I41" s="22"/>
      <c r="J41" s="23"/>
      <c r="K41" s="22"/>
      <c r="L41" s="26"/>
      <c r="M41" s="27"/>
      <c r="N41" s="26"/>
    </row>
    <row r="42" spans="1:14" s="28" customFormat="1" ht="150" hidden="1" customHeight="1" x14ac:dyDescent="0.3">
      <c r="A42" s="22"/>
      <c r="B42" s="22"/>
      <c r="C42" s="23"/>
      <c r="D42" s="29"/>
      <c r="E42" s="25"/>
      <c r="F42" s="22"/>
      <c r="G42" s="22"/>
      <c r="H42" s="23"/>
      <c r="I42" s="22"/>
      <c r="J42" s="23"/>
      <c r="K42" s="22"/>
      <c r="L42" s="26"/>
      <c r="M42" s="27"/>
      <c r="N42" s="26">
        <f t="shared" si="1"/>
        <v>0</v>
      </c>
    </row>
    <row r="43" spans="1:14" s="28" customFormat="1" ht="150" hidden="1" customHeight="1" x14ac:dyDescent="0.3">
      <c r="A43" s="22"/>
      <c r="B43" s="22"/>
      <c r="C43" s="23"/>
      <c r="D43" s="29"/>
      <c r="E43" s="25"/>
      <c r="F43" s="22"/>
      <c r="G43" s="22"/>
      <c r="H43" s="23"/>
      <c r="I43" s="22"/>
      <c r="J43" s="23"/>
      <c r="K43" s="22"/>
      <c r="L43" s="26"/>
      <c r="M43" s="27"/>
      <c r="N43" s="26">
        <f t="shared" si="1"/>
        <v>0</v>
      </c>
    </row>
    <row r="44" spans="1:14" s="28" customFormat="1" ht="150" hidden="1" customHeight="1" x14ac:dyDescent="0.3">
      <c r="A44" s="22"/>
      <c r="B44" s="22"/>
      <c r="C44" s="23"/>
      <c r="D44" s="29"/>
      <c r="E44" s="25"/>
      <c r="F44" s="22"/>
      <c r="G44" s="22"/>
      <c r="H44" s="23"/>
      <c r="I44" s="22"/>
      <c r="J44" s="23"/>
      <c r="K44" s="22"/>
      <c r="L44" s="26"/>
      <c r="M44" s="27"/>
      <c r="N44" s="26">
        <f t="shared" si="1"/>
        <v>0</v>
      </c>
    </row>
    <row r="45" spans="1:14" s="28" customFormat="1" ht="150" hidden="1" customHeight="1" x14ac:dyDescent="0.3">
      <c r="A45" s="22"/>
      <c r="B45" s="22"/>
      <c r="C45" s="23"/>
      <c r="D45" s="29"/>
      <c r="E45" s="25"/>
      <c r="F45" s="22"/>
      <c r="G45" s="22"/>
      <c r="H45" s="23"/>
      <c r="I45" s="22"/>
      <c r="J45" s="23"/>
      <c r="K45" s="22"/>
      <c r="L45" s="26"/>
      <c r="M45" s="27"/>
      <c r="N45" s="26">
        <f t="shared" si="1"/>
        <v>0</v>
      </c>
    </row>
    <row r="46" spans="1:14" s="11" customFormat="1" ht="150" customHeight="1" x14ac:dyDescent="0.3">
      <c r="A46" s="22"/>
      <c r="B46" s="22"/>
      <c r="C46" s="23"/>
      <c r="D46" s="29"/>
      <c r="E46" s="25"/>
      <c r="F46" s="22"/>
      <c r="G46" s="22"/>
      <c r="H46" s="23"/>
      <c r="I46" s="22"/>
      <c r="J46" s="22"/>
      <c r="K46" s="22"/>
      <c r="L46" s="26"/>
      <c r="M46" s="27"/>
      <c r="N46" s="26">
        <f t="shared" si="1"/>
        <v>0</v>
      </c>
    </row>
    <row r="47" spans="1:14" s="11" customFormat="1" ht="150" customHeight="1" x14ac:dyDescent="0.3">
      <c r="A47" s="13"/>
      <c r="B47" s="13"/>
      <c r="C47" s="14"/>
      <c r="D47" s="14"/>
      <c r="E47" s="15"/>
      <c r="F47" s="13"/>
      <c r="G47" s="13"/>
      <c r="H47" s="14"/>
      <c r="I47" s="13"/>
      <c r="J47" s="13"/>
      <c r="K47" s="13"/>
      <c r="L47" s="9">
        <f>SUM(L4:L46)</f>
        <v>22524</v>
      </c>
      <c r="M47" s="16">
        <f>SUM(M4:M46)</f>
        <v>2850</v>
      </c>
      <c r="N47" s="9">
        <f>SUM(N4:N46)</f>
        <v>19674</v>
      </c>
    </row>
    <row r="48" spans="1:14" s="12" customFormat="1" ht="100.05" customHeight="1" x14ac:dyDescent="0.3">
      <c r="A48" s="17"/>
      <c r="B48" s="17"/>
      <c r="C48" s="17"/>
      <c r="D48" s="20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14" ht="100.05" customHeight="1" x14ac:dyDescent="0.3"/>
    <row r="50" spans="1:14" s="4" customFormat="1" ht="100.05" customHeight="1" x14ac:dyDescent="0.3">
      <c r="A50" s="17"/>
      <c r="B50" s="17"/>
      <c r="C50" s="17"/>
      <c r="D50" s="20"/>
      <c r="E50" s="17"/>
      <c r="F50" s="17"/>
      <c r="G50" s="17"/>
      <c r="H50" s="17"/>
      <c r="I50" s="17"/>
      <c r="J50" s="17"/>
      <c r="K50" s="17"/>
      <c r="L50" s="17"/>
      <c r="M50" s="17"/>
      <c r="N50" s="17"/>
    </row>
    <row r="51" spans="1:14" s="4" customFormat="1" ht="100.05" customHeight="1" x14ac:dyDescent="0.3">
      <c r="A51" s="17"/>
      <c r="B51" s="17"/>
      <c r="C51" s="17"/>
      <c r="D51" s="20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s="11" customFormat="1" ht="100.05" customHeight="1" x14ac:dyDescent="0.3">
      <c r="A52" s="17"/>
      <c r="B52" s="17"/>
      <c r="C52" s="17"/>
      <c r="D52" s="20"/>
      <c r="E52" s="17"/>
      <c r="F52" s="17"/>
      <c r="G52" s="17"/>
      <c r="H52" s="17"/>
      <c r="I52" s="17"/>
      <c r="J52" s="17"/>
      <c r="K52" s="17"/>
      <c r="L52" s="17"/>
      <c r="M52" s="17"/>
      <c r="N52" s="17"/>
    </row>
    <row r="53" spans="1:14" s="11" customFormat="1" ht="100.05" customHeight="1" x14ac:dyDescent="0.3">
      <c r="A53" s="17"/>
      <c r="B53" s="17"/>
      <c r="C53" s="17"/>
      <c r="D53" s="20"/>
      <c r="E53" s="17"/>
      <c r="F53" s="17"/>
      <c r="G53" s="17"/>
      <c r="H53" s="17"/>
      <c r="I53" s="17"/>
      <c r="J53" s="17"/>
      <c r="K53" s="17"/>
      <c r="L53" s="17"/>
      <c r="M53" s="17"/>
      <c r="N53" s="17"/>
    </row>
    <row r="54" spans="1:14" s="11" customFormat="1" ht="100.05" customHeight="1" x14ac:dyDescent="0.3">
      <c r="A54" s="17"/>
      <c r="B54" s="17"/>
      <c r="C54" s="17"/>
      <c r="D54" s="20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 spans="1:14" s="11" customFormat="1" ht="100.05" customHeight="1" x14ac:dyDescent="0.3">
      <c r="A55" s="17"/>
      <c r="B55" s="17"/>
      <c r="C55" s="17"/>
      <c r="D55" s="20"/>
      <c r="E55" s="17"/>
      <c r="F55" s="17"/>
      <c r="G55" s="17"/>
      <c r="H55" s="17"/>
      <c r="I55" s="17"/>
      <c r="J55" s="17"/>
      <c r="K55" s="17"/>
      <c r="L55" s="17"/>
      <c r="M55" s="17"/>
      <c r="N55" s="17"/>
    </row>
    <row r="56" spans="1:14" s="11" customFormat="1" ht="100.05" customHeight="1" x14ac:dyDescent="0.3">
      <c r="A56" s="17"/>
      <c r="B56" s="17"/>
      <c r="C56" s="17"/>
      <c r="D56" s="20"/>
      <c r="E56" s="17"/>
      <c r="F56" s="17"/>
      <c r="G56" s="17"/>
      <c r="H56" s="17"/>
      <c r="I56" s="17"/>
      <c r="J56" s="17"/>
      <c r="K56" s="17"/>
      <c r="L56" s="17"/>
      <c r="M56" s="17"/>
      <c r="N56" s="17"/>
    </row>
    <row r="57" spans="1:14" s="11" customFormat="1" ht="100.05" customHeight="1" x14ac:dyDescent="0.3">
      <c r="A57" s="17"/>
      <c r="B57" s="17"/>
      <c r="C57" s="17"/>
      <c r="D57" s="20"/>
      <c r="E57" s="17"/>
      <c r="F57" s="17"/>
      <c r="G57" s="17"/>
      <c r="H57" s="17"/>
      <c r="I57" s="17"/>
      <c r="J57" s="17"/>
      <c r="K57" s="17"/>
      <c r="L57" s="17"/>
      <c r="M57" s="17"/>
      <c r="N57" s="17"/>
    </row>
    <row r="58" spans="1:14" s="11" customFormat="1" ht="100.05" customHeight="1" x14ac:dyDescent="0.3">
      <c r="A58" s="17"/>
      <c r="B58" s="17"/>
      <c r="C58" s="17"/>
      <c r="D58" s="20"/>
      <c r="E58" s="17"/>
      <c r="F58" s="17"/>
      <c r="G58" s="17"/>
      <c r="H58" s="17"/>
      <c r="I58" s="17"/>
      <c r="J58" s="17"/>
      <c r="K58" s="17"/>
      <c r="L58" s="17"/>
      <c r="M58" s="17"/>
      <c r="N58" s="17"/>
    </row>
    <row r="59" spans="1:14" s="11" customFormat="1" ht="100.05" customHeight="1" x14ac:dyDescent="0.3">
      <c r="A59" s="17"/>
      <c r="B59" s="17"/>
      <c r="C59" s="17"/>
      <c r="D59" s="20"/>
      <c r="E59" s="17"/>
      <c r="F59" s="17"/>
      <c r="G59" s="17"/>
      <c r="H59" s="17"/>
      <c r="I59" s="17"/>
      <c r="J59" s="17"/>
      <c r="K59" s="17"/>
      <c r="L59" s="17"/>
      <c r="M59" s="17"/>
      <c r="N59" s="17"/>
    </row>
    <row r="60" spans="1:14" s="11" customFormat="1" ht="100.05" customHeight="1" x14ac:dyDescent="0.3">
      <c r="A60" s="17"/>
      <c r="B60" s="17"/>
      <c r="C60" s="17"/>
      <c r="D60" s="20"/>
      <c r="E60" s="17"/>
      <c r="F60" s="17"/>
      <c r="G60" s="17"/>
      <c r="H60" s="17"/>
      <c r="I60" s="17"/>
      <c r="J60" s="17"/>
      <c r="K60" s="17"/>
      <c r="L60" s="17"/>
      <c r="M60" s="17"/>
      <c r="N60" s="17"/>
    </row>
    <row r="61" spans="1:14" s="11" customFormat="1" ht="100.05" customHeight="1" x14ac:dyDescent="0.3">
      <c r="A61" s="17"/>
      <c r="B61" s="17"/>
      <c r="C61" s="17"/>
      <c r="D61" s="20"/>
      <c r="E61" s="17"/>
      <c r="F61" s="17"/>
      <c r="G61" s="17"/>
      <c r="H61" s="17"/>
      <c r="I61" s="17"/>
      <c r="J61" s="17"/>
      <c r="K61" s="17"/>
      <c r="L61" s="17"/>
      <c r="M61" s="17"/>
      <c r="N61" s="17"/>
    </row>
  </sheetData>
  <mergeCells count="3">
    <mergeCell ref="A1:C1"/>
    <mergeCell ref="K1:N1"/>
    <mergeCell ref="A2:N2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18"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1"/>
  <sheetViews>
    <sheetView zoomScale="25" zoomScaleNormal="25" workbookViewId="0">
      <selection activeCell="M7" sqref="M7"/>
    </sheetView>
  </sheetViews>
  <sheetFormatPr defaultColWidth="8.88671875" defaultRowHeight="14.4" x14ac:dyDescent="0.3"/>
  <cols>
    <col min="1" max="1" width="41.77734375" style="17" customWidth="1"/>
    <col min="2" max="2" width="19.6640625" style="17" customWidth="1"/>
    <col min="3" max="3" width="29.21875" style="17" customWidth="1"/>
    <col min="4" max="4" width="28.6640625" style="20" customWidth="1"/>
    <col min="5" max="5" width="162.109375" style="17" customWidth="1"/>
    <col min="6" max="6" width="32.109375" style="17" bestFit="1" customWidth="1"/>
    <col min="7" max="7" width="21.88671875" style="17" bestFit="1" customWidth="1"/>
    <col min="8" max="8" width="26.6640625" style="17" bestFit="1" customWidth="1"/>
    <col min="9" max="9" width="40.109375" style="17" bestFit="1" customWidth="1"/>
    <col min="10" max="10" width="37.88671875" style="17" customWidth="1"/>
    <col min="11" max="11" width="25.6640625" style="17" customWidth="1"/>
    <col min="12" max="14" width="26.77734375" style="17" bestFit="1" customWidth="1"/>
    <col min="15" max="16384" width="8.88671875" style="18"/>
  </cols>
  <sheetData>
    <row r="1" spans="1:14" s="3" customFormat="1" ht="100.05" customHeight="1" x14ac:dyDescent="0.95">
      <c r="A1" s="37"/>
      <c r="B1" s="37"/>
      <c r="C1" s="37"/>
      <c r="D1" s="19"/>
      <c r="E1" s="1"/>
      <c r="F1" s="1"/>
      <c r="G1" s="1"/>
      <c r="H1" s="1"/>
      <c r="I1" s="1"/>
      <c r="J1" s="2" t="s">
        <v>0</v>
      </c>
      <c r="K1" s="38">
        <v>45932</v>
      </c>
      <c r="L1" s="38"/>
      <c r="M1" s="38"/>
      <c r="N1" s="38"/>
    </row>
    <row r="2" spans="1:14" s="4" customFormat="1" ht="100.05" customHeight="1" x14ac:dyDescent="0.3">
      <c r="A2" s="39" t="s">
        <v>68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</row>
    <row r="3" spans="1:14" s="4" customFormat="1" ht="150" customHeight="1" x14ac:dyDescent="0.3">
      <c r="A3" s="5" t="s">
        <v>1</v>
      </c>
      <c r="B3" s="5" t="s">
        <v>2</v>
      </c>
      <c r="C3" s="6" t="s">
        <v>3</v>
      </c>
      <c r="D3" s="7" t="s">
        <v>4</v>
      </c>
      <c r="E3" s="5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6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s="28" customFormat="1" ht="150" customHeight="1" x14ac:dyDescent="0.3">
      <c r="A4" s="22" t="s">
        <v>28</v>
      </c>
      <c r="B4" s="22">
        <v>304</v>
      </c>
      <c r="C4" s="23">
        <v>0.8</v>
      </c>
      <c r="D4" s="24">
        <v>30</v>
      </c>
      <c r="E4" s="25" t="s">
        <v>29</v>
      </c>
      <c r="F4" s="22" t="s">
        <v>16</v>
      </c>
      <c r="G4" s="22" t="s">
        <v>16</v>
      </c>
      <c r="H4" s="23" t="s">
        <v>16</v>
      </c>
      <c r="I4" s="22" t="s">
        <v>16</v>
      </c>
      <c r="J4" s="23" t="s">
        <v>16</v>
      </c>
      <c r="K4" s="22" t="s">
        <v>17</v>
      </c>
      <c r="L4" s="26">
        <v>3200</v>
      </c>
      <c r="M4" s="27">
        <f>450+2400+450</f>
        <v>3300</v>
      </c>
      <c r="N4" s="26">
        <f t="shared" ref="N4:N13" si="0">L4-M4</f>
        <v>-100</v>
      </c>
    </row>
    <row r="5" spans="1:14" s="28" customFormat="1" ht="150" customHeight="1" x14ac:dyDescent="0.3">
      <c r="A5" s="22">
        <v>250074</v>
      </c>
      <c r="B5" s="22">
        <v>304</v>
      </c>
      <c r="C5" s="23">
        <v>0.7</v>
      </c>
      <c r="D5" s="29" t="s">
        <v>59</v>
      </c>
      <c r="E5" s="25" t="s">
        <v>60</v>
      </c>
      <c r="F5" s="22" t="s">
        <v>61</v>
      </c>
      <c r="G5" s="22">
        <v>430</v>
      </c>
      <c r="H5" s="23">
        <v>0.6</v>
      </c>
      <c r="I5" s="22" t="s">
        <v>16</v>
      </c>
      <c r="J5" s="23" t="s">
        <v>16</v>
      </c>
      <c r="K5" s="22" t="s">
        <v>17</v>
      </c>
      <c r="L5" s="26">
        <v>708</v>
      </c>
      <c r="M5" s="27"/>
      <c r="N5" s="26">
        <f t="shared" si="0"/>
        <v>708</v>
      </c>
    </row>
    <row r="6" spans="1:14" s="28" customFormat="1" ht="150" customHeight="1" x14ac:dyDescent="0.3">
      <c r="A6" s="22">
        <v>250074</v>
      </c>
      <c r="B6" s="22">
        <v>304</v>
      </c>
      <c r="C6" s="23">
        <v>0.7</v>
      </c>
      <c r="D6" s="29" t="s">
        <v>64</v>
      </c>
      <c r="E6" s="25" t="s">
        <v>62</v>
      </c>
      <c r="F6" s="22" t="s">
        <v>61</v>
      </c>
      <c r="G6" s="22">
        <v>430</v>
      </c>
      <c r="H6" s="23">
        <v>0.6</v>
      </c>
      <c r="I6" s="22" t="s">
        <v>16</v>
      </c>
      <c r="J6" s="23" t="s">
        <v>16</v>
      </c>
      <c r="K6" s="22" t="s">
        <v>17</v>
      </c>
      <c r="L6" s="26">
        <v>708</v>
      </c>
      <c r="M6" s="27">
        <v>780</v>
      </c>
      <c r="N6" s="26">
        <f t="shared" si="0"/>
        <v>-72</v>
      </c>
    </row>
    <row r="7" spans="1:14" s="28" customFormat="1" ht="150" customHeight="1" x14ac:dyDescent="0.3">
      <c r="A7" s="22">
        <v>250074</v>
      </c>
      <c r="B7" s="22">
        <v>304</v>
      </c>
      <c r="C7" s="23">
        <v>0.7</v>
      </c>
      <c r="D7" s="29" t="s">
        <v>65</v>
      </c>
      <c r="E7" s="25" t="s">
        <v>63</v>
      </c>
      <c r="F7" s="22" t="s">
        <v>61</v>
      </c>
      <c r="G7" s="22">
        <v>430</v>
      </c>
      <c r="H7" s="23">
        <v>0.6</v>
      </c>
      <c r="I7" s="22" t="s">
        <v>16</v>
      </c>
      <c r="J7" s="23" t="s">
        <v>16</v>
      </c>
      <c r="K7" s="22" t="s">
        <v>17</v>
      </c>
      <c r="L7" s="26">
        <v>708</v>
      </c>
      <c r="M7" s="27">
        <v>780</v>
      </c>
      <c r="N7" s="26">
        <f t="shared" si="0"/>
        <v>-72</v>
      </c>
    </row>
    <row r="8" spans="1:14" s="28" customFormat="1" ht="150" customHeight="1" x14ac:dyDescent="0.3">
      <c r="A8" s="22">
        <v>100925</v>
      </c>
      <c r="B8" s="22">
        <v>304</v>
      </c>
      <c r="C8" s="23" t="s">
        <v>31</v>
      </c>
      <c r="D8" s="24" t="s">
        <v>32</v>
      </c>
      <c r="E8" s="25" t="s">
        <v>33</v>
      </c>
      <c r="F8" s="22" t="s">
        <v>16</v>
      </c>
      <c r="G8" s="22">
        <v>430</v>
      </c>
      <c r="H8" s="23">
        <v>0.6</v>
      </c>
      <c r="I8" s="22" t="s">
        <v>16</v>
      </c>
      <c r="J8" s="23" t="s">
        <v>16</v>
      </c>
      <c r="K8" s="22" t="s">
        <v>17</v>
      </c>
      <c r="L8" s="26">
        <v>1200</v>
      </c>
      <c r="M8" s="27"/>
      <c r="N8" s="26">
        <f t="shared" si="0"/>
        <v>1200</v>
      </c>
    </row>
    <row r="9" spans="1:14" s="28" customFormat="1" ht="150" customHeight="1" x14ac:dyDescent="0.3">
      <c r="A9" s="22">
        <v>100925</v>
      </c>
      <c r="B9" s="22">
        <v>304</v>
      </c>
      <c r="C9" s="23" t="s">
        <v>31</v>
      </c>
      <c r="D9" s="29" t="s">
        <v>35</v>
      </c>
      <c r="E9" s="25" t="s">
        <v>67</v>
      </c>
      <c r="F9" s="22" t="s">
        <v>16</v>
      </c>
      <c r="G9" s="22" t="s">
        <v>16</v>
      </c>
      <c r="H9" s="23" t="s">
        <v>16</v>
      </c>
      <c r="I9" s="22" t="s">
        <v>16</v>
      </c>
      <c r="J9" s="23" t="s">
        <v>16</v>
      </c>
      <c r="K9" s="22" t="s">
        <v>17</v>
      </c>
      <c r="L9" s="26">
        <v>1200</v>
      </c>
      <c r="M9" s="27"/>
      <c r="N9" s="26">
        <f t="shared" si="0"/>
        <v>1200</v>
      </c>
    </row>
    <row r="10" spans="1:14" s="28" customFormat="1" ht="150" customHeight="1" x14ac:dyDescent="0.3">
      <c r="A10" s="22">
        <v>100925</v>
      </c>
      <c r="B10" s="22">
        <v>304</v>
      </c>
      <c r="C10" s="23" t="s">
        <v>31</v>
      </c>
      <c r="D10" s="24" t="s">
        <v>40</v>
      </c>
      <c r="E10" s="25" t="s">
        <v>36</v>
      </c>
      <c r="F10" s="22" t="s">
        <v>16</v>
      </c>
      <c r="G10" s="22">
        <v>430</v>
      </c>
      <c r="H10" s="23">
        <v>0.6</v>
      </c>
      <c r="I10" s="22" t="s">
        <v>16</v>
      </c>
      <c r="J10" s="23" t="s">
        <v>16</v>
      </c>
      <c r="K10" s="22" t="s">
        <v>17</v>
      </c>
      <c r="L10" s="26">
        <v>1500</v>
      </c>
      <c r="M10" s="27"/>
      <c r="N10" s="26">
        <f t="shared" si="0"/>
        <v>1500</v>
      </c>
    </row>
    <row r="11" spans="1:14" s="28" customFormat="1" ht="150" customHeight="1" x14ac:dyDescent="0.3">
      <c r="A11" s="22">
        <v>100925</v>
      </c>
      <c r="B11" s="22">
        <v>304</v>
      </c>
      <c r="C11" s="23" t="s">
        <v>31</v>
      </c>
      <c r="D11" s="29" t="s">
        <v>41</v>
      </c>
      <c r="E11" s="25" t="s">
        <v>37</v>
      </c>
      <c r="F11" s="22" t="s">
        <v>16</v>
      </c>
      <c r="G11" s="22" t="s">
        <v>16</v>
      </c>
      <c r="H11" s="23" t="s">
        <v>16</v>
      </c>
      <c r="I11" s="22" t="s">
        <v>16</v>
      </c>
      <c r="J11" s="23" t="s">
        <v>16</v>
      </c>
      <c r="K11" s="22" t="s">
        <v>17</v>
      </c>
      <c r="L11" s="26">
        <v>1500</v>
      </c>
      <c r="M11" s="27"/>
      <c r="N11" s="26">
        <f t="shared" si="0"/>
        <v>1500</v>
      </c>
    </row>
    <row r="12" spans="1:14" s="28" customFormat="1" ht="150" customHeight="1" x14ac:dyDescent="0.3">
      <c r="A12" s="22">
        <v>100925</v>
      </c>
      <c r="B12" s="22">
        <v>304</v>
      </c>
      <c r="C12" s="23" t="s">
        <v>31</v>
      </c>
      <c r="D12" s="24" t="s">
        <v>40</v>
      </c>
      <c r="E12" s="25" t="s">
        <v>38</v>
      </c>
      <c r="F12" s="22" t="s">
        <v>16</v>
      </c>
      <c r="G12" s="22">
        <v>430</v>
      </c>
      <c r="H12" s="23">
        <v>0.6</v>
      </c>
      <c r="I12" s="22" t="s">
        <v>16</v>
      </c>
      <c r="J12" s="23" t="s">
        <v>16</v>
      </c>
      <c r="K12" s="22" t="s">
        <v>17</v>
      </c>
      <c r="L12" s="26">
        <v>600</v>
      </c>
      <c r="M12" s="27"/>
      <c r="N12" s="26">
        <f t="shared" si="0"/>
        <v>600</v>
      </c>
    </row>
    <row r="13" spans="1:14" s="28" customFormat="1" ht="150" customHeight="1" x14ac:dyDescent="0.3">
      <c r="A13" s="22">
        <v>100925</v>
      </c>
      <c r="B13" s="22">
        <v>304</v>
      </c>
      <c r="C13" s="23" t="s">
        <v>31</v>
      </c>
      <c r="D13" s="29" t="s">
        <v>41</v>
      </c>
      <c r="E13" s="25" t="s">
        <v>39</v>
      </c>
      <c r="F13" s="22" t="s">
        <v>16</v>
      </c>
      <c r="G13" s="22" t="s">
        <v>16</v>
      </c>
      <c r="H13" s="23" t="s">
        <v>16</v>
      </c>
      <c r="I13" s="22" t="s">
        <v>16</v>
      </c>
      <c r="J13" s="23" t="s">
        <v>16</v>
      </c>
      <c r="K13" s="22" t="s">
        <v>17</v>
      </c>
      <c r="L13" s="26">
        <v>600</v>
      </c>
      <c r="M13" s="27"/>
      <c r="N13" s="26">
        <f t="shared" si="0"/>
        <v>600</v>
      </c>
    </row>
    <row r="14" spans="1:14" s="28" customFormat="1" ht="150" customHeight="1" x14ac:dyDescent="0.3">
      <c r="A14" s="22" t="s">
        <v>42</v>
      </c>
      <c r="B14" s="22">
        <v>304</v>
      </c>
      <c r="C14" s="23">
        <v>0.9</v>
      </c>
      <c r="D14" s="29" t="s">
        <v>56</v>
      </c>
      <c r="E14" s="25" t="s">
        <v>53</v>
      </c>
      <c r="F14" s="22" t="s">
        <v>16</v>
      </c>
      <c r="G14" s="22">
        <v>430</v>
      </c>
      <c r="H14" s="23">
        <v>0.6</v>
      </c>
      <c r="I14" s="22" t="s">
        <v>16</v>
      </c>
      <c r="J14" s="23" t="s">
        <v>16</v>
      </c>
      <c r="K14" s="22" t="s">
        <v>17</v>
      </c>
      <c r="L14" s="26">
        <v>1200</v>
      </c>
      <c r="M14" s="27"/>
      <c r="N14" s="26">
        <f>L14-M14</f>
        <v>1200</v>
      </c>
    </row>
    <row r="15" spans="1:14" s="28" customFormat="1" ht="150" customHeight="1" x14ac:dyDescent="0.3">
      <c r="A15" s="22" t="s">
        <v>42</v>
      </c>
      <c r="B15" s="22">
        <v>304</v>
      </c>
      <c r="C15" s="23">
        <v>0.9</v>
      </c>
      <c r="D15" s="29" t="s">
        <v>54</v>
      </c>
      <c r="E15" s="25" t="s">
        <v>55</v>
      </c>
      <c r="F15" s="22" t="s">
        <v>16</v>
      </c>
      <c r="G15" s="22" t="s">
        <v>16</v>
      </c>
      <c r="H15" s="23" t="s">
        <v>16</v>
      </c>
      <c r="I15" s="22" t="s">
        <v>16</v>
      </c>
      <c r="J15" s="23" t="s">
        <v>16</v>
      </c>
      <c r="K15" s="22" t="s">
        <v>17</v>
      </c>
      <c r="L15" s="26">
        <v>1200</v>
      </c>
      <c r="M15" s="27"/>
      <c r="N15" s="26">
        <f t="shared" ref="N15:N46" si="1">L15-M15</f>
        <v>1200</v>
      </c>
    </row>
    <row r="16" spans="1:14" s="28" customFormat="1" ht="150" customHeight="1" x14ac:dyDescent="0.3">
      <c r="A16" s="22" t="s">
        <v>42</v>
      </c>
      <c r="B16" s="22">
        <v>304</v>
      </c>
      <c r="C16" s="23">
        <v>0.9</v>
      </c>
      <c r="D16" s="29" t="s">
        <v>57</v>
      </c>
      <c r="E16" s="25" t="s">
        <v>43</v>
      </c>
      <c r="F16" s="22" t="s">
        <v>16</v>
      </c>
      <c r="G16" s="22">
        <v>430</v>
      </c>
      <c r="H16" s="23">
        <v>0.6</v>
      </c>
      <c r="I16" s="22" t="s">
        <v>16</v>
      </c>
      <c r="J16" s="23" t="s">
        <v>16</v>
      </c>
      <c r="K16" s="22" t="s">
        <v>17</v>
      </c>
      <c r="L16" s="26">
        <v>1500</v>
      </c>
      <c r="M16" s="27"/>
      <c r="N16" s="26">
        <f t="shared" si="1"/>
        <v>1500</v>
      </c>
    </row>
    <row r="17" spans="1:14" s="28" customFormat="1" ht="150" customHeight="1" x14ac:dyDescent="0.3">
      <c r="A17" s="22" t="s">
        <v>42</v>
      </c>
      <c r="B17" s="22">
        <v>304</v>
      </c>
      <c r="C17" s="23">
        <v>0.9</v>
      </c>
      <c r="D17" s="29" t="s">
        <v>58</v>
      </c>
      <c r="E17" s="25" t="s">
        <v>44</v>
      </c>
      <c r="F17" s="22" t="s">
        <v>16</v>
      </c>
      <c r="G17" s="22" t="s">
        <v>16</v>
      </c>
      <c r="H17" s="23" t="s">
        <v>16</v>
      </c>
      <c r="I17" s="22" t="s">
        <v>16</v>
      </c>
      <c r="J17" s="23" t="s">
        <v>16</v>
      </c>
      <c r="K17" s="22" t="s">
        <v>17</v>
      </c>
      <c r="L17" s="26">
        <v>1500</v>
      </c>
      <c r="M17" s="27"/>
      <c r="N17" s="26">
        <f t="shared" si="1"/>
        <v>1500</v>
      </c>
    </row>
    <row r="18" spans="1:14" s="28" customFormat="1" ht="150" customHeight="1" x14ac:dyDescent="0.3">
      <c r="A18" s="22" t="s">
        <v>42</v>
      </c>
      <c r="B18" s="22">
        <v>304</v>
      </c>
      <c r="C18" s="23">
        <v>0.9</v>
      </c>
      <c r="D18" s="29" t="s">
        <v>45</v>
      </c>
      <c r="E18" s="25" t="s">
        <v>46</v>
      </c>
      <c r="F18" s="22" t="s">
        <v>16</v>
      </c>
      <c r="G18" s="22">
        <v>430</v>
      </c>
      <c r="H18" s="23">
        <v>0.6</v>
      </c>
      <c r="I18" s="22" t="s">
        <v>16</v>
      </c>
      <c r="J18" s="23" t="s">
        <v>16</v>
      </c>
      <c r="K18" s="22" t="s">
        <v>17</v>
      </c>
      <c r="L18" s="26">
        <v>1500</v>
      </c>
      <c r="M18" s="27"/>
      <c r="N18" s="26">
        <f t="shared" si="1"/>
        <v>1500</v>
      </c>
    </row>
    <row r="19" spans="1:14" s="28" customFormat="1" ht="150" customHeight="1" x14ac:dyDescent="0.3">
      <c r="A19" s="22" t="s">
        <v>42</v>
      </c>
      <c r="B19" s="22">
        <v>304</v>
      </c>
      <c r="C19" s="23">
        <v>0.9</v>
      </c>
      <c r="D19" s="29" t="s">
        <v>57</v>
      </c>
      <c r="E19" s="25" t="s">
        <v>47</v>
      </c>
      <c r="F19" s="22" t="s">
        <v>16</v>
      </c>
      <c r="G19" s="22" t="s">
        <v>16</v>
      </c>
      <c r="H19" s="23" t="s">
        <v>16</v>
      </c>
      <c r="I19" s="22" t="s">
        <v>16</v>
      </c>
      <c r="J19" s="23" t="s">
        <v>16</v>
      </c>
      <c r="K19" s="22" t="s">
        <v>17</v>
      </c>
      <c r="L19" s="26">
        <v>1500</v>
      </c>
      <c r="M19" s="27"/>
      <c r="N19" s="26">
        <f t="shared" si="1"/>
        <v>1500</v>
      </c>
    </row>
    <row r="20" spans="1:14" s="28" customFormat="1" ht="150" customHeight="1" x14ac:dyDescent="0.3">
      <c r="A20" s="22">
        <v>160925</v>
      </c>
      <c r="B20" s="22">
        <v>304</v>
      </c>
      <c r="C20" s="23">
        <v>0.9</v>
      </c>
      <c r="D20" s="29" t="s">
        <v>48</v>
      </c>
      <c r="E20" s="25" t="s">
        <v>49</v>
      </c>
      <c r="F20" s="22" t="s">
        <v>16</v>
      </c>
      <c r="G20" s="22">
        <v>430</v>
      </c>
      <c r="H20" s="23">
        <v>0.6</v>
      </c>
      <c r="I20" s="22" t="s">
        <v>16</v>
      </c>
      <c r="J20" s="23" t="s">
        <v>16</v>
      </c>
      <c r="K20" s="22" t="s">
        <v>17</v>
      </c>
      <c r="L20" s="26">
        <v>1100</v>
      </c>
      <c r="M20" s="27"/>
      <c r="N20" s="26">
        <f t="shared" si="1"/>
        <v>1100</v>
      </c>
    </row>
    <row r="21" spans="1:14" s="28" customFormat="1" ht="150" customHeight="1" x14ac:dyDescent="0.3">
      <c r="A21" s="22">
        <v>160925</v>
      </c>
      <c r="B21" s="22">
        <v>304</v>
      </c>
      <c r="C21" s="23">
        <v>0.9</v>
      </c>
      <c r="D21" s="29" t="s">
        <v>50</v>
      </c>
      <c r="E21" s="25" t="s">
        <v>51</v>
      </c>
      <c r="F21" s="22" t="s">
        <v>16</v>
      </c>
      <c r="G21" s="22" t="s">
        <v>52</v>
      </c>
      <c r="H21" s="23" t="s">
        <v>52</v>
      </c>
      <c r="I21" s="22" t="s">
        <v>16</v>
      </c>
      <c r="J21" s="23" t="s">
        <v>16</v>
      </c>
      <c r="K21" s="22" t="s">
        <v>17</v>
      </c>
      <c r="L21" s="26">
        <v>1100</v>
      </c>
      <c r="M21" s="27"/>
      <c r="N21" s="26">
        <f t="shared" si="1"/>
        <v>1100</v>
      </c>
    </row>
    <row r="22" spans="1:14" s="28" customFormat="1" ht="150" hidden="1" customHeight="1" x14ac:dyDescent="0.3">
      <c r="A22" s="22"/>
      <c r="B22" s="22"/>
      <c r="C22" s="23"/>
      <c r="D22" s="24"/>
      <c r="E22" s="25"/>
      <c r="F22" s="22"/>
      <c r="G22" s="22"/>
      <c r="H22" s="23"/>
      <c r="I22" s="22"/>
      <c r="J22" s="23"/>
      <c r="K22" s="22"/>
      <c r="L22" s="26"/>
      <c r="M22" s="27"/>
      <c r="N22" s="26"/>
    </row>
    <row r="23" spans="1:14" s="28" customFormat="1" ht="150" hidden="1" customHeight="1" x14ac:dyDescent="0.3">
      <c r="A23" s="22"/>
      <c r="B23" s="22"/>
      <c r="C23" s="23"/>
      <c r="D23" s="29"/>
      <c r="E23" s="25"/>
      <c r="F23" s="22"/>
      <c r="G23" s="22"/>
      <c r="H23" s="23"/>
      <c r="I23" s="22"/>
      <c r="J23" s="23"/>
      <c r="K23" s="22"/>
      <c r="L23" s="26"/>
      <c r="M23" s="27"/>
      <c r="N23" s="26"/>
    </row>
    <row r="24" spans="1:14" s="28" customFormat="1" ht="150" hidden="1" customHeight="1" x14ac:dyDescent="0.3">
      <c r="A24" s="22"/>
      <c r="B24" s="22"/>
      <c r="C24" s="23"/>
      <c r="D24" s="24"/>
      <c r="E24" s="25"/>
      <c r="F24" s="22"/>
      <c r="G24" s="22"/>
      <c r="H24" s="23"/>
      <c r="I24" s="22"/>
      <c r="J24" s="23"/>
      <c r="K24" s="22"/>
      <c r="L24" s="26"/>
      <c r="M24" s="27"/>
      <c r="N24" s="26"/>
    </row>
    <row r="25" spans="1:14" s="28" customFormat="1" ht="150" hidden="1" customHeight="1" x14ac:dyDescent="0.3">
      <c r="A25" s="22"/>
      <c r="B25" s="22"/>
      <c r="C25" s="23"/>
      <c r="D25" s="29"/>
      <c r="E25" s="25"/>
      <c r="F25" s="22"/>
      <c r="G25" s="22"/>
      <c r="H25" s="23"/>
      <c r="I25" s="22"/>
      <c r="J25" s="23"/>
      <c r="K25" s="22"/>
      <c r="L25" s="26"/>
      <c r="M25" s="27"/>
      <c r="N25" s="26"/>
    </row>
    <row r="26" spans="1:14" s="28" customFormat="1" ht="150" hidden="1" customHeight="1" x14ac:dyDescent="0.3">
      <c r="A26" s="22"/>
      <c r="B26" s="22"/>
      <c r="C26" s="23"/>
      <c r="D26" s="24"/>
      <c r="E26" s="25"/>
      <c r="F26" s="22"/>
      <c r="G26" s="22"/>
      <c r="H26" s="23"/>
      <c r="I26" s="22"/>
      <c r="J26" s="23"/>
      <c r="K26" s="22"/>
      <c r="L26" s="26"/>
      <c r="M26" s="27"/>
      <c r="N26" s="26"/>
    </row>
    <row r="27" spans="1:14" s="28" customFormat="1" ht="150" hidden="1" customHeight="1" x14ac:dyDescent="0.3">
      <c r="A27" s="22"/>
      <c r="B27" s="22"/>
      <c r="C27" s="23"/>
      <c r="D27" s="29"/>
      <c r="E27" s="25"/>
      <c r="F27" s="22"/>
      <c r="G27" s="22"/>
      <c r="H27" s="23"/>
      <c r="I27" s="22"/>
      <c r="J27" s="23"/>
      <c r="K27" s="22"/>
      <c r="L27" s="26"/>
      <c r="M27" s="27"/>
      <c r="N27" s="26"/>
    </row>
    <row r="28" spans="1:14" s="28" customFormat="1" ht="150" hidden="1" customHeight="1" x14ac:dyDescent="0.3">
      <c r="A28" s="22"/>
      <c r="B28" s="22"/>
      <c r="C28" s="23"/>
      <c r="D28" s="29"/>
      <c r="E28" s="25"/>
      <c r="F28" s="22"/>
      <c r="G28" s="22"/>
      <c r="H28" s="23"/>
      <c r="I28" s="22"/>
      <c r="J28" s="23"/>
      <c r="K28" s="22"/>
      <c r="L28" s="26"/>
      <c r="M28" s="27"/>
      <c r="N28" s="26"/>
    </row>
    <row r="29" spans="1:14" s="28" customFormat="1" ht="150" hidden="1" customHeight="1" x14ac:dyDescent="0.3">
      <c r="A29" s="22"/>
      <c r="B29" s="22"/>
      <c r="C29" s="23"/>
      <c r="D29" s="29"/>
      <c r="E29" s="25"/>
      <c r="F29" s="22"/>
      <c r="G29" s="22"/>
      <c r="H29" s="23"/>
      <c r="I29" s="22"/>
      <c r="J29" s="23"/>
      <c r="K29" s="22"/>
      <c r="L29" s="26"/>
      <c r="M29" s="27"/>
      <c r="N29" s="26"/>
    </row>
    <row r="30" spans="1:14" s="28" customFormat="1" ht="150" hidden="1" customHeight="1" x14ac:dyDescent="0.3">
      <c r="A30" s="22"/>
      <c r="B30" s="22"/>
      <c r="C30" s="23"/>
      <c r="D30" s="29"/>
      <c r="E30" s="25"/>
      <c r="F30" s="22"/>
      <c r="G30" s="22"/>
      <c r="H30" s="23"/>
      <c r="I30" s="22"/>
      <c r="J30" s="23"/>
      <c r="K30" s="22"/>
      <c r="L30" s="26"/>
      <c r="M30" s="27"/>
      <c r="N30" s="26"/>
    </row>
    <row r="31" spans="1:14" s="28" customFormat="1" ht="150" hidden="1" customHeight="1" x14ac:dyDescent="0.3">
      <c r="A31" s="22"/>
      <c r="B31" s="22"/>
      <c r="C31" s="23"/>
      <c r="D31" s="29"/>
      <c r="E31" s="25"/>
      <c r="F31" s="22"/>
      <c r="G31" s="22"/>
      <c r="H31" s="23"/>
      <c r="I31" s="22"/>
      <c r="J31" s="23"/>
      <c r="K31" s="22"/>
      <c r="L31" s="26"/>
      <c r="M31" s="27"/>
      <c r="N31" s="26"/>
    </row>
    <row r="32" spans="1:14" s="28" customFormat="1" ht="150" hidden="1" customHeight="1" x14ac:dyDescent="0.3">
      <c r="A32" s="22"/>
      <c r="B32" s="22"/>
      <c r="C32" s="23"/>
      <c r="D32" s="29"/>
      <c r="E32" s="25"/>
      <c r="F32" s="22"/>
      <c r="G32" s="22"/>
      <c r="H32" s="23"/>
      <c r="I32" s="22"/>
      <c r="J32" s="23"/>
      <c r="K32" s="22"/>
      <c r="L32" s="26"/>
      <c r="M32" s="27"/>
      <c r="N32" s="26"/>
    </row>
    <row r="33" spans="1:14" s="28" customFormat="1" ht="150" hidden="1" customHeight="1" x14ac:dyDescent="0.3">
      <c r="A33" s="22"/>
      <c r="B33" s="22"/>
      <c r="C33" s="23"/>
      <c r="D33" s="29"/>
      <c r="E33" s="25"/>
      <c r="F33" s="22"/>
      <c r="G33" s="22"/>
      <c r="H33" s="23"/>
      <c r="I33" s="22"/>
      <c r="J33" s="23"/>
      <c r="K33" s="22"/>
      <c r="L33" s="26"/>
      <c r="M33" s="27"/>
      <c r="N33" s="26"/>
    </row>
    <row r="34" spans="1:14" s="28" customFormat="1" ht="150" hidden="1" customHeight="1" x14ac:dyDescent="0.3">
      <c r="A34" s="22"/>
      <c r="B34" s="22"/>
      <c r="C34" s="23"/>
      <c r="D34" s="29"/>
      <c r="E34" s="25"/>
      <c r="F34" s="22"/>
      <c r="G34" s="22"/>
      <c r="H34" s="23"/>
      <c r="I34" s="22"/>
      <c r="J34" s="23"/>
      <c r="K34" s="22"/>
      <c r="L34" s="26"/>
      <c r="M34" s="27"/>
      <c r="N34" s="26"/>
    </row>
    <row r="35" spans="1:14" s="28" customFormat="1" ht="150" hidden="1" customHeight="1" x14ac:dyDescent="0.3">
      <c r="A35" s="22"/>
      <c r="B35" s="22"/>
      <c r="C35" s="23"/>
      <c r="D35" s="29"/>
      <c r="E35" s="25"/>
      <c r="F35" s="22"/>
      <c r="G35" s="22"/>
      <c r="H35" s="23"/>
      <c r="I35" s="22"/>
      <c r="J35" s="23"/>
      <c r="K35" s="22"/>
      <c r="L35" s="26"/>
      <c r="M35" s="27"/>
      <c r="N35" s="26"/>
    </row>
    <row r="36" spans="1:14" s="28" customFormat="1" ht="150" hidden="1" customHeight="1" x14ac:dyDescent="0.3">
      <c r="A36" s="22"/>
      <c r="B36" s="22"/>
      <c r="C36" s="23"/>
      <c r="D36" s="29"/>
      <c r="E36" s="25"/>
      <c r="F36" s="22"/>
      <c r="G36" s="22"/>
      <c r="H36" s="23"/>
      <c r="I36" s="22"/>
      <c r="J36" s="23"/>
      <c r="K36" s="22"/>
      <c r="L36" s="26"/>
      <c r="M36" s="27"/>
      <c r="N36" s="26"/>
    </row>
    <row r="37" spans="1:14" s="28" customFormat="1" ht="150" hidden="1" customHeight="1" x14ac:dyDescent="0.3">
      <c r="A37" s="22"/>
      <c r="B37" s="22"/>
      <c r="C37" s="23"/>
      <c r="D37" s="29"/>
      <c r="E37" s="25"/>
      <c r="F37" s="22"/>
      <c r="G37" s="22"/>
      <c r="H37" s="23"/>
      <c r="I37" s="22"/>
      <c r="J37" s="23"/>
      <c r="K37" s="22"/>
      <c r="L37" s="26"/>
      <c r="M37" s="27"/>
      <c r="N37" s="26"/>
    </row>
    <row r="38" spans="1:14" s="28" customFormat="1" ht="150" hidden="1" customHeight="1" x14ac:dyDescent="0.3">
      <c r="A38" s="22"/>
      <c r="B38" s="22"/>
      <c r="C38" s="23"/>
      <c r="D38" s="29"/>
      <c r="E38" s="25"/>
      <c r="F38" s="22"/>
      <c r="G38" s="22"/>
      <c r="H38" s="23"/>
      <c r="I38" s="22"/>
      <c r="J38" s="23"/>
      <c r="K38" s="22"/>
      <c r="L38" s="26"/>
      <c r="M38" s="27"/>
      <c r="N38" s="26"/>
    </row>
    <row r="39" spans="1:14" s="28" customFormat="1" ht="150" hidden="1" customHeight="1" x14ac:dyDescent="0.3">
      <c r="A39" s="22"/>
      <c r="B39" s="22"/>
      <c r="C39" s="23"/>
      <c r="D39" s="29"/>
      <c r="E39" s="25"/>
      <c r="F39" s="22"/>
      <c r="G39" s="22"/>
      <c r="H39" s="23"/>
      <c r="I39" s="22"/>
      <c r="J39" s="23"/>
      <c r="K39" s="22"/>
      <c r="L39" s="26"/>
      <c r="M39" s="27"/>
      <c r="N39" s="26"/>
    </row>
    <row r="40" spans="1:14" s="28" customFormat="1" ht="150" hidden="1" customHeight="1" x14ac:dyDescent="0.3">
      <c r="A40" s="22"/>
      <c r="B40" s="22"/>
      <c r="C40" s="23"/>
      <c r="D40" s="29"/>
      <c r="E40" s="25"/>
      <c r="F40" s="22"/>
      <c r="G40" s="22"/>
      <c r="H40" s="23"/>
      <c r="I40" s="22"/>
      <c r="J40" s="23"/>
      <c r="K40" s="22"/>
      <c r="L40" s="26"/>
      <c r="M40" s="27"/>
      <c r="N40" s="26"/>
    </row>
    <row r="41" spans="1:14" s="28" customFormat="1" ht="150" hidden="1" customHeight="1" x14ac:dyDescent="0.3">
      <c r="A41" s="22"/>
      <c r="B41" s="22"/>
      <c r="C41" s="23"/>
      <c r="D41" s="29"/>
      <c r="E41" s="25"/>
      <c r="F41" s="22"/>
      <c r="G41" s="22"/>
      <c r="H41" s="23"/>
      <c r="I41" s="22"/>
      <c r="J41" s="23"/>
      <c r="K41" s="22"/>
      <c r="L41" s="26"/>
      <c r="M41" s="27"/>
      <c r="N41" s="26"/>
    </row>
    <row r="42" spans="1:14" s="28" customFormat="1" ht="150" hidden="1" customHeight="1" x14ac:dyDescent="0.3">
      <c r="A42" s="22"/>
      <c r="B42" s="22"/>
      <c r="C42" s="23"/>
      <c r="D42" s="29"/>
      <c r="E42" s="25"/>
      <c r="F42" s="22"/>
      <c r="G42" s="22"/>
      <c r="H42" s="23"/>
      <c r="I42" s="22"/>
      <c r="J42" s="23"/>
      <c r="K42" s="22"/>
      <c r="L42" s="26"/>
      <c r="M42" s="27"/>
      <c r="N42" s="26">
        <f t="shared" si="1"/>
        <v>0</v>
      </c>
    </row>
    <row r="43" spans="1:14" s="28" customFormat="1" ht="150" hidden="1" customHeight="1" x14ac:dyDescent="0.3">
      <c r="A43" s="22"/>
      <c r="B43" s="22"/>
      <c r="C43" s="23"/>
      <c r="D43" s="29"/>
      <c r="E43" s="25"/>
      <c r="F43" s="22"/>
      <c r="G43" s="22"/>
      <c r="H43" s="23"/>
      <c r="I43" s="22"/>
      <c r="J43" s="23"/>
      <c r="K43" s="22"/>
      <c r="L43" s="26"/>
      <c r="M43" s="27"/>
      <c r="N43" s="26">
        <f t="shared" si="1"/>
        <v>0</v>
      </c>
    </row>
    <row r="44" spans="1:14" s="28" customFormat="1" ht="150" hidden="1" customHeight="1" x14ac:dyDescent="0.3">
      <c r="A44" s="22"/>
      <c r="B44" s="22"/>
      <c r="C44" s="23"/>
      <c r="D44" s="29"/>
      <c r="E44" s="25"/>
      <c r="F44" s="22"/>
      <c r="G44" s="22"/>
      <c r="H44" s="23"/>
      <c r="I44" s="22"/>
      <c r="J44" s="23"/>
      <c r="K44" s="22"/>
      <c r="L44" s="26"/>
      <c r="M44" s="27"/>
      <c r="N44" s="26">
        <f t="shared" si="1"/>
        <v>0</v>
      </c>
    </row>
    <row r="45" spans="1:14" s="28" customFormat="1" ht="150" hidden="1" customHeight="1" x14ac:dyDescent="0.3">
      <c r="A45" s="22"/>
      <c r="B45" s="22"/>
      <c r="C45" s="23"/>
      <c r="D45" s="29"/>
      <c r="E45" s="25"/>
      <c r="F45" s="22"/>
      <c r="G45" s="22"/>
      <c r="H45" s="23"/>
      <c r="I45" s="22"/>
      <c r="J45" s="23"/>
      <c r="K45" s="22"/>
      <c r="L45" s="26"/>
      <c r="M45" s="27"/>
      <c r="N45" s="26">
        <f t="shared" si="1"/>
        <v>0</v>
      </c>
    </row>
    <row r="46" spans="1:14" s="11" customFormat="1" ht="150" customHeight="1" x14ac:dyDescent="0.3">
      <c r="A46" s="22"/>
      <c r="B46" s="22"/>
      <c r="C46" s="23"/>
      <c r="D46" s="29"/>
      <c r="E46" s="25"/>
      <c r="F46" s="22"/>
      <c r="G46" s="22"/>
      <c r="H46" s="23"/>
      <c r="I46" s="22"/>
      <c r="J46" s="22"/>
      <c r="K46" s="22"/>
      <c r="L46" s="26"/>
      <c r="M46" s="27"/>
      <c r="N46" s="26">
        <f t="shared" si="1"/>
        <v>0</v>
      </c>
    </row>
    <row r="47" spans="1:14" s="11" customFormat="1" ht="150" customHeight="1" x14ac:dyDescent="0.3">
      <c r="A47" s="13"/>
      <c r="B47" s="13"/>
      <c r="C47" s="14"/>
      <c r="D47" s="14"/>
      <c r="E47" s="15"/>
      <c r="F47" s="13"/>
      <c r="G47" s="13"/>
      <c r="H47" s="14"/>
      <c r="I47" s="13"/>
      <c r="J47" s="13"/>
      <c r="K47" s="13"/>
      <c r="L47" s="9">
        <f>SUM(L4:L46)</f>
        <v>22524</v>
      </c>
      <c r="M47" s="16">
        <f>SUM(M4:M46)</f>
        <v>4860</v>
      </c>
      <c r="N47" s="9">
        <f>SUM(N4:N46)</f>
        <v>17664</v>
      </c>
    </row>
    <row r="48" spans="1:14" s="12" customFormat="1" ht="100.05" customHeight="1" x14ac:dyDescent="0.3">
      <c r="A48" s="17"/>
      <c r="B48" s="17"/>
      <c r="C48" s="17"/>
      <c r="D48" s="20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14" ht="100.05" customHeight="1" x14ac:dyDescent="0.3"/>
    <row r="50" spans="1:14" s="4" customFormat="1" ht="100.05" customHeight="1" x14ac:dyDescent="0.3">
      <c r="A50" s="17"/>
      <c r="B50" s="17"/>
      <c r="C50" s="17"/>
      <c r="D50" s="20"/>
      <c r="E50" s="17"/>
      <c r="F50" s="17"/>
      <c r="G50" s="17"/>
      <c r="H50" s="17"/>
      <c r="I50" s="17"/>
      <c r="J50" s="17"/>
      <c r="K50" s="17"/>
      <c r="L50" s="17"/>
      <c r="M50" s="17"/>
      <c r="N50" s="17"/>
    </row>
    <row r="51" spans="1:14" s="4" customFormat="1" ht="100.05" customHeight="1" x14ac:dyDescent="0.3">
      <c r="A51" s="17"/>
      <c r="B51" s="17"/>
      <c r="C51" s="17"/>
      <c r="D51" s="20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s="11" customFormat="1" ht="100.05" customHeight="1" x14ac:dyDescent="0.3">
      <c r="A52" s="17"/>
      <c r="B52" s="17"/>
      <c r="C52" s="17"/>
      <c r="D52" s="20"/>
      <c r="E52" s="17"/>
      <c r="F52" s="17"/>
      <c r="G52" s="17"/>
      <c r="H52" s="17"/>
      <c r="I52" s="17"/>
      <c r="J52" s="17"/>
      <c r="K52" s="17"/>
      <c r="L52" s="17"/>
      <c r="M52" s="17"/>
      <c r="N52" s="17"/>
    </row>
    <row r="53" spans="1:14" s="11" customFormat="1" ht="100.05" customHeight="1" x14ac:dyDescent="0.3">
      <c r="A53" s="17"/>
      <c r="B53" s="17"/>
      <c r="C53" s="17"/>
      <c r="D53" s="20"/>
      <c r="E53" s="17"/>
      <c r="F53" s="17"/>
      <c r="G53" s="17"/>
      <c r="H53" s="17"/>
      <c r="I53" s="17"/>
      <c r="J53" s="17"/>
      <c r="K53" s="17"/>
      <c r="L53" s="17"/>
      <c r="M53" s="17"/>
      <c r="N53" s="17"/>
    </row>
    <row r="54" spans="1:14" s="11" customFormat="1" ht="100.05" customHeight="1" x14ac:dyDescent="0.3">
      <c r="A54" s="17"/>
      <c r="B54" s="17"/>
      <c r="C54" s="17"/>
      <c r="D54" s="20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 spans="1:14" s="11" customFormat="1" ht="100.05" customHeight="1" x14ac:dyDescent="0.3">
      <c r="A55" s="17"/>
      <c r="B55" s="17"/>
      <c r="C55" s="17"/>
      <c r="D55" s="20"/>
      <c r="E55" s="17"/>
      <c r="F55" s="17"/>
      <c r="G55" s="17"/>
      <c r="H55" s="17"/>
      <c r="I55" s="17"/>
      <c r="J55" s="17"/>
      <c r="K55" s="17"/>
      <c r="L55" s="17"/>
      <c r="M55" s="17"/>
      <c r="N55" s="17"/>
    </row>
    <row r="56" spans="1:14" s="11" customFormat="1" ht="100.05" customHeight="1" x14ac:dyDescent="0.3">
      <c r="A56" s="17"/>
      <c r="B56" s="17"/>
      <c r="C56" s="17"/>
      <c r="D56" s="20"/>
      <c r="E56" s="17"/>
      <c r="F56" s="17"/>
      <c r="G56" s="17"/>
      <c r="H56" s="17"/>
      <c r="I56" s="17"/>
      <c r="J56" s="17"/>
      <c r="K56" s="17"/>
      <c r="L56" s="17"/>
      <c r="M56" s="17"/>
      <c r="N56" s="17"/>
    </row>
    <row r="57" spans="1:14" s="11" customFormat="1" ht="100.05" customHeight="1" x14ac:dyDescent="0.3">
      <c r="A57" s="17"/>
      <c r="B57" s="17"/>
      <c r="C57" s="17"/>
      <c r="D57" s="20"/>
      <c r="E57" s="17"/>
      <c r="F57" s="17"/>
      <c r="G57" s="17"/>
      <c r="H57" s="17"/>
      <c r="I57" s="17"/>
      <c r="J57" s="17"/>
      <c r="K57" s="17"/>
      <c r="L57" s="17"/>
      <c r="M57" s="17"/>
      <c r="N57" s="17"/>
    </row>
    <row r="58" spans="1:14" s="11" customFormat="1" ht="100.05" customHeight="1" x14ac:dyDescent="0.3">
      <c r="A58" s="17"/>
      <c r="B58" s="17"/>
      <c r="C58" s="17"/>
      <c r="D58" s="20"/>
      <c r="E58" s="17"/>
      <c r="F58" s="17"/>
      <c r="G58" s="17"/>
      <c r="H58" s="17"/>
      <c r="I58" s="17"/>
      <c r="J58" s="17"/>
      <c r="K58" s="17"/>
      <c r="L58" s="17"/>
      <c r="M58" s="17"/>
      <c r="N58" s="17"/>
    </row>
    <row r="59" spans="1:14" s="11" customFormat="1" ht="100.05" customHeight="1" x14ac:dyDescent="0.3">
      <c r="A59" s="17"/>
      <c r="B59" s="17"/>
      <c r="C59" s="17"/>
      <c r="D59" s="20"/>
      <c r="E59" s="17"/>
      <c r="F59" s="17"/>
      <c r="G59" s="17"/>
      <c r="H59" s="17"/>
      <c r="I59" s="17"/>
      <c r="J59" s="17"/>
      <c r="K59" s="17"/>
      <c r="L59" s="17"/>
      <c r="M59" s="17"/>
      <c r="N59" s="17"/>
    </row>
    <row r="60" spans="1:14" s="11" customFormat="1" ht="100.05" customHeight="1" x14ac:dyDescent="0.3">
      <c r="A60" s="17"/>
      <c r="B60" s="17"/>
      <c r="C60" s="17"/>
      <c r="D60" s="20"/>
      <c r="E60" s="17"/>
      <c r="F60" s="17"/>
      <c r="G60" s="17"/>
      <c r="H60" s="17"/>
      <c r="I60" s="17"/>
      <c r="J60" s="17"/>
      <c r="K60" s="17"/>
      <c r="L60" s="17"/>
      <c r="M60" s="17"/>
      <c r="N60" s="17"/>
    </row>
    <row r="61" spans="1:14" s="11" customFormat="1" ht="100.05" customHeight="1" x14ac:dyDescent="0.3">
      <c r="A61" s="17"/>
      <c r="B61" s="17"/>
      <c r="C61" s="17"/>
      <c r="D61" s="20"/>
      <c r="E61" s="17"/>
      <c r="F61" s="17"/>
      <c r="G61" s="17"/>
      <c r="H61" s="17"/>
      <c r="I61" s="17"/>
      <c r="J61" s="17"/>
      <c r="K61" s="17"/>
      <c r="L61" s="17"/>
      <c r="M61" s="17"/>
      <c r="N61" s="17"/>
    </row>
  </sheetData>
  <mergeCells count="3">
    <mergeCell ref="A1:C1"/>
    <mergeCell ref="K1:N1"/>
    <mergeCell ref="A2:N2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18" orientation="portrait" horizontalDpi="1200" verticalDpi="1200" r:id="rId1"/>
  <ignoredErrors>
    <ignoredError sqref="D5:D7" numberStoredAsText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1"/>
  <sheetViews>
    <sheetView zoomScale="25" zoomScaleNormal="25" workbookViewId="0">
      <selection activeCell="P5" sqref="P5"/>
    </sheetView>
  </sheetViews>
  <sheetFormatPr defaultColWidth="8.88671875" defaultRowHeight="14.4" x14ac:dyDescent="0.3"/>
  <cols>
    <col min="1" max="1" width="41.77734375" style="17" customWidth="1"/>
    <col min="2" max="2" width="19.6640625" style="17" customWidth="1"/>
    <col min="3" max="3" width="29.21875" style="17" customWidth="1"/>
    <col min="4" max="4" width="28.6640625" style="20" customWidth="1"/>
    <col min="5" max="5" width="162.109375" style="17" customWidth="1"/>
    <col min="6" max="6" width="32.109375" style="17" bestFit="1" customWidth="1"/>
    <col min="7" max="7" width="21.88671875" style="17" bestFit="1" customWidth="1"/>
    <col min="8" max="8" width="26.6640625" style="17" bestFit="1" customWidth="1"/>
    <col min="9" max="9" width="40.109375" style="17" bestFit="1" customWidth="1"/>
    <col min="10" max="10" width="37.88671875" style="17" customWidth="1"/>
    <col min="11" max="11" width="25.6640625" style="17" customWidth="1"/>
    <col min="12" max="14" width="26.77734375" style="17" bestFit="1" customWidth="1"/>
    <col min="15" max="16384" width="8.88671875" style="18"/>
  </cols>
  <sheetData>
    <row r="1" spans="1:14" s="3" customFormat="1" ht="100.05" customHeight="1" x14ac:dyDescent="0.95">
      <c r="A1" s="37"/>
      <c r="B1" s="37"/>
      <c r="C1" s="37"/>
      <c r="D1" s="19"/>
      <c r="E1" s="1"/>
      <c r="F1" s="1"/>
      <c r="G1" s="1"/>
      <c r="H1" s="1"/>
      <c r="I1" s="1"/>
      <c r="J1" s="2" t="s">
        <v>0</v>
      </c>
      <c r="K1" s="38">
        <v>45933</v>
      </c>
      <c r="L1" s="38"/>
      <c r="M1" s="38"/>
      <c r="N1" s="38"/>
    </row>
    <row r="2" spans="1:14" s="4" customFormat="1" ht="100.05" customHeight="1" x14ac:dyDescent="0.3">
      <c r="A2" s="39" t="s">
        <v>68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</row>
    <row r="3" spans="1:14" s="4" customFormat="1" ht="150" customHeight="1" x14ac:dyDescent="0.3">
      <c r="A3" s="5" t="s">
        <v>1</v>
      </c>
      <c r="B3" s="5" t="s">
        <v>2</v>
      </c>
      <c r="C3" s="6" t="s">
        <v>3</v>
      </c>
      <c r="D3" s="7" t="s">
        <v>4</v>
      </c>
      <c r="E3" s="5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6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s="28" customFormat="1" ht="150" customHeight="1" x14ac:dyDescent="0.3">
      <c r="A4" s="22">
        <v>250074</v>
      </c>
      <c r="B4" s="22">
        <v>304</v>
      </c>
      <c r="C4" s="23">
        <v>0.7</v>
      </c>
      <c r="D4" s="29" t="s">
        <v>59</v>
      </c>
      <c r="E4" s="25" t="s">
        <v>60</v>
      </c>
      <c r="F4" s="22" t="s">
        <v>61</v>
      </c>
      <c r="G4" s="22">
        <v>430</v>
      </c>
      <c r="H4" s="23">
        <v>0.6</v>
      </c>
      <c r="I4" s="22" t="s">
        <v>16</v>
      </c>
      <c r="J4" s="23" t="s">
        <v>16</v>
      </c>
      <c r="K4" s="22" t="s">
        <v>17</v>
      </c>
      <c r="L4" s="26">
        <v>708</v>
      </c>
      <c r="M4" s="27">
        <v>780</v>
      </c>
      <c r="N4" s="26">
        <f t="shared" ref="N4:N13" si="0">L4-M4</f>
        <v>-72</v>
      </c>
    </row>
    <row r="5" spans="1:14" s="28" customFormat="1" ht="150" customHeight="1" x14ac:dyDescent="0.3">
      <c r="A5" s="22">
        <v>100925</v>
      </c>
      <c r="B5" s="22">
        <v>304</v>
      </c>
      <c r="C5" s="23" t="s">
        <v>31</v>
      </c>
      <c r="D5" s="24" t="s">
        <v>32</v>
      </c>
      <c r="E5" s="25" t="s">
        <v>33</v>
      </c>
      <c r="F5" s="22" t="s">
        <v>16</v>
      </c>
      <c r="G5" s="22">
        <v>430</v>
      </c>
      <c r="H5" s="23">
        <v>0.6</v>
      </c>
      <c r="I5" s="22" t="s">
        <v>16</v>
      </c>
      <c r="J5" s="23" t="s">
        <v>16</v>
      </c>
      <c r="K5" s="22" t="s">
        <v>17</v>
      </c>
      <c r="L5" s="26">
        <v>1200</v>
      </c>
      <c r="M5" s="27">
        <v>1280</v>
      </c>
      <c r="N5" s="26">
        <f t="shared" si="0"/>
        <v>-80</v>
      </c>
    </row>
    <row r="6" spans="1:14" s="28" customFormat="1" ht="150" customHeight="1" x14ac:dyDescent="0.3">
      <c r="A6" s="22">
        <v>100925</v>
      </c>
      <c r="B6" s="22">
        <v>304</v>
      </c>
      <c r="C6" s="23" t="s">
        <v>31</v>
      </c>
      <c r="D6" s="29" t="s">
        <v>35</v>
      </c>
      <c r="E6" s="25" t="s">
        <v>67</v>
      </c>
      <c r="F6" s="22" t="s">
        <v>16</v>
      </c>
      <c r="G6" s="22" t="s">
        <v>16</v>
      </c>
      <c r="H6" s="23" t="s">
        <v>16</v>
      </c>
      <c r="I6" s="22" t="s">
        <v>16</v>
      </c>
      <c r="J6" s="23" t="s">
        <v>16</v>
      </c>
      <c r="K6" s="22" t="s">
        <v>17</v>
      </c>
      <c r="L6" s="26">
        <v>1200</v>
      </c>
      <c r="M6" s="27">
        <v>300</v>
      </c>
      <c r="N6" s="26">
        <f t="shared" si="0"/>
        <v>900</v>
      </c>
    </row>
    <row r="7" spans="1:14" s="28" customFormat="1" ht="150" customHeight="1" x14ac:dyDescent="0.3">
      <c r="A7" s="22">
        <v>100925</v>
      </c>
      <c r="B7" s="22">
        <v>304</v>
      </c>
      <c r="C7" s="23" t="s">
        <v>31</v>
      </c>
      <c r="D7" s="24" t="s">
        <v>40</v>
      </c>
      <c r="E7" s="25" t="s">
        <v>36</v>
      </c>
      <c r="F7" s="22" t="s">
        <v>16</v>
      </c>
      <c r="G7" s="22">
        <v>430</v>
      </c>
      <c r="H7" s="23">
        <v>0.6</v>
      </c>
      <c r="I7" s="22" t="s">
        <v>16</v>
      </c>
      <c r="J7" s="23" t="s">
        <v>16</v>
      </c>
      <c r="K7" s="22" t="s">
        <v>17</v>
      </c>
      <c r="L7" s="26">
        <v>1500</v>
      </c>
      <c r="M7" s="27"/>
      <c r="N7" s="26">
        <f t="shared" si="0"/>
        <v>1500</v>
      </c>
    </row>
    <row r="8" spans="1:14" s="28" customFormat="1" ht="150" customHeight="1" x14ac:dyDescent="0.3">
      <c r="A8" s="22">
        <v>100925</v>
      </c>
      <c r="B8" s="22">
        <v>304</v>
      </c>
      <c r="C8" s="23" t="s">
        <v>31</v>
      </c>
      <c r="D8" s="29" t="s">
        <v>41</v>
      </c>
      <c r="E8" s="25" t="s">
        <v>37</v>
      </c>
      <c r="F8" s="22" t="s">
        <v>16</v>
      </c>
      <c r="G8" s="22" t="s">
        <v>16</v>
      </c>
      <c r="H8" s="23" t="s">
        <v>16</v>
      </c>
      <c r="I8" s="22" t="s">
        <v>16</v>
      </c>
      <c r="J8" s="23" t="s">
        <v>16</v>
      </c>
      <c r="K8" s="22" t="s">
        <v>17</v>
      </c>
      <c r="L8" s="26">
        <v>1500</v>
      </c>
      <c r="M8" s="27"/>
      <c r="N8" s="26">
        <f t="shared" si="0"/>
        <v>1500</v>
      </c>
    </row>
    <row r="9" spans="1:14" s="28" customFormat="1" ht="150" customHeight="1" x14ac:dyDescent="0.3">
      <c r="A9" s="22">
        <v>100925</v>
      </c>
      <c r="B9" s="22">
        <v>304</v>
      </c>
      <c r="C9" s="23" t="s">
        <v>31</v>
      </c>
      <c r="D9" s="24" t="s">
        <v>40</v>
      </c>
      <c r="E9" s="25" t="s">
        <v>38</v>
      </c>
      <c r="F9" s="22" t="s">
        <v>16</v>
      </c>
      <c r="G9" s="22">
        <v>430</v>
      </c>
      <c r="H9" s="23">
        <v>0.6</v>
      </c>
      <c r="I9" s="22" t="s">
        <v>16</v>
      </c>
      <c r="J9" s="23" t="s">
        <v>16</v>
      </c>
      <c r="K9" s="22" t="s">
        <v>17</v>
      </c>
      <c r="L9" s="26">
        <v>600</v>
      </c>
      <c r="M9" s="27"/>
      <c r="N9" s="26">
        <f t="shared" si="0"/>
        <v>600</v>
      </c>
    </row>
    <row r="10" spans="1:14" s="28" customFormat="1" ht="150" customHeight="1" x14ac:dyDescent="0.3">
      <c r="A10" s="22">
        <v>100925</v>
      </c>
      <c r="B10" s="22">
        <v>304</v>
      </c>
      <c r="C10" s="23" t="s">
        <v>31</v>
      </c>
      <c r="D10" s="29" t="s">
        <v>41</v>
      </c>
      <c r="E10" s="25" t="s">
        <v>39</v>
      </c>
      <c r="F10" s="22" t="s">
        <v>16</v>
      </c>
      <c r="G10" s="22" t="s">
        <v>16</v>
      </c>
      <c r="H10" s="23" t="s">
        <v>16</v>
      </c>
      <c r="I10" s="22" t="s">
        <v>16</v>
      </c>
      <c r="J10" s="23" t="s">
        <v>16</v>
      </c>
      <c r="K10" s="22" t="s">
        <v>17</v>
      </c>
      <c r="L10" s="26">
        <v>600</v>
      </c>
      <c r="M10" s="27"/>
      <c r="N10" s="26">
        <f t="shared" si="0"/>
        <v>600</v>
      </c>
    </row>
    <row r="11" spans="1:14" s="28" customFormat="1" ht="150" customHeight="1" x14ac:dyDescent="0.3">
      <c r="A11" s="22" t="s">
        <v>42</v>
      </c>
      <c r="B11" s="22">
        <v>304</v>
      </c>
      <c r="C11" s="23">
        <v>0.9</v>
      </c>
      <c r="D11" s="29" t="s">
        <v>56</v>
      </c>
      <c r="E11" s="25" t="s">
        <v>53</v>
      </c>
      <c r="F11" s="22" t="s">
        <v>16</v>
      </c>
      <c r="G11" s="22">
        <v>430</v>
      </c>
      <c r="H11" s="23">
        <v>0.6</v>
      </c>
      <c r="I11" s="22" t="s">
        <v>16</v>
      </c>
      <c r="J11" s="23" t="s">
        <v>16</v>
      </c>
      <c r="K11" s="22" t="s">
        <v>17</v>
      </c>
      <c r="L11" s="26">
        <v>1200</v>
      </c>
      <c r="M11" s="27"/>
      <c r="N11" s="26">
        <f t="shared" si="0"/>
        <v>1200</v>
      </c>
    </row>
    <row r="12" spans="1:14" s="28" customFormat="1" ht="150" customHeight="1" x14ac:dyDescent="0.3">
      <c r="A12" s="22" t="s">
        <v>42</v>
      </c>
      <c r="B12" s="22">
        <v>304</v>
      </c>
      <c r="C12" s="23">
        <v>0.9</v>
      </c>
      <c r="D12" s="29" t="s">
        <v>54</v>
      </c>
      <c r="E12" s="25" t="s">
        <v>55</v>
      </c>
      <c r="F12" s="22" t="s">
        <v>16</v>
      </c>
      <c r="G12" s="22" t="s">
        <v>16</v>
      </c>
      <c r="H12" s="23" t="s">
        <v>16</v>
      </c>
      <c r="I12" s="22" t="s">
        <v>16</v>
      </c>
      <c r="J12" s="23" t="s">
        <v>16</v>
      </c>
      <c r="K12" s="22" t="s">
        <v>17</v>
      </c>
      <c r="L12" s="26">
        <v>1200</v>
      </c>
      <c r="M12" s="27"/>
      <c r="N12" s="26">
        <f t="shared" si="0"/>
        <v>1200</v>
      </c>
    </row>
    <row r="13" spans="1:14" s="28" customFormat="1" ht="150" customHeight="1" x14ac:dyDescent="0.3">
      <c r="A13" s="22" t="s">
        <v>42</v>
      </c>
      <c r="B13" s="22">
        <v>304</v>
      </c>
      <c r="C13" s="23">
        <v>0.9</v>
      </c>
      <c r="D13" s="29" t="s">
        <v>57</v>
      </c>
      <c r="E13" s="25" t="s">
        <v>43</v>
      </c>
      <c r="F13" s="22" t="s">
        <v>16</v>
      </c>
      <c r="G13" s="22">
        <v>430</v>
      </c>
      <c r="H13" s="23">
        <v>0.6</v>
      </c>
      <c r="I13" s="22" t="s">
        <v>16</v>
      </c>
      <c r="J13" s="23" t="s">
        <v>16</v>
      </c>
      <c r="K13" s="22" t="s">
        <v>17</v>
      </c>
      <c r="L13" s="26">
        <v>1500</v>
      </c>
      <c r="M13" s="27"/>
      <c r="N13" s="26">
        <f t="shared" si="0"/>
        <v>1500</v>
      </c>
    </row>
    <row r="14" spans="1:14" s="28" customFormat="1" ht="150" customHeight="1" x14ac:dyDescent="0.3">
      <c r="A14" s="22" t="s">
        <v>42</v>
      </c>
      <c r="B14" s="22">
        <v>304</v>
      </c>
      <c r="C14" s="23">
        <v>0.9</v>
      </c>
      <c r="D14" s="29" t="s">
        <v>58</v>
      </c>
      <c r="E14" s="25" t="s">
        <v>44</v>
      </c>
      <c r="F14" s="22" t="s">
        <v>16</v>
      </c>
      <c r="G14" s="22" t="s">
        <v>16</v>
      </c>
      <c r="H14" s="23" t="s">
        <v>16</v>
      </c>
      <c r="I14" s="22" t="s">
        <v>16</v>
      </c>
      <c r="J14" s="23" t="s">
        <v>16</v>
      </c>
      <c r="K14" s="22" t="s">
        <v>17</v>
      </c>
      <c r="L14" s="26">
        <v>1500</v>
      </c>
      <c r="M14" s="27"/>
      <c r="N14" s="26">
        <f>L14-M14</f>
        <v>1500</v>
      </c>
    </row>
    <row r="15" spans="1:14" s="28" customFormat="1" ht="150" customHeight="1" x14ac:dyDescent="0.3">
      <c r="A15" s="22" t="s">
        <v>42</v>
      </c>
      <c r="B15" s="22">
        <v>304</v>
      </c>
      <c r="C15" s="23">
        <v>0.9</v>
      </c>
      <c r="D15" s="29" t="s">
        <v>45</v>
      </c>
      <c r="E15" s="25" t="s">
        <v>46</v>
      </c>
      <c r="F15" s="22" t="s">
        <v>16</v>
      </c>
      <c r="G15" s="22">
        <v>430</v>
      </c>
      <c r="H15" s="23">
        <v>0.6</v>
      </c>
      <c r="I15" s="22" t="s">
        <v>16</v>
      </c>
      <c r="J15" s="23" t="s">
        <v>16</v>
      </c>
      <c r="K15" s="22" t="s">
        <v>17</v>
      </c>
      <c r="L15" s="26">
        <v>1500</v>
      </c>
      <c r="M15" s="27"/>
      <c r="N15" s="26">
        <f t="shared" ref="N15:N46" si="1">L15-M15</f>
        <v>1500</v>
      </c>
    </row>
    <row r="16" spans="1:14" s="28" customFormat="1" ht="150" customHeight="1" x14ac:dyDescent="0.3">
      <c r="A16" s="22" t="s">
        <v>42</v>
      </c>
      <c r="B16" s="22">
        <v>304</v>
      </c>
      <c r="C16" s="23">
        <v>0.9</v>
      </c>
      <c r="D16" s="29" t="s">
        <v>57</v>
      </c>
      <c r="E16" s="25" t="s">
        <v>47</v>
      </c>
      <c r="F16" s="22" t="s">
        <v>16</v>
      </c>
      <c r="G16" s="22" t="s">
        <v>16</v>
      </c>
      <c r="H16" s="23" t="s">
        <v>16</v>
      </c>
      <c r="I16" s="22" t="s">
        <v>16</v>
      </c>
      <c r="J16" s="23" t="s">
        <v>16</v>
      </c>
      <c r="K16" s="22" t="s">
        <v>17</v>
      </c>
      <c r="L16" s="26">
        <v>1500</v>
      </c>
      <c r="M16" s="27"/>
      <c r="N16" s="26">
        <f t="shared" si="1"/>
        <v>1500</v>
      </c>
    </row>
    <row r="17" spans="1:14" s="28" customFormat="1" ht="150" customHeight="1" x14ac:dyDescent="0.3">
      <c r="A17" s="22">
        <v>160925</v>
      </c>
      <c r="B17" s="22">
        <v>304</v>
      </c>
      <c r="C17" s="23">
        <v>0.9</v>
      </c>
      <c r="D17" s="29" t="s">
        <v>48</v>
      </c>
      <c r="E17" s="25" t="s">
        <v>49</v>
      </c>
      <c r="F17" s="22" t="s">
        <v>16</v>
      </c>
      <c r="G17" s="22">
        <v>430</v>
      </c>
      <c r="H17" s="23">
        <v>0.6</v>
      </c>
      <c r="I17" s="22" t="s">
        <v>16</v>
      </c>
      <c r="J17" s="23" t="s">
        <v>16</v>
      </c>
      <c r="K17" s="22" t="s">
        <v>17</v>
      </c>
      <c r="L17" s="26">
        <v>1100</v>
      </c>
      <c r="M17" s="27"/>
      <c r="N17" s="26">
        <f t="shared" si="1"/>
        <v>1100</v>
      </c>
    </row>
    <row r="18" spans="1:14" s="28" customFormat="1" ht="150" customHeight="1" x14ac:dyDescent="0.3">
      <c r="A18" s="22">
        <v>160925</v>
      </c>
      <c r="B18" s="22">
        <v>304</v>
      </c>
      <c r="C18" s="23">
        <v>0.9</v>
      </c>
      <c r="D18" s="29" t="s">
        <v>50</v>
      </c>
      <c r="E18" s="25" t="s">
        <v>51</v>
      </c>
      <c r="F18" s="22" t="s">
        <v>16</v>
      </c>
      <c r="G18" s="22" t="s">
        <v>52</v>
      </c>
      <c r="H18" s="23" t="s">
        <v>52</v>
      </c>
      <c r="I18" s="22" t="s">
        <v>16</v>
      </c>
      <c r="J18" s="23" t="s">
        <v>16</v>
      </c>
      <c r="K18" s="22" t="s">
        <v>17</v>
      </c>
      <c r="L18" s="26">
        <v>1100</v>
      </c>
      <c r="M18" s="27"/>
      <c r="N18" s="26">
        <f t="shared" si="1"/>
        <v>1100</v>
      </c>
    </row>
    <row r="19" spans="1:14" s="28" customFormat="1" ht="150" hidden="1" customHeight="1" x14ac:dyDescent="0.3">
      <c r="A19" s="22"/>
      <c r="B19" s="22"/>
      <c r="C19" s="23"/>
      <c r="D19" s="29"/>
      <c r="E19" s="25"/>
      <c r="F19" s="22"/>
      <c r="G19" s="22"/>
      <c r="H19" s="23"/>
      <c r="I19" s="22"/>
      <c r="J19" s="23"/>
      <c r="K19" s="22"/>
      <c r="L19" s="26"/>
      <c r="M19" s="27"/>
      <c r="N19" s="26">
        <f t="shared" si="1"/>
        <v>0</v>
      </c>
    </row>
    <row r="20" spans="1:14" s="28" customFormat="1" ht="150" hidden="1" customHeight="1" x14ac:dyDescent="0.3">
      <c r="A20" s="22"/>
      <c r="B20" s="22"/>
      <c r="C20" s="23"/>
      <c r="D20" s="29"/>
      <c r="E20" s="25"/>
      <c r="F20" s="22"/>
      <c r="G20" s="22"/>
      <c r="H20" s="23"/>
      <c r="I20" s="22"/>
      <c r="J20" s="23"/>
      <c r="K20" s="22"/>
      <c r="L20" s="26"/>
      <c r="M20" s="27"/>
      <c r="N20" s="26">
        <f t="shared" si="1"/>
        <v>0</v>
      </c>
    </row>
    <row r="21" spans="1:14" s="28" customFormat="1" ht="150" hidden="1" customHeight="1" x14ac:dyDescent="0.3">
      <c r="A21" s="22"/>
      <c r="B21" s="22"/>
      <c r="C21" s="23"/>
      <c r="D21" s="29"/>
      <c r="E21" s="25"/>
      <c r="F21" s="22"/>
      <c r="G21" s="22"/>
      <c r="H21" s="23"/>
      <c r="I21" s="22"/>
      <c r="J21" s="23"/>
      <c r="K21" s="22"/>
      <c r="L21" s="26"/>
      <c r="M21" s="27"/>
      <c r="N21" s="26">
        <f t="shared" si="1"/>
        <v>0</v>
      </c>
    </row>
    <row r="22" spans="1:14" s="28" customFormat="1" ht="150" hidden="1" customHeight="1" x14ac:dyDescent="0.3">
      <c r="A22" s="22"/>
      <c r="B22" s="22"/>
      <c r="C22" s="23"/>
      <c r="D22" s="24"/>
      <c r="E22" s="25"/>
      <c r="F22" s="22"/>
      <c r="G22" s="22"/>
      <c r="H22" s="23"/>
      <c r="I22" s="22"/>
      <c r="J22" s="23"/>
      <c r="K22" s="22"/>
      <c r="L22" s="26"/>
      <c r="M22" s="27"/>
      <c r="N22" s="26"/>
    </row>
    <row r="23" spans="1:14" s="28" customFormat="1" ht="150" hidden="1" customHeight="1" x14ac:dyDescent="0.3">
      <c r="A23" s="22"/>
      <c r="B23" s="22"/>
      <c r="C23" s="23"/>
      <c r="D23" s="29"/>
      <c r="E23" s="25"/>
      <c r="F23" s="22"/>
      <c r="G23" s="22"/>
      <c r="H23" s="23"/>
      <c r="I23" s="22"/>
      <c r="J23" s="23"/>
      <c r="K23" s="22"/>
      <c r="L23" s="26"/>
      <c r="M23" s="27"/>
      <c r="N23" s="26"/>
    </row>
    <row r="24" spans="1:14" s="28" customFormat="1" ht="150" hidden="1" customHeight="1" x14ac:dyDescent="0.3">
      <c r="A24" s="22"/>
      <c r="B24" s="22"/>
      <c r="C24" s="23"/>
      <c r="D24" s="24"/>
      <c r="E24" s="25"/>
      <c r="F24" s="22"/>
      <c r="G24" s="22"/>
      <c r="H24" s="23"/>
      <c r="I24" s="22"/>
      <c r="J24" s="23"/>
      <c r="K24" s="22"/>
      <c r="L24" s="26"/>
      <c r="M24" s="27"/>
      <c r="N24" s="26"/>
    </row>
    <row r="25" spans="1:14" s="28" customFormat="1" ht="150" hidden="1" customHeight="1" x14ac:dyDescent="0.3">
      <c r="A25" s="22"/>
      <c r="B25" s="22"/>
      <c r="C25" s="23"/>
      <c r="D25" s="29"/>
      <c r="E25" s="25"/>
      <c r="F25" s="22"/>
      <c r="G25" s="22"/>
      <c r="H25" s="23"/>
      <c r="I25" s="22"/>
      <c r="J25" s="23"/>
      <c r="K25" s="22"/>
      <c r="L25" s="26"/>
      <c r="M25" s="27"/>
      <c r="N25" s="26"/>
    </row>
    <row r="26" spans="1:14" s="28" customFormat="1" ht="150" hidden="1" customHeight="1" x14ac:dyDescent="0.3">
      <c r="A26" s="22"/>
      <c r="B26" s="22"/>
      <c r="C26" s="23"/>
      <c r="D26" s="24"/>
      <c r="E26" s="25"/>
      <c r="F26" s="22"/>
      <c r="G26" s="22"/>
      <c r="H26" s="23"/>
      <c r="I26" s="22"/>
      <c r="J26" s="23"/>
      <c r="K26" s="22"/>
      <c r="L26" s="26"/>
      <c r="M26" s="27"/>
      <c r="N26" s="26"/>
    </row>
    <row r="27" spans="1:14" s="28" customFormat="1" ht="150" hidden="1" customHeight="1" x14ac:dyDescent="0.3">
      <c r="A27" s="22"/>
      <c r="B27" s="22"/>
      <c r="C27" s="23"/>
      <c r="D27" s="29"/>
      <c r="E27" s="25"/>
      <c r="F27" s="22"/>
      <c r="G27" s="22"/>
      <c r="H27" s="23"/>
      <c r="I27" s="22"/>
      <c r="J27" s="23"/>
      <c r="K27" s="22"/>
      <c r="L27" s="26"/>
      <c r="M27" s="27"/>
      <c r="N27" s="26"/>
    </row>
    <row r="28" spans="1:14" s="28" customFormat="1" ht="150" hidden="1" customHeight="1" x14ac:dyDescent="0.3">
      <c r="A28" s="22"/>
      <c r="B28" s="22"/>
      <c r="C28" s="23"/>
      <c r="D28" s="29"/>
      <c r="E28" s="25"/>
      <c r="F28" s="22"/>
      <c r="G28" s="22"/>
      <c r="H28" s="23"/>
      <c r="I28" s="22"/>
      <c r="J28" s="23"/>
      <c r="K28" s="22"/>
      <c r="L28" s="26"/>
      <c r="M28" s="27"/>
      <c r="N28" s="26"/>
    </row>
    <row r="29" spans="1:14" s="28" customFormat="1" ht="150" hidden="1" customHeight="1" x14ac:dyDescent="0.3">
      <c r="A29" s="22"/>
      <c r="B29" s="22"/>
      <c r="C29" s="23"/>
      <c r="D29" s="29"/>
      <c r="E29" s="25"/>
      <c r="F29" s="22"/>
      <c r="G29" s="22"/>
      <c r="H29" s="23"/>
      <c r="I29" s="22"/>
      <c r="J29" s="23"/>
      <c r="K29" s="22"/>
      <c r="L29" s="26"/>
      <c r="M29" s="27"/>
      <c r="N29" s="26"/>
    </row>
    <row r="30" spans="1:14" s="28" customFormat="1" ht="150" hidden="1" customHeight="1" x14ac:dyDescent="0.3">
      <c r="A30" s="22"/>
      <c r="B30" s="22"/>
      <c r="C30" s="23"/>
      <c r="D30" s="29"/>
      <c r="E30" s="25"/>
      <c r="F30" s="22"/>
      <c r="G30" s="22"/>
      <c r="H30" s="23"/>
      <c r="I30" s="22"/>
      <c r="J30" s="23"/>
      <c r="K30" s="22"/>
      <c r="L30" s="26"/>
      <c r="M30" s="27"/>
      <c r="N30" s="26"/>
    </row>
    <row r="31" spans="1:14" s="28" customFormat="1" ht="150" hidden="1" customHeight="1" x14ac:dyDescent="0.3">
      <c r="A31" s="22"/>
      <c r="B31" s="22"/>
      <c r="C31" s="23"/>
      <c r="D31" s="29"/>
      <c r="E31" s="25"/>
      <c r="F31" s="22"/>
      <c r="G31" s="22"/>
      <c r="H31" s="23"/>
      <c r="I31" s="22"/>
      <c r="J31" s="23"/>
      <c r="K31" s="22"/>
      <c r="L31" s="26"/>
      <c r="M31" s="27"/>
      <c r="N31" s="26"/>
    </row>
    <row r="32" spans="1:14" s="28" customFormat="1" ht="150" hidden="1" customHeight="1" x14ac:dyDescent="0.3">
      <c r="A32" s="22"/>
      <c r="B32" s="22"/>
      <c r="C32" s="23"/>
      <c r="D32" s="29"/>
      <c r="E32" s="25"/>
      <c r="F32" s="22"/>
      <c r="G32" s="22"/>
      <c r="H32" s="23"/>
      <c r="I32" s="22"/>
      <c r="J32" s="23"/>
      <c r="K32" s="22"/>
      <c r="L32" s="26"/>
      <c r="M32" s="27"/>
      <c r="N32" s="26"/>
    </row>
    <row r="33" spans="1:14" s="28" customFormat="1" ht="150" hidden="1" customHeight="1" x14ac:dyDescent="0.3">
      <c r="A33" s="22"/>
      <c r="B33" s="22"/>
      <c r="C33" s="23"/>
      <c r="D33" s="29"/>
      <c r="E33" s="25"/>
      <c r="F33" s="22"/>
      <c r="G33" s="22"/>
      <c r="H33" s="23"/>
      <c r="I33" s="22"/>
      <c r="J33" s="23"/>
      <c r="K33" s="22"/>
      <c r="L33" s="26"/>
      <c r="M33" s="27"/>
      <c r="N33" s="26"/>
    </row>
    <row r="34" spans="1:14" s="28" customFormat="1" ht="150" hidden="1" customHeight="1" x14ac:dyDescent="0.3">
      <c r="A34" s="22"/>
      <c r="B34" s="22"/>
      <c r="C34" s="23"/>
      <c r="D34" s="29"/>
      <c r="E34" s="25"/>
      <c r="F34" s="22"/>
      <c r="G34" s="22"/>
      <c r="H34" s="23"/>
      <c r="I34" s="22"/>
      <c r="J34" s="23"/>
      <c r="K34" s="22"/>
      <c r="L34" s="26"/>
      <c r="M34" s="27"/>
      <c r="N34" s="26"/>
    </row>
    <row r="35" spans="1:14" s="28" customFormat="1" ht="150" hidden="1" customHeight="1" x14ac:dyDescent="0.3">
      <c r="A35" s="22"/>
      <c r="B35" s="22"/>
      <c r="C35" s="23"/>
      <c r="D35" s="29"/>
      <c r="E35" s="25"/>
      <c r="F35" s="22"/>
      <c r="G35" s="22"/>
      <c r="H35" s="23"/>
      <c r="I35" s="22"/>
      <c r="J35" s="23"/>
      <c r="K35" s="22"/>
      <c r="L35" s="26"/>
      <c r="M35" s="27"/>
      <c r="N35" s="26"/>
    </row>
    <row r="36" spans="1:14" s="28" customFormat="1" ht="150" hidden="1" customHeight="1" x14ac:dyDescent="0.3">
      <c r="A36" s="22"/>
      <c r="B36" s="22"/>
      <c r="C36" s="23"/>
      <c r="D36" s="29"/>
      <c r="E36" s="25"/>
      <c r="F36" s="22"/>
      <c r="G36" s="22"/>
      <c r="H36" s="23"/>
      <c r="I36" s="22"/>
      <c r="J36" s="23"/>
      <c r="K36" s="22"/>
      <c r="L36" s="26"/>
      <c r="M36" s="27"/>
      <c r="N36" s="26"/>
    </row>
    <row r="37" spans="1:14" s="28" customFormat="1" ht="150" hidden="1" customHeight="1" x14ac:dyDescent="0.3">
      <c r="A37" s="22"/>
      <c r="B37" s="22"/>
      <c r="C37" s="23"/>
      <c r="D37" s="29"/>
      <c r="E37" s="25"/>
      <c r="F37" s="22"/>
      <c r="G37" s="22"/>
      <c r="H37" s="23"/>
      <c r="I37" s="22"/>
      <c r="J37" s="23"/>
      <c r="K37" s="22"/>
      <c r="L37" s="26"/>
      <c r="M37" s="27"/>
      <c r="N37" s="26"/>
    </row>
    <row r="38" spans="1:14" s="28" customFormat="1" ht="150" hidden="1" customHeight="1" x14ac:dyDescent="0.3">
      <c r="A38" s="22"/>
      <c r="B38" s="22"/>
      <c r="C38" s="23"/>
      <c r="D38" s="29"/>
      <c r="E38" s="25"/>
      <c r="F38" s="22"/>
      <c r="G38" s="22"/>
      <c r="H38" s="23"/>
      <c r="I38" s="22"/>
      <c r="J38" s="23"/>
      <c r="K38" s="22"/>
      <c r="L38" s="26"/>
      <c r="M38" s="27"/>
      <c r="N38" s="26"/>
    </row>
    <row r="39" spans="1:14" s="28" customFormat="1" ht="150" hidden="1" customHeight="1" x14ac:dyDescent="0.3">
      <c r="A39" s="22"/>
      <c r="B39" s="22"/>
      <c r="C39" s="23"/>
      <c r="D39" s="29"/>
      <c r="E39" s="25"/>
      <c r="F39" s="22"/>
      <c r="G39" s="22"/>
      <c r="H39" s="23"/>
      <c r="I39" s="22"/>
      <c r="J39" s="23"/>
      <c r="K39" s="22"/>
      <c r="L39" s="26"/>
      <c r="M39" s="27"/>
      <c r="N39" s="26"/>
    </row>
    <row r="40" spans="1:14" s="28" customFormat="1" ht="150" hidden="1" customHeight="1" x14ac:dyDescent="0.3">
      <c r="A40" s="22"/>
      <c r="B40" s="22"/>
      <c r="C40" s="23"/>
      <c r="D40" s="29"/>
      <c r="E40" s="25"/>
      <c r="F40" s="22"/>
      <c r="G40" s="22"/>
      <c r="H40" s="23"/>
      <c r="I40" s="22"/>
      <c r="J40" s="23"/>
      <c r="K40" s="22"/>
      <c r="L40" s="26"/>
      <c r="M40" s="27"/>
      <c r="N40" s="26"/>
    </row>
    <row r="41" spans="1:14" s="28" customFormat="1" ht="150" hidden="1" customHeight="1" x14ac:dyDescent="0.3">
      <c r="A41" s="22"/>
      <c r="B41" s="22"/>
      <c r="C41" s="23"/>
      <c r="D41" s="29"/>
      <c r="E41" s="25"/>
      <c r="F41" s="22"/>
      <c r="G41" s="22"/>
      <c r="H41" s="23"/>
      <c r="I41" s="22"/>
      <c r="J41" s="23"/>
      <c r="K41" s="22"/>
      <c r="L41" s="26"/>
      <c r="M41" s="27"/>
      <c r="N41" s="26"/>
    </row>
    <row r="42" spans="1:14" s="28" customFormat="1" ht="150" hidden="1" customHeight="1" x14ac:dyDescent="0.3">
      <c r="A42" s="22"/>
      <c r="B42" s="22"/>
      <c r="C42" s="23"/>
      <c r="D42" s="29"/>
      <c r="E42" s="25"/>
      <c r="F42" s="22"/>
      <c r="G42" s="22"/>
      <c r="H42" s="23"/>
      <c r="I42" s="22"/>
      <c r="J42" s="23"/>
      <c r="K42" s="22"/>
      <c r="L42" s="26"/>
      <c r="M42" s="27"/>
      <c r="N42" s="26">
        <f t="shared" si="1"/>
        <v>0</v>
      </c>
    </row>
    <row r="43" spans="1:14" s="28" customFormat="1" ht="150" hidden="1" customHeight="1" x14ac:dyDescent="0.3">
      <c r="A43" s="22"/>
      <c r="B43" s="22"/>
      <c r="C43" s="23"/>
      <c r="D43" s="29"/>
      <c r="E43" s="25"/>
      <c r="F43" s="22"/>
      <c r="G43" s="22"/>
      <c r="H43" s="23"/>
      <c r="I43" s="22"/>
      <c r="J43" s="23"/>
      <c r="K43" s="22"/>
      <c r="L43" s="26"/>
      <c r="M43" s="27"/>
      <c r="N43" s="26">
        <f t="shared" si="1"/>
        <v>0</v>
      </c>
    </row>
    <row r="44" spans="1:14" s="28" customFormat="1" ht="150" hidden="1" customHeight="1" x14ac:dyDescent="0.3">
      <c r="A44" s="22"/>
      <c r="B44" s="22"/>
      <c r="C44" s="23"/>
      <c r="D44" s="29"/>
      <c r="E44" s="25"/>
      <c r="F44" s="22"/>
      <c r="G44" s="22"/>
      <c r="H44" s="23"/>
      <c r="I44" s="22"/>
      <c r="J44" s="23"/>
      <c r="K44" s="22"/>
      <c r="L44" s="26"/>
      <c r="M44" s="27"/>
      <c r="N44" s="26">
        <f t="shared" si="1"/>
        <v>0</v>
      </c>
    </row>
    <row r="45" spans="1:14" s="28" customFormat="1" ht="150" hidden="1" customHeight="1" x14ac:dyDescent="0.3">
      <c r="A45" s="22"/>
      <c r="B45" s="22"/>
      <c r="C45" s="23"/>
      <c r="D45" s="29"/>
      <c r="E45" s="25"/>
      <c r="F45" s="22"/>
      <c r="G45" s="22"/>
      <c r="H45" s="23"/>
      <c r="I45" s="22"/>
      <c r="J45" s="23"/>
      <c r="K45" s="22"/>
      <c r="L45" s="26"/>
      <c r="M45" s="27"/>
      <c r="N45" s="26">
        <f t="shared" si="1"/>
        <v>0</v>
      </c>
    </row>
    <row r="46" spans="1:14" s="11" customFormat="1" ht="150" customHeight="1" x14ac:dyDescent="0.3">
      <c r="A46" s="22"/>
      <c r="B46" s="22"/>
      <c r="C46" s="23"/>
      <c r="D46" s="29"/>
      <c r="E46" s="25"/>
      <c r="F46" s="22"/>
      <c r="G46" s="22"/>
      <c r="H46" s="23"/>
      <c r="I46" s="22"/>
      <c r="J46" s="22"/>
      <c r="K46" s="22"/>
      <c r="L46" s="26"/>
      <c r="M46" s="27"/>
      <c r="N46" s="26">
        <f t="shared" si="1"/>
        <v>0</v>
      </c>
    </row>
    <row r="47" spans="1:14" s="11" customFormat="1" ht="150" customHeight="1" x14ac:dyDescent="0.3">
      <c r="A47" s="13"/>
      <c r="B47" s="13"/>
      <c r="C47" s="14"/>
      <c r="D47" s="14"/>
      <c r="E47" s="15"/>
      <c r="F47" s="13"/>
      <c r="G47" s="13"/>
      <c r="H47" s="14"/>
      <c r="I47" s="13"/>
      <c r="J47" s="13"/>
      <c r="K47" s="13"/>
      <c r="L47" s="9">
        <f>SUM(L4:L46)</f>
        <v>17908</v>
      </c>
      <c r="M47" s="16">
        <f>SUM(M4:M46)</f>
        <v>2360</v>
      </c>
      <c r="N47" s="9">
        <f>SUM(N4:N46)</f>
        <v>15548</v>
      </c>
    </row>
    <row r="48" spans="1:14" s="12" customFormat="1" ht="100.05" customHeight="1" x14ac:dyDescent="0.3">
      <c r="A48" s="17"/>
      <c r="B48" s="17"/>
      <c r="C48" s="17"/>
      <c r="D48" s="20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14" ht="100.05" customHeight="1" x14ac:dyDescent="0.3"/>
    <row r="50" spans="1:14" s="4" customFormat="1" ht="100.05" customHeight="1" x14ac:dyDescent="0.3">
      <c r="A50" s="17"/>
      <c r="B50" s="17"/>
      <c r="C50" s="17"/>
      <c r="D50" s="20"/>
      <c r="E50" s="17"/>
      <c r="F50" s="17"/>
      <c r="G50" s="17"/>
      <c r="H50" s="17"/>
      <c r="I50" s="17"/>
      <c r="J50" s="17"/>
      <c r="K50" s="17"/>
      <c r="L50" s="17"/>
      <c r="M50" s="17"/>
      <c r="N50" s="17"/>
    </row>
    <row r="51" spans="1:14" s="4" customFormat="1" ht="100.05" customHeight="1" x14ac:dyDescent="0.3">
      <c r="A51" s="17"/>
      <c r="B51" s="17"/>
      <c r="C51" s="17"/>
      <c r="D51" s="20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s="11" customFormat="1" ht="100.05" customHeight="1" x14ac:dyDescent="0.3">
      <c r="A52" s="17"/>
      <c r="B52" s="17"/>
      <c r="C52" s="17"/>
      <c r="D52" s="20"/>
      <c r="E52" s="17"/>
      <c r="F52" s="17"/>
      <c r="G52" s="17"/>
      <c r="H52" s="17"/>
      <c r="I52" s="17"/>
      <c r="J52" s="17"/>
      <c r="K52" s="17"/>
      <c r="L52" s="17"/>
      <c r="M52" s="17"/>
      <c r="N52" s="17"/>
    </row>
    <row r="53" spans="1:14" s="11" customFormat="1" ht="100.05" customHeight="1" x14ac:dyDescent="0.3">
      <c r="A53" s="17"/>
      <c r="B53" s="17"/>
      <c r="C53" s="17"/>
      <c r="D53" s="20"/>
      <c r="E53" s="17"/>
      <c r="F53" s="17"/>
      <c r="G53" s="17"/>
      <c r="H53" s="17"/>
      <c r="I53" s="17"/>
      <c r="J53" s="17"/>
      <c r="K53" s="17"/>
      <c r="L53" s="17"/>
      <c r="M53" s="17"/>
      <c r="N53" s="17"/>
    </row>
    <row r="54" spans="1:14" s="11" customFormat="1" ht="100.05" customHeight="1" x14ac:dyDescent="0.3">
      <c r="A54" s="17"/>
      <c r="B54" s="17"/>
      <c r="C54" s="17"/>
      <c r="D54" s="20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 spans="1:14" s="11" customFormat="1" ht="100.05" customHeight="1" x14ac:dyDescent="0.3">
      <c r="A55" s="17"/>
      <c r="B55" s="17"/>
      <c r="C55" s="17"/>
      <c r="D55" s="20"/>
      <c r="E55" s="17"/>
      <c r="F55" s="17"/>
      <c r="G55" s="17"/>
      <c r="H55" s="17"/>
      <c r="I55" s="17"/>
      <c r="J55" s="17"/>
      <c r="K55" s="17"/>
      <c r="L55" s="17"/>
      <c r="M55" s="17"/>
      <c r="N55" s="17"/>
    </row>
    <row r="56" spans="1:14" s="11" customFormat="1" ht="100.05" customHeight="1" x14ac:dyDescent="0.3">
      <c r="A56" s="17"/>
      <c r="B56" s="17"/>
      <c r="C56" s="17"/>
      <c r="D56" s="20"/>
      <c r="E56" s="17"/>
      <c r="F56" s="17"/>
      <c r="G56" s="17"/>
      <c r="H56" s="17"/>
      <c r="I56" s="17"/>
      <c r="J56" s="17"/>
      <c r="K56" s="17"/>
      <c r="L56" s="17"/>
      <c r="M56" s="17"/>
      <c r="N56" s="17"/>
    </row>
    <row r="57" spans="1:14" s="11" customFormat="1" ht="100.05" customHeight="1" x14ac:dyDescent="0.3">
      <c r="A57" s="17"/>
      <c r="B57" s="17"/>
      <c r="C57" s="17"/>
      <c r="D57" s="20"/>
      <c r="E57" s="17"/>
      <c r="F57" s="17"/>
      <c r="G57" s="17"/>
      <c r="H57" s="17"/>
      <c r="I57" s="17"/>
      <c r="J57" s="17"/>
      <c r="K57" s="17"/>
      <c r="L57" s="17"/>
      <c r="M57" s="17"/>
      <c r="N57" s="17"/>
    </row>
    <row r="58" spans="1:14" s="11" customFormat="1" ht="100.05" customHeight="1" x14ac:dyDescent="0.3">
      <c r="A58" s="17"/>
      <c r="B58" s="17"/>
      <c r="C58" s="17"/>
      <c r="D58" s="20"/>
      <c r="E58" s="17"/>
      <c r="F58" s="17"/>
      <c r="G58" s="17"/>
      <c r="H58" s="17"/>
      <c r="I58" s="17"/>
      <c r="J58" s="17"/>
      <c r="K58" s="17"/>
      <c r="L58" s="17"/>
      <c r="M58" s="17"/>
      <c r="N58" s="17"/>
    </row>
    <row r="59" spans="1:14" s="11" customFormat="1" ht="100.05" customHeight="1" x14ac:dyDescent="0.3">
      <c r="A59" s="17"/>
      <c r="B59" s="17"/>
      <c r="C59" s="17"/>
      <c r="D59" s="20"/>
      <c r="E59" s="17"/>
      <c r="F59" s="17"/>
      <c r="G59" s="17"/>
      <c r="H59" s="17"/>
      <c r="I59" s="17"/>
      <c r="J59" s="17"/>
      <c r="K59" s="17"/>
      <c r="L59" s="17"/>
      <c r="M59" s="17"/>
      <c r="N59" s="17"/>
    </row>
    <row r="60" spans="1:14" s="11" customFormat="1" ht="100.05" customHeight="1" x14ac:dyDescent="0.3">
      <c r="A60" s="17"/>
      <c r="B60" s="17"/>
      <c r="C60" s="17"/>
      <c r="D60" s="20"/>
      <c r="E60" s="17"/>
      <c r="F60" s="17"/>
      <c r="G60" s="17"/>
      <c r="H60" s="17"/>
      <c r="I60" s="17"/>
      <c r="J60" s="17"/>
      <c r="K60" s="17"/>
      <c r="L60" s="17"/>
      <c r="M60" s="17"/>
      <c r="N60" s="17"/>
    </row>
    <row r="61" spans="1:14" s="11" customFormat="1" ht="100.05" customHeight="1" x14ac:dyDescent="0.3">
      <c r="A61" s="17"/>
      <c r="B61" s="17"/>
      <c r="C61" s="17"/>
      <c r="D61" s="20"/>
      <c r="E61" s="17"/>
      <c r="F61" s="17"/>
      <c r="G61" s="17"/>
      <c r="H61" s="17"/>
      <c r="I61" s="17"/>
      <c r="J61" s="17"/>
      <c r="K61" s="17"/>
      <c r="L61" s="17"/>
      <c r="M61" s="17"/>
      <c r="N61" s="17"/>
    </row>
  </sheetData>
  <mergeCells count="3">
    <mergeCell ref="A1:C1"/>
    <mergeCell ref="K1:N1"/>
    <mergeCell ref="A2:N2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18"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1"/>
  <sheetViews>
    <sheetView zoomScale="25" zoomScaleNormal="25" workbookViewId="0">
      <selection activeCell="M5" sqref="M5"/>
    </sheetView>
  </sheetViews>
  <sheetFormatPr defaultColWidth="8.88671875" defaultRowHeight="14.4" x14ac:dyDescent="0.3"/>
  <cols>
    <col min="1" max="1" width="41.77734375" style="17" customWidth="1"/>
    <col min="2" max="2" width="19.6640625" style="17" customWidth="1"/>
    <col min="3" max="3" width="29.21875" style="17" customWidth="1"/>
    <col min="4" max="4" width="28.6640625" style="20" customWidth="1"/>
    <col min="5" max="5" width="162.109375" style="17" customWidth="1"/>
    <col min="6" max="6" width="32.109375" style="17" bestFit="1" customWidth="1"/>
    <col min="7" max="7" width="21.88671875" style="17" bestFit="1" customWidth="1"/>
    <col min="8" max="8" width="26.6640625" style="17" bestFit="1" customWidth="1"/>
    <col min="9" max="9" width="40.109375" style="17" bestFit="1" customWidth="1"/>
    <col min="10" max="10" width="37.88671875" style="17" customWidth="1"/>
    <col min="11" max="11" width="25.6640625" style="17" customWidth="1"/>
    <col min="12" max="14" width="26.77734375" style="17" bestFit="1" customWidth="1"/>
    <col min="15" max="16384" width="8.88671875" style="18"/>
  </cols>
  <sheetData>
    <row r="1" spans="1:14" s="3" customFormat="1" ht="100.05" customHeight="1" x14ac:dyDescent="0.95">
      <c r="A1" s="37"/>
      <c r="B1" s="37"/>
      <c r="C1" s="37"/>
      <c r="D1" s="19"/>
      <c r="E1" s="1"/>
      <c r="F1" s="1"/>
      <c r="G1" s="1"/>
      <c r="H1" s="1"/>
      <c r="I1" s="1"/>
      <c r="J1" s="2" t="s">
        <v>0</v>
      </c>
      <c r="K1" s="38">
        <v>45933</v>
      </c>
      <c r="L1" s="38"/>
      <c r="M1" s="38"/>
      <c r="N1" s="38"/>
    </row>
    <row r="2" spans="1:14" s="4" customFormat="1" ht="100.05" customHeight="1" x14ac:dyDescent="0.3">
      <c r="A2" s="39" t="s">
        <v>68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</row>
    <row r="3" spans="1:14" s="4" customFormat="1" ht="150" customHeight="1" x14ac:dyDescent="0.3">
      <c r="A3" s="5" t="s">
        <v>1</v>
      </c>
      <c r="B3" s="5" t="s">
        <v>2</v>
      </c>
      <c r="C3" s="6" t="s">
        <v>3</v>
      </c>
      <c r="D3" s="7" t="s">
        <v>4</v>
      </c>
      <c r="E3" s="5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6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s="28" customFormat="1" ht="150" customHeight="1" x14ac:dyDescent="0.3">
      <c r="A4" s="22">
        <v>100925</v>
      </c>
      <c r="B4" s="22">
        <v>304</v>
      </c>
      <c r="C4" s="23" t="s">
        <v>31</v>
      </c>
      <c r="D4" s="29" t="s">
        <v>35</v>
      </c>
      <c r="E4" s="25" t="s">
        <v>67</v>
      </c>
      <c r="F4" s="22" t="s">
        <v>16</v>
      </c>
      <c r="G4" s="22" t="s">
        <v>16</v>
      </c>
      <c r="H4" s="23" t="s">
        <v>16</v>
      </c>
      <c r="I4" s="22" t="s">
        <v>16</v>
      </c>
      <c r="J4" s="23" t="s">
        <v>16</v>
      </c>
      <c r="K4" s="22" t="s">
        <v>17</v>
      </c>
      <c r="L4" s="26">
        <v>1200</v>
      </c>
      <c r="M4" s="27">
        <f>300+980</f>
        <v>1280</v>
      </c>
      <c r="N4" s="26">
        <f t="shared" ref="N4:N13" si="0">L4-M4</f>
        <v>-80</v>
      </c>
    </row>
    <row r="5" spans="1:14" s="28" customFormat="1" ht="150" customHeight="1" x14ac:dyDescent="0.3">
      <c r="A5" s="22">
        <v>100925</v>
      </c>
      <c r="B5" s="22">
        <v>304</v>
      </c>
      <c r="C5" s="23" t="s">
        <v>31</v>
      </c>
      <c r="D5" s="24" t="s">
        <v>40</v>
      </c>
      <c r="E5" s="25" t="s">
        <v>36</v>
      </c>
      <c r="F5" s="22" t="s">
        <v>16</v>
      </c>
      <c r="G5" s="22">
        <v>430</v>
      </c>
      <c r="H5" s="23">
        <v>0.6</v>
      </c>
      <c r="I5" s="22" t="s">
        <v>16</v>
      </c>
      <c r="J5" s="23" t="s">
        <v>16</v>
      </c>
      <c r="K5" s="22" t="s">
        <v>17</v>
      </c>
      <c r="L5" s="26">
        <v>1500</v>
      </c>
      <c r="M5" s="27">
        <v>250</v>
      </c>
      <c r="N5" s="26">
        <f t="shared" si="0"/>
        <v>1250</v>
      </c>
    </row>
    <row r="6" spans="1:14" s="28" customFormat="1" ht="150" customHeight="1" x14ac:dyDescent="0.3">
      <c r="A6" s="22">
        <v>100925</v>
      </c>
      <c r="B6" s="22">
        <v>304</v>
      </c>
      <c r="C6" s="23" t="s">
        <v>31</v>
      </c>
      <c r="D6" s="29" t="s">
        <v>41</v>
      </c>
      <c r="E6" s="25" t="s">
        <v>37</v>
      </c>
      <c r="F6" s="22" t="s">
        <v>16</v>
      </c>
      <c r="G6" s="22" t="s">
        <v>16</v>
      </c>
      <c r="H6" s="23" t="s">
        <v>16</v>
      </c>
      <c r="I6" s="22" t="s">
        <v>16</v>
      </c>
      <c r="J6" s="23" t="s">
        <v>16</v>
      </c>
      <c r="K6" s="22" t="s">
        <v>17</v>
      </c>
      <c r="L6" s="26">
        <v>1500</v>
      </c>
      <c r="M6" s="27"/>
      <c r="N6" s="26">
        <f t="shared" si="0"/>
        <v>1500</v>
      </c>
    </row>
    <row r="7" spans="1:14" s="28" customFormat="1" ht="150" customHeight="1" x14ac:dyDescent="0.3">
      <c r="A7" s="22">
        <v>100925</v>
      </c>
      <c r="B7" s="22">
        <v>304</v>
      </c>
      <c r="C7" s="23" t="s">
        <v>31</v>
      </c>
      <c r="D7" s="24" t="s">
        <v>40</v>
      </c>
      <c r="E7" s="25" t="s">
        <v>38</v>
      </c>
      <c r="F7" s="22" t="s">
        <v>16</v>
      </c>
      <c r="G7" s="22">
        <v>430</v>
      </c>
      <c r="H7" s="23">
        <v>0.6</v>
      </c>
      <c r="I7" s="22" t="s">
        <v>16</v>
      </c>
      <c r="J7" s="23" t="s">
        <v>16</v>
      </c>
      <c r="K7" s="22" t="s">
        <v>17</v>
      </c>
      <c r="L7" s="26">
        <v>600</v>
      </c>
      <c r="M7" s="27"/>
      <c r="N7" s="26">
        <f t="shared" si="0"/>
        <v>600</v>
      </c>
    </row>
    <row r="8" spans="1:14" s="28" customFormat="1" ht="150" customHeight="1" x14ac:dyDescent="0.3">
      <c r="A8" s="22">
        <v>100925</v>
      </c>
      <c r="B8" s="22">
        <v>304</v>
      </c>
      <c r="C8" s="23" t="s">
        <v>31</v>
      </c>
      <c r="D8" s="29" t="s">
        <v>41</v>
      </c>
      <c r="E8" s="25" t="s">
        <v>39</v>
      </c>
      <c r="F8" s="22" t="s">
        <v>16</v>
      </c>
      <c r="G8" s="22" t="s">
        <v>16</v>
      </c>
      <c r="H8" s="23" t="s">
        <v>16</v>
      </c>
      <c r="I8" s="22" t="s">
        <v>16</v>
      </c>
      <c r="J8" s="23" t="s">
        <v>16</v>
      </c>
      <c r="K8" s="22" t="s">
        <v>17</v>
      </c>
      <c r="L8" s="26">
        <v>600</v>
      </c>
      <c r="M8" s="27"/>
      <c r="N8" s="26">
        <f t="shared" si="0"/>
        <v>600</v>
      </c>
    </row>
    <row r="9" spans="1:14" s="28" customFormat="1" ht="150" customHeight="1" x14ac:dyDescent="0.3">
      <c r="A9" s="22" t="s">
        <v>42</v>
      </c>
      <c r="B9" s="22">
        <v>304</v>
      </c>
      <c r="C9" s="23">
        <v>0.9</v>
      </c>
      <c r="D9" s="29" t="s">
        <v>56</v>
      </c>
      <c r="E9" s="25" t="s">
        <v>53</v>
      </c>
      <c r="F9" s="22" t="s">
        <v>16</v>
      </c>
      <c r="G9" s="22">
        <v>430</v>
      </c>
      <c r="H9" s="23">
        <v>0.6</v>
      </c>
      <c r="I9" s="22" t="s">
        <v>16</v>
      </c>
      <c r="J9" s="23" t="s">
        <v>16</v>
      </c>
      <c r="K9" s="22" t="s">
        <v>17</v>
      </c>
      <c r="L9" s="26">
        <v>1200</v>
      </c>
      <c r="M9" s="27"/>
      <c r="N9" s="26">
        <f t="shared" si="0"/>
        <v>1200</v>
      </c>
    </row>
    <row r="10" spans="1:14" s="28" customFormat="1" ht="150" customHeight="1" x14ac:dyDescent="0.3">
      <c r="A10" s="22" t="s">
        <v>42</v>
      </c>
      <c r="B10" s="22">
        <v>304</v>
      </c>
      <c r="C10" s="23">
        <v>0.9</v>
      </c>
      <c r="D10" s="29" t="s">
        <v>54</v>
      </c>
      <c r="E10" s="25" t="s">
        <v>55</v>
      </c>
      <c r="F10" s="22" t="s">
        <v>16</v>
      </c>
      <c r="G10" s="22" t="s">
        <v>16</v>
      </c>
      <c r="H10" s="23" t="s">
        <v>16</v>
      </c>
      <c r="I10" s="22" t="s">
        <v>16</v>
      </c>
      <c r="J10" s="23" t="s">
        <v>16</v>
      </c>
      <c r="K10" s="22" t="s">
        <v>17</v>
      </c>
      <c r="L10" s="26">
        <v>1200</v>
      </c>
      <c r="M10" s="27"/>
      <c r="N10" s="26">
        <f t="shared" si="0"/>
        <v>1200</v>
      </c>
    </row>
    <row r="11" spans="1:14" s="28" customFormat="1" ht="150" customHeight="1" x14ac:dyDescent="0.3">
      <c r="A11" s="22" t="s">
        <v>42</v>
      </c>
      <c r="B11" s="22">
        <v>304</v>
      </c>
      <c r="C11" s="23">
        <v>0.9</v>
      </c>
      <c r="D11" s="29" t="s">
        <v>57</v>
      </c>
      <c r="E11" s="25" t="s">
        <v>43</v>
      </c>
      <c r="F11" s="22" t="s">
        <v>16</v>
      </c>
      <c r="G11" s="22">
        <v>430</v>
      </c>
      <c r="H11" s="23">
        <v>0.6</v>
      </c>
      <c r="I11" s="22" t="s">
        <v>16</v>
      </c>
      <c r="J11" s="23" t="s">
        <v>16</v>
      </c>
      <c r="K11" s="22" t="s">
        <v>17</v>
      </c>
      <c r="L11" s="26">
        <v>1500</v>
      </c>
      <c r="M11" s="27"/>
      <c r="N11" s="26">
        <f t="shared" si="0"/>
        <v>1500</v>
      </c>
    </row>
    <row r="12" spans="1:14" s="28" customFormat="1" ht="150" customHeight="1" x14ac:dyDescent="0.3">
      <c r="A12" s="22" t="s">
        <v>42</v>
      </c>
      <c r="B12" s="22">
        <v>304</v>
      </c>
      <c r="C12" s="23">
        <v>0.9</v>
      </c>
      <c r="D12" s="29" t="s">
        <v>58</v>
      </c>
      <c r="E12" s="25" t="s">
        <v>44</v>
      </c>
      <c r="F12" s="22" t="s">
        <v>16</v>
      </c>
      <c r="G12" s="22" t="s">
        <v>16</v>
      </c>
      <c r="H12" s="23" t="s">
        <v>16</v>
      </c>
      <c r="I12" s="22" t="s">
        <v>16</v>
      </c>
      <c r="J12" s="23" t="s">
        <v>16</v>
      </c>
      <c r="K12" s="22" t="s">
        <v>17</v>
      </c>
      <c r="L12" s="26">
        <v>1500</v>
      </c>
      <c r="M12" s="27"/>
      <c r="N12" s="26">
        <f t="shared" si="0"/>
        <v>1500</v>
      </c>
    </row>
    <row r="13" spans="1:14" s="28" customFormat="1" ht="150" customHeight="1" x14ac:dyDescent="0.3">
      <c r="A13" s="22" t="s">
        <v>42</v>
      </c>
      <c r="B13" s="22">
        <v>304</v>
      </c>
      <c r="C13" s="23">
        <v>0.9</v>
      </c>
      <c r="D13" s="29" t="s">
        <v>45</v>
      </c>
      <c r="E13" s="25" t="s">
        <v>46</v>
      </c>
      <c r="F13" s="22" t="s">
        <v>16</v>
      </c>
      <c r="G13" s="22">
        <v>430</v>
      </c>
      <c r="H13" s="23">
        <v>0.6</v>
      </c>
      <c r="I13" s="22" t="s">
        <v>16</v>
      </c>
      <c r="J13" s="23" t="s">
        <v>16</v>
      </c>
      <c r="K13" s="22" t="s">
        <v>17</v>
      </c>
      <c r="L13" s="26">
        <v>1500</v>
      </c>
      <c r="M13" s="27"/>
      <c r="N13" s="26">
        <f t="shared" si="0"/>
        <v>1500</v>
      </c>
    </row>
    <row r="14" spans="1:14" s="28" customFormat="1" ht="150" customHeight="1" x14ac:dyDescent="0.3">
      <c r="A14" s="22" t="s">
        <v>42</v>
      </c>
      <c r="B14" s="22">
        <v>304</v>
      </c>
      <c r="C14" s="23">
        <v>0.9</v>
      </c>
      <c r="D14" s="29" t="s">
        <v>57</v>
      </c>
      <c r="E14" s="25" t="s">
        <v>47</v>
      </c>
      <c r="F14" s="22" t="s">
        <v>16</v>
      </c>
      <c r="G14" s="22" t="s">
        <v>16</v>
      </c>
      <c r="H14" s="23" t="s">
        <v>16</v>
      </c>
      <c r="I14" s="22" t="s">
        <v>16</v>
      </c>
      <c r="J14" s="23" t="s">
        <v>16</v>
      </c>
      <c r="K14" s="22" t="s">
        <v>17</v>
      </c>
      <c r="L14" s="26">
        <v>1500</v>
      </c>
      <c r="M14" s="27"/>
      <c r="N14" s="26">
        <f>L14-M14</f>
        <v>1500</v>
      </c>
    </row>
    <row r="15" spans="1:14" s="28" customFormat="1" ht="150" customHeight="1" x14ac:dyDescent="0.3">
      <c r="A15" s="22">
        <v>160925</v>
      </c>
      <c r="B15" s="22">
        <v>304</v>
      </c>
      <c r="C15" s="23">
        <v>0.9</v>
      </c>
      <c r="D15" s="29" t="s">
        <v>48</v>
      </c>
      <c r="E15" s="25" t="s">
        <v>49</v>
      </c>
      <c r="F15" s="22" t="s">
        <v>16</v>
      </c>
      <c r="G15" s="22">
        <v>430</v>
      </c>
      <c r="H15" s="23">
        <v>0.6</v>
      </c>
      <c r="I15" s="22" t="s">
        <v>16</v>
      </c>
      <c r="J15" s="23" t="s">
        <v>16</v>
      </c>
      <c r="K15" s="22" t="s">
        <v>17</v>
      </c>
      <c r="L15" s="26">
        <v>1100</v>
      </c>
      <c r="M15" s="27"/>
      <c r="N15" s="26">
        <f t="shared" ref="N15:N46" si="1">L15-M15</f>
        <v>1100</v>
      </c>
    </row>
    <row r="16" spans="1:14" s="28" customFormat="1" ht="150" customHeight="1" x14ac:dyDescent="0.3">
      <c r="A16" s="22">
        <v>160925</v>
      </c>
      <c r="B16" s="22">
        <v>304</v>
      </c>
      <c r="C16" s="23">
        <v>0.9</v>
      </c>
      <c r="D16" s="29" t="s">
        <v>50</v>
      </c>
      <c r="E16" s="25" t="s">
        <v>51</v>
      </c>
      <c r="F16" s="22" t="s">
        <v>16</v>
      </c>
      <c r="G16" s="22" t="s">
        <v>52</v>
      </c>
      <c r="H16" s="23" t="s">
        <v>52</v>
      </c>
      <c r="I16" s="22" t="s">
        <v>16</v>
      </c>
      <c r="J16" s="23" t="s">
        <v>16</v>
      </c>
      <c r="K16" s="22" t="s">
        <v>17</v>
      </c>
      <c r="L16" s="26">
        <v>1100</v>
      </c>
      <c r="M16" s="27"/>
      <c r="N16" s="26">
        <f t="shared" si="1"/>
        <v>1100</v>
      </c>
    </row>
    <row r="17" spans="1:14" s="28" customFormat="1" ht="150" customHeight="1" x14ac:dyDescent="0.3">
      <c r="A17" s="22"/>
      <c r="B17" s="22"/>
      <c r="C17" s="23"/>
      <c r="D17" s="29"/>
      <c r="E17" s="25"/>
      <c r="F17" s="22"/>
      <c r="G17" s="22"/>
      <c r="H17" s="23"/>
      <c r="I17" s="22"/>
      <c r="J17" s="23"/>
      <c r="K17" s="22"/>
      <c r="L17" s="26"/>
      <c r="M17" s="27"/>
      <c r="N17" s="26">
        <f t="shared" si="1"/>
        <v>0</v>
      </c>
    </row>
    <row r="18" spans="1:14" s="28" customFormat="1" ht="150" customHeight="1" x14ac:dyDescent="0.3">
      <c r="A18" s="22"/>
      <c r="B18" s="22"/>
      <c r="C18" s="23"/>
      <c r="D18" s="29"/>
      <c r="E18" s="25"/>
      <c r="F18" s="22"/>
      <c r="G18" s="22"/>
      <c r="H18" s="23"/>
      <c r="I18" s="22"/>
      <c r="J18" s="23"/>
      <c r="K18" s="22"/>
      <c r="L18" s="26"/>
      <c r="M18" s="27"/>
      <c r="N18" s="26">
        <f t="shared" si="1"/>
        <v>0</v>
      </c>
    </row>
    <row r="19" spans="1:14" s="28" customFormat="1" ht="150" hidden="1" customHeight="1" x14ac:dyDescent="0.3">
      <c r="A19" s="22"/>
      <c r="B19" s="22"/>
      <c r="C19" s="23"/>
      <c r="D19" s="29"/>
      <c r="E19" s="25"/>
      <c r="F19" s="22"/>
      <c r="G19" s="22"/>
      <c r="H19" s="23"/>
      <c r="I19" s="22"/>
      <c r="J19" s="23"/>
      <c r="K19" s="22"/>
      <c r="L19" s="26"/>
      <c r="M19" s="27"/>
      <c r="N19" s="26">
        <f t="shared" si="1"/>
        <v>0</v>
      </c>
    </row>
    <row r="20" spans="1:14" s="28" customFormat="1" ht="150" hidden="1" customHeight="1" x14ac:dyDescent="0.3">
      <c r="A20" s="22"/>
      <c r="B20" s="22"/>
      <c r="C20" s="23"/>
      <c r="D20" s="29"/>
      <c r="E20" s="25"/>
      <c r="F20" s="22"/>
      <c r="G20" s="22"/>
      <c r="H20" s="23"/>
      <c r="I20" s="22"/>
      <c r="J20" s="23"/>
      <c r="K20" s="22"/>
      <c r="L20" s="26"/>
      <c r="M20" s="27"/>
      <c r="N20" s="26">
        <f t="shared" si="1"/>
        <v>0</v>
      </c>
    </row>
    <row r="21" spans="1:14" s="28" customFormat="1" ht="150" hidden="1" customHeight="1" x14ac:dyDescent="0.3">
      <c r="A21" s="22"/>
      <c r="B21" s="22"/>
      <c r="C21" s="23"/>
      <c r="D21" s="29"/>
      <c r="E21" s="25"/>
      <c r="F21" s="22"/>
      <c r="G21" s="22"/>
      <c r="H21" s="23"/>
      <c r="I21" s="22"/>
      <c r="J21" s="23"/>
      <c r="K21" s="22"/>
      <c r="L21" s="26"/>
      <c r="M21" s="27"/>
      <c r="N21" s="26">
        <f t="shared" si="1"/>
        <v>0</v>
      </c>
    </row>
    <row r="22" spans="1:14" s="28" customFormat="1" ht="150" hidden="1" customHeight="1" x14ac:dyDescent="0.3">
      <c r="A22" s="22"/>
      <c r="B22" s="22"/>
      <c r="C22" s="23"/>
      <c r="D22" s="24"/>
      <c r="E22" s="25"/>
      <c r="F22" s="22"/>
      <c r="G22" s="22"/>
      <c r="H22" s="23"/>
      <c r="I22" s="22"/>
      <c r="J22" s="23"/>
      <c r="K22" s="22"/>
      <c r="L22" s="26"/>
      <c r="M22" s="27"/>
      <c r="N22" s="26"/>
    </row>
    <row r="23" spans="1:14" s="28" customFormat="1" ht="150" hidden="1" customHeight="1" x14ac:dyDescent="0.3">
      <c r="A23" s="22"/>
      <c r="B23" s="22"/>
      <c r="C23" s="23"/>
      <c r="D23" s="29"/>
      <c r="E23" s="25"/>
      <c r="F23" s="22"/>
      <c r="G23" s="22"/>
      <c r="H23" s="23"/>
      <c r="I23" s="22"/>
      <c r="J23" s="23"/>
      <c r="K23" s="22"/>
      <c r="L23" s="26"/>
      <c r="M23" s="27"/>
      <c r="N23" s="26"/>
    </row>
    <row r="24" spans="1:14" s="28" customFormat="1" ht="150" hidden="1" customHeight="1" x14ac:dyDescent="0.3">
      <c r="A24" s="22"/>
      <c r="B24" s="22"/>
      <c r="C24" s="23"/>
      <c r="D24" s="24"/>
      <c r="E24" s="25"/>
      <c r="F24" s="22"/>
      <c r="G24" s="22"/>
      <c r="H24" s="23"/>
      <c r="I24" s="22"/>
      <c r="J24" s="23"/>
      <c r="K24" s="22"/>
      <c r="L24" s="26"/>
      <c r="M24" s="27"/>
      <c r="N24" s="26"/>
    </row>
    <row r="25" spans="1:14" s="28" customFormat="1" ht="150" hidden="1" customHeight="1" x14ac:dyDescent="0.3">
      <c r="A25" s="22"/>
      <c r="B25" s="22"/>
      <c r="C25" s="23"/>
      <c r="D25" s="29"/>
      <c r="E25" s="25"/>
      <c r="F25" s="22"/>
      <c r="G25" s="22"/>
      <c r="H25" s="23"/>
      <c r="I25" s="22"/>
      <c r="J25" s="23"/>
      <c r="K25" s="22"/>
      <c r="L25" s="26"/>
      <c r="M25" s="27"/>
      <c r="N25" s="26"/>
    </row>
    <row r="26" spans="1:14" s="28" customFormat="1" ht="150" hidden="1" customHeight="1" x14ac:dyDescent="0.3">
      <c r="A26" s="22"/>
      <c r="B26" s="22"/>
      <c r="C26" s="23"/>
      <c r="D26" s="24"/>
      <c r="E26" s="25"/>
      <c r="F26" s="22"/>
      <c r="G26" s="22"/>
      <c r="H26" s="23"/>
      <c r="I26" s="22"/>
      <c r="J26" s="23"/>
      <c r="K26" s="22"/>
      <c r="L26" s="26"/>
      <c r="M26" s="27"/>
      <c r="N26" s="26"/>
    </row>
    <row r="27" spans="1:14" s="28" customFormat="1" ht="150" hidden="1" customHeight="1" x14ac:dyDescent="0.3">
      <c r="A27" s="22"/>
      <c r="B27" s="22"/>
      <c r="C27" s="23"/>
      <c r="D27" s="29"/>
      <c r="E27" s="25"/>
      <c r="F27" s="22"/>
      <c r="G27" s="22"/>
      <c r="H27" s="23"/>
      <c r="I27" s="22"/>
      <c r="J27" s="23"/>
      <c r="K27" s="22"/>
      <c r="L27" s="26"/>
      <c r="M27" s="27"/>
      <c r="N27" s="26"/>
    </row>
    <row r="28" spans="1:14" s="28" customFormat="1" ht="150" hidden="1" customHeight="1" x14ac:dyDescent="0.3">
      <c r="A28" s="22"/>
      <c r="B28" s="22"/>
      <c r="C28" s="23"/>
      <c r="D28" s="29"/>
      <c r="E28" s="25"/>
      <c r="F28" s="22"/>
      <c r="G28" s="22"/>
      <c r="H28" s="23"/>
      <c r="I28" s="22"/>
      <c r="J28" s="23"/>
      <c r="K28" s="22"/>
      <c r="L28" s="26"/>
      <c r="M28" s="27"/>
      <c r="N28" s="26"/>
    </row>
    <row r="29" spans="1:14" s="28" customFormat="1" ht="150" hidden="1" customHeight="1" x14ac:dyDescent="0.3">
      <c r="A29" s="22"/>
      <c r="B29" s="22"/>
      <c r="C29" s="23"/>
      <c r="D29" s="29"/>
      <c r="E29" s="25"/>
      <c r="F29" s="22"/>
      <c r="G29" s="22"/>
      <c r="H29" s="23"/>
      <c r="I29" s="22"/>
      <c r="J29" s="23"/>
      <c r="K29" s="22"/>
      <c r="L29" s="26"/>
      <c r="M29" s="27"/>
      <c r="N29" s="26"/>
    </row>
    <row r="30" spans="1:14" s="28" customFormat="1" ht="150" hidden="1" customHeight="1" x14ac:dyDescent="0.3">
      <c r="A30" s="22"/>
      <c r="B30" s="22"/>
      <c r="C30" s="23"/>
      <c r="D30" s="29"/>
      <c r="E30" s="25"/>
      <c r="F30" s="22"/>
      <c r="G30" s="22"/>
      <c r="H30" s="23"/>
      <c r="I30" s="22"/>
      <c r="J30" s="23"/>
      <c r="K30" s="22"/>
      <c r="L30" s="26"/>
      <c r="M30" s="27"/>
      <c r="N30" s="26"/>
    </row>
    <row r="31" spans="1:14" s="28" customFormat="1" ht="150" hidden="1" customHeight="1" x14ac:dyDescent="0.3">
      <c r="A31" s="22"/>
      <c r="B31" s="22"/>
      <c r="C31" s="23"/>
      <c r="D31" s="29"/>
      <c r="E31" s="25"/>
      <c r="F31" s="22"/>
      <c r="G31" s="22"/>
      <c r="H31" s="23"/>
      <c r="I31" s="22"/>
      <c r="J31" s="23"/>
      <c r="K31" s="22"/>
      <c r="L31" s="26"/>
      <c r="M31" s="27"/>
      <c r="N31" s="26"/>
    </row>
    <row r="32" spans="1:14" s="28" customFormat="1" ht="150" hidden="1" customHeight="1" x14ac:dyDescent="0.3">
      <c r="A32" s="22"/>
      <c r="B32" s="22"/>
      <c r="C32" s="23"/>
      <c r="D32" s="29"/>
      <c r="E32" s="25"/>
      <c r="F32" s="22"/>
      <c r="G32" s="22"/>
      <c r="H32" s="23"/>
      <c r="I32" s="22"/>
      <c r="J32" s="23"/>
      <c r="K32" s="22"/>
      <c r="L32" s="26"/>
      <c r="M32" s="27"/>
      <c r="N32" s="26"/>
    </row>
    <row r="33" spans="1:14" s="28" customFormat="1" ht="150" hidden="1" customHeight="1" x14ac:dyDescent="0.3">
      <c r="A33" s="22"/>
      <c r="B33" s="22"/>
      <c r="C33" s="23"/>
      <c r="D33" s="29"/>
      <c r="E33" s="25"/>
      <c r="F33" s="22"/>
      <c r="G33" s="22"/>
      <c r="H33" s="23"/>
      <c r="I33" s="22"/>
      <c r="J33" s="23"/>
      <c r="K33" s="22"/>
      <c r="L33" s="26"/>
      <c r="M33" s="27"/>
      <c r="N33" s="26"/>
    </row>
    <row r="34" spans="1:14" s="28" customFormat="1" ht="150" hidden="1" customHeight="1" x14ac:dyDescent="0.3">
      <c r="A34" s="22"/>
      <c r="B34" s="22"/>
      <c r="C34" s="23"/>
      <c r="D34" s="29"/>
      <c r="E34" s="25"/>
      <c r="F34" s="22"/>
      <c r="G34" s="22"/>
      <c r="H34" s="23"/>
      <c r="I34" s="22"/>
      <c r="J34" s="23"/>
      <c r="K34" s="22"/>
      <c r="L34" s="26"/>
      <c r="M34" s="27"/>
      <c r="N34" s="26"/>
    </row>
    <row r="35" spans="1:14" s="28" customFormat="1" ht="150" hidden="1" customHeight="1" x14ac:dyDescent="0.3">
      <c r="A35" s="22"/>
      <c r="B35" s="22"/>
      <c r="C35" s="23"/>
      <c r="D35" s="29"/>
      <c r="E35" s="25"/>
      <c r="F35" s="22"/>
      <c r="G35" s="22"/>
      <c r="H35" s="23"/>
      <c r="I35" s="22"/>
      <c r="J35" s="23"/>
      <c r="K35" s="22"/>
      <c r="L35" s="26"/>
      <c r="M35" s="27"/>
      <c r="N35" s="26"/>
    </row>
    <row r="36" spans="1:14" s="28" customFormat="1" ht="150" hidden="1" customHeight="1" x14ac:dyDescent="0.3">
      <c r="A36" s="22"/>
      <c r="B36" s="22"/>
      <c r="C36" s="23"/>
      <c r="D36" s="29"/>
      <c r="E36" s="25"/>
      <c r="F36" s="22"/>
      <c r="G36" s="22"/>
      <c r="H36" s="23"/>
      <c r="I36" s="22"/>
      <c r="J36" s="23"/>
      <c r="K36" s="22"/>
      <c r="L36" s="26"/>
      <c r="M36" s="27"/>
      <c r="N36" s="26"/>
    </row>
    <row r="37" spans="1:14" s="28" customFormat="1" ht="150" hidden="1" customHeight="1" x14ac:dyDescent="0.3">
      <c r="A37" s="22"/>
      <c r="B37" s="22"/>
      <c r="C37" s="23"/>
      <c r="D37" s="29"/>
      <c r="E37" s="25"/>
      <c r="F37" s="22"/>
      <c r="G37" s="22"/>
      <c r="H37" s="23"/>
      <c r="I37" s="22"/>
      <c r="J37" s="23"/>
      <c r="K37" s="22"/>
      <c r="L37" s="26"/>
      <c r="M37" s="27"/>
      <c r="N37" s="26"/>
    </row>
    <row r="38" spans="1:14" s="28" customFormat="1" ht="150" hidden="1" customHeight="1" x14ac:dyDescent="0.3">
      <c r="A38" s="22"/>
      <c r="B38" s="22"/>
      <c r="C38" s="23"/>
      <c r="D38" s="29"/>
      <c r="E38" s="25"/>
      <c r="F38" s="22"/>
      <c r="G38" s="22"/>
      <c r="H38" s="23"/>
      <c r="I38" s="22"/>
      <c r="J38" s="23"/>
      <c r="K38" s="22"/>
      <c r="L38" s="26"/>
      <c r="M38" s="27"/>
      <c r="N38" s="26"/>
    </row>
    <row r="39" spans="1:14" s="28" customFormat="1" ht="150" hidden="1" customHeight="1" x14ac:dyDescent="0.3">
      <c r="A39" s="22"/>
      <c r="B39" s="22"/>
      <c r="C39" s="23"/>
      <c r="D39" s="29"/>
      <c r="E39" s="25"/>
      <c r="F39" s="22"/>
      <c r="G39" s="22"/>
      <c r="H39" s="23"/>
      <c r="I39" s="22"/>
      <c r="J39" s="23"/>
      <c r="K39" s="22"/>
      <c r="L39" s="26"/>
      <c r="M39" s="27"/>
      <c r="N39" s="26"/>
    </row>
    <row r="40" spans="1:14" s="28" customFormat="1" ht="150" hidden="1" customHeight="1" x14ac:dyDescent="0.3">
      <c r="A40" s="22"/>
      <c r="B40" s="22"/>
      <c r="C40" s="23"/>
      <c r="D40" s="29"/>
      <c r="E40" s="25"/>
      <c r="F40" s="22"/>
      <c r="G40" s="22"/>
      <c r="H40" s="23"/>
      <c r="I40" s="22"/>
      <c r="J40" s="23"/>
      <c r="K40" s="22"/>
      <c r="L40" s="26"/>
      <c r="M40" s="27"/>
      <c r="N40" s="26"/>
    </row>
    <row r="41" spans="1:14" s="28" customFormat="1" ht="150" hidden="1" customHeight="1" x14ac:dyDescent="0.3">
      <c r="A41" s="22"/>
      <c r="B41" s="22"/>
      <c r="C41" s="23"/>
      <c r="D41" s="29"/>
      <c r="E41" s="25"/>
      <c r="F41" s="22"/>
      <c r="G41" s="22"/>
      <c r="H41" s="23"/>
      <c r="I41" s="22"/>
      <c r="J41" s="23"/>
      <c r="K41" s="22"/>
      <c r="L41" s="26"/>
      <c r="M41" s="27"/>
      <c r="N41" s="26"/>
    </row>
    <row r="42" spans="1:14" s="28" customFormat="1" ht="150" hidden="1" customHeight="1" x14ac:dyDescent="0.3">
      <c r="A42" s="22"/>
      <c r="B42" s="22"/>
      <c r="C42" s="23"/>
      <c r="D42" s="29"/>
      <c r="E42" s="25"/>
      <c r="F42" s="22"/>
      <c r="G42" s="22"/>
      <c r="H42" s="23"/>
      <c r="I42" s="22"/>
      <c r="J42" s="23"/>
      <c r="K42" s="22"/>
      <c r="L42" s="26"/>
      <c r="M42" s="27"/>
      <c r="N42" s="26">
        <f t="shared" si="1"/>
        <v>0</v>
      </c>
    </row>
    <row r="43" spans="1:14" s="28" customFormat="1" ht="150" hidden="1" customHeight="1" x14ac:dyDescent="0.3">
      <c r="A43" s="22"/>
      <c r="B43" s="22"/>
      <c r="C43" s="23"/>
      <c r="D43" s="29"/>
      <c r="E43" s="25"/>
      <c r="F43" s="22"/>
      <c r="G43" s="22"/>
      <c r="H43" s="23"/>
      <c r="I43" s="22"/>
      <c r="J43" s="23"/>
      <c r="K43" s="22"/>
      <c r="L43" s="26"/>
      <c r="M43" s="27"/>
      <c r="N43" s="26">
        <f t="shared" si="1"/>
        <v>0</v>
      </c>
    </row>
    <row r="44" spans="1:14" s="28" customFormat="1" ht="150" hidden="1" customHeight="1" x14ac:dyDescent="0.3">
      <c r="A44" s="22"/>
      <c r="B44" s="22"/>
      <c r="C44" s="23"/>
      <c r="D44" s="29"/>
      <c r="E44" s="25"/>
      <c r="F44" s="22"/>
      <c r="G44" s="22"/>
      <c r="H44" s="23"/>
      <c r="I44" s="22"/>
      <c r="J44" s="23"/>
      <c r="K44" s="22"/>
      <c r="L44" s="26"/>
      <c r="M44" s="27"/>
      <c r="N44" s="26">
        <f t="shared" si="1"/>
        <v>0</v>
      </c>
    </row>
    <row r="45" spans="1:14" s="28" customFormat="1" ht="150" hidden="1" customHeight="1" x14ac:dyDescent="0.3">
      <c r="A45" s="22"/>
      <c r="B45" s="22"/>
      <c r="C45" s="23"/>
      <c r="D45" s="29"/>
      <c r="E45" s="25"/>
      <c r="F45" s="22"/>
      <c r="G45" s="22"/>
      <c r="H45" s="23"/>
      <c r="I45" s="22"/>
      <c r="J45" s="23"/>
      <c r="K45" s="22"/>
      <c r="L45" s="26"/>
      <c r="M45" s="27"/>
      <c r="N45" s="26">
        <f t="shared" si="1"/>
        <v>0</v>
      </c>
    </row>
    <row r="46" spans="1:14" s="11" customFormat="1" ht="150" customHeight="1" x14ac:dyDescent="0.3">
      <c r="A46" s="22"/>
      <c r="B46" s="22"/>
      <c r="C46" s="23"/>
      <c r="D46" s="29"/>
      <c r="E46" s="25"/>
      <c r="F46" s="22"/>
      <c r="G46" s="22"/>
      <c r="H46" s="23"/>
      <c r="I46" s="22"/>
      <c r="J46" s="22"/>
      <c r="K46" s="22"/>
      <c r="L46" s="26"/>
      <c r="M46" s="27"/>
      <c r="N46" s="26">
        <f t="shared" si="1"/>
        <v>0</v>
      </c>
    </row>
    <row r="47" spans="1:14" s="11" customFormat="1" ht="150" customHeight="1" x14ac:dyDescent="0.3">
      <c r="A47" s="13"/>
      <c r="B47" s="13"/>
      <c r="C47" s="14"/>
      <c r="D47" s="14"/>
      <c r="E47" s="15"/>
      <c r="F47" s="13"/>
      <c r="G47" s="13"/>
      <c r="H47" s="14"/>
      <c r="I47" s="13"/>
      <c r="J47" s="13"/>
      <c r="K47" s="13"/>
      <c r="L47" s="9">
        <f>SUM(L4:L46)</f>
        <v>16000</v>
      </c>
      <c r="M47" s="16">
        <f>SUM(M4:M46)</f>
        <v>1530</v>
      </c>
      <c r="N47" s="9">
        <f>SUM(N4:N46)</f>
        <v>14470</v>
      </c>
    </row>
    <row r="48" spans="1:14" s="12" customFormat="1" ht="100.05" customHeight="1" x14ac:dyDescent="0.3">
      <c r="A48" s="17"/>
      <c r="B48" s="17"/>
      <c r="C48" s="17"/>
      <c r="D48" s="20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14" ht="100.05" customHeight="1" x14ac:dyDescent="0.3"/>
    <row r="50" spans="1:14" s="4" customFormat="1" ht="100.05" customHeight="1" x14ac:dyDescent="0.3">
      <c r="A50" s="17"/>
      <c r="B50" s="17"/>
      <c r="C50" s="17"/>
      <c r="D50" s="20"/>
      <c r="E50" s="17"/>
      <c r="F50" s="17"/>
      <c r="G50" s="17"/>
      <c r="H50" s="17"/>
      <c r="I50" s="17"/>
      <c r="J50" s="17"/>
      <c r="K50" s="17"/>
      <c r="L50" s="17"/>
      <c r="M50" s="17"/>
      <c r="N50" s="17"/>
    </row>
    <row r="51" spans="1:14" s="4" customFormat="1" ht="100.05" customHeight="1" x14ac:dyDescent="0.3">
      <c r="A51" s="17"/>
      <c r="B51" s="17"/>
      <c r="C51" s="17"/>
      <c r="D51" s="20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s="11" customFormat="1" ht="100.05" customHeight="1" x14ac:dyDescent="0.3">
      <c r="A52" s="17"/>
      <c r="B52" s="17"/>
      <c r="C52" s="17"/>
      <c r="D52" s="20"/>
      <c r="E52" s="17"/>
      <c r="F52" s="17"/>
      <c r="G52" s="17"/>
      <c r="H52" s="17"/>
      <c r="I52" s="17"/>
      <c r="J52" s="17"/>
      <c r="K52" s="17"/>
      <c r="L52" s="17"/>
      <c r="M52" s="17"/>
      <c r="N52" s="17"/>
    </row>
    <row r="53" spans="1:14" s="11" customFormat="1" ht="100.05" customHeight="1" x14ac:dyDescent="0.3">
      <c r="A53" s="17"/>
      <c r="B53" s="17"/>
      <c r="C53" s="17"/>
      <c r="D53" s="20"/>
      <c r="E53" s="17"/>
      <c r="F53" s="17"/>
      <c r="G53" s="17"/>
      <c r="H53" s="17"/>
      <c r="I53" s="17"/>
      <c r="J53" s="17"/>
      <c r="K53" s="17"/>
      <c r="L53" s="17"/>
      <c r="M53" s="17"/>
      <c r="N53" s="17"/>
    </row>
    <row r="54" spans="1:14" s="11" customFormat="1" ht="100.05" customHeight="1" x14ac:dyDescent="0.3">
      <c r="A54" s="17"/>
      <c r="B54" s="17"/>
      <c r="C54" s="17"/>
      <c r="D54" s="20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 spans="1:14" s="11" customFormat="1" ht="100.05" customHeight="1" x14ac:dyDescent="0.3">
      <c r="A55" s="17"/>
      <c r="B55" s="17"/>
      <c r="C55" s="17"/>
      <c r="D55" s="20"/>
      <c r="E55" s="17"/>
      <c r="F55" s="17"/>
      <c r="G55" s="17"/>
      <c r="H55" s="17"/>
      <c r="I55" s="17"/>
      <c r="J55" s="17"/>
      <c r="K55" s="17"/>
      <c r="L55" s="17"/>
      <c r="M55" s="17"/>
      <c r="N55" s="17"/>
    </row>
    <row r="56" spans="1:14" s="11" customFormat="1" ht="100.05" customHeight="1" x14ac:dyDescent="0.3">
      <c r="A56" s="17"/>
      <c r="B56" s="17"/>
      <c r="C56" s="17"/>
      <c r="D56" s="20"/>
      <c r="E56" s="17"/>
      <c r="F56" s="17"/>
      <c r="G56" s="17"/>
      <c r="H56" s="17"/>
      <c r="I56" s="17"/>
      <c r="J56" s="17"/>
      <c r="K56" s="17"/>
      <c r="L56" s="17"/>
      <c r="M56" s="17"/>
      <c r="N56" s="17"/>
    </row>
    <row r="57" spans="1:14" s="11" customFormat="1" ht="100.05" customHeight="1" x14ac:dyDescent="0.3">
      <c r="A57" s="17"/>
      <c r="B57" s="17"/>
      <c r="C57" s="17"/>
      <c r="D57" s="20"/>
      <c r="E57" s="17"/>
      <c r="F57" s="17"/>
      <c r="G57" s="17"/>
      <c r="H57" s="17"/>
      <c r="I57" s="17"/>
      <c r="J57" s="17"/>
      <c r="K57" s="17"/>
      <c r="L57" s="17"/>
      <c r="M57" s="17"/>
      <c r="N57" s="17"/>
    </row>
    <row r="58" spans="1:14" s="11" customFormat="1" ht="100.05" customHeight="1" x14ac:dyDescent="0.3">
      <c r="A58" s="17"/>
      <c r="B58" s="17"/>
      <c r="C58" s="17"/>
      <c r="D58" s="20"/>
      <c r="E58" s="17"/>
      <c r="F58" s="17"/>
      <c r="G58" s="17"/>
      <c r="H58" s="17"/>
      <c r="I58" s="17"/>
      <c r="J58" s="17"/>
      <c r="K58" s="17"/>
      <c r="L58" s="17"/>
      <c r="M58" s="17"/>
      <c r="N58" s="17"/>
    </row>
    <row r="59" spans="1:14" s="11" customFormat="1" ht="100.05" customHeight="1" x14ac:dyDescent="0.3">
      <c r="A59" s="17"/>
      <c r="B59" s="17"/>
      <c r="C59" s="17"/>
      <c r="D59" s="20"/>
      <c r="E59" s="17"/>
      <c r="F59" s="17"/>
      <c r="G59" s="17"/>
      <c r="H59" s="17"/>
      <c r="I59" s="17"/>
      <c r="J59" s="17"/>
      <c r="K59" s="17"/>
      <c r="L59" s="17"/>
      <c r="M59" s="17"/>
      <c r="N59" s="17"/>
    </row>
    <row r="60" spans="1:14" s="11" customFormat="1" ht="100.05" customHeight="1" x14ac:dyDescent="0.3">
      <c r="A60" s="17"/>
      <c r="B60" s="17"/>
      <c r="C60" s="17"/>
      <c r="D60" s="20"/>
      <c r="E60" s="17"/>
      <c r="F60" s="17"/>
      <c r="G60" s="17"/>
      <c r="H60" s="17"/>
      <c r="I60" s="17"/>
      <c r="J60" s="17"/>
      <c r="K60" s="17"/>
      <c r="L60" s="17"/>
      <c r="M60" s="17"/>
      <c r="N60" s="17"/>
    </row>
    <row r="61" spans="1:14" s="11" customFormat="1" ht="100.05" customHeight="1" x14ac:dyDescent="0.3">
      <c r="A61" s="17"/>
      <c r="B61" s="17"/>
      <c r="C61" s="17"/>
      <c r="D61" s="20"/>
      <c r="E61" s="17"/>
      <c r="F61" s="17"/>
      <c r="G61" s="17"/>
      <c r="H61" s="17"/>
      <c r="I61" s="17"/>
      <c r="J61" s="17"/>
      <c r="K61" s="17"/>
      <c r="L61" s="17"/>
      <c r="M61" s="17"/>
      <c r="N61" s="17"/>
    </row>
  </sheetData>
  <mergeCells count="3">
    <mergeCell ref="A1:C1"/>
    <mergeCell ref="K1:N1"/>
    <mergeCell ref="A2:N2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18" orientation="portrait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6"/>
  <sheetViews>
    <sheetView topLeftCell="B1" zoomScale="40" zoomScaleNormal="40" workbookViewId="0">
      <selection activeCell="M7" sqref="M7"/>
    </sheetView>
  </sheetViews>
  <sheetFormatPr defaultColWidth="8.88671875" defaultRowHeight="14.4" x14ac:dyDescent="0.3"/>
  <cols>
    <col min="1" max="1" width="41.77734375" style="17" customWidth="1"/>
    <col min="2" max="2" width="19.6640625" style="17" customWidth="1"/>
    <col min="3" max="3" width="29.21875" style="17" customWidth="1"/>
    <col min="4" max="4" width="28.6640625" style="20" customWidth="1"/>
    <col min="5" max="5" width="162.109375" style="35" customWidth="1"/>
    <col min="6" max="6" width="32.109375" style="17" bestFit="1" customWidth="1"/>
    <col min="7" max="7" width="21.88671875" style="17" bestFit="1" customWidth="1"/>
    <col min="8" max="8" width="26.6640625" style="17" bestFit="1" customWidth="1"/>
    <col min="9" max="9" width="40.109375" style="17" bestFit="1" customWidth="1"/>
    <col min="10" max="10" width="37.88671875" style="17" customWidth="1"/>
    <col min="11" max="11" width="25.6640625" style="17" customWidth="1"/>
    <col min="12" max="14" width="26.77734375" style="17" bestFit="1" customWidth="1"/>
    <col min="15" max="16384" width="8.88671875" style="18"/>
  </cols>
  <sheetData>
    <row r="1" spans="1:14" s="3" customFormat="1" ht="100.05" customHeight="1" x14ac:dyDescent="0.95">
      <c r="A1" s="37"/>
      <c r="B1" s="37"/>
      <c r="C1" s="37"/>
      <c r="D1" s="19"/>
      <c r="E1" s="34"/>
      <c r="F1" s="1"/>
      <c r="G1" s="1"/>
      <c r="H1" s="1"/>
      <c r="I1" s="1"/>
      <c r="J1" s="2" t="s">
        <v>0</v>
      </c>
      <c r="K1" s="38">
        <v>45936</v>
      </c>
      <c r="L1" s="38"/>
      <c r="M1" s="38"/>
      <c r="N1" s="38"/>
    </row>
    <row r="2" spans="1:14" s="4" customFormat="1" ht="100.05" customHeight="1" x14ac:dyDescent="0.3">
      <c r="A2" s="39" t="s">
        <v>69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</row>
    <row r="3" spans="1:14" s="4" customFormat="1" ht="150" customHeight="1" x14ac:dyDescent="0.3">
      <c r="A3" s="5" t="s">
        <v>1</v>
      </c>
      <c r="B3" s="5" t="s">
        <v>2</v>
      </c>
      <c r="C3" s="6" t="s">
        <v>3</v>
      </c>
      <c r="D3" s="7" t="s">
        <v>4</v>
      </c>
      <c r="E3" s="32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6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s="28" customFormat="1" ht="150" customHeight="1" x14ac:dyDescent="0.3">
      <c r="A4" s="22">
        <v>100925</v>
      </c>
      <c r="B4" s="22">
        <v>304</v>
      </c>
      <c r="C4" s="23" t="s">
        <v>31</v>
      </c>
      <c r="D4" s="24" t="s">
        <v>40</v>
      </c>
      <c r="E4" s="31" t="s">
        <v>36</v>
      </c>
      <c r="F4" s="22" t="s">
        <v>16</v>
      </c>
      <c r="G4" s="22">
        <v>430</v>
      </c>
      <c r="H4" s="23">
        <v>0.6</v>
      </c>
      <c r="I4" s="22" t="s">
        <v>16</v>
      </c>
      <c r="J4" s="23" t="s">
        <v>16</v>
      </c>
      <c r="K4" s="22" t="s">
        <v>17</v>
      </c>
      <c r="L4" s="26">
        <v>1500</v>
      </c>
      <c r="M4" s="27">
        <f>250+1325</f>
        <v>1575</v>
      </c>
      <c r="N4" s="26">
        <f t="shared" ref="N4:N13" si="0">L4-M4</f>
        <v>-75</v>
      </c>
    </row>
    <row r="5" spans="1:14" s="28" customFormat="1" ht="150" customHeight="1" x14ac:dyDescent="0.3">
      <c r="A5" s="22">
        <v>100925</v>
      </c>
      <c r="B5" s="22">
        <v>304</v>
      </c>
      <c r="C5" s="23" t="s">
        <v>31</v>
      </c>
      <c r="D5" s="29" t="s">
        <v>41</v>
      </c>
      <c r="E5" s="31" t="s">
        <v>37</v>
      </c>
      <c r="F5" s="22" t="s">
        <v>16</v>
      </c>
      <c r="G5" s="22" t="s">
        <v>16</v>
      </c>
      <c r="H5" s="23" t="s">
        <v>16</v>
      </c>
      <c r="I5" s="22" t="s">
        <v>16</v>
      </c>
      <c r="J5" s="23" t="s">
        <v>16</v>
      </c>
      <c r="K5" s="22" t="s">
        <v>17</v>
      </c>
      <c r="L5" s="26">
        <v>1500</v>
      </c>
      <c r="M5" s="27"/>
      <c r="N5" s="26">
        <f t="shared" si="0"/>
        <v>1500</v>
      </c>
    </row>
    <row r="6" spans="1:14" s="28" customFormat="1" ht="150" customHeight="1" x14ac:dyDescent="0.3">
      <c r="A6" s="22">
        <v>100925</v>
      </c>
      <c r="B6" s="22">
        <v>304</v>
      </c>
      <c r="C6" s="23" t="s">
        <v>31</v>
      </c>
      <c r="D6" s="24" t="s">
        <v>40</v>
      </c>
      <c r="E6" s="31" t="s">
        <v>38</v>
      </c>
      <c r="F6" s="22" t="s">
        <v>16</v>
      </c>
      <c r="G6" s="22">
        <v>430</v>
      </c>
      <c r="H6" s="23">
        <v>0.6</v>
      </c>
      <c r="I6" s="22" t="s">
        <v>16</v>
      </c>
      <c r="J6" s="23" t="s">
        <v>16</v>
      </c>
      <c r="K6" s="22" t="s">
        <v>17</v>
      </c>
      <c r="L6" s="26">
        <v>600</v>
      </c>
      <c r="M6" s="27">
        <v>675</v>
      </c>
      <c r="N6" s="26">
        <f t="shared" si="0"/>
        <v>-75</v>
      </c>
    </row>
    <row r="7" spans="1:14" s="28" customFormat="1" ht="150" customHeight="1" x14ac:dyDescent="0.3">
      <c r="A7" s="22">
        <v>100925</v>
      </c>
      <c r="B7" s="22">
        <v>304</v>
      </c>
      <c r="C7" s="23" t="s">
        <v>31</v>
      </c>
      <c r="D7" s="29" t="s">
        <v>41</v>
      </c>
      <c r="E7" s="31" t="s">
        <v>39</v>
      </c>
      <c r="F7" s="22" t="s">
        <v>16</v>
      </c>
      <c r="G7" s="22" t="s">
        <v>16</v>
      </c>
      <c r="H7" s="23" t="s">
        <v>16</v>
      </c>
      <c r="I7" s="22" t="s">
        <v>16</v>
      </c>
      <c r="J7" s="23" t="s">
        <v>16</v>
      </c>
      <c r="K7" s="22" t="s">
        <v>17</v>
      </c>
      <c r="L7" s="26">
        <v>600</v>
      </c>
      <c r="M7" s="27"/>
      <c r="N7" s="26">
        <f t="shared" si="0"/>
        <v>600</v>
      </c>
    </row>
    <row r="8" spans="1:14" s="28" customFormat="1" ht="150" customHeight="1" x14ac:dyDescent="0.3">
      <c r="A8" s="22" t="s">
        <v>42</v>
      </c>
      <c r="B8" s="22">
        <v>304</v>
      </c>
      <c r="C8" s="23">
        <v>0.9</v>
      </c>
      <c r="D8" s="29" t="s">
        <v>56</v>
      </c>
      <c r="E8" s="31" t="s">
        <v>53</v>
      </c>
      <c r="F8" s="22" t="s">
        <v>16</v>
      </c>
      <c r="G8" s="22">
        <v>430</v>
      </c>
      <c r="H8" s="23">
        <v>0.6</v>
      </c>
      <c r="I8" s="22" t="s">
        <v>16</v>
      </c>
      <c r="J8" s="23" t="s">
        <v>16</v>
      </c>
      <c r="K8" s="22" t="s">
        <v>17</v>
      </c>
      <c r="L8" s="26">
        <v>1200</v>
      </c>
      <c r="M8" s="27"/>
      <c r="N8" s="26">
        <f t="shared" si="0"/>
        <v>1200</v>
      </c>
    </row>
    <row r="9" spans="1:14" s="28" customFormat="1" ht="150" customHeight="1" x14ac:dyDescent="0.3">
      <c r="A9" s="22" t="s">
        <v>42</v>
      </c>
      <c r="B9" s="22">
        <v>304</v>
      </c>
      <c r="C9" s="23">
        <v>0.9</v>
      </c>
      <c r="D9" s="29" t="s">
        <v>54</v>
      </c>
      <c r="E9" s="31" t="s">
        <v>55</v>
      </c>
      <c r="F9" s="22" t="s">
        <v>16</v>
      </c>
      <c r="G9" s="22" t="s">
        <v>16</v>
      </c>
      <c r="H9" s="23" t="s">
        <v>16</v>
      </c>
      <c r="I9" s="22" t="s">
        <v>16</v>
      </c>
      <c r="J9" s="23" t="s">
        <v>16</v>
      </c>
      <c r="K9" s="22" t="s">
        <v>17</v>
      </c>
      <c r="L9" s="26">
        <v>1200</v>
      </c>
      <c r="M9" s="27"/>
      <c r="N9" s="26">
        <f t="shared" si="0"/>
        <v>1200</v>
      </c>
    </row>
    <row r="10" spans="1:14" s="28" customFormat="1" ht="150" customHeight="1" x14ac:dyDescent="0.3">
      <c r="A10" s="22" t="s">
        <v>42</v>
      </c>
      <c r="B10" s="22">
        <v>304</v>
      </c>
      <c r="C10" s="23">
        <v>0.9</v>
      </c>
      <c r="D10" s="29" t="s">
        <v>57</v>
      </c>
      <c r="E10" s="31" t="s">
        <v>43</v>
      </c>
      <c r="F10" s="22" t="s">
        <v>16</v>
      </c>
      <c r="G10" s="22">
        <v>430</v>
      </c>
      <c r="H10" s="23">
        <v>0.6</v>
      </c>
      <c r="I10" s="22" t="s">
        <v>16</v>
      </c>
      <c r="J10" s="23" t="s">
        <v>16</v>
      </c>
      <c r="K10" s="22" t="s">
        <v>17</v>
      </c>
      <c r="L10" s="26">
        <v>1500</v>
      </c>
      <c r="M10" s="27"/>
      <c r="N10" s="26">
        <f t="shared" si="0"/>
        <v>1500</v>
      </c>
    </row>
    <row r="11" spans="1:14" s="28" customFormat="1" ht="150" customHeight="1" x14ac:dyDescent="0.3">
      <c r="A11" s="22" t="s">
        <v>42</v>
      </c>
      <c r="B11" s="22">
        <v>304</v>
      </c>
      <c r="C11" s="23">
        <v>0.9</v>
      </c>
      <c r="D11" s="29" t="s">
        <v>58</v>
      </c>
      <c r="E11" s="31" t="s">
        <v>44</v>
      </c>
      <c r="F11" s="22" t="s">
        <v>16</v>
      </c>
      <c r="G11" s="22" t="s">
        <v>16</v>
      </c>
      <c r="H11" s="23" t="s">
        <v>16</v>
      </c>
      <c r="I11" s="22" t="s">
        <v>16</v>
      </c>
      <c r="J11" s="23" t="s">
        <v>16</v>
      </c>
      <c r="K11" s="22" t="s">
        <v>17</v>
      </c>
      <c r="L11" s="26">
        <v>1500</v>
      </c>
      <c r="M11" s="27"/>
      <c r="N11" s="26">
        <f t="shared" si="0"/>
        <v>1500</v>
      </c>
    </row>
    <row r="12" spans="1:14" s="28" customFormat="1" ht="150" customHeight="1" x14ac:dyDescent="0.3">
      <c r="A12" s="22" t="s">
        <v>42</v>
      </c>
      <c r="B12" s="22">
        <v>304</v>
      </c>
      <c r="C12" s="23">
        <v>0.9</v>
      </c>
      <c r="D12" s="29" t="s">
        <v>45</v>
      </c>
      <c r="E12" s="31" t="s">
        <v>46</v>
      </c>
      <c r="F12" s="22" t="s">
        <v>16</v>
      </c>
      <c r="G12" s="22">
        <v>430</v>
      </c>
      <c r="H12" s="23">
        <v>0.6</v>
      </c>
      <c r="I12" s="22" t="s">
        <v>16</v>
      </c>
      <c r="J12" s="23" t="s">
        <v>16</v>
      </c>
      <c r="K12" s="22" t="s">
        <v>17</v>
      </c>
      <c r="L12" s="26">
        <v>1500</v>
      </c>
      <c r="M12" s="27"/>
      <c r="N12" s="26">
        <f t="shared" si="0"/>
        <v>1500</v>
      </c>
    </row>
    <row r="13" spans="1:14" s="28" customFormat="1" ht="150" customHeight="1" x14ac:dyDescent="0.3">
      <c r="A13" s="22" t="s">
        <v>42</v>
      </c>
      <c r="B13" s="22">
        <v>304</v>
      </c>
      <c r="C13" s="23">
        <v>0.9</v>
      </c>
      <c r="D13" s="29" t="s">
        <v>57</v>
      </c>
      <c r="E13" s="31" t="s">
        <v>47</v>
      </c>
      <c r="F13" s="22" t="s">
        <v>16</v>
      </c>
      <c r="G13" s="22" t="s">
        <v>16</v>
      </c>
      <c r="H13" s="23" t="s">
        <v>16</v>
      </c>
      <c r="I13" s="22" t="s">
        <v>16</v>
      </c>
      <c r="J13" s="23" t="s">
        <v>16</v>
      </c>
      <c r="K13" s="22" t="s">
        <v>17</v>
      </c>
      <c r="L13" s="26">
        <v>1500</v>
      </c>
      <c r="M13" s="27"/>
      <c r="N13" s="26">
        <f t="shared" si="0"/>
        <v>1500</v>
      </c>
    </row>
    <row r="14" spans="1:14" s="28" customFormat="1" ht="150" customHeight="1" x14ac:dyDescent="0.3">
      <c r="A14" s="22">
        <v>160925</v>
      </c>
      <c r="B14" s="22">
        <v>304</v>
      </c>
      <c r="C14" s="23">
        <v>0.9</v>
      </c>
      <c r="D14" s="29" t="s">
        <v>48</v>
      </c>
      <c r="E14" s="31" t="s">
        <v>49</v>
      </c>
      <c r="F14" s="22" t="s">
        <v>16</v>
      </c>
      <c r="G14" s="22">
        <v>430</v>
      </c>
      <c r="H14" s="23">
        <v>0.6</v>
      </c>
      <c r="I14" s="22" t="s">
        <v>16</v>
      </c>
      <c r="J14" s="23" t="s">
        <v>16</v>
      </c>
      <c r="K14" s="22" t="s">
        <v>17</v>
      </c>
      <c r="L14" s="26">
        <v>1100</v>
      </c>
      <c r="M14" s="27"/>
      <c r="N14" s="26">
        <f>L14-M14</f>
        <v>1100</v>
      </c>
    </row>
    <row r="15" spans="1:14" s="28" customFormat="1" ht="150" customHeight="1" x14ac:dyDescent="0.3">
      <c r="A15" s="22">
        <v>160925</v>
      </c>
      <c r="B15" s="22">
        <v>304</v>
      </c>
      <c r="C15" s="23">
        <v>0.9</v>
      </c>
      <c r="D15" s="29" t="s">
        <v>50</v>
      </c>
      <c r="E15" s="31" t="s">
        <v>51</v>
      </c>
      <c r="F15" s="22" t="s">
        <v>16</v>
      </c>
      <c r="G15" s="22" t="s">
        <v>52</v>
      </c>
      <c r="H15" s="23" t="s">
        <v>52</v>
      </c>
      <c r="I15" s="22" t="s">
        <v>16</v>
      </c>
      <c r="J15" s="23" t="s">
        <v>16</v>
      </c>
      <c r="K15" s="22" t="s">
        <v>17</v>
      </c>
      <c r="L15" s="26">
        <v>1100</v>
      </c>
      <c r="M15" s="27"/>
      <c r="N15" s="26">
        <f t="shared" ref="N15:N51" si="1">L15-M15</f>
        <v>1100</v>
      </c>
    </row>
    <row r="16" spans="1:14" s="28" customFormat="1" ht="150" customHeight="1" x14ac:dyDescent="0.3">
      <c r="A16" s="22">
        <v>290925</v>
      </c>
      <c r="B16" s="22">
        <v>304</v>
      </c>
      <c r="C16" s="23">
        <v>0.8</v>
      </c>
      <c r="D16" s="29" t="s">
        <v>73</v>
      </c>
      <c r="E16" s="31" t="s">
        <v>70</v>
      </c>
      <c r="F16" s="22" t="s">
        <v>15</v>
      </c>
      <c r="G16" s="22">
        <v>430</v>
      </c>
      <c r="H16" s="23">
        <v>0.6</v>
      </c>
      <c r="I16" s="22" t="s">
        <v>16</v>
      </c>
      <c r="J16" s="23" t="s">
        <v>16</v>
      </c>
      <c r="K16" s="22" t="s">
        <v>17</v>
      </c>
      <c r="L16" s="26">
        <v>4000</v>
      </c>
      <c r="M16" s="27"/>
      <c r="N16" s="26">
        <f t="shared" si="1"/>
        <v>4000</v>
      </c>
    </row>
    <row r="17" spans="1:14" s="28" customFormat="1" ht="150" customHeight="1" x14ac:dyDescent="0.3">
      <c r="A17" s="22">
        <v>290925</v>
      </c>
      <c r="B17" s="22">
        <v>304</v>
      </c>
      <c r="C17" s="23">
        <v>0.8</v>
      </c>
      <c r="D17" s="29" t="s">
        <v>74</v>
      </c>
      <c r="E17" s="31" t="s">
        <v>71</v>
      </c>
      <c r="F17" s="22" t="s">
        <v>16</v>
      </c>
      <c r="G17" s="22" t="s">
        <v>16</v>
      </c>
      <c r="H17" s="23" t="s">
        <v>16</v>
      </c>
      <c r="I17" s="22" t="s">
        <v>16</v>
      </c>
      <c r="J17" s="23" t="s">
        <v>16</v>
      </c>
      <c r="K17" s="22" t="s">
        <v>17</v>
      </c>
      <c r="L17" s="26">
        <v>4000</v>
      </c>
      <c r="M17" s="27"/>
      <c r="N17" s="26">
        <f t="shared" si="1"/>
        <v>4000</v>
      </c>
    </row>
    <row r="18" spans="1:14" s="28" customFormat="1" ht="150" customHeight="1" x14ac:dyDescent="0.3">
      <c r="A18" s="22">
        <v>290925</v>
      </c>
      <c r="B18" s="22">
        <v>304</v>
      </c>
      <c r="C18" s="23">
        <v>0.8</v>
      </c>
      <c r="D18" s="29" t="s">
        <v>75</v>
      </c>
      <c r="E18" s="31" t="s">
        <v>72</v>
      </c>
      <c r="F18" s="22" t="s">
        <v>15</v>
      </c>
      <c r="G18" s="22">
        <v>430</v>
      </c>
      <c r="H18" s="23">
        <v>0.6</v>
      </c>
      <c r="I18" s="22" t="s">
        <v>16</v>
      </c>
      <c r="J18" s="23" t="s">
        <v>16</v>
      </c>
      <c r="K18" s="22" t="s">
        <v>17</v>
      </c>
      <c r="L18" s="26">
        <v>3000</v>
      </c>
      <c r="M18" s="27"/>
      <c r="N18" s="26">
        <f t="shared" si="1"/>
        <v>3000</v>
      </c>
    </row>
    <row r="19" spans="1:14" s="28" customFormat="1" ht="150" hidden="1" customHeight="1" x14ac:dyDescent="0.3">
      <c r="A19" s="22"/>
      <c r="B19" s="22"/>
      <c r="C19" s="23"/>
      <c r="D19" s="29"/>
      <c r="E19" s="31"/>
      <c r="F19" s="22"/>
      <c r="G19" s="22"/>
      <c r="H19" s="23"/>
      <c r="I19" s="22"/>
      <c r="J19" s="23"/>
      <c r="K19" s="22"/>
      <c r="L19" s="26"/>
      <c r="M19" s="27"/>
      <c r="N19" s="26">
        <f t="shared" si="1"/>
        <v>0</v>
      </c>
    </row>
    <row r="20" spans="1:14" s="28" customFormat="1" ht="150" hidden="1" customHeight="1" x14ac:dyDescent="0.3">
      <c r="A20" s="22"/>
      <c r="B20" s="22"/>
      <c r="C20" s="23"/>
      <c r="D20" s="29"/>
      <c r="E20" s="31"/>
      <c r="F20" s="22"/>
      <c r="G20" s="22"/>
      <c r="H20" s="23"/>
      <c r="I20" s="22"/>
      <c r="J20" s="23"/>
      <c r="K20" s="22"/>
      <c r="L20" s="26"/>
      <c r="M20" s="27"/>
      <c r="N20" s="26">
        <f t="shared" si="1"/>
        <v>0</v>
      </c>
    </row>
    <row r="21" spans="1:14" s="28" customFormat="1" ht="150" hidden="1" customHeight="1" x14ac:dyDescent="0.3">
      <c r="A21" s="22"/>
      <c r="B21" s="22"/>
      <c r="C21" s="23"/>
      <c r="D21" s="29"/>
      <c r="E21" s="31"/>
      <c r="F21" s="22"/>
      <c r="G21" s="22"/>
      <c r="H21" s="23"/>
      <c r="I21" s="22"/>
      <c r="J21" s="23"/>
      <c r="K21" s="22"/>
      <c r="L21" s="26"/>
      <c r="M21" s="27"/>
      <c r="N21" s="26">
        <f t="shared" si="1"/>
        <v>0</v>
      </c>
    </row>
    <row r="22" spans="1:14" s="28" customFormat="1" ht="150" hidden="1" customHeight="1" x14ac:dyDescent="0.3">
      <c r="A22" s="22"/>
      <c r="B22" s="22"/>
      <c r="C22" s="23"/>
      <c r="D22" s="24"/>
      <c r="E22" s="31"/>
      <c r="F22" s="22"/>
      <c r="G22" s="22"/>
      <c r="H22" s="23"/>
      <c r="I22" s="22"/>
      <c r="J22" s="23"/>
      <c r="K22" s="22"/>
      <c r="L22" s="26"/>
      <c r="M22" s="27"/>
      <c r="N22" s="26"/>
    </row>
    <row r="23" spans="1:14" s="28" customFormat="1" ht="150" hidden="1" customHeight="1" x14ac:dyDescent="0.3">
      <c r="A23" s="22"/>
      <c r="B23" s="22"/>
      <c r="C23" s="23"/>
      <c r="D23" s="29"/>
      <c r="E23" s="31"/>
      <c r="F23" s="22"/>
      <c r="G23" s="22"/>
      <c r="H23" s="23"/>
      <c r="I23" s="22"/>
      <c r="J23" s="23"/>
      <c r="K23" s="22"/>
      <c r="L23" s="26"/>
      <c r="M23" s="27"/>
      <c r="N23" s="26"/>
    </row>
    <row r="24" spans="1:14" s="28" customFormat="1" ht="150" hidden="1" customHeight="1" x14ac:dyDescent="0.3">
      <c r="A24" s="22"/>
      <c r="B24" s="22"/>
      <c r="C24" s="23"/>
      <c r="D24" s="24"/>
      <c r="E24" s="31"/>
      <c r="F24" s="22"/>
      <c r="G24" s="22"/>
      <c r="H24" s="23"/>
      <c r="I24" s="22"/>
      <c r="J24" s="23"/>
      <c r="K24" s="22"/>
      <c r="L24" s="26"/>
      <c r="M24" s="27"/>
      <c r="N24" s="26"/>
    </row>
    <row r="25" spans="1:14" s="28" customFormat="1" ht="150" hidden="1" customHeight="1" x14ac:dyDescent="0.3">
      <c r="A25" s="22"/>
      <c r="B25" s="22"/>
      <c r="C25" s="23"/>
      <c r="D25" s="29"/>
      <c r="E25" s="31"/>
      <c r="F25" s="22"/>
      <c r="G25" s="22"/>
      <c r="H25" s="23"/>
      <c r="I25" s="22"/>
      <c r="J25" s="23"/>
      <c r="K25" s="22"/>
      <c r="L25" s="26"/>
      <c r="M25" s="27"/>
      <c r="N25" s="26"/>
    </row>
    <row r="26" spans="1:14" s="28" customFormat="1" ht="150" hidden="1" customHeight="1" x14ac:dyDescent="0.3">
      <c r="A26" s="22"/>
      <c r="B26" s="22"/>
      <c r="C26" s="23"/>
      <c r="D26" s="24"/>
      <c r="E26" s="31"/>
      <c r="F26" s="22"/>
      <c r="G26" s="22"/>
      <c r="H26" s="23"/>
      <c r="I26" s="22"/>
      <c r="J26" s="23"/>
      <c r="K26" s="22"/>
      <c r="L26" s="26"/>
      <c r="M26" s="27"/>
      <c r="N26" s="26"/>
    </row>
    <row r="27" spans="1:14" s="28" customFormat="1" ht="150" hidden="1" customHeight="1" x14ac:dyDescent="0.3">
      <c r="A27" s="22"/>
      <c r="B27" s="22"/>
      <c r="C27" s="23"/>
      <c r="D27" s="29"/>
      <c r="E27" s="31"/>
      <c r="F27" s="22"/>
      <c r="G27" s="22"/>
      <c r="H27" s="23"/>
      <c r="I27" s="22"/>
      <c r="J27" s="23"/>
      <c r="K27" s="22"/>
      <c r="L27" s="26"/>
      <c r="M27" s="27"/>
      <c r="N27" s="26"/>
    </row>
    <row r="28" spans="1:14" s="28" customFormat="1" ht="150" hidden="1" customHeight="1" x14ac:dyDescent="0.3">
      <c r="A28" s="22"/>
      <c r="B28" s="22"/>
      <c r="C28" s="23"/>
      <c r="D28" s="29"/>
      <c r="E28" s="31"/>
      <c r="F28" s="22"/>
      <c r="G28" s="22"/>
      <c r="H28" s="23"/>
      <c r="I28" s="22"/>
      <c r="J28" s="23"/>
      <c r="K28" s="22"/>
      <c r="L28" s="26"/>
      <c r="M28" s="27"/>
      <c r="N28" s="26"/>
    </row>
    <row r="29" spans="1:14" s="28" customFormat="1" ht="150" hidden="1" customHeight="1" x14ac:dyDescent="0.3">
      <c r="A29" s="22"/>
      <c r="B29" s="22"/>
      <c r="C29" s="23"/>
      <c r="D29" s="29"/>
      <c r="E29" s="31"/>
      <c r="F29" s="22"/>
      <c r="G29" s="22"/>
      <c r="H29" s="23"/>
      <c r="I29" s="22"/>
      <c r="J29" s="23"/>
      <c r="K29" s="22"/>
      <c r="L29" s="26"/>
      <c r="M29" s="27"/>
      <c r="N29" s="26"/>
    </row>
    <row r="30" spans="1:14" s="28" customFormat="1" ht="150" hidden="1" customHeight="1" x14ac:dyDescent="0.3">
      <c r="A30" s="22"/>
      <c r="B30" s="22"/>
      <c r="C30" s="23"/>
      <c r="D30" s="29"/>
      <c r="E30" s="31"/>
      <c r="F30" s="22"/>
      <c r="G30" s="22"/>
      <c r="H30" s="23"/>
      <c r="I30" s="22"/>
      <c r="J30" s="23"/>
      <c r="K30" s="22"/>
      <c r="L30" s="26"/>
      <c r="M30" s="27"/>
      <c r="N30" s="26"/>
    </row>
    <row r="31" spans="1:14" s="28" customFormat="1" ht="150" hidden="1" customHeight="1" x14ac:dyDescent="0.3">
      <c r="A31" s="22"/>
      <c r="B31" s="22"/>
      <c r="C31" s="23"/>
      <c r="D31" s="29"/>
      <c r="E31" s="31"/>
      <c r="F31" s="22"/>
      <c r="G31" s="22"/>
      <c r="H31" s="23"/>
      <c r="I31" s="22"/>
      <c r="J31" s="23"/>
      <c r="K31" s="22"/>
      <c r="L31" s="26"/>
      <c r="M31" s="27"/>
      <c r="N31" s="26"/>
    </row>
    <row r="32" spans="1:14" s="28" customFormat="1" ht="150" hidden="1" customHeight="1" x14ac:dyDescent="0.3">
      <c r="A32" s="22"/>
      <c r="B32" s="22"/>
      <c r="C32" s="23"/>
      <c r="D32" s="29"/>
      <c r="E32" s="31"/>
      <c r="F32" s="22"/>
      <c r="G32" s="22"/>
      <c r="H32" s="23"/>
      <c r="I32" s="22"/>
      <c r="J32" s="23"/>
      <c r="K32" s="22"/>
      <c r="L32" s="26"/>
      <c r="M32" s="27"/>
      <c r="N32" s="26"/>
    </row>
    <row r="33" spans="1:14" s="28" customFormat="1" ht="150" hidden="1" customHeight="1" x14ac:dyDescent="0.3">
      <c r="A33" s="22"/>
      <c r="B33" s="22"/>
      <c r="C33" s="23"/>
      <c r="D33" s="29"/>
      <c r="E33" s="31"/>
      <c r="F33" s="22"/>
      <c r="G33" s="22"/>
      <c r="H33" s="23"/>
      <c r="I33" s="22"/>
      <c r="J33" s="23"/>
      <c r="K33" s="22"/>
      <c r="L33" s="26"/>
      <c r="M33" s="27"/>
      <c r="N33" s="26"/>
    </row>
    <row r="34" spans="1:14" s="28" customFormat="1" ht="150" hidden="1" customHeight="1" x14ac:dyDescent="0.3">
      <c r="A34" s="22"/>
      <c r="B34" s="22"/>
      <c r="C34" s="23"/>
      <c r="D34" s="29"/>
      <c r="E34" s="31"/>
      <c r="F34" s="22"/>
      <c r="G34" s="22"/>
      <c r="H34" s="23"/>
      <c r="I34" s="22"/>
      <c r="J34" s="23"/>
      <c r="K34" s="22"/>
      <c r="L34" s="26"/>
      <c r="M34" s="27"/>
      <c r="N34" s="26"/>
    </row>
    <row r="35" spans="1:14" s="28" customFormat="1" ht="150" hidden="1" customHeight="1" x14ac:dyDescent="0.3">
      <c r="A35" s="22"/>
      <c r="B35" s="22"/>
      <c r="C35" s="23"/>
      <c r="D35" s="29"/>
      <c r="E35" s="31"/>
      <c r="F35" s="22"/>
      <c r="G35" s="22"/>
      <c r="H35" s="23"/>
      <c r="I35" s="22"/>
      <c r="J35" s="23"/>
      <c r="K35" s="22"/>
      <c r="L35" s="26"/>
      <c r="M35" s="27"/>
      <c r="N35" s="26"/>
    </row>
    <row r="36" spans="1:14" s="28" customFormat="1" ht="150" hidden="1" customHeight="1" x14ac:dyDescent="0.3">
      <c r="A36" s="22"/>
      <c r="B36" s="22"/>
      <c r="C36" s="23"/>
      <c r="D36" s="29"/>
      <c r="E36" s="31"/>
      <c r="F36" s="22"/>
      <c r="G36" s="22"/>
      <c r="H36" s="23"/>
      <c r="I36" s="22"/>
      <c r="J36" s="23"/>
      <c r="K36" s="22"/>
      <c r="L36" s="26"/>
      <c r="M36" s="27"/>
      <c r="N36" s="26"/>
    </row>
    <row r="37" spans="1:14" s="28" customFormat="1" ht="150" hidden="1" customHeight="1" x14ac:dyDescent="0.3">
      <c r="A37" s="22"/>
      <c r="B37" s="22"/>
      <c r="C37" s="23"/>
      <c r="D37" s="29"/>
      <c r="E37" s="31"/>
      <c r="F37" s="22"/>
      <c r="G37" s="22"/>
      <c r="H37" s="23"/>
      <c r="I37" s="22"/>
      <c r="J37" s="23"/>
      <c r="K37" s="22"/>
      <c r="L37" s="26"/>
      <c r="M37" s="27"/>
      <c r="N37" s="26"/>
    </row>
    <row r="38" spans="1:14" s="28" customFormat="1" ht="150" hidden="1" customHeight="1" x14ac:dyDescent="0.3">
      <c r="A38" s="22"/>
      <c r="B38" s="22"/>
      <c r="C38" s="23"/>
      <c r="D38" s="29"/>
      <c r="E38" s="31"/>
      <c r="F38" s="22"/>
      <c r="G38" s="22"/>
      <c r="H38" s="23"/>
      <c r="I38" s="22"/>
      <c r="J38" s="23"/>
      <c r="K38" s="22"/>
      <c r="L38" s="26"/>
      <c r="M38" s="27"/>
      <c r="N38" s="26"/>
    </row>
    <row r="39" spans="1:14" s="28" customFormat="1" ht="150" hidden="1" customHeight="1" x14ac:dyDescent="0.3">
      <c r="A39" s="22"/>
      <c r="B39" s="22"/>
      <c r="C39" s="23"/>
      <c r="D39" s="29"/>
      <c r="E39" s="31"/>
      <c r="F39" s="22"/>
      <c r="G39" s="22"/>
      <c r="H39" s="23"/>
      <c r="I39" s="22"/>
      <c r="J39" s="23"/>
      <c r="K39" s="22"/>
      <c r="L39" s="26"/>
      <c r="M39" s="27"/>
      <c r="N39" s="26"/>
    </row>
    <row r="40" spans="1:14" s="28" customFormat="1" ht="150" hidden="1" customHeight="1" x14ac:dyDescent="0.3">
      <c r="A40" s="22"/>
      <c r="B40" s="22"/>
      <c r="C40" s="23"/>
      <c r="D40" s="29"/>
      <c r="E40" s="31"/>
      <c r="F40" s="22"/>
      <c r="G40" s="22"/>
      <c r="H40" s="23"/>
      <c r="I40" s="22"/>
      <c r="J40" s="23"/>
      <c r="K40" s="22"/>
      <c r="L40" s="26"/>
      <c r="M40" s="27"/>
      <c r="N40" s="26"/>
    </row>
    <row r="41" spans="1:14" s="28" customFormat="1" ht="150" hidden="1" customHeight="1" x14ac:dyDescent="0.3">
      <c r="A41" s="22"/>
      <c r="B41" s="22"/>
      <c r="C41" s="23"/>
      <c r="D41" s="29"/>
      <c r="E41" s="31"/>
      <c r="F41" s="22"/>
      <c r="G41" s="22"/>
      <c r="H41" s="23"/>
      <c r="I41" s="22"/>
      <c r="J41" s="23"/>
      <c r="K41" s="22"/>
      <c r="L41" s="26"/>
      <c r="M41" s="27"/>
      <c r="N41" s="26"/>
    </row>
    <row r="42" spans="1:14" s="28" customFormat="1" ht="150" hidden="1" customHeight="1" x14ac:dyDescent="0.3">
      <c r="A42" s="22"/>
      <c r="B42" s="22"/>
      <c r="C42" s="23"/>
      <c r="D42" s="29"/>
      <c r="E42" s="31"/>
      <c r="F42" s="22"/>
      <c r="G42" s="22"/>
      <c r="H42" s="23"/>
      <c r="I42" s="22"/>
      <c r="J42" s="23"/>
      <c r="K42" s="22"/>
      <c r="L42" s="26"/>
      <c r="M42" s="27"/>
      <c r="N42" s="26">
        <f t="shared" si="1"/>
        <v>0</v>
      </c>
    </row>
    <row r="43" spans="1:14" s="28" customFormat="1" ht="150" hidden="1" customHeight="1" x14ac:dyDescent="0.3">
      <c r="A43" s="22"/>
      <c r="B43" s="22"/>
      <c r="C43" s="23"/>
      <c r="D43" s="29"/>
      <c r="E43" s="31"/>
      <c r="F43" s="22"/>
      <c r="G43" s="22"/>
      <c r="H43" s="23"/>
      <c r="I43" s="22"/>
      <c r="J43" s="23"/>
      <c r="K43" s="22"/>
      <c r="L43" s="26"/>
      <c r="M43" s="27"/>
      <c r="N43" s="26">
        <f t="shared" si="1"/>
        <v>0</v>
      </c>
    </row>
    <row r="44" spans="1:14" s="28" customFormat="1" ht="150" hidden="1" customHeight="1" x14ac:dyDescent="0.3">
      <c r="A44" s="22"/>
      <c r="B44" s="22"/>
      <c r="C44" s="23"/>
      <c r="D44" s="29"/>
      <c r="E44" s="31"/>
      <c r="F44" s="22"/>
      <c r="G44" s="22"/>
      <c r="H44" s="23"/>
      <c r="I44" s="22"/>
      <c r="J44" s="23"/>
      <c r="K44" s="22"/>
      <c r="L44" s="26"/>
      <c r="M44" s="27"/>
      <c r="N44" s="26">
        <f t="shared" si="1"/>
        <v>0</v>
      </c>
    </row>
    <row r="45" spans="1:14" s="28" customFormat="1" ht="150" hidden="1" customHeight="1" x14ac:dyDescent="0.3">
      <c r="A45" s="22"/>
      <c r="B45" s="22"/>
      <c r="C45" s="23"/>
      <c r="D45" s="29"/>
      <c r="E45" s="31"/>
      <c r="F45" s="22"/>
      <c r="G45" s="22"/>
      <c r="H45" s="23"/>
      <c r="I45" s="22"/>
      <c r="J45" s="23"/>
      <c r="K45" s="22"/>
      <c r="L45" s="26"/>
      <c r="M45" s="27"/>
      <c r="N45" s="26">
        <f t="shared" si="1"/>
        <v>0</v>
      </c>
    </row>
    <row r="46" spans="1:14" s="28" customFormat="1" ht="150" customHeight="1" x14ac:dyDescent="0.3">
      <c r="A46" s="22">
        <v>290925</v>
      </c>
      <c r="B46" s="22">
        <v>304</v>
      </c>
      <c r="C46" s="23">
        <v>0.8</v>
      </c>
      <c r="D46" s="29" t="s">
        <v>65</v>
      </c>
      <c r="E46" s="31" t="s">
        <v>76</v>
      </c>
      <c r="F46" s="22" t="s">
        <v>16</v>
      </c>
      <c r="G46" s="22" t="s">
        <v>16</v>
      </c>
      <c r="H46" s="23" t="s">
        <v>16</v>
      </c>
      <c r="I46" s="22" t="s">
        <v>16</v>
      </c>
      <c r="J46" s="23" t="s">
        <v>16</v>
      </c>
      <c r="K46" s="22" t="s">
        <v>17</v>
      </c>
      <c r="L46" s="26">
        <v>3000</v>
      </c>
      <c r="M46" s="27"/>
      <c r="N46" s="26">
        <f t="shared" si="1"/>
        <v>3000</v>
      </c>
    </row>
    <row r="47" spans="1:14" s="28" customFormat="1" ht="150" customHeight="1" x14ac:dyDescent="0.3">
      <c r="A47" s="5">
        <v>250057</v>
      </c>
      <c r="B47" s="5">
        <v>304</v>
      </c>
      <c r="C47" s="7">
        <v>0.7</v>
      </c>
      <c r="D47" s="5">
        <v>307</v>
      </c>
      <c r="E47" s="32" t="s">
        <v>77</v>
      </c>
      <c r="F47" s="5" t="s">
        <v>61</v>
      </c>
      <c r="G47" s="5">
        <v>304</v>
      </c>
      <c r="H47" s="7" t="s">
        <v>16</v>
      </c>
      <c r="I47" s="5" t="s">
        <v>16</v>
      </c>
      <c r="J47" s="5" t="s">
        <v>16</v>
      </c>
      <c r="K47" s="5" t="s">
        <v>17</v>
      </c>
      <c r="L47" s="9">
        <v>395</v>
      </c>
      <c r="M47" s="27"/>
      <c r="N47" s="26">
        <f t="shared" si="1"/>
        <v>395</v>
      </c>
    </row>
    <row r="48" spans="1:14" s="28" customFormat="1" ht="150" customHeight="1" x14ac:dyDescent="0.3">
      <c r="A48" s="5">
        <v>250057</v>
      </c>
      <c r="B48" s="5">
        <v>304</v>
      </c>
      <c r="C48" s="7">
        <v>0.9</v>
      </c>
      <c r="D48" s="5">
        <v>307</v>
      </c>
      <c r="E48" s="32" t="s">
        <v>78</v>
      </c>
      <c r="F48" s="5" t="s">
        <v>61</v>
      </c>
      <c r="G48" s="5">
        <v>304</v>
      </c>
      <c r="H48" s="7" t="s">
        <v>16</v>
      </c>
      <c r="I48" s="5" t="s">
        <v>16</v>
      </c>
      <c r="J48" s="5" t="s">
        <v>16</v>
      </c>
      <c r="K48" s="5" t="s">
        <v>17</v>
      </c>
      <c r="L48" s="9">
        <v>15</v>
      </c>
      <c r="M48" s="27"/>
      <c r="N48" s="26">
        <f t="shared" si="1"/>
        <v>15</v>
      </c>
    </row>
    <row r="49" spans="1:14" s="28" customFormat="1" ht="150" customHeight="1" x14ac:dyDescent="0.3">
      <c r="A49" s="5">
        <v>250061</v>
      </c>
      <c r="B49" s="5">
        <v>304</v>
      </c>
      <c r="C49" s="7">
        <v>0.7</v>
      </c>
      <c r="D49" s="5">
        <v>265</v>
      </c>
      <c r="E49" s="32" t="s">
        <v>79</v>
      </c>
      <c r="F49" s="5" t="s">
        <v>80</v>
      </c>
      <c r="G49" s="5">
        <v>304</v>
      </c>
      <c r="H49" s="7" t="s">
        <v>16</v>
      </c>
      <c r="I49" s="5" t="s">
        <v>16</v>
      </c>
      <c r="J49" s="5" t="s">
        <v>16</v>
      </c>
      <c r="K49" s="5" t="s">
        <v>17</v>
      </c>
      <c r="L49" s="9">
        <v>525</v>
      </c>
      <c r="M49" s="27"/>
      <c r="N49" s="26">
        <f t="shared" si="1"/>
        <v>525</v>
      </c>
    </row>
    <row r="50" spans="1:14" s="28" customFormat="1" ht="150" customHeight="1" x14ac:dyDescent="0.3">
      <c r="A50" s="5">
        <v>250061</v>
      </c>
      <c r="B50" s="5">
        <v>304</v>
      </c>
      <c r="C50" s="7">
        <v>0.7</v>
      </c>
      <c r="D50" s="5">
        <v>265</v>
      </c>
      <c r="E50" s="32" t="s">
        <v>81</v>
      </c>
      <c r="F50" s="5" t="s">
        <v>80</v>
      </c>
      <c r="G50" s="5">
        <v>304</v>
      </c>
      <c r="H50" s="7" t="s">
        <v>16</v>
      </c>
      <c r="I50" s="5" t="s">
        <v>16</v>
      </c>
      <c r="J50" s="5" t="s">
        <v>16</v>
      </c>
      <c r="K50" s="5" t="s">
        <v>17</v>
      </c>
      <c r="L50" s="9">
        <v>15</v>
      </c>
      <c r="M50" s="27"/>
      <c r="N50" s="26">
        <f t="shared" si="1"/>
        <v>15</v>
      </c>
    </row>
    <row r="51" spans="1:14" s="11" customFormat="1" ht="150" customHeight="1" x14ac:dyDescent="0.3">
      <c r="A51" s="22"/>
      <c r="B51" s="22"/>
      <c r="C51" s="23"/>
      <c r="D51" s="29"/>
      <c r="E51" s="31"/>
      <c r="F51" s="22"/>
      <c r="G51" s="22"/>
      <c r="H51" s="23"/>
      <c r="I51" s="22"/>
      <c r="J51" s="22"/>
      <c r="K51" s="22"/>
      <c r="L51" s="26"/>
      <c r="M51" s="27"/>
      <c r="N51" s="26">
        <f t="shared" si="1"/>
        <v>0</v>
      </c>
    </row>
    <row r="52" spans="1:14" s="11" customFormat="1" ht="150" customHeight="1" x14ac:dyDescent="0.3">
      <c r="A52" s="13"/>
      <c r="B52" s="13"/>
      <c r="C52" s="14"/>
      <c r="D52" s="14"/>
      <c r="E52" s="33"/>
      <c r="F52" s="13"/>
      <c r="G52" s="13"/>
      <c r="H52" s="14"/>
      <c r="I52" s="13"/>
      <c r="J52" s="13"/>
      <c r="K52" s="13"/>
      <c r="L52" s="9">
        <f>SUM(L4:L51)</f>
        <v>29750</v>
      </c>
      <c r="M52" s="16">
        <f>SUM(M4:M51)</f>
        <v>2250</v>
      </c>
      <c r="N52" s="9">
        <f>SUM(N4:N51)</f>
        <v>27500</v>
      </c>
    </row>
    <row r="53" spans="1:14" s="12" customFormat="1" ht="100.05" customHeight="1" x14ac:dyDescent="0.3">
      <c r="A53" s="17"/>
      <c r="B53" s="17"/>
      <c r="C53" s="17"/>
      <c r="D53" s="20"/>
      <c r="E53" s="35"/>
      <c r="F53" s="17"/>
      <c r="G53" s="17"/>
      <c r="H53" s="17"/>
      <c r="I53" s="17"/>
      <c r="J53" s="17"/>
      <c r="K53" s="17"/>
      <c r="L53" s="17"/>
      <c r="M53" s="17"/>
      <c r="N53" s="17"/>
    </row>
    <row r="54" spans="1:14" ht="100.05" customHeight="1" x14ac:dyDescent="0.3"/>
    <row r="55" spans="1:14" s="4" customFormat="1" ht="100.05" customHeight="1" x14ac:dyDescent="0.3">
      <c r="A55" s="17"/>
      <c r="B55" s="17"/>
      <c r="C55" s="17"/>
      <c r="D55" s="20"/>
      <c r="E55" s="35"/>
      <c r="F55" s="17"/>
      <c r="G55" s="17"/>
      <c r="H55" s="17"/>
      <c r="I55" s="17"/>
      <c r="J55" s="17"/>
      <c r="K55" s="17"/>
      <c r="L55" s="17"/>
      <c r="M55" s="17"/>
      <c r="N55" s="17"/>
    </row>
    <row r="56" spans="1:14" s="4" customFormat="1" ht="100.05" customHeight="1" x14ac:dyDescent="0.3">
      <c r="A56" s="17"/>
      <c r="B56" s="17"/>
      <c r="C56" s="17"/>
      <c r="D56" s="20"/>
      <c r="E56" s="35"/>
      <c r="F56" s="17"/>
      <c r="G56" s="17"/>
      <c r="H56" s="17"/>
      <c r="I56" s="17"/>
      <c r="J56" s="17"/>
      <c r="K56" s="17"/>
      <c r="L56" s="17"/>
      <c r="M56" s="17"/>
      <c r="N56" s="17"/>
    </row>
    <row r="57" spans="1:14" s="11" customFormat="1" ht="100.05" customHeight="1" x14ac:dyDescent="0.3">
      <c r="A57" s="17"/>
      <c r="B57" s="17"/>
      <c r="C57" s="17"/>
      <c r="D57" s="20"/>
      <c r="E57" s="35"/>
      <c r="F57" s="17"/>
      <c r="G57" s="17"/>
      <c r="H57" s="17"/>
      <c r="I57" s="17"/>
      <c r="J57" s="17"/>
      <c r="K57" s="17"/>
      <c r="L57" s="17"/>
      <c r="M57" s="17"/>
      <c r="N57" s="17"/>
    </row>
    <row r="58" spans="1:14" s="11" customFormat="1" ht="100.05" customHeight="1" x14ac:dyDescent="0.3">
      <c r="A58" s="17"/>
      <c r="B58" s="17"/>
      <c r="C58" s="17"/>
      <c r="D58" s="20"/>
      <c r="E58" s="35"/>
      <c r="F58" s="17"/>
      <c r="G58" s="17"/>
      <c r="H58" s="17"/>
      <c r="I58" s="17"/>
      <c r="J58" s="17"/>
      <c r="K58" s="17"/>
      <c r="L58" s="17"/>
      <c r="M58" s="17"/>
      <c r="N58" s="17"/>
    </row>
    <row r="59" spans="1:14" s="11" customFormat="1" ht="100.05" customHeight="1" x14ac:dyDescent="0.3">
      <c r="A59" s="17"/>
      <c r="B59" s="17"/>
      <c r="C59" s="17"/>
      <c r="D59" s="20"/>
      <c r="E59" s="35"/>
      <c r="F59" s="17"/>
      <c r="G59" s="17"/>
      <c r="H59" s="17"/>
      <c r="I59" s="17"/>
      <c r="J59" s="17"/>
      <c r="K59" s="17"/>
      <c r="L59" s="17"/>
      <c r="M59" s="17"/>
      <c r="N59" s="17"/>
    </row>
    <row r="60" spans="1:14" s="11" customFormat="1" ht="100.05" customHeight="1" x14ac:dyDescent="0.3">
      <c r="A60" s="17"/>
      <c r="B60" s="17"/>
      <c r="C60" s="17"/>
      <c r="D60" s="20"/>
      <c r="E60" s="35"/>
      <c r="F60" s="17"/>
      <c r="G60" s="17"/>
      <c r="H60" s="17"/>
      <c r="I60" s="17"/>
      <c r="J60" s="17"/>
      <c r="K60" s="17"/>
      <c r="L60" s="17"/>
      <c r="M60" s="17"/>
      <c r="N60" s="17"/>
    </row>
    <row r="61" spans="1:14" s="11" customFormat="1" ht="100.05" customHeight="1" x14ac:dyDescent="0.3">
      <c r="A61" s="17"/>
      <c r="B61" s="17"/>
      <c r="C61" s="17"/>
      <c r="D61" s="20"/>
      <c r="E61" s="35"/>
      <c r="F61" s="17"/>
      <c r="G61" s="17"/>
      <c r="H61" s="17"/>
      <c r="I61" s="17"/>
      <c r="J61" s="17"/>
      <c r="K61" s="17"/>
      <c r="L61" s="17"/>
      <c r="M61" s="17"/>
      <c r="N61" s="17"/>
    </row>
    <row r="62" spans="1:14" s="11" customFormat="1" ht="100.05" customHeight="1" x14ac:dyDescent="0.3">
      <c r="A62" s="17"/>
      <c r="B62" s="17"/>
      <c r="C62" s="17"/>
      <c r="D62" s="20"/>
      <c r="E62" s="35"/>
      <c r="F62" s="17"/>
      <c r="G62" s="17"/>
      <c r="H62" s="17"/>
      <c r="I62" s="17"/>
      <c r="J62" s="17"/>
      <c r="K62" s="17"/>
      <c r="L62" s="17"/>
      <c r="M62" s="17"/>
      <c r="N62" s="17"/>
    </row>
    <row r="63" spans="1:14" s="11" customFormat="1" ht="100.05" customHeight="1" x14ac:dyDescent="0.3">
      <c r="A63" s="17"/>
      <c r="B63" s="17"/>
      <c r="C63" s="17"/>
      <c r="D63" s="20"/>
      <c r="E63" s="35"/>
      <c r="F63" s="17"/>
      <c r="G63" s="17"/>
      <c r="H63" s="17"/>
      <c r="I63" s="17"/>
      <c r="J63" s="17"/>
      <c r="K63" s="17"/>
      <c r="L63" s="17"/>
      <c r="M63" s="17"/>
      <c r="N63" s="17"/>
    </row>
    <row r="64" spans="1:14" s="11" customFormat="1" ht="100.05" customHeight="1" x14ac:dyDescent="0.3">
      <c r="A64" s="17"/>
      <c r="B64" s="17"/>
      <c r="C64" s="17"/>
      <c r="D64" s="20"/>
      <c r="E64" s="35"/>
      <c r="F64" s="17"/>
      <c r="G64" s="17"/>
      <c r="H64" s="17"/>
      <c r="I64" s="17"/>
      <c r="J64" s="17"/>
      <c r="K64" s="17"/>
      <c r="L64" s="17"/>
      <c r="M64" s="17"/>
      <c r="N64" s="17"/>
    </row>
    <row r="65" spans="1:14" s="11" customFormat="1" ht="100.05" customHeight="1" x14ac:dyDescent="0.3">
      <c r="A65" s="17"/>
      <c r="B65" s="17"/>
      <c r="C65" s="17"/>
      <c r="D65" s="20"/>
      <c r="E65" s="35"/>
      <c r="F65" s="17"/>
      <c r="G65" s="17"/>
      <c r="H65" s="17"/>
      <c r="I65" s="17"/>
      <c r="J65" s="17"/>
      <c r="K65" s="17"/>
      <c r="L65" s="17"/>
      <c r="M65" s="17"/>
      <c r="N65" s="17"/>
    </row>
    <row r="66" spans="1:14" s="11" customFormat="1" ht="100.05" customHeight="1" x14ac:dyDescent="0.3">
      <c r="A66" s="17"/>
      <c r="B66" s="17"/>
      <c r="C66" s="17"/>
      <c r="D66" s="20"/>
      <c r="E66" s="35"/>
      <c r="F66" s="17"/>
      <c r="G66" s="17"/>
      <c r="H66" s="17"/>
      <c r="I66" s="17"/>
      <c r="J66" s="17"/>
      <c r="K66" s="17"/>
      <c r="L66" s="17"/>
      <c r="M66" s="17"/>
      <c r="N66" s="17"/>
    </row>
  </sheetData>
  <mergeCells count="3">
    <mergeCell ref="A1:C1"/>
    <mergeCell ref="K1:N1"/>
    <mergeCell ref="A2:N2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18" orientation="portrait" horizontalDpi="1200" verticalDpi="1200" r:id="rId1"/>
  <ignoredErrors>
    <ignoredError sqref="D8 D10:D11 D13 D16:D18 D46" numberStoredAsText="1"/>
  </ignoredError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6"/>
  <sheetViews>
    <sheetView zoomScale="25" zoomScaleNormal="25" workbookViewId="0">
      <selection activeCell="M6" sqref="M6"/>
    </sheetView>
  </sheetViews>
  <sheetFormatPr defaultColWidth="8.88671875" defaultRowHeight="14.4" x14ac:dyDescent="0.3"/>
  <cols>
    <col min="1" max="1" width="41.77734375" style="17" customWidth="1"/>
    <col min="2" max="2" width="19.6640625" style="17" customWidth="1"/>
    <col min="3" max="3" width="29.21875" style="17" customWidth="1"/>
    <col min="4" max="4" width="28.6640625" style="20" customWidth="1"/>
    <col min="5" max="5" width="162.109375" style="35" customWidth="1"/>
    <col min="6" max="6" width="32.109375" style="17" bestFit="1" customWidth="1"/>
    <col min="7" max="7" width="21.88671875" style="17" bestFit="1" customWidth="1"/>
    <col min="8" max="8" width="26.6640625" style="17" bestFit="1" customWidth="1"/>
    <col min="9" max="9" width="40.109375" style="17" bestFit="1" customWidth="1"/>
    <col min="10" max="10" width="37.88671875" style="17" customWidth="1"/>
    <col min="11" max="11" width="25.6640625" style="17" customWidth="1"/>
    <col min="12" max="14" width="26.77734375" style="17" bestFit="1" customWidth="1"/>
    <col min="15" max="16384" width="8.88671875" style="18"/>
  </cols>
  <sheetData>
    <row r="1" spans="1:14" s="3" customFormat="1" ht="100.05" customHeight="1" x14ac:dyDescent="0.95">
      <c r="A1" s="37"/>
      <c r="B1" s="37"/>
      <c r="C1" s="37"/>
      <c r="D1" s="19"/>
      <c r="E1" s="34"/>
      <c r="F1" s="1"/>
      <c r="G1" s="1"/>
      <c r="H1" s="1"/>
      <c r="I1" s="1"/>
      <c r="J1" s="2" t="s">
        <v>0</v>
      </c>
      <c r="K1" s="38">
        <v>45937</v>
      </c>
      <c r="L1" s="38"/>
      <c r="M1" s="38"/>
      <c r="N1" s="38"/>
    </row>
    <row r="2" spans="1:14" s="4" customFormat="1" ht="100.05" customHeight="1" x14ac:dyDescent="0.3">
      <c r="A2" s="39" t="s">
        <v>69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</row>
    <row r="3" spans="1:14" s="4" customFormat="1" ht="150" customHeight="1" x14ac:dyDescent="0.3">
      <c r="A3" s="5" t="s">
        <v>1</v>
      </c>
      <c r="B3" s="5" t="s">
        <v>2</v>
      </c>
      <c r="C3" s="6" t="s">
        <v>3</v>
      </c>
      <c r="D3" s="7" t="s">
        <v>4</v>
      </c>
      <c r="E3" s="32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6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s="28" customFormat="1" ht="150" customHeight="1" x14ac:dyDescent="0.3">
      <c r="A4" s="22">
        <v>100925</v>
      </c>
      <c r="B4" s="22">
        <v>304</v>
      </c>
      <c r="C4" s="23" t="s">
        <v>31</v>
      </c>
      <c r="D4" s="29" t="s">
        <v>41</v>
      </c>
      <c r="E4" s="31" t="s">
        <v>37</v>
      </c>
      <c r="F4" s="22" t="s">
        <v>16</v>
      </c>
      <c r="G4" s="22" t="s">
        <v>16</v>
      </c>
      <c r="H4" s="23" t="s">
        <v>16</v>
      </c>
      <c r="I4" s="22" t="s">
        <v>16</v>
      </c>
      <c r="J4" s="23" t="s">
        <v>16</v>
      </c>
      <c r="K4" s="22" t="s">
        <v>17</v>
      </c>
      <c r="L4" s="26">
        <v>1500</v>
      </c>
      <c r="M4" s="27">
        <v>1500</v>
      </c>
      <c r="N4" s="26">
        <f t="shared" ref="N4:N13" si="0">L4-M4</f>
        <v>0</v>
      </c>
    </row>
    <row r="5" spans="1:14" s="28" customFormat="1" ht="150" customHeight="1" x14ac:dyDescent="0.3">
      <c r="A5" s="22">
        <v>100925</v>
      </c>
      <c r="B5" s="22">
        <v>304</v>
      </c>
      <c r="C5" s="23" t="s">
        <v>31</v>
      </c>
      <c r="D5" s="29" t="s">
        <v>41</v>
      </c>
      <c r="E5" s="31" t="s">
        <v>39</v>
      </c>
      <c r="F5" s="22" t="s">
        <v>16</v>
      </c>
      <c r="G5" s="22" t="s">
        <v>16</v>
      </c>
      <c r="H5" s="23" t="s">
        <v>16</v>
      </c>
      <c r="I5" s="22" t="s">
        <v>16</v>
      </c>
      <c r="J5" s="23" t="s">
        <v>16</v>
      </c>
      <c r="K5" s="22" t="s">
        <v>17</v>
      </c>
      <c r="L5" s="26">
        <v>600</v>
      </c>
      <c r="M5" s="27">
        <v>500</v>
      </c>
      <c r="N5" s="26">
        <f t="shared" si="0"/>
        <v>100</v>
      </c>
    </row>
    <row r="6" spans="1:14" s="28" customFormat="1" ht="150" customHeight="1" x14ac:dyDescent="0.3">
      <c r="A6" s="22" t="s">
        <v>42</v>
      </c>
      <c r="B6" s="22">
        <v>304</v>
      </c>
      <c r="C6" s="23">
        <v>0.9</v>
      </c>
      <c r="D6" s="29" t="s">
        <v>56</v>
      </c>
      <c r="E6" s="31" t="s">
        <v>53</v>
      </c>
      <c r="F6" s="22" t="s">
        <v>16</v>
      </c>
      <c r="G6" s="22">
        <v>430</v>
      </c>
      <c r="H6" s="23">
        <v>0.6</v>
      </c>
      <c r="I6" s="22" t="s">
        <v>16</v>
      </c>
      <c r="J6" s="23" t="s">
        <v>16</v>
      </c>
      <c r="K6" s="22" t="s">
        <v>17</v>
      </c>
      <c r="L6" s="26">
        <v>1200</v>
      </c>
      <c r="M6" s="27"/>
      <c r="N6" s="26">
        <f t="shared" si="0"/>
        <v>1200</v>
      </c>
    </row>
    <row r="7" spans="1:14" s="28" customFormat="1" ht="150" customHeight="1" x14ac:dyDescent="0.3">
      <c r="A7" s="22" t="s">
        <v>42</v>
      </c>
      <c r="B7" s="22">
        <v>304</v>
      </c>
      <c r="C7" s="23">
        <v>0.9</v>
      </c>
      <c r="D7" s="29" t="s">
        <v>54</v>
      </c>
      <c r="E7" s="31" t="s">
        <v>55</v>
      </c>
      <c r="F7" s="22" t="s">
        <v>16</v>
      </c>
      <c r="G7" s="22" t="s">
        <v>16</v>
      </c>
      <c r="H7" s="23" t="s">
        <v>16</v>
      </c>
      <c r="I7" s="22" t="s">
        <v>16</v>
      </c>
      <c r="J7" s="23" t="s">
        <v>16</v>
      </c>
      <c r="K7" s="22" t="s">
        <v>17</v>
      </c>
      <c r="L7" s="26">
        <v>1200</v>
      </c>
      <c r="M7" s="27"/>
      <c r="N7" s="26">
        <f t="shared" si="0"/>
        <v>1200</v>
      </c>
    </row>
    <row r="8" spans="1:14" s="28" customFormat="1" ht="150" customHeight="1" x14ac:dyDescent="0.3">
      <c r="A8" s="22" t="s">
        <v>42</v>
      </c>
      <c r="B8" s="22">
        <v>304</v>
      </c>
      <c r="C8" s="23">
        <v>0.9</v>
      </c>
      <c r="D8" s="29" t="s">
        <v>57</v>
      </c>
      <c r="E8" s="31" t="s">
        <v>43</v>
      </c>
      <c r="F8" s="22" t="s">
        <v>16</v>
      </c>
      <c r="G8" s="22">
        <v>430</v>
      </c>
      <c r="H8" s="23">
        <v>0.6</v>
      </c>
      <c r="I8" s="22" t="s">
        <v>16</v>
      </c>
      <c r="J8" s="23" t="s">
        <v>16</v>
      </c>
      <c r="K8" s="22" t="s">
        <v>17</v>
      </c>
      <c r="L8" s="26">
        <v>1500</v>
      </c>
      <c r="M8" s="27"/>
      <c r="N8" s="26">
        <f t="shared" si="0"/>
        <v>1500</v>
      </c>
    </row>
    <row r="9" spans="1:14" s="28" customFormat="1" ht="150" customHeight="1" x14ac:dyDescent="0.3">
      <c r="A9" s="22" t="s">
        <v>42</v>
      </c>
      <c r="B9" s="22">
        <v>304</v>
      </c>
      <c r="C9" s="23">
        <v>0.9</v>
      </c>
      <c r="D9" s="29" t="s">
        <v>58</v>
      </c>
      <c r="E9" s="31" t="s">
        <v>44</v>
      </c>
      <c r="F9" s="22" t="s">
        <v>16</v>
      </c>
      <c r="G9" s="22" t="s">
        <v>16</v>
      </c>
      <c r="H9" s="23" t="s">
        <v>16</v>
      </c>
      <c r="I9" s="22" t="s">
        <v>16</v>
      </c>
      <c r="J9" s="23" t="s">
        <v>16</v>
      </c>
      <c r="K9" s="22" t="s">
        <v>17</v>
      </c>
      <c r="L9" s="26">
        <v>1500</v>
      </c>
      <c r="M9" s="27"/>
      <c r="N9" s="26">
        <f t="shared" si="0"/>
        <v>1500</v>
      </c>
    </row>
    <row r="10" spans="1:14" s="28" customFormat="1" ht="150" customHeight="1" x14ac:dyDescent="0.3">
      <c r="A10" s="22" t="s">
        <v>42</v>
      </c>
      <c r="B10" s="22">
        <v>304</v>
      </c>
      <c r="C10" s="23">
        <v>0.9</v>
      </c>
      <c r="D10" s="29" t="s">
        <v>45</v>
      </c>
      <c r="E10" s="31" t="s">
        <v>46</v>
      </c>
      <c r="F10" s="22" t="s">
        <v>16</v>
      </c>
      <c r="G10" s="22">
        <v>430</v>
      </c>
      <c r="H10" s="23">
        <v>0.6</v>
      </c>
      <c r="I10" s="22" t="s">
        <v>16</v>
      </c>
      <c r="J10" s="23" t="s">
        <v>16</v>
      </c>
      <c r="K10" s="22" t="s">
        <v>17</v>
      </c>
      <c r="L10" s="26">
        <v>1500</v>
      </c>
      <c r="M10" s="27"/>
      <c r="N10" s="26">
        <f t="shared" si="0"/>
        <v>1500</v>
      </c>
    </row>
    <row r="11" spans="1:14" s="28" customFormat="1" ht="150" customHeight="1" x14ac:dyDescent="0.3">
      <c r="A11" s="22" t="s">
        <v>42</v>
      </c>
      <c r="B11" s="22">
        <v>304</v>
      </c>
      <c r="C11" s="23">
        <v>0.9</v>
      </c>
      <c r="D11" s="29" t="s">
        <v>57</v>
      </c>
      <c r="E11" s="31" t="s">
        <v>47</v>
      </c>
      <c r="F11" s="22" t="s">
        <v>16</v>
      </c>
      <c r="G11" s="22" t="s">
        <v>16</v>
      </c>
      <c r="H11" s="23" t="s">
        <v>16</v>
      </c>
      <c r="I11" s="22" t="s">
        <v>16</v>
      </c>
      <c r="J11" s="23" t="s">
        <v>16</v>
      </c>
      <c r="K11" s="22" t="s">
        <v>17</v>
      </c>
      <c r="L11" s="26">
        <v>1500</v>
      </c>
      <c r="M11" s="27"/>
      <c r="N11" s="26">
        <f t="shared" si="0"/>
        <v>1500</v>
      </c>
    </row>
    <row r="12" spans="1:14" s="28" customFormat="1" ht="150" customHeight="1" x14ac:dyDescent="0.3">
      <c r="A12" s="22">
        <v>160925</v>
      </c>
      <c r="B12" s="22">
        <v>304</v>
      </c>
      <c r="C12" s="23">
        <v>0.9</v>
      </c>
      <c r="D12" s="29" t="s">
        <v>48</v>
      </c>
      <c r="E12" s="31" t="s">
        <v>49</v>
      </c>
      <c r="F12" s="22" t="s">
        <v>16</v>
      </c>
      <c r="G12" s="22">
        <v>430</v>
      </c>
      <c r="H12" s="23">
        <v>0.6</v>
      </c>
      <c r="I12" s="22" t="s">
        <v>16</v>
      </c>
      <c r="J12" s="23" t="s">
        <v>16</v>
      </c>
      <c r="K12" s="22" t="s">
        <v>17</v>
      </c>
      <c r="L12" s="26">
        <v>1100</v>
      </c>
      <c r="M12" s="27"/>
      <c r="N12" s="26">
        <f t="shared" si="0"/>
        <v>1100</v>
      </c>
    </row>
    <row r="13" spans="1:14" s="28" customFormat="1" ht="150" customHeight="1" x14ac:dyDescent="0.3">
      <c r="A13" s="22">
        <v>160925</v>
      </c>
      <c r="B13" s="22">
        <v>304</v>
      </c>
      <c r="C13" s="23">
        <v>0.9</v>
      </c>
      <c r="D13" s="29" t="s">
        <v>50</v>
      </c>
      <c r="E13" s="31" t="s">
        <v>51</v>
      </c>
      <c r="F13" s="22" t="s">
        <v>16</v>
      </c>
      <c r="G13" s="22" t="s">
        <v>52</v>
      </c>
      <c r="H13" s="23" t="s">
        <v>52</v>
      </c>
      <c r="I13" s="22" t="s">
        <v>16</v>
      </c>
      <c r="J13" s="23" t="s">
        <v>16</v>
      </c>
      <c r="K13" s="22" t="s">
        <v>17</v>
      </c>
      <c r="L13" s="26">
        <v>1100</v>
      </c>
      <c r="M13" s="27"/>
      <c r="N13" s="26">
        <f t="shared" si="0"/>
        <v>1100</v>
      </c>
    </row>
    <row r="14" spans="1:14" s="28" customFormat="1" ht="150" customHeight="1" x14ac:dyDescent="0.3">
      <c r="A14" s="22">
        <v>290925</v>
      </c>
      <c r="B14" s="22">
        <v>304</v>
      </c>
      <c r="C14" s="23">
        <v>0.8</v>
      </c>
      <c r="D14" s="29" t="s">
        <v>73</v>
      </c>
      <c r="E14" s="31" t="s">
        <v>70</v>
      </c>
      <c r="F14" s="22" t="s">
        <v>15</v>
      </c>
      <c r="G14" s="22">
        <v>430</v>
      </c>
      <c r="H14" s="23">
        <v>0.6</v>
      </c>
      <c r="I14" s="22" t="s">
        <v>16</v>
      </c>
      <c r="J14" s="23" t="s">
        <v>16</v>
      </c>
      <c r="K14" s="22" t="s">
        <v>17</v>
      </c>
      <c r="L14" s="26">
        <v>4000</v>
      </c>
      <c r="M14" s="27"/>
      <c r="N14" s="26">
        <f>L14-M14</f>
        <v>4000</v>
      </c>
    </row>
    <row r="15" spans="1:14" s="28" customFormat="1" ht="150" customHeight="1" x14ac:dyDescent="0.3">
      <c r="A15" s="22">
        <v>290925</v>
      </c>
      <c r="B15" s="22">
        <v>304</v>
      </c>
      <c r="C15" s="23">
        <v>0.8</v>
      </c>
      <c r="D15" s="29" t="s">
        <v>74</v>
      </c>
      <c r="E15" s="31" t="s">
        <v>71</v>
      </c>
      <c r="F15" s="22" t="s">
        <v>16</v>
      </c>
      <c r="G15" s="22" t="s">
        <v>16</v>
      </c>
      <c r="H15" s="23" t="s">
        <v>16</v>
      </c>
      <c r="I15" s="22" t="s">
        <v>16</v>
      </c>
      <c r="J15" s="23" t="s">
        <v>16</v>
      </c>
      <c r="K15" s="22" t="s">
        <v>17</v>
      </c>
      <c r="L15" s="26">
        <v>4000</v>
      </c>
      <c r="M15" s="27"/>
      <c r="N15" s="26">
        <f t="shared" ref="N15:N51" si="1">L15-M15</f>
        <v>4000</v>
      </c>
    </row>
    <row r="16" spans="1:14" s="28" customFormat="1" ht="150" customHeight="1" x14ac:dyDescent="0.3">
      <c r="A16" s="22">
        <v>290925</v>
      </c>
      <c r="B16" s="22">
        <v>304</v>
      </c>
      <c r="C16" s="23">
        <v>0.8</v>
      </c>
      <c r="D16" s="29" t="s">
        <v>75</v>
      </c>
      <c r="E16" s="31" t="s">
        <v>72</v>
      </c>
      <c r="F16" s="22" t="s">
        <v>15</v>
      </c>
      <c r="G16" s="22">
        <v>430</v>
      </c>
      <c r="H16" s="23">
        <v>0.6</v>
      </c>
      <c r="I16" s="22" t="s">
        <v>16</v>
      </c>
      <c r="J16" s="23" t="s">
        <v>16</v>
      </c>
      <c r="K16" s="22" t="s">
        <v>17</v>
      </c>
      <c r="L16" s="26">
        <v>3000</v>
      </c>
      <c r="M16" s="27"/>
      <c r="N16" s="26">
        <f t="shared" si="1"/>
        <v>3000</v>
      </c>
    </row>
    <row r="17" spans="1:14" s="28" customFormat="1" ht="150" customHeight="1" x14ac:dyDescent="0.3">
      <c r="A17" s="22">
        <v>290925</v>
      </c>
      <c r="B17" s="22">
        <v>304</v>
      </c>
      <c r="C17" s="23">
        <v>0.8</v>
      </c>
      <c r="D17" s="29" t="s">
        <v>65</v>
      </c>
      <c r="E17" s="31" t="s">
        <v>76</v>
      </c>
      <c r="F17" s="22" t="s">
        <v>16</v>
      </c>
      <c r="G17" s="22" t="s">
        <v>16</v>
      </c>
      <c r="H17" s="23" t="s">
        <v>16</v>
      </c>
      <c r="I17" s="22" t="s">
        <v>16</v>
      </c>
      <c r="J17" s="23" t="s">
        <v>16</v>
      </c>
      <c r="K17" s="22" t="s">
        <v>17</v>
      </c>
      <c r="L17" s="26">
        <v>3000</v>
      </c>
      <c r="M17" s="27"/>
      <c r="N17" s="26">
        <f t="shared" si="1"/>
        <v>3000</v>
      </c>
    </row>
    <row r="18" spans="1:14" s="28" customFormat="1" ht="150" customHeight="1" x14ac:dyDescent="0.3">
      <c r="A18" s="5">
        <v>250057</v>
      </c>
      <c r="B18" s="5">
        <v>304</v>
      </c>
      <c r="C18" s="7">
        <v>0.7</v>
      </c>
      <c r="D18" s="5">
        <v>307</v>
      </c>
      <c r="E18" s="32" t="s">
        <v>77</v>
      </c>
      <c r="F18" s="5" t="s">
        <v>61</v>
      </c>
      <c r="G18" s="5">
        <v>304</v>
      </c>
      <c r="H18" s="7" t="s">
        <v>16</v>
      </c>
      <c r="I18" s="5" t="s">
        <v>16</v>
      </c>
      <c r="J18" s="5" t="s">
        <v>16</v>
      </c>
      <c r="K18" s="5" t="s">
        <v>17</v>
      </c>
      <c r="L18" s="9">
        <v>395</v>
      </c>
      <c r="M18" s="27"/>
      <c r="N18" s="26">
        <f t="shared" si="1"/>
        <v>395</v>
      </c>
    </row>
    <row r="19" spans="1:14" s="28" customFormat="1" ht="150" hidden="1" customHeight="1" x14ac:dyDescent="0.3">
      <c r="A19" s="22"/>
      <c r="B19" s="22"/>
      <c r="C19" s="23"/>
      <c r="D19" s="29"/>
      <c r="E19" s="31"/>
      <c r="F19" s="22"/>
      <c r="G19" s="22"/>
      <c r="H19" s="23"/>
      <c r="I19" s="22"/>
      <c r="J19" s="23"/>
      <c r="K19" s="22"/>
      <c r="L19" s="26"/>
      <c r="M19" s="27"/>
      <c r="N19" s="26">
        <f t="shared" si="1"/>
        <v>0</v>
      </c>
    </row>
    <row r="20" spans="1:14" s="28" customFormat="1" ht="150" hidden="1" customHeight="1" x14ac:dyDescent="0.3">
      <c r="A20" s="22"/>
      <c r="B20" s="22"/>
      <c r="C20" s="23"/>
      <c r="D20" s="29"/>
      <c r="E20" s="31"/>
      <c r="F20" s="22"/>
      <c r="G20" s="22"/>
      <c r="H20" s="23"/>
      <c r="I20" s="22"/>
      <c r="J20" s="23"/>
      <c r="K20" s="22"/>
      <c r="L20" s="26"/>
      <c r="M20" s="27"/>
      <c r="N20" s="26">
        <f t="shared" si="1"/>
        <v>0</v>
      </c>
    </row>
    <row r="21" spans="1:14" s="28" customFormat="1" ht="150" hidden="1" customHeight="1" x14ac:dyDescent="0.3">
      <c r="A21" s="22"/>
      <c r="B21" s="22"/>
      <c r="C21" s="23"/>
      <c r="D21" s="29"/>
      <c r="E21" s="31"/>
      <c r="F21" s="22"/>
      <c r="G21" s="22"/>
      <c r="H21" s="23"/>
      <c r="I21" s="22"/>
      <c r="J21" s="23"/>
      <c r="K21" s="22"/>
      <c r="L21" s="26"/>
      <c r="M21" s="27"/>
      <c r="N21" s="26">
        <f t="shared" si="1"/>
        <v>0</v>
      </c>
    </row>
    <row r="22" spans="1:14" s="28" customFormat="1" ht="150" hidden="1" customHeight="1" x14ac:dyDescent="0.3">
      <c r="A22" s="22"/>
      <c r="B22" s="22"/>
      <c r="C22" s="23"/>
      <c r="D22" s="24"/>
      <c r="E22" s="31"/>
      <c r="F22" s="22"/>
      <c r="G22" s="22"/>
      <c r="H22" s="23"/>
      <c r="I22" s="22"/>
      <c r="J22" s="23"/>
      <c r="K22" s="22"/>
      <c r="L22" s="26"/>
      <c r="M22" s="27"/>
      <c r="N22" s="26"/>
    </row>
    <row r="23" spans="1:14" s="28" customFormat="1" ht="150" hidden="1" customHeight="1" x14ac:dyDescent="0.3">
      <c r="A23" s="22"/>
      <c r="B23" s="22"/>
      <c r="C23" s="23"/>
      <c r="D23" s="29"/>
      <c r="E23" s="31"/>
      <c r="F23" s="22"/>
      <c r="G23" s="22"/>
      <c r="H23" s="23"/>
      <c r="I23" s="22"/>
      <c r="J23" s="23"/>
      <c r="K23" s="22"/>
      <c r="L23" s="26"/>
      <c r="M23" s="27"/>
      <c r="N23" s="26"/>
    </row>
    <row r="24" spans="1:14" s="28" customFormat="1" ht="150" hidden="1" customHeight="1" x14ac:dyDescent="0.3">
      <c r="A24" s="22"/>
      <c r="B24" s="22"/>
      <c r="C24" s="23"/>
      <c r="D24" s="24"/>
      <c r="E24" s="31"/>
      <c r="F24" s="22"/>
      <c r="G24" s="22"/>
      <c r="H24" s="23"/>
      <c r="I24" s="22"/>
      <c r="J24" s="23"/>
      <c r="K24" s="22"/>
      <c r="L24" s="26"/>
      <c r="M24" s="27"/>
      <c r="N24" s="26"/>
    </row>
    <row r="25" spans="1:14" s="28" customFormat="1" ht="150" hidden="1" customHeight="1" x14ac:dyDescent="0.3">
      <c r="A25" s="22"/>
      <c r="B25" s="22"/>
      <c r="C25" s="23"/>
      <c r="D25" s="29"/>
      <c r="E25" s="31"/>
      <c r="F25" s="22"/>
      <c r="G25" s="22"/>
      <c r="H25" s="23"/>
      <c r="I25" s="22"/>
      <c r="J25" s="23"/>
      <c r="K25" s="22"/>
      <c r="L25" s="26"/>
      <c r="M25" s="27"/>
      <c r="N25" s="26"/>
    </row>
    <row r="26" spans="1:14" s="28" customFormat="1" ht="150" hidden="1" customHeight="1" x14ac:dyDescent="0.3">
      <c r="A26" s="22"/>
      <c r="B26" s="22"/>
      <c r="C26" s="23"/>
      <c r="D26" s="24"/>
      <c r="E26" s="31"/>
      <c r="F26" s="22"/>
      <c r="G26" s="22"/>
      <c r="H26" s="23"/>
      <c r="I26" s="22"/>
      <c r="J26" s="23"/>
      <c r="K26" s="22"/>
      <c r="L26" s="26"/>
      <c r="M26" s="27"/>
      <c r="N26" s="26"/>
    </row>
    <row r="27" spans="1:14" s="28" customFormat="1" ht="150" hidden="1" customHeight="1" x14ac:dyDescent="0.3">
      <c r="A27" s="22"/>
      <c r="B27" s="22"/>
      <c r="C27" s="23"/>
      <c r="D27" s="29"/>
      <c r="E27" s="31"/>
      <c r="F27" s="22"/>
      <c r="G27" s="22"/>
      <c r="H27" s="23"/>
      <c r="I27" s="22"/>
      <c r="J27" s="23"/>
      <c r="K27" s="22"/>
      <c r="L27" s="26"/>
      <c r="M27" s="27"/>
      <c r="N27" s="26"/>
    </row>
    <row r="28" spans="1:14" s="28" customFormat="1" ht="150" hidden="1" customHeight="1" x14ac:dyDescent="0.3">
      <c r="A28" s="22"/>
      <c r="B28" s="22"/>
      <c r="C28" s="23"/>
      <c r="D28" s="29"/>
      <c r="E28" s="31"/>
      <c r="F28" s="22"/>
      <c r="G28" s="22"/>
      <c r="H28" s="23"/>
      <c r="I28" s="22"/>
      <c r="J28" s="23"/>
      <c r="K28" s="22"/>
      <c r="L28" s="26"/>
      <c r="M28" s="27"/>
      <c r="N28" s="26"/>
    </row>
    <row r="29" spans="1:14" s="28" customFormat="1" ht="150" hidden="1" customHeight="1" x14ac:dyDescent="0.3">
      <c r="A29" s="22"/>
      <c r="B29" s="22"/>
      <c r="C29" s="23"/>
      <c r="D29" s="29"/>
      <c r="E29" s="31"/>
      <c r="F29" s="22"/>
      <c r="G29" s="22"/>
      <c r="H29" s="23"/>
      <c r="I29" s="22"/>
      <c r="J29" s="23"/>
      <c r="K29" s="22"/>
      <c r="L29" s="26"/>
      <c r="M29" s="27"/>
      <c r="N29" s="26"/>
    </row>
    <row r="30" spans="1:14" s="28" customFormat="1" ht="150" hidden="1" customHeight="1" x14ac:dyDescent="0.3">
      <c r="A30" s="22"/>
      <c r="B30" s="22"/>
      <c r="C30" s="23"/>
      <c r="D30" s="29"/>
      <c r="E30" s="31"/>
      <c r="F30" s="22"/>
      <c r="G30" s="22"/>
      <c r="H30" s="23"/>
      <c r="I30" s="22"/>
      <c r="J30" s="23"/>
      <c r="K30" s="22"/>
      <c r="L30" s="26"/>
      <c r="M30" s="27"/>
      <c r="N30" s="26"/>
    </row>
    <row r="31" spans="1:14" s="28" customFormat="1" ht="150" hidden="1" customHeight="1" x14ac:dyDescent="0.3">
      <c r="A31" s="22"/>
      <c r="B31" s="22"/>
      <c r="C31" s="23"/>
      <c r="D31" s="29"/>
      <c r="E31" s="31"/>
      <c r="F31" s="22"/>
      <c r="G31" s="22"/>
      <c r="H31" s="23"/>
      <c r="I31" s="22"/>
      <c r="J31" s="23"/>
      <c r="K31" s="22"/>
      <c r="L31" s="26"/>
      <c r="M31" s="27"/>
      <c r="N31" s="26"/>
    </row>
    <row r="32" spans="1:14" s="28" customFormat="1" ht="150" hidden="1" customHeight="1" x14ac:dyDescent="0.3">
      <c r="A32" s="22"/>
      <c r="B32" s="22"/>
      <c r="C32" s="23"/>
      <c r="D32" s="29"/>
      <c r="E32" s="31"/>
      <c r="F32" s="22"/>
      <c r="G32" s="22"/>
      <c r="H32" s="23"/>
      <c r="I32" s="22"/>
      <c r="J32" s="23"/>
      <c r="K32" s="22"/>
      <c r="L32" s="26"/>
      <c r="M32" s="27"/>
      <c r="N32" s="26"/>
    </row>
    <row r="33" spans="1:14" s="28" customFormat="1" ht="150" hidden="1" customHeight="1" x14ac:dyDescent="0.3">
      <c r="A33" s="22"/>
      <c r="B33" s="22"/>
      <c r="C33" s="23"/>
      <c r="D33" s="29"/>
      <c r="E33" s="31"/>
      <c r="F33" s="22"/>
      <c r="G33" s="22"/>
      <c r="H33" s="23"/>
      <c r="I33" s="22"/>
      <c r="J33" s="23"/>
      <c r="K33" s="22"/>
      <c r="L33" s="26"/>
      <c r="M33" s="27"/>
      <c r="N33" s="26"/>
    </row>
    <row r="34" spans="1:14" s="28" customFormat="1" ht="150" hidden="1" customHeight="1" x14ac:dyDescent="0.3">
      <c r="A34" s="22"/>
      <c r="B34" s="22"/>
      <c r="C34" s="23"/>
      <c r="D34" s="29"/>
      <c r="E34" s="31"/>
      <c r="F34" s="22"/>
      <c r="G34" s="22"/>
      <c r="H34" s="23"/>
      <c r="I34" s="22"/>
      <c r="J34" s="23"/>
      <c r="K34" s="22"/>
      <c r="L34" s="26"/>
      <c r="M34" s="27"/>
      <c r="N34" s="26"/>
    </row>
    <row r="35" spans="1:14" s="28" customFormat="1" ht="150" hidden="1" customHeight="1" x14ac:dyDescent="0.3">
      <c r="A35" s="22"/>
      <c r="B35" s="22"/>
      <c r="C35" s="23"/>
      <c r="D35" s="29"/>
      <c r="E35" s="31"/>
      <c r="F35" s="22"/>
      <c r="G35" s="22"/>
      <c r="H35" s="23"/>
      <c r="I35" s="22"/>
      <c r="J35" s="23"/>
      <c r="K35" s="22"/>
      <c r="L35" s="26"/>
      <c r="M35" s="27"/>
      <c r="N35" s="26"/>
    </row>
    <row r="36" spans="1:14" s="28" customFormat="1" ht="150" hidden="1" customHeight="1" x14ac:dyDescent="0.3">
      <c r="A36" s="22"/>
      <c r="B36" s="22"/>
      <c r="C36" s="23"/>
      <c r="D36" s="29"/>
      <c r="E36" s="31"/>
      <c r="F36" s="22"/>
      <c r="G36" s="22"/>
      <c r="H36" s="23"/>
      <c r="I36" s="22"/>
      <c r="J36" s="23"/>
      <c r="K36" s="22"/>
      <c r="L36" s="26"/>
      <c r="M36" s="27"/>
      <c r="N36" s="26"/>
    </row>
    <row r="37" spans="1:14" s="28" customFormat="1" ht="150" hidden="1" customHeight="1" x14ac:dyDescent="0.3">
      <c r="A37" s="22"/>
      <c r="B37" s="22"/>
      <c r="C37" s="23"/>
      <c r="D37" s="29"/>
      <c r="E37" s="31"/>
      <c r="F37" s="22"/>
      <c r="G37" s="22"/>
      <c r="H37" s="23"/>
      <c r="I37" s="22"/>
      <c r="J37" s="23"/>
      <c r="K37" s="22"/>
      <c r="L37" s="26"/>
      <c r="M37" s="27"/>
      <c r="N37" s="26"/>
    </row>
    <row r="38" spans="1:14" s="28" customFormat="1" ht="150" hidden="1" customHeight="1" x14ac:dyDescent="0.3">
      <c r="A38" s="22"/>
      <c r="B38" s="22"/>
      <c r="C38" s="23"/>
      <c r="D38" s="29"/>
      <c r="E38" s="31"/>
      <c r="F38" s="22"/>
      <c r="G38" s="22"/>
      <c r="H38" s="23"/>
      <c r="I38" s="22"/>
      <c r="J38" s="23"/>
      <c r="K38" s="22"/>
      <c r="L38" s="26"/>
      <c r="M38" s="27"/>
      <c r="N38" s="26"/>
    </row>
    <row r="39" spans="1:14" s="28" customFormat="1" ht="150" hidden="1" customHeight="1" x14ac:dyDescent="0.3">
      <c r="A39" s="22"/>
      <c r="B39" s="22"/>
      <c r="C39" s="23"/>
      <c r="D39" s="29"/>
      <c r="E39" s="31"/>
      <c r="F39" s="22"/>
      <c r="G39" s="22"/>
      <c r="H39" s="23"/>
      <c r="I39" s="22"/>
      <c r="J39" s="23"/>
      <c r="K39" s="22"/>
      <c r="L39" s="26"/>
      <c r="M39" s="27"/>
      <c r="N39" s="26"/>
    </row>
    <row r="40" spans="1:14" s="28" customFormat="1" ht="150" hidden="1" customHeight="1" x14ac:dyDescent="0.3">
      <c r="A40" s="22"/>
      <c r="B40" s="22"/>
      <c r="C40" s="23"/>
      <c r="D40" s="29"/>
      <c r="E40" s="31"/>
      <c r="F40" s="22"/>
      <c r="G40" s="22"/>
      <c r="H40" s="23"/>
      <c r="I40" s="22"/>
      <c r="J40" s="23"/>
      <c r="K40" s="22"/>
      <c r="L40" s="26"/>
      <c r="M40" s="27"/>
      <c r="N40" s="26"/>
    </row>
    <row r="41" spans="1:14" s="28" customFormat="1" ht="150" hidden="1" customHeight="1" x14ac:dyDescent="0.3">
      <c r="A41" s="22"/>
      <c r="B41" s="22"/>
      <c r="C41" s="23"/>
      <c r="D41" s="29"/>
      <c r="E41" s="31"/>
      <c r="F41" s="22"/>
      <c r="G41" s="22"/>
      <c r="H41" s="23"/>
      <c r="I41" s="22"/>
      <c r="J41" s="23"/>
      <c r="K41" s="22"/>
      <c r="L41" s="26"/>
      <c r="M41" s="27"/>
      <c r="N41" s="26"/>
    </row>
    <row r="42" spans="1:14" s="28" customFormat="1" ht="150" hidden="1" customHeight="1" x14ac:dyDescent="0.3">
      <c r="A42" s="22"/>
      <c r="B42" s="22"/>
      <c r="C42" s="23"/>
      <c r="D42" s="29"/>
      <c r="E42" s="31"/>
      <c r="F42" s="22"/>
      <c r="G42" s="22"/>
      <c r="H42" s="23"/>
      <c r="I42" s="22"/>
      <c r="J42" s="23"/>
      <c r="K42" s="22"/>
      <c r="L42" s="26"/>
      <c r="M42" s="27"/>
      <c r="N42" s="26">
        <f t="shared" si="1"/>
        <v>0</v>
      </c>
    </row>
    <row r="43" spans="1:14" s="28" customFormat="1" ht="150" hidden="1" customHeight="1" x14ac:dyDescent="0.3">
      <c r="A43" s="22"/>
      <c r="B43" s="22"/>
      <c r="C43" s="23"/>
      <c r="D43" s="29"/>
      <c r="E43" s="31"/>
      <c r="F43" s="22"/>
      <c r="G43" s="22"/>
      <c r="H43" s="23"/>
      <c r="I43" s="22"/>
      <c r="J43" s="23"/>
      <c r="K43" s="22"/>
      <c r="L43" s="26"/>
      <c r="M43" s="27"/>
      <c r="N43" s="26">
        <f t="shared" si="1"/>
        <v>0</v>
      </c>
    </row>
    <row r="44" spans="1:14" s="28" customFormat="1" ht="150" hidden="1" customHeight="1" x14ac:dyDescent="0.3">
      <c r="A44" s="22"/>
      <c r="B44" s="22"/>
      <c r="C44" s="23"/>
      <c r="D44" s="29"/>
      <c r="E44" s="31"/>
      <c r="F44" s="22"/>
      <c r="G44" s="22"/>
      <c r="H44" s="23"/>
      <c r="I44" s="22"/>
      <c r="J44" s="23"/>
      <c r="K44" s="22"/>
      <c r="L44" s="26"/>
      <c r="M44" s="27"/>
      <c r="N44" s="26">
        <f t="shared" si="1"/>
        <v>0</v>
      </c>
    </row>
    <row r="45" spans="1:14" s="28" customFormat="1" ht="150" hidden="1" customHeight="1" x14ac:dyDescent="0.3">
      <c r="A45" s="22"/>
      <c r="B45" s="22"/>
      <c r="C45" s="23"/>
      <c r="D45" s="29"/>
      <c r="E45" s="31"/>
      <c r="F45" s="22"/>
      <c r="G45" s="22"/>
      <c r="H45" s="23"/>
      <c r="I45" s="22"/>
      <c r="J45" s="23"/>
      <c r="K45" s="22"/>
      <c r="L45" s="26"/>
      <c r="M45" s="27"/>
      <c r="N45" s="26">
        <f t="shared" si="1"/>
        <v>0</v>
      </c>
    </row>
    <row r="46" spans="1:14" s="28" customFormat="1" ht="150" customHeight="1" x14ac:dyDescent="0.3">
      <c r="A46" s="5">
        <v>250057</v>
      </c>
      <c r="B46" s="5">
        <v>304</v>
      </c>
      <c r="C46" s="7">
        <v>0.9</v>
      </c>
      <c r="D46" s="5">
        <v>307</v>
      </c>
      <c r="E46" s="32" t="s">
        <v>78</v>
      </c>
      <c r="F46" s="5" t="s">
        <v>61</v>
      </c>
      <c r="G46" s="5">
        <v>304</v>
      </c>
      <c r="H46" s="7" t="s">
        <v>16</v>
      </c>
      <c r="I46" s="5" t="s">
        <v>16</v>
      </c>
      <c r="J46" s="5" t="s">
        <v>16</v>
      </c>
      <c r="K46" s="5" t="s">
        <v>17</v>
      </c>
      <c r="L46" s="9">
        <v>15</v>
      </c>
      <c r="M46" s="27"/>
      <c r="N46" s="26">
        <f t="shared" si="1"/>
        <v>15</v>
      </c>
    </row>
    <row r="47" spans="1:14" s="28" customFormat="1" ht="150" customHeight="1" x14ac:dyDescent="0.3">
      <c r="A47" s="5">
        <v>250061</v>
      </c>
      <c r="B47" s="5">
        <v>304</v>
      </c>
      <c r="C47" s="7">
        <v>0.7</v>
      </c>
      <c r="D47" s="5">
        <v>265</v>
      </c>
      <c r="E47" s="32" t="s">
        <v>79</v>
      </c>
      <c r="F47" s="5" t="s">
        <v>80</v>
      </c>
      <c r="G47" s="5">
        <v>304</v>
      </c>
      <c r="H47" s="7" t="s">
        <v>16</v>
      </c>
      <c r="I47" s="5" t="s">
        <v>16</v>
      </c>
      <c r="J47" s="5" t="s">
        <v>16</v>
      </c>
      <c r="K47" s="5" t="s">
        <v>17</v>
      </c>
      <c r="L47" s="9">
        <v>525</v>
      </c>
      <c r="M47" s="27"/>
      <c r="N47" s="26">
        <f t="shared" si="1"/>
        <v>525</v>
      </c>
    </row>
    <row r="48" spans="1:14" s="28" customFormat="1" ht="150" customHeight="1" x14ac:dyDescent="0.3">
      <c r="A48" s="5">
        <v>250061</v>
      </c>
      <c r="B48" s="5">
        <v>304</v>
      </c>
      <c r="C48" s="7">
        <v>0.7</v>
      </c>
      <c r="D48" s="5">
        <v>265</v>
      </c>
      <c r="E48" s="32" t="s">
        <v>81</v>
      </c>
      <c r="F48" s="5" t="s">
        <v>80</v>
      </c>
      <c r="G48" s="5">
        <v>304</v>
      </c>
      <c r="H48" s="7" t="s">
        <v>16</v>
      </c>
      <c r="I48" s="5" t="s">
        <v>16</v>
      </c>
      <c r="J48" s="5" t="s">
        <v>16</v>
      </c>
      <c r="K48" s="5" t="s">
        <v>17</v>
      </c>
      <c r="L48" s="9">
        <v>15</v>
      </c>
      <c r="M48" s="27"/>
      <c r="N48" s="26">
        <f t="shared" si="1"/>
        <v>15</v>
      </c>
    </row>
    <row r="49" spans="1:14" s="28" customFormat="1" ht="150" customHeight="1" x14ac:dyDescent="0.3">
      <c r="A49" s="5">
        <v>230925</v>
      </c>
      <c r="B49" s="5">
        <v>430</v>
      </c>
      <c r="C49" s="7">
        <v>0.8</v>
      </c>
      <c r="D49" s="5">
        <v>425</v>
      </c>
      <c r="E49" s="32" t="s">
        <v>82</v>
      </c>
      <c r="F49" s="5" t="s">
        <v>80</v>
      </c>
      <c r="G49" s="5">
        <v>430</v>
      </c>
      <c r="H49" s="7" t="s">
        <v>16</v>
      </c>
      <c r="I49" s="5" t="s">
        <v>16</v>
      </c>
      <c r="J49" s="5" t="s">
        <v>16</v>
      </c>
      <c r="K49" s="5" t="s">
        <v>17</v>
      </c>
      <c r="L49" s="9">
        <v>6000</v>
      </c>
      <c r="M49" s="27"/>
      <c r="N49" s="26">
        <f t="shared" si="1"/>
        <v>6000</v>
      </c>
    </row>
    <row r="50" spans="1:14" s="28" customFormat="1" ht="150" customHeight="1" x14ac:dyDescent="0.3">
      <c r="A50" s="5">
        <v>230925</v>
      </c>
      <c r="B50" s="5">
        <v>430</v>
      </c>
      <c r="C50" s="7">
        <v>0.8</v>
      </c>
      <c r="D50" s="5">
        <v>360</v>
      </c>
      <c r="E50" s="32" t="s">
        <v>83</v>
      </c>
      <c r="F50" s="5" t="s">
        <v>80</v>
      </c>
      <c r="G50" s="5">
        <v>430</v>
      </c>
      <c r="H50" s="7" t="s">
        <v>16</v>
      </c>
      <c r="I50" s="5" t="s">
        <v>16</v>
      </c>
      <c r="J50" s="5" t="s">
        <v>16</v>
      </c>
      <c r="K50" s="5" t="s">
        <v>17</v>
      </c>
      <c r="L50" s="9">
        <v>6000</v>
      </c>
      <c r="M50" s="27"/>
      <c r="N50" s="26">
        <f t="shared" si="1"/>
        <v>6000</v>
      </c>
    </row>
    <row r="51" spans="1:14" s="11" customFormat="1" ht="150" customHeight="1" x14ac:dyDescent="0.3">
      <c r="A51" s="22"/>
      <c r="B51" s="22"/>
      <c r="C51" s="23"/>
      <c r="D51" s="29"/>
      <c r="E51" s="31"/>
      <c r="F51" s="22"/>
      <c r="G51" s="22"/>
      <c r="H51" s="23"/>
      <c r="I51" s="22"/>
      <c r="J51" s="22"/>
      <c r="K51" s="22"/>
      <c r="L51" s="26"/>
      <c r="M51" s="27"/>
      <c r="N51" s="26">
        <f t="shared" si="1"/>
        <v>0</v>
      </c>
    </row>
    <row r="52" spans="1:14" s="11" customFormat="1" ht="150" customHeight="1" x14ac:dyDescent="0.3">
      <c r="A52" s="13"/>
      <c r="B52" s="13"/>
      <c r="C52" s="14"/>
      <c r="D52" s="14"/>
      <c r="E52" s="33"/>
      <c r="F52" s="13"/>
      <c r="G52" s="13"/>
      <c r="H52" s="14"/>
      <c r="I52" s="13"/>
      <c r="J52" s="13"/>
      <c r="K52" s="13"/>
      <c r="L52" s="9">
        <f>SUM(L4:L51)</f>
        <v>39650</v>
      </c>
      <c r="M52" s="16">
        <f>SUM(M4:M51)</f>
        <v>2000</v>
      </c>
      <c r="N52" s="9">
        <f>SUM(N4:N51)</f>
        <v>37650</v>
      </c>
    </row>
    <row r="53" spans="1:14" s="12" customFormat="1" ht="100.05" customHeight="1" x14ac:dyDescent="0.3">
      <c r="A53" s="17"/>
      <c r="B53" s="17"/>
      <c r="C53" s="17"/>
      <c r="D53" s="20"/>
      <c r="E53" s="35"/>
      <c r="F53" s="17"/>
      <c r="G53" s="17"/>
      <c r="H53" s="17"/>
      <c r="I53" s="17"/>
      <c r="J53" s="17"/>
      <c r="K53" s="17"/>
      <c r="L53" s="17"/>
      <c r="M53" s="17"/>
      <c r="N53" s="17"/>
    </row>
    <row r="54" spans="1:14" ht="100.05" customHeight="1" x14ac:dyDescent="0.3"/>
    <row r="55" spans="1:14" s="4" customFormat="1" ht="100.05" customHeight="1" x14ac:dyDescent="0.3">
      <c r="A55" s="17"/>
      <c r="B55" s="17"/>
      <c r="C55" s="17"/>
      <c r="D55" s="20"/>
      <c r="E55" s="35"/>
      <c r="F55" s="17"/>
      <c r="G55" s="17"/>
      <c r="H55" s="17"/>
      <c r="I55" s="17"/>
      <c r="J55" s="17"/>
      <c r="K55" s="17"/>
      <c r="L55" s="17"/>
      <c r="M55" s="17"/>
      <c r="N55" s="17"/>
    </row>
    <row r="56" spans="1:14" s="4" customFormat="1" ht="100.05" customHeight="1" x14ac:dyDescent="0.3">
      <c r="A56" s="17"/>
      <c r="B56" s="17"/>
      <c r="C56" s="17"/>
      <c r="D56" s="20"/>
      <c r="E56" s="35"/>
      <c r="F56" s="17"/>
      <c r="G56" s="17"/>
      <c r="H56" s="17"/>
      <c r="I56" s="17"/>
      <c r="J56" s="17"/>
      <c r="K56" s="17"/>
      <c r="L56" s="17"/>
      <c r="M56" s="17"/>
      <c r="N56" s="17"/>
    </row>
    <row r="57" spans="1:14" s="11" customFormat="1" ht="100.05" customHeight="1" x14ac:dyDescent="0.3">
      <c r="A57" s="17"/>
      <c r="B57" s="17"/>
      <c r="C57" s="17"/>
      <c r="D57" s="20"/>
      <c r="E57" s="35"/>
      <c r="F57" s="17"/>
      <c r="G57" s="17"/>
      <c r="H57" s="17"/>
      <c r="I57" s="17"/>
      <c r="J57" s="17"/>
      <c r="K57" s="17"/>
      <c r="L57" s="17"/>
      <c r="M57" s="17"/>
      <c r="N57" s="17"/>
    </row>
    <row r="58" spans="1:14" s="11" customFormat="1" ht="100.05" customHeight="1" x14ac:dyDescent="0.3">
      <c r="A58" s="17"/>
      <c r="B58" s="17"/>
      <c r="C58" s="17"/>
      <c r="D58" s="20"/>
      <c r="E58" s="35"/>
      <c r="F58" s="17"/>
      <c r="G58" s="17"/>
      <c r="H58" s="17"/>
      <c r="I58" s="17"/>
      <c r="J58" s="17"/>
      <c r="K58" s="17"/>
      <c r="L58" s="17"/>
      <c r="M58" s="17"/>
      <c r="N58" s="17"/>
    </row>
    <row r="59" spans="1:14" s="11" customFormat="1" ht="100.05" customHeight="1" x14ac:dyDescent="0.3">
      <c r="A59" s="17"/>
      <c r="B59" s="17"/>
      <c r="C59" s="17"/>
      <c r="D59" s="20"/>
      <c r="E59" s="35"/>
      <c r="F59" s="17"/>
      <c r="G59" s="17"/>
      <c r="H59" s="17"/>
      <c r="I59" s="17"/>
      <c r="J59" s="17"/>
      <c r="K59" s="17"/>
      <c r="L59" s="17"/>
      <c r="M59" s="17"/>
      <c r="N59" s="17"/>
    </row>
    <row r="60" spans="1:14" s="11" customFormat="1" ht="100.05" customHeight="1" x14ac:dyDescent="0.3">
      <c r="A60" s="17"/>
      <c r="B60" s="17"/>
      <c r="C60" s="17"/>
      <c r="D60" s="20"/>
      <c r="E60" s="35"/>
      <c r="F60" s="17"/>
      <c r="G60" s="17"/>
      <c r="H60" s="17"/>
      <c r="I60" s="17"/>
      <c r="J60" s="17"/>
      <c r="K60" s="17"/>
      <c r="L60" s="17"/>
      <c r="M60" s="17"/>
      <c r="N60" s="17"/>
    </row>
    <row r="61" spans="1:14" s="11" customFormat="1" ht="100.05" customHeight="1" x14ac:dyDescent="0.3">
      <c r="A61" s="17"/>
      <c r="B61" s="17"/>
      <c r="C61" s="17"/>
      <c r="D61" s="20"/>
      <c r="E61" s="35"/>
      <c r="F61" s="17"/>
      <c r="G61" s="17"/>
      <c r="H61" s="17"/>
      <c r="I61" s="17"/>
      <c r="J61" s="17"/>
      <c r="K61" s="17"/>
      <c r="L61" s="17"/>
      <c r="M61" s="17"/>
      <c r="N61" s="17"/>
    </row>
    <row r="62" spans="1:14" s="11" customFormat="1" ht="100.05" customHeight="1" x14ac:dyDescent="0.3">
      <c r="A62" s="17"/>
      <c r="B62" s="17"/>
      <c r="C62" s="17"/>
      <c r="D62" s="20"/>
      <c r="E62" s="35"/>
      <c r="F62" s="17"/>
      <c r="G62" s="17"/>
      <c r="H62" s="17"/>
      <c r="I62" s="17"/>
      <c r="J62" s="17"/>
      <c r="K62" s="17"/>
      <c r="L62" s="17"/>
      <c r="M62" s="17"/>
      <c r="N62" s="17"/>
    </row>
    <row r="63" spans="1:14" s="11" customFormat="1" ht="100.05" customHeight="1" x14ac:dyDescent="0.3">
      <c r="A63" s="17"/>
      <c r="B63" s="17"/>
      <c r="C63" s="17"/>
      <c r="D63" s="20"/>
      <c r="E63" s="35"/>
      <c r="F63" s="17"/>
      <c r="G63" s="17"/>
      <c r="H63" s="17"/>
      <c r="I63" s="17"/>
      <c r="J63" s="17"/>
      <c r="K63" s="17"/>
      <c r="L63" s="17"/>
      <c r="M63" s="17"/>
      <c r="N63" s="17"/>
    </row>
    <row r="64" spans="1:14" s="11" customFormat="1" ht="100.05" customHeight="1" x14ac:dyDescent="0.3">
      <c r="A64" s="17"/>
      <c r="B64" s="17"/>
      <c r="C64" s="17"/>
      <c r="D64" s="20"/>
      <c r="E64" s="35"/>
      <c r="F64" s="17"/>
      <c r="G64" s="17"/>
      <c r="H64" s="17"/>
      <c r="I64" s="17"/>
      <c r="J64" s="17"/>
      <c r="K64" s="17"/>
      <c r="L64" s="17"/>
      <c r="M64" s="17"/>
      <c r="N64" s="17"/>
    </row>
    <row r="65" spans="1:14" s="11" customFormat="1" ht="100.05" customHeight="1" x14ac:dyDescent="0.3">
      <c r="A65" s="17"/>
      <c r="B65" s="17"/>
      <c r="C65" s="17"/>
      <c r="D65" s="20"/>
      <c r="E65" s="35"/>
      <c r="F65" s="17"/>
      <c r="G65" s="17"/>
      <c r="H65" s="17"/>
      <c r="I65" s="17"/>
      <c r="J65" s="17"/>
      <c r="K65" s="17"/>
      <c r="L65" s="17"/>
      <c r="M65" s="17"/>
      <c r="N65" s="17"/>
    </row>
    <row r="66" spans="1:14" s="11" customFormat="1" ht="100.05" customHeight="1" x14ac:dyDescent="0.3">
      <c r="A66" s="17"/>
      <c r="B66" s="17"/>
      <c r="C66" s="17"/>
      <c r="D66" s="20"/>
      <c r="E66" s="35"/>
      <c r="F66" s="17"/>
      <c r="G66" s="17"/>
      <c r="H66" s="17"/>
      <c r="I66" s="17"/>
      <c r="J66" s="17"/>
      <c r="K66" s="17"/>
      <c r="L66" s="17"/>
      <c r="M66" s="17"/>
      <c r="N66" s="17"/>
    </row>
  </sheetData>
  <mergeCells count="3">
    <mergeCell ref="A1:C1"/>
    <mergeCell ref="K1:N1"/>
    <mergeCell ref="A2:N2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18" orientation="portrait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8"/>
  <sheetViews>
    <sheetView zoomScale="25" zoomScaleNormal="25" workbookViewId="0">
      <selection activeCell="A2" sqref="A2:N2"/>
    </sheetView>
  </sheetViews>
  <sheetFormatPr defaultColWidth="8.88671875" defaultRowHeight="14.4" x14ac:dyDescent="0.3"/>
  <cols>
    <col min="1" max="1" width="41.77734375" style="17" customWidth="1"/>
    <col min="2" max="2" width="19.6640625" style="17" customWidth="1"/>
    <col min="3" max="3" width="29.21875" style="17" customWidth="1"/>
    <col min="4" max="4" width="28.6640625" style="20" customWidth="1"/>
    <col min="5" max="5" width="162.109375" style="35" customWidth="1"/>
    <col min="6" max="6" width="32.109375" style="17" bestFit="1" customWidth="1"/>
    <col min="7" max="7" width="21.88671875" style="17" bestFit="1" customWidth="1"/>
    <col min="8" max="8" width="26.6640625" style="17" bestFit="1" customWidth="1"/>
    <col min="9" max="9" width="40.109375" style="17" bestFit="1" customWidth="1"/>
    <col min="10" max="10" width="37.88671875" style="17" customWidth="1"/>
    <col min="11" max="11" width="25.6640625" style="17" customWidth="1"/>
    <col min="12" max="14" width="26.77734375" style="17" bestFit="1" customWidth="1"/>
    <col min="15" max="16384" width="8.88671875" style="18"/>
  </cols>
  <sheetData>
    <row r="1" spans="1:14" s="3" customFormat="1" ht="100.05" customHeight="1" x14ac:dyDescent="0.95">
      <c r="A1" s="37"/>
      <c r="B1" s="37"/>
      <c r="C1" s="37"/>
      <c r="D1" s="19"/>
      <c r="E1" s="34"/>
      <c r="F1" s="1"/>
      <c r="G1" s="1"/>
      <c r="H1" s="1"/>
      <c r="I1" s="1"/>
      <c r="J1" s="2" t="s">
        <v>0</v>
      </c>
      <c r="K1" s="38">
        <v>45938</v>
      </c>
      <c r="L1" s="38"/>
      <c r="M1" s="38"/>
      <c r="N1" s="38"/>
    </row>
    <row r="2" spans="1:14" s="4" customFormat="1" ht="100.05" customHeight="1" x14ac:dyDescent="0.3">
      <c r="A2" s="39" t="s">
        <v>69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</row>
    <row r="3" spans="1:14" s="4" customFormat="1" ht="150" customHeight="1" x14ac:dyDescent="0.3">
      <c r="A3" s="5" t="s">
        <v>1</v>
      </c>
      <c r="B3" s="5" t="s">
        <v>2</v>
      </c>
      <c r="C3" s="6" t="s">
        <v>3</v>
      </c>
      <c r="D3" s="7" t="s">
        <v>4</v>
      </c>
      <c r="E3" s="32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6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s="28" customFormat="1" ht="150" customHeight="1" x14ac:dyDescent="0.3">
      <c r="A4" s="22">
        <v>100925</v>
      </c>
      <c r="B4" s="22">
        <v>304</v>
      </c>
      <c r="C4" s="23" t="s">
        <v>31</v>
      </c>
      <c r="D4" s="29" t="s">
        <v>41</v>
      </c>
      <c r="E4" s="31" t="s">
        <v>39</v>
      </c>
      <c r="F4" s="22" t="s">
        <v>16</v>
      </c>
      <c r="G4" s="22" t="s">
        <v>16</v>
      </c>
      <c r="H4" s="23" t="s">
        <v>16</v>
      </c>
      <c r="I4" s="22" t="s">
        <v>16</v>
      </c>
      <c r="J4" s="23" t="s">
        <v>16</v>
      </c>
      <c r="K4" s="22" t="s">
        <v>17</v>
      </c>
      <c r="L4" s="26">
        <v>600</v>
      </c>
      <c r="M4" s="27">
        <f>500+200</f>
        <v>700</v>
      </c>
      <c r="N4" s="26">
        <f t="shared" ref="N4:N13" si="0">L4-M4</f>
        <v>-100</v>
      </c>
    </row>
    <row r="5" spans="1:14" s="28" customFormat="1" ht="150" customHeight="1" x14ac:dyDescent="0.3">
      <c r="A5" s="22" t="s">
        <v>42</v>
      </c>
      <c r="B5" s="22">
        <v>304</v>
      </c>
      <c r="C5" s="23">
        <v>0.9</v>
      </c>
      <c r="D5" s="29" t="s">
        <v>56</v>
      </c>
      <c r="E5" s="31" t="s">
        <v>53</v>
      </c>
      <c r="F5" s="22" t="s">
        <v>16</v>
      </c>
      <c r="G5" s="22">
        <v>430</v>
      </c>
      <c r="H5" s="23">
        <v>0.6</v>
      </c>
      <c r="I5" s="22" t="s">
        <v>16</v>
      </c>
      <c r="J5" s="23" t="s">
        <v>16</v>
      </c>
      <c r="K5" s="22" t="s">
        <v>17</v>
      </c>
      <c r="L5" s="26">
        <v>1200</v>
      </c>
      <c r="M5" s="27">
        <v>1300</v>
      </c>
      <c r="N5" s="26">
        <f t="shared" si="0"/>
        <v>-100</v>
      </c>
    </row>
    <row r="6" spans="1:14" s="28" customFormat="1" ht="150" customHeight="1" x14ac:dyDescent="0.3">
      <c r="A6" s="22" t="s">
        <v>42</v>
      </c>
      <c r="B6" s="22">
        <v>304</v>
      </c>
      <c r="C6" s="23">
        <v>0.9</v>
      </c>
      <c r="D6" s="29" t="s">
        <v>54</v>
      </c>
      <c r="E6" s="31" t="s">
        <v>55</v>
      </c>
      <c r="F6" s="22" t="s">
        <v>16</v>
      </c>
      <c r="G6" s="22" t="s">
        <v>16</v>
      </c>
      <c r="H6" s="23" t="s">
        <v>16</v>
      </c>
      <c r="I6" s="22" t="s">
        <v>16</v>
      </c>
      <c r="J6" s="23" t="s">
        <v>16</v>
      </c>
      <c r="K6" s="22" t="s">
        <v>17</v>
      </c>
      <c r="L6" s="26">
        <v>1200</v>
      </c>
      <c r="M6" s="27">
        <v>900</v>
      </c>
      <c r="N6" s="26">
        <f t="shared" si="0"/>
        <v>300</v>
      </c>
    </row>
    <row r="7" spans="1:14" s="28" customFormat="1" ht="150" customHeight="1" x14ac:dyDescent="0.3">
      <c r="A7" s="22" t="s">
        <v>42</v>
      </c>
      <c r="B7" s="22">
        <v>304</v>
      </c>
      <c r="C7" s="23">
        <v>0.9</v>
      </c>
      <c r="D7" s="29" t="s">
        <v>57</v>
      </c>
      <c r="E7" s="31" t="s">
        <v>43</v>
      </c>
      <c r="F7" s="22" t="s">
        <v>16</v>
      </c>
      <c r="G7" s="22">
        <v>430</v>
      </c>
      <c r="H7" s="23">
        <v>0.6</v>
      </c>
      <c r="I7" s="22" t="s">
        <v>16</v>
      </c>
      <c r="J7" s="23" t="s">
        <v>16</v>
      </c>
      <c r="K7" s="22" t="s">
        <v>17</v>
      </c>
      <c r="L7" s="26">
        <v>1500</v>
      </c>
      <c r="M7" s="27"/>
      <c r="N7" s="26">
        <f t="shared" si="0"/>
        <v>1500</v>
      </c>
    </row>
    <row r="8" spans="1:14" s="28" customFormat="1" ht="150" customHeight="1" x14ac:dyDescent="0.3">
      <c r="A8" s="22" t="s">
        <v>42</v>
      </c>
      <c r="B8" s="22">
        <v>304</v>
      </c>
      <c r="C8" s="23">
        <v>0.9</v>
      </c>
      <c r="D8" s="29" t="s">
        <v>58</v>
      </c>
      <c r="E8" s="31" t="s">
        <v>44</v>
      </c>
      <c r="F8" s="22" t="s">
        <v>16</v>
      </c>
      <c r="G8" s="22" t="s">
        <v>16</v>
      </c>
      <c r="H8" s="23" t="s">
        <v>16</v>
      </c>
      <c r="I8" s="22" t="s">
        <v>16</v>
      </c>
      <c r="J8" s="23" t="s">
        <v>16</v>
      </c>
      <c r="K8" s="22" t="s">
        <v>17</v>
      </c>
      <c r="L8" s="26">
        <v>1500</v>
      </c>
      <c r="M8" s="27"/>
      <c r="N8" s="26">
        <f t="shared" si="0"/>
        <v>1500</v>
      </c>
    </row>
    <row r="9" spans="1:14" s="28" customFormat="1" ht="150" customHeight="1" x14ac:dyDescent="0.3">
      <c r="A9" s="22" t="s">
        <v>42</v>
      </c>
      <c r="B9" s="22">
        <v>304</v>
      </c>
      <c r="C9" s="23">
        <v>0.9</v>
      </c>
      <c r="D9" s="29" t="s">
        <v>45</v>
      </c>
      <c r="E9" s="31" t="s">
        <v>46</v>
      </c>
      <c r="F9" s="22" t="s">
        <v>16</v>
      </c>
      <c r="G9" s="22">
        <v>430</v>
      </c>
      <c r="H9" s="23">
        <v>0.6</v>
      </c>
      <c r="I9" s="22" t="s">
        <v>16</v>
      </c>
      <c r="J9" s="23" t="s">
        <v>16</v>
      </c>
      <c r="K9" s="22" t="s">
        <v>17</v>
      </c>
      <c r="L9" s="26">
        <v>1500</v>
      </c>
      <c r="M9" s="27"/>
      <c r="N9" s="26">
        <f t="shared" si="0"/>
        <v>1500</v>
      </c>
    </row>
    <row r="10" spans="1:14" s="28" customFormat="1" ht="150" customHeight="1" x14ac:dyDescent="0.3">
      <c r="A10" s="22" t="s">
        <v>42</v>
      </c>
      <c r="B10" s="22">
        <v>304</v>
      </c>
      <c r="C10" s="23">
        <v>0.9</v>
      </c>
      <c r="D10" s="29" t="s">
        <v>57</v>
      </c>
      <c r="E10" s="31" t="s">
        <v>47</v>
      </c>
      <c r="F10" s="22" t="s">
        <v>16</v>
      </c>
      <c r="G10" s="22" t="s">
        <v>16</v>
      </c>
      <c r="H10" s="23" t="s">
        <v>16</v>
      </c>
      <c r="I10" s="22" t="s">
        <v>16</v>
      </c>
      <c r="J10" s="23" t="s">
        <v>16</v>
      </c>
      <c r="K10" s="22" t="s">
        <v>17</v>
      </c>
      <c r="L10" s="26">
        <v>1500</v>
      </c>
      <c r="M10" s="27"/>
      <c r="N10" s="26">
        <f t="shared" si="0"/>
        <v>1500</v>
      </c>
    </row>
    <row r="11" spans="1:14" s="28" customFormat="1" ht="150" customHeight="1" x14ac:dyDescent="0.3">
      <c r="A11" s="22">
        <v>160925</v>
      </c>
      <c r="B11" s="22">
        <v>304</v>
      </c>
      <c r="C11" s="23">
        <v>0.9</v>
      </c>
      <c r="D11" s="29" t="s">
        <v>48</v>
      </c>
      <c r="E11" s="31" t="s">
        <v>49</v>
      </c>
      <c r="F11" s="22" t="s">
        <v>16</v>
      </c>
      <c r="G11" s="22">
        <v>430</v>
      </c>
      <c r="H11" s="23">
        <v>0.6</v>
      </c>
      <c r="I11" s="22" t="s">
        <v>16</v>
      </c>
      <c r="J11" s="23" t="s">
        <v>16</v>
      </c>
      <c r="K11" s="22" t="s">
        <v>17</v>
      </c>
      <c r="L11" s="26">
        <v>1100</v>
      </c>
      <c r="M11" s="27"/>
      <c r="N11" s="26">
        <f t="shared" si="0"/>
        <v>1100</v>
      </c>
    </row>
    <row r="12" spans="1:14" s="28" customFormat="1" ht="150" customHeight="1" x14ac:dyDescent="0.3">
      <c r="A12" s="22">
        <v>160925</v>
      </c>
      <c r="B12" s="22">
        <v>304</v>
      </c>
      <c r="C12" s="23">
        <v>0.9</v>
      </c>
      <c r="D12" s="29" t="s">
        <v>50</v>
      </c>
      <c r="E12" s="31" t="s">
        <v>51</v>
      </c>
      <c r="F12" s="22" t="s">
        <v>16</v>
      </c>
      <c r="G12" s="22" t="s">
        <v>52</v>
      </c>
      <c r="H12" s="23" t="s">
        <v>52</v>
      </c>
      <c r="I12" s="22" t="s">
        <v>16</v>
      </c>
      <c r="J12" s="23" t="s">
        <v>16</v>
      </c>
      <c r="K12" s="22" t="s">
        <v>17</v>
      </c>
      <c r="L12" s="26">
        <v>1100</v>
      </c>
      <c r="M12" s="27"/>
      <c r="N12" s="26">
        <f t="shared" si="0"/>
        <v>1100</v>
      </c>
    </row>
    <row r="13" spans="1:14" s="28" customFormat="1" ht="150" customHeight="1" x14ac:dyDescent="0.3">
      <c r="A13" s="22">
        <v>290925</v>
      </c>
      <c r="B13" s="22">
        <v>304</v>
      </c>
      <c r="C13" s="23">
        <v>0.8</v>
      </c>
      <c r="D13" s="29" t="s">
        <v>73</v>
      </c>
      <c r="E13" s="31" t="s">
        <v>70</v>
      </c>
      <c r="F13" s="22" t="s">
        <v>15</v>
      </c>
      <c r="G13" s="22">
        <v>430</v>
      </c>
      <c r="H13" s="23">
        <v>0.6</v>
      </c>
      <c r="I13" s="22" t="s">
        <v>16</v>
      </c>
      <c r="J13" s="23" t="s">
        <v>16</v>
      </c>
      <c r="K13" s="22" t="s">
        <v>17</v>
      </c>
      <c r="L13" s="26">
        <v>4000</v>
      </c>
      <c r="M13" s="27"/>
      <c r="N13" s="26">
        <f t="shared" si="0"/>
        <v>4000</v>
      </c>
    </row>
    <row r="14" spans="1:14" s="28" customFormat="1" ht="150" customHeight="1" x14ac:dyDescent="0.3">
      <c r="A14" s="22">
        <v>290925</v>
      </c>
      <c r="B14" s="22">
        <v>304</v>
      </c>
      <c r="C14" s="23">
        <v>0.8</v>
      </c>
      <c r="D14" s="29" t="s">
        <v>74</v>
      </c>
      <c r="E14" s="31" t="s">
        <v>71</v>
      </c>
      <c r="F14" s="22" t="s">
        <v>16</v>
      </c>
      <c r="G14" s="22" t="s">
        <v>16</v>
      </c>
      <c r="H14" s="23" t="s">
        <v>16</v>
      </c>
      <c r="I14" s="22" t="s">
        <v>16</v>
      </c>
      <c r="J14" s="23" t="s">
        <v>16</v>
      </c>
      <c r="K14" s="22" t="s">
        <v>17</v>
      </c>
      <c r="L14" s="26">
        <v>4000</v>
      </c>
      <c r="M14" s="27"/>
      <c r="N14" s="26">
        <f>L14-M14</f>
        <v>4000</v>
      </c>
    </row>
    <row r="15" spans="1:14" s="28" customFormat="1" ht="150" customHeight="1" x14ac:dyDescent="0.3">
      <c r="A15" s="22">
        <v>290925</v>
      </c>
      <c r="B15" s="22">
        <v>304</v>
      </c>
      <c r="C15" s="23">
        <v>0.8</v>
      </c>
      <c r="D15" s="29" t="s">
        <v>75</v>
      </c>
      <c r="E15" s="31" t="s">
        <v>72</v>
      </c>
      <c r="F15" s="22" t="s">
        <v>15</v>
      </c>
      <c r="G15" s="22">
        <v>430</v>
      </c>
      <c r="H15" s="23">
        <v>0.6</v>
      </c>
      <c r="I15" s="22" t="s">
        <v>16</v>
      </c>
      <c r="J15" s="23" t="s">
        <v>16</v>
      </c>
      <c r="K15" s="22" t="s">
        <v>17</v>
      </c>
      <c r="L15" s="26">
        <v>3000</v>
      </c>
      <c r="M15" s="27"/>
      <c r="N15" s="26">
        <f t="shared" ref="N15:N23" si="1">L15-M15</f>
        <v>3000</v>
      </c>
    </row>
    <row r="16" spans="1:14" s="28" customFormat="1" ht="150" customHeight="1" x14ac:dyDescent="0.3">
      <c r="A16" s="22">
        <v>290925</v>
      </c>
      <c r="B16" s="22">
        <v>304</v>
      </c>
      <c r="C16" s="23">
        <v>0.8</v>
      </c>
      <c r="D16" s="29" t="s">
        <v>65</v>
      </c>
      <c r="E16" s="31" t="s">
        <v>76</v>
      </c>
      <c r="F16" s="22" t="s">
        <v>16</v>
      </c>
      <c r="G16" s="22" t="s">
        <v>16</v>
      </c>
      <c r="H16" s="23" t="s">
        <v>16</v>
      </c>
      <c r="I16" s="22" t="s">
        <v>16</v>
      </c>
      <c r="J16" s="23" t="s">
        <v>16</v>
      </c>
      <c r="K16" s="22" t="s">
        <v>17</v>
      </c>
      <c r="L16" s="26">
        <v>3000</v>
      </c>
      <c r="M16" s="27"/>
      <c r="N16" s="26">
        <f t="shared" si="1"/>
        <v>3000</v>
      </c>
    </row>
    <row r="17" spans="1:14" s="28" customFormat="1" ht="150" customHeight="1" x14ac:dyDescent="0.3">
      <c r="A17" s="5">
        <v>250057</v>
      </c>
      <c r="B17" s="5">
        <v>304</v>
      </c>
      <c r="C17" s="7">
        <v>0.7</v>
      </c>
      <c r="D17" s="5">
        <v>307</v>
      </c>
      <c r="E17" s="32" t="s">
        <v>77</v>
      </c>
      <c r="F17" s="5" t="s">
        <v>61</v>
      </c>
      <c r="G17" s="5">
        <v>304</v>
      </c>
      <c r="H17" s="7" t="s">
        <v>16</v>
      </c>
      <c r="I17" s="5" t="s">
        <v>16</v>
      </c>
      <c r="J17" s="5" t="s">
        <v>16</v>
      </c>
      <c r="K17" s="5" t="s">
        <v>17</v>
      </c>
      <c r="L17" s="9">
        <v>395</v>
      </c>
      <c r="M17" s="27"/>
      <c r="N17" s="26">
        <f t="shared" si="1"/>
        <v>395</v>
      </c>
    </row>
    <row r="18" spans="1:14" s="28" customFormat="1" ht="150" customHeight="1" x14ac:dyDescent="0.3">
      <c r="A18" s="5">
        <v>250057</v>
      </c>
      <c r="B18" s="5">
        <v>304</v>
      </c>
      <c r="C18" s="7">
        <v>0.9</v>
      </c>
      <c r="D18" s="5">
        <v>307</v>
      </c>
      <c r="E18" s="32" t="s">
        <v>78</v>
      </c>
      <c r="F18" s="5" t="s">
        <v>61</v>
      </c>
      <c r="G18" s="5">
        <v>304</v>
      </c>
      <c r="H18" s="7" t="s">
        <v>16</v>
      </c>
      <c r="I18" s="5" t="s">
        <v>16</v>
      </c>
      <c r="J18" s="5" t="s">
        <v>16</v>
      </c>
      <c r="K18" s="5" t="s">
        <v>17</v>
      </c>
      <c r="L18" s="9">
        <v>15</v>
      </c>
      <c r="M18" s="27"/>
      <c r="N18" s="26">
        <f t="shared" si="1"/>
        <v>15</v>
      </c>
    </row>
    <row r="19" spans="1:14" s="28" customFormat="1" ht="150" customHeight="1" x14ac:dyDescent="0.3">
      <c r="A19" s="5">
        <v>250061</v>
      </c>
      <c r="B19" s="5">
        <v>304</v>
      </c>
      <c r="C19" s="7">
        <v>0.7</v>
      </c>
      <c r="D19" s="5">
        <v>265</v>
      </c>
      <c r="E19" s="32" t="s">
        <v>79</v>
      </c>
      <c r="F19" s="5" t="s">
        <v>80</v>
      </c>
      <c r="G19" s="5">
        <v>304</v>
      </c>
      <c r="H19" s="7" t="s">
        <v>16</v>
      </c>
      <c r="I19" s="5" t="s">
        <v>16</v>
      </c>
      <c r="J19" s="5" t="s">
        <v>16</v>
      </c>
      <c r="K19" s="5" t="s">
        <v>17</v>
      </c>
      <c r="L19" s="9">
        <v>525</v>
      </c>
      <c r="M19" s="27"/>
      <c r="N19" s="26">
        <f t="shared" si="1"/>
        <v>525</v>
      </c>
    </row>
    <row r="20" spans="1:14" s="28" customFormat="1" ht="150" customHeight="1" x14ac:dyDescent="0.3">
      <c r="A20" s="5">
        <v>250061</v>
      </c>
      <c r="B20" s="5">
        <v>304</v>
      </c>
      <c r="C20" s="7">
        <v>0.7</v>
      </c>
      <c r="D20" s="5">
        <v>265</v>
      </c>
      <c r="E20" s="32" t="s">
        <v>81</v>
      </c>
      <c r="F20" s="5" t="s">
        <v>80</v>
      </c>
      <c r="G20" s="5">
        <v>304</v>
      </c>
      <c r="H20" s="7" t="s">
        <v>16</v>
      </c>
      <c r="I20" s="5" t="s">
        <v>16</v>
      </c>
      <c r="J20" s="5" t="s">
        <v>16</v>
      </c>
      <c r="K20" s="5" t="s">
        <v>17</v>
      </c>
      <c r="L20" s="9">
        <v>15</v>
      </c>
      <c r="M20" s="27"/>
      <c r="N20" s="26">
        <f t="shared" si="1"/>
        <v>15</v>
      </c>
    </row>
    <row r="21" spans="1:14" s="28" customFormat="1" ht="150" customHeight="1" x14ac:dyDescent="0.3">
      <c r="A21" s="5">
        <v>230925</v>
      </c>
      <c r="B21" s="5">
        <v>430</v>
      </c>
      <c r="C21" s="7">
        <v>0.8</v>
      </c>
      <c r="D21" s="5">
        <v>425</v>
      </c>
      <c r="E21" s="32" t="s">
        <v>82</v>
      </c>
      <c r="F21" s="5" t="s">
        <v>80</v>
      </c>
      <c r="G21" s="5">
        <v>430</v>
      </c>
      <c r="H21" s="7" t="s">
        <v>16</v>
      </c>
      <c r="I21" s="5" t="s">
        <v>16</v>
      </c>
      <c r="J21" s="5" t="s">
        <v>16</v>
      </c>
      <c r="K21" s="5" t="s">
        <v>17</v>
      </c>
      <c r="L21" s="9">
        <v>6000</v>
      </c>
      <c r="M21" s="27"/>
      <c r="N21" s="26">
        <f t="shared" si="1"/>
        <v>6000</v>
      </c>
    </row>
    <row r="22" spans="1:14" s="28" customFormat="1" ht="150" customHeight="1" x14ac:dyDescent="0.3">
      <c r="A22" s="5">
        <v>230925</v>
      </c>
      <c r="B22" s="5">
        <v>430</v>
      </c>
      <c r="C22" s="7">
        <v>0.8</v>
      </c>
      <c r="D22" s="5">
        <v>360</v>
      </c>
      <c r="E22" s="32" t="s">
        <v>83</v>
      </c>
      <c r="F22" s="5" t="s">
        <v>80</v>
      </c>
      <c r="G22" s="5">
        <v>430</v>
      </c>
      <c r="H22" s="7" t="s">
        <v>16</v>
      </c>
      <c r="I22" s="5" t="s">
        <v>16</v>
      </c>
      <c r="J22" s="5" t="s">
        <v>16</v>
      </c>
      <c r="K22" s="5" t="s">
        <v>17</v>
      </c>
      <c r="L22" s="9">
        <v>6000</v>
      </c>
      <c r="M22" s="27"/>
      <c r="N22" s="26">
        <f t="shared" si="1"/>
        <v>6000</v>
      </c>
    </row>
    <row r="23" spans="1:14" s="11" customFormat="1" ht="150" customHeight="1" x14ac:dyDescent="0.3">
      <c r="A23" s="22"/>
      <c r="B23" s="22"/>
      <c r="C23" s="23"/>
      <c r="D23" s="29"/>
      <c r="E23" s="31"/>
      <c r="F23" s="22"/>
      <c r="G23" s="22"/>
      <c r="H23" s="23"/>
      <c r="I23" s="22"/>
      <c r="J23" s="22"/>
      <c r="K23" s="22"/>
      <c r="L23" s="26"/>
      <c r="M23" s="27"/>
      <c r="N23" s="26">
        <f t="shared" si="1"/>
        <v>0</v>
      </c>
    </row>
    <row r="24" spans="1:14" s="11" customFormat="1" ht="150" customHeight="1" x14ac:dyDescent="0.3">
      <c r="A24" s="13"/>
      <c r="B24" s="13"/>
      <c r="C24" s="14"/>
      <c r="D24" s="14"/>
      <c r="E24" s="33"/>
      <c r="F24" s="13"/>
      <c r="G24" s="13"/>
      <c r="H24" s="14"/>
      <c r="I24" s="13"/>
      <c r="J24" s="13"/>
      <c r="K24" s="13"/>
      <c r="L24" s="9">
        <f>SUM(L4:L23)</f>
        <v>38150</v>
      </c>
      <c r="M24" s="16">
        <f>SUM(M4:M23)</f>
        <v>2900</v>
      </c>
      <c r="N24" s="9">
        <f>SUM(N4:N23)</f>
        <v>35250</v>
      </c>
    </row>
    <row r="25" spans="1:14" s="12" customFormat="1" ht="100.05" customHeight="1" x14ac:dyDescent="0.3">
      <c r="A25" s="17"/>
      <c r="B25" s="17"/>
      <c r="C25" s="17"/>
      <c r="D25" s="20"/>
      <c r="E25" s="35"/>
      <c r="F25" s="17"/>
      <c r="G25" s="17"/>
      <c r="H25" s="17"/>
      <c r="I25" s="17"/>
      <c r="J25" s="17"/>
      <c r="K25" s="17"/>
      <c r="L25" s="17"/>
      <c r="M25" s="17"/>
      <c r="N25" s="17"/>
    </row>
    <row r="26" spans="1:14" ht="100.05" customHeight="1" x14ac:dyDescent="0.3"/>
    <row r="27" spans="1:14" s="4" customFormat="1" ht="100.05" customHeight="1" x14ac:dyDescent="0.3">
      <c r="A27" s="17"/>
      <c r="B27" s="17"/>
      <c r="C27" s="17"/>
      <c r="D27" s="20"/>
      <c r="E27" s="35"/>
      <c r="F27" s="17"/>
      <c r="G27" s="17"/>
      <c r="H27" s="17"/>
      <c r="I27" s="17"/>
      <c r="J27" s="17"/>
      <c r="K27" s="17"/>
      <c r="L27" s="17"/>
      <c r="M27" s="17"/>
      <c r="N27" s="17"/>
    </row>
    <row r="28" spans="1:14" s="4" customFormat="1" ht="100.05" customHeight="1" x14ac:dyDescent="0.3">
      <c r="A28" s="17"/>
      <c r="B28" s="17"/>
      <c r="C28" s="17"/>
      <c r="D28" s="20"/>
      <c r="E28" s="35"/>
      <c r="F28" s="17"/>
      <c r="G28" s="17"/>
      <c r="H28" s="17"/>
      <c r="I28" s="17"/>
      <c r="J28" s="17"/>
      <c r="K28" s="17"/>
      <c r="L28" s="17"/>
      <c r="M28" s="17"/>
      <c r="N28" s="17"/>
    </row>
    <row r="29" spans="1:14" s="11" customFormat="1" ht="100.05" customHeight="1" x14ac:dyDescent="0.3">
      <c r="A29" s="17"/>
      <c r="B29" s="17"/>
      <c r="C29" s="17"/>
      <c r="D29" s="20"/>
      <c r="E29" s="35"/>
      <c r="F29" s="17"/>
      <c r="G29" s="17"/>
      <c r="H29" s="17"/>
      <c r="I29" s="17"/>
      <c r="J29" s="17"/>
      <c r="K29" s="17"/>
      <c r="L29" s="17"/>
      <c r="M29" s="17"/>
      <c r="N29" s="17"/>
    </row>
    <row r="30" spans="1:14" s="11" customFormat="1" ht="100.05" customHeight="1" x14ac:dyDescent="0.3">
      <c r="A30" s="17"/>
      <c r="B30" s="17"/>
      <c r="C30" s="17"/>
      <c r="D30" s="20"/>
      <c r="E30" s="35"/>
      <c r="F30" s="17"/>
      <c r="G30" s="17"/>
      <c r="H30" s="17"/>
      <c r="I30" s="17"/>
      <c r="J30" s="17"/>
      <c r="K30" s="17"/>
      <c r="L30" s="17"/>
      <c r="M30" s="17"/>
      <c r="N30" s="17"/>
    </row>
    <row r="31" spans="1:14" s="11" customFormat="1" ht="100.05" customHeight="1" x14ac:dyDescent="0.3">
      <c r="A31" s="17"/>
      <c r="B31" s="17"/>
      <c r="C31" s="17"/>
      <c r="D31" s="20"/>
      <c r="E31" s="35"/>
      <c r="F31" s="17"/>
      <c r="G31" s="17"/>
      <c r="H31" s="17"/>
      <c r="I31" s="17"/>
      <c r="J31" s="17"/>
      <c r="K31" s="17"/>
      <c r="L31" s="17"/>
      <c r="M31" s="17"/>
      <c r="N31" s="17"/>
    </row>
    <row r="32" spans="1:14" s="11" customFormat="1" ht="100.05" customHeight="1" x14ac:dyDescent="0.3">
      <c r="A32" s="17"/>
      <c r="B32" s="17"/>
      <c r="C32" s="17"/>
      <c r="D32" s="20"/>
      <c r="E32" s="35"/>
      <c r="F32" s="17"/>
      <c r="G32" s="17"/>
      <c r="H32" s="17"/>
      <c r="I32" s="17"/>
      <c r="J32" s="17"/>
      <c r="K32" s="17"/>
      <c r="L32" s="17"/>
      <c r="M32" s="17"/>
      <c r="N32" s="17"/>
    </row>
    <row r="33" spans="1:14" s="11" customFormat="1" ht="100.05" customHeight="1" x14ac:dyDescent="0.3">
      <c r="A33" s="17"/>
      <c r="B33" s="17"/>
      <c r="C33" s="17"/>
      <c r="D33" s="20"/>
      <c r="E33" s="35"/>
      <c r="F33" s="17"/>
      <c r="G33" s="17"/>
      <c r="H33" s="17"/>
      <c r="I33" s="17"/>
      <c r="J33" s="17"/>
      <c r="K33" s="17"/>
      <c r="L33" s="17"/>
      <c r="M33" s="17"/>
      <c r="N33" s="17"/>
    </row>
    <row r="34" spans="1:14" s="11" customFormat="1" ht="100.05" customHeight="1" x14ac:dyDescent="0.3">
      <c r="A34" s="17"/>
      <c r="B34" s="17"/>
      <c r="C34" s="17"/>
      <c r="D34" s="20"/>
      <c r="E34" s="35"/>
      <c r="F34" s="17"/>
      <c r="G34" s="17"/>
      <c r="H34" s="17"/>
      <c r="I34" s="17"/>
      <c r="J34" s="17"/>
      <c r="K34" s="17"/>
      <c r="L34" s="17"/>
      <c r="M34" s="17"/>
      <c r="N34" s="17"/>
    </row>
    <row r="35" spans="1:14" s="11" customFormat="1" ht="100.05" customHeight="1" x14ac:dyDescent="0.3">
      <c r="A35" s="17"/>
      <c r="B35" s="17"/>
      <c r="C35" s="17"/>
      <c r="D35" s="20"/>
      <c r="E35" s="35"/>
      <c r="F35" s="17"/>
      <c r="G35" s="17"/>
      <c r="H35" s="17"/>
      <c r="I35" s="17"/>
      <c r="J35" s="17"/>
      <c r="K35" s="17"/>
      <c r="L35" s="17"/>
      <c r="M35" s="17"/>
      <c r="N35" s="17"/>
    </row>
    <row r="36" spans="1:14" s="11" customFormat="1" ht="100.05" customHeight="1" x14ac:dyDescent="0.3">
      <c r="A36" s="17"/>
      <c r="B36" s="17"/>
      <c r="C36" s="17"/>
      <c r="D36" s="20"/>
      <c r="E36" s="35"/>
      <c r="F36" s="17"/>
      <c r="G36" s="17"/>
      <c r="H36" s="17"/>
      <c r="I36" s="17"/>
      <c r="J36" s="17"/>
      <c r="K36" s="17"/>
      <c r="L36" s="17"/>
      <c r="M36" s="17"/>
      <c r="N36" s="17"/>
    </row>
    <row r="37" spans="1:14" s="11" customFormat="1" ht="100.05" customHeight="1" x14ac:dyDescent="0.3">
      <c r="A37" s="17"/>
      <c r="B37" s="17"/>
      <c r="C37" s="17"/>
      <c r="D37" s="20"/>
      <c r="E37" s="35"/>
      <c r="F37" s="17"/>
      <c r="G37" s="17"/>
      <c r="H37" s="17"/>
      <c r="I37" s="17"/>
      <c r="J37" s="17"/>
      <c r="K37" s="17"/>
      <c r="L37" s="17"/>
      <c r="M37" s="17"/>
      <c r="N37" s="17"/>
    </row>
    <row r="38" spans="1:14" s="11" customFormat="1" ht="100.05" customHeight="1" x14ac:dyDescent="0.3">
      <c r="A38" s="17"/>
      <c r="B38" s="17"/>
      <c r="C38" s="17"/>
      <c r="D38" s="20"/>
      <c r="E38" s="35"/>
      <c r="F38" s="17"/>
      <c r="G38" s="17"/>
      <c r="H38" s="17"/>
      <c r="I38" s="17"/>
      <c r="J38" s="17"/>
      <c r="K38" s="17"/>
      <c r="L38" s="17"/>
      <c r="M38" s="17"/>
      <c r="N38" s="17"/>
    </row>
  </sheetData>
  <mergeCells count="3">
    <mergeCell ref="A1:C1"/>
    <mergeCell ref="K1:N1"/>
    <mergeCell ref="A2:N2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18" orientation="portrait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6"/>
  <sheetViews>
    <sheetView zoomScale="25" zoomScaleNormal="25" workbookViewId="0">
      <selection activeCell="M7" sqref="M7"/>
    </sheetView>
  </sheetViews>
  <sheetFormatPr defaultColWidth="8.88671875" defaultRowHeight="14.4" x14ac:dyDescent="0.3"/>
  <cols>
    <col min="1" max="1" width="41.77734375" style="17" customWidth="1"/>
    <col min="2" max="2" width="19.6640625" style="17" customWidth="1"/>
    <col min="3" max="3" width="29.21875" style="17" customWidth="1"/>
    <col min="4" max="4" width="28.6640625" style="20" customWidth="1"/>
    <col min="5" max="5" width="162.109375" style="35" customWidth="1"/>
    <col min="6" max="6" width="32.109375" style="17" bestFit="1" customWidth="1"/>
    <col min="7" max="7" width="21.88671875" style="17" bestFit="1" customWidth="1"/>
    <col min="8" max="8" width="26.6640625" style="17" bestFit="1" customWidth="1"/>
    <col min="9" max="9" width="40.109375" style="17" bestFit="1" customWidth="1"/>
    <col min="10" max="10" width="37.88671875" style="17" customWidth="1"/>
    <col min="11" max="11" width="25.6640625" style="17" customWidth="1"/>
    <col min="12" max="14" width="26.77734375" style="17" bestFit="1" customWidth="1"/>
    <col min="15" max="16384" width="8.88671875" style="18"/>
  </cols>
  <sheetData>
    <row r="1" spans="1:14" s="3" customFormat="1" ht="100.05" customHeight="1" x14ac:dyDescent="0.95">
      <c r="A1" s="37"/>
      <c r="B1" s="37"/>
      <c r="C1" s="37"/>
      <c r="D1" s="19"/>
      <c r="E1" s="34"/>
      <c r="F1" s="1"/>
      <c r="G1" s="1"/>
      <c r="H1" s="1"/>
      <c r="I1" s="1"/>
      <c r="J1" s="2" t="s">
        <v>0</v>
      </c>
      <c r="K1" s="38">
        <v>45939</v>
      </c>
      <c r="L1" s="38"/>
      <c r="M1" s="38"/>
      <c r="N1" s="38"/>
    </row>
    <row r="2" spans="1:14" s="4" customFormat="1" ht="100.05" customHeight="1" x14ac:dyDescent="0.3">
      <c r="A2" s="39" t="s">
        <v>69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</row>
    <row r="3" spans="1:14" s="4" customFormat="1" ht="150" customHeight="1" x14ac:dyDescent="0.3">
      <c r="A3" s="5" t="s">
        <v>1</v>
      </c>
      <c r="B3" s="5" t="s">
        <v>2</v>
      </c>
      <c r="C3" s="6" t="s">
        <v>3</v>
      </c>
      <c r="D3" s="7" t="s">
        <v>4</v>
      </c>
      <c r="E3" s="32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6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s="28" customFormat="1" ht="150" customHeight="1" x14ac:dyDescent="0.3">
      <c r="A4" s="22" t="s">
        <v>42</v>
      </c>
      <c r="B4" s="22">
        <v>304</v>
      </c>
      <c r="C4" s="23">
        <v>0.9</v>
      </c>
      <c r="D4" s="29" t="s">
        <v>54</v>
      </c>
      <c r="E4" s="31" t="s">
        <v>55</v>
      </c>
      <c r="F4" s="22" t="s">
        <v>16</v>
      </c>
      <c r="G4" s="22" t="s">
        <v>16</v>
      </c>
      <c r="H4" s="23" t="s">
        <v>16</v>
      </c>
      <c r="I4" s="22" t="s">
        <v>16</v>
      </c>
      <c r="J4" s="23" t="s">
        <v>16</v>
      </c>
      <c r="K4" s="22" t="s">
        <v>17</v>
      </c>
      <c r="L4" s="26">
        <v>1200</v>
      </c>
      <c r="M4" s="27">
        <f>900+400</f>
        <v>1300</v>
      </c>
      <c r="N4" s="36">
        <f t="shared" ref="N4:N13" si="0">L4-M4</f>
        <v>-100</v>
      </c>
    </row>
    <row r="5" spans="1:14" s="28" customFormat="1" ht="150" customHeight="1" x14ac:dyDescent="0.3">
      <c r="A5" s="22" t="s">
        <v>42</v>
      </c>
      <c r="B5" s="22">
        <v>304</v>
      </c>
      <c r="C5" s="23">
        <v>0.9</v>
      </c>
      <c r="D5" s="29" t="s">
        <v>57</v>
      </c>
      <c r="E5" s="31" t="s">
        <v>43</v>
      </c>
      <c r="F5" s="22" t="s">
        <v>16</v>
      </c>
      <c r="G5" s="22">
        <v>430</v>
      </c>
      <c r="H5" s="23">
        <v>0.6</v>
      </c>
      <c r="I5" s="22" t="s">
        <v>16</v>
      </c>
      <c r="J5" s="23" t="s">
        <v>16</v>
      </c>
      <c r="K5" s="22" t="s">
        <v>17</v>
      </c>
      <c r="L5" s="26">
        <v>1500</v>
      </c>
      <c r="M5" s="27">
        <v>1600</v>
      </c>
      <c r="N5" s="36">
        <f t="shared" si="0"/>
        <v>-100</v>
      </c>
    </row>
    <row r="6" spans="1:14" s="28" customFormat="1" ht="150" customHeight="1" x14ac:dyDescent="0.3">
      <c r="A6" s="22" t="s">
        <v>42</v>
      </c>
      <c r="B6" s="22">
        <v>304</v>
      </c>
      <c r="C6" s="23">
        <v>0.9</v>
      </c>
      <c r="D6" s="29" t="s">
        <v>58</v>
      </c>
      <c r="E6" s="31" t="s">
        <v>44</v>
      </c>
      <c r="F6" s="22" t="s">
        <v>16</v>
      </c>
      <c r="G6" s="22" t="s">
        <v>16</v>
      </c>
      <c r="H6" s="23" t="s">
        <v>16</v>
      </c>
      <c r="I6" s="22" t="s">
        <v>16</v>
      </c>
      <c r="J6" s="23" t="s">
        <v>16</v>
      </c>
      <c r="K6" s="22" t="s">
        <v>17</v>
      </c>
      <c r="L6" s="26">
        <v>1500</v>
      </c>
      <c r="M6" s="27">
        <v>200</v>
      </c>
      <c r="N6" s="26">
        <f t="shared" si="0"/>
        <v>1300</v>
      </c>
    </row>
    <row r="7" spans="1:14" s="28" customFormat="1" ht="150" customHeight="1" x14ac:dyDescent="0.3">
      <c r="A7" s="22" t="s">
        <v>42</v>
      </c>
      <c r="B7" s="22">
        <v>304</v>
      </c>
      <c r="C7" s="23">
        <v>0.9</v>
      </c>
      <c r="D7" s="29" t="s">
        <v>45</v>
      </c>
      <c r="E7" s="31" t="s">
        <v>46</v>
      </c>
      <c r="F7" s="22" t="s">
        <v>16</v>
      </c>
      <c r="G7" s="22">
        <v>430</v>
      </c>
      <c r="H7" s="23">
        <v>0.6</v>
      </c>
      <c r="I7" s="22" t="s">
        <v>16</v>
      </c>
      <c r="J7" s="23" t="s">
        <v>16</v>
      </c>
      <c r="K7" s="22" t="s">
        <v>17</v>
      </c>
      <c r="L7" s="26">
        <v>1500</v>
      </c>
      <c r="M7" s="27"/>
      <c r="N7" s="26">
        <f t="shared" si="0"/>
        <v>1500</v>
      </c>
    </row>
    <row r="8" spans="1:14" s="28" customFormat="1" ht="150" customHeight="1" x14ac:dyDescent="0.3">
      <c r="A8" s="22" t="s">
        <v>42</v>
      </c>
      <c r="B8" s="22">
        <v>304</v>
      </c>
      <c r="C8" s="23">
        <v>0.9</v>
      </c>
      <c r="D8" s="29" t="s">
        <v>57</v>
      </c>
      <c r="E8" s="31" t="s">
        <v>47</v>
      </c>
      <c r="F8" s="22" t="s">
        <v>16</v>
      </c>
      <c r="G8" s="22" t="s">
        <v>16</v>
      </c>
      <c r="H8" s="23" t="s">
        <v>16</v>
      </c>
      <c r="I8" s="22" t="s">
        <v>16</v>
      </c>
      <c r="J8" s="23" t="s">
        <v>16</v>
      </c>
      <c r="K8" s="22" t="s">
        <v>17</v>
      </c>
      <c r="L8" s="26">
        <v>1500</v>
      </c>
      <c r="M8" s="27"/>
      <c r="N8" s="26">
        <f t="shared" si="0"/>
        <v>1500</v>
      </c>
    </row>
    <row r="9" spans="1:14" s="28" customFormat="1" ht="150" customHeight="1" x14ac:dyDescent="0.3">
      <c r="A9" s="22">
        <v>160925</v>
      </c>
      <c r="B9" s="22">
        <v>304</v>
      </c>
      <c r="C9" s="23">
        <v>0.9</v>
      </c>
      <c r="D9" s="29" t="s">
        <v>48</v>
      </c>
      <c r="E9" s="31" t="s">
        <v>49</v>
      </c>
      <c r="F9" s="22" t="s">
        <v>16</v>
      </c>
      <c r="G9" s="22">
        <v>430</v>
      </c>
      <c r="H9" s="23">
        <v>0.6</v>
      </c>
      <c r="I9" s="22" t="s">
        <v>16</v>
      </c>
      <c r="J9" s="23" t="s">
        <v>16</v>
      </c>
      <c r="K9" s="22" t="s">
        <v>17</v>
      </c>
      <c r="L9" s="26">
        <v>1100</v>
      </c>
      <c r="M9" s="27"/>
      <c r="N9" s="26">
        <f t="shared" si="0"/>
        <v>1100</v>
      </c>
    </row>
    <row r="10" spans="1:14" s="28" customFormat="1" ht="150" customHeight="1" x14ac:dyDescent="0.3">
      <c r="A10" s="22">
        <v>160925</v>
      </c>
      <c r="B10" s="22">
        <v>304</v>
      </c>
      <c r="C10" s="23">
        <v>0.9</v>
      </c>
      <c r="D10" s="29" t="s">
        <v>50</v>
      </c>
      <c r="E10" s="31" t="s">
        <v>51</v>
      </c>
      <c r="F10" s="22" t="s">
        <v>16</v>
      </c>
      <c r="G10" s="22" t="s">
        <v>52</v>
      </c>
      <c r="H10" s="23" t="s">
        <v>52</v>
      </c>
      <c r="I10" s="22" t="s">
        <v>16</v>
      </c>
      <c r="J10" s="23" t="s">
        <v>16</v>
      </c>
      <c r="K10" s="22" t="s">
        <v>17</v>
      </c>
      <c r="L10" s="26">
        <v>1100</v>
      </c>
      <c r="M10" s="27"/>
      <c r="N10" s="26">
        <f t="shared" si="0"/>
        <v>1100</v>
      </c>
    </row>
    <row r="11" spans="1:14" s="28" customFormat="1" ht="150" customHeight="1" x14ac:dyDescent="0.3">
      <c r="A11" s="22">
        <v>290925</v>
      </c>
      <c r="B11" s="22">
        <v>304</v>
      </c>
      <c r="C11" s="23">
        <v>0.8</v>
      </c>
      <c r="D11" s="29" t="s">
        <v>73</v>
      </c>
      <c r="E11" s="31" t="s">
        <v>70</v>
      </c>
      <c r="F11" s="22" t="s">
        <v>15</v>
      </c>
      <c r="G11" s="22">
        <v>430</v>
      </c>
      <c r="H11" s="23">
        <v>0.6</v>
      </c>
      <c r="I11" s="22" t="s">
        <v>16</v>
      </c>
      <c r="J11" s="23" t="s">
        <v>16</v>
      </c>
      <c r="K11" s="22" t="s">
        <v>17</v>
      </c>
      <c r="L11" s="26">
        <v>4000</v>
      </c>
      <c r="M11" s="27"/>
      <c r="N11" s="26">
        <f t="shared" si="0"/>
        <v>4000</v>
      </c>
    </row>
    <row r="12" spans="1:14" s="28" customFormat="1" ht="150" customHeight="1" x14ac:dyDescent="0.3">
      <c r="A12" s="22">
        <v>290925</v>
      </c>
      <c r="B12" s="22">
        <v>304</v>
      </c>
      <c r="C12" s="23">
        <v>0.8</v>
      </c>
      <c r="D12" s="29" t="s">
        <v>74</v>
      </c>
      <c r="E12" s="31" t="s">
        <v>71</v>
      </c>
      <c r="F12" s="22" t="s">
        <v>16</v>
      </c>
      <c r="G12" s="22" t="s">
        <v>16</v>
      </c>
      <c r="H12" s="23" t="s">
        <v>16</v>
      </c>
      <c r="I12" s="22" t="s">
        <v>16</v>
      </c>
      <c r="J12" s="23" t="s">
        <v>16</v>
      </c>
      <c r="K12" s="22" t="s">
        <v>17</v>
      </c>
      <c r="L12" s="26">
        <v>4000</v>
      </c>
      <c r="M12" s="27"/>
      <c r="N12" s="26">
        <f t="shared" si="0"/>
        <v>4000</v>
      </c>
    </row>
    <row r="13" spans="1:14" s="28" customFormat="1" ht="150" customHeight="1" x14ac:dyDescent="0.3">
      <c r="A13" s="22">
        <v>290925</v>
      </c>
      <c r="B13" s="22">
        <v>304</v>
      </c>
      <c r="C13" s="23">
        <v>0.8</v>
      </c>
      <c r="D13" s="29" t="s">
        <v>75</v>
      </c>
      <c r="E13" s="31" t="s">
        <v>72</v>
      </c>
      <c r="F13" s="22" t="s">
        <v>15</v>
      </c>
      <c r="G13" s="22">
        <v>430</v>
      </c>
      <c r="H13" s="23">
        <v>0.6</v>
      </c>
      <c r="I13" s="22" t="s">
        <v>16</v>
      </c>
      <c r="J13" s="23" t="s">
        <v>16</v>
      </c>
      <c r="K13" s="22" t="s">
        <v>17</v>
      </c>
      <c r="L13" s="26">
        <v>3000</v>
      </c>
      <c r="M13" s="27"/>
      <c r="N13" s="26">
        <f t="shared" si="0"/>
        <v>3000</v>
      </c>
    </row>
    <row r="14" spans="1:14" s="28" customFormat="1" ht="150" customHeight="1" x14ac:dyDescent="0.3">
      <c r="A14" s="22">
        <v>290925</v>
      </c>
      <c r="B14" s="22">
        <v>304</v>
      </c>
      <c r="C14" s="23">
        <v>0.8</v>
      </c>
      <c r="D14" s="29" t="s">
        <v>65</v>
      </c>
      <c r="E14" s="31" t="s">
        <v>76</v>
      </c>
      <c r="F14" s="22" t="s">
        <v>16</v>
      </c>
      <c r="G14" s="22" t="s">
        <v>16</v>
      </c>
      <c r="H14" s="23" t="s">
        <v>16</v>
      </c>
      <c r="I14" s="22" t="s">
        <v>16</v>
      </c>
      <c r="J14" s="23" t="s">
        <v>16</v>
      </c>
      <c r="K14" s="22" t="s">
        <v>17</v>
      </c>
      <c r="L14" s="26">
        <v>3000</v>
      </c>
      <c r="M14" s="27"/>
      <c r="N14" s="26">
        <f>L14-M14</f>
        <v>3000</v>
      </c>
    </row>
    <row r="15" spans="1:14" s="28" customFormat="1" ht="150" customHeight="1" x14ac:dyDescent="0.3">
      <c r="A15" s="5">
        <v>250057</v>
      </c>
      <c r="B15" s="5">
        <v>304</v>
      </c>
      <c r="C15" s="7">
        <v>0.7</v>
      </c>
      <c r="D15" s="5">
        <v>307</v>
      </c>
      <c r="E15" s="32" t="s">
        <v>77</v>
      </c>
      <c r="F15" s="5" t="s">
        <v>61</v>
      </c>
      <c r="G15" s="5">
        <v>304</v>
      </c>
      <c r="H15" s="7" t="s">
        <v>16</v>
      </c>
      <c r="I15" s="5" t="s">
        <v>16</v>
      </c>
      <c r="J15" s="5" t="s">
        <v>16</v>
      </c>
      <c r="K15" s="5" t="s">
        <v>17</v>
      </c>
      <c r="L15" s="9">
        <v>395</v>
      </c>
      <c r="M15" s="27"/>
      <c r="N15" s="26">
        <f t="shared" ref="N15:N21" si="1">L15-M15</f>
        <v>395</v>
      </c>
    </row>
    <row r="16" spans="1:14" s="28" customFormat="1" ht="150" customHeight="1" x14ac:dyDescent="0.3">
      <c r="A16" s="5">
        <v>250057</v>
      </c>
      <c r="B16" s="5">
        <v>304</v>
      </c>
      <c r="C16" s="7">
        <v>0.9</v>
      </c>
      <c r="D16" s="5">
        <v>307</v>
      </c>
      <c r="E16" s="32" t="s">
        <v>78</v>
      </c>
      <c r="F16" s="5" t="s">
        <v>61</v>
      </c>
      <c r="G16" s="5">
        <v>304</v>
      </c>
      <c r="H16" s="7" t="s">
        <v>16</v>
      </c>
      <c r="I16" s="5" t="s">
        <v>16</v>
      </c>
      <c r="J16" s="5" t="s">
        <v>16</v>
      </c>
      <c r="K16" s="5" t="s">
        <v>17</v>
      </c>
      <c r="L16" s="9">
        <v>15</v>
      </c>
      <c r="M16" s="27"/>
      <c r="N16" s="26">
        <f t="shared" si="1"/>
        <v>15</v>
      </c>
    </row>
    <row r="17" spans="1:14" s="28" customFormat="1" ht="150" customHeight="1" x14ac:dyDescent="0.3">
      <c r="A17" s="5">
        <v>250061</v>
      </c>
      <c r="B17" s="5">
        <v>304</v>
      </c>
      <c r="C17" s="7">
        <v>0.7</v>
      </c>
      <c r="D17" s="5">
        <v>265</v>
      </c>
      <c r="E17" s="32" t="s">
        <v>79</v>
      </c>
      <c r="F17" s="5" t="s">
        <v>80</v>
      </c>
      <c r="G17" s="5">
        <v>304</v>
      </c>
      <c r="H17" s="7" t="s">
        <v>16</v>
      </c>
      <c r="I17" s="5" t="s">
        <v>16</v>
      </c>
      <c r="J17" s="5" t="s">
        <v>16</v>
      </c>
      <c r="K17" s="5" t="s">
        <v>17</v>
      </c>
      <c r="L17" s="9">
        <v>525</v>
      </c>
      <c r="M17" s="27"/>
      <c r="N17" s="26">
        <f t="shared" si="1"/>
        <v>525</v>
      </c>
    </row>
    <row r="18" spans="1:14" s="28" customFormat="1" ht="150" customHeight="1" x14ac:dyDescent="0.3">
      <c r="A18" s="5">
        <v>250061</v>
      </c>
      <c r="B18" s="5">
        <v>304</v>
      </c>
      <c r="C18" s="7">
        <v>0.7</v>
      </c>
      <c r="D18" s="5">
        <v>265</v>
      </c>
      <c r="E18" s="32" t="s">
        <v>81</v>
      </c>
      <c r="F18" s="5" t="s">
        <v>80</v>
      </c>
      <c r="G18" s="5">
        <v>304</v>
      </c>
      <c r="H18" s="7" t="s">
        <v>16</v>
      </c>
      <c r="I18" s="5" t="s">
        <v>16</v>
      </c>
      <c r="J18" s="5" t="s">
        <v>16</v>
      </c>
      <c r="K18" s="5" t="s">
        <v>17</v>
      </c>
      <c r="L18" s="9">
        <v>15</v>
      </c>
      <c r="M18" s="27"/>
      <c r="N18" s="26">
        <f t="shared" si="1"/>
        <v>15</v>
      </c>
    </row>
    <row r="19" spans="1:14" s="28" customFormat="1" ht="150" customHeight="1" x14ac:dyDescent="0.3">
      <c r="A19" s="5">
        <v>230925</v>
      </c>
      <c r="B19" s="5">
        <v>430</v>
      </c>
      <c r="C19" s="7">
        <v>0.8</v>
      </c>
      <c r="D19" s="5">
        <v>425</v>
      </c>
      <c r="E19" s="32" t="s">
        <v>82</v>
      </c>
      <c r="F19" s="5" t="s">
        <v>80</v>
      </c>
      <c r="G19" s="5">
        <v>430</v>
      </c>
      <c r="H19" s="7" t="s">
        <v>16</v>
      </c>
      <c r="I19" s="5" t="s">
        <v>16</v>
      </c>
      <c r="J19" s="5" t="s">
        <v>16</v>
      </c>
      <c r="K19" s="5" t="s">
        <v>17</v>
      </c>
      <c r="L19" s="9">
        <v>6000</v>
      </c>
      <c r="M19" s="27"/>
      <c r="N19" s="26">
        <f t="shared" si="1"/>
        <v>6000</v>
      </c>
    </row>
    <row r="20" spans="1:14" s="28" customFormat="1" ht="150" customHeight="1" x14ac:dyDescent="0.3">
      <c r="A20" s="5">
        <v>230925</v>
      </c>
      <c r="B20" s="5">
        <v>430</v>
      </c>
      <c r="C20" s="7">
        <v>0.8</v>
      </c>
      <c r="D20" s="5">
        <v>360</v>
      </c>
      <c r="E20" s="32" t="s">
        <v>83</v>
      </c>
      <c r="F20" s="5" t="s">
        <v>80</v>
      </c>
      <c r="G20" s="5">
        <v>430</v>
      </c>
      <c r="H20" s="7" t="s">
        <v>16</v>
      </c>
      <c r="I20" s="5" t="s">
        <v>16</v>
      </c>
      <c r="J20" s="5" t="s">
        <v>16</v>
      </c>
      <c r="K20" s="5" t="s">
        <v>17</v>
      </c>
      <c r="L20" s="9">
        <v>6000</v>
      </c>
      <c r="M20" s="27"/>
      <c r="N20" s="26">
        <f t="shared" si="1"/>
        <v>6000</v>
      </c>
    </row>
    <row r="21" spans="1:14" s="11" customFormat="1" ht="150" customHeight="1" x14ac:dyDescent="0.3">
      <c r="A21" s="22"/>
      <c r="B21" s="22"/>
      <c r="C21" s="23"/>
      <c r="D21" s="29"/>
      <c r="E21" s="31"/>
      <c r="F21" s="22"/>
      <c r="G21" s="22"/>
      <c r="H21" s="23"/>
      <c r="I21" s="22"/>
      <c r="J21" s="22"/>
      <c r="K21" s="22"/>
      <c r="L21" s="26"/>
      <c r="M21" s="27"/>
      <c r="N21" s="26">
        <f t="shared" si="1"/>
        <v>0</v>
      </c>
    </row>
    <row r="22" spans="1:14" s="11" customFormat="1" ht="150" customHeight="1" x14ac:dyDescent="0.3">
      <c r="A22" s="13"/>
      <c r="B22" s="13"/>
      <c r="C22" s="14"/>
      <c r="D22" s="14"/>
      <c r="E22" s="33"/>
      <c r="F22" s="13"/>
      <c r="G22" s="13"/>
      <c r="H22" s="14"/>
      <c r="I22" s="13"/>
      <c r="J22" s="13"/>
      <c r="K22" s="13"/>
      <c r="L22" s="9">
        <f>SUM(L4:L21)</f>
        <v>36350</v>
      </c>
      <c r="M22" s="16">
        <f>SUM(M4:M21)</f>
        <v>3100</v>
      </c>
      <c r="N22" s="9">
        <f>SUM(N4:N21)</f>
        <v>33250</v>
      </c>
    </row>
    <row r="23" spans="1:14" s="12" customFormat="1" ht="100.05" customHeight="1" x14ac:dyDescent="0.3">
      <c r="A23" s="17"/>
      <c r="B23" s="17"/>
      <c r="C23" s="17"/>
      <c r="D23" s="20"/>
      <c r="E23" s="35"/>
      <c r="F23" s="17"/>
      <c r="G23" s="17"/>
      <c r="H23" s="17"/>
      <c r="I23" s="17"/>
      <c r="J23" s="17"/>
      <c r="K23" s="17"/>
      <c r="L23" s="17"/>
      <c r="M23" s="17"/>
      <c r="N23" s="17"/>
    </row>
    <row r="24" spans="1:14" ht="100.05" customHeight="1" x14ac:dyDescent="0.3"/>
    <row r="25" spans="1:14" s="4" customFormat="1" ht="100.05" customHeight="1" x14ac:dyDescent="0.3">
      <c r="A25" s="17"/>
      <c r="B25" s="17"/>
      <c r="C25" s="17"/>
      <c r="D25" s="20"/>
      <c r="E25" s="35"/>
      <c r="F25" s="17"/>
      <c r="G25" s="17"/>
      <c r="H25" s="17"/>
      <c r="I25" s="17"/>
      <c r="J25" s="17"/>
      <c r="K25" s="17"/>
      <c r="L25" s="17"/>
      <c r="M25" s="17"/>
      <c r="N25" s="17"/>
    </row>
    <row r="26" spans="1:14" s="4" customFormat="1" ht="100.05" customHeight="1" x14ac:dyDescent="0.3">
      <c r="A26" s="17"/>
      <c r="B26" s="17"/>
      <c r="C26" s="17"/>
      <c r="D26" s="20"/>
      <c r="E26" s="35"/>
      <c r="F26" s="17"/>
      <c r="G26" s="17"/>
      <c r="H26" s="17"/>
      <c r="I26" s="17"/>
      <c r="J26" s="17"/>
      <c r="K26" s="17"/>
      <c r="L26" s="17"/>
      <c r="M26" s="17"/>
      <c r="N26" s="17"/>
    </row>
    <row r="27" spans="1:14" s="11" customFormat="1" ht="100.05" customHeight="1" x14ac:dyDescent="0.3">
      <c r="A27" s="17"/>
      <c r="B27" s="17"/>
      <c r="C27" s="17"/>
      <c r="D27" s="20"/>
      <c r="E27" s="35"/>
      <c r="F27" s="17"/>
      <c r="G27" s="17"/>
      <c r="H27" s="17"/>
      <c r="I27" s="17"/>
      <c r="J27" s="17"/>
      <c r="K27" s="17"/>
      <c r="L27" s="17"/>
      <c r="M27" s="17"/>
      <c r="N27" s="17"/>
    </row>
    <row r="28" spans="1:14" s="11" customFormat="1" ht="100.05" customHeight="1" x14ac:dyDescent="0.3">
      <c r="A28" s="17"/>
      <c r="B28" s="17"/>
      <c r="C28" s="17"/>
      <c r="D28" s="20"/>
      <c r="E28" s="35"/>
      <c r="F28" s="17"/>
      <c r="G28" s="17"/>
      <c r="H28" s="17"/>
      <c r="I28" s="17"/>
      <c r="J28" s="17"/>
      <c r="K28" s="17"/>
      <c r="L28" s="17"/>
      <c r="M28" s="17"/>
      <c r="N28" s="17"/>
    </row>
    <row r="29" spans="1:14" s="11" customFormat="1" ht="100.05" customHeight="1" x14ac:dyDescent="0.3">
      <c r="A29" s="17"/>
      <c r="B29" s="17"/>
      <c r="C29" s="17"/>
      <c r="D29" s="20"/>
      <c r="E29" s="35"/>
      <c r="F29" s="17"/>
      <c r="G29" s="17"/>
      <c r="H29" s="17"/>
      <c r="I29" s="17"/>
      <c r="J29" s="17"/>
      <c r="K29" s="17"/>
      <c r="L29" s="17"/>
      <c r="M29" s="17"/>
      <c r="N29" s="17"/>
    </row>
    <row r="30" spans="1:14" s="11" customFormat="1" ht="100.05" customHeight="1" x14ac:dyDescent="0.3">
      <c r="A30" s="17"/>
      <c r="B30" s="17"/>
      <c r="C30" s="17"/>
      <c r="D30" s="20"/>
      <c r="E30" s="35"/>
      <c r="F30" s="17"/>
      <c r="G30" s="17"/>
      <c r="H30" s="17"/>
      <c r="I30" s="17"/>
      <c r="J30" s="17"/>
      <c r="K30" s="17"/>
      <c r="L30" s="17"/>
      <c r="M30" s="17"/>
      <c r="N30" s="17"/>
    </row>
    <row r="31" spans="1:14" s="11" customFormat="1" ht="100.05" customHeight="1" x14ac:dyDescent="0.3">
      <c r="A31" s="17"/>
      <c r="B31" s="17"/>
      <c r="C31" s="17"/>
      <c r="D31" s="20"/>
      <c r="E31" s="35"/>
      <c r="F31" s="17"/>
      <c r="G31" s="17"/>
      <c r="H31" s="17"/>
      <c r="I31" s="17"/>
      <c r="J31" s="17"/>
      <c r="K31" s="17"/>
      <c r="L31" s="17"/>
      <c r="M31" s="17"/>
      <c r="N31" s="17"/>
    </row>
    <row r="32" spans="1:14" s="11" customFormat="1" ht="100.05" customHeight="1" x14ac:dyDescent="0.3">
      <c r="A32" s="17"/>
      <c r="B32" s="17"/>
      <c r="C32" s="17"/>
      <c r="D32" s="20"/>
      <c r="E32" s="35"/>
      <c r="F32" s="17"/>
      <c r="G32" s="17"/>
      <c r="H32" s="17"/>
      <c r="I32" s="17"/>
      <c r="J32" s="17"/>
      <c r="K32" s="17"/>
      <c r="L32" s="17"/>
      <c r="M32" s="17"/>
      <c r="N32" s="17"/>
    </row>
    <row r="33" spans="1:14" s="11" customFormat="1" ht="100.05" customHeight="1" x14ac:dyDescent="0.3">
      <c r="A33" s="17"/>
      <c r="B33" s="17"/>
      <c r="C33" s="17"/>
      <c r="D33" s="20"/>
      <c r="E33" s="35"/>
      <c r="F33" s="17"/>
      <c r="G33" s="17"/>
      <c r="H33" s="17"/>
      <c r="I33" s="17"/>
      <c r="J33" s="17"/>
      <c r="K33" s="17"/>
      <c r="L33" s="17"/>
      <c r="M33" s="17"/>
      <c r="N33" s="17"/>
    </row>
    <row r="34" spans="1:14" s="11" customFormat="1" ht="100.05" customHeight="1" x14ac:dyDescent="0.3">
      <c r="A34" s="17"/>
      <c r="B34" s="17"/>
      <c r="C34" s="17"/>
      <c r="D34" s="20"/>
      <c r="E34" s="35"/>
      <c r="F34" s="17"/>
      <c r="G34" s="17"/>
      <c r="H34" s="17"/>
      <c r="I34" s="17"/>
      <c r="J34" s="17"/>
      <c r="K34" s="17"/>
      <c r="L34" s="17"/>
      <c r="M34" s="17"/>
      <c r="N34" s="17"/>
    </row>
    <row r="35" spans="1:14" s="11" customFormat="1" ht="100.05" customHeight="1" x14ac:dyDescent="0.3">
      <c r="A35" s="17"/>
      <c r="B35" s="17"/>
      <c r="C35" s="17"/>
      <c r="D35" s="20"/>
      <c r="E35" s="35"/>
      <c r="F35" s="17"/>
      <c r="G35" s="17"/>
      <c r="H35" s="17"/>
      <c r="I35" s="17"/>
      <c r="J35" s="17"/>
      <c r="K35" s="17"/>
      <c r="L35" s="17"/>
      <c r="M35" s="17"/>
      <c r="N35" s="17"/>
    </row>
    <row r="36" spans="1:14" s="11" customFormat="1" ht="100.05" customHeight="1" x14ac:dyDescent="0.3">
      <c r="A36" s="17"/>
      <c r="B36" s="17"/>
      <c r="C36" s="17"/>
      <c r="D36" s="20"/>
      <c r="E36" s="35"/>
      <c r="F36" s="17"/>
      <c r="G36" s="17"/>
      <c r="H36" s="17"/>
      <c r="I36" s="17"/>
      <c r="J36" s="17"/>
      <c r="K36" s="17"/>
      <c r="L36" s="17"/>
      <c r="M36" s="17"/>
      <c r="N36" s="17"/>
    </row>
  </sheetData>
  <mergeCells count="3">
    <mergeCell ref="A1:C1"/>
    <mergeCell ref="K1:N1"/>
    <mergeCell ref="A2:N2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18" orientation="portrait" horizontalDpi="1200" verticalDpi="1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4"/>
  <sheetViews>
    <sheetView zoomScale="25" zoomScaleNormal="25" workbookViewId="0">
      <selection activeCell="T5" sqref="T5"/>
    </sheetView>
  </sheetViews>
  <sheetFormatPr defaultColWidth="8.88671875" defaultRowHeight="14.4" x14ac:dyDescent="0.3"/>
  <cols>
    <col min="1" max="1" width="41.77734375" style="17" customWidth="1"/>
    <col min="2" max="2" width="19.6640625" style="17" customWidth="1"/>
    <col min="3" max="3" width="29.21875" style="17" customWidth="1"/>
    <col min="4" max="4" width="28.6640625" style="20" customWidth="1"/>
    <col min="5" max="5" width="162.109375" style="35" customWidth="1"/>
    <col min="6" max="6" width="32.109375" style="17" bestFit="1" customWidth="1"/>
    <col min="7" max="7" width="21.88671875" style="17" bestFit="1" customWidth="1"/>
    <col min="8" max="8" width="26.6640625" style="17" bestFit="1" customWidth="1"/>
    <col min="9" max="9" width="40.109375" style="17" bestFit="1" customWidth="1"/>
    <col min="10" max="10" width="37.88671875" style="17" customWidth="1"/>
    <col min="11" max="11" width="25.6640625" style="17" customWidth="1"/>
    <col min="12" max="14" width="26.77734375" style="17" bestFit="1" customWidth="1"/>
    <col min="15" max="16384" width="8.88671875" style="18"/>
  </cols>
  <sheetData>
    <row r="1" spans="1:14" s="3" customFormat="1" ht="100.05" customHeight="1" x14ac:dyDescent="0.95">
      <c r="A1" s="37"/>
      <c r="B1" s="37"/>
      <c r="C1" s="37"/>
      <c r="D1" s="19"/>
      <c r="E1" s="34"/>
      <c r="F1" s="1"/>
      <c r="G1" s="1"/>
      <c r="H1" s="1"/>
      <c r="I1" s="1"/>
      <c r="J1" s="2" t="s">
        <v>0</v>
      </c>
      <c r="K1" s="38">
        <v>45940</v>
      </c>
      <c r="L1" s="38"/>
      <c r="M1" s="38"/>
      <c r="N1" s="38"/>
    </row>
    <row r="2" spans="1:14" s="4" customFormat="1" ht="100.05" customHeight="1" x14ac:dyDescent="0.3">
      <c r="A2" s="39" t="s">
        <v>69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</row>
    <row r="3" spans="1:14" s="4" customFormat="1" ht="150" customHeight="1" x14ac:dyDescent="0.3">
      <c r="A3" s="5" t="s">
        <v>1</v>
      </c>
      <c r="B3" s="5" t="s">
        <v>2</v>
      </c>
      <c r="C3" s="6" t="s">
        <v>3</v>
      </c>
      <c r="D3" s="7" t="s">
        <v>4</v>
      </c>
      <c r="E3" s="32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6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s="28" customFormat="1" ht="150" customHeight="1" x14ac:dyDescent="0.3">
      <c r="A4" s="22" t="s">
        <v>42</v>
      </c>
      <c r="B4" s="22">
        <v>304</v>
      </c>
      <c r="C4" s="23">
        <v>0.9</v>
      </c>
      <c r="D4" s="29" t="s">
        <v>58</v>
      </c>
      <c r="E4" s="31" t="s">
        <v>44</v>
      </c>
      <c r="F4" s="22" t="s">
        <v>16</v>
      </c>
      <c r="G4" s="22" t="s">
        <v>16</v>
      </c>
      <c r="H4" s="23" t="s">
        <v>16</v>
      </c>
      <c r="I4" s="22" t="s">
        <v>16</v>
      </c>
      <c r="J4" s="23" t="s">
        <v>16</v>
      </c>
      <c r="K4" s="22" t="s">
        <v>17</v>
      </c>
      <c r="L4" s="26">
        <v>1500</v>
      </c>
      <c r="M4" s="27">
        <f>200+1400</f>
        <v>1600</v>
      </c>
      <c r="N4" s="26">
        <f t="shared" ref="N4:N13" si="0">L4-M4</f>
        <v>-100</v>
      </c>
    </row>
    <row r="5" spans="1:14" s="28" customFormat="1" ht="150" customHeight="1" x14ac:dyDescent="0.3">
      <c r="A5" s="22" t="s">
        <v>42</v>
      </c>
      <c r="B5" s="22">
        <v>304</v>
      </c>
      <c r="C5" s="23">
        <v>0.9</v>
      </c>
      <c r="D5" s="29" t="s">
        <v>45</v>
      </c>
      <c r="E5" s="31" t="s">
        <v>46</v>
      </c>
      <c r="F5" s="22" t="s">
        <v>16</v>
      </c>
      <c r="G5" s="22">
        <v>430</v>
      </c>
      <c r="H5" s="23">
        <v>0.6</v>
      </c>
      <c r="I5" s="22" t="s">
        <v>16</v>
      </c>
      <c r="J5" s="23" t="s">
        <v>16</v>
      </c>
      <c r="K5" s="22" t="s">
        <v>17</v>
      </c>
      <c r="L5" s="26">
        <v>1500</v>
      </c>
      <c r="M5" s="27">
        <v>500</v>
      </c>
      <c r="N5" s="26">
        <f t="shared" si="0"/>
        <v>1000</v>
      </c>
    </row>
    <row r="6" spans="1:14" s="28" customFormat="1" ht="150" customHeight="1" x14ac:dyDescent="0.3">
      <c r="A6" s="22" t="s">
        <v>42</v>
      </c>
      <c r="B6" s="22">
        <v>304</v>
      </c>
      <c r="C6" s="23">
        <v>0.9</v>
      </c>
      <c r="D6" s="29" t="s">
        <v>57</v>
      </c>
      <c r="E6" s="31" t="s">
        <v>47</v>
      </c>
      <c r="F6" s="22" t="s">
        <v>16</v>
      </c>
      <c r="G6" s="22" t="s">
        <v>16</v>
      </c>
      <c r="H6" s="23" t="s">
        <v>16</v>
      </c>
      <c r="I6" s="22" t="s">
        <v>16</v>
      </c>
      <c r="J6" s="23" t="s">
        <v>16</v>
      </c>
      <c r="K6" s="22" t="s">
        <v>17</v>
      </c>
      <c r="L6" s="26">
        <v>1500</v>
      </c>
      <c r="M6" s="27"/>
      <c r="N6" s="26">
        <f t="shared" si="0"/>
        <v>1500</v>
      </c>
    </row>
    <row r="7" spans="1:14" s="28" customFormat="1" ht="150" customHeight="1" x14ac:dyDescent="0.3">
      <c r="A7" s="22">
        <v>160925</v>
      </c>
      <c r="B7" s="22">
        <v>304</v>
      </c>
      <c r="C7" s="23">
        <v>0.9</v>
      </c>
      <c r="D7" s="29" t="s">
        <v>48</v>
      </c>
      <c r="E7" s="31" t="s">
        <v>49</v>
      </c>
      <c r="F7" s="22" t="s">
        <v>16</v>
      </c>
      <c r="G7" s="22">
        <v>430</v>
      </c>
      <c r="H7" s="23">
        <v>0.6</v>
      </c>
      <c r="I7" s="22" t="s">
        <v>16</v>
      </c>
      <c r="J7" s="23" t="s">
        <v>16</v>
      </c>
      <c r="K7" s="22" t="s">
        <v>17</v>
      </c>
      <c r="L7" s="26">
        <v>1100</v>
      </c>
      <c r="M7" s="27"/>
      <c r="N7" s="26">
        <f t="shared" si="0"/>
        <v>1100</v>
      </c>
    </row>
    <row r="8" spans="1:14" s="28" customFormat="1" ht="150" customHeight="1" x14ac:dyDescent="0.3">
      <c r="A8" s="22">
        <v>160925</v>
      </c>
      <c r="B8" s="22">
        <v>304</v>
      </c>
      <c r="C8" s="23">
        <v>0.9</v>
      </c>
      <c r="D8" s="29" t="s">
        <v>50</v>
      </c>
      <c r="E8" s="31" t="s">
        <v>51</v>
      </c>
      <c r="F8" s="22" t="s">
        <v>16</v>
      </c>
      <c r="G8" s="22" t="s">
        <v>52</v>
      </c>
      <c r="H8" s="23" t="s">
        <v>52</v>
      </c>
      <c r="I8" s="22" t="s">
        <v>16</v>
      </c>
      <c r="J8" s="23" t="s">
        <v>16</v>
      </c>
      <c r="K8" s="22" t="s">
        <v>17</v>
      </c>
      <c r="L8" s="26">
        <v>1100</v>
      </c>
      <c r="M8" s="27"/>
      <c r="N8" s="26">
        <f t="shared" si="0"/>
        <v>1100</v>
      </c>
    </row>
    <row r="9" spans="1:14" s="28" customFormat="1" ht="150" customHeight="1" x14ac:dyDescent="0.3">
      <c r="A9" s="22">
        <v>290925</v>
      </c>
      <c r="B9" s="22">
        <v>304</v>
      </c>
      <c r="C9" s="23">
        <v>0.8</v>
      </c>
      <c r="D9" s="29" t="s">
        <v>73</v>
      </c>
      <c r="E9" s="31" t="s">
        <v>70</v>
      </c>
      <c r="F9" s="22" t="s">
        <v>15</v>
      </c>
      <c r="G9" s="22">
        <v>430</v>
      </c>
      <c r="H9" s="23">
        <v>0.6</v>
      </c>
      <c r="I9" s="22" t="s">
        <v>16</v>
      </c>
      <c r="J9" s="23" t="s">
        <v>16</v>
      </c>
      <c r="K9" s="22" t="s">
        <v>17</v>
      </c>
      <c r="L9" s="26">
        <v>4000</v>
      </c>
      <c r="M9" s="27"/>
      <c r="N9" s="26">
        <f t="shared" si="0"/>
        <v>4000</v>
      </c>
    </row>
    <row r="10" spans="1:14" s="28" customFormat="1" ht="150" customHeight="1" x14ac:dyDescent="0.3">
      <c r="A10" s="22">
        <v>290925</v>
      </c>
      <c r="B10" s="22">
        <v>304</v>
      </c>
      <c r="C10" s="23">
        <v>0.8</v>
      </c>
      <c r="D10" s="29" t="s">
        <v>74</v>
      </c>
      <c r="E10" s="31" t="s">
        <v>71</v>
      </c>
      <c r="F10" s="22" t="s">
        <v>16</v>
      </c>
      <c r="G10" s="22" t="s">
        <v>16</v>
      </c>
      <c r="H10" s="23" t="s">
        <v>16</v>
      </c>
      <c r="I10" s="22" t="s">
        <v>16</v>
      </c>
      <c r="J10" s="23" t="s">
        <v>16</v>
      </c>
      <c r="K10" s="22" t="s">
        <v>17</v>
      </c>
      <c r="L10" s="26">
        <v>4000</v>
      </c>
      <c r="M10" s="27"/>
      <c r="N10" s="26">
        <f t="shared" si="0"/>
        <v>4000</v>
      </c>
    </row>
    <row r="11" spans="1:14" s="28" customFormat="1" ht="150" customHeight="1" x14ac:dyDescent="0.3">
      <c r="A11" s="22">
        <v>290925</v>
      </c>
      <c r="B11" s="22">
        <v>304</v>
      </c>
      <c r="C11" s="23">
        <v>0.8</v>
      </c>
      <c r="D11" s="29" t="s">
        <v>75</v>
      </c>
      <c r="E11" s="31" t="s">
        <v>72</v>
      </c>
      <c r="F11" s="22" t="s">
        <v>15</v>
      </c>
      <c r="G11" s="22">
        <v>430</v>
      </c>
      <c r="H11" s="23">
        <v>0.6</v>
      </c>
      <c r="I11" s="22" t="s">
        <v>16</v>
      </c>
      <c r="J11" s="23" t="s">
        <v>16</v>
      </c>
      <c r="K11" s="22" t="s">
        <v>17</v>
      </c>
      <c r="L11" s="26">
        <v>3000</v>
      </c>
      <c r="M11" s="27"/>
      <c r="N11" s="26">
        <f t="shared" si="0"/>
        <v>3000</v>
      </c>
    </row>
    <row r="12" spans="1:14" s="28" customFormat="1" ht="150" customHeight="1" x14ac:dyDescent="0.3">
      <c r="A12" s="22">
        <v>290925</v>
      </c>
      <c r="B12" s="22">
        <v>304</v>
      </c>
      <c r="C12" s="23">
        <v>0.8</v>
      </c>
      <c r="D12" s="29" t="s">
        <v>65</v>
      </c>
      <c r="E12" s="31" t="s">
        <v>76</v>
      </c>
      <c r="F12" s="22" t="s">
        <v>16</v>
      </c>
      <c r="G12" s="22" t="s">
        <v>16</v>
      </c>
      <c r="H12" s="23" t="s">
        <v>16</v>
      </c>
      <c r="I12" s="22" t="s">
        <v>16</v>
      </c>
      <c r="J12" s="23" t="s">
        <v>16</v>
      </c>
      <c r="K12" s="22" t="s">
        <v>17</v>
      </c>
      <c r="L12" s="26">
        <v>3000</v>
      </c>
      <c r="M12" s="27"/>
      <c r="N12" s="26">
        <f t="shared" si="0"/>
        <v>3000</v>
      </c>
    </row>
    <row r="13" spans="1:14" s="28" customFormat="1" ht="150" customHeight="1" x14ac:dyDescent="0.3">
      <c r="A13" s="5">
        <v>250057</v>
      </c>
      <c r="B13" s="5">
        <v>304</v>
      </c>
      <c r="C13" s="7">
        <v>0.7</v>
      </c>
      <c r="D13" s="5">
        <v>307</v>
      </c>
      <c r="E13" s="32" t="s">
        <v>77</v>
      </c>
      <c r="F13" s="5" t="s">
        <v>61</v>
      </c>
      <c r="G13" s="5">
        <v>304</v>
      </c>
      <c r="H13" s="7" t="s">
        <v>16</v>
      </c>
      <c r="I13" s="5" t="s">
        <v>16</v>
      </c>
      <c r="J13" s="5" t="s">
        <v>16</v>
      </c>
      <c r="K13" s="5" t="s">
        <v>17</v>
      </c>
      <c r="L13" s="9">
        <v>395</v>
      </c>
      <c r="M13" s="27"/>
      <c r="N13" s="26">
        <f t="shared" si="0"/>
        <v>395</v>
      </c>
    </row>
    <row r="14" spans="1:14" s="28" customFormat="1" ht="150" customHeight="1" x14ac:dyDescent="0.3">
      <c r="A14" s="5">
        <v>250057</v>
      </c>
      <c r="B14" s="5">
        <v>304</v>
      </c>
      <c r="C14" s="7">
        <v>0.9</v>
      </c>
      <c r="D14" s="5">
        <v>307</v>
      </c>
      <c r="E14" s="32" t="s">
        <v>78</v>
      </c>
      <c r="F14" s="5" t="s">
        <v>61</v>
      </c>
      <c r="G14" s="5">
        <v>304</v>
      </c>
      <c r="H14" s="7" t="s">
        <v>16</v>
      </c>
      <c r="I14" s="5" t="s">
        <v>16</v>
      </c>
      <c r="J14" s="5" t="s">
        <v>16</v>
      </c>
      <c r="K14" s="5" t="s">
        <v>17</v>
      </c>
      <c r="L14" s="9">
        <v>15</v>
      </c>
      <c r="M14" s="27"/>
      <c r="N14" s="26">
        <f>L14-M14</f>
        <v>15</v>
      </c>
    </row>
    <row r="15" spans="1:14" s="28" customFormat="1" ht="150" customHeight="1" x14ac:dyDescent="0.3">
      <c r="A15" s="5">
        <v>250061</v>
      </c>
      <c r="B15" s="5">
        <v>304</v>
      </c>
      <c r="C15" s="7">
        <v>0.7</v>
      </c>
      <c r="D15" s="5">
        <v>265</v>
      </c>
      <c r="E15" s="32" t="s">
        <v>79</v>
      </c>
      <c r="F15" s="5" t="s">
        <v>80</v>
      </c>
      <c r="G15" s="5">
        <v>304</v>
      </c>
      <c r="H15" s="7" t="s">
        <v>16</v>
      </c>
      <c r="I15" s="5" t="s">
        <v>16</v>
      </c>
      <c r="J15" s="5" t="s">
        <v>16</v>
      </c>
      <c r="K15" s="5" t="s">
        <v>17</v>
      </c>
      <c r="L15" s="9">
        <v>525</v>
      </c>
      <c r="M15" s="27"/>
      <c r="N15" s="26">
        <f t="shared" ref="N15:N19" si="1">L15-M15</f>
        <v>525</v>
      </c>
    </row>
    <row r="16" spans="1:14" s="28" customFormat="1" ht="150" customHeight="1" x14ac:dyDescent="0.3">
      <c r="A16" s="5">
        <v>250061</v>
      </c>
      <c r="B16" s="5">
        <v>304</v>
      </c>
      <c r="C16" s="7">
        <v>0.7</v>
      </c>
      <c r="D16" s="5">
        <v>265</v>
      </c>
      <c r="E16" s="32" t="s">
        <v>81</v>
      </c>
      <c r="F16" s="5" t="s">
        <v>80</v>
      </c>
      <c r="G16" s="5">
        <v>304</v>
      </c>
      <c r="H16" s="7" t="s">
        <v>16</v>
      </c>
      <c r="I16" s="5" t="s">
        <v>16</v>
      </c>
      <c r="J16" s="5" t="s">
        <v>16</v>
      </c>
      <c r="K16" s="5" t="s">
        <v>17</v>
      </c>
      <c r="L16" s="9">
        <v>15</v>
      </c>
      <c r="M16" s="27"/>
      <c r="N16" s="26">
        <f t="shared" si="1"/>
        <v>15</v>
      </c>
    </row>
    <row r="17" spans="1:14" s="28" customFormat="1" ht="150" customHeight="1" x14ac:dyDescent="0.3">
      <c r="A17" s="5">
        <v>230925</v>
      </c>
      <c r="B17" s="5">
        <v>430</v>
      </c>
      <c r="C17" s="7">
        <v>0.8</v>
      </c>
      <c r="D17" s="5">
        <v>425</v>
      </c>
      <c r="E17" s="32" t="s">
        <v>82</v>
      </c>
      <c r="F17" s="5" t="s">
        <v>80</v>
      </c>
      <c r="G17" s="5">
        <v>430</v>
      </c>
      <c r="H17" s="7" t="s">
        <v>16</v>
      </c>
      <c r="I17" s="5" t="s">
        <v>16</v>
      </c>
      <c r="J17" s="5" t="s">
        <v>16</v>
      </c>
      <c r="K17" s="5" t="s">
        <v>17</v>
      </c>
      <c r="L17" s="9">
        <v>6000</v>
      </c>
      <c r="M17" s="27"/>
      <c r="N17" s="26">
        <f t="shared" si="1"/>
        <v>6000</v>
      </c>
    </row>
    <row r="18" spans="1:14" s="28" customFormat="1" ht="150" customHeight="1" x14ac:dyDescent="0.3">
      <c r="A18" s="5">
        <v>230925</v>
      </c>
      <c r="B18" s="5">
        <v>430</v>
      </c>
      <c r="C18" s="7">
        <v>0.8</v>
      </c>
      <c r="D18" s="5">
        <v>360</v>
      </c>
      <c r="E18" s="32" t="s">
        <v>83</v>
      </c>
      <c r="F18" s="5" t="s">
        <v>80</v>
      </c>
      <c r="G18" s="5">
        <v>430</v>
      </c>
      <c r="H18" s="7" t="s">
        <v>16</v>
      </c>
      <c r="I18" s="5" t="s">
        <v>16</v>
      </c>
      <c r="J18" s="5" t="s">
        <v>16</v>
      </c>
      <c r="K18" s="5" t="s">
        <v>17</v>
      </c>
      <c r="L18" s="9">
        <v>6000</v>
      </c>
      <c r="M18" s="27"/>
      <c r="N18" s="26">
        <f t="shared" si="1"/>
        <v>6000</v>
      </c>
    </row>
    <row r="19" spans="1:14" s="11" customFormat="1" ht="150" customHeight="1" x14ac:dyDescent="0.3">
      <c r="A19" s="22"/>
      <c r="B19" s="22"/>
      <c r="C19" s="23"/>
      <c r="D19" s="29"/>
      <c r="E19" s="31"/>
      <c r="F19" s="22"/>
      <c r="G19" s="22"/>
      <c r="H19" s="23"/>
      <c r="I19" s="22"/>
      <c r="J19" s="22"/>
      <c r="K19" s="22"/>
      <c r="L19" s="26"/>
      <c r="M19" s="27"/>
      <c r="N19" s="26">
        <f t="shared" si="1"/>
        <v>0</v>
      </c>
    </row>
    <row r="20" spans="1:14" s="11" customFormat="1" ht="150" customHeight="1" x14ac:dyDescent="0.3">
      <c r="A20" s="13"/>
      <c r="B20" s="13"/>
      <c r="C20" s="14"/>
      <c r="D20" s="14"/>
      <c r="E20" s="33"/>
      <c r="F20" s="13"/>
      <c r="G20" s="13"/>
      <c r="H20" s="14"/>
      <c r="I20" s="13"/>
      <c r="J20" s="13"/>
      <c r="K20" s="13"/>
      <c r="L20" s="9">
        <f>SUM(L4:L19)</f>
        <v>33650</v>
      </c>
      <c r="M20" s="16">
        <f>SUM(M4:M19)</f>
        <v>2100</v>
      </c>
      <c r="N20" s="9">
        <f>SUM(N4:N19)</f>
        <v>31550</v>
      </c>
    </row>
    <row r="21" spans="1:14" s="12" customFormat="1" ht="100.05" customHeight="1" x14ac:dyDescent="0.3">
      <c r="A21" s="17"/>
      <c r="B21" s="17"/>
      <c r="C21" s="17"/>
      <c r="D21" s="20"/>
      <c r="E21" s="35"/>
      <c r="F21" s="17"/>
      <c r="G21" s="17"/>
      <c r="H21" s="17"/>
      <c r="I21" s="17"/>
      <c r="J21" s="17"/>
      <c r="K21" s="17"/>
      <c r="L21" s="17"/>
      <c r="M21" s="17"/>
      <c r="N21" s="17"/>
    </row>
    <row r="22" spans="1:14" ht="100.05" customHeight="1" x14ac:dyDescent="0.3"/>
    <row r="23" spans="1:14" s="4" customFormat="1" ht="100.05" customHeight="1" x14ac:dyDescent="0.3">
      <c r="A23" s="17"/>
      <c r="B23" s="17"/>
      <c r="C23" s="17"/>
      <c r="D23" s="20"/>
      <c r="E23" s="35"/>
      <c r="F23" s="17"/>
      <c r="G23" s="17"/>
      <c r="H23" s="17"/>
      <c r="I23" s="17"/>
      <c r="J23" s="17"/>
      <c r="K23" s="17"/>
      <c r="L23" s="17"/>
      <c r="M23" s="17"/>
      <c r="N23" s="17"/>
    </row>
    <row r="24" spans="1:14" s="4" customFormat="1" ht="100.05" customHeight="1" x14ac:dyDescent="0.3">
      <c r="A24" s="17"/>
      <c r="B24" s="17"/>
      <c r="C24" s="17"/>
      <c r="D24" s="20"/>
      <c r="E24" s="35"/>
      <c r="F24" s="17"/>
      <c r="G24" s="17"/>
      <c r="H24" s="17"/>
      <c r="I24" s="17"/>
      <c r="J24" s="17"/>
      <c r="K24" s="17"/>
      <c r="L24" s="17"/>
      <c r="M24" s="17"/>
      <c r="N24" s="17"/>
    </row>
    <row r="25" spans="1:14" s="11" customFormat="1" ht="100.05" customHeight="1" x14ac:dyDescent="0.3">
      <c r="A25" s="17"/>
      <c r="B25" s="17"/>
      <c r="C25" s="17"/>
      <c r="D25" s="20"/>
      <c r="E25" s="35"/>
      <c r="F25" s="17"/>
      <c r="G25" s="17"/>
      <c r="H25" s="17"/>
      <c r="I25" s="17"/>
      <c r="J25" s="17"/>
      <c r="K25" s="17"/>
      <c r="L25" s="17"/>
      <c r="M25" s="17"/>
      <c r="N25" s="17"/>
    </row>
    <row r="26" spans="1:14" s="11" customFormat="1" ht="100.05" customHeight="1" x14ac:dyDescent="0.3">
      <c r="A26" s="17"/>
      <c r="B26" s="17"/>
      <c r="C26" s="17"/>
      <c r="D26" s="20"/>
      <c r="E26" s="35"/>
      <c r="F26" s="17"/>
      <c r="G26" s="17"/>
      <c r="H26" s="17"/>
      <c r="I26" s="17"/>
      <c r="J26" s="17"/>
      <c r="K26" s="17"/>
      <c r="L26" s="17"/>
      <c r="M26" s="17"/>
      <c r="N26" s="17"/>
    </row>
    <row r="27" spans="1:14" s="11" customFormat="1" ht="100.05" customHeight="1" x14ac:dyDescent="0.3">
      <c r="A27" s="17"/>
      <c r="B27" s="17"/>
      <c r="C27" s="17"/>
      <c r="D27" s="20"/>
      <c r="E27" s="35"/>
      <c r="F27" s="17"/>
      <c r="G27" s="17"/>
      <c r="H27" s="17"/>
      <c r="I27" s="17"/>
      <c r="J27" s="17"/>
      <c r="K27" s="17"/>
      <c r="L27" s="17"/>
      <c r="M27" s="17"/>
      <c r="N27" s="17"/>
    </row>
    <row r="28" spans="1:14" s="11" customFormat="1" ht="100.05" customHeight="1" x14ac:dyDescent="0.3">
      <c r="A28" s="17"/>
      <c r="B28" s="17"/>
      <c r="C28" s="17"/>
      <c r="D28" s="20"/>
      <c r="E28" s="35"/>
      <c r="F28" s="17"/>
      <c r="G28" s="17"/>
      <c r="H28" s="17"/>
      <c r="I28" s="17"/>
      <c r="J28" s="17"/>
      <c r="K28" s="17"/>
      <c r="L28" s="17"/>
      <c r="M28" s="17"/>
      <c r="N28" s="17"/>
    </row>
    <row r="29" spans="1:14" s="11" customFormat="1" ht="100.05" customHeight="1" x14ac:dyDescent="0.3">
      <c r="A29" s="17"/>
      <c r="B29" s="17"/>
      <c r="C29" s="17"/>
      <c r="D29" s="20"/>
      <c r="E29" s="35"/>
      <c r="F29" s="17"/>
      <c r="G29" s="17"/>
      <c r="H29" s="17"/>
      <c r="I29" s="17"/>
      <c r="J29" s="17"/>
      <c r="K29" s="17"/>
      <c r="L29" s="17"/>
      <c r="M29" s="17"/>
      <c r="N29" s="17"/>
    </row>
    <row r="30" spans="1:14" s="11" customFormat="1" ht="100.05" customHeight="1" x14ac:dyDescent="0.3">
      <c r="A30" s="17"/>
      <c r="B30" s="17"/>
      <c r="C30" s="17"/>
      <c r="D30" s="20"/>
      <c r="E30" s="35"/>
      <c r="F30" s="17"/>
      <c r="G30" s="17"/>
      <c r="H30" s="17"/>
      <c r="I30" s="17"/>
      <c r="J30" s="17"/>
      <c r="K30" s="17"/>
      <c r="L30" s="17"/>
      <c r="M30" s="17"/>
      <c r="N30" s="17"/>
    </row>
    <row r="31" spans="1:14" s="11" customFormat="1" ht="100.05" customHeight="1" x14ac:dyDescent="0.3">
      <c r="A31" s="17"/>
      <c r="B31" s="17"/>
      <c r="C31" s="17"/>
      <c r="D31" s="20"/>
      <c r="E31" s="35"/>
      <c r="F31" s="17"/>
      <c r="G31" s="17"/>
      <c r="H31" s="17"/>
      <c r="I31" s="17"/>
      <c r="J31" s="17"/>
      <c r="K31" s="17"/>
      <c r="L31" s="17"/>
      <c r="M31" s="17"/>
      <c r="N31" s="17"/>
    </row>
    <row r="32" spans="1:14" s="11" customFormat="1" ht="100.05" customHeight="1" x14ac:dyDescent="0.3">
      <c r="A32" s="17"/>
      <c r="B32" s="17"/>
      <c r="C32" s="17"/>
      <c r="D32" s="20"/>
      <c r="E32" s="35"/>
      <c r="F32" s="17"/>
      <c r="G32" s="17"/>
      <c r="H32" s="17"/>
      <c r="I32" s="17"/>
      <c r="J32" s="17"/>
      <c r="K32" s="17"/>
      <c r="L32" s="17"/>
      <c r="M32" s="17"/>
      <c r="N32" s="17"/>
    </row>
    <row r="33" spans="1:14" s="11" customFormat="1" ht="100.05" customHeight="1" x14ac:dyDescent="0.3">
      <c r="A33" s="17"/>
      <c r="B33" s="17"/>
      <c r="C33" s="17"/>
      <c r="D33" s="20"/>
      <c r="E33" s="35"/>
      <c r="F33" s="17"/>
      <c r="G33" s="17"/>
      <c r="H33" s="17"/>
      <c r="I33" s="17"/>
      <c r="J33" s="17"/>
      <c r="K33" s="17"/>
      <c r="L33" s="17"/>
      <c r="M33" s="17"/>
      <c r="N33" s="17"/>
    </row>
    <row r="34" spans="1:14" s="11" customFormat="1" ht="100.05" customHeight="1" x14ac:dyDescent="0.3">
      <c r="A34" s="17"/>
      <c r="B34" s="17"/>
      <c r="C34" s="17"/>
      <c r="D34" s="20"/>
      <c r="E34" s="35"/>
      <c r="F34" s="17"/>
      <c r="G34" s="17"/>
      <c r="H34" s="17"/>
      <c r="I34" s="17"/>
      <c r="J34" s="17"/>
      <c r="K34" s="17"/>
      <c r="L34" s="17"/>
      <c r="M34" s="17"/>
      <c r="N34" s="17"/>
    </row>
  </sheetData>
  <mergeCells count="3">
    <mergeCell ref="A1:C1"/>
    <mergeCell ref="K1:N1"/>
    <mergeCell ref="A2:N2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18" orientation="portrait" horizontalDpi="1200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4"/>
  <sheetViews>
    <sheetView zoomScale="25" zoomScaleNormal="25" workbookViewId="0">
      <selection activeCell="T3" sqref="T3"/>
    </sheetView>
  </sheetViews>
  <sheetFormatPr defaultColWidth="8.88671875" defaultRowHeight="14.4" x14ac:dyDescent="0.3"/>
  <cols>
    <col min="1" max="1" width="41.77734375" style="17" customWidth="1"/>
    <col min="2" max="2" width="19.6640625" style="17" customWidth="1"/>
    <col min="3" max="3" width="29.21875" style="17" customWidth="1"/>
    <col min="4" max="4" width="28.6640625" style="20" customWidth="1"/>
    <col min="5" max="5" width="162.109375" style="35" customWidth="1"/>
    <col min="6" max="6" width="32.109375" style="17" bestFit="1" customWidth="1"/>
    <col min="7" max="7" width="21.88671875" style="17" bestFit="1" customWidth="1"/>
    <col min="8" max="8" width="26.6640625" style="17" bestFit="1" customWidth="1"/>
    <col min="9" max="9" width="40.109375" style="17" bestFit="1" customWidth="1"/>
    <col min="10" max="10" width="37.88671875" style="17" customWidth="1"/>
    <col min="11" max="11" width="25.6640625" style="17" customWidth="1"/>
    <col min="12" max="14" width="26.77734375" style="17" bestFit="1" customWidth="1"/>
    <col min="15" max="16384" width="8.88671875" style="18"/>
  </cols>
  <sheetData>
    <row r="1" spans="1:14" s="3" customFormat="1" ht="100.05" customHeight="1" x14ac:dyDescent="0.95">
      <c r="A1" s="37"/>
      <c r="B1" s="37"/>
      <c r="C1" s="37"/>
      <c r="D1" s="19"/>
      <c r="E1" s="34"/>
      <c r="F1" s="1"/>
      <c r="G1" s="1"/>
      <c r="H1" s="1"/>
      <c r="I1" s="1"/>
      <c r="J1" s="2" t="s">
        <v>0</v>
      </c>
      <c r="K1" s="38">
        <v>45941</v>
      </c>
      <c r="L1" s="38"/>
      <c r="M1" s="38"/>
      <c r="N1" s="38"/>
    </row>
    <row r="2" spans="1:14" s="4" customFormat="1" ht="100.05" customHeight="1" x14ac:dyDescent="0.3">
      <c r="A2" s="39" t="s">
        <v>69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</row>
    <row r="3" spans="1:14" s="4" customFormat="1" ht="150" customHeight="1" x14ac:dyDescent="0.3">
      <c r="A3" s="5" t="s">
        <v>1</v>
      </c>
      <c r="B3" s="5" t="s">
        <v>2</v>
      </c>
      <c r="C3" s="6" t="s">
        <v>3</v>
      </c>
      <c r="D3" s="7" t="s">
        <v>4</v>
      </c>
      <c r="E3" s="32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6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s="28" customFormat="1" ht="150" customHeight="1" x14ac:dyDescent="0.3">
      <c r="A4" s="22" t="s">
        <v>42</v>
      </c>
      <c r="B4" s="22">
        <v>304</v>
      </c>
      <c r="C4" s="23">
        <v>0.9</v>
      </c>
      <c r="D4" s="29" t="s">
        <v>45</v>
      </c>
      <c r="E4" s="31" t="s">
        <v>46</v>
      </c>
      <c r="F4" s="22" t="s">
        <v>16</v>
      </c>
      <c r="G4" s="22">
        <v>430</v>
      </c>
      <c r="H4" s="23">
        <v>0.6</v>
      </c>
      <c r="I4" s="22" t="s">
        <v>16</v>
      </c>
      <c r="J4" s="23" t="s">
        <v>16</v>
      </c>
      <c r="K4" s="22" t="s">
        <v>17</v>
      </c>
      <c r="L4" s="26">
        <v>1500</v>
      </c>
      <c r="M4" s="27">
        <f>500+1100</f>
        <v>1600</v>
      </c>
      <c r="N4" s="26">
        <f t="shared" ref="N4:N13" si="0">L4-M4</f>
        <v>-100</v>
      </c>
    </row>
    <row r="5" spans="1:14" s="28" customFormat="1" ht="150" customHeight="1" x14ac:dyDescent="0.3">
      <c r="A5" s="22" t="s">
        <v>42</v>
      </c>
      <c r="B5" s="22">
        <v>304</v>
      </c>
      <c r="C5" s="23">
        <v>0.9</v>
      </c>
      <c r="D5" s="29" t="s">
        <v>57</v>
      </c>
      <c r="E5" s="31" t="s">
        <v>47</v>
      </c>
      <c r="F5" s="22" t="s">
        <v>16</v>
      </c>
      <c r="G5" s="22" t="s">
        <v>16</v>
      </c>
      <c r="H5" s="23" t="s">
        <v>16</v>
      </c>
      <c r="I5" s="22" t="s">
        <v>16</v>
      </c>
      <c r="J5" s="23" t="s">
        <v>16</v>
      </c>
      <c r="K5" s="22" t="s">
        <v>17</v>
      </c>
      <c r="L5" s="26">
        <v>1500</v>
      </c>
      <c r="M5" s="27"/>
      <c r="N5" s="26">
        <f t="shared" si="0"/>
        <v>1500</v>
      </c>
    </row>
    <row r="6" spans="1:14" s="28" customFormat="1" ht="150" customHeight="1" x14ac:dyDescent="0.3">
      <c r="A6" s="22">
        <v>160925</v>
      </c>
      <c r="B6" s="22">
        <v>304</v>
      </c>
      <c r="C6" s="23">
        <v>0.9</v>
      </c>
      <c r="D6" s="29" t="s">
        <v>48</v>
      </c>
      <c r="E6" s="31" t="s">
        <v>49</v>
      </c>
      <c r="F6" s="22" t="s">
        <v>16</v>
      </c>
      <c r="G6" s="22">
        <v>430</v>
      </c>
      <c r="H6" s="23">
        <v>0.6</v>
      </c>
      <c r="I6" s="22" t="s">
        <v>16</v>
      </c>
      <c r="J6" s="23" t="s">
        <v>16</v>
      </c>
      <c r="K6" s="22" t="s">
        <v>17</v>
      </c>
      <c r="L6" s="26">
        <v>1100</v>
      </c>
      <c r="M6" s="27"/>
      <c r="N6" s="26">
        <f t="shared" si="0"/>
        <v>1100</v>
      </c>
    </row>
    <row r="7" spans="1:14" s="28" customFormat="1" ht="150" customHeight="1" x14ac:dyDescent="0.3">
      <c r="A7" s="22">
        <v>160925</v>
      </c>
      <c r="B7" s="22">
        <v>304</v>
      </c>
      <c r="C7" s="23">
        <v>0.9</v>
      </c>
      <c r="D7" s="29" t="s">
        <v>50</v>
      </c>
      <c r="E7" s="31" t="s">
        <v>51</v>
      </c>
      <c r="F7" s="22" t="s">
        <v>16</v>
      </c>
      <c r="G7" s="22" t="s">
        <v>52</v>
      </c>
      <c r="H7" s="23" t="s">
        <v>52</v>
      </c>
      <c r="I7" s="22" t="s">
        <v>16</v>
      </c>
      <c r="J7" s="23" t="s">
        <v>16</v>
      </c>
      <c r="K7" s="22" t="s">
        <v>17</v>
      </c>
      <c r="L7" s="26">
        <v>1100</v>
      </c>
      <c r="M7" s="27"/>
      <c r="N7" s="26">
        <f t="shared" si="0"/>
        <v>1100</v>
      </c>
    </row>
    <row r="8" spans="1:14" s="28" customFormat="1" ht="150" customHeight="1" x14ac:dyDescent="0.3">
      <c r="A8" s="22">
        <v>290925</v>
      </c>
      <c r="B8" s="22">
        <v>304</v>
      </c>
      <c r="C8" s="23">
        <v>0.8</v>
      </c>
      <c r="D8" s="29" t="s">
        <v>73</v>
      </c>
      <c r="E8" s="31" t="s">
        <v>70</v>
      </c>
      <c r="F8" s="22" t="s">
        <v>15</v>
      </c>
      <c r="G8" s="22">
        <v>430</v>
      </c>
      <c r="H8" s="23">
        <v>0.6</v>
      </c>
      <c r="I8" s="22" t="s">
        <v>16</v>
      </c>
      <c r="J8" s="23" t="s">
        <v>16</v>
      </c>
      <c r="K8" s="22" t="s">
        <v>17</v>
      </c>
      <c r="L8" s="26">
        <v>4000</v>
      </c>
      <c r="M8" s="27"/>
      <c r="N8" s="26">
        <f t="shared" si="0"/>
        <v>4000</v>
      </c>
    </row>
    <row r="9" spans="1:14" s="28" customFormat="1" ht="150" customHeight="1" x14ac:dyDescent="0.3">
      <c r="A9" s="22">
        <v>290925</v>
      </c>
      <c r="B9" s="22">
        <v>304</v>
      </c>
      <c r="C9" s="23">
        <v>0.8</v>
      </c>
      <c r="D9" s="29" t="s">
        <v>74</v>
      </c>
      <c r="E9" s="31" t="s">
        <v>71</v>
      </c>
      <c r="F9" s="22" t="s">
        <v>16</v>
      </c>
      <c r="G9" s="22" t="s">
        <v>16</v>
      </c>
      <c r="H9" s="23" t="s">
        <v>16</v>
      </c>
      <c r="I9" s="22" t="s">
        <v>16</v>
      </c>
      <c r="J9" s="23" t="s">
        <v>16</v>
      </c>
      <c r="K9" s="22" t="s">
        <v>17</v>
      </c>
      <c r="L9" s="26">
        <v>4000</v>
      </c>
      <c r="M9" s="27"/>
      <c r="N9" s="26">
        <f t="shared" si="0"/>
        <v>4000</v>
      </c>
    </row>
    <row r="10" spans="1:14" s="28" customFormat="1" ht="150" customHeight="1" x14ac:dyDescent="0.3">
      <c r="A10" s="22">
        <v>290925</v>
      </c>
      <c r="B10" s="22">
        <v>304</v>
      </c>
      <c r="C10" s="23">
        <v>0.8</v>
      </c>
      <c r="D10" s="29" t="s">
        <v>75</v>
      </c>
      <c r="E10" s="31" t="s">
        <v>72</v>
      </c>
      <c r="F10" s="22" t="s">
        <v>15</v>
      </c>
      <c r="G10" s="22">
        <v>430</v>
      </c>
      <c r="H10" s="23">
        <v>0.6</v>
      </c>
      <c r="I10" s="22" t="s">
        <v>16</v>
      </c>
      <c r="J10" s="23" t="s">
        <v>16</v>
      </c>
      <c r="K10" s="22" t="s">
        <v>17</v>
      </c>
      <c r="L10" s="26">
        <v>3000</v>
      </c>
      <c r="M10" s="27"/>
      <c r="N10" s="26">
        <f t="shared" si="0"/>
        <v>3000</v>
      </c>
    </row>
    <row r="11" spans="1:14" s="28" customFormat="1" ht="150" customHeight="1" x14ac:dyDescent="0.3">
      <c r="A11" s="22">
        <v>290925</v>
      </c>
      <c r="B11" s="22">
        <v>304</v>
      </c>
      <c r="C11" s="23">
        <v>0.8</v>
      </c>
      <c r="D11" s="29" t="s">
        <v>65</v>
      </c>
      <c r="E11" s="31" t="s">
        <v>76</v>
      </c>
      <c r="F11" s="22" t="s">
        <v>16</v>
      </c>
      <c r="G11" s="22" t="s">
        <v>16</v>
      </c>
      <c r="H11" s="23" t="s">
        <v>16</v>
      </c>
      <c r="I11" s="22" t="s">
        <v>16</v>
      </c>
      <c r="J11" s="23" t="s">
        <v>16</v>
      </c>
      <c r="K11" s="22" t="s">
        <v>17</v>
      </c>
      <c r="L11" s="26">
        <v>3000</v>
      </c>
      <c r="M11" s="27"/>
      <c r="N11" s="26">
        <f t="shared" si="0"/>
        <v>3000</v>
      </c>
    </row>
    <row r="12" spans="1:14" s="28" customFormat="1" ht="150" customHeight="1" x14ac:dyDescent="0.3">
      <c r="A12" s="5">
        <v>250057</v>
      </c>
      <c r="B12" s="5">
        <v>304</v>
      </c>
      <c r="C12" s="7">
        <v>0.7</v>
      </c>
      <c r="D12" s="5">
        <v>307</v>
      </c>
      <c r="E12" s="32" t="s">
        <v>77</v>
      </c>
      <c r="F12" s="5" t="s">
        <v>61</v>
      </c>
      <c r="G12" s="5">
        <v>304</v>
      </c>
      <c r="H12" s="7" t="s">
        <v>16</v>
      </c>
      <c r="I12" s="5" t="s">
        <v>16</v>
      </c>
      <c r="J12" s="5" t="s">
        <v>16</v>
      </c>
      <c r="K12" s="5" t="s">
        <v>17</v>
      </c>
      <c r="L12" s="9">
        <v>395</v>
      </c>
      <c r="M12" s="27"/>
      <c r="N12" s="26">
        <f t="shared" si="0"/>
        <v>395</v>
      </c>
    </row>
    <row r="13" spans="1:14" s="28" customFormat="1" ht="150" customHeight="1" x14ac:dyDescent="0.3">
      <c r="A13" s="5">
        <v>250057</v>
      </c>
      <c r="B13" s="5">
        <v>304</v>
      </c>
      <c r="C13" s="7">
        <v>0.9</v>
      </c>
      <c r="D13" s="5">
        <v>307</v>
      </c>
      <c r="E13" s="32" t="s">
        <v>78</v>
      </c>
      <c r="F13" s="5" t="s">
        <v>61</v>
      </c>
      <c r="G13" s="5">
        <v>304</v>
      </c>
      <c r="H13" s="7" t="s">
        <v>16</v>
      </c>
      <c r="I13" s="5" t="s">
        <v>16</v>
      </c>
      <c r="J13" s="5" t="s">
        <v>16</v>
      </c>
      <c r="K13" s="5" t="s">
        <v>17</v>
      </c>
      <c r="L13" s="9">
        <v>15</v>
      </c>
      <c r="M13" s="27"/>
      <c r="N13" s="26">
        <f t="shared" si="0"/>
        <v>15</v>
      </c>
    </row>
    <row r="14" spans="1:14" s="28" customFormat="1" ht="150" customHeight="1" x14ac:dyDescent="0.3">
      <c r="A14" s="5">
        <v>250061</v>
      </c>
      <c r="B14" s="5">
        <v>304</v>
      </c>
      <c r="C14" s="7">
        <v>0.7</v>
      </c>
      <c r="D14" s="5">
        <v>265</v>
      </c>
      <c r="E14" s="32" t="s">
        <v>79</v>
      </c>
      <c r="F14" s="5" t="s">
        <v>80</v>
      </c>
      <c r="G14" s="5">
        <v>304</v>
      </c>
      <c r="H14" s="7" t="s">
        <v>16</v>
      </c>
      <c r="I14" s="5" t="s">
        <v>16</v>
      </c>
      <c r="J14" s="5" t="s">
        <v>16</v>
      </c>
      <c r="K14" s="5" t="s">
        <v>17</v>
      </c>
      <c r="L14" s="9">
        <v>525</v>
      </c>
      <c r="M14" s="27"/>
      <c r="N14" s="26">
        <f>L14-M14</f>
        <v>525</v>
      </c>
    </row>
    <row r="15" spans="1:14" s="28" customFormat="1" ht="150" customHeight="1" x14ac:dyDescent="0.3">
      <c r="A15" s="5">
        <v>250061</v>
      </c>
      <c r="B15" s="5">
        <v>304</v>
      </c>
      <c r="C15" s="7">
        <v>0.7</v>
      </c>
      <c r="D15" s="5">
        <v>265</v>
      </c>
      <c r="E15" s="32" t="s">
        <v>81</v>
      </c>
      <c r="F15" s="5" t="s">
        <v>80</v>
      </c>
      <c r="G15" s="5">
        <v>304</v>
      </c>
      <c r="H15" s="7" t="s">
        <v>16</v>
      </c>
      <c r="I15" s="5" t="s">
        <v>16</v>
      </c>
      <c r="J15" s="5" t="s">
        <v>16</v>
      </c>
      <c r="K15" s="5" t="s">
        <v>17</v>
      </c>
      <c r="L15" s="9">
        <v>15</v>
      </c>
      <c r="M15" s="27"/>
      <c r="N15" s="26">
        <f t="shared" ref="N15:N19" si="1">L15-M15</f>
        <v>15</v>
      </c>
    </row>
    <row r="16" spans="1:14" s="28" customFormat="1" ht="150" customHeight="1" x14ac:dyDescent="0.3">
      <c r="A16" s="5">
        <v>230925</v>
      </c>
      <c r="B16" s="5">
        <v>430</v>
      </c>
      <c r="C16" s="7">
        <v>0.8</v>
      </c>
      <c r="D16" s="5">
        <v>425</v>
      </c>
      <c r="E16" s="32" t="s">
        <v>82</v>
      </c>
      <c r="F16" s="5" t="s">
        <v>80</v>
      </c>
      <c r="G16" s="5">
        <v>430</v>
      </c>
      <c r="H16" s="7" t="s">
        <v>16</v>
      </c>
      <c r="I16" s="5" t="s">
        <v>16</v>
      </c>
      <c r="J16" s="5" t="s">
        <v>16</v>
      </c>
      <c r="K16" s="5" t="s">
        <v>17</v>
      </c>
      <c r="L16" s="9">
        <v>6000</v>
      </c>
      <c r="M16" s="27"/>
      <c r="N16" s="26">
        <f t="shared" si="1"/>
        <v>6000</v>
      </c>
    </row>
    <row r="17" spans="1:14" s="28" customFormat="1" ht="150" customHeight="1" x14ac:dyDescent="0.3">
      <c r="A17" s="5">
        <v>230925</v>
      </c>
      <c r="B17" s="5">
        <v>430</v>
      </c>
      <c r="C17" s="7">
        <v>0.8</v>
      </c>
      <c r="D17" s="5">
        <v>360</v>
      </c>
      <c r="E17" s="32" t="s">
        <v>83</v>
      </c>
      <c r="F17" s="5" t="s">
        <v>80</v>
      </c>
      <c r="G17" s="5">
        <v>430</v>
      </c>
      <c r="H17" s="7" t="s">
        <v>16</v>
      </c>
      <c r="I17" s="5" t="s">
        <v>16</v>
      </c>
      <c r="J17" s="5" t="s">
        <v>16</v>
      </c>
      <c r="K17" s="5" t="s">
        <v>17</v>
      </c>
      <c r="L17" s="9">
        <v>6000</v>
      </c>
      <c r="M17" s="27"/>
      <c r="N17" s="26">
        <f t="shared" si="1"/>
        <v>6000</v>
      </c>
    </row>
    <row r="18" spans="1:14" s="28" customFormat="1" ht="150" customHeight="1" x14ac:dyDescent="0.3">
      <c r="A18" s="5"/>
      <c r="B18" s="5"/>
      <c r="C18" s="7"/>
      <c r="D18" s="5"/>
      <c r="E18" s="32"/>
      <c r="F18" s="5"/>
      <c r="G18" s="5"/>
      <c r="H18" s="7"/>
      <c r="I18" s="5"/>
      <c r="J18" s="5"/>
      <c r="K18" s="5"/>
      <c r="L18" s="9"/>
      <c r="M18" s="27"/>
      <c r="N18" s="26">
        <f t="shared" si="1"/>
        <v>0</v>
      </c>
    </row>
    <row r="19" spans="1:14" s="11" customFormat="1" ht="150" customHeight="1" x14ac:dyDescent="0.3">
      <c r="A19" s="22"/>
      <c r="B19" s="22"/>
      <c r="C19" s="23"/>
      <c r="D19" s="29"/>
      <c r="E19" s="31"/>
      <c r="F19" s="22"/>
      <c r="G19" s="22"/>
      <c r="H19" s="23"/>
      <c r="I19" s="22"/>
      <c r="J19" s="22"/>
      <c r="K19" s="22"/>
      <c r="L19" s="26"/>
      <c r="M19" s="27"/>
      <c r="N19" s="26">
        <f t="shared" si="1"/>
        <v>0</v>
      </c>
    </row>
    <row r="20" spans="1:14" s="11" customFormat="1" ht="150" customHeight="1" x14ac:dyDescent="0.3">
      <c r="A20" s="13"/>
      <c r="B20" s="13"/>
      <c r="C20" s="14"/>
      <c r="D20" s="14"/>
      <c r="E20" s="33"/>
      <c r="F20" s="13"/>
      <c r="G20" s="13"/>
      <c r="H20" s="14"/>
      <c r="I20" s="13"/>
      <c r="J20" s="13"/>
      <c r="K20" s="13"/>
      <c r="L20" s="9">
        <f>SUM(L4:L19)</f>
        <v>32150</v>
      </c>
      <c r="M20" s="16">
        <f>SUM(M4:M19)</f>
        <v>1600</v>
      </c>
      <c r="N20" s="9">
        <f>SUM(N4:N19)</f>
        <v>30550</v>
      </c>
    </row>
    <row r="21" spans="1:14" s="12" customFormat="1" ht="100.05" customHeight="1" x14ac:dyDescent="0.3">
      <c r="A21" s="17"/>
      <c r="B21" s="17"/>
      <c r="C21" s="17"/>
      <c r="D21" s="20"/>
      <c r="E21" s="35"/>
      <c r="F21" s="17"/>
      <c r="G21" s="17"/>
      <c r="H21" s="17"/>
      <c r="I21" s="17"/>
      <c r="J21" s="17"/>
      <c r="K21" s="17"/>
      <c r="L21" s="17"/>
      <c r="M21" s="17"/>
      <c r="N21" s="17"/>
    </row>
    <row r="22" spans="1:14" ht="100.05" customHeight="1" x14ac:dyDescent="0.3"/>
    <row r="23" spans="1:14" s="4" customFormat="1" ht="100.05" customHeight="1" x14ac:dyDescent="0.3">
      <c r="A23" s="17"/>
      <c r="B23" s="17"/>
      <c r="C23" s="17"/>
      <c r="D23" s="20"/>
      <c r="E23" s="35"/>
      <c r="F23" s="17"/>
      <c r="G23" s="17"/>
      <c r="H23" s="17"/>
      <c r="I23" s="17"/>
      <c r="J23" s="17"/>
      <c r="K23" s="17"/>
      <c r="L23" s="17"/>
      <c r="M23" s="17"/>
      <c r="N23" s="17"/>
    </row>
    <row r="24" spans="1:14" s="4" customFormat="1" ht="100.05" customHeight="1" x14ac:dyDescent="0.3">
      <c r="A24" s="17"/>
      <c r="B24" s="17"/>
      <c r="C24" s="17"/>
      <c r="D24" s="20"/>
      <c r="E24" s="35"/>
      <c r="F24" s="17"/>
      <c r="G24" s="17"/>
      <c r="H24" s="17"/>
      <c r="I24" s="17"/>
      <c r="J24" s="17"/>
      <c r="K24" s="17"/>
      <c r="L24" s="17"/>
      <c r="M24" s="17"/>
      <c r="N24" s="17"/>
    </row>
    <row r="25" spans="1:14" s="11" customFormat="1" ht="100.05" customHeight="1" x14ac:dyDescent="0.3">
      <c r="A25" s="17"/>
      <c r="B25" s="17"/>
      <c r="C25" s="17"/>
      <c r="D25" s="20"/>
      <c r="E25" s="35"/>
      <c r="F25" s="17"/>
      <c r="G25" s="17"/>
      <c r="H25" s="17"/>
      <c r="I25" s="17"/>
      <c r="J25" s="17"/>
      <c r="K25" s="17"/>
      <c r="L25" s="17"/>
      <c r="M25" s="17"/>
      <c r="N25" s="17"/>
    </row>
    <row r="26" spans="1:14" s="11" customFormat="1" ht="100.05" customHeight="1" x14ac:dyDescent="0.3">
      <c r="A26" s="17"/>
      <c r="B26" s="17"/>
      <c r="C26" s="17"/>
      <c r="D26" s="20"/>
      <c r="E26" s="35"/>
      <c r="F26" s="17"/>
      <c r="G26" s="17"/>
      <c r="H26" s="17"/>
      <c r="I26" s="17"/>
      <c r="J26" s="17"/>
      <c r="K26" s="17"/>
      <c r="L26" s="17"/>
      <c r="M26" s="17"/>
      <c r="N26" s="17"/>
    </row>
    <row r="27" spans="1:14" s="11" customFormat="1" ht="100.05" customHeight="1" x14ac:dyDescent="0.3">
      <c r="A27" s="17"/>
      <c r="B27" s="17"/>
      <c r="C27" s="17"/>
      <c r="D27" s="20"/>
      <c r="E27" s="35"/>
      <c r="F27" s="17"/>
      <c r="G27" s="17"/>
      <c r="H27" s="17"/>
      <c r="I27" s="17"/>
      <c r="J27" s="17"/>
      <c r="K27" s="17"/>
      <c r="L27" s="17"/>
      <c r="M27" s="17"/>
      <c r="N27" s="17"/>
    </row>
    <row r="28" spans="1:14" s="11" customFormat="1" ht="100.05" customHeight="1" x14ac:dyDescent="0.3">
      <c r="A28" s="17"/>
      <c r="B28" s="17"/>
      <c r="C28" s="17"/>
      <c r="D28" s="20"/>
      <c r="E28" s="35"/>
      <c r="F28" s="17"/>
      <c r="G28" s="17"/>
      <c r="H28" s="17"/>
      <c r="I28" s="17"/>
      <c r="J28" s="17"/>
      <c r="K28" s="17"/>
      <c r="L28" s="17"/>
      <c r="M28" s="17"/>
      <c r="N28" s="17"/>
    </row>
    <row r="29" spans="1:14" s="11" customFormat="1" ht="100.05" customHeight="1" x14ac:dyDescent="0.3">
      <c r="A29" s="17"/>
      <c r="B29" s="17"/>
      <c r="C29" s="17"/>
      <c r="D29" s="20"/>
      <c r="E29" s="35"/>
      <c r="F29" s="17"/>
      <c r="G29" s="17"/>
      <c r="H29" s="17"/>
      <c r="I29" s="17"/>
      <c r="J29" s="17"/>
      <c r="K29" s="17"/>
      <c r="L29" s="17"/>
      <c r="M29" s="17"/>
      <c r="N29" s="17"/>
    </row>
    <row r="30" spans="1:14" s="11" customFormat="1" ht="100.05" customHeight="1" x14ac:dyDescent="0.3">
      <c r="A30" s="17"/>
      <c r="B30" s="17"/>
      <c r="C30" s="17"/>
      <c r="D30" s="20"/>
      <c r="E30" s="35"/>
      <c r="F30" s="17"/>
      <c r="G30" s="17"/>
      <c r="H30" s="17"/>
      <c r="I30" s="17"/>
      <c r="J30" s="17"/>
      <c r="K30" s="17"/>
      <c r="L30" s="17"/>
      <c r="M30" s="17"/>
      <c r="N30" s="17"/>
    </row>
    <row r="31" spans="1:14" s="11" customFormat="1" ht="100.05" customHeight="1" x14ac:dyDescent="0.3">
      <c r="A31" s="17"/>
      <c r="B31" s="17"/>
      <c r="C31" s="17"/>
      <c r="D31" s="20"/>
      <c r="E31" s="35"/>
      <c r="F31" s="17"/>
      <c r="G31" s="17"/>
      <c r="H31" s="17"/>
      <c r="I31" s="17"/>
      <c r="J31" s="17"/>
      <c r="K31" s="17"/>
      <c r="L31" s="17"/>
      <c r="M31" s="17"/>
      <c r="N31" s="17"/>
    </row>
    <row r="32" spans="1:14" s="11" customFormat="1" ht="100.05" customHeight="1" x14ac:dyDescent="0.3">
      <c r="A32" s="17"/>
      <c r="B32" s="17"/>
      <c r="C32" s="17"/>
      <c r="D32" s="20"/>
      <c r="E32" s="35"/>
      <c r="F32" s="17"/>
      <c r="G32" s="17"/>
      <c r="H32" s="17"/>
      <c r="I32" s="17"/>
      <c r="J32" s="17"/>
      <c r="K32" s="17"/>
      <c r="L32" s="17"/>
      <c r="M32" s="17"/>
      <c r="N32" s="17"/>
    </row>
    <row r="33" spans="1:14" s="11" customFormat="1" ht="100.05" customHeight="1" x14ac:dyDescent="0.3">
      <c r="A33" s="17"/>
      <c r="B33" s="17"/>
      <c r="C33" s="17"/>
      <c r="D33" s="20"/>
      <c r="E33" s="35"/>
      <c r="F33" s="17"/>
      <c r="G33" s="17"/>
      <c r="H33" s="17"/>
      <c r="I33" s="17"/>
      <c r="J33" s="17"/>
      <c r="K33" s="17"/>
      <c r="L33" s="17"/>
      <c r="M33" s="17"/>
      <c r="N33" s="17"/>
    </row>
    <row r="34" spans="1:14" s="11" customFormat="1" ht="100.05" customHeight="1" x14ac:dyDescent="0.3">
      <c r="A34" s="17"/>
      <c r="B34" s="17"/>
      <c r="C34" s="17"/>
      <c r="D34" s="20"/>
      <c r="E34" s="35"/>
      <c r="F34" s="17"/>
      <c r="G34" s="17"/>
      <c r="H34" s="17"/>
      <c r="I34" s="17"/>
      <c r="J34" s="17"/>
      <c r="K34" s="17"/>
      <c r="L34" s="17"/>
      <c r="M34" s="17"/>
      <c r="N34" s="17"/>
    </row>
  </sheetData>
  <mergeCells count="3">
    <mergeCell ref="A1:C1"/>
    <mergeCell ref="K1:N1"/>
    <mergeCell ref="A2:N2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18" orientation="portrait" horizontalDpi="1200" verticalDpi="12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2"/>
  <sheetViews>
    <sheetView zoomScale="25" zoomScaleNormal="25" workbookViewId="0">
      <selection activeCell="M6" sqref="M6"/>
    </sheetView>
  </sheetViews>
  <sheetFormatPr defaultColWidth="8.88671875" defaultRowHeight="14.4" x14ac:dyDescent="0.3"/>
  <cols>
    <col min="1" max="1" width="41.77734375" style="17" customWidth="1"/>
    <col min="2" max="2" width="19.6640625" style="17" customWidth="1"/>
    <col min="3" max="3" width="29.21875" style="17" customWidth="1"/>
    <col min="4" max="4" width="28.6640625" style="20" customWidth="1"/>
    <col min="5" max="5" width="162.109375" style="35" customWidth="1"/>
    <col min="6" max="6" width="32.109375" style="17" bestFit="1" customWidth="1"/>
    <col min="7" max="7" width="21.88671875" style="17" bestFit="1" customWidth="1"/>
    <col min="8" max="8" width="26.6640625" style="17" bestFit="1" customWidth="1"/>
    <col min="9" max="9" width="40.109375" style="17" bestFit="1" customWidth="1"/>
    <col min="10" max="10" width="37.88671875" style="17" customWidth="1"/>
    <col min="11" max="11" width="25.6640625" style="17" customWidth="1"/>
    <col min="12" max="14" width="26.77734375" style="17" bestFit="1" customWidth="1"/>
    <col min="15" max="16384" width="8.88671875" style="18"/>
  </cols>
  <sheetData>
    <row r="1" spans="1:14" s="3" customFormat="1" ht="100.05" customHeight="1" x14ac:dyDescent="0.95">
      <c r="A1" s="37"/>
      <c r="B1" s="37"/>
      <c r="C1" s="37"/>
      <c r="D1" s="19"/>
      <c r="E1" s="34"/>
      <c r="F1" s="1"/>
      <c r="G1" s="1"/>
      <c r="H1" s="1"/>
      <c r="I1" s="1"/>
      <c r="J1" s="2" t="s">
        <v>0</v>
      </c>
      <c r="K1" s="38">
        <v>45943</v>
      </c>
      <c r="L1" s="38"/>
      <c r="M1" s="38"/>
      <c r="N1" s="38"/>
    </row>
    <row r="2" spans="1:14" s="4" customFormat="1" ht="100.05" customHeight="1" x14ac:dyDescent="0.3">
      <c r="A2" s="39" t="s">
        <v>69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</row>
    <row r="3" spans="1:14" s="4" customFormat="1" ht="150" customHeight="1" x14ac:dyDescent="0.3">
      <c r="A3" s="5" t="s">
        <v>1</v>
      </c>
      <c r="B3" s="5" t="s">
        <v>2</v>
      </c>
      <c r="C3" s="6" t="s">
        <v>3</v>
      </c>
      <c r="D3" s="7" t="s">
        <v>4</v>
      </c>
      <c r="E3" s="32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6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s="28" customFormat="1" ht="150" customHeight="1" x14ac:dyDescent="0.3">
      <c r="A4" s="22" t="s">
        <v>42</v>
      </c>
      <c r="B4" s="22">
        <v>304</v>
      </c>
      <c r="C4" s="23">
        <v>0.9</v>
      </c>
      <c r="D4" s="29" t="s">
        <v>57</v>
      </c>
      <c r="E4" s="31" t="s">
        <v>47</v>
      </c>
      <c r="F4" s="22" t="s">
        <v>16</v>
      </c>
      <c r="G4" s="22" t="s">
        <v>16</v>
      </c>
      <c r="H4" s="23" t="s">
        <v>16</v>
      </c>
      <c r="I4" s="22" t="s">
        <v>16</v>
      </c>
      <c r="J4" s="23" t="s">
        <v>16</v>
      </c>
      <c r="K4" s="22" t="s">
        <v>17</v>
      </c>
      <c r="L4" s="26">
        <v>1500</v>
      </c>
      <c r="M4" s="27">
        <v>1620</v>
      </c>
      <c r="N4" s="26">
        <f t="shared" ref="N4:N13" si="0">L4-M4</f>
        <v>-120</v>
      </c>
    </row>
    <row r="5" spans="1:14" s="28" customFormat="1" ht="150" customHeight="1" x14ac:dyDescent="0.3">
      <c r="A5" s="22">
        <v>160925</v>
      </c>
      <c r="B5" s="22">
        <v>304</v>
      </c>
      <c r="C5" s="23">
        <v>0.9</v>
      </c>
      <c r="D5" s="29" t="s">
        <v>48</v>
      </c>
      <c r="E5" s="31" t="s">
        <v>49</v>
      </c>
      <c r="F5" s="22" t="s">
        <v>16</v>
      </c>
      <c r="G5" s="22">
        <v>430</v>
      </c>
      <c r="H5" s="23">
        <v>0.6</v>
      </c>
      <c r="I5" s="22" t="s">
        <v>16</v>
      </c>
      <c r="J5" s="23" t="s">
        <v>16</v>
      </c>
      <c r="K5" s="22" t="s">
        <v>17</v>
      </c>
      <c r="L5" s="26">
        <v>1100</v>
      </c>
      <c r="M5" s="27">
        <v>200</v>
      </c>
      <c r="N5" s="26">
        <f t="shared" si="0"/>
        <v>900</v>
      </c>
    </row>
    <row r="6" spans="1:14" s="28" customFormat="1" ht="150" customHeight="1" x14ac:dyDescent="0.3">
      <c r="A6" s="22">
        <v>160925</v>
      </c>
      <c r="B6" s="22">
        <v>304</v>
      </c>
      <c r="C6" s="23">
        <v>0.9</v>
      </c>
      <c r="D6" s="29" t="s">
        <v>50</v>
      </c>
      <c r="E6" s="31" t="s">
        <v>51</v>
      </c>
      <c r="F6" s="22" t="s">
        <v>16</v>
      </c>
      <c r="G6" s="22" t="s">
        <v>52</v>
      </c>
      <c r="H6" s="23" t="s">
        <v>52</v>
      </c>
      <c r="I6" s="22" t="s">
        <v>16</v>
      </c>
      <c r="J6" s="23" t="s">
        <v>16</v>
      </c>
      <c r="K6" s="22" t="s">
        <v>17</v>
      </c>
      <c r="L6" s="26">
        <v>1100</v>
      </c>
      <c r="M6" s="27"/>
      <c r="N6" s="26">
        <f t="shared" si="0"/>
        <v>1100</v>
      </c>
    </row>
    <row r="7" spans="1:14" s="28" customFormat="1" ht="150" customHeight="1" x14ac:dyDescent="0.3">
      <c r="A7" s="22">
        <v>290925</v>
      </c>
      <c r="B7" s="22">
        <v>304</v>
      </c>
      <c r="C7" s="23">
        <v>0.8</v>
      </c>
      <c r="D7" s="29" t="s">
        <v>73</v>
      </c>
      <c r="E7" s="31" t="s">
        <v>70</v>
      </c>
      <c r="F7" s="22" t="s">
        <v>15</v>
      </c>
      <c r="G7" s="22">
        <v>430</v>
      </c>
      <c r="H7" s="23">
        <v>0.6</v>
      </c>
      <c r="I7" s="22" t="s">
        <v>16</v>
      </c>
      <c r="J7" s="23" t="s">
        <v>16</v>
      </c>
      <c r="K7" s="22" t="s">
        <v>17</v>
      </c>
      <c r="L7" s="26">
        <v>4000</v>
      </c>
      <c r="M7" s="27"/>
      <c r="N7" s="26">
        <f t="shared" si="0"/>
        <v>4000</v>
      </c>
    </row>
    <row r="8" spans="1:14" s="28" customFormat="1" ht="150" customHeight="1" x14ac:dyDescent="0.3">
      <c r="A8" s="22">
        <v>290925</v>
      </c>
      <c r="B8" s="22">
        <v>304</v>
      </c>
      <c r="C8" s="23">
        <v>0.8</v>
      </c>
      <c r="D8" s="29" t="s">
        <v>74</v>
      </c>
      <c r="E8" s="31" t="s">
        <v>71</v>
      </c>
      <c r="F8" s="22" t="s">
        <v>16</v>
      </c>
      <c r="G8" s="22" t="s">
        <v>16</v>
      </c>
      <c r="H8" s="23" t="s">
        <v>16</v>
      </c>
      <c r="I8" s="22" t="s">
        <v>16</v>
      </c>
      <c r="J8" s="23" t="s">
        <v>16</v>
      </c>
      <c r="K8" s="22" t="s">
        <v>17</v>
      </c>
      <c r="L8" s="26">
        <v>4000</v>
      </c>
      <c r="M8" s="27"/>
      <c r="N8" s="26">
        <f t="shared" si="0"/>
        <v>4000</v>
      </c>
    </row>
    <row r="9" spans="1:14" s="28" customFormat="1" ht="150" customHeight="1" x14ac:dyDescent="0.3">
      <c r="A9" s="22">
        <v>290925</v>
      </c>
      <c r="B9" s="22">
        <v>304</v>
      </c>
      <c r="C9" s="23">
        <v>0.8</v>
      </c>
      <c r="D9" s="29" t="s">
        <v>75</v>
      </c>
      <c r="E9" s="31" t="s">
        <v>72</v>
      </c>
      <c r="F9" s="22" t="s">
        <v>15</v>
      </c>
      <c r="G9" s="22">
        <v>430</v>
      </c>
      <c r="H9" s="23">
        <v>0.6</v>
      </c>
      <c r="I9" s="22" t="s">
        <v>16</v>
      </c>
      <c r="J9" s="23" t="s">
        <v>16</v>
      </c>
      <c r="K9" s="22" t="s">
        <v>17</v>
      </c>
      <c r="L9" s="26">
        <v>3000</v>
      </c>
      <c r="M9" s="27"/>
      <c r="N9" s="26">
        <f t="shared" si="0"/>
        <v>3000</v>
      </c>
    </row>
    <row r="10" spans="1:14" s="28" customFormat="1" ht="150" customHeight="1" x14ac:dyDescent="0.3">
      <c r="A10" s="22">
        <v>290925</v>
      </c>
      <c r="B10" s="22">
        <v>304</v>
      </c>
      <c r="C10" s="23">
        <v>0.8</v>
      </c>
      <c r="D10" s="29" t="s">
        <v>65</v>
      </c>
      <c r="E10" s="31" t="s">
        <v>76</v>
      </c>
      <c r="F10" s="22" t="s">
        <v>16</v>
      </c>
      <c r="G10" s="22" t="s">
        <v>16</v>
      </c>
      <c r="H10" s="23" t="s">
        <v>16</v>
      </c>
      <c r="I10" s="22" t="s">
        <v>16</v>
      </c>
      <c r="J10" s="23" t="s">
        <v>16</v>
      </c>
      <c r="K10" s="22" t="s">
        <v>17</v>
      </c>
      <c r="L10" s="26">
        <v>3000</v>
      </c>
      <c r="M10" s="27"/>
      <c r="N10" s="26">
        <f t="shared" si="0"/>
        <v>3000</v>
      </c>
    </row>
    <row r="11" spans="1:14" s="28" customFormat="1" ht="150" customHeight="1" x14ac:dyDescent="0.3">
      <c r="A11" s="5">
        <v>250057</v>
      </c>
      <c r="B11" s="5">
        <v>304</v>
      </c>
      <c r="C11" s="7">
        <v>0.7</v>
      </c>
      <c r="D11" s="5">
        <v>307</v>
      </c>
      <c r="E11" s="32" t="s">
        <v>77</v>
      </c>
      <c r="F11" s="5" t="s">
        <v>61</v>
      </c>
      <c r="G11" s="5">
        <v>304</v>
      </c>
      <c r="H11" s="7" t="s">
        <v>16</v>
      </c>
      <c r="I11" s="5" t="s">
        <v>16</v>
      </c>
      <c r="J11" s="5" t="s">
        <v>16</v>
      </c>
      <c r="K11" s="5" t="s">
        <v>17</v>
      </c>
      <c r="L11" s="9">
        <v>395</v>
      </c>
      <c r="M11" s="27"/>
      <c r="N11" s="26">
        <f t="shared" si="0"/>
        <v>395</v>
      </c>
    </row>
    <row r="12" spans="1:14" s="28" customFormat="1" ht="150" customHeight="1" x14ac:dyDescent="0.3">
      <c r="A12" s="5">
        <v>250057</v>
      </c>
      <c r="B12" s="5">
        <v>304</v>
      </c>
      <c r="C12" s="7">
        <v>0.9</v>
      </c>
      <c r="D12" s="5">
        <v>307</v>
      </c>
      <c r="E12" s="32" t="s">
        <v>78</v>
      </c>
      <c r="F12" s="5" t="s">
        <v>61</v>
      </c>
      <c r="G12" s="5">
        <v>304</v>
      </c>
      <c r="H12" s="7" t="s">
        <v>16</v>
      </c>
      <c r="I12" s="5" t="s">
        <v>16</v>
      </c>
      <c r="J12" s="5" t="s">
        <v>16</v>
      </c>
      <c r="K12" s="5" t="s">
        <v>17</v>
      </c>
      <c r="L12" s="9">
        <v>15</v>
      </c>
      <c r="M12" s="27"/>
      <c r="N12" s="26">
        <f t="shared" si="0"/>
        <v>15</v>
      </c>
    </row>
    <row r="13" spans="1:14" s="28" customFormat="1" ht="150" customHeight="1" x14ac:dyDescent="0.3">
      <c r="A13" s="5">
        <v>250061</v>
      </c>
      <c r="B13" s="5">
        <v>304</v>
      </c>
      <c r="C13" s="7">
        <v>0.7</v>
      </c>
      <c r="D13" s="5">
        <v>265</v>
      </c>
      <c r="E13" s="32" t="s">
        <v>79</v>
      </c>
      <c r="F13" s="5" t="s">
        <v>80</v>
      </c>
      <c r="G13" s="5">
        <v>304</v>
      </c>
      <c r="H13" s="7" t="s">
        <v>16</v>
      </c>
      <c r="I13" s="5" t="s">
        <v>16</v>
      </c>
      <c r="J13" s="5" t="s">
        <v>16</v>
      </c>
      <c r="K13" s="5" t="s">
        <v>17</v>
      </c>
      <c r="L13" s="9">
        <v>525</v>
      </c>
      <c r="M13" s="27"/>
      <c r="N13" s="26">
        <f t="shared" si="0"/>
        <v>525</v>
      </c>
    </row>
    <row r="14" spans="1:14" s="28" customFormat="1" ht="150" customHeight="1" x14ac:dyDescent="0.3">
      <c r="A14" s="5">
        <v>250061</v>
      </c>
      <c r="B14" s="5">
        <v>304</v>
      </c>
      <c r="C14" s="7">
        <v>0.7</v>
      </c>
      <c r="D14" s="5">
        <v>265</v>
      </c>
      <c r="E14" s="32" t="s">
        <v>81</v>
      </c>
      <c r="F14" s="5" t="s">
        <v>80</v>
      </c>
      <c r="G14" s="5">
        <v>304</v>
      </c>
      <c r="H14" s="7" t="s">
        <v>16</v>
      </c>
      <c r="I14" s="5" t="s">
        <v>16</v>
      </c>
      <c r="J14" s="5" t="s">
        <v>16</v>
      </c>
      <c r="K14" s="5" t="s">
        <v>17</v>
      </c>
      <c r="L14" s="9">
        <v>15</v>
      </c>
      <c r="M14" s="27"/>
      <c r="N14" s="26">
        <f>L14-M14</f>
        <v>15</v>
      </c>
    </row>
    <row r="15" spans="1:14" s="28" customFormat="1" ht="150" customHeight="1" x14ac:dyDescent="0.3">
      <c r="A15" s="5">
        <v>230925</v>
      </c>
      <c r="B15" s="5">
        <v>430</v>
      </c>
      <c r="C15" s="7">
        <v>0.8</v>
      </c>
      <c r="D15" s="5">
        <v>425</v>
      </c>
      <c r="E15" s="32" t="s">
        <v>82</v>
      </c>
      <c r="F15" s="5" t="s">
        <v>80</v>
      </c>
      <c r="G15" s="5">
        <v>430</v>
      </c>
      <c r="H15" s="7" t="s">
        <v>16</v>
      </c>
      <c r="I15" s="5" t="s">
        <v>16</v>
      </c>
      <c r="J15" s="5" t="s">
        <v>16</v>
      </c>
      <c r="K15" s="5" t="s">
        <v>17</v>
      </c>
      <c r="L15" s="9">
        <v>6000</v>
      </c>
      <c r="M15" s="27"/>
      <c r="N15" s="26">
        <f t="shared" ref="N15:N17" si="1">L15-M15</f>
        <v>6000</v>
      </c>
    </row>
    <row r="16" spans="1:14" s="28" customFormat="1" ht="150" customHeight="1" x14ac:dyDescent="0.3">
      <c r="A16" s="5">
        <v>230925</v>
      </c>
      <c r="B16" s="5">
        <v>430</v>
      </c>
      <c r="C16" s="7">
        <v>0.8</v>
      </c>
      <c r="D16" s="5">
        <v>360</v>
      </c>
      <c r="E16" s="32" t="s">
        <v>83</v>
      </c>
      <c r="F16" s="5" t="s">
        <v>80</v>
      </c>
      <c r="G16" s="5">
        <v>430</v>
      </c>
      <c r="H16" s="7" t="s">
        <v>16</v>
      </c>
      <c r="I16" s="5" t="s">
        <v>16</v>
      </c>
      <c r="J16" s="5" t="s">
        <v>16</v>
      </c>
      <c r="K16" s="5" t="s">
        <v>17</v>
      </c>
      <c r="L16" s="9">
        <v>6000</v>
      </c>
      <c r="M16" s="27"/>
      <c r="N16" s="26">
        <f t="shared" si="1"/>
        <v>6000</v>
      </c>
    </row>
    <row r="17" spans="1:14" s="11" customFormat="1" ht="150" customHeight="1" x14ac:dyDescent="0.3">
      <c r="A17" s="22"/>
      <c r="B17" s="22"/>
      <c r="C17" s="23"/>
      <c r="D17" s="29"/>
      <c r="E17" s="31"/>
      <c r="F17" s="22"/>
      <c r="G17" s="22"/>
      <c r="H17" s="23"/>
      <c r="I17" s="22"/>
      <c r="J17" s="22"/>
      <c r="K17" s="22"/>
      <c r="L17" s="26"/>
      <c r="M17" s="27"/>
      <c r="N17" s="26">
        <f t="shared" si="1"/>
        <v>0</v>
      </c>
    </row>
    <row r="18" spans="1:14" s="11" customFormat="1" ht="150" customHeight="1" x14ac:dyDescent="0.3">
      <c r="A18" s="13"/>
      <c r="B18" s="13"/>
      <c r="C18" s="14"/>
      <c r="D18" s="14"/>
      <c r="E18" s="33"/>
      <c r="F18" s="13"/>
      <c r="G18" s="13"/>
      <c r="H18" s="14"/>
      <c r="I18" s="13"/>
      <c r="J18" s="13"/>
      <c r="K18" s="13"/>
      <c r="L18" s="9">
        <f>SUM(L4:L17)</f>
        <v>30650</v>
      </c>
      <c r="M18" s="16">
        <f>SUM(M4:M17)</f>
        <v>1820</v>
      </c>
      <c r="N18" s="9">
        <f>SUM(N4:N17)</f>
        <v>28830</v>
      </c>
    </row>
    <row r="19" spans="1:14" s="12" customFormat="1" ht="100.05" customHeight="1" x14ac:dyDescent="0.3">
      <c r="A19" s="17"/>
      <c r="B19" s="17"/>
      <c r="C19" s="17"/>
      <c r="D19" s="20"/>
      <c r="E19" s="35"/>
      <c r="F19" s="17"/>
      <c r="G19" s="17"/>
      <c r="H19" s="17"/>
      <c r="I19" s="17"/>
      <c r="J19" s="17"/>
      <c r="K19" s="17"/>
      <c r="L19" s="17"/>
      <c r="M19" s="17"/>
      <c r="N19" s="17"/>
    </row>
    <row r="20" spans="1:14" ht="100.05" customHeight="1" x14ac:dyDescent="0.3"/>
    <row r="21" spans="1:14" s="4" customFormat="1" ht="100.05" customHeight="1" x14ac:dyDescent="0.3">
      <c r="A21" s="17"/>
      <c r="B21" s="17"/>
      <c r="C21" s="17"/>
      <c r="D21" s="20"/>
      <c r="E21" s="35"/>
      <c r="F21" s="17"/>
      <c r="G21" s="17"/>
      <c r="H21" s="17"/>
      <c r="I21" s="17"/>
      <c r="J21" s="17"/>
      <c r="K21" s="17"/>
      <c r="L21" s="17"/>
      <c r="M21" s="17"/>
      <c r="N21" s="17"/>
    </row>
    <row r="22" spans="1:14" s="4" customFormat="1" ht="100.05" customHeight="1" x14ac:dyDescent="0.3">
      <c r="A22" s="17"/>
      <c r="B22" s="17"/>
      <c r="C22" s="17"/>
      <c r="D22" s="20"/>
      <c r="E22" s="35"/>
      <c r="F22" s="17"/>
      <c r="G22" s="17"/>
      <c r="H22" s="17"/>
      <c r="I22" s="17"/>
      <c r="J22" s="17"/>
      <c r="K22" s="17"/>
      <c r="L22" s="17"/>
      <c r="M22" s="17"/>
      <c r="N22" s="17"/>
    </row>
    <row r="23" spans="1:14" s="11" customFormat="1" ht="100.05" customHeight="1" x14ac:dyDescent="0.3">
      <c r="A23" s="17"/>
      <c r="B23" s="17"/>
      <c r="C23" s="17"/>
      <c r="D23" s="20"/>
      <c r="E23" s="35"/>
      <c r="F23" s="17"/>
      <c r="G23" s="17"/>
      <c r="H23" s="17"/>
      <c r="I23" s="17"/>
      <c r="J23" s="17"/>
      <c r="K23" s="17"/>
      <c r="L23" s="17"/>
      <c r="M23" s="17"/>
      <c r="N23" s="17"/>
    </row>
    <row r="24" spans="1:14" s="11" customFormat="1" ht="100.05" customHeight="1" x14ac:dyDescent="0.3">
      <c r="A24" s="17"/>
      <c r="B24" s="17"/>
      <c r="C24" s="17"/>
      <c r="D24" s="20"/>
      <c r="E24" s="35"/>
      <c r="F24" s="17"/>
      <c r="G24" s="17"/>
      <c r="H24" s="17"/>
      <c r="I24" s="17"/>
      <c r="J24" s="17"/>
      <c r="K24" s="17"/>
      <c r="L24" s="17"/>
      <c r="M24" s="17"/>
      <c r="N24" s="17"/>
    </row>
    <row r="25" spans="1:14" s="11" customFormat="1" ht="100.05" customHeight="1" x14ac:dyDescent="0.3">
      <c r="A25" s="17"/>
      <c r="B25" s="17"/>
      <c r="C25" s="17"/>
      <c r="D25" s="20"/>
      <c r="E25" s="35"/>
      <c r="F25" s="17"/>
      <c r="G25" s="17"/>
      <c r="H25" s="17"/>
      <c r="I25" s="17"/>
      <c r="J25" s="17"/>
      <c r="K25" s="17"/>
      <c r="L25" s="17"/>
      <c r="M25" s="17"/>
      <c r="N25" s="17"/>
    </row>
    <row r="26" spans="1:14" s="11" customFormat="1" ht="100.05" customHeight="1" x14ac:dyDescent="0.3">
      <c r="A26" s="17"/>
      <c r="B26" s="17"/>
      <c r="C26" s="17"/>
      <c r="D26" s="20"/>
      <c r="E26" s="35"/>
      <c r="F26" s="17"/>
      <c r="G26" s="17"/>
      <c r="H26" s="17"/>
      <c r="I26" s="17"/>
      <c r="J26" s="17"/>
      <c r="K26" s="17"/>
      <c r="L26" s="17"/>
      <c r="M26" s="17"/>
      <c r="N26" s="17"/>
    </row>
    <row r="27" spans="1:14" s="11" customFormat="1" ht="100.05" customHeight="1" x14ac:dyDescent="0.3">
      <c r="A27" s="17"/>
      <c r="B27" s="17"/>
      <c r="C27" s="17"/>
      <c r="D27" s="20"/>
      <c r="E27" s="35"/>
      <c r="F27" s="17"/>
      <c r="G27" s="17"/>
      <c r="H27" s="17"/>
      <c r="I27" s="17"/>
      <c r="J27" s="17"/>
      <c r="K27" s="17"/>
      <c r="L27" s="17"/>
      <c r="M27" s="17"/>
      <c r="N27" s="17"/>
    </row>
    <row r="28" spans="1:14" s="11" customFormat="1" ht="100.05" customHeight="1" x14ac:dyDescent="0.3">
      <c r="A28" s="17"/>
      <c r="B28" s="17"/>
      <c r="C28" s="17"/>
      <c r="D28" s="20"/>
      <c r="E28" s="35"/>
      <c r="F28" s="17"/>
      <c r="G28" s="17"/>
      <c r="H28" s="17"/>
      <c r="I28" s="17"/>
      <c r="J28" s="17"/>
      <c r="K28" s="17"/>
      <c r="L28" s="17"/>
      <c r="M28" s="17"/>
      <c r="N28" s="17"/>
    </row>
    <row r="29" spans="1:14" s="11" customFormat="1" ht="100.05" customHeight="1" x14ac:dyDescent="0.3">
      <c r="A29" s="17"/>
      <c r="B29" s="17"/>
      <c r="C29" s="17"/>
      <c r="D29" s="20"/>
      <c r="E29" s="35"/>
      <c r="F29" s="17"/>
      <c r="G29" s="17"/>
      <c r="H29" s="17"/>
      <c r="I29" s="17"/>
      <c r="J29" s="17"/>
      <c r="K29" s="17"/>
      <c r="L29" s="17"/>
      <c r="M29" s="17"/>
      <c r="N29" s="17"/>
    </row>
    <row r="30" spans="1:14" s="11" customFormat="1" ht="100.05" customHeight="1" x14ac:dyDescent="0.3">
      <c r="A30" s="17"/>
      <c r="B30" s="17"/>
      <c r="C30" s="17"/>
      <c r="D30" s="20"/>
      <c r="E30" s="35"/>
      <c r="F30" s="17"/>
      <c r="G30" s="17"/>
      <c r="H30" s="17"/>
      <c r="I30" s="17"/>
      <c r="J30" s="17"/>
      <c r="K30" s="17"/>
      <c r="L30" s="17"/>
      <c r="M30" s="17"/>
      <c r="N30" s="17"/>
    </row>
    <row r="31" spans="1:14" s="11" customFormat="1" ht="100.05" customHeight="1" x14ac:dyDescent="0.3">
      <c r="A31" s="17"/>
      <c r="B31" s="17"/>
      <c r="C31" s="17"/>
      <c r="D31" s="20"/>
      <c r="E31" s="35"/>
      <c r="F31" s="17"/>
      <c r="G31" s="17"/>
      <c r="H31" s="17"/>
      <c r="I31" s="17"/>
      <c r="J31" s="17"/>
      <c r="K31" s="17"/>
      <c r="L31" s="17"/>
      <c r="M31" s="17"/>
      <c r="N31" s="17"/>
    </row>
    <row r="32" spans="1:14" s="11" customFormat="1" ht="100.05" customHeight="1" x14ac:dyDescent="0.3">
      <c r="A32" s="17"/>
      <c r="B32" s="17"/>
      <c r="C32" s="17"/>
      <c r="D32" s="20"/>
      <c r="E32" s="35"/>
      <c r="F32" s="17"/>
      <c r="G32" s="17"/>
      <c r="H32" s="17"/>
      <c r="I32" s="17"/>
      <c r="J32" s="17"/>
      <c r="K32" s="17"/>
      <c r="L32" s="17"/>
      <c r="M32" s="17"/>
      <c r="N32" s="17"/>
    </row>
  </sheetData>
  <mergeCells count="3">
    <mergeCell ref="A1:C1"/>
    <mergeCell ref="K1:N1"/>
    <mergeCell ref="A2:N2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18" orientation="portrait" horizontalDpi="1200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1"/>
  <sheetViews>
    <sheetView topLeftCell="A17" zoomScale="25" zoomScaleNormal="25" workbookViewId="0">
      <selection activeCell="Z11" sqref="Z11"/>
    </sheetView>
  </sheetViews>
  <sheetFormatPr defaultColWidth="8.88671875" defaultRowHeight="14.4" x14ac:dyDescent="0.3"/>
  <cols>
    <col min="1" max="1" width="41.77734375" style="17" customWidth="1"/>
    <col min="2" max="2" width="19.6640625" style="17" customWidth="1"/>
    <col min="3" max="3" width="29.21875" style="17" customWidth="1"/>
    <col min="4" max="4" width="28.6640625" style="20" customWidth="1"/>
    <col min="5" max="5" width="162.109375" style="35" customWidth="1"/>
    <col min="6" max="6" width="32.109375" style="17" bestFit="1" customWidth="1"/>
    <col min="7" max="7" width="21.88671875" style="17" bestFit="1" customWidth="1"/>
    <col min="8" max="8" width="26.6640625" style="17" bestFit="1" customWidth="1"/>
    <col min="9" max="9" width="40.109375" style="17" bestFit="1" customWidth="1"/>
    <col min="10" max="10" width="37.88671875" style="17" customWidth="1"/>
    <col min="11" max="11" width="25.6640625" style="17" customWidth="1"/>
    <col min="12" max="14" width="26.77734375" style="17" bestFit="1" customWidth="1"/>
    <col min="15" max="16384" width="8.88671875" style="18"/>
  </cols>
  <sheetData>
    <row r="1" spans="1:14" s="3" customFormat="1" ht="100.05" customHeight="1" x14ac:dyDescent="0.95">
      <c r="A1" s="37"/>
      <c r="B1" s="37"/>
      <c r="C1" s="37"/>
      <c r="D1" s="19"/>
      <c r="E1" s="34"/>
      <c r="F1" s="1"/>
      <c r="G1" s="1"/>
      <c r="H1" s="1"/>
      <c r="I1" s="1"/>
      <c r="J1" s="2" t="s">
        <v>0</v>
      </c>
      <c r="K1" s="38">
        <v>45944</v>
      </c>
      <c r="L1" s="38"/>
      <c r="M1" s="38"/>
      <c r="N1" s="38"/>
    </row>
    <row r="2" spans="1:14" s="4" customFormat="1" ht="100.05" customHeight="1" x14ac:dyDescent="0.3">
      <c r="A2" s="39" t="s">
        <v>69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</row>
    <row r="3" spans="1:14" s="4" customFormat="1" ht="150" customHeight="1" x14ac:dyDescent="0.3">
      <c r="A3" s="5" t="s">
        <v>1</v>
      </c>
      <c r="B3" s="5" t="s">
        <v>2</v>
      </c>
      <c r="C3" s="6" t="s">
        <v>3</v>
      </c>
      <c r="D3" s="7" t="s">
        <v>4</v>
      </c>
      <c r="E3" s="32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6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s="28" customFormat="1" ht="150" customHeight="1" x14ac:dyDescent="0.3">
      <c r="A4" s="22">
        <v>160925</v>
      </c>
      <c r="B4" s="22">
        <v>304</v>
      </c>
      <c r="C4" s="23">
        <v>0.9</v>
      </c>
      <c r="D4" s="29" t="s">
        <v>48</v>
      </c>
      <c r="E4" s="31" t="s">
        <v>49</v>
      </c>
      <c r="F4" s="22" t="s">
        <v>16</v>
      </c>
      <c r="G4" s="22">
        <v>430</v>
      </c>
      <c r="H4" s="23">
        <v>0.6</v>
      </c>
      <c r="I4" s="22" t="s">
        <v>16</v>
      </c>
      <c r="J4" s="23" t="s">
        <v>16</v>
      </c>
      <c r="K4" s="22" t="s">
        <v>17</v>
      </c>
      <c r="L4" s="26">
        <v>1100</v>
      </c>
      <c r="M4" s="27">
        <f>200+900</f>
        <v>1100</v>
      </c>
      <c r="N4" s="26">
        <f t="shared" ref="N4:N13" si="0">L4-M4</f>
        <v>0</v>
      </c>
    </row>
    <row r="5" spans="1:14" s="28" customFormat="1" ht="150" customHeight="1" x14ac:dyDescent="0.3">
      <c r="A5" s="22">
        <v>160925</v>
      </c>
      <c r="B5" s="22">
        <v>304</v>
      </c>
      <c r="C5" s="23">
        <v>0.9</v>
      </c>
      <c r="D5" s="29" t="s">
        <v>50</v>
      </c>
      <c r="E5" s="31" t="s">
        <v>51</v>
      </c>
      <c r="F5" s="22" t="s">
        <v>16</v>
      </c>
      <c r="G5" s="22" t="s">
        <v>52</v>
      </c>
      <c r="H5" s="23" t="s">
        <v>52</v>
      </c>
      <c r="I5" s="22" t="s">
        <v>16</v>
      </c>
      <c r="J5" s="23" t="s">
        <v>16</v>
      </c>
      <c r="K5" s="22" t="s">
        <v>17</v>
      </c>
      <c r="L5" s="26">
        <v>1100</v>
      </c>
      <c r="M5" s="27">
        <v>1100</v>
      </c>
      <c r="N5" s="26">
        <f t="shared" si="0"/>
        <v>0</v>
      </c>
    </row>
    <row r="6" spans="1:14" s="28" customFormat="1" ht="150" customHeight="1" x14ac:dyDescent="0.3">
      <c r="A6" s="22">
        <v>290925</v>
      </c>
      <c r="B6" s="22">
        <v>304</v>
      </c>
      <c r="C6" s="23">
        <v>0.8</v>
      </c>
      <c r="D6" s="29" t="s">
        <v>73</v>
      </c>
      <c r="E6" s="31" t="s">
        <v>70</v>
      </c>
      <c r="F6" s="22" t="s">
        <v>15</v>
      </c>
      <c r="G6" s="22">
        <v>430</v>
      </c>
      <c r="H6" s="23">
        <v>0.6</v>
      </c>
      <c r="I6" s="22" t="s">
        <v>16</v>
      </c>
      <c r="J6" s="23" t="s">
        <v>16</v>
      </c>
      <c r="K6" s="22" t="s">
        <v>17</v>
      </c>
      <c r="L6" s="26">
        <v>4000</v>
      </c>
      <c r="M6" s="27">
        <v>100</v>
      </c>
      <c r="N6" s="26">
        <f t="shared" si="0"/>
        <v>3900</v>
      </c>
    </row>
    <row r="7" spans="1:14" s="28" customFormat="1" ht="150" customHeight="1" x14ac:dyDescent="0.3">
      <c r="A7" s="22">
        <v>290925</v>
      </c>
      <c r="B7" s="22">
        <v>304</v>
      </c>
      <c r="C7" s="23">
        <v>0.8</v>
      </c>
      <c r="D7" s="29" t="s">
        <v>74</v>
      </c>
      <c r="E7" s="31" t="s">
        <v>71</v>
      </c>
      <c r="F7" s="22" t="s">
        <v>16</v>
      </c>
      <c r="G7" s="22" t="s">
        <v>16</v>
      </c>
      <c r="H7" s="23" t="s">
        <v>16</v>
      </c>
      <c r="I7" s="22" t="s">
        <v>16</v>
      </c>
      <c r="J7" s="23" t="s">
        <v>16</v>
      </c>
      <c r="K7" s="22" t="s">
        <v>17</v>
      </c>
      <c r="L7" s="26">
        <v>4000</v>
      </c>
      <c r="M7" s="27"/>
      <c r="N7" s="26">
        <f t="shared" si="0"/>
        <v>4000</v>
      </c>
    </row>
    <row r="8" spans="1:14" s="28" customFormat="1" ht="150" customHeight="1" x14ac:dyDescent="0.3">
      <c r="A8" s="22">
        <v>290925</v>
      </c>
      <c r="B8" s="22">
        <v>304</v>
      </c>
      <c r="C8" s="23">
        <v>0.8</v>
      </c>
      <c r="D8" s="29" t="s">
        <v>75</v>
      </c>
      <c r="E8" s="31" t="s">
        <v>72</v>
      </c>
      <c r="F8" s="22" t="s">
        <v>15</v>
      </c>
      <c r="G8" s="22">
        <v>430</v>
      </c>
      <c r="H8" s="23">
        <v>0.6</v>
      </c>
      <c r="I8" s="22" t="s">
        <v>16</v>
      </c>
      <c r="J8" s="23" t="s">
        <v>16</v>
      </c>
      <c r="K8" s="22" t="s">
        <v>17</v>
      </c>
      <c r="L8" s="26">
        <v>3000</v>
      </c>
      <c r="M8" s="27"/>
      <c r="N8" s="26">
        <f t="shared" si="0"/>
        <v>3000</v>
      </c>
    </row>
    <row r="9" spans="1:14" s="28" customFormat="1" ht="150" customHeight="1" x14ac:dyDescent="0.3">
      <c r="A9" s="22">
        <v>290925</v>
      </c>
      <c r="B9" s="22">
        <v>304</v>
      </c>
      <c r="C9" s="23">
        <v>0.8</v>
      </c>
      <c r="D9" s="29" t="s">
        <v>65</v>
      </c>
      <c r="E9" s="31" t="s">
        <v>76</v>
      </c>
      <c r="F9" s="22" t="s">
        <v>16</v>
      </c>
      <c r="G9" s="22" t="s">
        <v>16</v>
      </c>
      <c r="H9" s="23" t="s">
        <v>16</v>
      </c>
      <c r="I9" s="22" t="s">
        <v>16</v>
      </c>
      <c r="J9" s="23" t="s">
        <v>16</v>
      </c>
      <c r="K9" s="22" t="s">
        <v>17</v>
      </c>
      <c r="L9" s="26">
        <v>3000</v>
      </c>
      <c r="M9" s="27"/>
      <c r="N9" s="26">
        <f t="shared" si="0"/>
        <v>3000</v>
      </c>
    </row>
    <row r="10" spans="1:14" s="28" customFormat="1" ht="150" customHeight="1" x14ac:dyDescent="0.3">
      <c r="A10" s="5">
        <v>250057</v>
      </c>
      <c r="B10" s="5">
        <v>304</v>
      </c>
      <c r="C10" s="7">
        <v>0.7</v>
      </c>
      <c r="D10" s="5">
        <v>307</v>
      </c>
      <c r="E10" s="32" t="s">
        <v>77</v>
      </c>
      <c r="F10" s="5" t="s">
        <v>61</v>
      </c>
      <c r="G10" s="5">
        <v>304</v>
      </c>
      <c r="H10" s="7" t="s">
        <v>16</v>
      </c>
      <c r="I10" s="5" t="s">
        <v>16</v>
      </c>
      <c r="J10" s="5" t="s">
        <v>16</v>
      </c>
      <c r="K10" s="5" t="s">
        <v>17</v>
      </c>
      <c r="L10" s="9">
        <v>395</v>
      </c>
      <c r="M10" s="27"/>
      <c r="N10" s="26">
        <f t="shared" si="0"/>
        <v>395</v>
      </c>
    </row>
    <row r="11" spans="1:14" s="28" customFormat="1" ht="150" customHeight="1" x14ac:dyDescent="0.3">
      <c r="A11" s="5">
        <v>250057</v>
      </c>
      <c r="B11" s="5">
        <v>304</v>
      </c>
      <c r="C11" s="7">
        <v>0.9</v>
      </c>
      <c r="D11" s="5">
        <v>307</v>
      </c>
      <c r="E11" s="32" t="s">
        <v>78</v>
      </c>
      <c r="F11" s="5" t="s">
        <v>61</v>
      </c>
      <c r="G11" s="5">
        <v>304</v>
      </c>
      <c r="H11" s="7" t="s">
        <v>16</v>
      </c>
      <c r="I11" s="5" t="s">
        <v>16</v>
      </c>
      <c r="J11" s="5" t="s">
        <v>16</v>
      </c>
      <c r="K11" s="5" t="s">
        <v>17</v>
      </c>
      <c r="L11" s="9">
        <v>15</v>
      </c>
      <c r="M11" s="27"/>
      <c r="N11" s="26">
        <f t="shared" si="0"/>
        <v>15</v>
      </c>
    </row>
    <row r="12" spans="1:14" s="28" customFormat="1" ht="150" customHeight="1" x14ac:dyDescent="0.3">
      <c r="A12" s="5">
        <v>250061</v>
      </c>
      <c r="B12" s="5">
        <v>304</v>
      </c>
      <c r="C12" s="7">
        <v>0.7</v>
      </c>
      <c r="D12" s="5">
        <v>265</v>
      </c>
      <c r="E12" s="32" t="s">
        <v>79</v>
      </c>
      <c r="F12" s="5" t="s">
        <v>80</v>
      </c>
      <c r="G12" s="5">
        <v>304</v>
      </c>
      <c r="H12" s="7" t="s">
        <v>16</v>
      </c>
      <c r="I12" s="5" t="s">
        <v>16</v>
      </c>
      <c r="J12" s="5" t="s">
        <v>16</v>
      </c>
      <c r="K12" s="5" t="s">
        <v>17</v>
      </c>
      <c r="L12" s="9">
        <v>525</v>
      </c>
      <c r="M12" s="27"/>
      <c r="N12" s="26">
        <f t="shared" si="0"/>
        <v>525</v>
      </c>
    </row>
    <row r="13" spans="1:14" s="28" customFormat="1" ht="150" customHeight="1" x14ac:dyDescent="0.3">
      <c r="A13" s="5">
        <v>250061</v>
      </c>
      <c r="B13" s="5">
        <v>304</v>
      </c>
      <c r="C13" s="7">
        <v>0.7</v>
      </c>
      <c r="D13" s="5">
        <v>265</v>
      </c>
      <c r="E13" s="32" t="s">
        <v>81</v>
      </c>
      <c r="F13" s="5" t="s">
        <v>80</v>
      </c>
      <c r="G13" s="5">
        <v>304</v>
      </c>
      <c r="H13" s="7" t="s">
        <v>16</v>
      </c>
      <c r="I13" s="5" t="s">
        <v>16</v>
      </c>
      <c r="J13" s="5" t="s">
        <v>16</v>
      </c>
      <c r="K13" s="5" t="s">
        <v>17</v>
      </c>
      <c r="L13" s="9">
        <v>15</v>
      </c>
      <c r="M13" s="27"/>
      <c r="N13" s="26">
        <f t="shared" si="0"/>
        <v>15</v>
      </c>
    </row>
    <row r="14" spans="1:14" s="28" customFormat="1" ht="150" customHeight="1" x14ac:dyDescent="0.3">
      <c r="A14" s="5">
        <v>230925</v>
      </c>
      <c r="B14" s="5">
        <v>430</v>
      </c>
      <c r="C14" s="7">
        <v>0.8</v>
      </c>
      <c r="D14" s="5">
        <v>425</v>
      </c>
      <c r="E14" s="32" t="s">
        <v>82</v>
      </c>
      <c r="F14" s="5" t="s">
        <v>80</v>
      </c>
      <c r="G14" s="5">
        <v>430</v>
      </c>
      <c r="H14" s="7" t="s">
        <v>16</v>
      </c>
      <c r="I14" s="5" t="s">
        <v>16</v>
      </c>
      <c r="J14" s="5" t="s">
        <v>16</v>
      </c>
      <c r="K14" s="5" t="s">
        <v>17</v>
      </c>
      <c r="L14" s="9">
        <v>6000</v>
      </c>
      <c r="M14" s="27"/>
      <c r="N14" s="26">
        <f>L14-M14</f>
        <v>6000</v>
      </c>
    </row>
    <row r="15" spans="1:14" s="28" customFormat="1" ht="150" customHeight="1" x14ac:dyDescent="0.3">
      <c r="A15" s="5">
        <v>230925</v>
      </c>
      <c r="B15" s="5">
        <v>430</v>
      </c>
      <c r="C15" s="7">
        <v>0.8</v>
      </c>
      <c r="D15" s="5">
        <v>360</v>
      </c>
      <c r="E15" s="32" t="s">
        <v>83</v>
      </c>
      <c r="F15" s="5" t="s">
        <v>80</v>
      </c>
      <c r="G15" s="5">
        <v>430</v>
      </c>
      <c r="H15" s="7" t="s">
        <v>16</v>
      </c>
      <c r="I15" s="5" t="s">
        <v>16</v>
      </c>
      <c r="J15" s="5" t="s">
        <v>16</v>
      </c>
      <c r="K15" s="5" t="s">
        <v>17</v>
      </c>
      <c r="L15" s="9">
        <v>6000</v>
      </c>
      <c r="M15" s="27"/>
      <c r="N15" s="26">
        <f t="shared" ref="N15:N16" si="1">L15-M15</f>
        <v>6000</v>
      </c>
    </row>
    <row r="16" spans="1:14" s="11" customFormat="1" ht="150" customHeight="1" x14ac:dyDescent="0.3">
      <c r="A16" s="22"/>
      <c r="B16" s="22"/>
      <c r="C16" s="23"/>
      <c r="D16" s="29"/>
      <c r="E16" s="31"/>
      <c r="F16" s="22"/>
      <c r="G16" s="22"/>
      <c r="H16" s="23"/>
      <c r="I16" s="22"/>
      <c r="J16" s="22"/>
      <c r="K16" s="22"/>
      <c r="L16" s="26"/>
      <c r="M16" s="27"/>
      <c r="N16" s="26">
        <f t="shared" si="1"/>
        <v>0</v>
      </c>
    </row>
    <row r="17" spans="1:14" s="11" customFormat="1" ht="150" customHeight="1" x14ac:dyDescent="0.3">
      <c r="A17" s="13"/>
      <c r="B17" s="13"/>
      <c r="C17" s="14"/>
      <c r="D17" s="14"/>
      <c r="E17" s="33"/>
      <c r="F17" s="13"/>
      <c r="G17" s="13"/>
      <c r="H17" s="14"/>
      <c r="I17" s="13"/>
      <c r="J17" s="13"/>
      <c r="K17" s="13"/>
      <c r="L17" s="9">
        <f>SUM(L4:L16)</f>
        <v>29150</v>
      </c>
      <c r="M17" s="16">
        <f>SUM(M4:M16)</f>
        <v>2300</v>
      </c>
      <c r="N17" s="9">
        <f>SUM(N4:N16)</f>
        <v>26850</v>
      </c>
    </row>
    <row r="18" spans="1:14" s="12" customFormat="1" ht="100.05" customHeight="1" x14ac:dyDescent="0.3">
      <c r="A18" s="17"/>
      <c r="B18" s="17"/>
      <c r="C18" s="17"/>
      <c r="D18" s="20"/>
      <c r="E18" s="35"/>
      <c r="F18" s="17"/>
      <c r="G18" s="17"/>
      <c r="H18" s="17"/>
      <c r="I18" s="17"/>
      <c r="J18" s="17"/>
      <c r="K18" s="17"/>
      <c r="L18" s="17"/>
      <c r="M18" s="17"/>
      <c r="N18" s="17"/>
    </row>
    <row r="19" spans="1:14" ht="100.05" customHeight="1" x14ac:dyDescent="0.3"/>
    <row r="20" spans="1:14" s="4" customFormat="1" ht="100.05" customHeight="1" x14ac:dyDescent="0.3">
      <c r="A20" s="17"/>
      <c r="B20" s="17"/>
      <c r="C20" s="17"/>
      <c r="D20" s="20"/>
      <c r="E20" s="35"/>
      <c r="F20" s="17"/>
      <c r="G20" s="17"/>
      <c r="H20" s="17"/>
      <c r="I20" s="17"/>
      <c r="J20" s="17"/>
      <c r="K20" s="17"/>
      <c r="L20" s="17"/>
      <c r="M20" s="17"/>
      <c r="N20" s="17"/>
    </row>
    <row r="21" spans="1:14" s="4" customFormat="1" ht="100.05" customHeight="1" x14ac:dyDescent="0.3">
      <c r="A21" s="17"/>
      <c r="B21" s="17"/>
      <c r="C21" s="17"/>
      <c r="D21" s="20"/>
      <c r="E21" s="35"/>
      <c r="F21" s="17"/>
      <c r="G21" s="17"/>
      <c r="H21" s="17"/>
      <c r="I21" s="17"/>
      <c r="J21" s="17"/>
      <c r="K21" s="17"/>
      <c r="L21" s="17"/>
      <c r="M21" s="17"/>
      <c r="N21" s="17"/>
    </row>
    <row r="22" spans="1:14" s="11" customFormat="1" ht="100.05" customHeight="1" x14ac:dyDescent="0.3">
      <c r="A22" s="17"/>
      <c r="B22" s="17"/>
      <c r="C22" s="17"/>
      <c r="D22" s="20"/>
      <c r="E22" s="35"/>
      <c r="F22" s="17"/>
      <c r="G22" s="17"/>
      <c r="H22" s="17"/>
      <c r="I22" s="17"/>
      <c r="J22" s="17"/>
      <c r="K22" s="17"/>
      <c r="L22" s="17"/>
      <c r="M22" s="17"/>
      <c r="N22" s="17"/>
    </row>
    <row r="23" spans="1:14" s="11" customFormat="1" ht="100.05" customHeight="1" x14ac:dyDescent="0.3">
      <c r="A23" s="17"/>
      <c r="B23" s="17"/>
      <c r="C23" s="17"/>
      <c r="D23" s="20"/>
      <c r="E23" s="35"/>
      <c r="F23" s="17"/>
      <c r="G23" s="17"/>
      <c r="H23" s="17"/>
      <c r="I23" s="17"/>
      <c r="J23" s="17"/>
      <c r="K23" s="17"/>
      <c r="L23" s="17"/>
      <c r="M23" s="17"/>
      <c r="N23" s="17"/>
    </row>
    <row r="24" spans="1:14" s="11" customFormat="1" ht="100.05" customHeight="1" x14ac:dyDescent="0.3">
      <c r="A24" s="17"/>
      <c r="B24" s="17"/>
      <c r="C24" s="17"/>
      <c r="D24" s="20"/>
      <c r="E24" s="35"/>
      <c r="F24" s="17"/>
      <c r="G24" s="17"/>
      <c r="H24" s="17"/>
      <c r="I24" s="17"/>
      <c r="J24" s="17"/>
      <c r="K24" s="17"/>
      <c r="L24" s="17"/>
      <c r="M24" s="17"/>
      <c r="N24" s="17"/>
    </row>
    <row r="25" spans="1:14" s="11" customFormat="1" ht="100.05" customHeight="1" x14ac:dyDescent="0.3">
      <c r="A25" s="17"/>
      <c r="B25" s="17"/>
      <c r="C25" s="17"/>
      <c r="D25" s="20"/>
      <c r="E25" s="35"/>
      <c r="F25" s="17"/>
      <c r="G25" s="17"/>
      <c r="H25" s="17"/>
      <c r="I25" s="17"/>
      <c r="J25" s="17"/>
      <c r="K25" s="17"/>
      <c r="L25" s="17"/>
      <c r="M25" s="17"/>
      <c r="N25" s="17"/>
    </row>
    <row r="26" spans="1:14" s="11" customFormat="1" ht="100.05" customHeight="1" x14ac:dyDescent="0.3">
      <c r="A26" s="17"/>
      <c r="B26" s="17"/>
      <c r="C26" s="17"/>
      <c r="D26" s="20"/>
      <c r="E26" s="35"/>
      <c r="F26" s="17"/>
      <c r="G26" s="17"/>
      <c r="H26" s="17"/>
      <c r="I26" s="17"/>
      <c r="J26" s="17"/>
      <c r="K26" s="17"/>
      <c r="L26" s="17"/>
      <c r="M26" s="17"/>
      <c r="N26" s="17"/>
    </row>
    <row r="27" spans="1:14" s="11" customFormat="1" ht="100.05" customHeight="1" x14ac:dyDescent="0.3">
      <c r="A27" s="17"/>
      <c r="B27" s="17"/>
      <c r="C27" s="17"/>
      <c r="D27" s="20"/>
      <c r="E27" s="35"/>
      <c r="F27" s="17"/>
      <c r="G27" s="17"/>
      <c r="H27" s="17"/>
      <c r="I27" s="17"/>
      <c r="J27" s="17"/>
      <c r="K27" s="17"/>
      <c r="L27" s="17"/>
      <c r="M27" s="17"/>
      <c r="N27" s="17"/>
    </row>
    <row r="28" spans="1:14" s="11" customFormat="1" ht="100.05" customHeight="1" x14ac:dyDescent="0.3">
      <c r="A28" s="17"/>
      <c r="B28" s="17"/>
      <c r="C28" s="17"/>
      <c r="D28" s="20"/>
      <c r="E28" s="35"/>
      <c r="F28" s="17"/>
      <c r="G28" s="17"/>
      <c r="H28" s="17"/>
      <c r="I28" s="17"/>
      <c r="J28" s="17"/>
      <c r="K28" s="17"/>
      <c r="L28" s="17"/>
      <c r="M28" s="17"/>
      <c r="N28" s="17"/>
    </row>
    <row r="29" spans="1:14" s="11" customFormat="1" ht="100.05" customHeight="1" x14ac:dyDescent="0.3">
      <c r="A29" s="17"/>
      <c r="B29" s="17"/>
      <c r="C29" s="17"/>
      <c r="D29" s="20"/>
      <c r="E29" s="35"/>
      <c r="F29" s="17"/>
      <c r="G29" s="17"/>
      <c r="H29" s="17"/>
      <c r="I29" s="17"/>
      <c r="J29" s="17"/>
      <c r="K29" s="17"/>
      <c r="L29" s="17"/>
      <c r="M29" s="17"/>
      <c r="N29" s="17"/>
    </row>
    <row r="30" spans="1:14" s="11" customFormat="1" ht="100.05" customHeight="1" x14ac:dyDescent="0.3">
      <c r="A30" s="17"/>
      <c r="B30" s="17"/>
      <c r="C30" s="17"/>
      <c r="D30" s="20"/>
      <c r="E30" s="35"/>
      <c r="F30" s="17"/>
      <c r="G30" s="17"/>
      <c r="H30" s="17"/>
      <c r="I30" s="17"/>
      <c r="J30" s="17"/>
      <c r="K30" s="17"/>
      <c r="L30" s="17"/>
      <c r="M30" s="17"/>
      <c r="N30" s="17"/>
    </row>
    <row r="31" spans="1:14" s="11" customFormat="1" ht="100.05" customHeight="1" x14ac:dyDescent="0.3">
      <c r="A31" s="17"/>
      <c r="B31" s="17"/>
      <c r="C31" s="17"/>
      <c r="D31" s="20"/>
      <c r="E31" s="35"/>
      <c r="F31" s="17"/>
      <c r="G31" s="17"/>
      <c r="H31" s="17"/>
      <c r="I31" s="17"/>
      <c r="J31" s="17"/>
      <c r="K31" s="17"/>
      <c r="L31" s="17"/>
      <c r="M31" s="17"/>
      <c r="N31" s="17"/>
    </row>
  </sheetData>
  <mergeCells count="3">
    <mergeCell ref="A1:C1"/>
    <mergeCell ref="K1:N1"/>
    <mergeCell ref="A2:N2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18" orientation="portrait" horizontalDpi="1200" verticalDpi="12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1"/>
  <sheetViews>
    <sheetView zoomScale="25" zoomScaleNormal="25" workbookViewId="0">
      <selection activeCell="V7" sqref="V7"/>
    </sheetView>
  </sheetViews>
  <sheetFormatPr defaultColWidth="8.88671875" defaultRowHeight="14.4" x14ac:dyDescent="0.3"/>
  <cols>
    <col min="1" max="1" width="41.77734375" style="17" customWidth="1"/>
    <col min="2" max="2" width="19.6640625" style="17" customWidth="1"/>
    <col min="3" max="3" width="29.21875" style="17" customWidth="1"/>
    <col min="4" max="4" width="28.6640625" style="20" customWidth="1"/>
    <col min="5" max="5" width="162.109375" style="35" customWidth="1"/>
    <col min="6" max="6" width="32.109375" style="17" bestFit="1" customWidth="1"/>
    <col min="7" max="7" width="21.88671875" style="17" bestFit="1" customWidth="1"/>
    <col min="8" max="8" width="26.6640625" style="17" bestFit="1" customWidth="1"/>
    <col min="9" max="9" width="40.109375" style="17" bestFit="1" customWidth="1"/>
    <col min="10" max="10" width="37.88671875" style="17" customWidth="1"/>
    <col min="11" max="11" width="25.6640625" style="17" customWidth="1"/>
    <col min="12" max="14" width="26.77734375" style="17" bestFit="1" customWidth="1"/>
    <col min="15" max="16384" width="8.88671875" style="18"/>
  </cols>
  <sheetData>
    <row r="1" spans="1:14" s="3" customFormat="1" ht="100.05" customHeight="1" x14ac:dyDescent="0.95">
      <c r="A1" s="37"/>
      <c r="B1" s="37"/>
      <c r="C1" s="37"/>
      <c r="D1" s="19"/>
      <c r="E1" s="34"/>
      <c r="F1" s="1"/>
      <c r="G1" s="1"/>
      <c r="H1" s="1"/>
      <c r="I1" s="1"/>
      <c r="J1" s="2" t="s">
        <v>0</v>
      </c>
      <c r="K1" s="38">
        <v>45945</v>
      </c>
      <c r="L1" s="38"/>
      <c r="M1" s="38"/>
      <c r="N1" s="38"/>
    </row>
    <row r="2" spans="1:14" s="4" customFormat="1" ht="100.05" customHeight="1" x14ac:dyDescent="0.3">
      <c r="A2" s="39" t="s">
        <v>69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</row>
    <row r="3" spans="1:14" s="4" customFormat="1" ht="150" customHeight="1" x14ac:dyDescent="0.3">
      <c r="A3" s="5" t="s">
        <v>1</v>
      </c>
      <c r="B3" s="5" t="s">
        <v>2</v>
      </c>
      <c r="C3" s="6" t="s">
        <v>3</v>
      </c>
      <c r="D3" s="7" t="s">
        <v>4</v>
      </c>
      <c r="E3" s="32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6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s="28" customFormat="1" ht="150" customHeight="1" x14ac:dyDescent="0.3">
      <c r="A4" s="22">
        <v>290925</v>
      </c>
      <c r="B4" s="22">
        <v>304</v>
      </c>
      <c r="C4" s="23">
        <v>0.8</v>
      </c>
      <c r="D4" s="29" t="s">
        <v>73</v>
      </c>
      <c r="E4" s="31" t="s">
        <v>70</v>
      </c>
      <c r="F4" s="22" t="s">
        <v>15</v>
      </c>
      <c r="G4" s="22">
        <v>430</v>
      </c>
      <c r="H4" s="23">
        <v>0.6</v>
      </c>
      <c r="I4" s="22" t="s">
        <v>16</v>
      </c>
      <c r="J4" s="23" t="s">
        <v>16</v>
      </c>
      <c r="K4" s="22" t="s">
        <v>17</v>
      </c>
      <c r="L4" s="26">
        <v>4000</v>
      </c>
      <c r="M4" s="27">
        <f>100+2050</f>
        <v>2150</v>
      </c>
      <c r="N4" s="26">
        <f t="shared" ref="N4:N15" si="0">L4-M4</f>
        <v>1850</v>
      </c>
    </row>
    <row r="5" spans="1:14" s="28" customFormat="1" ht="150" customHeight="1" x14ac:dyDescent="0.3">
      <c r="A5" s="22">
        <v>290925</v>
      </c>
      <c r="B5" s="22">
        <v>304</v>
      </c>
      <c r="C5" s="23">
        <v>0.8</v>
      </c>
      <c r="D5" s="29" t="s">
        <v>74</v>
      </c>
      <c r="E5" s="31" t="s">
        <v>71</v>
      </c>
      <c r="F5" s="22" t="s">
        <v>16</v>
      </c>
      <c r="G5" s="22" t="s">
        <v>16</v>
      </c>
      <c r="H5" s="23" t="s">
        <v>16</v>
      </c>
      <c r="I5" s="22" t="s">
        <v>16</v>
      </c>
      <c r="J5" s="23" t="s">
        <v>16</v>
      </c>
      <c r="K5" s="22" t="s">
        <v>17</v>
      </c>
      <c r="L5" s="26">
        <v>4000</v>
      </c>
      <c r="M5" s="27"/>
      <c r="N5" s="26">
        <f t="shared" si="0"/>
        <v>4000</v>
      </c>
    </row>
    <row r="6" spans="1:14" s="28" customFormat="1" ht="150" customHeight="1" x14ac:dyDescent="0.3">
      <c r="A6" s="22">
        <v>290925</v>
      </c>
      <c r="B6" s="22">
        <v>304</v>
      </c>
      <c r="C6" s="23">
        <v>0.8</v>
      </c>
      <c r="D6" s="29" t="s">
        <v>75</v>
      </c>
      <c r="E6" s="31" t="s">
        <v>72</v>
      </c>
      <c r="F6" s="22" t="s">
        <v>15</v>
      </c>
      <c r="G6" s="22">
        <v>430</v>
      </c>
      <c r="H6" s="23">
        <v>0.6</v>
      </c>
      <c r="I6" s="22" t="s">
        <v>16</v>
      </c>
      <c r="J6" s="23" t="s">
        <v>16</v>
      </c>
      <c r="K6" s="22" t="s">
        <v>17</v>
      </c>
      <c r="L6" s="26">
        <v>3000</v>
      </c>
      <c r="M6" s="27"/>
      <c r="N6" s="26">
        <f t="shared" si="0"/>
        <v>3000</v>
      </c>
    </row>
    <row r="7" spans="1:14" s="28" customFormat="1" ht="150" customHeight="1" x14ac:dyDescent="0.3">
      <c r="A7" s="22">
        <v>290925</v>
      </c>
      <c r="B7" s="22">
        <v>304</v>
      </c>
      <c r="C7" s="23">
        <v>0.8</v>
      </c>
      <c r="D7" s="29" t="s">
        <v>65</v>
      </c>
      <c r="E7" s="31" t="s">
        <v>76</v>
      </c>
      <c r="F7" s="22" t="s">
        <v>16</v>
      </c>
      <c r="G7" s="22" t="s">
        <v>16</v>
      </c>
      <c r="H7" s="23" t="s">
        <v>16</v>
      </c>
      <c r="I7" s="22" t="s">
        <v>16</v>
      </c>
      <c r="J7" s="23" t="s">
        <v>16</v>
      </c>
      <c r="K7" s="22" t="s">
        <v>17</v>
      </c>
      <c r="L7" s="26">
        <v>3000</v>
      </c>
      <c r="M7" s="27"/>
      <c r="N7" s="26">
        <f t="shared" si="0"/>
        <v>3000</v>
      </c>
    </row>
    <row r="8" spans="1:14" s="28" customFormat="1" ht="150" customHeight="1" x14ac:dyDescent="0.3">
      <c r="A8" s="5">
        <v>250057</v>
      </c>
      <c r="B8" s="5">
        <v>304</v>
      </c>
      <c r="C8" s="7">
        <v>0.7</v>
      </c>
      <c r="D8" s="5">
        <v>307</v>
      </c>
      <c r="E8" s="32" t="s">
        <v>77</v>
      </c>
      <c r="F8" s="5" t="s">
        <v>61</v>
      </c>
      <c r="G8" s="5">
        <v>304</v>
      </c>
      <c r="H8" s="7" t="s">
        <v>16</v>
      </c>
      <c r="I8" s="5" t="s">
        <v>16</v>
      </c>
      <c r="J8" s="5" t="s">
        <v>16</v>
      </c>
      <c r="K8" s="5" t="s">
        <v>17</v>
      </c>
      <c r="L8" s="9">
        <v>395</v>
      </c>
      <c r="M8" s="27"/>
      <c r="N8" s="26">
        <f t="shared" si="0"/>
        <v>395</v>
      </c>
    </row>
    <row r="9" spans="1:14" s="28" customFormat="1" ht="150" customHeight="1" x14ac:dyDescent="0.3">
      <c r="A9" s="5">
        <v>250057</v>
      </c>
      <c r="B9" s="5">
        <v>304</v>
      </c>
      <c r="C9" s="7">
        <v>0.9</v>
      </c>
      <c r="D9" s="5">
        <v>307</v>
      </c>
      <c r="E9" s="32" t="s">
        <v>78</v>
      </c>
      <c r="F9" s="5" t="s">
        <v>61</v>
      </c>
      <c r="G9" s="5">
        <v>304</v>
      </c>
      <c r="H9" s="7" t="s">
        <v>16</v>
      </c>
      <c r="I9" s="5" t="s">
        <v>16</v>
      </c>
      <c r="J9" s="5" t="s">
        <v>16</v>
      </c>
      <c r="K9" s="5" t="s">
        <v>17</v>
      </c>
      <c r="L9" s="9">
        <v>15</v>
      </c>
      <c r="M9" s="27"/>
      <c r="N9" s="26">
        <f t="shared" si="0"/>
        <v>15</v>
      </c>
    </row>
    <row r="10" spans="1:14" s="28" customFormat="1" ht="150" customHeight="1" x14ac:dyDescent="0.3">
      <c r="A10" s="5">
        <v>250061</v>
      </c>
      <c r="B10" s="5">
        <v>304</v>
      </c>
      <c r="C10" s="7">
        <v>0.7</v>
      </c>
      <c r="D10" s="5">
        <v>265</v>
      </c>
      <c r="E10" s="32" t="s">
        <v>79</v>
      </c>
      <c r="F10" s="5" t="s">
        <v>80</v>
      </c>
      <c r="G10" s="5">
        <v>304</v>
      </c>
      <c r="H10" s="7" t="s">
        <v>16</v>
      </c>
      <c r="I10" s="5" t="s">
        <v>16</v>
      </c>
      <c r="J10" s="5" t="s">
        <v>16</v>
      </c>
      <c r="K10" s="5" t="s">
        <v>17</v>
      </c>
      <c r="L10" s="9">
        <v>525</v>
      </c>
      <c r="M10" s="27"/>
      <c r="N10" s="26">
        <f t="shared" si="0"/>
        <v>525</v>
      </c>
    </row>
    <row r="11" spans="1:14" s="28" customFormat="1" ht="150" customHeight="1" x14ac:dyDescent="0.3">
      <c r="A11" s="5">
        <v>250061</v>
      </c>
      <c r="B11" s="5">
        <v>304</v>
      </c>
      <c r="C11" s="7">
        <v>0.7</v>
      </c>
      <c r="D11" s="5">
        <v>265</v>
      </c>
      <c r="E11" s="32" t="s">
        <v>81</v>
      </c>
      <c r="F11" s="5" t="s">
        <v>80</v>
      </c>
      <c r="G11" s="5">
        <v>304</v>
      </c>
      <c r="H11" s="7" t="s">
        <v>16</v>
      </c>
      <c r="I11" s="5" t="s">
        <v>16</v>
      </c>
      <c r="J11" s="5" t="s">
        <v>16</v>
      </c>
      <c r="K11" s="5" t="s">
        <v>17</v>
      </c>
      <c r="L11" s="9">
        <v>15</v>
      </c>
      <c r="M11" s="27"/>
      <c r="N11" s="26">
        <f t="shared" si="0"/>
        <v>15</v>
      </c>
    </row>
    <row r="12" spans="1:14" s="28" customFormat="1" ht="150" customHeight="1" x14ac:dyDescent="0.3">
      <c r="A12" s="5">
        <v>230925</v>
      </c>
      <c r="B12" s="5">
        <v>430</v>
      </c>
      <c r="C12" s="7">
        <v>0.8</v>
      </c>
      <c r="D12" s="5">
        <v>425</v>
      </c>
      <c r="E12" s="32" t="s">
        <v>82</v>
      </c>
      <c r="F12" s="5" t="s">
        <v>80</v>
      </c>
      <c r="G12" s="5">
        <v>430</v>
      </c>
      <c r="H12" s="7" t="s">
        <v>16</v>
      </c>
      <c r="I12" s="5" t="s">
        <v>16</v>
      </c>
      <c r="J12" s="5" t="s">
        <v>16</v>
      </c>
      <c r="K12" s="5" t="s">
        <v>17</v>
      </c>
      <c r="L12" s="9">
        <v>6000</v>
      </c>
      <c r="M12" s="27"/>
      <c r="N12" s="26">
        <f t="shared" si="0"/>
        <v>6000</v>
      </c>
    </row>
    <row r="13" spans="1:14" s="28" customFormat="1" ht="150" customHeight="1" x14ac:dyDescent="0.3">
      <c r="A13" s="5">
        <v>230925</v>
      </c>
      <c r="B13" s="5">
        <v>430</v>
      </c>
      <c r="C13" s="7">
        <v>0.8</v>
      </c>
      <c r="D13" s="5">
        <v>360</v>
      </c>
      <c r="E13" s="32" t="s">
        <v>83</v>
      </c>
      <c r="F13" s="5" t="s">
        <v>80</v>
      </c>
      <c r="G13" s="5">
        <v>430</v>
      </c>
      <c r="H13" s="7" t="s">
        <v>16</v>
      </c>
      <c r="I13" s="5" t="s">
        <v>16</v>
      </c>
      <c r="J13" s="5" t="s">
        <v>16</v>
      </c>
      <c r="K13" s="5" t="s">
        <v>17</v>
      </c>
      <c r="L13" s="9">
        <v>6000</v>
      </c>
      <c r="M13" s="27"/>
      <c r="N13" s="26">
        <f t="shared" si="0"/>
        <v>6000</v>
      </c>
    </row>
    <row r="14" spans="1:14" s="28" customFormat="1" ht="150" customHeight="1" x14ac:dyDescent="0.3">
      <c r="A14" s="5">
        <v>131025</v>
      </c>
      <c r="B14" s="5">
        <v>304</v>
      </c>
      <c r="C14" s="7">
        <v>0.9</v>
      </c>
      <c r="D14" s="5">
        <v>425</v>
      </c>
      <c r="E14" s="32" t="s">
        <v>84</v>
      </c>
      <c r="F14" s="5" t="s">
        <v>61</v>
      </c>
      <c r="G14" s="5" t="s">
        <v>16</v>
      </c>
      <c r="H14" s="7" t="s">
        <v>16</v>
      </c>
      <c r="I14" s="5" t="s">
        <v>16</v>
      </c>
      <c r="J14" s="5" t="s">
        <v>16</v>
      </c>
      <c r="K14" s="5" t="s">
        <v>17</v>
      </c>
      <c r="L14" s="9">
        <v>3000</v>
      </c>
      <c r="M14" s="27"/>
      <c r="N14" s="26">
        <f t="shared" si="0"/>
        <v>3000</v>
      </c>
    </row>
    <row r="15" spans="1:14" s="28" customFormat="1" ht="150" customHeight="1" x14ac:dyDescent="0.3">
      <c r="A15" s="5">
        <v>131025</v>
      </c>
      <c r="B15" s="5">
        <v>304</v>
      </c>
      <c r="C15" s="7" t="s">
        <v>85</v>
      </c>
      <c r="D15" s="5">
        <v>317</v>
      </c>
      <c r="E15" s="32" t="s">
        <v>86</v>
      </c>
      <c r="F15" s="5" t="s">
        <v>16</v>
      </c>
      <c r="G15" s="5" t="s">
        <v>16</v>
      </c>
      <c r="H15" s="7" t="s">
        <v>16</v>
      </c>
      <c r="I15" s="5" t="s">
        <v>16</v>
      </c>
      <c r="J15" s="5" t="s">
        <v>16</v>
      </c>
      <c r="K15" s="5" t="s">
        <v>17</v>
      </c>
      <c r="L15" s="9">
        <v>2550</v>
      </c>
      <c r="M15" s="27"/>
      <c r="N15" s="26">
        <f t="shared" si="0"/>
        <v>2550</v>
      </c>
    </row>
    <row r="16" spans="1:14" s="11" customFormat="1" ht="150" customHeight="1" x14ac:dyDescent="0.3">
      <c r="A16" s="22"/>
      <c r="B16" s="22"/>
      <c r="C16" s="23"/>
      <c r="D16" s="29"/>
      <c r="E16" s="31"/>
      <c r="F16" s="22"/>
      <c r="G16" s="22"/>
      <c r="H16" s="23"/>
      <c r="I16" s="22"/>
      <c r="J16" s="22"/>
      <c r="K16" s="22"/>
      <c r="L16" s="26"/>
      <c r="M16" s="27"/>
      <c r="N16" s="26">
        <f t="shared" ref="N16" si="1">L16-M16</f>
        <v>0</v>
      </c>
    </row>
    <row r="17" spans="1:14" s="11" customFormat="1" ht="150" customHeight="1" x14ac:dyDescent="0.3">
      <c r="A17" s="13"/>
      <c r="B17" s="13"/>
      <c r="C17" s="14"/>
      <c r="D17" s="14"/>
      <c r="E17" s="33"/>
      <c r="F17" s="13"/>
      <c r="G17" s="13"/>
      <c r="H17" s="14"/>
      <c r="I17" s="13"/>
      <c r="J17" s="13"/>
      <c r="K17" s="13"/>
      <c r="L17" s="9">
        <f>SUM(L4:L16)</f>
        <v>32500</v>
      </c>
      <c r="M17" s="16">
        <f>SUM(M4:M16)</f>
        <v>2150</v>
      </c>
      <c r="N17" s="9">
        <f>SUM(N4:N16)</f>
        <v>30350</v>
      </c>
    </row>
    <row r="18" spans="1:14" s="12" customFormat="1" ht="100.05" customHeight="1" x14ac:dyDescent="0.3">
      <c r="A18" s="17"/>
      <c r="B18" s="17"/>
      <c r="C18" s="17"/>
      <c r="D18" s="20"/>
      <c r="E18" s="35"/>
      <c r="F18" s="17"/>
      <c r="G18" s="17"/>
      <c r="H18" s="17"/>
      <c r="I18" s="17"/>
      <c r="J18" s="17"/>
      <c r="K18" s="17"/>
      <c r="L18" s="17"/>
      <c r="M18" s="17"/>
      <c r="N18" s="17"/>
    </row>
    <row r="19" spans="1:14" ht="100.05" customHeight="1" x14ac:dyDescent="0.3"/>
    <row r="20" spans="1:14" s="4" customFormat="1" ht="100.05" customHeight="1" x14ac:dyDescent="0.3">
      <c r="A20" s="17"/>
      <c r="B20" s="17"/>
      <c r="C20" s="17"/>
      <c r="D20" s="20"/>
      <c r="E20" s="35"/>
      <c r="F20" s="17"/>
      <c r="G20" s="17"/>
      <c r="H20" s="17"/>
      <c r="I20" s="17"/>
      <c r="J20" s="17"/>
      <c r="K20" s="17"/>
      <c r="L20" s="17"/>
      <c r="M20" s="17"/>
      <c r="N20" s="17"/>
    </row>
    <row r="21" spans="1:14" s="4" customFormat="1" ht="100.05" customHeight="1" x14ac:dyDescent="0.3">
      <c r="A21" s="17"/>
      <c r="B21" s="17"/>
      <c r="C21" s="17"/>
      <c r="D21" s="20"/>
      <c r="E21" s="35"/>
      <c r="F21" s="17"/>
      <c r="G21" s="17"/>
      <c r="H21" s="17"/>
      <c r="I21" s="17"/>
      <c r="J21" s="17"/>
      <c r="K21" s="17"/>
      <c r="L21" s="17"/>
      <c r="M21" s="17"/>
      <c r="N21" s="17"/>
    </row>
    <row r="22" spans="1:14" s="11" customFormat="1" ht="100.05" customHeight="1" x14ac:dyDescent="0.3">
      <c r="A22" s="17"/>
      <c r="B22" s="17"/>
      <c r="C22" s="17"/>
      <c r="D22" s="20"/>
      <c r="E22" s="35"/>
      <c r="F22" s="17"/>
      <c r="G22" s="17"/>
      <c r="H22" s="17"/>
      <c r="I22" s="17"/>
      <c r="J22" s="17"/>
      <c r="K22" s="17"/>
      <c r="L22" s="17"/>
      <c r="M22" s="17"/>
      <c r="N22" s="17"/>
    </row>
    <row r="23" spans="1:14" s="11" customFormat="1" ht="100.05" customHeight="1" x14ac:dyDescent="0.3">
      <c r="A23" s="17"/>
      <c r="B23" s="17"/>
      <c r="C23" s="17"/>
      <c r="D23" s="20"/>
      <c r="E23" s="35"/>
      <c r="F23" s="17"/>
      <c r="G23" s="17"/>
      <c r="H23" s="17"/>
      <c r="I23" s="17"/>
      <c r="J23" s="17"/>
      <c r="K23" s="17"/>
      <c r="L23" s="17"/>
      <c r="M23" s="17"/>
      <c r="N23" s="17"/>
    </row>
    <row r="24" spans="1:14" s="11" customFormat="1" ht="100.05" customHeight="1" x14ac:dyDescent="0.3">
      <c r="A24" s="17"/>
      <c r="B24" s="17"/>
      <c r="C24" s="17"/>
      <c r="D24" s="20"/>
      <c r="E24" s="35"/>
      <c r="F24" s="17"/>
      <c r="G24" s="17"/>
      <c r="H24" s="17"/>
      <c r="I24" s="17"/>
      <c r="J24" s="17"/>
      <c r="K24" s="17"/>
      <c r="L24" s="17"/>
      <c r="M24" s="17"/>
      <c r="N24" s="17"/>
    </row>
    <row r="25" spans="1:14" s="11" customFormat="1" ht="100.05" customHeight="1" x14ac:dyDescent="0.3">
      <c r="A25" s="17"/>
      <c r="B25" s="17"/>
      <c r="C25" s="17"/>
      <c r="D25" s="20"/>
      <c r="E25" s="35"/>
      <c r="F25" s="17"/>
      <c r="G25" s="17"/>
      <c r="H25" s="17"/>
      <c r="I25" s="17"/>
      <c r="J25" s="17"/>
      <c r="K25" s="17"/>
      <c r="L25" s="17"/>
      <c r="M25" s="17"/>
      <c r="N25" s="17"/>
    </row>
    <row r="26" spans="1:14" s="11" customFormat="1" ht="100.05" customHeight="1" x14ac:dyDescent="0.3">
      <c r="A26" s="17"/>
      <c r="B26" s="17"/>
      <c r="C26" s="17"/>
      <c r="D26" s="20"/>
      <c r="E26" s="35"/>
      <c r="F26" s="17"/>
      <c r="G26" s="17"/>
      <c r="H26" s="17"/>
      <c r="I26" s="17"/>
      <c r="J26" s="17"/>
      <c r="K26" s="17"/>
      <c r="L26" s="17"/>
      <c r="M26" s="17"/>
      <c r="N26" s="17"/>
    </row>
    <row r="27" spans="1:14" s="11" customFormat="1" ht="100.05" customHeight="1" x14ac:dyDescent="0.3">
      <c r="A27" s="17"/>
      <c r="B27" s="17"/>
      <c r="C27" s="17"/>
      <c r="D27" s="20"/>
      <c r="E27" s="35"/>
      <c r="F27" s="17"/>
      <c r="G27" s="17"/>
      <c r="H27" s="17"/>
      <c r="I27" s="17"/>
      <c r="J27" s="17"/>
      <c r="K27" s="17"/>
      <c r="L27" s="17"/>
      <c r="M27" s="17"/>
      <c r="N27" s="17"/>
    </row>
    <row r="28" spans="1:14" s="11" customFormat="1" ht="100.05" customHeight="1" x14ac:dyDescent="0.3">
      <c r="A28" s="17"/>
      <c r="B28" s="17"/>
      <c r="C28" s="17"/>
      <c r="D28" s="20"/>
      <c r="E28" s="35"/>
      <c r="F28" s="17"/>
      <c r="G28" s="17"/>
      <c r="H28" s="17"/>
      <c r="I28" s="17"/>
      <c r="J28" s="17"/>
      <c r="K28" s="17"/>
      <c r="L28" s="17"/>
      <c r="M28" s="17"/>
      <c r="N28" s="17"/>
    </row>
    <row r="29" spans="1:14" s="11" customFormat="1" ht="100.05" customHeight="1" x14ac:dyDescent="0.3">
      <c r="A29" s="17"/>
      <c r="B29" s="17"/>
      <c r="C29" s="17"/>
      <c r="D29" s="20"/>
      <c r="E29" s="35"/>
      <c r="F29" s="17"/>
      <c r="G29" s="17"/>
      <c r="H29" s="17"/>
      <c r="I29" s="17"/>
      <c r="J29" s="17"/>
      <c r="K29" s="17"/>
      <c r="L29" s="17"/>
      <c r="M29" s="17"/>
      <c r="N29" s="17"/>
    </row>
    <row r="30" spans="1:14" s="11" customFormat="1" ht="100.05" customHeight="1" x14ac:dyDescent="0.3">
      <c r="A30" s="17"/>
      <c r="B30" s="17"/>
      <c r="C30" s="17"/>
      <c r="D30" s="20"/>
      <c r="E30" s="35"/>
      <c r="F30" s="17"/>
      <c r="G30" s="17"/>
      <c r="H30" s="17"/>
      <c r="I30" s="17"/>
      <c r="J30" s="17"/>
      <c r="K30" s="17"/>
      <c r="L30" s="17"/>
      <c r="M30" s="17"/>
      <c r="N30" s="17"/>
    </row>
    <row r="31" spans="1:14" s="11" customFormat="1" ht="100.05" customHeight="1" x14ac:dyDescent="0.3">
      <c r="A31" s="17"/>
      <c r="B31" s="17"/>
      <c r="C31" s="17"/>
      <c r="D31" s="20"/>
      <c r="E31" s="35"/>
      <c r="F31" s="17"/>
      <c r="G31" s="17"/>
      <c r="H31" s="17"/>
      <c r="I31" s="17"/>
      <c r="J31" s="17"/>
      <c r="K31" s="17"/>
      <c r="L31" s="17"/>
      <c r="M31" s="17"/>
      <c r="N31" s="17"/>
    </row>
  </sheetData>
  <mergeCells count="3">
    <mergeCell ref="A1:C1"/>
    <mergeCell ref="K1:N1"/>
    <mergeCell ref="A2:N2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18" orientation="portrait" horizontalDpi="1200" verticalDpi="1200" r:id="rId1"/>
  <ignoredErrors>
    <ignoredError sqref="D4:D7" numberStoredAsText="1"/>
  </ignoredError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1"/>
  <sheetViews>
    <sheetView zoomScale="25" zoomScaleNormal="25" workbookViewId="0">
      <selection activeCell="M5" sqref="M5"/>
    </sheetView>
  </sheetViews>
  <sheetFormatPr defaultColWidth="8.88671875" defaultRowHeight="14.4" x14ac:dyDescent="0.3"/>
  <cols>
    <col min="1" max="1" width="41.77734375" style="17" customWidth="1"/>
    <col min="2" max="2" width="19.6640625" style="17" customWidth="1"/>
    <col min="3" max="3" width="29.21875" style="17" customWidth="1"/>
    <col min="4" max="4" width="28.6640625" style="20" customWidth="1"/>
    <col min="5" max="5" width="162.109375" style="35" customWidth="1"/>
    <col min="6" max="6" width="32.109375" style="17" bestFit="1" customWidth="1"/>
    <col min="7" max="7" width="21.88671875" style="17" bestFit="1" customWidth="1"/>
    <col min="8" max="8" width="26.6640625" style="17" bestFit="1" customWidth="1"/>
    <col min="9" max="9" width="40.109375" style="17" bestFit="1" customWidth="1"/>
    <col min="10" max="10" width="37.88671875" style="17" customWidth="1"/>
    <col min="11" max="11" width="25.6640625" style="17" customWidth="1"/>
    <col min="12" max="14" width="26.77734375" style="17" bestFit="1" customWidth="1"/>
    <col min="15" max="16384" width="8.88671875" style="18"/>
  </cols>
  <sheetData>
    <row r="1" spans="1:14" s="3" customFormat="1" ht="100.05" customHeight="1" x14ac:dyDescent="0.95">
      <c r="A1" s="37"/>
      <c r="B1" s="37"/>
      <c r="C1" s="37"/>
      <c r="D1" s="19"/>
      <c r="E1" s="34"/>
      <c r="F1" s="1"/>
      <c r="G1" s="1"/>
      <c r="H1" s="1"/>
      <c r="I1" s="1"/>
      <c r="J1" s="2" t="s">
        <v>0</v>
      </c>
      <c r="K1" s="38">
        <v>45946</v>
      </c>
      <c r="L1" s="38"/>
      <c r="M1" s="38"/>
      <c r="N1" s="38"/>
    </row>
    <row r="2" spans="1:14" s="4" customFormat="1" ht="100.05" customHeight="1" x14ac:dyDescent="0.3">
      <c r="A2" s="39" t="s">
        <v>69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</row>
    <row r="3" spans="1:14" s="4" customFormat="1" ht="150" customHeight="1" x14ac:dyDescent="0.3">
      <c r="A3" s="5" t="s">
        <v>1</v>
      </c>
      <c r="B3" s="5" t="s">
        <v>2</v>
      </c>
      <c r="C3" s="6" t="s">
        <v>3</v>
      </c>
      <c r="D3" s="7" t="s">
        <v>4</v>
      </c>
      <c r="E3" s="32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6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s="28" customFormat="1" ht="150" customHeight="1" x14ac:dyDescent="0.3">
      <c r="A4" s="22">
        <v>290925</v>
      </c>
      <c r="B4" s="22">
        <v>304</v>
      </c>
      <c r="C4" s="23">
        <v>0.8</v>
      </c>
      <c r="D4" s="29" t="s">
        <v>73</v>
      </c>
      <c r="E4" s="31" t="s">
        <v>70</v>
      </c>
      <c r="F4" s="22" t="s">
        <v>15</v>
      </c>
      <c r="G4" s="22">
        <v>430</v>
      </c>
      <c r="H4" s="23">
        <v>0.6</v>
      </c>
      <c r="I4" s="22" t="s">
        <v>16</v>
      </c>
      <c r="J4" s="23" t="s">
        <v>16</v>
      </c>
      <c r="K4" s="22" t="s">
        <v>17</v>
      </c>
      <c r="L4" s="26">
        <v>4000</v>
      </c>
      <c r="M4" s="27">
        <f>100+2050+2000</f>
        <v>4150</v>
      </c>
      <c r="N4" s="26">
        <f t="shared" ref="N4:N16" si="0">L4-M4</f>
        <v>-150</v>
      </c>
    </row>
    <row r="5" spans="1:14" s="28" customFormat="1" ht="150" customHeight="1" x14ac:dyDescent="0.3">
      <c r="A5" s="22">
        <v>290925</v>
      </c>
      <c r="B5" s="22">
        <v>304</v>
      </c>
      <c r="C5" s="23">
        <v>0.8</v>
      </c>
      <c r="D5" s="29" t="s">
        <v>74</v>
      </c>
      <c r="E5" s="31" t="s">
        <v>71</v>
      </c>
      <c r="F5" s="22" t="s">
        <v>16</v>
      </c>
      <c r="G5" s="22" t="s">
        <v>16</v>
      </c>
      <c r="H5" s="23" t="s">
        <v>16</v>
      </c>
      <c r="I5" s="22" t="s">
        <v>16</v>
      </c>
      <c r="J5" s="23" t="s">
        <v>16</v>
      </c>
      <c r="K5" s="22" t="s">
        <v>17</v>
      </c>
      <c r="L5" s="26">
        <v>4000</v>
      </c>
      <c r="M5" s="27"/>
      <c r="N5" s="26">
        <f t="shared" si="0"/>
        <v>4000</v>
      </c>
    </row>
    <row r="6" spans="1:14" s="28" customFormat="1" ht="150" customHeight="1" x14ac:dyDescent="0.3">
      <c r="A6" s="22">
        <v>290925</v>
      </c>
      <c r="B6" s="22">
        <v>304</v>
      </c>
      <c r="C6" s="23">
        <v>0.8</v>
      </c>
      <c r="D6" s="29" t="s">
        <v>75</v>
      </c>
      <c r="E6" s="31" t="s">
        <v>72</v>
      </c>
      <c r="F6" s="22" t="s">
        <v>15</v>
      </c>
      <c r="G6" s="22">
        <v>430</v>
      </c>
      <c r="H6" s="23">
        <v>0.6</v>
      </c>
      <c r="I6" s="22" t="s">
        <v>16</v>
      </c>
      <c r="J6" s="23" t="s">
        <v>16</v>
      </c>
      <c r="K6" s="22" t="s">
        <v>17</v>
      </c>
      <c r="L6" s="26">
        <v>3000</v>
      </c>
      <c r="M6" s="27"/>
      <c r="N6" s="26">
        <f t="shared" si="0"/>
        <v>3000</v>
      </c>
    </row>
    <row r="7" spans="1:14" s="28" customFormat="1" ht="150" customHeight="1" x14ac:dyDescent="0.3">
      <c r="A7" s="22">
        <v>290925</v>
      </c>
      <c r="B7" s="22">
        <v>304</v>
      </c>
      <c r="C7" s="23">
        <v>0.8</v>
      </c>
      <c r="D7" s="29" t="s">
        <v>65</v>
      </c>
      <c r="E7" s="31" t="s">
        <v>76</v>
      </c>
      <c r="F7" s="22" t="s">
        <v>16</v>
      </c>
      <c r="G7" s="22" t="s">
        <v>16</v>
      </c>
      <c r="H7" s="23" t="s">
        <v>16</v>
      </c>
      <c r="I7" s="22" t="s">
        <v>16</v>
      </c>
      <c r="J7" s="23" t="s">
        <v>16</v>
      </c>
      <c r="K7" s="22" t="s">
        <v>17</v>
      </c>
      <c r="L7" s="26">
        <v>3000</v>
      </c>
      <c r="M7" s="27"/>
      <c r="N7" s="26">
        <f t="shared" si="0"/>
        <v>3000</v>
      </c>
    </row>
    <row r="8" spans="1:14" s="28" customFormat="1" ht="150" customHeight="1" x14ac:dyDescent="0.3">
      <c r="A8" s="5">
        <v>250057</v>
      </c>
      <c r="B8" s="5">
        <v>304</v>
      </c>
      <c r="C8" s="7">
        <v>0.7</v>
      </c>
      <c r="D8" s="5">
        <v>307</v>
      </c>
      <c r="E8" s="32" t="s">
        <v>77</v>
      </c>
      <c r="F8" s="5" t="s">
        <v>61</v>
      </c>
      <c r="G8" s="5">
        <v>304</v>
      </c>
      <c r="H8" s="7" t="s">
        <v>16</v>
      </c>
      <c r="I8" s="5" t="s">
        <v>16</v>
      </c>
      <c r="J8" s="5" t="s">
        <v>16</v>
      </c>
      <c r="K8" s="5" t="s">
        <v>17</v>
      </c>
      <c r="L8" s="9">
        <v>395</v>
      </c>
      <c r="M8" s="27"/>
      <c r="N8" s="26">
        <f t="shared" si="0"/>
        <v>395</v>
      </c>
    </row>
    <row r="9" spans="1:14" s="28" customFormat="1" ht="150" customHeight="1" x14ac:dyDescent="0.3">
      <c r="A9" s="5">
        <v>250057</v>
      </c>
      <c r="B9" s="5">
        <v>304</v>
      </c>
      <c r="C9" s="7">
        <v>0.9</v>
      </c>
      <c r="D9" s="5">
        <v>307</v>
      </c>
      <c r="E9" s="32" t="s">
        <v>78</v>
      </c>
      <c r="F9" s="5" t="s">
        <v>61</v>
      </c>
      <c r="G9" s="5">
        <v>304</v>
      </c>
      <c r="H9" s="7" t="s">
        <v>16</v>
      </c>
      <c r="I9" s="5" t="s">
        <v>16</v>
      </c>
      <c r="J9" s="5" t="s">
        <v>16</v>
      </c>
      <c r="K9" s="5" t="s">
        <v>17</v>
      </c>
      <c r="L9" s="9">
        <v>15</v>
      </c>
      <c r="M9" s="27"/>
      <c r="N9" s="26">
        <f t="shared" si="0"/>
        <v>15</v>
      </c>
    </row>
    <row r="10" spans="1:14" s="28" customFormat="1" ht="150" customHeight="1" x14ac:dyDescent="0.3">
      <c r="A10" s="5">
        <v>250061</v>
      </c>
      <c r="B10" s="5">
        <v>304</v>
      </c>
      <c r="C10" s="7">
        <v>0.7</v>
      </c>
      <c r="D10" s="5">
        <v>265</v>
      </c>
      <c r="E10" s="32" t="s">
        <v>79</v>
      </c>
      <c r="F10" s="5" t="s">
        <v>80</v>
      </c>
      <c r="G10" s="5">
        <v>304</v>
      </c>
      <c r="H10" s="7" t="s">
        <v>16</v>
      </c>
      <c r="I10" s="5" t="s">
        <v>16</v>
      </c>
      <c r="J10" s="5" t="s">
        <v>16</v>
      </c>
      <c r="K10" s="5" t="s">
        <v>17</v>
      </c>
      <c r="L10" s="9">
        <v>525</v>
      </c>
      <c r="M10" s="27"/>
      <c r="N10" s="26">
        <f t="shared" si="0"/>
        <v>525</v>
      </c>
    </row>
    <row r="11" spans="1:14" s="28" customFormat="1" ht="150" customHeight="1" x14ac:dyDescent="0.3">
      <c r="A11" s="5">
        <v>250061</v>
      </c>
      <c r="B11" s="5">
        <v>304</v>
      </c>
      <c r="C11" s="7">
        <v>0.7</v>
      </c>
      <c r="D11" s="5">
        <v>265</v>
      </c>
      <c r="E11" s="32" t="s">
        <v>81</v>
      </c>
      <c r="F11" s="5" t="s">
        <v>80</v>
      </c>
      <c r="G11" s="5">
        <v>304</v>
      </c>
      <c r="H11" s="7" t="s">
        <v>16</v>
      </c>
      <c r="I11" s="5" t="s">
        <v>16</v>
      </c>
      <c r="J11" s="5" t="s">
        <v>16</v>
      </c>
      <c r="K11" s="5" t="s">
        <v>17</v>
      </c>
      <c r="L11" s="9">
        <v>15</v>
      </c>
      <c r="M11" s="27"/>
      <c r="N11" s="26">
        <f t="shared" si="0"/>
        <v>15</v>
      </c>
    </row>
    <row r="12" spans="1:14" s="28" customFormat="1" ht="150" customHeight="1" x14ac:dyDescent="0.3">
      <c r="A12" s="5">
        <v>230925</v>
      </c>
      <c r="B12" s="5">
        <v>430</v>
      </c>
      <c r="C12" s="7">
        <v>0.8</v>
      </c>
      <c r="D12" s="5">
        <v>425</v>
      </c>
      <c r="E12" s="32" t="s">
        <v>82</v>
      </c>
      <c r="F12" s="5" t="s">
        <v>80</v>
      </c>
      <c r="G12" s="5">
        <v>430</v>
      </c>
      <c r="H12" s="7" t="s">
        <v>16</v>
      </c>
      <c r="I12" s="5" t="s">
        <v>16</v>
      </c>
      <c r="J12" s="5" t="s">
        <v>16</v>
      </c>
      <c r="K12" s="5" t="s">
        <v>17</v>
      </c>
      <c r="L12" s="9">
        <v>6000</v>
      </c>
      <c r="M12" s="27"/>
      <c r="N12" s="26">
        <f t="shared" si="0"/>
        <v>6000</v>
      </c>
    </row>
    <row r="13" spans="1:14" s="28" customFormat="1" ht="150" customHeight="1" x14ac:dyDescent="0.3">
      <c r="A13" s="5">
        <v>230925</v>
      </c>
      <c r="B13" s="5">
        <v>430</v>
      </c>
      <c r="C13" s="7">
        <v>0.8</v>
      </c>
      <c r="D13" s="5">
        <v>360</v>
      </c>
      <c r="E13" s="32" t="s">
        <v>83</v>
      </c>
      <c r="F13" s="5" t="s">
        <v>80</v>
      </c>
      <c r="G13" s="5">
        <v>430</v>
      </c>
      <c r="H13" s="7" t="s">
        <v>16</v>
      </c>
      <c r="I13" s="5" t="s">
        <v>16</v>
      </c>
      <c r="J13" s="5" t="s">
        <v>16</v>
      </c>
      <c r="K13" s="5" t="s">
        <v>17</v>
      </c>
      <c r="L13" s="9">
        <v>6000</v>
      </c>
      <c r="M13" s="27"/>
      <c r="N13" s="26">
        <f t="shared" si="0"/>
        <v>6000</v>
      </c>
    </row>
    <row r="14" spans="1:14" s="28" customFormat="1" ht="150" customHeight="1" x14ac:dyDescent="0.3">
      <c r="A14" s="5">
        <v>131025</v>
      </c>
      <c r="B14" s="5">
        <v>304</v>
      </c>
      <c r="C14" s="7">
        <v>0.9</v>
      </c>
      <c r="D14" s="5">
        <v>425</v>
      </c>
      <c r="E14" s="32" t="s">
        <v>84</v>
      </c>
      <c r="F14" s="5" t="s">
        <v>61</v>
      </c>
      <c r="G14" s="5" t="s">
        <v>16</v>
      </c>
      <c r="H14" s="7" t="s">
        <v>16</v>
      </c>
      <c r="I14" s="5" t="s">
        <v>16</v>
      </c>
      <c r="J14" s="5" t="s">
        <v>16</v>
      </c>
      <c r="K14" s="5" t="s">
        <v>17</v>
      </c>
      <c r="L14" s="9">
        <v>3000</v>
      </c>
      <c r="M14" s="27"/>
      <c r="N14" s="26">
        <f t="shared" si="0"/>
        <v>3000</v>
      </c>
    </row>
    <row r="15" spans="1:14" s="28" customFormat="1" ht="150" customHeight="1" x14ac:dyDescent="0.3">
      <c r="A15" s="5">
        <v>131025</v>
      </c>
      <c r="B15" s="5">
        <v>304</v>
      </c>
      <c r="C15" s="7" t="s">
        <v>85</v>
      </c>
      <c r="D15" s="5">
        <v>317</v>
      </c>
      <c r="E15" s="32" t="s">
        <v>86</v>
      </c>
      <c r="F15" s="5" t="s">
        <v>16</v>
      </c>
      <c r="G15" s="5" t="s">
        <v>16</v>
      </c>
      <c r="H15" s="7" t="s">
        <v>16</v>
      </c>
      <c r="I15" s="5" t="s">
        <v>16</v>
      </c>
      <c r="J15" s="5" t="s">
        <v>16</v>
      </c>
      <c r="K15" s="5" t="s">
        <v>17</v>
      </c>
      <c r="L15" s="9">
        <v>2550</v>
      </c>
      <c r="M15" s="27"/>
      <c r="N15" s="26">
        <f t="shared" si="0"/>
        <v>2550</v>
      </c>
    </row>
    <row r="16" spans="1:14" s="11" customFormat="1" ht="150" customHeight="1" x14ac:dyDescent="0.3">
      <c r="A16" s="22"/>
      <c r="B16" s="22"/>
      <c r="C16" s="23"/>
      <c r="D16" s="29"/>
      <c r="E16" s="31"/>
      <c r="F16" s="22"/>
      <c r="G16" s="22"/>
      <c r="H16" s="23"/>
      <c r="I16" s="22"/>
      <c r="J16" s="22"/>
      <c r="K16" s="22"/>
      <c r="L16" s="26"/>
      <c r="M16" s="27"/>
      <c r="N16" s="26">
        <f t="shared" si="0"/>
        <v>0</v>
      </c>
    </row>
    <row r="17" spans="1:14" s="11" customFormat="1" ht="150" customHeight="1" x14ac:dyDescent="0.3">
      <c r="A17" s="13"/>
      <c r="B17" s="13"/>
      <c r="C17" s="14"/>
      <c r="D17" s="14"/>
      <c r="E17" s="33"/>
      <c r="F17" s="13"/>
      <c r="G17" s="13"/>
      <c r="H17" s="14"/>
      <c r="I17" s="13"/>
      <c r="J17" s="13"/>
      <c r="K17" s="13"/>
      <c r="L17" s="9">
        <f>SUM(L4:L16)</f>
        <v>32500</v>
      </c>
      <c r="M17" s="16">
        <f>SUM(M4:M16)</f>
        <v>4150</v>
      </c>
      <c r="N17" s="9">
        <f>SUM(N4:N16)</f>
        <v>28350</v>
      </c>
    </row>
    <row r="18" spans="1:14" s="12" customFormat="1" ht="100.05" customHeight="1" x14ac:dyDescent="0.3">
      <c r="A18" s="17"/>
      <c r="B18" s="17"/>
      <c r="C18" s="17"/>
      <c r="D18" s="20"/>
      <c r="E18" s="35"/>
      <c r="F18" s="17"/>
      <c r="G18" s="17"/>
      <c r="H18" s="17"/>
      <c r="I18" s="17"/>
      <c r="J18" s="17"/>
      <c r="K18" s="17"/>
      <c r="L18" s="17"/>
      <c r="M18" s="17"/>
      <c r="N18" s="17"/>
    </row>
    <row r="19" spans="1:14" ht="100.05" customHeight="1" x14ac:dyDescent="0.3"/>
    <row r="20" spans="1:14" s="4" customFormat="1" ht="100.05" customHeight="1" x14ac:dyDescent="0.3">
      <c r="A20" s="17"/>
      <c r="B20" s="17"/>
      <c r="C20" s="17"/>
      <c r="D20" s="20"/>
      <c r="E20" s="35"/>
      <c r="F20" s="17"/>
      <c r="G20" s="17"/>
      <c r="H20" s="17"/>
      <c r="I20" s="17"/>
      <c r="J20" s="17"/>
      <c r="K20" s="17"/>
      <c r="L20" s="17"/>
      <c r="M20" s="17"/>
      <c r="N20" s="17"/>
    </row>
    <row r="21" spans="1:14" s="4" customFormat="1" ht="100.05" customHeight="1" x14ac:dyDescent="0.3">
      <c r="A21" s="17"/>
      <c r="B21" s="17"/>
      <c r="C21" s="17"/>
      <c r="D21" s="20"/>
      <c r="E21" s="35"/>
      <c r="F21" s="17"/>
      <c r="G21" s="17"/>
      <c r="H21" s="17"/>
      <c r="I21" s="17"/>
      <c r="J21" s="17"/>
      <c r="K21" s="17"/>
      <c r="L21" s="17"/>
      <c r="M21" s="17"/>
      <c r="N21" s="17"/>
    </row>
    <row r="22" spans="1:14" s="11" customFormat="1" ht="100.05" customHeight="1" x14ac:dyDescent="0.3">
      <c r="A22" s="17"/>
      <c r="B22" s="17"/>
      <c r="C22" s="17"/>
      <c r="D22" s="20"/>
      <c r="E22" s="35"/>
      <c r="F22" s="17"/>
      <c r="G22" s="17"/>
      <c r="H22" s="17"/>
      <c r="I22" s="17"/>
      <c r="J22" s="17"/>
      <c r="K22" s="17"/>
      <c r="L22" s="17"/>
      <c r="M22" s="17"/>
      <c r="N22" s="17"/>
    </row>
    <row r="23" spans="1:14" s="11" customFormat="1" ht="100.05" customHeight="1" x14ac:dyDescent="0.3">
      <c r="A23" s="17"/>
      <c r="B23" s="17"/>
      <c r="C23" s="17"/>
      <c r="D23" s="20"/>
      <c r="E23" s="35"/>
      <c r="F23" s="17"/>
      <c r="G23" s="17"/>
      <c r="H23" s="17"/>
      <c r="I23" s="17"/>
      <c r="J23" s="17"/>
      <c r="K23" s="17"/>
      <c r="L23" s="17"/>
      <c r="M23" s="17"/>
      <c r="N23" s="17"/>
    </row>
    <row r="24" spans="1:14" s="11" customFormat="1" ht="100.05" customHeight="1" x14ac:dyDescent="0.3">
      <c r="A24" s="17"/>
      <c r="B24" s="17"/>
      <c r="C24" s="17"/>
      <c r="D24" s="20"/>
      <c r="E24" s="35"/>
      <c r="F24" s="17"/>
      <c r="G24" s="17"/>
      <c r="H24" s="17"/>
      <c r="I24" s="17"/>
      <c r="J24" s="17"/>
      <c r="K24" s="17"/>
      <c r="L24" s="17"/>
      <c r="M24" s="17"/>
      <c r="N24" s="17"/>
    </row>
    <row r="25" spans="1:14" s="11" customFormat="1" ht="100.05" customHeight="1" x14ac:dyDescent="0.3">
      <c r="A25" s="17"/>
      <c r="B25" s="17"/>
      <c r="C25" s="17"/>
      <c r="D25" s="20"/>
      <c r="E25" s="35"/>
      <c r="F25" s="17"/>
      <c r="G25" s="17"/>
      <c r="H25" s="17"/>
      <c r="I25" s="17"/>
      <c r="J25" s="17"/>
      <c r="K25" s="17"/>
      <c r="L25" s="17"/>
      <c r="M25" s="17"/>
      <c r="N25" s="17"/>
    </row>
    <row r="26" spans="1:14" s="11" customFormat="1" ht="100.05" customHeight="1" x14ac:dyDescent="0.3">
      <c r="A26" s="17"/>
      <c r="B26" s="17"/>
      <c r="C26" s="17"/>
      <c r="D26" s="20"/>
      <c r="E26" s="35"/>
      <c r="F26" s="17"/>
      <c r="G26" s="17"/>
      <c r="H26" s="17"/>
      <c r="I26" s="17"/>
      <c r="J26" s="17"/>
      <c r="K26" s="17"/>
      <c r="L26" s="17"/>
      <c r="M26" s="17"/>
      <c r="N26" s="17"/>
    </row>
    <row r="27" spans="1:14" s="11" customFormat="1" ht="100.05" customHeight="1" x14ac:dyDescent="0.3">
      <c r="A27" s="17"/>
      <c r="B27" s="17"/>
      <c r="C27" s="17"/>
      <c r="D27" s="20"/>
      <c r="E27" s="35"/>
      <c r="F27" s="17"/>
      <c r="G27" s="17"/>
      <c r="H27" s="17"/>
      <c r="I27" s="17"/>
      <c r="J27" s="17"/>
      <c r="K27" s="17"/>
      <c r="L27" s="17"/>
      <c r="M27" s="17"/>
      <c r="N27" s="17"/>
    </row>
    <row r="28" spans="1:14" s="11" customFormat="1" ht="100.05" customHeight="1" x14ac:dyDescent="0.3">
      <c r="A28" s="17"/>
      <c r="B28" s="17"/>
      <c r="C28" s="17"/>
      <c r="D28" s="20"/>
      <c r="E28" s="35"/>
      <c r="F28" s="17"/>
      <c r="G28" s="17"/>
      <c r="H28" s="17"/>
      <c r="I28" s="17"/>
      <c r="J28" s="17"/>
      <c r="K28" s="17"/>
      <c r="L28" s="17"/>
      <c r="M28" s="17"/>
      <c r="N28" s="17"/>
    </row>
    <row r="29" spans="1:14" s="11" customFormat="1" ht="100.05" customHeight="1" x14ac:dyDescent="0.3">
      <c r="A29" s="17"/>
      <c r="B29" s="17"/>
      <c r="C29" s="17"/>
      <c r="D29" s="20"/>
      <c r="E29" s="35"/>
      <c r="F29" s="17"/>
      <c r="G29" s="17"/>
      <c r="H29" s="17"/>
      <c r="I29" s="17"/>
      <c r="J29" s="17"/>
      <c r="K29" s="17"/>
      <c r="L29" s="17"/>
      <c r="M29" s="17"/>
      <c r="N29" s="17"/>
    </row>
    <row r="30" spans="1:14" s="11" customFormat="1" ht="100.05" customHeight="1" x14ac:dyDescent="0.3">
      <c r="A30" s="17"/>
      <c r="B30" s="17"/>
      <c r="C30" s="17"/>
      <c r="D30" s="20"/>
      <c r="E30" s="35"/>
      <c r="F30" s="17"/>
      <c r="G30" s="17"/>
      <c r="H30" s="17"/>
      <c r="I30" s="17"/>
      <c r="J30" s="17"/>
      <c r="K30" s="17"/>
      <c r="L30" s="17"/>
      <c r="M30" s="17"/>
      <c r="N30" s="17"/>
    </row>
    <row r="31" spans="1:14" s="11" customFormat="1" ht="100.05" customHeight="1" x14ac:dyDescent="0.3">
      <c r="A31" s="17"/>
      <c r="B31" s="17"/>
      <c r="C31" s="17"/>
      <c r="D31" s="20"/>
      <c r="E31" s="35"/>
      <c r="F31" s="17"/>
      <c r="G31" s="17"/>
      <c r="H31" s="17"/>
      <c r="I31" s="17"/>
      <c r="J31" s="17"/>
      <c r="K31" s="17"/>
      <c r="L31" s="17"/>
      <c r="M31" s="17"/>
      <c r="N31" s="17"/>
    </row>
  </sheetData>
  <mergeCells count="3">
    <mergeCell ref="A1:C1"/>
    <mergeCell ref="K1:N1"/>
    <mergeCell ref="A2:N2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18" orientation="portrait" horizontalDpi="1200" verticalDpi="12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0"/>
  <sheetViews>
    <sheetView zoomScale="25" zoomScaleNormal="25" workbookViewId="0">
      <selection activeCell="M5" sqref="M5"/>
    </sheetView>
  </sheetViews>
  <sheetFormatPr defaultColWidth="8.88671875" defaultRowHeight="14.4" x14ac:dyDescent="0.3"/>
  <cols>
    <col min="1" max="1" width="41.77734375" style="17" customWidth="1"/>
    <col min="2" max="2" width="19.6640625" style="17" customWidth="1"/>
    <col min="3" max="3" width="29.21875" style="17" customWidth="1"/>
    <col min="4" max="4" width="28.6640625" style="20" customWidth="1"/>
    <col min="5" max="5" width="162.109375" style="35" customWidth="1"/>
    <col min="6" max="6" width="32.109375" style="17" bestFit="1" customWidth="1"/>
    <col min="7" max="7" width="21.88671875" style="17" bestFit="1" customWidth="1"/>
    <col min="8" max="8" width="26.6640625" style="17" bestFit="1" customWidth="1"/>
    <col min="9" max="9" width="40.109375" style="17" bestFit="1" customWidth="1"/>
    <col min="10" max="10" width="37.88671875" style="17" customWidth="1"/>
    <col min="11" max="11" width="25.6640625" style="17" customWidth="1"/>
    <col min="12" max="14" width="26.77734375" style="17" bestFit="1" customWidth="1"/>
    <col min="15" max="16384" width="8.88671875" style="18"/>
  </cols>
  <sheetData>
    <row r="1" spans="1:14" s="3" customFormat="1" ht="100.05" customHeight="1" x14ac:dyDescent="0.95">
      <c r="A1" s="37"/>
      <c r="B1" s="37"/>
      <c r="C1" s="37"/>
      <c r="D1" s="19"/>
      <c r="E1" s="34"/>
      <c r="F1" s="1"/>
      <c r="G1" s="1"/>
      <c r="H1" s="1"/>
      <c r="I1" s="1"/>
      <c r="J1" s="2" t="s">
        <v>0</v>
      </c>
      <c r="K1" s="38">
        <v>45947</v>
      </c>
      <c r="L1" s="38"/>
      <c r="M1" s="38"/>
      <c r="N1" s="38"/>
    </row>
    <row r="2" spans="1:14" s="4" customFormat="1" ht="100.05" customHeight="1" x14ac:dyDescent="0.3">
      <c r="A2" s="39" t="s">
        <v>69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</row>
    <row r="3" spans="1:14" s="4" customFormat="1" ht="150" customHeight="1" x14ac:dyDescent="0.3">
      <c r="A3" s="5" t="s">
        <v>1</v>
      </c>
      <c r="B3" s="5" t="s">
        <v>2</v>
      </c>
      <c r="C3" s="6" t="s">
        <v>3</v>
      </c>
      <c r="D3" s="7" t="s">
        <v>4</v>
      </c>
      <c r="E3" s="32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6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s="28" customFormat="1" ht="150" customHeight="1" x14ac:dyDescent="0.3">
      <c r="A4" s="22">
        <v>290925</v>
      </c>
      <c r="B4" s="22">
        <v>304</v>
      </c>
      <c r="C4" s="23">
        <v>0.8</v>
      </c>
      <c r="D4" s="29" t="s">
        <v>74</v>
      </c>
      <c r="E4" s="31" t="s">
        <v>71</v>
      </c>
      <c r="F4" s="22" t="s">
        <v>16</v>
      </c>
      <c r="G4" s="22" t="s">
        <v>16</v>
      </c>
      <c r="H4" s="23" t="s">
        <v>16</v>
      </c>
      <c r="I4" s="22" t="s">
        <v>16</v>
      </c>
      <c r="J4" s="23" t="s">
        <v>16</v>
      </c>
      <c r="K4" s="22" t="s">
        <v>17</v>
      </c>
      <c r="L4" s="26">
        <v>4000</v>
      </c>
      <c r="M4" s="27">
        <f>1800</f>
        <v>1800</v>
      </c>
      <c r="N4" s="26">
        <f t="shared" ref="N4:N15" si="0">L4-M4</f>
        <v>2200</v>
      </c>
    </row>
    <row r="5" spans="1:14" s="28" customFormat="1" ht="150" customHeight="1" x14ac:dyDescent="0.3">
      <c r="A5" s="5">
        <v>131025</v>
      </c>
      <c r="B5" s="5">
        <v>304</v>
      </c>
      <c r="C5" s="7">
        <v>0.9</v>
      </c>
      <c r="D5" s="5">
        <v>317</v>
      </c>
      <c r="E5" s="32" t="s">
        <v>86</v>
      </c>
      <c r="F5" s="5" t="s">
        <v>16</v>
      </c>
      <c r="G5" s="5" t="s">
        <v>16</v>
      </c>
      <c r="H5" s="7" t="s">
        <v>16</v>
      </c>
      <c r="I5" s="5" t="s">
        <v>16</v>
      </c>
      <c r="J5" s="5" t="s">
        <v>16</v>
      </c>
      <c r="K5" s="5" t="s">
        <v>17</v>
      </c>
      <c r="L5" s="9">
        <v>2550</v>
      </c>
      <c r="M5" s="27"/>
      <c r="N5" s="26">
        <f t="shared" si="0"/>
        <v>2550</v>
      </c>
    </row>
    <row r="6" spans="1:14" s="28" customFormat="1" ht="150" customHeight="1" x14ac:dyDescent="0.3">
      <c r="A6" s="5">
        <v>131025</v>
      </c>
      <c r="B6" s="5">
        <v>304</v>
      </c>
      <c r="C6" s="7">
        <v>0.9</v>
      </c>
      <c r="D6" s="5">
        <v>425</v>
      </c>
      <c r="E6" s="32" t="s">
        <v>84</v>
      </c>
      <c r="F6" s="5" t="s">
        <v>61</v>
      </c>
      <c r="G6" s="5" t="s">
        <v>16</v>
      </c>
      <c r="H6" s="7" t="s">
        <v>16</v>
      </c>
      <c r="I6" s="5" t="s">
        <v>16</v>
      </c>
      <c r="J6" s="5" t="s">
        <v>16</v>
      </c>
      <c r="K6" s="5" t="s">
        <v>17</v>
      </c>
      <c r="L6" s="9">
        <v>3000</v>
      </c>
      <c r="M6" s="27"/>
      <c r="N6" s="26">
        <f t="shared" si="0"/>
        <v>3000</v>
      </c>
    </row>
    <row r="7" spans="1:14" s="28" customFormat="1" ht="150" customHeight="1" x14ac:dyDescent="0.3">
      <c r="A7" s="22">
        <v>290925</v>
      </c>
      <c r="B7" s="22">
        <v>304</v>
      </c>
      <c r="C7" s="23">
        <v>0.8</v>
      </c>
      <c r="D7" s="29" t="s">
        <v>75</v>
      </c>
      <c r="E7" s="31" t="s">
        <v>72</v>
      </c>
      <c r="F7" s="22" t="s">
        <v>15</v>
      </c>
      <c r="G7" s="22">
        <v>430</v>
      </c>
      <c r="H7" s="23">
        <v>0.6</v>
      </c>
      <c r="I7" s="22" t="s">
        <v>16</v>
      </c>
      <c r="J7" s="23" t="s">
        <v>16</v>
      </c>
      <c r="K7" s="22" t="s">
        <v>17</v>
      </c>
      <c r="L7" s="26">
        <v>3000</v>
      </c>
      <c r="M7" s="27"/>
      <c r="N7" s="26">
        <f t="shared" si="0"/>
        <v>3000</v>
      </c>
    </row>
    <row r="8" spans="1:14" s="28" customFormat="1" ht="150" customHeight="1" x14ac:dyDescent="0.3">
      <c r="A8" s="22">
        <v>290925</v>
      </c>
      <c r="B8" s="22">
        <v>304</v>
      </c>
      <c r="C8" s="23">
        <v>0.8</v>
      </c>
      <c r="D8" s="29" t="s">
        <v>65</v>
      </c>
      <c r="E8" s="31" t="s">
        <v>76</v>
      </c>
      <c r="F8" s="22" t="s">
        <v>16</v>
      </c>
      <c r="G8" s="22" t="s">
        <v>16</v>
      </c>
      <c r="H8" s="23" t="s">
        <v>16</v>
      </c>
      <c r="I8" s="22" t="s">
        <v>16</v>
      </c>
      <c r="J8" s="23" t="s">
        <v>16</v>
      </c>
      <c r="K8" s="22" t="s">
        <v>17</v>
      </c>
      <c r="L8" s="26">
        <v>3000</v>
      </c>
      <c r="M8" s="27"/>
      <c r="N8" s="26">
        <f t="shared" si="0"/>
        <v>3000</v>
      </c>
    </row>
    <row r="9" spans="1:14" s="28" customFormat="1" ht="150" customHeight="1" x14ac:dyDescent="0.3">
      <c r="A9" s="5">
        <v>250057</v>
      </c>
      <c r="B9" s="5">
        <v>304</v>
      </c>
      <c r="C9" s="7">
        <v>0.7</v>
      </c>
      <c r="D9" s="5">
        <v>307</v>
      </c>
      <c r="E9" s="32" t="s">
        <v>87</v>
      </c>
      <c r="F9" s="5" t="s">
        <v>61</v>
      </c>
      <c r="G9" s="5">
        <v>304</v>
      </c>
      <c r="H9" s="7" t="s">
        <v>16</v>
      </c>
      <c r="I9" s="5" t="s">
        <v>16</v>
      </c>
      <c r="J9" s="5" t="s">
        <v>16</v>
      </c>
      <c r="K9" s="5" t="s">
        <v>17</v>
      </c>
      <c r="L9" s="9">
        <v>395</v>
      </c>
      <c r="M9" s="27"/>
      <c r="N9" s="26">
        <f t="shared" si="0"/>
        <v>395</v>
      </c>
    </row>
    <row r="10" spans="1:14" s="28" customFormat="1" ht="150" customHeight="1" x14ac:dyDescent="0.3">
      <c r="A10" s="5">
        <v>250057</v>
      </c>
      <c r="B10" s="5">
        <v>304</v>
      </c>
      <c r="C10" s="7">
        <v>0.9</v>
      </c>
      <c r="D10" s="5">
        <v>307</v>
      </c>
      <c r="E10" s="32" t="s">
        <v>88</v>
      </c>
      <c r="F10" s="5" t="s">
        <v>61</v>
      </c>
      <c r="G10" s="5">
        <v>304</v>
      </c>
      <c r="H10" s="7" t="s">
        <v>16</v>
      </c>
      <c r="I10" s="5" t="s">
        <v>16</v>
      </c>
      <c r="J10" s="5" t="s">
        <v>16</v>
      </c>
      <c r="K10" s="5" t="s">
        <v>17</v>
      </c>
      <c r="L10" s="9">
        <v>15</v>
      </c>
      <c r="M10" s="27"/>
      <c r="N10" s="26">
        <f t="shared" si="0"/>
        <v>15</v>
      </c>
    </row>
    <row r="11" spans="1:14" s="28" customFormat="1" ht="150" customHeight="1" x14ac:dyDescent="0.3">
      <c r="A11" s="5">
        <v>250061</v>
      </c>
      <c r="B11" s="5">
        <v>304</v>
      </c>
      <c r="C11" s="7">
        <v>0.7</v>
      </c>
      <c r="D11" s="5">
        <v>265</v>
      </c>
      <c r="E11" s="32" t="s">
        <v>89</v>
      </c>
      <c r="F11" s="5" t="s">
        <v>80</v>
      </c>
      <c r="G11" s="5">
        <v>304</v>
      </c>
      <c r="H11" s="7" t="s">
        <v>16</v>
      </c>
      <c r="I11" s="5" t="s">
        <v>16</v>
      </c>
      <c r="J11" s="5" t="s">
        <v>16</v>
      </c>
      <c r="K11" s="5" t="s">
        <v>17</v>
      </c>
      <c r="L11" s="9">
        <v>525</v>
      </c>
      <c r="M11" s="27"/>
      <c r="N11" s="26">
        <f t="shared" si="0"/>
        <v>525</v>
      </c>
    </row>
    <row r="12" spans="1:14" s="28" customFormat="1" ht="150" customHeight="1" x14ac:dyDescent="0.3">
      <c r="A12" s="5">
        <v>250061</v>
      </c>
      <c r="B12" s="5">
        <v>304</v>
      </c>
      <c r="C12" s="7">
        <v>0.7</v>
      </c>
      <c r="D12" s="5">
        <v>265</v>
      </c>
      <c r="E12" s="32" t="s">
        <v>90</v>
      </c>
      <c r="F12" s="5" t="s">
        <v>80</v>
      </c>
      <c r="G12" s="5">
        <v>304</v>
      </c>
      <c r="H12" s="7" t="s">
        <v>16</v>
      </c>
      <c r="I12" s="5" t="s">
        <v>16</v>
      </c>
      <c r="J12" s="5" t="s">
        <v>16</v>
      </c>
      <c r="K12" s="5" t="s">
        <v>17</v>
      </c>
      <c r="L12" s="9">
        <v>15</v>
      </c>
      <c r="M12" s="27"/>
      <c r="N12" s="26">
        <f t="shared" si="0"/>
        <v>15</v>
      </c>
    </row>
    <row r="13" spans="1:14" s="28" customFormat="1" ht="150" customHeight="1" x14ac:dyDescent="0.3">
      <c r="A13" s="5">
        <v>230925</v>
      </c>
      <c r="B13" s="5">
        <v>430</v>
      </c>
      <c r="C13" s="7">
        <v>0.8</v>
      </c>
      <c r="D13" s="5">
        <v>425</v>
      </c>
      <c r="E13" s="32" t="s">
        <v>82</v>
      </c>
      <c r="F13" s="5" t="s">
        <v>80</v>
      </c>
      <c r="G13" s="5">
        <v>430</v>
      </c>
      <c r="H13" s="7" t="s">
        <v>16</v>
      </c>
      <c r="I13" s="5" t="s">
        <v>16</v>
      </c>
      <c r="J13" s="5" t="s">
        <v>16</v>
      </c>
      <c r="K13" s="5" t="s">
        <v>17</v>
      </c>
      <c r="L13" s="9">
        <v>6000</v>
      </c>
      <c r="M13" s="27"/>
      <c r="N13" s="26">
        <f t="shared" si="0"/>
        <v>6000</v>
      </c>
    </row>
    <row r="14" spans="1:14" s="28" customFormat="1" ht="150" customHeight="1" x14ac:dyDescent="0.3">
      <c r="A14" s="5">
        <v>230925</v>
      </c>
      <c r="B14" s="5">
        <v>430</v>
      </c>
      <c r="C14" s="7">
        <v>0.8</v>
      </c>
      <c r="D14" s="5">
        <v>360</v>
      </c>
      <c r="E14" s="32" t="s">
        <v>83</v>
      </c>
      <c r="F14" s="5" t="s">
        <v>80</v>
      </c>
      <c r="G14" s="5">
        <v>430</v>
      </c>
      <c r="H14" s="7" t="s">
        <v>16</v>
      </c>
      <c r="I14" s="5" t="s">
        <v>16</v>
      </c>
      <c r="J14" s="5" t="s">
        <v>16</v>
      </c>
      <c r="K14" s="5" t="s">
        <v>17</v>
      </c>
      <c r="L14" s="9">
        <v>5300</v>
      </c>
      <c r="M14" s="27"/>
      <c r="N14" s="26">
        <f t="shared" si="0"/>
        <v>5300</v>
      </c>
    </row>
    <row r="15" spans="1:14" s="11" customFormat="1" ht="150" customHeight="1" x14ac:dyDescent="0.3">
      <c r="A15" s="22"/>
      <c r="B15" s="22"/>
      <c r="C15" s="23"/>
      <c r="D15" s="29"/>
      <c r="E15" s="31"/>
      <c r="F15" s="22"/>
      <c r="G15" s="22"/>
      <c r="H15" s="23"/>
      <c r="I15" s="22"/>
      <c r="J15" s="22"/>
      <c r="K15" s="22"/>
      <c r="L15" s="26"/>
      <c r="M15" s="27"/>
      <c r="N15" s="26">
        <f t="shared" si="0"/>
        <v>0</v>
      </c>
    </row>
    <row r="16" spans="1:14" s="11" customFormat="1" ht="150" customHeight="1" x14ac:dyDescent="0.3">
      <c r="A16" s="13"/>
      <c r="B16" s="13"/>
      <c r="C16" s="14"/>
      <c r="D16" s="14"/>
      <c r="E16" s="33"/>
      <c r="F16" s="13"/>
      <c r="G16" s="13"/>
      <c r="H16" s="14"/>
      <c r="I16" s="13"/>
      <c r="J16" s="13"/>
      <c r="K16" s="13"/>
      <c r="L16" s="9">
        <f>SUM(L4:L15)</f>
        <v>27800</v>
      </c>
      <c r="M16" s="16">
        <f>SUM(M4:M15)</f>
        <v>1800</v>
      </c>
      <c r="N16" s="9">
        <f>SUM(N4:N15)</f>
        <v>26000</v>
      </c>
    </row>
    <row r="17" spans="1:14" s="12" customFormat="1" ht="100.05" customHeight="1" x14ac:dyDescent="0.3">
      <c r="A17" s="17"/>
      <c r="B17" s="17"/>
      <c r="C17" s="17"/>
      <c r="D17" s="20"/>
      <c r="E17" s="35"/>
      <c r="F17" s="17"/>
      <c r="G17" s="17"/>
      <c r="H17" s="17"/>
      <c r="I17" s="17"/>
      <c r="J17" s="17"/>
      <c r="K17" s="17"/>
      <c r="L17" s="17"/>
      <c r="M17" s="17"/>
      <c r="N17" s="17"/>
    </row>
    <row r="18" spans="1:14" ht="100.05" customHeight="1" x14ac:dyDescent="0.3"/>
    <row r="19" spans="1:14" s="4" customFormat="1" ht="100.05" customHeight="1" x14ac:dyDescent="0.3">
      <c r="A19" s="17"/>
      <c r="B19" s="17"/>
      <c r="C19" s="17"/>
      <c r="D19" s="20"/>
      <c r="E19" s="35"/>
      <c r="F19" s="17"/>
      <c r="G19" s="17"/>
      <c r="H19" s="17"/>
      <c r="I19" s="17"/>
      <c r="J19" s="17"/>
      <c r="K19" s="17"/>
      <c r="L19" s="17"/>
      <c r="M19" s="17"/>
      <c r="N19" s="17"/>
    </row>
    <row r="20" spans="1:14" s="4" customFormat="1" ht="100.05" customHeight="1" x14ac:dyDescent="0.3">
      <c r="A20" s="17"/>
      <c r="B20" s="17"/>
      <c r="C20" s="17"/>
      <c r="D20" s="20"/>
      <c r="E20" s="35"/>
      <c r="F20" s="17"/>
      <c r="G20" s="17"/>
      <c r="H20" s="17"/>
      <c r="I20" s="17"/>
      <c r="J20" s="17"/>
      <c r="K20" s="17"/>
      <c r="L20" s="17"/>
      <c r="M20" s="17"/>
      <c r="N20" s="17"/>
    </row>
    <row r="21" spans="1:14" s="11" customFormat="1" ht="100.05" customHeight="1" x14ac:dyDescent="0.3">
      <c r="A21" s="17"/>
      <c r="B21" s="17"/>
      <c r="C21" s="17"/>
      <c r="D21" s="20"/>
      <c r="E21" s="35"/>
      <c r="F21" s="17"/>
      <c r="G21" s="17"/>
      <c r="H21" s="17"/>
      <c r="I21" s="17"/>
      <c r="J21" s="17"/>
      <c r="K21" s="17"/>
      <c r="L21" s="17"/>
      <c r="M21" s="17"/>
      <c r="N21" s="17"/>
    </row>
    <row r="22" spans="1:14" s="11" customFormat="1" ht="100.05" customHeight="1" x14ac:dyDescent="0.3">
      <c r="A22" s="17"/>
      <c r="B22" s="17"/>
      <c r="C22" s="17"/>
      <c r="D22" s="20"/>
      <c r="E22" s="35"/>
      <c r="F22" s="17"/>
      <c r="G22" s="17"/>
      <c r="H22" s="17"/>
      <c r="I22" s="17"/>
      <c r="J22" s="17"/>
      <c r="K22" s="17"/>
      <c r="L22" s="17"/>
      <c r="M22" s="17"/>
      <c r="N22" s="17"/>
    </row>
    <row r="23" spans="1:14" s="11" customFormat="1" ht="100.05" customHeight="1" x14ac:dyDescent="0.3">
      <c r="A23" s="17"/>
      <c r="B23" s="17"/>
      <c r="C23" s="17"/>
      <c r="D23" s="20"/>
      <c r="E23" s="35"/>
      <c r="F23" s="17"/>
      <c r="G23" s="17"/>
      <c r="H23" s="17"/>
      <c r="I23" s="17"/>
      <c r="J23" s="17"/>
      <c r="K23" s="17"/>
      <c r="L23" s="17"/>
      <c r="M23" s="17"/>
      <c r="N23" s="17"/>
    </row>
    <row r="24" spans="1:14" s="11" customFormat="1" ht="100.05" customHeight="1" x14ac:dyDescent="0.3">
      <c r="A24" s="17"/>
      <c r="B24" s="17"/>
      <c r="C24" s="17"/>
      <c r="D24" s="20"/>
      <c r="E24" s="35"/>
      <c r="F24" s="17"/>
      <c r="G24" s="17"/>
      <c r="H24" s="17"/>
      <c r="I24" s="17"/>
      <c r="J24" s="17"/>
      <c r="K24" s="17"/>
      <c r="L24" s="17"/>
      <c r="M24" s="17"/>
      <c r="N24" s="17"/>
    </row>
    <row r="25" spans="1:14" s="11" customFormat="1" ht="100.05" customHeight="1" x14ac:dyDescent="0.3">
      <c r="A25" s="17"/>
      <c r="B25" s="17"/>
      <c r="C25" s="17"/>
      <c r="D25" s="20"/>
      <c r="E25" s="35"/>
      <c r="F25" s="17"/>
      <c r="G25" s="17"/>
      <c r="H25" s="17"/>
      <c r="I25" s="17"/>
      <c r="J25" s="17"/>
      <c r="K25" s="17"/>
      <c r="L25" s="17"/>
      <c r="M25" s="17"/>
      <c r="N25" s="17"/>
    </row>
    <row r="26" spans="1:14" s="11" customFormat="1" ht="100.05" customHeight="1" x14ac:dyDescent="0.3">
      <c r="A26" s="17"/>
      <c r="B26" s="17"/>
      <c r="C26" s="17"/>
      <c r="D26" s="20"/>
      <c r="E26" s="35"/>
      <c r="F26" s="17"/>
      <c r="G26" s="17"/>
      <c r="H26" s="17"/>
      <c r="I26" s="17"/>
      <c r="J26" s="17"/>
      <c r="K26" s="17"/>
      <c r="L26" s="17"/>
      <c r="M26" s="17"/>
      <c r="N26" s="17"/>
    </row>
    <row r="27" spans="1:14" s="11" customFormat="1" ht="100.05" customHeight="1" x14ac:dyDescent="0.3">
      <c r="A27" s="17"/>
      <c r="B27" s="17"/>
      <c r="C27" s="17"/>
      <c r="D27" s="20"/>
      <c r="E27" s="35"/>
      <c r="F27" s="17"/>
      <c r="G27" s="17"/>
      <c r="H27" s="17"/>
      <c r="I27" s="17"/>
      <c r="J27" s="17"/>
      <c r="K27" s="17"/>
      <c r="L27" s="17"/>
      <c r="M27" s="17"/>
      <c r="N27" s="17"/>
    </row>
    <row r="28" spans="1:14" s="11" customFormat="1" ht="100.05" customHeight="1" x14ac:dyDescent="0.3">
      <c r="A28" s="17"/>
      <c r="B28" s="17"/>
      <c r="C28" s="17"/>
      <c r="D28" s="20"/>
      <c r="E28" s="35"/>
      <c r="F28" s="17"/>
      <c r="G28" s="17"/>
      <c r="H28" s="17"/>
      <c r="I28" s="17"/>
      <c r="J28" s="17"/>
      <c r="K28" s="17"/>
      <c r="L28" s="17"/>
      <c r="M28" s="17"/>
      <c r="N28" s="17"/>
    </row>
    <row r="29" spans="1:14" s="11" customFormat="1" ht="100.05" customHeight="1" x14ac:dyDescent="0.3">
      <c r="A29" s="17"/>
      <c r="B29" s="17"/>
      <c r="C29" s="17"/>
      <c r="D29" s="20"/>
      <c r="E29" s="35"/>
      <c r="F29" s="17"/>
      <c r="G29" s="17"/>
      <c r="H29" s="17"/>
      <c r="I29" s="17"/>
      <c r="J29" s="17"/>
      <c r="K29" s="17"/>
      <c r="L29" s="17"/>
      <c r="M29" s="17"/>
      <c r="N29" s="17"/>
    </row>
    <row r="30" spans="1:14" s="11" customFormat="1" ht="100.05" customHeight="1" x14ac:dyDescent="0.3">
      <c r="A30" s="17"/>
      <c r="B30" s="17"/>
      <c r="C30" s="17"/>
      <c r="D30" s="20"/>
      <c r="E30" s="35"/>
      <c r="F30" s="17"/>
      <c r="G30" s="17"/>
      <c r="H30" s="17"/>
      <c r="I30" s="17"/>
      <c r="J30" s="17"/>
      <c r="K30" s="17"/>
      <c r="L30" s="17"/>
      <c r="M30" s="17"/>
      <c r="N30" s="17"/>
    </row>
  </sheetData>
  <mergeCells count="3">
    <mergeCell ref="A1:C1"/>
    <mergeCell ref="K1:N1"/>
    <mergeCell ref="A2:N2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18" orientation="portrait" horizontalDpi="1200" verticalDpi="12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0"/>
  <sheetViews>
    <sheetView zoomScale="25" zoomScaleNormal="25" workbookViewId="0">
      <selection activeCell="M7" sqref="M7"/>
    </sheetView>
  </sheetViews>
  <sheetFormatPr defaultColWidth="8.88671875" defaultRowHeight="14.4" x14ac:dyDescent="0.3"/>
  <cols>
    <col min="1" max="1" width="41.77734375" style="17" customWidth="1"/>
    <col min="2" max="2" width="19.6640625" style="17" customWidth="1"/>
    <col min="3" max="3" width="29.21875" style="17" customWidth="1"/>
    <col min="4" max="4" width="28.6640625" style="20" customWidth="1"/>
    <col min="5" max="5" width="162.109375" style="35" customWidth="1"/>
    <col min="6" max="6" width="32.109375" style="17" bestFit="1" customWidth="1"/>
    <col min="7" max="7" width="21.88671875" style="17" bestFit="1" customWidth="1"/>
    <col min="8" max="8" width="26.6640625" style="17" bestFit="1" customWidth="1"/>
    <col min="9" max="9" width="40.109375" style="17" bestFit="1" customWidth="1"/>
    <col min="10" max="10" width="37.88671875" style="17" customWidth="1"/>
    <col min="11" max="11" width="25.6640625" style="17" customWidth="1"/>
    <col min="12" max="14" width="26.77734375" style="17" bestFit="1" customWidth="1"/>
    <col min="15" max="16384" width="8.88671875" style="18"/>
  </cols>
  <sheetData>
    <row r="1" spans="1:14" s="3" customFormat="1" ht="100.05" customHeight="1" x14ac:dyDescent="0.95">
      <c r="A1" s="37"/>
      <c r="B1" s="37"/>
      <c r="C1" s="37"/>
      <c r="D1" s="19"/>
      <c r="E1" s="34"/>
      <c r="F1" s="1"/>
      <c r="G1" s="1"/>
      <c r="H1" s="1"/>
      <c r="I1" s="1"/>
      <c r="J1" s="2" t="s">
        <v>0</v>
      </c>
      <c r="K1" s="38">
        <v>45948</v>
      </c>
      <c r="L1" s="38"/>
      <c r="M1" s="38"/>
      <c r="N1" s="38"/>
    </row>
    <row r="2" spans="1:14" s="4" customFormat="1" ht="100.05" customHeight="1" x14ac:dyDescent="0.3">
      <c r="A2" s="39" t="s">
        <v>69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</row>
    <row r="3" spans="1:14" s="4" customFormat="1" ht="150" customHeight="1" x14ac:dyDescent="0.3">
      <c r="A3" s="5" t="s">
        <v>1</v>
      </c>
      <c r="B3" s="5" t="s">
        <v>2</v>
      </c>
      <c r="C3" s="6" t="s">
        <v>3</v>
      </c>
      <c r="D3" s="7" t="s">
        <v>4</v>
      </c>
      <c r="E3" s="32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6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s="28" customFormat="1" ht="150" customHeight="1" x14ac:dyDescent="0.3">
      <c r="A4" s="22">
        <v>290925</v>
      </c>
      <c r="B4" s="22">
        <v>304</v>
      </c>
      <c r="C4" s="23">
        <v>0.8</v>
      </c>
      <c r="D4" s="29" t="s">
        <v>74</v>
      </c>
      <c r="E4" s="31" t="s">
        <v>71</v>
      </c>
      <c r="F4" s="22" t="s">
        <v>16</v>
      </c>
      <c r="G4" s="22" t="s">
        <v>16</v>
      </c>
      <c r="H4" s="23" t="s">
        <v>16</v>
      </c>
      <c r="I4" s="22" t="s">
        <v>16</v>
      </c>
      <c r="J4" s="23" t="s">
        <v>16</v>
      </c>
      <c r="K4" s="22" t="s">
        <v>17</v>
      </c>
      <c r="L4" s="26">
        <v>4000</v>
      </c>
      <c r="M4" s="27">
        <f>1800+1300</f>
        <v>3100</v>
      </c>
      <c r="N4" s="26">
        <f t="shared" ref="N4:N15" si="0">L4-M4</f>
        <v>900</v>
      </c>
    </row>
    <row r="5" spans="1:14" s="28" customFormat="1" ht="150" customHeight="1" x14ac:dyDescent="0.3">
      <c r="A5" s="5">
        <v>131025</v>
      </c>
      <c r="B5" s="5">
        <v>304</v>
      </c>
      <c r="C5" s="7">
        <v>0.9</v>
      </c>
      <c r="D5" s="5">
        <v>317</v>
      </c>
      <c r="E5" s="32" t="s">
        <v>86</v>
      </c>
      <c r="F5" s="5" t="s">
        <v>16</v>
      </c>
      <c r="G5" s="5" t="s">
        <v>16</v>
      </c>
      <c r="H5" s="7" t="s">
        <v>16</v>
      </c>
      <c r="I5" s="5" t="s">
        <v>16</v>
      </c>
      <c r="J5" s="5" t="s">
        <v>16</v>
      </c>
      <c r="K5" s="5" t="s">
        <v>17</v>
      </c>
      <c r="L5" s="9">
        <v>2550</v>
      </c>
      <c r="M5" s="27"/>
      <c r="N5" s="26">
        <f t="shared" si="0"/>
        <v>2550</v>
      </c>
    </row>
    <row r="6" spans="1:14" s="28" customFormat="1" ht="150" customHeight="1" x14ac:dyDescent="0.3">
      <c r="A6" s="5">
        <v>131025</v>
      </c>
      <c r="B6" s="5">
        <v>304</v>
      </c>
      <c r="C6" s="7">
        <v>0.9</v>
      </c>
      <c r="D6" s="5">
        <v>425</v>
      </c>
      <c r="E6" s="32" t="s">
        <v>84</v>
      </c>
      <c r="F6" s="5" t="s">
        <v>61</v>
      </c>
      <c r="G6" s="5" t="s">
        <v>16</v>
      </c>
      <c r="H6" s="7" t="s">
        <v>16</v>
      </c>
      <c r="I6" s="5" t="s">
        <v>16</v>
      </c>
      <c r="J6" s="5" t="s">
        <v>16</v>
      </c>
      <c r="K6" s="5" t="s">
        <v>17</v>
      </c>
      <c r="L6" s="9">
        <v>3000</v>
      </c>
      <c r="M6" s="27">
        <f>700</f>
        <v>700</v>
      </c>
      <c r="N6" s="26">
        <f t="shared" si="0"/>
        <v>2300</v>
      </c>
    </row>
    <row r="7" spans="1:14" s="28" customFormat="1" ht="150" customHeight="1" x14ac:dyDescent="0.3">
      <c r="A7" s="22">
        <v>290925</v>
      </c>
      <c r="B7" s="22">
        <v>304</v>
      </c>
      <c r="C7" s="23">
        <v>0.8</v>
      </c>
      <c r="D7" s="29" t="s">
        <v>75</v>
      </c>
      <c r="E7" s="31" t="s">
        <v>72</v>
      </c>
      <c r="F7" s="22" t="s">
        <v>15</v>
      </c>
      <c r="G7" s="22">
        <v>430</v>
      </c>
      <c r="H7" s="23">
        <v>0.6</v>
      </c>
      <c r="I7" s="22" t="s">
        <v>16</v>
      </c>
      <c r="J7" s="23" t="s">
        <v>16</v>
      </c>
      <c r="K7" s="22" t="s">
        <v>17</v>
      </c>
      <c r="L7" s="26">
        <v>3000</v>
      </c>
      <c r="M7" s="27"/>
      <c r="N7" s="26">
        <f t="shared" si="0"/>
        <v>3000</v>
      </c>
    </row>
    <row r="8" spans="1:14" s="28" customFormat="1" ht="150" customHeight="1" x14ac:dyDescent="0.3">
      <c r="A8" s="22">
        <v>290925</v>
      </c>
      <c r="B8" s="22">
        <v>304</v>
      </c>
      <c r="C8" s="23">
        <v>0.8</v>
      </c>
      <c r="D8" s="29" t="s">
        <v>65</v>
      </c>
      <c r="E8" s="31" t="s">
        <v>76</v>
      </c>
      <c r="F8" s="22" t="s">
        <v>16</v>
      </c>
      <c r="G8" s="22" t="s">
        <v>16</v>
      </c>
      <c r="H8" s="23" t="s">
        <v>16</v>
      </c>
      <c r="I8" s="22" t="s">
        <v>16</v>
      </c>
      <c r="J8" s="23" t="s">
        <v>16</v>
      </c>
      <c r="K8" s="22" t="s">
        <v>17</v>
      </c>
      <c r="L8" s="26">
        <v>3000</v>
      </c>
      <c r="M8" s="27"/>
      <c r="N8" s="26">
        <f t="shared" si="0"/>
        <v>3000</v>
      </c>
    </row>
    <row r="9" spans="1:14" s="28" customFormat="1" ht="150" customHeight="1" x14ac:dyDescent="0.3">
      <c r="A9" s="5">
        <v>250057</v>
      </c>
      <c r="B9" s="5">
        <v>304</v>
      </c>
      <c r="C9" s="7">
        <v>0.7</v>
      </c>
      <c r="D9" s="5">
        <v>307</v>
      </c>
      <c r="E9" s="32" t="s">
        <v>87</v>
      </c>
      <c r="F9" s="5" t="s">
        <v>61</v>
      </c>
      <c r="G9" s="5">
        <v>304</v>
      </c>
      <c r="H9" s="7" t="s">
        <v>16</v>
      </c>
      <c r="I9" s="5" t="s">
        <v>16</v>
      </c>
      <c r="J9" s="5" t="s">
        <v>16</v>
      </c>
      <c r="K9" s="5" t="s">
        <v>17</v>
      </c>
      <c r="L9" s="9">
        <v>395</v>
      </c>
      <c r="M9" s="27"/>
      <c r="N9" s="26">
        <f t="shared" si="0"/>
        <v>395</v>
      </c>
    </row>
    <row r="10" spans="1:14" s="28" customFormat="1" ht="150" customHeight="1" x14ac:dyDescent="0.3">
      <c r="A10" s="5">
        <v>250057</v>
      </c>
      <c r="B10" s="5">
        <v>304</v>
      </c>
      <c r="C10" s="7">
        <v>0.9</v>
      </c>
      <c r="D10" s="5">
        <v>307</v>
      </c>
      <c r="E10" s="32" t="s">
        <v>88</v>
      </c>
      <c r="F10" s="5" t="s">
        <v>61</v>
      </c>
      <c r="G10" s="5">
        <v>304</v>
      </c>
      <c r="H10" s="7" t="s">
        <v>16</v>
      </c>
      <c r="I10" s="5" t="s">
        <v>16</v>
      </c>
      <c r="J10" s="5" t="s">
        <v>16</v>
      </c>
      <c r="K10" s="5" t="s">
        <v>17</v>
      </c>
      <c r="L10" s="9">
        <v>15</v>
      </c>
      <c r="M10" s="27"/>
      <c r="N10" s="26">
        <f t="shared" si="0"/>
        <v>15</v>
      </c>
    </row>
    <row r="11" spans="1:14" s="28" customFormat="1" ht="150" customHeight="1" x14ac:dyDescent="0.3">
      <c r="A11" s="5">
        <v>250061</v>
      </c>
      <c r="B11" s="5">
        <v>304</v>
      </c>
      <c r="C11" s="7">
        <v>0.7</v>
      </c>
      <c r="D11" s="5">
        <v>265</v>
      </c>
      <c r="E11" s="32" t="s">
        <v>89</v>
      </c>
      <c r="F11" s="5" t="s">
        <v>80</v>
      </c>
      <c r="G11" s="5">
        <v>304</v>
      </c>
      <c r="H11" s="7" t="s">
        <v>16</v>
      </c>
      <c r="I11" s="5" t="s">
        <v>16</v>
      </c>
      <c r="J11" s="5" t="s">
        <v>16</v>
      </c>
      <c r="K11" s="5" t="s">
        <v>17</v>
      </c>
      <c r="L11" s="9">
        <v>525</v>
      </c>
      <c r="M11" s="27"/>
      <c r="N11" s="26">
        <f t="shared" si="0"/>
        <v>525</v>
      </c>
    </row>
    <row r="12" spans="1:14" s="28" customFormat="1" ht="150" customHeight="1" x14ac:dyDescent="0.3">
      <c r="A12" s="5">
        <v>250061</v>
      </c>
      <c r="B12" s="5">
        <v>304</v>
      </c>
      <c r="C12" s="7">
        <v>0.7</v>
      </c>
      <c r="D12" s="5">
        <v>265</v>
      </c>
      <c r="E12" s="32" t="s">
        <v>90</v>
      </c>
      <c r="F12" s="5" t="s">
        <v>80</v>
      </c>
      <c r="G12" s="5">
        <v>304</v>
      </c>
      <c r="H12" s="7" t="s">
        <v>16</v>
      </c>
      <c r="I12" s="5" t="s">
        <v>16</v>
      </c>
      <c r="J12" s="5" t="s">
        <v>16</v>
      </c>
      <c r="K12" s="5" t="s">
        <v>17</v>
      </c>
      <c r="L12" s="9">
        <v>15</v>
      </c>
      <c r="M12" s="27"/>
      <c r="N12" s="26">
        <f t="shared" si="0"/>
        <v>15</v>
      </c>
    </row>
    <row r="13" spans="1:14" s="28" customFormat="1" ht="150" customHeight="1" x14ac:dyDescent="0.3">
      <c r="A13" s="5">
        <v>230925</v>
      </c>
      <c r="B13" s="5">
        <v>430</v>
      </c>
      <c r="C13" s="7">
        <v>0.8</v>
      </c>
      <c r="D13" s="5">
        <v>425</v>
      </c>
      <c r="E13" s="32" t="s">
        <v>82</v>
      </c>
      <c r="F13" s="5" t="s">
        <v>80</v>
      </c>
      <c r="G13" s="5">
        <v>430</v>
      </c>
      <c r="H13" s="7" t="s">
        <v>16</v>
      </c>
      <c r="I13" s="5" t="s">
        <v>16</v>
      </c>
      <c r="J13" s="5" t="s">
        <v>16</v>
      </c>
      <c r="K13" s="5" t="s">
        <v>17</v>
      </c>
      <c r="L13" s="9">
        <v>6000</v>
      </c>
      <c r="M13" s="27"/>
      <c r="N13" s="26">
        <f t="shared" si="0"/>
        <v>6000</v>
      </c>
    </row>
    <row r="14" spans="1:14" s="28" customFormat="1" ht="150" customHeight="1" x14ac:dyDescent="0.3">
      <c r="A14" s="5">
        <v>230925</v>
      </c>
      <c r="B14" s="5">
        <v>430</v>
      </c>
      <c r="C14" s="7">
        <v>0.8</v>
      </c>
      <c r="D14" s="5">
        <v>360</v>
      </c>
      <c r="E14" s="32" t="s">
        <v>83</v>
      </c>
      <c r="F14" s="5" t="s">
        <v>80</v>
      </c>
      <c r="G14" s="5">
        <v>430</v>
      </c>
      <c r="H14" s="7" t="s">
        <v>16</v>
      </c>
      <c r="I14" s="5" t="s">
        <v>16</v>
      </c>
      <c r="J14" s="5" t="s">
        <v>16</v>
      </c>
      <c r="K14" s="5" t="s">
        <v>17</v>
      </c>
      <c r="L14" s="9">
        <v>5300</v>
      </c>
      <c r="M14" s="27"/>
      <c r="N14" s="26">
        <f t="shared" si="0"/>
        <v>5300</v>
      </c>
    </row>
    <row r="15" spans="1:14" s="11" customFormat="1" ht="150" customHeight="1" x14ac:dyDescent="0.3">
      <c r="A15" s="22"/>
      <c r="B15" s="22"/>
      <c r="C15" s="23"/>
      <c r="D15" s="29"/>
      <c r="E15" s="31"/>
      <c r="F15" s="22"/>
      <c r="G15" s="22"/>
      <c r="H15" s="23"/>
      <c r="I15" s="22"/>
      <c r="J15" s="22"/>
      <c r="K15" s="22"/>
      <c r="L15" s="26"/>
      <c r="M15" s="27"/>
      <c r="N15" s="26">
        <f t="shared" si="0"/>
        <v>0</v>
      </c>
    </row>
    <row r="16" spans="1:14" s="11" customFormat="1" ht="150" customHeight="1" x14ac:dyDescent="0.3">
      <c r="A16" s="13"/>
      <c r="B16" s="13"/>
      <c r="C16" s="14"/>
      <c r="D16" s="14"/>
      <c r="E16" s="33"/>
      <c r="F16" s="13"/>
      <c r="G16" s="13"/>
      <c r="H16" s="14"/>
      <c r="I16" s="13"/>
      <c r="J16" s="13"/>
      <c r="K16" s="13"/>
      <c r="L16" s="9">
        <f>SUM(L4:L15)</f>
        <v>27800</v>
      </c>
      <c r="M16" s="16">
        <f>SUM(M4:M15)</f>
        <v>3800</v>
      </c>
      <c r="N16" s="9">
        <f>SUM(N4:N15)</f>
        <v>24000</v>
      </c>
    </row>
    <row r="17" spans="1:14" s="12" customFormat="1" ht="100.05" customHeight="1" x14ac:dyDescent="0.3">
      <c r="A17" s="17"/>
      <c r="B17" s="17"/>
      <c r="C17" s="17"/>
      <c r="D17" s="20"/>
      <c r="E17" s="35"/>
      <c r="F17" s="17"/>
      <c r="G17" s="17"/>
      <c r="H17" s="17"/>
      <c r="I17" s="17"/>
      <c r="J17" s="17"/>
      <c r="K17" s="17"/>
      <c r="L17" s="17"/>
      <c r="M17" s="17"/>
      <c r="N17" s="17"/>
    </row>
    <row r="18" spans="1:14" ht="100.05" customHeight="1" x14ac:dyDescent="0.3"/>
    <row r="19" spans="1:14" s="4" customFormat="1" ht="100.05" customHeight="1" x14ac:dyDescent="0.3">
      <c r="A19" s="17"/>
      <c r="B19" s="17"/>
      <c r="C19" s="17"/>
      <c r="D19" s="20"/>
      <c r="E19" s="35"/>
      <c r="F19" s="17"/>
      <c r="G19" s="17"/>
      <c r="H19" s="17"/>
      <c r="I19" s="17"/>
      <c r="J19" s="17"/>
      <c r="K19" s="17"/>
      <c r="L19" s="17"/>
      <c r="M19" s="17"/>
      <c r="N19" s="17"/>
    </row>
    <row r="20" spans="1:14" s="4" customFormat="1" ht="100.05" customHeight="1" x14ac:dyDescent="0.3">
      <c r="A20" s="17"/>
      <c r="B20" s="17"/>
      <c r="C20" s="17"/>
      <c r="D20" s="20"/>
      <c r="E20" s="35"/>
      <c r="F20" s="17"/>
      <c r="G20" s="17"/>
      <c r="H20" s="17"/>
      <c r="I20" s="17"/>
      <c r="J20" s="17"/>
      <c r="K20" s="17"/>
      <c r="L20" s="17"/>
      <c r="M20" s="17"/>
      <c r="N20" s="17"/>
    </row>
    <row r="21" spans="1:14" s="11" customFormat="1" ht="100.05" customHeight="1" x14ac:dyDescent="0.3">
      <c r="A21" s="17"/>
      <c r="B21" s="17"/>
      <c r="C21" s="17"/>
      <c r="D21" s="20"/>
      <c r="E21" s="35"/>
      <c r="F21" s="17"/>
      <c r="G21" s="17"/>
      <c r="H21" s="17"/>
      <c r="I21" s="17"/>
      <c r="J21" s="17"/>
      <c r="K21" s="17"/>
      <c r="L21" s="17"/>
      <c r="M21" s="17"/>
      <c r="N21" s="17"/>
    </row>
    <row r="22" spans="1:14" s="11" customFormat="1" ht="100.05" customHeight="1" x14ac:dyDescent="0.3">
      <c r="A22" s="17"/>
      <c r="B22" s="17"/>
      <c r="C22" s="17"/>
      <c r="D22" s="20"/>
      <c r="E22" s="35"/>
      <c r="F22" s="17"/>
      <c r="G22" s="17"/>
      <c r="H22" s="17"/>
      <c r="I22" s="17"/>
      <c r="J22" s="17"/>
      <c r="K22" s="17"/>
      <c r="L22" s="17"/>
      <c r="M22" s="17"/>
      <c r="N22" s="17"/>
    </row>
    <row r="23" spans="1:14" s="11" customFormat="1" ht="100.05" customHeight="1" x14ac:dyDescent="0.3">
      <c r="A23" s="17"/>
      <c r="B23" s="17"/>
      <c r="C23" s="17"/>
      <c r="D23" s="20"/>
      <c r="E23" s="35"/>
      <c r="F23" s="17"/>
      <c r="G23" s="17"/>
      <c r="H23" s="17"/>
      <c r="I23" s="17"/>
      <c r="J23" s="17"/>
      <c r="K23" s="17"/>
      <c r="L23" s="17"/>
      <c r="M23" s="17"/>
      <c r="N23" s="17"/>
    </row>
    <row r="24" spans="1:14" s="11" customFormat="1" ht="100.05" customHeight="1" x14ac:dyDescent="0.3">
      <c r="A24" s="17"/>
      <c r="B24" s="17"/>
      <c r="C24" s="17"/>
      <c r="D24" s="20"/>
      <c r="E24" s="35"/>
      <c r="F24" s="17"/>
      <c r="G24" s="17"/>
      <c r="H24" s="17"/>
      <c r="I24" s="17"/>
      <c r="J24" s="17"/>
      <c r="K24" s="17"/>
      <c r="L24" s="17"/>
      <c r="M24" s="17"/>
      <c r="N24" s="17"/>
    </row>
    <row r="25" spans="1:14" s="11" customFormat="1" ht="100.05" customHeight="1" x14ac:dyDescent="0.3">
      <c r="A25" s="17"/>
      <c r="B25" s="17"/>
      <c r="C25" s="17"/>
      <c r="D25" s="20"/>
      <c r="E25" s="35"/>
      <c r="F25" s="17"/>
      <c r="G25" s="17"/>
      <c r="H25" s="17"/>
      <c r="I25" s="17"/>
      <c r="J25" s="17"/>
      <c r="K25" s="17"/>
      <c r="L25" s="17"/>
      <c r="M25" s="17"/>
      <c r="N25" s="17"/>
    </row>
    <row r="26" spans="1:14" s="11" customFormat="1" ht="100.05" customHeight="1" x14ac:dyDescent="0.3">
      <c r="A26" s="17"/>
      <c r="B26" s="17"/>
      <c r="C26" s="17"/>
      <c r="D26" s="20"/>
      <c r="E26" s="35"/>
      <c r="F26" s="17"/>
      <c r="G26" s="17"/>
      <c r="H26" s="17"/>
      <c r="I26" s="17"/>
      <c r="J26" s="17"/>
      <c r="K26" s="17"/>
      <c r="L26" s="17"/>
      <c r="M26" s="17"/>
      <c r="N26" s="17"/>
    </row>
    <row r="27" spans="1:14" s="11" customFormat="1" ht="100.05" customHeight="1" x14ac:dyDescent="0.3">
      <c r="A27" s="17"/>
      <c r="B27" s="17"/>
      <c r="C27" s="17"/>
      <c r="D27" s="20"/>
      <c r="E27" s="35"/>
      <c r="F27" s="17"/>
      <c r="G27" s="17"/>
      <c r="H27" s="17"/>
      <c r="I27" s="17"/>
      <c r="J27" s="17"/>
      <c r="K27" s="17"/>
      <c r="L27" s="17"/>
      <c r="M27" s="17"/>
      <c r="N27" s="17"/>
    </row>
    <row r="28" spans="1:14" s="11" customFormat="1" ht="100.05" customHeight="1" x14ac:dyDescent="0.3">
      <c r="A28" s="17"/>
      <c r="B28" s="17"/>
      <c r="C28" s="17"/>
      <c r="D28" s="20"/>
      <c r="E28" s="35"/>
      <c r="F28" s="17"/>
      <c r="G28" s="17"/>
      <c r="H28" s="17"/>
      <c r="I28" s="17"/>
      <c r="J28" s="17"/>
      <c r="K28" s="17"/>
      <c r="L28" s="17"/>
      <c r="M28" s="17"/>
      <c r="N28" s="17"/>
    </row>
    <row r="29" spans="1:14" s="11" customFormat="1" ht="100.05" customHeight="1" x14ac:dyDescent="0.3">
      <c r="A29" s="17"/>
      <c r="B29" s="17"/>
      <c r="C29" s="17"/>
      <c r="D29" s="20"/>
      <c r="E29" s="35"/>
      <c r="F29" s="17"/>
      <c r="G29" s="17"/>
      <c r="H29" s="17"/>
      <c r="I29" s="17"/>
      <c r="J29" s="17"/>
      <c r="K29" s="17"/>
      <c r="L29" s="17"/>
      <c r="M29" s="17"/>
      <c r="N29" s="17"/>
    </row>
    <row r="30" spans="1:14" s="11" customFormat="1" ht="100.05" customHeight="1" x14ac:dyDescent="0.3">
      <c r="A30" s="17"/>
      <c r="B30" s="17"/>
      <c r="C30" s="17"/>
      <c r="D30" s="20"/>
      <c r="E30" s="35"/>
      <c r="F30" s="17"/>
      <c r="G30" s="17"/>
      <c r="H30" s="17"/>
      <c r="I30" s="17"/>
      <c r="J30" s="17"/>
      <c r="K30" s="17"/>
      <c r="L30" s="17"/>
      <c r="M30" s="17"/>
      <c r="N30" s="17"/>
    </row>
  </sheetData>
  <mergeCells count="3">
    <mergeCell ref="A1:C1"/>
    <mergeCell ref="K1:N1"/>
    <mergeCell ref="A2:N2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18" orientation="portrait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8"/>
  <sheetViews>
    <sheetView zoomScale="25" zoomScaleNormal="25" workbookViewId="0">
      <selection activeCell="S7" sqref="S7"/>
    </sheetView>
  </sheetViews>
  <sheetFormatPr defaultColWidth="8.88671875" defaultRowHeight="14.4" x14ac:dyDescent="0.3"/>
  <cols>
    <col min="1" max="1" width="41.77734375" style="17" customWidth="1"/>
    <col min="2" max="2" width="19.6640625" style="17" customWidth="1"/>
    <col min="3" max="3" width="29.21875" style="17" customWidth="1"/>
    <col min="4" max="4" width="28.6640625" style="20" customWidth="1"/>
    <col min="5" max="5" width="162.109375" style="35" customWidth="1"/>
    <col min="6" max="6" width="32.109375" style="17" bestFit="1" customWidth="1"/>
    <col min="7" max="7" width="21.88671875" style="17" bestFit="1" customWidth="1"/>
    <col min="8" max="8" width="26.6640625" style="17" bestFit="1" customWidth="1"/>
    <col min="9" max="9" width="40.109375" style="17" bestFit="1" customWidth="1"/>
    <col min="10" max="10" width="37.88671875" style="17" customWidth="1"/>
    <col min="11" max="11" width="25.6640625" style="17" customWidth="1"/>
    <col min="12" max="14" width="26.77734375" style="17" bestFit="1" customWidth="1"/>
    <col min="15" max="16384" width="8.88671875" style="18"/>
  </cols>
  <sheetData>
    <row r="1" spans="1:14" s="3" customFormat="1" ht="100.05" customHeight="1" x14ac:dyDescent="0.95">
      <c r="A1" s="37"/>
      <c r="B1" s="37"/>
      <c r="C1" s="37"/>
      <c r="D1" s="19"/>
      <c r="E1" s="34"/>
      <c r="F1" s="1"/>
      <c r="G1" s="1"/>
      <c r="H1" s="1"/>
      <c r="I1" s="1"/>
      <c r="J1" s="2" t="s">
        <v>0</v>
      </c>
      <c r="K1" s="38">
        <v>45950</v>
      </c>
      <c r="L1" s="38"/>
      <c r="M1" s="38"/>
      <c r="N1" s="38"/>
    </row>
    <row r="2" spans="1:14" s="4" customFormat="1" ht="100.05" customHeight="1" x14ac:dyDescent="0.3">
      <c r="A2" s="39" t="s">
        <v>69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</row>
    <row r="3" spans="1:14" s="4" customFormat="1" ht="150" customHeight="1" x14ac:dyDescent="0.3">
      <c r="A3" s="5" t="s">
        <v>1</v>
      </c>
      <c r="B3" s="5" t="s">
        <v>2</v>
      </c>
      <c r="C3" s="6" t="s">
        <v>3</v>
      </c>
      <c r="D3" s="7" t="s">
        <v>4</v>
      </c>
      <c r="E3" s="32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6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s="28" customFormat="1" ht="150" customHeight="1" x14ac:dyDescent="0.3">
      <c r="A4" s="22">
        <v>290925</v>
      </c>
      <c r="B4" s="22">
        <v>304</v>
      </c>
      <c r="C4" s="23">
        <v>0.8</v>
      </c>
      <c r="D4" s="29" t="s">
        <v>74</v>
      </c>
      <c r="E4" s="31" t="s">
        <v>71</v>
      </c>
      <c r="F4" s="22" t="s">
        <v>16</v>
      </c>
      <c r="G4" s="22" t="s">
        <v>16</v>
      </c>
      <c r="H4" s="23" t="s">
        <v>16</v>
      </c>
      <c r="I4" s="22" t="s">
        <v>16</v>
      </c>
      <c r="J4" s="23" t="s">
        <v>16</v>
      </c>
      <c r="K4" s="22" t="s">
        <v>17</v>
      </c>
      <c r="L4" s="26">
        <v>4000</v>
      </c>
      <c r="M4" s="27">
        <f>1800+1300+1100</f>
        <v>4200</v>
      </c>
      <c r="N4" s="26">
        <f t="shared" ref="N4:N23" si="0">L4-M4</f>
        <v>-200</v>
      </c>
    </row>
    <row r="5" spans="1:14" s="28" customFormat="1" ht="150" customHeight="1" x14ac:dyDescent="0.3">
      <c r="A5" s="5">
        <v>131025</v>
      </c>
      <c r="B5" s="5">
        <v>304</v>
      </c>
      <c r="C5" s="7">
        <v>0.9</v>
      </c>
      <c r="D5" s="5">
        <v>317</v>
      </c>
      <c r="E5" s="32" t="s">
        <v>86</v>
      </c>
      <c r="F5" s="5" t="s">
        <v>16</v>
      </c>
      <c r="G5" s="5" t="s">
        <v>16</v>
      </c>
      <c r="H5" s="7" t="s">
        <v>16</v>
      </c>
      <c r="I5" s="5" t="s">
        <v>16</v>
      </c>
      <c r="J5" s="5" t="s">
        <v>16</v>
      </c>
      <c r="K5" s="5" t="s">
        <v>17</v>
      </c>
      <c r="L5" s="9">
        <v>2550</v>
      </c>
      <c r="M5" s="27"/>
      <c r="N5" s="26">
        <f t="shared" si="0"/>
        <v>2550</v>
      </c>
    </row>
    <row r="6" spans="1:14" s="28" customFormat="1" ht="150" customHeight="1" x14ac:dyDescent="0.3">
      <c r="A6" s="5">
        <v>131025</v>
      </c>
      <c r="B6" s="5">
        <v>304</v>
      </c>
      <c r="C6" s="7">
        <v>0.9</v>
      </c>
      <c r="D6" s="5">
        <v>425</v>
      </c>
      <c r="E6" s="32" t="s">
        <v>84</v>
      </c>
      <c r="F6" s="5" t="s">
        <v>61</v>
      </c>
      <c r="G6" s="5" t="s">
        <v>16</v>
      </c>
      <c r="H6" s="7" t="s">
        <v>16</v>
      </c>
      <c r="I6" s="5" t="s">
        <v>16</v>
      </c>
      <c r="J6" s="5" t="s">
        <v>16</v>
      </c>
      <c r="K6" s="5" t="s">
        <v>17</v>
      </c>
      <c r="L6" s="9">
        <v>3000</v>
      </c>
      <c r="M6" s="27">
        <f>700</f>
        <v>700</v>
      </c>
      <c r="N6" s="26">
        <f t="shared" si="0"/>
        <v>2300</v>
      </c>
    </row>
    <row r="7" spans="1:14" s="28" customFormat="1" ht="150" customHeight="1" x14ac:dyDescent="0.3">
      <c r="A7" s="22">
        <v>290925</v>
      </c>
      <c r="B7" s="22">
        <v>304</v>
      </c>
      <c r="C7" s="23">
        <v>0.8</v>
      </c>
      <c r="D7" s="29" t="s">
        <v>75</v>
      </c>
      <c r="E7" s="31" t="s">
        <v>72</v>
      </c>
      <c r="F7" s="22" t="s">
        <v>15</v>
      </c>
      <c r="G7" s="22">
        <v>430</v>
      </c>
      <c r="H7" s="23">
        <v>0.6</v>
      </c>
      <c r="I7" s="22" t="s">
        <v>16</v>
      </c>
      <c r="J7" s="23" t="s">
        <v>16</v>
      </c>
      <c r="K7" s="22" t="s">
        <v>17</v>
      </c>
      <c r="L7" s="26">
        <v>3000</v>
      </c>
      <c r="M7" s="27">
        <f>1000</f>
        <v>1000</v>
      </c>
      <c r="N7" s="26">
        <f t="shared" si="0"/>
        <v>2000</v>
      </c>
    </row>
    <row r="8" spans="1:14" s="28" customFormat="1" ht="150" customHeight="1" x14ac:dyDescent="0.3">
      <c r="A8" s="22">
        <v>290925</v>
      </c>
      <c r="B8" s="22">
        <v>304</v>
      </c>
      <c r="C8" s="23">
        <v>0.8</v>
      </c>
      <c r="D8" s="29" t="s">
        <v>65</v>
      </c>
      <c r="E8" s="31" t="s">
        <v>76</v>
      </c>
      <c r="F8" s="22" t="s">
        <v>16</v>
      </c>
      <c r="G8" s="22" t="s">
        <v>16</v>
      </c>
      <c r="H8" s="23" t="s">
        <v>16</v>
      </c>
      <c r="I8" s="22" t="s">
        <v>16</v>
      </c>
      <c r="J8" s="23" t="s">
        <v>16</v>
      </c>
      <c r="K8" s="22" t="s">
        <v>17</v>
      </c>
      <c r="L8" s="26">
        <v>3000</v>
      </c>
      <c r="M8" s="27"/>
      <c r="N8" s="26">
        <f t="shared" si="0"/>
        <v>3000</v>
      </c>
    </row>
    <row r="9" spans="1:14" s="28" customFormat="1" ht="150" customHeight="1" x14ac:dyDescent="0.3">
      <c r="A9" s="5">
        <v>250057</v>
      </c>
      <c r="B9" s="5">
        <v>304</v>
      </c>
      <c r="C9" s="7">
        <v>0.7</v>
      </c>
      <c r="D9" s="5">
        <v>307</v>
      </c>
      <c r="E9" s="32" t="s">
        <v>87</v>
      </c>
      <c r="F9" s="5" t="s">
        <v>61</v>
      </c>
      <c r="G9" s="5">
        <v>304</v>
      </c>
      <c r="H9" s="7" t="s">
        <v>16</v>
      </c>
      <c r="I9" s="5" t="s">
        <v>16</v>
      </c>
      <c r="J9" s="5" t="s">
        <v>16</v>
      </c>
      <c r="K9" s="5" t="s">
        <v>17</v>
      </c>
      <c r="L9" s="9">
        <v>395</v>
      </c>
      <c r="M9" s="27"/>
      <c r="N9" s="26">
        <f t="shared" si="0"/>
        <v>395</v>
      </c>
    </row>
    <row r="10" spans="1:14" s="28" customFormat="1" ht="150" customHeight="1" x14ac:dyDescent="0.3">
      <c r="A10" s="5">
        <v>250057</v>
      </c>
      <c r="B10" s="5">
        <v>304</v>
      </c>
      <c r="C10" s="7">
        <v>0.9</v>
      </c>
      <c r="D10" s="5">
        <v>307</v>
      </c>
      <c r="E10" s="32" t="s">
        <v>88</v>
      </c>
      <c r="F10" s="5" t="s">
        <v>61</v>
      </c>
      <c r="G10" s="5">
        <v>304</v>
      </c>
      <c r="H10" s="7" t="s">
        <v>16</v>
      </c>
      <c r="I10" s="5" t="s">
        <v>16</v>
      </c>
      <c r="J10" s="5" t="s">
        <v>16</v>
      </c>
      <c r="K10" s="5" t="s">
        <v>17</v>
      </c>
      <c r="L10" s="9">
        <v>15</v>
      </c>
      <c r="M10" s="27"/>
      <c r="N10" s="26">
        <f t="shared" si="0"/>
        <v>15</v>
      </c>
    </row>
    <row r="11" spans="1:14" s="28" customFormat="1" ht="150" customHeight="1" x14ac:dyDescent="0.3">
      <c r="A11" s="5">
        <v>250061</v>
      </c>
      <c r="B11" s="5">
        <v>304</v>
      </c>
      <c r="C11" s="7">
        <v>0.7</v>
      </c>
      <c r="D11" s="5">
        <v>265</v>
      </c>
      <c r="E11" s="32" t="s">
        <v>89</v>
      </c>
      <c r="F11" s="5" t="s">
        <v>80</v>
      </c>
      <c r="G11" s="5">
        <v>304</v>
      </c>
      <c r="H11" s="7" t="s">
        <v>16</v>
      </c>
      <c r="I11" s="5" t="s">
        <v>16</v>
      </c>
      <c r="J11" s="5" t="s">
        <v>16</v>
      </c>
      <c r="K11" s="5" t="s">
        <v>17</v>
      </c>
      <c r="L11" s="9">
        <v>525</v>
      </c>
      <c r="M11" s="27"/>
      <c r="N11" s="26">
        <f t="shared" si="0"/>
        <v>525</v>
      </c>
    </row>
    <row r="12" spans="1:14" s="28" customFormat="1" ht="150" customHeight="1" x14ac:dyDescent="0.3">
      <c r="A12" s="5">
        <v>250061</v>
      </c>
      <c r="B12" s="5">
        <v>304</v>
      </c>
      <c r="C12" s="7">
        <v>0.7</v>
      </c>
      <c r="D12" s="5">
        <v>265</v>
      </c>
      <c r="E12" s="32" t="s">
        <v>90</v>
      </c>
      <c r="F12" s="5" t="s">
        <v>80</v>
      </c>
      <c r="G12" s="5">
        <v>304</v>
      </c>
      <c r="H12" s="7" t="s">
        <v>16</v>
      </c>
      <c r="I12" s="5" t="s">
        <v>16</v>
      </c>
      <c r="J12" s="5" t="s">
        <v>16</v>
      </c>
      <c r="K12" s="5" t="s">
        <v>17</v>
      </c>
      <c r="L12" s="9">
        <v>15</v>
      </c>
      <c r="M12" s="27"/>
      <c r="N12" s="26">
        <f t="shared" si="0"/>
        <v>15</v>
      </c>
    </row>
    <row r="13" spans="1:14" s="28" customFormat="1" ht="150" customHeight="1" x14ac:dyDescent="0.3">
      <c r="A13" s="5">
        <v>230925</v>
      </c>
      <c r="B13" s="5">
        <v>430</v>
      </c>
      <c r="C13" s="7">
        <v>0.8</v>
      </c>
      <c r="D13" s="5">
        <v>425</v>
      </c>
      <c r="E13" s="32" t="s">
        <v>82</v>
      </c>
      <c r="F13" s="5" t="s">
        <v>80</v>
      </c>
      <c r="G13" s="5">
        <v>430</v>
      </c>
      <c r="H13" s="7" t="s">
        <v>16</v>
      </c>
      <c r="I13" s="5" t="s">
        <v>16</v>
      </c>
      <c r="J13" s="5" t="s">
        <v>16</v>
      </c>
      <c r="K13" s="5" t="s">
        <v>17</v>
      </c>
      <c r="L13" s="9">
        <v>6000</v>
      </c>
      <c r="M13" s="27"/>
      <c r="N13" s="26">
        <f t="shared" si="0"/>
        <v>6000</v>
      </c>
    </row>
    <row r="14" spans="1:14" s="28" customFormat="1" ht="150" customHeight="1" x14ac:dyDescent="0.3">
      <c r="A14" s="5">
        <v>230925</v>
      </c>
      <c r="B14" s="5">
        <v>430</v>
      </c>
      <c r="C14" s="7">
        <v>0.8</v>
      </c>
      <c r="D14" s="5">
        <v>360</v>
      </c>
      <c r="E14" s="32" t="s">
        <v>83</v>
      </c>
      <c r="F14" s="5" t="s">
        <v>80</v>
      </c>
      <c r="G14" s="5">
        <v>430</v>
      </c>
      <c r="H14" s="7" t="s">
        <v>16</v>
      </c>
      <c r="I14" s="5" t="s">
        <v>16</v>
      </c>
      <c r="J14" s="5" t="s">
        <v>16</v>
      </c>
      <c r="K14" s="5" t="s">
        <v>17</v>
      </c>
      <c r="L14" s="9">
        <v>5300</v>
      </c>
      <c r="M14" s="27"/>
      <c r="N14" s="26">
        <f t="shared" si="0"/>
        <v>5300</v>
      </c>
    </row>
    <row r="15" spans="1:14" s="28" customFormat="1" ht="150" customHeight="1" x14ac:dyDescent="0.3">
      <c r="A15" s="5">
        <v>250079</v>
      </c>
      <c r="B15" s="5">
        <v>304</v>
      </c>
      <c r="C15" s="7">
        <v>0.7</v>
      </c>
      <c r="D15" s="5">
        <v>324</v>
      </c>
      <c r="E15" s="32" t="s">
        <v>91</v>
      </c>
      <c r="F15" s="5" t="s">
        <v>80</v>
      </c>
      <c r="G15" s="5">
        <v>304</v>
      </c>
      <c r="H15" s="7">
        <v>0.6</v>
      </c>
      <c r="I15" s="5" t="s">
        <v>16</v>
      </c>
      <c r="J15" s="5" t="s">
        <v>16</v>
      </c>
      <c r="K15" s="5" t="s">
        <v>17</v>
      </c>
      <c r="L15" s="9">
        <v>964</v>
      </c>
      <c r="M15" s="27"/>
      <c r="N15" s="26">
        <f t="shared" si="0"/>
        <v>964</v>
      </c>
    </row>
    <row r="16" spans="1:14" s="28" customFormat="1" ht="150" customHeight="1" x14ac:dyDescent="0.3">
      <c r="A16" s="5">
        <v>250079</v>
      </c>
      <c r="B16" s="5">
        <v>304</v>
      </c>
      <c r="C16" s="7">
        <v>1</v>
      </c>
      <c r="D16" s="5">
        <v>324</v>
      </c>
      <c r="E16" s="32" t="s">
        <v>92</v>
      </c>
      <c r="F16" s="5" t="s">
        <v>80</v>
      </c>
      <c r="G16" s="5">
        <v>304</v>
      </c>
      <c r="H16" s="7">
        <v>0.6</v>
      </c>
      <c r="I16" s="5" t="s">
        <v>16</v>
      </c>
      <c r="J16" s="5" t="s">
        <v>16</v>
      </c>
      <c r="K16" s="5" t="s">
        <v>17</v>
      </c>
      <c r="L16" s="9">
        <v>36</v>
      </c>
      <c r="M16" s="27"/>
      <c r="N16" s="26">
        <f t="shared" si="0"/>
        <v>36</v>
      </c>
    </row>
    <row r="17" spans="1:14" s="28" customFormat="1" ht="150" customHeight="1" x14ac:dyDescent="0.3">
      <c r="A17" s="5">
        <v>250080</v>
      </c>
      <c r="B17" s="5">
        <v>304</v>
      </c>
      <c r="C17" s="7">
        <v>0.7</v>
      </c>
      <c r="D17" s="5">
        <v>307</v>
      </c>
      <c r="E17" s="32" t="s">
        <v>93</v>
      </c>
      <c r="F17" s="5" t="s">
        <v>80</v>
      </c>
      <c r="G17" s="5">
        <v>430</v>
      </c>
      <c r="H17" s="7">
        <v>0.6</v>
      </c>
      <c r="I17" s="5" t="s">
        <v>16</v>
      </c>
      <c r="J17" s="5" t="s">
        <v>16</v>
      </c>
      <c r="K17" s="5" t="s">
        <v>17</v>
      </c>
      <c r="L17" s="9">
        <v>1000</v>
      </c>
      <c r="M17" s="27"/>
      <c r="N17" s="26">
        <f t="shared" si="0"/>
        <v>1000</v>
      </c>
    </row>
    <row r="18" spans="1:14" s="28" customFormat="1" ht="150" customHeight="1" x14ac:dyDescent="0.3">
      <c r="A18" s="5">
        <v>250079</v>
      </c>
      <c r="B18" s="5">
        <v>304</v>
      </c>
      <c r="C18" s="7">
        <v>0.7</v>
      </c>
      <c r="D18" s="5">
        <v>307</v>
      </c>
      <c r="E18" s="32" t="s">
        <v>94</v>
      </c>
      <c r="F18" s="5" t="s">
        <v>80</v>
      </c>
      <c r="G18" s="5">
        <v>304</v>
      </c>
      <c r="H18" s="7">
        <v>0.6</v>
      </c>
      <c r="I18" s="5" t="s">
        <v>16</v>
      </c>
      <c r="J18" s="5" t="s">
        <v>16</v>
      </c>
      <c r="K18" s="5" t="s">
        <v>17</v>
      </c>
      <c r="L18" s="9">
        <v>1314</v>
      </c>
      <c r="M18" s="27"/>
      <c r="N18" s="26">
        <f t="shared" si="0"/>
        <v>1314</v>
      </c>
    </row>
    <row r="19" spans="1:14" s="28" customFormat="1" ht="150" customHeight="1" x14ac:dyDescent="0.3">
      <c r="A19" s="5">
        <v>250079</v>
      </c>
      <c r="B19" s="5">
        <v>304</v>
      </c>
      <c r="C19" s="7">
        <v>1</v>
      </c>
      <c r="D19" s="5">
        <v>307</v>
      </c>
      <c r="E19" s="32" t="s">
        <v>95</v>
      </c>
      <c r="F19" s="5" t="s">
        <v>80</v>
      </c>
      <c r="G19" s="5">
        <v>304</v>
      </c>
      <c r="H19" s="7">
        <v>0.6</v>
      </c>
      <c r="I19" s="5" t="s">
        <v>16</v>
      </c>
      <c r="J19" s="5" t="s">
        <v>16</v>
      </c>
      <c r="K19" s="5" t="s">
        <v>17</v>
      </c>
      <c r="L19" s="9">
        <v>36</v>
      </c>
      <c r="M19" s="27"/>
      <c r="N19" s="26">
        <f t="shared" si="0"/>
        <v>36</v>
      </c>
    </row>
    <row r="20" spans="1:14" s="28" customFormat="1" ht="150" customHeight="1" x14ac:dyDescent="0.3">
      <c r="A20" s="5">
        <v>250080</v>
      </c>
      <c r="B20" s="5">
        <v>304</v>
      </c>
      <c r="C20" s="7">
        <v>0.7</v>
      </c>
      <c r="D20" s="5">
        <v>265</v>
      </c>
      <c r="E20" s="32" t="s">
        <v>96</v>
      </c>
      <c r="F20" s="5" t="s">
        <v>80</v>
      </c>
      <c r="G20" s="5">
        <v>430</v>
      </c>
      <c r="H20" s="7">
        <v>0.6</v>
      </c>
      <c r="I20" s="5" t="s">
        <v>16</v>
      </c>
      <c r="J20" s="5" t="s">
        <v>16</v>
      </c>
      <c r="K20" s="5" t="s">
        <v>17</v>
      </c>
      <c r="L20" s="9">
        <v>1200</v>
      </c>
      <c r="M20" s="27"/>
      <c r="N20" s="26">
        <f t="shared" si="0"/>
        <v>1200</v>
      </c>
    </row>
    <row r="21" spans="1:14" s="28" customFormat="1" ht="150" customHeight="1" x14ac:dyDescent="0.3">
      <c r="A21" s="5">
        <v>250079</v>
      </c>
      <c r="B21" s="5">
        <v>304</v>
      </c>
      <c r="C21" s="7">
        <v>0.7</v>
      </c>
      <c r="D21" s="5">
        <v>307</v>
      </c>
      <c r="E21" s="32" t="s">
        <v>97</v>
      </c>
      <c r="F21" s="5" t="s">
        <v>80</v>
      </c>
      <c r="G21" s="5">
        <v>304</v>
      </c>
      <c r="H21" s="7">
        <v>0.6</v>
      </c>
      <c r="I21" s="5" t="s">
        <v>16</v>
      </c>
      <c r="J21" s="5" t="s">
        <v>16</v>
      </c>
      <c r="K21" s="5" t="s">
        <v>17</v>
      </c>
      <c r="L21" s="9">
        <v>1314</v>
      </c>
      <c r="M21" s="27"/>
      <c r="N21" s="26">
        <f t="shared" si="0"/>
        <v>1314</v>
      </c>
    </row>
    <row r="22" spans="1:14" s="28" customFormat="1" ht="150" customHeight="1" x14ac:dyDescent="0.3">
      <c r="A22" s="5">
        <v>250079</v>
      </c>
      <c r="B22" s="5">
        <v>304</v>
      </c>
      <c r="C22" s="7">
        <v>1</v>
      </c>
      <c r="D22" s="5">
        <v>307</v>
      </c>
      <c r="E22" s="32" t="s">
        <v>98</v>
      </c>
      <c r="F22" s="5" t="s">
        <v>80</v>
      </c>
      <c r="G22" s="5">
        <v>304</v>
      </c>
      <c r="H22" s="7">
        <v>0.6</v>
      </c>
      <c r="I22" s="5" t="s">
        <v>16</v>
      </c>
      <c r="J22" s="5" t="s">
        <v>16</v>
      </c>
      <c r="K22" s="5" t="s">
        <v>17</v>
      </c>
      <c r="L22" s="9">
        <v>36</v>
      </c>
      <c r="M22" s="27"/>
      <c r="N22" s="26">
        <f t="shared" si="0"/>
        <v>36</v>
      </c>
    </row>
    <row r="23" spans="1:14" s="11" customFormat="1" ht="150" customHeight="1" x14ac:dyDescent="0.3">
      <c r="A23" s="22"/>
      <c r="B23" s="22"/>
      <c r="C23" s="23"/>
      <c r="D23" s="29"/>
      <c r="E23" s="31"/>
      <c r="F23" s="22"/>
      <c r="G23" s="22"/>
      <c r="H23" s="23"/>
      <c r="I23" s="22"/>
      <c r="J23" s="22"/>
      <c r="K23" s="22"/>
      <c r="L23" s="26"/>
      <c r="M23" s="27"/>
      <c r="N23" s="26">
        <f t="shared" si="0"/>
        <v>0</v>
      </c>
    </row>
    <row r="24" spans="1:14" s="11" customFormat="1" ht="150" customHeight="1" x14ac:dyDescent="0.3">
      <c r="A24" s="13"/>
      <c r="B24" s="13"/>
      <c r="C24" s="14"/>
      <c r="D24" s="14"/>
      <c r="E24" s="33"/>
      <c r="F24" s="13"/>
      <c r="G24" s="13"/>
      <c r="H24" s="14"/>
      <c r="I24" s="13"/>
      <c r="J24" s="13"/>
      <c r="K24" s="13"/>
      <c r="L24" s="9">
        <f>SUM(L4:L23)</f>
        <v>33700</v>
      </c>
      <c r="M24" s="16">
        <f>SUM(M4:M23)</f>
        <v>5900</v>
      </c>
      <c r="N24" s="9">
        <f>SUM(N4:N23)</f>
        <v>27800</v>
      </c>
    </row>
    <row r="25" spans="1:14" s="12" customFormat="1" ht="100.05" customHeight="1" x14ac:dyDescent="0.3">
      <c r="A25" s="17"/>
      <c r="B25" s="17"/>
      <c r="C25" s="17"/>
      <c r="D25" s="20"/>
      <c r="E25" s="35"/>
      <c r="F25" s="17"/>
      <c r="G25" s="17"/>
      <c r="H25" s="17"/>
      <c r="I25" s="17"/>
      <c r="J25" s="17"/>
      <c r="K25" s="17"/>
      <c r="L25" s="17"/>
      <c r="M25" s="17"/>
      <c r="N25" s="17"/>
    </row>
    <row r="26" spans="1:14" ht="100.05" customHeight="1" x14ac:dyDescent="0.3"/>
    <row r="27" spans="1:14" s="4" customFormat="1" ht="100.05" customHeight="1" x14ac:dyDescent="0.3">
      <c r="A27" s="17"/>
      <c r="B27" s="17"/>
      <c r="C27" s="17"/>
      <c r="D27" s="20"/>
      <c r="E27" s="35"/>
      <c r="F27" s="17"/>
      <c r="G27" s="17"/>
      <c r="H27" s="17"/>
      <c r="I27" s="17"/>
      <c r="J27" s="17"/>
      <c r="K27" s="17"/>
      <c r="L27" s="17"/>
      <c r="M27" s="17"/>
      <c r="N27" s="17"/>
    </row>
    <row r="28" spans="1:14" s="4" customFormat="1" ht="100.05" customHeight="1" x14ac:dyDescent="0.3">
      <c r="A28" s="17"/>
      <c r="B28" s="17"/>
      <c r="C28" s="17"/>
      <c r="D28" s="20"/>
      <c r="E28" s="35"/>
      <c r="F28" s="17"/>
      <c r="G28" s="17"/>
      <c r="H28" s="17"/>
      <c r="I28" s="17"/>
      <c r="J28" s="17"/>
      <c r="K28" s="17"/>
      <c r="L28" s="17"/>
      <c r="M28" s="17"/>
      <c r="N28" s="17"/>
    </row>
    <row r="29" spans="1:14" s="11" customFormat="1" ht="100.05" customHeight="1" x14ac:dyDescent="0.3">
      <c r="A29" s="17"/>
      <c r="B29" s="17"/>
      <c r="C29" s="17"/>
      <c r="D29" s="20"/>
      <c r="E29" s="35"/>
      <c r="F29" s="17"/>
      <c r="G29" s="17"/>
      <c r="H29" s="17"/>
      <c r="I29" s="17"/>
      <c r="J29" s="17"/>
      <c r="K29" s="17"/>
      <c r="L29" s="17"/>
      <c r="M29" s="17"/>
      <c r="N29" s="17"/>
    </row>
    <row r="30" spans="1:14" s="11" customFormat="1" ht="100.05" customHeight="1" x14ac:dyDescent="0.3">
      <c r="A30" s="17"/>
      <c r="B30" s="17"/>
      <c r="C30" s="17"/>
      <c r="D30" s="20"/>
      <c r="E30" s="35"/>
      <c r="F30" s="17"/>
      <c r="G30" s="17"/>
      <c r="H30" s="17"/>
      <c r="I30" s="17"/>
      <c r="J30" s="17"/>
      <c r="K30" s="17"/>
      <c r="L30" s="17"/>
      <c r="M30" s="17"/>
      <c r="N30" s="17"/>
    </row>
    <row r="31" spans="1:14" s="11" customFormat="1" ht="100.05" customHeight="1" x14ac:dyDescent="0.3">
      <c r="A31" s="17"/>
      <c r="B31" s="17"/>
      <c r="C31" s="17"/>
      <c r="D31" s="20"/>
      <c r="E31" s="35"/>
      <c r="F31" s="17"/>
      <c r="G31" s="17"/>
      <c r="H31" s="17"/>
      <c r="I31" s="17"/>
      <c r="J31" s="17"/>
      <c r="K31" s="17"/>
      <c r="L31" s="17"/>
      <c r="M31" s="17"/>
      <c r="N31" s="17"/>
    </row>
    <row r="32" spans="1:14" s="11" customFormat="1" ht="100.05" customHeight="1" x14ac:dyDescent="0.3">
      <c r="A32" s="17"/>
      <c r="B32" s="17"/>
      <c r="C32" s="17"/>
      <c r="D32" s="20"/>
      <c r="E32" s="35"/>
      <c r="F32" s="17"/>
      <c r="G32" s="17"/>
      <c r="H32" s="17"/>
      <c r="I32" s="17"/>
      <c r="J32" s="17"/>
      <c r="K32" s="17"/>
      <c r="L32" s="17"/>
      <c r="M32" s="17"/>
      <c r="N32" s="17"/>
    </row>
    <row r="33" spans="1:14" s="11" customFormat="1" ht="100.05" customHeight="1" x14ac:dyDescent="0.3">
      <c r="A33" s="17"/>
      <c r="B33" s="17"/>
      <c r="C33" s="17"/>
      <c r="D33" s="20"/>
      <c r="E33" s="35"/>
      <c r="F33" s="17"/>
      <c r="G33" s="17"/>
      <c r="H33" s="17"/>
      <c r="I33" s="17"/>
      <c r="J33" s="17"/>
      <c r="K33" s="17"/>
      <c r="L33" s="17"/>
      <c r="M33" s="17"/>
      <c r="N33" s="17"/>
    </row>
    <row r="34" spans="1:14" s="11" customFormat="1" ht="100.05" customHeight="1" x14ac:dyDescent="0.3">
      <c r="A34" s="17"/>
      <c r="B34" s="17"/>
      <c r="C34" s="17"/>
      <c r="D34" s="20"/>
      <c r="E34" s="35"/>
      <c r="F34" s="17"/>
      <c r="G34" s="17"/>
      <c r="H34" s="17"/>
      <c r="I34" s="17"/>
      <c r="J34" s="17"/>
      <c r="K34" s="17"/>
      <c r="L34" s="17"/>
      <c r="M34" s="17"/>
      <c r="N34" s="17"/>
    </row>
    <row r="35" spans="1:14" s="11" customFormat="1" ht="100.05" customHeight="1" x14ac:dyDescent="0.3">
      <c r="A35" s="17"/>
      <c r="B35" s="17"/>
      <c r="C35" s="17"/>
      <c r="D35" s="20"/>
      <c r="E35" s="35"/>
      <c r="F35" s="17"/>
      <c r="G35" s="17"/>
      <c r="H35" s="17"/>
      <c r="I35" s="17"/>
      <c r="J35" s="17"/>
      <c r="K35" s="17"/>
      <c r="L35" s="17"/>
      <c r="M35" s="17"/>
      <c r="N35" s="17"/>
    </row>
    <row r="36" spans="1:14" s="11" customFormat="1" ht="100.05" customHeight="1" x14ac:dyDescent="0.3">
      <c r="A36" s="17"/>
      <c r="B36" s="17"/>
      <c r="C36" s="17"/>
      <c r="D36" s="20"/>
      <c r="E36" s="35"/>
      <c r="F36" s="17"/>
      <c r="G36" s="17"/>
      <c r="H36" s="17"/>
      <c r="I36" s="17"/>
      <c r="J36" s="17"/>
      <c r="K36" s="17"/>
      <c r="L36" s="17"/>
      <c r="M36" s="17"/>
      <c r="N36" s="17"/>
    </row>
    <row r="37" spans="1:14" s="11" customFormat="1" ht="100.05" customHeight="1" x14ac:dyDescent="0.3">
      <c r="A37" s="17"/>
      <c r="B37" s="17"/>
      <c r="C37" s="17"/>
      <c r="D37" s="20"/>
      <c r="E37" s="35"/>
      <c r="F37" s="17"/>
      <c r="G37" s="17"/>
      <c r="H37" s="17"/>
      <c r="I37" s="17"/>
      <c r="J37" s="17"/>
      <c r="K37" s="17"/>
      <c r="L37" s="17"/>
      <c r="M37" s="17"/>
      <c r="N37" s="17"/>
    </row>
    <row r="38" spans="1:14" s="11" customFormat="1" ht="100.05" customHeight="1" x14ac:dyDescent="0.3">
      <c r="A38" s="17"/>
      <c r="B38" s="17"/>
      <c r="C38" s="17"/>
      <c r="D38" s="20"/>
      <c r="E38" s="35"/>
      <c r="F38" s="17"/>
      <c r="G38" s="17"/>
      <c r="H38" s="17"/>
      <c r="I38" s="17"/>
      <c r="J38" s="17"/>
      <c r="K38" s="17"/>
      <c r="L38" s="17"/>
      <c r="M38" s="17"/>
      <c r="N38" s="17"/>
    </row>
  </sheetData>
  <mergeCells count="3">
    <mergeCell ref="A1:C1"/>
    <mergeCell ref="K1:N1"/>
    <mergeCell ref="A2:N2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18" orientation="portrait" horizontalDpi="1200" verticalDpi="12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7"/>
  <sheetViews>
    <sheetView zoomScale="25" zoomScaleNormal="25" workbookViewId="0">
      <selection activeCell="M7" sqref="M7"/>
    </sheetView>
  </sheetViews>
  <sheetFormatPr defaultColWidth="8.88671875" defaultRowHeight="14.4" x14ac:dyDescent="0.3"/>
  <cols>
    <col min="1" max="1" width="41.77734375" style="17" customWidth="1"/>
    <col min="2" max="2" width="19.6640625" style="17" customWidth="1"/>
    <col min="3" max="3" width="29.21875" style="17" customWidth="1"/>
    <col min="4" max="4" width="28.6640625" style="20" customWidth="1"/>
    <col min="5" max="5" width="162.109375" style="35" customWidth="1"/>
    <col min="6" max="6" width="32.109375" style="17" bestFit="1" customWidth="1"/>
    <col min="7" max="7" width="21.88671875" style="17" bestFit="1" customWidth="1"/>
    <col min="8" max="8" width="26.6640625" style="17" bestFit="1" customWidth="1"/>
    <col min="9" max="9" width="40.109375" style="17" bestFit="1" customWidth="1"/>
    <col min="10" max="10" width="37.88671875" style="17" customWidth="1"/>
    <col min="11" max="11" width="25.6640625" style="17" customWidth="1"/>
    <col min="12" max="14" width="26.77734375" style="17" bestFit="1" customWidth="1"/>
    <col min="15" max="16384" width="8.88671875" style="18"/>
  </cols>
  <sheetData>
    <row r="1" spans="1:14" s="3" customFormat="1" ht="100.05" customHeight="1" x14ac:dyDescent="0.95">
      <c r="A1" s="37"/>
      <c r="B1" s="37"/>
      <c r="C1" s="37"/>
      <c r="D1" s="19"/>
      <c r="E1" s="34"/>
      <c r="F1" s="1"/>
      <c r="G1" s="1"/>
      <c r="H1" s="1"/>
      <c r="I1" s="1"/>
      <c r="J1" s="2" t="s">
        <v>0</v>
      </c>
      <c r="K1" s="38">
        <v>45951</v>
      </c>
      <c r="L1" s="38"/>
      <c r="M1" s="38"/>
      <c r="N1" s="38"/>
    </row>
    <row r="2" spans="1:14" s="4" customFormat="1" ht="100.05" customHeight="1" x14ac:dyDescent="0.3">
      <c r="A2" s="39" t="s">
        <v>69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</row>
    <row r="3" spans="1:14" s="4" customFormat="1" ht="150" customHeight="1" x14ac:dyDescent="0.3">
      <c r="A3" s="5" t="s">
        <v>1</v>
      </c>
      <c r="B3" s="5" t="s">
        <v>2</v>
      </c>
      <c r="C3" s="6" t="s">
        <v>3</v>
      </c>
      <c r="D3" s="7" t="s">
        <v>4</v>
      </c>
      <c r="E3" s="32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6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s="28" customFormat="1" ht="150" customHeight="1" x14ac:dyDescent="0.3">
      <c r="A4" s="5">
        <v>131025</v>
      </c>
      <c r="B4" s="5">
        <v>304</v>
      </c>
      <c r="C4" s="7">
        <v>0.9</v>
      </c>
      <c r="D4" s="5">
        <v>317</v>
      </c>
      <c r="E4" s="32" t="s">
        <v>86</v>
      </c>
      <c r="F4" s="5" t="s">
        <v>16</v>
      </c>
      <c r="G4" s="5" t="s">
        <v>16</v>
      </c>
      <c r="H4" s="7" t="s">
        <v>16</v>
      </c>
      <c r="I4" s="5" t="s">
        <v>16</v>
      </c>
      <c r="J4" s="5" t="s">
        <v>16</v>
      </c>
      <c r="K4" s="5" t="s">
        <v>17</v>
      </c>
      <c r="L4" s="9">
        <v>2550</v>
      </c>
      <c r="M4" s="27"/>
      <c r="N4" s="26">
        <f t="shared" ref="N4:N22" si="0">L4-M4</f>
        <v>2550</v>
      </c>
    </row>
    <row r="5" spans="1:14" s="28" customFormat="1" ht="150" customHeight="1" x14ac:dyDescent="0.3">
      <c r="A5" s="5">
        <v>131025</v>
      </c>
      <c r="B5" s="5">
        <v>304</v>
      </c>
      <c r="C5" s="7">
        <v>0.9</v>
      </c>
      <c r="D5" s="5">
        <v>425</v>
      </c>
      <c r="E5" s="32" t="s">
        <v>84</v>
      </c>
      <c r="F5" s="5" t="s">
        <v>61</v>
      </c>
      <c r="G5" s="5" t="s">
        <v>16</v>
      </c>
      <c r="H5" s="7" t="s">
        <v>16</v>
      </c>
      <c r="I5" s="5" t="s">
        <v>16</v>
      </c>
      <c r="J5" s="5" t="s">
        <v>16</v>
      </c>
      <c r="K5" s="5" t="s">
        <v>17</v>
      </c>
      <c r="L5" s="9">
        <v>3000</v>
      </c>
      <c r="M5" s="27">
        <f>700+1200</f>
        <v>1900</v>
      </c>
      <c r="N5" s="26">
        <f t="shared" si="0"/>
        <v>1100</v>
      </c>
    </row>
    <row r="6" spans="1:14" s="28" customFormat="1" ht="150" customHeight="1" x14ac:dyDescent="0.3">
      <c r="A6" s="22">
        <v>290925</v>
      </c>
      <c r="B6" s="22">
        <v>304</v>
      </c>
      <c r="C6" s="23">
        <v>0.8</v>
      </c>
      <c r="D6" s="29" t="s">
        <v>75</v>
      </c>
      <c r="E6" s="31" t="s">
        <v>72</v>
      </c>
      <c r="F6" s="22" t="s">
        <v>15</v>
      </c>
      <c r="G6" s="22">
        <v>430</v>
      </c>
      <c r="H6" s="23">
        <v>0.6</v>
      </c>
      <c r="I6" s="22" t="s">
        <v>16</v>
      </c>
      <c r="J6" s="23" t="s">
        <v>16</v>
      </c>
      <c r="K6" s="22" t="s">
        <v>17</v>
      </c>
      <c r="L6" s="26">
        <v>3000</v>
      </c>
      <c r="M6" s="27">
        <f>1000+2080</f>
        <v>3080</v>
      </c>
      <c r="N6" s="26">
        <f t="shared" si="0"/>
        <v>-80</v>
      </c>
    </row>
    <row r="7" spans="1:14" s="28" customFormat="1" ht="150" customHeight="1" x14ac:dyDescent="0.3">
      <c r="A7" s="22">
        <v>290925</v>
      </c>
      <c r="B7" s="22">
        <v>304</v>
      </c>
      <c r="C7" s="23">
        <v>0.8</v>
      </c>
      <c r="D7" s="29" t="s">
        <v>65</v>
      </c>
      <c r="E7" s="31" t="s">
        <v>76</v>
      </c>
      <c r="F7" s="22" t="s">
        <v>16</v>
      </c>
      <c r="G7" s="22" t="s">
        <v>16</v>
      </c>
      <c r="H7" s="23" t="s">
        <v>16</v>
      </c>
      <c r="I7" s="22" t="s">
        <v>16</v>
      </c>
      <c r="J7" s="23" t="s">
        <v>16</v>
      </c>
      <c r="K7" s="22" t="s">
        <v>17</v>
      </c>
      <c r="L7" s="26">
        <v>3000</v>
      </c>
      <c r="M7" s="27"/>
      <c r="N7" s="26">
        <f t="shared" si="0"/>
        <v>3000</v>
      </c>
    </row>
    <row r="8" spans="1:14" s="28" customFormat="1" ht="150" customHeight="1" x14ac:dyDescent="0.3">
      <c r="A8" s="5">
        <v>250057</v>
      </c>
      <c r="B8" s="5">
        <v>304</v>
      </c>
      <c r="C8" s="7">
        <v>0.7</v>
      </c>
      <c r="D8" s="5">
        <v>307</v>
      </c>
      <c r="E8" s="32" t="s">
        <v>87</v>
      </c>
      <c r="F8" s="5" t="s">
        <v>61</v>
      </c>
      <c r="G8" s="5">
        <v>304</v>
      </c>
      <c r="H8" s="7" t="s">
        <v>16</v>
      </c>
      <c r="I8" s="5" t="s">
        <v>16</v>
      </c>
      <c r="J8" s="5" t="s">
        <v>16</v>
      </c>
      <c r="K8" s="5" t="s">
        <v>17</v>
      </c>
      <c r="L8" s="9">
        <v>395</v>
      </c>
      <c r="M8" s="27"/>
      <c r="N8" s="26">
        <f t="shared" si="0"/>
        <v>395</v>
      </c>
    </row>
    <row r="9" spans="1:14" s="28" customFormat="1" ht="150" customHeight="1" x14ac:dyDescent="0.3">
      <c r="A9" s="5">
        <v>250057</v>
      </c>
      <c r="B9" s="5">
        <v>304</v>
      </c>
      <c r="C9" s="7">
        <v>0.9</v>
      </c>
      <c r="D9" s="5">
        <v>307</v>
      </c>
      <c r="E9" s="32" t="s">
        <v>88</v>
      </c>
      <c r="F9" s="5" t="s">
        <v>61</v>
      </c>
      <c r="G9" s="5">
        <v>304</v>
      </c>
      <c r="H9" s="7" t="s">
        <v>16</v>
      </c>
      <c r="I9" s="5" t="s">
        <v>16</v>
      </c>
      <c r="J9" s="5" t="s">
        <v>16</v>
      </c>
      <c r="K9" s="5" t="s">
        <v>17</v>
      </c>
      <c r="L9" s="9">
        <v>15</v>
      </c>
      <c r="M9" s="27"/>
      <c r="N9" s="26">
        <f t="shared" si="0"/>
        <v>15</v>
      </c>
    </row>
    <row r="10" spans="1:14" s="28" customFormat="1" ht="150" customHeight="1" x14ac:dyDescent="0.3">
      <c r="A10" s="5">
        <v>250061</v>
      </c>
      <c r="B10" s="5">
        <v>304</v>
      </c>
      <c r="C10" s="7">
        <v>0.7</v>
      </c>
      <c r="D10" s="5">
        <v>265</v>
      </c>
      <c r="E10" s="32" t="s">
        <v>89</v>
      </c>
      <c r="F10" s="5" t="s">
        <v>80</v>
      </c>
      <c r="G10" s="5">
        <v>304</v>
      </c>
      <c r="H10" s="7" t="s">
        <v>16</v>
      </c>
      <c r="I10" s="5" t="s">
        <v>16</v>
      </c>
      <c r="J10" s="5" t="s">
        <v>16</v>
      </c>
      <c r="K10" s="5" t="s">
        <v>17</v>
      </c>
      <c r="L10" s="9">
        <v>525</v>
      </c>
      <c r="M10" s="27"/>
      <c r="N10" s="26">
        <f t="shared" si="0"/>
        <v>525</v>
      </c>
    </row>
    <row r="11" spans="1:14" s="28" customFormat="1" ht="150" customHeight="1" x14ac:dyDescent="0.3">
      <c r="A11" s="5">
        <v>250061</v>
      </c>
      <c r="B11" s="5">
        <v>304</v>
      </c>
      <c r="C11" s="7">
        <v>0.7</v>
      </c>
      <c r="D11" s="5">
        <v>265</v>
      </c>
      <c r="E11" s="32" t="s">
        <v>90</v>
      </c>
      <c r="F11" s="5" t="s">
        <v>80</v>
      </c>
      <c r="G11" s="5">
        <v>304</v>
      </c>
      <c r="H11" s="7" t="s">
        <v>16</v>
      </c>
      <c r="I11" s="5" t="s">
        <v>16</v>
      </c>
      <c r="J11" s="5" t="s">
        <v>16</v>
      </c>
      <c r="K11" s="5" t="s">
        <v>17</v>
      </c>
      <c r="L11" s="9">
        <v>15</v>
      </c>
      <c r="M11" s="27"/>
      <c r="N11" s="26">
        <f t="shared" si="0"/>
        <v>15</v>
      </c>
    </row>
    <row r="12" spans="1:14" s="28" customFormat="1" ht="150" customHeight="1" x14ac:dyDescent="0.3">
      <c r="A12" s="5">
        <v>230925</v>
      </c>
      <c r="B12" s="5">
        <v>430</v>
      </c>
      <c r="C12" s="7">
        <v>0.8</v>
      </c>
      <c r="D12" s="5">
        <v>425</v>
      </c>
      <c r="E12" s="32" t="s">
        <v>82</v>
      </c>
      <c r="F12" s="5" t="s">
        <v>80</v>
      </c>
      <c r="G12" s="5">
        <v>430</v>
      </c>
      <c r="H12" s="7" t="s">
        <v>16</v>
      </c>
      <c r="I12" s="5" t="s">
        <v>16</v>
      </c>
      <c r="J12" s="5" t="s">
        <v>16</v>
      </c>
      <c r="K12" s="5" t="s">
        <v>17</v>
      </c>
      <c r="L12" s="9">
        <v>6000</v>
      </c>
      <c r="M12" s="27"/>
      <c r="N12" s="26">
        <f t="shared" si="0"/>
        <v>6000</v>
      </c>
    </row>
    <row r="13" spans="1:14" s="28" customFormat="1" ht="150" customHeight="1" x14ac:dyDescent="0.3">
      <c r="A13" s="5">
        <v>230925</v>
      </c>
      <c r="B13" s="5">
        <v>430</v>
      </c>
      <c r="C13" s="7">
        <v>0.8</v>
      </c>
      <c r="D13" s="5">
        <v>360</v>
      </c>
      <c r="E13" s="32" t="s">
        <v>83</v>
      </c>
      <c r="F13" s="5" t="s">
        <v>80</v>
      </c>
      <c r="G13" s="5">
        <v>430</v>
      </c>
      <c r="H13" s="7" t="s">
        <v>16</v>
      </c>
      <c r="I13" s="5" t="s">
        <v>16</v>
      </c>
      <c r="J13" s="5" t="s">
        <v>16</v>
      </c>
      <c r="K13" s="5" t="s">
        <v>17</v>
      </c>
      <c r="L13" s="9">
        <v>5300</v>
      </c>
      <c r="M13" s="27"/>
      <c r="N13" s="26">
        <f t="shared" si="0"/>
        <v>5300</v>
      </c>
    </row>
    <row r="14" spans="1:14" s="28" customFormat="1" ht="150" customHeight="1" x14ac:dyDescent="0.3">
      <c r="A14" s="5">
        <v>250079</v>
      </c>
      <c r="B14" s="5">
        <v>304</v>
      </c>
      <c r="C14" s="7">
        <v>0.7</v>
      </c>
      <c r="D14" s="5">
        <v>324</v>
      </c>
      <c r="E14" s="32" t="s">
        <v>91</v>
      </c>
      <c r="F14" s="5" t="s">
        <v>80</v>
      </c>
      <c r="G14" s="5">
        <v>304</v>
      </c>
      <c r="H14" s="7">
        <v>0.6</v>
      </c>
      <c r="I14" s="5" t="s">
        <v>16</v>
      </c>
      <c r="J14" s="5" t="s">
        <v>16</v>
      </c>
      <c r="K14" s="5" t="s">
        <v>17</v>
      </c>
      <c r="L14" s="9">
        <v>964</v>
      </c>
      <c r="M14" s="27"/>
      <c r="N14" s="26">
        <f t="shared" si="0"/>
        <v>964</v>
      </c>
    </row>
    <row r="15" spans="1:14" s="28" customFormat="1" ht="150" customHeight="1" x14ac:dyDescent="0.3">
      <c r="A15" s="5">
        <v>250079</v>
      </c>
      <c r="B15" s="5">
        <v>304</v>
      </c>
      <c r="C15" s="7">
        <v>1</v>
      </c>
      <c r="D15" s="5">
        <v>324</v>
      </c>
      <c r="E15" s="32" t="s">
        <v>92</v>
      </c>
      <c r="F15" s="5" t="s">
        <v>80</v>
      </c>
      <c r="G15" s="5">
        <v>304</v>
      </c>
      <c r="H15" s="7">
        <v>0.6</v>
      </c>
      <c r="I15" s="5" t="s">
        <v>16</v>
      </c>
      <c r="J15" s="5" t="s">
        <v>16</v>
      </c>
      <c r="K15" s="5" t="s">
        <v>17</v>
      </c>
      <c r="L15" s="9">
        <v>36</v>
      </c>
      <c r="M15" s="27"/>
      <c r="N15" s="26">
        <f t="shared" si="0"/>
        <v>36</v>
      </c>
    </row>
    <row r="16" spans="1:14" s="28" customFormat="1" ht="150" customHeight="1" x14ac:dyDescent="0.3">
      <c r="A16" s="5">
        <v>250080</v>
      </c>
      <c r="B16" s="5">
        <v>304</v>
      </c>
      <c r="C16" s="7">
        <v>0.7</v>
      </c>
      <c r="D16" s="5">
        <v>307</v>
      </c>
      <c r="E16" s="32" t="s">
        <v>93</v>
      </c>
      <c r="F16" s="5" t="s">
        <v>80</v>
      </c>
      <c r="G16" s="5">
        <v>430</v>
      </c>
      <c r="H16" s="7">
        <v>0.6</v>
      </c>
      <c r="I16" s="5" t="s">
        <v>16</v>
      </c>
      <c r="J16" s="5" t="s">
        <v>16</v>
      </c>
      <c r="K16" s="5" t="s">
        <v>17</v>
      </c>
      <c r="L16" s="9">
        <v>1000</v>
      </c>
      <c r="M16" s="27"/>
      <c r="N16" s="26">
        <f t="shared" si="0"/>
        <v>1000</v>
      </c>
    </row>
    <row r="17" spans="1:14" s="28" customFormat="1" ht="150" customHeight="1" x14ac:dyDescent="0.3">
      <c r="A17" s="5">
        <v>250079</v>
      </c>
      <c r="B17" s="5">
        <v>304</v>
      </c>
      <c r="C17" s="7">
        <v>0.7</v>
      </c>
      <c r="D17" s="5">
        <v>307</v>
      </c>
      <c r="E17" s="32" t="s">
        <v>94</v>
      </c>
      <c r="F17" s="5" t="s">
        <v>80</v>
      </c>
      <c r="G17" s="5">
        <v>304</v>
      </c>
      <c r="H17" s="7">
        <v>0.6</v>
      </c>
      <c r="I17" s="5" t="s">
        <v>16</v>
      </c>
      <c r="J17" s="5" t="s">
        <v>16</v>
      </c>
      <c r="K17" s="5" t="s">
        <v>17</v>
      </c>
      <c r="L17" s="9">
        <v>1314</v>
      </c>
      <c r="M17" s="27"/>
      <c r="N17" s="26">
        <f t="shared" si="0"/>
        <v>1314</v>
      </c>
    </row>
    <row r="18" spans="1:14" s="28" customFormat="1" ht="150" customHeight="1" x14ac:dyDescent="0.3">
      <c r="A18" s="5">
        <v>250079</v>
      </c>
      <c r="B18" s="5">
        <v>304</v>
      </c>
      <c r="C18" s="7">
        <v>1</v>
      </c>
      <c r="D18" s="5">
        <v>307</v>
      </c>
      <c r="E18" s="32" t="s">
        <v>95</v>
      </c>
      <c r="F18" s="5" t="s">
        <v>80</v>
      </c>
      <c r="G18" s="5">
        <v>304</v>
      </c>
      <c r="H18" s="7">
        <v>0.6</v>
      </c>
      <c r="I18" s="5" t="s">
        <v>16</v>
      </c>
      <c r="J18" s="5" t="s">
        <v>16</v>
      </c>
      <c r="K18" s="5" t="s">
        <v>17</v>
      </c>
      <c r="L18" s="9">
        <v>36</v>
      </c>
      <c r="M18" s="27"/>
      <c r="N18" s="26">
        <f t="shared" si="0"/>
        <v>36</v>
      </c>
    </row>
    <row r="19" spans="1:14" s="28" customFormat="1" ht="150" customHeight="1" x14ac:dyDescent="0.3">
      <c r="A19" s="5">
        <v>250080</v>
      </c>
      <c r="B19" s="5">
        <v>304</v>
      </c>
      <c r="C19" s="7">
        <v>0.7</v>
      </c>
      <c r="D19" s="5">
        <v>265</v>
      </c>
      <c r="E19" s="32" t="s">
        <v>96</v>
      </c>
      <c r="F19" s="5" t="s">
        <v>80</v>
      </c>
      <c r="G19" s="5">
        <v>430</v>
      </c>
      <c r="H19" s="7">
        <v>0.6</v>
      </c>
      <c r="I19" s="5" t="s">
        <v>16</v>
      </c>
      <c r="J19" s="5" t="s">
        <v>16</v>
      </c>
      <c r="K19" s="5" t="s">
        <v>17</v>
      </c>
      <c r="L19" s="9">
        <v>1200</v>
      </c>
      <c r="M19" s="27"/>
      <c r="N19" s="26">
        <f t="shared" si="0"/>
        <v>1200</v>
      </c>
    </row>
    <row r="20" spans="1:14" s="28" customFormat="1" ht="150" customHeight="1" x14ac:dyDescent="0.3">
      <c r="A20" s="5">
        <v>250079</v>
      </c>
      <c r="B20" s="5">
        <v>304</v>
      </c>
      <c r="C20" s="7">
        <v>0.7</v>
      </c>
      <c r="D20" s="5">
        <v>307</v>
      </c>
      <c r="E20" s="32" t="s">
        <v>97</v>
      </c>
      <c r="F20" s="5" t="s">
        <v>80</v>
      </c>
      <c r="G20" s="5">
        <v>304</v>
      </c>
      <c r="H20" s="7">
        <v>0.6</v>
      </c>
      <c r="I20" s="5" t="s">
        <v>16</v>
      </c>
      <c r="J20" s="5" t="s">
        <v>16</v>
      </c>
      <c r="K20" s="5" t="s">
        <v>17</v>
      </c>
      <c r="L20" s="9">
        <v>1314</v>
      </c>
      <c r="M20" s="27"/>
      <c r="N20" s="26">
        <f t="shared" si="0"/>
        <v>1314</v>
      </c>
    </row>
    <row r="21" spans="1:14" s="28" customFormat="1" ht="150" customHeight="1" x14ac:dyDescent="0.3">
      <c r="A21" s="5">
        <v>250079</v>
      </c>
      <c r="B21" s="5">
        <v>304</v>
      </c>
      <c r="C21" s="7">
        <v>1</v>
      </c>
      <c r="D21" s="5">
        <v>307</v>
      </c>
      <c r="E21" s="32" t="s">
        <v>98</v>
      </c>
      <c r="F21" s="5" t="s">
        <v>80</v>
      </c>
      <c r="G21" s="5">
        <v>304</v>
      </c>
      <c r="H21" s="7">
        <v>0.6</v>
      </c>
      <c r="I21" s="5" t="s">
        <v>16</v>
      </c>
      <c r="J21" s="5" t="s">
        <v>16</v>
      </c>
      <c r="K21" s="5" t="s">
        <v>17</v>
      </c>
      <c r="L21" s="9">
        <v>36</v>
      </c>
      <c r="M21" s="27"/>
      <c r="N21" s="26">
        <f t="shared" si="0"/>
        <v>36</v>
      </c>
    </row>
    <row r="22" spans="1:14" s="11" customFormat="1" ht="150" customHeight="1" x14ac:dyDescent="0.3">
      <c r="A22" s="22"/>
      <c r="B22" s="22"/>
      <c r="C22" s="23"/>
      <c r="D22" s="29"/>
      <c r="E22" s="31"/>
      <c r="F22" s="22"/>
      <c r="G22" s="22"/>
      <c r="H22" s="23"/>
      <c r="I22" s="22"/>
      <c r="J22" s="22"/>
      <c r="K22" s="22"/>
      <c r="L22" s="26"/>
      <c r="M22" s="27"/>
      <c r="N22" s="26">
        <f t="shared" si="0"/>
        <v>0</v>
      </c>
    </row>
    <row r="23" spans="1:14" s="11" customFormat="1" ht="150" customHeight="1" x14ac:dyDescent="0.3">
      <c r="A23" s="13"/>
      <c r="B23" s="13"/>
      <c r="C23" s="14"/>
      <c r="D23" s="14"/>
      <c r="E23" s="33"/>
      <c r="F23" s="13"/>
      <c r="G23" s="13"/>
      <c r="H23" s="14"/>
      <c r="I23" s="13"/>
      <c r="J23" s="13"/>
      <c r="K23" s="13"/>
      <c r="L23" s="9">
        <f>SUM(L4:L22)</f>
        <v>29700</v>
      </c>
      <c r="M23" s="16">
        <f>SUM(M4:M22)</f>
        <v>4980</v>
      </c>
      <c r="N23" s="9">
        <f>SUM(N4:N22)</f>
        <v>24720</v>
      </c>
    </row>
    <row r="24" spans="1:14" s="12" customFormat="1" ht="100.05" customHeight="1" x14ac:dyDescent="0.3">
      <c r="A24" s="17"/>
      <c r="B24" s="17"/>
      <c r="C24" s="17"/>
      <c r="D24" s="20"/>
      <c r="E24" s="35"/>
      <c r="F24" s="17"/>
      <c r="G24" s="17"/>
      <c r="H24" s="17"/>
      <c r="I24" s="17"/>
      <c r="J24" s="17"/>
      <c r="K24" s="17"/>
      <c r="L24" s="17"/>
      <c r="M24" s="17"/>
      <c r="N24" s="17"/>
    </row>
    <row r="25" spans="1:14" ht="100.05" customHeight="1" x14ac:dyDescent="0.3"/>
    <row r="26" spans="1:14" s="4" customFormat="1" ht="100.05" customHeight="1" x14ac:dyDescent="0.3">
      <c r="A26" s="17"/>
      <c r="B26" s="17"/>
      <c r="C26" s="17"/>
      <c r="D26" s="20"/>
      <c r="E26" s="35"/>
      <c r="F26" s="17"/>
      <c r="G26" s="17"/>
      <c r="H26" s="17"/>
      <c r="I26" s="17"/>
      <c r="J26" s="17"/>
      <c r="K26" s="17"/>
      <c r="L26" s="17"/>
      <c r="M26" s="17"/>
      <c r="N26" s="17"/>
    </row>
    <row r="27" spans="1:14" s="4" customFormat="1" ht="100.05" customHeight="1" x14ac:dyDescent="0.3">
      <c r="A27" s="17"/>
      <c r="B27" s="17"/>
      <c r="C27" s="17"/>
      <c r="D27" s="20"/>
      <c r="E27" s="35"/>
      <c r="F27" s="17"/>
      <c r="G27" s="17"/>
      <c r="H27" s="17"/>
      <c r="I27" s="17"/>
      <c r="J27" s="17"/>
      <c r="K27" s="17"/>
      <c r="L27" s="17"/>
      <c r="M27" s="17"/>
      <c r="N27" s="17"/>
    </row>
    <row r="28" spans="1:14" s="11" customFormat="1" ht="100.05" customHeight="1" x14ac:dyDescent="0.3">
      <c r="A28" s="17"/>
      <c r="B28" s="17"/>
      <c r="C28" s="17"/>
      <c r="D28" s="20"/>
      <c r="E28" s="35"/>
      <c r="F28" s="17"/>
      <c r="G28" s="17"/>
      <c r="H28" s="17"/>
      <c r="I28" s="17"/>
      <c r="J28" s="17"/>
      <c r="K28" s="17"/>
      <c r="L28" s="17"/>
      <c r="M28" s="17"/>
      <c r="N28" s="17"/>
    </row>
    <row r="29" spans="1:14" s="11" customFormat="1" ht="100.05" customHeight="1" x14ac:dyDescent="0.3">
      <c r="A29" s="17"/>
      <c r="B29" s="17"/>
      <c r="C29" s="17"/>
      <c r="D29" s="20"/>
      <c r="E29" s="35"/>
      <c r="F29" s="17"/>
      <c r="G29" s="17"/>
      <c r="H29" s="17"/>
      <c r="I29" s="17"/>
      <c r="J29" s="17"/>
      <c r="K29" s="17"/>
      <c r="L29" s="17"/>
      <c r="M29" s="17"/>
      <c r="N29" s="17"/>
    </row>
    <row r="30" spans="1:14" s="11" customFormat="1" ht="100.05" customHeight="1" x14ac:dyDescent="0.3">
      <c r="A30" s="17"/>
      <c r="B30" s="17"/>
      <c r="C30" s="17"/>
      <c r="D30" s="20"/>
      <c r="E30" s="35"/>
      <c r="F30" s="17"/>
      <c r="G30" s="17"/>
      <c r="H30" s="17"/>
      <c r="I30" s="17"/>
      <c r="J30" s="17"/>
      <c r="K30" s="17"/>
      <c r="L30" s="17"/>
      <c r="M30" s="17"/>
      <c r="N30" s="17"/>
    </row>
    <row r="31" spans="1:14" s="11" customFormat="1" ht="100.05" customHeight="1" x14ac:dyDescent="0.3">
      <c r="A31" s="17"/>
      <c r="B31" s="17"/>
      <c r="C31" s="17"/>
      <c r="D31" s="20"/>
      <c r="E31" s="35"/>
      <c r="F31" s="17"/>
      <c r="G31" s="17"/>
      <c r="H31" s="17"/>
      <c r="I31" s="17"/>
      <c r="J31" s="17"/>
      <c r="K31" s="17"/>
      <c r="L31" s="17"/>
      <c r="M31" s="17"/>
      <c r="N31" s="17"/>
    </row>
    <row r="32" spans="1:14" s="11" customFormat="1" ht="100.05" customHeight="1" x14ac:dyDescent="0.3">
      <c r="A32" s="17"/>
      <c r="B32" s="17"/>
      <c r="C32" s="17"/>
      <c r="D32" s="20"/>
      <c r="E32" s="35"/>
      <c r="F32" s="17"/>
      <c r="G32" s="17"/>
      <c r="H32" s="17"/>
      <c r="I32" s="17"/>
      <c r="J32" s="17"/>
      <c r="K32" s="17"/>
      <c r="L32" s="17"/>
      <c r="M32" s="17"/>
      <c r="N32" s="17"/>
    </row>
    <row r="33" spans="1:14" s="11" customFormat="1" ht="100.05" customHeight="1" x14ac:dyDescent="0.3">
      <c r="A33" s="17"/>
      <c r="B33" s="17"/>
      <c r="C33" s="17"/>
      <c r="D33" s="20"/>
      <c r="E33" s="35"/>
      <c r="F33" s="17"/>
      <c r="G33" s="17"/>
      <c r="H33" s="17"/>
      <c r="I33" s="17"/>
      <c r="J33" s="17"/>
      <c r="K33" s="17"/>
      <c r="L33" s="17"/>
      <c r="M33" s="17"/>
      <c r="N33" s="17"/>
    </row>
    <row r="34" spans="1:14" s="11" customFormat="1" ht="100.05" customHeight="1" x14ac:dyDescent="0.3">
      <c r="A34" s="17"/>
      <c r="B34" s="17"/>
      <c r="C34" s="17"/>
      <c r="D34" s="20"/>
      <c r="E34" s="35"/>
      <c r="F34" s="17"/>
      <c r="G34" s="17"/>
      <c r="H34" s="17"/>
      <c r="I34" s="17"/>
      <c r="J34" s="17"/>
      <c r="K34" s="17"/>
      <c r="L34" s="17"/>
      <c r="M34" s="17"/>
      <c r="N34" s="17"/>
    </row>
    <row r="35" spans="1:14" s="11" customFormat="1" ht="100.05" customHeight="1" x14ac:dyDescent="0.3">
      <c r="A35" s="17"/>
      <c r="B35" s="17"/>
      <c r="C35" s="17"/>
      <c r="D35" s="20"/>
      <c r="E35" s="35"/>
      <c r="F35" s="17"/>
      <c r="G35" s="17"/>
      <c r="H35" s="17"/>
      <c r="I35" s="17"/>
      <c r="J35" s="17"/>
      <c r="K35" s="17"/>
      <c r="L35" s="17"/>
      <c r="M35" s="17"/>
      <c r="N35" s="17"/>
    </row>
    <row r="36" spans="1:14" s="11" customFormat="1" ht="100.05" customHeight="1" x14ac:dyDescent="0.3">
      <c r="A36" s="17"/>
      <c r="B36" s="17"/>
      <c r="C36" s="17"/>
      <c r="D36" s="20"/>
      <c r="E36" s="35"/>
      <c r="F36" s="17"/>
      <c r="G36" s="17"/>
      <c r="H36" s="17"/>
      <c r="I36" s="17"/>
      <c r="J36" s="17"/>
      <c r="K36" s="17"/>
      <c r="L36" s="17"/>
      <c r="M36" s="17"/>
      <c r="N36" s="17"/>
    </row>
    <row r="37" spans="1:14" s="11" customFormat="1" ht="100.05" customHeight="1" x14ac:dyDescent="0.3">
      <c r="A37" s="17"/>
      <c r="B37" s="17"/>
      <c r="C37" s="17"/>
      <c r="D37" s="20"/>
      <c r="E37" s="35"/>
      <c r="F37" s="17"/>
      <c r="G37" s="17"/>
      <c r="H37" s="17"/>
      <c r="I37" s="17"/>
      <c r="J37" s="17"/>
      <c r="K37" s="17"/>
      <c r="L37" s="17"/>
      <c r="M37" s="17"/>
      <c r="N37" s="17"/>
    </row>
  </sheetData>
  <mergeCells count="3">
    <mergeCell ref="A1:C1"/>
    <mergeCell ref="K1:N1"/>
    <mergeCell ref="A2:N2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18" orientation="portrait" horizontalDpi="1200" verticalDpi="12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6"/>
  <sheetViews>
    <sheetView zoomScale="25" zoomScaleNormal="25" workbookViewId="0">
      <selection activeCell="P5" sqref="P5"/>
    </sheetView>
  </sheetViews>
  <sheetFormatPr defaultColWidth="8.88671875" defaultRowHeight="14.4" x14ac:dyDescent="0.3"/>
  <cols>
    <col min="1" max="1" width="41.77734375" style="17" customWidth="1"/>
    <col min="2" max="2" width="19.6640625" style="17" customWidth="1"/>
    <col min="3" max="3" width="29.21875" style="17" customWidth="1"/>
    <col min="4" max="4" width="28.6640625" style="20" customWidth="1"/>
    <col min="5" max="5" width="162.109375" style="35" customWidth="1"/>
    <col min="6" max="6" width="32.109375" style="17" bestFit="1" customWidth="1"/>
    <col min="7" max="7" width="21.88671875" style="17" bestFit="1" customWidth="1"/>
    <col min="8" max="8" width="26.6640625" style="17" bestFit="1" customWidth="1"/>
    <col min="9" max="9" width="40.109375" style="17" bestFit="1" customWidth="1"/>
    <col min="10" max="10" width="37.88671875" style="17" customWidth="1"/>
    <col min="11" max="11" width="25.6640625" style="17" customWidth="1"/>
    <col min="12" max="14" width="26.77734375" style="17" bestFit="1" customWidth="1"/>
    <col min="15" max="16384" width="8.88671875" style="18"/>
  </cols>
  <sheetData>
    <row r="1" spans="1:14" s="3" customFormat="1" ht="100.05" customHeight="1" x14ac:dyDescent="0.95">
      <c r="A1" s="37"/>
      <c r="B1" s="37"/>
      <c r="C1" s="37"/>
      <c r="D1" s="19"/>
      <c r="E1" s="34"/>
      <c r="F1" s="1"/>
      <c r="G1" s="1"/>
      <c r="H1" s="1"/>
      <c r="I1" s="1"/>
      <c r="J1" s="2" t="s">
        <v>0</v>
      </c>
      <c r="K1" s="38">
        <v>45952</v>
      </c>
      <c r="L1" s="38"/>
      <c r="M1" s="38"/>
      <c r="N1" s="38"/>
    </row>
    <row r="2" spans="1:14" s="4" customFormat="1" ht="100.05" customHeight="1" x14ac:dyDescent="0.3">
      <c r="A2" s="39" t="s">
        <v>69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</row>
    <row r="3" spans="1:14" s="4" customFormat="1" ht="150" customHeight="1" x14ac:dyDescent="0.3">
      <c r="A3" s="5" t="s">
        <v>1</v>
      </c>
      <c r="B3" s="5" t="s">
        <v>2</v>
      </c>
      <c r="C3" s="6" t="s">
        <v>3</v>
      </c>
      <c r="D3" s="7" t="s">
        <v>4</v>
      </c>
      <c r="E3" s="32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6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s="28" customFormat="1" ht="150" customHeight="1" x14ac:dyDescent="0.3">
      <c r="A4" s="5">
        <v>131025</v>
      </c>
      <c r="B4" s="5">
        <v>304</v>
      </c>
      <c r="C4" s="7">
        <v>0.9</v>
      </c>
      <c r="D4" s="5">
        <v>317</v>
      </c>
      <c r="E4" s="32" t="s">
        <v>86</v>
      </c>
      <c r="F4" s="5" t="s">
        <v>16</v>
      </c>
      <c r="G4" s="5" t="s">
        <v>16</v>
      </c>
      <c r="H4" s="7" t="s">
        <v>16</v>
      </c>
      <c r="I4" s="5" t="s">
        <v>16</v>
      </c>
      <c r="J4" s="5" t="s">
        <v>16</v>
      </c>
      <c r="K4" s="5" t="s">
        <v>17</v>
      </c>
      <c r="L4" s="9">
        <v>2550</v>
      </c>
      <c r="M4" s="27">
        <f>2150</f>
        <v>2150</v>
      </c>
      <c r="N4" s="26">
        <f t="shared" ref="N4:N21" si="0">L4-M4</f>
        <v>400</v>
      </c>
    </row>
    <row r="5" spans="1:14" s="28" customFormat="1" ht="150" customHeight="1" x14ac:dyDescent="0.3">
      <c r="A5" s="5">
        <v>131025</v>
      </c>
      <c r="B5" s="5">
        <v>304</v>
      </c>
      <c r="C5" s="7">
        <v>0.9</v>
      </c>
      <c r="D5" s="5">
        <v>425</v>
      </c>
      <c r="E5" s="32" t="s">
        <v>84</v>
      </c>
      <c r="F5" s="5" t="s">
        <v>61</v>
      </c>
      <c r="G5" s="5" t="s">
        <v>16</v>
      </c>
      <c r="H5" s="7" t="s">
        <v>16</v>
      </c>
      <c r="I5" s="5" t="s">
        <v>16</v>
      </c>
      <c r="J5" s="5" t="s">
        <v>16</v>
      </c>
      <c r="K5" s="5" t="s">
        <v>17</v>
      </c>
      <c r="L5" s="9">
        <v>3000</v>
      </c>
      <c r="M5" s="27">
        <f>700+1200+1280</f>
        <v>3180</v>
      </c>
      <c r="N5" s="26">
        <f t="shared" si="0"/>
        <v>-180</v>
      </c>
    </row>
    <row r="6" spans="1:14" s="28" customFormat="1" ht="150" customHeight="1" x14ac:dyDescent="0.3">
      <c r="A6" s="22">
        <v>290925</v>
      </c>
      <c r="B6" s="22">
        <v>304</v>
      </c>
      <c r="C6" s="23">
        <v>0.8</v>
      </c>
      <c r="D6" s="29" t="s">
        <v>65</v>
      </c>
      <c r="E6" s="31" t="s">
        <v>76</v>
      </c>
      <c r="F6" s="22" t="s">
        <v>16</v>
      </c>
      <c r="G6" s="22" t="s">
        <v>16</v>
      </c>
      <c r="H6" s="23" t="s">
        <v>16</v>
      </c>
      <c r="I6" s="22" t="s">
        <v>16</v>
      </c>
      <c r="J6" s="23" t="s">
        <v>16</v>
      </c>
      <c r="K6" s="22" t="s">
        <v>17</v>
      </c>
      <c r="L6" s="26">
        <v>3000</v>
      </c>
      <c r="M6" s="27"/>
      <c r="N6" s="26">
        <f t="shared" si="0"/>
        <v>3000</v>
      </c>
    </row>
    <row r="7" spans="1:14" s="28" customFormat="1" ht="150" customHeight="1" x14ac:dyDescent="0.3">
      <c r="A7" s="5">
        <v>250057</v>
      </c>
      <c r="B7" s="5">
        <v>304</v>
      </c>
      <c r="C7" s="7">
        <v>0.7</v>
      </c>
      <c r="D7" s="5">
        <v>307</v>
      </c>
      <c r="E7" s="32" t="s">
        <v>87</v>
      </c>
      <c r="F7" s="5" t="s">
        <v>61</v>
      </c>
      <c r="G7" s="5">
        <v>304</v>
      </c>
      <c r="H7" s="7" t="s">
        <v>16</v>
      </c>
      <c r="I7" s="5" t="s">
        <v>16</v>
      </c>
      <c r="J7" s="5" t="s">
        <v>16</v>
      </c>
      <c r="K7" s="5" t="s">
        <v>17</v>
      </c>
      <c r="L7" s="9">
        <v>395</v>
      </c>
      <c r="M7" s="27"/>
      <c r="N7" s="26">
        <f t="shared" si="0"/>
        <v>395</v>
      </c>
    </row>
    <row r="8" spans="1:14" s="28" customFormat="1" ht="150" customHeight="1" x14ac:dyDescent="0.3">
      <c r="A8" s="5">
        <v>250057</v>
      </c>
      <c r="B8" s="5">
        <v>304</v>
      </c>
      <c r="C8" s="7">
        <v>0.9</v>
      </c>
      <c r="D8" s="5">
        <v>307</v>
      </c>
      <c r="E8" s="32" t="s">
        <v>88</v>
      </c>
      <c r="F8" s="5" t="s">
        <v>61</v>
      </c>
      <c r="G8" s="5">
        <v>304</v>
      </c>
      <c r="H8" s="7" t="s">
        <v>16</v>
      </c>
      <c r="I8" s="5" t="s">
        <v>16</v>
      </c>
      <c r="J8" s="5" t="s">
        <v>16</v>
      </c>
      <c r="K8" s="5" t="s">
        <v>17</v>
      </c>
      <c r="L8" s="9">
        <v>15</v>
      </c>
      <c r="M8" s="27"/>
      <c r="N8" s="26">
        <f t="shared" si="0"/>
        <v>15</v>
      </c>
    </row>
    <row r="9" spans="1:14" s="28" customFormat="1" ht="150" customHeight="1" x14ac:dyDescent="0.3">
      <c r="A9" s="5">
        <v>250061</v>
      </c>
      <c r="B9" s="5">
        <v>304</v>
      </c>
      <c r="C9" s="7">
        <v>0.7</v>
      </c>
      <c r="D9" s="5">
        <v>265</v>
      </c>
      <c r="E9" s="32" t="s">
        <v>89</v>
      </c>
      <c r="F9" s="5" t="s">
        <v>80</v>
      </c>
      <c r="G9" s="5">
        <v>304</v>
      </c>
      <c r="H9" s="7" t="s">
        <v>16</v>
      </c>
      <c r="I9" s="5" t="s">
        <v>16</v>
      </c>
      <c r="J9" s="5" t="s">
        <v>16</v>
      </c>
      <c r="K9" s="5" t="s">
        <v>17</v>
      </c>
      <c r="L9" s="9">
        <v>525</v>
      </c>
      <c r="M9" s="27"/>
      <c r="N9" s="26">
        <f t="shared" si="0"/>
        <v>525</v>
      </c>
    </row>
    <row r="10" spans="1:14" s="28" customFormat="1" ht="150" customHeight="1" x14ac:dyDescent="0.3">
      <c r="A10" s="5">
        <v>250061</v>
      </c>
      <c r="B10" s="5">
        <v>304</v>
      </c>
      <c r="C10" s="7">
        <v>0.7</v>
      </c>
      <c r="D10" s="5">
        <v>265</v>
      </c>
      <c r="E10" s="32" t="s">
        <v>90</v>
      </c>
      <c r="F10" s="5" t="s">
        <v>80</v>
      </c>
      <c r="G10" s="5">
        <v>304</v>
      </c>
      <c r="H10" s="7" t="s">
        <v>16</v>
      </c>
      <c r="I10" s="5" t="s">
        <v>16</v>
      </c>
      <c r="J10" s="5" t="s">
        <v>16</v>
      </c>
      <c r="K10" s="5" t="s">
        <v>17</v>
      </c>
      <c r="L10" s="9">
        <v>15</v>
      </c>
      <c r="M10" s="27"/>
      <c r="N10" s="26">
        <f t="shared" si="0"/>
        <v>15</v>
      </c>
    </row>
    <row r="11" spans="1:14" s="28" customFormat="1" ht="150" customHeight="1" x14ac:dyDescent="0.3">
      <c r="A11" s="5">
        <v>230925</v>
      </c>
      <c r="B11" s="5">
        <v>430</v>
      </c>
      <c r="C11" s="7">
        <v>0.8</v>
      </c>
      <c r="D11" s="5">
        <v>425</v>
      </c>
      <c r="E11" s="32" t="s">
        <v>82</v>
      </c>
      <c r="F11" s="5" t="s">
        <v>80</v>
      </c>
      <c r="G11" s="5">
        <v>430</v>
      </c>
      <c r="H11" s="7" t="s">
        <v>16</v>
      </c>
      <c r="I11" s="5" t="s">
        <v>16</v>
      </c>
      <c r="J11" s="5" t="s">
        <v>16</v>
      </c>
      <c r="K11" s="5" t="s">
        <v>17</v>
      </c>
      <c r="L11" s="9">
        <v>6000</v>
      </c>
      <c r="M11" s="27"/>
      <c r="N11" s="26">
        <f t="shared" si="0"/>
        <v>6000</v>
      </c>
    </row>
    <row r="12" spans="1:14" s="28" customFormat="1" ht="150" customHeight="1" x14ac:dyDescent="0.3">
      <c r="A12" s="5">
        <v>230925</v>
      </c>
      <c r="B12" s="5">
        <v>430</v>
      </c>
      <c r="C12" s="7">
        <v>0.8</v>
      </c>
      <c r="D12" s="5">
        <v>360</v>
      </c>
      <c r="E12" s="32" t="s">
        <v>83</v>
      </c>
      <c r="F12" s="5" t="s">
        <v>80</v>
      </c>
      <c r="G12" s="5">
        <v>430</v>
      </c>
      <c r="H12" s="7" t="s">
        <v>16</v>
      </c>
      <c r="I12" s="5" t="s">
        <v>16</v>
      </c>
      <c r="J12" s="5" t="s">
        <v>16</v>
      </c>
      <c r="K12" s="5" t="s">
        <v>17</v>
      </c>
      <c r="L12" s="9">
        <v>5300</v>
      </c>
      <c r="M12" s="27"/>
      <c r="N12" s="26">
        <f t="shared" si="0"/>
        <v>5300</v>
      </c>
    </row>
    <row r="13" spans="1:14" s="28" customFormat="1" ht="150" customHeight="1" x14ac:dyDescent="0.3">
      <c r="A13" s="5">
        <v>250079</v>
      </c>
      <c r="B13" s="5">
        <v>304</v>
      </c>
      <c r="C13" s="7">
        <v>0.7</v>
      </c>
      <c r="D13" s="5">
        <v>324</v>
      </c>
      <c r="E13" s="32" t="s">
        <v>91</v>
      </c>
      <c r="F13" s="5" t="s">
        <v>80</v>
      </c>
      <c r="G13" s="5">
        <v>304</v>
      </c>
      <c r="H13" s="7">
        <v>0.6</v>
      </c>
      <c r="I13" s="5" t="s">
        <v>16</v>
      </c>
      <c r="J13" s="5" t="s">
        <v>16</v>
      </c>
      <c r="K13" s="5" t="s">
        <v>17</v>
      </c>
      <c r="L13" s="9">
        <v>964</v>
      </c>
      <c r="M13" s="27"/>
      <c r="N13" s="26">
        <f t="shared" si="0"/>
        <v>964</v>
      </c>
    </row>
    <row r="14" spans="1:14" s="28" customFormat="1" ht="150" customHeight="1" x14ac:dyDescent="0.3">
      <c r="A14" s="5">
        <v>250079</v>
      </c>
      <c r="B14" s="5">
        <v>304</v>
      </c>
      <c r="C14" s="7">
        <v>1</v>
      </c>
      <c r="D14" s="5">
        <v>324</v>
      </c>
      <c r="E14" s="32" t="s">
        <v>92</v>
      </c>
      <c r="F14" s="5" t="s">
        <v>80</v>
      </c>
      <c r="G14" s="5">
        <v>304</v>
      </c>
      <c r="H14" s="7">
        <v>0.6</v>
      </c>
      <c r="I14" s="5" t="s">
        <v>16</v>
      </c>
      <c r="J14" s="5" t="s">
        <v>16</v>
      </c>
      <c r="K14" s="5" t="s">
        <v>17</v>
      </c>
      <c r="L14" s="9">
        <v>36</v>
      </c>
      <c r="M14" s="27"/>
      <c r="N14" s="26">
        <f t="shared" si="0"/>
        <v>36</v>
      </c>
    </row>
    <row r="15" spans="1:14" s="28" customFormat="1" ht="150" customHeight="1" x14ac:dyDescent="0.3">
      <c r="A15" s="5">
        <v>250080</v>
      </c>
      <c r="B15" s="5">
        <v>304</v>
      </c>
      <c r="C15" s="7">
        <v>0.7</v>
      </c>
      <c r="D15" s="5">
        <v>307</v>
      </c>
      <c r="E15" s="32" t="s">
        <v>93</v>
      </c>
      <c r="F15" s="5" t="s">
        <v>80</v>
      </c>
      <c r="G15" s="5">
        <v>430</v>
      </c>
      <c r="H15" s="7">
        <v>0.6</v>
      </c>
      <c r="I15" s="5" t="s">
        <v>16</v>
      </c>
      <c r="J15" s="5" t="s">
        <v>16</v>
      </c>
      <c r="K15" s="5" t="s">
        <v>17</v>
      </c>
      <c r="L15" s="9">
        <v>1000</v>
      </c>
      <c r="M15" s="27"/>
      <c r="N15" s="26">
        <f t="shared" si="0"/>
        <v>1000</v>
      </c>
    </row>
    <row r="16" spans="1:14" s="28" customFormat="1" ht="150" customHeight="1" x14ac:dyDescent="0.3">
      <c r="A16" s="5">
        <v>250079</v>
      </c>
      <c r="B16" s="5">
        <v>304</v>
      </c>
      <c r="C16" s="7">
        <v>0.7</v>
      </c>
      <c r="D16" s="5">
        <v>307</v>
      </c>
      <c r="E16" s="32" t="s">
        <v>94</v>
      </c>
      <c r="F16" s="5" t="s">
        <v>80</v>
      </c>
      <c r="G16" s="5">
        <v>304</v>
      </c>
      <c r="H16" s="7">
        <v>0.6</v>
      </c>
      <c r="I16" s="5" t="s">
        <v>16</v>
      </c>
      <c r="J16" s="5" t="s">
        <v>16</v>
      </c>
      <c r="K16" s="5" t="s">
        <v>17</v>
      </c>
      <c r="L16" s="9">
        <v>1314</v>
      </c>
      <c r="M16" s="27"/>
      <c r="N16" s="26">
        <f t="shared" si="0"/>
        <v>1314</v>
      </c>
    </row>
    <row r="17" spans="1:14" s="28" customFormat="1" ht="150" customHeight="1" x14ac:dyDescent="0.3">
      <c r="A17" s="5">
        <v>250079</v>
      </c>
      <c r="B17" s="5">
        <v>304</v>
      </c>
      <c r="C17" s="7">
        <v>1</v>
      </c>
      <c r="D17" s="5">
        <v>307</v>
      </c>
      <c r="E17" s="32" t="s">
        <v>95</v>
      </c>
      <c r="F17" s="5" t="s">
        <v>80</v>
      </c>
      <c r="G17" s="5">
        <v>304</v>
      </c>
      <c r="H17" s="7">
        <v>0.6</v>
      </c>
      <c r="I17" s="5" t="s">
        <v>16</v>
      </c>
      <c r="J17" s="5" t="s">
        <v>16</v>
      </c>
      <c r="K17" s="5" t="s">
        <v>17</v>
      </c>
      <c r="L17" s="9">
        <v>36</v>
      </c>
      <c r="M17" s="27"/>
      <c r="N17" s="26">
        <f t="shared" si="0"/>
        <v>36</v>
      </c>
    </row>
    <row r="18" spans="1:14" s="28" customFormat="1" ht="150" customHeight="1" x14ac:dyDescent="0.3">
      <c r="A18" s="5">
        <v>250080</v>
      </c>
      <c r="B18" s="5">
        <v>304</v>
      </c>
      <c r="C18" s="7">
        <v>0.7</v>
      </c>
      <c r="D18" s="5">
        <v>265</v>
      </c>
      <c r="E18" s="32" t="s">
        <v>96</v>
      </c>
      <c r="F18" s="5" t="s">
        <v>80</v>
      </c>
      <c r="G18" s="5">
        <v>430</v>
      </c>
      <c r="H18" s="7">
        <v>0.6</v>
      </c>
      <c r="I18" s="5" t="s">
        <v>16</v>
      </c>
      <c r="J18" s="5" t="s">
        <v>16</v>
      </c>
      <c r="K18" s="5" t="s">
        <v>17</v>
      </c>
      <c r="L18" s="9">
        <v>1200</v>
      </c>
      <c r="M18" s="27"/>
      <c r="N18" s="26">
        <f t="shared" si="0"/>
        <v>1200</v>
      </c>
    </row>
    <row r="19" spans="1:14" s="28" customFormat="1" ht="150" customHeight="1" x14ac:dyDescent="0.3">
      <c r="A19" s="5">
        <v>250079</v>
      </c>
      <c r="B19" s="5">
        <v>304</v>
      </c>
      <c r="C19" s="7">
        <v>0.7</v>
      </c>
      <c r="D19" s="5">
        <v>307</v>
      </c>
      <c r="E19" s="32" t="s">
        <v>97</v>
      </c>
      <c r="F19" s="5" t="s">
        <v>80</v>
      </c>
      <c r="G19" s="5">
        <v>304</v>
      </c>
      <c r="H19" s="7">
        <v>0.6</v>
      </c>
      <c r="I19" s="5" t="s">
        <v>16</v>
      </c>
      <c r="J19" s="5" t="s">
        <v>16</v>
      </c>
      <c r="K19" s="5" t="s">
        <v>17</v>
      </c>
      <c r="L19" s="9">
        <v>1314</v>
      </c>
      <c r="M19" s="27"/>
      <c r="N19" s="26">
        <f t="shared" si="0"/>
        <v>1314</v>
      </c>
    </row>
    <row r="20" spans="1:14" s="28" customFormat="1" ht="150" customHeight="1" x14ac:dyDescent="0.3">
      <c r="A20" s="5">
        <v>250079</v>
      </c>
      <c r="B20" s="5">
        <v>304</v>
      </c>
      <c r="C20" s="7">
        <v>1</v>
      </c>
      <c r="D20" s="5">
        <v>307</v>
      </c>
      <c r="E20" s="32" t="s">
        <v>98</v>
      </c>
      <c r="F20" s="5" t="s">
        <v>80</v>
      </c>
      <c r="G20" s="5">
        <v>304</v>
      </c>
      <c r="H20" s="7">
        <v>0.6</v>
      </c>
      <c r="I20" s="5" t="s">
        <v>16</v>
      </c>
      <c r="J20" s="5" t="s">
        <v>16</v>
      </c>
      <c r="K20" s="5" t="s">
        <v>17</v>
      </c>
      <c r="L20" s="9">
        <v>36</v>
      </c>
      <c r="M20" s="27"/>
      <c r="N20" s="26">
        <f t="shared" si="0"/>
        <v>36</v>
      </c>
    </row>
    <row r="21" spans="1:14" s="11" customFormat="1" ht="150" customHeight="1" x14ac:dyDescent="0.3">
      <c r="A21" s="22"/>
      <c r="B21" s="22"/>
      <c r="C21" s="23"/>
      <c r="D21" s="29"/>
      <c r="E21" s="31"/>
      <c r="F21" s="22"/>
      <c r="G21" s="22"/>
      <c r="H21" s="23"/>
      <c r="I21" s="22"/>
      <c r="J21" s="22"/>
      <c r="K21" s="22"/>
      <c r="L21" s="26"/>
      <c r="M21" s="27"/>
      <c r="N21" s="26">
        <f t="shared" si="0"/>
        <v>0</v>
      </c>
    </row>
    <row r="22" spans="1:14" s="11" customFormat="1" ht="150" customHeight="1" x14ac:dyDescent="0.3">
      <c r="A22" s="13"/>
      <c r="B22" s="13"/>
      <c r="C22" s="14"/>
      <c r="D22" s="14"/>
      <c r="E22" s="33"/>
      <c r="F22" s="13"/>
      <c r="G22" s="13"/>
      <c r="H22" s="14"/>
      <c r="I22" s="13"/>
      <c r="J22" s="13"/>
      <c r="K22" s="13"/>
      <c r="L22" s="9">
        <f>SUM(L4:L21)</f>
        <v>26700</v>
      </c>
      <c r="M22" s="16">
        <f>SUM(M4:M21)</f>
        <v>5330</v>
      </c>
      <c r="N22" s="9">
        <f>SUM(N4:N21)</f>
        <v>21370</v>
      </c>
    </row>
    <row r="23" spans="1:14" s="12" customFormat="1" ht="100.05" customHeight="1" x14ac:dyDescent="0.3">
      <c r="A23" s="17"/>
      <c r="B23" s="17"/>
      <c r="C23" s="17"/>
      <c r="D23" s="20"/>
      <c r="E23" s="35"/>
      <c r="F23" s="17"/>
      <c r="G23" s="17"/>
      <c r="H23" s="17"/>
      <c r="I23" s="17"/>
      <c r="J23" s="17"/>
      <c r="K23" s="17"/>
      <c r="L23" s="17"/>
      <c r="M23" s="17"/>
      <c r="N23" s="17"/>
    </row>
    <row r="24" spans="1:14" ht="100.05" customHeight="1" x14ac:dyDescent="0.3"/>
    <row r="25" spans="1:14" s="4" customFormat="1" ht="100.05" customHeight="1" x14ac:dyDescent="0.3">
      <c r="A25" s="17"/>
      <c r="B25" s="17"/>
      <c r="C25" s="17"/>
      <c r="D25" s="20"/>
      <c r="E25" s="35"/>
      <c r="F25" s="17"/>
      <c r="G25" s="17"/>
      <c r="H25" s="17"/>
      <c r="I25" s="17"/>
      <c r="J25" s="17"/>
      <c r="K25" s="17"/>
      <c r="L25" s="17"/>
      <c r="M25" s="17"/>
      <c r="N25" s="17"/>
    </row>
    <row r="26" spans="1:14" s="4" customFormat="1" ht="100.05" customHeight="1" x14ac:dyDescent="0.3">
      <c r="A26" s="17"/>
      <c r="B26" s="17"/>
      <c r="C26" s="17"/>
      <c r="D26" s="20"/>
      <c r="E26" s="35"/>
      <c r="F26" s="17"/>
      <c r="G26" s="17"/>
      <c r="H26" s="17"/>
      <c r="I26" s="17"/>
      <c r="J26" s="17"/>
      <c r="K26" s="17"/>
      <c r="L26" s="17"/>
      <c r="M26" s="17"/>
      <c r="N26" s="17"/>
    </row>
    <row r="27" spans="1:14" s="11" customFormat="1" ht="100.05" customHeight="1" x14ac:dyDescent="0.3">
      <c r="A27" s="17"/>
      <c r="B27" s="17"/>
      <c r="C27" s="17"/>
      <c r="D27" s="20"/>
      <c r="E27" s="35"/>
      <c r="F27" s="17"/>
      <c r="G27" s="17"/>
      <c r="H27" s="17"/>
      <c r="I27" s="17"/>
      <c r="J27" s="17"/>
      <c r="K27" s="17"/>
      <c r="L27" s="17"/>
      <c r="M27" s="17"/>
      <c r="N27" s="17"/>
    </row>
    <row r="28" spans="1:14" s="11" customFormat="1" ht="100.05" customHeight="1" x14ac:dyDescent="0.3">
      <c r="A28" s="17"/>
      <c r="B28" s="17"/>
      <c r="C28" s="17"/>
      <c r="D28" s="20"/>
      <c r="E28" s="35"/>
      <c r="F28" s="17"/>
      <c r="G28" s="17"/>
      <c r="H28" s="17"/>
      <c r="I28" s="17"/>
      <c r="J28" s="17"/>
      <c r="K28" s="17"/>
      <c r="L28" s="17"/>
      <c r="M28" s="17"/>
      <c r="N28" s="17"/>
    </row>
    <row r="29" spans="1:14" s="11" customFormat="1" ht="100.05" customHeight="1" x14ac:dyDescent="0.3">
      <c r="A29" s="17"/>
      <c r="B29" s="17"/>
      <c r="C29" s="17"/>
      <c r="D29" s="20"/>
      <c r="E29" s="35"/>
      <c r="F29" s="17"/>
      <c r="G29" s="17"/>
      <c r="H29" s="17"/>
      <c r="I29" s="17"/>
      <c r="J29" s="17"/>
      <c r="K29" s="17"/>
      <c r="L29" s="17"/>
      <c r="M29" s="17"/>
      <c r="N29" s="17"/>
    </row>
    <row r="30" spans="1:14" s="11" customFormat="1" ht="100.05" customHeight="1" x14ac:dyDescent="0.3">
      <c r="A30" s="17"/>
      <c r="B30" s="17"/>
      <c r="C30" s="17"/>
      <c r="D30" s="20"/>
      <c r="E30" s="35"/>
      <c r="F30" s="17"/>
      <c r="G30" s="17"/>
      <c r="H30" s="17"/>
      <c r="I30" s="17"/>
      <c r="J30" s="17"/>
      <c r="K30" s="17"/>
      <c r="L30" s="17"/>
      <c r="M30" s="17"/>
      <c r="N30" s="17"/>
    </row>
    <row r="31" spans="1:14" s="11" customFormat="1" ht="100.05" customHeight="1" x14ac:dyDescent="0.3">
      <c r="A31" s="17"/>
      <c r="B31" s="17"/>
      <c r="C31" s="17"/>
      <c r="D31" s="20"/>
      <c r="E31" s="35"/>
      <c r="F31" s="17"/>
      <c r="G31" s="17"/>
      <c r="H31" s="17"/>
      <c r="I31" s="17"/>
      <c r="J31" s="17"/>
      <c r="K31" s="17"/>
      <c r="L31" s="17"/>
      <c r="M31" s="17"/>
      <c r="N31" s="17"/>
    </row>
    <row r="32" spans="1:14" s="11" customFormat="1" ht="100.05" customHeight="1" x14ac:dyDescent="0.3">
      <c r="A32" s="17"/>
      <c r="B32" s="17"/>
      <c r="C32" s="17"/>
      <c r="D32" s="20"/>
      <c r="E32" s="35"/>
      <c r="F32" s="17"/>
      <c r="G32" s="17"/>
      <c r="H32" s="17"/>
      <c r="I32" s="17"/>
      <c r="J32" s="17"/>
      <c r="K32" s="17"/>
      <c r="L32" s="17"/>
      <c r="M32" s="17"/>
      <c r="N32" s="17"/>
    </row>
    <row r="33" spans="1:14" s="11" customFormat="1" ht="100.05" customHeight="1" x14ac:dyDescent="0.3">
      <c r="A33" s="17"/>
      <c r="B33" s="17"/>
      <c r="C33" s="17"/>
      <c r="D33" s="20"/>
      <c r="E33" s="35"/>
      <c r="F33" s="17"/>
      <c r="G33" s="17"/>
      <c r="H33" s="17"/>
      <c r="I33" s="17"/>
      <c r="J33" s="17"/>
      <c r="K33" s="17"/>
      <c r="L33" s="17"/>
      <c r="M33" s="17"/>
      <c r="N33" s="17"/>
    </row>
    <row r="34" spans="1:14" s="11" customFormat="1" ht="100.05" customHeight="1" x14ac:dyDescent="0.3">
      <c r="A34" s="17"/>
      <c r="B34" s="17"/>
      <c r="C34" s="17"/>
      <c r="D34" s="20"/>
      <c r="E34" s="35"/>
      <c r="F34" s="17"/>
      <c r="G34" s="17"/>
      <c r="H34" s="17"/>
      <c r="I34" s="17"/>
      <c r="J34" s="17"/>
      <c r="K34" s="17"/>
      <c r="L34" s="17"/>
      <c r="M34" s="17"/>
      <c r="N34" s="17"/>
    </row>
    <row r="35" spans="1:14" s="11" customFormat="1" ht="100.05" customHeight="1" x14ac:dyDescent="0.3">
      <c r="A35" s="17"/>
      <c r="B35" s="17"/>
      <c r="C35" s="17"/>
      <c r="D35" s="20"/>
      <c r="E35" s="35"/>
      <c r="F35" s="17"/>
      <c r="G35" s="17"/>
      <c r="H35" s="17"/>
      <c r="I35" s="17"/>
      <c r="J35" s="17"/>
      <c r="K35" s="17"/>
      <c r="L35" s="17"/>
      <c r="M35" s="17"/>
      <c r="N35" s="17"/>
    </row>
    <row r="36" spans="1:14" s="11" customFormat="1" ht="100.05" customHeight="1" x14ac:dyDescent="0.3">
      <c r="A36" s="17"/>
      <c r="B36" s="17"/>
      <c r="C36" s="17"/>
      <c r="D36" s="20"/>
      <c r="E36" s="35"/>
      <c r="F36" s="17"/>
      <c r="G36" s="17"/>
      <c r="H36" s="17"/>
      <c r="I36" s="17"/>
      <c r="J36" s="17"/>
      <c r="K36" s="17"/>
      <c r="L36" s="17"/>
      <c r="M36" s="17"/>
      <c r="N36" s="17"/>
    </row>
  </sheetData>
  <mergeCells count="3">
    <mergeCell ref="A1:C1"/>
    <mergeCell ref="K1:N1"/>
    <mergeCell ref="A2:N2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18" orientation="portrait" horizontalDpi="1200" verticalDpi="12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5"/>
  <sheetViews>
    <sheetView zoomScale="25" zoomScaleNormal="25" workbookViewId="0">
      <selection activeCell="V8" sqref="V8"/>
    </sheetView>
  </sheetViews>
  <sheetFormatPr defaultColWidth="8.88671875" defaultRowHeight="14.4" x14ac:dyDescent="0.3"/>
  <cols>
    <col min="1" max="1" width="41.77734375" style="17" customWidth="1"/>
    <col min="2" max="2" width="19.6640625" style="17" customWidth="1"/>
    <col min="3" max="3" width="29.21875" style="17" customWidth="1"/>
    <col min="4" max="4" width="28.6640625" style="20" customWidth="1"/>
    <col min="5" max="5" width="162.109375" style="35" customWidth="1"/>
    <col min="6" max="6" width="32.109375" style="17" bestFit="1" customWidth="1"/>
    <col min="7" max="7" width="21.88671875" style="17" bestFit="1" customWidth="1"/>
    <col min="8" max="8" width="26.6640625" style="17" bestFit="1" customWidth="1"/>
    <col min="9" max="9" width="40.109375" style="17" bestFit="1" customWidth="1"/>
    <col min="10" max="10" width="37.88671875" style="17" customWidth="1"/>
    <col min="11" max="11" width="25.6640625" style="17" customWidth="1"/>
    <col min="12" max="14" width="26.77734375" style="17" bestFit="1" customWidth="1"/>
    <col min="15" max="16384" width="8.88671875" style="18"/>
  </cols>
  <sheetData>
    <row r="1" spans="1:14" s="3" customFormat="1" ht="100.05" customHeight="1" x14ac:dyDescent="0.95">
      <c r="A1" s="37"/>
      <c r="B1" s="37"/>
      <c r="C1" s="37"/>
      <c r="D1" s="19"/>
      <c r="E1" s="34"/>
      <c r="F1" s="1"/>
      <c r="G1" s="1"/>
      <c r="H1" s="1"/>
      <c r="I1" s="1"/>
      <c r="J1" s="2" t="s">
        <v>0</v>
      </c>
      <c r="K1" s="38">
        <v>45953</v>
      </c>
      <c r="L1" s="38"/>
      <c r="M1" s="38"/>
      <c r="N1" s="38"/>
    </row>
    <row r="2" spans="1:14" s="4" customFormat="1" ht="100.05" customHeight="1" x14ac:dyDescent="0.3">
      <c r="A2" s="39" t="s">
        <v>69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</row>
    <row r="3" spans="1:14" s="4" customFormat="1" ht="150" customHeight="1" x14ac:dyDescent="0.3">
      <c r="A3" s="5" t="s">
        <v>1</v>
      </c>
      <c r="B3" s="5" t="s">
        <v>2</v>
      </c>
      <c r="C3" s="6" t="s">
        <v>3</v>
      </c>
      <c r="D3" s="7" t="s">
        <v>4</v>
      </c>
      <c r="E3" s="32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6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s="28" customFormat="1" ht="150" customHeight="1" x14ac:dyDescent="0.3">
      <c r="A4" s="5">
        <v>131025</v>
      </c>
      <c r="B4" s="5">
        <v>304</v>
      </c>
      <c r="C4" s="7">
        <v>0.9</v>
      </c>
      <c r="D4" s="5">
        <v>317</v>
      </c>
      <c r="E4" s="32" t="s">
        <v>86</v>
      </c>
      <c r="F4" s="5" t="s">
        <v>16</v>
      </c>
      <c r="G4" s="5" t="s">
        <v>16</v>
      </c>
      <c r="H4" s="7" t="s">
        <v>16</v>
      </c>
      <c r="I4" s="5" t="s">
        <v>16</v>
      </c>
      <c r="J4" s="5" t="s">
        <v>16</v>
      </c>
      <c r="K4" s="5" t="s">
        <v>17</v>
      </c>
      <c r="L4" s="9">
        <v>2550</v>
      </c>
      <c r="M4" s="27">
        <f>2150+550</f>
        <v>2700</v>
      </c>
      <c r="N4" s="26">
        <f t="shared" ref="N4:N20" si="0">L4-M4</f>
        <v>-150</v>
      </c>
    </row>
    <row r="5" spans="1:14" s="28" customFormat="1" ht="150" customHeight="1" x14ac:dyDescent="0.3">
      <c r="A5" s="22">
        <v>290925</v>
      </c>
      <c r="B5" s="22">
        <v>304</v>
      </c>
      <c r="C5" s="23">
        <v>0.8</v>
      </c>
      <c r="D5" s="29" t="s">
        <v>65</v>
      </c>
      <c r="E5" s="31" t="s">
        <v>76</v>
      </c>
      <c r="F5" s="22" t="s">
        <v>16</v>
      </c>
      <c r="G5" s="22" t="s">
        <v>16</v>
      </c>
      <c r="H5" s="23" t="s">
        <v>16</v>
      </c>
      <c r="I5" s="22" t="s">
        <v>16</v>
      </c>
      <c r="J5" s="23" t="s">
        <v>16</v>
      </c>
      <c r="K5" s="22" t="s">
        <v>17</v>
      </c>
      <c r="L5" s="26">
        <v>3000</v>
      </c>
      <c r="M5" s="27">
        <v>500</v>
      </c>
      <c r="N5" s="26">
        <f t="shared" si="0"/>
        <v>2500</v>
      </c>
    </row>
    <row r="6" spans="1:14" s="28" customFormat="1" ht="150" customHeight="1" x14ac:dyDescent="0.3">
      <c r="A6" s="5">
        <v>250057</v>
      </c>
      <c r="B6" s="5">
        <v>304</v>
      </c>
      <c r="C6" s="7">
        <v>0.7</v>
      </c>
      <c r="D6" s="5">
        <v>307</v>
      </c>
      <c r="E6" s="32" t="s">
        <v>87</v>
      </c>
      <c r="F6" s="5" t="s">
        <v>61</v>
      </c>
      <c r="G6" s="5">
        <v>304</v>
      </c>
      <c r="H6" s="7" t="s">
        <v>16</v>
      </c>
      <c r="I6" s="5" t="s">
        <v>16</v>
      </c>
      <c r="J6" s="5" t="s">
        <v>16</v>
      </c>
      <c r="K6" s="5" t="s">
        <v>17</v>
      </c>
      <c r="L6" s="9">
        <v>395</v>
      </c>
      <c r="M6" s="27">
        <v>480</v>
      </c>
      <c r="N6" s="26">
        <f t="shared" si="0"/>
        <v>-85</v>
      </c>
    </row>
    <row r="7" spans="1:14" s="28" customFormat="1" ht="150" customHeight="1" x14ac:dyDescent="0.3">
      <c r="A7" s="5">
        <v>250057</v>
      </c>
      <c r="B7" s="5">
        <v>304</v>
      </c>
      <c r="C7" s="7">
        <v>0.9</v>
      </c>
      <c r="D7" s="5">
        <v>307</v>
      </c>
      <c r="E7" s="32" t="s">
        <v>88</v>
      </c>
      <c r="F7" s="5" t="s">
        <v>61</v>
      </c>
      <c r="G7" s="5">
        <v>304</v>
      </c>
      <c r="H7" s="7" t="s">
        <v>16</v>
      </c>
      <c r="I7" s="5" t="s">
        <v>16</v>
      </c>
      <c r="J7" s="5" t="s">
        <v>16</v>
      </c>
      <c r="K7" s="5" t="s">
        <v>17</v>
      </c>
      <c r="L7" s="9">
        <v>15</v>
      </c>
      <c r="M7" s="27">
        <v>30</v>
      </c>
      <c r="N7" s="26">
        <f t="shared" si="0"/>
        <v>-15</v>
      </c>
    </row>
    <row r="8" spans="1:14" s="28" customFormat="1" ht="150" customHeight="1" x14ac:dyDescent="0.3">
      <c r="A8" s="5">
        <v>250061</v>
      </c>
      <c r="B8" s="5">
        <v>304</v>
      </c>
      <c r="C8" s="7">
        <v>0.7</v>
      </c>
      <c r="D8" s="5">
        <v>265</v>
      </c>
      <c r="E8" s="32" t="s">
        <v>89</v>
      </c>
      <c r="F8" s="5" t="s">
        <v>80</v>
      </c>
      <c r="G8" s="5">
        <v>304</v>
      </c>
      <c r="H8" s="7" t="s">
        <v>16</v>
      </c>
      <c r="I8" s="5" t="s">
        <v>16</v>
      </c>
      <c r="J8" s="5" t="s">
        <v>16</v>
      </c>
      <c r="K8" s="5" t="s">
        <v>17</v>
      </c>
      <c r="L8" s="9">
        <v>525</v>
      </c>
      <c r="M8" s="27">
        <v>570</v>
      </c>
      <c r="N8" s="26">
        <f t="shared" si="0"/>
        <v>-45</v>
      </c>
    </row>
    <row r="9" spans="1:14" s="28" customFormat="1" ht="150" customHeight="1" x14ac:dyDescent="0.3">
      <c r="A9" s="5">
        <v>250061</v>
      </c>
      <c r="B9" s="5">
        <v>304</v>
      </c>
      <c r="C9" s="7">
        <v>0.7</v>
      </c>
      <c r="D9" s="5">
        <v>265</v>
      </c>
      <c r="E9" s="32" t="s">
        <v>90</v>
      </c>
      <c r="F9" s="5" t="s">
        <v>80</v>
      </c>
      <c r="G9" s="5">
        <v>304</v>
      </c>
      <c r="H9" s="7" t="s">
        <v>16</v>
      </c>
      <c r="I9" s="5" t="s">
        <v>16</v>
      </c>
      <c r="J9" s="5" t="s">
        <v>16</v>
      </c>
      <c r="K9" s="5" t="s">
        <v>17</v>
      </c>
      <c r="L9" s="9">
        <v>15</v>
      </c>
      <c r="M9" s="27">
        <v>30</v>
      </c>
      <c r="N9" s="26">
        <f t="shared" si="0"/>
        <v>-15</v>
      </c>
    </row>
    <row r="10" spans="1:14" s="28" customFormat="1" ht="150" customHeight="1" x14ac:dyDescent="0.3">
      <c r="A10" s="5">
        <v>230925</v>
      </c>
      <c r="B10" s="5">
        <v>430</v>
      </c>
      <c r="C10" s="7">
        <v>0.8</v>
      </c>
      <c r="D10" s="5">
        <v>425</v>
      </c>
      <c r="E10" s="32" t="s">
        <v>82</v>
      </c>
      <c r="F10" s="5" t="s">
        <v>80</v>
      </c>
      <c r="G10" s="5">
        <v>430</v>
      </c>
      <c r="H10" s="7" t="s">
        <v>16</v>
      </c>
      <c r="I10" s="5" t="s">
        <v>16</v>
      </c>
      <c r="J10" s="5" t="s">
        <v>16</v>
      </c>
      <c r="K10" s="5" t="s">
        <v>17</v>
      </c>
      <c r="L10" s="9">
        <v>6000</v>
      </c>
      <c r="M10" s="27"/>
      <c r="N10" s="26">
        <f t="shared" si="0"/>
        <v>6000</v>
      </c>
    </row>
    <row r="11" spans="1:14" s="28" customFormat="1" ht="150" customHeight="1" x14ac:dyDescent="0.3">
      <c r="A11" s="5">
        <v>230925</v>
      </c>
      <c r="B11" s="5">
        <v>430</v>
      </c>
      <c r="C11" s="7">
        <v>0.8</v>
      </c>
      <c r="D11" s="5">
        <v>360</v>
      </c>
      <c r="E11" s="32" t="s">
        <v>83</v>
      </c>
      <c r="F11" s="5" t="s">
        <v>80</v>
      </c>
      <c r="G11" s="5">
        <v>430</v>
      </c>
      <c r="H11" s="7" t="s">
        <v>16</v>
      </c>
      <c r="I11" s="5" t="s">
        <v>16</v>
      </c>
      <c r="J11" s="5" t="s">
        <v>16</v>
      </c>
      <c r="K11" s="5" t="s">
        <v>17</v>
      </c>
      <c r="L11" s="9">
        <v>5300</v>
      </c>
      <c r="M11" s="27"/>
      <c r="N11" s="26">
        <f t="shared" si="0"/>
        <v>5300</v>
      </c>
    </row>
    <row r="12" spans="1:14" s="28" customFormat="1" ht="150" customHeight="1" x14ac:dyDescent="0.3">
      <c r="A12" s="5">
        <v>250079</v>
      </c>
      <c r="B12" s="5">
        <v>304</v>
      </c>
      <c r="C12" s="7">
        <v>0.7</v>
      </c>
      <c r="D12" s="5">
        <v>324</v>
      </c>
      <c r="E12" s="32" t="s">
        <v>91</v>
      </c>
      <c r="F12" s="5" t="s">
        <v>80</v>
      </c>
      <c r="G12" s="5">
        <v>304</v>
      </c>
      <c r="H12" s="7">
        <v>0.6</v>
      </c>
      <c r="I12" s="5" t="s">
        <v>16</v>
      </c>
      <c r="J12" s="5" t="s">
        <v>16</v>
      </c>
      <c r="K12" s="5" t="s">
        <v>17</v>
      </c>
      <c r="L12" s="9">
        <v>964</v>
      </c>
      <c r="M12" s="27"/>
      <c r="N12" s="26">
        <f t="shared" si="0"/>
        <v>964</v>
      </c>
    </row>
    <row r="13" spans="1:14" s="28" customFormat="1" ht="150" customHeight="1" x14ac:dyDescent="0.3">
      <c r="A13" s="5">
        <v>250079</v>
      </c>
      <c r="B13" s="5">
        <v>304</v>
      </c>
      <c r="C13" s="7">
        <v>1</v>
      </c>
      <c r="D13" s="5">
        <v>324</v>
      </c>
      <c r="E13" s="32" t="s">
        <v>92</v>
      </c>
      <c r="F13" s="5" t="s">
        <v>80</v>
      </c>
      <c r="G13" s="5">
        <v>304</v>
      </c>
      <c r="H13" s="7">
        <v>0.6</v>
      </c>
      <c r="I13" s="5" t="s">
        <v>16</v>
      </c>
      <c r="J13" s="5" t="s">
        <v>16</v>
      </c>
      <c r="K13" s="5" t="s">
        <v>17</v>
      </c>
      <c r="L13" s="9">
        <v>36</v>
      </c>
      <c r="M13" s="27"/>
      <c r="N13" s="26">
        <f t="shared" si="0"/>
        <v>36</v>
      </c>
    </row>
    <row r="14" spans="1:14" s="28" customFormat="1" ht="150" customHeight="1" x14ac:dyDescent="0.3">
      <c r="A14" s="5">
        <v>250080</v>
      </c>
      <c r="B14" s="5">
        <v>304</v>
      </c>
      <c r="C14" s="7">
        <v>0.7</v>
      </c>
      <c r="D14" s="5">
        <v>307</v>
      </c>
      <c r="E14" s="32" t="s">
        <v>93</v>
      </c>
      <c r="F14" s="5" t="s">
        <v>80</v>
      </c>
      <c r="G14" s="5">
        <v>430</v>
      </c>
      <c r="H14" s="7">
        <v>0.6</v>
      </c>
      <c r="I14" s="5" t="s">
        <v>16</v>
      </c>
      <c r="J14" s="5" t="s">
        <v>16</v>
      </c>
      <c r="K14" s="5" t="s">
        <v>17</v>
      </c>
      <c r="L14" s="9">
        <v>1000</v>
      </c>
      <c r="M14" s="27"/>
      <c r="N14" s="26">
        <f t="shared" si="0"/>
        <v>1000</v>
      </c>
    </row>
    <row r="15" spans="1:14" s="28" customFormat="1" ht="150" customHeight="1" x14ac:dyDescent="0.3">
      <c r="A15" s="5">
        <v>250079</v>
      </c>
      <c r="B15" s="5">
        <v>304</v>
      </c>
      <c r="C15" s="7">
        <v>0.7</v>
      </c>
      <c r="D15" s="5">
        <v>307</v>
      </c>
      <c r="E15" s="32" t="s">
        <v>94</v>
      </c>
      <c r="F15" s="5" t="s">
        <v>80</v>
      </c>
      <c r="G15" s="5">
        <v>304</v>
      </c>
      <c r="H15" s="7">
        <v>0.6</v>
      </c>
      <c r="I15" s="5" t="s">
        <v>16</v>
      </c>
      <c r="J15" s="5" t="s">
        <v>16</v>
      </c>
      <c r="K15" s="5" t="s">
        <v>17</v>
      </c>
      <c r="L15" s="9">
        <v>1314</v>
      </c>
      <c r="M15" s="27"/>
      <c r="N15" s="26">
        <f t="shared" si="0"/>
        <v>1314</v>
      </c>
    </row>
    <row r="16" spans="1:14" s="28" customFormat="1" ht="150" customHeight="1" x14ac:dyDescent="0.3">
      <c r="A16" s="5">
        <v>250079</v>
      </c>
      <c r="B16" s="5">
        <v>304</v>
      </c>
      <c r="C16" s="7">
        <v>1</v>
      </c>
      <c r="D16" s="5">
        <v>307</v>
      </c>
      <c r="E16" s="32" t="s">
        <v>95</v>
      </c>
      <c r="F16" s="5" t="s">
        <v>80</v>
      </c>
      <c r="G16" s="5">
        <v>304</v>
      </c>
      <c r="H16" s="7">
        <v>0.6</v>
      </c>
      <c r="I16" s="5" t="s">
        <v>16</v>
      </c>
      <c r="J16" s="5" t="s">
        <v>16</v>
      </c>
      <c r="K16" s="5" t="s">
        <v>17</v>
      </c>
      <c r="L16" s="9">
        <v>36</v>
      </c>
      <c r="M16" s="27"/>
      <c r="N16" s="26">
        <f t="shared" si="0"/>
        <v>36</v>
      </c>
    </row>
    <row r="17" spans="1:14" s="28" customFormat="1" ht="150" customHeight="1" x14ac:dyDescent="0.3">
      <c r="A17" s="5">
        <v>250080</v>
      </c>
      <c r="B17" s="5">
        <v>304</v>
      </c>
      <c r="C17" s="7">
        <v>0.7</v>
      </c>
      <c r="D17" s="5">
        <v>265</v>
      </c>
      <c r="E17" s="32" t="s">
        <v>96</v>
      </c>
      <c r="F17" s="5" t="s">
        <v>80</v>
      </c>
      <c r="G17" s="5">
        <v>430</v>
      </c>
      <c r="H17" s="7">
        <v>0.6</v>
      </c>
      <c r="I17" s="5" t="s">
        <v>16</v>
      </c>
      <c r="J17" s="5" t="s">
        <v>16</v>
      </c>
      <c r="K17" s="5" t="s">
        <v>17</v>
      </c>
      <c r="L17" s="9">
        <v>1200</v>
      </c>
      <c r="M17" s="27"/>
      <c r="N17" s="26">
        <f t="shared" si="0"/>
        <v>1200</v>
      </c>
    </row>
    <row r="18" spans="1:14" s="28" customFormat="1" ht="150" customHeight="1" x14ac:dyDescent="0.3">
      <c r="A18" s="5">
        <v>250079</v>
      </c>
      <c r="B18" s="5">
        <v>304</v>
      </c>
      <c r="C18" s="7">
        <v>0.7</v>
      </c>
      <c r="D18" s="5">
        <v>307</v>
      </c>
      <c r="E18" s="32" t="s">
        <v>97</v>
      </c>
      <c r="F18" s="5" t="s">
        <v>80</v>
      </c>
      <c r="G18" s="5">
        <v>304</v>
      </c>
      <c r="H18" s="7">
        <v>0.6</v>
      </c>
      <c r="I18" s="5" t="s">
        <v>16</v>
      </c>
      <c r="J18" s="5" t="s">
        <v>16</v>
      </c>
      <c r="K18" s="5" t="s">
        <v>17</v>
      </c>
      <c r="L18" s="9">
        <v>1314</v>
      </c>
      <c r="M18" s="27"/>
      <c r="N18" s="26">
        <f t="shared" si="0"/>
        <v>1314</v>
      </c>
    </row>
    <row r="19" spans="1:14" s="28" customFormat="1" ht="150" customHeight="1" x14ac:dyDescent="0.3">
      <c r="A19" s="5">
        <v>250079</v>
      </c>
      <c r="B19" s="5">
        <v>304</v>
      </c>
      <c r="C19" s="7">
        <v>1</v>
      </c>
      <c r="D19" s="5">
        <v>307</v>
      </c>
      <c r="E19" s="32" t="s">
        <v>98</v>
      </c>
      <c r="F19" s="5" t="s">
        <v>80</v>
      </c>
      <c r="G19" s="5">
        <v>304</v>
      </c>
      <c r="H19" s="7">
        <v>0.6</v>
      </c>
      <c r="I19" s="5" t="s">
        <v>16</v>
      </c>
      <c r="J19" s="5" t="s">
        <v>16</v>
      </c>
      <c r="K19" s="5" t="s">
        <v>17</v>
      </c>
      <c r="L19" s="9">
        <v>36</v>
      </c>
      <c r="M19" s="27"/>
      <c r="N19" s="26">
        <f t="shared" si="0"/>
        <v>36</v>
      </c>
    </row>
    <row r="20" spans="1:14" s="11" customFormat="1" ht="150" customHeight="1" x14ac:dyDescent="0.3">
      <c r="A20" s="22"/>
      <c r="B20" s="22"/>
      <c r="C20" s="23"/>
      <c r="D20" s="29"/>
      <c r="E20" s="31"/>
      <c r="F20" s="22"/>
      <c r="G20" s="22"/>
      <c r="H20" s="23"/>
      <c r="I20" s="22"/>
      <c r="J20" s="22"/>
      <c r="K20" s="22"/>
      <c r="L20" s="26"/>
      <c r="M20" s="27"/>
      <c r="N20" s="26">
        <f t="shared" si="0"/>
        <v>0</v>
      </c>
    </row>
    <row r="21" spans="1:14" s="11" customFormat="1" ht="150" customHeight="1" x14ac:dyDescent="0.3">
      <c r="A21" s="13"/>
      <c r="B21" s="13"/>
      <c r="C21" s="14"/>
      <c r="D21" s="14"/>
      <c r="E21" s="33"/>
      <c r="F21" s="13"/>
      <c r="G21" s="13"/>
      <c r="H21" s="14"/>
      <c r="I21" s="13"/>
      <c r="J21" s="13"/>
      <c r="K21" s="13"/>
      <c r="L21" s="9">
        <f>SUM(L4:L20)</f>
        <v>23700</v>
      </c>
      <c r="M21" s="16">
        <f>SUM(M4:M20)</f>
        <v>4310</v>
      </c>
      <c r="N21" s="9">
        <f>SUM(N4:N20)</f>
        <v>19390</v>
      </c>
    </row>
    <row r="22" spans="1:14" s="12" customFormat="1" ht="100.05" customHeight="1" x14ac:dyDescent="0.3">
      <c r="A22" s="17"/>
      <c r="B22" s="17"/>
      <c r="C22" s="17"/>
      <c r="D22" s="20"/>
      <c r="E22" s="35"/>
      <c r="F22" s="17"/>
      <c r="G22" s="17"/>
      <c r="H22" s="17"/>
      <c r="I22" s="17"/>
      <c r="J22" s="17"/>
      <c r="K22" s="17"/>
      <c r="L22" s="17"/>
      <c r="M22" s="17"/>
      <c r="N22" s="17"/>
    </row>
    <row r="23" spans="1:14" ht="100.05" customHeight="1" x14ac:dyDescent="0.3"/>
    <row r="24" spans="1:14" s="4" customFormat="1" ht="100.05" customHeight="1" x14ac:dyDescent="0.3">
      <c r="A24" s="17"/>
      <c r="B24" s="17"/>
      <c r="C24" s="17"/>
      <c r="D24" s="20"/>
      <c r="E24" s="35"/>
      <c r="F24" s="17"/>
      <c r="G24" s="17"/>
      <c r="H24" s="17"/>
      <c r="I24" s="17"/>
      <c r="J24" s="17"/>
      <c r="K24" s="17"/>
      <c r="L24" s="17"/>
      <c r="M24" s="17"/>
      <c r="N24" s="17"/>
    </row>
    <row r="25" spans="1:14" s="4" customFormat="1" ht="100.05" customHeight="1" x14ac:dyDescent="0.3">
      <c r="A25" s="17"/>
      <c r="B25" s="17"/>
      <c r="C25" s="17"/>
      <c r="D25" s="20"/>
      <c r="E25" s="35"/>
      <c r="F25" s="17"/>
      <c r="G25" s="17"/>
      <c r="H25" s="17"/>
      <c r="I25" s="17"/>
      <c r="J25" s="17"/>
      <c r="K25" s="17"/>
      <c r="L25" s="17"/>
      <c r="M25" s="17"/>
      <c r="N25" s="17"/>
    </row>
    <row r="26" spans="1:14" s="11" customFormat="1" ht="100.05" customHeight="1" x14ac:dyDescent="0.3">
      <c r="A26" s="17"/>
      <c r="B26" s="17"/>
      <c r="C26" s="17"/>
      <c r="D26" s="20"/>
      <c r="E26" s="35"/>
      <c r="F26" s="17"/>
      <c r="G26" s="17"/>
      <c r="H26" s="17"/>
      <c r="I26" s="17"/>
      <c r="J26" s="17"/>
      <c r="K26" s="17"/>
      <c r="L26" s="17"/>
      <c r="M26" s="17"/>
      <c r="N26" s="17"/>
    </row>
    <row r="27" spans="1:14" s="11" customFormat="1" ht="100.05" customHeight="1" x14ac:dyDescent="0.3">
      <c r="A27" s="17"/>
      <c r="B27" s="17"/>
      <c r="C27" s="17"/>
      <c r="D27" s="20"/>
      <c r="E27" s="35"/>
      <c r="F27" s="17"/>
      <c r="G27" s="17"/>
      <c r="H27" s="17"/>
      <c r="I27" s="17"/>
      <c r="J27" s="17"/>
      <c r="K27" s="17"/>
      <c r="L27" s="17"/>
      <c r="M27" s="17"/>
      <c r="N27" s="17"/>
    </row>
    <row r="28" spans="1:14" s="11" customFormat="1" ht="100.05" customHeight="1" x14ac:dyDescent="0.3">
      <c r="A28" s="17"/>
      <c r="B28" s="17"/>
      <c r="C28" s="17"/>
      <c r="D28" s="20"/>
      <c r="E28" s="35"/>
      <c r="F28" s="17"/>
      <c r="G28" s="17"/>
      <c r="H28" s="17"/>
      <c r="I28" s="17"/>
      <c r="J28" s="17"/>
      <c r="K28" s="17"/>
      <c r="L28" s="17"/>
      <c r="M28" s="17"/>
      <c r="N28" s="17"/>
    </row>
    <row r="29" spans="1:14" s="11" customFormat="1" ht="100.05" customHeight="1" x14ac:dyDescent="0.3">
      <c r="A29" s="17"/>
      <c r="B29" s="17"/>
      <c r="C29" s="17"/>
      <c r="D29" s="20"/>
      <c r="E29" s="35"/>
      <c r="F29" s="17"/>
      <c r="G29" s="17"/>
      <c r="H29" s="17"/>
      <c r="I29" s="17"/>
      <c r="J29" s="17"/>
      <c r="K29" s="17"/>
      <c r="L29" s="17"/>
      <c r="M29" s="17"/>
      <c r="N29" s="17"/>
    </row>
    <row r="30" spans="1:14" s="11" customFormat="1" ht="100.05" customHeight="1" x14ac:dyDescent="0.3">
      <c r="A30" s="17"/>
      <c r="B30" s="17"/>
      <c r="C30" s="17"/>
      <c r="D30" s="20"/>
      <c r="E30" s="35"/>
      <c r="F30" s="17"/>
      <c r="G30" s="17"/>
      <c r="H30" s="17"/>
      <c r="I30" s="17"/>
      <c r="J30" s="17"/>
      <c r="K30" s="17"/>
      <c r="L30" s="17"/>
      <c r="M30" s="17"/>
      <c r="N30" s="17"/>
    </row>
    <row r="31" spans="1:14" s="11" customFormat="1" ht="100.05" customHeight="1" x14ac:dyDescent="0.3">
      <c r="A31" s="17"/>
      <c r="B31" s="17"/>
      <c r="C31" s="17"/>
      <c r="D31" s="20"/>
      <c r="E31" s="35"/>
      <c r="F31" s="17"/>
      <c r="G31" s="17"/>
      <c r="H31" s="17"/>
      <c r="I31" s="17"/>
      <c r="J31" s="17"/>
      <c r="K31" s="17"/>
      <c r="L31" s="17"/>
      <c r="M31" s="17"/>
      <c r="N31" s="17"/>
    </row>
    <row r="32" spans="1:14" s="11" customFormat="1" ht="100.05" customHeight="1" x14ac:dyDescent="0.3">
      <c r="A32" s="17"/>
      <c r="B32" s="17"/>
      <c r="C32" s="17"/>
      <c r="D32" s="20"/>
      <c r="E32" s="35"/>
      <c r="F32" s="17"/>
      <c r="G32" s="17"/>
      <c r="H32" s="17"/>
      <c r="I32" s="17"/>
      <c r="J32" s="17"/>
      <c r="K32" s="17"/>
      <c r="L32" s="17"/>
      <c r="M32" s="17"/>
      <c r="N32" s="17"/>
    </row>
    <row r="33" spans="1:14" s="11" customFormat="1" ht="100.05" customHeight="1" x14ac:dyDescent="0.3">
      <c r="A33" s="17"/>
      <c r="B33" s="17"/>
      <c r="C33" s="17"/>
      <c r="D33" s="20"/>
      <c r="E33" s="35"/>
      <c r="F33" s="17"/>
      <c r="G33" s="17"/>
      <c r="H33" s="17"/>
      <c r="I33" s="17"/>
      <c r="J33" s="17"/>
      <c r="K33" s="17"/>
      <c r="L33" s="17"/>
      <c r="M33" s="17"/>
      <c r="N33" s="17"/>
    </row>
    <row r="34" spans="1:14" s="11" customFormat="1" ht="100.05" customHeight="1" x14ac:dyDescent="0.3">
      <c r="A34" s="17"/>
      <c r="B34" s="17"/>
      <c r="C34" s="17"/>
      <c r="D34" s="20"/>
      <c r="E34" s="35"/>
      <c r="F34" s="17"/>
      <c r="G34" s="17"/>
      <c r="H34" s="17"/>
      <c r="I34" s="17"/>
      <c r="J34" s="17"/>
      <c r="K34" s="17"/>
      <c r="L34" s="17"/>
      <c r="M34" s="17"/>
      <c r="N34" s="17"/>
    </row>
    <row r="35" spans="1:14" s="11" customFormat="1" ht="100.05" customHeight="1" x14ac:dyDescent="0.3">
      <c r="A35" s="17"/>
      <c r="B35" s="17"/>
      <c r="C35" s="17"/>
      <c r="D35" s="20"/>
      <c r="E35" s="35"/>
      <c r="F35" s="17"/>
      <c r="G35" s="17"/>
      <c r="H35" s="17"/>
      <c r="I35" s="17"/>
      <c r="J35" s="17"/>
      <c r="K35" s="17"/>
      <c r="L35" s="17"/>
      <c r="M35" s="17"/>
      <c r="N35" s="17"/>
    </row>
  </sheetData>
  <mergeCells count="3">
    <mergeCell ref="A1:C1"/>
    <mergeCell ref="K1:N1"/>
    <mergeCell ref="A2:N2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18" orientation="portrait" horizontalDpi="1200" verticalDpi="12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0"/>
  <sheetViews>
    <sheetView zoomScale="25" zoomScaleNormal="25" workbookViewId="0">
      <selection activeCell="M5" sqref="M5"/>
    </sheetView>
  </sheetViews>
  <sheetFormatPr defaultColWidth="8.88671875" defaultRowHeight="14.4" x14ac:dyDescent="0.3"/>
  <cols>
    <col min="1" max="1" width="41.77734375" style="17" customWidth="1"/>
    <col min="2" max="2" width="19.6640625" style="17" customWidth="1"/>
    <col min="3" max="3" width="29.21875" style="17" customWidth="1"/>
    <col min="4" max="4" width="28.6640625" style="20" customWidth="1"/>
    <col min="5" max="5" width="162.109375" style="35" customWidth="1"/>
    <col min="6" max="6" width="32.109375" style="17" bestFit="1" customWidth="1"/>
    <col min="7" max="7" width="21.88671875" style="17" bestFit="1" customWidth="1"/>
    <col min="8" max="8" width="26.6640625" style="17" bestFit="1" customWidth="1"/>
    <col min="9" max="9" width="40.109375" style="17" bestFit="1" customWidth="1"/>
    <col min="10" max="10" width="37.88671875" style="17" customWidth="1"/>
    <col min="11" max="11" width="25.6640625" style="17" customWidth="1"/>
    <col min="12" max="14" width="26.77734375" style="17" bestFit="1" customWidth="1"/>
    <col min="15" max="16384" width="8.88671875" style="18"/>
  </cols>
  <sheetData>
    <row r="1" spans="1:14" s="3" customFormat="1" ht="100.05" customHeight="1" x14ac:dyDescent="0.95">
      <c r="A1" s="37"/>
      <c r="B1" s="37"/>
      <c r="C1" s="37"/>
      <c r="D1" s="19"/>
      <c r="E1" s="34"/>
      <c r="F1" s="1"/>
      <c r="G1" s="1"/>
      <c r="H1" s="1"/>
      <c r="I1" s="1"/>
      <c r="J1" s="2" t="s">
        <v>0</v>
      </c>
      <c r="K1" s="38">
        <v>45954</v>
      </c>
      <c r="L1" s="38"/>
      <c r="M1" s="38"/>
      <c r="N1" s="38"/>
    </row>
    <row r="2" spans="1:14" s="4" customFormat="1" ht="100.05" customHeight="1" x14ac:dyDescent="0.3">
      <c r="A2" s="39" t="s">
        <v>69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</row>
    <row r="3" spans="1:14" s="4" customFormat="1" ht="150" customHeight="1" x14ac:dyDescent="0.3">
      <c r="A3" s="5" t="s">
        <v>1</v>
      </c>
      <c r="B3" s="5" t="s">
        <v>2</v>
      </c>
      <c r="C3" s="6" t="s">
        <v>3</v>
      </c>
      <c r="D3" s="7" t="s">
        <v>4</v>
      </c>
      <c r="E3" s="32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6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s="28" customFormat="1" ht="150" customHeight="1" x14ac:dyDescent="0.3">
      <c r="A4" s="22">
        <v>290925</v>
      </c>
      <c r="B4" s="22">
        <v>304</v>
      </c>
      <c r="C4" s="23">
        <v>0.8</v>
      </c>
      <c r="D4" s="29" t="s">
        <v>65</v>
      </c>
      <c r="E4" s="31" t="s">
        <v>76</v>
      </c>
      <c r="F4" s="22" t="s">
        <v>16</v>
      </c>
      <c r="G4" s="22" t="s">
        <v>16</v>
      </c>
      <c r="H4" s="23" t="s">
        <v>16</v>
      </c>
      <c r="I4" s="22" t="s">
        <v>16</v>
      </c>
      <c r="J4" s="23" t="s">
        <v>16</v>
      </c>
      <c r="K4" s="22" t="s">
        <v>17</v>
      </c>
      <c r="L4" s="26">
        <v>3000</v>
      </c>
      <c r="M4" s="27">
        <f>500+2400+200</f>
        <v>3100</v>
      </c>
      <c r="N4" s="26">
        <f t="shared" ref="N4:N15" si="0">L4-M4</f>
        <v>-100</v>
      </c>
    </row>
    <row r="5" spans="1:14" s="28" customFormat="1" ht="150" customHeight="1" x14ac:dyDescent="0.3">
      <c r="A5" s="5">
        <v>230925</v>
      </c>
      <c r="B5" s="5">
        <v>430</v>
      </c>
      <c r="C5" s="7">
        <v>0.8</v>
      </c>
      <c r="D5" s="5">
        <v>425</v>
      </c>
      <c r="E5" s="32" t="s">
        <v>82</v>
      </c>
      <c r="F5" s="5" t="s">
        <v>80</v>
      </c>
      <c r="G5" s="5">
        <v>430</v>
      </c>
      <c r="H5" s="7" t="s">
        <v>16</v>
      </c>
      <c r="I5" s="5" t="s">
        <v>16</v>
      </c>
      <c r="J5" s="5" t="s">
        <v>16</v>
      </c>
      <c r="K5" s="5" t="s">
        <v>17</v>
      </c>
      <c r="L5" s="9">
        <v>6000</v>
      </c>
      <c r="M5" s="27"/>
      <c r="N5" s="26">
        <f t="shared" si="0"/>
        <v>6000</v>
      </c>
    </row>
    <row r="6" spans="1:14" s="28" customFormat="1" ht="150" customHeight="1" x14ac:dyDescent="0.3">
      <c r="A6" s="5">
        <v>230925</v>
      </c>
      <c r="B6" s="5">
        <v>430</v>
      </c>
      <c r="C6" s="7">
        <v>0.8</v>
      </c>
      <c r="D6" s="5">
        <v>360</v>
      </c>
      <c r="E6" s="32" t="s">
        <v>83</v>
      </c>
      <c r="F6" s="5" t="s">
        <v>80</v>
      </c>
      <c r="G6" s="5">
        <v>430</v>
      </c>
      <c r="H6" s="7" t="s">
        <v>16</v>
      </c>
      <c r="I6" s="5" t="s">
        <v>16</v>
      </c>
      <c r="J6" s="5" t="s">
        <v>16</v>
      </c>
      <c r="K6" s="5" t="s">
        <v>17</v>
      </c>
      <c r="L6" s="9">
        <v>5300</v>
      </c>
      <c r="M6" s="27"/>
      <c r="N6" s="26">
        <f t="shared" si="0"/>
        <v>5300</v>
      </c>
    </row>
    <row r="7" spans="1:14" s="28" customFormat="1" ht="150" customHeight="1" x14ac:dyDescent="0.3">
      <c r="A7" s="5">
        <v>250079</v>
      </c>
      <c r="B7" s="5">
        <v>304</v>
      </c>
      <c r="C7" s="7">
        <v>0.7</v>
      </c>
      <c r="D7" s="5">
        <v>324</v>
      </c>
      <c r="E7" s="32" t="s">
        <v>91</v>
      </c>
      <c r="F7" s="5" t="s">
        <v>80</v>
      </c>
      <c r="G7" s="5">
        <v>304</v>
      </c>
      <c r="H7" s="7">
        <v>0.6</v>
      </c>
      <c r="I7" s="5" t="s">
        <v>16</v>
      </c>
      <c r="J7" s="5" t="s">
        <v>16</v>
      </c>
      <c r="K7" s="5" t="s">
        <v>17</v>
      </c>
      <c r="L7" s="9">
        <v>964</v>
      </c>
      <c r="M7" s="27"/>
      <c r="N7" s="26">
        <f t="shared" si="0"/>
        <v>964</v>
      </c>
    </row>
    <row r="8" spans="1:14" s="28" customFormat="1" ht="150" customHeight="1" x14ac:dyDescent="0.3">
      <c r="A8" s="5">
        <v>250079</v>
      </c>
      <c r="B8" s="5">
        <v>304</v>
      </c>
      <c r="C8" s="7">
        <v>1</v>
      </c>
      <c r="D8" s="5">
        <v>324</v>
      </c>
      <c r="E8" s="32" t="s">
        <v>92</v>
      </c>
      <c r="F8" s="5" t="s">
        <v>80</v>
      </c>
      <c r="G8" s="5">
        <v>304</v>
      </c>
      <c r="H8" s="7">
        <v>0.6</v>
      </c>
      <c r="I8" s="5" t="s">
        <v>16</v>
      </c>
      <c r="J8" s="5" t="s">
        <v>16</v>
      </c>
      <c r="K8" s="5" t="s">
        <v>17</v>
      </c>
      <c r="L8" s="9">
        <v>36</v>
      </c>
      <c r="M8" s="27"/>
      <c r="N8" s="26">
        <f t="shared" si="0"/>
        <v>36</v>
      </c>
    </row>
    <row r="9" spans="1:14" s="28" customFormat="1" ht="150" customHeight="1" x14ac:dyDescent="0.3">
      <c r="A9" s="5">
        <v>250080</v>
      </c>
      <c r="B9" s="5">
        <v>304</v>
      </c>
      <c r="C9" s="7">
        <v>0.7</v>
      </c>
      <c r="D9" s="5">
        <v>307</v>
      </c>
      <c r="E9" s="32" t="s">
        <v>93</v>
      </c>
      <c r="F9" s="5" t="s">
        <v>80</v>
      </c>
      <c r="G9" s="5">
        <v>430</v>
      </c>
      <c r="H9" s="7">
        <v>0.6</v>
      </c>
      <c r="I9" s="5" t="s">
        <v>16</v>
      </c>
      <c r="J9" s="5" t="s">
        <v>16</v>
      </c>
      <c r="K9" s="5" t="s">
        <v>17</v>
      </c>
      <c r="L9" s="9">
        <v>1000</v>
      </c>
      <c r="M9" s="27"/>
      <c r="N9" s="26">
        <f t="shared" si="0"/>
        <v>1000</v>
      </c>
    </row>
    <row r="10" spans="1:14" s="28" customFormat="1" ht="150" customHeight="1" x14ac:dyDescent="0.3">
      <c r="A10" s="5">
        <v>250079</v>
      </c>
      <c r="B10" s="5">
        <v>304</v>
      </c>
      <c r="C10" s="7">
        <v>0.7</v>
      </c>
      <c r="D10" s="5">
        <v>307</v>
      </c>
      <c r="E10" s="32" t="s">
        <v>94</v>
      </c>
      <c r="F10" s="5" t="s">
        <v>80</v>
      </c>
      <c r="G10" s="5">
        <v>304</v>
      </c>
      <c r="H10" s="7">
        <v>0.6</v>
      </c>
      <c r="I10" s="5" t="s">
        <v>16</v>
      </c>
      <c r="J10" s="5" t="s">
        <v>16</v>
      </c>
      <c r="K10" s="5" t="s">
        <v>17</v>
      </c>
      <c r="L10" s="9">
        <v>1314</v>
      </c>
      <c r="M10" s="27"/>
      <c r="N10" s="26">
        <f t="shared" si="0"/>
        <v>1314</v>
      </c>
    </row>
    <row r="11" spans="1:14" s="28" customFormat="1" ht="150" customHeight="1" x14ac:dyDescent="0.3">
      <c r="A11" s="5">
        <v>250079</v>
      </c>
      <c r="B11" s="5">
        <v>304</v>
      </c>
      <c r="C11" s="7">
        <v>1</v>
      </c>
      <c r="D11" s="5">
        <v>307</v>
      </c>
      <c r="E11" s="32" t="s">
        <v>95</v>
      </c>
      <c r="F11" s="5" t="s">
        <v>80</v>
      </c>
      <c r="G11" s="5">
        <v>304</v>
      </c>
      <c r="H11" s="7">
        <v>0.6</v>
      </c>
      <c r="I11" s="5" t="s">
        <v>16</v>
      </c>
      <c r="J11" s="5" t="s">
        <v>16</v>
      </c>
      <c r="K11" s="5" t="s">
        <v>17</v>
      </c>
      <c r="L11" s="9">
        <v>36</v>
      </c>
      <c r="M11" s="27"/>
      <c r="N11" s="26">
        <f t="shared" si="0"/>
        <v>36</v>
      </c>
    </row>
    <row r="12" spans="1:14" s="28" customFormat="1" ht="150" customHeight="1" x14ac:dyDescent="0.3">
      <c r="A12" s="5">
        <v>250080</v>
      </c>
      <c r="B12" s="5">
        <v>304</v>
      </c>
      <c r="C12" s="7">
        <v>0.7</v>
      </c>
      <c r="D12" s="5">
        <v>265</v>
      </c>
      <c r="E12" s="32" t="s">
        <v>96</v>
      </c>
      <c r="F12" s="5" t="s">
        <v>80</v>
      </c>
      <c r="G12" s="5">
        <v>430</v>
      </c>
      <c r="H12" s="7">
        <v>0.6</v>
      </c>
      <c r="I12" s="5" t="s">
        <v>16</v>
      </c>
      <c r="J12" s="5" t="s">
        <v>16</v>
      </c>
      <c r="K12" s="5" t="s">
        <v>17</v>
      </c>
      <c r="L12" s="9">
        <v>1200</v>
      </c>
      <c r="M12" s="27"/>
      <c r="N12" s="26">
        <f t="shared" si="0"/>
        <v>1200</v>
      </c>
    </row>
    <row r="13" spans="1:14" s="28" customFormat="1" ht="150" customHeight="1" x14ac:dyDescent="0.3">
      <c r="A13" s="5">
        <v>250079</v>
      </c>
      <c r="B13" s="5">
        <v>304</v>
      </c>
      <c r="C13" s="7">
        <v>0.7</v>
      </c>
      <c r="D13" s="5">
        <v>307</v>
      </c>
      <c r="E13" s="32" t="s">
        <v>97</v>
      </c>
      <c r="F13" s="5" t="s">
        <v>80</v>
      </c>
      <c r="G13" s="5">
        <v>304</v>
      </c>
      <c r="H13" s="7">
        <v>0.6</v>
      </c>
      <c r="I13" s="5" t="s">
        <v>16</v>
      </c>
      <c r="J13" s="5" t="s">
        <v>16</v>
      </c>
      <c r="K13" s="5" t="s">
        <v>17</v>
      </c>
      <c r="L13" s="9">
        <v>1314</v>
      </c>
      <c r="M13" s="27"/>
      <c r="N13" s="26">
        <f t="shared" si="0"/>
        <v>1314</v>
      </c>
    </row>
    <row r="14" spans="1:14" s="28" customFormat="1" ht="150" customHeight="1" x14ac:dyDescent="0.3">
      <c r="A14" s="5">
        <v>250079</v>
      </c>
      <c r="B14" s="5">
        <v>304</v>
      </c>
      <c r="C14" s="7">
        <v>1</v>
      </c>
      <c r="D14" s="5">
        <v>307</v>
      </c>
      <c r="E14" s="32" t="s">
        <v>98</v>
      </c>
      <c r="F14" s="5" t="s">
        <v>80</v>
      </c>
      <c r="G14" s="5">
        <v>304</v>
      </c>
      <c r="H14" s="7">
        <v>0.6</v>
      </c>
      <c r="I14" s="5" t="s">
        <v>16</v>
      </c>
      <c r="J14" s="5" t="s">
        <v>16</v>
      </c>
      <c r="K14" s="5" t="s">
        <v>17</v>
      </c>
      <c r="L14" s="9">
        <v>36</v>
      </c>
      <c r="M14" s="27"/>
      <c r="N14" s="26">
        <f t="shared" si="0"/>
        <v>36</v>
      </c>
    </row>
    <row r="15" spans="1:14" s="11" customFormat="1" ht="150" customHeight="1" x14ac:dyDescent="0.3">
      <c r="A15" s="22"/>
      <c r="B15" s="22"/>
      <c r="C15" s="23"/>
      <c r="D15" s="29"/>
      <c r="E15" s="31"/>
      <c r="F15" s="22"/>
      <c r="G15" s="22"/>
      <c r="H15" s="23"/>
      <c r="I15" s="22"/>
      <c r="J15" s="22"/>
      <c r="K15" s="22"/>
      <c r="L15" s="26"/>
      <c r="M15" s="27"/>
      <c r="N15" s="26">
        <f t="shared" si="0"/>
        <v>0</v>
      </c>
    </row>
    <row r="16" spans="1:14" s="11" customFormat="1" ht="150" customHeight="1" x14ac:dyDescent="0.3">
      <c r="A16" s="13"/>
      <c r="B16" s="13"/>
      <c r="C16" s="14"/>
      <c r="D16" s="14"/>
      <c r="E16" s="33"/>
      <c r="F16" s="13"/>
      <c r="G16" s="13"/>
      <c r="H16" s="14"/>
      <c r="I16" s="13"/>
      <c r="J16" s="13"/>
      <c r="K16" s="13"/>
      <c r="L16" s="9">
        <f>SUM(L4:L15)</f>
        <v>20200</v>
      </c>
      <c r="M16" s="16">
        <f>SUM(M4:M15)</f>
        <v>3100</v>
      </c>
      <c r="N16" s="9">
        <f>SUM(N4:N15)</f>
        <v>17100</v>
      </c>
    </row>
    <row r="17" spans="1:14" s="12" customFormat="1" ht="100.05" customHeight="1" x14ac:dyDescent="0.3">
      <c r="A17" s="17"/>
      <c r="B17" s="17"/>
      <c r="C17" s="17"/>
      <c r="D17" s="20"/>
      <c r="E17" s="35"/>
      <c r="F17" s="17"/>
      <c r="G17" s="17"/>
      <c r="H17" s="17"/>
      <c r="I17" s="17"/>
      <c r="J17" s="17"/>
      <c r="K17" s="17"/>
      <c r="L17" s="17"/>
      <c r="M17" s="17"/>
      <c r="N17" s="17"/>
    </row>
    <row r="18" spans="1:14" ht="100.05" customHeight="1" x14ac:dyDescent="0.3"/>
    <row r="19" spans="1:14" s="4" customFormat="1" ht="100.05" customHeight="1" x14ac:dyDescent="0.3">
      <c r="A19" s="17"/>
      <c r="B19" s="17"/>
      <c r="C19" s="17"/>
      <c r="D19" s="20"/>
      <c r="E19" s="35"/>
      <c r="F19" s="17"/>
      <c r="G19" s="17"/>
      <c r="H19" s="17"/>
      <c r="I19" s="17"/>
      <c r="J19" s="17"/>
      <c r="K19" s="17"/>
      <c r="L19" s="17"/>
      <c r="M19" s="17"/>
      <c r="N19" s="17"/>
    </row>
    <row r="20" spans="1:14" s="4" customFormat="1" ht="100.05" customHeight="1" x14ac:dyDescent="0.3">
      <c r="A20" s="17"/>
      <c r="B20" s="17"/>
      <c r="C20" s="17"/>
      <c r="D20" s="20"/>
      <c r="E20" s="35"/>
      <c r="F20" s="17"/>
      <c r="G20" s="17"/>
      <c r="H20" s="17"/>
      <c r="I20" s="17"/>
      <c r="J20" s="17"/>
      <c r="K20" s="17"/>
      <c r="L20" s="17"/>
      <c r="M20" s="17"/>
      <c r="N20" s="17"/>
    </row>
    <row r="21" spans="1:14" s="11" customFormat="1" ht="100.05" customHeight="1" x14ac:dyDescent="0.3">
      <c r="A21" s="17"/>
      <c r="B21" s="17"/>
      <c r="C21" s="17"/>
      <c r="D21" s="20"/>
      <c r="E21" s="35"/>
      <c r="F21" s="17"/>
      <c r="G21" s="17"/>
      <c r="H21" s="17"/>
      <c r="I21" s="17"/>
      <c r="J21" s="17"/>
      <c r="K21" s="17"/>
      <c r="L21" s="17"/>
      <c r="M21" s="17"/>
      <c r="N21" s="17"/>
    </row>
    <row r="22" spans="1:14" s="11" customFormat="1" ht="100.05" customHeight="1" x14ac:dyDescent="0.3">
      <c r="A22" s="17"/>
      <c r="B22" s="17"/>
      <c r="C22" s="17"/>
      <c r="D22" s="20"/>
      <c r="E22" s="35"/>
      <c r="F22" s="17"/>
      <c r="G22" s="17"/>
      <c r="H22" s="17"/>
      <c r="I22" s="17"/>
      <c r="J22" s="17"/>
      <c r="K22" s="17"/>
      <c r="L22" s="17"/>
      <c r="M22" s="17"/>
      <c r="N22" s="17"/>
    </row>
    <row r="23" spans="1:14" s="11" customFormat="1" ht="100.05" customHeight="1" x14ac:dyDescent="0.3">
      <c r="A23" s="17"/>
      <c r="B23" s="17"/>
      <c r="C23" s="17"/>
      <c r="D23" s="20"/>
      <c r="E23" s="35"/>
      <c r="F23" s="17"/>
      <c r="G23" s="17"/>
      <c r="H23" s="17"/>
      <c r="I23" s="17"/>
      <c r="J23" s="17"/>
      <c r="K23" s="17"/>
      <c r="L23" s="17"/>
      <c r="M23" s="17"/>
      <c r="N23" s="17"/>
    </row>
    <row r="24" spans="1:14" s="11" customFormat="1" ht="100.05" customHeight="1" x14ac:dyDescent="0.3">
      <c r="A24" s="17"/>
      <c r="B24" s="17"/>
      <c r="C24" s="17"/>
      <c r="D24" s="20"/>
      <c r="E24" s="35"/>
      <c r="F24" s="17"/>
      <c r="G24" s="17"/>
      <c r="H24" s="17"/>
      <c r="I24" s="17"/>
      <c r="J24" s="17"/>
      <c r="K24" s="17"/>
      <c r="L24" s="17"/>
      <c r="M24" s="17"/>
      <c r="N24" s="17"/>
    </row>
    <row r="25" spans="1:14" s="11" customFormat="1" ht="100.05" customHeight="1" x14ac:dyDescent="0.3">
      <c r="A25" s="17"/>
      <c r="B25" s="17"/>
      <c r="C25" s="17"/>
      <c r="D25" s="20"/>
      <c r="E25" s="35"/>
      <c r="F25" s="17"/>
      <c r="G25" s="17"/>
      <c r="H25" s="17"/>
      <c r="I25" s="17"/>
      <c r="J25" s="17"/>
      <c r="K25" s="17"/>
      <c r="L25" s="17"/>
      <c r="M25" s="17"/>
      <c r="N25" s="17"/>
    </row>
    <row r="26" spans="1:14" s="11" customFormat="1" ht="100.05" customHeight="1" x14ac:dyDescent="0.3">
      <c r="A26" s="17"/>
      <c r="B26" s="17"/>
      <c r="C26" s="17"/>
      <c r="D26" s="20"/>
      <c r="E26" s="35"/>
      <c r="F26" s="17"/>
      <c r="G26" s="17"/>
      <c r="H26" s="17"/>
      <c r="I26" s="17"/>
      <c r="J26" s="17"/>
      <c r="K26" s="17"/>
      <c r="L26" s="17"/>
      <c r="M26" s="17"/>
      <c r="N26" s="17"/>
    </row>
    <row r="27" spans="1:14" s="11" customFormat="1" ht="100.05" customHeight="1" x14ac:dyDescent="0.3">
      <c r="A27" s="17"/>
      <c r="B27" s="17"/>
      <c r="C27" s="17"/>
      <c r="D27" s="20"/>
      <c r="E27" s="35"/>
      <c r="F27" s="17"/>
      <c r="G27" s="17"/>
      <c r="H27" s="17"/>
      <c r="I27" s="17"/>
      <c r="J27" s="17"/>
      <c r="K27" s="17"/>
      <c r="L27" s="17"/>
      <c r="M27" s="17"/>
      <c r="N27" s="17"/>
    </row>
    <row r="28" spans="1:14" s="11" customFormat="1" ht="100.05" customHeight="1" x14ac:dyDescent="0.3">
      <c r="A28" s="17"/>
      <c r="B28" s="17"/>
      <c r="C28" s="17"/>
      <c r="D28" s="20"/>
      <c r="E28" s="35"/>
      <c r="F28" s="17"/>
      <c r="G28" s="17"/>
      <c r="H28" s="17"/>
      <c r="I28" s="17"/>
      <c r="J28" s="17"/>
      <c r="K28" s="17"/>
      <c r="L28" s="17"/>
      <c r="M28" s="17"/>
      <c r="N28" s="17"/>
    </row>
    <row r="29" spans="1:14" s="11" customFormat="1" ht="100.05" customHeight="1" x14ac:dyDescent="0.3">
      <c r="A29" s="17"/>
      <c r="B29" s="17"/>
      <c r="C29" s="17"/>
      <c r="D29" s="20"/>
      <c r="E29" s="35"/>
      <c r="F29" s="17"/>
      <c r="G29" s="17"/>
      <c r="H29" s="17"/>
      <c r="I29" s="17"/>
      <c r="J29" s="17"/>
      <c r="K29" s="17"/>
      <c r="L29" s="17"/>
      <c r="M29" s="17"/>
      <c r="N29" s="17"/>
    </row>
    <row r="30" spans="1:14" s="11" customFormat="1" ht="100.05" customHeight="1" x14ac:dyDescent="0.3">
      <c r="A30" s="17"/>
      <c r="B30" s="17"/>
      <c r="C30" s="17"/>
      <c r="D30" s="20"/>
      <c r="E30" s="35"/>
      <c r="F30" s="17"/>
      <c r="G30" s="17"/>
      <c r="H30" s="17"/>
      <c r="I30" s="17"/>
      <c r="J30" s="17"/>
      <c r="K30" s="17"/>
      <c r="L30" s="17"/>
      <c r="M30" s="17"/>
      <c r="N30" s="17"/>
    </row>
  </sheetData>
  <mergeCells count="3">
    <mergeCell ref="A1:C1"/>
    <mergeCell ref="K1:N1"/>
    <mergeCell ref="A2:N2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18" orientation="portrait" horizontalDpi="1200" verticalDpi="12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9"/>
  <sheetViews>
    <sheetView zoomScale="25" zoomScaleNormal="25" workbookViewId="0">
      <selection activeCell="M5" sqref="M5"/>
    </sheetView>
  </sheetViews>
  <sheetFormatPr defaultColWidth="8.88671875" defaultRowHeight="14.4" x14ac:dyDescent="0.3"/>
  <cols>
    <col min="1" max="1" width="41.77734375" style="17" customWidth="1"/>
    <col min="2" max="2" width="19.6640625" style="17" customWidth="1"/>
    <col min="3" max="3" width="29.21875" style="17" customWidth="1"/>
    <col min="4" max="4" width="28.6640625" style="20" customWidth="1"/>
    <col min="5" max="5" width="162.109375" style="35" customWidth="1"/>
    <col min="6" max="6" width="32.109375" style="17" bestFit="1" customWidth="1"/>
    <col min="7" max="7" width="21.88671875" style="17" bestFit="1" customWidth="1"/>
    <col min="8" max="8" width="26.6640625" style="17" bestFit="1" customWidth="1"/>
    <col min="9" max="9" width="40.109375" style="17" bestFit="1" customWidth="1"/>
    <col min="10" max="10" width="37.88671875" style="17" customWidth="1"/>
    <col min="11" max="11" width="25.6640625" style="17" customWidth="1"/>
    <col min="12" max="14" width="26.77734375" style="17" bestFit="1" customWidth="1"/>
    <col min="15" max="16384" width="8.88671875" style="18"/>
  </cols>
  <sheetData>
    <row r="1" spans="1:14" s="3" customFormat="1" ht="100.05" customHeight="1" x14ac:dyDescent="0.95">
      <c r="A1" s="37"/>
      <c r="B1" s="37"/>
      <c r="C1" s="37"/>
      <c r="D1" s="19"/>
      <c r="E1" s="34"/>
      <c r="F1" s="1"/>
      <c r="G1" s="1"/>
      <c r="H1" s="1"/>
      <c r="I1" s="1"/>
      <c r="J1" s="2" t="s">
        <v>0</v>
      </c>
      <c r="K1" s="38">
        <v>45957</v>
      </c>
      <c r="L1" s="38"/>
      <c r="M1" s="38"/>
      <c r="N1" s="38"/>
    </row>
    <row r="2" spans="1:14" s="4" customFormat="1" ht="100.05" customHeight="1" x14ac:dyDescent="0.3">
      <c r="A2" s="39" t="s">
        <v>69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</row>
    <row r="3" spans="1:14" s="4" customFormat="1" ht="150" customHeight="1" x14ac:dyDescent="0.3">
      <c r="A3" s="5" t="s">
        <v>1</v>
      </c>
      <c r="B3" s="5" t="s">
        <v>2</v>
      </c>
      <c r="C3" s="6" t="s">
        <v>3</v>
      </c>
      <c r="D3" s="7" t="s">
        <v>4</v>
      </c>
      <c r="E3" s="32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6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s="28" customFormat="1" ht="150" customHeight="1" x14ac:dyDescent="0.3">
      <c r="A4" s="5">
        <v>230925</v>
      </c>
      <c r="B4" s="5">
        <v>430</v>
      </c>
      <c r="C4" s="7">
        <v>0.8</v>
      </c>
      <c r="D4" s="5">
        <v>425</v>
      </c>
      <c r="E4" s="32" t="s">
        <v>82</v>
      </c>
      <c r="F4" s="5" t="s">
        <v>80</v>
      </c>
      <c r="G4" s="5">
        <v>430</v>
      </c>
      <c r="H4" s="7" t="s">
        <v>16</v>
      </c>
      <c r="I4" s="5" t="s">
        <v>16</v>
      </c>
      <c r="J4" s="5" t="s">
        <v>16</v>
      </c>
      <c r="K4" s="5" t="s">
        <v>17</v>
      </c>
      <c r="L4" s="9">
        <v>6000</v>
      </c>
      <c r="M4" s="27">
        <v>1700</v>
      </c>
      <c r="N4" s="26">
        <f t="shared" ref="N4:N14" si="0">L4-M4</f>
        <v>4300</v>
      </c>
    </row>
    <row r="5" spans="1:14" s="28" customFormat="1" ht="150" customHeight="1" x14ac:dyDescent="0.3">
      <c r="A5" s="5">
        <v>230925</v>
      </c>
      <c r="B5" s="5">
        <v>430</v>
      </c>
      <c r="C5" s="7">
        <v>0.8</v>
      </c>
      <c r="D5" s="5">
        <v>360</v>
      </c>
      <c r="E5" s="32" t="s">
        <v>83</v>
      </c>
      <c r="F5" s="5" t="s">
        <v>80</v>
      </c>
      <c r="G5" s="5">
        <v>430</v>
      </c>
      <c r="H5" s="7" t="s">
        <v>16</v>
      </c>
      <c r="I5" s="5" t="s">
        <v>16</v>
      </c>
      <c r="J5" s="5" t="s">
        <v>16</v>
      </c>
      <c r="K5" s="5" t="s">
        <v>17</v>
      </c>
      <c r="L5" s="9">
        <v>5300</v>
      </c>
      <c r="M5" s="27"/>
      <c r="N5" s="26">
        <f t="shared" si="0"/>
        <v>5300</v>
      </c>
    </row>
    <row r="6" spans="1:14" s="28" customFormat="1" ht="150" customHeight="1" x14ac:dyDescent="0.3">
      <c r="A6" s="5">
        <v>250079</v>
      </c>
      <c r="B6" s="5">
        <v>304</v>
      </c>
      <c r="C6" s="7">
        <v>0.7</v>
      </c>
      <c r="D6" s="5">
        <v>324</v>
      </c>
      <c r="E6" s="32" t="s">
        <v>91</v>
      </c>
      <c r="F6" s="5" t="s">
        <v>80</v>
      </c>
      <c r="G6" s="5">
        <v>304</v>
      </c>
      <c r="H6" s="7">
        <v>0.6</v>
      </c>
      <c r="I6" s="5" t="s">
        <v>16</v>
      </c>
      <c r="J6" s="5" t="s">
        <v>16</v>
      </c>
      <c r="K6" s="5" t="s">
        <v>17</v>
      </c>
      <c r="L6" s="9">
        <v>964</v>
      </c>
      <c r="M6" s="27"/>
      <c r="N6" s="26">
        <f t="shared" si="0"/>
        <v>964</v>
      </c>
    </row>
    <row r="7" spans="1:14" s="28" customFormat="1" ht="150" customHeight="1" x14ac:dyDescent="0.3">
      <c r="A7" s="5">
        <v>250079</v>
      </c>
      <c r="B7" s="5">
        <v>304</v>
      </c>
      <c r="C7" s="7">
        <v>1</v>
      </c>
      <c r="D7" s="5">
        <v>324</v>
      </c>
      <c r="E7" s="32" t="s">
        <v>92</v>
      </c>
      <c r="F7" s="5" t="s">
        <v>80</v>
      </c>
      <c r="G7" s="5">
        <v>304</v>
      </c>
      <c r="H7" s="7">
        <v>0.6</v>
      </c>
      <c r="I7" s="5" t="s">
        <v>16</v>
      </c>
      <c r="J7" s="5" t="s">
        <v>16</v>
      </c>
      <c r="K7" s="5" t="s">
        <v>17</v>
      </c>
      <c r="L7" s="9">
        <v>36</v>
      </c>
      <c r="M7" s="27"/>
      <c r="N7" s="26">
        <f t="shared" si="0"/>
        <v>36</v>
      </c>
    </row>
    <row r="8" spans="1:14" s="28" customFormat="1" ht="150" customHeight="1" x14ac:dyDescent="0.3">
      <c r="A8" s="5">
        <v>250080</v>
      </c>
      <c r="B8" s="5">
        <v>304</v>
      </c>
      <c r="C8" s="7">
        <v>0.7</v>
      </c>
      <c r="D8" s="5">
        <v>307</v>
      </c>
      <c r="E8" s="32" t="s">
        <v>93</v>
      </c>
      <c r="F8" s="5" t="s">
        <v>80</v>
      </c>
      <c r="G8" s="5">
        <v>430</v>
      </c>
      <c r="H8" s="7">
        <v>0.6</v>
      </c>
      <c r="I8" s="5" t="s">
        <v>16</v>
      </c>
      <c r="J8" s="5" t="s">
        <v>16</v>
      </c>
      <c r="K8" s="5" t="s">
        <v>17</v>
      </c>
      <c r="L8" s="9">
        <v>1000</v>
      </c>
      <c r="M8" s="27"/>
      <c r="N8" s="26">
        <f t="shared" si="0"/>
        <v>1000</v>
      </c>
    </row>
    <row r="9" spans="1:14" s="28" customFormat="1" ht="150" customHeight="1" x14ac:dyDescent="0.3">
      <c r="A9" s="5">
        <v>250079</v>
      </c>
      <c r="B9" s="5">
        <v>304</v>
      </c>
      <c r="C9" s="7">
        <v>0.7</v>
      </c>
      <c r="D9" s="5">
        <v>307</v>
      </c>
      <c r="E9" s="32" t="s">
        <v>94</v>
      </c>
      <c r="F9" s="5" t="s">
        <v>80</v>
      </c>
      <c r="G9" s="5">
        <v>304</v>
      </c>
      <c r="H9" s="7">
        <v>0.6</v>
      </c>
      <c r="I9" s="5" t="s">
        <v>16</v>
      </c>
      <c r="J9" s="5" t="s">
        <v>16</v>
      </c>
      <c r="K9" s="5" t="s">
        <v>17</v>
      </c>
      <c r="L9" s="9">
        <v>1314</v>
      </c>
      <c r="M9" s="27"/>
      <c r="N9" s="26">
        <f t="shared" si="0"/>
        <v>1314</v>
      </c>
    </row>
    <row r="10" spans="1:14" s="28" customFormat="1" ht="150" customHeight="1" x14ac:dyDescent="0.3">
      <c r="A10" s="5">
        <v>250079</v>
      </c>
      <c r="B10" s="5">
        <v>304</v>
      </c>
      <c r="C10" s="7">
        <v>1</v>
      </c>
      <c r="D10" s="5">
        <v>307</v>
      </c>
      <c r="E10" s="32" t="s">
        <v>95</v>
      </c>
      <c r="F10" s="5" t="s">
        <v>80</v>
      </c>
      <c r="G10" s="5">
        <v>304</v>
      </c>
      <c r="H10" s="7">
        <v>0.6</v>
      </c>
      <c r="I10" s="5" t="s">
        <v>16</v>
      </c>
      <c r="J10" s="5" t="s">
        <v>16</v>
      </c>
      <c r="K10" s="5" t="s">
        <v>17</v>
      </c>
      <c r="L10" s="9">
        <v>36</v>
      </c>
      <c r="M10" s="27"/>
      <c r="N10" s="26">
        <f t="shared" si="0"/>
        <v>36</v>
      </c>
    </row>
    <row r="11" spans="1:14" s="28" customFormat="1" ht="150" customHeight="1" x14ac:dyDescent="0.3">
      <c r="A11" s="5">
        <v>250080</v>
      </c>
      <c r="B11" s="5">
        <v>304</v>
      </c>
      <c r="C11" s="7">
        <v>0.7</v>
      </c>
      <c r="D11" s="5">
        <v>265</v>
      </c>
      <c r="E11" s="32" t="s">
        <v>96</v>
      </c>
      <c r="F11" s="5" t="s">
        <v>80</v>
      </c>
      <c r="G11" s="5">
        <v>430</v>
      </c>
      <c r="H11" s="7">
        <v>0.6</v>
      </c>
      <c r="I11" s="5" t="s">
        <v>16</v>
      </c>
      <c r="J11" s="5" t="s">
        <v>16</v>
      </c>
      <c r="K11" s="5" t="s">
        <v>17</v>
      </c>
      <c r="L11" s="9">
        <v>1200</v>
      </c>
      <c r="M11" s="27"/>
      <c r="N11" s="26">
        <f t="shared" si="0"/>
        <v>1200</v>
      </c>
    </row>
    <row r="12" spans="1:14" s="28" customFormat="1" ht="150" customHeight="1" x14ac:dyDescent="0.3">
      <c r="A12" s="5">
        <v>250079</v>
      </c>
      <c r="B12" s="5">
        <v>304</v>
      </c>
      <c r="C12" s="7">
        <v>0.7</v>
      </c>
      <c r="D12" s="5">
        <v>307</v>
      </c>
      <c r="E12" s="32" t="s">
        <v>97</v>
      </c>
      <c r="F12" s="5" t="s">
        <v>80</v>
      </c>
      <c r="G12" s="5">
        <v>304</v>
      </c>
      <c r="H12" s="7">
        <v>0.6</v>
      </c>
      <c r="I12" s="5" t="s">
        <v>16</v>
      </c>
      <c r="J12" s="5" t="s">
        <v>16</v>
      </c>
      <c r="K12" s="5" t="s">
        <v>17</v>
      </c>
      <c r="L12" s="9">
        <v>1314</v>
      </c>
      <c r="M12" s="27"/>
      <c r="N12" s="26">
        <f t="shared" si="0"/>
        <v>1314</v>
      </c>
    </row>
    <row r="13" spans="1:14" s="28" customFormat="1" ht="150" customHeight="1" x14ac:dyDescent="0.3">
      <c r="A13" s="5">
        <v>250079</v>
      </c>
      <c r="B13" s="5">
        <v>304</v>
      </c>
      <c r="C13" s="7">
        <v>1</v>
      </c>
      <c r="D13" s="5">
        <v>307</v>
      </c>
      <c r="E13" s="32" t="s">
        <v>98</v>
      </c>
      <c r="F13" s="5" t="s">
        <v>80</v>
      </c>
      <c r="G13" s="5">
        <v>304</v>
      </c>
      <c r="H13" s="7">
        <v>0.6</v>
      </c>
      <c r="I13" s="5" t="s">
        <v>16</v>
      </c>
      <c r="J13" s="5" t="s">
        <v>16</v>
      </c>
      <c r="K13" s="5" t="s">
        <v>17</v>
      </c>
      <c r="L13" s="9">
        <v>36</v>
      </c>
      <c r="M13" s="27"/>
      <c r="N13" s="26">
        <f t="shared" si="0"/>
        <v>36</v>
      </c>
    </row>
    <row r="14" spans="1:14" s="11" customFormat="1" ht="150" customHeight="1" x14ac:dyDescent="0.3">
      <c r="A14" s="22"/>
      <c r="B14" s="22"/>
      <c r="C14" s="23"/>
      <c r="D14" s="29"/>
      <c r="E14" s="31"/>
      <c r="F14" s="22"/>
      <c r="G14" s="22"/>
      <c r="H14" s="23"/>
      <c r="I14" s="22"/>
      <c r="J14" s="22"/>
      <c r="K14" s="22"/>
      <c r="L14" s="26"/>
      <c r="M14" s="27"/>
      <c r="N14" s="26">
        <f t="shared" si="0"/>
        <v>0</v>
      </c>
    </row>
    <row r="15" spans="1:14" s="11" customFormat="1" ht="150" customHeight="1" x14ac:dyDescent="0.3">
      <c r="A15" s="13"/>
      <c r="B15" s="13"/>
      <c r="C15" s="14"/>
      <c r="D15" s="14"/>
      <c r="E15" s="33"/>
      <c r="F15" s="13"/>
      <c r="G15" s="13"/>
      <c r="H15" s="14"/>
      <c r="I15" s="13"/>
      <c r="J15" s="13"/>
      <c r="K15" s="13"/>
      <c r="L15" s="9">
        <f>SUM(L4:L14)</f>
        <v>17200</v>
      </c>
      <c r="M15" s="16">
        <f>SUM(M4:M14)</f>
        <v>1700</v>
      </c>
      <c r="N15" s="9">
        <f>SUM(N4:N14)</f>
        <v>15500</v>
      </c>
    </row>
    <row r="16" spans="1:14" s="12" customFormat="1" ht="100.05" customHeight="1" x14ac:dyDescent="0.3">
      <c r="A16" s="17"/>
      <c r="B16" s="17"/>
      <c r="C16" s="17"/>
      <c r="D16" s="20"/>
      <c r="E16" s="35"/>
      <c r="F16" s="17"/>
      <c r="G16" s="17"/>
      <c r="H16" s="17"/>
      <c r="I16" s="17"/>
      <c r="J16" s="17"/>
      <c r="K16" s="17"/>
      <c r="L16" s="17"/>
      <c r="M16" s="17"/>
      <c r="N16" s="17"/>
    </row>
    <row r="17" spans="1:14" ht="100.05" customHeight="1" x14ac:dyDescent="0.3"/>
    <row r="18" spans="1:14" s="4" customFormat="1" ht="100.05" customHeight="1" x14ac:dyDescent="0.3">
      <c r="A18" s="17"/>
      <c r="B18" s="17"/>
      <c r="C18" s="17"/>
      <c r="D18" s="20"/>
      <c r="E18" s="35"/>
      <c r="F18" s="17"/>
      <c r="G18" s="17"/>
      <c r="H18" s="17"/>
      <c r="I18" s="17"/>
      <c r="J18" s="17"/>
      <c r="K18" s="17"/>
      <c r="L18" s="17"/>
      <c r="M18" s="17"/>
      <c r="N18" s="17"/>
    </row>
    <row r="19" spans="1:14" s="4" customFormat="1" ht="100.05" customHeight="1" x14ac:dyDescent="0.3">
      <c r="A19" s="17"/>
      <c r="B19" s="17"/>
      <c r="C19" s="17"/>
      <c r="D19" s="20"/>
      <c r="E19" s="35"/>
      <c r="F19" s="17"/>
      <c r="G19" s="17"/>
      <c r="H19" s="17"/>
      <c r="I19" s="17"/>
      <c r="J19" s="17"/>
      <c r="K19" s="17"/>
      <c r="L19" s="17"/>
      <c r="M19" s="17"/>
      <c r="N19" s="17"/>
    </row>
    <row r="20" spans="1:14" s="11" customFormat="1" ht="100.05" customHeight="1" x14ac:dyDescent="0.3">
      <c r="A20" s="17"/>
      <c r="B20" s="17"/>
      <c r="C20" s="17"/>
      <c r="D20" s="20"/>
      <c r="E20" s="35"/>
      <c r="F20" s="17"/>
      <c r="G20" s="17"/>
      <c r="H20" s="17"/>
      <c r="I20" s="17"/>
      <c r="J20" s="17"/>
      <c r="K20" s="17"/>
      <c r="L20" s="17"/>
      <c r="M20" s="17"/>
      <c r="N20" s="17"/>
    </row>
    <row r="21" spans="1:14" s="11" customFormat="1" ht="100.05" customHeight="1" x14ac:dyDescent="0.3">
      <c r="A21" s="17"/>
      <c r="B21" s="17"/>
      <c r="C21" s="17"/>
      <c r="D21" s="20"/>
      <c r="E21" s="35"/>
      <c r="F21" s="17"/>
      <c r="G21" s="17"/>
      <c r="H21" s="17"/>
      <c r="I21" s="17"/>
      <c r="J21" s="17"/>
      <c r="K21" s="17"/>
      <c r="L21" s="17"/>
      <c r="M21" s="17"/>
      <c r="N21" s="17"/>
    </row>
    <row r="22" spans="1:14" s="11" customFormat="1" ht="100.05" customHeight="1" x14ac:dyDescent="0.3">
      <c r="A22" s="17"/>
      <c r="B22" s="17"/>
      <c r="C22" s="17"/>
      <c r="D22" s="20"/>
      <c r="E22" s="35"/>
      <c r="F22" s="17"/>
      <c r="G22" s="17"/>
      <c r="H22" s="17"/>
      <c r="I22" s="17"/>
      <c r="J22" s="17"/>
      <c r="K22" s="17"/>
      <c r="L22" s="17"/>
      <c r="M22" s="17"/>
      <c r="N22" s="17"/>
    </row>
    <row r="23" spans="1:14" s="11" customFormat="1" ht="100.05" customHeight="1" x14ac:dyDescent="0.3">
      <c r="A23" s="17"/>
      <c r="B23" s="17"/>
      <c r="C23" s="17"/>
      <c r="D23" s="20"/>
      <c r="E23" s="35"/>
      <c r="F23" s="17"/>
      <c r="G23" s="17"/>
      <c r="H23" s="17"/>
      <c r="I23" s="17"/>
      <c r="J23" s="17"/>
      <c r="K23" s="17"/>
      <c r="L23" s="17"/>
      <c r="M23" s="17"/>
      <c r="N23" s="17"/>
    </row>
    <row r="24" spans="1:14" s="11" customFormat="1" ht="100.05" customHeight="1" x14ac:dyDescent="0.3">
      <c r="A24" s="17"/>
      <c r="B24" s="17"/>
      <c r="C24" s="17"/>
      <c r="D24" s="20"/>
      <c r="E24" s="35"/>
      <c r="F24" s="17"/>
      <c r="G24" s="17"/>
      <c r="H24" s="17"/>
      <c r="I24" s="17"/>
      <c r="J24" s="17"/>
      <c r="K24" s="17"/>
      <c r="L24" s="17"/>
      <c r="M24" s="17"/>
      <c r="N24" s="17"/>
    </row>
    <row r="25" spans="1:14" s="11" customFormat="1" ht="100.05" customHeight="1" x14ac:dyDescent="0.3">
      <c r="A25" s="17"/>
      <c r="B25" s="17"/>
      <c r="C25" s="17"/>
      <c r="D25" s="20"/>
      <c r="E25" s="35"/>
      <c r="F25" s="17"/>
      <c r="G25" s="17"/>
      <c r="H25" s="17"/>
      <c r="I25" s="17"/>
      <c r="J25" s="17"/>
      <c r="K25" s="17"/>
      <c r="L25" s="17"/>
      <c r="M25" s="17"/>
      <c r="N25" s="17"/>
    </row>
    <row r="26" spans="1:14" s="11" customFormat="1" ht="100.05" customHeight="1" x14ac:dyDescent="0.3">
      <c r="A26" s="17"/>
      <c r="B26" s="17"/>
      <c r="C26" s="17"/>
      <c r="D26" s="20"/>
      <c r="E26" s="35"/>
      <c r="F26" s="17"/>
      <c r="G26" s="17"/>
      <c r="H26" s="17"/>
      <c r="I26" s="17"/>
      <c r="J26" s="17"/>
      <c r="K26" s="17"/>
      <c r="L26" s="17"/>
      <c r="M26" s="17"/>
      <c r="N26" s="17"/>
    </row>
    <row r="27" spans="1:14" s="11" customFormat="1" ht="100.05" customHeight="1" x14ac:dyDescent="0.3">
      <c r="A27" s="17"/>
      <c r="B27" s="17"/>
      <c r="C27" s="17"/>
      <c r="D27" s="20"/>
      <c r="E27" s="35"/>
      <c r="F27" s="17"/>
      <c r="G27" s="17"/>
      <c r="H27" s="17"/>
      <c r="I27" s="17"/>
      <c r="J27" s="17"/>
      <c r="K27" s="17"/>
      <c r="L27" s="17"/>
      <c r="M27" s="17"/>
      <c r="N27" s="17"/>
    </row>
    <row r="28" spans="1:14" s="11" customFormat="1" ht="100.05" customHeight="1" x14ac:dyDescent="0.3">
      <c r="A28" s="17"/>
      <c r="B28" s="17"/>
      <c r="C28" s="17"/>
      <c r="D28" s="20"/>
      <c r="E28" s="35"/>
      <c r="F28" s="17"/>
      <c r="G28" s="17"/>
      <c r="H28" s="17"/>
      <c r="I28" s="17"/>
      <c r="J28" s="17"/>
      <c r="K28" s="17"/>
      <c r="L28" s="17"/>
      <c r="M28" s="17"/>
      <c r="N28" s="17"/>
    </row>
    <row r="29" spans="1:14" s="11" customFormat="1" ht="100.05" customHeight="1" x14ac:dyDescent="0.3">
      <c r="A29" s="17"/>
      <c r="B29" s="17"/>
      <c r="C29" s="17"/>
      <c r="D29" s="20"/>
      <c r="E29" s="35"/>
      <c r="F29" s="17"/>
      <c r="G29" s="17"/>
      <c r="H29" s="17"/>
      <c r="I29" s="17"/>
      <c r="J29" s="17"/>
      <c r="K29" s="17"/>
      <c r="L29" s="17"/>
      <c r="M29" s="17"/>
      <c r="N29" s="17"/>
    </row>
  </sheetData>
  <mergeCells count="3">
    <mergeCell ref="A1:C1"/>
    <mergeCell ref="K1:N1"/>
    <mergeCell ref="A2:N2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18" orientation="portrait" horizontalDpi="1200" verticalDpi="12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9"/>
  <sheetViews>
    <sheetView zoomScale="25" zoomScaleNormal="25" workbookViewId="0">
      <selection activeCell="M5" sqref="M5"/>
    </sheetView>
  </sheetViews>
  <sheetFormatPr defaultColWidth="8.88671875" defaultRowHeight="14.4" x14ac:dyDescent="0.3"/>
  <cols>
    <col min="1" max="1" width="41.77734375" style="17" customWidth="1"/>
    <col min="2" max="2" width="19.6640625" style="17" customWidth="1"/>
    <col min="3" max="3" width="29.21875" style="17" customWidth="1"/>
    <col min="4" max="4" width="28.6640625" style="20" customWidth="1"/>
    <col min="5" max="5" width="162.109375" style="35" customWidth="1"/>
    <col min="6" max="6" width="32.109375" style="17" bestFit="1" customWidth="1"/>
    <col min="7" max="7" width="21.88671875" style="17" bestFit="1" customWidth="1"/>
    <col min="8" max="8" width="26.6640625" style="17" bestFit="1" customWidth="1"/>
    <col min="9" max="9" width="40.109375" style="17" bestFit="1" customWidth="1"/>
    <col min="10" max="10" width="37.88671875" style="17" customWidth="1"/>
    <col min="11" max="11" width="25.6640625" style="17" customWidth="1"/>
    <col min="12" max="14" width="26.77734375" style="17" bestFit="1" customWidth="1"/>
    <col min="15" max="16384" width="8.88671875" style="18"/>
  </cols>
  <sheetData>
    <row r="1" spans="1:14" s="3" customFormat="1" ht="100.05" customHeight="1" x14ac:dyDescent="0.95">
      <c r="A1" s="37"/>
      <c r="B1" s="37"/>
      <c r="C1" s="37"/>
      <c r="D1" s="19"/>
      <c r="E1" s="34"/>
      <c r="F1" s="1"/>
      <c r="G1" s="1"/>
      <c r="H1" s="1"/>
      <c r="I1" s="1"/>
      <c r="J1" s="2" t="s">
        <v>0</v>
      </c>
      <c r="K1" s="38">
        <v>45958</v>
      </c>
      <c r="L1" s="38"/>
      <c r="M1" s="38"/>
      <c r="N1" s="38"/>
    </row>
    <row r="2" spans="1:14" s="4" customFormat="1" ht="100.05" customHeight="1" x14ac:dyDescent="0.3">
      <c r="A2" s="39" t="s">
        <v>69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</row>
    <row r="3" spans="1:14" s="4" customFormat="1" ht="150" customHeight="1" x14ac:dyDescent="0.3">
      <c r="A3" s="5" t="s">
        <v>1</v>
      </c>
      <c r="B3" s="5" t="s">
        <v>2</v>
      </c>
      <c r="C3" s="6" t="s">
        <v>3</v>
      </c>
      <c r="D3" s="7" t="s">
        <v>4</v>
      </c>
      <c r="E3" s="32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6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s="28" customFormat="1" ht="150" customHeight="1" x14ac:dyDescent="0.3">
      <c r="A4" s="5">
        <v>230925</v>
      </c>
      <c r="B4" s="5">
        <v>430</v>
      </c>
      <c r="C4" s="7">
        <v>0.8</v>
      </c>
      <c r="D4" s="5">
        <v>425</v>
      </c>
      <c r="E4" s="32" t="s">
        <v>82</v>
      </c>
      <c r="F4" s="5" t="s">
        <v>80</v>
      </c>
      <c r="G4" s="5">
        <v>430</v>
      </c>
      <c r="H4" s="7" t="s">
        <v>16</v>
      </c>
      <c r="I4" s="5" t="s">
        <v>16</v>
      </c>
      <c r="J4" s="5" t="s">
        <v>16</v>
      </c>
      <c r="K4" s="5" t="s">
        <v>17</v>
      </c>
      <c r="L4" s="9">
        <v>6000</v>
      </c>
      <c r="M4" s="27">
        <f>1700+1600</f>
        <v>3300</v>
      </c>
      <c r="N4" s="26">
        <f t="shared" ref="N4:N14" si="0">L4-M4</f>
        <v>2700</v>
      </c>
    </row>
    <row r="5" spans="1:14" s="28" customFormat="1" ht="150" customHeight="1" x14ac:dyDescent="0.3">
      <c r="A5" s="5">
        <v>230925</v>
      </c>
      <c r="B5" s="5">
        <v>430</v>
      </c>
      <c r="C5" s="7">
        <v>0.8</v>
      </c>
      <c r="D5" s="5">
        <v>360</v>
      </c>
      <c r="E5" s="32" t="s">
        <v>83</v>
      </c>
      <c r="F5" s="5" t="s">
        <v>80</v>
      </c>
      <c r="G5" s="5">
        <v>430</v>
      </c>
      <c r="H5" s="7" t="s">
        <v>16</v>
      </c>
      <c r="I5" s="5" t="s">
        <v>16</v>
      </c>
      <c r="J5" s="5" t="s">
        <v>16</v>
      </c>
      <c r="K5" s="5" t="s">
        <v>17</v>
      </c>
      <c r="L5" s="9">
        <v>5300</v>
      </c>
      <c r="M5" s="27"/>
      <c r="N5" s="26">
        <f t="shared" si="0"/>
        <v>5300</v>
      </c>
    </row>
    <row r="6" spans="1:14" s="28" customFormat="1" ht="150" customHeight="1" x14ac:dyDescent="0.3">
      <c r="A6" s="5">
        <v>250079</v>
      </c>
      <c r="B6" s="5">
        <v>304</v>
      </c>
      <c r="C6" s="7">
        <v>0.7</v>
      </c>
      <c r="D6" s="5">
        <v>324</v>
      </c>
      <c r="E6" s="32" t="s">
        <v>91</v>
      </c>
      <c r="F6" s="5" t="s">
        <v>80</v>
      </c>
      <c r="G6" s="5">
        <v>304</v>
      </c>
      <c r="H6" s="7">
        <v>0.6</v>
      </c>
      <c r="I6" s="5" t="s">
        <v>16</v>
      </c>
      <c r="J6" s="5" t="s">
        <v>16</v>
      </c>
      <c r="K6" s="5" t="s">
        <v>17</v>
      </c>
      <c r="L6" s="9">
        <v>964</v>
      </c>
      <c r="M6" s="27"/>
      <c r="N6" s="26">
        <f t="shared" si="0"/>
        <v>964</v>
      </c>
    </row>
    <row r="7" spans="1:14" s="28" customFormat="1" ht="150" customHeight="1" x14ac:dyDescent="0.3">
      <c r="A7" s="5">
        <v>250079</v>
      </c>
      <c r="B7" s="5">
        <v>304</v>
      </c>
      <c r="C7" s="7">
        <v>1</v>
      </c>
      <c r="D7" s="5">
        <v>324</v>
      </c>
      <c r="E7" s="32" t="s">
        <v>92</v>
      </c>
      <c r="F7" s="5" t="s">
        <v>80</v>
      </c>
      <c r="G7" s="5">
        <v>304</v>
      </c>
      <c r="H7" s="7">
        <v>0.6</v>
      </c>
      <c r="I7" s="5" t="s">
        <v>16</v>
      </c>
      <c r="J7" s="5" t="s">
        <v>16</v>
      </c>
      <c r="K7" s="5" t="s">
        <v>17</v>
      </c>
      <c r="L7" s="9">
        <v>36</v>
      </c>
      <c r="M7" s="27"/>
      <c r="N7" s="26">
        <f t="shared" si="0"/>
        <v>36</v>
      </c>
    </row>
    <row r="8" spans="1:14" s="28" customFormat="1" ht="150" customHeight="1" x14ac:dyDescent="0.3">
      <c r="A8" s="5">
        <v>250080</v>
      </c>
      <c r="B8" s="5">
        <v>304</v>
      </c>
      <c r="C8" s="7">
        <v>0.7</v>
      </c>
      <c r="D8" s="5">
        <v>307</v>
      </c>
      <c r="E8" s="32" t="s">
        <v>93</v>
      </c>
      <c r="F8" s="5" t="s">
        <v>80</v>
      </c>
      <c r="G8" s="5">
        <v>430</v>
      </c>
      <c r="H8" s="7">
        <v>0.6</v>
      </c>
      <c r="I8" s="5" t="s">
        <v>16</v>
      </c>
      <c r="J8" s="5" t="s">
        <v>16</v>
      </c>
      <c r="K8" s="5" t="s">
        <v>17</v>
      </c>
      <c r="L8" s="9">
        <v>1000</v>
      </c>
      <c r="M8" s="27"/>
      <c r="N8" s="26">
        <f t="shared" si="0"/>
        <v>1000</v>
      </c>
    </row>
    <row r="9" spans="1:14" s="28" customFormat="1" ht="150" customHeight="1" x14ac:dyDescent="0.3">
      <c r="A9" s="5">
        <v>250079</v>
      </c>
      <c r="B9" s="5">
        <v>304</v>
      </c>
      <c r="C9" s="7">
        <v>0.7</v>
      </c>
      <c r="D9" s="5">
        <v>307</v>
      </c>
      <c r="E9" s="32" t="s">
        <v>94</v>
      </c>
      <c r="F9" s="5" t="s">
        <v>80</v>
      </c>
      <c r="G9" s="5">
        <v>304</v>
      </c>
      <c r="H9" s="7">
        <v>0.6</v>
      </c>
      <c r="I9" s="5" t="s">
        <v>16</v>
      </c>
      <c r="J9" s="5" t="s">
        <v>16</v>
      </c>
      <c r="K9" s="5" t="s">
        <v>17</v>
      </c>
      <c r="L9" s="9">
        <v>1314</v>
      </c>
      <c r="M9" s="27"/>
      <c r="N9" s="26">
        <f t="shared" si="0"/>
        <v>1314</v>
      </c>
    </row>
    <row r="10" spans="1:14" s="28" customFormat="1" ht="150" customHeight="1" x14ac:dyDescent="0.3">
      <c r="A10" s="5">
        <v>250079</v>
      </c>
      <c r="B10" s="5">
        <v>304</v>
      </c>
      <c r="C10" s="7">
        <v>1</v>
      </c>
      <c r="D10" s="5">
        <v>307</v>
      </c>
      <c r="E10" s="32" t="s">
        <v>95</v>
      </c>
      <c r="F10" s="5" t="s">
        <v>80</v>
      </c>
      <c r="G10" s="5">
        <v>304</v>
      </c>
      <c r="H10" s="7">
        <v>0.6</v>
      </c>
      <c r="I10" s="5" t="s">
        <v>16</v>
      </c>
      <c r="J10" s="5" t="s">
        <v>16</v>
      </c>
      <c r="K10" s="5" t="s">
        <v>17</v>
      </c>
      <c r="L10" s="9">
        <v>36</v>
      </c>
      <c r="M10" s="27"/>
      <c r="N10" s="26">
        <f t="shared" si="0"/>
        <v>36</v>
      </c>
    </row>
    <row r="11" spans="1:14" s="28" customFormat="1" ht="150" customHeight="1" x14ac:dyDescent="0.3">
      <c r="A11" s="5">
        <v>250080</v>
      </c>
      <c r="B11" s="5">
        <v>304</v>
      </c>
      <c r="C11" s="7">
        <v>0.7</v>
      </c>
      <c r="D11" s="5">
        <v>265</v>
      </c>
      <c r="E11" s="32" t="s">
        <v>96</v>
      </c>
      <c r="F11" s="5" t="s">
        <v>80</v>
      </c>
      <c r="G11" s="5">
        <v>430</v>
      </c>
      <c r="H11" s="7">
        <v>0.6</v>
      </c>
      <c r="I11" s="5" t="s">
        <v>16</v>
      </c>
      <c r="J11" s="5" t="s">
        <v>16</v>
      </c>
      <c r="K11" s="5" t="s">
        <v>17</v>
      </c>
      <c r="L11" s="9">
        <v>1200</v>
      </c>
      <c r="M11" s="27"/>
      <c r="N11" s="26">
        <f t="shared" si="0"/>
        <v>1200</v>
      </c>
    </row>
    <row r="12" spans="1:14" s="28" customFormat="1" ht="150" customHeight="1" x14ac:dyDescent="0.3">
      <c r="A12" s="5">
        <v>250079</v>
      </c>
      <c r="B12" s="5">
        <v>304</v>
      </c>
      <c r="C12" s="7">
        <v>0.7</v>
      </c>
      <c r="D12" s="5">
        <v>307</v>
      </c>
      <c r="E12" s="32" t="s">
        <v>97</v>
      </c>
      <c r="F12" s="5" t="s">
        <v>80</v>
      </c>
      <c r="G12" s="5">
        <v>304</v>
      </c>
      <c r="H12" s="7">
        <v>0.6</v>
      </c>
      <c r="I12" s="5" t="s">
        <v>16</v>
      </c>
      <c r="J12" s="5" t="s">
        <v>16</v>
      </c>
      <c r="K12" s="5" t="s">
        <v>17</v>
      </c>
      <c r="L12" s="9">
        <v>1314</v>
      </c>
      <c r="M12" s="27"/>
      <c r="N12" s="26">
        <f t="shared" si="0"/>
        <v>1314</v>
      </c>
    </row>
    <row r="13" spans="1:14" s="28" customFormat="1" ht="150" customHeight="1" x14ac:dyDescent="0.3">
      <c r="A13" s="5">
        <v>250079</v>
      </c>
      <c r="B13" s="5">
        <v>304</v>
      </c>
      <c r="C13" s="7">
        <v>1</v>
      </c>
      <c r="D13" s="5">
        <v>307</v>
      </c>
      <c r="E13" s="32" t="s">
        <v>98</v>
      </c>
      <c r="F13" s="5" t="s">
        <v>80</v>
      </c>
      <c r="G13" s="5">
        <v>304</v>
      </c>
      <c r="H13" s="7">
        <v>0.6</v>
      </c>
      <c r="I13" s="5" t="s">
        <v>16</v>
      </c>
      <c r="J13" s="5" t="s">
        <v>16</v>
      </c>
      <c r="K13" s="5" t="s">
        <v>17</v>
      </c>
      <c r="L13" s="9">
        <v>36</v>
      </c>
      <c r="M13" s="27"/>
      <c r="N13" s="26">
        <f t="shared" si="0"/>
        <v>36</v>
      </c>
    </row>
    <row r="14" spans="1:14" s="11" customFormat="1" ht="150" customHeight="1" x14ac:dyDescent="0.3">
      <c r="A14" s="22"/>
      <c r="B14" s="22"/>
      <c r="C14" s="23"/>
      <c r="D14" s="29"/>
      <c r="E14" s="31"/>
      <c r="F14" s="22"/>
      <c r="G14" s="22"/>
      <c r="H14" s="23"/>
      <c r="I14" s="22"/>
      <c r="J14" s="22"/>
      <c r="K14" s="22"/>
      <c r="L14" s="26"/>
      <c r="M14" s="27"/>
      <c r="N14" s="26">
        <f t="shared" si="0"/>
        <v>0</v>
      </c>
    </row>
    <row r="15" spans="1:14" s="11" customFormat="1" ht="150" customHeight="1" x14ac:dyDescent="0.3">
      <c r="A15" s="13"/>
      <c r="B15" s="13"/>
      <c r="C15" s="14"/>
      <c r="D15" s="14"/>
      <c r="E15" s="33"/>
      <c r="F15" s="13"/>
      <c r="G15" s="13"/>
      <c r="H15" s="14"/>
      <c r="I15" s="13"/>
      <c r="J15" s="13"/>
      <c r="K15" s="13"/>
      <c r="L15" s="9">
        <f>SUM(L4:L14)</f>
        <v>17200</v>
      </c>
      <c r="M15" s="16">
        <f>SUM(M4:M14)</f>
        <v>3300</v>
      </c>
      <c r="N15" s="9">
        <f>SUM(N4:N14)</f>
        <v>13900</v>
      </c>
    </row>
    <row r="16" spans="1:14" s="12" customFormat="1" ht="100.05" customHeight="1" x14ac:dyDescent="0.3">
      <c r="A16" s="17"/>
      <c r="B16" s="17"/>
      <c r="C16" s="17"/>
      <c r="D16" s="20"/>
      <c r="E16" s="35"/>
      <c r="F16" s="17"/>
      <c r="G16" s="17"/>
      <c r="H16" s="17"/>
      <c r="I16" s="17"/>
      <c r="J16" s="17"/>
      <c r="K16" s="17"/>
      <c r="L16" s="17"/>
      <c r="M16" s="17"/>
      <c r="N16" s="17"/>
    </row>
    <row r="17" spans="1:14" ht="100.05" customHeight="1" x14ac:dyDescent="0.3"/>
    <row r="18" spans="1:14" s="4" customFormat="1" ht="100.05" customHeight="1" x14ac:dyDescent="0.3">
      <c r="A18" s="17"/>
      <c r="B18" s="17"/>
      <c r="C18" s="17"/>
      <c r="D18" s="20"/>
      <c r="E18" s="35"/>
      <c r="F18" s="17"/>
      <c r="G18" s="17"/>
      <c r="H18" s="17"/>
      <c r="I18" s="17"/>
      <c r="J18" s="17"/>
      <c r="K18" s="17"/>
      <c r="L18" s="17"/>
      <c r="M18" s="17"/>
      <c r="N18" s="17"/>
    </row>
    <row r="19" spans="1:14" s="4" customFormat="1" ht="100.05" customHeight="1" x14ac:dyDescent="0.3">
      <c r="A19" s="17"/>
      <c r="B19" s="17"/>
      <c r="C19" s="17"/>
      <c r="D19" s="20"/>
      <c r="E19" s="35"/>
      <c r="F19" s="17"/>
      <c r="G19" s="17"/>
      <c r="H19" s="17"/>
      <c r="I19" s="17"/>
      <c r="J19" s="17"/>
      <c r="K19" s="17"/>
      <c r="L19" s="17"/>
      <c r="M19" s="17"/>
      <c r="N19" s="17"/>
    </row>
    <row r="20" spans="1:14" s="11" customFormat="1" ht="100.05" customHeight="1" x14ac:dyDescent="0.3">
      <c r="A20" s="17"/>
      <c r="B20" s="17"/>
      <c r="C20" s="17"/>
      <c r="D20" s="20"/>
      <c r="E20" s="35"/>
      <c r="F20" s="17"/>
      <c r="G20" s="17"/>
      <c r="H20" s="17"/>
      <c r="I20" s="17"/>
      <c r="J20" s="17"/>
      <c r="K20" s="17"/>
      <c r="L20" s="17"/>
      <c r="M20" s="17"/>
      <c r="N20" s="17"/>
    </row>
    <row r="21" spans="1:14" s="11" customFormat="1" ht="100.05" customHeight="1" x14ac:dyDescent="0.3">
      <c r="A21" s="17"/>
      <c r="B21" s="17"/>
      <c r="C21" s="17"/>
      <c r="D21" s="20"/>
      <c r="E21" s="35"/>
      <c r="F21" s="17"/>
      <c r="G21" s="17"/>
      <c r="H21" s="17"/>
      <c r="I21" s="17"/>
      <c r="J21" s="17"/>
      <c r="K21" s="17"/>
      <c r="L21" s="17"/>
      <c r="M21" s="17"/>
      <c r="N21" s="17"/>
    </row>
    <row r="22" spans="1:14" s="11" customFormat="1" ht="100.05" customHeight="1" x14ac:dyDescent="0.3">
      <c r="A22" s="17"/>
      <c r="B22" s="17"/>
      <c r="C22" s="17"/>
      <c r="D22" s="20"/>
      <c r="E22" s="35"/>
      <c r="F22" s="17"/>
      <c r="G22" s="17"/>
      <c r="H22" s="17"/>
      <c r="I22" s="17"/>
      <c r="J22" s="17"/>
      <c r="K22" s="17"/>
      <c r="L22" s="17"/>
      <c r="M22" s="17"/>
      <c r="N22" s="17"/>
    </row>
    <row r="23" spans="1:14" s="11" customFormat="1" ht="100.05" customHeight="1" x14ac:dyDescent="0.3">
      <c r="A23" s="17"/>
      <c r="B23" s="17"/>
      <c r="C23" s="17"/>
      <c r="D23" s="20"/>
      <c r="E23" s="35"/>
      <c r="F23" s="17"/>
      <c r="G23" s="17"/>
      <c r="H23" s="17"/>
      <c r="I23" s="17"/>
      <c r="J23" s="17"/>
      <c r="K23" s="17"/>
      <c r="L23" s="17"/>
      <c r="M23" s="17"/>
      <c r="N23" s="17"/>
    </row>
    <row r="24" spans="1:14" s="11" customFormat="1" ht="100.05" customHeight="1" x14ac:dyDescent="0.3">
      <c r="A24" s="17"/>
      <c r="B24" s="17"/>
      <c r="C24" s="17"/>
      <c r="D24" s="20"/>
      <c r="E24" s="35"/>
      <c r="F24" s="17"/>
      <c r="G24" s="17"/>
      <c r="H24" s="17"/>
      <c r="I24" s="17"/>
      <c r="J24" s="17"/>
      <c r="K24" s="17"/>
      <c r="L24" s="17"/>
      <c r="M24" s="17"/>
      <c r="N24" s="17"/>
    </row>
    <row r="25" spans="1:14" s="11" customFormat="1" ht="100.05" customHeight="1" x14ac:dyDescent="0.3">
      <c r="A25" s="17"/>
      <c r="B25" s="17"/>
      <c r="C25" s="17"/>
      <c r="D25" s="20"/>
      <c r="E25" s="35"/>
      <c r="F25" s="17"/>
      <c r="G25" s="17"/>
      <c r="H25" s="17"/>
      <c r="I25" s="17"/>
      <c r="J25" s="17"/>
      <c r="K25" s="17"/>
      <c r="L25" s="17"/>
      <c r="M25" s="17"/>
      <c r="N25" s="17"/>
    </row>
    <row r="26" spans="1:14" s="11" customFormat="1" ht="100.05" customHeight="1" x14ac:dyDescent="0.3">
      <c r="A26" s="17"/>
      <c r="B26" s="17"/>
      <c r="C26" s="17"/>
      <c r="D26" s="20"/>
      <c r="E26" s="35"/>
      <c r="F26" s="17"/>
      <c r="G26" s="17"/>
      <c r="H26" s="17"/>
      <c r="I26" s="17"/>
      <c r="J26" s="17"/>
      <c r="K26" s="17"/>
      <c r="L26" s="17"/>
      <c r="M26" s="17"/>
      <c r="N26" s="17"/>
    </row>
    <row r="27" spans="1:14" s="11" customFormat="1" ht="100.05" customHeight="1" x14ac:dyDescent="0.3">
      <c r="A27" s="17"/>
      <c r="B27" s="17"/>
      <c r="C27" s="17"/>
      <c r="D27" s="20"/>
      <c r="E27" s="35"/>
      <c r="F27" s="17"/>
      <c r="G27" s="17"/>
      <c r="H27" s="17"/>
      <c r="I27" s="17"/>
      <c r="J27" s="17"/>
      <c r="K27" s="17"/>
      <c r="L27" s="17"/>
      <c r="M27" s="17"/>
      <c r="N27" s="17"/>
    </row>
    <row r="28" spans="1:14" s="11" customFormat="1" ht="100.05" customHeight="1" x14ac:dyDescent="0.3">
      <c r="A28" s="17"/>
      <c r="B28" s="17"/>
      <c r="C28" s="17"/>
      <c r="D28" s="20"/>
      <c r="E28" s="35"/>
      <c r="F28" s="17"/>
      <c r="G28" s="17"/>
      <c r="H28" s="17"/>
      <c r="I28" s="17"/>
      <c r="J28" s="17"/>
      <c r="K28" s="17"/>
      <c r="L28" s="17"/>
      <c r="M28" s="17"/>
      <c r="N28" s="17"/>
    </row>
    <row r="29" spans="1:14" s="11" customFormat="1" ht="100.05" customHeight="1" x14ac:dyDescent="0.3">
      <c r="A29" s="17"/>
      <c r="B29" s="17"/>
      <c r="C29" s="17"/>
      <c r="D29" s="20"/>
      <c r="E29" s="35"/>
      <c r="F29" s="17"/>
      <c r="G29" s="17"/>
      <c r="H29" s="17"/>
      <c r="I29" s="17"/>
      <c r="J29" s="17"/>
      <c r="K29" s="17"/>
      <c r="L29" s="17"/>
      <c r="M29" s="17"/>
      <c r="N29" s="17"/>
    </row>
  </sheetData>
  <mergeCells count="3">
    <mergeCell ref="A1:C1"/>
    <mergeCell ref="K1:N1"/>
    <mergeCell ref="A2:N2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18" orientation="portrait" horizontalDpi="1200" verticalDpi="120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9"/>
  <sheetViews>
    <sheetView zoomScale="25" zoomScaleNormal="25" workbookViewId="0">
      <selection activeCell="M5" sqref="M5"/>
    </sheetView>
  </sheetViews>
  <sheetFormatPr defaultColWidth="8.88671875" defaultRowHeight="14.4" x14ac:dyDescent="0.3"/>
  <cols>
    <col min="1" max="1" width="41.77734375" style="17" customWidth="1"/>
    <col min="2" max="2" width="19.6640625" style="17" customWidth="1"/>
    <col min="3" max="3" width="29.21875" style="17" customWidth="1"/>
    <col min="4" max="4" width="28.6640625" style="20" customWidth="1"/>
    <col min="5" max="5" width="162.109375" style="35" customWidth="1"/>
    <col min="6" max="6" width="32.109375" style="17" bestFit="1" customWidth="1"/>
    <col min="7" max="7" width="21.88671875" style="17" bestFit="1" customWidth="1"/>
    <col min="8" max="8" width="26.6640625" style="17" bestFit="1" customWidth="1"/>
    <col min="9" max="9" width="40.109375" style="17" bestFit="1" customWidth="1"/>
    <col min="10" max="10" width="37.88671875" style="17" customWidth="1"/>
    <col min="11" max="11" width="25.6640625" style="17" customWidth="1"/>
    <col min="12" max="14" width="26.77734375" style="17" bestFit="1" customWidth="1"/>
    <col min="15" max="16384" width="8.88671875" style="18"/>
  </cols>
  <sheetData>
    <row r="1" spans="1:14" s="3" customFormat="1" ht="100.05" customHeight="1" x14ac:dyDescent="0.95">
      <c r="A1" s="37"/>
      <c r="B1" s="37"/>
      <c r="C1" s="37"/>
      <c r="D1" s="19"/>
      <c r="E1" s="34"/>
      <c r="F1" s="1"/>
      <c r="G1" s="1"/>
      <c r="H1" s="1"/>
      <c r="I1" s="1"/>
      <c r="J1" s="2" t="s">
        <v>0</v>
      </c>
      <c r="K1" s="38">
        <v>45960</v>
      </c>
      <c r="L1" s="38"/>
      <c r="M1" s="38"/>
      <c r="N1" s="38"/>
    </row>
    <row r="2" spans="1:14" s="4" customFormat="1" ht="100.05" customHeight="1" x14ac:dyDescent="0.3">
      <c r="A2" s="39" t="s">
        <v>69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</row>
    <row r="3" spans="1:14" s="4" customFormat="1" ht="150" customHeight="1" x14ac:dyDescent="0.3">
      <c r="A3" s="5" t="s">
        <v>1</v>
      </c>
      <c r="B3" s="5" t="s">
        <v>2</v>
      </c>
      <c r="C3" s="6" t="s">
        <v>3</v>
      </c>
      <c r="D3" s="7" t="s">
        <v>4</v>
      </c>
      <c r="E3" s="32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6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s="28" customFormat="1" ht="150" customHeight="1" x14ac:dyDescent="0.3">
      <c r="A4" s="5">
        <v>230925</v>
      </c>
      <c r="B4" s="5">
        <v>430</v>
      </c>
      <c r="C4" s="7">
        <v>0.8</v>
      </c>
      <c r="D4" s="5">
        <v>425</v>
      </c>
      <c r="E4" s="32" t="s">
        <v>82</v>
      </c>
      <c r="F4" s="5" t="s">
        <v>80</v>
      </c>
      <c r="G4" s="5">
        <v>430</v>
      </c>
      <c r="H4" s="7" t="s">
        <v>16</v>
      </c>
      <c r="I4" s="5" t="s">
        <v>16</v>
      </c>
      <c r="J4" s="5" t="s">
        <v>16</v>
      </c>
      <c r="K4" s="5" t="s">
        <v>17</v>
      </c>
      <c r="L4" s="9">
        <v>6000</v>
      </c>
      <c r="M4" s="27">
        <f>1700+1600+1950</f>
        <v>5250</v>
      </c>
      <c r="N4" s="26">
        <f t="shared" ref="N4:N14" si="0">L4-M4</f>
        <v>750</v>
      </c>
    </row>
    <row r="5" spans="1:14" s="28" customFormat="1" ht="150" customHeight="1" x14ac:dyDescent="0.3">
      <c r="A5" s="5">
        <v>230925</v>
      </c>
      <c r="B5" s="5">
        <v>430</v>
      </c>
      <c r="C5" s="7">
        <v>0.8</v>
      </c>
      <c r="D5" s="5">
        <v>360</v>
      </c>
      <c r="E5" s="32" t="s">
        <v>83</v>
      </c>
      <c r="F5" s="5" t="s">
        <v>80</v>
      </c>
      <c r="G5" s="5">
        <v>430</v>
      </c>
      <c r="H5" s="7" t="s">
        <v>16</v>
      </c>
      <c r="I5" s="5" t="s">
        <v>16</v>
      </c>
      <c r="J5" s="5" t="s">
        <v>16</v>
      </c>
      <c r="K5" s="5" t="s">
        <v>17</v>
      </c>
      <c r="L5" s="9">
        <v>5300</v>
      </c>
      <c r="M5" s="27"/>
      <c r="N5" s="26">
        <f t="shared" si="0"/>
        <v>5300</v>
      </c>
    </row>
    <row r="6" spans="1:14" s="28" customFormat="1" ht="150" customHeight="1" x14ac:dyDescent="0.3">
      <c r="A6" s="5">
        <v>250079</v>
      </c>
      <c r="B6" s="5">
        <v>304</v>
      </c>
      <c r="C6" s="7">
        <v>0.7</v>
      </c>
      <c r="D6" s="5">
        <v>324</v>
      </c>
      <c r="E6" s="32" t="s">
        <v>91</v>
      </c>
      <c r="F6" s="5" t="s">
        <v>80</v>
      </c>
      <c r="G6" s="5">
        <v>304</v>
      </c>
      <c r="H6" s="7">
        <v>0.6</v>
      </c>
      <c r="I6" s="5" t="s">
        <v>16</v>
      </c>
      <c r="J6" s="5" t="s">
        <v>16</v>
      </c>
      <c r="K6" s="5" t="s">
        <v>17</v>
      </c>
      <c r="L6" s="9">
        <v>964</v>
      </c>
      <c r="M6" s="27"/>
      <c r="N6" s="26">
        <f t="shared" si="0"/>
        <v>964</v>
      </c>
    </row>
    <row r="7" spans="1:14" s="28" customFormat="1" ht="150" customHeight="1" x14ac:dyDescent="0.3">
      <c r="A7" s="5">
        <v>250079</v>
      </c>
      <c r="B7" s="5">
        <v>304</v>
      </c>
      <c r="C7" s="7">
        <v>1</v>
      </c>
      <c r="D7" s="5">
        <v>324</v>
      </c>
      <c r="E7" s="32" t="s">
        <v>92</v>
      </c>
      <c r="F7" s="5" t="s">
        <v>80</v>
      </c>
      <c r="G7" s="5">
        <v>304</v>
      </c>
      <c r="H7" s="7">
        <v>0.6</v>
      </c>
      <c r="I7" s="5" t="s">
        <v>16</v>
      </c>
      <c r="J7" s="5" t="s">
        <v>16</v>
      </c>
      <c r="K7" s="5" t="s">
        <v>17</v>
      </c>
      <c r="L7" s="9">
        <v>36</v>
      </c>
      <c r="M7" s="27"/>
      <c r="N7" s="26">
        <f t="shared" si="0"/>
        <v>36</v>
      </c>
    </row>
    <row r="8" spans="1:14" s="28" customFormat="1" ht="150" customHeight="1" x14ac:dyDescent="0.3">
      <c r="A8" s="5">
        <v>250080</v>
      </c>
      <c r="B8" s="5">
        <v>304</v>
      </c>
      <c r="C8" s="7">
        <v>0.7</v>
      </c>
      <c r="D8" s="5">
        <v>307</v>
      </c>
      <c r="E8" s="32" t="s">
        <v>93</v>
      </c>
      <c r="F8" s="5" t="s">
        <v>80</v>
      </c>
      <c r="G8" s="5">
        <v>430</v>
      </c>
      <c r="H8" s="7">
        <v>0.6</v>
      </c>
      <c r="I8" s="5" t="s">
        <v>16</v>
      </c>
      <c r="J8" s="5" t="s">
        <v>16</v>
      </c>
      <c r="K8" s="5" t="s">
        <v>17</v>
      </c>
      <c r="L8" s="9">
        <v>1000</v>
      </c>
      <c r="M8" s="27"/>
      <c r="N8" s="26">
        <f t="shared" si="0"/>
        <v>1000</v>
      </c>
    </row>
    <row r="9" spans="1:14" s="28" customFormat="1" ht="150" customHeight="1" x14ac:dyDescent="0.3">
      <c r="A9" s="5">
        <v>250079</v>
      </c>
      <c r="B9" s="5">
        <v>304</v>
      </c>
      <c r="C9" s="7">
        <v>0.7</v>
      </c>
      <c r="D9" s="5">
        <v>307</v>
      </c>
      <c r="E9" s="32" t="s">
        <v>94</v>
      </c>
      <c r="F9" s="5" t="s">
        <v>80</v>
      </c>
      <c r="G9" s="5">
        <v>304</v>
      </c>
      <c r="H9" s="7">
        <v>0.6</v>
      </c>
      <c r="I9" s="5" t="s">
        <v>16</v>
      </c>
      <c r="J9" s="5" t="s">
        <v>16</v>
      </c>
      <c r="K9" s="5" t="s">
        <v>17</v>
      </c>
      <c r="L9" s="9">
        <v>1314</v>
      </c>
      <c r="M9" s="27"/>
      <c r="N9" s="26">
        <f t="shared" si="0"/>
        <v>1314</v>
      </c>
    </row>
    <row r="10" spans="1:14" s="28" customFormat="1" ht="150" customHeight="1" x14ac:dyDescent="0.3">
      <c r="A10" s="5">
        <v>250079</v>
      </c>
      <c r="B10" s="5">
        <v>304</v>
      </c>
      <c r="C10" s="7">
        <v>1</v>
      </c>
      <c r="D10" s="5">
        <v>307</v>
      </c>
      <c r="E10" s="32" t="s">
        <v>95</v>
      </c>
      <c r="F10" s="5" t="s">
        <v>80</v>
      </c>
      <c r="G10" s="5">
        <v>304</v>
      </c>
      <c r="H10" s="7">
        <v>0.6</v>
      </c>
      <c r="I10" s="5" t="s">
        <v>16</v>
      </c>
      <c r="J10" s="5" t="s">
        <v>16</v>
      </c>
      <c r="K10" s="5" t="s">
        <v>17</v>
      </c>
      <c r="L10" s="9">
        <v>36</v>
      </c>
      <c r="M10" s="27"/>
      <c r="N10" s="26">
        <f t="shared" si="0"/>
        <v>36</v>
      </c>
    </row>
    <row r="11" spans="1:14" s="28" customFormat="1" ht="150" customHeight="1" x14ac:dyDescent="0.3">
      <c r="A11" s="5">
        <v>250080</v>
      </c>
      <c r="B11" s="5">
        <v>304</v>
      </c>
      <c r="C11" s="7">
        <v>0.7</v>
      </c>
      <c r="D11" s="5">
        <v>265</v>
      </c>
      <c r="E11" s="32" t="s">
        <v>96</v>
      </c>
      <c r="F11" s="5" t="s">
        <v>80</v>
      </c>
      <c r="G11" s="5">
        <v>430</v>
      </c>
      <c r="H11" s="7">
        <v>0.6</v>
      </c>
      <c r="I11" s="5" t="s">
        <v>16</v>
      </c>
      <c r="J11" s="5" t="s">
        <v>16</v>
      </c>
      <c r="K11" s="5" t="s">
        <v>17</v>
      </c>
      <c r="L11" s="9">
        <v>1200</v>
      </c>
      <c r="M11" s="27"/>
      <c r="N11" s="26">
        <f t="shared" si="0"/>
        <v>1200</v>
      </c>
    </row>
    <row r="12" spans="1:14" s="28" customFormat="1" ht="150" customHeight="1" x14ac:dyDescent="0.3">
      <c r="A12" s="5">
        <v>250079</v>
      </c>
      <c r="B12" s="5">
        <v>304</v>
      </c>
      <c r="C12" s="7">
        <v>0.7</v>
      </c>
      <c r="D12" s="5">
        <v>307</v>
      </c>
      <c r="E12" s="32" t="s">
        <v>97</v>
      </c>
      <c r="F12" s="5" t="s">
        <v>80</v>
      </c>
      <c r="G12" s="5">
        <v>304</v>
      </c>
      <c r="H12" s="7">
        <v>0.6</v>
      </c>
      <c r="I12" s="5" t="s">
        <v>16</v>
      </c>
      <c r="J12" s="5" t="s">
        <v>16</v>
      </c>
      <c r="K12" s="5" t="s">
        <v>17</v>
      </c>
      <c r="L12" s="9">
        <v>1314</v>
      </c>
      <c r="M12" s="27"/>
      <c r="N12" s="26">
        <f t="shared" si="0"/>
        <v>1314</v>
      </c>
    </row>
    <row r="13" spans="1:14" s="28" customFormat="1" ht="150" customHeight="1" x14ac:dyDescent="0.3">
      <c r="A13" s="5">
        <v>250079</v>
      </c>
      <c r="B13" s="5">
        <v>304</v>
      </c>
      <c r="C13" s="7">
        <v>1</v>
      </c>
      <c r="D13" s="5">
        <v>307</v>
      </c>
      <c r="E13" s="32" t="s">
        <v>98</v>
      </c>
      <c r="F13" s="5" t="s">
        <v>80</v>
      </c>
      <c r="G13" s="5">
        <v>304</v>
      </c>
      <c r="H13" s="7">
        <v>0.6</v>
      </c>
      <c r="I13" s="5" t="s">
        <v>16</v>
      </c>
      <c r="J13" s="5" t="s">
        <v>16</v>
      </c>
      <c r="K13" s="5" t="s">
        <v>17</v>
      </c>
      <c r="L13" s="9">
        <v>36</v>
      </c>
      <c r="M13" s="27"/>
      <c r="N13" s="26">
        <f t="shared" si="0"/>
        <v>36</v>
      </c>
    </row>
    <row r="14" spans="1:14" s="11" customFormat="1" ht="150" customHeight="1" x14ac:dyDescent="0.3">
      <c r="A14" s="22"/>
      <c r="B14" s="22"/>
      <c r="C14" s="23"/>
      <c r="D14" s="29"/>
      <c r="E14" s="31"/>
      <c r="F14" s="22"/>
      <c r="G14" s="22"/>
      <c r="H14" s="23"/>
      <c r="I14" s="22"/>
      <c r="J14" s="22"/>
      <c r="K14" s="22"/>
      <c r="L14" s="26"/>
      <c r="M14" s="27"/>
      <c r="N14" s="26">
        <f t="shared" si="0"/>
        <v>0</v>
      </c>
    </row>
    <row r="15" spans="1:14" s="11" customFormat="1" ht="150" customHeight="1" x14ac:dyDescent="0.3">
      <c r="A15" s="13"/>
      <c r="B15" s="13"/>
      <c r="C15" s="14"/>
      <c r="D15" s="14"/>
      <c r="E15" s="33"/>
      <c r="F15" s="13"/>
      <c r="G15" s="13"/>
      <c r="H15" s="14"/>
      <c r="I15" s="13"/>
      <c r="J15" s="13"/>
      <c r="K15" s="13"/>
      <c r="L15" s="9">
        <f>SUM(L4:L14)</f>
        <v>17200</v>
      </c>
      <c r="M15" s="16">
        <f>SUM(M4:M14)</f>
        <v>5250</v>
      </c>
      <c r="N15" s="9">
        <f>SUM(N4:N14)</f>
        <v>11950</v>
      </c>
    </row>
    <row r="16" spans="1:14" s="12" customFormat="1" ht="100.05" customHeight="1" x14ac:dyDescent="0.3">
      <c r="A16" s="17"/>
      <c r="B16" s="17"/>
      <c r="C16" s="17"/>
      <c r="D16" s="20"/>
      <c r="E16" s="35"/>
      <c r="F16" s="17"/>
      <c r="G16" s="17"/>
      <c r="H16" s="17"/>
      <c r="I16" s="17"/>
      <c r="J16" s="17"/>
      <c r="K16" s="17"/>
      <c r="L16" s="17"/>
      <c r="M16" s="17"/>
      <c r="N16" s="17"/>
    </row>
    <row r="17" spans="1:14" ht="100.05" customHeight="1" x14ac:dyDescent="0.3"/>
    <row r="18" spans="1:14" s="4" customFormat="1" ht="100.05" customHeight="1" x14ac:dyDescent="0.3">
      <c r="A18" s="17"/>
      <c r="B18" s="17"/>
      <c r="C18" s="17"/>
      <c r="D18" s="20"/>
      <c r="E18" s="35"/>
      <c r="F18" s="17"/>
      <c r="G18" s="17"/>
      <c r="H18" s="17"/>
      <c r="I18" s="17"/>
      <c r="J18" s="17"/>
      <c r="K18" s="17"/>
      <c r="L18" s="17"/>
      <c r="M18" s="17"/>
      <c r="N18" s="17"/>
    </row>
    <row r="19" spans="1:14" s="4" customFormat="1" ht="100.05" customHeight="1" x14ac:dyDescent="0.3">
      <c r="A19" s="17"/>
      <c r="B19" s="17"/>
      <c r="C19" s="17"/>
      <c r="D19" s="20"/>
      <c r="E19" s="35"/>
      <c r="F19" s="17"/>
      <c r="G19" s="17"/>
      <c r="H19" s="17"/>
      <c r="I19" s="17"/>
      <c r="J19" s="17"/>
      <c r="K19" s="17"/>
      <c r="L19" s="17"/>
      <c r="M19" s="17"/>
      <c r="N19" s="17"/>
    </row>
    <row r="20" spans="1:14" s="11" customFormat="1" ht="100.05" customHeight="1" x14ac:dyDescent="0.3">
      <c r="A20" s="17"/>
      <c r="B20" s="17"/>
      <c r="C20" s="17"/>
      <c r="D20" s="20"/>
      <c r="E20" s="35"/>
      <c r="F20" s="17"/>
      <c r="G20" s="17"/>
      <c r="H20" s="17"/>
      <c r="I20" s="17"/>
      <c r="J20" s="17"/>
      <c r="K20" s="17"/>
      <c r="L20" s="17"/>
      <c r="M20" s="17"/>
      <c r="N20" s="17"/>
    </row>
    <row r="21" spans="1:14" s="11" customFormat="1" ht="100.05" customHeight="1" x14ac:dyDescent="0.3">
      <c r="A21" s="17"/>
      <c r="B21" s="17"/>
      <c r="C21" s="17"/>
      <c r="D21" s="20"/>
      <c r="E21" s="35"/>
      <c r="F21" s="17"/>
      <c r="G21" s="17"/>
      <c r="H21" s="17"/>
      <c r="I21" s="17"/>
      <c r="J21" s="17"/>
      <c r="K21" s="17"/>
      <c r="L21" s="17"/>
      <c r="M21" s="17"/>
      <c r="N21" s="17"/>
    </row>
    <row r="22" spans="1:14" s="11" customFormat="1" ht="100.05" customHeight="1" x14ac:dyDescent="0.3">
      <c r="A22" s="17"/>
      <c r="B22" s="17"/>
      <c r="C22" s="17"/>
      <c r="D22" s="20"/>
      <c r="E22" s="35"/>
      <c r="F22" s="17"/>
      <c r="G22" s="17"/>
      <c r="H22" s="17"/>
      <c r="I22" s="17"/>
      <c r="J22" s="17"/>
      <c r="K22" s="17"/>
      <c r="L22" s="17"/>
      <c r="M22" s="17"/>
      <c r="N22" s="17"/>
    </row>
    <row r="23" spans="1:14" s="11" customFormat="1" ht="100.05" customHeight="1" x14ac:dyDescent="0.3">
      <c r="A23" s="17"/>
      <c r="B23" s="17"/>
      <c r="C23" s="17"/>
      <c r="D23" s="20"/>
      <c r="E23" s="35"/>
      <c r="F23" s="17"/>
      <c r="G23" s="17"/>
      <c r="H23" s="17"/>
      <c r="I23" s="17"/>
      <c r="J23" s="17"/>
      <c r="K23" s="17"/>
      <c r="L23" s="17"/>
      <c r="M23" s="17"/>
      <c r="N23" s="17"/>
    </row>
    <row r="24" spans="1:14" s="11" customFormat="1" ht="100.05" customHeight="1" x14ac:dyDescent="0.3">
      <c r="A24" s="17"/>
      <c r="B24" s="17"/>
      <c r="C24" s="17"/>
      <c r="D24" s="20"/>
      <c r="E24" s="35"/>
      <c r="F24" s="17"/>
      <c r="G24" s="17"/>
      <c r="H24" s="17"/>
      <c r="I24" s="17"/>
      <c r="J24" s="17"/>
      <c r="K24" s="17"/>
      <c r="L24" s="17"/>
      <c r="M24" s="17"/>
      <c r="N24" s="17"/>
    </row>
    <row r="25" spans="1:14" s="11" customFormat="1" ht="100.05" customHeight="1" x14ac:dyDescent="0.3">
      <c r="A25" s="17"/>
      <c r="B25" s="17"/>
      <c r="C25" s="17"/>
      <c r="D25" s="20"/>
      <c r="E25" s="35"/>
      <c r="F25" s="17"/>
      <c r="G25" s="17"/>
      <c r="H25" s="17"/>
      <c r="I25" s="17"/>
      <c r="J25" s="17"/>
      <c r="K25" s="17"/>
      <c r="L25" s="17"/>
      <c r="M25" s="17"/>
      <c r="N25" s="17"/>
    </row>
    <row r="26" spans="1:14" s="11" customFormat="1" ht="100.05" customHeight="1" x14ac:dyDescent="0.3">
      <c r="A26" s="17"/>
      <c r="B26" s="17"/>
      <c r="C26" s="17"/>
      <c r="D26" s="20"/>
      <c r="E26" s="35"/>
      <c r="F26" s="17"/>
      <c r="G26" s="17"/>
      <c r="H26" s="17"/>
      <c r="I26" s="17"/>
      <c r="J26" s="17"/>
      <c r="K26" s="17"/>
      <c r="L26" s="17"/>
      <c r="M26" s="17"/>
      <c r="N26" s="17"/>
    </row>
    <row r="27" spans="1:14" s="11" customFormat="1" ht="100.05" customHeight="1" x14ac:dyDescent="0.3">
      <c r="A27" s="17"/>
      <c r="B27" s="17"/>
      <c r="C27" s="17"/>
      <c r="D27" s="20"/>
      <c r="E27" s="35"/>
      <c r="F27" s="17"/>
      <c r="G27" s="17"/>
      <c r="H27" s="17"/>
      <c r="I27" s="17"/>
      <c r="J27" s="17"/>
      <c r="K27" s="17"/>
      <c r="L27" s="17"/>
      <c r="M27" s="17"/>
      <c r="N27" s="17"/>
    </row>
    <row r="28" spans="1:14" s="11" customFormat="1" ht="100.05" customHeight="1" x14ac:dyDescent="0.3">
      <c r="A28" s="17"/>
      <c r="B28" s="17"/>
      <c r="C28" s="17"/>
      <c r="D28" s="20"/>
      <c r="E28" s="35"/>
      <c r="F28" s="17"/>
      <c r="G28" s="17"/>
      <c r="H28" s="17"/>
      <c r="I28" s="17"/>
      <c r="J28" s="17"/>
      <c r="K28" s="17"/>
      <c r="L28" s="17"/>
      <c r="M28" s="17"/>
      <c r="N28" s="17"/>
    </row>
    <row r="29" spans="1:14" s="11" customFormat="1" ht="100.05" customHeight="1" x14ac:dyDescent="0.3">
      <c r="A29" s="17"/>
      <c r="B29" s="17"/>
      <c r="C29" s="17"/>
      <c r="D29" s="20"/>
      <c r="E29" s="35"/>
      <c r="F29" s="17"/>
      <c r="G29" s="17"/>
      <c r="H29" s="17"/>
      <c r="I29" s="17"/>
      <c r="J29" s="17"/>
      <c r="K29" s="17"/>
      <c r="L29" s="17"/>
      <c r="M29" s="17"/>
      <c r="N29" s="17"/>
    </row>
  </sheetData>
  <mergeCells count="3">
    <mergeCell ref="A1:C1"/>
    <mergeCell ref="K1:N1"/>
    <mergeCell ref="A2:N2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18" orientation="portrait" horizontalDpi="1200" verticalDpi="120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9"/>
  <sheetViews>
    <sheetView zoomScale="25" zoomScaleNormal="25" workbookViewId="0">
      <selection activeCell="M6" sqref="M6"/>
    </sheetView>
  </sheetViews>
  <sheetFormatPr defaultColWidth="8.88671875" defaultRowHeight="14.4" x14ac:dyDescent="0.3"/>
  <cols>
    <col min="1" max="1" width="41.77734375" style="17" customWidth="1"/>
    <col min="2" max="2" width="19.6640625" style="17" customWidth="1"/>
    <col min="3" max="3" width="29.21875" style="17" customWidth="1"/>
    <col min="4" max="4" width="28.6640625" style="20" customWidth="1"/>
    <col min="5" max="5" width="162.109375" style="35" customWidth="1"/>
    <col min="6" max="6" width="32.109375" style="17" bestFit="1" customWidth="1"/>
    <col min="7" max="7" width="21.88671875" style="17" bestFit="1" customWidth="1"/>
    <col min="8" max="8" width="26.6640625" style="17" bestFit="1" customWidth="1"/>
    <col min="9" max="9" width="40.109375" style="17" bestFit="1" customWidth="1"/>
    <col min="10" max="10" width="37.88671875" style="17" customWidth="1"/>
    <col min="11" max="11" width="25.6640625" style="17" customWidth="1"/>
    <col min="12" max="14" width="26.77734375" style="17" bestFit="1" customWidth="1"/>
    <col min="15" max="16384" width="8.88671875" style="18"/>
  </cols>
  <sheetData>
    <row r="1" spans="1:14" s="3" customFormat="1" ht="100.05" customHeight="1" x14ac:dyDescent="0.95">
      <c r="A1" s="37"/>
      <c r="B1" s="37"/>
      <c r="C1" s="37"/>
      <c r="D1" s="19"/>
      <c r="E1" s="34"/>
      <c r="F1" s="1"/>
      <c r="G1" s="1"/>
      <c r="H1" s="1"/>
      <c r="I1" s="1"/>
      <c r="J1" s="2" t="s">
        <v>0</v>
      </c>
      <c r="K1" s="38">
        <v>45961</v>
      </c>
      <c r="L1" s="38"/>
      <c r="M1" s="38"/>
      <c r="N1" s="38"/>
    </row>
    <row r="2" spans="1:14" s="4" customFormat="1" ht="100.05" customHeight="1" x14ac:dyDescent="0.3">
      <c r="A2" s="39" t="s">
        <v>69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</row>
    <row r="3" spans="1:14" s="4" customFormat="1" ht="150" customHeight="1" x14ac:dyDescent="0.3">
      <c r="A3" s="5" t="s">
        <v>1</v>
      </c>
      <c r="B3" s="5" t="s">
        <v>2</v>
      </c>
      <c r="C3" s="6" t="s">
        <v>3</v>
      </c>
      <c r="D3" s="7" t="s">
        <v>4</v>
      </c>
      <c r="E3" s="32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6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s="28" customFormat="1" ht="150" customHeight="1" x14ac:dyDescent="0.3">
      <c r="A4" s="5">
        <v>230925</v>
      </c>
      <c r="B4" s="5">
        <v>430</v>
      </c>
      <c r="C4" s="7">
        <v>0.8</v>
      </c>
      <c r="D4" s="5">
        <v>425</v>
      </c>
      <c r="E4" s="32" t="s">
        <v>82</v>
      </c>
      <c r="F4" s="5" t="s">
        <v>80</v>
      </c>
      <c r="G4" s="5">
        <v>430</v>
      </c>
      <c r="H4" s="7" t="s">
        <v>16</v>
      </c>
      <c r="I4" s="5" t="s">
        <v>16</v>
      </c>
      <c r="J4" s="5" t="s">
        <v>16</v>
      </c>
      <c r="K4" s="5" t="s">
        <v>17</v>
      </c>
      <c r="L4" s="9">
        <v>6000</v>
      </c>
      <c r="M4" s="27">
        <f>1700+1600+1950+880</f>
        <v>6130</v>
      </c>
      <c r="N4" s="26">
        <f t="shared" ref="N4:N14" si="0">L4-M4</f>
        <v>-130</v>
      </c>
    </row>
    <row r="5" spans="1:14" s="28" customFormat="1" ht="150" customHeight="1" x14ac:dyDescent="0.3">
      <c r="A5" s="5">
        <v>230925</v>
      </c>
      <c r="B5" s="5">
        <v>430</v>
      </c>
      <c r="C5" s="7">
        <v>0.8</v>
      </c>
      <c r="D5" s="5">
        <v>360</v>
      </c>
      <c r="E5" s="32" t="s">
        <v>83</v>
      </c>
      <c r="F5" s="5" t="s">
        <v>80</v>
      </c>
      <c r="G5" s="5">
        <v>430</v>
      </c>
      <c r="H5" s="7" t="s">
        <v>16</v>
      </c>
      <c r="I5" s="5" t="s">
        <v>16</v>
      </c>
      <c r="J5" s="5" t="s">
        <v>16</v>
      </c>
      <c r="K5" s="5" t="s">
        <v>17</v>
      </c>
      <c r="L5" s="9">
        <v>5300</v>
      </c>
      <c r="M5" s="27">
        <f>700</f>
        <v>700</v>
      </c>
      <c r="N5" s="26">
        <f t="shared" si="0"/>
        <v>4600</v>
      </c>
    </row>
    <row r="6" spans="1:14" s="28" customFormat="1" ht="150" customHeight="1" x14ac:dyDescent="0.3">
      <c r="A6" s="5">
        <v>250079</v>
      </c>
      <c r="B6" s="5">
        <v>304</v>
      </c>
      <c r="C6" s="7">
        <v>0.7</v>
      </c>
      <c r="D6" s="5">
        <v>324</v>
      </c>
      <c r="E6" s="32" t="s">
        <v>91</v>
      </c>
      <c r="F6" s="5" t="s">
        <v>80</v>
      </c>
      <c r="G6" s="5">
        <v>304</v>
      </c>
      <c r="H6" s="7">
        <v>0.6</v>
      </c>
      <c r="I6" s="5" t="s">
        <v>16</v>
      </c>
      <c r="J6" s="5" t="s">
        <v>16</v>
      </c>
      <c r="K6" s="5" t="s">
        <v>17</v>
      </c>
      <c r="L6" s="9">
        <v>964</v>
      </c>
      <c r="M6" s="27"/>
      <c r="N6" s="26">
        <f t="shared" si="0"/>
        <v>964</v>
      </c>
    </row>
    <row r="7" spans="1:14" s="28" customFormat="1" ht="150" customHeight="1" x14ac:dyDescent="0.3">
      <c r="A7" s="5">
        <v>250079</v>
      </c>
      <c r="B7" s="5">
        <v>304</v>
      </c>
      <c r="C7" s="7">
        <v>1</v>
      </c>
      <c r="D7" s="5">
        <v>324</v>
      </c>
      <c r="E7" s="32" t="s">
        <v>92</v>
      </c>
      <c r="F7" s="5" t="s">
        <v>80</v>
      </c>
      <c r="G7" s="5">
        <v>304</v>
      </c>
      <c r="H7" s="7">
        <v>0.6</v>
      </c>
      <c r="I7" s="5" t="s">
        <v>16</v>
      </c>
      <c r="J7" s="5" t="s">
        <v>16</v>
      </c>
      <c r="K7" s="5" t="s">
        <v>17</v>
      </c>
      <c r="L7" s="9">
        <v>36</v>
      </c>
      <c r="M7" s="27"/>
      <c r="N7" s="26">
        <f t="shared" si="0"/>
        <v>36</v>
      </c>
    </row>
    <row r="8" spans="1:14" s="28" customFormat="1" ht="150" customHeight="1" x14ac:dyDescent="0.3">
      <c r="A8" s="5">
        <v>250080</v>
      </c>
      <c r="B8" s="5">
        <v>304</v>
      </c>
      <c r="C8" s="7">
        <v>0.7</v>
      </c>
      <c r="D8" s="5">
        <v>307</v>
      </c>
      <c r="E8" s="32" t="s">
        <v>93</v>
      </c>
      <c r="F8" s="5" t="s">
        <v>80</v>
      </c>
      <c r="G8" s="5">
        <v>430</v>
      </c>
      <c r="H8" s="7">
        <v>0.6</v>
      </c>
      <c r="I8" s="5" t="s">
        <v>16</v>
      </c>
      <c r="J8" s="5" t="s">
        <v>16</v>
      </c>
      <c r="K8" s="5" t="s">
        <v>17</v>
      </c>
      <c r="L8" s="9">
        <v>1000</v>
      </c>
      <c r="M8" s="27"/>
      <c r="N8" s="26">
        <f t="shared" si="0"/>
        <v>1000</v>
      </c>
    </row>
    <row r="9" spans="1:14" s="28" customFormat="1" ht="150" customHeight="1" x14ac:dyDescent="0.3">
      <c r="A9" s="5">
        <v>250079</v>
      </c>
      <c r="B9" s="5">
        <v>304</v>
      </c>
      <c r="C9" s="7">
        <v>0.7</v>
      </c>
      <c r="D9" s="5">
        <v>307</v>
      </c>
      <c r="E9" s="32" t="s">
        <v>94</v>
      </c>
      <c r="F9" s="5" t="s">
        <v>80</v>
      </c>
      <c r="G9" s="5">
        <v>304</v>
      </c>
      <c r="H9" s="7">
        <v>0.6</v>
      </c>
      <c r="I9" s="5" t="s">
        <v>16</v>
      </c>
      <c r="J9" s="5" t="s">
        <v>16</v>
      </c>
      <c r="K9" s="5" t="s">
        <v>17</v>
      </c>
      <c r="L9" s="9">
        <v>1314</v>
      </c>
      <c r="M9" s="27"/>
      <c r="N9" s="26">
        <f t="shared" si="0"/>
        <v>1314</v>
      </c>
    </row>
    <row r="10" spans="1:14" s="28" customFormat="1" ht="150" customHeight="1" x14ac:dyDescent="0.3">
      <c r="A10" s="5">
        <v>250079</v>
      </c>
      <c r="B10" s="5">
        <v>304</v>
      </c>
      <c r="C10" s="7">
        <v>1</v>
      </c>
      <c r="D10" s="5">
        <v>307</v>
      </c>
      <c r="E10" s="32" t="s">
        <v>95</v>
      </c>
      <c r="F10" s="5" t="s">
        <v>80</v>
      </c>
      <c r="G10" s="5">
        <v>304</v>
      </c>
      <c r="H10" s="7">
        <v>0.6</v>
      </c>
      <c r="I10" s="5" t="s">
        <v>16</v>
      </c>
      <c r="J10" s="5" t="s">
        <v>16</v>
      </c>
      <c r="K10" s="5" t="s">
        <v>17</v>
      </c>
      <c r="L10" s="9">
        <v>36</v>
      </c>
      <c r="M10" s="27"/>
      <c r="N10" s="26">
        <f t="shared" si="0"/>
        <v>36</v>
      </c>
    </row>
    <row r="11" spans="1:14" s="28" customFormat="1" ht="150" customHeight="1" x14ac:dyDescent="0.3">
      <c r="A11" s="5">
        <v>250080</v>
      </c>
      <c r="B11" s="5">
        <v>304</v>
      </c>
      <c r="C11" s="7">
        <v>0.7</v>
      </c>
      <c r="D11" s="5">
        <v>265</v>
      </c>
      <c r="E11" s="32" t="s">
        <v>96</v>
      </c>
      <c r="F11" s="5" t="s">
        <v>80</v>
      </c>
      <c r="G11" s="5">
        <v>430</v>
      </c>
      <c r="H11" s="7">
        <v>0.6</v>
      </c>
      <c r="I11" s="5" t="s">
        <v>16</v>
      </c>
      <c r="J11" s="5" t="s">
        <v>16</v>
      </c>
      <c r="K11" s="5" t="s">
        <v>17</v>
      </c>
      <c r="L11" s="9">
        <v>1200</v>
      </c>
      <c r="M11" s="27"/>
      <c r="N11" s="26">
        <f t="shared" si="0"/>
        <v>1200</v>
      </c>
    </row>
    <row r="12" spans="1:14" s="28" customFormat="1" ht="150" customHeight="1" x14ac:dyDescent="0.3">
      <c r="A12" s="5">
        <v>250079</v>
      </c>
      <c r="B12" s="5">
        <v>304</v>
      </c>
      <c r="C12" s="7">
        <v>0.7</v>
      </c>
      <c r="D12" s="5">
        <v>307</v>
      </c>
      <c r="E12" s="32" t="s">
        <v>97</v>
      </c>
      <c r="F12" s="5" t="s">
        <v>80</v>
      </c>
      <c r="G12" s="5">
        <v>304</v>
      </c>
      <c r="H12" s="7">
        <v>0.6</v>
      </c>
      <c r="I12" s="5" t="s">
        <v>16</v>
      </c>
      <c r="J12" s="5" t="s">
        <v>16</v>
      </c>
      <c r="K12" s="5" t="s">
        <v>17</v>
      </c>
      <c r="L12" s="9">
        <v>1314</v>
      </c>
      <c r="M12" s="27"/>
      <c r="N12" s="26">
        <f t="shared" si="0"/>
        <v>1314</v>
      </c>
    </row>
    <row r="13" spans="1:14" s="28" customFormat="1" ht="150" customHeight="1" x14ac:dyDescent="0.3">
      <c r="A13" s="5">
        <v>250079</v>
      </c>
      <c r="B13" s="5">
        <v>304</v>
      </c>
      <c r="C13" s="7">
        <v>1</v>
      </c>
      <c r="D13" s="5">
        <v>307</v>
      </c>
      <c r="E13" s="32" t="s">
        <v>98</v>
      </c>
      <c r="F13" s="5" t="s">
        <v>80</v>
      </c>
      <c r="G13" s="5">
        <v>304</v>
      </c>
      <c r="H13" s="7">
        <v>0.6</v>
      </c>
      <c r="I13" s="5" t="s">
        <v>16</v>
      </c>
      <c r="J13" s="5" t="s">
        <v>16</v>
      </c>
      <c r="K13" s="5" t="s">
        <v>17</v>
      </c>
      <c r="L13" s="9">
        <v>36</v>
      </c>
      <c r="M13" s="27"/>
      <c r="N13" s="26">
        <f t="shared" si="0"/>
        <v>36</v>
      </c>
    </row>
    <row r="14" spans="1:14" s="11" customFormat="1" ht="150" customHeight="1" x14ac:dyDescent="0.3">
      <c r="A14" s="22"/>
      <c r="B14" s="22"/>
      <c r="C14" s="23"/>
      <c r="D14" s="29"/>
      <c r="E14" s="31"/>
      <c r="F14" s="22"/>
      <c r="G14" s="22"/>
      <c r="H14" s="23"/>
      <c r="I14" s="22"/>
      <c r="J14" s="22"/>
      <c r="K14" s="22"/>
      <c r="L14" s="26"/>
      <c r="M14" s="27"/>
      <c r="N14" s="26">
        <f t="shared" si="0"/>
        <v>0</v>
      </c>
    </row>
    <row r="15" spans="1:14" s="11" customFormat="1" ht="150" customHeight="1" x14ac:dyDescent="0.3">
      <c r="A15" s="13"/>
      <c r="B15" s="13"/>
      <c r="C15" s="14"/>
      <c r="D15" s="14"/>
      <c r="E15" s="33"/>
      <c r="F15" s="13"/>
      <c r="G15" s="13"/>
      <c r="H15" s="14"/>
      <c r="I15" s="13"/>
      <c r="J15" s="13"/>
      <c r="K15" s="13"/>
      <c r="L15" s="9">
        <f>SUM(L4:L14)</f>
        <v>17200</v>
      </c>
      <c r="M15" s="16">
        <f>SUM(M4:M14)</f>
        <v>6830</v>
      </c>
      <c r="N15" s="9">
        <f>SUM(N4:N14)</f>
        <v>10370</v>
      </c>
    </row>
    <row r="16" spans="1:14" s="12" customFormat="1" ht="100.05" customHeight="1" x14ac:dyDescent="0.3">
      <c r="A16" s="17"/>
      <c r="B16" s="17"/>
      <c r="C16" s="17"/>
      <c r="D16" s="20"/>
      <c r="E16" s="35"/>
      <c r="F16" s="17"/>
      <c r="G16" s="17"/>
      <c r="H16" s="17"/>
      <c r="I16" s="17"/>
      <c r="J16" s="17"/>
      <c r="K16" s="17"/>
      <c r="L16" s="17"/>
      <c r="M16" s="17"/>
      <c r="N16" s="17"/>
    </row>
    <row r="17" spans="1:14" ht="100.05" customHeight="1" x14ac:dyDescent="0.3"/>
    <row r="18" spans="1:14" s="4" customFormat="1" ht="100.05" customHeight="1" x14ac:dyDescent="0.3">
      <c r="A18" s="17"/>
      <c r="B18" s="17"/>
      <c r="C18" s="17"/>
      <c r="D18" s="20"/>
      <c r="E18" s="35"/>
      <c r="F18" s="17"/>
      <c r="G18" s="17"/>
      <c r="H18" s="17"/>
      <c r="I18" s="17"/>
      <c r="J18" s="17"/>
      <c r="K18" s="17"/>
      <c r="L18" s="17"/>
      <c r="M18" s="17"/>
      <c r="N18" s="17"/>
    </row>
    <row r="19" spans="1:14" s="4" customFormat="1" ht="100.05" customHeight="1" x14ac:dyDescent="0.3">
      <c r="A19" s="17"/>
      <c r="B19" s="17"/>
      <c r="C19" s="17"/>
      <c r="D19" s="20"/>
      <c r="E19" s="35"/>
      <c r="F19" s="17"/>
      <c r="G19" s="17"/>
      <c r="H19" s="17"/>
      <c r="I19" s="17"/>
      <c r="J19" s="17"/>
      <c r="K19" s="17"/>
      <c r="L19" s="17"/>
      <c r="M19" s="17"/>
      <c r="N19" s="17"/>
    </row>
    <row r="20" spans="1:14" s="11" customFormat="1" ht="100.05" customHeight="1" x14ac:dyDescent="0.3">
      <c r="A20" s="17"/>
      <c r="B20" s="17"/>
      <c r="C20" s="17"/>
      <c r="D20" s="20"/>
      <c r="E20" s="35"/>
      <c r="F20" s="17"/>
      <c r="G20" s="17"/>
      <c r="H20" s="17"/>
      <c r="I20" s="17"/>
      <c r="J20" s="17"/>
      <c r="K20" s="17"/>
      <c r="L20" s="17"/>
      <c r="M20" s="17"/>
      <c r="N20" s="17"/>
    </row>
    <row r="21" spans="1:14" s="11" customFormat="1" ht="100.05" customHeight="1" x14ac:dyDescent="0.3">
      <c r="A21" s="17"/>
      <c r="B21" s="17"/>
      <c r="C21" s="17"/>
      <c r="D21" s="20"/>
      <c r="E21" s="35"/>
      <c r="F21" s="17"/>
      <c r="G21" s="17"/>
      <c r="H21" s="17"/>
      <c r="I21" s="17"/>
      <c r="J21" s="17"/>
      <c r="K21" s="17"/>
      <c r="L21" s="17"/>
      <c r="M21" s="17"/>
      <c r="N21" s="17"/>
    </row>
    <row r="22" spans="1:14" s="11" customFormat="1" ht="100.05" customHeight="1" x14ac:dyDescent="0.3">
      <c r="A22" s="17"/>
      <c r="B22" s="17"/>
      <c r="C22" s="17"/>
      <c r="D22" s="20"/>
      <c r="E22" s="35"/>
      <c r="F22" s="17"/>
      <c r="G22" s="17"/>
      <c r="H22" s="17"/>
      <c r="I22" s="17"/>
      <c r="J22" s="17"/>
      <c r="K22" s="17"/>
      <c r="L22" s="17"/>
      <c r="M22" s="17"/>
      <c r="N22" s="17"/>
    </row>
    <row r="23" spans="1:14" s="11" customFormat="1" ht="100.05" customHeight="1" x14ac:dyDescent="0.3">
      <c r="A23" s="17"/>
      <c r="B23" s="17"/>
      <c r="C23" s="17"/>
      <c r="D23" s="20"/>
      <c r="E23" s="35"/>
      <c r="F23" s="17"/>
      <c r="G23" s="17"/>
      <c r="H23" s="17"/>
      <c r="I23" s="17"/>
      <c r="J23" s="17"/>
      <c r="K23" s="17"/>
      <c r="L23" s="17"/>
      <c r="M23" s="17"/>
      <c r="N23" s="17"/>
    </row>
    <row r="24" spans="1:14" s="11" customFormat="1" ht="100.05" customHeight="1" x14ac:dyDescent="0.3">
      <c r="A24" s="17"/>
      <c r="B24" s="17"/>
      <c r="C24" s="17"/>
      <c r="D24" s="20"/>
      <c r="E24" s="35"/>
      <c r="F24" s="17"/>
      <c r="G24" s="17"/>
      <c r="H24" s="17"/>
      <c r="I24" s="17"/>
      <c r="J24" s="17"/>
      <c r="K24" s="17"/>
      <c r="L24" s="17"/>
      <c r="M24" s="17"/>
      <c r="N24" s="17"/>
    </row>
    <row r="25" spans="1:14" s="11" customFormat="1" ht="100.05" customHeight="1" x14ac:dyDescent="0.3">
      <c r="A25" s="17"/>
      <c r="B25" s="17"/>
      <c r="C25" s="17"/>
      <c r="D25" s="20"/>
      <c r="E25" s="35"/>
      <c r="F25" s="17"/>
      <c r="G25" s="17"/>
      <c r="H25" s="17"/>
      <c r="I25" s="17"/>
      <c r="J25" s="17"/>
      <c r="K25" s="17"/>
      <c r="L25" s="17"/>
      <c r="M25" s="17"/>
      <c r="N25" s="17"/>
    </row>
    <row r="26" spans="1:14" s="11" customFormat="1" ht="100.05" customHeight="1" x14ac:dyDescent="0.3">
      <c r="A26" s="17"/>
      <c r="B26" s="17"/>
      <c r="C26" s="17"/>
      <c r="D26" s="20"/>
      <c r="E26" s="35"/>
      <c r="F26" s="17"/>
      <c r="G26" s="17"/>
      <c r="H26" s="17"/>
      <c r="I26" s="17"/>
      <c r="J26" s="17"/>
      <c r="K26" s="17"/>
      <c r="L26" s="17"/>
      <c r="M26" s="17"/>
      <c r="N26" s="17"/>
    </row>
    <row r="27" spans="1:14" s="11" customFormat="1" ht="100.05" customHeight="1" x14ac:dyDescent="0.3">
      <c r="A27" s="17"/>
      <c r="B27" s="17"/>
      <c r="C27" s="17"/>
      <c r="D27" s="20"/>
      <c r="E27" s="35"/>
      <c r="F27" s="17"/>
      <c r="G27" s="17"/>
      <c r="H27" s="17"/>
      <c r="I27" s="17"/>
      <c r="J27" s="17"/>
      <c r="K27" s="17"/>
      <c r="L27" s="17"/>
      <c r="M27" s="17"/>
      <c r="N27" s="17"/>
    </row>
    <row r="28" spans="1:14" s="11" customFormat="1" ht="100.05" customHeight="1" x14ac:dyDescent="0.3">
      <c r="A28" s="17"/>
      <c r="B28" s="17"/>
      <c r="C28" s="17"/>
      <c r="D28" s="20"/>
      <c r="E28" s="35"/>
      <c r="F28" s="17"/>
      <c r="G28" s="17"/>
      <c r="H28" s="17"/>
      <c r="I28" s="17"/>
      <c r="J28" s="17"/>
      <c r="K28" s="17"/>
      <c r="L28" s="17"/>
      <c r="M28" s="17"/>
      <c r="N28" s="17"/>
    </row>
    <row r="29" spans="1:14" s="11" customFormat="1" ht="100.05" customHeight="1" x14ac:dyDescent="0.3">
      <c r="A29" s="17"/>
      <c r="B29" s="17"/>
      <c r="C29" s="17"/>
      <c r="D29" s="20"/>
      <c r="E29" s="35"/>
      <c r="F29" s="17"/>
      <c r="G29" s="17"/>
      <c r="H29" s="17"/>
      <c r="I29" s="17"/>
      <c r="J29" s="17"/>
      <c r="K29" s="17"/>
      <c r="L29" s="17"/>
      <c r="M29" s="17"/>
      <c r="N29" s="17"/>
    </row>
  </sheetData>
  <mergeCells count="3">
    <mergeCell ref="A1:C1"/>
    <mergeCell ref="K1:N1"/>
    <mergeCell ref="A2:N2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18" orientation="portrait" horizontalDpi="1200" verticalDpi="120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4"/>
  <sheetViews>
    <sheetView zoomScale="25" zoomScaleNormal="25" workbookViewId="0">
      <selection activeCell="M5" sqref="M5"/>
    </sheetView>
  </sheetViews>
  <sheetFormatPr defaultColWidth="8.88671875" defaultRowHeight="14.4" x14ac:dyDescent="0.3"/>
  <cols>
    <col min="1" max="1" width="41.77734375" style="17" customWidth="1"/>
    <col min="2" max="2" width="19.6640625" style="17" customWidth="1"/>
    <col min="3" max="3" width="29.21875" style="17" customWidth="1"/>
    <col min="4" max="4" width="28.6640625" style="20" customWidth="1"/>
    <col min="5" max="5" width="162.109375" style="35" customWidth="1"/>
    <col min="6" max="6" width="32.109375" style="17" bestFit="1" customWidth="1"/>
    <col min="7" max="7" width="21.88671875" style="17" bestFit="1" customWidth="1"/>
    <col min="8" max="8" width="26.6640625" style="17" bestFit="1" customWidth="1"/>
    <col min="9" max="9" width="40.109375" style="17" bestFit="1" customWidth="1"/>
    <col min="10" max="10" width="37.88671875" style="17" customWidth="1"/>
    <col min="11" max="11" width="25.6640625" style="17" customWidth="1"/>
    <col min="12" max="14" width="26.77734375" style="17" bestFit="1" customWidth="1"/>
    <col min="15" max="16384" width="8.88671875" style="18"/>
  </cols>
  <sheetData>
    <row r="1" spans="1:14" s="3" customFormat="1" ht="100.05" customHeight="1" x14ac:dyDescent="0.95">
      <c r="A1" s="37"/>
      <c r="B1" s="37"/>
      <c r="C1" s="37"/>
      <c r="D1" s="19"/>
      <c r="E1" s="34"/>
      <c r="F1" s="1"/>
      <c r="G1" s="1"/>
      <c r="H1" s="1"/>
      <c r="I1" s="1"/>
      <c r="J1" s="2" t="s">
        <v>0</v>
      </c>
      <c r="K1" s="38">
        <v>45962</v>
      </c>
      <c r="L1" s="38"/>
      <c r="M1" s="38"/>
      <c r="N1" s="38"/>
    </row>
    <row r="2" spans="1:14" s="4" customFormat="1" ht="100.05" customHeight="1" x14ac:dyDescent="0.3">
      <c r="A2" s="39" t="s">
        <v>69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</row>
    <row r="3" spans="1:14" s="4" customFormat="1" ht="150" customHeight="1" x14ac:dyDescent="0.3">
      <c r="A3" s="5" t="s">
        <v>1</v>
      </c>
      <c r="B3" s="5" t="s">
        <v>2</v>
      </c>
      <c r="C3" s="6" t="s">
        <v>3</v>
      </c>
      <c r="D3" s="7" t="s">
        <v>4</v>
      </c>
      <c r="E3" s="32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6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s="28" customFormat="1" ht="150" customHeight="1" x14ac:dyDescent="0.3">
      <c r="A4" s="5">
        <v>230925</v>
      </c>
      <c r="B4" s="5">
        <v>430</v>
      </c>
      <c r="C4" s="7">
        <v>0.8</v>
      </c>
      <c r="D4" s="5">
        <v>360</v>
      </c>
      <c r="E4" s="32" t="s">
        <v>83</v>
      </c>
      <c r="F4" s="5" t="s">
        <v>80</v>
      </c>
      <c r="G4" s="5">
        <v>430</v>
      </c>
      <c r="H4" s="7" t="s">
        <v>16</v>
      </c>
      <c r="I4" s="5" t="s">
        <v>16</v>
      </c>
      <c r="J4" s="5" t="s">
        <v>16</v>
      </c>
      <c r="K4" s="5" t="s">
        <v>17</v>
      </c>
      <c r="L4" s="9">
        <v>5300</v>
      </c>
      <c r="M4" s="27">
        <f>700+1500</f>
        <v>2200</v>
      </c>
      <c r="N4" s="26">
        <f t="shared" ref="N4:N19" si="0">L4-M4</f>
        <v>3100</v>
      </c>
    </row>
    <row r="5" spans="1:14" s="28" customFormat="1" ht="150" customHeight="1" x14ac:dyDescent="0.3">
      <c r="A5" s="5">
        <v>250079</v>
      </c>
      <c r="B5" s="5">
        <v>304</v>
      </c>
      <c r="C5" s="7">
        <v>0.7</v>
      </c>
      <c r="D5" s="5">
        <v>324</v>
      </c>
      <c r="E5" s="32" t="s">
        <v>91</v>
      </c>
      <c r="F5" s="5" t="s">
        <v>80</v>
      </c>
      <c r="G5" s="5">
        <v>304</v>
      </c>
      <c r="H5" s="7">
        <v>0.6</v>
      </c>
      <c r="I5" s="5" t="s">
        <v>16</v>
      </c>
      <c r="J5" s="5" t="s">
        <v>16</v>
      </c>
      <c r="K5" s="5" t="s">
        <v>17</v>
      </c>
      <c r="L5" s="9">
        <v>964</v>
      </c>
      <c r="M5" s="27"/>
      <c r="N5" s="26">
        <f t="shared" si="0"/>
        <v>964</v>
      </c>
    </row>
    <row r="6" spans="1:14" s="28" customFormat="1" ht="150" customHeight="1" x14ac:dyDescent="0.3">
      <c r="A6" s="5">
        <v>250079</v>
      </c>
      <c r="B6" s="5">
        <v>304</v>
      </c>
      <c r="C6" s="7">
        <v>1</v>
      </c>
      <c r="D6" s="5">
        <v>324</v>
      </c>
      <c r="E6" s="32" t="s">
        <v>92</v>
      </c>
      <c r="F6" s="5" t="s">
        <v>80</v>
      </c>
      <c r="G6" s="5">
        <v>304</v>
      </c>
      <c r="H6" s="7">
        <v>0.6</v>
      </c>
      <c r="I6" s="5" t="s">
        <v>16</v>
      </c>
      <c r="J6" s="5" t="s">
        <v>16</v>
      </c>
      <c r="K6" s="5" t="s">
        <v>17</v>
      </c>
      <c r="L6" s="9">
        <v>36</v>
      </c>
      <c r="M6" s="27"/>
      <c r="N6" s="26">
        <f t="shared" si="0"/>
        <v>36</v>
      </c>
    </row>
    <row r="7" spans="1:14" s="28" customFormat="1" ht="150" customHeight="1" x14ac:dyDescent="0.3">
      <c r="A7" s="5">
        <v>250080</v>
      </c>
      <c r="B7" s="5">
        <v>304</v>
      </c>
      <c r="C7" s="7">
        <v>0.7</v>
      </c>
      <c r="D7" s="5">
        <v>307</v>
      </c>
      <c r="E7" s="32" t="s">
        <v>93</v>
      </c>
      <c r="F7" s="5" t="s">
        <v>80</v>
      </c>
      <c r="G7" s="5">
        <v>430</v>
      </c>
      <c r="H7" s="7">
        <v>0.6</v>
      </c>
      <c r="I7" s="5" t="s">
        <v>16</v>
      </c>
      <c r="J7" s="5" t="s">
        <v>16</v>
      </c>
      <c r="K7" s="5" t="s">
        <v>17</v>
      </c>
      <c r="L7" s="9">
        <v>1000</v>
      </c>
      <c r="M7" s="27"/>
      <c r="N7" s="26">
        <f t="shared" si="0"/>
        <v>1000</v>
      </c>
    </row>
    <row r="8" spans="1:14" s="28" customFormat="1" ht="150" customHeight="1" x14ac:dyDescent="0.3">
      <c r="A8" s="5">
        <v>250079</v>
      </c>
      <c r="B8" s="5">
        <v>304</v>
      </c>
      <c r="C8" s="7">
        <v>0.7</v>
      </c>
      <c r="D8" s="5">
        <v>307</v>
      </c>
      <c r="E8" s="32" t="s">
        <v>94</v>
      </c>
      <c r="F8" s="5" t="s">
        <v>80</v>
      </c>
      <c r="G8" s="5">
        <v>304</v>
      </c>
      <c r="H8" s="7">
        <v>0.6</v>
      </c>
      <c r="I8" s="5" t="s">
        <v>16</v>
      </c>
      <c r="J8" s="5" t="s">
        <v>16</v>
      </c>
      <c r="K8" s="5" t="s">
        <v>17</v>
      </c>
      <c r="L8" s="9">
        <v>1314</v>
      </c>
      <c r="M8" s="27"/>
      <c r="N8" s="26">
        <f t="shared" si="0"/>
        <v>1314</v>
      </c>
    </row>
    <row r="9" spans="1:14" s="28" customFormat="1" ht="150" customHeight="1" x14ac:dyDescent="0.3">
      <c r="A9" s="5">
        <v>250079</v>
      </c>
      <c r="B9" s="5">
        <v>304</v>
      </c>
      <c r="C9" s="7">
        <v>1</v>
      </c>
      <c r="D9" s="5">
        <v>307</v>
      </c>
      <c r="E9" s="32" t="s">
        <v>95</v>
      </c>
      <c r="F9" s="5" t="s">
        <v>80</v>
      </c>
      <c r="G9" s="5">
        <v>304</v>
      </c>
      <c r="H9" s="7">
        <v>0.6</v>
      </c>
      <c r="I9" s="5" t="s">
        <v>16</v>
      </c>
      <c r="J9" s="5" t="s">
        <v>16</v>
      </c>
      <c r="K9" s="5" t="s">
        <v>17</v>
      </c>
      <c r="L9" s="9">
        <v>36</v>
      </c>
      <c r="M9" s="27"/>
      <c r="N9" s="26">
        <f t="shared" si="0"/>
        <v>36</v>
      </c>
    </row>
    <row r="10" spans="1:14" s="28" customFormat="1" ht="150" customHeight="1" x14ac:dyDescent="0.3">
      <c r="A10" s="5">
        <v>250080</v>
      </c>
      <c r="B10" s="5">
        <v>304</v>
      </c>
      <c r="C10" s="7">
        <v>0.7</v>
      </c>
      <c r="D10" s="5">
        <v>265</v>
      </c>
      <c r="E10" s="32" t="s">
        <v>96</v>
      </c>
      <c r="F10" s="5" t="s">
        <v>80</v>
      </c>
      <c r="G10" s="5">
        <v>430</v>
      </c>
      <c r="H10" s="7">
        <v>0.6</v>
      </c>
      <c r="I10" s="5" t="s">
        <v>16</v>
      </c>
      <c r="J10" s="5" t="s">
        <v>16</v>
      </c>
      <c r="K10" s="5" t="s">
        <v>17</v>
      </c>
      <c r="L10" s="9">
        <v>1200</v>
      </c>
      <c r="M10" s="27"/>
      <c r="N10" s="26">
        <f t="shared" si="0"/>
        <v>1200</v>
      </c>
    </row>
    <row r="11" spans="1:14" s="28" customFormat="1" ht="150" customHeight="1" x14ac:dyDescent="0.3">
      <c r="A11" s="5">
        <v>250079</v>
      </c>
      <c r="B11" s="5">
        <v>304</v>
      </c>
      <c r="C11" s="7">
        <v>0.7</v>
      </c>
      <c r="D11" s="5">
        <v>307</v>
      </c>
      <c r="E11" s="32" t="s">
        <v>97</v>
      </c>
      <c r="F11" s="5" t="s">
        <v>80</v>
      </c>
      <c r="G11" s="5">
        <v>304</v>
      </c>
      <c r="H11" s="7">
        <v>0.6</v>
      </c>
      <c r="I11" s="5" t="s">
        <v>16</v>
      </c>
      <c r="J11" s="5" t="s">
        <v>16</v>
      </c>
      <c r="K11" s="5" t="s">
        <v>17</v>
      </c>
      <c r="L11" s="9">
        <v>1314</v>
      </c>
      <c r="M11" s="27"/>
      <c r="N11" s="26">
        <f t="shared" si="0"/>
        <v>1314</v>
      </c>
    </row>
    <row r="12" spans="1:14" s="28" customFormat="1" ht="150" customHeight="1" x14ac:dyDescent="0.3">
      <c r="A12" s="5">
        <v>250079</v>
      </c>
      <c r="B12" s="5">
        <v>304</v>
      </c>
      <c r="C12" s="7">
        <v>1</v>
      </c>
      <c r="D12" s="5">
        <v>307</v>
      </c>
      <c r="E12" s="32" t="s">
        <v>98</v>
      </c>
      <c r="F12" s="5" t="s">
        <v>80</v>
      </c>
      <c r="G12" s="5">
        <v>304</v>
      </c>
      <c r="H12" s="7">
        <v>0.6</v>
      </c>
      <c r="I12" s="5" t="s">
        <v>16</v>
      </c>
      <c r="J12" s="5" t="s">
        <v>16</v>
      </c>
      <c r="K12" s="5" t="s">
        <v>17</v>
      </c>
      <c r="L12" s="9">
        <v>36</v>
      </c>
      <c r="M12" s="27"/>
      <c r="N12" s="26">
        <f t="shared" si="0"/>
        <v>36</v>
      </c>
    </row>
    <row r="13" spans="1:14" s="28" customFormat="1" ht="150" customHeight="1" x14ac:dyDescent="0.3">
      <c r="A13" s="5">
        <v>241025</v>
      </c>
      <c r="B13" s="5">
        <v>304</v>
      </c>
      <c r="C13" s="7">
        <v>0.8</v>
      </c>
      <c r="D13" s="5">
        <v>276</v>
      </c>
      <c r="E13" s="32" t="s">
        <v>99</v>
      </c>
      <c r="F13" s="5" t="s">
        <v>15</v>
      </c>
      <c r="G13" s="5">
        <v>430</v>
      </c>
      <c r="H13" s="7">
        <v>0.5</v>
      </c>
      <c r="I13" s="5" t="s">
        <v>16</v>
      </c>
      <c r="J13" s="5" t="s">
        <v>16</v>
      </c>
      <c r="K13" s="5" t="s">
        <v>17</v>
      </c>
      <c r="L13" s="9">
        <v>2000</v>
      </c>
      <c r="M13" s="27"/>
      <c r="N13" s="26">
        <f t="shared" si="0"/>
        <v>2000</v>
      </c>
    </row>
    <row r="14" spans="1:14" s="28" customFormat="1" ht="150" customHeight="1" x14ac:dyDescent="0.3">
      <c r="A14" s="5">
        <v>241025</v>
      </c>
      <c r="B14" s="5">
        <v>304</v>
      </c>
      <c r="C14" s="7">
        <v>0.8</v>
      </c>
      <c r="D14" s="5">
        <v>234</v>
      </c>
      <c r="E14" s="32" t="s">
        <v>100</v>
      </c>
      <c r="F14" s="5" t="s">
        <v>101</v>
      </c>
      <c r="G14" s="5" t="s">
        <v>16</v>
      </c>
      <c r="H14" s="7" t="s">
        <v>16</v>
      </c>
      <c r="I14" s="5" t="s">
        <v>16</v>
      </c>
      <c r="J14" s="5" t="s">
        <v>16</v>
      </c>
      <c r="K14" s="5" t="s">
        <v>17</v>
      </c>
      <c r="L14" s="9">
        <v>2000</v>
      </c>
      <c r="M14" s="27"/>
      <c r="N14" s="26">
        <f t="shared" si="0"/>
        <v>2000</v>
      </c>
    </row>
    <row r="15" spans="1:14" s="28" customFormat="1" ht="150" customHeight="1" x14ac:dyDescent="0.3">
      <c r="A15" s="5">
        <v>311025</v>
      </c>
      <c r="B15" s="5">
        <v>304</v>
      </c>
      <c r="C15" s="7">
        <v>0.9</v>
      </c>
      <c r="D15" s="5">
        <v>327</v>
      </c>
      <c r="E15" s="32" t="s">
        <v>102</v>
      </c>
      <c r="F15" s="5" t="s">
        <v>15</v>
      </c>
      <c r="G15" s="5">
        <v>430</v>
      </c>
      <c r="H15" s="7">
        <v>0.5</v>
      </c>
      <c r="I15" s="5" t="s">
        <v>16</v>
      </c>
      <c r="J15" s="5" t="s">
        <v>16</v>
      </c>
      <c r="K15" s="5" t="s">
        <v>17</v>
      </c>
      <c r="L15" s="9">
        <v>3200</v>
      </c>
      <c r="M15" s="27"/>
      <c r="N15" s="26">
        <f t="shared" si="0"/>
        <v>3200</v>
      </c>
    </row>
    <row r="16" spans="1:14" s="28" customFormat="1" ht="150" customHeight="1" x14ac:dyDescent="0.3">
      <c r="A16" s="5">
        <v>311025</v>
      </c>
      <c r="B16" s="5">
        <v>304</v>
      </c>
      <c r="C16" s="7">
        <v>0.9</v>
      </c>
      <c r="D16" s="5">
        <v>252</v>
      </c>
      <c r="E16" s="32" t="s">
        <v>104</v>
      </c>
      <c r="F16" s="5" t="s">
        <v>101</v>
      </c>
      <c r="G16" s="5" t="s">
        <v>16</v>
      </c>
      <c r="H16" s="7" t="s">
        <v>16</v>
      </c>
      <c r="I16" s="5" t="s">
        <v>16</v>
      </c>
      <c r="J16" s="5" t="s">
        <v>16</v>
      </c>
      <c r="K16" s="5" t="s">
        <v>17</v>
      </c>
      <c r="L16" s="9">
        <v>3200</v>
      </c>
      <c r="M16" s="27"/>
      <c r="N16" s="26">
        <f t="shared" si="0"/>
        <v>3200</v>
      </c>
    </row>
    <row r="17" spans="1:14" s="28" customFormat="1" ht="150" customHeight="1" x14ac:dyDescent="0.3">
      <c r="A17" s="5">
        <v>311025</v>
      </c>
      <c r="B17" s="5">
        <v>304</v>
      </c>
      <c r="C17" s="7">
        <v>0.9</v>
      </c>
      <c r="D17" s="5">
        <v>369</v>
      </c>
      <c r="E17" s="32" t="s">
        <v>103</v>
      </c>
      <c r="F17" s="5" t="s">
        <v>15</v>
      </c>
      <c r="G17" s="5">
        <v>430</v>
      </c>
      <c r="H17" s="7">
        <v>0.5</v>
      </c>
      <c r="I17" s="5" t="s">
        <v>16</v>
      </c>
      <c r="J17" s="5" t="s">
        <v>16</v>
      </c>
      <c r="K17" s="5" t="s">
        <v>17</v>
      </c>
      <c r="L17" s="9">
        <v>500</v>
      </c>
      <c r="M17" s="27"/>
      <c r="N17" s="26">
        <f t="shared" si="0"/>
        <v>500</v>
      </c>
    </row>
    <row r="18" spans="1:14" s="28" customFormat="1" ht="150" customHeight="1" x14ac:dyDescent="0.3">
      <c r="A18" s="5">
        <v>311025</v>
      </c>
      <c r="B18" s="5">
        <v>304</v>
      </c>
      <c r="C18" s="7">
        <v>0.9</v>
      </c>
      <c r="D18" s="5">
        <v>290</v>
      </c>
      <c r="E18" s="32" t="s">
        <v>105</v>
      </c>
      <c r="F18" s="5" t="s">
        <v>101</v>
      </c>
      <c r="G18" s="5" t="s">
        <v>16</v>
      </c>
      <c r="H18" s="7" t="s">
        <v>16</v>
      </c>
      <c r="I18" s="5" t="s">
        <v>16</v>
      </c>
      <c r="J18" s="5" t="s">
        <v>16</v>
      </c>
      <c r="K18" s="5" t="s">
        <v>17</v>
      </c>
      <c r="L18" s="9">
        <v>500</v>
      </c>
      <c r="M18" s="27"/>
      <c r="N18" s="26">
        <f t="shared" si="0"/>
        <v>500</v>
      </c>
    </row>
    <row r="19" spans="1:14" s="11" customFormat="1" ht="150" customHeight="1" x14ac:dyDescent="0.3">
      <c r="A19" s="22"/>
      <c r="B19" s="22"/>
      <c r="C19" s="23"/>
      <c r="D19" s="29"/>
      <c r="E19" s="31"/>
      <c r="F19" s="22"/>
      <c r="G19" s="22"/>
      <c r="H19" s="23"/>
      <c r="I19" s="22"/>
      <c r="J19" s="22"/>
      <c r="K19" s="22"/>
      <c r="L19" s="26"/>
      <c r="M19" s="27"/>
      <c r="N19" s="26">
        <f t="shared" si="0"/>
        <v>0</v>
      </c>
    </row>
    <row r="20" spans="1:14" s="11" customFormat="1" ht="150" customHeight="1" x14ac:dyDescent="0.3">
      <c r="A20" s="13"/>
      <c r="B20" s="13"/>
      <c r="C20" s="14"/>
      <c r="D20" s="14"/>
      <c r="E20" s="33"/>
      <c r="F20" s="13"/>
      <c r="G20" s="13"/>
      <c r="H20" s="14"/>
      <c r="I20" s="13"/>
      <c r="J20" s="13"/>
      <c r="K20" s="13"/>
      <c r="L20" s="9">
        <f>SUM(L4:L19)</f>
        <v>22600</v>
      </c>
      <c r="M20" s="16">
        <f>SUM(M4:M19)</f>
        <v>2200</v>
      </c>
      <c r="N20" s="9">
        <f>SUM(N4:N19)</f>
        <v>20400</v>
      </c>
    </row>
    <row r="21" spans="1:14" s="12" customFormat="1" ht="100.05" customHeight="1" x14ac:dyDescent="0.3">
      <c r="A21" s="17"/>
      <c r="B21" s="17"/>
      <c r="C21" s="17"/>
      <c r="D21" s="20"/>
      <c r="E21" s="35"/>
      <c r="F21" s="17"/>
      <c r="G21" s="17"/>
      <c r="H21" s="17"/>
      <c r="I21" s="17"/>
      <c r="J21" s="17"/>
      <c r="K21" s="17"/>
      <c r="L21" s="17"/>
      <c r="M21" s="17"/>
      <c r="N21" s="17"/>
    </row>
    <row r="22" spans="1:14" ht="100.05" customHeight="1" x14ac:dyDescent="0.3"/>
    <row r="23" spans="1:14" s="4" customFormat="1" ht="100.05" customHeight="1" x14ac:dyDescent="0.3">
      <c r="A23" s="17"/>
      <c r="B23" s="17"/>
      <c r="C23" s="17"/>
      <c r="D23" s="20"/>
      <c r="E23" s="35"/>
      <c r="F23" s="17"/>
      <c r="G23" s="17"/>
      <c r="H23" s="17"/>
      <c r="I23" s="17"/>
      <c r="J23" s="17"/>
      <c r="K23" s="17"/>
      <c r="L23" s="17"/>
      <c r="M23" s="17"/>
      <c r="N23" s="17"/>
    </row>
    <row r="24" spans="1:14" s="4" customFormat="1" ht="100.05" customHeight="1" x14ac:dyDescent="0.3">
      <c r="A24" s="17"/>
      <c r="B24" s="17"/>
      <c r="C24" s="17"/>
      <c r="D24" s="20"/>
      <c r="E24" s="35"/>
      <c r="F24" s="17"/>
      <c r="G24" s="17"/>
      <c r="H24" s="17"/>
      <c r="I24" s="17"/>
      <c r="J24" s="17"/>
      <c r="K24" s="17"/>
      <c r="L24" s="17"/>
      <c r="M24" s="17"/>
      <c r="N24" s="17"/>
    </row>
    <row r="25" spans="1:14" s="11" customFormat="1" ht="100.05" customHeight="1" x14ac:dyDescent="0.3">
      <c r="A25" s="17"/>
      <c r="B25" s="17"/>
      <c r="C25" s="17"/>
      <c r="D25" s="20"/>
      <c r="E25" s="35"/>
      <c r="F25" s="17"/>
      <c r="G25" s="17"/>
      <c r="H25" s="17"/>
      <c r="I25" s="17"/>
      <c r="J25" s="17"/>
      <c r="K25" s="17"/>
      <c r="L25" s="17"/>
      <c r="M25" s="17"/>
      <c r="N25" s="17"/>
    </row>
    <row r="26" spans="1:14" s="11" customFormat="1" ht="100.05" customHeight="1" x14ac:dyDescent="0.3">
      <c r="A26" s="17"/>
      <c r="B26" s="17"/>
      <c r="C26" s="17"/>
      <c r="D26" s="20"/>
      <c r="E26" s="35"/>
      <c r="F26" s="17"/>
      <c r="G26" s="17"/>
      <c r="H26" s="17"/>
      <c r="I26" s="17"/>
      <c r="J26" s="17"/>
      <c r="K26" s="17"/>
      <c r="L26" s="17"/>
      <c r="M26" s="17"/>
      <c r="N26" s="17"/>
    </row>
    <row r="27" spans="1:14" s="11" customFormat="1" ht="100.05" customHeight="1" x14ac:dyDescent="0.3">
      <c r="A27" s="17"/>
      <c r="B27" s="17"/>
      <c r="C27" s="17"/>
      <c r="D27" s="20"/>
      <c r="E27" s="35"/>
      <c r="F27" s="17"/>
      <c r="G27" s="17"/>
      <c r="H27" s="17"/>
      <c r="I27" s="17"/>
      <c r="J27" s="17"/>
      <c r="K27" s="17"/>
      <c r="L27" s="17"/>
      <c r="M27" s="17"/>
      <c r="N27" s="17"/>
    </row>
    <row r="28" spans="1:14" s="11" customFormat="1" ht="100.05" customHeight="1" x14ac:dyDescent="0.3">
      <c r="A28" s="17"/>
      <c r="B28" s="17"/>
      <c r="C28" s="17"/>
      <c r="D28" s="20"/>
      <c r="E28" s="35"/>
      <c r="F28" s="17"/>
      <c r="G28" s="17"/>
      <c r="H28" s="17"/>
      <c r="I28" s="17"/>
      <c r="J28" s="17"/>
      <c r="K28" s="17"/>
      <c r="L28" s="17"/>
      <c r="M28" s="17"/>
      <c r="N28" s="17"/>
    </row>
    <row r="29" spans="1:14" s="11" customFormat="1" ht="100.05" customHeight="1" x14ac:dyDescent="0.3">
      <c r="A29" s="17"/>
      <c r="B29" s="17"/>
      <c r="C29" s="17"/>
      <c r="D29" s="20"/>
      <c r="E29" s="35"/>
      <c r="F29" s="17"/>
      <c r="G29" s="17"/>
      <c r="H29" s="17"/>
      <c r="I29" s="17"/>
      <c r="J29" s="17"/>
      <c r="K29" s="17"/>
      <c r="L29" s="17"/>
      <c r="M29" s="17"/>
      <c r="N29" s="17"/>
    </row>
    <row r="30" spans="1:14" s="11" customFormat="1" ht="100.05" customHeight="1" x14ac:dyDescent="0.3">
      <c r="A30" s="17"/>
      <c r="B30" s="17"/>
      <c r="C30" s="17"/>
      <c r="D30" s="20"/>
      <c r="E30" s="35"/>
      <c r="F30" s="17"/>
      <c r="G30" s="17"/>
      <c r="H30" s="17"/>
      <c r="I30" s="17"/>
      <c r="J30" s="17"/>
      <c r="K30" s="17"/>
      <c r="L30" s="17"/>
      <c r="M30" s="17"/>
      <c r="N30" s="17"/>
    </row>
    <row r="31" spans="1:14" s="11" customFormat="1" ht="100.05" customHeight="1" x14ac:dyDescent="0.3">
      <c r="A31" s="17"/>
      <c r="B31" s="17"/>
      <c r="C31" s="17"/>
      <c r="D31" s="20"/>
      <c r="E31" s="35"/>
      <c r="F31" s="17"/>
      <c r="G31" s="17"/>
      <c r="H31" s="17"/>
      <c r="I31" s="17"/>
      <c r="J31" s="17"/>
      <c r="K31" s="17"/>
      <c r="L31" s="17"/>
      <c r="M31" s="17"/>
      <c r="N31" s="17"/>
    </row>
    <row r="32" spans="1:14" s="11" customFormat="1" ht="100.05" customHeight="1" x14ac:dyDescent="0.3">
      <c r="A32" s="17"/>
      <c r="B32" s="17"/>
      <c r="C32" s="17"/>
      <c r="D32" s="20"/>
      <c r="E32" s="35"/>
      <c r="F32" s="17"/>
      <c r="G32" s="17"/>
      <c r="H32" s="17"/>
      <c r="I32" s="17"/>
      <c r="J32" s="17"/>
      <c r="K32" s="17"/>
      <c r="L32" s="17"/>
      <c r="M32" s="17"/>
      <c r="N32" s="17"/>
    </row>
    <row r="33" spans="1:14" s="11" customFormat="1" ht="100.05" customHeight="1" x14ac:dyDescent="0.3">
      <c r="A33" s="17"/>
      <c r="B33" s="17"/>
      <c r="C33" s="17"/>
      <c r="D33" s="20"/>
      <c r="E33" s="35"/>
      <c r="F33" s="17"/>
      <c r="G33" s="17"/>
      <c r="H33" s="17"/>
      <c r="I33" s="17"/>
      <c r="J33" s="17"/>
      <c r="K33" s="17"/>
      <c r="L33" s="17"/>
      <c r="M33" s="17"/>
      <c r="N33" s="17"/>
    </row>
    <row r="34" spans="1:14" s="11" customFormat="1" ht="100.05" customHeight="1" x14ac:dyDescent="0.3">
      <c r="A34" s="17"/>
      <c r="B34" s="17"/>
      <c r="C34" s="17"/>
      <c r="D34" s="20"/>
      <c r="E34" s="35"/>
      <c r="F34" s="17"/>
      <c r="G34" s="17"/>
      <c r="H34" s="17"/>
      <c r="I34" s="17"/>
      <c r="J34" s="17"/>
      <c r="K34" s="17"/>
      <c r="L34" s="17"/>
      <c r="M34" s="17"/>
      <c r="N34" s="17"/>
    </row>
  </sheetData>
  <mergeCells count="3">
    <mergeCell ref="A1:C1"/>
    <mergeCell ref="K1:N1"/>
    <mergeCell ref="A2:N2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18" orientation="portrait" horizontalDpi="1200" verticalDpi="120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4"/>
  <sheetViews>
    <sheetView zoomScale="25" zoomScaleNormal="25" workbookViewId="0">
      <selection activeCell="K1" sqref="K1:N1"/>
    </sheetView>
  </sheetViews>
  <sheetFormatPr defaultColWidth="8.88671875" defaultRowHeight="14.4" x14ac:dyDescent="0.3"/>
  <cols>
    <col min="1" max="1" width="41.77734375" style="17" customWidth="1"/>
    <col min="2" max="2" width="19.6640625" style="17" customWidth="1"/>
    <col min="3" max="3" width="29.21875" style="17" customWidth="1"/>
    <col min="4" max="4" width="28.6640625" style="20" customWidth="1"/>
    <col min="5" max="5" width="162.109375" style="35" customWidth="1"/>
    <col min="6" max="6" width="32.109375" style="17" bestFit="1" customWidth="1"/>
    <col min="7" max="7" width="21.88671875" style="17" bestFit="1" customWidth="1"/>
    <col min="8" max="8" width="26.6640625" style="17" bestFit="1" customWidth="1"/>
    <col min="9" max="9" width="40.109375" style="17" bestFit="1" customWidth="1"/>
    <col min="10" max="10" width="37.88671875" style="17" customWidth="1"/>
    <col min="11" max="11" width="25.6640625" style="17" customWidth="1"/>
    <col min="12" max="13" width="26.77734375" style="17" bestFit="1" customWidth="1"/>
    <col min="14" max="14" width="31.6640625" style="17" bestFit="1" customWidth="1"/>
    <col min="15" max="16384" width="8.88671875" style="18"/>
  </cols>
  <sheetData>
    <row r="1" spans="1:14" s="3" customFormat="1" ht="100.05" customHeight="1" x14ac:dyDescent="0.95">
      <c r="A1" s="37"/>
      <c r="B1" s="37"/>
      <c r="C1" s="37"/>
      <c r="D1" s="19"/>
      <c r="E1" s="34"/>
      <c r="F1" s="1"/>
      <c r="G1" s="1"/>
      <c r="H1" s="1"/>
      <c r="I1" s="1"/>
      <c r="J1" s="2" t="s">
        <v>0</v>
      </c>
      <c r="K1" s="38">
        <v>45964</v>
      </c>
      <c r="L1" s="38"/>
      <c r="M1" s="38"/>
      <c r="N1" s="38"/>
    </row>
    <row r="2" spans="1:14" s="4" customFormat="1" ht="100.05" customHeight="1" x14ac:dyDescent="0.3">
      <c r="A2" s="39" t="s">
        <v>69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</row>
    <row r="3" spans="1:14" s="4" customFormat="1" ht="150" customHeight="1" x14ac:dyDescent="0.3">
      <c r="A3" s="5" t="s">
        <v>1</v>
      </c>
      <c r="B3" s="5" t="s">
        <v>2</v>
      </c>
      <c r="C3" s="6" t="s">
        <v>3</v>
      </c>
      <c r="D3" s="7" t="s">
        <v>4</v>
      </c>
      <c r="E3" s="32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6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s="28" customFormat="1" ht="150" customHeight="1" x14ac:dyDescent="0.3">
      <c r="A4" s="5">
        <v>230925</v>
      </c>
      <c r="B4" s="5">
        <v>430</v>
      </c>
      <c r="C4" s="7">
        <v>0.8</v>
      </c>
      <c r="D4" s="5">
        <v>360</v>
      </c>
      <c r="E4" s="32" t="s">
        <v>83</v>
      </c>
      <c r="F4" s="5" t="s">
        <v>80</v>
      </c>
      <c r="G4" s="5">
        <v>430</v>
      </c>
      <c r="H4" s="7" t="s">
        <v>16</v>
      </c>
      <c r="I4" s="5" t="s">
        <v>16</v>
      </c>
      <c r="J4" s="5" t="s">
        <v>16</v>
      </c>
      <c r="K4" s="5" t="s">
        <v>17</v>
      </c>
      <c r="L4" s="9">
        <v>5300</v>
      </c>
      <c r="M4" s="27">
        <f>700+1500+2400</f>
        <v>4600</v>
      </c>
      <c r="N4" s="26">
        <f t="shared" ref="N4:N19" si="0">L4-M4</f>
        <v>700</v>
      </c>
    </row>
    <row r="5" spans="1:14" s="28" customFormat="1" ht="150" customHeight="1" x14ac:dyDescent="0.3">
      <c r="A5" s="5">
        <v>250079</v>
      </c>
      <c r="B5" s="5">
        <v>304</v>
      </c>
      <c r="C5" s="7">
        <v>0.7</v>
      </c>
      <c r="D5" s="5">
        <v>324</v>
      </c>
      <c r="E5" s="32" t="s">
        <v>91</v>
      </c>
      <c r="F5" s="5" t="s">
        <v>80</v>
      </c>
      <c r="G5" s="5">
        <v>304</v>
      </c>
      <c r="H5" s="7">
        <v>0.6</v>
      </c>
      <c r="I5" s="5" t="s">
        <v>16</v>
      </c>
      <c r="J5" s="5" t="s">
        <v>16</v>
      </c>
      <c r="K5" s="5" t="s">
        <v>17</v>
      </c>
      <c r="L5" s="9">
        <v>964</v>
      </c>
      <c r="M5" s="27">
        <v>0</v>
      </c>
      <c r="N5" s="26">
        <f t="shared" si="0"/>
        <v>964</v>
      </c>
    </row>
    <row r="6" spans="1:14" s="28" customFormat="1" ht="150" customHeight="1" x14ac:dyDescent="0.3">
      <c r="A6" s="5">
        <v>250079</v>
      </c>
      <c r="B6" s="5">
        <v>304</v>
      </c>
      <c r="C6" s="7">
        <v>1</v>
      </c>
      <c r="D6" s="5">
        <v>324</v>
      </c>
      <c r="E6" s="32" t="s">
        <v>92</v>
      </c>
      <c r="F6" s="5" t="s">
        <v>80</v>
      </c>
      <c r="G6" s="5">
        <v>304</v>
      </c>
      <c r="H6" s="7">
        <v>0.6</v>
      </c>
      <c r="I6" s="5" t="s">
        <v>16</v>
      </c>
      <c r="J6" s="5" t="s">
        <v>16</v>
      </c>
      <c r="K6" s="5" t="s">
        <v>17</v>
      </c>
      <c r="L6" s="9">
        <v>36</v>
      </c>
      <c r="M6" s="27"/>
      <c r="N6" s="26">
        <f t="shared" si="0"/>
        <v>36</v>
      </c>
    </row>
    <row r="7" spans="1:14" s="28" customFormat="1" ht="150" customHeight="1" x14ac:dyDescent="0.3">
      <c r="A7" s="5">
        <v>250080</v>
      </c>
      <c r="B7" s="5">
        <v>304</v>
      </c>
      <c r="C7" s="7">
        <v>0.7</v>
      </c>
      <c r="D7" s="5">
        <v>307</v>
      </c>
      <c r="E7" s="32" t="s">
        <v>93</v>
      </c>
      <c r="F7" s="5" t="s">
        <v>80</v>
      </c>
      <c r="G7" s="5">
        <v>430</v>
      </c>
      <c r="H7" s="7">
        <v>0.6</v>
      </c>
      <c r="I7" s="5" t="s">
        <v>16</v>
      </c>
      <c r="J7" s="5" t="s">
        <v>16</v>
      </c>
      <c r="K7" s="5" t="s">
        <v>17</v>
      </c>
      <c r="L7" s="9">
        <v>1000</v>
      </c>
      <c r="M7" s="27"/>
      <c r="N7" s="26">
        <f t="shared" si="0"/>
        <v>1000</v>
      </c>
    </row>
    <row r="8" spans="1:14" s="28" customFormat="1" ht="150" customHeight="1" x14ac:dyDescent="0.3">
      <c r="A8" s="5">
        <v>250079</v>
      </c>
      <c r="B8" s="5">
        <v>304</v>
      </c>
      <c r="C8" s="7">
        <v>0.7</v>
      </c>
      <c r="D8" s="5">
        <v>307</v>
      </c>
      <c r="E8" s="32" t="s">
        <v>94</v>
      </c>
      <c r="F8" s="5" t="s">
        <v>80</v>
      </c>
      <c r="G8" s="5">
        <v>304</v>
      </c>
      <c r="H8" s="7">
        <v>0.6</v>
      </c>
      <c r="I8" s="5" t="s">
        <v>16</v>
      </c>
      <c r="J8" s="5" t="s">
        <v>16</v>
      </c>
      <c r="K8" s="5" t="s">
        <v>17</v>
      </c>
      <c r="L8" s="9">
        <v>1314</v>
      </c>
      <c r="M8" s="27"/>
      <c r="N8" s="26">
        <f t="shared" si="0"/>
        <v>1314</v>
      </c>
    </row>
    <row r="9" spans="1:14" s="28" customFormat="1" ht="150" customHeight="1" x14ac:dyDescent="0.3">
      <c r="A9" s="5">
        <v>250079</v>
      </c>
      <c r="B9" s="5">
        <v>304</v>
      </c>
      <c r="C9" s="7">
        <v>1</v>
      </c>
      <c r="D9" s="5">
        <v>307</v>
      </c>
      <c r="E9" s="32" t="s">
        <v>95</v>
      </c>
      <c r="F9" s="5" t="s">
        <v>80</v>
      </c>
      <c r="G9" s="5">
        <v>304</v>
      </c>
      <c r="H9" s="7">
        <v>0.6</v>
      </c>
      <c r="I9" s="5" t="s">
        <v>16</v>
      </c>
      <c r="J9" s="5" t="s">
        <v>16</v>
      </c>
      <c r="K9" s="5" t="s">
        <v>17</v>
      </c>
      <c r="L9" s="9">
        <v>36</v>
      </c>
      <c r="M9" s="27"/>
      <c r="N9" s="26">
        <f t="shared" si="0"/>
        <v>36</v>
      </c>
    </row>
    <row r="10" spans="1:14" s="28" customFormat="1" ht="150" customHeight="1" x14ac:dyDescent="0.3">
      <c r="A10" s="5">
        <v>250080</v>
      </c>
      <c r="B10" s="5">
        <v>304</v>
      </c>
      <c r="C10" s="7">
        <v>0.7</v>
      </c>
      <c r="D10" s="5">
        <v>265</v>
      </c>
      <c r="E10" s="32" t="s">
        <v>96</v>
      </c>
      <c r="F10" s="5" t="s">
        <v>80</v>
      </c>
      <c r="G10" s="5">
        <v>430</v>
      </c>
      <c r="H10" s="7">
        <v>0.6</v>
      </c>
      <c r="I10" s="5" t="s">
        <v>16</v>
      </c>
      <c r="J10" s="5" t="s">
        <v>16</v>
      </c>
      <c r="K10" s="5" t="s">
        <v>17</v>
      </c>
      <c r="L10" s="9">
        <v>1200</v>
      </c>
      <c r="M10" s="27"/>
      <c r="N10" s="26">
        <f t="shared" si="0"/>
        <v>1200</v>
      </c>
    </row>
    <row r="11" spans="1:14" s="28" customFormat="1" ht="150" customHeight="1" x14ac:dyDescent="0.3">
      <c r="A11" s="5">
        <v>250079</v>
      </c>
      <c r="B11" s="5">
        <v>304</v>
      </c>
      <c r="C11" s="7">
        <v>0.7</v>
      </c>
      <c r="D11" s="5">
        <v>307</v>
      </c>
      <c r="E11" s="32" t="s">
        <v>97</v>
      </c>
      <c r="F11" s="5" t="s">
        <v>80</v>
      </c>
      <c r="G11" s="5">
        <v>304</v>
      </c>
      <c r="H11" s="7">
        <v>0.6</v>
      </c>
      <c r="I11" s="5" t="s">
        <v>16</v>
      </c>
      <c r="J11" s="5" t="s">
        <v>16</v>
      </c>
      <c r="K11" s="5" t="s">
        <v>17</v>
      </c>
      <c r="L11" s="9">
        <v>1314</v>
      </c>
      <c r="M11" s="27"/>
      <c r="N11" s="26">
        <f t="shared" si="0"/>
        <v>1314</v>
      </c>
    </row>
    <row r="12" spans="1:14" s="28" customFormat="1" ht="150" customHeight="1" x14ac:dyDescent="0.3">
      <c r="A12" s="5">
        <v>250079</v>
      </c>
      <c r="B12" s="5">
        <v>304</v>
      </c>
      <c r="C12" s="7">
        <v>1</v>
      </c>
      <c r="D12" s="5">
        <v>307</v>
      </c>
      <c r="E12" s="32" t="s">
        <v>98</v>
      </c>
      <c r="F12" s="5" t="s">
        <v>80</v>
      </c>
      <c r="G12" s="5">
        <v>304</v>
      </c>
      <c r="H12" s="7">
        <v>0.6</v>
      </c>
      <c r="I12" s="5" t="s">
        <v>16</v>
      </c>
      <c r="J12" s="5" t="s">
        <v>16</v>
      </c>
      <c r="K12" s="5" t="s">
        <v>17</v>
      </c>
      <c r="L12" s="9">
        <v>36</v>
      </c>
      <c r="M12" s="27"/>
      <c r="N12" s="26">
        <f t="shared" si="0"/>
        <v>36</v>
      </c>
    </row>
    <row r="13" spans="1:14" s="28" customFormat="1" ht="150" customHeight="1" x14ac:dyDescent="0.3">
      <c r="A13" s="5">
        <v>241025</v>
      </c>
      <c r="B13" s="5">
        <v>304</v>
      </c>
      <c r="C13" s="7">
        <v>0.8</v>
      </c>
      <c r="D13" s="5">
        <v>276</v>
      </c>
      <c r="E13" s="32" t="s">
        <v>99</v>
      </c>
      <c r="F13" s="5" t="s">
        <v>15</v>
      </c>
      <c r="G13" s="5">
        <v>430</v>
      </c>
      <c r="H13" s="7">
        <v>0.5</v>
      </c>
      <c r="I13" s="5" t="s">
        <v>16</v>
      </c>
      <c r="J13" s="5" t="s">
        <v>16</v>
      </c>
      <c r="K13" s="5" t="s">
        <v>17</v>
      </c>
      <c r="L13" s="9">
        <v>2000</v>
      </c>
      <c r="M13" s="27"/>
      <c r="N13" s="26">
        <f t="shared" si="0"/>
        <v>2000</v>
      </c>
    </row>
    <row r="14" spans="1:14" s="28" customFormat="1" ht="150" customHeight="1" x14ac:dyDescent="0.3">
      <c r="A14" s="5">
        <v>241025</v>
      </c>
      <c r="B14" s="5">
        <v>304</v>
      </c>
      <c r="C14" s="7">
        <v>0.8</v>
      </c>
      <c r="D14" s="5">
        <v>234</v>
      </c>
      <c r="E14" s="32" t="s">
        <v>100</v>
      </c>
      <c r="F14" s="5" t="s">
        <v>101</v>
      </c>
      <c r="G14" s="5" t="s">
        <v>16</v>
      </c>
      <c r="H14" s="7" t="s">
        <v>16</v>
      </c>
      <c r="I14" s="5" t="s">
        <v>16</v>
      </c>
      <c r="J14" s="5" t="s">
        <v>16</v>
      </c>
      <c r="K14" s="5" t="s">
        <v>17</v>
      </c>
      <c r="L14" s="9">
        <v>2000</v>
      </c>
      <c r="M14" s="27"/>
      <c r="N14" s="26">
        <f t="shared" si="0"/>
        <v>2000</v>
      </c>
    </row>
    <row r="15" spans="1:14" s="28" customFormat="1" ht="150" customHeight="1" x14ac:dyDescent="0.3">
      <c r="A15" s="5">
        <v>311025</v>
      </c>
      <c r="B15" s="5">
        <v>304</v>
      </c>
      <c r="C15" s="7">
        <v>0.9</v>
      </c>
      <c r="D15" s="5">
        <v>327</v>
      </c>
      <c r="E15" s="32" t="s">
        <v>102</v>
      </c>
      <c r="F15" s="5" t="s">
        <v>15</v>
      </c>
      <c r="G15" s="5">
        <v>430</v>
      </c>
      <c r="H15" s="7">
        <v>0.5</v>
      </c>
      <c r="I15" s="5" t="s">
        <v>16</v>
      </c>
      <c r="J15" s="5" t="s">
        <v>16</v>
      </c>
      <c r="K15" s="5" t="s">
        <v>17</v>
      </c>
      <c r="L15" s="9">
        <v>3200</v>
      </c>
      <c r="M15" s="27"/>
      <c r="N15" s="26">
        <f t="shared" si="0"/>
        <v>3200</v>
      </c>
    </row>
    <row r="16" spans="1:14" s="28" customFormat="1" ht="150" customHeight="1" x14ac:dyDescent="0.3">
      <c r="A16" s="5">
        <v>311025</v>
      </c>
      <c r="B16" s="5">
        <v>304</v>
      </c>
      <c r="C16" s="7">
        <v>0.9</v>
      </c>
      <c r="D16" s="5">
        <v>252</v>
      </c>
      <c r="E16" s="32" t="s">
        <v>104</v>
      </c>
      <c r="F16" s="5" t="s">
        <v>101</v>
      </c>
      <c r="G16" s="5" t="s">
        <v>16</v>
      </c>
      <c r="H16" s="7" t="s">
        <v>16</v>
      </c>
      <c r="I16" s="5" t="s">
        <v>16</v>
      </c>
      <c r="J16" s="5" t="s">
        <v>16</v>
      </c>
      <c r="K16" s="5" t="s">
        <v>17</v>
      </c>
      <c r="L16" s="9">
        <v>3200</v>
      </c>
      <c r="M16" s="27"/>
      <c r="N16" s="26">
        <f t="shared" si="0"/>
        <v>3200</v>
      </c>
    </row>
    <row r="17" spans="1:14" s="28" customFormat="1" ht="150" customHeight="1" x14ac:dyDescent="0.3">
      <c r="A17" s="5">
        <v>311025</v>
      </c>
      <c r="B17" s="5">
        <v>304</v>
      </c>
      <c r="C17" s="7">
        <v>0.9</v>
      </c>
      <c r="D17" s="5">
        <v>369</v>
      </c>
      <c r="E17" s="32" t="s">
        <v>103</v>
      </c>
      <c r="F17" s="5" t="s">
        <v>15</v>
      </c>
      <c r="G17" s="5">
        <v>430</v>
      </c>
      <c r="H17" s="7">
        <v>0.5</v>
      </c>
      <c r="I17" s="5" t="s">
        <v>16</v>
      </c>
      <c r="J17" s="5" t="s">
        <v>16</v>
      </c>
      <c r="K17" s="5" t="s">
        <v>17</v>
      </c>
      <c r="L17" s="9">
        <v>500</v>
      </c>
      <c r="M17" s="27"/>
      <c r="N17" s="26">
        <f t="shared" si="0"/>
        <v>500</v>
      </c>
    </row>
    <row r="18" spans="1:14" s="28" customFormat="1" ht="150" customHeight="1" x14ac:dyDescent="0.3">
      <c r="A18" s="5">
        <v>311025</v>
      </c>
      <c r="B18" s="5">
        <v>304</v>
      </c>
      <c r="C18" s="7">
        <v>0.9</v>
      </c>
      <c r="D18" s="5">
        <v>290</v>
      </c>
      <c r="E18" s="32" t="s">
        <v>105</v>
      </c>
      <c r="F18" s="5" t="s">
        <v>101</v>
      </c>
      <c r="G18" s="5" t="s">
        <v>16</v>
      </c>
      <c r="H18" s="7" t="s">
        <v>16</v>
      </c>
      <c r="I18" s="5" t="s">
        <v>16</v>
      </c>
      <c r="J18" s="5" t="s">
        <v>16</v>
      </c>
      <c r="K18" s="5" t="s">
        <v>17</v>
      </c>
      <c r="L18" s="9">
        <v>500</v>
      </c>
      <c r="M18" s="27"/>
      <c r="N18" s="26">
        <f t="shared" si="0"/>
        <v>500</v>
      </c>
    </row>
    <row r="19" spans="1:14" s="11" customFormat="1" ht="150" customHeight="1" x14ac:dyDescent="0.3">
      <c r="A19" s="22"/>
      <c r="B19" s="22"/>
      <c r="C19" s="23"/>
      <c r="D19" s="29"/>
      <c r="E19" s="31"/>
      <c r="F19" s="22"/>
      <c r="G19" s="22"/>
      <c r="H19" s="23"/>
      <c r="I19" s="22"/>
      <c r="J19" s="22"/>
      <c r="K19" s="22"/>
      <c r="L19" s="26"/>
      <c r="M19" s="27"/>
      <c r="N19" s="26">
        <f t="shared" si="0"/>
        <v>0</v>
      </c>
    </row>
    <row r="20" spans="1:14" s="11" customFormat="1" ht="150" customHeight="1" x14ac:dyDescent="0.3">
      <c r="A20" s="13"/>
      <c r="B20" s="13"/>
      <c r="C20" s="14"/>
      <c r="D20" s="14"/>
      <c r="E20" s="33"/>
      <c r="F20" s="13"/>
      <c r="G20" s="13"/>
      <c r="H20" s="14"/>
      <c r="I20" s="13"/>
      <c r="J20" s="13"/>
      <c r="K20" s="13"/>
      <c r="L20" s="9">
        <f>SUM(L4:L19)</f>
        <v>22600</v>
      </c>
      <c r="M20" s="16">
        <f>SUM(M4:M19)</f>
        <v>4600</v>
      </c>
      <c r="N20" s="9">
        <f>SUM(N4:N19)</f>
        <v>18000</v>
      </c>
    </row>
    <row r="21" spans="1:14" s="12" customFormat="1" ht="100.05" customHeight="1" x14ac:dyDescent="0.3">
      <c r="A21" s="17"/>
      <c r="B21" s="17"/>
      <c r="C21" s="17"/>
      <c r="D21" s="20"/>
      <c r="E21" s="35"/>
      <c r="F21" s="17"/>
      <c r="G21" s="17"/>
      <c r="H21" s="17"/>
      <c r="I21" s="17"/>
      <c r="J21" s="17"/>
      <c r="K21" s="17"/>
      <c r="L21" s="17"/>
      <c r="M21" s="17"/>
      <c r="N21" s="17"/>
    </row>
    <row r="22" spans="1:14" ht="100.05" customHeight="1" x14ac:dyDescent="0.3"/>
    <row r="23" spans="1:14" s="4" customFormat="1" ht="100.05" customHeight="1" x14ac:dyDescent="0.3">
      <c r="A23" s="17"/>
      <c r="B23" s="17"/>
      <c r="C23" s="17"/>
      <c r="D23" s="20"/>
      <c r="E23" s="35"/>
      <c r="F23" s="17"/>
      <c r="G23" s="17"/>
      <c r="H23" s="17"/>
      <c r="I23" s="17"/>
      <c r="J23" s="17"/>
      <c r="K23" s="17"/>
      <c r="L23" s="17"/>
      <c r="M23" s="17"/>
      <c r="N23" s="17"/>
    </row>
    <row r="24" spans="1:14" s="4" customFormat="1" ht="100.05" customHeight="1" x14ac:dyDescent="0.3">
      <c r="A24" s="17"/>
      <c r="B24" s="17"/>
      <c r="C24" s="17"/>
      <c r="D24" s="20"/>
      <c r="E24" s="35"/>
      <c r="F24" s="17"/>
      <c r="G24" s="17"/>
      <c r="H24" s="17"/>
      <c r="I24" s="17"/>
      <c r="J24" s="17"/>
      <c r="K24" s="17"/>
      <c r="L24" s="17"/>
      <c r="M24" s="17"/>
      <c r="N24" s="17"/>
    </row>
    <row r="25" spans="1:14" s="11" customFormat="1" ht="100.05" customHeight="1" x14ac:dyDescent="0.3">
      <c r="A25" s="17"/>
      <c r="B25" s="17"/>
      <c r="C25" s="17"/>
      <c r="D25" s="20"/>
      <c r="E25" s="35"/>
      <c r="F25" s="17"/>
      <c r="G25" s="17"/>
      <c r="H25" s="17"/>
      <c r="I25" s="17"/>
      <c r="J25" s="17"/>
      <c r="K25" s="17"/>
      <c r="L25" s="17"/>
      <c r="M25" s="17"/>
      <c r="N25" s="17"/>
    </row>
    <row r="26" spans="1:14" s="11" customFormat="1" ht="100.05" customHeight="1" x14ac:dyDescent="0.3">
      <c r="A26" s="17"/>
      <c r="B26" s="17"/>
      <c r="C26" s="17"/>
      <c r="D26" s="20"/>
      <c r="E26" s="35"/>
      <c r="F26" s="17"/>
      <c r="G26" s="17"/>
      <c r="H26" s="17"/>
      <c r="I26" s="17"/>
      <c r="J26" s="17"/>
      <c r="K26" s="17"/>
      <c r="L26" s="17"/>
      <c r="M26" s="17"/>
      <c r="N26" s="17"/>
    </row>
    <row r="27" spans="1:14" s="11" customFormat="1" ht="100.05" customHeight="1" x14ac:dyDescent="0.3">
      <c r="A27" s="17"/>
      <c r="B27" s="17"/>
      <c r="C27" s="17"/>
      <c r="D27" s="20"/>
      <c r="E27" s="35"/>
      <c r="F27" s="17"/>
      <c r="G27" s="17"/>
      <c r="H27" s="17"/>
      <c r="I27" s="17"/>
      <c r="J27" s="17"/>
      <c r="K27" s="17"/>
      <c r="L27" s="17"/>
      <c r="M27" s="17"/>
      <c r="N27" s="17"/>
    </row>
    <row r="28" spans="1:14" s="11" customFormat="1" ht="100.05" customHeight="1" x14ac:dyDescent="0.3">
      <c r="A28" s="17"/>
      <c r="B28" s="17"/>
      <c r="C28" s="17"/>
      <c r="D28" s="20"/>
      <c r="E28" s="35"/>
      <c r="F28" s="17"/>
      <c r="G28" s="17"/>
      <c r="H28" s="17"/>
      <c r="I28" s="17"/>
      <c r="J28" s="17"/>
      <c r="K28" s="17"/>
      <c r="L28" s="17"/>
      <c r="M28" s="17"/>
      <c r="N28" s="17"/>
    </row>
    <row r="29" spans="1:14" s="11" customFormat="1" ht="100.05" customHeight="1" x14ac:dyDescent="0.3">
      <c r="A29" s="17"/>
      <c r="B29" s="17"/>
      <c r="C29" s="17"/>
      <c r="D29" s="20"/>
      <c r="E29" s="35"/>
      <c r="F29" s="17"/>
      <c r="G29" s="17"/>
      <c r="H29" s="17"/>
      <c r="I29" s="17"/>
      <c r="J29" s="17"/>
      <c r="K29" s="17"/>
      <c r="L29" s="17"/>
      <c r="M29" s="17"/>
      <c r="N29" s="17"/>
    </row>
    <row r="30" spans="1:14" s="11" customFormat="1" ht="100.05" customHeight="1" x14ac:dyDescent="0.3">
      <c r="A30" s="17"/>
      <c r="B30" s="17"/>
      <c r="C30" s="17"/>
      <c r="D30" s="20"/>
      <c r="E30" s="35"/>
      <c r="F30" s="17"/>
      <c r="G30" s="17"/>
      <c r="H30" s="17"/>
      <c r="I30" s="17"/>
      <c r="J30" s="17"/>
      <c r="K30" s="17"/>
      <c r="L30" s="17"/>
      <c r="M30" s="17"/>
      <c r="N30" s="17"/>
    </row>
    <row r="31" spans="1:14" s="11" customFormat="1" ht="100.05" customHeight="1" x14ac:dyDescent="0.3">
      <c r="A31" s="17"/>
      <c r="B31" s="17"/>
      <c r="C31" s="17"/>
      <c r="D31" s="20"/>
      <c r="E31" s="35"/>
      <c r="F31" s="17"/>
      <c r="G31" s="17"/>
      <c r="H31" s="17"/>
      <c r="I31" s="17"/>
      <c r="J31" s="17"/>
      <c r="K31" s="17"/>
      <c r="L31" s="17"/>
      <c r="M31" s="17"/>
      <c r="N31" s="17"/>
    </row>
    <row r="32" spans="1:14" s="11" customFormat="1" ht="100.05" customHeight="1" x14ac:dyDescent="0.3">
      <c r="A32" s="17"/>
      <c r="B32" s="17"/>
      <c r="C32" s="17"/>
      <c r="D32" s="20"/>
      <c r="E32" s="35"/>
      <c r="F32" s="17"/>
      <c r="G32" s="17"/>
      <c r="H32" s="17"/>
      <c r="I32" s="17"/>
      <c r="J32" s="17"/>
      <c r="K32" s="17"/>
      <c r="L32" s="17"/>
      <c r="M32" s="17"/>
      <c r="N32" s="17"/>
    </row>
    <row r="33" spans="1:14" s="11" customFormat="1" ht="100.05" customHeight="1" x14ac:dyDescent="0.3">
      <c r="A33" s="17"/>
      <c r="B33" s="17"/>
      <c r="C33" s="17"/>
      <c r="D33" s="20"/>
      <c r="E33" s="35"/>
      <c r="F33" s="17"/>
      <c r="G33" s="17"/>
      <c r="H33" s="17"/>
      <c r="I33" s="17"/>
      <c r="J33" s="17"/>
      <c r="K33" s="17"/>
      <c r="L33" s="17"/>
      <c r="M33" s="17"/>
      <c r="N33" s="17"/>
    </row>
    <row r="34" spans="1:14" s="11" customFormat="1" ht="100.05" customHeight="1" x14ac:dyDescent="0.3">
      <c r="A34" s="17"/>
      <c r="B34" s="17"/>
      <c r="C34" s="17"/>
      <c r="D34" s="20"/>
      <c r="E34" s="35"/>
      <c r="F34" s="17"/>
      <c r="G34" s="17"/>
      <c r="H34" s="17"/>
      <c r="I34" s="17"/>
      <c r="J34" s="17"/>
      <c r="K34" s="17"/>
      <c r="L34" s="17"/>
      <c r="M34" s="17"/>
      <c r="N34" s="17"/>
    </row>
  </sheetData>
  <mergeCells count="3">
    <mergeCell ref="A1:C1"/>
    <mergeCell ref="K1:N1"/>
    <mergeCell ref="A2:N2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18" orientation="portrait" horizontalDpi="1200" verticalDpi="120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5"/>
  <sheetViews>
    <sheetView topLeftCell="A7" zoomScale="25" zoomScaleNormal="25" workbookViewId="0">
      <selection activeCell="W7" sqref="W7"/>
    </sheetView>
  </sheetViews>
  <sheetFormatPr defaultColWidth="8.88671875" defaultRowHeight="14.4" x14ac:dyDescent="0.3"/>
  <cols>
    <col min="1" max="1" width="41.77734375" style="17" customWidth="1"/>
    <col min="2" max="2" width="19.6640625" style="17" customWidth="1"/>
    <col min="3" max="3" width="29.21875" style="17" customWidth="1"/>
    <col min="4" max="4" width="28.6640625" style="20" customWidth="1"/>
    <col min="5" max="5" width="162.109375" style="35" customWidth="1"/>
    <col min="6" max="6" width="32.109375" style="17" bestFit="1" customWidth="1"/>
    <col min="7" max="7" width="21.88671875" style="17" bestFit="1" customWidth="1"/>
    <col min="8" max="8" width="26.6640625" style="17" bestFit="1" customWidth="1"/>
    <col min="9" max="9" width="40.109375" style="17" bestFit="1" customWidth="1"/>
    <col min="10" max="10" width="37.88671875" style="17" customWidth="1"/>
    <col min="11" max="11" width="25.6640625" style="17" customWidth="1"/>
    <col min="12" max="13" width="26.77734375" style="17" bestFit="1" customWidth="1"/>
    <col min="14" max="14" width="31.6640625" style="17" bestFit="1" customWidth="1"/>
    <col min="15" max="16384" width="8.88671875" style="18"/>
  </cols>
  <sheetData>
    <row r="1" spans="1:14" s="3" customFormat="1" ht="100.05" customHeight="1" x14ac:dyDescent="0.95">
      <c r="A1" s="37"/>
      <c r="B1" s="37"/>
      <c r="C1" s="37"/>
      <c r="D1" s="19"/>
      <c r="E1" s="34"/>
      <c r="F1" s="1"/>
      <c r="G1" s="1"/>
      <c r="H1" s="1"/>
      <c r="I1" s="1"/>
      <c r="J1" s="2" t="s">
        <v>0</v>
      </c>
      <c r="K1" s="38">
        <v>45965</v>
      </c>
      <c r="L1" s="38"/>
      <c r="M1" s="38"/>
      <c r="N1" s="38"/>
    </row>
    <row r="2" spans="1:14" s="4" customFormat="1" ht="100.05" customHeight="1" x14ac:dyDescent="0.3">
      <c r="A2" s="39" t="s">
        <v>69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</row>
    <row r="3" spans="1:14" s="4" customFormat="1" ht="150" customHeight="1" x14ac:dyDescent="0.3">
      <c r="A3" s="5" t="s">
        <v>1</v>
      </c>
      <c r="B3" s="5" t="s">
        <v>2</v>
      </c>
      <c r="C3" s="6" t="s">
        <v>3</v>
      </c>
      <c r="D3" s="7" t="s">
        <v>4</v>
      </c>
      <c r="E3" s="32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6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s="28" customFormat="1" ht="150" customHeight="1" x14ac:dyDescent="0.3">
      <c r="A4" s="5">
        <v>230925</v>
      </c>
      <c r="B4" s="5">
        <v>430</v>
      </c>
      <c r="C4" s="7">
        <v>0.8</v>
      </c>
      <c r="D4" s="5">
        <v>360</v>
      </c>
      <c r="E4" s="32" t="s">
        <v>83</v>
      </c>
      <c r="F4" s="5" t="s">
        <v>80</v>
      </c>
      <c r="G4" s="5">
        <v>430</v>
      </c>
      <c r="H4" s="7" t="s">
        <v>16</v>
      </c>
      <c r="I4" s="5" t="s">
        <v>16</v>
      </c>
      <c r="J4" s="5" t="s">
        <v>16</v>
      </c>
      <c r="K4" s="5" t="s">
        <v>17</v>
      </c>
      <c r="L4" s="9">
        <v>5300</v>
      </c>
      <c r="M4" s="27">
        <f>700+1500+2400+950</f>
        <v>5550</v>
      </c>
      <c r="N4" s="26">
        <f t="shared" ref="N4:N20" si="0">L4-M4</f>
        <v>-250</v>
      </c>
    </row>
    <row r="5" spans="1:14" s="28" customFormat="1" ht="150" customHeight="1" x14ac:dyDescent="0.3">
      <c r="A5" s="5">
        <v>250079</v>
      </c>
      <c r="B5" s="5">
        <v>304</v>
      </c>
      <c r="C5" s="7">
        <v>0.7</v>
      </c>
      <c r="D5" s="5">
        <v>324</v>
      </c>
      <c r="E5" s="32" t="s">
        <v>91</v>
      </c>
      <c r="F5" s="5" t="s">
        <v>80</v>
      </c>
      <c r="G5" s="5">
        <v>304</v>
      </c>
      <c r="H5" s="7">
        <v>0.6</v>
      </c>
      <c r="I5" s="5" t="s">
        <v>16</v>
      </c>
      <c r="J5" s="5" t="s">
        <v>16</v>
      </c>
      <c r="K5" s="5" t="s">
        <v>17</v>
      </c>
      <c r="L5" s="9">
        <v>964</v>
      </c>
      <c r="M5" s="27">
        <v>1030</v>
      </c>
      <c r="N5" s="26">
        <f t="shared" si="0"/>
        <v>-66</v>
      </c>
    </row>
    <row r="6" spans="1:14" s="28" customFormat="1" ht="150" customHeight="1" x14ac:dyDescent="0.3">
      <c r="A6" s="5">
        <v>250079</v>
      </c>
      <c r="B6" s="5">
        <v>304</v>
      </c>
      <c r="C6" s="7">
        <v>1</v>
      </c>
      <c r="D6" s="5">
        <v>324</v>
      </c>
      <c r="E6" s="32" t="s">
        <v>92</v>
      </c>
      <c r="F6" s="5" t="s">
        <v>80</v>
      </c>
      <c r="G6" s="5">
        <v>304</v>
      </c>
      <c r="H6" s="7">
        <v>0.6</v>
      </c>
      <c r="I6" s="5" t="s">
        <v>16</v>
      </c>
      <c r="J6" s="5" t="s">
        <v>16</v>
      </c>
      <c r="K6" s="5" t="s">
        <v>17</v>
      </c>
      <c r="L6" s="9">
        <v>36</v>
      </c>
      <c r="M6" s="27">
        <v>35</v>
      </c>
      <c r="N6" s="26">
        <f t="shared" si="0"/>
        <v>1</v>
      </c>
    </row>
    <row r="7" spans="1:14" s="28" customFormat="1" ht="150" customHeight="1" x14ac:dyDescent="0.3">
      <c r="A7" s="5">
        <v>250080</v>
      </c>
      <c r="B7" s="5">
        <v>304</v>
      </c>
      <c r="C7" s="7">
        <v>0.7</v>
      </c>
      <c r="D7" s="5">
        <v>307</v>
      </c>
      <c r="E7" s="32" t="s">
        <v>93</v>
      </c>
      <c r="F7" s="5" t="s">
        <v>80</v>
      </c>
      <c r="G7" s="5">
        <v>430</v>
      </c>
      <c r="H7" s="7">
        <v>0.6</v>
      </c>
      <c r="I7" s="5" t="s">
        <v>16</v>
      </c>
      <c r="J7" s="5" t="s">
        <v>16</v>
      </c>
      <c r="K7" s="5" t="s">
        <v>17</v>
      </c>
      <c r="L7" s="9">
        <v>1000</v>
      </c>
      <c r="M7" s="27"/>
      <c r="N7" s="26">
        <f t="shared" si="0"/>
        <v>1000</v>
      </c>
    </row>
    <row r="8" spans="1:14" s="28" customFormat="1" ht="150" customHeight="1" x14ac:dyDescent="0.3">
      <c r="A8" s="5">
        <v>250079</v>
      </c>
      <c r="B8" s="5">
        <v>304</v>
      </c>
      <c r="C8" s="7">
        <v>0.7</v>
      </c>
      <c r="D8" s="5">
        <v>307</v>
      </c>
      <c r="E8" s="32" t="s">
        <v>94</v>
      </c>
      <c r="F8" s="5" t="s">
        <v>80</v>
      </c>
      <c r="G8" s="5">
        <v>304</v>
      </c>
      <c r="H8" s="7">
        <v>0.6</v>
      </c>
      <c r="I8" s="5" t="s">
        <v>16</v>
      </c>
      <c r="J8" s="5" t="s">
        <v>16</v>
      </c>
      <c r="K8" s="5" t="s">
        <v>17</v>
      </c>
      <c r="L8" s="9">
        <v>1314</v>
      </c>
      <c r="M8" s="27"/>
      <c r="N8" s="26">
        <f t="shared" si="0"/>
        <v>1314</v>
      </c>
    </row>
    <row r="9" spans="1:14" s="28" customFormat="1" ht="150" customHeight="1" x14ac:dyDescent="0.3">
      <c r="A9" s="5">
        <v>250079</v>
      </c>
      <c r="B9" s="5">
        <v>304</v>
      </c>
      <c r="C9" s="7">
        <v>1</v>
      </c>
      <c r="D9" s="5">
        <v>307</v>
      </c>
      <c r="E9" s="32" t="s">
        <v>95</v>
      </c>
      <c r="F9" s="5" t="s">
        <v>80</v>
      </c>
      <c r="G9" s="5">
        <v>304</v>
      </c>
      <c r="H9" s="7">
        <v>0.6</v>
      </c>
      <c r="I9" s="5" t="s">
        <v>16</v>
      </c>
      <c r="J9" s="5" t="s">
        <v>16</v>
      </c>
      <c r="K9" s="5" t="s">
        <v>17</v>
      </c>
      <c r="L9" s="9">
        <v>36</v>
      </c>
      <c r="M9" s="27"/>
      <c r="N9" s="26">
        <f t="shared" si="0"/>
        <v>36</v>
      </c>
    </row>
    <row r="10" spans="1:14" s="28" customFormat="1" ht="150" customHeight="1" x14ac:dyDescent="0.3">
      <c r="A10" s="5">
        <v>250080</v>
      </c>
      <c r="B10" s="5">
        <v>304</v>
      </c>
      <c r="C10" s="7">
        <v>0.7</v>
      </c>
      <c r="D10" s="5">
        <v>265</v>
      </c>
      <c r="E10" s="32" t="s">
        <v>96</v>
      </c>
      <c r="F10" s="5" t="s">
        <v>80</v>
      </c>
      <c r="G10" s="5">
        <v>430</v>
      </c>
      <c r="H10" s="7">
        <v>0.6</v>
      </c>
      <c r="I10" s="5" t="s">
        <v>16</v>
      </c>
      <c r="J10" s="5" t="s">
        <v>16</v>
      </c>
      <c r="K10" s="5" t="s">
        <v>17</v>
      </c>
      <c r="L10" s="9">
        <v>1200</v>
      </c>
      <c r="M10" s="27"/>
      <c r="N10" s="26">
        <f t="shared" si="0"/>
        <v>1200</v>
      </c>
    </row>
    <row r="11" spans="1:14" s="28" customFormat="1" ht="150" customHeight="1" x14ac:dyDescent="0.3">
      <c r="A11" s="5">
        <v>250079</v>
      </c>
      <c r="B11" s="5">
        <v>304</v>
      </c>
      <c r="C11" s="7">
        <v>0.7</v>
      </c>
      <c r="D11" s="5">
        <v>307</v>
      </c>
      <c r="E11" s="32" t="s">
        <v>97</v>
      </c>
      <c r="F11" s="5" t="s">
        <v>80</v>
      </c>
      <c r="G11" s="5">
        <v>304</v>
      </c>
      <c r="H11" s="7">
        <v>0.6</v>
      </c>
      <c r="I11" s="5" t="s">
        <v>16</v>
      </c>
      <c r="J11" s="5" t="s">
        <v>16</v>
      </c>
      <c r="K11" s="5" t="s">
        <v>17</v>
      </c>
      <c r="L11" s="9">
        <v>1314</v>
      </c>
      <c r="M11" s="27"/>
      <c r="N11" s="26">
        <f t="shared" si="0"/>
        <v>1314</v>
      </c>
    </row>
    <row r="12" spans="1:14" s="28" customFormat="1" ht="150" customHeight="1" x14ac:dyDescent="0.3">
      <c r="A12" s="5">
        <v>250079</v>
      </c>
      <c r="B12" s="5">
        <v>304</v>
      </c>
      <c r="C12" s="7">
        <v>1</v>
      </c>
      <c r="D12" s="5">
        <v>307</v>
      </c>
      <c r="E12" s="32" t="s">
        <v>98</v>
      </c>
      <c r="F12" s="5" t="s">
        <v>80</v>
      </c>
      <c r="G12" s="5">
        <v>304</v>
      </c>
      <c r="H12" s="7">
        <v>0.6</v>
      </c>
      <c r="I12" s="5" t="s">
        <v>16</v>
      </c>
      <c r="J12" s="5" t="s">
        <v>16</v>
      </c>
      <c r="K12" s="5" t="s">
        <v>17</v>
      </c>
      <c r="L12" s="9">
        <v>36</v>
      </c>
      <c r="M12" s="27"/>
      <c r="N12" s="26">
        <f t="shared" si="0"/>
        <v>36</v>
      </c>
    </row>
    <row r="13" spans="1:14" s="28" customFormat="1" ht="150" customHeight="1" x14ac:dyDescent="0.3">
      <c r="A13" s="5">
        <v>241025</v>
      </c>
      <c r="B13" s="5">
        <v>304</v>
      </c>
      <c r="C13" s="7">
        <v>0.8</v>
      </c>
      <c r="D13" s="5">
        <v>276</v>
      </c>
      <c r="E13" s="32" t="s">
        <v>99</v>
      </c>
      <c r="F13" s="5" t="s">
        <v>15</v>
      </c>
      <c r="G13" s="5">
        <v>430</v>
      </c>
      <c r="H13" s="7">
        <v>0.5</v>
      </c>
      <c r="I13" s="5" t="s">
        <v>16</v>
      </c>
      <c r="J13" s="5" t="s">
        <v>16</v>
      </c>
      <c r="K13" s="5" t="s">
        <v>17</v>
      </c>
      <c r="L13" s="9">
        <v>2000</v>
      </c>
      <c r="M13" s="27"/>
      <c r="N13" s="26">
        <f t="shared" si="0"/>
        <v>2000</v>
      </c>
    </row>
    <row r="14" spans="1:14" s="28" customFormat="1" ht="150" customHeight="1" x14ac:dyDescent="0.3">
      <c r="A14" s="5">
        <v>241025</v>
      </c>
      <c r="B14" s="5">
        <v>304</v>
      </c>
      <c r="C14" s="7">
        <v>0.8</v>
      </c>
      <c r="D14" s="5">
        <v>234</v>
      </c>
      <c r="E14" s="32" t="s">
        <v>100</v>
      </c>
      <c r="F14" s="5" t="s">
        <v>101</v>
      </c>
      <c r="G14" s="5" t="s">
        <v>16</v>
      </c>
      <c r="H14" s="7" t="s">
        <v>16</v>
      </c>
      <c r="I14" s="5" t="s">
        <v>16</v>
      </c>
      <c r="J14" s="5" t="s">
        <v>16</v>
      </c>
      <c r="K14" s="5" t="s">
        <v>17</v>
      </c>
      <c r="L14" s="9">
        <v>2000</v>
      </c>
      <c r="M14" s="27"/>
      <c r="N14" s="26">
        <f t="shared" si="0"/>
        <v>2000</v>
      </c>
    </row>
    <row r="15" spans="1:14" s="28" customFormat="1" ht="150" customHeight="1" x14ac:dyDescent="0.3">
      <c r="A15" s="5">
        <v>311025</v>
      </c>
      <c r="B15" s="5">
        <v>304</v>
      </c>
      <c r="C15" s="7">
        <v>0.9</v>
      </c>
      <c r="D15" s="5">
        <v>327</v>
      </c>
      <c r="E15" s="32" t="s">
        <v>102</v>
      </c>
      <c r="F15" s="5" t="s">
        <v>15</v>
      </c>
      <c r="G15" s="5">
        <v>430</v>
      </c>
      <c r="H15" s="7">
        <v>0.5</v>
      </c>
      <c r="I15" s="5" t="s">
        <v>16</v>
      </c>
      <c r="J15" s="5" t="s">
        <v>16</v>
      </c>
      <c r="K15" s="5" t="s">
        <v>17</v>
      </c>
      <c r="L15" s="9">
        <v>3200</v>
      </c>
      <c r="M15" s="27"/>
      <c r="N15" s="26">
        <f t="shared" si="0"/>
        <v>3200</v>
      </c>
    </row>
    <row r="16" spans="1:14" s="28" customFormat="1" ht="150" customHeight="1" x14ac:dyDescent="0.3">
      <c r="A16" s="5">
        <v>311025</v>
      </c>
      <c r="B16" s="5">
        <v>304</v>
      </c>
      <c r="C16" s="7">
        <v>0.9</v>
      </c>
      <c r="D16" s="5">
        <v>252</v>
      </c>
      <c r="E16" s="32" t="s">
        <v>104</v>
      </c>
      <c r="F16" s="5" t="s">
        <v>101</v>
      </c>
      <c r="G16" s="5" t="s">
        <v>16</v>
      </c>
      <c r="H16" s="7" t="s">
        <v>16</v>
      </c>
      <c r="I16" s="5" t="s">
        <v>16</v>
      </c>
      <c r="J16" s="5" t="s">
        <v>16</v>
      </c>
      <c r="K16" s="5" t="s">
        <v>17</v>
      </c>
      <c r="L16" s="9">
        <v>3200</v>
      </c>
      <c r="M16" s="27"/>
      <c r="N16" s="26">
        <f t="shared" si="0"/>
        <v>3200</v>
      </c>
    </row>
    <row r="17" spans="1:14" s="28" customFormat="1" ht="150" customHeight="1" x14ac:dyDescent="0.3">
      <c r="A17" s="5">
        <v>311025</v>
      </c>
      <c r="B17" s="5">
        <v>304</v>
      </c>
      <c r="C17" s="7">
        <v>0.9</v>
      </c>
      <c r="D17" s="5">
        <v>369</v>
      </c>
      <c r="E17" s="32" t="s">
        <v>103</v>
      </c>
      <c r="F17" s="5" t="s">
        <v>15</v>
      </c>
      <c r="G17" s="5">
        <v>430</v>
      </c>
      <c r="H17" s="7">
        <v>0.5</v>
      </c>
      <c r="I17" s="5" t="s">
        <v>16</v>
      </c>
      <c r="J17" s="5" t="s">
        <v>16</v>
      </c>
      <c r="K17" s="5" t="s">
        <v>17</v>
      </c>
      <c r="L17" s="9">
        <v>500</v>
      </c>
      <c r="M17" s="27"/>
      <c r="N17" s="26">
        <f t="shared" si="0"/>
        <v>500</v>
      </c>
    </row>
    <row r="18" spans="1:14" s="28" customFormat="1" ht="150" customHeight="1" x14ac:dyDescent="0.3">
      <c r="A18" s="5">
        <v>311025</v>
      </c>
      <c r="B18" s="5">
        <v>304</v>
      </c>
      <c r="C18" s="7">
        <v>0.9</v>
      </c>
      <c r="D18" s="5">
        <v>290</v>
      </c>
      <c r="E18" s="32" t="s">
        <v>105</v>
      </c>
      <c r="F18" s="5" t="s">
        <v>101</v>
      </c>
      <c r="G18" s="5" t="s">
        <v>16</v>
      </c>
      <c r="H18" s="7" t="s">
        <v>16</v>
      </c>
      <c r="I18" s="5" t="s">
        <v>16</v>
      </c>
      <c r="J18" s="5" t="s">
        <v>16</v>
      </c>
      <c r="K18" s="5" t="s">
        <v>17</v>
      </c>
      <c r="L18" s="9">
        <v>500</v>
      </c>
      <c r="M18" s="27"/>
      <c r="N18" s="26">
        <f t="shared" si="0"/>
        <v>500</v>
      </c>
    </row>
    <row r="19" spans="1:14" s="28" customFormat="1" ht="150" customHeight="1" x14ac:dyDescent="0.3">
      <c r="A19" s="5">
        <v>250059</v>
      </c>
      <c r="B19" s="5">
        <v>304</v>
      </c>
      <c r="C19" s="7">
        <v>0.9</v>
      </c>
      <c r="D19" s="5">
        <v>290</v>
      </c>
      <c r="E19" s="32" t="s">
        <v>106</v>
      </c>
      <c r="F19" s="5" t="s">
        <v>15</v>
      </c>
      <c r="G19" s="5">
        <v>304</v>
      </c>
      <c r="H19" s="7">
        <v>0.6</v>
      </c>
      <c r="I19" s="5" t="s">
        <v>16</v>
      </c>
      <c r="J19" s="5" t="s">
        <v>16</v>
      </c>
      <c r="K19" s="5" t="s">
        <v>17</v>
      </c>
      <c r="L19" s="9">
        <v>680</v>
      </c>
      <c r="M19" s="27"/>
      <c r="N19" s="26">
        <f t="shared" si="0"/>
        <v>680</v>
      </c>
    </row>
    <row r="20" spans="1:14" s="11" customFormat="1" ht="150" customHeight="1" x14ac:dyDescent="0.3">
      <c r="A20" s="22"/>
      <c r="B20" s="22"/>
      <c r="C20" s="23"/>
      <c r="D20" s="29"/>
      <c r="E20" s="31"/>
      <c r="F20" s="22"/>
      <c r="G20" s="22"/>
      <c r="H20" s="23"/>
      <c r="I20" s="22"/>
      <c r="J20" s="22"/>
      <c r="K20" s="22"/>
      <c r="L20" s="26"/>
      <c r="M20" s="27"/>
      <c r="N20" s="26">
        <f t="shared" si="0"/>
        <v>0</v>
      </c>
    </row>
    <row r="21" spans="1:14" s="11" customFormat="1" ht="150" customHeight="1" x14ac:dyDescent="0.3">
      <c r="A21" s="13"/>
      <c r="B21" s="13"/>
      <c r="C21" s="14"/>
      <c r="D21" s="14"/>
      <c r="E21" s="33"/>
      <c r="F21" s="13"/>
      <c r="G21" s="13"/>
      <c r="H21" s="14"/>
      <c r="I21" s="13"/>
      <c r="J21" s="13"/>
      <c r="K21" s="13"/>
      <c r="L21" s="9">
        <f>SUM(L4:L20)</f>
        <v>23280</v>
      </c>
      <c r="M21" s="16">
        <f>SUM(M4:M20)</f>
        <v>6615</v>
      </c>
      <c r="N21" s="9">
        <f>SUM(N4:N20)</f>
        <v>16665</v>
      </c>
    </row>
    <row r="22" spans="1:14" s="12" customFormat="1" ht="100.05" customHeight="1" x14ac:dyDescent="0.3">
      <c r="A22" s="17"/>
      <c r="B22" s="17"/>
      <c r="C22" s="17"/>
      <c r="D22" s="20"/>
      <c r="E22" s="35"/>
      <c r="F22" s="17"/>
      <c r="G22" s="17"/>
      <c r="H22" s="17"/>
      <c r="I22" s="17"/>
      <c r="J22" s="17"/>
      <c r="K22" s="17"/>
      <c r="L22" s="17"/>
      <c r="M22" s="17"/>
      <c r="N22" s="17"/>
    </row>
    <row r="23" spans="1:14" ht="100.05" customHeight="1" x14ac:dyDescent="0.3"/>
    <row r="24" spans="1:14" s="4" customFormat="1" ht="100.05" customHeight="1" x14ac:dyDescent="0.3">
      <c r="A24" s="17"/>
      <c r="B24" s="17"/>
      <c r="C24" s="17"/>
      <c r="D24" s="20"/>
      <c r="E24" s="35"/>
      <c r="F24" s="17"/>
      <c r="G24" s="17"/>
      <c r="H24" s="17"/>
      <c r="I24" s="17"/>
      <c r="J24" s="17"/>
      <c r="K24" s="17"/>
      <c r="L24" s="17"/>
      <c r="M24" s="17"/>
      <c r="N24" s="17"/>
    </row>
    <row r="25" spans="1:14" s="4" customFormat="1" ht="100.05" customHeight="1" x14ac:dyDescent="0.3">
      <c r="A25" s="17"/>
      <c r="B25" s="17"/>
      <c r="C25" s="17"/>
      <c r="D25" s="20"/>
      <c r="E25" s="35"/>
      <c r="F25" s="17"/>
      <c r="G25" s="17"/>
      <c r="H25" s="17"/>
      <c r="I25" s="17"/>
      <c r="J25" s="17"/>
      <c r="K25" s="17"/>
      <c r="L25" s="17"/>
      <c r="M25" s="17"/>
      <c r="N25" s="17"/>
    </row>
    <row r="26" spans="1:14" s="11" customFormat="1" ht="100.05" customHeight="1" x14ac:dyDescent="0.3">
      <c r="A26" s="17"/>
      <c r="B26" s="17"/>
      <c r="C26" s="17"/>
      <c r="D26" s="20"/>
      <c r="E26" s="35"/>
      <c r="F26" s="17"/>
      <c r="G26" s="17"/>
      <c r="H26" s="17"/>
      <c r="I26" s="17"/>
      <c r="J26" s="17"/>
      <c r="K26" s="17"/>
      <c r="L26" s="17"/>
      <c r="M26" s="17"/>
      <c r="N26" s="17"/>
    </row>
    <row r="27" spans="1:14" s="11" customFormat="1" ht="100.05" customHeight="1" x14ac:dyDescent="0.3">
      <c r="A27" s="17"/>
      <c r="B27" s="17"/>
      <c r="C27" s="17"/>
      <c r="D27" s="20"/>
      <c r="E27" s="35"/>
      <c r="F27" s="17"/>
      <c r="G27" s="17"/>
      <c r="H27" s="17"/>
      <c r="I27" s="17"/>
      <c r="J27" s="17"/>
      <c r="K27" s="17"/>
      <c r="L27" s="17"/>
      <c r="M27" s="17"/>
      <c r="N27" s="17"/>
    </row>
    <row r="28" spans="1:14" s="11" customFormat="1" ht="100.05" customHeight="1" x14ac:dyDescent="0.3">
      <c r="A28" s="17"/>
      <c r="B28" s="17"/>
      <c r="C28" s="17"/>
      <c r="D28" s="20"/>
      <c r="E28" s="35"/>
      <c r="F28" s="17"/>
      <c r="G28" s="17"/>
      <c r="H28" s="17"/>
      <c r="I28" s="17"/>
      <c r="J28" s="17"/>
      <c r="K28" s="17"/>
      <c r="L28" s="17"/>
      <c r="M28" s="17"/>
      <c r="N28" s="17"/>
    </row>
    <row r="29" spans="1:14" s="11" customFormat="1" ht="100.05" customHeight="1" x14ac:dyDescent="0.3">
      <c r="A29" s="17"/>
      <c r="B29" s="17"/>
      <c r="C29" s="17"/>
      <c r="D29" s="20"/>
      <c r="E29" s="35"/>
      <c r="F29" s="17"/>
      <c r="G29" s="17"/>
      <c r="H29" s="17"/>
      <c r="I29" s="17"/>
      <c r="J29" s="17"/>
      <c r="K29" s="17"/>
      <c r="L29" s="17"/>
      <c r="M29" s="17"/>
      <c r="N29" s="17"/>
    </row>
    <row r="30" spans="1:14" s="11" customFormat="1" ht="100.05" customHeight="1" x14ac:dyDescent="0.3">
      <c r="A30" s="17"/>
      <c r="B30" s="17"/>
      <c r="C30" s="17"/>
      <c r="D30" s="20"/>
      <c r="E30" s="35"/>
      <c r="F30" s="17"/>
      <c r="G30" s="17"/>
      <c r="H30" s="17"/>
      <c r="I30" s="17"/>
      <c r="J30" s="17"/>
      <c r="K30" s="17"/>
      <c r="L30" s="17"/>
      <c r="M30" s="17"/>
      <c r="N30" s="17"/>
    </row>
    <row r="31" spans="1:14" s="11" customFormat="1" ht="100.05" customHeight="1" x14ac:dyDescent="0.3">
      <c r="A31" s="17"/>
      <c r="B31" s="17"/>
      <c r="C31" s="17"/>
      <c r="D31" s="20"/>
      <c r="E31" s="35"/>
      <c r="F31" s="17"/>
      <c r="G31" s="17"/>
      <c r="H31" s="17"/>
      <c r="I31" s="17"/>
      <c r="J31" s="17"/>
      <c r="K31" s="17"/>
      <c r="L31" s="17"/>
      <c r="M31" s="17"/>
      <c r="N31" s="17"/>
    </row>
    <row r="32" spans="1:14" s="11" customFormat="1" ht="100.05" customHeight="1" x14ac:dyDescent="0.3">
      <c r="A32" s="17"/>
      <c r="B32" s="17"/>
      <c r="C32" s="17"/>
      <c r="D32" s="20"/>
      <c r="E32" s="35"/>
      <c r="F32" s="17"/>
      <c r="G32" s="17"/>
      <c r="H32" s="17"/>
      <c r="I32" s="17"/>
      <c r="J32" s="17"/>
      <c r="K32" s="17"/>
      <c r="L32" s="17"/>
      <c r="M32" s="17"/>
      <c r="N32" s="17"/>
    </row>
    <row r="33" spans="1:14" s="11" customFormat="1" ht="100.05" customHeight="1" x14ac:dyDescent="0.3">
      <c r="A33" s="17"/>
      <c r="B33" s="17"/>
      <c r="C33" s="17"/>
      <c r="D33" s="20"/>
      <c r="E33" s="35"/>
      <c r="F33" s="17"/>
      <c r="G33" s="17"/>
      <c r="H33" s="17"/>
      <c r="I33" s="17"/>
      <c r="J33" s="17"/>
      <c r="K33" s="17"/>
      <c r="L33" s="17"/>
      <c r="M33" s="17"/>
      <c r="N33" s="17"/>
    </row>
    <row r="34" spans="1:14" s="11" customFormat="1" ht="100.05" customHeight="1" x14ac:dyDescent="0.3">
      <c r="A34" s="17"/>
      <c r="B34" s="17"/>
      <c r="C34" s="17"/>
      <c r="D34" s="20"/>
      <c r="E34" s="35"/>
      <c r="F34" s="17"/>
      <c r="G34" s="17"/>
      <c r="H34" s="17"/>
      <c r="I34" s="17"/>
      <c r="J34" s="17"/>
      <c r="K34" s="17"/>
      <c r="L34" s="17"/>
      <c r="M34" s="17"/>
      <c r="N34" s="17"/>
    </row>
    <row r="35" spans="1:14" s="11" customFormat="1" ht="100.05" customHeight="1" x14ac:dyDescent="0.3">
      <c r="A35" s="17"/>
      <c r="B35" s="17"/>
      <c r="C35" s="17"/>
      <c r="D35" s="20"/>
      <c r="E35" s="35"/>
      <c r="F35" s="17"/>
      <c r="G35" s="17"/>
      <c r="H35" s="17"/>
      <c r="I35" s="17"/>
      <c r="J35" s="17"/>
      <c r="K35" s="17"/>
      <c r="L35" s="17"/>
      <c r="M35" s="17"/>
      <c r="N35" s="17"/>
    </row>
  </sheetData>
  <mergeCells count="3">
    <mergeCell ref="A1:C1"/>
    <mergeCell ref="K1:N1"/>
    <mergeCell ref="A2:N2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18" orientation="portrait" horizontalDpi="1200" verticalDpi="120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2"/>
  <sheetViews>
    <sheetView zoomScale="25" zoomScaleNormal="25" workbookViewId="0">
      <selection activeCell="W6" sqref="W6"/>
    </sheetView>
  </sheetViews>
  <sheetFormatPr defaultColWidth="8.88671875" defaultRowHeight="14.4" x14ac:dyDescent="0.3"/>
  <cols>
    <col min="1" max="1" width="41.77734375" style="17" customWidth="1"/>
    <col min="2" max="2" width="19.6640625" style="17" customWidth="1"/>
    <col min="3" max="3" width="29.21875" style="17" customWidth="1"/>
    <col min="4" max="4" width="28.6640625" style="20" customWidth="1"/>
    <col min="5" max="5" width="162.109375" style="35" customWidth="1"/>
    <col min="6" max="6" width="32.109375" style="17" bestFit="1" customWidth="1"/>
    <col min="7" max="7" width="21.88671875" style="17" bestFit="1" customWidth="1"/>
    <col min="8" max="8" width="26.6640625" style="17" bestFit="1" customWidth="1"/>
    <col min="9" max="9" width="40.109375" style="17" bestFit="1" customWidth="1"/>
    <col min="10" max="10" width="37.88671875" style="17" customWidth="1"/>
    <col min="11" max="11" width="25.6640625" style="17" customWidth="1"/>
    <col min="12" max="13" width="26.77734375" style="17" bestFit="1" customWidth="1"/>
    <col min="14" max="14" width="31.6640625" style="17" bestFit="1" customWidth="1"/>
    <col min="15" max="16384" width="8.88671875" style="18"/>
  </cols>
  <sheetData>
    <row r="1" spans="1:14" s="3" customFormat="1" ht="100.05" customHeight="1" x14ac:dyDescent="0.95">
      <c r="A1" s="37"/>
      <c r="B1" s="37"/>
      <c r="C1" s="37"/>
      <c r="D1" s="19"/>
      <c r="E1" s="34"/>
      <c r="F1" s="1"/>
      <c r="G1" s="1"/>
      <c r="H1" s="1"/>
      <c r="I1" s="1"/>
      <c r="J1" s="2" t="s">
        <v>0</v>
      </c>
      <c r="K1" s="38">
        <v>45966</v>
      </c>
      <c r="L1" s="38"/>
      <c r="M1" s="38"/>
      <c r="N1" s="38"/>
    </row>
    <row r="2" spans="1:14" s="4" customFormat="1" ht="100.05" customHeight="1" x14ac:dyDescent="0.3">
      <c r="A2" s="39" t="s">
        <v>69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</row>
    <row r="3" spans="1:14" s="4" customFormat="1" ht="150" customHeight="1" x14ac:dyDescent="0.3">
      <c r="A3" s="5" t="s">
        <v>1</v>
      </c>
      <c r="B3" s="5" t="s">
        <v>2</v>
      </c>
      <c r="C3" s="6" t="s">
        <v>3</v>
      </c>
      <c r="D3" s="7" t="s">
        <v>4</v>
      </c>
      <c r="E3" s="32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6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s="28" customFormat="1" ht="150" customHeight="1" x14ac:dyDescent="0.3">
      <c r="A4" s="5">
        <v>250080</v>
      </c>
      <c r="B4" s="5">
        <v>304</v>
      </c>
      <c r="C4" s="7">
        <v>0.7</v>
      </c>
      <c r="D4" s="5">
        <v>307</v>
      </c>
      <c r="E4" s="32" t="s">
        <v>93</v>
      </c>
      <c r="F4" s="5" t="s">
        <v>80</v>
      </c>
      <c r="G4" s="5">
        <v>430</v>
      </c>
      <c r="H4" s="7">
        <v>0.6</v>
      </c>
      <c r="I4" s="5" t="s">
        <v>16</v>
      </c>
      <c r="J4" s="5" t="s">
        <v>16</v>
      </c>
      <c r="K4" s="5" t="s">
        <v>17</v>
      </c>
      <c r="L4" s="9">
        <v>1000</v>
      </c>
      <c r="M4" s="27">
        <v>1000</v>
      </c>
      <c r="N4" s="26">
        <f t="shared" ref="N4:N17" si="0">L4-M4</f>
        <v>0</v>
      </c>
    </row>
    <row r="5" spans="1:14" s="28" customFormat="1" ht="150" customHeight="1" x14ac:dyDescent="0.3">
      <c r="A5" s="5">
        <v>250079</v>
      </c>
      <c r="B5" s="5">
        <v>304</v>
      </c>
      <c r="C5" s="7">
        <v>0.7</v>
      </c>
      <c r="D5" s="5">
        <v>307</v>
      </c>
      <c r="E5" s="32" t="s">
        <v>94</v>
      </c>
      <c r="F5" s="5" t="s">
        <v>80</v>
      </c>
      <c r="G5" s="5">
        <v>304</v>
      </c>
      <c r="H5" s="7">
        <v>0.6</v>
      </c>
      <c r="I5" s="5" t="s">
        <v>16</v>
      </c>
      <c r="J5" s="5" t="s">
        <v>16</v>
      </c>
      <c r="K5" s="5" t="s">
        <v>17</v>
      </c>
      <c r="L5" s="9">
        <v>1314</v>
      </c>
      <c r="M5" s="27">
        <v>1414</v>
      </c>
      <c r="N5" s="26">
        <f t="shared" si="0"/>
        <v>-100</v>
      </c>
    </row>
    <row r="6" spans="1:14" s="28" customFormat="1" ht="150" customHeight="1" x14ac:dyDescent="0.3">
      <c r="A6" s="5">
        <v>250079</v>
      </c>
      <c r="B6" s="5">
        <v>304</v>
      </c>
      <c r="C6" s="7">
        <v>1</v>
      </c>
      <c r="D6" s="5">
        <v>307</v>
      </c>
      <c r="E6" s="32" t="s">
        <v>95</v>
      </c>
      <c r="F6" s="5" t="s">
        <v>80</v>
      </c>
      <c r="G6" s="5">
        <v>304</v>
      </c>
      <c r="H6" s="7">
        <v>0.6</v>
      </c>
      <c r="I6" s="5" t="s">
        <v>16</v>
      </c>
      <c r="J6" s="5" t="s">
        <v>16</v>
      </c>
      <c r="K6" s="5" t="s">
        <v>17</v>
      </c>
      <c r="L6" s="9">
        <v>36</v>
      </c>
      <c r="M6" s="27">
        <v>36</v>
      </c>
      <c r="N6" s="26">
        <f t="shared" si="0"/>
        <v>0</v>
      </c>
    </row>
    <row r="7" spans="1:14" s="28" customFormat="1" ht="150" customHeight="1" x14ac:dyDescent="0.3">
      <c r="A7" s="5">
        <v>250080</v>
      </c>
      <c r="B7" s="5">
        <v>304</v>
      </c>
      <c r="C7" s="7">
        <v>0.7</v>
      </c>
      <c r="D7" s="5">
        <v>265</v>
      </c>
      <c r="E7" s="32" t="s">
        <v>96</v>
      </c>
      <c r="F7" s="5" t="s">
        <v>80</v>
      </c>
      <c r="G7" s="5">
        <v>430</v>
      </c>
      <c r="H7" s="7">
        <v>0.6</v>
      </c>
      <c r="I7" s="5" t="s">
        <v>16</v>
      </c>
      <c r="J7" s="5" t="s">
        <v>16</v>
      </c>
      <c r="K7" s="5" t="s">
        <v>17</v>
      </c>
      <c r="L7" s="9">
        <v>1200</v>
      </c>
      <c r="M7" s="27"/>
      <c r="N7" s="26">
        <f t="shared" si="0"/>
        <v>1200</v>
      </c>
    </row>
    <row r="8" spans="1:14" s="28" customFormat="1" ht="150" customHeight="1" x14ac:dyDescent="0.3">
      <c r="A8" s="5">
        <v>250079</v>
      </c>
      <c r="B8" s="5">
        <v>304</v>
      </c>
      <c r="C8" s="7">
        <v>0.7</v>
      </c>
      <c r="D8" s="5">
        <v>307</v>
      </c>
      <c r="E8" s="32" t="s">
        <v>97</v>
      </c>
      <c r="F8" s="5" t="s">
        <v>80</v>
      </c>
      <c r="G8" s="5">
        <v>304</v>
      </c>
      <c r="H8" s="7">
        <v>0.6</v>
      </c>
      <c r="I8" s="5" t="s">
        <v>16</v>
      </c>
      <c r="J8" s="5" t="s">
        <v>16</v>
      </c>
      <c r="K8" s="5" t="s">
        <v>17</v>
      </c>
      <c r="L8" s="9">
        <v>1314</v>
      </c>
      <c r="M8" s="27"/>
      <c r="N8" s="26">
        <f t="shared" si="0"/>
        <v>1314</v>
      </c>
    </row>
    <row r="9" spans="1:14" s="28" customFormat="1" ht="150" customHeight="1" x14ac:dyDescent="0.3">
      <c r="A9" s="5">
        <v>250079</v>
      </c>
      <c r="B9" s="5">
        <v>304</v>
      </c>
      <c r="C9" s="7">
        <v>1</v>
      </c>
      <c r="D9" s="5">
        <v>307</v>
      </c>
      <c r="E9" s="32" t="s">
        <v>98</v>
      </c>
      <c r="F9" s="5" t="s">
        <v>80</v>
      </c>
      <c r="G9" s="5">
        <v>304</v>
      </c>
      <c r="H9" s="7">
        <v>0.6</v>
      </c>
      <c r="I9" s="5" t="s">
        <v>16</v>
      </c>
      <c r="J9" s="5" t="s">
        <v>16</v>
      </c>
      <c r="K9" s="5" t="s">
        <v>17</v>
      </c>
      <c r="L9" s="9">
        <v>36</v>
      </c>
      <c r="M9" s="27"/>
      <c r="N9" s="26">
        <f t="shared" si="0"/>
        <v>36</v>
      </c>
    </row>
    <row r="10" spans="1:14" s="28" customFormat="1" ht="150" customHeight="1" x14ac:dyDescent="0.3">
      <c r="A10" s="5">
        <v>241025</v>
      </c>
      <c r="B10" s="5">
        <v>304</v>
      </c>
      <c r="C10" s="7">
        <v>0.8</v>
      </c>
      <c r="D10" s="5">
        <v>276</v>
      </c>
      <c r="E10" s="32" t="s">
        <v>99</v>
      </c>
      <c r="F10" s="5" t="s">
        <v>15</v>
      </c>
      <c r="G10" s="5">
        <v>430</v>
      </c>
      <c r="H10" s="7">
        <v>0.5</v>
      </c>
      <c r="I10" s="5" t="s">
        <v>16</v>
      </c>
      <c r="J10" s="5" t="s">
        <v>16</v>
      </c>
      <c r="K10" s="5" t="s">
        <v>17</v>
      </c>
      <c r="L10" s="9">
        <v>2000</v>
      </c>
      <c r="M10" s="27"/>
      <c r="N10" s="26">
        <f t="shared" si="0"/>
        <v>2000</v>
      </c>
    </row>
    <row r="11" spans="1:14" s="28" customFormat="1" ht="150" customHeight="1" x14ac:dyDescent="0.3">
      <c r="A11" s="5">
        <v>241025</v>
      </c>
      <c r="B11" s="5">
        <v>304</v>
      </c>
      <c r="C11" s="7">
        <v>0.8</v>
      </c>
      <c r="D11" s="5">
        <v>234</v>
      </c>
      <c r="E11" s="32" t="s">
        <v>100</v>
      </c>
      <c r="F11" s="5" t="s">
        <v>101</v>
      </c>
      <c r="G11" s="5" t="s">
        <v>16</v>
      </c>
      <c r="H11" s="7" t="s">
        <v>16</v>
      </c>
      <c r="I11" s="5" t="s">
        <v>16</v>
      </c>
      <c r="J11" s="5" t="s">
        <v>16</v>
      </c>
      <c r="K11" s="5" t="s">
        <v>17</v>
      </c>
      <c r="L11" s="9">
        <v>2000</v>
      </c>
      <c r="M11" s="27"/>
      <c r="N11" s="26">
        <f t="shared" si="0"/>
        <v>2000</v>
      </c>
    </row>
    <row r="12" spans="1:14" s="28" customFormat="1" ht="150" customHeight="1" x14ac:dyDescent="0.3">
      <c r="A12" s="5">
        <v>311025</v>
      </c>
      <c r="B12" s="5">
        <v>304</v>
      </c>
      <c r="C12" s="7">
        <v>0.9</v>
      </c>
      <c r="D12" s="5">
        <v>327</v>
      </c>
      <c r="E12" s="32" t="s">
        <v>102</v>
      </c>
      <c r="F12" s="5" t="s">
        <v>15</v>
      </c>
      <c r="G12" s="5">
        <v>430</v>
      </c>
      <c r="H12" s="7">
        <v>0.5</v>
      </c>
      <c r="I12" s="5" t="s">
        <v>16</v>
      </c>
      <c r="J12" s="5" t="s">
        <v>16</v>
      </c>
      <c r="K12" s="5" t="s">
        <v>17</v>
      </c>
      <c r="L12" s="9">
        <v>3200</v>
      </c>
      <c r="M12" s="27"/>
      <c r="N12" s="26">
        <f t="shared" si="0"/>
        <v>3200</v>
      </c>
    </row>
    <row r="13" spans="1:14" s="28" customFormat="1" ht="150" customHeight="1" x14ac:dyDescent="0.3">
      <c r="A13" s="5">
        <v>311025</v>
      </c>
      <c r="B13" s="5">
        <v>304</v>
      </c>
      <c r="C13" s="7">
        <v>0.9</v>
      </c>
      <c r="D13" s="5">
        <v>252</v>
      </c>
      <c r="E13" s="32" t="s">
        <v>104</v>
      </c>
      <c r="F13" s="5" t="s">
        <v>101</v>
      </c>
      <c r="G13" s="5" t="s">
        <v>16</v>
      </c>
      <c r="H13" s="7" t="s">
        <v>16</v>
      </c>
      <c r="I13" s="5" t="s">
        <v>16</v>
      </c>
      <c r="J13" s="5" t="s">
        <v>16</v>
      </c>
      <c r="K13" s="5" t="s">
        <v>17</v>
      </c>
      <c r="L13" s="9">
        <v>3200</v>
      </c>
      <c r="M13" s="27"/>
      <c r="N13" s="26">
        <f t="shared" si="0"/>
        <v>3200</v>
      </c>
    </row>
    <row r="14" spans="1:14" s="28" customFormat="1" ht="150" customHeight="1" x14ac:dyDescent="0.3">
      <c r="A14" s="5">
        <v>311025</v>
      </c>
      <c r="B14" s="5">
        <v>304</v>
      </c>
      <c r="C14" s="7">
        <v>0.9</v>
      </c>
      <c r="D14" s="5">
        <v>369</v>
      </c>
      <c r="E14" s="32" t="s">
        <v>103</v>
      </c>
      <c r="F14" s="5" t="s">
        <v>15</v>
      </c>
      <c r="G14" s="5">
        <v>430</v>
      </c>
      <c r="H14" s="7">
        <v>0.5</v>
      </c>
      <c r="I14" s="5" t="s">
        <v>16</v>
      </c>
      <c r="J14" s="5" t="s">
        <v>16</v>
      </c>
      <c r="K14" s="5" t="s">
        <v>17</v>
      </c>
      <c r="L14" s="9">
        <v>500</v>
      </c>
      <c r="M14" s="27"/>
      <c r="N14" s="26">
        <f t="shared" si="0"/>
        <v>500</v>
      </c>
    </row>
    <row r="15" spans="1:14" s="28" customFormat="1" ht="150" customHeight="1" x14ac:dyDescent="0.3">
      <c r="A15" s="5">
        <v>311025</v>
      </c>
      <c r="B15" s="5">
        <v>304</v>
      </c>
      <c r="C15" s="7">
        <v>0.9</v>
      </c>
      <c r="D15" s="5">
        <v>290</v>
      </c>
      <c r="E15" s="32" t="s">
        <v>105</v>
      </c>
      <c r="F15" s="5" t="s">
        <v>101</v>
      </c>
      <c r="G15" s="5" t="s">
        <v>16</v>
      </c>
      <c r="H15" s="7" t="s">
        <v>16</v>
      </c>
      <c r="I15" s="5" t="s">
        <v>16</v>
      </c>
      <c r="J15" s="5" t="s">
        <v>16</v>
      </c>
      <c r="K15" s="5" t="s">
        <v>17</v>
      </c>
      <c r="L15" s="9">
        <v>500</v>
      </c>
      <c r="M15" s="27"/>
      <c r="N15" s="26">
        <f t="shared" si="0"/>
        <v>500</v>
      </c>
    </row>
    <row r="16" spans="1:14" s="28" customFormat="1" ht="150" customHeight="1" x14ac:dyDescent="0.3">
      <c r="A16" s="5">
        <v>250059</v>
      </c>
      <c r="B16" s="5">
        <v>304</v>
      </c>
      <c r="C16" s="7">
        <v>0.9</v>
      </c>
      <c r="D16" s="5">
        <v>290</v>
      </c>
      <c r="E16" s="32" t="s">
        <v>106</v>
      </c>
      <c r="F16" s="5" t="s">
        <v>15</v>
      </c>
      <c r="G16" s="5">
        <v>304</v>
      </c>
      <c r="H16" s="7">
        <v>0.6</v>
      </c>
      <c r="I16" s="5" t="s">
        <v>16</v>
      </c>
      <c r="J16" s="5" t="s">
        <v>16</v>
      </c>
      <c r="K16" s="5" t="s">
        <v>17</v>
      </c>
      <c r="L16" s="9">
        <v>680</v>
      </c>
      <c r="M16" s="27"/>
      <c r="N16" s="26">
        <f t="shared" si="0"/>
        <v>680</v>
      </c>
    </row>
    <row r="17" spans="1:14" s="11" customFormat="1" ht="150" customHeight="1" x14ac:dyDescent="0.3">
      <c r="A17" s="22"/>
      <c r="B17" s="22"/>
      <c r="C17" s="23"/>
      <c r="D17" s="29"/>
      <c r="E17" s="31"/>
      <c r="F17" s="22"/>
      <c r="G17" s="22"/>
      <c r="H17" s="23"/>
      <c r="I17" s="22"/>
      <c r="J17" s="22"/>
      <c r="K17" s="22"/>
      <c r="L17" s="26"/>
      <c r="M17" s="27"/>
      <c r="N17" s="26">
        <f t="shared" si="0"/>
        <v>0</v>
      </c>
    </row>
    <row r="18" spans="1:14" s="11" customFormat="1" ht="150" customHeight="1" x14ac:dyDescent="0.3">
      <c r="A18" s="13"/>
      <c r="B18" s="13"/>
      <c r="C18" s="14"/>
      <c r="D18" s="14"/>
      <c r="E18" s="33"/>
      <c r="F18" s="13"/>
      <c r="G18" s="13"/>
      <c r="H18" s="14"/>
      <c r="I18" s="13"/>
      <c r="J18" s="13"/>
      <c r="K18" s="13"/>
      <c r="L18" s="9">
        <f>SUM(L4:L17)</f>
        <v>16980</v>
      </c>
      <c r="M18" s="16">
        <f>SUM(M4:M17)</f>
        <v>2450</v>
      </c>
      <c r="N18" s="9">
        <f>SUM(N4:N17)</f>
        <v>14530</v>
      </c>
    </row>
    <row r="19" spans="1:14" s="12" customFormat="1" ht="100.05" customHeight="1" x14ac:dyDescent="0.3">
      <c r="A19" s="17"/>
      <c r="B19" s="17"/>
      <c r="C19" s="17"/>
      <c r="D19" s="20"/>
      <c r="E19" s="35"/>
      <c r="F19" s="17"/>
      <c r="G19" s="17"/>
      <c r="H19" s="17"/>
      <c r="I19" s="17"/>
      <c r="J19" s="17"/>
      <c r="K19" s="17"/>
      <c r="L19" s="17"/>
      <c r="M19" s="17"/>
      <c r="N19" s="17"/>
    </row>
    <row r="20" spans="1:14" ht="100.05" customHeight="1" x14ac:dyDescent="0.3"/>
    <row r="21" spans="1:14" s="4" customFormat="1" ht="100.05" customHeight="1" x14ac:dyDescent="0.3">
      <c r="A21" s="17"/>
      <c r="B21" s="17"/>
      <c r="C21" s="17"/>
      <c r="D21" s="20"/>
      <c r="E21" s="35"/>
      <c r="F21" s="17"/>
      <c r="G21" s="17"/>
      <c r="H21" s="17"/>
      <c r="I21" s="17"/>
      <c r="J21" s="17"/>
      <c r="K21" s="17"/>
      <c r="L21" s="17"/>
      <c r="M21" s="17"/>
      <c r="N21" s="17"/>
    </row>
    <row r="22" spans="1:14" s="4" customFormat="1" ht="100.05" customHeight="1" x14ac:dyDescent="0.3">
      <c r="A22" s="17"/>
      <c r="B22" s="17"/>
      <c r="C22" s="17"/>
      <c r="D22" s="20"/>
      <c r="E22" s="35"/>
      <c r="F22" s="17"/>
      <c r="G22" s="17"/>
      <c r="H22" s="17"/>
      <c r="I22" s="17"/>
      <c r="J22" s="17"/>
      <c r="K22" s="17"/>
      <c r="L22" s="17"/>
      <c r="M22" s="17"/>
      <c r="N22" s="17"/>
    </row>
    <row r="23" spans="1:14" s="11" customFormat="1" ht="100.05" customHeight="1" x14ac:dyDescent="0.3">
      <c r="A23" s="17"/>
      <c r="B23" s="17"/>
      <c r="C23" s="17"/>
      <c r="D23" s="20"/>
      <c r="E23" s="35"/>
      <c r="F23" s="17"/>
      <c r="G23" s="17"/>
      <c r="H23" s="17"/>
      <c r="I23" s="17"/>
      <c r="J23" s="17"/>
      <c r="K23" s="17"/>
      <c r="L23" s="17"/>
      <c r="M23" s="17"/>
      <c r="N23" s="17"/>
    </row>
    <row r="24" spans="1:14" s="11" customFormat="1" ht="100.05" customHeight="1" x14ac:dyDescent="0.3">
      <c r="A24" s="17"/>
      <c r="B24" s="17"/>
      <c r="C24" s="17"/>
      <c r="D24" s="20"/>
      <c r="E24" s="35"/>
      <c r="F24" s="17"/>
      <c r="G24" s="17"/>
      <c r="H24" s="17"/>
      <c r="I24" s="17"/>
      <c r="J24" s="17"/>
      <c r="K24" s="17"/>
      <c r="L24" s="17"/>
      <c r="M24" s="17"/>
      <c r="N24" s="17"/>
    </row>
    <row r="25" spans="1:14" s="11" customFormat="1" ht="100.05" customHeight="1" x14ac:dyDescent="0.3">
      <c r="A25" s="17"/>
      <c r="B25" s="17"/>
      <c r="C25" s="17"/>
      <c r="D25" s="20"/>
      <c r="E25" s="35"/>
      <c r="F25" s="17"/>
      <c r="G25" s="17"/>
      <c r="H25" s="17"/>
      <c r="I25" s="17"/>
      <c r="J25" s="17"/>
      <c r="K25" s="17"/>
      <c r="L25" s="17"/>
      <c r="M25" s="17"/>
      <c r="N25" s="17"/>
    </row>
    <row r="26" spans="1:14" s="11" customFormat="1" ht="100.05" customHeight="1" x14ac:dyDescent="0.3">
      <c r="A26" s="17"/>
      <c r="B26" s="17"/>
      <c r="C26" s="17"/>
      <c r="D26" s="20"/>
      <c r="E26" s="35"/>
      <c r="F26" s="17"/>
      <c r="G26" s="17"/>
      <c r="H26" s="17"/>
      <c r="I26" s="17"/>
      <c r="J26" s="17"/>
      <c r="K26" s="17"/>
      <c r="L26" s="17"/>
      <c r="M26" s="17"/>
      <c r="N26" s="17"/>
    </row>
    <row r="27" spans="1:14" s="11" customFormat="1" ht="100.05" customHeight="1" x14ac:dyDescent="0.3">
      <c r="A27" s="17"/>
      <c r="B27" s="17"/>
      <c r="C27" s="17"/>
      <c r="D27" s="20"/>
      <c r="E27" s="35"/>
      <c r="F27" s="17"/>
      <c r="G27" s="17"/>
      <c r="H27" s="17"/>
      <c r="I27" s="17"/>
      <c r="J27" s="17"/>
      <c r="K27" s="17"/>
      <c r="L27" s="17"/>
      <c r="M27" s="17"/>
      <c r="N27" s="17"/>
    </row>
    <row r="28" spans="1:14" s="11" customFormat="1" ht="100.05" customHeight="1" x14ac:dyDescent="0.3">
      <c r="A28" s="17"/>
      <c r="B28" s="17"/>
      <c r="C28" s="17"/>
      <c r="D28" s="20"/>
      <c r="E28" s="35"/>
      <c r="F28" s="17"/>
      <c r="G28" s="17"/>
      <c r="H28" s="17"/>
      <c r="I28" s="17"/>
      <c r="J28" s="17"/>
      <c r="K28" s="17"/>
      <c r="L28" s="17"/>
      <c r="M28" s="17"/>
      <c r="N28" s="17"/>
    </row>
    <row r="29" spans="1:14" s="11" customFormat="1" ht="100.05" customHeight="1" x14ac:dyDescent="0.3">
      <c r="A29" s="17"/>
      <c r="B29" s="17"/>
      <c r="C29" s="17"/>
      <c r="D29" s="20"/>
      <c r="E29" s="35"/>
      <c r="F29" s="17"/>
      <c r="G29" s="17"/>
      <c r="H29" s="17"/>
      <c r="I29" s="17"/>
      <c r="J29" s="17"/>
      <c r="K29" s="17"/>
      <c r="L29" s="17"/>
      <c r="M29" s="17"/>
      <c r="N29" s="17"/>
    </row>
    <row r="30" spans="1:14" s="11" customFormat="1" ht="100.05" customHeight="1" x14ac:dyDescent="0.3">
      <c r="A30" s="17"/>
      <c r="B30" s="17"/>
      <c r="C30" s="17"/>
      <c r="D30" s="20"/>
      <c r="E30" s="35"/>
      <c r="F30" s="17"/>
      <c r="G30" s="17"/>
      <c r="H30" s="17"/>
      <c r="I30" s="17"/>
      <c r="J30" s="17"/>
      <c r="K30" s="17"/>
      <c r="L30" s="17"/>
      <c r="M30" s="17"/>
      <c r="N30" s="17"/>
    </row>
    <row r="31" spans="1:14" s="11" customFormat="1" ht="100.05" customHeight="1" x14ac:dyDescent="0.3">
      <c r="A31" s="17"/>
      <c r="B31" s="17"/>
      <c r="C31" s="17"/>
      <c r="D31" s="20"/>
      <c r="E31" s="35"/>
      <c r="F31" s="17"/>
      <c r="G31" s="17"/>
      <c r="H31" s="17"/>
      <c r="I31" s="17"/>
      <c r="J31" s="17"/>
      <c r="K31" s="17"/>
      <c r="L31" s="17"/>
      <c r="M31" s="17"/>
      <c r="N31" s="17"/>
    </row>
    <row r="32" spans="1:14" s="11" customFormat="1" ht="100.05" customHeight="1" x14ac:dyDescent="0.3">
      <c r="A32" s="17"/>
      <c r="B32" s="17"/>
      <c r="C32" s="17"/>
      <c r="D32" s="20"/>
      <c r="E32" s="35"/>
      <c r="F32" s="17"/>
      <c r="G32" s="17"/>
      <c r="H32" s="17"/>
      <c r="I32" s="17"/>
      <c r="J32" s="17"/>
      <c r="K32" s="17"/>
      <c r="L32" s="17"/>
      <c r="M32" s="17"/>
      <c r="N32" s="17"/>
    </row>
  </sheetData>
  <mergeCells count="3">
    <mergeCell ref="A1:C1"/>
    <mergeCell ref="K1:N1"/>
    <mergeCell ref="A2:N2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18" orientation="portrait" horizontalDpi="1200" verticalDpi="120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9"/>
  <sheetViews>
    <sheetView tabSelected="1" zoomScale="25" zoomScaleNormal="25" workbookViewId="0">
      <selection activeCell="AC9" sqref="AC9"/>
    </sheetView>
  </sheetViews>
  <sheetFormatPr defaultColWidth="8.88671875" defaultRowHeight="14.4" x14ac:dyDescent="0.3"/>
  <cols>
    <col min="1" max="1" width="41.77734375" style="17" customWidth="1"/>
    <col min="2" max="2" width="19.6640625" style="17" customWidth="1"/>
    <col min="3" max="3" width="29.21875" style="17" customWidth="1"/>
    <col min="4" max="4" width="28.6640625" style="20" customWidth="1"/>
    <col min="5" max="5" width="162.109375" style="35" customWidth="1"/>
    <col min="6" max="6" width="32.109375" style="17" bestFit="1" customWidth="1"/>
    <col min="7" max="7" width="21.88671875" style="17" bestFit="1" customWidth="1"/>
    <col min="8" max="8" width="26.6640625" style="17" bestFit="1" customWidth="1"/>
    <col min="9" max="9" width="40.109375" style="17" bestFit="1" customWidth="1"/>
    <col min="10" max="10" width="37.88671875" style="17" customWidth="1"/>
    <col min="11" max="11" width="25.6640625" style="17" customWidth="1"/>
    <col min="12" max="13" width="26.77734375" style="17" bestFit="1" customWidth="1"/>
    <col min="14" max="14" width="31.6640625" style="17" bestFit="1" customWidth="1"/>
    <col min="15" max="16384" width="8.88671875" style="18"/>
  </cols>
  <sheetData>
    <row r="1" spans="1:14" s="3" customFormat="1" ht="100.05" customHeight="1" x14ac:dyDescent="0.95">
      <c r="A1" s="37"/>
      <c r="B1" s="37"/>
      <c r="C1" s="37"/>
      <c r="D1" s="19"/>
      <c r="E1" s="34"/>
      <c r="F1" s="1"/>
      <c r="G1" s="1"/>
      <c r="H1" s="1"/>
      <c r="I1" s="1"/>
      <c r="J1" s="2" t="s">
        <v>0</v>
      </c>
      <c r="K1" s="38">
        <v>45967</v>
      </c>
      <c r="L1" s="38"/>
      <c r="M1" s="38"/>
      <c r="N1" s="38"/>
    </row>
    <row r="2" spans="1:14" s="4" customFormat="1" ht="100.05" customHeight="1" x14ac:dyDescent="0.3">
      <c r="A2" s="39" t="s">
        <v>69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</row>
    <row r="3" spans="1:14" s="4" customFormat="1" ht="150" customHeight="1" x14ac:dyDescent="0.3">
      <c r="A3" s="5" t="s">
        <v>1</v>
      </c>
      <c r="B3" s="5" t="s">
        <v>2</v>
      </c>
      <c r="C3" s="6" t="s">
        <v>3</v>
      </c>
      <c r="D3" s="7" t="s">
        <v>4</v>
      </c>
      <c r="E3" s="32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6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s="28" customFormat="1" ht="150" customHeight="1" x14ac:dyDescent="0.3">
      <c r="A4" s="5">
        <v>250080</v>
      </c>
      <c r="B4" s="5">
        <v>304</v>
      </c>
      <c r="C4" s="7">
        <v>0.7</v>
      </c>
      <c r="D4" s="5">
        <v>265</v>
      </c>
      <c r="E4" s="32" t="s">
        <v>96</v>
      </c>
      <c r="F4" s="5" t="s">
        <v>80</v>
      </c>
      <c r="G4" s="5">
        <v>430</v>
      </c>
      <c r="H4" s="7">
        <v>0.6</v>
      </c>
      <c r="I4" s="5" t="s">
        <v>16</v>
      </c>
      <c r="J4" s="5" t="s">
        <v>16</v>
      </c>
      <c r="K4" s="5" t="s">
        <v>17</v>
      </c>
      <c r="L4" s="9">
        <v>1200</v>
      </c>
      <c r="M4" s="27"/>
      <c r="N4" s="26">
        <f t="shared" ref="N4:N14" si="0">L4-M4</f>
        <v>1200</v>
      </c>
    </row>
    <row r="5" spans="1:14" s="28" customFormat="1" ht="150" customHeight="1" x14ac:dyDescent="0.3">
      <c r="A5" s="5">
        <v>250079</v>
      </c>
      <c r="B5" s="5">
        <v>304</v>
      </c>
      <c r="C5" s="7">
        <v>0.7</v>
      </c>
      <c r="D5" s="5">
        <v>307</v>
      </c>
      <c r="E5" s="32" t="s">
        <v>97</v>
      </c>
      <c r="F5" s="5" t="s">
        <v>80</v>
      </c>
      <c r="G5" s="5">
        <v>304</v>
      </c>
      <c r="H5" s="7">
        <v>0.6</v>
      </c>
      <c r="I5" s="5" t="s">
        <v>16</v>
      </c>
      <c r="J5" s="5" t="s">
        <v>16</v>
      </c>
      <c r="K5" s="5" t="s">
        <v>17</v>
      </c>
      <c r="L5" s="9">
        <v>1314</v>
      </c>
      <c r="M5" s="27"/>
      <c r="N5" s="26">
        <f t="shared" si="0"/>
        <v>1314</v>
      </c>
    </row>
    <row r="6" spans="1:14" s="28" customFormat="1" ht="150" customHeight="1" x14ac:dyDescent="0.3">
      <c r="A6" s="5">
        <v>250079</v>
      </c>
      <c r="B6" s="5">
        <v>304</v>
      </c>
      <c r="C6" s="7">
        <v>1</v>
      </c>
      <c r="D6" s="5">
        <v>307</v>
      </c>
      <c r="E6" s="32" t="s">
        <v>98</v>
      </c>
      <c r="F6" s="5" t="s">
        <v>80</v>
      </c>
      <c r="G6" s="5">
        <v>304</v>
      </c>
      <c r="H6" s="7">
        <v>0.6</v>
      </c>
      <c r="I6" s="5" t="s">
        <v>16</v>
      </c>
      <c r="J6" s="5" t="s">
        <v>16</v>
      </c>
      <c r="K6" s="5" t="s">
        <v>17</v>
      </c>
      <c r="L6" s="9">
        <v>36</v>
      </c>
      <c r="M6" s="27"/>
      <c r="N6" s="26">
        <f t="shared" si="0"/>
        <v>36</v>
      </c>
    </row>
    <row r="7" spans="1:14" s="28" customFormat="1" ht="150" customHeight="1" x14ac:dyDescent="0.3">
      <c r="A7" s="5">
        <v>241025</v>
      </c>
      <c r="B7" s="5">
        <v>304</v>
      </c>
      <c r="C7" s="7">
        <v>0.8</v>
      </c>
      <c r="D7" s="5">
        <v>276</v>
      </c>
      <c r="E7" s="32" t="s">
        <v>99</v>
      </c>
      <c r="F7" s="5" t="s">
        <v>15</v>
      </c>
      <c r="G7" s="5">
        <v>430</v>
      </c>
      <c r="H7" s="7">
        <v>0.5</v>
      </c>
      <c r="I7" s="5" t="s">
        <v>16</v>
      </c>
      <c r="J7" s="5" t="s">
        <v>16</v>
      </c>
      <c r="K7" s="5" t="s">
        <v>17</v>
      </c>
      <c r="L7" s="9">
        <v>2000</v>
      </c>
      <c r="M7" s="27"/>
      <c r="N7" s="26">
        <f t="shared" si="0"/>
        <v>2000</v>
      </c>
    </row>
    <row r="8" spans="1:14" s="28" customFormat="1" ht="150" customHeight="1" x14ac:dyDescent="0.3">
      <c r="A8" s="5">
        <v>241025</v>
      </c>
      <c r="B8" s="5">
        <v>304</v>
      </c>
      <c r="C8" s="7">
        <v>0.8</v>
      </c>
      <c r="D8" s="5">
        <v>234</v>
      </c>
      <c r="E8" s="32" t="s">
        <v>100</v>
      </c>
      <c r="F8" s="5" t="s">
        <v>101</v>
      </c>
      <c r="G8" s="5" t="s">
        <v>16</v>
      </c>
      <c r="H8" s="7" t="s">
        <v>16</v>
      </c>
      <c r="I8" s="5" t="s">
        <v>16</v>
      </c>
      <c r="J8" s="5" t="s">
        <v>16</v>
      </c>
      <c r="K8" s="5" t="s">
        <v>17</v>
      </c>
      <c r="L8" s="9">
        <v>2000</v>
      </c>
      <c r="M8" s="27"/>
      <c r="N8" s="26">
        <f t="shared" si="0"/>
        <v>2000</v>
      </c>
    </row>
    <row r="9" spans="1:14" s="28" customFormat="1" ht="150" customHeight="1" x14ac:dyDescent="0.3">
      <c r="A9" s="5">
        <v>311025</v>
      </c>
      <c r="B9" s="5">
        <v>304</v>
      </c>
      <c r="C9" s="7">
        <v>0.9</v>
      </c>
      <c r="D9" s="5">
        <v>327</v>
      </c>
      <c r="E9" s="32" t="s">
        <v>102</v>
      </c>
      <c r="F9" s="5" t="s">
        <v>15</v>
      </c>
      <c r="G9" s="5">
        <v>430</v>
      </c>
      <c r="H9" s="7">
        <v>0.5</v>
      </c>
      <c r="I9" s="5" t="s">
        <v>16</v>
      </c>
      <c r="J9" s="5" t="s">
        <v>16</v>
      </c>
      <c r="K9" s="5" t="s">
        <v>17</v>
      </c>
      <c r="L9" s="9">
        <v>3200</v>
      </c>
      <c r="M9" s="27"/>
      <c r="N9" s="26">
        <f t="shared" si="0"/>
        <v>3200</v>
      </c>
    </row>
    <row r="10" spans="1:14" s="28" customFormat="1" ht="150" customHeight="1" x14ac:dyDescent="0.3">
      <c r="A10" s="5">
        <v>311025</v>
      </c>
      <c r="B10" s="5">
        <v>304</v>
      </c>
      <c r="C10" s="7">
        <v>0.9</v>
      </c>
      <c r="D10" s="5">
        <v>252</v>
      </c>
      <c r="E10" s="32" t="s">
        <v>104</v>
      </c>
      <c r="F10" s="5" t="s">
        <v>101</v>
      </c>
      <c r="G10" s="5" t="s">
        <v>16</v>
      </c>
      <c r="H10" s="7" t="s">
        <v>16</v>
      </c>
      <c r="I10" s="5" t="s">
        <v>16</v>
      </c>
      <c r="J10" s="5" t="s">
        <v>16</v>
      </c>
      <c r="K10" s="5" t="s">
        <v>17</v>
      </c>
      <c r="L10" s="9">
        <v>3200</v>
      </c>
      <c r="M10" s="27"/>
      <c r="N10" s="26">
        <f t="shared" si="0"/>
        <v>3200</v>
      </c>
    </row>
    <row r="11" spans="1:14" s="28" customFormat="1" ht="150" customHeight="1" x14ac:dyDescent="0.3">
      <c r="A11" s="5">
        <v>311025</v>
      </c>
      <c r="B11" s="5">
        <v>304</v>
      </c>
      <c r="C11" s="7">
        <v>0.9</v>
      </c>
      <c r="D11" s="5">
        <v>369</v>
      </c>
      <c r="E11" s="32" t="s">
        <v>103</v>
      </c>
      <c r="F11" s="5" t="s">
        <v>15</v>
      </c>
      <c r="G11" s="5">
        <v>430</v>
      </c>
      <c r="H11" s="7">
        <v>0.5</v>
      </c>
      <c r="I11" s="5" t="s">
        <v>16</v>
      </c>
      <c r="J11" s="5" t="s">
        <v>16</v>
      </c>
      <c r="K11" s="5" t="s">
        <v>17</v>
      </c>
      <c r="L11" s="9">
        <v>500</v>
      </c>
      <c r="M11" s="27"/>
      <c r="N11" s="26">
        <f t="shared" si="0"/>
        <v>500</v>
      </c>
    </row>
    <row r="12" spans="1:14" s="28" customFormat="1" ht="150" customHeight="1" x14ac:dyDescent="0.3">
      <c r="A12" s="5">
        <v>311025</v>
      </c>
      <c r="B12" s="5">
        <v>304</v>
      </c>
      <c r="C12" s="7">
        <v>0.9</v>
      </c>
      <c r="D12" s="5">
        <v>290</v>
      </c>
      <c r="E12" s="32" t="s">
        <v>105</v>
      </c>
      <c r="F12" s="5" t="s">
        <v>101</v>
      </c>
      <c r="G12" s="5" t="s">
        <v>16</v>
      </c>
      <c r="H12" s="7" t="s">
        <v>16</v>
      </c>
      <c r="I12" s="5" t="s">
        <v>16</v>
      </c>
      <c r="J12" s="5" t="s">
        <v>16</v>
      </c>
      <c r="K12" s="5" t="s">
        <v>17</v>
      </c>
      <c r="L12" s="9">
        <v>500</v>
      </c>
      <c r="M12" s="27"/>
      <c r="N12" s="26">
        <f t="shared" si="0"/>
        <v>500</v>
      </c>
    </row>
    <row r="13" spans="1:14" s="28" customFormat="1" ht="150" customHeight="1" x14ac:dyDescent="0.3">
      <c r="A13" s="5">
        <v>250059</v>
      </c>
      <c r="B13" s="5">
        <v>304</v>
      </c>
      <c r="C13" s="7">
        <v>0.9</v>
      </c>
      <c r="D13" s="5">
        <v>290</v>
      </c>
      <c r="E13" s="32" t="s">
        <v>106</v>
      </c>
      <c r="F13" s="5" t="s">
        <v>15</v>
      </c>
      <c r="G13" s="5">
        <v>304</v>
      </c>
      <c r="H13" s="7">
        <v>0.6</v>
      </c>
      <c r="I13" s="5" t="s">
        <v>16</v>
      </c>
      <c r="J13" s="5" t="s">
        <v>16</v>
      </c>
      <c r="K13" s="5" t="s">
        <v>17</v>
      </c>
      <c r="L13" s="9">
        <v>680</v>
      </c>
      <c r="M13" s="27"/>
      <c r="N13" s="26">
        <f t="shared" si="0"/>
        <v>680</v>
      </c>
    </row>
    <row r="14" spans="1:14" s="11" customFormat="1" ht="150" customHeight="1" x14ac:dyDescent="0.3">
      <c r="A14" s="22"/>
      <c r="B14" s="22"/>
      <c r="C14" s="23"/>
      <c r="D14" s="29"/>
      <c r="E14" s="31"/>
      <c r="F14" s="22"/>
      <c r="G14" s="22"/>
      <c r="H14" s="23"/>
      <c r="I14" s="22"/>
      <c r="J14" s="22"/>
      <c r="K14" s="22"/>
      <c r="L14" s="26"/>
      <c r="M14" s="27"/>
      <c r="N14" s="26">
        <f t="shared" si="0"/>
        <v>0</v>
      </c>
    </row>
    <row r="15" spans="1:14" s="11" customFormat="1" ht="150" customHeight="1" x14ac:dyDescent="0.3">
      <c r="A15" s="13"/>
      <c r="B15" s="13"/>
      <c r="C15" s="14"/>
      <c r="D15" s="14"/>
      <c r="E15" s="33"/>
      <c r="F15" s="13"/>
      <c r="G15" s="13"/>
      <c r="H15" s="14"/>
      <c r="I15" s="13"/>
      <c r="J15" s="13"/>
      <c r="K15" s="13"/>
      <c r="L15" s="9">
        <f>SUM(L4:L14)</f>
        <v>14630</v>
      </c>
      <c r="M15" s="16">
        <f>SUM(M4:M14)</f>
        <v>0</v>
      </c>
      <c r="N15" s="9">
        <f>SUM(N4:N14)</f>
        <v>14630</v>
      </c>
    </row>
    <row r="16" spans="1:14" s="12" customFormat="1" ht="100.05" customHeight="1" x14ac:dyDescent="0.3">
      <c r="A16" s="17"/>
      <c r="B16" s="17"/>
      <c r="C16" s="17"/>
      <c r="D16" s="20"/>
      <c r="E16" s="35"/>
      <c r="F16" s="17"/>
      <c r="G16" s="17"/>
      <c r="H16" s="17"/>
      <c r="I16" s="17"/>
      <c r="J16" s="17"/>
      <c r="K16" s="17"/>
      <c r="L16" s="17"/>
      <c r="M16" s="17"/>
      <c r="N16" s="17"/>
    </row>
    <row r="17" spans="1:14" ht="100.05" customHeight="1" x14ac:dyDescent="0.3"/>
    <row r="18" spans="1:14" s="4" customFormat="1" ht="100.05" customHeight="1" x14ac:dyDescent="0.3">
      <c r="A18" s="17"/>
      <c r="B18" s="17"/>
      <c r="C18" s="17"/>
      <c r="D18" s="20"/>
      <c r="E18" s="35"/>
      <c r="F18" s="17"/>
      <c r="G18" s="17"/>
      <c r="H18" s="17"/>
      <c r="I18" s="17"/>
      <c r="J18" s="17"/>
      <c r="K18" s="17"/>
      <c r="L18" s="17"/>
      <c r="M18" s="17"/>
      <c r="N18" s="17"/>
    </row>
    <row r="19" spans="1:14" s="4" customFormat="1" ht="100.05" customHeight="1" x14ac:dyDescent="0.3">
      <c r="A19" s="17"/>
      <c r="B19" s="17"/>
      <c r="C19" s="17"/>
      <c r="D19" s="20"/>
      <c r="E19" s="35"/>
      <c r="F19" s="17"/>
      <c r="G19" s="17"/>
      <c r="H19" s="17"/>
      <c r="I19" s="17"/>
      <c r="J19" s="17"/>
      <c r="K19" s="17"/>
      <c r="L19" s="17"/>
      <c r="M19" s="17"/>
      <c r="N19" s="17"/>
    </row>
    <row r="20" spans="1:14" s="11" customFormat="1" ht="100.05" customHeight="1" x14ac:dyDescent="0.3">
      <c r="A20" s="17"/>
      <c r="B20" s="17"/>
      <c r="C20" s="17"/>
      <c r="D20" s="20"/>
      <c r="E20" s="35"/>
      <c r="F20" s="17"/>
      <c r="G20" s="17"/>
      <c r="H20" s="17"/>
      <c r="I20" s="17"/>
      <c r="J20" s="17"/>
      <c r="K20" s="17"/>
      <c r="L20" s="17"/>
      <c r="M20" s="17"/>
      <c r="N20" s="17"/>
    </row>
    <row r="21" spans="1:14" s="11" customFormat="1" ht="100.05" customHeight="1" x14ac:dyDescent="0.3">
      <c r="A21" s="17"/>
      <c r="B21" s="17"/>
      <c r="C21" s="17"/>
      <c r="D21" s="20"/>
      <c r="E21" s="35"/>
      <c r="F21" s="17"/>
      <c r="G21" s="17"/>
      <c r="H21" s="17"/>
      <c r="I21" s="17"/>
      <c r="J21" s="17"/>
      <c r="K21" s="17"/>
      <c r="L21" s="17"/>
      <c r="M21" s="17"/>
      <c r="N21" s="17"/>
    </row>
    <row r="22" spans="1:14" s="11" customFormat="1" ht="100.05" customHeight="1" x14ac:dyDescent="0.3">
      <c r="A22" s="17"/>
      <c r="B22" s="17"/>
      <c r="C22" s="17"/>
      <c r="D22" s="20"/>
      <c r="E22" s="35"/>
      <c r="F22" s="17"/>
      <c r="G22" s="17"/>
      <c r="H22" s="17"/>
      <c r="I22" s="17"/>
      <c r="J22" s="17"/>
      <c r="K22" s="17"/>
      <c r="L22" s="17"/>
      <c r="M22" s="17"/>
      <c r="N22" s="17"/>
    </row>
    <row r="23" spans="1:14" s="11" customFormat="1" ht="100.05" customHeight="1" x14ac:dyDescent="0.3">
      <c r="A23" s="17"/>
      <c r="B23" s="17"/>
      <c r="C23" s="17"/>
      <c r="D23" s="20"/>
      <c r="E23" s="35"/>
      <c r="F23" s="17"/>
      <c r="G23" s="17"/>
      <c r="H23" s="17"/>
      <c r="I23" s="17"/>
      <c r="J23" s="17"/>
      <c r="K23" s="17"/>
      <c r="L23" s="17"/>
      <c r="M23" s="17"/>
      <c r="N23" s="17"/>
    </row>
    <row r="24" spans="1:14" s="11" customFormat="1" ht="100.05" customHeight="1" x14ac:dyDescent="0.3">
      <c r="A24" s="17"/>
      <c r="B24" s="17"/>
      <c r="C24" s="17"/>
      <c r="D24" s="20"/>
      <c r="E24" s="35"/>
      <c r="F24" s="17"/>
      <c r="G24" s="17"/>
      <c r="H24" s="17"/>
      <c r="I24" s="17"/>
      <c r="J24" s="17"/>
      <c r="K24" s="17"/>
      <c r="L24" s="17"/>
      <c r="M24" s="17"/>
      <c r="N24" s="17"/>
    </row>
    <row r="25" spans="1:14" s="11" customFormat="1" ht="100.05" customHeight="1" x14ac:dyDescent="0.3">
      <c r="A25" s="17"/>
      <c r="B25" s="17"/>
      <c r="C25" s="17"/>
      <c r="D25" s="20"/>
      <c r="E25" s="35"/>
      <c r="F25" s="17"/>
      <c r="G25" s="17"/>
      <c r="H25" s="17"/>
      <c r="I25" s="17"/>
      <c r="J25" s="17"/>
      <c r="K25" s="17"/>
      <c r="L25" s="17"/>
      <c r="M25" s="17"/>
      <c r="N25" s="17"/>
    </row>
    <row r="26" spans="1:14" s="11" customFormat="1" ht="100.05" customHeight="1" x14ac:dyDescent="0.3">
      <c r="A26" s="17"/>
      <c r="B26" s="17"/>
      <c r="C26" s="17"/>
      <c r="D26" s="20"/>
      <c r="E26" s="35"/>
      <c r="F26" s="17"/>
      <c r="G26" s="17"/>
      <c r="H26" s="17"/>
      <c r="I26" s="17"/>
      <c r="J26" s="17"/>
      <c r="K26" s="17"/>
      <c r="L26" s="17"/>
      <c r="M26" s="17"/>
      <c r="N26" s="17"/>
    </row>
    <row r="27" spans="1:14" s="11" customFormat="1" ht="100.05" customHeight="1" x14ac:dyDescent="0.3">
      <c r="A27" s="17"/>
      <c r="B27" s="17"/>
      <c r="C27" s="17"/>
      <c r="D27" s="20"/>
      <c r="E27" s="35"/>
      <c r="F27" s="17"/>
      <c r="G27" s="17"/>
      <c r="H27" s="17"/>
      <c r="I27" s="17"/>
      <c r="J27" s="17"/>
      <c r="K27" s="17"/>
      <c r="L27" s="17"/>
      <c r="M27" s="17"/>
      <c r="N27" s="17"/>
    </row>
    <row r="28" spans="1:14" s="11" customFormat="1" ht="100.05" customHeight="1" x14ac:dyDescent="0.3">
      <c r="A28" s="17"/>
      <c r="B28" s="17"/>
      <c r="C28" s="17"/>
      <c r="D28" s="20"/>
      <c r="E28" s="35"/>
      <c r="F28" s="17"/>
      <c r="G28" s="17"/>
      <c r="H28" s="17"/>
      <c r="I28" s="17"/>
      <c r="J28" s="17"/>
      <c r="K28" s="17"/>
      <c r="L28" s="17"/>
      <c r="M28" s="17"/>
      <c r="N28" s="17"/>
    </row>
    <row r="29" spans="1:14" s="11" customFormat="1" ht="100.05" customHeight="1" x14ac:dyDescent="0.3">
      <c r="A29" s="17"/>
      <c r="B29" s="17"/>
      <c r="C29" s="17"/>
      <c r="D29" s="20"/>
      <c r="E29" s="35"/>
      <c r="F29" s="17"/>
      <c r="G29" s="17"/>
      <c r="H29" s="17"/>
      <c r="I29" s="17"/>
      <c r="J29" s="17"/>
      <c r="K29" s="17"/>
      <c r="L29" s="17"/>
      <c r="M29" s="17"/>
      <c r="N29" s="17"/>
    </row>
  </sheetData>
  <mergeCells count="3">
    <mergeCell ref="A1:C1"/>
    <mergeCell ref="K1:N1"/>
    <mergeCell ref="A2:N2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18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5</vt:i4>
      </vt:variant>
    </vt:vector>
  </HeadingPairs>
  <TitlesOfParts>
    <vt:vector size="41" baseType="lpstr">
      <vt:lpstr>PRESHANE ANA TASLAK</vt:lpstr>
      <vt:lpstr>38.HAFTA 2025</vt:lpstr>
      <vt:lpstr>38.HAFTA 2025 (2)</vt:lpstr>
      <vt:lpstr>39.HAFTA 2025</vt:lpstr>
      <vt:lpstr>40. HAFTA 2025 29.09</vt:lpstr>
      <vt:lpstr>40. HAFTA 2025 30.09</vt:lpstr>
      <vt:lpstr>40. HAFTA 2025 01.10</vt:lpstr>
      <vt:lpstr>40. HAFTA 2025 02.10</vt:lpstr>
      <vt:lpstr>40. HAFTA 2025 03.10</vt:lpstr>
      <vt:lpstr>40. HAFTA 2025 04.10</vt:lpstr>
      <vt:lpstr>41. HAFTA 2025 06.10</vt:lpstr>
      <vt:lpstr>41. HAFTA 2025 07.10</vt:lpstr>
      <vt:lpstr>41. HAFTA 2025 08.10</vt:lpstr>
      <vt:lpstr>41. HAFTA 2025 09.10</vt:lpstr>
      <vt:lpstr>41. HAFTA 2025 10.10</vt:lpstr>
      <vt:lpstr>41. HAFTA 2025 11.10</vt:lpstr>
      <vt:lpstr>42. HAFTA 2025 13.10</vt:lpstr>
      <vt:lpstr>42. HAFTA 2025 14.10</vt:lpstr>
      <vt:lpstr>42. HAFTA 2025 15.10</vt:lpstr>
      <vt:lpstr>42. HAFTA 2025 16.10</vt:lpstr>
      <vt:lpstr>42. HAFTA 2025 17.10</vt:lpstr>
      <vt:lpstr>42. HAFTA 2025 18.10</vt:lpstr>
      <vt:lpstr>43. HAFTA 2025 20.10</vt:lpstr>
      <vt:lpstr>43. HAFTA 2025 21.10.2025</vt:lpstr>
      <vt:lpstr>43. HAFTA 2025 22.10.2025</vt:lpstr>
      <vt:lpstr>43. HAFTA 2025 23.10.2025</vt:lpstr>
      <vt:lpstr>43. HAFTA 2025 24.10.2025</vt:lpstr>
      <vt:lpstr>43. HAFTA 2025 27.10.2025</vt:lpstr>
      <vt:lpstr>43. HAFTA 2025 28.10.2025</vt:lpstr>
      <vt:lpstr>43. HAFTA 2025 30.10.2025</vt:lpstr>
      <vt:lpstr>43. HAFTA 2025 31.10.2025</vt:lpstr>
      <vt:lpstr>43. HAFTA 2025 01.11.2025</vt:lpstr>
      <vt:lpstr>44. HAFTA 2025 03.11.2025</vt:lpstr>
      <vt:lpstr>44. HAFTA 2025 04.11.2025</vt:lpstr>
      <vt:lpstr>44. HAFTA 2025 05.11.2025</vt:lpstr>
      <vt:lpstr>44. HAFTA 2025 06.11.2025</vt:lpstr>
      <vt:lpstr>'38.HAFTA 2025'!Print_Area</vt:lpstr>
      <vt:lpstr>'38.HAFTA 2025 (2)'!Print_Area</vt:lpstr>
      <vt:lpstr>'39.HAFTA 2025'!Print_Area</vt:lpstr>
      <vt:lpstr>'40. HAFTA 2025 29.09'!Print_Area</vt:lpstr>
      <vt:lpstr>'40. HAFTA 2025 30.09'!Print_Area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2025-11-06T05:12:01Z</dcterms:modified>
</cp:coreProperties>
</file>