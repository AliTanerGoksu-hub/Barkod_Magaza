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192.168.8.5\ortak\İşletme Üretim Ve Planlama\ÜRETİM VE PLANLAMA\GÜNLÜK ÜRETİM RAPOLARI\2025 - Genel Günlük Ürün Üretim Raporu\11 - Kasım 2025\"/>
    </mc:Choice>
  </mc:AlternateContent>
  <bookViews>
    <workbookView xWindow="0" yWindow="0" windowWidth="4368" windowHeight="1248" firstSheet="38" activeTab="45"/>
  </bookViews>
  <sheets>
    <sheet name="ANA TASLAK" sheetId="48" r:id="rId1"/>
    <sheet name="ANA LİSTE (2)" sheetId="26" r:id="rId2"/>
    <sheet name="15.09.2025" sheetId="2" r:id="rId3"/>
    <sheet name="16.09.2025" sheetId="4" r:id="rId4"/>
    <sheet name="17.09.2025" sheetId="6" r:id="rId5"/>
    <sheet name="18.09.2025" sheetId="7" r:id="rId6"/>
    <sheet name="19.09.2025" sheetId="8" r:id="rId7"/>
    <sheet name="20.09.2025" sheetId="9" r:id="rId8"/>
    <sheet name="22.09.2025" sheetId="10" r:id="rId9"/>
    <sheet name="23.09.2025" sheetId="11" r:id="rId10"/>
    <sheet name="24.09.2025" sheetId="12" r:id="rId11"/>
    <sheet name="25.09.2025" sheetId="13" r:id="rId12"/>
    <sheet name="26.09.2025" sheetId="14" r:id="rId13"/>
    <sheet name="27.09.2025" sheetId="15" r:id="rId14"/>
    <sheet name="29.09.2025" sheetId="16" r:id="rId15"/>
    <sheet name="30.09.2025" sheetId="17" r:id="rId16"/>
    <sheet name="01.09.2025" sheetId="20" r:id="rId17"/>
    <sheet name="02.10.2025" sheetId="18" r:id="rId18"/>
    <sheet name="03.10.2025" sheetId="19" r:id="rId19"/>
    <sheet name="04.10.2025" sheetId="21" r:id="rId20"/>
    <sheet name="07.10.2025" sheetId="23" r:id="rId21"/>
    <sheet name="08.10.2025" sheetId="24" r:id="rId22"/>
    <sheet name="9.10.2025" sheetId="25" r:id="rId23"/>
    <sheet name="06.10.2025" sheetId="22" r:id="rId24"/>
    <sheet name="10.10.2025" sheetId="28" r:id="rId25"/>
    <sheet name="11.10.2025" sheetId="29" r:id="rId26"/>
    <sheet name="13.10.2025" sheetId="30" r:id="rId27"/>
    <sheet name="14.10.2025" sheetId="31" r:id="rId28"/>
    <sheet name="15.10.2025" sheetId="32" r:id="rId29"/>
    <sheet name="16.10.2025" sheetId="33" r:id="rId30"/>
    <sheet name="17.10.2025" sheetId="34" r:id="rId31"/>
    <sheet name="18.10.2025" sheetId="35" r:id="rId32"/>
    <sheet name="20.10.2025" sheetId="36" r:id="rId33"/>
    <sheet name="21.10.2025" sheetId="37" r:id="rId34"/>
    <sheet name="22.10.2025" sheetId="38" r:id="rId35"/>
    <sheet name="23.10.2025" sheetId="39" r:id="rId36"/>
    <sheet name="24.10.2025" sheetId="40" r:id="rId37"/>
    <sheet name="25.10.2025" sheetId="41" r:id="rId38"/>
    <sheet name="27.10.2025" sheetId="42" r:id="rId39"/>
    <sheet name="28.10.2025" sheetId="43" r:id="rId40"/>
    <sheet name="30.10.2025" sheetId="44" r:id="rId41"/>
    <sheet name="31.10.2025" sheetId="45" r:id="rId42"/>
    <sheet name="01.11.2025" sheetId="1" r:id="rId43"/>
    <sheet name="03.11.2025" sheetId="49" r:id="rId44"/>
    <sheet name="04.11.2025" sheetId="50" r:id="rId45"/>
    <sheet name="05.11.2025" sheetId="51" r:id="rId4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13" i="51" l="1"/>
  <c r="P113" i="51"/>
  <c r="N113" i="51"/>
  <c r="L113" i="51"/>
  <c r="J113" i="51"/>
  <c r="R108" i="51"/>
  <c r="P108" i="51"/>
  <c r="P116" i="51" s="1"/>
  <c r="N108" i="51"/>
  <c r="N116" i="51" s="1"/>
  <c r="L108" i="51"/>
  <c r="J108" i="51"/>
  <c r="T101" i="51"/>
  <c r="R95" i="51"/>
  <c r="P95" i="51"/>
  <c r="N95" i="51"/>
  <c r="L95" i="51"/>
  <c r="J95" i="51"/>
  <c r="R91" i="51"/>
  <c r="P91" i="51"/>
  <c r="N91" i="51"/>
  <c r="L91" i="51"/>
  <c r="J91" i="51"/>
  <c r="T81" i="51"/>
  <c r="R75" i="51"/>
  <c r="P75" i="51"/>
  <c r="P78" i="51" s="1"/>
  <c r="N75" i="51"/>
  <c r="N78" i="51" s="1"/>
  <c r="L75" i="51"/>
  <c r="L78" i="51" s="1"/>
  <c r="J75" i="51"/>
  <c r="J78" i="51" s="1"/>
  <c r="T62" i="51"/>
  <c r="R56" i="51"/>
  <c r="P56" i="51"/>
  <c r="N56" i="51"/>
  <c r="L56" i="51"/>
  <c r="J56" i="51"/>
  <c r="R51" i="51"/>
  <c r="P51" i="51"/>
  <c r="N51" i="51"/>
  <c r="L51" i="51"/>
  <c r="J51" i="51"/>
  <c r="R48" i="51"/>
  <c r="P48" i="51"/>
  <c r="N48" i="51"/>
  <c r="L48" i="51"/>
  <c r="J48" i="51"/>
  <c r="R40" i="51"/>
  <c r="P40" i="51"/>
  <c r="N40" i="51"/>
  <c r="L40" i="51"/>
  <c r="J40" i="51"/>
  <c r="T33" i="51"/>
  <c r="R27" i="51"/>
  <c r="P27" i="51"/>
  <c r="P30" i="51" s="1"/>
  <c r="N27" i="51"/>
  <c r="N30" i="51" s="1"/>
  <c r="L27" i="51"/>
  <c r="L30" i="51" s="1"/>
  <c r="J27" i="51"/>
  <c r="J30" i="51" s="1"/>
  <c r="J116" i="51" l="1"/>
  <c r="L98" i="51"/>
  <c r="L116" i="51"/>
  <c r="J98" i="51"/>
  <c r="N98" i="51"/>
  <c r="J79" i="51"/>
  <c r="J117" i="51"/>
  <c r="P98" i="51"/>
  <c r="J59" i="51"/>
  <c r="N59" i="51"/>
  <c r="L59" i="51"/>
  <c r="P59" i="51"/>
  <c r="J31" i="51"/>
  <c r="J27" i="50"/>
  <c r="J30" i="50" s="1"/>
  <c r="N27" i="50"/>
  <c r="N30" i="50" s="1"/>
  <c r="P112" i="50"/>
  <c r="R109" i="50"/>
  <c r="P109" i="50"/>
  <c r="N109" i="50"/>
  <c r="N112" i="50" s="1"/>
  <c r="L109" i="50"/>
  <c r="L112" i="50" s="1"/>
  <c r="J109" i="50"/>
  <c r="J112" i="50" s="1"/>
  <c r="J113" i="50" s="1"/>
  <c r="R104" i="50"/>
  <c r="P104" i="50"/>
  <c r="N104" i="50"/>
  <c r="L104" i="50"/>
  <c r="J104" i="50"/>
  <c r="T97" i="50"/>
  <c r="R91" i="50"/>
  <c r="N91" i="50"/>
  <c r="L91" i="50"/>
  <c r="J91" i="50"/>
  <c r="J94" i="50" s="1"/>
  <c r="R87" i="50"/>
  <c r="P87" i="50"/>
  <c r="P91" i="50" s="1"/>
  <c r="P94" i="50" s="1"/>
  <c r="N87" i="50"/>
  <c r="N94" i="50" s="1"/>
  <c r="L87" i="50"/>
  <c r="L94" i="50" s="1"/>
  <c r="J87" i="50"/>
  <c r="T76" i="50"/>
  <c r="P73" i="50"/>
  <c r="R70" i="50"/>
  <c r="P70" i="50"/>
  <c r="N70" i="50"/>
  <c r="N73" i="50" s="1"/>
  <c r="L70" i="50"/>
  <c r="L73" i="50" s="1"/>
  <c r="J70" i="50"/>
  <c r="J73" i="50" s="1"/>
  <c r="T57" i="50"/>
  <c r="R51" i="50"/>
  <c r="P51" i="50"/>
  <c r="N51" i="50"/>
  <c r="L51" i="50"/>
  <c r="J51" i="50"/>
  <c r="R48" i="50"/>
  <c r="P48" i="50"/>
  <c r="N48" i="50"/>
  <c r="L48" i="50"/>
  <c r="J48" i="50"/>
  <c r="R45" i="50"/>
  <c r="P45" i="50"/>
  <c r="N45" i="50"/>
  <c r="L45" i="50"/>
  <c r="J45" i="50"/>
  <c r="R39" i="50"/>
  <c r="P39" i="50"/>
  <c r="P54" i="50" s="1"/>
  <c r="N39" i="50"/>
  <c r="L39" i="50"/>
  <c r="J39" i="50"/>
  <c r="T33" i="50"/>
  <c r="R27" i="50"/>
  <c r="P27" i="50"/>
  <c r="P30" i="50" s="1"/>
  <c r="L27" i="50"/>
  <c r="L30" i="50" s="1"/>
  <c r="J99" i="51" l="1"/>
  <c r="J60" i="51"/>
  <c r="L54" i="50"/>
  <c r="N54" i="50"/>
  <c r="J54" i="50"/>
  <c r="J31" i="50"/>
  <c r="J95" i="50"/>
  <c r="J74" i="50"/>
  <c r="P104" i="49"/>
  <c r="R101" i="49"/>
  <c r="P101" i="49"/>
  <c r="N101" i="49"/>
  <c r="N104" i="49" s="1"/>
  <c r="L101" i="49"/>
  <c r="L104" i="49" s="1"/>
  <c r="J101" i="49"/>
  <c r="J104" i="49" s="1"/>
  <c r="J105" i="49" s="1"/>
  <c r="R96" i="49"/>
  <c r="P96" i="49"/>
  <c r="N96" i="49"/>
  <c r="L96" i="49"/>
  <c r="J96" i="49"/>
  <c r="T89" i="49"/>
  <c r="R83" i="49"/>
  <c r="N83" i="49"/>
  <c r="L83" i="49"/>
  <c r="J83" i="49"/>
  <c r="R79" i="49"/>
  <c r="P79" i="49"/>
  <c r="P83" i="49" s="1"/>
  <c r="P86" i="49" s="1"/>
  <c r="N79" i="49"/>
  <c r="N86" i="49" s="1"/>
  <c r="L79" i="49"/>
  <c r="L86" i="49" s="1"/>
  <c r="J79" i="49"/>
  <c r="T68" i="49"/>
  <c r="P65" i="49"/>
  <c r="R62" i="49"/>
  <c r="P62" i="49"/>
  <c r="N62" i="49"/>
  <c r="N65" i="49" s="1"/>
  <c r="L62" i="49"/>
  <c r="L65" i="49" s="1"/>
  <c r="J62" i="49"/>
  <c r="J65" i="49" s="1"/>
  <c r="T49" i="49"/>
  <c r="R43" i="49"/>
  <c r="P43" i="49"/>
  <c r="N43" i="49"/>
  <c r="L43" i="49"/>
  <c r="J43" i="49"/>
  <c r="R40" i="49"/>
  <c r="P40" i="49"/>
  <c r="N40" i="49"/>
  <c r="L40" i="49"/>
  <c r="J40" i="49"/>
  <c r="R37" i="49"/>
  <c r="P37" i="49"/>
  <c r="N37" i="49"/>
  <c r="L37" i="49"/>
  <c r="J37" i="49"/>
  <c r="R33" i="49"/>
  <c r="P33" i="49"/>
  <c r="P46" i="49" s="1"/>
  <c r="N33" i="49"/>
  <c r="L33" i="49"/>
  <c r="L46" i="49" s="1"/>
  <c r="J33" i="49"/>
  <c r="T27" i="49"/>
  <c r="R21" i="49"/>
  <c r="P21" i="49"/>
  <c r="P24" i="49" s="1"/>
  <c r="N21" i="49"/>
  <c r="N24" i="49" s="1"/>
  <c r="L21" i="49"/>
  <c r="L24" i="49" s="1"/>
  <c r="J21" i="49"/>
  <c r="J24" i="49" s="1"/>
  <c r="P104" i="48"/>
  <c r="R101" i="48"/>
  <c r="P101" i="48"/>
  <c r="N101" i="48"/>
  <c r="N104" i="48" s="1"/>
  <c r="L101" i="48"/>
  <c r="L104" i="48" s="1"/>
  <c r="J101" i="48"/>
  <c r="J104" i="48" s="1"/>
  <c r="J105" i="48" s="1"/>
  <c r="R96" i="48"/>
  <c r="P96" i="48"/>
  <c r="N96" i="48"/>
  <c r="L96" i="48"/>
  <c r="J96" i="48"/>
  <c r="T89" i="48"/>
  <c r="R83" i="48"/>
  <c r="N83" i="48"/>
  <c r="L83" i="48"/>
  <c r="J83" i="48"/>
  <c r="J86" i="48" s="1"/>
  <c r="R79" i="48"/>
  <c r="P79" i="48"/>
  <c r="P83" i="48" s="1"/>
  <c r="P86" i="48" s="1"/>
  <c r="N79" i="48"/>
  <c r="N86" i="48" s="1"/>
  <c r="L79" i="48"/>
  <c r="L86" i="48" s="1"/>
  <c r="J79" i="48"/>
  <c r="T68" i="48"/>
  <c r="P65" i="48"/>
  <c r="R62" i="48"/>
  <c r="P62" i="48"/>
  <c r="N62" i="48"/>
  <c r="N65" i="48" s="1"/>
  <c r="L62" i="48"/>
  <c r="L65" i="48" s="1"/>
  <c r="J62" i="48"/>
  <c r="J65" i="48" s="1"/>
  <c r="T49" i="48"/>
  <c r="R43" i="48"/>
  <c r="P43" i="48"/>
  <c r="N43" i="48"/>
  <c r="L43" i="48"/>
  <c r="J43" i="48"/>
  <c r="R40" i="48"/>
  <c r="P40" i="48"/>
  <c r="N40" i="48"/>
  <c r="L40" i="48"/>
  <c r="J40" i="48"/>
  <c r="R37" i="48"/>
  <c r="P37" i="48"/>
  <c r="N37" i="48"/>
  <c r="L37" i="48"/>
  <c r="J37" i="48"/>
  <c r="R33" i="48"/>
  <c r="P33" i="48"/>
  <c r="P46" i="48" s="1"/>
  <c r="N33" i="48"/>
  <c r="N46" i="48" s="1"/>
  <c r="L33" i="48"/>
  <c r="L46" i="48" s="1"/>
  <c r="J33" i="48"/>
  <c r="J46" i="48" s="1"/>
  <c r="J47" i="48" s="1"/>
  <c r="T27" i="48"/>
  <c r="J24" i="48"/>
  <c r="J25" i="48" s="1"/>
  <c r="R21" i="48"/>
  <c r="P21" i="48"/>
  <c r="P24" i="48" s="1"/>
  <c r="N21" i="48"/>
  <c r="N24" i="48" s="1"/>
  <c r="L21" i="48"/>
  <c r="L24" i="48" s="1"/>
  <c r="J21" i="48"/>
  <c r="J55" i="50" l="1"/>
  <c r="J86" i="49"/>
  <c r="J87" i="49" s="1"/>
  <c r="N46" i="49"/>
  <c r="J46" i="49"/>
  <c r="J66" i="49"/>
  <c r="J25" i="49"/>
  <c r="J87" i="48"/>
  <c r="J66" i="48"/>
  <c r="J73" i="1"/>
  <c r="J47" i="49" l="1"/>
  <c r="J86" i="45"/>
  <c r="R113" i="45" l="1"/>
  <c r="P113" i="45"/>
  <c r="N113" i="45"/>
  <c r="L113" i="45"/>
  <c r="L116" i="45" s="1"/>
  <c r="J113" i="45"/>
  <c r="R108" i="45"/>
  <c r="P108" i="45"/>
  <c r="N108" i="45"/>
  <c r="N116" i="45" s="1"/>
  <c r="L108" i="45"/>
  <c r="J108" i="45"/>
  <c r="T101" i="45"/>
  <c r="R95" i="45"/>
  <c r="P95" i="45"/>
  <c r="N95" i="45"/>
  <c r="L95" i="45"/>
  <c r="J95" i="45"/>
  <c r="R91" i="45"/>
  <c r="P91" i="45"/>
  <c r="N91" i="45"/>
  <c r="L91" i="45"/>
  <c r="J91" i="45"/>
  <c r="T82" i="45"/>
  <c r="R76" i="45"/>
  <c r="P76" i="45"/>
  <c r="P79" i="45" s="1"/>
  <c r="N76" i="45"/>
  <c r="N79" i="45" s="1"/>
  <c r="L76" i="45"/>
  <c r="L79" i="45" s="1"/>
  <c r="J76" i="45"/>
  <c r="J79" i="45" s="1"/>
  <c r="T63" i="45"/>
  <c r="R57" i="45"/>
  <c r="P57" i="45"/>
  <c r="N57" i="45"/>
  <c r="L57" i="45"/>
  <c r="J57" i="45"/>
  <c r="R51" i="45"/>
  <c r="P51" i="45"/>
  <c r="N51" i="45"/>
  <c r="L51" i="45"/>
  <c r="J51" i="45"/>
  <c r="R47" i="45"/>
  <c r="P47" i="45"/>
  <c r="N47" i="45"/>
  <c r="L47" i="45"/>
  <c r="J47" i="45"/>
  <c r="R40" i="45"/>
  <c r="P40" i="45"/>
  <c r="N40" i="45"/>
  <c r="L40" i="45"/>
  <c r="J40" i="45"/>
  <c r="T33" i="45"/>
  <c r="R27" i="45"/>
  <c r="P27" i="45"/>
  <c r="P30" i="45" s="1"/>
  <c r="N27" i="45"/>
  <c r="N30" i="45" s="1"/>
  <c r="L27" i="45"/>
  <c r="L30" i="45" s="1"/>
  <c r="J27" i="45"/>
  <c r="J30" i="45" s="1"/>
  <c r="J116" i="45" l="1"/>
  <c r="P116" i="45"/>
  <c r="J98" i="45"/>
  <c r="L98" i="45"/>
  <c r="N98" i="45"/>
  <c r="P98" i="45"/>
  <c r="J60" i="45"/>
  <c r="J80" i="45"/>
  <c r="L60" i="45"/>
  <c r="N60" i="45"/>
  <c r="P60" i="45"/>
  <c r="J31" i="45"/>
  <c r="R111" i="44"/>
  <c r="P111" i="44"/>
  <c r="N111" i="44"/>
  <c r="L111" i="44"/>
  <c r="L114" i="44" s="1"/>
  <c r="J111" i="44"/>
  <c r="R106" i="44"/>
  <c r="P106" i="44"/>
  <c r="N106" i="44"/>
  <c r="L106" i="44"/>
  <c r="J106" i="44"/>
  <c r="T99" i="44"/>
  <c r="R93" i="44"/>
  <c r="P93" i="44"/>
  <c r="P96" i="44" s="1"/>
  <c r="N93" i="44"/>
  <c r="L93" i="44"/>
  <c r="J93" i="44"/>
  <c r="R89" i="44"/>
  <c r="P89" i="44"/>
  <c r="N89" i="44"/>
  <c r="L89" i="44"/>
  <c r="J89" i="44"/>
  <c r="T78" i="44"/>
  <c r="N75" i="44"/>
  <c r="R72" i="44"/>
  <c r="P72" i="44"/>
  <c r="P75" i="44" s="1"/>
  <c r="N72" i="44"/>
  <c r="L72" i="44"/>
  <c r="L75" i="44" s="1"/>
  <c r="J72" i="44"/>
  <c r="J75" i="44" s="1"/>
  <c r="T59" i="44"/>
  <c r="R53" i="44"/>
  <c r="P53" i="44"/>
  <c r="N53" i="44"/>
  <c r="L53" i="44"/>
  <c r="J53" i="44"/>
  <c r="R49" i="44"/>
  <c r="P49" i="44"/>
  <c r="N49" i="44"/>
  <c r="L49" i="44"/>
  <c r="J49" i="44"/>
  <c r="R45" i="44"/>
  <c r="P45" i="44"/>
  <c r="N45" i="44"/>
  <c r="L45" i="44"/>
  <c r="J45" i="44"/>
  <c r="R35" i="44"/>
  <c r="P35" i="44"/>
  <c r="N35" i="44"/>
  <c r="L35" i="44"/>
  <c r="J35" i="44"/>
  <c r="T27" i="44"/>
  <c r="R21" i="44"/>
  <c r="P21" i="44"/>
  <c r="P24" i="44" s="1"/>
  <c r="N21" i="44"/>
  <c r="N24" i="44" s="1"/>
  <c r="L21" i="44"/>
  <c r="L24" i="44" s="1"/>
  <c r="J21" i="44"/>
  <c r="J24" i="44" s="1"/>
  <c r="J117" i="45" l="1"/>
  <c r="J99" i="45"/>
  <c r="J61" i="45"/>
  <c r="J114" i="44"/>
  <c r="N56" i="44"/>
  <c r="L56" i="44"/>
  <c r="P56" i="44"/>
  <c r="J76" i="44"/>
  <c r="L96" i="44"/>
  <c r="J96" i="44"/>
  <c r="N96" i="44"/>
  <c r="N114" i="44"/>
  <c r="P114" i="44"/>
  <c r="J56" i="44"/>
  <c r="J25" i="44"/>
  <c r="J51" i="43"/>
  <c r="L51" i="43"/>
  <c r="N51" i="43"/>
  <c r="P51" i="43"/>
  <c r="R51" i="43"/>
  <c r="J115" i="44" l="1"/>
  <c r="J57" i="44"/>
  <c r="J97" i="44"/>
  <c r="R108" i="43"/>
  <c r="P108" i="43"/>
  <c r="N108" i="43"/>
  <c r="L108" i="43"/>
  <c r="J108" i="43"/>
  <c r="R103" i="43"/>
  <c r="P103" i="43"/>
  <c r="N103" i="43"/>
  <c r="L103" i="43"/>
  <c r="J103" i="43"/>
  <c r="T96" i="43"/>
  <c r="R90" i="43"/>
  <c r="N90" i="43"/>
  <c r="L90" i="43"/>
  <c r="J90" i="43"/>
  <c r="R86" i="43"/>
  <c r="P86" i="43"/>
  <c r="P90" i="43" s="1"/>
  <c r="N86" i="43"/>
  <c r="L86" i="43"/>
  <c r="J86" i="43"/>
  <c r="T75" i="43"/>
  <c r="R69" i="43"/>
  <c r="P69" i="43"/>
  <c r="P72" i="43" s="1"/>
  <c r="N69" i="43"/>
  <c r="N72" i="43" s="1"/>
  <c r="L69" i="43"/>
  <c r="L72" i="43" s="1"/>
  <c r="J69" i="43"/>
  <c r="J72" i="43" s="1"/>
  <c r="T62" i="43"/>
  <c r="R56" i="43"/>
  <c r="P56" i="43"/>
  <c r="N56" i="43"/>
  <c r="L56" i="43"/>
  <c r="J56" i="43"/>
  <c r="R46" i="43"/>
  <c r="P46" i="43"/>
  <c r="N46" i="43"/>
  <c r="L46" i="43"/>
  <c r="J46" i="43"/>
  <c r="R42" i="43"/>
  <c r="P42" i="43"/>
  <c r="N42" i="43"/>
  <c r="L42" i="43"/>
  <c r="J42" i="43"/>
  <c r="T36" i="43"/>
  <c r="R30" i="43"/>
  <c r="P30" i="43"/>
  <c r="P33" i="43" s="1"/>
  <c r="N30" i="43"/>
  <c r="N33" i="43" s="1"/>
  <c r="L30" i="43"/>
  <c r="L33" i="43" s="1"/>
  <c r="J30" i="43"/>
  <c r="J33" i="43" s="1"/>
  <c r="N111" i="43" l="1"/>
  <c r="J111" i="43"/>
  <c r="L93" i="43"/>
  <c r="L59" i="43"/>
  <c r="L111" i="43"/>
  <c r="N59" i="43"/>
  <c r="J93" i="43"/>
  <c r="J73" i="43"/>
  <c r="N93" i="43"/>
  <c r="P59" i="43"/>
  <c r="P93" i="43"/>
  <c r="P111" i="43"/>
  <c r="J59" i="43"/>
  <c r="J34" i="43"/>
  <c r="R117" i="42"/>
  <c r="P117" i="42"/>
  <c r="N117" i="42"/>
  <c r="L117" i="42"/>
  <c r="J117" i="42"/>
  <c r="R112" i="42"/>
  <c r="P112" i="42"/>
  <c r="N112" i="42"/>
  <c r="L112" i="42"/>
  <c r="J112" i="42"/>
  <c r="T105" i="42"/>
  <c r="R99" i="42"/>
  <c r="P99" i="42"/>
  <c r="N99" i="42"/>
  <c r="L99" i="42"/>
  <c r="J99" i="42"/>
  <c r="R95" i="42"/>
  <c r="P95" i="42"/>
  <c r="N95" i="42"/>
  <c r="L95" i="42"/>
  <c r="J95" i="42"/>
  <c r="J102" i="42" s="1"/>
  <c r="T89" i="42"/>
  <c r="R83" i="42"/>
  <c r="P83" i="42"/>
  <c r="P86" i="42" s="1"/>
  <c r="N83" i="42"/>
  <c r="N86" i="42" s="1"/>
  <c r="L83" i="42"/>
  <c r="L86" i="42" s="1"/>
  <c r="J83" i="42"/>
  <c r="J86" i="42" s="1"/>
  <c r="T75" i="42"/>
  <c r="R69" i="42"/>
  <c r="P69" i="42"/>
  <c r="N69" i="42"/>
  <c r="L69" i="42"/>
  <c r="J69" i="42"/>
  <c r="R59" i="42"/>
  <c r="P59" i="42"/>
  <c r="N59" i="42"/>
  <c r="L59" i="42"/>
  <c r="J59" i="42"/>
  <c r="R54" i="42"/>
  <c r="P54" i="42"/>
  <c r="N54" i="42"/>
  <c r="L54" i="42"/>
  <c r="J54" i="42"/>
  <c r="R44" i="42"/>
  <c r="P44" i="42"/>
  <c r="N44" i="42"/>
  <c r="L44" i="42"/>
  <c r="J44" i="42"/>
  <c r="T31" i="42"/>
  <c r="R25" i="42"/>
  <c r="P25" i="42"/>
  <c r="P28" i="42" s="1"/>
  <c r="N25" i="42"/>
  <c r="N28" i="42" s="1"/>
  <c r="L25" i="42"/>
  <c r="L28" i="42" s="1"/>
  <c r="J25" i="42"/>
  <c r="J28" i="42" s="1"/>
  <c r="J112" i="43" l="1"/>
  <c r="J60" i="43"/>
  <c r="J94" i="43"/>
  <c r="N102" i="42"/>
  <c r="L72" i="42"/>
  <c r="L102" i="42"/>
  <c r="J87" i="42"/>
  <c r="N72" i="42"/>
  <c r="J72" i="42"/>
  <c r="P72" i="42"/>
  <c r="L120" i="42"/>
  <c r="N120" i="42"/>
  <c r="P102" i="42"/>
  <c r="J120" i="42"/>
  <c r="P120" i="42"/>
  <c r="J29" i="42"/>
  <c r="R98" i="41"/>
  <c r="P98" i="41"/>
  <c r="P101" i="41" s="1"/>
  <c r="N98" i="41"/>
  <c r="L98" i="41"/>
  <c r="J98" i="41"/>
  <c r="R93" i="41"/>
  <c r="P93" i="41"/>
  <c r="N93" i="41"/>
  <c r="L93" i="41"/>
  <c r="J93" i="41"/>
  <c r="T86" i="41"/>
  <c r="R80" i="41"/>
  <c r="N80" i="41"/>
  <c r="L80" i="41"/>
  <c r="J80" i="41"/>
  <c r="R76" i="41"/>
  <c r="P76" i="41"/>
  <c r="P80" i="41" s="1"/>
  <c r="P83" i="41" s="1"/>
  <c r="N76" i="41"/>
  <c r="L76" i="41"/>
  <c r="J76" i="41"/>
  <c r="T65" i="41"/>
  <c r="R59" i="41"/>
  <c r="P59" i="41"/>
  <c r="P62" i="41" s="1"/>
  <c r="N59" i="41"/>
  <c r="N62" i="41" s="1"/>
  <c r="L59" i="41"/>
  <c r="L62" i="41" s="1"/>
  <c r="J59" i="41"/>
  <c r="J62" i="41" s="1"/>
  <c r="T52" i="41"/>
  <c r="R46" i="41"/>
  <c r="P46" i="41"/>
  <c r="N46" i="41"/>
  <c r="L46" i="41"/>
  <c r="J46" i="41"/>
  <c r="R42" i="41"/>
  <c r="P42" i="41"/>
  <c r="N42" i="41"/>
  <c r="L42" i="41"/>
  <c r="J42" i="41"/>
  <c r="R38" i="41"/>
  <c r="P38" i="41"/>
  <c r="N38" i="41"/>
  <c r="L38" i="41"/>
  <c r="J38" i="41"/>
  <c r="R34" i="41"/>
  <c r="P34" i="41"/>
  <c r="N34" i="41"/>
  <c r="L34" i="41"/>
  <c r="J34" i="41"/>
  <c r="T27" i="41"/>
  <c r="R21" i="41"/>
  <c r="P21" i="41"/>
  <c r="P24" i="41" s="1"/>
  <c r="N21" i="41"/>
  <c r="N24" i="41" s="1"/>
  <c r="L21" i="41"/>
  <c r="L24" i="41" s="1"/>
  <c r="J21" i="41"/>
  <c r="J24" i="41" s="1"/>
  <c r="J103" i="42" l="1"/>
  <c r="J121" i="42"/>
  <c r="J73" i="42"/>
  <c r="J101" i="41"/>
  <c r="J83" i="41"/>
  <c r="L49" i="41"/>
  <c r="L101" i="41"/>
  <c r="J49" i="41"/>
  <c r="P49" i="41"/>
  <c r="J63" i="41"/>
  <c r="N49" i="41"/>
  <c r="L83" i="41"/>
  <c r="N101" i="41"/>
  <c r="N83" i="41"/>
  <c r="J25" i="41"/>
  <c r="P71" i="40"/>
  <c r="N71" i="40"/>
  <c r="L71" i="40"/>
  <c r="J71" i="40"/>
  <c r="J102" i="41" l="1"/>
  <c r="J84" i="41"/>
  <c r="J50" i="41"/>
  <c r="R109" i="40"/>
  <c r="P109" i="40"/>
  <c r="N109" i="40"/>
  <c r="L109" i="40"/>
  <c r="J109" i="40"/>
  <c r="R104" i="40"/>
  <c r="P104" i="40"/>
  <c r="N104" i="40"/>
  <c r="L104" i="40"/>
  <c r="J104" i="40"/>
  <c r="T97" i="40"/>
  <c r="R91" i="40"/>
  <c r="N91" i="40"/>
  <c r="L91" i="40"/>
  <c r="J91" i="40"/>
  <c r="R87" i="40"/>
  <c r="P87" i="40"/>
  <c r="P91" i="40" s="1"/>
  <c r="N87" i="40"/>
  <c r="L87" i="40"/>
  <c r="J87" i="40"/>
  <c r="T74" i="40"/>
  <c r="R68" i="40"/>
  <c r="P68" i="40"/>
  <c r="N68" i="40"/>
  <c r="L68" i="40"/>
  <c r="J68" i="40"/>
  <c r="T59" i="40"/>
  <c r="R53" i="40"/>
  <c r="P53" i="40"/>
  <c r="N53" i="40"/>
  <c r="L53" i="40"/>
  <c r="J53" i="40"/>
  <c r="R50" i="40"/>
  <c r="P50" i="40"/>
  <c r="N50" i="40"/>
  <c r="L50" i="40"/>
  <c r="J50" i="40"/>
  <c r="R44" i="40"/>
  <c r="P44" i="40"/>
  <c r="N44" i="40"/>
  <c r="L44" i="40"/>
  <c r="J44" i="40"/>
  <c r="R40" i="40"/>
  <c r="P40" i="40"/>
  <c r="N40" i="40"/>
  <c r="L40" i="40"/>
  <c r="J40" i="40"/>
  <c r="T27" i="40"/>
  <c r="R21" i="40"/>
  <c r="P21" i="40"/>
  <c r="P24" i="40" s="1"/>
  <c r="N21" i="40"/>
  <c r="N24" i="40" s="1"/>
  <c r="L21" i="40"/>
  <c r="L24" i="40" s="1"/>
  <c r="J21" i="40"/>
  <c r="J24" i="40" s="1"/>
  <c r="L56" i="40" l="1"/>
  <c r="J94" i="40"/>
  <c r="L94" i="40"/>
  <c r="N112" i="40"/>
  <c r="N94" i="40"/>
  <c r="P112" i="40"/>
  <c r="L112" i="40"/>
  <c r="N56" i="40"/>
  <c r="P56" i="40"/>
  <c r="J56" i="40"/>
  <c r="J112" i="40"/>
  <c r="P94" i="40"/>
  <c r="J25" i="40"/>
  <c r="J72" i="40"/>
  <c r="P70" i="39"/>
  <c r="N70" i="39"/>
  <c r="L70" i="39"/>
  <c r="J70" i="39"/>
  <c r="J95" i="40" l="1"/>
  <c r="J113" i="40"/>
  <c r="J57" i="40"/>
  <c r="R106" i="39"/>
  <c r="P106" i="39"/>
  <c r="N106" i="39"/>
  <c r="L106" i="39"/>
  <c r="J106" i="39"/>
  <c r="R101" i="39"/>
  <c r="P101" i="39"/>
  <c r="N101" i="39"/>
  <c r="L101" i="39"/>
  <c r="J101" i="39"/>
  <c r="T94" i="39"/>
  <c r="R88" i="39"/>
  <c r="N88" i="39"/>
  <c r="L88" i="39"/>
  <c r="J88" i="39"/>
  <c r="R84" i="39"/>
  <c r="P84" i="39"/>
  <c r="P88" i="39" s="1"/>
  <c r="N84" i="39"/>
  <c r="L84" i="39"/>
  <c r="J84" i="39"/>
  <c r="T73" i="39"/>
  <c r="R67" i="39"/>
  <c r="P67" i="39"/>
  <c r="N67" i="39"/>
  <c r="L67" i="39"/>
  <c r="J67" i="39"/>
  <c r="T59" i="39"/>
  <c r="R53" i="39"/>
  <c r="P53" i="39"/>
  <c r="N53" i="39"/>
  <c r="L53" i="39"/>
  <c r="J53" i="39"/>
  <c r="R49" i="39"/>
  <c r="P49" i="39"/>
  <c r="N49" i="39"/>
  <c r="L49" i="39"/>
  <c r="J49" i="39"/>
  <c r="R45" i="39"/>
  <c r="P45" i="39"/>
  <c r="N45" i="39"/>
  <c r="L45" i="39"/>
  <c r="J45" i="39"/>
  <c r="R37" i="39"/>
  <c r="P37" i="39"/>
  <c r="N37" i="39"/>
  <c r="L37" i="39"/>
  <c r="J37" i="39"/>
  <c r="T31" i="39"/>
  <c r="R25" i="39"/>
  <c r="P25" i="39"/>
  <c r="P28" i="39" s="1"/>
  <c r="N25" i="39"/>
  <c r="N28" i="39" s="1"/>
  <c r="L25" i="39"/>
  <c r="L28" i="39" s="1"/>
  <c r="J25" i="39"/>
  <c r="J28" i="39" s="1"/>
  <c r="N56" i="39" l="1"/>
  <c r="J91" i="39"/>
  <c r="P56" i="39"/>
  <c r="J71" i="39"/>
  <c r="N109" i="39"/>
  <c r="L91" i="39"/>
  <c r="L56" i="39"/>
  <c r="N91" i="39"/>
  <c r="P91" i="39"/>
  <c r="P109" i="39"/>
  <c r="L109" i="39"/>
  <c r="J109" i="39"/>
  <c r="J56" i="39"/>
  <c r="J29" i="39"/>
  <c r="P55" i="38"/>
  <c r="N55" i="38"/>
  <c r="L55" i="38"/>
  <c r="J55" i="38"/>
  <c r="J110" i="39" l="1"/>
  <c r="J92" i="39"/>
  <c r="J57" i="39"/>
  <c r="J56" i="38"/>
  <c r="R91" i="38" l="1"/>
  <c r="P91" i="38"/>
  <c r="N91" i="38"/>
  <c r="L91" i="38"/>
  <c r="J91" i="38"/>
  <c r="R86" i="38"/>
  <c r="P86" i="38"/>
  <c r="N86" i="38"/>
  <c r="L86" i="38"/>
  <c r="J86" i="38"/>
  <c r="T79" i="38"/>
  <c r="R73" i="38"/>
  <c r="N73" i="38"/>
  <c r="L73" i="38"/>
  <c r="J73" i="38"/>
  <c r="R69" i="38"/>
  <c r="P69" i="38"/>
  <c r="N69" i="38"/>
  <c r="L69" i="38"/>
  <c r="J69" i="38"/>
  <c r="T58" i="38"/>
  <c r="R52" i="38"/>
  <c r="P52" i="38"/>
  <c r="N52" i="38"/>
  <c r="L52" i="38"/>
  <c r="J52" i="38"/>
  <c r="T45" i="38"/>
  <c r="R39" i="38"/>
  <c r="P39" i="38"/>
  <c r="N39" i="38"/>
  <c r="L39" i="38"/>
  <c r="J39" i="38"/>
  <c r="R36" i="38"/>
  <c r="P36" i="38"/>
  <c r="N36" i="38"/>
  <c r="L36" i="38"/>
  <c r="J36" i="38"/>
  <c r="R33" i="38"/>
  <c r="P33" i="38"/>
  <c r="N33" i="38"/>
  <c r="L33" i="38"/>
  <c r="J33" i="38"/>
  <c r="R27" i="38"/>
  <c r="P27" i="38"/>
  <c r="N27" i="38"/>
  <c r="L27" i="38"/>
  <c r="J27" i="38"/>
  <c r="T19" i="38"/>
  <c r="L16" i="38"/>
  <c r="R13" i="38"/>
  <c r="P13" i="38"/>
  <c r="P16" i="38" s="1"/>
  <c r="N13" i="38"/>
  <c r="N16" i="38" s="1"/>
  <c r="L13" i="38"/>
  <c r="J13" i="38"/>
  <c r="J16" i="38" s="1"/>
  <c r="J76" i="38" l="1"/>
  <c r="L76" i="38"/>
  <c r="P42" i="38"/>
  <c r="J94" i="38"/>
  <c r="L94" i="38"/>
  <c r="L42" i="38"/>
  <c r="N76" i="38"/>
  <c r="N94" i="38"/>
  <c r="J42" i="38"/>
  <c r="P94" i="38"/>
  <c r="N42" i="38"/>
  <c r="J17" i="38"/>
  <c r="P73" i="38"/>
  <c r="P76" i="38" s="1"/>
  <c r="T49" i="1"/>
  <c r="R62" i="1"/>
  <c r="P62" i="1"/>
  <c r="P65" i="1" s="1"/>
  <c r="N62" i="1"/>
  <c r="N65" i="1" s="1"/>
  <c r="L62" i="1"/>
  <c r="L65" i="1" s="1"/>
  <c r="J62" i="1"/>
  <c r="J65" i="1" s="1"/>
  <c r="R43" i="1"/>
  <c r="P43" i="1"/>
  <c r="N43" i="1"/>
  <c r="L43" i="1"/>
  <c r="J43" i="1"/>
  <c r="J95" i="38" l="1"/>
  <c r="J43" i="38"/>
  <c r="J77" i="38"/>
  <c r="J66" i="1"/>
  <c r="T89" i="1"/>
  <c r="R101" i="1"/>
  <c r="P101" i="1"/>
  <c r="N101" i="1"/>
  <c r="L101" i="1"/>
  <c r="J101" i="1"/>
  <c r="R96" i="1"/>
  <c r="P96" i="1"/>
  <c r="N96" i="1"/>
  <c r="L96" i="1"/>
  <c r="J96" i="1"/>
  <c r="P85" i="37"/>
  <c r="N85" i="37"/>
  <c r="L85" i="37"/>
  <c r="T70" i="37"/>
  <c r="R82" i="37"/>
  <c r="P82" i="37"/>
  <c r="N82" i="37"/>
  <c r="L82" i="37"/>
  <c r="J82" i="37"/>
  <c r="R77" i="37"/>
  <c r="P77" i="37"/>
  <c r="N77" i="37"/>
  <c r="L77" i="37"/>
  <c r="J77" i="37"/>
  <c r="L104" i="1" l="1"/>
  <c r="J104" i="1"/>
  <c r="N104" i="1"/>
  <c r="P104" i="1"/>
  <c r="J85" i="37"/>
  <c r="J86" i="37" s="1"/>
  <c r="R64" i="37"/>
  <c r="N64" i="37"/>
  <c r="L64" i="37"/>
  <c r="J64" i="37"/>
  <c r="R60" i="37"/>
  <c r="P60" i="37"/>
  <c r="N60" i="37"/>
  <c r="N67" i="37" s="1"/>
  <c r="L60" i="37"/>
  <c r="L67" i="37" s="1"/>
  <c r="J60" i="37"/>
  <c r="T49" i="37"/>
  <c r="R43" i="37"/>
  <c r="P43" i="37"/>
  <c r="N43" i="37"/>
  <c r="L43" i="37"/>
  <c r="J43" i="37"/>
  <c r="R39" i="37"/>
  <c r="P39" i="37"/>
  <c r="N39" i="37"/>
  <c r="L39" i="37"/>
  <c r="J39" i="37"/>
  <c r="R34" i="37"/>
  <c r="P34" i="37"/>
  <c r="P46" i="37" s="1"/>
  <c r="N34" i="37"/>
  <c r="L34" i="37"/>
  <c r="J34" i="37"/>
  <c r="T27" i="37"/>
  <c r="R21" i="37"/>
  <c r="P21" i="37"/>
  <c r="P24" i="37" s="1"/>
  <c r="N21" i="37"/>
  <c r="N24" i="37" s="1"/>
  <c r="L21" i="37"/>
  <c r="L24" i="37" s="1"/>
  <c r="J21" i="37"/>
  <c r="J24" i="37" s="1"/>
  <c r="J105" i="1" l="1"/>
  <c r="J67" i="37"/>
  <c r="N46" i="37"/>
  <c r="J46" i="37"/>
  <c r="L46" i="37"/>
  <c r="P64" i="37"/>
  <c r="P67" i="37" s="1"/>
  <c r="J25" i="37"/>
  <c r="R65" i="36"/>
  <c r="N65" i="36"/>
  <c r="L65" i="36"/>
  <c r="J65" i="36"/>
  <c r="R61" i="36"/>
  <c r="P61" i="36"/>
  <c r="N61" i="36"/>
  <c r="L61" i="36"/>
  <c r="L68" i="36" s="1"/>
  <c r="J61" i="36"/>
  <c r="J68" i="36" s="1"/>
  <c r="T50" i="36"/>
  <c r="R44" i="36"/>
  <c r="P44" i="36"/>
  <c r="N44" i="36"/>
  <c r="L44" i="36"/>
  <c r="J44" i="36"/>
  <c r="R39" i="36"/>
  <c r="P39" i="36"/>
  <c r="N39" i="36"/>
  <c r="L39" i="36"/>
  <c r="J39" i="36"/>
  <c r="R35" i="36"/>
  <c r="P35" i="36"/>
  <c r="N35" i="36"/>
  <c r="L35" i="36"/>
  <c r="L47" i="36" s="1"/>
  <c r="J35" i="36"/>
  <c r="T27" i="36"/>
  <c r="R21" i="36"/>
  <c r="P21" i="36"/>
  <c r="P24" i="36" s="1"/>
  <c r="N21" i="36"/>
  <c r="N24" i="36" s="1"/>
  <c r="L21" i="36"/>
  <c r="L24" i="36" s="1"/>
  <c r="J21" i="36"/>
  <c r="J24" i="36" s="1"/>
  <c r="J68" i="37" l="1"/>
  <c r="J47" i="37"/>
  <c r="N47" i="36"/>
  <c r="N68" i="36"/>
  <c r="P47" i="36"/>
  <c r="P65" i="36"/>
  <c r="P68" i="36" s="1"/>
  <c r="J47" i="36"/>
  <c r="J48" i="36" s="1"/>
  <c r="J25" i="36"/>
  <c r="R50" i="35"/>
  <c r="N50" i="35"/>
  <c r="L50" i="35"/>
  <c r="J50" i="35"/>
  <c r="R46" i="35"/>
  <c r="P46" i="35"/>
  <c r="P50" i="35" s="1"/>
  <c r="N46" i="35"/>
  <c r="L46" i="35"/>
  <c r="J46" i="35"/>
  <c r="J53" i="35" s="1"/>
  <c r="T40" i="35"/>
  <c r="R34" i="35"/>
  <c r="P34" i="35"/>
  <c r="N34" i="35"/>
  <c r="L34" i="35"/>
  <c r="J34" i="35"/>
  <c r="R30" i="35"/>
  <c r="P30" i="35"/>
  <c r="N30" i="35"/>
  <c r="L30" i="35"/>
  <c r="J30" i="35"/>
  <c r="R26" i="35"/>
  <c r="P26" i="35"/>
  <c r="N26" i="35"/>
  <c r="L26" i="35"/>
  <c r="J26" i="35"/>
  <c r="T19" i="35"/>
  <c r="R13" i="35"/>
  <c r="P13" i="35"/>
  <c r="P16" i="35" s="1"/>
  <c r="N13" i="35"/>
  <c r="N16" i="35" s="1"/>
  <c r="L13" i="35"/>
  <c r="L16" i="35" s="1"/>
  <c r="J13" i="35"/>
  <c r="J16" i="35" s="1"/>
  <c r="J69" i="36" l="1"/>
  <c r="L37" i="35"/>
  <c r="L53" i="35"/>
  <c r="J54" i="35" s="1"/>
  <c r="J17" i="35"/>
  <c r="N37" i="35"/>
  <c r="N53" i="35"/>
  <c r="P37" i="35"/>
  <c r="P53" i="35"/>
  <c r="J37" i="35"/>
  <c r="R66" i="34"/>
  <c r="N66" i="34"/>
  <c r="L66" i="34"/>
  <c r="J66" i="34"/>
  <c r="R62" i="34"/>
  <c r="P62" i="34"/>
  <c r="N62" i="34"/>
  <c r="N69" i="34" s="1"/>
  <c r="L62" i="34"/>
  <c r="J62" i="34"/>
  <c r="T48" i="34"/>
  <c r="R42" i="34"/>
  <c r="P42" i="34"/>
  <c r="N42" i="34"/>
  <c r="L42" i="34"/>
  <c r="J42" i="34"/>
  <c r="R38" i="34"/>
  <c r="P38" i="34"/>
  <c r="N38" i="34"/>
  <c r="L38" i="34"/>
  <c r="J38" i="34"/>
  <c r="R34" i="34"/>
  <c r="P34" i="34"/>
  <c r="N34" i="34"/>
  <c r="N45" i="34" s="1"/>
  <c r="L34" i="34"/>
  <c r="J34" i="34"/>
  <c r="T27" i="34"/>
  <c r="R21" i="34"/>
  <c r="P21" i="34"/>
  <c r="P24" i="34" s="1"/>
  <c r="N21" i="34"/>
  <c r="N24" i="34" s="1"/>
  <c r="L21" i="34"/>
  <c r="L24" i="34" s="1"/>
  <c r="J21" i="34"/>
  <c r="J24" i="34" s="1"/>
  <c r="J38" i="35" l="1"/>
  <c r="J45" i="34"/>
  <c r="J69" i="34"/>
  <c r="P66" i="34"/>
  <c r="P69" i="34" s="1"/>
  <c r="L69" i="34"/>
  <c r="L45" i="34"/>
  <c r="P45" i="34"/>
  <c r="J25" i="34"/>
  <c r="R68" i="33"/>
  <c r="N68" i="33"/>
  <c r="L68" i="33"/>
  <c r="J68" i="33"/>
  <c r="R64" i="33"/>
  <c r="P64" i="33"/>
  <c r="N64" i="33"/>
  <c r="L64" i="33"/>
  <c r="J64" i="33"/>
  <c r="T49" i="33"/>
  <c r="R43" i="33"/>
  <c r="P43" i="33"/>
  <c r="N43" i="33"/>
  <c r="L43" i="33"/>
  <c r="J43" i="33"/>
  <c r="R33" i="33"/>
  <c r="P33" i="33"/>
  <c r="N33" i="33"/>
  <c r="L33" i="33"/>
  <c r="J33" i="33"/>
  <c r="R27" i="33"/>
  <c r="P27" i="33"/>
  <c r="N27" i="33"/>
  <c r="L27" i="33"/>
  <c r="J27" i="33"/>
  <c r="T21" i="33"/>
  <c r="R15" i="33"/>
  <c r="P15" i="33"/>
  <c r="P18" i="33" s="1"/>
  <c r="N15" i="33"/>
  <c r="N18" i="33" s="1"/>
  <c r="L15" i="33"/>
  <c r="L18" i="33" s="1"/>
  <c r="J15" i="33"/>
  <c r="J18" i="33" s="1"/>
  <c r="J70" i="34" l="1"/>
  <c r="J46" i="34"/>
  <c r="P46" i="33"/>
  <c r="N71" i="33"/>
  <c r="J46" i="33"/>
  <c r="J71" i="33"/>
  <c r="P68" i="33"/>
  <c r="P71" i="33" s="1"/>
  <c r="N46" i="33"/>
  <c r="L46" i="33"/>
  <c r="L71" i="33"/>
  <c r="J19" i="33"/>
  <c r="R62" i="32"/>
  <c r="P62" i="32"/>
  <c r="N62" i="32"/>
  <c r="L62" i="32"/>
  <c r="J62" i="32"/>
  <c r="R58" i="32"/>
  <c r="P58" i="32"/>
  <c r="N58" i="32"/>
  <c r="L58" i="32"/>
  <c r="L65" i="32" s="1"/>
  <c r="J58" i="32"/>
  <c r="J65" i="32" s="1"/>
  <c r="T50" i="32"/>
  <c r="R44" i="32"/>
  <c r="P44" i="32"/>
  <c r="N44" i="32"/>
  <c r="L44" i="32"/>
  <c r="J44" i="32"/>
  <c r="R39" i="32"/>
  <c r="P39" i="32"/>
  <c r="N39" i="32"/>
  <c r="L39" i="32"/>
  <c r="J39" i="32"/>
  <c r="R33" i="32"/>
  <c r="P33" i="32"/>
  <c r="N33" i="32"/>
  <c r="L33" i="32"/>
  <c r="J33" i="32"/>
  <c r="T27" i="32"/>
  <c r="R21" i="32"/>
  <c r="P21" i="32"/>
  <c r="P24" i="32" s="1"/>
  <c r="N21" i="32"/>
  <c r="N24" i="32" s="1"/>
  <c r="L21" i="32"/>
  <c r="L24" i="32" s="1"/>
  <c r="J21" i="32"/>
  <c r="J24" i="32" s="1"/>
  <c r="J47" i="33" l="1"/>
  <c r="J72" i="33"/>
  <c r="N65" i="32"/>
  <c r="N47" i="32"/>
  <c r="P47" i="32"/>
  <c r="P65" i="32"/>
  <c r="L47" i="32"/>
  <c r="J47" i="32"/>
  <c r="J25" i="32"/>
  <c r="J66" i="32"/>
  <c r="R67" i="31"/>
  <c r="N67" i="31"/>
  <c r="L67" i="31"/>
  <c r="J67" i="31"/>
  <c r="R63" i="31"/>
  <c r="P63" i="31"/>
  <c r="N63" i="31"/>
  <c r="L63" i="31"/>
  <c r="L70" i="31" s="1"/>
  <c r="J63" i="31"/>
  <c r="T52" i="31"/>
  <c r="R46" i="31"/>
  <c r="P46" i="31"/>
  <c r="N46" i="31"/>
  <c r="L46" i="31"/>
  <c r="J46" i="31"/>
  <c r="R42" i="31"/>
  <c r="P42" i="31"/>
  <c r="N42" i="31"/>
  <c r="L42" i="31"/>
  <c r="J42" i="31"/>
  <c r="R34" i="31"/>
  <c r="P34" i="31"/>
  <c r="N34" i="31"/>
  <c r="L34" i="31"/>
  <c r="J34" i="31"/>
  <c r="T27" i="31"/>
  <c r="R21" i="31"/>
  <c r="P21" i="31"/>
  <c r="P24" i="31" s="1"/>
  <c r="N21" i="31"/>
  <c r="N24" i="31" s="1"/>
  <c r="L21" i="31"/>
  <c r="L24" i="31" s="1"/>
  <c r="J21" i="31"/>
  <c r="J24" i="31" s="1"/>
  <c r="J48" i="32" l="1"/>
  <c r="N70" i="31"/>
  <c r="P49" i="31"/>
  <c r="N49" i="31"/>
  <c r="L49" i="31"/>
  <c r="J49" i="31"/>
  <c r="J50" i="31" s="1"/>
  <c r="J70" i="31"/>
  <c r="P67" i="31"/>
  <c r="P70" i="31" s="1"/>
  <c r="J25" i="31"/>
  <c r="R73" i="30"/>
  <c r="N73" i="30"/>
  <c r="L73" i="30"/>
  <c r="J73" i="30"/>
  <c r="R69" i="30"/>
  <c r="P69" i="30"/>
  <c r="N69" i="30"/>
  <c r="L69" i="30"/>
  <c r="L76" i="30" s="1"/>
  <c r="J69" i="30"/>
  <c r="T62" i="30"/>
  <c r="R56" i="30"/>
  <c r="P56" i="30"/>
  <c r="N56" i="30"/>
  <c r="L56" i="30"/>
  <c r="J56" i="30"/>
  <c r="R46" i="30"/>
  <c r="P46" i="30"/>
  <c r="N46" i="30"/>
  <c r="L46" i="30"/>
  <c r="J46" i="30"/>
  <c r="R41" i="30"/>
  <c r="P41" i="30"/>
  <c r="N41" i="30"/>
  <c r="L41" i="30"/>
  <c r="J41" i="30"/>
  <c r="T33" i="30"/>
  <c r="R27" i="30"/>
  <c r="P27" i="30"/>
  <c r="P30" i="30" s="1"/>
  <c r="N27" i="30"/>
  <c r="N30" i="30" s="1"/>
  <c r="L27" i="30"/>
  <c r="L30" i="30" s="1"/>
  <c r="J27" i="30"/>
  <c r="J30" i="30" s="1"/>
  <c r="J71" i="31" l="1"/>
  <c r="N59" i="30"/>
  <c r="N76" i="30"/>
  <c r="P59" i="30"/>
  <c r="L59" i="30"/>
  <c r="J76" i="30"/>
  <c r="P73" i="30"/>
  <c r="P76" i="30" s="1"/>
  <c r="J59" i="30"/>
  <c r="J31" i="30"/>
  <c r="R65" i="29"/>
  <c r="N65" i="29"/>
  <c r="L65" i="29"/>
  <c r="J65" i="29"/>
  <c r="R61" i="29"/>
  <c r="P61" i="29"/>
  <c r="N61" i="29"/>
  <c r="N68" i="29" s="1"/>
  <c r="L61" i="29"/>
  <c r="L68" i="29" s="1"/>
  <c r="J61" i="29"/>
  <c r="T50" i="29"/>
  <c r="R44" i="29"/>
  <c r="P44" i="29"/>
  <c r="N44" i="29"/>
  <c r="L44" i="29"/>
  <c r="J44" i="29"/>
  <c r="R40" i="29"/>
  <c r="P40" i="29"/>
  <c r="N40" i="29"/>
  <c r="L40" i="29"/>
  <c r="J40" i="29"/>
  <c r="R35" i="29"/>
  <c r="P35" i="29"/>
  <c r="P47" i="29" s="1"/>
  <c r="N35" i="29"/>
  <c r="N47" i="29" s="1"/>
  <c r="L35" i="29"/>
  <c r="J35" i="29"/>
  <c r="T27" i="29"/>
  <c r="R21" i="29"/>
  <c r="P21" i="29"/>
  <c r="P24" i="29" s="1"/>
  <c r="N21" i="29"/>
  <c r="N24" i="29" s="1"/>
  <c r="L21" i="29"/>
  <c r="L24" i="29" s="1"/>
  <c r="J21" i="29"/>
  <c r="J24" i="29" s="1"/>
  <c r="J60" i="30" l="1"/>
  <c r="J77" i="30"/>
  <c r="L47" i="29"/>
  <c r="J68" i="29"/>
  <c r="P65" i="29"/>
  <c r="P68" i="29" s="1"/>
  <c r="J47" i="29"/>
  <c r="J25" i="29"/>
  <c r="R68" i="28"/>
  <c r="N68" i="28"/>
  <c r="L68" i="28"/>
  <c r="J68" i="28"/>
  <c r="R64" i="28"/>
  <c r="P64" i="28"/>
  <c r="P68" i="28" s="1"/>
  <c r="N64" i="28"/>
  <c r="L64" i="28"/>
  <c r="J64" i="28"/>
  <c r="T53" i="28"/>
  <c r="R47" i="28"/>
  <c r="P47" i="28"/>
  <c r="N47" i="28"/>
  <c r="L47" i="28"/>
  <c r="J47" i="28"/>
  <c r="R41" i="28"/>
  <c r="P41" i="28"/>
  <c r="N41" i="28"/>
  <c r="L41" i="28"/>
  <c r="J41" i="28"/>
  <c r="R35" i="28"/>
  <c r="P35" i="28"/>
  <c r="N35" i="28"/>
  <c r="L35" i="28"/>
  <c r="J35" i="28"/>
  <c r="T27" i="28"/>
  <c r="R21" i="28"/>
  <c r="P21" i="28"/>
  <c r="P24" i="28" s="1"/>
  <c r="N21" i="28"/>
  <c r="N24" i="28" s="1"/>
  <c r="L21" i="28"/>
  <c r="L24" i="28" s="1"/>
  <c r="J21" i="28"/>
  <c r="J24" i="28" s="1"/>
  <c r="X77" i="26"/>
  <c r="X60" i="26"/>
  <c r="X50" i="26"/>
  <c r="X40" i="26"/>
  <c r="X63" i="26" s="1"/>
  <c r="X21" i="26"/>
  <c r="X24" i="26" s="1"/>
  <c r="V77" i="26"/>
  <c r="V81" i="26" s="1"/>
  <c r="V60" i="26"/>
  <c r="V50" i="26"/>
  <c r="V40" i="26"/>
  <c r="V63" i="26" s="1"/>
  <c r="V21" i="26"/>
  <c r="V24" i="26" s="1"/>
  <c r="T77" i="26"/>
  <c r="T81" i="26" s="1"/>
  <c r="T84" i="26" s="1"/>
  <c r="T60" i="26"/>
  <c r="T50" i="26"/>
  <c r="T40" i="26"/>
  <c r="T21" i="26"/>
  <c r="T24" i="26" s="1"/>
  <c r="R77" i="26"/>
  <c r="R60" i="26"/>
  <c r="R50" i="26"/>
  <c r="R40" i="26"/>
  <c r="R63" i="26" s="1"/>
  <c r="R21" i="26"/>
  <c r="R24" i="26" s="1"/>
  <c r="Z81" i="26"/>
  <c r="N81" i="26"/>
  <c r="L81" i="26"/>
  <c r="J81" i="26"/>
  <c r="J84" i="26" s="1"/>
  <c r="Z77" i="26"/>
  <c r="P77" i="26"/>
  <c r="N77" i="26"/>
  <c r="L77" i="26"/>
  <c r="J77" i="26"/>
  <c r="AB66" i="26"/>
  <c r="Z60" i="26"/>
  <c r="P60" i="26"/>
  <c r="N60" i="26"/>
  <c r="L60" i="26"/>
  <c r="J60" i="26"/>
  <c r="Z50" i="26"/>
  <c r="P50" i="26"/>
  <c r="N50" i="26"/>
  <c r="L50" i="26"/>
  <c r="J50" i="26"/>
  <c r="Z40" i="26"/>
  <c r="P40" i="26"/>
  <c r="N40" i="26"/>
  <c r="L40" i="26"/>
  <c r="J40" i="26"/>
  <c r="AB27" i="26"/>
  <c r="Z21" i="26"/>
  <c r="P21" i="26"/>
  <c r="P24" i="26" s="1"/>
  <c r="N21" i="26"/>
  <c r="N24" i="26" s="1"/>
  <c r="J25" i="26" s="1"/>
  <c r="L21" i="26"/>
  <c r="L24" i="26" s="1"/>
  <c r="J21" i="26"/>
  <c r="J24" i="26" s="1"/>
  <c r="P72" i="25"/>
  <c r="J69" i="29" l="1"/>
  <c r="J48" i="29"/>
  <c r="L50" i="28"/>
  <c r="N50" i="28"/>
  <c r="P50" i="28"/>
  <c r="L71" i="28"/>
  <c r="N71" i="28"/>
  <c r="J50" i="28"/>
  <c r="J71" i="28"/>
  <c r="J25" i="28"/>
  <c r="P71" i="28"/>
  <c r="L63" i="26"/>
  <c r="N63" i="26"/>
  <c r="V84" i="26"/>
  <c r="L84" i="26"/>
  <c r="T63" i="26"/>
  <c r="J63" i="26"/>
  <c r="J64" i="26" s="1"/>
  <c r="P63" i="26"/>
  <c r="N84" i="26"/>
  <c r="X81" i="26"/>
  <c r="X84" i="26" s="1"/>
  <c r="R81" i="26"/>
  <c r="R84" i="26" s="1"/>
  <c r="P84" i="26"/>
  <c r="J85" i="26"/>
  <c r="P81" i="26"/>
  <c r="R69" i="25"/>
  <c r="N69" i="25"/>
  <c r="L69" i="25"/>
  <c r="J69" i="25"/>
  <c r="R65" i="25"/>
  <c r="P65" i="25"/>
  <c r="P69" i="25" s="1"/>
  <c r="N65" i="25"/>
  <c r="L65" i="25"/>
  <c r="L72" i="25" s="1"/>
  <c r="J65" i="25"/>
  <c r="J72" i="25" s="1"/>
  <c r="T55" i="25"/>
  <c r="R49" i="25"/>
  <c r="P49" i="25"/>
  <c r="N49" i="25"/>
  <c r="L49" i="25"/>
  <c r="J49" i="25"/>
  <c r="R43" i="25"/>
  <c r="P43" i="25"/>
  <c r="N43" i="25"/>
  <c r="L43" i="25"/>
  <c r="J43" i="25"/>
  <c r="R36" i="25"/>
  <c r="P36" i="25"/>
  <c r="N36" i="25"/>
  <c r="L36" i="25"/>
  <c r="J36" i="25"/>
  <c r="T28" i="25"/>
  <c r="R22" i="25"/>
  <c r="P22" i="25"/>
  <c r="P25" i="25" s="1"/>
  <c r="N22" i="25"/>
  <c r="N25" i="25" s="1"/>
  <c r="L22" i="25"/>
  <c r="L25" i="25" s="1"/>
  <c r="J22" i="25"/>
  <c r="J25" i="25" s="1"/>
  <c r="J51" i="28" l="1"/>
  <c r="J72" i="28"/>
  <c r="L52" i="25"/>
  <c r="P52" i="25"/>
  <c r="N72" i="25"/>
  <c r="N52" i="25"/>
  <c r="J52" i="25"/>
  <c r="J26" i="25"/>
  <c r="J73" i="25"/>
  <c r="R72" i="24"/>
  <c r="P72" i="24"/>
  <c r="N72" i="24"/>
  <c r="L72" i="24"/>
  <c r="J72" i="24"/>
  <c r="R68" i="24"/>
  <c r="P68" i="24"/>
  <c r="N68" i="24"/>
  <c r="L68" i="24"/>
  <c r="J68" i="24"/>
  <c r="R60" i="24"/>
  <c r="N60" i="24"/>
  <c r="L60" i="24"/>
  <c r="J60" i="24"/>
  <c r="R56" i="24"/>
  <c r="P56" i="24"/>
  <c r="P60" i="24" s="1"/>
  <c r="N56" i="24"/>
  <c r="N75" i="24" s="1"/>
  <c r="L56" i="24"/>
  <c r="J56" i="24"/>
  <c r="T48" i="24"/>
  <c r="R42" i="24"/>
  <c r="P42" i="24"/>
  <c r="N42" i="24"/>
  <c r="L42" i="24"/>
  <c r="J42" i="24"/>
  <c r="R36" i="24"/>
  <c r="P36" i="24"/>
  <c r="N36" i="24"/>
  <c r="L36" i="24"/>
  <c r="J36" i="24"/>
  <c r="R30" i="24"/>
  <c r="P30" i="24"/>
  <c r="N30" i="24"/>
  <c r="L30" i="24"/>
  <c r="J30" i="24"/>
  <c r="T21" i="24"/>
  <c r="R15" i="24"/>
  <c r="P15" i="24"/>
  <c r="P18" i="24" s="1"/>
  <c r="N15" i="24"/>
  <c r="N18" i="24" s="1"/>
  <c r="L15" i="24"/>
  <c r="L18" i="24" s="1"/>
  <c r="J15" i="24"/>
  <c r="J18" i="24" s="1"/>
  <c r="R75" i="23"/>
  <c r="P75" i="23"/>
  <c r="P78" i="23" s="1"/>
  <c r="N75" i="23"/>
  <c r="L75" i="23"/>
  <c r="J75" i="23"/>
  <c r="R71" i="23"/>
  <c r="P71" i="23"/>
  <c r="N71" i="23"/>
  <c r="L71" i="23"/>
  <c r="J71" i="23"/>
  <c r="R63" i="23"/>
  <c r="N63" i="23"/>
  <c r="L63" i="23"/>
  <c r="J63" i="23"/>
  <c r="R59" i="23"/>
  <c r="P59" i="23"/>
  <c r="P63" i="23" s="1"/>
  <c r="N59" i="23"/>
  <c r="L59" i="23"/>
  <c r="J59" i="23"/>
  <c r="T48" i="23"/>
  <c r="R42" i="23"/>
  <c r="P42" i="23"/>
  <c r="N42" i="23"/>
  <c r="L42" i="23"/>
  <c r="J42" i="23"/>
  <c r="R37" i="23"/>
  <c r="P37" i="23"/>
  <c r="N37" i="23"/>
  <c r="L37" i="23"/>
  <c r="J37" i="23"/>
  <c r="R33" i="23"/>
  <c r="P33" i="23"/>
  <c r="N33" i="23"/>
  <c r="L33" i="23"/>
  <c r="L45" i="23" s="1"/>
  <c r="J33" i="23"/>
  <c r="T24" i="23"/>
  <c r="R18" i="23"/>
  <c r="P18" i="23"/>
  <c r="P21" i="23" s="1"/>
  <c r="N18" i="23"/>
  <c r="N21" i="23" s="1"/>
  <c r="L18" i="23"/>
  <c r="L21" i="23" s="1"/>
  <c r="J18" i="23"/>
  <c r="J21" i="23" s="1"/>
  <c r="R75" i="22"/>
  <c r="P75" i="22"/>
  <c r="N75" i="22"/>
  <c r="L75" i="22"/>
  <c r="J75" i="22"/>
  <c r="R71" i="22"/>
  <c r="P71" i="22"/>
  <c r="N71" i="22"/>
  <c r="L71" i="22"/>
  <c r="J71" i="22"/>
  <c r="R66" i="22"/>
  <c r="N66" i="22"/>
  <c r="L66" i="22"/>
  <c r="J66" i="22"/>
  <c r="R62" i="22"/>
  <c r="P62" i="22"/>
  <c r="P66" i="22" s="1"/>
  <c r="N62" i="22"/>
  <c r="L62" i="22"/>
  <c r="J62" i="22"/>
  <c r="T53" i="22"/>
  <c r="R47" i="22"/>
  <c r="P47" i="22"/>
  <c r="N47" i="22"/>
  <c r="L47" i="22"/>
  <c r="J47" i="22"/>
  <c r="R42" i="22"/>
  <c r="P42" i="22"/>
  <c r="N42" i="22"/>
  <c r="L42" i="22"/>
  <c r="J42" i="22"/>
  <c r="R35" i="22"/>
  <c r="P35" i="22"/>
  <c r="N35" i="22"/>
  <c r="L35" i="22"/>
  <c r="J35" i="22"/>
  <c r="T27" i="22"/>
  <c r="R21" i="22"/>
  <c r="P21" i="22"/>
  <c r="P24" i="22" s="1"/>
  <c r="N21" i="22"/>
  <c r="N24" i="22" s="1"/>
  <c r="L21" i="22"/>
  <c r="L24" i="22" s="1"/>
  <c r="J21" i="22"/>
  <c r="J24" i="22" s="1"/>
  <c r="R73" i="21"/>
  <c r="P73" i="21"/>
  <c r="N73" i="21"/>
  <c r="L73" i="21"/>
  <c r="J73" i="21"/>
  <c r="R69" i="21"/>
  <c r="P69" i="21"/>
  <c r="N69" i="21"/>
  <c r="L69" i="21"/>
  <c r="J69" i="21"/>
  <c r="R64" i="21"/>
  <c r="N64" i="21"/>
  <c r="L64" i="21"/>
  <c r="J64" i="21"/>
  <c r="R60" i="21"/>
  <c r="P60" i="21"/>
  <c r="P64" i="21" s="1"/>
  <c r="N60" i="21"/>
  <c r="L60" i="21"/>
  <c r="J60" i="21"/>
  <c r="T52" i="21"/>
  <c r="R46" i="21"/>
  <c r="P46" i="21"/>
  <c r="N46" i="21"/>
  <c r="L46" i="21"/>
  <c r="J46" i="21"/>
  <c r="R40" i="21"/>
  <c r="P40" i="21"/>
  <c r="N40" i="21"/>
  <c r="L40" i="21"/>
  <c r="J40" i="21"/>
  <c r="R36" i="21"/>
  <c r="P36" i="21"/>
  <c r="N36" i="21"/>
  <c r="L36" i="21"/>
  <c r="J36" i="21"/>
  <c r="T27" i="21"/>
  <c r="R21" i="21"/>
  <c r="P21" i="21"/>
  <c r="P24" i="21" s="1"/>
  <c r="N21" i="21"/>
  <c r="N24" i="21" s="1"/>
  <c r="L21" i="21"/>
  <c r="L24" i="21" s="1"/>
  <c r="J21" i="21"/>
  <c r="J24" i="21" s="1"/>
  <c r="R93" i="20"/>
  <c r="P93" i="20"/>
  <c r="N93" i="20"/>
  <c r="L93" i="20"/>
  <c r="J93" i="20"/>
  <c r="R89" i="20"/>
  <c r="P89" i="20"/>
  <c r="P96" i="20" s="1"/>
  <c r="N89" i="20"/>
  <c r="L89" i="20"/>
  <c r="J89" i="20"/>
  <c r="R81" i="20"/>
  <c r="N81" i="20"/>
  <c r="L81" i="20"/>
  <c r="J81" i="20"/>
  <c r="J96" i="20" s="1"/>
  <c r="R77" i="20"/>
  <c r="P77" i="20"/>
  <c r="P81" i="20" s="1"/>
  <c r="N77" i="20"/>
  <c r="L77" i="20"/>
  <c r="J77" i="20"/>
  <c r="T66" i="20"/>
  <c r="R60" i="20"/>
  <c r="P60" i="20"/>
  <c r="N60" i="20"/>
  <c r="L60" i="20"/>
  <c r="J60" i="20"/>
  <c r="R50" i="20"/>
  <c r="P50" i="20"/>
  <c r="N50" i="20"/>
  <c r="L50" i="20"/>
  <c r="J50" i="20"/>
  <c r="R40" i="20"/>
  <c r="P40" i="20"/>
  <c r="P63" i="20" s="1"/>
  <c r="N40" i="20"/>
  <c r="L40" i="20"/>
  <c r="J40" i="20"/>
  <c r="T27" i="20"/>
  <c r="R21" i="20"/>
  <c r="P21" i="20"/>
  <c r="P24" i="20" s="1"/>
  <c r="N21" i="20"/>
  <c r="N24" i="20" s="1"/>
  <c r="L21" i="20"/>
  <c r="L24" i="20" s="1"/>
  <c r="J21" i="20"/>
  <c r="J24" i="20" s="1"/>
  <c r="J53" i="25" l="1"/>
  <c r="L75" i="24"/>
  <c r="P75" i="24"/>
  <c r="L45" i="24"/>
  <c r="N45" i="24"/>
  <c r="J45" i="24"/>
  <c r="P45" i="24"/>
  <c r="J75" i="24"/>
  <c r="J19" i="24"/>
  <c r="J78" i="23"/>
  <c r="J45" i="23"/>
  <c r="P45" i="23"/>
  <c r="N45" i="23"/>
  <c r="L78" i="23"/>
  <c r="N78" i="23"/>
  <c r="J22" i="23"/>
  <c r="J25" i="20"/>
  <c r="N63" i="20"/>
  <c r="N96" i="20"/>
  <c r="L50" i="22"/>
  <c r="L78" i="22"/>
  <c r="P78" i="22"/>
  <c r="N78" i="22"/>
  <c r="P50" i="22"/>
  <c r="N50" i="22"/>
  <c r="J78" i="22"/>
  <c r="J50" i="22"/>
  <c r="J25" i="22"/>
  <c r="N76" i="21"/>
  <c r="N49" i="21"/>
  <c r="J76" i="21"/>
  <c r="J49" i="21"/>
  <c r="P49" i="21"/>
  <c r="P76" i="21"/>
  <c r="L49" i="21"/>
  <c r="L76" i="21"/>
  <c r="J25" i="21"/>
  <c r="J63" i="20"/>
  <c r="L63" i="20"/>
  <c r="L96" i="20"/>
  <c r="J97" i="20" s="1"/>
  <c r="R75" i="19"/>
  <c r="P75" i="19"/>
  <c r="N75" i="19"/>
  <c r="L75" i="19"/>
  <c r="J75" i="19"/>
  <c r="R71" i="19"/>
  <c r="P71" i="19"/>
  <c r="N71" i="19"/>
  <c r="L71" i="19"/>
  <c r="J71" i="19"/>
  <c r="R63" i="19"/>
  <c r="N63" i="19"/>
  <c r="L63" i="19"/>
  <c r="J63" i="19"/>
  <c r="R59" i="19"/>
  <c r="P59" i="19"/>
  <c r="P63" i="19" s="1"/>
  <c r="N59" i="19"/>
  <c r="L59" i="19"/>
  <c r="J59" i="19"/>
  <c r="T50" i="19"/>
  <c r="R44" i="19"/>
  <c r="P44" i="19"/>
  <c r="N44" i="19"/>
  <c r="L44" i="19"/>
  <c r="J44" i="19"/>
  <c r="R35" i="19"/>
  <c r="P35" i="19"/>
  <c r="N35" i="19"/>
  <c r="L35" i="19"/>
  <c r="J35" i="19"/>
  <c r="R30" i="19"/>
  <c r="P30" i="19"/>
  <c r="N30" i="19"/>
  <c r="L30" i="19"/>
  <c r="J30" i="19"/>
  <c r="T21" i="19"/>
  <c r="R15" i="19"/>
  <c r="P15" i="19"/>
  <c r="P18" i="19" s="1"/>
  <c r="N15" i="19"/>
  <c r="N18" i="19" s="1"/>
  <c r="L15" i="19"/>
  <c r="L18" i="19" s="1"/>
  <c r="J15" i="19"/>
  <c r="J18" i="19" s="1"/>
  <c r="R78" i="18"/>
  <c r="P78" i="18"/>
  <c r="N78" i="18"/>
  <c r="L78" i="18"/>
  <c r="J78" i="18"/>
  <c r="R74" i="18"/>
  <c r="P74" i="18"/>
  <c r="N74" i="18"/>
  <c r="L74" i="18"/>
  <c r="J74" i="18"/>
  <c r="R66" i="18"/>
  <c r="N66" i="18"/>
  <c r="L66" i="18"/>
  <c r="J66" i="18"/>
  <c r="R62" i="18"/>
  <c r="P62" i="18"/>
  <c r="P66" i="18" s="1"/>
  <c r="N62" i="18"/>
  <c r="L62" i="18"/>
  <c r="J62" i="18"/>
  <c r="T54" i="18"/>
  <c r="R48" i="18"/>
  <c r="P48" i="18"/>
  <c r="N48" i="18"/>
  <c r="L48" i="18"/>
  <c r="J48" i="18"/>
  <c r="R38" i="18"/>
  <c r="P38" i="18"/>
  <c r="N38" i="18"/>
  <c r="L38" i="18"/>
  <c r="J38" i="18"/>
  <c r="R28" i="18"/>
  <c r="P28" i="18"/>
  <c r="N28" i="18"/>
  <c r="L28" i="18"/>
  <c r="J28" i="18"/>
  <c r="T20" i="18"/>
  <c r="R14" i="18"/>
  <c r="P14" i="18"/>
  <c r="P17" i="18" s="1"/>
  <c r="N14" i="18"/>
  <c r="N17" i="18" s="1"/>
  <c r="L14" i="18"/>
  <c r="L17" i="18" s="1"/>
  <c r="J14" i="18"/>
  <c r="J17" i="18" s="1"/>
  <c r="R82" i="17"/>
  <c r="P82" i="17"/>
  <c r="N82" i="17"/>
  <c r="L82" i="17"/>
  <c r="J82" i="17"/>
  <c r="R78" i="17"/>
  <c r="P78" i="17"/>
  <c r="N78" i="17"/>
  <c r="L78" i="17"/>
  <c r="J78" i="17"/>
  <c r="R70" i="17"/>
  <c r="N70" i="17"/>
  <c r="L70" i="17"/>
  <c r="J70" i="17"/>
  <c r="R66" i="17"/>
  <c r="P66" i="17"/>
  <c r="P70" i="17" s="1"/>
  <c r="N66" i="17"/>
  <c r="L66" i="17"/>
  <c r="J66" i="17"/>
  <c r="T55" i="17"/>
  <c r="R49" i="17"/>
  <c r="P49" i="17"/>
  <c r="N49" i="17"/>
  <c r="L49" i="17"/>
  <c r="J49" i="17"/>
  <c r="R39" i="17"/>
  <c r="P39" i="17"/>
  <c r="N39" i="17"/>
  <c r="L39" i="17"/>
  <c r="J39" i="17"/>
  <c r="R35" i="17"/>
  <c r="P35" i="17"/>
  <c r="N35" i="17"/>
  <c r="L35" i="17"/>
  <c r="J35" i="17"/>
  <c r="T27" i="17"/>
  <c r="R21" i="17"/>
  <c r="P21" i="17"/>
  <c r="P24" i="17" s="1"/>
  <c r="N21" i="17"/>
  <c r="N24" i="17" s="1"/>
  <c r="L21" i="17"/>
  <c r="L24" i="17" s="1"/>
  <c r="J21" i="17"/>
  <c r="J24" i="17" s="1"/>
  <c r="R79" i="16"/>
  <c r="P79" i="16"/>
  <c r="N79" i="16"/>
  <c r="L79" i="16"/>
  <c r="J79" i="16"/>
  <c r="R75" i="16"/>
  <c r="P75" i="16"/>
  <c r="N75" i="16"/>
  <c r="L75" i="16"/>
  <c r="J75" i="16"/>
  <c r="R67" i="16"/>
  <c r="N67" i="16"/>
  <c r="L67" i="16"/>
  <c r="J67" i="16"/>
  <c r="R63" i="16"/>
  <c r="P63" i="16"/>
  <c r="P67" i="16" s="1"/>
  <c r="N63" i="16"/>
  <c r="N82" i="16" s="1"/>
  <c r="L63" i="16"/>
  <c r="J63" i="16"/>
  <c r="T52" i="16"/>
  <c r="R46" i="16"/>
  <c r="P46" i="16"/>
  <c r="N46" i="16"/>
  <c r="L46" i="16"/>
  <c r="J46" i="16"/>
  <c r="R36" i="16"/>
  <c r="P36" i="16"/>
  <c r="N36" i="16"/>
  <c r="L36" i="16"/>
  <c r="J36" i="16"/>
  <c r="R33" i="16"/>
  <c r="P33" i="16"/>
  <c r="N33" i="16"/>
  <c r="L33" i="16"/>
  <c r="J33" i="16"/>
  <c r="T27" i="16"/>
  <c r="R21" i="16"/>
  <c r="P21" i="16"/>
  <c r="P24" i="16" s="1"/>
  <c r="N21" i="16"/>
  <c r="N24" i="16" s="1"/>
  <c r="L21" i="16"/>
  <c r="L24" i="16" s="1"/>
  <c r="J21" i="16"/>
  <c r="J24" i="16" s="1"/>
  <c r="R62" i="15"/>
  <c r="P62" i="15"/>
  <c r="N62" i="15"/>
  <c r="L62" i="15"/>
  <c r="J62" i="15"/>
  <c r="R58" i="15"/>
  <c r="P58" i="15"/>
  <c r="N58" i="15"/>
  <c r="L58" i="15"/>
  <c r="J58" i="15"/>
  <c r="R54" i="15"/>
  <c r="N54" i="15"/>
  <c r="L54" i="15"/>
  <c r="J54" i="15"/>
  <c r="R50" i="15"/>
  <c r="P50" i="15"/>
  <c r="P54" i="15" s="1"/>
  <c r="N50" i="15"/>
  <c r="L50" i="15"/>
  <c r="J50" i="15"/>
  <c r="T42" i="15"/>
  <c r="R36" i="15"/>
  <c r="P36" i="15"/>
  <c r="N36" i="15"/>
  <c r="L36" i="15"/>
  <c r="J36" i="15"/>
  <c r="R31" i="15"/>
  <c r="P31" i="15"/>
  <c r="N31" i="15"/>
  <c r="L31" i="15"/>
  <c r="J31" i="15"/>
  <c r="R27" i="15"/>
  <c r="P27" i="15"/>
  <c r="N27" i="15"/>
  <c r="L27" i="15"/>
  <c r="J27" i="15"/>
  <c r="T19" i="15"/>
  <c r="R13" i="15"/>
  <c r="P13" i="15"/>
  <c r="P16" i="15" s="1"/>
  <c r="N13" i="15"/>
  <c r="N16" i="15" s="1"/>
  <c r="L13" i="15"/>
  <c r="L16" i="15" s="1"/>
  <c r="J13" i="15"/>
  <c r="J16" i="15" s="1"/>
  <c r="R70" i="14"/>
  <c r="P70" i="14"/>
  <c r="N70" i="14"/>
  <c r="L70" i="14"/>
  <c r="J70" i="14"/>
  <c r="R66" i="14"/>
  <c r="P66" i="14"/>
  <c r="N66" i="14"/>
  <c r="L66" i="14"/>
  <c r="J66" i="14"/>
  <c r="R63" i="14"/>
  <c r="N63" i="14"/>
  <c r="L63" i="14"/>
  <c r="J63" i="14"/>
  <c r="R59" i="14"/>
  <c r="P59" i="14"/>
  <c r="P63" i="14" s="1"/>
  <c r="N59" i="14"/>
  <c r="L59" i="14"/>
  <c r="J59" i="14"/>
  <c r="T48" i="14"/>
  <c r="R42" i="14"/>
  <c r="P42" i="14"/>
  <c r="N42" i="14"/>
  <c r="L42" i="14"/>
  <c r="J42" i="14"/>
  <c r="R38" i="14"/>
  <c r="P38" i="14"/>
  <c r="N38" i="14"/>
  <c r="L38" i="14"/>
  <c r="J38" i="14"/>
  <c r="R35" i="14"/>
  <c r="P35" i="14"/>
  <c r="N35" i="14"/>
  <c r="L35" i="14"/>
  <c r="J35" i="14"/>
  <c r="T27" i="14"/>
  <c r="R21" i="14"/>
  <c r="P21" i="14"/>
  <c r="P24" i="14" s="1"/>
  <c r="N21" i="14"/>
  <c r="N24" i="14" s="1"/>
  <c r="L21" i="14"/>
  <c r="L24" i="14" s="1"/>
  <c r="J21" i="14"/>
  <c r="J24" i="14" s="1"/>
  <c r="R63" i="13"/>
  <c r="P63" i="13"/>
  <c r="N63" i="13"/>
  <c r="L63" i="13"/>
  <c r="J63" i="13"/>
  <c r="R59" i="13"/>
  <c r="P59" i="13"/>
  <c r="N59" i="13"/>
  <c r="L59" i="13"/>
  <c r="J59" i="13"/>
  <c r="R55" i="13"/>
  <c r="N55" i="13"/>
  <c r="L55" i="13"/>
  <c r="J55" i="13"/>
  <c r="R51" i="13"/>
  <c r="P51" i="13"/>
  <c r="P55" i="13" s="1"/>
  <c r="N51" i="13"/>
  <c r="L51" i="13"/>
  <c r="J51" i="13"/>
  <c r="T40" i="13"/>
  <c r="R34" i="13"/>
  <c r="P34" i="13"/>
  <c r="N34" i="13"/>
  <c r="L34" i="13"/>
  <c r="J34" i="13"/>
  <c r="R32" i="13"/>
  <c r="P32" i="13"/>
  <c r="N32" i="13"/>
  <c r="L32" i="13"/>
  <c r="J32" i="13"/>
  <c r="R28" i="13"/>
  <c r="P28" i="13"/>
  <c r="N28" i="13"/>
  <c r="L28" i="13"/>
  <c r="J28" i="13"/>
  <c r="T22" i="13"/>
  <c r="R16" i="13"/>
  <c r="P16" i="13"/>
  <c r="P19" i="13" s="1"/>
  <c r="N16" i="13"/>
  <c r="N19" i="13" s="1"/>
  <c r="L16" i="13"/>
  <c r="L19" i="13" s="1"/>
  <c r="J16" i="13"/>
  <c r="J19" i="13" s="1"/>
  <c r="R73" i="12"/>
  <c r="P73" i="12"/>
  <c r="N73" i="12"/>
  <c r="L73" i="12"/>
  <c r="J73" i="12"/>
  <c r="R69" i="12"/>
  <c r="P69" i="12"/>
  <c r="N69" i="12"/>
  <c r="L69" i="12"/>
  <c r="J69" i="12"/>
  <c r="R64" i="12"/>
  <c r="N64" i="12"/>
  <c r="L64" i="12"/>
  <c r="J64" i="12"/>
  <c r="R60" i="12"/>
  <c r="P60" i="12"/>
  <c r="P64" i="12" s="1"/>
  <c r="N60" i="12"/>
  <c r="L60" i="12"/>
  <c r="J60" i="12"/>
  <c r="T47" i="12"/>
  <c r="R41" i="12"/>
  <c r="P41" i="12"/>
  <c r="N41" i="12"/>
  <c r="L41" i="12"/>
  <c r="J41" i="12"/>
  <c r="R37" i="12"/>
  <c r="P37" i="12"/>
  <c r="N37" i="12"/>
  <c r="L37" i="12"/>
  <c r="J37" i="12"/>
  <c r="R35" i="12"/>
  <c r="P35" i="12"/>
  <c r="N35" i="12"/>
  <c r="L35" i="12"/>
  <c r="J35" i="12"/>
  <c r="T28" i="12"/>
  <c r="R22" i="12"/>
  <c r="P22" i="12"/>
  <c r="P25" i="12" s="1"/>
  <c r="N22" i="12"/>
  <c r="N25" i="12" s="1"/>
  <c r="L22" i="12"/>
  <c r="L25" i="12" s="1"/>
  <c r="J22" i="12"/>
  <c r="J25" i="12" s="1"/>
  <c r="R103" i="11"/>
  <c r="P103" i="11"/>
  <c r="N103" i="11"/>
  <c r="L103" i="11"/>
  <c r="J103" i="11"/>
  <c r="R99" i="11"/>
  <c r="P99" i="11"/>
  <c r="N99" i="11"/>
  <c r="L99" i="11"/>
  <c r="J99" i="11"/>
  <c r="R91" i="11"/>
  <c r="N91" i="11"/>
  <c r="L91" i="11"/>
  <c r="J91" i="11"/>
  <c r="R87" i="11"/>
  <c r="P87" i="11"/>
  <c r="P91" i="11" s="1"/>
  <c r="N87" i="11"/>
  <c r="L87" i="11"/>
  <c r="J87" i="11"/>
  <c r="T76" i="11"/>
  <c r="R70" i="11"/>
  <c r="P70" i="11"/>
  <c r="N70" i="11"/>
  <c r="L70" i="11"/>
  <c r="J70" i="11"/>
  <c r="R60" i="11"/>
  <c r="P60" i="11"/>
  <c r="N60" i="11"/>
  <c r="L60" i="11"/>
  <c r="J60" i="11"/>
  <c r="R50" i="11"/>
  <c r="P50" i="11"/>
  <c r="P73" i="11" s="1"/>
  <c r="N50" i="11"/>
  <c r="L50" i="11"/>
  <c r="J50" i="11"/>
  <c r="T37" i="11"/>
  <c r="R31" i="11"/>
  <c r="P31" i="11"/>
  <c r="P34" i="11" s="1"/>
  <c r="N31" i="11"/>
  <c r="N34" i="11" s="1"/>
  <c r="L31" i="11"/>
  <c r="L34" i="11" s="1"/>
  <c r="J31" i="11"/>
  <c r="J34" i="11" s="1"/>
  <c r="R97" i="10"/>
  <c r="P97" i="10"/>
  <c r="N97" i="10"/>
  <c r="L97" i="10"/>
  <c r="J97" i="10"/>
  <c r="R93" i="10"/>
  <c r="P93" i="10"/>
  <c r="N93" i="10"/>
  <c r="L93" i="10"/>
  <c r="J93" i="10"/>
  <c r="R85" i="10"/>
  <c r="N85" i="10"/>
  <c r="L85" i="10"/>
  <c r="J85" i="10"/>
  <c r="R81" i="10"/>
  <c r="P81" i="10"/>
  <c r="P85" i="10" s="1"/>
  <c r="N81" i="10"/>
  <c r="L81" i="10"/>
  <c r="J81" i="10"/>
  <c r="T70" i="10"/>
  <c r="R64" i="10"/>
  <c r="P64" i="10"/>
  <c r="N64" i="10"/>
  <c r="L64" i="10"/>
  <c r="J64" i="10"/>
  <c r="R54" i="10"/>
  <c r="P54" i="10"/>
  <c r="N54" i="10"/>
  <c r="L54" i="10"/>
  <c r="J54" i="10"/>
  <c r="R44" i="10"/>
  <c r="P44" i="10"/>
  <c r="N44" i="10"/>
  <c r="L44" i="10"/>
  <c r="J44" i="10"/>
  <c r="T31" i="10"/>
  <c r="R25" i="10"/>
  <c r="P25" i="10"/>
  <c r="P28" i="10" s="1"/>
  <c r="N25" i="10"/>
  <c r="N28" i="10" s="1"/>
  <c r="L25" i="10"/>
  <c r="L28" i="10" s="1"/>
  <c r="J25" i="10"/>
  <c r="J28" i="10" s="1"/>
  <c r="J76" i="24" l="1"/>
  <c r="J46" i="24"/>
  <c r="J79" i="23"/>
  <c r="J46" i="23"/>
  <c r="N39" i="15"/>
  <c r="N65" i="15"/>
  <c r="P82" i="16"/>
  <c r="J79" i="22"/>
  <c r="J51" i="22"/>
  <c r="J77" i="21"/>
  <c r="J50" i="21"/>
  <c r="L49" i="16"/>
  <c r="P81" i="18"/>
  <c r="L52" i="17"/>
  <c r="J64" i="20"/>
  <c r="P78" i="19"/>
  <c r="L47" i="19"/>
  <c r="J78" i="19"/>
  <c r="J47" i="19"/>
  <c r="L78" i="19"/>
  <c r="P47" i="19"/>
  <c r="N78" i="19"/>
  <c r="N47" i="19"/>
  <c r="J19" i="19"/>
  <c r="P51" i="18"/>
  <c r="L51" i="18"/>
  <c r="J81" i="18"/>
  <c r="N51" i="18"/>
  <c r="J51" i="18"/>
  <c r="L81" i="18"/>
  <c r="N81" i="18"/>
  <c r="J18" i="18"/>
  <c r="N52" i="17"/>
  <c r="J85" i="17"/>
  <c r="L85" i="17"/>
  <c r="P85" i="17"/>
  <c r="N85" i="17"/>
  <c r="J52" i="17"/>
  <c r="P52" i="17"/>
  <c r="J25" i="17"/>
  <c r="L82" i="16"/>
  <c r="J82" i="16"/>
  <c r="N49" i="16"/>
  <c r="P49" i="16"/>
  <c r="J49" i="16"/>
  <c r="J25" i="16"/>
  <c r="L39" i="15"/>
  <c r="L65" i="15"/>
  <c r="P65" i="15"/>
  <c r="J65" i="15"/>
  <c r="J39" i="15"/>
  <c r="P39" i="15"/>
  <c r="J17" i="15"/>
  <c r="N45" i="14"/>
  <c r="J45" i="14"/>
  <c r="P45" i="14"/>
  <c r="P73" i="14"/>
  <c r="L45" i="14"/>
  <c r="L73" i="14"/>
  <c r="N73" i="14"/>
  <c r="J73" i="14"/>
  <c r="J25" i="14"/>
  <c r="J66" i="13"/>
  <c r="P37" i="13"/>
  <c r="L66" i="13"/>
  <c r="N66" i="13"/>
  <c r="P66" i="13"/>
  <c r="J37" i="13"/>
  <c r="N37" i="13"/>
  <c r="L37" i="13"/>
  <c r="J20" i="13"/>
  <c r="J44" i="12"/>
  <c r="P76" i="12"/>
  <c r="L44" i="12"/>
  <c r="N44" i="12"/>
  <c r="P44" i="12"/>
  <c r="N76" i="12"/>
  <c r="J76" i="12"/>
  <c r="L76" i="12"/>
  <c r="J26" i="12"/>
  <c r="L106" i="11"/>
  <c r="N106" i="11"/>
  <c r="P106" i="11"/>
  <c r="N100" i="10"/>
  <c r="L73" i="11"/>
  <c r="J106" i="11"/>
  <c r="N73" i="11"/>
  <c r="J73" i="11"/>
  <c r="J35" i="11"/>
  <c r="J100" i="10"/>
  <c r="N67" i="10"/>
  <c r="J29" i="10"/>
  <c r="P67" i="10"/>
  <c r="P100" i="10"/>
  <c r="J67" i="10"/>
  <c r="L67" i="10"/>
  <c r="L100" i="10"/>
  <c r="J83" i="16" l="1"/>
  <c r="J53" i="17"/>
  <c r="J82" i="18"/>
  <c r="J52" i="18"/>
  <c r="J48" i="19"/>
  <c r="J79" i="19"/>
  <c r="J86" i="17"/>
  <c r="J50" i="16"/>
  <c r="J66" i="15"/>
  <c r="J40" i="15"/>
  <c r="J74" i="14"/>
  <c r="J46" i="14"/>
  <c r="J67" i="13"/>
  <c r="J38" i="13"/>
  <c r="J45" i="12"/>
  <c r="J77" i="12"/>
  <c r="J74" i="11"/>
  <c r="J107" i="11"/>
  <c r="J101" i="10"/>
  <c r="J68" i="10"/>
  <c r="R93" i="9"/>
  <c r="P93" i="9"/>
  <c r="N93" i="9"/>
  <c r="L93" i="9"/>
  <c r="J93" i="9"/>
  <c r="R89" i="9"/>
  <c r="P89" i="9"/>
  <c r="N89" i="9"/>
  <c r="L89" i="9"/>
  <c r="J89" i="9"/>
  <c r="R81" i="9"/>
  <c r="N81" i="9"/>
  <c r="L81" i="9"/>
  <c r="J81" i="9"/>
  <c r="R77" i="9"/>
  <c r="P77" i="9"/>
  <c r="P81" i="9" s="1"/>
  <c r="N77" i="9"/>
  <c r="L77" i="9"/>
  <c r="J77" i="9"/>
  <c r="T66" i="9"/>
  <c r="R60" i="9"/>
  <c r="P60" i="9"/>
  <c r="N60" i="9"/>
  <c r="L60" i="9"/>
  <c r="J60" i="9"/>
  <c r="R50" i="9"/>
  <c r="P50" i="9"/>
  <c r="N50" i="9"/>
  <c r="L50" i="9"/>
  <c r="J50" i="9"/>
  <c r="R40" i="9"/>
  <c r="P40" i="9"/>
  <c r="N40" i="9"/>
  <c r="L40" i="9"/>
  <c r="J40" i="9"/>
  <c r="T27" i="9"/>
  <c r="R21" i="9"/>
  <c r="P21" i="9"/>
  <c r="P24" i="9" s="1"/>
  <c r="N21" i="9"/>
  <c r="N24" i="9" s="1"/>
  <c r="L21" i="9"/>
  <c r="L24" i="9" s="1"/>
  <c r="J21" i="9"/>
  <c r="J24" i="9" s="1"/>
  <c r="P96" i="9" l="1"/>
  <c r="P63" i="9"/>
  <c r="L96" i="9"/>
  <c r="J96" i="9"/>
  <c r="N96" i="9"/>
  <c r="J63" i="9"/>
  <c r="L63" i="9"/>
  <c r="N63" i="9"/>
  <c r="J25" i="9"/>
  <c r="T66" i="8"/>
  <c r="R99" i="8"/>
  <c r="P99" i="8"/>
  <c r="N99" i="8"/>
  <c r="L99" i="8"/>
  <c r="J99" i="8"/>
  <c r="R95" i="8"/>
  <c r="P95" i="8"/>
  <c r="N95" i="8"/>
  <c r="L95" i="8"/>
  <c r="J95" i="8"/>
  <c r="R81" i="8"/>
  <c r="N81" i="8"/>
  <c r="L81" i="8"/>
  <c r="J81" i="8"/>
  <c r="R77" i="8"/>
  <c r="P77" i="8"/>
  <c r="P81" i="8" s="1"/>
  <c r="N77" i="8"/>
  <c r="L77" i="8"/>
  <c r="J77" i="8"/>
  <c r="R60" i="8"/>
  <c r="P60" i="8"/>
  <c r="N60" i="8"/>
  <c r="L60" i="8"/>
  <c r="J60" i="8"/>
  <c r="R50" i="8"/>
  <c r="P50" i="8"/>
  <c r="N50" i="8"/>
  <c r="L50" i="8"/>
  <c r="J50" i="8"/>
  <c r="R40" i="8"/>
  <c r="P40" i="8"/>
  <c r="N40" i="8"/>
  <c r="L40" i="8"/>
  <c r="J40" i="8"/>
  <c r="T27" i="8"/>
  <c r="R21" i="8"/>
  <c r="P21" i="8"/>
  <c r="P24" i="8" s="1"/>
  <c r="N21" i="8"/>
  <c r="N24" i="8" s="1"/>
  <c r="L21" i="8"/>
  <c r="L24" i="8" s="1"/>
  <c r="J21" i="8"/>
  <c r="J24" i="8" s="1"/>
  <c r="N102" i="8" l="1"/>
  <c r="P102" i="8"/>
  <c r="J97" i="9"/>
  <c r="J64" i="9"/>
  <c r="L63" i="8"/>
  <c r="P63" i="8"/>
  <c r="J102" i="8"/>
  <c r="J25" i="8"/>
  <c r="N63" i="8"/>
  <c r="J63" i="8"/>
  <c r="L102" i="8"/>
  <c r="R99" i="7"/>
  <c r="P99" i="7"/>
  <c r="N99" i="7"/>
  <c r="L99" i="7"/>
  <c r="J99" i="7"/>
  <c r="R95" i="7"/>
  <c r="P95" i="7"/>
  <c r="N95" i="7"/>
  <c r="L95" i="7"/>
  <c r="J95" i="7"/>
  <c r="R81" i="7"/>
  <c r="N81" i="7"/>
  <c r="L81" i="7"/>
  <c r="J81" i="7"/>
  <c r="R77" i="7"/>
  <c r="P77" i="7"/>
  <c r="P81" i="7" s="1"/>
  <c r="N77" i="7"/>
  <c r="L77" i="7"/>
  <c r="J77" i="7"/>
  <c r="T66" i="7"/>
  <c r="R60" i="7"/>
  <c r="P60" i="7"/>
  <c r="N60" i="7"/>
  <c r="L60" i="7"/>
  <c r="J60" i="7"/>
  <c r="R50" i="7"/>
  <c r="P50" i="7"/>
  <c r="N50" i="7"/>
  <c r="L50" i="7"/>
  <c r="J50" i="7"/>
  <c r="R40" i="7"/>
  <c r="P40" i="7"/>
  <c r="N40" i="7"/>
  <c r="L40" i="7"/>
  <c r="J40" i="7"/>
  <c r="T27" i="7"/>
  <c r="R21" i="7"/>
  <c r="P21" i="7"/>
  <c r="P24" i="7" s="1"/>
  <c r="N21" i="7"/>
  <c r="N24" i="7" s="1"/>
  <c r="L21" i="7"/>
  <c r="L24" i="7" s="1"/>
  <c r="J21" i="7"/>
  <c r="J24" i="7" s="1"/>
  <c r="N51" i="6"/>
  <c r="J102" i="7" l="1"/>
  <c r="N102" i="7"/>
  <c r="J64" i="8"/>
  <c r="J103" i="8"/>
  <c r="L63" i="7"/>
  <c r="P102" i="7"/>
  <c r="L102" i="7"/>
  <c r="N63" i="7"/>
  <c r="J63" i="7"/>
  <c r="P63" i="7"/>
  <c r="J25" i="7"/>
  <c r="J103" i="7" l="1"/>
  <c r="J64" i="7"/>
  <c r="T66" i="6"/>
  <c r="T27" i="6"/>
  <c r="T68" i="1"/>
  <c r="T27" i="1"/>
  <c r="R93" i="6"/>
  <c r="P93" i="6"/>
  <c r="N93" i="6"/>
  <c r="L93" i="6"/>
  <c r="J93" i="6"/>
  <c r="R89" i="6"/>
  <c r="P89" i="6"/>
  <c r="N89" i="6"/>
  <c r="L89" i="6"/>
  <c r="J89" i="6"/>
  <c r="R81" i="6"/>
  <c r="N81" i="6"/>
  <c r="L81" i="6"/>
  <c r="J81" i="6"/>
  <c r="R77" i="6"/>
  <c r="P77" i="6"/>
  <c r="P81" i="6" s="1"/>
  <c r="N77" i="6"/>
  <c r="L77" i="6"/>
  <c r="J77" i="6"/>
  <c r="R60" i="6"/>
  <c r="P60" i="6"/>
  <c r="N60" i="6"/>
  <c r="L60" i="6"/>
  <c r="J60" i="6"/>
  <c r="R50" i="6"/>
  <c r="P50" i="6"/>
  <c r="N50" i="6"/>
  <c r="L50" i="6"/>
  <c r="J50" i="6"/>
  <c r="R40" i="6"/>
  <c r="P40" i="6"/>
  <c r="N40" i="6"/>
  <c r="L40" i="6"/>
  <c r="J40" i="6"/>
  <c r="R21" i="6"/>
  <c r="P21" i="6"/>
  <c r="P24" i="6" s="1"/>
  <c r="N21" i="6"/>
  <c r="N24" i="6" s="1"/>
  <c r="L21" i="6"/>
  <c r="L24" i="6" s="1"/>
  <c r="J21" i="6"/>
  <c r="J24" i="6" s="1"/>
  <c r="N96" i="6" l="1"/>
  <c r="P63" i="6"/>
  <c r="P96" i="6"/>
  <c r="L96" i="6"/>
  <c r="J96" i="6"/>
  <c r="N63" i="6"/>
  <c r="J63" i="6"/>
  <c r="L63" i="6"/>
  <c r="J25" i="6"/>
  <c r="J64" i="6" l="1"/>
  <c r="J97" i="6"/>
  <c r="T66" i="4"/>
  <c r="T27" i="4"/>
  <c r="R92" i="4"/>
  <c r="P92" i="4"/>
  <c r="N92" i="4"/>
  <c r="L92" i="4"/>
  <c r="J92" i="4"/>
  <c r="R88" i="4"/>
  <c r="P88" i="4"/>
  <c r="N88" i="4"/>
  <c r="L88" i="4"/>
  <c r="J88" i="4"/>
  <c r="R84" i="4"/>
  <c r="N84" i="4"/>
  <c r="L84" i="4"/>
  <c r="J84" i="4"/>
  <c r="R77" i="4"/>
  <c r="P77" i="4"/>
  <c r="P84" i="4" s="1"/>
  <c r="N77" i="4"/>
  <c r="L77" i="4"/>
  <c r="J77" i="4"/>
  <c r="R60" i="4"/>
  <c r="P60" i="4"/>
  <c r="N60" i="4"/>
  <c r="L60" i="4"/>
  <c r="J60" i="4"/>
  <c r="R50" i="4"/>
  <c r="P50" i="4"/>
  <c r="N50" i="4"/>
  <c r="L50" i="4"/>
  <c r="J50" i="4"/>
  <c r="R40" i="4"/>
  <c r="P40" i="4"/>
  <c r="N40" i="4"/>
  <c r="L40" i="4"/>
  <c r="J40" i="4"/>
  <c r="R21" i="4"/>
  <c r="P21" i="4"/>
  <c r="P24" i="4" s="1"/>
  <c r="N21" i="4"/>
  <c r="N24" i="4" s="1"/>
  <c r="L21" i="4"/>
  <c r="L24" i="4" s="1"/>
  <c r="J21" i="4"/>
  <c r="J24" i="4" s="1"/>
  <c r="J82" i="2"/>
  <c r="L95" i="4" l="1"/>
  <c r="P95" i="4"/>
  <c r="N95" i="4"/>
  <c r="J95" i="4"/>
  <c r="J63" i="4"/>
  <c r="L63" i="4"/>
  <c r="N63" i="4"/>
  <c r="P63" i="4"/>
  <c r="J25" i="4"/>
  <c r="J96" i="4" l="1"/>
  <c r="J64" i="4"/>
  <c r="J31" i="2" l="1"/>
  <c r="N10" i="2" l="1"/>
  <c r="R94" i="2" l="1"/>
  <c r="P94" i="2"/>
  <c r="N94" i="2"/>
  <c r="L94" i="2"/>
  <c r="J94" i="2"/>
  <c r="R90" i="2"/>
  <c r="P90" i="2"/>
  <c r="P97" i="2" s="1"/>
  <c r="N90" i="2"/>
  <c r="L90" i="2"/>
  <c r="J90" i="2"/>
  <c r="R82" i="2"/>
  <c r="N82" i="2"/>
  <c r="L82" i="2"/>
  <c r="R77" i="2"/>
  <c r="P77" i="2"/>
  <c r="P82" i="2" s="1"/>
  <c r="N77" i="2"/>
  <c r="L77" i="2"/>
  <c r="J77" i="2"/>
  <c r="J97" i="2" s="1"/>
  <c r="R60" i="2"/>
  <c r="P60" i="2"/>
  <c r="N60" i="2"/>
  <c r="L60" i="2"/>
  <c r="J60" i="2"/>
  <c r="R50" i="2"/>
  <c r="P50" i="2"/>
  <c r="N50" i="2"/>
  <c r="L50" i="2"/>
  <c r="J50" i="2"/>
  <c r="R40" i="2"/>
  <c r="P40" i="2"/>
  <c r="N40" i="2"/>
  <c r="L40" i="2"/>
  <c r="J40" i="2"/>
  <c r="R21" i="2"/>
  <c r="P21" i="2"/>
  <c r="P24" i="2" s="1"/>
  <c r="N21" i="2"/>
  <c r="N24" i="2" s="1"/>
  <c r="L21" i="2"/>
  <c r="L24" i="2" s="1"/>
  <c r="J21" i="2"/>
  <c r="J24" i="2" s="1"/>
  <c r="L97" i="2" l="1"/>
  <c r="J25" i="2"/>
  <c r="N97" i="2"/>
  <c r="J98" i="2" s="1"/>
  <c r="J63" i="2"/>
  <c r="L63" i="2"/>
  <c r="N63" i="2"/>
  <c r="P63" i="2"/>
  <c r="R21" i="1"/>
  <c r="P21" i="1"/>
  <c r="P24" i="1" s="1"/>
  <c r="N21" i="1"/>
  <c r="N24" i="1" s="1"/>
  <c r="L21" i="1"/>
  <c r="L24" i="1" s="1"/>
  <c r="J21" i="1"/>
  <c r="J24" i="1" s="1"/>
  <c r="R33" i="1"/>
  <c r="R37" i="1"/>
  <c r="R40" i="1"/>
  <c r="P40" i="1"/>
  <c r="N40" i="1"/>
  <c r="L40" i="1"/>
  <c r="J40" i="1"/>
  <c r="P37" i="1"/>
  <c r="N37" i="1"/>
  <c r="L37" i="1"/>
  <c r="J37" i="1"/>
  <c r="P33" i="1"/>
  <c r="P46" i="1" s="1"/>
  <c r="N33" i="1"/>
  <c r="L33" i="1"/>
  <c r="J33" i="1"/>
  <c r="P79" i="1"/>
  <c r="R83" i="1"/>
  <c r="N83" i="1"/>
  <c r="L83" i="1"/>
  <c r="J83" i="1"/>
  <c r="R79" i="1"/>
  <c r="N79" i="1"/>
  <c r="L79" i="1"/>
  <c r="J79" i="1"/>
  <c r="J46" i="1" l="1"/>
  <c r="L46" i="1"/>
  <c r="N46" i="1"/>
  <c r="P83" i="1"/>
  <c r="P86" i="1" s="1"/>
  <c r="J64" i="2"/>
  <c r="J25" i="1"/>
  <c r="J86" i="1"/>
  <c r="L86" i="1"/>
  <c r="N86" i="1"/>
  <c r="J47" i="1" l="1"/>
  <c r="J87" i="1"/>
</calcChain>
</file>

<file path=xl/sharedStrings.xml><?xml version="1.0" encoding="utf-8"?>
<sst xmlns="http://schemas.openxmlformats.org/spreadsheetml/2006/main" count="9643" uniqueCount="764">
  <si>
    <t>TOPLAM:</t>
  </si>
  <si>
    <t>Bölüm</t>
  </si>
  <si>
    <t>Başlama Saati</t>
  </si>
  <si>
    <t>Bitiş Saati</t>
  </si>
  <si>
    <t>Takip No</t>
  </si>
  <si>
    <t>Üretilen Mamül</t>
  </si>
  <si>
    <t>Adetler</t>
  </si>
  <si>
    <t>Tencere</t>
  </si>
  <si>
    <t>Düdüklü</t>
  </si>
  <si>
    <t>Çaydanlık</t>
  </si>
  <si>
    <t>Duraklama</t>
  </si>
  <si>
    <t>Duraklama Nedenleri</t>
  </si>
  <si>
    <t>Açıklama</t>
  </si>
  <si>
    <t>Friksiyon
 Çelik-1
MUHARREM ÇAM</t>
  </si>
  <si>
    <t>Tarih:</t>
  </si>
  <si>
    <t xml:space="preserve">Friksiyon
 Çelik-2
</t>
  </si>
  <si>
    <t>Teflon</t>
  </si>
  <si>
    <t>Adet</t>
  </si>
  <si>
    <t>LAZER - KESİMHANE GÜNLÜK ÜRETİM RAPORU</t>
  </si>
  <si>
    <t>LAZER
KESİMHANE
HALİS 
KENDİR
MUSTAFA KAHVECİ</t>
  </si>
  <si>
    <t>Dk</t>
  </si>
  <si>
    <t>Kalite</t>
  </si>
  <si>
    <t>Kalınlık</t>
  </si>
  <si>
    <t>Hız</t>
  </si>
  <si>
    <t>Teflon Kapak</t>
  </si>
  <si>
    <t>Çap</t>
  </si>
  <si>
    <t>ÇAKMA GÜNLÜK ÜRETİM RAPORU</t>
  </si>
  <si>
    <t>KESİMHANE GENEL TOPLAM:</t>
  </si>
  <si>
    <t>ÇAKMA GENEL TOPLAM:</t>
  </si>
  <si>
    <t>PRESHANE GÜNLÜK ÜRETİM RAPORU</t>
  </si>
  <si>
    <t>Pres</t>
  </si>
  <si>
    <t>PRESHANE GENEL TOPLAM:</t>
  </si>
  <si>
    <t>PRESHANE HAT-1</t>
  </si>
  <si>
    <t>Pul Çap</t>
  </si>
  <si>
    <t xml:space="preserve">PRESHANE HAT-2
</t>
  </si>
  <si>
    <t>PRESHANE 
ÇAYDANLIK</t>
  </si>
  <si>
    <t>Friksiyon
 Teflon-2</t>
  </si>
  <si>
    <t>Friksiyon
 Teflon-1
Mehmet
Ersöz</t>
  </si>
  <si>
    <t>Kapak</t>
  </si>
  <si>
    <t>Rulo Değişimi</t>
  </si>
  <si>
    <t>Klasik Semaver</t>
  </si>
  <si>
    <t>Belinda Aile Kapak</t>
  </si>
  <si>
    <t>Depo</t>
  </si>
  <si>
    <t>Talaş Değişimi</t>
  </si>
  <si>
    <t>Mega 10no Yıldız Demlik</t>
  </si>
  <si>
    <t>Orta 3no Naz Demlik</t>
  </si>
  <si>
    <t>Aile 7no Yıldız Çaydanlık</t>
  </si>
  <si>
    <t>10925 Kesim Masasında Belinda Mega 7 no kesimi yapılıyor.
Listelerde bütün pullar kesimi yapıldığı için ekip komple gündüzdedir.</t>
  </si>
  <si>
    <t>Tabansız MasterChef 2lt Kızartma</t>
  </si>
  <si>
    <t>5//6</t>
  </si>
  <si>
    <t>Ürün boy ayarlama</t>
  </si>
  <si>
    <t>Sahada tencere listeleri tamamlandığı için çaydanlık bölümüne ve boğma böülüme destek verilyor</t>
  </si>
  <si>
    <t>Yonca Aile 3,5no Belinde Çaydanlık</t>
  </si>
  <si>
    <t>Eres 12x7 Kaçerol 5 pcs</t>
  </si>
  <si>
    <t>13:45 ten sonra Çay keyfi semaver eteği kesildi</t>
  </si>
  <si>
    <t>Tabansız 10no Jumbo Belinda Demlik</t>
  </si>
  <si>
    <t>Ürün çevirme arzası</t>
  </si>
  <si>
    <t>Kalıp Paso - Zımpara</t>
  </si>
  <si>
    <t>Friksiyon
 Çelik-1
Mikail Kenger</t>
  </si>
  <si>
    <t>ERESS 30 KUSKUS TENCERE</t>
  </si>
  <si>
    <t>Mühür Değişimi</t>
  </si>
  <si>
    <t>BEST MARK 30 KUSKUS TENCERE</t>
  </si>
  <si>
    <t>LİNES  30x19,5 OSCAR TEKLİ TENCERE</t>
  </si>
  <si>
    <t>Kalıp Değişimi</t>
  </si>
  <si>
    <t>LİNES  26x16 OSCAR TEKLİ TENCERE</t>
  </si>
  <si>
    <t>LİNES  24x14 OSCAR TEKLİ TENCERE</t>
  </si>
  <si>
    <t>LİNES  22x12 OSCAR TEKLİ TENCERE</t>
  </si>
  <si>
    <t>LİNES  36x23 OSCAR TEKLİ TENCERE</t>
  </si>
  <si>
    <t>Friksiyon
 Çelik-2
Muharrem Çam</t>
  </si>
  <si>
    <t>GEMAK 1,5 LT KÜRE TEK DEMLİK</t>
  </si>
  <si>
    <t>GEMAK 2,0 LT KÜRE TEK DEMLİK</t>
  </si>
  <si>
    <t>BEST MARK 20x10 KASEROLLA 5 PCS</t>
  </si>
  <si>
    <t>ERESS 20x10 KASEROLLA 5 PCS</t>
  </si>
  <si>
    <t>Sahada yeterli ürün olduğu için çalışma olmadı. Çelik çakma-2 Çalışma Yapıldı</t>
  </si>
  <si>
    <t>Veli beyin talimatı ile sabah 2. çakma devreye alındı</t>
  </si>
  <si>
    <t>Cooker Aile 7 No Yıldız Çaydanlık</t>
  </si>
  <si>
    <t>Naz 3 No Orta Boy Demlik</t>
  </si>
  <si>
    <t>Cooker Orta 3 No Yıldız Çaydanlık</t>
  </si>
  <si>
    <t>Sorulacak</t>
  </si>
  <si>
    <t>100925-1</t>
  </si>
  <si>
    <t>Tbs Cooker Aile 7 No Yıldız Dmlik</t>
  </si>
  <si>
    <t>Tbs Cooker Orta 3 No Yıldız Dmlik</t>
  </si>
  <si>
    <t>Kalıp arızası</t>
  </si>
  <si>
    <t>2.El pres 30 dk kalıp arızası
1.El pres 3.100 adet yaptı</t>
  </si>
  <si>
    <t>Yonca Mega 7 no Belinda Çaydanlık</t>
  </si>
  <si>
    <t>2. El Kalıbı sarısı kırıldı.</t>
  </si>
  <si>
    <t>Ürün Değişimi</t>
  </si>
  <si>
    <t>LİNES  36x23 OSCAR TEKLİ TENCERE HELVANE</t>
  </si>
  <si>
    <t>LİNES  40x26 OSCAR TEKLİ TENCERE HELVANE</t>
  </si>
  <si>
    <t>YONCA 24x14  TENCERE TEK ÇİZGİ SATEN 19 PCS DİK</t>
  </si>
  <si>
    <t>LİNES 24x14 TENCERE 9 PCS DİK</t>
  </si>
  <si>
    <t>YONCA 24  TAVA TEK ÇİZGİ SATEN 19 PCS DİK</t>
  </si>
  <si>
    <t>YONCA 26x BASIK  TEK ÇİZGİ SATEN 19 PCS DİK</t>
  </si>
  <si>
    <t>KALIP DEĞİŞİMİ</t>
  </si>
  <si>
    <t>MÜHÜR DEĞİŞİMİ</t>
  </si>
  <si>
    <t>26 DİK BASIK ÇAKILIRKEN KAPSÜL OLMADI. TEKRAR AYARLAMA YAPILDI</t>
  </si>
  <si>
    <t>KALIP DEĞİŞİMİ+AYAR</t>
  </si>
  <si>
    <t>ERESS 20x10 KASEROLLA 5 PCS HELVANE</t>
  </si>
  <si>
    <t>LİNES  20x10 OSCAR TEKLİ TENCERE HELVANE</t>
  </si>
  <si>
    <t>ERESS 12x7 KASEROLLA 5 PCS HELVANE</t>
  </si>
  <si>
    <t>BESTMARK 12x7 KASEROLLA 5 PCS HELVANE</t>
  </si>
  <si>
    <t>TBS MEGA 10 NO YILDIZ DEMLİK</t>
  </si>
  <si>
    <t>DEPO</t>
  </si>
  <si>
    <t>ORTA 3 NO NAZ DEMLİK</t>
  </si>
  <si>
    <t>SANAYİ DENEME PULU</t>
  </si>
  <si>
    <t>AİLE 7 NO BELİNDA ÇAYDANLIK</t>
  </si>
  <si>
    <t>MEGA 10 NO BELİNDA DEMLİK</t>
  </si>
  <si>
    <t>ARA MAL</t>
  </si>
  <si>
    <t>LİNES 20X10 GENİŞ TBN TENCERE</t>
  </si>
  <si>
    <t>18X10 HELVANE TEN</t>
  </si>
  <si>
    <t>RULO DEĞİŞİMİ</t>
  </si>
  <si>
    <t>TALAŞ DEĞİŞİMİ</t>
  </si>
  <si>
    <t>RULO İNDİ BİNDİ</t>
  </si>
  <si>
    <t>RULO YÖN DEĞİŞİMİ</t>
  </si>
  <si>
    <t>LAZER YENİ LİSTELER BEKLİYOR. 
GECE VARDİYASI İPTAL EDİLDİ</t>
  </si>
  <si>
    <t>Yonca Ø22 9 Lt DÜDÜKLÜ</t>
  </si>
  <si>
    <t>TABANSIZ ÇAY KEYFİ SEMAVER ETEK</t>
  </si>
  <si>
    <t>Semaver</t>
  </si>
  <si>
    <t>KALIP POSO</t>
  </si>
  <si>
    <t>KALIP ZIRHI</t>
  </si>
  <si>
    <t>KALIP ZIRHI TORNADA REVİZE EDİLDİ. YENİDEN DENEME YAPILDI</t>
  </si>
  <si>
    <t>PRESHANE HAT-1
Kadir Aksu</t>
  </si>
  <si>
    <t>LİNES 26x8  TENCERE 9 PCS DİK</t>
  </si>
  <si>
    <t>LİNES 24x14  TENCERE TEK ÇİZGİ SATEN 19 PCS  DİK NUMUNE</t>
  </si>
  <si>
    <t>OSCAR 22Ø 10 LT OSCAR GÜVEÇ MODEL DÜDÜKLÜ GENİŞ</t>
  </si>
  <si>
    <t>OSCAR 22Ø 8 LT OSCAR GÜVEÇ MODEL DÜDÜKLÜ GENİŞ</t>
  </si>
  <si>
    <t>KALIP TORNA</t>
  </si>
  <si>
    <t>YIKMA TÜNELİ BAKIMI YAPILDI. KALIPLARI SIYIRICI PLASTİK PARÇALARI DEĞİŞTİ.</t>
  </si>
  <si>
    <t>20*10 TENCERE</t>
  </si>
  <si>
    <t xml:space="preserve">2 LT SÜTLÜK - 18 TENCERE </t>
  </si>
  <si>
    <t>24*14 TENCERE</t>
  </si>
  <si>
    <t>24*8 BASIK TENCERE</t>
  </si>
  <si>
    <t>24 TERS KAPAK</t>
  </si>
  <si>
    <t>18*10 TENCERE</t>
  </si>
  <si>
    <t>7 NO ŞAHMERAN DEMLİK KAPAK</t>
  </si>
  <si>
    <t>ORTA KÜRE ÇAYDANLIK</t>
  </si>
  <si>
    <t>KESİMHANE ÜZERİNDE YERİNCE LİSTE OLMADIĞI İÇİN GECE VARDİYASI İPTAL EDİLDİ.
GECE ÇALIŞAN ARKADAŞ GÜNDÜZE ÇEKİLDİ.</t>
  </si>
  <si>
    <t>Yonca Mega 7 no Belinda Çayd.</t>
  </si>
  <si>
    <t>YONCA AİLE 3,5 NO BELİNDA ÇAYDANLIK</t>
  </si>
  <si>
    <t>KALIP REVİZE</t>
  </si>
  <si>
    <t>TEFLON</t>
  </si>
  <si>
    <t xml:space="preserve">LİNES 28 KLASİK TAVA </t>
  </si>
  <si>
    <t>LİNES 30 KLASİK TAVA</t>
  </si>
  <si>
    <t>LİNES 26 KLASİK TAVA</t>
  </si>
  <si>
    <t>LİNES 26 KLASİK İNCE TAVA</t>
  </si>
  <si>
    <t>LİNES 28 İNCE TAVA</t>
  </si>
  <si>
    <t xml:space="preserve">LİNES 18 İNCE TAVA </t>
  </si>
  <si>
    <t>LİNES 24 İNCE TAVA</t>
  </si>
  <si>
    <t>LİNES 22 İNCE TAVA</t>
  </si>
  <si>
    <t xml:space="preserve">LİNES 20 KLASİK TAVA </t>
  </si>
  <si>
    <t>LİNES 24 KLASİK TAVA</t>
  </si>
  <si>
    <t>SAAT 12:00 DA YIKAMA TÜNELİNDE 1030 ADET ÜRÜN YIKANDI.</t>
  </si>
  <si>
    <t>LİNES Ø22 8 LT CLİPSO DÜDÜKLÜ</t>
  </si>
  <si>
    <t>2 NO PİRAMİT DEMLİK</t>
  </si>
  <si>
    <t>TABANSIZ 3 NO ORTA KÜRE</t>
  </si>
  <si>
    <t>Ø22 8 LT CLİPSO DÜDÜKLÜ</t>
  </si>
  <si>
    <t>Ø22 10 LT CLİPSO DÜDÜKLÜ</t>
  </si>
  <si>
    <t>2 NO PİRAMİT ÇAYD-1 LT NAZ</t>
  </si>
  <si>
    <t xml:space="preserve">32*21 TENCERE </t>
  </si>
  <si>
    <t>1 LT KÜRE</t>
  </si>
  <si>
    <t>KESİMHANE ÜZERİNDE YERİNCE LİSTE OLMADIĞI İÇİN GECE VARDİYASI İPTAL EDİLDİ.
GECE VARDİYASINDA ÇALIŞANLAR GÜNDÜZ GELİYORLAR.</t>
  </si>
  <si>
    <t>Yonca Ø22 7 Lt DÜDÜKLÜ</t>
  </si>
  <si>
    <t>2. EL KALIP TORNA</t>
  </si>
  <si>
    <t>ELEKTRİK ARIZA</t>
  </si>
  <si>
    <t>KALIP ARIZA</t>
  </si>
  <si>
    <t>ŞARJÖR PUL ALMA KOLU</t>
  </si>
  <si>
    <t>YONCA 22Ø 10 LT OSCAR GÜVEÇ MODEL DÜDÜKLÜ</t>
  </si>
  <si>
    <t>YONCA 22Ø 8 LT OSCAR GÜVEÇ MODEL DÜDÜKLÜ</t>
  </si>
  <si>
    <t>YONCA 22Ø 9 Lt DÜDÜKLÜ</t>
  </si>
  <si>
    <t>KALIP REVİZE EDİLDİ</t>
  </si>
  <si>
    <t>32x21 TENCERE</t>
  </si>
  <si>
    <t>24x14 TENCERE</t>
  </si>
  <si>
    <t>20x11 TENCERE</t>
  </si>
  <si>
    <t>16 TENCERE</t>
  </si>
  <si>
    <t>SAAT 13:00 DA BAKIMA BAŞLANDI.</t>
  </si>
  <si>
    <t>SAAT 13:30 DA TEMİZLİĞE BAŞLANDI.</t>
  </si>
  <si>
    <t>MEGA YILDIZ DEMLİK</t>
  </si>
  <si>
    <t>SARI KALIP TORNA PASO</t>
  </si>
  <si>
    <t>SAAT 13:00 DA TEMİZLİĞE BAŞLANDI.</t>
  </si>
  <si>
    <t>DİĞER PRESÇİLER ÇAYDANLIK BOĞMAYA DESTEK VERDİRİLDİ</t>
  </si>
  <si>
    <t>OTOMASYONU ÇALIŞTIRAN BUGUN 2 SAAT GEÇ GELDİ
BOĞMA 2 AYRLANDI
SONRA SAAT 10:00 DA ÇALIŞTIRILABİLDİ.</t>
  </si>
  <si>
    <t>LİNES 1,5 LT SÜTLÜK KORDONLU</t>
  </si>
  <si>
    <t>LİNES 2 LT SÜTLÜK KORDONLU</t>
  </si>
  <si>
    <t>LİNES 1,5 LT SÜTLÜK ALTIN KEMERLİ</t>
  </si>
  <si>
    <t>LİNES 2 LT SÜTLÜK ALTIN KEMERLİ</t>
  </si>
  <si>
    <t>YONCA 22Ø 10 LT OSCAR GÜVEÇ MODEL DÜDÜKLÜ GENİŞ</t>
  </si>
  <si>
    <t>16x9 TENCERE</t>
  </si>
  <si>
    <t>24x7.5 TAVA</t>
  </si>
  <si>
    <t>22x12 TENCERE</t>
  </si>
  <si>
    <t>16 ÇUKUR KAPAK</t>
  </si>
  <si>
    <t>7 NO AYPERİ D.Ç KAPAK</t>
  </si>
  <si>
    <t>ELEKTRİK KESİNTİSİ</t>
  </si>
  <si>
    <t>50 DK GENEL ELEKTRİK KESİNTİSİ</t>
  </si>
  <si>
    <t>Yonca Ø22 5 Lt DÜDÜKLÜ</t>
  </si>
  <si>
    <t>7 NO AİLE YILDIZ ÇAYDANLIK</t>
  </si>
  <si>
    <t>POMPA ARIZA</t>
  </si>
  <si>
    <t>KALIP PASO</t>
  </si>
  <si>
    <t>26 SPAGETTİ TENCERE</t>
  </si>
  <si>
    <t>7 NO BELİNDA ÇAYDANLIK</t>
  </si>
  <si>
    <t>LİSTE OLMADIĞI İÇİN
ÇALIŞMADI</t>
  </si>
  <si>
    <t>Coocer 7 no Orta Aycan Çayd.</t>
  </si>
  <si>
    <t>Coocer 7 no Aile Orta Çayd.</t>
  </si>
  <si>
    <t>GEMAK 1 LT KÜRE TEK DEMLİK</t>
  </si>
  <si>
    <t>7 NO AYPERİ Ç.D KAPAK</t>
  </si>
  <si>
    <t>10 LT DÜDÜKLÜ</t>
  </si>
  <si>
    <t>28x18 TENCERE</t>
  </si>
  <si>
    <t>18x10 TENCERE</t>
  </si>
  <si>
    <t>2 LT SÜTLÜK</t>
  </si>
  <si>
    <t>2 NO AYPERİ Ç KAPAK</t>
  </si>
  <si>
    <t>26 BASIK</t>
  </si>
  <si>
    <t>3 NO AYPERİ D. KAPAK</t>
  </si>
  <si>
    <t xml:space="preserve">1.5 LT KÜRE </t>
  </si>
  <si>
    <t>JUMBO DAMLA Ç. 2.EL</t>
  </si>
  <si>
    <t>5 LT DÜDÜKLÜ</t>
  </si>
  <si>
    <t>7 NO AİLE YILDIZ</t>
  </si>
  <si>
    <t>3 NO ORTA YILDIZ</t>
  </si>
  <si>
    <t>TORNA</t>
  </si>
  <si>
    <t>1,5 LT KÜRE</t>
  </si>
  <si>
    <t>32 ÇUKUR KAPAK</t>
  </si>
  <si>
    <t>25 GENİŞ TABAN</t>
  </si>
  <si>
    <t>24 DİK BASIK</t>
  </si>
  <si>
    <t>24 KUSKUS ÜST</t>
  </si>
  <si>
    <t>30 KAPAK - 22 TENCERE</t>
  </si>
  <si>
    <t>30 KAPAK-22 TENCERE</t>
  </si>
  <si>
    <t>22 ÇAY OTOMATI GÖVDE</t>
  </si>
  <si>
    <t>1,5-2LT KÜRE KAPSÜL</t>
  </si>
  <si>
    <t>22 ÇAY OTOMATI ETEK</t>
  </si>
  <si>
    <t>22 GENİŞ 22 HELVANE KAPSÜL</t>
  </si>
  <si>
    <t>8 LT DÜDÜKLÜ</t>
  </si>
  <si>
    <t>7 NO AYPERİ ÇAYDANLIK</t>
  </si>
  <si>
    <t>JUMBO DAMLA ÇAYDANLIK (NUMUNE)</t>
  </si>
  <si>
    <t>10 NO ŞAHMERAN ÇAYDANLIK (NUMUNE)</t>
  </si>
  <si>
    <t>7 LT DÜDÜKLÜ</t>
  </si>
  <si>
    <t>22 DİK DENEME</t>
  </si>
  <si>
    <t>28 HELVANE TAVA (NUMUNE)</t>
  </si>
  <si>
    <t>24 HELVANE TAVA (NUMUNE)</t>
  </si>
  <si>
    <t>26 HELVANE TAVA (NUMUNE)</t>
  </si>
  <si>
    <t>22 CAY OTOMATI ETEK</t>
  </si>
  <si>
    <t>20 GENİŞ 22 HELVANE KAPSÜL</t>
  </si>
  <si>
    <t>22 ÇAY OTOMATI KAPAK</t>
  </si>
  <si>
    <t>18 CAY OTOMATI KAPAK</t>
  </si>
  <si>
    <t>22 CAY OTOMATI ALT KAPAK</t>
  </si>
  <si>
    <t>1 NO KURE KAPAK</t>
  </si>
  <si>
    <t>ÇAY KEYFİ ALT KAPAK</t>
  </si>
  <si>
    <t>22 CAY OTOMATI SÜZEK</t>
  </si>
  <si>
    <t>KAPSÜL</t>
  </si>
  <si>
    <t>LİNES 8 LT DÜDÜKLÜ</t>
  </si>
  <si>
    <t>LİNES 10 LT DÜDÜKLÜ</t>
  </si>
  <si>
    <t>NUMUNE</t>
  </si>
  <si>
    <t>24 GENİŞ TABAN TAVA</t>
  </si>
  <si>
    <t>X</t>
  </si>
  <si>
    <t>26 GENİŞ TABAN TAVA</t>
  </si>
  <si>
    <t>28 GENİŞ TABAN TAVA</t>
  </si>
  <si>
    <t xml:space="preserve">10 NO MEGA AYCAN </t>
  </si>
  <si>
    <t>ARIZA</t>
  </si>
  <si>
    <t>YONCA 7 LT DÜDÜKLÜ</t>
  </si>
  <si>
    <t>YONCA 5 LT DÜDÜKLÜ</t>
  </si>
  <si>
    <t>22 DİK TENCERE</t>
  </si>
  <si>
    <t>20 DİK TENCERE</t>
  </si>
  <si>
    <t>SAAT 15:30 DAN SORA
NUMUNE DENENDİ</t>
  </si>
  <si>
    <t>24 DESENLİ TAVA</t>
  </si>
  <si>
    <t>010925-1</t>
  </si>
  <si>
    <t>7 NO MEGA BELİNDA ÇAYDANLIK</t>
  </si>
  <si>
    <t>10925-1</t>
  </si>
  <si>
    <t>20 DESENLİ DERİN</t>
  </si>
  <si>
    <t>24 DESENLİ DERİN</t>
  </si>
  <si>
    <t>26 DESENLİ DERİN</t>
  </si>
  <si>
    <t>26 DESENLİ BASIK</t>
  </si>
  <si>
    <t>28 DESENLİ BASIK</t>
  </si>
  <si>
    <t>28 DESENLİ TAVA</t>
  </si>
  <si>
    <t>COOKER 3 NO YILDIZ ÇAYDANLIK</t>
  </si>
  <si>
    <t>COOKER 10 NO YILDIZ ÇAYDANLIK</t>
  </si>
  <si>
    <t>ELEKTRİK ARIZASI</t>
  </si>
  <si>
    <t>2 KEZ KALIP DEĞİŞİMİ</t>
  </si>
  <si>
    <t>PRESHANE HAT-2</t>
  </si>
  <si>
    <t>22 ÇAY OTOMATI DEMLİK</t>
  </si>
  <si>
    <t>40-36 HELVANE TENCERE KAPSÜL</t>
  </si>
  <si>
    <t>303.8</t>
  </si>
  <si>
    <t>26 GENİŞ TABAN KAPSÜL</t>
  </si>
  <si>
    <t>28 YÜKSEK KAPAK</t>
  </si>
  <si>
    <t>SÜZEK</t>
  </si>
  <si>
    <t>RULO AÇICI KARTON KOYMA</t>
  </si>
  <si>
    <t>LİNES 12 LT DÜDÜKLÜ</t>
  </si>
  <si>
    <t>ERESS 18x9 KASEROLLA</t>
  </si>
  <si>
    <t>10 NO AYCAN ÇAYDANLIK</t>
  </si>
  <si>
    <t>10 NO YILDIZ ÇAYDANLIK</t>
  </si>
  <si>
    <t>2 KEZ SARI PASO</t>
  </si>
  <si>
    <t>MAKİNE AYAR</t>
  </si>
  <si>
    <t>COOKER 7 NO AYCAN ÇAYDANLIK</t>
  </si>
  <si>
    <t>COOKER 7 NO YILDIZ ÇAYDANLIK</t>
  </si>
  <si>
    <t>ÇAYDANLIK</t>
  </si>
  <si>
    <t>KULLANILMIYOR</t>
  </si>
  <si>
    <t>12 LT CLİPSO DÜDÜKLÜ</t>
  </si>
  <si>
    <t>8 LT CLİPSO DÜDÜKLÜ</t>
  </si>
  <si>
    <t>10 LT CLİPSO DÜDÜKLÜ</t>
  </si>
  <si>
    <t>RULO İNDİ BİNDİ (TERS)</t>
  </si>
  <si>
    <t>TALAŞ DEĞİŞİM</t>
  </si>
  <si>
    <t>12 LT ANGOLA DÜDÜKLÜ</t>
  </si>
  <si>
    <t>12 LT NUMUNE</t>
  </si>
  <si>
    <t>ÇALIŞMADI BAKIM YAPILDI</t>
  </si>
  <si>
    <t>LİSTE YOK ÇALIŞMADI</t>
  </si>
  <si>
    <t>1.70 PİRAMİT ÇAYD KAPAK</t>
  </si>
  <si>
    <t>2 NO AYPERİ ÇAYDANLIK KAPAK</t>
  </si>
  <si>
    <t>7 NO AYPERİ D. KAPAK</t>
  </si>
  <si>
    <t>20x10 GENİŞ TABAN TENC.</t>
  </si>
  <si>
    <t>KAPAK</t>
  </si>
  <si>
    <t>26x16 TENCERE</t>
  </si>
  <si>
    <t>24 KADEMELİ KAPAK</t>
  </si>
  <si>
    <t>RULO AYARI</t>
  </si>
  <si>
    <t>26x16 HELVANE TENCERE</t>
  </si>
  <si>
    <t>80 BARDAK ÇAY OTOMATI</t>
  </si>
  <si>
    <t>12 LT DÜDÜKLÜ</t>
  </si>
  <si>
    <t>KAPSÜL KAPAK</t>
  </si>
  <si>
    <t>121.6</t>
  </si>
  <si>
    <t>18 ÇUKUR KAPAK</t>
  </si>
  <si>
    <t>10 NO AYPERİ D KAPAK</t>
  </si>
  <si>
    <t>28 TERS KAPAK</t>
  </si>
  <si>
    <t>2 NO AYPERİ Ç. KAPAK</t>
  </si>
  <si>
    <t>GEMAK 26x16 TENCERE</t>
  </si>
  <si>
    <t>22Ø 80 BARDAK ÇAY OTOMATI</t>
  </si>
  <si>
    <t>22Ø 80 BARDAK ÇAY OTOMATI DEMLİK</t>
  </si>
  <si>
    <t>ÇALIŞMADI</t>
  </si>
  <si>
    <t>10 NO AYCAN COOKER</t>
  </si>
  <si>
    <t>10 NO AYCAN LİNES</t>
  </si>
  <si>
    <t>3 NO AYPERİ ÇAYDANLIK</t>
  </si>
  <si>
    <t>5 NO NAZ ÇAYDANLIK</t>
  </si>
  <si>
    <t>YILDIZ ORTA DEMLİK</t>
  </si>
  <si>
    <t>TERS YÖN DEĞİŞTİRME</t>
  </si>
  <si>
    <t>LAZER
KESİMHANE
HALİS 
KENDİR
MUSTAFA KAHVECİ</t>
  </si>
  <si>
    <t>GEMAK 20 TENCERE</t>
  </si>
  <si>
    <t>HOMY 28 KUSKUS TENCERE</t>
  </si>
  <si>
    <t>22Ø 80 BARDAK ÇAY OTOMATI SÜZEK</t>
  </si>
  <si>
    <t>GEMAK 24 TENCERE</t>
  </si>
  <si>
    <t>GEMAK 18 TENCERE</t>
  </si>
  <si>
    <t>ÇALIŞMADI NUMUNE BASTI</t>
  </si>
  <si>
    <t>COOKER 3 NO ORTA YILDIZ ÇAYDANLIK</t>
  </si>
  <si>
    <t>26 DESENLİ TAVA</t>
  </si>
  <si>
    <t>26 KLASİK TAVA</t>
  </si>
  <si>
    <t>24 KLASİK DERİN</t>
  </si>
  <si>
    <t>ORTA YILDIZ DEMLİK</t>
  </si>
  <si>
    <t>5 NO NAZ DEMLİK</t>
  </si>
  <si>
    <t>5 NO NAZ DEMLİJ</t>
  </si>
  <si>
    <t>HOMY 28 KUSKUS ALT TENCERE</t>
  </si>
  <si>
    <t>22Ø 80 BARDAK ÇAY OTOMAT ETEK</t>
  </si>
  <si>
    <t>22Ø 80 BARDAK ÇAY OTOMAT KAPAK</t>
  </si>
  <si>
    <t>GEMAK 18x10 TENCERE</t>
  </si>
  <si>
    <t>3 NO ORTA ZEYCAN KÜRE</t>
  </si>
  <si>
    <t>LİNES 5 NO NAZ ÇAYDANLIK</t>
  </si>
  <si>
    <t>KALIP DEĞİŞİM</t>
  </si>
  <si>
    <t>2 KEZ TORNA ZIMPARA</t>
  </si>
  <si>
    <t>GEMAK 20x11 TENCERE</t>
  </si>
  <si>
    <t>GEMAK 24x14 TENCERE</t>
  </si>
  <si>
    <t>20 KLASİK DERİN</t>
  </si>
  <si>
    <t>18 KARE DERİN</t>
  </si>
  <si>
    <t>20 KARE DERİN</t>
  </si>
  <si>
    <t>WOK TAVA</t>
  </si>
  <si>
    <t>28 KARE DERİN</t>
  </si>
  <si>
    <t>YIKANAN ÜRÜN
310 ADET</t>
  </si>
  <si>
    <t>SEMAVER</t>
  </si>
  <si>
    <t>20 TERS KAPAK</t>
  </si>
  <si>
    <t>RULO DEĞİŞİM</t>
  </si>
  <si>
    <t>16 ÇUKUR KAPAK TERS KAPAK</t>
  </si>
  <si>
    <t>18 TERS KAPAK</t>
  </si>
  <si>
    <t>3 NO AYPERİ Ç. KAPAK</t>
  </si>
  <si>
    <t>28 KUSKUS ALT</t>
  </si>
  <si>
    <t>22HELVANE KAPSÜL</t>
  </si>
  <si>
    <t>SEMAVER ETEK</t>
  </si>
  <si>
    <t>20 TENCERE KAPSÜL</t>
  </si>
  <si>
    <t>20 YÜKSEK KAPAK</t>
  </si>
  <si>
    <t>80 BARDAK ÇAY OTOMATI DEMLİK</t>
  </si>
  <si>
    <t>GEMAK 20x10 TENCERE</t>
  </si>
  <si>
    <t>22 ÇAT OTOMATI SÜZEK</t>
  </si>
  <si>
    <t>DAMLA JUMBO ÇAYDANLIK</t>
  </si>
  <si>
    <t>24x14 HELVANE TENCERE</t>
  </si>
  <si>
    <t>18 SAHAN</t>
  </si>
  <si>
    <t>20 SAHAN</t>
  </si>
  <si>
    <t>2 LT ÇAYDANLIK KAPAK</t>
  </si>
  <si>
    <t>22 SAHAN</t>
  </si>
  <si>
    <t>16 SAHAN</t>
  </si>
  <si>
    <t>22 TAVA</t>
  </si>
  <si>
    <t>2 NO PİRAMİT DEMLİK KAPAK</t>
  </si>
  <si>
    <t>5 NO KÜRE ÇAYD KAPAK</t>
  </si>
  <si>
    <t>ÖĞLEDEN SORA BAKIM YAPILDI ÇALIŞMADI</t>
  </si>
  <si>
    <t>22Ø 80 BARDAK ÇAY OTOMATI KAPAK</t>
  </si>
  <si>
    <t>DESENLİ GRİLL TAVA</t>
  </si>
  <si>
    <t>LİNES 18x10 ZEYCAN TENCERE</t>
  </si>
  <si>
    <t>LİNES 20x11 ZEYCAN TENCERE</t>
  </si>
  <si>
    <t>HOMY 28 KUSKUS ÜST</t>
  </si>
  <si>
    <t>24 TAVA</t>
  </si>
  <si>
    <t>1 LT ÇAYDANLIK KAPSÜL</t>
  </si>
  <si>
    <t>26 TAVA</t>
  </si>
  <si>
    <t>24 TERS KAPAK/22 SAHAN</t>
  </si>
  <si>
    <t>28 TAVA</t>
  </si>
  <si>
    <t>26 HELVANE KAPSÜL</t>
  </si>
  <si>
    <t>MEGA DAMLA ÇAYDANLIK</t>
  </si>
  <si>
    <t>ÇAYD. KAPAK</t>
  </si>
  <si>
    <t>LİNES 18x10 TENCERE ZEYCAN</t>
  </si>
  <si>
    <t>LİNES 24x14 TENCERE ZEYCAN</t>
  </si>
  <si>
    <t>LİNES 20x10 TENCERE PIRIL</t>
  </si>
  <si>
    <t>LİNES 20x10 TENCERE ZEYCAN</t>
  </si>
  <si>
    <t>LİNES 3 NO ORTA ZEYCAN ÇAYDANLIK</t>
  </si>
  <si>
    <t>ÇAYDANLIK KAPAK</t>
  </si>
  <si>
    <t>SEMAVER DEMLİK</t>
  </si>
  <si>
    <t>TABANSIZ HOMJY 20 KUSKUS SÜZEK</t>
  </si>
  <si>
    <t>LİNES 26x16 GENİŞ TABAN PIRIL</t>
  </si>
  <si>
    <t>LİNES 24x14 GENİŞ TABAN PIRIL</t>
  </si>
  <si>
    <t>LİNES 1.5 LT KÜRE 24 PCS</t>
  </si>
  <si>
    <t>LİNES 3 NO ZEYCAN KÜRE ÇAYDANLIK</t>
  </si>
  <si>
    <t>LİNES 18x10 GENİŞ TABAN ZEYCAN TENCERE</t>
  </si>
  <si>
    <t>LİNES 20x10 GENİŞ HALKALI TABAN TENCERE</t>
  </si>
  <si>
    <t>JUMBO DAMLA DEMLİK</t>
  </si>
  <si>
    <t>35.5</t>
  </si>
  <si>
    <t>LİNES 26x16 TENCERE PIRIL</t>
  </si>
  <si>
    <t>LİNES 20x11 TENCERE</t>
  </si>
  <si>
    <t>LİNES 24 BASIK ZEYCAN</t>
  </si>
  <si>
    <t>LİNES 1 LT KÜRE</t>
  </si>
  <si>
    <t>LİNES 3 NO AYPERİ ÇAYDANLIK</t>
  </si>
  <si>
    <t>HOMY 20 KUSKUS TENCERE</t>
  </si>
  <si>
    <t>JUMBO DAMLA ÇAYDANLIK</t>
  </si>
  <si>
    <t>MEGA YILDIZ ÇAYDANLIK ARA KAPAK</t>
  </si>
  <si>
    <t>22 ÇUUR KAPAK</t>
  </si>
  <si>
    <t>165 ÇUKUR KAPAK</t>
  </si>
  <si>
    <t>20 ÇUKUR KAPAK</t>
  </si>
  <si>
    <t xml:space="preserve">DEPO </t>
  </si>
  <si>
    <t>3 NO KÜRE ÇAYDANLIK DEMLİK KAPAK</t>
  </si>
  <si>
    <t>20 KADEMELİ KAPAK</t>
  </si>
  <si>
    <t>5 NO KÜRE ÇAYDANLIK KAPAK</t>
  </si>
  <si>
    <t>3 NO KÜRE ÇAYDANLIK-DEMLİK KAPAK</t>
  </si>
  <si>
    <t>BUGÜN KAPAK KESİMİ YAPILDI.
HAMMADELERDEKİ DALGALANMALAR CAMA VE LENSE ZARAR VEREBİLİR</t>
  </si>
  <si>
    <t>LİNES 24 BASIK ZEYCAN TENCERE</t>
  </si>
  <si>
    <t>LİNES 26x16 TENCERE</t>
  </si>
  <si>
    <t>LİNES 26 BASIK TENCERE</t>
  </si>
  <si>
    <t xml:space="preserve">LİNES 24x7,5 TAVA </t>
  </si>
  <si>
    <t xml:space="preserve">KALIP DEĞİŞİMİ </t>
  </si>
  <si>
    <t>SON 45 DK KALIP DEİĞİŞİMLERİ YAPIP NUMUNE BASILDI</t>
  </si>
  <si>
    <t>LİNES 20x11 HELVANE TENCERE</t>
  </si>
  <si>
    <t>HOMMY 20 KUSKUS TENCERE</t>
  </si>
  <si>
    <t>LİNES Ø24 12 LT DÜDÜKLÜ GÜMRÜK</t>
  </si>
  <si>
    <t>LİNES 24X14 GENİŞ TABAN PIRIL TENCERE</t>
  </si>
  <si>
    <t>LİNES 24X14 GENİŞ TABAN ZEYCAN TENCERE</t>
  </si>
  <si>
    <t>LİNES 24X08 GENİŞ TABAN ZEYCAN BASIK TENCERE</t>
  </si>
  <si>
    <t>24 pırıl taban desen araları açılması için tornaya gönderildi</t>
  </si>
  <si>
    <t>Tencere Kapak</t>
  </si>
  <si>
    <t>Kapsül</t>
  </si>
  <si>
    <t>Çaydanlık Kapak</t>
  </si>
  <si>
    <t>5 NO KÜRE KAPAK</t>
  </si>
  <si>
    <t>16 TERS KAPAK</t>
  </si>
  <si>
    <t>30 KAPAK</t>
  </si>
  <si>
    <t>CUMA NAMAZI</t>
  </si>
  <si>
    <t>7 SIRA OLAN DEPO ÜRÜNLERİ POSCO FİRMASININ DALGALI OLAN HAMMADESİNDEN ÖMER BEYİN TALİMATI İL E MASADA KESİM YAPILIYORDU RULO ORTALARINA DOĞRU DALGA AZALDIĞI İÇİN LAZERE BAĞLANIP DEPOYA ÜRÜN KESİLDİ</t>
  </si>
  <si>
    <t>LİNES 24x14 GENİŞ TABAN TENCERE PIRIL</t>
  </si>
  <si>
    <t>LİNES 26x16 GENİŞ TABAN TENCERE PIRIL</t>
  </si>
  <si>
    <t>LİNES 26 BASIK GENİŞ TABAN  PIRIL</t>
  </si>
  <si>
    <t>LİNES 26 GENİŞ TABAN BASIK PIRIL</t>
  </si>
  <si>
    <t>24 HELVANE TABAN TENCERE</t>
  </si>
  <si>
    <t>LİNES 22x12 HELVANE TENCERE</t>
  </si>
  <si>
    <t>YONCA JUMBO DAMLA ÇAYDANLIK</t>
  </si>
  <si>
    <t>9 KEZ SARI TORNA</t>
  </si>
  <si>
    <t>20 KUSKUS ÜST</t>
  </si>
  <si>
    <t>36-40 KAPSÜL</t>
  </si>
  <si>
    <t>28 KUSKUS ÜST - 24 KUSKUS ALT</t>
  </si>
  <si>
    <t>18 UZUN FORMA TENCERE</t>
  </si>
  <si>
    <t>1 NO KÜRE DEMLİK KAPAK</t>
  </si>
  <si>
    <t>28 HELVANE TENCERE</t>
  </si>
  <si>
    <t>24 HELVANE TENCERE</t>
  </si>
  <si>
    <t>20 HELVANE TENCERE</t>
  </si>
  <si>
    <t>32 HELVANE TENCERE</t>
  </si>
  <si>
    <t>22 HELVANE TENCERE</t>
  </si>
  <si>
    <t>24 DİK NUMUNE</t>
  </si>
  <si>
    <t>22 DİK NUMUNE</t>
  </si>
  <si>
    <t>20 DİK NUMUNE</t>
  </si>
  <si>
    <t>24 GENİŞ NUMUNE</t>
  </si>
  <si>
    <t>18 HELVANE TENCERE</t>
  </si>
  <si>
    <t xml:space="preserve">26 BASIK </t>
  </si>
  <si>
    <t>25 LT KÜRE ÇAYDANLIK</t>
  </si>
  <si>
    <t>2 NO AYPERİ DEMLİK KAPAK</t>
  </si>
  <si>
    <t xml:space="preserve">2 LT SÜTLÜK </t>
  </si>
  <si>
    <t>1.5 LT KÜRE ÇAYDANLIK</t>
  </si>
  <si>
    <t>7 NO AYPERİ DEMLİK ÇAYDANLIK KAPAK</t>
  </si>
  <si>
    <t>KALIP DEĞİŞİMİ VE DURAKLAMA YOK</t>
  </si>
  <si>
    <t>LİNES 24 HELVANE TENCERE</t>
  </si>
  <si>
    <t>TABANSIZ LİNES 24 KUSKUS ÜSTÜ</t>
  </si>
  <si>
    <t>LİNES 22 HELVANE TENCERE</t>
  </si>
  <si>
    <t>LİNES 18 HELVANE TENCERE</t>
  </si>
  <si>
    <t>7 NO AYPERİ KAPAK</t>
  </si>
  <si>
    <t>1 LT KÜRE ÇAYDANLIK</t>
  </si>
  <si>
    <t>ŞAHMERAN SEMAVER ETEK</t>
  </si>
  <si>
    <t>ŞAHMERAN SEMAVER ALT KAPAK</t>
  </si>
  <si>
    <t>2 NO AYPERİ KAPAK</t>
  </si>
  <si>
    <t>30 GENİŞ TABAN TENCERE KAPSÜL</t>
  </si>
  <si>
    <t>26 DİK KAPSÜL</t>
  </si>
  <si>
    <t>ŞAHMERAN SEMAVER DEMLİK</t>
  </si>
  <si>
    <t>GÜMRÜK AYPERİ KAPAK</t>
  </si>
  <si>
    <t xml:space="preserve">ŞAHMERAN SEMAVER </t>
  </si>
  <si>
    <t>-</t>
  </si>
  <si>
    <t>LİNES 18x10 TENCERE</t>
  </si>
  <si>
    <t>LİNES 16x9 TENCERE</t>
  </si>
  <si>
    <t>LİNES 28x18 TENCERE</t>
  </si>
  <si>
    <t>LİNES 28x18 BASIK TENCERE</t>
  </si>
  <si>
    <t>KALIP ARIZASI-KALIP DEĞİŞİM</t>
  </si>
  <si>
    <t>LİNES 24x14 TENCERE</t>
  </si>
  <si>
    <t>LİNES 24x7 TAVA</t>
  </si>
  <si>
    <t>LİNES 24x14 TENCERE GÜMRÜK</t>
  </si>
  <si>
    <t>LİNES 22x12 TENCERE</t>
  </si>
  <si>
    <t>6 LT CLİPSO DÜDÜKLÜ</t>
  </si>
  <si>
    <t>ŞAHMERAN SEMAVER DENEME</t>
  </si>
  <si>
    <t>DENEME</t>
  </si>
  <si>
    <t>18 GENİŞ TABAN TENCERE</t>
  </si>
  <si>
    <t>24 GENİŞ TABAN TENCERE</t>
  </si>
  <si>
    <t>22 GENİŞ TABAN TENCERE</t>
  </si>
  <si>
    <t>2 NO ŞAHMERAN DEMLİK KAPAK</t>
  </si>
  <si>
    <t>ESKİ</t>
  </si>
  <si>
    <t>28 HELVANE TENCERE GÜMRÜK</t>
  </si>
  <si>
    <t xml:space="preserve">28 HELVANE TENCERE  </t>
  </si>
  <si>
    <t>26 BASIK TENCERE</t>
  </si>
  <si>
    <t>18 ÇUKUR KAPAK - KAPSÜL</t>
  </si>
  <si>
    <t>151025-1</t>
  </si>
  <si>
    <t>16 GENİŞ TABAN TENCERE</t>
  </si>
  <si>
    <t>14 GENİŞ TABNA TENCERE</t>
  </si>
  <si>
    <t>LİNES 8 LT CLİPSO DÜDÜKLÜ</t>
  </si>
  <si>
    <t>18 TENCERE</t>
  </si>
  <si>
    <t>20 TENCERE</t>
  </si>
  <si>
    <t>22 TENCERE</t>
  </si>
  <si>
    <t>ŞAHMERAN SEMAVER</t>
  </si>
  <si>
    <t>AYAR VE - DENEME</t>
  </si>
  <si>
    <t>LİNES 28 HELVANE TENCERE</t>
  </si>
  <si>
    <t>LİNES 20 HELVANE TENCERE</t>
  </si>
  <si>
    <t>2 NO YILDIZ DEMLİK</t>
  </si>
  <si>
    <t>151025-2</t>
  </si>
  <si>
    <t>60 BARDAK ÇAY OTOMATI ETEK</t>
  </si>
  <si>
    <t>40 BARDAK ÇAY OTOMATI KAPAK</t>
  </si>
  <si>
    <t>60 BARDAK ÇAY OTOMATI KAPAK</t>
  </si>
  <si>
    <t>60 BARDAK ÇAY OTOMATI GÖVDE</t>
  </si>
  <si>
    <t>26 ÇAY OTOMATI KAPAK</t>
  </si>
  <si>
    <t>DALGALI BEKLEME</t>
  </si>
  <si>
    <t>LİNES 28 TAVA</t>
  </si>
  <si>
    <t>LİNES 10 LT CLİPSO DÜDÜKLÜ</t>
  </si>
  <si>
    <t>LİNES 20 TENCERE</t>
  </si>
  <si>
    <t>22 DİK TAVA</t>
  </si>
  <si>
    <t>20 DİK TAVA</t>
  </si>
  <si>
    <t>18 DİK TAVA</t>
  </si>
  <si>
    <t>LİNES 20 TENCERE GÜMRÜK</t>
  </si>
  <si>
    <t>1511025-2</t>
  </si>
  <si>
    <t>0.60</t>
  </si>
  <si>
    <t>14.00</t>
  </si>
  <si>
    <t>JUMBO DAMLA DEMLİK KAPAK</t>
  </si>
  <si>
    <t>20 ÇAY OTOMATI ALT KAPAK</t>
  </si>
  <si>
    <t>20Ø 60 BARDAK ÇAY OTOMATI DEMLİK</t>
  </si>
  <si>
    <t>28 TENCERE KAPSÜL</t>
  </si>
  <si>
    <t>2. BOĞMA HATTINDA ÇALIŞILDI</t>
  </si>
  <si>
    <t>LİNES 10 LT ANGOLA DÜDÜKLÜ</t>
  </si>
  <si>
    <t>LİNES 28 GENİŞ TABAN TAVA</t>
  </si>
  <si>
    <t>LİNES 22 GENİŞ TABAN TAVA</t>
  </si>
  <si>
    <t>3 KEZ PASO</t>
  </si>
  <si>
    <t>DENEME NUMUNE</t>
  </si>
  <si>
    <t>LİNES 10 LT ANGOLA CLİPSO DÜDÜKLÜ</t>
  </si>
  <si>
    <t>LİNES 22 SAHAN</t>
  </si>
  <si>
    <t>LİNES 20 SAHAN</t>
  </si>
  <si>
    <t>FİRUZE ÇAYDANLIK</t>
  </si>
  <si>
    <t>MERCAN DEMLİK</t>
  </si>
  <si>
    <t>ÖĞLEDEN SORA SADECE NUMUNE DENEDİ</t>
  </si>
  <si>
    <t>LİNES 16x9 KASEROLLA</t>
  </si>
  <si>
    <t>LİNES 1.5 LT KÜRE ÇAYDANLIK</t>
  </si>
  <si>
    <t>LİNES 1 LT KÜRE ÇAYDANLIK</t>
  </si>
  <si>
    <t>LİNES 32x21 TENCERE</t>
  </si>
  <si>
    <t>KALIP DEĞİŞMİ</t>
  </si>
  <si>
    <t>24 GENİŞ 26-28 HELVANE KAPSÜL</t>
  </si>
  <si>
    <t>24 GENİŞ-26-28 HELVANE KAPSÜL</t>
  </si>
  <si>
    <t>24 HELVANE KAPSÜL</t>
  </si>
  <si>
    <t>1 LT KÜRE ÇAYDANLIK KAPSÜL</t>
  </si>
  <si>
    <t xml:space="preserve">AÇICI RULO KAYMA </t>
  </si>
  <si>
    <t>LİNES 24 KUSKUS TENCERE</t>
  </si>
  <si>
    <t>LİNES 24 TAVA</t>
  </si>
  <si>
    <t>YONCA 2 LT SÜTLÜK</t>
  </si>
  <si>
    <t>LİNES 2 LT SÜTLÜK</t>
  </si>
  <si>
    <t>3 KEZ TORNA</t>
  </si>
  <si>
    <t>BOĞMA 2. HATTA ÇALIŞTI</t>
  </si>
  <si>
    <t xml:space="preserve">LİNES 26 BASIK </t>
  </si>
  <si>
    <t>LİNES 26 TAVA</t>
  </si>
  <si>
    <t>KAPSÜL GÜNLÜK ÜRETİM RAPORU</t>
  </si>
  <si>
    <t>Kapsül Pres-2</t>
  </si>
  <si>
    <t>Kapsül Pres-1
Mehmet Ufak</t>
  </si>
  <si>
    <t>KAPSÜL GENEL TOPLAM:</t>
  </si>
  <si>
    <t>PRESHANE 
ÇAYDANLIK
OTOMASYON</t>
  </si>
  <si>
    <t>PRES ÇAYDANLIK KAPAK OTOMASYON
İRFAN USTA</t>
  </si>
  <si>
    <t>KAPSÜL GENEL  TOPLAM :</t>
  </si>
  <si>
    <t>ÇAYDANLIK KAPAK PRES GÜNLÜK ÜRETİM RAPORU</t>
  </si>
  <si>
    <t>ÇAYDANLIK KAPAK PRES GENEL TOPLAM:</t>
  </si>
  <si>
    <t>36 TENCERE</t>
  </si>
  <si>
    <t>LİNES 28 TENCERE</t>
  </si>
  <si>
    <t>LİNES 28 KUSKUS TENCERE</t>
  </si>
  <si>
    <t>YONCA 18 TENCERE</t>
  </si>
  <si>
    <t>2.BOĞMA HATTINDA ÇALIŞTI</t>
  </si>
  <si>
    <t>TABANSIZ DAMLA DEMLİK KAPAK</t>
  </si>
  <si>
    <t>PUNTA ARIZA</t>
  </si>
  <si>
    <t>LİNES 6 LT CLİPSO DÜDÜKLÜ</t>
  </si>
  <si>
    <t>LİNES 22 TAVA</t>
  </si>
  <si>
    <t>2.500 ADET ÇİZİM YAPTI</t>
  </si>
  <si>
    <t>32X21 TENCERE</t>
  </si>
  <si>
    <t>ÇAY OTOMAT DEMLİK</t>
  </si>
  <si>
    <t>4 NO KÜRE KAPAK</t>
  </si>
  <si>
    <t>40 KADEMELİ KAPAK</t>
  </si>
  <si>
    <t>40x28 TENCERE</t>
  </si>
  <si>
    <t>26 ÇUKUR KAPAK</t>
  </si>
  <si>
    <t>3 NO KÜRE ÇAYDANLIK KAPAK</t>
  </si>
  <si>
    <t>36x26 TENCERE</t>
  </si>
  <si>
    <t>30 ÇAY OTOMATI DEMLİK</t>
  </si>
  <si>
    <t>RULO İNDİRİP-BİNDİRME</t>
  </si>
  <si>
    <t>TABANSIZ LİNES 28 KUSKUS ÜST</t>
  </si>
  <si>
    <t>TABANSIZ LİNES 24 KUSKUS ÜST</t>
  </si>
  <si>
    <t>LİNES 12 LT CLİPSO DÜDÜKLÜ</t>
  </si>
  <si>
    <t>YONCA 20x11 TENCERE</t>
  </si>
  <si>
    <t>LİNES 20 KUSKUS TENCERE</t>
  </si>
  <si>
    <t>KALIP ARIZA - TORNA</t>
  </si>
  <si>
    <t>SARI DEĞİŞİMİ</t>
  </si>
  <si>
    <t>TABANSIZ YONCA JUMBO DAMLA DEMLİK</t>
  </si>
  <si>
    <t>LİNES 1 LT KÜRE ÇAYDANLIK KAPAK</t>
  </si>
  <si>
    <t>LİNES 16 SAHAN</t>
  </si>
  <si>
    <t>YONCA 18x10 TENCERE</t>
  </si>
  <si>
    <t>30 ÇAY OTOMAT DEMLİK</t>
  </si>
  <si>
    <t>40-36 KAPSÜL</t>
  </si>
  <si>
    <t>1.5 LT KÜRE KAPSÜL</t>
  </si>
  <si>
    <t>36 KADEMELİ KAPAK</t>
  </si>
  <si>
    <t>32 KADEMELİ KAPAK</t>
  </si>
  <si>
    <t>4 NO KÜRE ÇAYDANLIK KAPAK</t>
  </si>
  <si>
    <t xml:space="preserve">ÜRETİM KAĞIDI İSTENMESİNE RAĞMEN VERİLMEDİ 
USTASINA SÖYLENDİĞİNDE DE GEÇ KENDİN YAZ DENİLDİ
</t>
  </si>
  <si>
    <t>2 KEZ TORNA</t>
  </si>
  <si>
    <t>KALIPLAR DÜZ AYARLANDIĞI İÇİN 1.EL VE 2.EL OLARAK YAPILIYOR.</t>
  </si>
  <si>
    <t>1 LT KÜRE ÇAYDANLIK KAPAK</t>
  </si>
  <si>
    <t>1.5 LT KÜRE ÇAYDANLIK  KAPAK</t>
  </si>
  <si>
    <t>ÖĞLEDEN SORA BAŞLANDI</t>
  </si>
  <si>
    <t>16.15 DE SÜTLÜK KALIBINDA SORUN ÇIKTI TORNAYA GİTTİ</t>
  </si>
  <si>
    <t>24 SEMAVER</t>
  </si>
  <si>
    <t>36-40 TENCERE KAPSÜL</t>
  </si>
  <si>
    <t>3 KÜRE KAPAK</t>
  </si>
  <si>
    <t>7 NO AYPERİ ÇAYDANLIK KAPAK</t>
  </si>
  <si>
    <t>RULO DENEME</t>
  </si>
  <si>
    <t>259.7</t>
  </si>
  <si>
    <t>22 TERS KAPAK</t>
  </si>
  <si>
    <t>22 KUSKUS ÜST</t>
  </si>
  <si>
    <t>26 KAPSÜL</t>
  </si>
  <si>
    <t>BOOSTER ŞARTEL ATTI</t>
  </si>
  <si>
    <t>KIZAK BAKIMI VE FİLTRE KONTROLLERİ YAPILDI.</t>
  </si>
  <si>
    <t>60 BARDAK Ø20 ÇAY OTOMATI GÖVDE</t>
  </si>
  <si>
    <t>YONCA 22x12 TENCERE</t>
  </si>
  <si>
    <t>60 BARADK Ø20 ÇAY OTOMATI ETEK</t>
  </si>
  <si>
    <t>LİNES 1.5 LT KÜRE ÇAYDANLIK KAPAK</t>
  </si>
  <si>
    <t>YONCA 1.5 LT KÜRE ÇAYDANLIK KAPAK</t>
  </si>
  <si>
    <t>ÇALIŞMADI - BAKIM YAPILDI</t>
  </si>
  <si>
    <t>24 TENCERE</t>
  </si>
  <si>
    <t>1 LT KÜRE KAPSÜL</t>
  </si>
  <si>
    <t>30 TENCERE</t>
  </si>
  <si>
    <t>1 LT KÜRE KAPAK</t>
  </si>
  <si>
    <t>32 TENCERE</t>
  </si>
  <si>
    <t>30 KAPSÜL</t>
  </si>
  <si>
    <t>26 TENCERE</t>
  </si>
  <si>
    <t>34 ÇUKUR KAPAK</t>
  </si>
  <si>
    <t>4 NO KÜRE ÇAYADNLIK KAPAK</t>
  </si>
  <si>
    <t>34 TENCERE</t>
  </si>
  <si>
    <t>34 TERS KAPAK</t>
  </si>
  <si>
    <t>TABANSIZ ABM 22Ø KUSKUS ÜST</t>
  </si>
  <si>
    <t>LİNES 22 GENİŞ TABAN TENCERE</t>
  </si>
  <si>
    <t>YONCA 32 HELVANE TENCERE</t>
  </si>
  <si>
    <t>Ø20 60 BARDAK ÇAY OTOMATI ETEK</t>
  </si>
  <si>
    <t>Ø20 60 BARDAK ÇAY OTOMATI KAPAK</t>
  </si>
  <si>
    <t>1.5 LT KÜRE ÇAYDANLIK KAPAK</t>
  </si>
  <si>
    <t>2.500 ÇİZİM SORASINDA</t>
  </si>
  <si>
    <t>2.000 BASMA</t>
  </si>
  <si>
    <t>LİNES 1.5 LT KÜRE</t>
  </si>
  <si>
    <t>22 ÇUKUR KAPAK</t>
  </si>
  <si>
    <t>18 DİK GENİŞ TABAN TENCERE</t>
  </si>
  <si>
    <t>DEOI</t>
  </si>
  <si>
    <t>151025-3</t>
  </si>
  <si>
    <t>30 TENCERE KAPSÜL</t>
  </si>
  <si>
    <t>KAPSÜL VE KAPAK</t>
  </si>
  <si>
    <t>24 GENİŞ TABAN VE DİK TENCERE</t>
  </si>
  <si>
    <t>24 DİK TENCERE</t>
  </si>
  <si>
    <t>RULO SÖK TAK</t>
  </si>
  <si>
    <t>304-0,60 DÜDÜKLÜ NUMUNELERİ DENENDİ 
ÜRÜNLERDE YARA ÇIKTIĞI İÇİN SONUÇ ALINANA KADAR LAZER ÜRÜN VEREMEDİ.</t>
  </si>
  <si>
    <t>32x21 HELVANE TENCERE</t>
  </si>
  <si>
    <t>YONCA 22x12 HELVANE TENCERE</t>
  </si>
  <si>
    <t>YONCA 24x14 HELVANE TENCERE</t>
  </si>
  <si>
    <t>2 KEZ SARI DEĞİŞİMİ</t>
  </si>
  <si>
    <t>YONCA 1.5 LT KÜRE ÇAYDANLIK</t>
  </si>
  <si>
    <t>YONCA 2 LT KÜRE ÇAYDANLIK</t>
  </si>
  <si>
    <t>PRESS BÖLÜMÜNDE ÇALIŞTI</t>
  </si>
  <si>
    <t>YONCA 2 LT SÜTLÜ</t>
  </si>
  <si>
    <t>LİNES 22x3.8 SAHAN</t>
  </si>
  <si>
    <t>LİNES 22x12 TENCERE GENİŞ TABAN</t>
  </si>
  <si>
    <t>18 DİK TENCERE</t>
  </si>
  <si>
    <t>2 NO AYPERİ DEMLİK</t>
  </si>
  <si>
    <t>30 TERS KAPAK</t>
  </si>
  <si>
    <t>26 TERS KAPAK</t>
  </si>
  <si>
    <t>20 GENİŞ TABAN TENCERE</t>
  </si>
  <si>
    <t>YONCA 32x21 TENCERE</t>
  </si>
  <si>
    <t>YONCA 40x28 TENCERE</t>
  </si>
  <si>
    <t xml:space="preserve">YONCA 24x14 TENCERE </t>
  </si>
  <si>
    <t>SARI PASO</t>
  </si>
  <si>
    <t>YONCA 1 LT KÜRE ÇAYDANLIK</t>
  </si>
  <si>
    <t>TENCERE PRESSHANE BÖLÜMÜNDE ÇALIŞTI</t>
  </si>
  <si>
    <t xml:space="preserve">LİNES 10 LT DÜDÜKLÜ </t>
  </si>
  <si>
    <t>YONCA 22 TENCERE</t>
  </si>
  <si>
    <t>YONCA 24 TENCERE</t>
  </si>
  <si>
    <t>LİNES 24 TENCERE</t>
  </si>
  <si>
    <t>3 NO NAZ ÇAYDANLIK</t>
  </si>
  <si>
    <t>GÜMRÜK</t>
  </si>
  <si>
    <t>2 LT SÜTLÜK GÜMRÜK</t>
  </si>
  <si>
    <t>3 NO NAZ DEMLİK</t>
  </si>
  <si>
    <t>DEMLİK GÜMRÜK KAPAK</t>
  </si>
  <si>
    <t>AÇICI ARIZA</t>
  </si>
  <si>
    <t>AÇICI BAKIM</t>
  </si>
  <si>
    <t>DEMLİK KAPAK</t>
  </si>
  <si>
    <t>30 GENİŞ TABAN TENCERE</t>
  </si>
  <si>
    <t>7 NO AYPERİ DEMLİK</t>
  </si>
  <si>
    <t>1 LT NAZ ÇAYDANLIK</t>
  </si>
  <si>
    <t>2 NO NAZ DEMLİK</t>
  </si>
  <si>
    <t>6 LT CLİPSO</t>
  </si>
  <si>
    <t>10 NO DEMŞİK</t>
  </si>
  <si>
    <t>ABM 6 LT CLİPSO DÜDÜKLÜ</t>
  </si>
  <si>
    <t>40x28 HELVANE TENCERE</t>
  </si>
  <si>
    <t>20x11 HELVANE TENCERE</t>
  </si>
  <si>
    <t>18x10 GENİŞ TENCERE</t>
  </si>
  <si>
    <t>18x11 HELVANE TENCERE</t>
  </si>
  <si>
    <t>LİNES 24 HELVANE TENCERE (FİRE-5)</t>
  </si>
  <si>
    <t>LİNES 24 GENİŞ TABAN TNECERE</t>
  </si>
  <si>
    <t>2 NO AYPERİ ÇAYDANLIK</t>
  </si>
  <si>
    <t>PRESSHANE BÖLÜMÜNDE ÇALIŞTI</t>
  </si>
  <si>
    <t>LİNES 32x21 HELVANE TENCERE</t>
  </si>
  <si>
    <t>26 GENİŞ BASIK</t>
  </si>
  <si>
    <t>14 TENCERE</t>
  </si>
  <si>
    <t>LİNES 3 NO NAZ ÇAYDANLIK</t>
  </si>
  <si>
    <t>PRESSHANEDE ÇALIŞTI</t>
  </si>
  <si>
    <t>28 GENİŞ TABAN TENCERE</t>
  </si>
  <si>
    <t>24 BASIK TENCERE</t>
  </si>
  <si>
    <t>3 NO AYPERİ DEMLİK KAPAK</t>
  </si>
  <si>
    <t>34x22 HELVANE TENCERE</t>
  </si>
  <si>
    <t>36x24 HELVANE TENCERE</t>
  </si>
  <si>
    <t>26x9 KARNIYARIK</t>
  </si>
  <si>
    <t>14x7 ZEYCAN TENCERE</t>
  </si>
  <si>
    <t>PRESSHANEDE ETEK KESME DE ÇALIŞTI</t>
  </si>
  <si>
    <t>LİNES 1 LT KÜRE ÇAYDANLIK 430 KAPSÜL</t>
  </si>
  <si>
    <t>YONCA 1 LT KÜRE ÇAYDANLIK 1MM</t>
  </si>
  <si>
    <t>18 GENİŞ TABAN ZEYCAN TENCERE</t>
  </si>
  <si>
    <t>18 GENİŞ TABNA SAHAN</t>
  </si>
  <si>
    <t>24 HELVANE TAVA</t>
  </si>
  <si>
    <t>131125-2</t>
  </si>
  <si>
    <t>9 LT MERCAN DÜDÜKLÜ</t>
  </si>
  <si>
    <t>7 LT MERCAN DÜDÜKLÜ</t>
  </si>
  <si>
    <t>031125-1</t>
  </si>
  <si>
    <t>24 ÇAY OTOMATI GÖVDE</t>
  </si>
  <si>
    <t>18 Ç OTOMATI KAPAK</t>
  </si>
  <si>
    <t>1 LT KÜRE DEMLİK KAPAK</t>
  </si>
  <si>
    <t>18 ÇAY OTOMATI KAPAK</t>
  </si>
  <si>
    <t>MERDANE TAKILDI</t>
  </si>
  <si>
    <t>36x24 TENCERE</t>
  </si>
  <si>
    <t>30X20 TENCRE</t>
  </si>
  <si>
    <t>28x18 GENİŞ TABAN TENCERE</t>
  </si>
  <si>
    <t>24x7 HELVANE TAVA</t>
  </si>
  <si>
    <t>LİNES 1 LT NAZ ÇAYDANLIK</t>
  </si>
  <si>
    <t>TENCERE PRESSHANEDE ETEK KESME YAPTI</t>
  </si>
  <si>
    <t>LİNES 18x10 GENİŞ TABAN TENCERE ZEYCAN</t>
  </si>
  <si>
    <t>YONCA 34x23 HELVANE TENCERE</t>
  </si>
  <si>
    <t xml:space="preserve">YONCA 40x28 HELVANE TENCERE </t>
  </si>
  <si>
    <t>YONCA 36X24 HELVANE TENCERE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</si>
</sst>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h:mm;@"/>
    <numFmt numFmtId="165" formatCode="m\K"/>
    <numFmt numFmtId="166" formatCode="[$-F800]dddd\,\ mmmm\ dd\,\ yyyy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C5A7"/>
        <bgColor indexed="64"/>
      </patternFill>
    </fill>
    <fill>
      <patternFill patternType="solid">
        <fgColor rgb="FFFCEBE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0" xfId="0" applyNumberFormat="1" applyBorder="1" applyAlignment="1"/>
    <xf numFmtId="0" fontId="0" fillId="2" borderId="1" xfId="0" applyFill="1" applyBorder="1"/>
    <xf numFmtId="0" fontId="0" fillId="0" borderId="0" xfId="0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1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24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3" fontId="0" fillId="0" borderId="9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0" fontId="24" fillId="2" borderId="1" xfId="0" applyFont="1" applyFill="1" applyBorder="1"/>
    <xf numFmtId="0" fontId="24" fillId="2" borderId="1" xfId="0" applyFont="1" applyFill="1" applyBorder="1" applyAlignment="1">
      <alignment horizontal="center"/>
    </xf>
    <xf numFmtId="3" fontId="24" fillId="2" borderId="9" xfId="0" applyNumberFormat="1" applyFont="1" applyFill="1" applyBorder="1" applyAlignment="1"/>
    <xf numFmtId="3" fontId="24" fillId="2" borderId="10" xfId="0" applyNumberFormat="1" applyFont="1" applyFill="1" applyBorder="1" applyAlignment="1"/>
    <xf numFmtId="3" fontId="24" fillId="2" borderId="1" xfId="0" applyNumberFormat="1" applyFont="1" applyFill="1" applyBorder="1" applyAlignment="1">
      <alignment horizontal="center"/>
    </xf>
    <xf numFmtId="165" fontId="24" fillId="2" borderId="1" xfId="0" applyNumberFormat="1" applyFont="1" applyFill="1" applyBorder="1" applyAlignment="1">
      <alignment horizontal="center"/>
    </xf>
    <xf numFmtId="0" fontId="29" fillId="0" borderId="0" xfId="0" applyFont="1"/>
    <xf numFmtId="0" fontId="27" fillId="0" borderId="0" xfId="0" applyFont="1" applyAlignment="1">
      <alignment horizontal="center" vertical="center"/>
    </xf>
    <xf numFmtId="0" fontId="0" fillId="0" borderId="0" xfId="0" applyBorder="1" applyAlignment="1"/>
    <xf numFmtId="0" fontId="24" fillId="0" borderId="0" xfId="0" applyFont="1"/>
    <xf numFmtId="0" fontId="24" fillId="0" borderId="0" xfId="0" applyFont="1" applyAlignment="1">
      <alignment horizontal="center"/>
    </xf>
    <xf numFmtId="3" fontId="24" fillId="2" borderId="9" xfId="0" applyNumberFormat="1" applyFont="1" applyFill="1" applyBorder="1" applyAlignment="1">
      <alignment horizontal="right" vertical="center"/>
    </xf>
    <xf numFmtId="3" fontId="24" fillId="2" borderId="10" xfId="0" applyNumberFormat="1" applyFont="1" applyFill="1" applyBorder="1" applyAlignment="1">
      <alignment horizontal="center" vertical="center"/>
    </xf>
    <xf numFmtId="3" fontId="24" fillId="2" borderId="9" xfId="0" applyNumberFormat="1" applyFont="1" applyFill="1" applyBorder="1" applyAlignment="1">
      <alignment horizontal="center" vertical="center"/>
    </xf>
    <xf numFmtId="3" fontId="24" fillId="2" borderId="9" xfId="0" applyNumberFormat="1" applyFont="1" applyFill="1" applyBorder="1" applyAlignment="1">
      <alignment vertical="center"/>
    </xf>
    <xf numFmtId="3" fontId="24" fillId="2" borderId="10" xfId="0" applyNumberFormat="1" applyFont="1" applyFill="1" applyBorder="1" applyAlignment="1">
      <alignment vertical="center"/>
    </xf>
    <xf numFmtId="0" fontId="30" fillId="0" borderId="14" xfId="0" applyFont="1" applyBorder="1" applyAlignment="1"/>
    <xf numFmtId="0" fontId="31" fillId="0" borderId="8" xfId="0" applyFont="1" applyBorder="1" applyAlignment="1">
      <alignment vertical="center"/>
    </xf>
    <xf numFmtId="0" fontId="31" fillId="0" borderId="0" xfId="0" applyFont="1" applyAlignment="1">
      <alignment vertical="center"/>
    </xf>
    <xf numFmtId="3" fontId="0" fillId="0" borderId="9" xfId="0" applyNumberFormat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3" fontId="0" fillId="0" borderId="9" xfId="0" applyNumberFormat="1" applyBorder="1" applyAlignment="1"/>
    <xf numFmtId="49" fontId="0" fillId="0" borderId="1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20" fontId="0" fillId="0" borderId="1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27" fillId="4" borderId="11" xfId="0" applyFont="1" applyFill="1" applyBorder="1" applyAlignment="1">
      <alignment horizontal="center" vertical="center"/>
    </xf>
    <xf numFmtId="0" fontId="21" fillId="0" borderId="1" xfId="0" applyFont="1" applyBorder="1" applyAlignment="1"/>
    <xf numFmtId="3" fontId="0" fillId="0" borderId="9" xfId="0" applyNumberFormat="1" applyBorder="1" applyAlignment="1">
      <alignment horizontal="center"/>
    </xf>
    <xf numFmtId="0" fontId="30" fillId="0" borderId="14" xfId="0" applyFont="1" applyBorder="1" applyAlignment="1">
      <alignment horizontal="center"/>
    </xf>
    <xf numFmtId="3" fontId="25" fillId="2" borderId="0" xfId="0" applyNumberFormat="1" applyFont="1" applyFill="1" applyBorder="1" applyAlignment="1">
      <alignment horizontal="center" vertical="center"/>
    </xf>
    <xf numFmtId="0" fontId="31" fillId="0" borderId="0" xfId="0" applyFont="1" applyBorder="1" applyAlignment="1">
      <alignment vertical="center"/>
    </xf>
    <xf numFmtId="0" fontId="31" fillId="0" borderId="13" xfId="0" applyFont="1" applyBorder="1" applyAlignment="1">
      <alignment vertical="center"/>
    </xf>
    <xf numFmtId="0" fontId="27" fillId="0" borderId="0" xfId="0" applyFont="1"/>
    <xf numFmtId="0" fontId="30" fillId="0" borderId="0" xfId="0" applyFont="1" applyBorder="1" applyAlignment="1"/>
    <xf numFmtId="3" fontId="34" fillId="2" borderId="9" xfId="0" applyNumberFormat="1" applyFont="1" applyFill="1" applyBorder="1" applyAlignment="1">
      <alignment vertical="center"/>
    </xf>
    <xf numFmtId="3" fontId="34" fillId="2" borderId="10" xfId="0" applyNumberFormat="1" applyFont="1" applyFill="1" applyBorder="1" applyAlignment="1">
      <alignment vertical="center"/>
    </xf>
    <xf numFmtId="0" fontId="33" fillId="0" borderId="0" xfId="0" applyFont="1" applyBorder="1" applyAlignment="1">
      <alignment wrapText="1"/>
    </xf>
    <xf numFmtId="0" fontId="33" fillId="0" borderId="0" xfId="0" applyFont="1" applyAlignment="1">
      <alignment wrapText="1"/>
    </xf>
    <xf numFmtId="0" fontId="34" fillId="0" borderId="0" xfId="0" applyFont="1" applyAlignment="1">
      <alignment horizontal="center" vertical="center" wrapText="1"/>
    </xf>
    <xf numFmtId="3" fontId="34" fillId="2" borderId="9" xfId="0" applyNumberFormat="1" applyFont="1" applyFill="1" applyBorder="1" applyAlignment="1">
      <alignment horizontal="right" vertical="center" wrapText="1"/>
    </xf>
    <xf numFmtId="3" fontId="34" fillId="2" borderId="10" xfId="0" applyNumberFormat="1" applyFont="1" applyFill="1" applyBorder="1" applyAlignment="1">
      <alignment horizontal="center" vertical="center" wrapText="1"/>
    </xf>
    <xf numFmtId="3" fontId="34" fillId="2" borderId="9" xfId="0" applyNumberFormat="1" applyFont="1" applyFill="1" applyBorder="1" applyAlignment="1">
      <alignment horizontal="center" vertical="center" wrapText="1"/>
    </xf>
    <xf numFmtId="3" fontId="34" fillId="2" borderId="9" xfId="0" applyNumberFormat="1" applyFont="1" applyFill="1" applyBorder="1" applyAlignment="1">
      <alignment vertical="center" wrapText="1"/>
    </xf>
    <xf numFmtId="3" fontId="34" fillId="2" borderId="10" xfId="0" applyNumberFormat="1" applyFont="1" applyFill="1" applyBorder="1" applyAlignment="1">
      <alignment vertical="center" wrapText="1"/>
    </xf>
    <xf numFmtId="0" fontId="34" fillId="0" borderId="0" xfId="0" applyFont="1" applyAlignment="1">
      <alignment wrapText="1"/>
    </xf>
    <xf numFmtId="3" fontId="34" fillId="2" borderId="1" xfId="0" applyNumberFormat="1" applyFont="1" applyFill="1" applyBorder="1" applyAlignment="1">
      <alignment horizontal="center" vertical="center"/>
    </xf>
    <xf numFmtId="165" fontId="34" fillId="2" borderId="1" xfId="0" applyNumberFormat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vertical="center"/>
    </xf>
    <xf numFmtId="0" fontId="33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0" fillId="0" borderId="0" xfId="0"/>
    <xf numFmtId="0" fontId="32" fillId="0" borderId="1" xfId="0" applyFont="1" applyBorder="1" applyAlignment="1">
      <alignment horizontal="center" vertical="center"/>
    </xf>
    <xf numFmtId="0" fontId="0" fillId="0" borderId="0" xfId="0"/>
    <xf numFmtId="0" fontId="3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/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3" fontId="0" fillId="2" borderId="9" xfId="0" applyNumberFormat="1" applyFont="1" applyFill="1" applyBorder="1" applyAlignment="1">
      <alignment horizontal="right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25" fillId="2" borderId="9" xfId="0" applyNumberFormat="1" applyFont="1" applyFill="1" applyBorder="1" applyAlignment="1">
      <alignment horizontal="center" vertical="center"/>
    </xf>
    <xf numFmtId="3" fontId="25" fillId="2" borderId="15" xfId="0" applyNumberFormat="1" applyFont="1" applyFill="1" applyBorder="1" applyAlignment="1">
      <alignment horizontal="center" vertical="center"/>
    </xf>
    <xf numFmtId="3" fontId="25" fillId="2" borderId="10" xfId="0" applyNumberFormat="1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right"/>
    </xf>
    <xf numFmtId="0" fontId="24" fillId="2" borderId="15" xfId="0" applyFont="1" applyFill="1" applyBorder="1" applyAlignment="1">
      <alignment horizontal="right"/>
    </xf>
    <xf numFmtId="0" fontId="24" fillId="2" borderId="10" xfId="0" applyFont="1" applyFill="1" applyBorder="1" applyAlignment="1">
      <alignment horizontal="right"/>
    </xf>
    <xf numFmtId="3" fontId="24" fillId="2" borderId="9" xfId="0" applyNumberFormat="1" applyFont="1" applyFill="1" applyBorder="1" applyAlignment="1">
      <alignment horizontal="center"/>
    </xf>
    <xf numFmtId="3" fontId="24" fillId="2" borderId="10" xfId="0" applyNumberFormat="1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9" xfId="0" applyNumberFormat="1" applyFont="1" applyBorder="1" applyAlignment="1">
      <alignment horizontal="center" vertical="center"/>
    </xf>
    <xf numFmtId="166" fontId="31" fillId="0" borderId="15" xfId="0" applyNumberFormat="1" applyFont="1" applyBorder="1" applyAlignment="1">
      <alignment horizontal="center" vertical="center"/>
    </xf>
    <xf numFmtId="166" fontId="31" fillId="0" borderId="10" xfId="0" applyNumberFormat="1" applyFont="1" applyBorder="1" applyAlignment="1">
      <alignment horizontal="center" vertical="center"/>
    </xf>
    <xf numFmtId="0" fontId="26" fillId="3" borderId="9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/>
    </xf>
    <xf numFmtId="0" fontId="27" fillId="4" borderId="7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0" fontId="27" fillId="4" borderId="11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0" fontId="27" fillId="4" borderId="1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0" xfId="0" applyBorder="1" applyAlignment="1">
      <alignment horizontal="left"/>
    </xf>
    <xf numFmtId="0" fontId="31" fillId="0" borderId="9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27" fillId="4" borderId="14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8" fillId="4" borderId="4" xfId="0" applyFont="1" applyFill="1" applyBorder="1" applyAlignment="1">
      <alignment horizontal="center" vertical="center"/>
    </xf>
    <xf numFmtId="0" fontId="28" fillId="4" borderId="5" xfId="0" applyFont="1" applyFill="1" applyBorder="1" applyAlignment="1">
      <alignment horizontal="center" vertical="center"/>
    </xf>
    <xf numFmtId="0" fontId="28" fillId="4" borderId="11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4" borderId="7" xfId="0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8" fillId="4" borderId="9" xfId="0" applyFont="1" applyFill="1" applyBorder="1" applyAlignment="1">
      <alignment horizontal="center" vertical="center"/>
    </xf>
    <xf numFmtId="0" fontId="28" fillId="4" borderId="10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 wrapText="1"/>
    </xf>
    <xf numFmtId="166" fontId="31" fillId="0" borderId="5" xfId="0" applyNumberFormat="1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34" fillId="2" borderId="9" xfId="0" applyFont="1" applyFill="1" applyBorder="1" applyAlignment="1">
      <alignment horizontal="right" vertical="center"/>
    </xf>
    <xf numFmtId="0" fontId="34" fillId="2" borderId="15" xfId="0" applyFont="1" applyFill="1" applyBorder="1" applyAlignment="1">
      <alignment horizontal="right" vertical="center"/>
    </xf>
    <xf numFmtId="0" fontId="34" fillId="2" borderId="10" xfId="0" applyFont="1" applyFill="1" applyBorder="1" applyAlignment="1">
      <alignment horizontal="right" vertical="center"/>
    </xf>
    <xf numFmtId="0" fontId="34" fillId="2" borderId="9" xfId="0" applyFont="1" applyFill="1" applyBorder="1" applyAlignment="1">
      <alignment horizontal="right" vertical="center" wrapText="1"/>
    </xf>
    <xf numFmtId="0" fontId="34" fillId="2" borderId="15" xfId="0" applyFont="1" applyFill="1" applyBorder="1" applyAlignment="1">
      <alignment horizontal="right" vertical="center" wrapText="1"/>
    </xf>
    <xf numFmtId="0" fontId="34" fillId="2" borderId="10" xfId="0" applyFont="1" applyFill="1" applyBorder="1" applyAlignment="1">
      <alignment horizontal="right" vertical="center" wrapText="1"/>
    </xf>
    <xf numFmtId="0" fontId="34" fillId="2" borderId="9" xfId="0" applyFont="1" applyFill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/>
    </xf>
    <xf numFmtId="3" fontId="35" fillId="2" borderId="9" xfId="0" applyNumberFormat="1" applyFont="1" applyFill="1" applyBorder="1" applyAlignment="1">
      <alignment horizontal="center" vertical="center" wrapText="1"/>
    </xf>
    <xf numFmtId="3" fontId="35" fillId="2" borderId="15" xfId="0" applyNumberFormat="1" applyFont="1" applyFill="1" applyBorder="1" applyAlignment="1">
      <alignment horizontal="center" vertical="center" wrapText="1"/>
    </xf>
    <xf numFmtId="3" fontId="35" fillId="2" borderId="10" xfId="0" applyNumberFormat="1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right" vertical="center"/>
    </xf>
    <xf numFmtId="0" fontId="31" fillId="0" borderId="11" xfId="0" applyFont="1" applyBorder="1" applyAlignment="1">
      <alignment horizontal="right" vertical="center"/>
    </xf>
    <xf numFmtId="0" fontId="31" fillId="0" borderId="6" xfId="0" applyFont="1" applyBorder="1" applyAlignment="1">
      <alignment horizontal="right" vertic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3" fontId="0" fillId="0" borderId="10" xfId="0" applyNumberFormat="1" applyFill="1" applyBorder="1" applyAlignment="1">
      <alignment horizont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BE0"/>
      <color rgb="FFF7C5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827D32A2-6705-4864-9C1A-B0C1DDE76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59BB0DFD-5D77-4FE3-B922-DF12CF4F3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50EC87DD-7C9F-4404-BAD6-1A37AFE7C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4E54704E-2E9D-4789-8366-289C03B95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2C97EB0-FB90-485A-AE99-866F1C7ED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79564E46-2CD2-4FEF-91A4-A5A3CF261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9C51F82D-FFEA-4393-B5FE-B01E48C23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ADCFDC39-C832-43B9-9CB1-3669C43AD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24D0F561-B68C-4CD0-B5A4-F832423E6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2AE2787E-6F4A-45A8-B412-943C43858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2B946503-0E3D-4C87-A368-8C1776512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73B6602-5E00-4840-B006-2F2475974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51703410-653F-4E04-A815-96E9DFC78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51703410-653F-4E04-A815-96E9DFC78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31F45C6-668A-46A3-BDD4-B2E0407DC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W105"/>
  <sheetViews>
    <sheetView zoomScale="85" zoomScaleNormal="85" workbookViewId="0">
      <selection activeCell="E73" sqref="E73:I73"/>
    </sheetView>
  </sheetViews>
  <sheetFormatPr defaultColWidth="8.88671875" defaultRowHeight="14.4" x14ac:dyDescent="0.3"/>
  <cols>
    <col min="1" max="1" width="12.6640625" style="135" customWidth="1"/>
    <col min="2" max="3" width="7.6640625" style="135" customWidth="1"/>
    <col min="4" max="4" width="8.109375" style="8" bestFit="1" customWidth="1"/>
    <col min="5" max="5" width="35.6640625" style="135" customWidth="1"/>
    <col min="6" max="6" width="5.6640625" style="135" customWidth="1"/>
    <col min="7" max="9" width="6.6640625" style="13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35" customWidth="1"/>
    <col min="20" max="20" width="21.5546875" style="135" bestFit="1" customWidth="1"/>
    <col min="21" max="23" width="7.6640625" style="135" customWidth="1"/>
    <col min="24" max="16384" width="8.88671875" style="135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45947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/>
      <c r="C7" s="5"/>
      <c r="D7" s="4"/>
      <c r="E7" s="12"/>
      <c r="F7" s="17"/>
      <c r="G7" s="17"/>
      <c r="H7" s="18"/>
      <c r="I7" s="17"/>
      <c r="J7" s="165"/>
      <c r="K7" s="166"/>
      <c r="L7" s="165"/>
      <c r="M7" s="166"/>
      <c r="N7" s="165"/>
      <c r="O7" s="166"/>
      <c r="P7" s="165"/>
      <c r="Q7" s="166"/>
      <c r="R7" s="153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/>
      <c r="E8" s="12"/>
      <c r="F8" s="17"/>
      <c r="G8" s="17"/>
      <c r="H8" s="18"/>
      <c r="I8" s="17"/>
      <c r="J8" s="165"/>
      <c r="K8" s="166"/>
      <c r="L8" s="165"/>
      <c r="M8" s="166"/>
      <c r="N8" s="165"/>
      <c r="O8" s="166"/>
      <c r="P8" s="165"/>
      <c r="Q8" s="166"/>
      <c r="R8" s="153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/>
      <c r="E9" s="12"/>
      <c r="F9" s="17"/>
      <c r="G9" s="17"/>
      <c r="H9" s="18"/>
      <c r="I9" s="17"/>
      <c r="J9" s="165"/>
      <c r="K9" s="166"/>
      <c r="L9" s="165"/>
      <c r="M9" s="166"/>
      <c r="N9" s="165"/>
      <c r="O9" s="166"/>
      <c r="P9" s="165"/>
      <c r="Q9" s="166"/>
      <c r="R9" s="153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/>
      <c r="E10" s="12"/>
      <c r="F10" s="17"/>
      <c r="G10" s="17"/>
      <c r="H10" s="18"/>
      <c r="I10" s="17"/>
      <c r="J10" s="165"/>
      <c r="K10" s="166"/>
      <c r="L10" s="165"/>
      <c r="M10" s="166"/>
      <c r="N10" s="165"/>
      <c r="O10" s="166"/>
      <c r="P10" s="165"/>
      <c r="Q10" s="166"/>
      <c r="R10" s="153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/>
      <c r="E11" s="12"/>
      <c r="F11" s="17"/>
      <c r="G11" s="17"/>
      <c r="H11" s="18"/>
      <c r="I11" s="17"/>
      <c r="J11" s="165"/>
      <c r="K11" s="166"/>
      <c r="L11" s="165"/>
      <c r="M11" s="166"/>
      <c r="N11" s="165"/>
      <c r="O11" s="166"/>
      <c r="P11" s="165"/>
      <c r="Q11" s="166"/>
      <c r="R11" s="153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/>
      <c r="E12" s="12"/>
      <c r="F12" s="17"/>
      <c r="G12" s="17"/>
      <c r="H12" s="18"/>
      <c r="I12" s="17"/>
      <c r="J12" s="165"/>
      <c r="K12" s="166"/>
      <c r="L12" s="165"/>
      <c r="M12" s="166"/>
      <c r="N12" s="165"/>
      <c r="O12" s="166"/>
      <c r="P12" s="165"/>
      <c r="Q12" s="166"/>
      <c r="R12" s="153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/>
      <c r="E13" s="12"/>
      <c r="F13" s="17"/>
      <c r="G13" s="17"/>
      <c r="H13" s="18"/>
      <c r="I13" s="17"/>
      <c r="J13" s="165"/>
      <c r="K13" s="166"/>
      <c r="L13" s="165"/>
      <c r="M13" s="166"/>
      <c r="N13" s="165"/>
      <c r="O13" s="166"/>
      <c r="P13" s="165"/>
      <c r="Q13" s="166"/>
      <c r="R13" s="153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/>
      <c r="E14" s="12"/>
      <c r="F14" s="17"/>
      <c r="G14" s="17"/>
      <c r="H14" s="18"/>
      <c r="I14" s="17"/>
      <c r="J14" s="165"/>
      <c r="K14" s="166"/>
      <c r="L14" s="165"/>
      <c r="M14" s="166"/>
      <c r="N14" s="165"/>
      <c r="O14" s="166"/>
      <c r="P14" s="165"/>
      <c r="Q14" s="166"/>
      <c r="R14" s="153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/>
      <c r="E15" s="12"/>
      <c r="F15" s="17"/>
      <c r="G15" s="17"/>
      <c r="H15" s="18"/>
      <c r="I15" s="17"/>
      <c r="J15" s="165"/>
      <c r="K15" s="166"/>
      <c r="L15" s="165"/>
      <c r="M15" s="166"/>
      <c r="N15" s="165"/>
      <c r="O15" s="166"/>
      <c r="P15" s="165"/>
      <c r="Q15" s="166"/>
      <c r="R15" s="153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153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153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153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153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153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0</v>
      </c>
      <c r="K21" s="22" t="s">
        <v>17</v>
      </c>
      <c r="L21" s="21">
        <f>SUM(L7:M20)</f>
        <v>0</v>
      </c>
      <c r="M21" s="22" t="s">
        <v>17</v>
      </c>
      <c r="N21" s="21">
        <f>SUM(N7:O20)</f>
        <v>0</v>
      </c>
      <c r="O21" s="22" t="s">
        <v>17</v>
      </c>
      <c r="P21" s="21">
        <f>SUM(P7:Q20)</f>
        <v>0</v>
      </c>
      <c r="Q21" s="22" t="s">
        <v>17</v>
      </c>
      <c r="R21" s="23">
        <f>SUM(R7:R20)</f>
        <v>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0</v>
      </c>
      <c r="K24" s="31" t="s">
        <v>17</v>
      </c>
      <c r="L24" s="32">
        <f>L21</f>
        <v>0</v>
      </c>
      <c r="M24" s="31" t="s">
        <v>17</v>
      </c>
      <c r="N24" s="32">
        <f>N21</f>
        <v>0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0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14.5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45947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/>
      <c r="C31" s="5"/>
      <c r="D31" s="4"/>
      <c r="E31" s="12"/>
      <c r="F31" s="40"/>
      <c r="G31" s="41"/>
      <c r="H31" s="40"/>
      <c r="I31" s="12"/>
      <c r="J31" s="165"/>
      <c r="K31" s="166"/>
      <c r="L31" s="165"/>
      <c r="M31" s="166"/>
      <c r="N31" s="165"/>
      <c r="O31" s="166"/>
      <c r="P31" s="165"/>
      <c r="Q31" s="166"/>
      <c r="R31" s="153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/>
      <c r="D32" s="4"/>
      <c r="E32" s="12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153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2"/>
      <c r="B33" s="19"/>
      <c r="C33" s="19"/>
      <c r="D33" s="20"/>
      <c r="E33" s="170" t="s">
        <v>0</v>
      </c>
      <c r="F33" s="171"/>
      <c r="G33" s="171"/>
      <c r="H33" s="171"/>
      <c r="I33" s="172"/>
      <c r="J33" s="173">
        <f>SUM(J31:K32)</f>
        <v>0</v>
      </c>
      <c r="K33" s="174"/>
      <c r="L33" s="173">
        <f>SUM(L31:M32)</f>
        <v>0</v>
      </c>
      <c r="M33" s="174"/>
      <c r="N33" s="173">
        <f>SUM(N31:O32)</f>
        <v>0</v>
      </c>
      <c r="O33" s="174"/>
      <c r="P33" s="173">
        <f>SUM(P31:Q32)</f>
        <v>0</v>
      </c>
      <c r="Q33" s="174"/>
      <c r="R33" s="23">
        <f>SUM(R31:R32)</f>
        <v>0</v>
      </c>
      <c r="S33" s="24" t="s">
        <v>20</v>
      </c>
      <c r="T33" s="19"/>
      <c r="U33" s="177"/>
      <c r="V33" s="178"/>
      <c r="W33" s="179"/>
    </row>
    <row r="34" spans="1:23" ht="14.55" customHeight="1" x14ac:dyDescent="0.3">
      <c r="A34" s="163" t="s">
        <v>34</v>
      </c>
      <c r="B34" s="5"/>
      <c r="C34" s="5"/>
      <c r="D34" s="4"/>
      <c r="E34" s="12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153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63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153"/>
      <c r="S35" s="14" t="s">
        <v>20</v>
      </c>
      <c r="T35" s="42"/>
      <c r="U35" s="177"/>
      <c r="V35" s="178"/>
      <c r="W35" s="179"/>
    </row>
    <row r="36" spans="1:23" ht="14.55" customHeight="1" x14ac:dyDescent="0.3">
      <c r="A36" s="163"/>
      <c r="B36" s="5"/>
      <c r="C36" s="5"/>
      <c r="D36" s="4"/>
      <c r="E36" s="12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153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64"/>
      <c r="B37" s="19"/>
      <c r="C37" s="19"/>
      <c r="D37" s="20"/>
      <c r="E37" s="170" t="s">
        <v>0</v>
      </c>
      <c r="F37" s="171"/>
      <c r="G37" s="171"/>
      <c r="H37" s="171"/>
      <c r="I37" s="172"/>
      <c r="J37" s="173">
        <f>SUM(J34:K36)</f>
        <v>0</v>
      </c>
      <c r="K37" s="174"/>
      <c r="L37" s="173">
        <f>SUM(L34:M36)</f>
        <v>0</v>
      </c>
      <c r="M37" s="174"/>
      <c r="N37" s="173">
        <f>SUM(N34:O36)</f>
        <v>0</v>
      </c>
      <c r="O37" s="174"/>
      <c r="P37" s="173">
        <f>SUM(P34:Q36)</f>
        <v>0</v>
      </c>
      <c r="Q37" s="174"/>
      <c r="R37" s="23">
        <f>SUM(R34:R36)</f>
        <v>0</v>
      </c>
      <c r="S37" s="24" t="s">
        <v>20</v>
      </c>
      <c r="T37" s="19"/>
      <c r="U37" s="177"/>
      <c r="V37" s="178"/>
      <c r="W37" s="179"/>
    </row>
    <row r="38" spans="1:23" ht="14.55" customHeight="1" x14ac:dyDescent="0.3">
      <c r="A38" s="163" t="s">
        <v>583</v>
      </c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153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3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153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64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SUM(J38:K39)</f>
        <v>0</v>
      </c>
      <c r="K40" s="174"/>
      <c r="L40" s="173">
        <f>SUM(L38:M39)</f>
        <v>0</v>
      </c>
      <c r="M40" s="174"/>
      <c r="N40" s="173">
        <f>SUM(N38:O39)</f>
        <v>0</v>
      </c>
      <c r="O40" s="174"/>
      <c r="P40" s="173">
        <f>SUM(P38:Q39)</f>
        <v>0</v>
      </c>
      <c r="Q40" s="174"/>
      <c r="R40" s="23">
        <f>SUM(R38:R39)</f>
        <v>0</v>
      </c>
      <c r="S40" s="24" t="s">
        <v>20</v>
      </c>
      <c r="T40" s="19"/>
      <c r="U40" s="177"/>
      <c r="V40" s="178"/>
      <c r="W40" s="179"/>
    </row>
    <row r="41" spans="1:23" ht="14.55" customHeight="1" x14ac:dyDescent="0.3">
      <c r="A41" s="163" t="s">
        <v>35</v>
      </c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153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153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4"/>
      <c r="B43" s="19"/>
      <c r="C43" s="19"/>
      <c r="D43" s="20"/>
      <c r="E43" s="170" t="s">
        <v>0</v>
      </c>
      <c r="F43" s="171"/>
      <c r="G43" s="171"/>
      <c r="H43" s="171"/>
      <c r="I43" s="172"/>
      <c r="J43" s="173">
        <f>SUM(J41:K42)</f>
        <v>0</v>
      </c>
      <c r="K43" s="174"/>
      <c r="L43" s="173">
        <f>SUM(L41:M42)</f>
        <v>0</v>
      </c>
      <c r="M43" s="174"/>
      <c r="N43" s="173">
        <f>SUM(N41:O42)</f>
        <v>0</v>
      </c>
      <c r="O43" s="174"/>
      <c r="P43" s="173">
        <f>SUM(P41:Q42)</f>
        <v>0</v>
      </c>
      <c r="Q43" s="174"/>
      <c r="R43" s="23">
        <f>SUM(R41:R42)</f>
        <v>0</v>
      </c>
      <c r="S43" s="24" t="s">
        <v>20</v>
      </c>
      <c r="T43" s="19"/>
      <c r="U43" s="177"/>
      <c r="V43" s="178"/>
      <c r="W43" s="179"/>
    </row>
    <row r="44" spans="1:23" ht="14.55" customHeight="1" x14ac:dyDescent="0.3">
      <c r="A44" s="27"/>
      <c r="B44" s="27"/>
      <c r="C44" s="27"/>
      <c r="D44" s="27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27"/>
      <c r="S44" s="27"/>
      <c r="T44" s="39"/>
      <c r="U44" s="39"/>
      <c r="V44" s="39"/>
      <c r="W44" s="39"/>
    </row>
    <row r="45" spans="1:23" x14ac:dyDescent="0.3">
      <c r="E45" s="170" t="s">
        <v>31</v>
      </c>
      <c r="F45" s="171"/>
      <c r="G45" s="171"/>
      <c r="H45" s="171"/>
      <c r="I45" s="172"/>
      <c r="J45" s="175" t="s">
        <v>7</v>
      </c>
      <c r="K45" s="176"/>
      <c r="L45" s="175" t="s">
        <v>8</v>
      </c>
      <c r="M45" s="176"/>
      <c r="N45" s="175" t="s">
        <v>9</v>
      </c>
      <c r="O45" s="176"/>
      <c r="P45" s="175" t="s">
        <v>117</v>
      </c>
      <c r="Q45" s="176"/>
    </row>
    <row r="46" spans="1:23" s="2" customFormat="1" x14ac:dyDescent="0.3">
      <c r="E46" s="15"/>
      <c r="F46" s="15"/>
      <c r="G46" s="15"/>
      <c r="H46" s="15"/>
      <c r="I46" s="15"/>
      <c r="J46" s="30">
        <f>J33+J37+J40+J43</f>
        <v>0</v>
      </c>
      <c r="K46" s="31" t="s">
        <v>17</v>
      </c>
      <c r="L46" s="30">
        <f>L33+L37+L40+L43</f>
        <v>0</v>
      </c>
      <c r="M46" s="31" t="s">
        <v>17</v>
      </c>
      <c r="N46" s="30">
        <f>N33+N37+N40+N43</f>
        <v>0</v>
      </c>
      <c r="O46" s="31" t="s">
        <v>17</v>
      </c>
      <c r="P46" s="30">
        <f>P33+P37+P40+P43</f>
        <v>0</v>
      </c>
      <c r="Q46" s="34" t="s">
        <v>17</v>
      </c>
    </row>
    <row r="47" spans="1:23" ht="24.45" customHeight="1" x14ac:dyDescent="0.3">
      <c r="E47" s="28"/>
      <c r="F47" s="28"/>
      <c r="G47" s="28"/>
      <c r="H47" s="28"/>
      <c r="I47" s="28"/>
      <c r="J47" s="167">
        <f>J46+L46+N46+P46</f>
        <v>0</v>
      </c>
      <c r="K47" s="168"/>
      <c r="L47" s="168"/>
      <c r="M47" s="168"/>
      <c r="N47" s="168"/>
      <c r="O47" s="168"/>
      <c r="P47" s="168"/>
      <c r="Q47" s="169"/>
    </row>
    <row r="48" spans="1:23" ht="14.55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spans="1:23" s="37" customFormat="1" ht="19.95" customHeight="1" x14ac:dyDescent="0.4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183" t="s">
        <v>14</v>
      </c>
      <c r="R49" s="183"/>
      <c r="S49" s="183"/>
      <c r="T49" s="184">
        <f>T3</f>
        <v>45947</v>
      </c>
      <c r="U49" s="185"/>
      <c r="V49" s="185"/>
      <c r="W49" s="186"/>
    </row>
    <row r="50" spans="1:23" s="16" customFormat="1" ht="30" customHeight="1" x14ac:dyDescent="0.3">
      <c r="A50" s="187" t="s">
        <v>586</v>
      </c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9"/>
      <c r="Q50" s="189"/>
      <c r="R50" s="189"/>
      <c r="S50" s="189"/>
      <c r="T50" s="188"/>
      <c r="U50" s="188"/>
      <c r="V50" s="188"/>
      <c r="W50" s="190"/>
    </row>
    <row r="51" spans="1:23" s="26" customFormat="1" ht="13.8" x14ac:dyDescent="0.3">
      <c r="A51" s="191" t="s">
        <v>1</v>
      </c>
      <c r="B51" s="192" t="s">
        <v>2</v>
      </c>
      <c r="C51" s="192" t="s">
        <v>3</v>
      </c>
      <c r="D51" s="192" t="s">
        <v>4</v>
      </c>
      <c r="E51" s="193" t="s">
        <v>5</v>
      </c>
      <c r="F51" s="195" t="s">
        <v>21</v>
      </c>
      <c r="G51" s="195" t="s">
        <v>22</v>
      </c>
      <c r="H51" s="195" t="s">
        <v>33</v>
      </c>
      <c r="I51" s="195" t="s">
        <v>30</v>
      </c>
      <c r="J51" s="193" t="s">
        <v>6</v>
      </c>
      <c r="K51" s="197"/>
      <c r="L51" s="197"/>
      <c r="M51" s="197"/>
      <c r="N51" s="197"/>
      <c r="O51" s="197"/>
      <c r="P51" s="197"/>
      <c r="Q51" s="198"/>
      <c r="R51" s="193" t="s">
        <v>10</v>
      </c>
      <c r="S51" s="198"/>
      <c r="T51" s="191" t="s">
        <v>11</v>
      </c>
      <c r="U51" s="191" t="s">
        <v>12</v>
      </c>
      <c r="V51" s="191"/>
      <c r="W51" s="191"/>
    </row>
    <row r="52" spans="1:23" s="26" customFormat="1" ht="13.8" x14ac:dyDescent="0.3">
      <c r="A52" s="191"/>
      <c r="B52" s="192"/>
      <c r="C52" s="192"/>
      <c r="D52" s="192"/>
      <c r="E52" s="194"/>
      <c r="F52" s="196"/>
      <c r="G52" s="196"/>
      <c r="H52" s="196"/>
      <c r="I52" s="196"/>
      <c r="J52" s="200" t="s">
        <v>7</v>
      </c>
      <c r="K52" s="201"/>
      <c r="L52" s="200" t="s">
        <v>8</v>
      </c>
      <c r="M52" s="201"/>
      <c r="N52" s="200" t="s">
        <v>9</v>
      </c>
      <c r="O52" s="201"/>
      <c r="P52" s="200" t="s">
        <v>117</v>
      </c>
      <c r="Q52" s="201"/>
      <c r="R52" s="194"/>
      <c r="S52" s="199"/>
      <c r="T52" s="191"/>
      <c r="U52" s="191"/>
      <c r="V52" s="191"/>
      <c r="W52" s="191"/>
    </row>
    <row r="53" spans="1:23" ht="14.55" customHeight="1" x14ac:dyDescent="0.3">
      <c r="A53" s="180" t="s">
        <v>584</v>
      </c>
      <c r="B53" s="5"/>
      <c r="C53" s="5"/>
      <c r="D53" s="4"/>
      <c r="E53" s="12"/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153"/>
      <c r="S53" s="14" t="s">
        <v>20</v>
      </c>
      <c r="T53" s="42"/>
      <c r="U53" s="177"/>
      <c r="V53" s="178"/>
      <c r="W53" s="179"/>
    </row>
    <row r="54" spans="1:23" ht="14.55" customHeight="1" x14ac:dyDescent="0.3">
      <c r="A54" s="181"/>
      <c r="B54" s="5"/>
      <c r="C54" s="5"/>
      <c r="D54" s="4"/>
      <c r="E54" s="13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153"/>
      <c r="S54" s="14" t="s">
        <v>20</v>
      </c>
      <c r="T54" s="42"/>
      <c r="U54" s="177"/>
      <c r="V54" s="178"/>
      <c r="W54" s="179"/>
    </row>
    <row r="55" spans="1:23" ht="14.55" customHeight="1" x14ac:dyDescent="0.3">
      <c r="A55" s="181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153"/>
      <c r="S55" s="14" t="s">
        <v>20</v>
      </c>
      <c r="T55" s="42"/>
      <c r="U55" s="177"/>
      <c r="V55" s="178"/>
      <c r="W55" s="179"/>
    </row>
    <row r="56" spans="1:23" ht="14.55" customHeight="1" x14ac:dyDescent="0.3">
      <c r="A56" s="181"/>
      <c r="B56" s="5"/>
      <c r="C56" s="5"/>
      <c r="D56" s="4"/>
      <c r="E56" s="13"/>
      <c r="F56" s="40"/>
      <c r="G56" s="41"/>
      <c r="H56" s="40"/>
      <c r="I56" s="12"/>
      <c r="J56" s="165"/>
      <c r="K56" s="166"/>
      <c r="L56" s="165"/>
      <c r="M56" s="166"/>
      <c r="N56" s="165"/>
      <c r="O56" s="166"/>
      <c r="P56" s="165"/>
      <c r="Q56" s="166"/>
      <c r="R56" s="153"/>
      <c r="S56" s="14" t="s">
        <v>20</v>
      </c>
      <c r="T56" s="42"/>
      <c r="U56" s="177"/>
      <c r="V56" s="178"/>
      <c r="W56" s="179"/>
    </row>
    <row r="57" spans="1:23" ht="14.55" customHeight="1" x14ac:dyDescent="0.3">
      <c r="A57" s="181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153"/>
      <c r="S57" s="14" t="s">
        <v>20</v>
      </c>
      <c r="T57" s="42"/>
      <c r="U57" s="177"/>
      <c r="V57" s="178"/>
      <c r="W57" s="179"/>
    </row>
    <row r="58" spans="1:23" ht="14.55" customHeight="1" x14ac:dyDescent="0.3">
      <c r="A58" s="181"/>
      <c r="B58" s="5"/>
      <c r="C58" s="5"/>
      <c r="D58" s="4"/>
      <c r="E58" s="13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153"/>
      <c r="S58" s="14" t="s">
        <v>20</v>
      </c>
      <c r="T58" s="42"/>
      <c r="U58" s="177"/>
      <c r="V58" s="178"/>
      <c r="W58" s="179"/>
    </row>
    <row r="59" spans="1:23" ht="14.55" customHeight="1" x14ac:dyDescent="0.3">
      <c r="A59" s="181"/>
      <c r="B59" s="5"/>
      <c r="C59" s="5"/>
      <c r="D59" s="4"/>
      <c r="E59" s="12"/>
      <c r="F59" s="40"/>
      <c r="G59" s="41"/>
      <c r="H59" s="40"/>
      <c r="I59" s="12"/>
      <c r="J59" s="165"/>
      <c r="K59" s="166"/>
      <c r="L59" s="165"/>
      <c r="M59" s="166"/>
      <c r="N59" s="165"/>
      <c r="O59" s="166"/>
      <c r="P59" s="165"/>
      <c r="Q59" s="166"/>
      <c r="R59" s="153"/>
      <c r="S59" s="14" t="s">
        <v>20</v>
      </c>
      <c r="T59" s="42"/>
      <c r="U59" s="177"/>
      <c r="V59" s="178"/>
      <c r="W59" s="179"/>
    </row>
    <row r="60" spans="1:23" ht="14.55" customHeight="1" x14ac:dyDescent="0.3">
      <c r="A60" s="181"/>
      <c r="B60" s="5"/>
      <c r="C60" s="5"/>
      <c r="D60" s="4"/>
      <c r="E60" s="12"/>
      <c r="F60" s="40"/>
      <c r="G60" s="41"/>
      <c r="H60" s="40"/>
      <c r="I60" s="12"/>
      <c r="J60" s="165"/>
      <c r="K60" s="166"/>
      <c r="L60" s="165"/>
      <c r="M60" s="166"/>
      <c r="N60" s="165"/>
      <c r="O60" s="166"/>
      <c r="P60" s="165"/>
      <c r="Q60" s="166"/>
      <c r="R60" s="153"/>
      <c r="S60" s="14" t="s">
        <v>20</v>
      </c>
      <c r="T60" s="42"/>
      <c r="U60" s="177"/>
      <c r="V60" s="178"/>
      <c r="W60" s="179"/>
    </row>
    <row r="61" spans="1:23" ht="14.55" customHeight="1" x14ac:dyDescent="0.3">
      <c r="A61" s="181"/>
      <c r="B61" s="5"/>
      <c r="C61" s="5"/>
      <c r="D61" s="4"/>
      <c r="E61" s="12"/>
      <c r="F61" s="40"/>
      <c r="G61" s="41"/>
      <c r="H61" s="40"/>
      <c r="I61" s="12"/>
      <c r="J61" s="165"/>
      <c r="K61" s="166"/>
      <c r="L61" s="165"/>
      <c r="M61" s="166"/>
      <c r="N61" s="165"/>
      <c r="O61" s="166"/>
      <c r="P61" s="165"/>
      <c r="Q61" s="166"/>
      <c r="R61" s="153"/>
      <c r="S61" s="14" t="s">
        <v>20</v>
      </c>
      <c r="T61" s="42"/>
      <c r="U61" s="177"/>
      <c r="V61" s="178"/>
      <c r="W61" s="179"/>
    </row>
    <row r="62" spans="1:23" ht="14.55" customHeight="1" x14ac:dyDescent="0.3">
      <c r="A62" s="182"/>
      <c r="B62" s="19"/>
      <c r="C62" s="19"/>
      <c r="D62" s="20"/>
      <c r="E62" s="170" t="s">
        <v>0</v>
      </c>
      <c r="F62" s="171"/>
      <c r="G62" s="171"/>
      <c r="H62" s="171"/>
      <c r="I62" s="172"/>
      <c r="J62" s="173">
        <f>SUM(J53:K61)</f>
        <v>0</v>
      </c>
      <c r="K62" s="174"/>
      <c r="L62" s="173">
        <f>SUM(L53:M61)</f>
        <v>0</v>
      </c>
      <c r="M62" s="174"/>
      <c r="N62" s="173">
        <f>SUM(N53:O61)</f>
        <v>0</v>
      </c>
      <c r="O62" s="174"/>
      <c r="P62" s="173">
        <f>SUM(P53:Q61)</f>
        <v>0</v>
      </c>
      <c r="Q62" s="174"/>
      <c r="R62" s="23">
        <f>SUM(R53:R61)</f>
        <v>0</v>
      </c>
      <c r="S62" s="24" t="s">
        <v>20</v>
      </c>
      <c r="T62" s="19"/>
      <c r="U62" s="177"/>
      <c r="V62" s="178"/>
      <c r="W62" s="179"/>
    </row>
    <row r="63" spans="1:23" x14ac:dyDescent="0.3">
      <c r="E63" s="28"/>
      <c r="F63" s="28"/>
      <c r="G63" s="28"/>
      <c r="H63" s="28"/>
      <c r="I63" s="28"/>
      <c r="J63" s="29"/>
      <c r="K63" s="29"/>
      <c r="L63" s="29"/>
      <c r="M63" s="29"/>
      <c r="N63" s="29"/>
      <c r="O63" s="29"/>
      <c r="P63" s="29"/>
      <c r="Q63" s="29"/>
    </row>
    <row r="64" spans="1:23" x14ac:dyDescent="0.3">
      <c r="E64" s="170" t="s">
        <v>587</v>
      </c>
      <c r="F64" s="171"/>
      <c r="G64" s="171"/>
      <c r="H64" s="171"/>
      <c r="I64" s="172"/>
      <c r="J64" s="175" t="s">
        <v>7</v>
      </c>
      <c r="K64" s="176"/>
      <c r="L64" s="175" t="s">
        <v>8</v>
      </c>
      <c r="M64" s="176"/>
      <c r="N64" s="175" t="s">
        <v>9</v>
      </c>
      <c r="O64" s="176"/>
      <c r="P64" s="175" t="s">
        <v>117</v>
      </c>
      <c r="Q64" s="176"/>
    </row>
    <row r="65" spans="1:23" s="2" customFormat="1" x14ac:dyDescent="0.3">
      <c r="E65" s="15"/>
      <c r="F65" s="15"/>
      <c r="G65" s="15"/>
      <c r="H65" s="15"/>
      <c r="I65" s="15"/>
      <c r="J65" s="30">
        <f>J58+J62</f>
        <v>0</v>
      </c>
      <c r="K65" s="31" t="s">
        <v>17</v>
      </c>
      <c r="L65" s="32">
        <f>L58+L62</f>
        <v>0</v>
      </c>
      <c r="M65" s="31" t="s">
        <v>17</v>
      </c>
      <c r="N65" s="32">
        <f>N58+N62</f>
        <v>0</v>
      </c>
      <c r="O65" s="31" t="s">
        <v>17</v>
      </c>
      <c r="P65" s="32">
        <f>P58+P62</f>
        <v>0</v>
      </c>
      <c r="Q65" s="34" t="s">
        <v>17</v>
      </c>
    </row>
    <row r="66" spans="1:23" ht="24.45" customHeight="1" x14ac:dyDescent="0.3">
      <c r="E66" s="28"/>
      <c r="F66" s="28"/>
      <c r="G66" s="28"/>
      <c r="H66" s="28"/>
      <c r="I66" s="28"/>
      <c r="J66" s="167">
        <f>J65+L65+N65+P65</f>
        <v>0</v>
      </c>
      <c r="K66" s="168"/>
      <c r="L66" s="168"/>
      <c r="M66" s="168"/>
      <c r="N66" s="168"/>
      <c r="O66" s="168"/>
      <c r="P66" s="168"/>
      <c r="Q66" s="169"/>
    </row>
    <row r="67" spans="1:23" ht="14.55" customHeight="1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 spans="1:23" s="37" customFormat="1" ht="19.95" customHeight="1" x14ac:dyDescent="0.4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214" t="s">
        <v>14</v>
      </c>
      <c r="R68" s="215"/>
      <c r="S68" s="216"/>
      <c r="T68" s="184">
        <f>T3</f>
        <v>45947</v>
      </c>
      <c r="U68" s="185"/>
      <c r="V68" s="185"/>
      <c r="W68" s="186"/>
    </row>
    <row r="69" spans="1:23" s="16" customFormat="1" ht="30" customHeight="1" x14ac:dyDescent="0.3">
      <c r="A69" s="187" t="s">
        <v>26</v>
      </c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9"/>
      <c r="Q69" s="189"/>
      <c r="R69" s="189"/>
      <c r="S69" s="189"/>
      <c r="T69" s="188"/>
      <c r="U69" s="188"/>
      <c r="V69" s="188"/>
      <c r="W69" s="190"/>
    </row>
    <row r="70" spans="1:23" s="26" customFormat="1" ht="13.8" x14ac:dyDescent="0.3">
      <c r="A70" s="191" t="s">
        <v>1</v>
      </c>
      <c r="B70" s="192" t="s">
        <v>2</v>
      </c>
      <c r="C70" s="192" t="s">
        <v>3</v>
      </c>
      <c r="D70" s="192" t="s">
        <v>4</v>
      </c>
      <c r="E70" s="193" t="s">
        <v>5</v>
      </c>
      <c r="F70" s="197"/>
      <c r="G70" s="197"/>
      <c r="H70" s="197"/>
      <c r="I70" s="198"/>
      <c r="J70" s="193" t="s">
        <v>6</v>
      </c>
      <c r="K70" s="197"/>
      <c r="L70" s="197"/>
      <c r="M70" s="197"/>
      <c r="N70" s="197"/>
      <c r="O70" s="197"/>
      <c r="P70" s="197"/>
      <c r="Q70" s="198"/>
      <c r="R70" s="193" t="s">
        <v>10</v>
      </c>
      <c r="S70" s="198"/>
      <c r="T70" s="191" t="s">
        <v>11</v>
      </c>
      <c r="U70" s="191" t="s">
        <v>12</v>
      </c>
      <c r="V70" s="191"/>
      <c r="W70" s="191"/>
    </row>
    <row r="71" spans="1:23" s="26" customFormat="1" ht="13.8" x14ac:dyDescent="0.3">
      <c r="A71" s="191"/>
      <c r="B71" s="192"/>
      <c r="C71" s="192"/>
      <c r="D71" s="192"/>
      <c r="E71" s="194"/>
      <c r="F71" s="217"/>
      <c r="G71" s="217"/>
      <c r="H71" s="217"/>
      <c r="I71" s="199"/>
      <c r="J71" s="200" t="s">
        <v>7</v>
      </c>
      <c r="K71" s="201"/>
      <c r="L71" s="200" t="s">
        <v>8</v>
      </c>
      <c r="M71" s="201"/>
      <c r="N71" s="200" t="s">
        <v>9</v>
      </c>
      <c r="O71" s="201"/>
      <c r="P71" s="200" t="s">
        <v>117</v>
      </c>
      <c r="Q71" s="201"/>
      <c r="R71" s="194"/>
      <c r="S71" s="199"/>
      <c r="T71" s="191"/>
      <c r="U71" s="191"/>
      <c r="V71" s="191"/>
      <c r="W71" s="191"/>
    </row>
    <row r="72" spans="1:23" x14ac:dyDescent="0.3">
      <c r="A72" s="180" t="s">
        <v>13</v>
      </c>
      <c r="B72" s="5"/>
      <c r="C72" s="5"/>
      <c r="D72" s="4"/>
      <c r="E72" s="211"/>
      <c r="F72" s="212"/>
      <c r="G72" s="212"/>
      <c r="H72" s="212"/>
      <c r="I72" s="213"/>
      <c r="J72" s="165"/>
      <c r="K72" s="166"/>
      <c r="L72" s="165"/>
      <c r="M72" s="166"/>
      <c r="N72" s="165"/>
      <c r="O72" s="166"/>
      <c r="P72" s="165"/>
      <c r="Q72" s="166"/>
      <c r="R72" s="153"/>
      <c r="S72" s="6" t="s">
        <v>20</v>
      </c>
      <c r="T72" s="3"/>
      <c r="U72" s="202"/>
      <c r="V72" s="203"/>
      <c r="W72" s="204"/>
    </row>
    <row r="73" spans="1:23" x14ac:dyDescent="0.3">
      <c r="A73" s="163"/>
      <c r="B73" s="5"/>
      <c r="C73" s="5"/>
      <c r="D73" s="4"/>
      <c r="E73" s="211"/>
      <c r="F73" s="212"/>
      <c r="G73" s="212"/>
      <c r="H73" s="212"/>
      <c r="I73" s="213"/>
      <c r="J73" s="165"/>
      <c r="K73" s="166"/>
      <c r="L73" s="165"/>
      <c r="M73" s="166"/>
      <c r="N73" s="165"/>
      <c r="O73" s="166"/>
      <c r="P73" s="165"/>
      <c r="Q73" s="166"/>
      <c r="R73" s="153"/>
      <c r="S73" s="6" t="s">
        <v>20</v>
      </c>
      <c r="T73" s="3"/>
      <c r="U73" s="205"/>
      <c r="V73" s="206"/>
      <c r="W73" s="207"/>
    </row>
    <row r="74" spans="1:23" x14ac:dyDescent="0.3">
      <c r="A74" s="163"/>
      <c r="B74" s="5"/>
      <c r="C74" s="5"/>
      <c r="D74" s="4"/>
      <c r="E74" s="211"/>
      <c r="F74" s="212"/>
      <c r="G74" s="212"/>
      <c r="H74" s="212"/>
      <c r="I74" s="213"/>
      <c r="J74" s="165"/>
      <c r="K74" s="166"/>
      <c r="L74" s="165"/>
      <c r="M74" s="166"/>
      <c r="N74" s="165"/>
      <c r="O74" s="166"/>
      <c r="P74" s="165"/>
      <c r="Q74" s="166"/>
      <c r="R74" s="153"/>
      <c r="S74" s="6" t="s">
        <v>20</v>
      </c>
      <c r="T74" s="3"/>
      <c r="U74" s="205"/>
      <c r="V74" s="206"/>
      <c r="W74" s="207"/>
    </row>
    <row r="75" spans="1:23" x14ac:dyDescent="0.3">
      <c r="A75" s="163"/>
      <c r="B75" s="5"/>
      <c r="C75" s="5"/>
      <c r="D75" s="4"/>
      <c r="E75" s="211"/>
      <c r="F75" s="212"/>
      <c r="G75" s="212"/>
      <c r="H75" s="212"/>
      <c r="I75" s="213"/>
      <c r="J75" s="165"/>
      <c r="K75" s="166"/>
      <c r="L75" s="165"/>
      <c r="M75" s="166"/>
      <c r="N75" s="165"/>
      <c r="O75" s="166"/>
      <c r="P75" s="165"/>
      <c r="Q75" s="166"/>
      <c r="R75" s="153"/>
      <c r="S75" s="6" t="s">
        <v>20</v>
      </c>
      <c r="T75" s="3"/>
      <c r="U75" s="205"/>
      <c r="V75" s="206"/>
      <c r="W75" s="207"/>
    </row>
    <row r="76" spans="1:23" x14ac:dyDescent="0.3">
      <c r="A76" s="163"/>
      <c r="B76" s="5"/>
      <c r="C76" s="5"/>
      <c r="D76" s="4"/>
      <c r="E76" s="211"/>
      <c r="F76" s="212"/>
      <c r="G76" s="212"/>
      <c r="H76" s="212"/>
      <c r="I76" s="213"/>
      <c r="J76" s="165"/>
      <c r="K76" s="166"/>
      <c r="L76" s="165"/>
      <c r="M76" s="166"/>
      <c r="N76" s="165"/>
      <c r="O76" s="166"/>
      <c r="P76" s="165"/>
      <c r="Q76" s="166"/>
      <c r="R76" s="153"/>
      <c r="S76" s="6" t="s">
        <v>20</v>
      </c>
      <c r="T76" s="3"/>
      <c r="U76" s="205"/>
      <c r="V76" s="206"/>
      <c r="W76" s="207"/>
    </row>
    <row r="77" spans="1:23" x14ac:dyDescent="0.3">
      <c r="A77" s="163"/>
      <c r="B77" s="5"/>
      <c r="C77" s="5"/>
      <c r="D77" s="4"/>
      <c r="E77" s="211"/>
      <c r="F77" s="212"/>
      <c r="G77" s="212"/>
      <c r="H77" s="212"/>
      <c r="I77" s="213"/>
      <c r="J77" s="165"/>
      <c r="K77" s="166"/>
      <c r="L77" s="165"/>
      <c r="M77" s="166"/>
      <c r="N77" s="165"/>
      <c r="O77" s="166"/>
      <c r="P77" s="165"/>
      <c r="Q77" s="166"/>
      <c r="R77" s="153"/>
      <c r="S77" s="6" t="s">
        <v>20</v>
      </c>
      <c r="T77" s="3"/>
      <c r="U77" s="205"/>
      <c r="V77" s="206"/>
      <c r="W77" s="207"/>
    </row>
    <row r="78" spans="1:23" x14ac:dyDescent="0.3">
      <c r="A78" s="163"/>
      <c r="B78" s="5"/>
      <c r="C78" s="5"/>
      <c r="D78" s="4"/>
      <c r="E78" s="211"/>
      <c r="F78" s="212"/>
      <c r="G78" s="212"/>
      <c r="H78" s="212"/>
      <c r="I78" s="213"/>
      <c r="J78" s="165"/>
      <c r="K78" s="166"/>
      <c r="L78" s="165"/>
      <c r="M78" s="166"/>
      <c r="N78" s="165"/>
      <c r="O78" s="166"/>
      <c r="P78" s="165"/>
      <c r="Q78" s="166"/>
      <c r="R78" s="153"/>
      <c r="S78" s="6" t="s">
        <v>20</v>
      </c>
      <c r="T78" s="3"/>
      <c r="U78" s="205"/>
      <c r="V78" s="206"/>
      <c r="W78" s="207"/>
    </row>
    <row r="79" spans="1:23" x14ac:dyDescent="0.3">
      <c r="A79" s="164"/>
      <c r="B79" s="19"/>
      <c r="C79" s="19"/>
      <c r="D79" s="20"/>
      <c r="E79" s="170" t="s">
        <v>0</v>
      </c>
      <c r="F79" s="171"/>
      <c r="G79" s="171"/>
      <c r="H79" s="171"/>
      <c r="I79" s="172"/>
      <c r="J79" s="173">
        <f>SUM(J72:J78)</f>
        <v>0</v>
      </c>
      <c r="K79" s="174"/>
      <c r="L79" s="173">
        <f>SUM(L72:L78)</f>
        <v>0</v>
      </c>
      <c r="M79" s="174"/>
      <c r="N79" s="173">
        <f>SUM(N72:N78)</f>
        <v>0</v>
      </c>
      <c r="O79" s="174"/>
      <c r="P79" s="173">
        <f>SUM(P72:P78)</f>
        <v>0</v>
      </c>
      <c r="Q79" s="174"/>
      <c r="R79" s="23">
        <f>SUM(R72:R78)</f>
        <v>0</v>
      </c>
      <c r="S79" s="24" t="s">
        <v>20</v>
      </c>
      <c r="T79" s="19"/>
      <c r="U79" s="208"/>
      <c r="V79" s="209"/>
      <c r="W79" s="210"/>
    </row>
    <row r="80" spans="1:23" x14ac:dyDescent="0.3">
      <c r="A80" s="180" t="s">
        <v>15</v>
      </c>
      <c r="B80" s="5"/>
      <c r="C80" s="5"/>
      <c r="D80" s="4"/>
      <c r="E80" s="211"/>
      <c r="F80" s="212"/>
      <c r="G80" s="212"/>
      <c r="H80" s="212"/>
      <c r="I80" s="213"/>
      <c r="J80" s="165"/>
      <c r="K80" s="166"/>
      <c r="L80" s="165"/>
      <c r="M80" s="166"/>
      <c r="N80" s="165"/>
      <c r="O80" s="166"/>
      <c r="P80" s="165"/>
      <c r="Q80" s="166"/>
      <c r="R80" s="153"/>
      <c r="S80" s="6" t="s">
        <v>20</v>
      </c>
      <c r="T80" s="3"/>
      <c r="U80" s="202"/>
      <c r="V80" s="203"/>
      <c r="W80" s="204"/>
    </row>
    <row r="81" spans="1:23" x14ac:dyDescent="0.3">
      <c r="A81" s="163"/>
      <c r="B81" s="5"/>
      <c r="C81" s="5"/>
      <c r="D81" s="4"/>
      <c r="E81" s="211"/>
      <c r="F81" s="212"/>
      <c r="G81" s="212"/>
      <c r="H81" s="212"/>
      <c r="I81" s="213"/>
      <c r="J81" s="165"/>
      <c r="K81" s="166"/>
      <c r="L81" s="165"/>
      <c r="M81" s="166"/>
      <c r="N81" s="165"/>
      <c r="O81" s="166"/>
      <c r="P81" s="165"/>
      <c r="Q81" s="166"/>
      <c r="R81" s="153"/>
      <c r="S81" s="6" t="s">
        <v>20</v>
      </c>
      <c r="T81" s="3"/>
      <c r="U81" s="205"/>
      <c r="V81" s="206"/>
      <c r="W81" s="207"/>
    </row>
    <row r="82" spans="1:23" x14ac:dyDescent="0.3">
      <c r="A82" s="163"/>
      <c r="B82" s="5"/>
      <c r="C82" s="5"/>
      <c r="D82" s="4"/>
      <c r="E82" s="211"/>
      <c r="F82" s="212"/>
      <c r="G82" s="212"/>
      <c r="H82" s="212"/>
      <c r="I82" s="213"/>
      <c r="J82" s="165"/>
      <c r="K82" s="166"/>
      <c r="L82" s="165"/>
      <c r="M82" s="166"/>
      <c r="N82" s="165"/>
      <c r="O82" s="166"/>
      <c r="P82" s="165"/>
      <c r="Q82" s="166"/>
      <c r="R82" s="153"/>
      <c r="S82" s="6" t="s">
        <v>20</v>
      </c>
      <c r="T82" s="3"/>
      <c r="U82" s="205"/>
      <c r="V82" s="206"/>
      <c r="W82" s="207"/>
    </row>
    <row r="83" spans="1:23" x14ac:dyDescent="0.3">
      <c r="A83" s="164"/>
      <c r="B83" s="19"/>
      <c r="C83" s="19"/>
      <c r="D83" s="20"/>
      <c r="E83" s="170" t="s">
        <v>0</v>
      </c>
      <c r="F83" s="171"/>
      <c r="G83" s="171"/>
      <c r="H83" s="171"/>
      <c r="I83" s="172"/>
      <c r="J83" s="173">
        <f>SUM(J80:J82)</f>
        <v>0</v>
      </c>
      <c r="K83" s="174"/>
      <c r="L83" s="173">
        <f>SUM(L80:L82)</f>
        <v>0</v>
      </c>
      <c r="M83" s="174"/>
      <c r="N83" s="173">
        <f>SUM(N80:N82)</f>
        <v>0</v>
      </c>
      <c r="O83" s="174"/>
      <c r="P83" s="173">
        <f>SUM(P75:P82)</f>
        <v>0</v>
      </c>
      <c r="Q83" s="174"/>
      <c r="R83" s="23">
        <f>SUM(R80:R82)</f>
        <v>0</v>
      </c>
      <c r="S83" s="24" t="s">
        <v>20</v>
      </c>
      <c r="T83" s="7"/>
      <c r="U83" s="208"/>
      <c r="V83" s="209"/>
      <c r="W83" s="210"/>
    </row>
    <row r="84" spans="1:23" x14ac:dyDescent="0.3">
      <c r="E84" s="28"/>
      <c r="F84" s="28"/>
      <c r="G84" s="28"/>
      <c r="H84" s="28"/>
      <c r="I84" s="28"/>
      <c r="J84" s="29"/>
      <c r="K84" s="29"/>
      <c r="L84" s="29"/>
      <c r="M84" s="29"/>
      <c r="N84" s="29"/>
      <c r="O84" s="29"/>
      <c r="P84" s="29"/>
      <c r="Q84" s="29"/>
    </row>
    <row r="85" spans="1:23" x14ac:dyDescent="0.3">
      <c r="E85" s="170" t="s">
        <v>28</v>
      </c>
      <c r="F85" s="171"/>
      <c r="G85" s="171"/>
      <c r="H85" s="171"/>
      <c r="I85" s="172"/>
      <c r="J85" s="175" t="s">
        <v>7</v>
      </c>
      <c r="K85" s="176"/>
      <c r="L85" s="175" t="s">
        <v>8</v>
      </c>
      <c r="M85" s="176"/>
      <c r="N85" s="175" t="s">
        <v>9</v>
      </c>
      <c r="O85" s="176"/>
      <c r="P85" s="175" t="s">
        <v>117</v>
      </c>
      <c r="Q85" s="176"/>
    </row>
    <row r="86" spans="1:23" s="2" customFormat="1" x14ac:dyDescent="0.3">
      <c r="E86" s="15"/>
      <c r="F86" s="15"/>
      <c r="G86" s="15"/>
      <c r="H86" s="15"/>
      <c r="I86" s="15"/>
      <c r="J86" s="30">
        <f>J79+J83</f>
        <v>0</v>
      </c>
      <c r="K86" s="31" t="s">
        <v>17</v>
      </c>
      <c r="L86" s="32">
        <f>L79+L83</f>
        <v>0</v>
      </c>
      <c r="M86" s="31" t="s">
        <v>17</v>
      </c>
      <c r="N86" s="32">
        <f>N79+N83</f>
        <v>0</v>
      </c>
      <c r="O86" s="31" t="s">
        <v>17</v>
      </c>
      <c r="P86" s="32">
        <f>P79+P83</f>
        <v>0</v>
      </c>
      <c r="Q86" s="34" t="s">
        <v>17</v>
      </c>
    </row>
    <row r="87" spans="1:23" ht="24.45" customHeight="1" x14ac:dyDescent="0.3">
      <c r="E87" s="28"/>
      <c r="F87" s="28"/>
      <c r="G87" s="28"/>
      <c r="H87" s="28"/>
      <c r="I87" s="28"/>
      <c r="J87" s="167">
        <f>J86+L86+N86+P86</f>
        <v>0</v>
      </c>
      <c r="K87" s="168"/>
      <c r="L87" s="168"/>
      <c r="M87" s="168"/>
      <c r="N87" s="168"/>
      <c r="O87" s="168"/>
      <c r="P87" s="168"/>
      <c r="Q87" s="169"/>
    </row>
    <row r="88" spans="1:23" ht="14.55" customHeight="1" x14ac:dyDescent="0.3"/>
    <row r="89" spans="1:23" s="37" customFormat="1" ht="19.95" customHeight="1" x14ac:dyDescent="0.4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83" t="s">
        <v>14</v>
      </c>
      <c r="R89" s="183"/>
      <c r="S89" s="183"/>
      <c r="T89" s="184">
        <f>T3</f>
        <v>45947</v>
      </c>
      <c r="U89" s="185"/>
      <c r="V89" s="185"/>
      <c r="W89" s="186"/>
    </row>
    <row r="90" spans="1:23" s="16" customFormat="1" ht="30" customHeight="1" x14ac:dyDescent="0.3">
      <c r="A90" s="187" t="s">
        <v>579</v>
      </c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9"/>
      <c r="Q90" s="189"/>
      <c r="R90" s="189"/>
      <c r="S90" s="189"/>
      <c r="T90" s="188"/>
      <c r="U90" s="188"/>
      <c r="V90" s="188"/>
      <c r="W90" s="190"/>
    </row>
    <row r="91" spans="1:23" s="26" customFormat="1" ht="13.8" x14ac:dyDescent="0.3">
      <c r="A91" s="191" t="s">
        <v>1</v>
      </c>
      <c r="B91" s="192" t="s">
        <v>2</v>
      </c>
      <c r="C91" s="192" t="s">
        <v>3</v>
      </c>
      <c r="D91" s="192" t="s">
        <v>4</v>
      </c>
      <c r="E91" s="193" t="s">
        <v>5</v>
      </c>
      <c r="F91" s="195" t="s">
        <v>21</v>
      </c>
      <c r="G91" s="195" t="s">
        <v>22</v>
      </c>
      <c r="H91" s="195" t="s">
        <v>33</v>
      </c>
      <c r="I91" s="195" t="s">
        <v>30</v>
      </c>
      <c r="J91" s="193" t="s">
        <v>6</v>
      </c>
      <c r="K91" s="197"/>
      <c r="L91" s="197"/>
      <c r="M91" s="197"/>
      <c r="N91" s="197"/>
      <c r="O91" s="197"/>
      <c r="P91" s="197"/>
      <c r="Q91" s="198"/>
      <c r="R91" s="193" t="s">
        <v>10</v>
      </c>
      <c r="S91" s="198"/>
      <c r="T91" s="191" t="s">
        <v>11</v>
      </c>
      <c r="U91" s="191" t="s">
        <v>12</v>
      </c>
      <c r="V91" s="191"/>
      <c r="W91" s="191"/>
    </row>
    <row r="92" spans="1:23" s="26" customFormat="1" ht="13.8" x14ac:dyDescent="0.3">
      <c r="A92" s="191"/>
      <c r="B92" s="192"/>
      <c r="C92" s="192"/>
      <c r="D92" s="192"/>
      <c r="E92" s="194"/>
      <c r="F92" s="196"/>
      <c r="G92" s="196"/>
      <c r="H92" s="196"/>
      <c r="I92" s="196"/>
      <c r="J92" s="200" t="s">
        <v>7</v>
      </c>
      <c r="K92" s="201"/>
      <c r="L92" s="200" t="s">
        <v>8</v>
      </c>
      <c r="M92" s="201"/>
      <c r="N92" s="200" t="s">
        <v>9</v>
      </c>
      <c r="O92" s="201"/>
      <c r="P92" s="200" t="s">
        <v>117</v>
      </c>
      <c r="Q92" s="201"/>
      <c r="R92" s="194"/>
      <c r="S92" s="199"/>
      <c r="T92" s="191"/>
      <c r="U92" s="191"/>
      <c r="V92" s="191"/>
      <c r="W92" s="191"/>
    </row>
    <row r="93" spans="1:23" ht="14.55" customHeight="1" x14ac:dyDescent="0.3">
      <c r="A93" s="180" t="s">
        <v>581</v>
      </c>
      <c r="B93" s="5"/>
      <c r="C93" s="5"/>
      <c r="D93" s="126"/>
      <c r="E93" s="12"/>
      <c r="F93" s="40"/>
      <c r="G93" s="41"/>
      <c r="H93" s="40"/>
      <c r="I93" s="12"/>
      <c r="J93" s="165">
        <v>2000</v>
      </c>
      <c r="K93" s="166"/>
      <c r="L93" s="165"/>
      <c r="M93" s="166"/>
      <c r="N93" s="165"/>
      <c r="O93" s="166"/>
      <c r="P93" s="165"/>
      <c r="Q93" s="166"/>
      <c r="R93" s="153"/>
      <c r="S93" s="14" t="s">
        <v>20</v>
      </c>
      <c r="T93" s="42"/>
      <c r="U93" s="177"/>
      <c r="V93" s="178"/>
      <c r="W93" s="179"/>
    </row>
    <row r="94" spans="1:23" ht="14.55" customHeight="1" x14ac:dyDescent="0.3">
      <c r="A94" s="181"/>
      <c r="B94" s="5"/>
      <c r="C94" s="5"/>
      <c r="D94" s="126"/>
      <c r="E94" s="13"/>
      <c r="F94" s="40"/>
      <c r="G94" s="41"/>
      <c r="H94" s="40"/>
      <c r="I94" s="12"/>
      <c r="J94" s="165"/>
      <c r="K94" s="166"/>
      <c r="L94" s="165"/>
      <c r="M94" s="166"/>
      <c r="N94" s="165"/>
      <c r="O94" s="166"/>
      <c r="P94" s="165"/>
      <c r="Q94" s="166"/>
      <c r="R94" s="153"/>
      <c r="S94" s="14" t="s">
        <v>20</v>
      </c>
      <c r="T94" s="42"/>
      <c r="U94" s="177"/>
      <c r="V94" s="178"/>
      <c r="W94" s="179"/>
    </row>
    <row r="95" spans="1:23" ht="14.55" customHeight="1" x14ac:dyDescent="0.3">
      <c r="A95" s="181"/>
      <c r="B95" s="5"/>
      <c r="C95" s="5"/>
      <c r="D95" s="4"/>
      <c r="E95" s="12"/>
      <c r="F95" s="40"/>
      <c r="G95" s="41"/>
      <c r="H95" s="40"/>
      <c r="I95" s="12"/>
      <c r="J95" s="165"/>
      <c r="K95" s="166"/>
      <c r="L95" s="165"/>
      <c r="M95" s="166"/>
      <c r="N95" s="165"/>
      <c r="O95" s="166"/>
      <c r="P95" s="165"/>
      <c r="Q95" s="166"/>
      <c r="R95" s="153"/>
      <c r="S95" s="14" t="s">
        <v>20</v>
      </c>
      <c r="T95" s="42"/>
      <c r="U95" s="177"/>
      <c r="V95" s="178"/>
      <c r="W95" s="179"/>
    </row>
    <row r="96" spans="1:23" ht="14.55" customHeight="1" x14ac:dyDescent="0.3">
      <c r="A96" s="182"/>
      <c r="B96" s="19"/>
      <c r="C96" s="19"/>
      <c r="D96" s="20"/>
      <c r="E96" s="170" t="s">
        <v>0</v>
      </c>
      <c r="F96" s="171"/>
      <c r="G96" s="171"/>
      <c r="H96" s="171"/>
      <c r="I96" s="172"/>
      <c r="J96" s="173">
        <f>SUM(J93:K95)</f>
        <v>2000</v>
      </c>
      <c r="K96" s="174"/>
      <c r="L96" s="173">
        <f>SUM(L93:M95)</f>
        <v>0</v>
      </c>
      <c r="M96" s="174"/>
      <c r="N96" s="173">
        <f>SUM(N93:O95)</f>
        <v>0</v>
      </c>
      <c r="O96" s="174"/>
      <c r="P96" s="173">
        <f>SUM(P93:Q95)</f>
        <v>0</v>
      </c>
      <c r="Q96" s="174"/>
      <c r="R96" s="23">
        <f>SUM(R93:R95)</f>
        <v>0</v>
      </c>
      <c r="S96" s="24" t="s">
        <v>20</v>
      </c>
      <c r="T96" s="19"/>
      <c r="U96" s="177"/>
      <c r="V96" s="178"/>
      <c r="W96" s="179"/>
    </row>
    <row r="97" spans="1:23" ht="14.55" customHeight="1" x14ac:dyDescent="0.3">
      <c r="A97" s="163" t="s">
        <v>580</v>
      </c>
      <c r="B97" s="5"/>
      <c r="C97" s="5"/>
      <c r="D97" s="4"/>
      <c r="E97" s="12"/>
      <c r="F97" s="40"/>
      <c r="G97" s="41"/>
      <c r="H97" s="40"/>
      <c r="I97" s="12"/>
      <c r="J97" s="165"/>
      <c r="K97" s="166"/>
      <c r="L97" s="165"/>
      <c r="M97" s="166"/>
      <c r="N97" s="165"/>
      <c r="O97" s="166"/>
      <c r="P97" s="165"/>
      <c r="Q97" s="166"/>
      <c r="R97" s="153"/>
      <c r="S97" s="14" t="s">
        <v>20</v>
      </c>
      <c r="T97" s="42"/>
      <c r="U97" s="177"/>
      <c r="V97" s="178"/>
      <c r="W97" s="179"/>
    </row>
    <row r="98" spans="1:23" ht="14.55" customHeight="1" x14ac:dyDescent="0.3">
      <c r="A98" s="163"/>
      <c r="B98" s="5"/>
      <c r="C98" s="5"/>
      <c r="D98" s="4"/>
      <c r="E98" s="12"/>
      <c r="F98" s="40"/>
      <c r="G98" s="41"/>
      <c r="H98" s="40"/>
      <c r="I98" s="12"/>
      <c r="J98" s="165"/>
      <c r="K98" s="166"/>
      <c r="L98" s="165"/>
      <c r="M98" s="166"/>
      <c r="N98" s="165"/>
      <c r="O98" s="166"/>
      <c r="P98" s="165"/>
      <c r="Q98" s="166"/>
      <c r="R98" s="153"/>
      <c r="S98" s="14" t="s">
        <v>20</v>
      </c>
      <c r="T98" s="42"/>
      <c r="U98" s="177"/>
      <c r="V98" s="178"/>
      <c r="W98" s="179"/>
    </row>
    <row r="99" spans="1:23" ht="14.55" customHeight="1" x14ac:dyDescent="0.3">
      <c r="A99" s="163"/>
      <c r="B99" s="5"/>
      <c r="C99" s="5"/>
      <c r="D99" s="4"/>
      <c r="E99" s="12"/>
      <c r="F99" s="40"/>
      <c r="G99" s="41"/>
      <c r="H99" s="40"/>
      <c r="I99" s="12"/>
      <c r="J99" s="165"/>
      <c r="K99" s="166"/>
      <c r="L99" s="165"/>
      <c r="M99" s="166"/>
      <c r="N99" s="165"/>
      <c r="O99" s="166"/>
      <c r="P99" s="165"/>
      <c r="Q99" s="166"/>
      <c r="R99" s="153"/>
      <c r="S99" s="14" t="s">
        <v>20</v>
      </c>
      <c r="T99" s="42"/>
      <c r="U99" s="177"/>
      <c r="V99" s="178"/>
      <c r="W99" s="179"/>
    </row>
    <row r="100" spans="1:23" ht="14.55" customHeight="1" x14ac:dyDescent="0.3">
      <c r="A100" s="163"/>
      <c r="B100" s="5"/>
      <c r="C100" s="5"/>
      <c r="D100" s="4"/>
      <c r="E100" s="12"/>
      <c r="F100" s="40"/>
      <c r="G100" s="41"/>
      <c r="H100" s="40"/>
      <c r="I100" s="12"/>
      <c r="J100" s="165"/>
      <c r="K100" s="166"/>
      <c r="L100" s="165"/>
      <c r="M100" s="166"/>
      <c r="N100" s="165"/>
      <c r="O100" s="166"/>
      <c r="P100" s="165"/>
      <c r="Q100" s="166"/>
      <c r="R100" s="153"/>
      <c r="S100" s="14" t="s">
        <v>20</v>
      </c>
      <c r="T100" s="42"/>
      <c r="U100" s="177"/>
      <c r="V100" s="178"/>
      <c r="W100" s="179"/>
    </row>
    <row r="101" spans="1:23" ht="14.55" customHeight="1" x14ac:dyDescent="0.3">
      <c r="A101" s="164"/>
      <c r="B101" s="19"/>
      <c r="C101" s="19"/>
      <c r="D101" s="20"/>
      <c r="E101" s="170" t="s">
        <v>0</v>
      </c>
      <c r="F101" s="171"/>
      <c r="G101" s="171"/>
      <c r="H101" s="171"/>
      <c r="I101" s="172"/>
      <c r="J101" s="173">
        <f>SUM(J97:K100)</f>
        <v>0</v>
      </c>
      <c r="K101" s="174"/>
      <c r="L101" s="173">
        <f>SUM(L97:M100)</f>
        <v>0</v>
      </c>
      <c r="M101" s="174"/>
      <c r="N101" s="173">
        <f>SUM(N97:O100)</f>
        <v>0</v>
      </c>
      <c r="O101" s="174"/>
      <c r="P101" s="173">
        <f>SUM(P97:Q100)</f>
        <v>0</v>
      </c>
      <c r="Q101" s="174"/>
      <c r="R101" s="23">
        <f>SUM(R97:R100)</f>
        <v>0</v>
      </c>
      <c r="S101" s="24" t="s">
        <v>20</v>
      </c>
      <c r="T101" s="19"/>
      <c r="U101" s="177"/>
      <c r="V101" s="178"/>
      <c r="W101" s="179"/>
    </row>
    <row r="102" spans="1:23" ht="14.55" customHeight="1" x14ac:dyDescent="0.3">
      <c r="A102" s="27"/>
      <c r="B102" s="27"/>
      <c r="C102" s="27"/>
      <c r="D102" s="27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27"/>
      <c r="S102" s="27"/>
      <c r="T102" s="39"/>
      <c r="U102" s="39"/>
      <c r="V102" s="39"/>
      <c r="W102" s="39"/>
    </row>
    <row r="103" spans="1:23" x14ac:dyDescent="0.3">
      <c r="E103" s="170" t="s">
        <v>585</v>
      </c>
      <c r="F103" s="171"/>
      <c r="G103" s="171"/>
      <c r="H103" s="171"/>
      <c r="I103" s="172"/>
      <c r="J103" s="175" t="s">
        <v>7</v>
      </c>
      <c r="K103" s="176"/>
      <c r="L103" s="175" t="s">
        <v>8</v>
      </c>
      <c r="M103" s="176"/>
      <c r="N103" s="175" t="s">
        <v>9</v>
      </c>
      <c r="O103" s="176"/>
      <c r="P103" s="175" t="s">
        <v>117</v>
      </c>
      <c r="Q103" s="176"/>
    </row>
    <row r="104" spans="1:23" s="2" customFormat="1" x14ac:dyDescent="0.3">
      <c r="E104" s="15"/>
      <c r="F104" s="15"/>
      <c r="G104" s="15"/>
      <c r="H104" s="15"/>
      <c r="I104" s="15"/>
      <c r="J104" s="30">
        <f>SUM(J101,J96)</f>
        <v>2000</v>
      </c>
      <c r="K104" s="31" t="s">
        <v>17</v>
      </c>
      <c r="L104" s="30">
        <f>SUM(L101,L96)</f>
        <v>0</v>
      </c>
      <c r="M104" s="31" t="s">
        <v>17</v>
      </c>
      <c r="N104" s="30">
        <f>SUM(N101,N96)</f>
        <v>0</v>
      </c>
      <c r="O104" s="31" t="s">
        <v>17</v>
      </c>
      <c r="P104" s="30">
        <f>SUM(P101,P96)</f>
        <v>0</v>
      </c>
      <c r="Q104" s="34" t="s">
        <v>17</v>
      </c>
    </row>
    <row r="105" spans="1:23" ht="24.45" customHeight="1" x14ac:dyDescent="0.3">
      <c r="E105" s="28"/>
      <c r="F105" s="28"/>
      <c r="G105" s="28"/>
      <c r="H105" s="28"/>
      <c r="I105" s="28"/>
      <c r="J105" s="167">
        <f>J104+L104+N104+P104</f>
        <v>2000</v>
      </c>
      <c r="K105" s="168"/>
      <c r="L105" s="168"/>
      <c r="M105" s="168"/>
      <c r="N105" s="168"/>
      <c r="O105" s="168"/>
      <c r="P105" s="168"/>
      <c r="Q105" s="169"/>
    </row>
  </sheetData>
  <mergeCells count="398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A31:A33"/>
    <mergeCell ref="J31:K31"/>
    <mergeCell ref="L31:M31"/>
    <mergeCell ref="N31:O31"/>
    <mergeCell ref="P31:Q31"/>
    <mergeCell ref="G29:G30"/>
    <mergeCell ref="H29:H30"/>
    <mergeCell ref="I29:I30"/>
    <mergeCell ref="J29:Q29"/>
    <mergeCell ref="U31:W33"/>
    <mergeCell ref="J32:K32"/>
    <mergeCell ref="L32:M32"/>
    <mergeCell ref="N32:O32"/>
    <mergeCell ref="P32:Q32"/>
    <mergeCell ref="E33:I33"/>
    <mergeCell ref="J33:K33"/>
    <mergeCell ref="L33:M33"/>
    <mergeCell ref="N33:O33"/>
    <mergeCell ref="P33:Q33"/>
    <mergeCell ref="E37:I37"/>
    <mergeCell ref="J37:K37"/>
    <mergeCell ref="L37:M37"/>
    <mergeCell ref="N37:O37"/>
    <mergeCell ref="P37:Q37"/>
    <mergeCell ref="A34:A37"/>
    <mergeCell ref="J34:K34"/>
    <mergeCell ref="L34:M34"/>
    <mergeCell ref="N34:O34"/>
    <mergeCell ref="P34:Q34"/>
    <mergeCell ref="J35:K35"/>
    <mergeCell ref="L35:M35"/>
    <mergeCell ref="N35:O35"/>
    <mergeCell ref="P35:Q35"/>
    <mergeCell ref="U38:W40"/>
    <mergeCell ref="J39:K39"/>
    <mergeCell ref="L39:M39"/>
    <mergeCell ref="N39:O39"/>
    <mergeCell ref="P39:Q39"/>
    <mergeCell ref="J36:K36"/>
    <mergeCell ref="L36:M36"/>
    <mergeCell ref="N36:O36"/>
    <mergeCell ref="P36:Q36"/>
    <mergeCell ref="U34:W37"/>
    <mergeCell ref="E40:I40"/>
    <mergeCell ref="J40:K40"/>
    <mergeCell ref="L40:M40"/>
    <mergeCell ref="N40:O40"/>
    <mergeCell ref="P40:Q40"/>
    <mergeCell ref="A41:A43"/>
    <mergeCell ref="J41:K41"/>
    <mergeCell ref="L41:M41"/>
    <mergeCell ref="N41:O41"/>
    <mergeCell ref="P41:Q41"/>
    <mergeCell ref="A38:A40"/>
    <mergeCell ref="J38:K38"/>
    <mergeCell ref="L38:M38"/>
    <mergeCell ref="N38:O38"/>
    <mergeCell ref="P38:Q38"/>
    <mergeCell ref="E45:I45"/>
    <mergeCell ref="J45:K45"/>
    <mergeCell ref="L45:M45"/>
    <mergeCell ref="N45:O45"/>
    <mergeCell ref="P45:Q45"/>
    <mergeCell ref="J47:Q47"/>
    <mergeCell ref="U41:W43"/>
    <mergeCell ref="J42:K42"/>
    <mergeCell ref="L42:M42"/>
    <mergeCell ref="N42:O42"/>
    <mergeCell ref="P42:Q42"/>
    <mergeCell ref="E43:I43"/>
    <mergeCell ref="J43:K43"/>
    <mergeCell ref="L43:M43"/>
    <mergeCell ref="N43:O43"/>
    <mergeCell ref="P43:Q43"/>
    <mergeCell ref="Q49:S49"/>
    <mergeCell ref="T49:W49"/>
    <mergeCell ref="A50:W50"/>
    <mergeCell ref="A51:A52"/>
    <mergeCell ref="B51:B52"/>
    <mergeCell ref="C51:C52"/>
    <mergeCell ref="D51:D52"/>
    <mergeCell ref="E51:E52"/>
    <mergeCell ref="F51:F52"/>
    <mergeCell ref="G51:G52"/>
    <mergeCell ref="U53:W62"/>
    <mergeCell ref="J54:K54"/>
    <mergeCell ref="L54:M54"/>
    <mergeCell ref="N54:O54"/>
    <mergeCell ref="P54:Q54"/>
    <mergeCell ref="H51:H52"/>
    <mergeCell ref="I51:I52"/>
    <mergeCell ref="J51:Q51"/>
    <mergeCell ref="R51:S52"/>
    <mergeCell ref="T51:T52"/>
    <mergeCell ref="U51:W52"/>
    <mergeCell ref="J52:K52"/>
    <mergeCell ref="L52:M52"/>
    <mergeCell ref="N52:O52"/>
    <mergeCell ref="P52:Q52"/>
    <mergeCell ref="J55:K55"/>
    <mergeCell ref="L55:M55"/>
    <mergeCell ref="N55:O55"/>
    <mergeCell ref="P55:Q55"/>
    <mergeCell ref="J56:K56"/>
    <mergeCell ref="L56:M56"/>
    <mergeCell ref="N56:O56"/>
    <mergeCell ref="P56:Q56"/>
    <mergeCell ref="A53:A62"/>
    <mergeCell ref="J53:K53"/>
    <mergeCell ref="L53:M53"/>
    <mergeCell ref="N53:O53"/>
    <mergeCell ref="P53:Q53"/>
    <mergeCell ref="J59:K59"/>
    <mergeCell ref="L59:M59"/>
    <mergeCell ref="N59:O59"/>
    <mergeCell ref="P59:Q59"/>
    <mergeCell ref="J60:K60"/>
    <mergeCell ref="L60:M60"/>
    <mergeCell ref="N60:O60"/>
    <mergeCell ref="P60:Q60"/>
    <mergeCell ref="J57:K57"/>
    <mergeCell ref="L57:M57"/>
    <mergeCell ref="N57:O57"/>
    <mergeCell ref="P57:Q57"/>
    <mergeCell ref="J58:K58"/>
    <mergeCell ref="L58:M58"/>
    <mergeCell ref="N58:O58"/>
    <mergeCell ref="P58:Q58"/>
    <mergeCell ref="E64:I64"/>
    <mergeCell ref="J64:K64"/>
    <mergeCell ref="L64:M64"/>
    <mergeCell ref="N64:O64"/>
    <mergeCell ref="P64:Q64"/>
    <mergeCell ref="J66:Q66"/>
    <mergeCell ref="J61:K61"/>
    <mergeCell ref="L61:M61"/>
    <mergeCell ref="N61:O61"/>
    <mergeCell ref="P61:Q61"/>
    <mergeCell ref="E62:I62"/>
    <mergeCell ref="J62:K62"/>
    <mergeCell ref="L62:M62"/>
    <mergeCell ref="N62:O62"/>
    <mergeCell ref="P62:Q62"/>
    <mergeCell ref="T70:T71"/>
    <mergeCell ref="U70:W71"/>
    <mergeCell ref="J71:K71"/>
    <mergeCell ref="L71:M71"/>
    <mergeCell ref="N71:O71"/>
    <mergeCell ref="P71:Q71"/>
    <mergeCell ref="Q68:S68"/>
    <mergeCell ref="T68:W68"/>
    <mergeCell ref="A69:W69"/>
    <mergeCell ref="A70:A71"/>
    <mergeCell ref="B70:B71"/>
    <mergeCell ref="C70:C71"/>
    <mergeCell ref="D70:D71"/>
    <mergeCell ref="E70:I71"/>
    <mergeCell ref="J70:Q70"/>
    <mergeCell ref="R70:S71"/>
    <mergeCell ref="N75:O75"/>
    <mergeCell ref="P75:Q75"/>
    <mergeCell ref="E76:I76"/>
    <mergeCell ref="J76:K76"/>
    <mergeCell ref="L76:M76"/>
    <mergeCell ref="N76:O76"/>
    <mergeCell ref="P76:Q76"/>
    <mergeCell ref="U72:W79"/>
    <mergeCell ref="E73:I73"/>
    <mergeCell ref="J73:K73"/>
    <mergeCell ref="L73:M73"/>
    <mergeCell ref="N73:O73"/>
    <mergeCell ref="P73:Q73"/>
    <mergeCell ref="E74:I74"/>
    <mergeCell ref="J74:K74"/>
    <mergeCell ref="L74:M74"/>
    <mergeCell ref="N74:O74"/>
    <mergeCell ref="E72:I72"/>
    <mergeCell ref="J72:K72"/>
    <mergeCell ref="L72:M72"/>
    <mergeCell ref="N72:O72"/>
    <mergeCell ref="P72:Q72"/>
    <mergeCell ref="P74:Q74"/>
    <mergeCell ref="E75:I75"/>
    <mergeCell ref="E79:I79"/>
    <mergeCell ref="J79:K79"/>
    <mergeCell ref="L79:M79"/>
    <mergeCell ref="N79:O79"/>
    <mergeCell ref="P79:Q79"/>
    <mergeCell ref="A80:A83"/>
    <mergeCell ref="E80:I80"/>
    <mergeCell ref="J80:K80"/>
    <mergeCell ref="L80:M80"/>
    <mergeCell ref="N80:O80"/>
    <mergeCell ref="A72:A79"/>
    <mergeCell ref="J75:K75"/>
    <mergeCell ref="L75:M75"/>
    <mergeCell ref="P80:Q80"/>
    <mergeCell ref="E77:I77"/>
    <mergeCell ref="J77:K77"/>
    <mergeCell ref="L77:M77"/>
    <mergeCell ref="N77:O77"/>
    <mergeCell ref="P77:Q77"/>
    <mergeCell ref="E78:I78"/>
    <mergeCell ref="J78:K78"/>
    <mergeCell ref="L78:M78"/>
    <mergeCell ref="N78:O78"/>
    <mergeCell ref="P78:Q78"/>
    <mergeCell ref="U80:W83"/>
    <mergeCell ref="E81:I81"/>
    <mergeCell ref="J81:K81"/>
    <mergeCell ref="L81:M81"/>
    <mergeCell ref="N81:O81"/>
    <mergeCell ref="P81:Q81"/>
    <mergeCell ref="E82:I82"/>
    <mergeCell ref="J82:K82"/>
    <mergeCell ref="L82:M82"/>
    <mergeCell ref="E85:I85"/>
    <mergeCell ref="J85:K85"/>
    <mergeCell ref="L85:M85"/>
    <mergeCell ref="N85:O85"/>
    <mergeCell ref="P85:Q85"/>
    <mergeCell ref="J87:Q87"/>
    <mergeCell ref="N82:O82"/>
    <mergeCell ref="P82:Q82"/>
    <mergeCell ref="E83:I83"/>
    <mergeCell ref="J83:K83"/>
    <mergeCell ref="L83:M83"/>
    <mergeCell ref="N83:O83"/>
    <mergeCell ref="P83:Q83"/>
    <mergeCell ref="Q89:S89"/>
    <mergeCell ref="T89:W89"/>
    <mergeCell ref="A90:W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Q91"/>
    <mergeCell ref="R91:S92"/>
    <mergeCell ref="T91:T92"/>
    <mergeCell ref="U91:W92"/>
    <mergeCell ref="J92:K92"/>
    <mergeCell ref="L92:M92"/>
    <mergeCell ref="N92:O92"/>
    <mergeCell ref="P92:Q92"/>
    <mergeCell ref="E96:I96"/>
    <mergeCell ref="J96:K96"/>
    <mergeCell ref="L96:M96"/>
    <mergeCell ref="N96:O96"/>
    <mergeCell ref="P96:Q96"/>
    <mergeCell ref="A93:A96"/>
    <mergeCell ref="J93:K93"/>
    <mergeCell ref="L93:M93"/>
    <mergeCell ref="N93:O93"/>
    <mergeCell ref="P93:Q93"/>
    <mergeCell ref="J94:K94"/>
    <mergeCell ref="L94:M94"/>
    <mergeCell ref="N94:O94"/>
    <mergeCell ref="P94:Q94"/>
    <mergeCell ref="U97:W101"/>
    <mergeCell ref="J98:K98"/>
    <mergeCell ref="L98:M98"/>
    <mergeCell ref="N98:O98"/>
    <mergeCell ref="P98:Q98"/>
    <mergeCell ref="J95:K95"/>
    <mergeCell ref="L95:M95"/>
    <mergeCell ref="N95:O95"/>
    <mergeCell ref="P95:Q95"/>
    <mergeCell ref="U93:W96"/>
    <mergeCell ref="J99:K99"/>
    <mergeCell ref="L99:M99"/>
    <mergeCell ref="N99:O99"/>
    <mergeCell ref="P99:Q99"/>
    <mergeCell ref="J100:K100"/>
    <mergeCell ref="L100:M100"/>
    <mergeCell ref="N100:O100"/>
    <mergeCell ref="P100:Q100"/>
    <mergeCell ref="A97:A101"/>
    <mergeCell ref="J97:K97"/>
    <mergeCell ref="L97:M97"/>
    <mergeCell ref="N97:O97"/>
    <mergeCell ref="P97:Q97"/>
    <mergeCell ref="J105:Q105"/>
    <mergeCell ref="E101:I101"/>
    <mergeCell ref="J101:K101"/>
    <mergeCell ref="L101:M101"/>
    <mergeCell ref="N101:O101"/>
    <mergeCell ref="P101:Q101"/>
    <mergeCell ref="E103:I103"/>
    <mergeCell ref="J103:K103"/>
    <mergeCell ref="L103:M103"/>
    <mergeCell ref="N103:O103"/>
    <mergeCell ref="P103:Q103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3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E108"/>
  <sheetViews>
    <sheetView zoomScale="70" zoomScaleNormal="70" workbookViewId="0">
      <selection activeCell="AB18" sqref="AB18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28.33203125" bestFit="1" customWidth="1"/>
    <col min="6" max="6" width="5.6640625" customWidth="1"/>
    <col min="7" max="9" width="6.6640625" customWidth="1"/>
    <col min="10" max="10" width="7.6640625" style="8" customWidth="1"/>
    <col min="11" max="11" width="5.6640625" style="8" customWidth="1"/>
    <col min="12" max="12" width="7.6640625" style="8" customWidth="1"/>
    <col min="13" max="13" width="5.6640625" style="8" customWidth="1"/>
    <col min="14" max="14" width="7.6640625" style="8" customWidth="1"/>
    <col min="15" max="15" width="5.6640625" style="8" customWidth="1"/>
    <col min="16" max="16" width="7.6640625" style="8" customWidth="1"/>
    <col min="17" max="17" width="5.6640625" style="8" customWidth="1"/>
    <col min="18" max="18" width="7.6640625" style="8" customWidth="1"/>
    <col min="19" max="19" width="5.6640625" style="8" customWidth="1"/>
    <col min="20" max="20" width="7.6640625" style="8" customWidth="1"/>
    <col min="21" max="21" width="5.6640625" style="8" customWidth="1"/>
    <col min="22" max="22" width="7.6640625" style="8" customWidth="1"/>
    <col min="23" max="23" width="5.6640625" style="8" customWidth="1"/>
    <col min="24" max="24" width="7.6640625" style="8" customWidth="1"/>
    <col min="25" max="25" width="5.6640625" style="8" customWidth="1"/>
    <col min="26" max="26" width="6.44140625" style="8" customWidth="1"/>
    <col min="27" max="27" width="3.21875" customWidth="1"/>
    <col min="28" max="28" width="21.5546875" bestFit="1" customWidth="1"/>
    <col min="29" max="31" width="7.6640625" customWidth="1"/>
  </cols>
  <sheetData>
    <row r="1" spans="1:3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27"/>
      <c r="AC1" s="27"/>
      <c r="AD1" s="27"/>
      <c r="AE1" s="27"/>
    </row>
    <row r="2" spans="1:3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1"/>
      <c r="AC2" s="11"/>
      <c r="AD2" s="11"/>
      <c r="AE2" s="11"/>
    </row>
    <row r="3" spans="1:31" s="37" customFormat="1" ht="19.95" customHeight="1" x14ac:dyDescent="0.4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2"/>
      <c r="Q3" s="82"/>
      <c r="R3" s="82"/>
      <c r="S3" s="82"/>
      <c r="T3" s="82"/>
      <c r="U3" s="82"/>
      <c r="V3" s="82"/>
      <c r="W3" s="82"/>
      <c r="X3" s="83"/>
      <c r="Y3" s="244" t="s">
        <v>14</v>
      </c>
      <c r="Z3" s="245"/>
      <c r="AA3" s="246"/>
      <c r="AB3" s="229">
        <v>45947</v>
      </c>
      <c r="AC3" s="230"/>
      <c r="AD3" s="230"/>
      <c r="AE3" s="231"/>
    </row>
    <row r="4" spans="1:31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90"/>
    </row>
    <row r="5" spans="1:31" s="84" customFormat="1" ht="25.05" customHeight="1" x14ac:dyDescent="0.3">
      <c r="A5" s="191" t="s">
        <v>1</v>
      </c>
      <c r="B5" s="192" t="s">
        <v>2</v>
      </c>
      <c r="C5" s="192" t="s">
        <v>3</v>
      </c>
      <c r="D5" s="192" t="s">
        <v>4</v>
      </c>
      <c r="E5" s="191" t="s">
        <v>5</v>
      </c>
      <c r="F5" s="195" t="s">
        <v>25</v>
      </c>
      <c r="G5" s="195" t="s">
        <v>21</v>
      </c>
      <c r="H5" s="195" t="s">
        <v>22</v>
      </c>
      <c r="I5" s="195" t="s">
        <v>23</v>
      </c>
      <c r="J5" s="200" t="s">
        <v>6</v>
      </c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01"/>
      <c r="Z5" s="193" t="s">
        <v>10</v>
      </c>
      <c r="AA5" s="198"/>
      <c r="AB5" s="191" t="s">
        <v>11</v>
      </c>
      <c r="AC5" s="191" t="s">
        <v>12</v>
      </c>
      <c r="AD5" s="191"/>
      <c r="AE5" s="191"/>
    </row>
    <row r="6" spans="1:31" s="84" customFormat="1" ht="25.05" customHeight="1" x14ac:dyDescent="0.3">
      <c r="A6" s="191"/>
      <c r="B6" s="192"/>
      <c r="C6" s="192"/>
      <c r="D6" s="192"/>
      <c r="E6" s="191"/>
      <c r="F6" s="196"/>
      <c r="G6" s="196"/>
      <c r="H6" s="196"/>
      <c r="I6" s="196"/>
      <c r="J6" s="200" t="s">
        <v>7</v>
      </c>
      <c r="K6" s="201"/>
      <c r="L6" s="200" t="s">
        <v>8</v>
      </c>
      <c r="M6" s="201"/>
      <c r="N6" s="200" t="s">
        <v>9</v>
      </c>
      <c r="O6" s="201"/>
      <c r="P6" s="200" t="s">
        <v>117</v>
      </c>
      <c r="Q6" s="201"/>
      <c r="R6" s="200" t="s">
        <v>442</v>
      </c>
      <c r="S6" s="201"/>
      <c r="T6" s="200" t="s">
        <v>444</v>
      </c>
      <c r="U6" s="201"/>
      <c r="V6" s="200" t="s">
        <v>443</v>
      </c>
      <c r="W6" s="201"/>
      <c r="X6" s="200" t="s">
        <v>42</v>
      </c>
      <c r="Y6" s="201"/>
      <c r="Z6" s="194"/>
      <c r="AA6" s="199"/>
      <c r="AB6" s="191"/>
      <c r="AC6" s="191"/>
      <c r="AD6" s="191"/>
      <c r="AE6" s="191"/>
    </row>
    <row r="7" spans="1:31" ht="25.05" customHeight="1" x14ac:dyDescent="0.3">
      <c r="A7" s="180" t="s">
        <v>19</v>
      </c>
      <c r="B7" s="5"/>
      <c r="C7" s="5"/>
      <c r="D7" s="4"/>
      <c r="E7" s="12"/>
      <c r="F7" s="17"/>
      <c r="G7" s="17"/>
      <c r="H7" s="18"/>
      <c r="I7" s="17"/>
      <c r="J7" s="165"/>
      <c r="K7" s="166"/>
      <c r="L7" s="165"/>
      <c r="M7" s="166"/>
      <c r="N7" s="165"/>
      <c r="O7" s="166"/>
      <c r="P7" s="165"/>
      <c r="Q7" s="166"/>
      <c r="R7" s="165"/>
      <c r="S7" s="166"/>
      <c r="T7" s="165"/>
      <c r="U7" s="166"/>
      <c r="V7" s="165"/>
      <c r="W7" s="166"/>
      <c r="X7" s="165"/>
      <c r="Y7" s="166"/>
      <c r="Z7" s="76"/>
      <c r="AA7" s="14" t="s">
        <v>20</v>
      </c>
      <c r="AB7" s="42"/>
      <c r="AC7" s="202"/>
      <c r="AD7" s="203"/>
      <c r="AE7" s="204"/>
    </row>
    <row r="8" spans="1:31" ht="25.05" customHeight="1" x14ac:dyDescent="0.3">
      <c r="A8" s="181"/>
      <c r="B8" s="5"/>
      <c r="C8" s="5"/>
      <c r="D8" s="4"/>
      <c r="E8" s="12"/>
      <c r="F8" s="17"/>
      <c r="G8" s="17"/>
      <c r="H8" s="18"/>
      <c r="I8" s="17"/>
      <c r="J8" s="165"/>
      <c r="K8" s="166"/>
      <c r="L8" s="165"/>
      <c r="M8" s="166"/>
      <c r="N8" s="165"/>
      <c r="O8" s="166"/>
      <c r="P8" s="165"/>
      <c r="Q8" s="166"/>
      <c r="R8" s="165"/>
      <c r="S8" s="166"/>
      <c r="T8" s="165"/>
      <c r="U8" s="166"/>
      <c r="V8" s="165"/>
      <c r="W8" s="166"/>
      <c r="X8" s="165"/>
      <c r="Y8" s="166"/>
      <c r="Z8" s="76"/>
      <c r="AA8" s="14" t="s">
        <v>20</v>
      </c>
      <c r="AB8" s="42"/>
      <c r="AC8" s="205"/>
      <c r="AD8" s="206"/>
      <c r="AE8" s="207"/>
    </row>
    <row r="9" spans="1:31" ht="25.05" customHeight="1" x14ac:dyDescent="0.3">
      <c r="A9" s="181"/>
      <c r="B9" s="5"/>
      <c r="C9" s="5"/>
      <c r="D9" s="4"/>
      <c r="E9" s="12"/>
      <c r="F9" s="17"/>
      <c r="G9" s="17"/>
      <c r="H9" s="18"/>
      <c r="I9" s="17"/>
      <c r="J9" s="165"/>
      <c r="K9" s="166"/>
      <c r="L9" s="165"/>
      <c r="M9" s="166"/>
      <c r="N9" s="165"/>
      <c r="O9" s="166"/>
      <c r="P9" s="165"/>
      <c r="Q9" s="166"/>
      <c r="R9" s="165"/>
      <c r="S9" s="166"/>
      <c r="T9" s="165"/>
      <c r="U9" s="166"/>
      <c r="V9" s="165"/>
      <c r="W9" s="166"/>
      <c r="X9" s="165"/>
      <c r="Y9" s="166"/>
      <c r="Z9" s="76"/>
      <c r="AA9" s="14" t="s">
        <v>20</v>
      </c>
      <c r="AB9" s="42"/>
      <c r="AC9" s="205"/>
      <c r="AD9" s="206"/>
      <c r="AE9" s="207"/>
    </row>
    <row r="10" spans="1:31" ht="25.05" customHeight="1" x14ac:dyDescent="0.3">
      <c r="A10" s="181"/>
      <c r="B10" s="5"/>
      <c r="C10" s="5"/>
      <c r="D10" s="4"/>
      <c r="E10" s="12"/>
      <c r="F10" s="17"/>
      <c r="G10" s="17"/>
      <c r="H10" s="18"/>
      <c r="I10" s="17"/>
      <c r="J10" s="165"/>
      <c r="K10" s="166"/>
      <c r="L10" s="165"/>
      <c r="M10" s="166"/>
      <c r="N10" s="165"/>
      <c r="O10" s="166"/>
      <c r="P10" s="165"/>
      <c r="Q10" s="166"/>
      <c r="R10" s="165"/>
      <c r="S10" s="166"/>
      <c r="T10" s="165"/>
      <c r="U10" s="166"/>
      <c r="V10" s="165"/>
      <c r="W10" s="166"/>
      <c r="X10" s="165"/>
      <c r="Y10" s="166"/>
      <c r="Z10" s="76"/>
      <c r="AA10" s="14" t="s">
        <v>20</v>
      </c>
      <c r="AB10" s="42"/>
      <c r="AC10" s="205"/>
      <c r="AD10" s="206"/>
      <c r="AE10" s="207"/>
    </row>
    <row r="11" spans="1:31" ht="25.05" customHeight="1" x14ac:dyDescent="0.3">
      <c r="A11" s="181"/>
      <c r="B11" s="5"/>
      <c r="C11" s="5"/>
      <c r="D11" s="4"/>
      <c r="E11" s="12"/>
      <c r="F11" s="17"/>
      <c r="G11" s="17"/>
      <c r="H11" s="18"/>
      <c r="I11" s="17"/>
      <c r="J11" s="165"/>
      <c r="K11" s="166"/>
      <c r="L11" s="165"/>
      <c r="M11" s="166"/>
      <c r="N11" s="165"/>
      <c r="O11" s="166"/>
      <c r="P11" s="165"/>
      <c r="Q11" s="166"/>
      <c r="R11" s="165"/>
      <c r="S11" s="166"/>
      <c r="T11" s="165"/>
      <c r="U11" s="166"/>
      <c r="V11" s="165"/>
      <c r="W11" s="166"/>
      <c r="X11" s="165"/>
      <c r="Y11" s="166"/>
      <c r="Z11" s="76"/>
      <c r="AA11" s="14" t="s">
        <v>20</v>
      </c>
      <c r="AB11" s="42"/>
      <c r="AC11" s="205"/>
      <c r="AD11" s="206"/>
      <c r="AE11" s="207"/>
    </row>
    <row r="12" spans="1:31" ht="25.05" customHeight="1" x14ac:dyDescent="0.3">
      <c r="A12" s="181"/>
      <c r="B12" s="5"/>
      <c r="C12" s="5"/>
      <c r="D12" s="4"/>
      <c r="E12" s="12"/>
      <c r="F12" s="17"/>
      <c r="G12" s="17"/>
      <c r="H12" s="18"/>
      <c r="I12" s="17"/>
      <c r="J12" s="165"/>
      <c r="K12" s="166"/>
      <c r="L12" s="165"/>
      <c r="M12" s="166"/>
      <c r="N12" s="165"/>
      <c r="O12" s="166"/>
      <c r="P12" s="165"/>
      <c r="Q12" s="166"/>
      <c r="R12" s="165"/>
      <c r="S12" s="166"/>
      <c r="T12" s="165"/>
      <c r="U12" s="166"/>
      <c r="V12" s="165"/>
      <c r="W12" s="166"/>
      <c r="X12" s="165"/>
      <c r="Y12" s="166"/>
      <c r="Z12" s="76"/>
      <c r="AA12" s="14" t="s">
        <v>20</v>
      </c>
      <c r="AB12" s="42"/>
      <c r="AC12" s="205"/>
      <c r="AD12" s="206"/>
      <c r="AE12" s="207"/>
    </row>
    <row r="13" spans="1:31" ht="25.05" customHeight="1" x14ac:dyDescent="0.3">
      <c r="A13" s="181"/>
      <c r="B13" s="5"/>
      <c r="C13" s="5"/>
      <c r="D13" s="4"/>
      <c r="E13" s="12"/>
      <c r="F13" s="17"/>
      <c r="G13" s="17"/>
      <c r="H13" s="18"/>
      <c r="I13" s="17"/>
      <c r="J13" s="165"/>
      <c r="K13" s="166"/>
      <c r="L13" s="165"/>
      <c r="M13" s="166"/>
      <c r="N13" s="165"/>
      <c r="O13" s="166"/>
      <c r="P13" s="165"/>
      <c r="Q13" s="166"/>
      <c r="R13" s="165"/>
      <c r="S13" s="166"/>
      <c r="T13" s="165"/>
      <c r="U13" s="166"/>
      <c r="V13" s="165"/>
      <c r="W13" s="166"/>
      <c r="X13" s="165"/>
      <c r="Y13" s="166"/>
      <c r="Z13" s="76"/>
      <c r="AA13" s="14" t="s">
        <v>20</v>
      </c>
      <c r="AB13" s="42"/>
      <c r="AC13" s="205"/>
      <c r="AD13" s="206"/>
      <c r="AE13" s="207"/>
    </row>
    <row r="14" spans="1:31" ht="25.05" customHeight="1" x14ac:dyDescent="0.3">
      <c r="A14" s="181"/>
      <c r="B14" s="5"/>
      <c r="C14" s="5"/>
      <c r="D14" s="4"/>
      <c r="E14" s="12"/>
      <c r="F14" s="17"/>
      <c r="G14" s="17"/>
      <c r="H14" s="18"/>
      <c r="I14" s="17"/>
      <c r="J14" s="165"/>
      <c r="K14" s="166"/>
      <c r="L14" s="165"/>
      <c r="M14" s="166"/>
      <c r="N14" s="165"/>
      <c r="O14" s="166"/>
      <c r="P14" s="165"/>
      <c r="Q14" s="166"/>
      <c r="R14" s="165"/>
      <c r="S14" s="166"/>
      <c r="T14" s="165"/>
      <c r="U14" s="166"/>
      <c r="V14" s="165"/>
      <c r="W14" s="166"/>
      <c r="X14" s="165"/>
      <c r="Y14" s="166"/>
      <c r="Z14" s="76"/>
      <c r="AA14" s="14" t="s">
        <v>20</v>
      </c>
      <c r="AB14" s="42"/>
      <c r="AC14" s="205"/>
      <c r="AD14" s="206"/>
      <c r="AE14" s="207"/>
    </row>
    <row r="15" spans="1:31" ht="25.05" customHeight="1" x14ac:dyDescent="0.3">
      <c r="A15" s="181"/>
      <c r="B15" s="5"/>
      <c r="C15" s="5"/>
      <c r="D15" s="4"/>
      <c r="E15" s="12"/>
      <c r="F15" s="17"/>
      <c r="G15" s="17"/>
      <c r="H15" s="18"/>
      <c r="I15" s="17"/>
      <c r="J15" s="165"/>
      <c r="K15" s="166"/>
      <c r="L15" s="165"/>
      <c r="M15" s="166"/>
      <c r="N15" s="165"/>
      <c r="O15" s="166"/>
      <c r="P15" s="165"/>
      <c r="Q15" s="166"/>
      <c r="R15" s="165"/>
      <c r="S15" s="166"/>
      <c r="T15" s="165"/>
      <c r="U15" s="166"/>
      <c r="V15" s="165"/>
      <c r="W15" s="166"/>
      <c r="X15" s="165"/>
      <c r="Y15" s="166"/>
      <c r="Z15" s="76"/>
      <c r="AA15" s="14" t="s">
        <v>20</v>
      </c>
      <c r="AB15" s="42"/>
      <c r="AC15" s="205"/>
      <c r="AD15" s="206"/>
      <c r="AE15" s="207"/>
    </row>
    <row r="16" spans="1:31" ht="25.05" customHeight="1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165"/>
      <c r="S16" s="166"/>
      <c r="T16" s="165"/>
      <c r="U16" s="166"/>
      <c r="V16" s="165"/>
      <c r="W16" s="166"/>
      <c r="X16" s="165"/>
      <c r="Y16" s="166"/>
      <c r="Z16" s="76"/>
      <c r="AA16" s="14" t="s">
        <v>20</v>
      </c>
      <c r="AB16" s="42"/>
      <c r="AC16" s="205"/>
      <c r="AD16" s="206"/>
      <c r="AE16" s="207"/>
    </row>
    <row r="17" spans="1:31" ht="25.05" customHeight="1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165"/>
      <c r="S17" s="166"/>
      <c r="T17" s="165"/>
      <c r="U17" s="166"/>
      <c r="V17" s="165"/>
      <c r="W17" s="166"/>
      <c r="X17" s="165"/>
      <c r="Y17" s="166"/>
      <c r="Z17" s="76"/>
      <c r="AA17" s="14" t="s">
        <v>20</v>
      </c>
      <c r="AB17" s="42"/>
      <c r="AC17" s="205"/>
      <c r="AD17" s="206"/>
      <c r="AE17" s="207"/>
    </row>
    <row r="18" spans="1:31" ht="25.05" customHeight="1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165"/>
      <c r="S18" s="166"/>
      <c r="T18" s="165"/>
      <c r="U18" s="166"/>
      <c r="V18" s="165"/>
      <c r="W18" s="166"/>
      <c r="X18" s="165"/>
      <c r="Y18" s="166"/>
      <c r="Z18" s="76"/>
      <c r="AA18" s="14" t="s">
        <v>20</v>
      </c>
      <c r="AB18" s="42"/>
      <c r="AC18" s="205"/>
      <c r="AD18" s="206"/>
      <c r="AE18" s="207"/>
    </row>
    <row r="19" spans="1:31" ht="25.05" customHeight="1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165"/>
      <c r="S19" s="166"/>
      <c r="T19" s="165"/>
      <c r="U19" s="166"/>
      <c r="V19" s="165"/>
      <c r="W19" s="166"/>
      <c r="X19" s="165"/>
      <c r="Y19" s="166"/>
      <c r="Z19" s="76"/>
      <c r="AA19" s="14" t="s">
        <v>20</v>
      </c>
      <c r="AB19" s="42"/>
      <c r="AC19" s="205"/>
      <c r="AD19" s="206"/>
      <c r="AE19" s="207"/>
    </row>
    <row r="20" spans="1:31" ht="25.05" customHeight="1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165"/>
      <c r="S20" s="166"/>
      <c r="T20" s="165"/>
      <c r="U20" s="166"/>
      <c r="V20" s="165"/>
      <c r="W20" s="166"/>
      <c r="X20" s="165"/>
      <c r="Y20" s="166"/>
      <c r="Z20" s="76"/>
      <c r="AA20" s="14" t="s">
        <v>20</v>
      </c>
      <c r="AB20" s="42"/>
      <c r="AC20" s="205"/>
      <c r="AD20" s="206"/>
      <c r="AE20" s="207"/>
    </row>
    <row r="21" spans="1:31" s="100" customFormat="1" ht="25.05" customHeight="1" x14ac:dyDescent="0.3">
      <c r="A21" s="182"/>
      <c r="B21" s="232" t="s">
        <v>0</v>
      </c>
      <c r="C21" s="233"/>
      <c r="D21" s="233"/>
      <c r="E21" s="233"/>
      <c r="F21" s="233"/>
      <c r="G21" s="233"/>
      <c r="H21" s="233"/>
      <c r="I21" s="234"/>
      <c r="J21" s="86">
        <f>SUM(J7:K20)</f>
        <v>0</v>
      </c>
      <c r="K21" s="87" t="s">
        <v>17</v>
      </c>
      <c r="L21" s="86">
        <f>SUM(L7:M20)</f>
        <v>0</v>
      </c>
      <c r="M21" s="87" t="s">
        <v>17</v>
      </c>
      <c r="N21" s="86">
        <f>SUM(N7:O20)</f>
        <v>0</v>
      </c>
      <c r="O21" s="87" t="s">
        <v>17</v>
      </c>
      <c r="P21" s="86">
        <f>SUM(P7:Q20)</f>
        <v>0</v>
      </c>
      <c r="Q21" s="87" t="s">
        <v>17</v>
      </c>
      <c r="R21" s="86">
        <f>SUM(R7:S20)</f>
        <v>0</v>
      </c>
      <c r="S21" s="87" t="s">
        <v>17</v>
      </c>
      <c r="T21" s="86">
        <f>SUM(T7:U20)</f>
        <v>0</v>
      </c>
      <c r="U21" s="87" t="s">
        <v>17</v>
      </c>
      <c r="V21" s="86">
        <f>SUM(V7:W20)</f>
        <v>0</v>
      </c>
      <c r="W21" s="87" t="s">
        <v>17</v>
      </c>
      <c r="X21" s="86">
        <f>SUM(X7:Y20)</f>
        <v>0</v>
      </c>
      <c r="Y21" s="87" t="s">
        <v>17</v>
      </c>
      <c r="Z21" s="97">
        <f>SUM(Z7:Z20)</f>
        <v>0</v>
      </c>
      <c r="AA21" s="98" t="s">
        <v>20</v>
      </c>
      <c r="AB21" s="99"/>
      <c r="AC21" s="208"/>
      <c r="AD21" s="209"/>
      <c r="AE21" s="210"/>
    </row>
    <row r="22" spans="1:31" ht="25.0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31" s="89" customFormat="1" ht="40.049999999999997" customHeight="1" x14ac:dyDescent="0.3">
      <c r="A23" s="88"/>
      <c r="B23" s="88"/>
      <c r="C23" s="88"/>
      <c r="D23" s="88"/>
      <c r="E23" s="235" t="s">
        <v>27</v>
      </c>
      <c r="F23" s="236"/>
      <c r="G23" s="236"/>
      <c r="H23" s="236"/>
      <c r="I23" s="237"/>
      <c r="J23" s="238" t="s">
        <v>7</v>
      </c>
      <c r="K23" s="239"/>
      <c r="L23" s="238" t="s">
        <v>8</v>
      </c>
      <c r="M23" s="239"/>
      <c r="N23" s="238" t="s">
        <v>9</v>
      </c>
      <c r="O23" s="239"/>
      <c r="P23" s="238" t="s">
        <v>117</v>
      </c>
      <c r="Q23" s="239"/>
      <c r="R23" s="238" t="s">
        <v>442</v>
      </c>
      <c r="S23" s="239"/>
      <c r="T23" s="238" t="s">
        <v>444</v>
      </c>
      <c r="U23" s="239"/>
      <c r="V23" s="238" t="s">
        <v>443</v>
      </c>
      <c r="W23" s="239"/>
      <c r="X23" s="238" t="s">
        <v>42</v>
      </c>
      <c r="Y23" s="239"/>
      <c r="Z23" s="88"/>
      <c r="AA23" s="88"/>
    </row>
    <row r="24" spans="1:31" s="89" customFormat="1" ht="40.049999999999997" customHeight="1" x14ac:dyDescent="0.3">
      <c r="A24" s="88"/>
      <c r="B24" s="88"/>
      <c r="C24" s="88"/>
      <c r="D24" s="88"/>
      <c r="E24" s="90"/>
      <c r="F24" s="90"/>
      <c r="G24" s="90"/>
      <c r="H24" s="90"/>
      <c r="I24" s="90"/>
      <c r="J24" s="91">
        <f>J21</f>
        <v>0</v>
      </c>
      <c r="K24" s="92" t="s">
        <v>17</v>
      </c>
      <c r="L24" s="93">
        <f>L21</f>
        <v>0</v>
      </c>
      <c r="M24" s="92" t="s">
        <v>17</v>
      </c>
      <c r="N24" s="91">
        <f>N21</f>
        <v>0</v>
      </c>
      <c r="O24" s="92" t="s">
        <v>17</v>
      </c>
      <c r="P24" s="94">
        <f>P21</f>
        <v>0</v>
      </c>
      <c r="Q24" s="95" t="s">
        <v>17</v>
      </c>
      <c r="R24" s="94">
        <f>R21</f>
        <v>0</v>
      </c>
      <c r="S24" s="95" t="s">
        <v>17</v>
      </c>
      <c r="T24" s="94">
        <f>T21</f>
        <v>0</v>
      </c>
      <c r="U24" s="95" t="s">
        <v>17</v>
      </c>
      <c r="V24" s="94">
        <f>V21</f>
        <v>0</v>
      </c>
      <c r="W24" s="95" t="s">
        <v>17</v>
      </c>
      <c r="X24" s="94">
        <f>X21</f>
        <v>0</v>
      </c>
      <c r="Y24" s="95" t="s">
        <v>17</v>
      </c>
      <c r="Z24" s="88"/>
      <c r="AA24" s="88"/>
    </row>
    <row r="25" spans="1:31" s="89" customFormat="1" ht="40.049999999999997" customHeight="1" x14ac:dyDescent="0.3">
      <c r="A25" s="88"/>
      <c r="B25" s="88"/>
      <c r="C25" s="88"/>
      <c r="D25" s="88"/>
      <c r="E25" s="96"/>
      <c r="F25" s="96"/>
      <c r="G25" s="96"/>
      <c r="H25" s="96"/>
      <c r="I25" s="96"/>
      <c r="J25" s="241">
        <f>J24+L24+N24+P24+R24+T24+V24+X24</f>
        <v>0</v>
      </c>
      <c r="K25" s="242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3"/>
      <c r="Z25" s="88"/>
      <c r="AA25" s="88"/>
    </row>
    <row r="26" spans="1:31" ht="30" hidden="1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31" s="37" customFormat="1" ht="19.95" hidden="1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4">
        <f>AB3</f>
        <v>45947</v>
      </c>
      <c r="AC27" s="185"/>
      <c r="AD27" s="185"/>
      <c r="AE27" s="186"/>
    </row>
    <row r="28" spans="1:31" s="16" customFormat="1" ht="30" hidden="1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8"/>
      <c r="AC28" s="188"/>
      <c r="AD28" s="188"/>
      <c r="AE28" s="190"/>
    </row>
    <row r="29" spans="1:31" s="26" customFormat="1" ht="13.8" hidden="1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77"/>
      <c r="S29" s="77"/>
      <c r="T29" s="77"/>
      <c r="U29" s="77"/>
      <c r="V29" s="77"/>
      <c r="W29" s="77"/>
      <c r="X29" s="77"/>
      <c r="Y29" s="77"/>
      <c r="Z29" s="193" t="s">
        <v>10</v>
      </c>
      <c r="AA29" s="198"/>
      <c r="AB29" s="191" t="s">
        <v>11</v>
      </c>
      <c r="AC29" s="191" t="s">
        <v>12</v>
      </c>
      <c r="AD29" s="191"/>
      <c r="AE29" s="191"/>
    </row>
    <row r="30" spans="1:31" s="26" customFormat="1" ht="13.8" hidden="1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200" t="s">
        <v>117</v>
      </c>
      <c r="S30" s="201"/>
      <c r="T30" s="200" t="s">
        <v>117</v>
      </c>
      <c r="U30" s="201"/>
      <c r="V30" s="200" t="s">
        <v>117</v>
      </c>
      <c r="W30" s="201"/>
      <c r="X30" s="200" t="s">
        <v>117</v>
      </c>
      <c r="Y30" s="201"/>
      <c r="Z30" s="194"/>
      <c r="AA30" s="199"/>
      <c r="AB30" s="191"/>
      <c r="AC30" s="191"/>
      <c r="AD30" s="191"/>
      <c r="AE30" s="191"/>
    </row>
    <row r="31" spans="1:31" ht="14.55" hidden="1" customHeight="1" x14ac:dyDescent="0.3">
      <c r="A31" s="180" t="s">
        <v>32</v>
      </c>
      <c r="B31" s="5"/>
      <c r="C31" s="5"/>
      <c r="D31" s="4"/>
      <c r="E31" s="12"/>
      <c r="F31" s="40"/>
      <c r="G31" s="41"/>
      <c r="H31" s="40"/>
      <c r="I31" s="12"/>
      <c r="J31" s="165"/>
      <c r="K31" s="166"/>
      <c r="L31" s="165"/>
      <c r="M31" s="166"/>
      <c r="N31" s="165"/>
      <c r="O31" s="166"/>
      <c r="P31" s="165"/>
      <c r="Q31" s="166"/>
      <c r="R31" s="165"/>
      <c r="S31" s="166"/>
      <c r="T31" s="165"/>
      <c r="U31" s="166"/>
      <c r="V31" s="165"/>
      <c r="W31" s="166"/>
      <c r="X31" s="165"/>
      <c r="Y31" s="166"/>
      <c r="Z31" s="76"/>
      <c r="AA31" s="14" t="s">
        <v>20</v>
      </c>
      <c r="AB31" s="42"/>
      <c r="AC31" s="177"/>
      <c r="AD31" s="178"/>
      <c r="AE31" s="179"/>
    </row>
    <row r="32" spans="1:31" ht="14.55" hidden="1" customHeight="1" x14ac:dyDescent="0.3">
      <c r="A32" s="181"/>
      <c r="B32" s="5"/>
      <c r="C32" s="5"/>
      <c r="D32" s="4"/>
      <c r="E32" s="13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165"/>
      <c r="S32" s="166"/>
      <c r="T32" s="165"/>
      <c r="U32" s="166"/>
      <c r="V32" s="165"/>
      <c r="W32" s="166"/>
      <c r="X32" s="165"/>
      <c r="Y32" s="166"/>
      <c r="Z32" s="76"/>
      <c r="AA32" s="14" t="s">
        <v>20</v>
      </c>
      <c r="AB32" s="42"/>
      <c r="AC32" s="177"/>
      <c r="AD32" s="178"/>
      <c r="AE32" s="179"/>
    </row>
    <row r="33" spans="1:31" ht="14.55" hidden="1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165"/>
      <c r="S33" s="166"/>
      <c r="T33" s="165"/>
      <c r="U33" s="166"/>
      <c r="V33" s="165"/>
      <c r="W33" s="166"/>
      <c r="X33" s="165"/>
      <c r="Y33" s="166"/>
      <c r="Z33" s="76"/>
      <c r="AA33" s="14" t="s">
        <v>20</v>
      </c>
      <c r="AB33" s="42"/>
      <c r="AC33" s="177"/>
      <c r="AD33" s="178"/>
      <c r="AE33" s="179"/>
    </row>
    <row r="34" spans="1:31" ht="14.55" hidden="1" customHeight="1" x14ac:dyDescent="0.3">
      <c r="A34" s="181"/>
      <c r="B34" s="5"/>
      <c r="C34" s="5"/>
      <c r="D34" s="4"/>
      <c r="E34" s="13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165"/>
      <c r="S34" s="166"/>
      <c r="T34" s="165"/>
      <c r="U34" s="166"/>
      <c r="V34" s="165"/>
      <c r="W34" s="166"/>
      <c r="X34" s="165"/>
      <c r="Y34" s="166"/>
      <c r="Z34" s="76"/>
      <c r="AA34" s="14" t="s">
        <v>20</v>
      </c>
      <c r="AB34" s="42"/>
      <c r="AC34" s="177"/>
      <c r="AD34" s="178"/>
      <c r="AE34" s="179"/>
    </row>
    <row r="35" spans="1:31" ht="14.55" hidden="1" customHeight="1" x14ac:dyDescent="0.3">
      <c r="A35" s="181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165"/>
      <c r="S35" s="166"/>
      <c r="T35" s="165"/>
      <c r="U35" s="166"/>
      <c r="V35" s="165"/>
      <c r="W35" s="166"/>
      <c r="X35" s="165"/>
      <c r="Y35" s="166"/>
      <c r="Z35" s="76"/>
      <c r="AA35" s="14" t="s">
        <v>20</v>
      </c>
      <c r="AB35" s="42"/>
      <c r="AC35" s="177"/>
      <c r="AD35" s="178"/>
      <c r="AE35" s="179"/>
    </row>
    <row r="36" spans="1:31" ht="14.55" hidden="1" customHeight="1" x14ac:dyDescent="0.3">
      <c r="A36" s="181"/>
      <c r="B36" s="5"/>
      <c r="C36" s="5"/>
      <c r="D36" s="4"/>
      <c r="E36" s="13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165"/>
      <c r="S36" s="166"/>
      <c r="T36" s="165"/>
      <c r="U36" s="166"/>
      <c r="V36" s="165"/>
      <c r="W36" s="166"/>
      <c r="X36" s="165"/>
      <c r="Y36" s="166"/>
      <c r="Z36" s="76"/>
      <c r="AA36" s="14" t="s">
        <v>20</v>
      </c>
      <c r="AB36" s="42"/>
      <c r="AC36" s="177"/>
      <c r="AD36" s="178"/>
      <c r="AE36" s="179"/>
    </row>
    <row r="37" spans="1:31" ht="14.55" hidden="1" customHeight="1" x14ac:dyDescent="0.3">
      <c r="A37" s="181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165"/>
      <c r="S37" s="166"/>
      <c r="T37" s="165"/>
      <c r="U37" s="166"/>
      <c r="V37" s="165"/>
      <c r="W37" s="166"/>
      <c r="X37" s="165"/>
      <c r="Y37" s="166"/>
      <c r="Z37" s="76"/>
      <c r="AA37" s="14" t="s">
        <v>20</v>
      </c>
      <c r="AB37" s="42"/>
      <c r="AC37" s="177"/>
      <c r="AD37" s="178"/>
      <c r="AE37" s="179"/>
    </row>
    <row r="38" spans="1:31" ht="14.55" hidden="1" customHeight="1" x14ac:dyDescent="0.3">
      <c r="A38" s="181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165"/>
      <c r="S38" s="166"/>
      <c r="T38" s="165"/>
      <c r="U38" s="166"/>
      <c r="V38" s="165"/>
      <c r="W38" s="166"/>
      <c r="X38" s="165"/>
      <c r="Y38" s="166"/>
      <c r="Z38" s="76"/>
      <c r="AA38" s="14" t="s">
        <v>20</v>
      </c>
      <c r="AB38" s="42"/>
      <c r="AC38" s="177"/>
      <c r="AD38" s="178"/>
      <c r="AE38" s="179"/>
    </row>
    <row r="39" spans="1:31" ht="14.55" hidden="1" customHeight="1" x14ac:dyDescent="0.3">
      <c r="A39" s="181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165"/>
      <c r="S39" s="166"/>
      <c r="T39" s="165"/>
      <c r="U39" s="166"/>
      <c r="V39" s="165"/>
      <c r="W39" s="166"/>
      <c r="X39" s="165"/>
      <c r="Y39" s="166"/>
      <c r="Z39" s="76"/>
      <c r="AA39" s="14" t="s">
        <v>20</v>
      </c>
      <c r="AB39" s="42"/>
      <c r="AC39" s="177"/>
      <c r="AD39" s="178"/>
      <c r="AE39" s="179"/>
    </row>
    <row r="40" spans="1:31" ht="14.55" hidden="1" customHeight="1" x14ac:dyDescent="0.3">
      <c r="A40" s="182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SUM(J31:K39)</f>
        <v>0</v>
      </c>
      <c r="K40" s="174"/>
      <c r="L40" s="173">
        <f>SUM(L31:M39)</f>
        <v>0</v>
      </c>
      <c r="M40" s="174"/>
      <c r="N40" s="173">
        <f>SUM(N31:O39)</f>
        <v>0</v>
      </c>
      <c r="O40" s="174"/>
      <c r="P40" s="173">
        <f>SUM(P31:Q39)</f>
        <v>0</v>
      </c>
      <c r="Q40" s="174"/>
      <c r="R40" s="173">
        <f>SUM(R31:S39)</f>
        <v>0</v>
      </c>
      <c r="S40" s="174"/>
      <c r="T40" s="173">
        <f>SUM(T31:U39)</f>
        <v>0</v>
      </c>
      <c r="U40" s="174"/>
      <c r="V40" s="173">
        <f>SUM(V31:W39)</f>
        <v>0</v>
      </c>
      <c r="W40" s="174"/>
      <c r="X40" s="173">
        <f>SUM(X31:Y39)</f>
        <v>0</v>
      </c>
      <c r="Y40" s="174"/>
      <c r="Z40" s="23">
        <f>SUM(Z31:Z39)</f>
        <v>0</v>
      </c>
      <c r="AA40" s="24" t="s">
        <v>20</v>
      </c>
      <c r="AB40" s="19"/>
      <c r="AC40" s="177"/>
      <c r="AD40" s="178"/>
      <c r="AE40" s="179"/>
    </row>
    <row r="41" spans="1:31" ht="14.55" hidden="1" customHeight="1" x14ac:dyDescent="0.3">
      <c r="A41" s="163" t="s">
        <v>34</v>
      </c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165"/>
      <c r="S41" s="166"/>
      <c r="T41" s="165"/>
      <c r="U41" s="166"/>
      <c r="V41" s="165"/>
      <c r="W41" s="166"/>
      <c r="X41" s="165"/>
      <c r="Y41" s="166"/>
      <c r="Z41" s="76"/>
      <c r="AA41" s="14" t="s">
        <v>20</v>
      </c>
      <c r="AB41" s="42"/>
      <c r="AC41" s="177"/>
      <c r="AD41" s="178"/>
      <c r="AE41" s="179"/>
    </row>
    <row r="42" spans="1:31" ht="14.55" hidden="1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165"/>
      <c r="S42" s="166"/>
      <c r="T42" s="165"/>
      <c r="U42" s="166"/>
      <c r="V42" s="165"/>
      <c r="W42" s="166"/>
      <c r="X42" s="165"/>
      <c r="Y42" s="166"/>
      <c r="Z42" s="76"/>
      <c r="AA42" s="14" t="s">
        <v>20</v>
      </c>
      <c r="AB42" s="42"/>
      <c r="AC42" s="177"/>
      <c r="AD42" s="178"/>
      <c r="AE42" s="179"/>
    </row>
    <row r="43" spans="1:31" ht="14.55" hidden="1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165"/>
      <c r="S43" s="166"/>
      <c r="T43" s="165"/>
      <c r="U43" s="166"/>
      <c r="V43" s="165"/>
      <c r="W43" s="166"/>
      <c r="X43" s="165"/>
      <c r="Y43" s="166"/>
      <c r="Z43" s="76"/>
      <c r="AA43" s="14" t="s">
        <v>20</v>
      </c>
      <c r="AB43" s="42"/>
      <c r="AC43" s="177"/>
      <c r="AD43" s="178"/>
      <c r="AE43" s="179"/>
    </row>
    <row r="44" spans="1:31" ht="14.55" hidden="1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165"/>
      <c r="S44" s="166"/>
      <c r="T44" s="165"/>
      <c r="U44" s="166"/>
      <c r="V44" s="165"/>
      <c r="W44" s="166"/>
      <c r="X44" s="165"/>
      <c r="Y44" s="166"/>
      <c r="Z44" s="76"/>
      <c r="AA44" s="14" t="s">
        <v>20</v>
      </c>
      <c r="AB44" s="42"/>
      <c r="AC44" s="177"/>
      <c r="AD44" s="178"/>
      <c r="AE44" s="179"/>
    </row>
    <row r="45" spans="1:31" ht="14.55" hidden="1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165"/>
      <c r="S45" s="166"/>
      <c r="T45" s="165"/>
      <c r="U45" s="166"/>
      <c r="V45" s="165"/>
      <c r="W45" s="166"/>
      <c r="X45" s="165"/>
      <c r="Y45" s="166"/>
      <c r="Z45" s="76"/>
      <c r="AA45" s="14" t="s">
        <v>20</v>
      </c>
      <c r="AB45" s="42"/>
      <c r="AC45" s="177"/>
      <c r="AD45" s="178"/>
      <c r="AE45" s="179"/>
    </row>
    <row r="46" spans="1:31" ht="14.55" hidden="1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165"/>
      <c r="S46" s="166"/>
      <c r="T46" s="165"/>
      <c r="U46" s="166"/>
      <c r="V46" s="165"/>
      <c r="W46" s="166"/>
      <c r="X46" s="165"/>
      <c r="Y46" s="166"/>
      <c r="Z46" s="76"/>
      <c r="AA46" s="14" t="s">
        <v>20</v>
      </c>
      <c r="AB46" s="42"/>
      <c r="AC46" s="177"/>
      <c r="AD46" s="178"/>
      <c r="AE46" s="179"/>
    </row>
    <row r="47" spans="1:31" ht="14.55" hidden="1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165"/>
      <c r="S47" s="166"/>
      <c r="T47" s="165"/>
      <c r="U47" s="166"/>
      <c r="V47" s="165"/>
      <c r="W47" s="166"/>
      <c r="X47" s="165"/>
      <c r="Y47" s="166"/>
      <c r="Z47" s="76"/>
      <c r="AA47" s="14" t="s">
        <v>20</v>
      </c>
      <c r="AB47" s="42"/>
      <c r="AC47" s="177"/>
      <c r="AD47" s="178"/>
      <c r="AE47" s="179"/>
    </row>
    <row r="48" spans="1:31" ht="14.55" hidden="1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165"/>
      <c r="S48" s="166"/>
      <c r="T48" s="165"/>
      <c r="U48" s="166"/>
      <c r="V48" s="165"/>
      <c r="W48" s="166"/>
      <c r="X48" s="165"/>
      <c r="Y48" s="166"/>
      <c r="Z48" s="76"/>
      <c r="AA48" s="14" t="s">
        <v>20</v>
      </c>
      <c r="AB48" s="42"/>
      <c r="AC48" s="177"/>
      <c r="AD48" s="178"/>
      <c r="AE48" s="179"/>
    </row>
    <row r="49" spans="1:31" ht="14.55" hidden="1" customHeight="1" x14ac:dyDescent="0.3">
      <c r="A49" s="163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165"/>
      <c r="S49" s="166"/>
      <c r="T49" s="165"/>
      <c r="U49" s="166"/>
      <c r="V49" s="165"/>
      <c r="W49" s="166"/>
      <c r="X49" s="165"/>
      <c r="Y49" s="166"/>
      <c r="Z49" s="76"/>
      <c r="AA49" s="14" t="s">
        <v>20</v>
      </c>
      <c r="AB49" s="42"/>
      <c r="AC49" s="177"/>
      <c r="AD49" s="178"/>
      <c r="AE49" s="179"/>
    </row>
    <row r="50" spans="1:31" ht="14.55" hidden="1" customHeight="1" x14ac:dyDescent="0.3">
      <c r="A50" s="164"/>
      <c r="B50" s="19"/>
      <c r="C50" s="19"/>
      <c r="D50" s="20"/>
      <c r="E50" s="170" t="s">
        <v>0</v>
      </c>
      <c r="F50" s="171"/>
      <c r="G50" s="171"/>
      <c r="H50" s="171"/>
      <c r="I50" s="172"/>
      <c r="J50" s="173">
        <f>SUM(J41:K49)</f>
        <v>0</v>
      </c>
      <c r="K50" s="174"/>
      <c r="L50" s="173">
        <f>SUM(L41:M49)</f>
        <v>0</v>
      </c>
      <c r="M50" s="174"/>
      <c r="N50" s="173">
        <f>SUM(N41:O49)</f>
        <v>0</v>
      </c>
      <c r="O50" s="174"/>
      <c r="P50" s="173">
        <f>SUM(P41:Q49)</f>
        <v>0</v>
      </c>
      <c r="Q50" s="174"/>
      <c r="R50" s="173">
        <f>SUM(R41:S49)</f>
        <v>0</v>
      </c>
      <c r="S50" s="174"/>
      <c r="T50" s="173">
        <f>SUM(T41:U49)</f>
        <v>0</v>
      </c>
      <c r="U50" s="174"/>
      <c r="V50" s="173">
        <f>SUM(V41:W49)</f>
        <v>0</v>
      </c>
      <c r="W50" s="174"/>
      <c r="X50" s="173">
        <f>SUM(X41:Y49)</f>
        <v>0</v>
      </c>
      <c r="Y50" s="174"/>
      <c r="Z50" s="23">
        <f>SUM(Z41:Z49)</f>
        <v>0</v>
      </c>
      <c r="AA50" s="24" t="s">
        <v>20</v>
      </c>
      <c r="AB50" s="19"/>
      <c r="AC50" s="177"/>
      <c r="AD50" s="178"/>
      <c r="AE50" s="179"/>
    </row>
    <row r="51" spans="1:31" ht="14.55" hidden="1" customHeight="1" x14ac:dyDescent="0.3">
      <c r="A51" s="163" t="s">
        <v>35</v>
      </c>
      <c r="B51" s="5"/>
      <c r="C51" s="5"/>
      <c r="D51" s="4"/>
      <c r="E51" s="12"/>
      <c r="F51" s="40"/>
      <c r="G51" s="41"/>
      <c r="H51" s="40"/>
      <c r="I51" s="12"/>
      <c r="J51" s="165"/>
      <c r="K51" s="166"/>
      <c r="L51" s="165"/>
      <c r="M51" s="166"/>
      <c r="N51" s="165"/>
      <c r="O51" s="166"/>
      <c r="P51" s="165"/>
      <c r="Q51" s="166"/>
      <c r="R51" s="165"/>
      <c r="S51" s="166"/>
      <c r="T51" s="165"/>
      <c r="U51" s="166"/>
      <c r="V51" s="165"/>
      <c r="W51" s="166"/>
      <c r="X51" s="165"/>
      <c r="Y51" s="166"/>
      <c r="Z51" s="76"/>
      <c r="AA51" s="14" t="s">
        <v>20</v>
      </c>
      <c r="AB51" s="42"/>
      <c r="AC51" s="177"/>
      <c r="AD51" s="178"/>
      <c r="AE51" s="179"/>
    </row>
    <row r="52" spans="1:31" ht="14.55" hidden="1" customHeight="1" x14ac:dyDescent="0.3">
      <c r="A52" s="163"/>
      <c r="B52" s="5"/>
      <c r="C52" s="5"/>
      <c r="D52" s="4"/>
      <c r="E52" s="12"/>
      <c r="F52" s="40"/>
      <c r="G52" s="41"/>
      <c r="H52" s="40"/>
      <c r="I52" s="12"/>
      <c r="J52" s="165"/>
      <c r="K52" s="166"/>
      <c r="L52" s="165"/>
      <c r="M52" s="166"/>
      <c r="N52" s="165"/>
      <c r="O52" s="166"/>
      <c r="P52" s="165"/>
      <c r="Q52" s="166"/>
      <c r="R52" s="165"/>
      <c r="S52" s="166"/>
      <c r="T52" s="165"/>
      <c r="U52" s="166"/>
      <c r="V52" s="165"/>
      <c r="W52" s="166"/>
      <c r="X52" s="165"/>
      <c r="Y52" s="166"/>
      <c r="Z52" s="76"/>
      <c r="AA52" s="14" t="s">
        <v>20</v>
      </c>
      <c r="AB52" s="42"/>
      <c r="AC52" s="177"/>
      <c r="AD52" s="178"/>
      <c r="AE52" s="179"/>
    </row>
    <row r="53" spans="1:31" ht="14.55" hidden="1" customHeight="1" x14ac:dyDescent="0.3">
      <c r="A53" s="163"/>
      <c r="B53" s="5"/>
      <c r="C53" s="5"/>
      <c r="D53" s="4"/>
      <c r="E53" s="12"/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165"/>
      <c r="S53" s="166"/>
      <c r="T53" s="165"/>
      <c r="U53" s="166"/>
      <c r="V53" s="165"/>
      <c r="W53" s="166"/>
      <c r="X53" s="165"/>
      <c r="Y53" s="166"/>
      <c r="Z53" s="76"/>
      <c r="AA53" s="14" t="s">
        <v>20</v>
      </c>
      <c r="AB53" s="42"/>
      <c r="AC53" s="177"/>
      <c r="AD53" s="178"/>
      <c r="AE53" s="179"/>
    </row>
    <row r="54" spans="1:31" ht="14.55" hidden="1" customHeight="1" x14ac:dyDescent="0.3">
      <c r="A54" s="163"/>
      <c r="B54" s="5"/>
      <c r="C54" s="5"/>
      <c r="D54" s="4"/>
      <c r="E54" s="12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165"/>
      <c r="S54" s="166"/>
      <c r="T54" s="165"/>
      <c r="U54" s="166"/>
      <c r="V54" s="165"/>
      <c r="W54" s="166"/>
      <c r="X54" s="165"/>
      <c r="Y54" s="166"/>
      <c r="Z54" s="76"/>
      <c r="AA54" s="14" t="s">
        <v>20</v>
      </c>
      <c r="AB54" s="42"/>
      <c r="AC54" s="177"/>
      <c r="AD54" s="178"/>
      <c r="AE54" s="179"/>
    </row>
    <row r="55" spans="1:31" ht="14.55" hidden="1" customHeight="1" x14ac:dyDescent="0.3">
      <c r="A55" s="163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165"/>
      <c r="S55" s="166"/>
      <c r="T55" s="165"/>
      <c r="U55" s="166"/>
      <c r="V55" s="165"/>
      <c r="W55" s="166"/>
      <c r="X55" s="165"/>
      <c r="Y55" s="166"/>
      <c r="Z55" s="76"/>
      <c r="AA55" s="14" t="s">
        <v>20</v>
      </c>
      <c r="AB55" s="42"/>
      <c r="AC55" s="177"/>
      <c r="AD55" s="178"/>
      <c r="AE55" s="179"/>
    </row>
    <row r="56" spans="1:31" ht="14.55" hidden="1" customHeight="1" x14ac:dyDescent="0.3">
      <c r="A56" s="163"/>
      <c r="B56" s="5"/>
      <c r="C56" s="5"/>
      <c r="D56" s="4"/>
      <c r="E56" s="12"/>
      <c r="F56" s="40"/>
      <c r="G56" s="41"/>
      <c r="H56" s="40"/>
      <c r="I56" s="12"/>
      <c r="J56" s="165"/>
      <c r="K56" s="166"/>
      <c r="L56" s="165"/>
      <c r="M56" s="166"/>
      <c r="N56" s="165"/>
      <c r="O56" s="166"/>
      <c r="P56" s="165"/>
      <c r="Q56" s="166"/>
      <c r="R56" s="165"/>
      <c r="S56" s="166"/>
      <c r="T56" s="165"/>
      <c r="U56" s="166"/>
      <c r="V56" s="165"/>
      <c r="W56" s="166"/>
      <c r="X56" s="165"/>
      <c r="Y56" s="166"/>
      <c r="Z56" s="76"/>
      <c r="AA56" s="14" t="s">
        <v>20</v>
      </c>
      <c r="AB56" s="42"/>
      <c r="AC56" s="177"/>
      <c r="AD56" s="178"/>
      <c r="AE56" s="179"/>
    </row>
    <row r="57" spans="1:31" ht="14.55" hidden="1" customHeight="1" x14ac:dyDescent="0.3">
      <c r="A57" s="163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165"/>
      <c r="S57" s="166"/>
      <c r="T57" s="165"/>
      <c r="U57" s="166"/>
      <c r="V57" s="165"/>
      <c r="W57" s="166"/>
      <c r="X57" s="165"/>
      <c r="Y57" s="166"/>
      <c r="Z57" s="76"/>
      <c r="AA57" s="14" t="s">
        <v>20</v>
      </c>
      <c r="AB57" s="42"/>
      <c r="AC57" s="177"/>
      <c r="AD57" s="178"/>
      <c r="AE57" s="179"/>
    </row>
    <row r="58" spans="1:31" ht="14.55" hidden="1" customHeight="1" x14ac:dyDescent="0.3">
      <c r="A58" s="163"/>
      <c r="B58" s="5"/>
      <c r="C58" s="5"/>
      <c r="D58" s="4"/>
      <c r="E58" s="12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165"/>
      <c r="S58" s="166"/>
      <c r="T58" s="165"/>
      <c r="U58" s="166"/>
      <c r="V58" s="165"/>
      <c r="W58" s="166"/>
      <c r="X58" s="165"/>
      <c r="Y58" s="166"/>
      <c r="Z58" s="76"/>
      <c r="AA58" s="14" t="s">
        <v>20</v>
      </c>
      <c r="AB58" s="42"/>
      <c r="AC58" s="177"/>
      <c r="AD58" s="178"/>
      <c r="AE58" s="179"/>
    </row>
    <row r="59" spans="1:31" ht="14.55" hidden="1" customHeight="1" x14ac:dyDescent="0.3">
      <c r="A59" s="163"/>
      <c r="B59" s="5"/>
      <c r="C59" s="5"/>
      <c r="D59" s="4"/>
      <c r="E59" s="12"/>
      <c r="F59" s="40"/>
      <c r="G59" s="41"/>
      <c r="H59" s="40"/>
      <c r="I59" s="12"/>
      <c r="J59" s="165"/>
      <c r="K59" s="166"/>
      <c r="L59" s="165"/>
      <c r="M59" s="166"/>
      <c r="N59" s="165"/>
      <c r="O59" s="166"/>
      <c r="P59" s="165"/>
      <c r="Q59" s="166"/>
      <c r="R59" s="165"/>
      <c r="S59" s="166"/>
      <c r="T59" s="165"/>
      <c r="U59" s="166"/>
      <c r="V59" s="165"/>
      <c r="W59" s="166"/>
      <c r="X59" s="165"/>
      <c r="Y59" s="166"/>
      <c r="Z59" s="76"/>
      <c r="AA59" s="14" t="s">
        <v>20</v>
      </c>
      <c r="AB59" s="42"/>
      <c r="AC59" s="177"/>
      <c r="AD59" s="178"/>
      <c r="AE59" s="179"/>
    </row>
    <row r="60" spans="1:31" ht="14.55" hidden="1" customHeight="1" x14ac:dyDescent="0.3">
      <c r="A60" s="164"/>
      <c r="B60" s="19"/>
      <c r="C60" s="19"/>
      <c r="D60" s="20"/>
      <c r="E60" s="170" t="s">
        <v>0</v>
      </c>
      <c r="F60" s="171"/>
      <c r="G60" s="171"/>
      <c r="H60" s="171"/>
      <c r="I60" s="172"/>
      <c r="J60" s="173">
        <f>SUM(J51:K59)</f>
        <v>0</v>
      </c>
      <c r="K60" s="174"/>
      <c r="L60" s="173">
        <f>SUM(L51:M59)</f>
        <v>0</v>
      </c>
      <c r="M60" s="174"/>
      <c r="N60" s="173">
        <f>SUM(N51:O59)</f>
        <v>0</v>
      </c>
      <c r="O60" s="174"/>
      <c r="P60" s="173">
        <f>SUM(P51:Q59)</f>
        <v>0</v>
      </c>
      <c r="Q60" s="174"/>
      <c r="R60" s="173">
        <f>SUM(R51:S59)</f>
        <v>0</v>
      </c>
      <c r="S60" s="174"/>
      <c r="T60" s="173">
        <f>SUM(T51:U59)</f>
        <v>0</v>
      </c>
      <c r="U60" s="174"/>
      <c r="V60" s="173">
        <f>SUM(V51:W59)</f>
        <v>0</v>
      </c>
      <c r="W60" s="174"/>
      <c r="X60" s="173">
        <f>SUM(X51:Y59)</f>
        <v>0</v>
      </c>
      <c r="Y60" s="174"/>
      <c r="Z60" s="23">
        <f>SUM(Z51:Z59)</f>
        <v>0</v>
      </c>
      <c r="AA60" s="24" t="s">
        <v>20</v>
      </c>
      <c r="AB60" s="19"/>
      <c r="AC60" s="177"/>
      <c r="AD60" s="178"/>
      <c r="AE60" s="179"/>
    </row>
    <row r="61" spans="1:31" ht="14.55" hidden="1" customHeight="1" x14ac:dyDescent="0.3">
      <c r="A61" s="27"/>
      <c r="B61" s="27"/>
      <c r="C61" s="27"/>
      <c r="D61" s="27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27"/>
      <c r="AA61" s="27"/>
      <c r="AB61" s="39"/>
      <c r="AC61" s="39"/>
      <c r="AD61" s="39"/>
      <c r="AE61" s="39"/>
    </row>
    <row r="62" spans="1:31" hidden="1" x14ac:dyDescent="0.3">
      <c r="E62" s="170" t="s">
        <v>31</v>
      </c>
      <c r="F62" s="171"/>
      <c r="G62" s="171"/>
      <c r="H62" s="171"/>
      <c r="I62" s="172"/>
      <c r="J62" s="175" t="s">
        <v>7</v>
      </c>
      <c r="K62" s="176"/>
      <c r="L62" s="175" t="s">
        <v>8</v>
      </c>
      <c r="M62" s="176"/>
      <c r="N62" s="175" t="s">
        <v>9</v>
      </c>
      <c r="O62" s="176"/>
      <c r="P62" s="175" t="s">
        <v>117</v>
      </c>
      <c r="Q62" s="176"/>
      <c r="R62" s="175" t="s">
        <v>117</v>
      </c>
      <c r="S62" s="176"/>
      <c r="T62" s="175" t="s">
        <v>117</v>
      </c>
      <c r="U62" s="176"/>
      <c r="V62" s="175" t="s">
        <v>117</v>
      </c>
      <c r="W62" s="176"/>
      <c r="X62" s="175" t="s">
        <v>117</v>
      </c>
      <c r="Y62" s="176"/>
    </row>
    <row r="63" spans="1:31" s="2" customFormat="1" hidden="1" x14ac:dyDescent="0.3">
      <c r="E63" s="15"/>
      <c r="F63" s="15"/>
      <c r="G63" s="15"/>
      <c r="H63" s="15"/>
      <c r="I63" s="15"/>
      <c r="J63" s="30">
        <f>J40+J50+J60</f>
        <v>0</v>
      </c>
      <c r="K63" s="31" t="s">
        <v>17</v>
      </c>
      <c r="L63" s="30">
        <f>L40+L50+L60</f>
        <v>0</v>
      </c>
      <c r="M63" s="31" t="s">
        <v>17</v>
      </c>
      <c r="N63" s="30">
        <f>N40+N50+N60</f>
        <v>0</v>
      </c>
      <c r="O63" s="31" t="s">
        <v>17</v>
      </c>
      <c r="P63" s="30">
        <f>P40+P50+P60</f>
        <v>0</v>
      </c>
      <c r="Q63" s="34" t="s">
        <v>17</v>
      </c>
      <c r="R63" s="30">
        <f>R40+R50+R60</f>
        <v>0</v>
      </c>
      <c r="S63" s="34" t="s">
        <v>17</v>
      </c>
      <c r="T63" s="30">
        <f>T40+T50+T60</f>
        <v>0</v>
      </c>
      <c r="U63" s="34" t="s">
        <v>17</v>
      </c>
      <c r="V63" s="30">
        <f>V40+V50+V60</f>
        <v>0</v>
      </c>
      <c r="W63" s="34" t="s">
        <v>17</v>
      </c>
      <c r="X63" s="30">
        <f>X40+X50+X60</f>
        <v>0</v>
      </c>
      <c r="Y63" s="34" t="s">
        <v>17</v>
      </c>
    </row>
    <row r="64" spans="1:31" ht="24.45" hidden="1" customHeight="1" x14ac:dyDescent="0.3">
      <c r="E64" s="28"/>
      <c r="F64" s="28"/>
      <c r="G64" s="28"/>
      <c r="H64" s="28"/>
      <c r="I64" s="28"/>
      <c r="J64" s="167">
        <f>J63+L63+N63+P63</f>
        <v>0</v>
      </c>
      <c r="K64" s="168"/>
      <c r="L64" s="168"/>
      <c r="M64" s="168"/>
      <c r="N64" s="168"/>
      <c r="O64" s="168"/>
      <c r="P64" s="168"/>
      <c r="Q64" s="169"/>
      <c r="R64" s="81"/>
      <c r="S64" s="81"/>
      <c r="T64" s="81"/>
      <c r="U64" s="81"/>
      <c r="V64" s="81"/>
      <c r="W64" s="81"/>
      <c r="X64" s="81"/>
      <c r="Y64" s="81"/>
    </row>
    <row r="65" spans="1:31" ht="30" hidden="1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spans="1:31" s="37" customFormat="1" ht="19.95" hidden="1" customHeight="1" x14ac:dyDescent="0.4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214" t="s">
        <v>14</v>
      </c>
      <c r="R66" s="215"/>
      <c r="S66" s="215"/>
      <c r="T66" s="215"/>
      <c r="U66" s="215"/>
      <c r="V66" s="215"/>
      <c r="W66" s="215"/>
      <c r="X66" s="215"/>
      <c r="Y66" s="215"/>
      <c r="Z66" s="215"/>
      <c r="AA66" s="216"/>
      <c r="AB66" s="184">
        <f>AB3</f>
        <v>45947</v>
      </c>
      <c r="AC66" s="185"/>
      <c r="AD66" s="185"/>
      <c r="AE66" s="186"/>
    </row>
    <row r="67" spans="1:31" s="16" customFormat="1" ht="30" hidden="1" customHeight="1" x14ac:dyDescent="0.3">
      <c r="A67" s="187" t="s">
        <v>26</v>
      </c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8"/>
      <c r="AC67" s="188"/>
      <c r="AD67" s="188"/>
      <c r="AE67" s="190"/>
    </row>
    <row r="68" spans="1:31" s="26" customFormat="1" ht="13.8" hidden="1" x14ac:dyDescent="0.3">
      <c r="A68" s="191" t="s">
        <v>1</v>
      </c>
      <c r="B68" s="192" t="s">
        <v>2</v>
      </c>
      <c r="C68" s="192" t="s">
        <v>3</v>
      </c>
      <c r="D68" s="192" t="s">
        <v>4</v>
      </c>
      <c r="E68" s="193" t="s">
        <v>5</v>
      </c>
      <c r="F68" s="197"/>
      <c r="G68" s="197"/>
      <c r="H68" s="197"/>
      <c r="I68" s="198"/>
      <c r="J68" s="193" t="s">
        <v>6</v>
      </c>
      <c r="K68" s="197"/>
      <c r="L68" s="197"/>
      <c r="M68" s="197"/>
      <c r="N68" s="197"/>
      <c r="O68" s="197"/>
      <c r="P68" s="197"/>
      <c r="Q68" s="198"/>
      <c r="R68" s="77"/>
      <c r="S68" s="77"/>
      <c r="T68" s="77"/>
      <c r="U68" s="77"/>
      <c r="V68" s="77"/>
      <c r="W68" s="77"/>
      <c r="X68" s="77"/>
      <c r="Y68" s="77"/>
      <c r="Z68" s="193" t="s">
        <v>10</v>
      </c>
      <c r="AA68" s="198"/>
      <c r="AB68" s="191" t="s">
        <v>11</v>
      </c>
      <c r="AC68" s="191" t="s">
        <v>12</v>
      </c>
      <c r="AD68" s="191"/>
      <c r="AE68" s="191"/>
    </row>
    <row r="69" spans="1:31" s="26" customFormat="1" ht="13.8" hidden="1" x14ac:dyDescent="0.3">
      <c r="A69" s="191"/>
      <c r="B69" s="192"/>
      <c r="C69" s="192"/>
      <c r="D69" s="192"/>
      <c r="E69" s="194"/>
      <c r="F69" s="217"/>
      <c r="G69" s="217"/>
      <c r="H69" s="217"/>
      <c r="I69" s="199"/>
      <c r="J69" s="200" t="s">
        <v>7</v>
      </c>
      <c r="K69" s="201"/>
      <c r="L69" s="200" t="s">
        <v>8</v>
      </c>
      <c r="M69" s="201"/>
      <c r="N69" s="200" t="s">
        <v>9</v>
      </c>
      <c r="O69" s="201"/>
      <c r="P69" s="200" t="s">
        <v>117</v>
      </c>
      <c r="Q69" s="201"/>
      <c r="R69" s="200" t="s">
        <v>117</v>
      </c>
      <c r="S69" s="201"/>
      <c r="T69" s="200" t="s">
        <v>117</v>
      </c>
      <c r="U69" s="201"/>
      <c r="V69" s="200" t="s">
        <v>117</v>
      </c>
      <c r="W69" s="201"/>
      <c r="X69" s="200" t="s">
        <v>117</v>
      </c>
      <c r="Y69" s="201"/>
      <c r="Z69" s="194"/>
      <c r="AA69" s="199"/>
      <c r="AB69" s="191"/>
      <c r="AC69" s="191"/>
      <c r="AD69" s="191"/>
      <c r="AE69" s="191"/>
    </row>
    <row r="70" spans="1:31" hidden="1" x14ac:dyDescent="0.3">
      <c r="A70" s="180" t="s">
        <v>13</v>
      </c>
      <c r="B70" s="5"/>
      <c r="C70" s="5"/>
      <c r="D70" s="4"/>
      <c r="E70" s="211"/>
      <c r="F70" s="212"/>
      <c r="G70" s="212"/>
      <c r="H70" s="212"/>
      <c r="I70" s="213"/>
      <c r="J70" s="165"/>
      <c r="K70" s="166"/>
      <c r="L70" s="165"/>
      <c r="M70" s="166"/>
      <c r="N70" s="165"/>
      <c r="O70" s="166"/>
      <c r="P70" s="165"/>
      <c r="Q70" s="166"/>
      <c r="R70" s="165"/>
      <c r="S70" s="166"/>
      <c r="T70" s="165"/>
      <c r="U70" s="166"/>
      <c r="V70" s="165"/>
      <c r="W70" s="166"/>
      <c r="X70" s="165"/>
      <c r="Y70" s="166"/>
      <c r="Z70" s="76"/>
      <c r="AA70" s="6" t="s">
        <v>20</v>
      </c>
      <c r="AB70" s="3"/>
      <c r="AC70" s="202"/>
      <c r="AD70" s="203"/>
      <c r="AE70" s="204"/>
    </row>
    <row r="71" spans="1:31" hidden="1" x14ac:dyDescent="0.3">
      <c r="A71" s="163"/>
      <c r="B71" s="5"/>
      <c r="C71" s="5"/>
      <c r="D71" s="4"/>
      <c r="E71" s="211"/>
      <c r="F71" s="212"/>
      <c r="G71" s="212"/>
      <c r="H71" s="212"/>
      <c r="I71" s="213"/>
      <c r="J71" s="165"/>
      <c r="K71" s="166"/>
      <c r="L71" s="165"/>
      <c r="M71" s="166"/>
      <c r="N71" s="165"/>
      <c r="O71" s="166"/>
      <c r="P71" s="165"/>
      <c r="Q71" s="166"/>
      <c r="R71" s="165"/>
      <c r="S71" s="166"/>
      <c r="T71" s="165"/>
      <c r="U71" s="166"/>
      <c r="V71" s="165"/>
      <c r="W71" s="166"/>
      <c r="X71" s="165"/>
      <c r="Y71" s="166"/>
      <c r="Z71" s="76"/>
      <c r="AA71" s="6" t="s">
        <v>20</v>
      </c>
      <c r="AB71" s="3"/>
      <c r="AC71" s="205"/>
      <c r="AD71" s="206"/>
      <c r="AE71" s="207"/>
    </row>
    <row r="72" spans="1:31" hidden="1" x14ac:dyDescent="0.3">
      <c r="A72" s="163"/>
      <c r="B72" s="5"/>
      <c r="C72" s="5"/>
      <c r="D72" s="4"/>
      <c r="E72" s="211"/>
      <c r="F72" s="212"/>
      <c r="G72" s="212"/>
      <c r="H72" s="212"/>
      <c r="I72" s="213"/>
      <c r="J72" s="165"/>
      <c r="K72" s="166"/>
      <c r="L72" s="165"/>
      <c r="M72" s="166"/>
      <c r="N72" s="165"/>
      <c r="O72" s="166"/>
      <c r="P72" s="165"/>
      <c r="Q72" s="166"/>
      <c r="R72" s="165"/>
      <c r="S72" s="166"/>
      <c r="T72" s="165"/>
      <c r="U72" s="166"/>
      <c r="V72" s="165"/>
      <c r="W72" s="166"/>
      <c r="X72" s="165"/>
      <c r="Y72" s="166"/>
      <c r="Z72" s="76"/>
      <c r="AA72" s="6" t="s">
        <v>20</v>
      </c>
      <c r="AB72" s="3"/>
      <c r="AC72" s="205"/>
      <c r="AD72" s="206"/>
      <c r="AE72" s="207"/>
    </row>
    <row r="73" spans="1:31" hidden="1" x14ac:dyDescent="0.3">
      <c r="A73" s="163"/>
      <c r="B73" s="5"/>
      <c r="C73" s="5"/>
      <c r="D73" s="4"/>
      <c r="E73" s="211"/>
      <c r="F73" s="212"/>
      <c r="G73" s="212"/>
      <c r="H73" s="212"/>
      <c r="I73" s="213"/>
      <c r="J73" s="165"/>
      <c r="K73" s="166"/>
      <c r="L73" s="165"/>
      <c r="M73" s="166"/>
      <c r="N73" s="165"/>
      <c r="O73" s="166"/>
      <c r="P73" s="165"/>
      <c r="Q73" s="166"/>
      <c r="R73" s="165"/>
      <c r="S73" s="166"/>
      <c r="T73" s="165"/>
      <c r="U73" s="166"/>
      <c r="V73" s="165"/>
      <c r="W73" s="166"/>
      <c r="X73" s="165"/>
      <c r="Y73" s="166"/>
      <c r="Z73" s="76"/>
      <c r="AA73" s="6" t="s">
        <v>20</v>
      </c>
      <c r="AB73" s="3"/>
      <c r="AC73" s="205"/>
      <c r="AD73" s="206"/>
      <c r="AE73" s="207"/>
    </row>
    <row r="74" spans="1:31" hidden="1" x14ac:dyDescent="0.3">
      <c r="A74" s="163"/>
      <c r="B74" s="5"/>
      <c r="C74" s="5"/>
      <c r="D74" s="4"/>
      <c r="E74" s="211"/>
      <c r="F74" s="212"/>
      <c r="G74" s="212"/>
      <c r="H74" s="212"/>
      <c r="I74" s="213"/>
      <c r="J74" s="165"/>
      <c r="K74" s="166"/>
      <c r="L74" s="165"/>
      <c r="M74" s="166"/>
      <c r="N74" s="165"/>
      <c r="O74" s="166"/>
      <c r="P74" s="165"/>
      <c r="Q74" s="166"/>
      <c r="R74" s="165"/>
      <c r="S74" s="166"/>
      <c r="T74" s="165"/>
      <c r="U74" s="166"/>
      <c r="V74" s="165"/>
      <c r="W74" s="166"/>
      <c r="X74" s="165"/>
      <c r="Y74" s="166"/>
      <c r="Z74" s="76"/>
      <c r="AA74" s="6" t="s">
        <v>20</v>
      </c>
      <c r="AB74" s="3"/>
      <c r="AC74" s="205"/>
      <c r="AD74" s="206"/>
      <c r="AE74" s="207"/>
    </row>
    <row r="75" spans="1:31" hidden="1" x14ac:dyDescent="0.3">
      <c r="A75" s="163"/>
      <c r="B75" s="5"/>
      <c r="C75" s="5"/>
      <c r="D75" s="4"/>
      <c r="E75" s="211"/>
      <c r="F75" s="212"/>
      <c r="G75" s="212"/>
      <c r="H75" s="212"/>
      <c r="I75" s="213"/>
      <c r="J75" s="165"/>
      <c r="K75" s="166"/>
      <c r="L75" s="165"/>
      <c r="M75" s="166"/>
      <c r="N75" s="165"/>
      <c r="O75" s="166"/>
      <c r="P75" s="165"/>
      <c r="Q75" s="166"/>
      <c r="R75" s="165"/>
      <c r="S75" s="166"/>
      <c r="T75" s="165"/>
      <c r="U75" s="166"/>
      <c r="V75" s="165"/>
      <c r="W75" s="166"/>
      <c r="X75" s="165"/>
      <c r="Y75" s="166"/>
      <c r="Z75" s="76"/>
      <c r="AA75" s="6" t="s">
        <v>20</v>
      </c>
      <c r="AB75" s="3"/>
      <c r="AC75" s="205"/>
      <c r="AD75" s="206"/>
      <c r="AE75" s="207"/>
    </row>
    <row r="76" spans="1:31" hidden="1" x14ac:dyDescent="0.3">
      <c r="A76" s="163"/>
      <c r="B76" s="5"/>
      <c r="C76" s="5"/>
      <c r="D76" s="4"/>
      <c r="E76" s="211"/>
      <c r="F76" s="212"/>
      <c r="G76" s="212"/>
      <c r="H76" s="212"/>
      <c r="I76" s="213"/>
      <c r="J76" s="165"/>
      <c r="K76" s="166"/>
      <c r="L76" s="165"/>
      <c r="M76" s="166"/>
      <c r="N76" s="165"/>
      <c r="O76" s="166"/>
      <c r="P76" s="165"/>
      <c r="Q76" s="166"/>
      <c r="R76" s="165"/>
      <c r="S76" s="166"/>
      <c r="T76" s="165"/>
      <c r="U76" s="166"/>
      <c r="V76" s="165"/>
      <c r="W76" s="166"/>
      <c r="X76" s="165"/>
      <c r="Y76" s="166"/>
      <c r="Z76" s="76"/>
      <c r="AA76" s="6" t="s">
        <v>20</v>
      </c>
      <c r="AB76" s="3"/>
      <c r="AC76" s="205"/>
      <c r="AD76" s="206"/>
      <c r="AE76" s="207"/>
    </row>
    <row r="77" spans="1:31" hidden="1" x14ac:dyDescent="0.3">
      <c r="A77" s="164"/>
      <c r="B77" s="19"/>
      <c r="C77" s="19"/>
      <c r="D77" s="20"/>
      <c r="E77" s="170" t="s">
        <v>0</v>
      </c>
      <c r="F77" s="171"/>
      <c r="G77" s="171"/>
      <c r="H77" s="171"/>
      <c r="I77" s="172"/>
      <c r="J77" s="173">
        <f>SUM(J70:J76)</f>
        <v>0</v>
      </c>
      <c r="K77" s="174"/>
      <c r="L77" s="173">
        <f>SUM(L70:L76)</f>
        <v>0</v>
      </c>
      <c r="M77" s="174"/>
      <c r="N77" s="173">
        <f>SUM(N70:N76)</f>
        <v>0</v>
      </c>
      <c r="O77" s="174"/>
      <c r="P77" s="173">
        <f>SUM(P70:P76)</f>
        <v>0</v>
      </c>
      <c r="Q77" s="174"/>
      <c r="R77" s="173">
        <f>SUM(R70:R76)</f>
        <v>0</v>
      </c>
      <c r="S77" s="174"/>
      <c r="T77" s="173">
        <f>SUM(T70:T76)</f>
        <v>0</v>
      </c>
      <c r="U77" s="174"/>
      <c r="V77" s="173">
        <f>SUM(V70:V76)</f>
        <v>0</v>
      </c>
      <c r="W77" s="174"/>
      <c r="X77" s="173">
        <f>SUM(X70:X76)</f>
        <v>0</v>
      </c>
      <c r="Y77" s="174"/>
      <c r="Z77" s="23">
        <f>SUM(Z70:Z76)</f>
        <v>0</v>
      </c>
      <c r="AA77" s="24" t="s">
        <v>20</v>
      </c>
      <c r="AB77" s="19"/>
      <c r="AC77" s="208"/>
      <c r="AD77" s="209"/>
      <c r="AE77" s="210"/>
    </row>
    <row r="78" spans="1:31" hidden="1" x14ac:dyDescent="0.3">
      <c r="A78" s="180" t="s">
        <v>15</v>
      </c>
      <c r="B78" s="5"/>
      <c r="C78" s="5"/>
      <c r="D78" s="4"/>
      <c r="E78" s="211"/>
      <c r="F78" s="212"/>
      <c r="G78" s="212"/>
      <c r="H78" s="212"/>
      <c r="I78" s="213"/>
      <c r="J78" s="165"/>
      <c r="K78" s="166"/>
      <c r="L78" s="165"/>
      <c r="M78" s="166"/>
      <c r="N78" s="165"/>
      <c r="O78" s="166"/>
      <c r="P78" s="165"/>
      <c r="Q78" s="166"/>
      <c r="R78" s="165"/>
      <c r="S78" s="166"/>
      <c r="T78" s="165"/>
      <c r="U78" s="166"/>
      <c r="V78" s="165"/>
      <c r="W78" s="166"/>
      <c r="X78" s="165"/>
      <c r="Y78" s="166"/>
      <c r="Z78" s="76"/>
      <c r="AA78" s="6" t="s">
        <v>20</v>
      </c>
      <c r="AB78" s="3"/>
      <c r="AC78" s="202"/>
      <c r="AD78" s="203"/>
      <c r="AE78" s="204"/>
    </row>
    <row r="79" spans="1:31" hidden="1" x14ac:dyDescent="0.3">
      <c r="A79" s="163"/>
      <c r="B79" s="5"/>
      <c r="C79" s="5"/>
      <c r="D79" s="4"/>
      <c r="E79" s="211"/>
      <c r="F79" s="212"/>
      <c r="G79" s="212"/>
      <c r="H79" s="212"/>
      <c r="I79" s="213"/>
      <c r="J79" s="165"/>
      <c r="K79" s="166"/>
      <c r="L79" s="165"/>
      <c r="M79" s="166"/>
      <c r="N79" s="165"/>
      <c r="O79" s="166"/>
      <c r="P79" s="165"/>
      <c r="Q79" s="166"/>
      <c r="R79" s="165"/>
      <c r="S79" s="166"/>
      <c r="T79" s="165"/>
      <c r="U79" s="166"/>
      <c r="V79" s="165"/>
      <c r="W79" s="166"/>
      <c r="X79" s="165"/>
      <c r="Y79" s="166"/>
      <c r="Z79" s="76"/>
      <c r="AA79" s="6" t="s">
        <v>20</v>
      </c>
      <c r="AB79" s="3"/>
      <c r="AC79" s="205"/>
      <c r="AD79" s="206"/>
      <c r="AE79" s="207"/>
    </row>
    <row r="80" spans="1:31" hidden="1" x14ac:dyDescent="0.3">
      <c r="A80" s="163"/>
      <c r="B80" s="5"/>
      <c r="C80" s="5"/>
      <c r="D80" s="4"/>
      <c r="E80" s="211"/>
      <c r="F80" s="212"/>
      <c r="G80" s="212"/>
      <c r="H80" s="212"/>
      <c r="I80" s="213"/>
      <c r="J80" s="165"/>
      <c r="K80" s="166"/>
      <c r="L80" s="165"/>
      <c r="M80" s="166"/>
      <c r="N80" s="165"/>
      <c r="O80" s="166"/>
      <c r="P80" s="165"/>
      <c r="Q80" s="166"/>
      <c r="R80" s="165"/>
      <c r="S80" s="166"/>
      <c r="T80" s="165"/>
      <c r="U80" s="166"/>
      <c r="V80" s="165"/>
      <c r="W80" s="166"/>
      <c r="X80" s="165"/>
      <c r="Y80" s="166"/>
      <c r="Z80" s="76"/>
      <c r="AA80" s="6" t="s">
        <v>20</v>
      </c>
      <c r="AB80" s="3"/>
      <c r="AC80" s="205"/>
      <c r="AD80" s="206"/>
      <c r="AE80" s="207"/>
    </row>
    <row r="81" spans="1:31" hidden="1" x14ac:dyDescent="0.3">
      <c r="A81" s="164"/>
      <c r="B81" s="19"/>
      <c r="C81" s="19"/>
      <c r="D81" s="20"/>
      <c r="E81" s="170" t="s">
        <v>0</v>
      </c>
      <c r="F81" s="171"/>
      <c r="G81" s="171"/>
      <c r="H81" s="171"/>
      <c r="I81" s="172"/>
      <c r="J81" s="173">
        <f>SUM(J78:J80)</f>
        <v>0</v>
      </c>
      <c r="K81" s="174"/>
      <c r="L81" s="173">
        <f>SUM(L78:L80)</f>
        <v>0</v>
      </c>
      <c r="M81" s="174"/>
      <c r="N81" s="173">
        <f>SUM(N78:N80)</f>
        <v>0</v>
      </c>
      <c r="O81" s="174"/>
      <c r="P81" s="173">
        <f>SUM(P73:P80)</f>
        <v>0</v>
      </c>
      <c r="Q81" s="174"/>
      <c r="R81" s="173">
        <f>SUM(R73:R80)</f>
        <v>0</v>
      </c>
      <c r="S81" s="174"/>
      <c r="T81" s="173">
        <f>SUM(T73:T80)</f>
        <v>0</v>
      </c>
      <c r="U81" s="174"/>
      <c r="V81" s="173">
        <f>SUM(V73:V80)</f>
        <v>0</v>
      </c>
      <c r="W81" s="174"/>
      <c r="X81" s="173">
        <f>SUM(X73:X80)</f>
        <v>0</v>
      </c>
      <c r="Y81" s="174"/>
      <c r="Z81" s="23">
        <f>SUM(Z78:Z80)</f>
        <v>0</v>
      </c>
      <c r="AA81" s="24" t="s">
        <v>20</v>
      </c>
      <c r="AB81" s="7"/>
      <c r="AC81" s="208"/>
      <c r="AD81" s="209"/>
      <c r="AE81" s="210"/>
    </row>
    <row r="82" spans="1:31" hidden="1" x14ac:dyDescent="0.3">
      <c r="E82" s="28"/>
      <c r="F82" s="28"/>
      <c r="G82" s="28"/>
      <c r="H82" s="28"/>
      <c r="I82" s="28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31" hidden="1" x14ac:dyDescent="0.3">
      <c r="E83" s="170" t="s">
        <v>28</v>
      </c>
      <c r="F83" s="171"/>
      <c r="G83" s="171"/>
      <c r="H83" s="171"/>
      <c r="I83" s="172"/>
      <c r="J83" s="175" t="s">
        <v>7</v>
      </c>
      <c r="K83" s="176"/>
      <c r="L83" s="175" t="s">
        <v>8</v>
      </c>
      <c r="M83" s="176"/>
      <c r="N83" s="175" t="s">
        <v>9</v>
      </c>
      <c r="O83" s="176"/>
      <c r="P83" s="175" t="s">
        <v>117</v>
      </c>
      <c r="Q83" s="176"/>
      <c r="R83" s="175" t="s">
        <v>117</v>
      </c>
      <c r="S83" s="176"/>
      <c r="T83" s="175" t="s">
        <v>117</v>
      </c>
      <c r="U83" s="176"/>
      <c r="V83" s="175" t="s">
        <v>117</v>
      </c>
      <c r="W83" s="176"/>
      <c r="X83" s="175" t="s">
        <v>117</v>
      </c>
      <c r="Y83" s="176"/>
    </row>
    <row r="84" spans="1:31" s="2" customFormat="1" hidden="1" x14ac:dyDescent="0.3">
      <c r="E84" s="15"/>
      <c r="F84" s="15"/>
      <c r="G84" s="15"/>
      <c r="H84" s="15"/>
      <c r="I84" s="15"/>
      <c r="J84" s="30">
        <f>J77+J81</f>
        <v>0</v>
      </c>
      <c r="K84" s="31" t="s">
        <v>17</v>
      </c>
      <c r="L84" s="32">
        <f>L77+L81</f>
        <v>0</v>
      </c>
      <c r="M84" s="31" t="s">
        <v>17</v>
      </c>
      <c r="N84" s="32">
        <f>N77+N81</f>
        <v>0</v>
      </c>
      <c r="O84" s="31" t="s">
        <v>17</v>
      </c>
      <c r="P84" s="32">
        <f>P77+P81</f>
        <v>0</v>
      </c>
      <c r="Q84" s="34" t="s">
        <v>17</v>
      </c>
      <c r="R84" s="32">
        <f>R77+R81</f>
        <v>0</v>
      </c>
      <c r="S84" s="34" t="s">
        <v>17</v>
      </c>
      <c r="T84" s="32">
        <f>T77+T81</f>
        <v>0</v>
      </c>
      <c r="U84" s="34" t="s">
        <v>17</v>
      </c>
      <c r="V84" s="32">
        <f>V77+V81</f>
        <v>0</v>
      </c>
      <c r="W84" s="34" t="s">
        <v>17</v>
      </c>
      <c r="X84" s="32">
        <f>X77+X81</f>
        <v>0</v>
      </c>
      <c r="Y84" s="34" t="s">
        <v>17</v>
      </c>
    </row>
    <row r="85" spans="1:31" ht="24.45" hidden="1" customHeight="1" x14ac:dyDescent="0.3">
      <c r="E85" s="28"/>
      <c r="F85" s="28"/>
      <c r="G85" s="28"/>
      <c r="H85" s="28"/>
      <c r="I85" s="28"/>
      <c r="J85" s="167">
        <f>J84+L84+N84+P84</f>
        <v>0</v>
      </c>
      <c r="K85" s="168"/>
      <c r="L85" s="168"/>
      <c r="M85" s="168"/>
      <c r="N85" s="168"/>
      <c r="O85" s="168"/>
      <c r="P85" s="168"/>
      <c r="Q85" s="169"/>
      <c r="R85" s="81"/>
      <c r="S85" s="81"/>
      <c r="T85" s="81"/>
      <c r="U85" s="81"/>
      <c r="V85" s="81"/>
      <c r="W85" s="81"/>
      <c r="X85" s="81"/>
      <c r="Y85" s="81"/>
    </row>
    <row r="86" spans="1:31" hidden="1" x14ac:dyDescent="0.3"/>
    <row r="87" spans="1:31" hidden="1" x14ac:dyDescent="0.3"/>
    <row r="88" spans="1:31" hidden="1" x14ac:dyDescent="0.3"/>
    <row r="89" spans="1:31" hidden="1" x14ac:dyDescent="0.3"/>
    <row r="90" spans="1:31" hidden="1" x14ac:dyDescent="0.3"/>
    <row r="91" spans="1:31" hidden="1" x14ac:dyDescent="0.3"/>
    <row r="92" spans="1:31" hidden="1" x14ac:dyDescent="0.3"/>
    <row r="93" spans="1:31" hidden="1" x14ac:dyDescent="0.3"/>
    <row r="94" spans="1:31" hidden="1" x14ac:dyDescent="0.3"/>
    <row r="95" spans="1:31" hidden="1" x14ac:dyDescent="0.3"/>
    <row r="96" spans="1:31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</sheetData>
  <mergeCells count="574">
    <mergeCell ref="X83:Y83"/>
    <mergeCell ref="J5:Y5"/>
    <mergeCell ref="J25:Y25"/>
    <mergeCell ref="Y3:AA3"/>
    <mergeCell ref="X76:Y76"/>
    <mergeCell ref="X77:Y77"/>
    <mergeCell ref="X78:Y78"/>
    <mergeCell ref="X79:Y79"/>
    <mergeCell ref="X80:Y80"/>
    <mergeCell ref="X81:Y81"/>
    <mergeCell ref="X70:Y70"/>
    <mergeCell ref="X71:Y71"/>
    <mergeCell ref="X72:Y72"/>
    <mergeCell ref="X73:Y73"/>
    <mergeCell ref="X74:Y74"/>
    <mergeCell ref="X75:Y75"/>
    <mergeCell ref="X57:Y57"/>
    <mergeCell ref="X58:Y58"/>
    <mergeCell ref="X59:Y59"/>
    <mergeCell ref="X60:Y60"/>
    <mergeCell ref="X62:Y62"/>
    <mergeCell ref="X69:Y69"/>
    <mergeCell ref="X51:Y51"/>
    <mergeCell ref="X52:Y52"/>
    <mergeCell ref="X53:Y53"/>
    <mergeCell ref="X54:Y54"/>
    <mergeCell ref="X55:Y55"/>
    <mergeCell ref="X56:Y56"/>
    <mergeCell ref="X45:Y45"/>
    <mergeCell ref="X46:Y46"/>
    <mergeCell ref="X47:Y47"/>
    <mergeCell ref="X48:Y48"/>
    <mergeCell ref="X49:Y49"/>
    <mergeCell ref="X50:Y50"/>
    <mergeCell ref="X39:Y39"/>
    <mergeCell ref="X40:Y40"/>
    <mergeCell ref="X41:Y41"/>
    <mergeCell ref="X42:Y42"/>
    <mergeCell ref="X43:Y43"/>
    <mergeCell ref="X44:Y44"/>
    <mergeCell ref="X33:Y33"/>
    <mergeCell ref="X34:Y34"/>
    <mergeCell ref="X35:Y35"/>
    <mergeCell ref="X36:Y36"/>
    <mergeCell ref="X37:Y37"/>
    <mergeCell ref="X38:Y38"/>
    <mergeCell ref="X30:Y30"/>
    <mergeCell ref="X31:Y31"/>
    <mergeCell ref="X32:Y32"/>
    <mergeCell ref="X13:Y13"/>
    <mergeCell ref="X14:Y14"/>
    <mergeCell ref="X15:Y15"/>
    <mergeCell ref="X16:Y16"/>
    <mergeCell ref="X17:Y17"/>
    <mergeCell ref="X18:Y18"/>
    <mergeCell ref="V83:W83"/>
    <mergeCell ref="X6:Y6"/>
    <mergeCell ref="X7:Y7"/>
    <mergeCell ref="X8:Y8"/>
    <mergeCell ref="X9:Y9"/>
    <mergeCell ref="X10:Y10"/>
    <mergeCell ref="X11:Y11"/>
    <mergeCell ref="X12:Y12"/>
    <mergeCell ref="V74:W74"/>
    <mergeCell ref="V75:W75"/>
    <mergeCell ref="V76:W76"/>
    <mergeCell ref="V77:W77"/>
    <mergeCell ref="V78:W78"/>
    <mergeCell ref="V79:W79"/>
    <mergeCell ref="V62:W62"/>
    <mergeCell ref="V69:W69"/>
    <mergeCell ref="V70:W70"/>
    <mergeCell ref="V71:W71"/>
    <mergeCell ref="V72:W72"/>
    <mergeCell ref="V73:W73"/>
    <mergeCell ref="V55:W55"/>
    <mergeCell ref="V56:W56"/>
    <mergeCell ref="X19:Y19"/>
    <mergeCell ref="X20:Y20"/>
    <mergeCell ref="V58:W58"/>
    <mergeCell ref="V59:W59"/>
    <mergeCell ref="V60:W60"/>
    <mergeCell ref="V49:W49"/>
    <mergeCell ref="V50:W50"/>
    <mergeCell ref="V51:W51"/>
    <mergeCell ref="V52:W52"/>
    <mergeCell ref="V53:W53"/>
    <mergeCell ref="V54:W54"/>
    <mergeCell ref="V47:W47"/>
    <mergeCell ref="V48:W48"/>
    <mergeCell ref="V37:W37"/>
    <mergeCell ref="V38:W38"/>
    <mergeCell ref="V39:W39"/>
    <mergeCell ref="V40:W40"/>
    <mergeCell ref="V41:W41"/>
    <mergeCell ref="V42:W42"/>
    <mergeCell ref="V57:W57"/>
    <mergeCell ref="T42:U42"/>
    <mergeCell ref="T43:U43"/>
    <mergeCell ref="T44:U44"/>
    <mergeCell ref="T45:U45"/>
    <mergeCell ref="T46:U46"/>
    <mergeCell ref="T35:U35"/>
    <mergeCell ref="T36:U36"/>
    <mergeCell ref="V31:W31"/>
    <mergeCell ref="V32:W32"/>
    <mergeCell ref="V33:W33"/>
    <mergeCell ref="V34:W34"/>
    <mergeCell ref="V35:W35"/>
    <mergeCell ref="V36:W36"/>
    <mergeCell ref="V43:W43"/>
    <mergeCell ref="V44:W44"/>
    <mergeCell ref="V45:W45"/>
    <mergeCell ref="V46:W46"/>
    <mergeCell ref="T83:U83"/>
    <mergeCell ref="V6:W6"/>
    <mergeCell ref="V7:W7"/>
    <mergeCell ref="V8:W8"/>
    <mergeCell ref="V9:W9"/>
    <mergeCell ref="V10:W10"/>
    <mergeCell ref="T72:U72"/>
    <mergeCell ref="T73:U73"/>
    <mergeCell ref="T74:U74"/>
    <mergeCell ref="T75:U75"/>
    <mergeCell ref="T76:U76"/>
    <mergeCell ref="T77:U77"/>
    <mergeCell ref="T59:U59"/>
    <mergeCell ref="T60:U60"/>
    <mergeCell ref="T62:U62"/>
    <mergeCell ref="T69:U69"/>
    <mergeCell ref="T70:U70"/>
    <mergeCell ref="T71:U71"/>
    <mergeCell ref="T53:U53"/>
    <mergeCell ref="T54:U54"/>
    <mergeCell ref="T55:U55"/>
    <mergeCell ref="T56:U56"/>
    <mergeCell ref="T57:U57"/>
    <mergeCell ref="V11:W11"/>
    <mergeCell ref="R83:S83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R76:S76"/>
    <mergeCell ref="R77:S77"/>
    <mergeCell ref="R78:S78"/>
    <mergeCell ref="R79:S79"/>
    <mergeCell ref="R80:S80"/>
    <mergeCell ref="R81:S81"/>
    <mergeCell ref="R70:S70"/>
    <mergeCell ref="R71:S71"/>
    <mergeCell ref="T37:U37"/>
    <mergeCell ref="T38:U38"/>
    <mergeCell ref="T39:U39"/>
    <mergeCell ref="T40:U40"/>
    <mergeCell ref="T23:U23"/>
    <mergeCell ref="T30:U30"/>
    <mergeCell ref="R56:S56"/>
    <mergeCell ref="R57:S57"/>
    <mergeCell ref="R58:S58"/>
    <mergeCell ref="R59:S59"/>
    <mergeCell ref="R60:S60"/>
    <mergeCell ref="R62:S62"/>
    <mergeCell ref="T15:U15"/>
    <mergeCell ref="T16:U16"/>
    <mergeCell ref="T17:U17"/>
    <mergeCell ref="T18:U18"/>
    <mergeCell ref="T19:U19"/>
    <mergeCell ref="T20:U20"/>
    <mergeCell ref="T31:U31"/>
    <mergeCell ref="T32:U32"/>
    <mergeCell ref="T33:U33"/>
    <mergeCell ref="T34:U34"/>
    <mergeCell ref="T58:U58"/>
    <mergeCell ref="T47:U47"/>
    <mergeCell ref="T48:U48"/>
    <mergeCell ref="T49:U49"/>
    <mergeCell ref="T50:U50"/>
    <mergeCell ref="T51:U51"/>
    <mergeCell ref="T52:U52"/>
    <mergeCell ref="T41:U41"/>
    <mergeCell ref="R50:S50"/>
    <mergeCell ref="R51:S51"/>
    <mergeCell ref="R52:S52"/>
    <mergeCell ref="R53:S53"/>
    <mergeCell ref="R54:S54"/>
    <mergeCell ref="R55:S55"/>
    <mergeCell ref="R44:S44"/>
    <mergeCell ref="R45:S45"/>
    <mergeCell ref="R46:S46"/>
    <mergeCell ref="R47:S47"/>
    <mergeCell ref="R48:S48"/>
    <mergeCell ref="R49:S49"/>
    <mergeCell ref="R38:S38"/>
    <mergeCell ref="R39:S39"/>
    <mergeCell ref="R40:S40"/>
    <mergeCell ref="R41:S41"/>
    <mergeCell ref="R42:S42"/>
    <mergeCell ref="R43:S43"/>
    <mergeCell ref="R32:S32"/>
    <mergeCell ref="R33:S33"/>
    <mergeCell ref="R34:S34"/>
    <mergeCell ref="R35:S35"/>
    <mergeCell ref="R36:S36"/>
    <mergeCell ref="R37:S37"/>
    <mergeCell ref="R19:S19"/>
    <mergeCell ref="R20:S20"/>
    <mergeCell ref="R23:S23"/>
    <mergeCell ref="R30:S30"/>
    <mergeCell ref="R31:S31"/>
    <mergeCell ref="R12:S12"/>
    <mergeCell ref="R13:S13"/>
    <mergeCell ref="R14:S14"/>
    <mergeCell ref="R15:S15"/>
    <mergeCell ref="R16:S16"/>
    <mergeCell ref="R17:S17"/>
    <mergeCell ref="Q27:AA27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3:W23"/>
    <mergeCell ref="V30:W30"/>
    <mergeCell ref="X23:Y23"/>
    <mergeCell ref="R7:S7"/>
    <mergeCell ref="R8:S8"/>
    <mergeCell ref="R9:S9"/>
    <mergeCell ref="R10:S10"/>
    <mergeCell ref="R11:S11"/>
    <mergeCell ref="E83:I83"/>
    <mergeCell ref="J83:K83"/>
    <mergeCell ref="L83:M83"/>
    <mergeCell ref="N83:O83"/>
    <mergeCell ref="P83:Q83"/>
    <mergeCell ref="E77:I77"/>
    <mergeCell ref="J77:K77"/>
    <mergeCell ref="L77:M77"/>
    <mergeCell ref="N77:O77"/>
    <mergeCell ref="P77:Q77"/>
    <mergeCell ref="P75:Q75"/>
    <mergeCell ref="P76:Q76"/>
    <mergeCell ref="N73:O73"/>
    <mergeCell ref="P73:Q73"/>
    <mergeCell ref="E74:I74"/>
    <mergeCell ref="J74:K74"/>
    <mergeCell ref="L74:M74"/>
    <mergeCell ref="N74:O74"/>
    <mergeCell ref="R18:S18"/>
    <mergeCell ref="J85:Q85"/>
    <mergeCell ref="N80:O80"/>
    <mergeCell ref="P80:Q80"/>
    <mergeCell ref="E81:I81"/>
    <mergeCell ref="J81:K81"/>
    <mergeCell ref="L81:M81"/>
    <mergeCell ref="N81:O81"/>
    <mergeCell ref="P81:Q81"/>
    <mergeCell ref="P78:Q78"/>
    <mergeCell ref="AC78:AE81"/>
    <mergeCell ref="E79:I79"/>
    <mergeCell ref="J79:K79"/>
    <mergeCell ref="L79:M79"/>
    <mergeCell ref="N79:O79"/>
    <mergeCell ref="P79:Q79"/>
    <mergeCell ref="E80:I80"/>
    <mergeCell ref="J80:K80"/>
    <mergeCell ref="L80:M80"/>
    <mergeCell ref="T81:U81"/>
    <mergeCell ref="T78:U78"/>
    <mergeCell ref="T79:U79"/>
    <mergeCell ref="T80:U80"/>
    <mergeCell ref="V80:W80"/>
    <mergeCell ref="V81:W81"/>
    <mergeCell ref="A78:A81"/>
    <mergeCell ref="E78:I78"/>
    <mergeCell ref="J78:K78"/>
    <mergeCell ref="L78:M78"/>
    <mergeCell ref="N78:O78"/>
    <mergeCell ref="E75:I75"/>
    <mergeCell ref="J75:K75"/>
    <mergeCell ref="L75:M75"/>
    <mergeCell ref="N75:O75"/>
    <mergeCell ref="E76:I76"/>
    <mergeCell ref="J76:K76"/>
    <mergeCell ref="L76:M76"/>
    <mergeCell ref="N76:O76"/>
    <mergeCell ref="A70:A77"/>
    <mergeCell ref="P74:Q74"/>
    <mergeCell ref="AC70:AE77"/>
    <mergeCell ref="E71:I71"/>
    <mergeCell ref="J71:K71"/>
    <mergeCell ref="L71:M71"/>
    <mergeCell ref="N71:O71"/>
    <mergeCell ref="P71:Q71"/>
    <mergeCell ref="E72:I72"/>
    <mergeCell ref="J72:K72"/>
    <mergeCell ref="L72:M72"/>
    <mergeCell ref="N72:O72"/>
    <mergeCell ref="E70:I70"/>
    <mergeCell ref="J70:K70"/>
    <mergeCell ref="L70:M70"/>
    <mergeCell ref="N70:O70"/>
    <mergeCell ref="P70:Q70"/>
    <mergeCell ref="P72:Q72"/>
    <mergeCell ref="E73:I73"/>
    <mergeCell ref="J73:K73"/>
    <mergeCell ref="L73:M73"/>
    <mergeCell ref="R72:S72"/>
    <mergeCell ref="R73:S73"/>
    <mergeCell ref="R74:S74"/>
    <mergeCell ref="R75:S75"/>
    <mergeCell ref="E62:I62"/>
    <mergeCell ref="J62:K62"/>
    <mergeCell ref="L62:M62"/>
    <mergeCell ref="N62:O62"/>
    <mergeCell ref="P62:Q62"/>
    <mergeCell ref="Z68:AA69"/>
    <mergeCell ref="AB68:AB69"/>
    <mergeCell ref="AC68:AE69"/>
    <mergeCell ref="J69:K69"/>
    <mergeCell ref="L69:M69"/>
    <mergeCell ref="N69:O69"/>
    <mergeCell ref="P69:Q69"/>
    <mergeCell ref="R69:S69"/>
    <mergeCell ref="J64:Q64"/>
    <mergeCell ref="Q66:AA66"/>
    <mergeCell ref="AB66:AE66"/>
    <mergeCell ref="A67:AE67"/>
    <mergeCell ref="A68:A69"/>
    <mergeCell ref="B68:B69"/>
    <mergeCell ref="C68:C69"/>
    <mergeCell ref="D68:D69"/>
    <mergeCell ref="E68:I69"/>
    <mergeCell ref="J68:Q68"/>
    <mergeCell ref="AC51:AE60"/>
    <mergeCell ref="J52:K52"/>
    <mergeCell ref="L52:M52"/>
    <mergeCell ref="N52:O52"/>
    <mergeCell ref="P52:Q52"/>
    <mergeCell ref="J53:K53"/>
    <mergeCell ref="L53:M53"/>
    <mergeCell ref="N53:O53"/>
    <mergeCell ref="P53:Q53"/>
    <mergeCell ref="J54:K54"/>
    <mergeCell ref="J58:K58"/>
    <mergeCell ref="L58:M58"/>
    <mergeCell ref="N58:O58"/>
    <mergeCell ref="P58:Q58"/>
    <mergeCell ref="J59:K59"/>
    <mergeCell ref="L59:M59"/>
    <mergeCell ref="N59:O59"/>
    <mergeCell ref="P59:Q59"/>
    <mergeCell ref="J56:K56"/>
    <mergeCell ref="L56:M56"/>
    <mergeCell ref="N56:O56"/>
    <mergeCell ref="P56:Q56"/>
    <mergeCell ref="J57:K57"/>
    <mergeCell ref="L57:M57"/>
    <mergeCell ref="A51:A60"/>
    <mergeCell ref="J51:K51"/>
    <mergeCell ref="L51:M51"/>
    <mergeCell ref="N51:O51"/>
    <mergeCell ref="P51:Q51"/>
    <mergeCell ref="L54:M54"/>
    <mergeCell ref="N54:O54"/>
    <mergeCell ref="P54:Q54"/>
    <mergeCell ref="J55:K55"/>
    <mergeCell ref="L55:M55"/>
    <mergeCell ref="N55:O55"/>
    <mergeCell ref="P55:Q55"/>
    <mergeCell ref="N57:O57"/>
    <mergeCell ref="P57:Q57"/>
    <mergeCell ref="E60:I60"/>
    <mergeCell ref="J60:K60"/>
    <mergeCell ref="L60:M60"/>
    <mergeCell ref="N60:O60"/>
    <mergeCell ref="P60:Q60"/>
    <mergeCell ref="AC41:AE50"/>
    <mergeCell ref="J42:K42"/>
    <mergeCell ref="L42:M42"/>
    <mergeCell ref="N42:O42"/>
    <mergeCell ref="P42:Q42"/>
    <mergeCell ref="J43:K43"/>
    <mergeCell ref="L43:M43"/>
    <mergeCell ref="N43:O43"/>
    <mergeCell ref="P43:Q43"/>
    <mergeCell ref="J44:K44"/>
    <mergeCell ref="J48:K48"/>
    <mergeCell ref="L48:M48"/>
    <mergeCell ref="N48:O48"/>
    <mergeCell ref="P48:Q48"/>
    <mergeCell ref="J49:K49"/>
    <mergeCell ref="L49:M49"/>
    <mergeCell ref="N49:O49"/>
    <mergeCell ref="P49:Q49"/>
    <mergeCell ref="J46:K46"/>
    <mergeCell ref="L46:M46"/>
    <mergeCell ref="N46:O46"/>
    <mergeCell ref="P46:Q46"/>
    <mergeCell ref="J47:K47"/>
    <mergeCell ref="L47:M47"/>
    <mergeCell ref="E40:I40"/>
    <mergeCell ref="J40:K40"/>
    <mergeCell ref="L40:M40"/>
    <mergeCell ref="N40:O40"/>
    <mergeCell ref="P40:Q40"/>
    <mergeCell ref="A41:A50"/>
    <mergeCell ref="J41:K41"/>
    <mergeCell ref="L41:M41"/>
    <mergeCell ref="N41:O41"/>
    <mergeCell ref="P41:Q41"/>
    <mergeCell ref="L44:M44"/>
    <mergeCell ref="N44:O44"/>
    <mergeCell ref="P44:Q44"/>
    <mergeCell ref="J45:K45"/>
    <mergeCell ref="L45:M45"/>
    <mergeCell ref="N45:O45"/>
    <mergeCell ref="P45:Q45"/>
    <mergeCell ref="N47:O47"/>
    <mergeCell ref="P47:Q47"/>
    <mergeCell ref="E50:I50"/>
    <mergeCell ref="J50:K50"/>
    <mergeCell ref="L50:M50"/>
    <mergeCell ref="N50:O50"/>
    <mergeCell ref="P50:Q50"/>
    <mergeCell ref="J38:K38"/>
    <mergeCell ref="L38:M38"/>
    <mergeCell ref="N38:O38"/>
    <mergeCell ref="P38:Q38"/>
    <mergeCell ref="J39:K39"/>
    <mergeCell ref="L39:M39"/>
    <mergeCell ref="N39:O39"/>
    <mergeCell ref="P39:Q39"/>
    <mergeCell ref="J36:K36"/>
    <mergeCell ref="L36:M36"/>
    <mergeCell ref="N36:O36"/>
    <mergeCell ref="P36:Q36"/>
    <mergeCell ref="J37:K37"/>
    <mergeCell ref="L37:M37"/>
    <mergeCell ref="N37:O37"/>
    <mergeCell ref="P37:Q37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AC29:AE30"/>
    <mergeCell ref="J30:K30"/>
    <mergeCell ref="L30:M30"/>
    <mergeCell ref="N30:O30"/>
    <mergeCell ref="P30:Q30"/>
    <mergeCell ref="A31:A40"/>
    <mergeCell ref="J31:K31"/>
    <mergeCell ref="L31:M31"/>
    <mergeCell ref="N31:O31"/>
    <mergeCell ref="P31:Q31"/>
    <mergeCell ref="G29:G30"/>
    <mergeCell ref="H29:H30"/>
    <mergeCell ref="I29:I30"/>
    <mergeCell ref="J29:Q29"/>
    <mergeCell ref="Z29:AA30"/>
    <mergeCell ref="AB29:AB30"/>
    <mergeCell ref="L34:M34"/>
    <mergeCell ref="N34:O34"/>
    <mergeCell ref="P34:Q34"/>
    <mergeCell ref="J35:K35"/>
    <mergeCell ref="L35:M35"/>
    <mergeCell ref="N35:O35"/>
    <mergeCell ref="P35:Q35"/>
    <mergeCell ref="AC31:AE40"/>
    <mergeCell ref="AB27:AE27"/>
    <mergeCell ref="A28:AE28"/>
    <mergeCell ref="A29:A30"/>
    <mergeCell ref="B29:B30"/>
    <mergeCell ref="C29:C30"/>
    <mergeCell ref="D29:D30"/>
    <mergeCell ref="E29:E30"/>
    <mergeCell ref="F29:F30"/>
    <mergeCell ref="B21:I21"/>
    <mergeCell ref="E23:I23"/>
    <mergeCell ref="J23:K23"/>
    <mergeCell ref="L23:M23"/>
    <mergeCell ref="N23:O23"/>
    <mergeCell ref="P23:Q23"/>
    <mergeCell ref="A7:A21"/>
    <mergeCell ref="J7:K7"/>
    <mergeCell ref="L7:M7"/>
    <mergeCell ref="N7:O7"/>
    <mergeCell ref="P7:Q7"/>
    <mergeCell ref="AC7:AE21"/>
    <mergeCell ref="J8:K8"/>
    <mergeCell ref="L8:M8"/>
    <mergeCell ref="N8:O8"/>
    <mergeCell ref="P8:Q8"/>
    <mergeCell ref="J19:K19"/>
    <mergeCell ref="L19:M19"/>
    <mergeCell ref="N19:O19"/>
    <mergeCell ref="P19:Q19"/>
    <mergeCell ref="J20:K20"/>
    <mergeCell ref="L20:M20"/>
    <mergeCell ref="N20:O20"/>
    <mergeCell ref="P20:Q20"/>
    <mergeCell ref="J17:K17"/>
    <mergeCell ref="L17:M17"/>
    <mergeCell ref="N17:O17"/>
    <mergeCell ref="P17:Q17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9:K9"/>
    <mergeCell ref="L9:M9"/>
    <mergeCell ref="N9:O9"/>
    <mergeCell ref="P9:Q9"/>
    <mergeCell ref="J10:K10"/>
    <mergeCell ref="L10:M10"/>
    <mergeCell ref="N10:O10"/>
    <mergeCell ref="P10:Q10"/>
    <mergeCell ref="AB3:AE3"/>
    <mergeCell ref="A4:AE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Z5:AA6"/>
    <mergeCell ref="AB5:AB6"/>
    <mergeCell ref="AC5:AE6"/>
    <mergeCell ref="J6:K6"/>
    <mergeCell ref="L6:M6"/>
    <mergeCell ref="N6:O6"/>
    <mergeCell ref="P6:Q6"/>
    <mergeCell ref="R6:S6"/>
  </mergeCells>
  <pageMargins left="0.39370078740157483" right="0.19685039370078741" top="0.19685039370078741" bottom="0.19685039370078741" header="0.31496062992125984" footer="0.31496062992125984"/>
  <pageSetup paperSize="9" scale="57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W98"/>
  <sheetViews>
    <sheetView topLeftCell="A13" zoomScale="80" zoomScaleNormal="80" workbookViewId="0">
      <selection activeCell="J83" sqref="J83:K83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5.6640625" customWidth="1"/>
    <col min="6" max="6" width="5.6640625" customWidth="1"/>
    <col min="7" max="9" width="6.6640625" customWidth="1"/>
    <col min="10" max="10" width="5.6640625" style="8" customWidth="1"/>
    <col min="11" max="11" width="5.21875" style="8" customWidth="1"/>
    <col min="12" max="12" width="5.6640625" style="8" customWidth="1"/>
    <col min="13" max="13" width="5.21875" style="8" customWidth="1"/>
    <col min="14" max="14" width="5.6640625" style="8" customWidth="1"/>
    <col min="15" max="15" width="5.21875" style="8" customWidth="1"/>
    <col min="16" max="16" width="5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6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45915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38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10925</v>
      </c>
      <c r="E7" s="12" t="s">
        <v>41</v>
      </c>
      <c r="F7" s="17">
        <v>147</v>
      </c>
      <c r="G7" s="17">
        <v>430</v>
      </c>
      <c r="H7" s="18">
        <v>0.6</v>
      </c>
      <c r="I7" s="17">
        <v>35000</v>
      </c>
      <c r="J7" s="165"/>
      <c r="K7" s="166"/>
      <c r="L7" s="165"/>
      <c r="M7" s="166"/>
      <c r="N7" s="165"/>
      <c r="O7" s="166"/>
      <c r="P7" s="165">
        <v>5170</v>
      </c>
      <c r="Q7" s="166"/>
      <c r="R7" s="43">
        <v>30</v>
      </c>
      <c r="S7" s="14" t="s">
        <v>20</v>
      </c>
      <c r="T7" s="42" t="s">
        <v>39</v>
      </c>
      <c r="U7" s="202" t="s">
        <v>47</v>
      </c>
      <c r="V7" s="203"/>
      <c r="W7" s="204"/>
    </row>
    <row r="8" spans="1:23" x14ac:dyDescent="0.3">
      <c r="A8" s="181"/>
      <c r="B8" s="5"/>
      <c r="C8" s="5"/>
      <c r="D8" s="4" t="s">
        <v>42</v>
      </c>
      <c r="E8" s="12" t="s">
        <v>40</v>
      </c>
      <c r="F8" s="17">
        <v>402</v>
      </c>
      <c r="G8" s="17">
        <v>430</v>
      </c>
      <c r="H8" s="18">
        <v>0.6</v>
      </c>
      <c r="I8" s="17">
        <v>35000</v>
      </c>
      <c r="J8" s="165">
        <v>1184</v>
      </c>
      <c r="K8" s="166"/>
      <c r="L8" s="165"/>
      <c r="M8" s="166"/>
      <c r="N8" s="165"/>
      <c r="O8" s="166"/>
      <c r="P8" s="165"/>
      <c r="Q8" s="166"/>
      <c r="R8" s="43">
        <v>10</v>
      </c>
      <c r="S8" s="14" t="s">
        <v>20</v>
      </c>
      <c r="T8" s="42" t="s">
        <v>43</v>
      </c>
      <c r="U8" s="205"/>
      <c r="V8" s="206"/>
      <c r="W8" s="207"/>
    </row>
    <row r="9" spans="1:23" x14ac:dyDescent="0.3">
      <c r="A9" s="181"/>
      <c r="B9" s="5"/>
      <c r="C9" s="5"/>
      <c r="D9" s="4">
        <v>10925</v>
      </c>
      <c r="E9" s="12" t="s">
        <v>44</v>
      </c>
      <c r="F9" s="17">
        <v>360</v>
      </c>
      <c r="G9" s="17">
        <v>304</v>
      </c>
      <c r="H9" s="18">
        <v>0.9</v>
      </c>
      <c r="I9" s="17">
        <v>35000</v>
      </c>
      <c r="J9" s="165"/>
      <c r="K9" s="166"/>
      <c r="L9" s="165"/>
      <c r="M9" s="166"/>
      <c r="N9" s="165">
        <v>1600</v>
      </c>
      <c r="O9" s="166"/>
      <c r="P9" s="165"/>
      <c r="Q9" s="166"/>
      <c r="R9" s="43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42</v>
      </c>
      <c r="E10" s="12" t="s">
        <v>45</v>
      </c>
      <c r="F10" s="17">
        <v>252</v>
      </c>
      <c r="G10" s="17">
        <v>304</v>
      </c>
      <c r="H10" s="18">
        <v>0.9</v>
      </c>
      <c r="I10" s="17">
        <v>35000</v>
      </c>
      <c r="J10" s="165"/>
      <c r="K10" s="166"/>
      <c r="L10" s="165"/>
      <c r="M10" s="166"/>
      <c r="N10" s="165">
        <f>400+130</f>
        <v>530</v>
      </c>
      <c r="O10" s="166"/>
      <c r="P10" s="165"/>
      <c r="Q10" s="166"/>
      <c r="R10" s="43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>
        <v>0.70833333333333337</v>
      </c>
      <c r="D11" s="4">
        <v>10925</v>
      </c>
      <c r="E11" s="12" t="s">
        <v>46</v>
      </c>
      <c r="F11" s="17">
        <v>360</v>
      </c>
      <c r="G11" s="17">
        <v>304</v>
      </c>
      <c r="H11" s="18">
        <v>0.9</v>
      </c>
      <c r="I11" s="17">
        <v>35000</v>
      </c>
      <c r="J11" s="165"/>
      <c r="K11" s="166"/>
      <c r="L11" s="165"/>
      <c r="M11" s="166"/>
      <c r="N11" s="165">
        <v>520</v>
      </c>
      <c r="O11" s="166"/>
      <c r="P11" s="165"/>
      <c r="Q11" s="166"/>
      <c r="R11" s="43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/>
      <c r="E12" s="12"/>
      <c r="F12" s="17"/>
      <c r="G12" s="17"/>
      <c r="H12" s="18"/>
      <c r="I12" s="17"/>
      <c r="J12" s="165"/>
      <c r="K12" s="166"/>
      <c r="L12" s="165"/>
      <c r="M12" s="166"/>
      <c r="N12" s="165"/>
      <c r="O12" s="166"/>
      <c r="P12" s="165"/>
      <c r="Q12" s="166"/>
      <c r="R12" s="43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/>
      <c r="E13" s="12"/>
      <c r="F13" s="17"/>
      <c r="G13" s="17"/>
      <c r="H13" s="18"/>
      <c r="I13" s="17"/>
      <c r="J13" s="165"/>
      <c r="K13" s="166"/>
      <c r="L13" s="165"/>
      <c r="M13" s="166"/>
      <c r="N13" s="165"/>
      <c r="O13" s="166"/>
      <c r="P13" s="165"/>
      <c r="Q13" s="166"/>
      <c r="R13" s="43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/>
      <c r="E14" s="12"/>
      <c r="F14" s="17"/>
      <c r="G14" s="17"/>
      <c r="H14" s="18"/>
      <c r="I14" s="17"/>
      <c r="J14" s="165"/>
      <c r="K14" s="166"/>
      <c r="L14" s="165"/>
      <c r="M14" s="166"/>
      <c r="N14" s="165"/>
      <c r="O14" s="166"/>
      <c r="P14" s="165"/>
      <c r="Q14" s="166"/>
      <c r="R14" s="43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/>
      <c r="E15" s="12"/>
      <c r="F15" s="17"/>
      <c r="G15" s="17"/>
      <c r="H15" s="18"/>
      <c r="I15" s="17"/>
      <c r="J15" s="165"/>
      <c r="K15" s="166"/>
      <c r="L15" s="165"/>
      <c r="M15" s="166"/>
      <c r="N15" s="165"/>
      <c r="O15" s="166"/>
      <c r="P15" s="165"/>
      <c r="Q15" s="166"/>
      <c r="R15" s="43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43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43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43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43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43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1184</v>
      </c>
      <c r="K21" s="22" t="s">
        <v>17</v>
      </c>
      <c r="L21" s="21">
        <f>SUM(L7:M20)</f>
        <v>0</v>
      </c>
      <c r="M21" s="22" t="s">
        <v>17</v>
      </c>
      <c r="N21" s="21">
        <f>SUM(N7:O20)</f>
        <v>2650</v>
      </c>
      <c r="O21" s="22" t="s">
        <v>17</v>
      </c>
      <c r="P21" s="21">
        <f>SUM(P7:Q20)</f>
        <v>5170</v>
      </c>
      <c r="Q21" s="22" t="s">
        <v>17</v>
      </c>
      <c r="R21" s="23">
        <f>SUM(R7:R20)</f>
        <v>40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24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1184</v>
      </c>
      <c r="K24" s="31" t="s">
        <v>17</v>
      </c>
      <c r="L24" s="32">
        <f>L21</f>
        <v>0</v>
      </c>
      <c r="M24" s="31" t="s">
        <v>17</v>
      </c>
      <c r="N24" s="32">
        <f>N21</f>
        <v>2650</v>
      </c>
      <c r="O24" s="31" t="s">
        <v>17</v>
      </c>
      <c r="P24" s="33">
        <f>P21</f>
        <v>5170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9004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v>45915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16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>
        <v>0.66666666666666663</v>
      </c>
      <c r="D31" s="4">
        <v>210825</v>
      </c>
      <c r="E31" s="12" t="s">
        <v>48</v>
      </c>
      <c r="F31" s="40">
        <v>304</v>
      </c>
      <c r="G31" s="41">
        <v>0.8</v>
      </c>
      <c r="H31" s="40">
        <v>33</v>
      </c>
      <c r="I31" s="45" t="s">
        <v>49</v>
      </c>
      <c r="J31" s="165">
        <f>2520+105</f>
        <v>2625</v>
      </c>
      <c r="K31" s="166"/>
      <c r="L31" s="165"/>
      <c r="M31" s="166"/>
      <c r="N31" s="165"/>
      <c r="O31" s="166"/>
      <c r="P31" s="165"/>
      <c r="Q31" s="166"/>
      <c r="R31" s="43">
        <v>5</v>
      </c>
      <c r="S31" s="14" t="s">
        <v>20</v>
      </c>
      <c r="T31" s="42" t="s">
        <v>50</v>
      </c>
      <c r="U31" s="247" t="s">
        <v>51</v>
      </c>
      <c r="V31" s="248"/>
      <c r="W31" s="249"/>
    </row>
    <row r="32" spans="1:23" ht="14.55" customHeight="1" x14ac:dyDescent="0.3">
      <c r="A32" s="181"/>
      <c r="B32" s="5">
        <v>0.67013888888888884</v>
      </c>
      <c r="C32" s="5">
        <v>0.70833333333333337</v>
      </c>
      <c r="D32" s="4">
        <v>10925</v>
      </c>
      <c r="E32" s="13" t="s">
        <v>52</v>
      </c>
      <c r="F32" s="40">
        <v>430</v>
      </c>
      <c r="G32" s="41">
        <v>0.8</v>
      </c>
      <c r="H32" s="40">
        <v>310</v>
      </c>
      <c r="I32" s="4" t="s">
        <v>49</v>
      </c>
      <c r="J32" s="165"/>
      <c r="K32" s="166"/>
      <c r="L32" s="165"/>
      <c r="M32" s="166"/>
      <c r="N32" s="165">
        <v>200</v>
      </c>
      <c r="O32" s="166"/>
      <c r="P32" s="165"/>
      <c r="Q32" s="166"/>
      <c r="R32" s="43"/>
      <c r="S32" s="14" t="s">
        <v>20</v>
      </c>
      <c r="T32" s="42"/>
      <c r="U32" s="247"/>
      <c r="V32" s="248"/>
      <c r="W32" s="249"/>
    </row>
    <row r="33" spans="1:23" ht="14.55" customHeight="1" x14ac:dyDescent="0.3">
      <c r="A33" s="181"/>
      <c r="B33" s="5"/>
      <c r="C33" s="5"/>
      <c r="D33" s="4"/>
      <c r="E33" s="12"/>
      <c r="F33" s="40"/>
      <c r="G33" s="41"/>
      <c r="H33" s="40"/>
      <c r="I33" s="4"/>
      <c r="J33" s="165"/>
      <c r="K33" s="166"/>
      <c r="L33" s="165"/>
      <c r="M33" s="166"/>
      <c r="N33" s="165"/>
      <c r="O33" s="166"/>
      <c r="P33" s="165"/>
      <c r="Q33" s="166"/>
      <c r="R33" s="43"/>
      <c r="S33" s="14" t="s">
        <v>20</v>
      </c>
      <c r="T33" s="42"/>
      <c r="U33" s="247"/>
      <c r="V33" s="248"/>
      <c r="W33" s="249"/>
    </row>
    <row r="34" spans="1:23" ht="14.55" customHeight="1" x14ac:dyDescent="0.3">
      <c r="A34" s="181"/>
      <c r="B34" s="5"/>
      <c r="C34" s="5"/>
      <c r="D34" s="4"/>
      <c r="E34" s="13"/>
      <c r="F34" s="40"/>
      <c r="G34" s="41"/>
      <c r="H34" s="40"/>
      <c r="I34" s="4"/>
      <c r="J34" s="165"/>
      <c r="K34" s="166"/>
      <c r="L34" s="165"/>
      <c r="M34" s="166"/>
      <c r="N34" s="165"/>
      <c r="O34" s="166"/>
      <c r="P34" s="165"/>
      <c r="Q34" s="166"/>
      <c r="R34" s="43"/>
      <c r="S34" s="14" t="s">
        <v>20</v>
      </c>
      <c r="T34" s="42"/>
      <c r="U34" s="247"/>
      <c r="V34" s="248"/>
      <c r="W34" s="249"/>
    </row>
    <row r="35" spans="1:23" ht="14.55" customHeight="1" x14ac:dyDescent="0.3">
      <c r="A35" s="181"/>
      <c r="B35" s="5"/>
      <c r="C35" s="5"/>
      <c r="D35" s="4"/>
      <c r="E35" s="12"/>
      <c r="F35" s="40"/>
      <c r="G35" s="41"/>
      <c r="H35" s="40"/>
      <c r="I35" s="4"/>
      <c r="J35" s="165"/>
      <c r="K35" s="166"/>
      <c r="L35" s="165"/>
      <c r="M35" s="166"/>
      <c r="N35" s="165"/>
      <c r="O35" s="166"/>
      <c r="P35" s="165"/>
      <c r="Q35" s="166"/>
      <c r="R35" s="43"/>
      <c r="S35" s="14" t="s">
        <v>20</v>
      </c>
      <c r="T35" s="42"/>
      <c r="U35" s="247"/>
      <c r="V35" s="248"/>
      <c r="W35" s="249"/>
    </row>
    <row r="36" spans="1:23" ht="14.55" customHeight="1" x14ac:dyDescent="0.3">
      <c r="A36" s="181"/>
      <c r="B36" s="5"/>
      <c r="C36" s="5"/>
      <c r="D36" s="4"/>
      <c r="E36" s="13"/>
      <c r="F36" s="40"/>
      <c r="G36" s="41"/>
      <c r="H36" s="40"/>
      <c r="I36" s="4"/>
      <c r="J36" s="165"/>
      <c r="K36" s="166"/>
      <c r="L36" s="165"/>
      <c r="M36" s="166"/>
      <c r="N36" s="165"/>
      <c r="O36" s="166"/>
      <c r="P36" s="165"/>
      <c r="Q36" s="166"/>
      <c r="R36" s="43"/>
      <c r="S36" s="14" t="s">
        <v>20</v>
      </c>
      <c r="T36" s="42"/>
      <c r="U36" s="247"/>
      <c r="V36" s="248"/>
      <c r="W36" s="249"/>
    </row>
    <row r="37" spans="1:23" ht="14.55" customHeight="1" x14ac:dyDescent="0.3">
      <c r="A37" s="181"/>
      <c r="B37" s="5"/>
      <c r="C37" s="5"/>
      <c r="D37" s="4"/>
      <c r="E37" s="12"/>
      <c r="F37" s="40"/>
      <c r="G37" s="41"/>
      <c r="H37" s="40"/>
      <c r="I37" s="4"/>
      <c r="J37" s="165"/>
      <c r="K37" s="166"/>
      <c r="L37" s="165"/>
      <c r="M37" s="166"/>
      <c r="N37" s="165"/>
      <c r="O37" s="166"/>
      <c r="P37" s="165"/>
      <c r="Q37" s="166"/>
      <c r="R37" s="43"/>
      <c r="S37" s="14" t="s">
        <v>20</v>
      </c>
      <c r="T37" s="42"/>
      <c r="U37" s="247"/>
      <c r="V37" s="248"/>
      <c r="W37" s="249"/>
    </row>
    <row r="38" spans="1:23" ht="14.55" customHeight="1" x14ac:dyDescent="0.3">
      <c r="A38" s="181"/>
      <c r="B38" s="5"/>
      <c r="C38" s="5"/>
      <c r="D38" s="4"/>
      <c r="E38" s="12"/>
      <c r="F38" s="40"/>
      <c r="G38" s="41"/>
      <c r="H38" s="40"/>
      <c r="I38" s="4"/>
      <c r="J38" s="165"/>
      <c r="K38" s="166"/>
      <c r="L38" s="165"/>
      <c r="M38" s="166"/>
      <c r="N38" s="165"/>
      <c r="O38" s="166"/>
      <c r="P38" s="165"/>
      <c r="Q38" s="166"/>
      <c r="R38" s="43"/>
      <c r="S38" s="14" t="s">
        <v>20</v>
      </c>
      <c r="T38" s="42"/>
      <c r="U38" s="247"/>
      <c r="V38" s="248"/>
      <c r="W38" s="249"/>
    </row>
    <row r="39" spans="1:23" ht="14.55" customHeight="1" x14ac:dyDescent="0.3">
      <c r="A39" s="181"/>
      <c r="B39" s="5"/>
      <c r="C39" s="5"/>
      <c r="D39" s="4"/>
      <c r="E39" s="12"/>
      <c r="F39" s="40"/>
      <c r="G39" s="41"/>
      <c r="H39" s="40"/>
      <c r="I39" s="4"/>
      <c r="J39" s="165"/>
      <c r="K39" s="166"/>
      <c r="L39" s="165"/>
      <c r="M39" s="166"/>
      <c r="N39" s="165"/>
      <c r="O39" s="166"/>
      <c r="P39" s="165"/>
      <c r="Q39" s="166"/>
      <c r="R39" s="43"/>
      <c r="S39" s="14" t="s">
        <v>20</v>
      </c>
      <c r="T39" s="42"/>
      <c r="U39" s="247"/>
      <c r="V39" s="248"/>
      <c r="W39" s="249"/>
    </row>
    <row r="40" spans="1:23" ht="14.55" customHeight="1" x14ac:dyDescent="0.3">
      <c r="A40" s="182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SUM(J31:K39)</f>
        <v>2625</v>
      </c>
      <c r="K40" s="174"/>
      <c r="L40" s="173">
        <f>SUM(L31:M39)</f>
        <v>0</v>
      </c>
      <c r="M40" s="174"/>
      <c r="N40" s="173">
        <f>SUM(N31:O39)</f>
        <v>200</v>
      </c>
      <c r="O40" s="174"/>
      <c r="P40" s="173">
        <f>SUM(P31:Q39)</f>
        <v>0</v>
      </c>
      <c r="Q40" s="174"/>
      <c r="R40" s="23">
        <f>SUM(R31:R39)</f>
        <v>5</v>
      </c>
      <c r="S40" s="24" t="s">
        <v>20</v>
      </c>
      <c r="T40" s="19"/>
      <c r="U40" s="247"/>
      <c r="V40" s="248"/>
      <c r="W40" s="249"/>
    </row>
    <row r="41" spans="1:23" ht="14.55" customHeight="1" x14ac:dyDescent="0.3">
      <c r="A41" s="163" t="s">
        <v>34</v>
      </c>
      <c r="B41" s="5">
        <v>0.33333333333333331</v>
      </c>
      <c r="C41" s="5">
        <v>0.57291666666666663</v>
      </c>
      <c r="D41" s="4">
        <v>250066</v>
      </c>
      <c r="E41" s="12" t="s">
        <v>53</v>
      </c>
      <c r="F41" s="40">
        <v>430</v>
      </c>
      <c r="G41" s="41">
        <v>0.5</v>
      </c>
      <c r="H41" s="40">
        <v>22</v>
      </c>
      <c r="I41" s="4">
        <v>2</v>
      </c>
      <c r="J41" s="165">
        <v>1600</v>
      </c>
      <c r="K41" s="166"/>
      <c r="L41" s="165"/>
      <c r="M41" s="166"/>
      <c r="N41" s="165"/>
      <c r="O41" s="166"/>
      <c r="P41" s="165"/>
      <c r="Q41" s="166"/>
      <c r="R41" s="43"/>
      <c r="S41" s="14" t="s">
        <v>20</v>
      </c>
      <c r="T41" s="42"/>
      <c r="U41" s="247" t="s">
        <v>54</v>
      </c>
      <c r="V41" s="248"/>
      <c r="W41" s="249"/>
    </row>
    <row r="42" spans="1:23" ht="14.55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43"/>
      <c r="S42" s="14" t="s">
        <v>20</v>
      </c>
      <c r="T42" s="42"/>
      <c r="U42" s="247"/>
      <c r="V42" s="248"/>
      <c r="W42" s="249"/>
    </row>
    <row r="43" spans="1:23" ht="14.55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43"/>
      <c r="S43" s="14" t="s">
        <v>20</v>
      </c>
      <c r="T43" s="42"/>
      <c r="U43" s="247"/>
      <c r="V43" s="248"/>
      <c r="W43" s="24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43"/>
      <c r="S44" s="14" t="s">
        <v>20</v>
      </c>
      <c r="T44" s="42"/>
      <c r="U44" s="247"/>
      <c r="V44" s="248"/>
      <c r="W44" s="249"/>
    </row>
    <row r="45" spans="1:23" ht="14.55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43"/>
      <c r="S45" s="14" t="s">
        <v>20</v>
      </c>
      <c r="T45" s="42"/>
      <c r="U45" s="247"/>
      <c r="V45" s="248"/>
      <c r="W45" s="249"/>
    </row>
    <row r="46" spans="1:23" ht="14.55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43"/>
      <c r="S46" s="14" t="s">
        <v>20</v>
      </c>
      <c r="T46" s="42"/>
      <c r="U46" s="247"/>
      <c r="V46" s="248"/>
      <c r="W46" s="249"/>
    </row>
    <row r="47" spans="1:23" ht="14.55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43"/>
      <c r="S47" s="14" t="s">
        <v>20</v>
      </c>
      <c r="T47" s="42"/>
      <c r="U47" s="247"/>
      <c r="V47" s="248"/>
      <c r="W47" s="24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43"/>
      <c r="S48" s="14" t="s">
        <v>20</v>
      </c>
      <c r="T48" s="42"/>
      <c r="U48" s="247"/>
      <c r="V48" s="248"/>
      <c r="W48" s="249"/>
    </row>
    <row r="49" spans="1:23" ht="14.55" customHeight="1" x14ac:dyDescent="0.3">
      <c r="A49" s="163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43"/>
      <c r="S49" s="14" t="s">
        <v>20</v>
      </c>
      <c r="T49" s="42"/>
      <c r="U49" s="247"/>
      <c r="V49" s="248"/>
      <c r="W49" s="249"/>
    </row>
    <row r="50" spans="1:23" ht="14.55" customHeight="1" x14ac:dyDescent="0.3">
      <c r="A50" s="164"/>
      <c r="B50" s="19"/>
      <c r="C50" s="19"/>
      <c r="D50" s="20"/>
      <c r="E50" s="170" t="s">
        <v>0</v>
      </c>
      <c r="F50" s="171"/>
      <c r="G50" s="171"/>
      <c r="H50" s="171"/>
      <c r="I50" s="172"/>
      <c r="J50" s="173">
        <f>SUM(J41:K49)</f>
        <v>1600</v>
      </c>
      <c r="K50" s="174"/>
      <c r="L50" s="173">
        <f>SUM(L41:M49)</f>
        <v>0</v>
      </c>
      <c r="M50" s="174"/>
      <c r="N50" s="173">
        <f>SUM(N41:O49)</f>
        <v>0</v>
      </c>
      <c r="O50" s="174"/>
      <c r="P50" s="173">
        <f>SUM(P41:Q49)</f>
        <v>0</v>
      </c>
      <c r="Q50" s="174"/>
      <c r="R50" s="23">
        <f>SUM(R41:R49)</f>
        <v>0</v>
      </c>
      <c r="S50" s="24" t="s">
        <v>20</v>
      </c>
      <c r="T50" s="19"/>
      <c r="U50" s="247"/>
      <c r="V50" s="248"/>
      <c r="W50" s="249"/>
    </row>
    <row r="51" spans="1:23" ht="14.55" customHeight="1" x14ac:dyDescent="0.3">
      <c r="A51" s="163" t="s">
        <v>35</v>
      </c>
      <c r="B51" s="5">
        <v>0.33333333333333331</v>
      </c>
      <c r="C51" s="5">
        <v>0.70833333333333337</v>
      </c>
      <c r="D51" s="4">
        <v>10925</v>
      </c>
      <c r="E51" s="12" t="s">
        <v>55</v>
      </c>
      <c r="F51" s="40">
        <v>430</v>
      </c>
      <c r="G51" s="41">
        <v>0.8</v>
      </c>
      <c r="H51" s="40">
        <v>37</v>
      </c>
      <c r="I51" s="12"/>
      <c r="J51" s="165"/>
      <c r="K51" s="166"/>
      <c r="L51" s="165"/>
      <c r="M51" s="166"/>
      <c r="N51" s="165">
        <v>2000</v>
      </c>
      <c r="O51" s="166"/>
      <c r="P51" s="165"/>
      <c r="Q51" s="166"/>
      <c r="R51" s="43">
        <v>10</v>
      </c>
      <c r="S51" s="14" t="s">
        <v>20</v>
      </c>
      <c r="T51" s="42" t="s">
        <v>56</v>
      </c>
      <c r="U51" s="177"/>
      <c r="V51" s="178"/>
      <c r="W51" s="179"/>
    </row>
    <row r="52" spans="1:23" ht="14.55" customHeight="1" x14ac:dyDescent="0.3">
      <c r="A52" s="163"/>
      <c r="B52" s="5"/>
      <c r="C52" s="5"/>
      <c r="D52" s="4"/>
      <c r="E52" s="12"/>
      <c r="F52" s="40"/>
      <c r="G52" s="41"/>
      <c r="H52" s="40"/>
      <c r="I52" s="12"/>
      <c r="J52" s="165"/>
      <c r="K52" s="166"/>
      <c r="L52" s="165"/>
      <c r="M52" s="166"/>
      <c r="N52" s="165"/>
      <c r="O52" s="166"/>
      <c r="P52" s="165"/>
      <c r="Q52" s="166"/>
      <c r="R52" s="43">
        <v>5</v>
      </c>
      <c r="S52" s="14" t="s">
        <v>20</v>
      </c>
      <c r="T52" s="42" t="s">
        <v>57</v>
      </c>
      <c r="U52" s="177"/>
      <c r="V52" s="178"/>
      <c r="W52" s="179"/>
    </row>
    <row r="53" spans="1:23" ht="14.55" customHeight="1" x14ac:dyDescent="0.3">
      <c r="A53" s="163"/>
      <c r="B53" s="5"/>
      <c r="C53" s="5"/>
      <c r="D53" s="4"/>
      <c r="E53" s="12"/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43"/>
      <c r="S53" s="14" t="s">
        <v>20</v>
      </c>
      <c r="T53" s="42"/>
      <c r="U53" s="177"/>
      <c r="V53" s="178"/>
      <c r="W53" s="179"/>
    </row>
    <row r="54" spans="1:23" ht="14.55" customHeight="1" x14ac:dyDescent="0.3">
      <c r="A54" s="163"/>
      <c r="B54" s="5"/>
      <c r="C54" s="5"/>
      <c r="D54" s="4"/>
      <c r="E54" s="12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43"/>
      <c r="S54" s="14" t="s">
        <v>20</v>
      </c>
      <c r="T54" s="42"/>
      <c r="U54" s="177"/>
      <c r="V54" s="178"/>
      <c r="W54" s="179"/>
    </row>
    <row r="55" spans="1:23" ht="14.55" customHeight="1" x14ac:dyDescent="0.3">
      <c r="A55" s="163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43"/>
      <c r="S55" s="14" t="s">
        <v>20</v>
      </c>
      <c r="T55" s="42"/>
      <c r="U55" s="177"/>
      <c r="V55" s="178"/>
      <c r="W55" s="179"/>
    </row>
    <row r="56" spans="1:23" ht="14.55" customHeight="1" x14ac:dyDescent="0.3">
      <c r="A56" s="163"/>
      <c r="B56" s="5"/>
      <c r="C56" s="5"/>
      <c r="D56" s="4"/>
      <c r="E56" s="12"/>
      <c r="F56" s="40"/>
      <c r="G56" s="41"/>
      <c r="H56" s="40"/>
      <c r="I56" s="12"/>
      <c r="J56" s="165"/>
      <c r="K56" s="166"/>
      <c r="L56" s="165"/>
      <c r="M56" s="166"/>
      <c r="N56" s="165"/>
      <c r="O56" s="166"/>
      <c r="P56" s="165"/>
      <c r="Q56" s="166"/>
      <c r="R56" s="43"/>
      <c r="S56" s="14" t="s">
        <v>20</v>
      </c>
      <c r="T56" s="42"/>
      <c r="U56" s="177"/>
      <c r="V56" s="178"/>
      <c r="W56" s="179"/>
    </row>
    <row r="57" spans="1:23" ht="14.55" customHeight="1" x14ac:dyDescent="0.3">
      <c r="A57" s="163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43"/>
      <c r="S57" s="14" t="s">
        <v>20</v>
      </c>
      <c r="T57" s="42"/>
      <c r="U57" s="177"/>
      <c r="V57" s="178"/>
      <c r="W57" s="179"/>
    </row>
    <row r="58" spans="1:23" ht="14.55" customHeight="1" x14ac:dyDescent="0.3">
      <c r="A58" s="163"/>
      <c r="B58" s="5"/>
      <c r="C58" s="5"/>
      <c r="D58" s="4"/>
      <c r="E58" s="12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43"/>
      <c r="S58" s="14" t="s">
        <v>20</v>
      </c>
      <c r="T58" s="42"/>
      <c r="U58" s="177"/>
      <c r="V58" s="178"/>
      <c r="W58" s="179"/>
    </row>
    <row r="59" spans="1:23" ht="14.55" customHeight="1" x14ac:dyDescent="0.3">
      <c r="A59" s="163"/>
      <c r="B59" s="5"/>
      <c r="C59" s="5"/>
      <c r="D59" s="4"/>
      <c r="E59" s="12"/>
      <c r="F59" s="40"/>
      <c r="G59" s="41"/>
      <c r="H59" s="40"/>
      <c r="I59" s="12"/>
      <c r="J59" s="165"/>
      <c r="K59" s="166"/>
      <c r="L59" s="165"/>
      <c r="M59" s="166"/>
      <c r="N59" s="165"/>
      <c r="O59" s="166"/>
      <c r="P59" s="165"/>
      <c r="Q59" s="166"/>
      <c r="R59" s="43"/>
      <c r="S59" s="14" t="s">
        <v>20</v>
      </c>
      <c r="T59" s="42"/>
      <c r="U59" s="177"/>
      <c r="V59" s="178"/>
      <c r="W59" s="179"/>
    </row>
    <row r="60" spans="1:23" ht="14.55" customHeight="1" x14ac:dyDescent="0.3">
      <c r="A60" s="164"/>
      <c r="B60" s="19"/>
      <c r="C60" s="19"/>
      <c r="D60" s="20"/>
      <c r="E60" s="170" t="s">
        <v>0</v>
      </c>
      <c r="F60" s="171"/>
      <c r="G60" s="171"/>
      <c r="H60" s="171"/>
      <c r="I60" s="172"/>
      <c r="J60" s="173">
        <f>SUM(J51:K59)</f>
        <v>0</v>
      </c>
      <c r="K60" s="174"/>
      <c r="L60" s="173">
        <f>SUM(L51:M59)</f>
        <v>0</v>
      </c>
      <c r="M60" s="174"/>
      <c r="N60" s="173">
        <f>SUM(N51:O59)</f>
        <v>2000</v>
      </c>
      <c r="O60" s="174"/>
      <c r="P60" s="173">
        <f>SUM(P51:Q59)</f>
        <v>0</v>
      </c>
      <c r="Q60" s="174"/>
      <c r="R60" s="23">
        <f>SUM(R51:R59)</f>
        <v>15</v>
      </c>
      <c r="S60" s="24" t="s">
        <v>20</v>
      </c>
      <c r="T60" s="19"/>
      <c r="U60" s="177"/>
      <c r="V60" s="178"/>
      <c r="W60" s="179"/>
    </row>
    <row r="61" spans="1:23" ht="14.55" customHeight="1" x14ac:dyDescent="0.3">
      <c r="A61" s="27"/>
      <c r="B61" s="27"/>
      <c r="C61" s="27"/>
      <c r="D61" s="27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27"/>
      <c r="S61" s="27"/>
      <c r="T61" s="39"/>
      <c r="U61" s="39"/>
      <c r="V61" s="39"/>
      <c r="W61" s="39"/>
    </row>
    <row r="62" spans="1:23" x14ac:dyDescent="0.3">
      <c r="E62" s="170" t="s">
        <v>31</v>
      </c>
      <c r="F62" s="171"/>
      <c r="G62" s="171"/>
      <c r="H62" s="171"/>
      <c r="I62" s="172"/>
      <c r="J62" s="175" t="s">
        <v>7</v>
      </c>
      <c r="K62" s="176"/>
      <c r="L62" s="175" t="s">
        <v>8</v>
      </c>
      <c r="M62" s="176"/>
      <c r="N62" s="175" t="s">
        <v>9</v>
      </c>
      <c r="O62" s="176"/>
      <c r="P62" s="175" t="s">
        <v>16</v>
      </c>
      <c r="Q62" s="176"/>
    </row>
    <row r="63" spans="1:23" s="2" customFormat="1" x14ac:dyDescent="0.3">
      <c r="E63" s="15"/>
      <c r="F63" s="15"/>
      <c r="G63" s="15"/>
      <c r="H63" s="15"/>
      <c r="I63" s="15"/>
      <c r="J63" s="30">
        <f>J40+J50+J60</f>
        <v>4225</v>
      </c>
      <c r="K63" s="31" t="s">
        <v>17</v>
      </c>
      <c r="L63" s="30">
        <f>L40+L50+L60</f>
        <v>0</v>
      </c>
      <c r="M63" s="31" t="s">
        <v>17</v>
      </c>
      <c r="N63" s="30">
        <f>N40+N50+N60</f>
        <v>2200</v>
      </c>
      <c r="O63" s="31" t="s">
        <v>17</v>
      </c>
      <c r="P63" s="30">
        <f>P40+P50+P60</f>
        <v>0</v>
      </c>
      <c r="Q63" s="34" t="s">
        <v>17</v>
      </c>
    </row>
    <row r="64" spans="1:23" ht="24.45" customHeight="1" x14ac:dyDescent="0.3">
      <c r="E64" s="28"/>
      <c r="F64" s="28"/>
      <c r="G64" s="28"/>
      <c r="H64" s="28"/>
      <c r="I64" s="28"/>
      <c r="J64" s="167">
        <f>J63+L63+N63+P63</f>
        <v>6425</v>
      </c>
      <c r="K64" s="168"/>
      <c r="L64" s="168"/>
      <c r="M64" s="168"/>
      <c r="N64" s="168"/>
      <c r="O64" s="168"/>
      <c r="P64" s="168"/>
      <c r="Q64" s="169"/>
    </row>
    <row r="65" spans="1:23" ht="30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 spans="1:23" s="37" customFormat="1" ht="19.95" customHeight="1" x14ac:dyDescent="0.4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214" t="s">
        <v>14</v>
      </c>
      <c r="R66" s="215"/>
      <c r="S66" s="216"/>
      <c r="T66" s="184">
        <v>45915</v>
      </c>
      <c r="U66" s="185"/>
      <c r="V66" s="185"/>
      <c r="W66" s="186"/>
    </row>
    <row r="67" spans="1:23" s="16" customFormat="1" ht="30" customHeight="1" x14ac:dyDescent="0.3">
      <c r="A67" s="187" t="s">
        <v>26</v>
      </c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9"/>
      <c r="Q67" s="189"/>
      <c r="R67" s="189"/>
      <c r="S67" s="189"/>
      <c r="T67" s="188"/>
      <c r="U67" s="188"/>
      <c r="V67" s="188"/>
      <c r="W67" s="190"/>
    </row>
    <row r="68" spans="1:23" s="26" customFormat="1" ht="13.8" x14ac:dyDescent="0.3">
      <c r="A68" s="191" t="s">
        <v>1</v>
      </c>
      <c r="B68" s="192" t="s">
        <v>2</v>
      </c>
      <c r="C68" s="192" t="s">
        <v>3</v>
      </c>
      <c r="D68" s="192" t="s">
        <v>4</v>
      </c>
      <c r="E68" s="193" t="s">
        <v>5</v>
      </c>
      <c r="F68" s="197"/>
      <c r="G68" s="197"/>
      <c r="H68" s="197"/>
      <c r="I68" s="198"/>
      <c r="J68" s="193" t="s">
        <v>6</v>
      </c>
      <c r="K68" s="197"/>
      <c r="L68" s="197"/>
      <c r="M68" s="197"/>
      <c r="N68" s="197"/>
      <c r="O68" s="197"/>
      <c r="P68" s="197"/>
      <c r="Q68" s="198"/>
      <c r="R68" s="193" t="s">
        <v>10</v>
      </c>
      <c r="S68" s="198"/>
      <c r="T68" s="191" t="s">
        <v>11</v>
      </c>
      <c r="U68" s="191" t="s">
        <v>12</v>
      </c>
      <c r="V68" s="191"/>
      <c r="W68" s="191"/>
    </row>
    <row r="69" spans="1:23" s="26" customFormat="1" ht="13.8" x14ac:dyDescent="0.3">
      <c r="A69" s="191"/>
      <c r="B69" s="192"/>
      <c r="C69" s="192"/>
      <c r="D69" s="192"/>
      <c r="E69" s="194"/>
      <c r="F69" s="217"/>
      <c r="G69" s="217"/>
      <c r="H69" s="217"/>
      <c r="I69" s="199"/>
      <c r="J69" s="200" t="s">
        <v>7</v>
      </c>
      <c r="K69" s="201"/>
      <c r="L69" s="200" t="s">
        <v>8</v>
      </c>
      <c r="M69" s="201"/>
      <c r="N69" s="200" t="s">
        <v>9</v>
      </c>
      <c r="O69" s="201"/>
      <c r="P69" s="200" t="s">
        <v>16</v>
      </c>
      <c r="Q69" s="201"/>
      <c r="R69" s="194"/>
      <c r="S69" s="199"/>
      <c r="T69" s="191"/>
      <c r="U69" s="191"/>
      <c r="V69" s="191"/>
      <c r="W69" s="191"/>
    </row>
    <row r="70" spans="1:23" x14ac:dyDescent="0.3">
      <c r="A70" s="180" t="s">
        <v>58</v>
      </c>
      <c r="B70" s="5">
        <v>0.33333333333333331</v>
      </c>
      <c r="C70" s="5"/>
      <c r="D70" s="4">
        <v>250063</v>
      </c>
      <c r="E70" s="211" t="s">
        <v>59</v>
      </c>
      <c r="F70" s="212"/>
      <c r="G70" s="212"/>
      <c r="H70" s="212"/>
      <c r="I70" s="213"/>
      <c r="J70" s="165">
        <v>445</v>
      </c>
      <c r="K70" s="166"/>
      <c r="L70" s="165"/>
      <c r="M70" s="166"/>
      <c r="N70" s="165"/>
      <c r="O70" s="166"/>
      <c r="P70" s="165"/>
      <c r="Q70" s="166"/>
      <c r="R70" s="44">
        <v>15</v>
      </c>
      <c r="S70" s="6" t="s">
        <v>20</v>
      </c>
      <c r="T70" s="3" t="s">
        <v>60</v>
      </c>
      <c r="U70" s="202"/>
      <c r="V70" s="203"/>
      <c r="W70" s="204"/>
    </row>
    <row r="71" spans="1:23" x14ac:dyDescent="0.3">
      <c r="A71" s="163"/>
      <c r="B71" s="5"/>
      <c r="C71" s="5"/>
      <c r="D71" s="4">
        <v>250064</v>
      </c>
      <c r="E71" s="211" t="s">
        <v>61</v>
      </c>
      <c r="F71" s="212"/>
      <c r="G71" s="212"/>
      <c r="H71" s="212"/>
      <c r="I71" s="213"/>
      <c r="J71" s="165">
        <v>1000</v>
      </c>
      <c r="K71" s="166"/>
      <c r="L71" s="165"/>
      <c r="M71" s="166"/>
      <c r="N71" s="165"/>
      <c r="O71" s="166"/>
      <c r="P71" s="165"/>
      <c r="Q71" s="166"/>
      <c r="R71" s="44">
        <v>15</v>
      </c>
      <c r="S71" s="6" t="s">
        <v>20</v>
      </c>
      <c r="T71" s="3" t="s">
        <v>60</v>
      </c>
      <c r="U71" s="205"/>
      <c r="V71" s="206"/>
      <c r="W71" s="207"/>
    </row>
    <row r="72" spans="1:23" x14ac:dyDescent="0.3">
      <c r="A72" s="163"/>
      <c r="B72" s="5"/>
      <c r="C72" s="5">
        <v>0.58333333333333337</v>
      </c>
      <c r="D72" s="4">
        <v>250062</v>
      </c>
      <c r="E72" s="211" t="s">
        <v>62</v>
      </c>
      <c r="F72" s="212"/>
      <c r="G72" s="212"/>
      <c r="H72" s="212"/>
      <c r="I72" s="213"/>
      <c r="J72" s="165">
        <v>300</v>
      </c>
      <c r="K72" s="166"/>
      <c r="L72" s="165"/>
      <c r="M72" s="166"/>
      <c r="N72" s="165"/>
      <c r="O72" s="166"/>
      <c r="P72" s="165"/>
      <c r="Q72" s="166"/>
      <c r="R72" s="44">
        <v>30</v>
      </c>
      <c r="S72" s="6" t="s">
        <v>20</v>
      </c>
      <c r="T72" s="3" t="s">
        <v>63</v>
      </c>
      <c r="U72" s="205"/>
      <c r="V72" s="206"/>
      <c r="W72" s="207"/>
    </row>
    <row r="73" spans="1:23" x14ac:dyDescent="0.3">
      <c r="A73" s="163"/>
      <c r="B73" s="5">
        <v>0.60416666666666663</v>
      </c>
      <c r="C73" s="5"/>
      <c r="D73" s="4">
        <v>250062</v>
      </c>
      <c r="E73" s="211" t="s">
        <v>64</v>
      </c>
      <c r="F73" s="212"/>
      <c r="G73" s="212"/>
      <c r="H73" s="212"/>
      <c r="I73" s="213"/>
      <c r="J73" s="165">
        <v>307</v>
      </c>
      <c r="K73" s="166"/>
      <c r="L73" s="165"/>
      <c r="M73" s="166"/>
      <c r="N73" s="165"/>
      <c r="O73" s="166"/>
      <c r="P73" s="165"/>
      <c r="Q73" s="166"/>
      <c r="R73" s="43">
        <v>30</v>
      </c>
      <c r="S73" s="6" t="s">
        <v>20</v>
      </c>
      <c r="T73" s="3" t="s">
        <v>63</v>
      </c>
      <c r="U73" s="205"/>
      <c r="V73" s="206"/>
      <c r="W73" s="207"/>
    </row>
    <row r="74" spans="1:23" x14ac:dyDescent="0.3">
      <c r="A74" s="163"/>
      <c r="B74" s="5"/>
      <c r="C74" s="5"/>
      <c r="D74" s="4">
        <v>250062</v>
      </c>
      <c r="E74" s="211" t="s">
        <v>65</v>
      </c>
      <c r="F74" s="212"/>
      <c r="G74" s="212"/>
      <c r="H74" s="212"/>
      <c r="I74" s="213"/>
      <c r="J74" s="165">
        <v>307</v>
      </c>
      <c r="K74" s="166"/>
      <c r="L74" s="165"/>
      <c r="M74" s="166"/>
      <c r="N74" s="165"/>
      <c r="O74" s="166"/>
      <c r="P74" s="165"/>
      <c r="Q74" s="166"/>
      <c r="R74" s="44">
        <v>30</v>
      </c>
      <c r="S74" s="6" t="s">
        <v>20</v>
      </c>
      <c r="T74" s="3" t="s">
        <v>63</v>
      </c>
      <c r="U74" s="205"/>
      <c r="V74" s="206"/>
      <c r="W74" s="207"/>
    </row>
    <row r="75" spans="1:23" x14ac:dyDescent="0.3">
      <c r="A75" s="163"/>
      <c r="B75" s="5"/>
      <c r="C75" s="5"/>
      <c r="D75" s="4">
        <v>250062</v>
      </c>
      <c r="E75" s="211" t="s">
        <v>66</v>
      </c>
      <c r="F75" s="212"/>
      <c r="G75" s="212"/>
      <c r="H75" s="212"/>
      <c r="I75" s="213"/>
      <c r="J75" s="165">
        <v>305</v>
      </c>
      <c r="K75" s="166"/>
      <c r="L75" s="165"/>
      <c r="M75" s="166"/>
      <c r="N75" s="165"/>
      <c r="O75" s="166"/>
      <c r="P75" s="165"/>
      <c r="Q75" s="166"/>
      <c r="R75" s="44">
        <v>30</v>
      </c>
      <c r="S75" s="6" t="s">
        <v>20</v>
      </c>
      <c r="T75" s="3" t="s">
        <v>63</v>
      </c>
      <c r="U75" s="205"/>
      <c r="V75" s="206"/>
      <c r="W75" s="207"/>
    </row>
    <row r="76" spans="1:23" x14ac:dyDescent="0.3">
      <c r="A76" s="163"/>
      <c r="B76" s="5"/>
      <c r="C76" s="5"/>
      <c r="D76" s="4">
        <v>250062</v>
      </c>
      <c r="E76" s="211" t="s">
        <v>67</v>
      </c>
      <c r="F76" s="212"/>
      <c r="G76" s="212"/>
      <c r="H76" s="212"/>
      <c r="I76" s="213"/>
      <c r="J76" s="165">
        <v>90</v>
      </c>
      <c r="K76" s="166"/>
      <c r="L76" s="165"/>
      <c r="M76" s="166"/>
      <c r="N76" s="165"/>
      <c r="O76" s="166"/>
      <c r="P76" s="165"/>
      <c r="Q76" s="166"/>
      <c r="R76" s="44"/>
      <c r="S76" s="6" t="s">
        <v>20</v>
      </c>
      <c r="T76" s="3"/>
      <c r="U76" s="205"/>
      <c r="V76" s="206"/>
      <c r="W76" s="207"/>
    </row>
    <row r="77" spans="1:23" x14ac:dyDescent="0.3">
      <c r="A77" s="164"/>
      <c r="B77" s="19"/>
      <c r="C77" s="19"/>
      <c r="D77" s="20"/>
      <c r="E77" s="170" t="s">
        <v>0</v>
      </c>
      <c r="F77" s="171"/>
      <c r="G77" s="171"/>
      <c r="H77" s="171"/>
      <c r="I77" s="172"/>
      <c r="J77" s="173">
        <f>SUM(J70:J76)</f>
        <v>2754</v>
      </c>
      <c r="K77" s="174"/>
      <c r="L77" s="173">
        <f>SUM(L70:L76)</f>
        <v>0</v>
      </c>
      <c r="M77" s="174"/>
      <c r="N77" s="173">
        <f>SUM(N70:N76)</f>
        <v>0</v>
      </c>
      <c r="O77" s="174"/>
      <c r="P77" s="173">
        <f>SUM(P70:P76)</f>
        <v>0</v>
      </c>
      <c r="Q77" s="174"/>
      <c r="R77" s="23">
        <f>SUM(R70:R76)</f>
        <v>150</v>
      </c>
      <c r="S77" s="24" t="s">
        <v>20</v>
      </c>
      <c r="T77" s="19"/>
      <c r="U77" s="208"/>
      <c r="V77" s="209"/>
      <c r="W77" s="210"/>
    </row>
    <row r="78" spans="1:23" x14ac:dyDescent="0.3">
      <c r="A78" s="180" t="s">
        <v>68</v>
      </c>
      <c r="B78" s="5">
        <v>0.39930555555555558</v>
      </c>
      <c r="C78" s="5"/>
      <c r="D78" s="4">
        <v>250074</v>
      </c>
      <c r="E78" s="211" t="s">
        <v>69</v>
      </c>
      <c r="F78" s="212"/>
      <c r="G78" s="212"/>
      <c r="H78" s="212"/>
      <c r="I78" s="213"/>
      <c r="J78" s="165"/>
      <c r="K78" s="166"/>
      <c r="L78" s="165"/>
      <c r="M78" s="166"/>
      <c r="N78" s="165">
        <v>779</v>
      </c>
      <c r="O78" s="166"/>
      <c r="P78" s="165"/>
      <c r="Q78" s="166"/>
      <c r="R78" s="43"/>
      <c r="S78" s="6" t="s">
        <v>20</v>
      </c>
      <c r="T78" s="3"/>
      <c r="U78" s="202" t="s">
        <v>74</v>
      </c>
      <c r="V78" s="203"/>
      <c r="W78" s="204"/>
    </row>
    <row r="79" spans="1:23" x14ac:dyDescent="0.3">
      <c r="A79" s="163"/>
      <c r="B79" s="5"/>
      <c r="C79" s="5"/>
      <c r="D79" s="4">
        <v>250074</v>
      </c>
      <c r="E79" s="211" t="s">
        <v>70</v>
      </c>
      <c r="F79" s="212"/>
      <c r="G79" s="212"/>
      <c r="H79" s="212"/>
      <c r="I79" s="213"/>
      <c r="J79" s="165"/>
      <c r="K79" s="166"/>
      <c r="L79" s="165"/>
      <c r="M79" s="166"/>
      <c r="N79" s="165">
        <v>790</v>
      </c>
      <c r="O79" s="166"/>
      <c r="P79" s="165"/>
      <c r="Q79" s="166"/>
      <c r="R79" s="43"/>
      <c r="S79" s="6" t="s">
        <v>20</v>
      </c>
      <c r="T79" s="3"/>
      <c r="U79" s="205"/>
      <c r="V79" s="206"/>
      <c r="W79" s="207"/>
    </row>
    <row r="80" spans="1:23" x14ac:dyDescent="0.3">
      <c r="A80" s="163"/>
      <c r="B80" s="5"/>
      <c r="C80" s="5"/>
      <c r="D80" s="4">
        <v>225065</v>
      </c>
      <c r="E80" s="211" t="s">
        <v>71</v>
      </c>
      <c r="F80" s="212"/>
      <c r="G80" s="212"/>
      <c r="H80" s="212"/>
      <c r="I80" s="213"/>
      <c r="J80" s="165">
        <v>1505</v>
      </c>
      <c r="K80" s="166"/>
      <c r="L80" s="165"/>
      <c r="M80" s="166"/>
      <c r="N80" s="165"/>
      <c r="O80" s="166"/>
      <c r="P80" s="165"/>
      <c r="Q80" s="166"/>
      <c r="R80" s="43">
        <v>30</v>
      </c>
      <c r="S80" s="6" t="s">
        <v>20</v>
      </c>
      <c r="T80" s="3" t="s">
        <v>63</v>
      </c>
      <c r="U80" s="205"/>
      <c r="V80" s="206"/>
      <c r="W80" s="207"/>
    </row>
    <row r="81" spans="1:23" x14ac:dyDescent="0.3">
      <c r="A81" s="163"/>
      <c r="B81" s="5"/>
      <c r="C81" s="5">
        <v>0.70833333333333337</v>
      </c>
      <c r="D81" s="4">
        <v>225066</v>
      </c>
      <c r="E81" s="211" t="s">
        <v>72</v>
      </c>
      <c r="F81" s="212"/>
      <c r="G81" s="212"/>
      <c r="H81" s="212"/>
      <c r="I81" s="213"/>
      <c r="J81" s="165">
        <v>841</v>
      </c>
      <c r="K81" s="166"/>
      <c r="L81" s="165"/>
      <c r="M81" s="166"/>
      <c r="N81" s="165"/>
      <c r="O81" s="166"/>
      <c r="P81" s="165"/>
      <c r="Q81" s="166"/>
      <c r="R81" s="44">
        <v>15</v>
      </c>
      <c r="S81" s="6" t="s">
        <v>20</v>
      </c>
      <c r="T81" s="3" t="s">
        <v>60</v>
      </c>
      <c r="U81" s="205"/>
      <c r="V81" s="206"/>
      <c r="W81" s="207"/>
    </row>
    <row r="82" spans="1:23" x14ac:dyDescent="0.3">
      <c r="A82" s="164"/>
      <c r="B82" s="19"/>
      <c r="C82" s="19"/>
      <c r="D82" s="20"/>
      <c r="E82" s="170" t="s">
        <v>0</v>
      </c>
      <c r="F82" s="171"/>
      <c r="G82" s="171"/>
      <c r="H82" s="171"/>
      <c r="I82" s="172"/>
      <c r="J82" s="173">
        <f>SUM(J78:K81)</f>
        <v>2346</v>
      </c>
      <c r="K82" s="174"/>
      <c r="L82" s="173">
        <f>SUM(L78:L80)</f>
        <v>0</v>
      </c>
      <c r="M82" s="174"/>
      <c r="N82" s="173">
        <f>SUM(N78:N80)</f>
        <v>1569</v>
      </c>
      <c r="O82" s="174"/>
      <c r="P82" s="173">
        <f>SUM(P73:P80)</f>
        <v>0</v>
      </c>
      <c r="Q82" s="174"/>
      <c r="R82" s="23">
        <f>SUM(R78:R80)</f>
        <v>30</v>
      </c>
      <c r="S82" s="24" t="s">
        <v>20</v>
      </c>
      <c r="T82" s="7"/>
      <c r="U82" s="208"/>
      <c r="V82" s="209"/>
      <c r="W82" s="210"/>
    </row>
    <row r="83" spans="1:23" x14ac:dyDescent="0.3">
      <c r="A83" s="180" t="s">
        <v>37</v>
      </c>
      <c r="B83" s="5"/>
      <c r="C83" s="5"/>
      <c r="D83" s="4"/>
      <c r="E83" s="211"/>
      <c r="F83" s="212"/>
      <c r="G83" s="212"/>
      <c r="H83" s="212"/>
      <c r="I83" s="213"/>
      <c r="J83" s="165"/>
      <c r="K83" s="166"/>
      <c r="L83" s="165"/>
      <c r="M83" s="166"/>
      <c r="N83" s="165"/>
      <c r="O83" s="166"/>
      <c r="P83" s="165"/>
      <c r="Q83" s="166"/>
      <c r="R83" s="43"/>
      <c r="S83" s="6" t="s">
        <v>20</v>
      </c>
      <c r="T83" s="3"/>
      <c r="U83" s="202" t="s">
        <v>73</v>
      </c>
      <c r="V83" s="203"/>
      <c r="W83" s="204"/>
    </row>
    <row r="84" spans="1:23" x14ac:dyDescent="0.3">
      <c r="A84" s="163"/>
      <c r="B84" s="5"/>
      <c r="C84" s="5"/>
      <c r="D84" s="4"/>
      <c r="E84" s="211"/>
      <c r="F84" s="212"/>
      <c r="G84" s="212"/>
      <c r="H84" s="212"/>
      <c r="I84" s="213"/>
      <c r="J84" s="165"/>
      <c r="K84" s="166"/>
      <c r="L84" s="165"/>
      <c r="M84" s="166"/>
      <c r="N84" s="165"/>
      <c r="O84" s="166"/>
      <c r="P84" s="165"/>
      <c r="Q84" s="166"/>
      <c r="R84" s="43"/>
      <c r="S84" s="6" t="s">
        <v>20</v>
      </c>
      <c r="T84" s="3"/>
      <c r="U84" s="205"/>
      <c r="V84" s="206"/>
      <c r="W84" s="207"/>
    </row>
    <row r="85" spans="1:23" x14ac:dyDescent="0.3">
      <c r="A85" s="163"/>
      <c r="B85" s="5"/>
      <c r="C85" s="5"/>
      <c r="D85" s="4"/>
      <c r="E85" s="211"/>
      <c r="F85" s="212"/>
      <c r="G85" s="212"/>
      <c r="H85" s="212"/>
      <c r="I85" s="213"/>
      <c r="J85" s="165"/>
      <c r="K85" s="166"/>
      <c r="L85" s="165"/>
      <c r="M85" s="166"/>
      <c r="N85" s="165"/>
      <c r="O85" s="166"/>
      <c r="P85" s="165"/>
      <c r="Q85" s="166"/>
      <c r="R85" s="43"/>
      <c r="S85" s="6" t="s">
        <v>20</v>
      </c>
      <c r="T85" s="3"/>
      <c r="U85" s="205"/>
      <c r="V85" s="206"/>
      <c r="W85" s="207"/>
    </row>
    <row r="86" spans="1:23" x14ac:dyDescent="0.3">
      <c r="A86" s="163"/>
      <c r="B86" s="5"/>
      <c r="C86" s="5"/>
      <c r="D86" s="4"/>
      <c r="E86" s="211"/>
      <c r="F86" s="212"/>
      <c r="G86" s="212"/>
      <c r="H86" s="212"/>
      <c r="I86" s="213"/>
      <c r="J86" s="165"/>
      <c r="K86" s="166"/>
      <c r="L86" s="165"/>
      <c r="M86" s="166"/>
      <c r="N86" s="165"/>
      <c r="O86" s="166"/>
      <c r="P86" s="165"/>
      <c r="Q86" s="166"/>
      <c r="R86" s="43"/>
      <c r="S86" s="6" t="s">
        <v>20</v>
      </c>
      <c r="T86" s="3"/>
      <c r="U86" s="205"/>
      <c r="V86" s="206"/>
      <c r="W86" s="207"/>
    </row>
    <row r="87" spans="1:23" x14ac:dyDescent="0.3">
      <c r="A87" s="163"/>
      <c r="B87" s="5"/>
      <c r="C87" s="5"/>
      <c r="D87" s="4"/>
      <c r="E87" s="211"/>
      <c r="F87" s="212"/>
      <c r="G87" s="212"/>
      <c r="H87" s="212"/>
      <c r="I87" s="213"/>
      <c r="J87" s="165"/>
      <c r="K87" s="166"/>
      <c r="L87" s="165"/>
      <c r="M87" s="166"/>
      <c r="N87" s="165"/>
      <c r="O87" s="166"/>
      <c r="P87" s="165"/>
      <c r="Q87" s="166"/>
      <c r="R87" s="43"/>
      <c r="S87" s="6" t="s">
        <v>20</v>
      </c>
      <c r="T87" s="3"/>
      <c r="U87" s="205"/>
      <c r="V87" s="206"/>
      <c r="W87" s="207"/>
    </row>
    <row r="88" spans="1:23" x14ac:dyDescent="0.3">
      <c r="A88" s="163"/>
      <c r="B88" s="5"/>
      <c r="C88" s="5"/>
      <c r="D88" s="4"/>
      <c r="E88" s="211"/>
      <c r="F88" s="212"/>
      <c r="G88" s="212"/>
      <c r="H88" s="212"/>
      <c r="I88" s="213"/>
      <c r="J88" s="165"/>
      <c r="K88" s="166"/>
      <c r="L88" s="165"/>
      <c r="M88" s="166"/>
      <c r="N88" s="165"/>
      <c r="O88" s="166"/>
      <c r="P88" s="165"/>
      <c r="Q88" s="166"/>
      <c r="R88" s="43"/>
      <c r="S88" s="6" t="s">
        <v>20</v>
      </c>
      <c r="T88" s="3"/>
      <c r="U88" s="205"/>
      <c r="V88" s="206"/>
      <c r="W88" s="207"/>
    </row>
    <row r="89" spans="1:23" x14ac:dyDescent="0.3">
      <c r="A89" s="163"/>
      <c r="B89" s="5"/>
      <c r="C89" s="5"/>
      <c r="D89" s="4"/>
      <c r="E89" s="211"/>
      <c r="F89" s="212"/>
      <c r="G89" s="212"/>
      <c r="H89" s="212"/>
      <c r="I89" s="213"/>
      <c r="J89" s="165"/>
      <c r="K89" s="166"/>
      <c r="L89" s="165"/>
      <c r="M89" s="166"/>
      <c r="N89" s="165"/>
      <c r="O89" s="166"/>
      <c r="P89" s="165"/>
      <c r="Q89" s="166"/>
      <c r="R89" s="43"/>
      <c r="S89" s="6" t="s">
        <v>20</v>
      </c>
      <c r="T89" s="3"/>
      <c r="U89" s="205"/>
      <c r="V89" s="206"/>
      <c r="W89" s="207"/>
    </row>
    <row r="90" spans="1:23" x14ac:dyDescent="0.3">
      <c r="A90" s="164"/>
      <c r="B90" s="19"/>
      <c r="C90" s="19"/>
      <c r="D90" s="20"/>
      <c r="E90" s="170" t="s">
        <v>0</v>
      </c>
      <c r="F90" s="171"/>
      <c r="G90" s="171"/>
      <c r="H90" s="171"/>
      <c r="I90" s="172"/>
      <c r="J90" s="173">
        <f>SUM(J83:J89)</f>
        <v>0</v>
      </c>
      <c r="K90" s="174"/>
      <c r="L90" s="173">
        <f>SUM(L83:L89)</f>
        <v>0</v>
      </c>
      <c r="M90" s="174"/>
      <c r="N90" s="173">
        <f>SUM(N83:N89)</f>
        <v>0</v>
      </c>
      <c r="O90" s="174"/>
      <c r="P90" s="173">
        <f>SUM(P83:P89)</f>
        <v>0</v>
      </c>
      <c r="Q90" s="174"/>
      <c r="R90" s="23">
        <f>SUM(R83:R89)</f>
        <v>0</v>
      </c>
      <c r="S90" s="24" t="s">
        <v>20</v>
      </c>
      <c r="T90" s="19"/>
      <c r="U90" s="208"/>
      <c r="V90" s="209"/>
      <c r="W90" s="210"/>
    </row>
    <row r="91" spans="1:23" x14ac:dyDescent="0.3">
      <c r="A91" s="180" t="s">
        <v>36</v>
      </c>
      <c r="B91" s="5"/>
      <c r="C91" s="5"/>
      <c r="D91" s="4"/>
      <c r="E91" s="211"/>
      <c r="F91" s="212"/>
      <c r="G91" s="212"/>
      <c r="H91" s="212"/>
      <c r="I91" s="213"/>
      <c r="J91" s="165"/>
      <c r="K91" s="166"/>
      <c r="L91" s="165"/>
      <c r="M91" s="166"/>
      <c r="N91" s="165"/>
      <c r="O91" s="166"/>
      <c r="P91" s="165"/>
      <c r="Q91" s="166"/>
      <c r="R91" s="43"/>
      <c r="S91" s="6" t="s">
        <v>20</v>
      </c>
      <c r="T91" s="3"/>
      <c r="U91" s="202"/>
      <c r="V91" s="203"/>
      <c r="W91" s="204"/>
    </row>
    <row r="92" spans="1:23" x14ac:dyDescent="0.3">
      <c r="A92" s="163"/>
      <c r="B92" s="5"/>
      <c r="C92" s="5"/>
      <c r="D92" s="4"/>
      <c r="E92" s="211"/>
      <c r="F92" s="212"/>
      <c r="G92" s="212"/>
      <c r="H92" s="212"/>
      <c r="I92" s="213"/>
      <c r="J92" s="165"/>
      <c r="K92" s="166"/>
      <c r="L92" s="165"/>
      <c r="M92" s="166"/>
      <c r="N92" s="165"/>
      <c r="O92" s="166"/>
      <c r="P92" s="165"/>
      <c r="Q92" s="166"/>
      <c r="R92" s="43"/>
      <c r="S92" s="6" t="s">
        <v>20</v>
      </c>
      <c r="T92" s="3"/>
      <c r="U92" s="205"/>
      <c r="V92" s="206"/>
      <c r="W92" s="207"/>
    </row>
    <row r="93" spans="1:23" x14ac:dyDescent="0.3">
      <c r="A93" s="163"/>
      <c r="B93" s="5"/>
      <c r="C93" s="5"/>
      <c r="D93" s="4"/>
      <c r="E93" s="211"/>
      <c r="F93" s="212"/>
      <c r="G93" s="212"/>
      <c r="H93" s="212"/>
      <c r="I93" s="213"/>
      <c r="J93" s="165"/>
      <c r="K93" s="166"/>
      <c r="L93" s="165"/>
      <c r="M93" s="166"/>
      <c r="N93" s="165"/>
      <c r="O93" s="166"/>
      <c r="P93" s="165"/>
      <c r="Q93" s="166"/>
      <c r="R93" s="43"/>
      <c r="S93" s="6" t="s">
        <v>20</v>
      </c>
      <c r="T93" s="3"/>
      <c r="U93" s="205"/>
      <c r="V93" s="206"/>
      <c r="W93" s="207"/>
    </row>
    <row r="94" spans="1:23" x14ac:dyDescent="0.3">
      <c r="A94" s="164"/>
      <c r="B94" s="19"/>
      <c r="C94" s="19"/>
      <c r="D94" s="20"/>
      <c r="E94" s="170" t="s">
        <v>0</v>
      </c>
      <c r="F94" s="171"/>
      <c r="G94" s="171"/>
      <c r="H94" s="171"/>
      <c r="I94" s="172"/>
      <c r="J94" s="173">
        <f>SUM(J91:J93)</f>
        <v>0</v>
      </c>
      <c r="K94" s="174"/>
      <c r="L94" s="173">
        <f>SUM(L91:L93)</f>
        <v>0</v>
      </c>
      <c r="M94" s="174"/>
      <c r="N94" s="173">
        <f>SUM(N91:N93)</f>
        <v>0</v>
      </c>
      <c r="O94" s="174"/>
      <c r="P94" s="173">
        <f>SUM(P91:P93)</f>
        <v>0</v>
      </c>
      <c r="Q94" s="174"/>
      <c r="R94" s="23">
        <f>SUM(R91:R93)</f>
        <v>0</v>
      </c>
      <c r="S94" s="24" t="s">
        <v>20</v>
      </c>
      <c r="T94" s="19"/>
      <c r="U94" s="208"/>
      <c r="V94" s="209"/>
      <c r="W94" s="210"/>
    </row>
    <row r="95" spans="1:23" x14ac:dyDescent="0.3">
      <c r="E95" s="28"/>
      <c r="F95" s="28"/>
      <c r="G95" s="28"/>
      <c r="H95" s="28"/>
      <c r="I95" s="28"/>
      <c r="J95" s="29"/>
      <c r="K95" s="29"/>
      <c r="L95" s="29"/>
      <c r="M95" s="29"/>
      <c r="N95" s="29"/>
      <c r="O95" s="29"/>
      <c r="P95" s="29"/>
      <c r="Q95" s="29"/>
    </row>
    <row r="96" spans="1:23" x14ac:dyDescent="0.3">
      <c r="E96" s="170" t="s">
        <v>28</v>
      </c>
      <c r="F96" s="171"/>
      <c r="G96" s="171"/>
      <c r="H96" s="171"/>
      <c r="I96" s="172"/>
      <c r="J96" s="175" t="s">
        <v>7</v>
      </c>
      <c r="K96" s="176"/>
      <c r="L96" s="175" t="s">
        <v>8</v>
      </c>
      <c r="M96" s="176"/>
      <c r="N96" s="175" t="s">
        <v>9</v>
      </c>
      <c r="O96" s="176"/>
      <c r="P96" s="175" t="s">
        <v>16</v>
      </c>
      <c r="Q96" s="176"/>
    </row>
    <row r="97" spans="5:17" s="2" customFormat="1" x14ac:dyDescent="0.3">
      <c r="E97" s="15"/>
      <c r="F97" s="15"/>
      <c r="G97" s="15"/>
      <c r="H97" s="15"/>
      <c r="I97" s="15"/>
      <c r="J97" s="30">
        <f>J77+J82</f>
        <v>5100</v>
      </c>
      <c r="K97" s="31" t="s">
        <v>17</v>
      </c>
      <c r="L97" s="32">
        <f>L77+L82</f>
        <v>0</v>
      </c>
      <c r="M97" s="31" t="s">
        <v>17</v>
      </c>
      <c r="N97" s="32">
        <f>N77+N82</f>
        <v>1569</v>
      </c>
      <c r="O97" s="31" t="s">
        <v>17</v>
      </c>
      <c r="P97" s="33">
        <f>P90+P94</f>
        <v>0</v>
      </c>
      <c r="Q97" s="34" t="s">
        <v>17</v>
      </c>
    </row>
    <row r="98" spans="5:17" ht="24.45" customHeight="1" x14ac:dyDescent="0.3">
      <c r="E98" s="28"/>
      <c r="F98" s="28"/>
      <c r="G98" s="28"/>
      <c r="H98" s="28"/>
      <c r="I98" s="28"/>
      <c r="J98" s="167">
        <f>J97+L97+N97+P97</f>
        <v>6669</v>
      </c>
      <c r="K98" s="168"/>
      <c r="L98" s="168"/>
      <c r="M98" s="168"/>
      <c r="N98" s="168"/>
      <c r="O98" s="168"/>
      <c r="P98" s="168"/>
      <c r="Q98" s="169"/>
    </row>
  </sheetData>
  <mergeCells count="395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A31:A40"/>
    <mergeCell ref="J31:K31"/>
    <mergeCell ref="L31:M31"/>
    <mergeCell ref="N31:O31"/>
    <mergeCell ref="P31:Q31"/>
    <mergeCell ref="G29:G30"/>
    <mergeCell ref="H29:H30"/>
    <mergeCell ref="I29:I30"/>
    <mergeCell ref="J29:Q29"/>
    <mergeCell ref="L34:M34"/>
    <mergeCell ref="N34:O34"/>
    <mergeCell ref="P34:Q34"/>
    <mergeCell ref="J35:K35"/>
    <mergeCell ref="L35:M35"/>
    <mergeCell ref="N35:O35"/>
    <mergeCell ref="P35:Q35"/>
    <mergeCell ref="N37:O37"/>
    <mergeCell ref="P37:Q37"/>
    <mergeCell ref="E40:I40"/>
    <mergeCell ref="J40:K40"/>
    <mergeCell ref="L40:M40"/>
    <mergeCell ref="N40:O40"/>
    <mergeCell ref="P40:Q40"/>
    <mergeCell ref="U31:W40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J38:K38"/>
    <mergeCell ref="L38:M38"/>
    <mergeCell ref="N38:O38"/>
    <mergeCell ref="P38:Q38"/>
    <mergeCell ref="J39:K39"/>
    <mergeCell ref="L39:M39"/>
    <mergeCell ref="N39:O39"/>
    <mergeCell ref="P39:Q39"/>
    <mergeCell ref="J36:K36"/>
    <mergeCell ref="L36:M36"/>
    <mergeCell ref="N36:O36"/>
    <mergeCell ref="P36:Q36"/>
    <mergeCell ref="J37:K37"/>
    <mergeCell ref="L37:M37"/>
    <mergeCell ref="A41:A50"/>
    <mergeCell ref="J41:K41"/>
    <mergeCell ref="L41:M41"/>
    <mergeCell ref="N41:O41"/>
    <mergeCell ref="P41:Q41"/>
    <mergeCell ref="L44:M44"/>
    <mergeCell ref="N44:O44"/>
    <mergeCell ref="P44:Q44"/>
    <mergeCell ref="J45:K45"/>
    <mergeCell ref="L45:M45"/>
    <mergeCell ref="N45:O45"/>
    <mergeCell ref="P45:Q45"/>
    <mergeCell ref="N47:O47"/>
    <mergeCell ref="P47:Q47"/>
    <mergeCell ref="E50:I50"/>
    <mergeCell ref="J50:K50"/>
    <mergeCell ref="L50:M50"/>
    <mergeCell ref="N50:O50"/>
    <mergeCell ref="P50:Q50"/>
    <mergeCell ref="U41:W50"/>
    <mergeCell ref="J42:K42"/>
    <mergeCell ref="L42:M42"/>
    <mergeCell ref="N42:O42"/>
    <mergeCell ref="P42:Q42"/>
    <mergeCell ref="J43:K43"/>
    <mergeCell ref="L43:M43"/>
    <mergeCell ref="N43:O43"/>
    <mergeCell ref="P43:Q43"/>
    <mergeCell ref="J44:K44"/>
    <mergeCell ref="J48:K48"/>
    <mergeCell ref="L48:M48"/>
    <mergeCell ref="N48:O48"/>
    <mergeCell ref="P48:Q48"/>
    <mergeCell ref="J49:K49"/>
    <mergeCell ref="L49:M49"/>
    <mergeCell ref="N49:O49"/>
    <mergeCell ref="P49:Q49"/>
    <mergeCell ref="J46:K46"/>
    <mergeCell ref="L46:M46"/>
    <mergeCell ref="N46:O46"/>
    <mergeCell ref="P46:Q46"/>
    <mergeCell ref="J47:K47"/>
    <mergeCell ref="L47:M47"/>
    <mergeCell ref="A51:A60"/>
    <mergeCell ref="J51:K51"/>
    <mergeCell ref="L51:M51"/>
    <mergeCell ref="N51:O51"/>
    <mergeCell ref="P51:Q51"/>
    <mergeCell ref="L54:M54"/>
    <mergeCell ref="N54:O54"/>
    <mergeCell ref="P54:Q54"/>
    <mergeCell ref="J55:K55"/>
    <mergeCell ref="L55:M55"/>
    <mergeCell ref="N55:O55"/>
    <mergeCell ref="P55:Q55"/>
    <mergeCell ref="N57:O57"/>
    <mergeCell ref="P57:Q57"/>
    <mergeCell ref="E60:I60"/>
    <mergeCell ref="J60:K60"/>
    <mergeCell ref="L60:M60"/>
    <mergeCell ref="N60:O60"/>
    <mergeCell ref="P60:Q60"/>
    <mergeCell ref="U51:W60"/>
    <mergeCell ref="J52:K52"/>
    <mergeCell ref="L52:M52"/>
    <mergeCell ref="N52:O52"/>
    <mergeCell ref="P52:Q52"/>
    <mergeCell ref="J53:K53"/>
    <mergeCell ref="L53:M53"/>
    <mergeCell ref="N53:O53"/>
    <mergeCell ref="P53:Q53"/>
    <mergeCell ref="J54:K54"/>
    <mergeCell ref="J58:K58"/>
    <mergeCell ref="L58:M58"/>
    <mergeCell ref="N58:O58"/>
    <mergeCell ref="P58:Q58"/>
    <mergeCell ref="J59:K59"/>
    <mergeCell ref="L59:M59"/>
    <mergeCell ref="N59:O59"/>
    <mergeCell ref="P59:Q59"/>
    <mergeCell ref="J56:K56"/>
    <mergeCell ref="L56:M56"/>
    <mergeCell ref="N56:O56"/>
    <mergeCell ref="P56:Q56"/>
    <mergeCell ref="J57:K57"/>
    <mergeCell ref="L57:M57"/>
    <mergeCell ref="E62:I62"/>
    <mergeCell ref="J62:K62"/>
    <mergeCell ref="L62:M62"/>
    <mergeCell ref="N62:O62"/>
    <mergeCell ref="P62:Q62"/>
    <mergeCell ref="R68:S69"/>
    <mergeCell ref="T68:T69"/>
    <mergeCell ref="U68:W69"/>
    <mergeCell ref="J69:K69"/>
    <mergeCell ref="L69:M69"/>
    <mergeCell ref="N69:O69"/>
    <mergeCell ref="P69:Q69"/>
    <mergeCell ref="J64:Q64"/>
    <mergeCell ref="Q66:S66"/>
    <mergeCell ref="T66:W66"/>
    <mergeCell ref="A67:W67"/>
    <mergeCell ref="A68:A69"/>
    <mergeCell ref="B68:B69"/>
    <mergeCell ref="C68:C69"/>
    <mergeCell ref="D68:D69"/>
    <mergeCell ref="E68:I69"/>
    <mergeCell ref="J68:Q68"/>
    <mergeCell ref="N73:O73"/>
    <mergeCell ref="P73:Q73"/>
    <mergeCell ref="E74:I74"/>
    <mergeCell ref="J74:K74"/>
    <mergeCell ref="L74:M74"/>
    <mergeCell ref="N74:O74"/>
    <mergeCell ref="P74:Q74"/>
    <mergeCell ref="U70:W77"/>
    <mergeCell ref="E71:I71"/>
    <mergeCell ref="J71:K71"/>
    <mergeCell ref="L71:M71"/>
    <mergeCell ref="N71:O71"/>
    <mergeCell ref="P71:Q71"/>
    <mergeCell ref="E72:I72"/>
    <mergeCell ref="J72:K72"/>
    <mergeCell ref="L72:M72"/>
    <mergeCell ref="N72:O72"/>
    <mergeCell ref="E70:I70"/>
    <mergeCell ref="J70:K70"/>
    <mergeCell ref="L70:M70"/>
    <mergeCell ref="N70:O70"/>
    <mergeCell ref="P70:Q70"/>
    <mergeCell ref="P72:Q72"/>
    <mergeCell ref="E73:I73"/>
    <mergeCell ref="J75:K75"/>
    <mergeCell ref="L75:M75"/>
    <mergeCell ref="N75:O75"/>
    <mergeCell ref="P75:Q75"/>
    <mergeCell ref="E76:I76"/>
    <mergeCell ref="J76:K76"/>
    <mergeCell ref="L76:M76"/>
    <mergeCell ref="N76:O76"/>
    <mergeCell ref="P76:Q76"/>
    <mergeCell ref="E77:I77"/>
    <mergeCell ref="J77:K77"/>
    <mergeCell ref="L77:M77"/>
    <mergeCell ref="N77:O77"/>
    <mergeCell ref="P77:Q77"/>
    <mergeCell ref="A78:A82"/>
    <mergeCell ref="E78:I78"/>
    <mergeCell ref="J78:K78"/>
    <mergeCell ref="L78:M78"/>
    <mergeCell ref="N78:O78"/>
    <mergeCell ref="A70:A77"/>
    <mergeCell ref="J73:K73"/>
    <mergeCell ref="L73:M73"/>
    <mergeCell ref="P81:Q81"/>
    <mergeCell ref="E81:I81"/>
    <mergeCell ref="N80:O80"/>
    <mergeCell ref="P80:Q80"/>
    <mergeCell ref="E82:I82"/>
    <mergeCell ref="J82:K82"/>
    <mergeCell ref="L82:M82"/>
    <mergeCell ref="N82:O82"/>
    <mergeCell ref="P82:Q82"/>
    <mergeCell ref="P78:Q78"/>
    <mergeCell ref="E75:I75"/>
    <mergeCell ref="U78:W82"/>
    <mergeCell ref="E79:I79"/>
    <mergeCell ref="J79:K79"/>
    <mergeCell ref="L79:M79"/>
    <mergeCell ref="N79:O79"/>
    <mergeCell ref="P79:Q79"/>
    <mergeCell ref="E80:I80"/>
    <mergeCell ref="J80:K80"/>
    <mergeCell ref="L80:M80"/>
    <mergeCell ref="J81:K81"/>
    <mergeCell ref="L81:M81"/>
    <mergeCell ref="N81:O81"/>
    <mergeCell ref="N86:O86"/>
    <mergeCell ref="P86:Q86"/>
    <mergeCell ref="E87:I87"/>
    <mergeCell ref="J87:K87"/>
    <mergeCell ref="L87:M87"/>
    <mergeCell ref="N87:O87"/>
    <mergeCell ref="P87:Q87"/>
    <mergeCell ref="U83:W90"/>
    <mergeCell ref="E84:I84"/>
    <mergeCell ref="J84:K84"/>
    <mergeCell ref="L84:M84"/>
    <mergeCell ref="N84:O84"/>
    <mergeCell ref="P84:Q84"/>
    <mergeCell ref="E85:I85"/>
    <mergeCell ref="J85:K85"/>
    <mergeCell ref="L85:M85"/>
    <mergeCell ref="N85:O85"/>
    <mergeCell ref="E83:I83"/>
    <mergeCell ref="J83:K83"/>
    <mergeCell ref="L83:M83"/>
    <mergeCell ref="N83:O83"/>
    <mergeCell ref="P83:Q83"/>
    <mergeCell ref="P85:Q85"/>
    <mergeCell ref="E86:I86"/>
    <mergeCell ref="E90:I90"/>
    <mergeCell ref="J90:K90"/>
    <mergeCell ref="L90:M90"/>
    <mergeCell ref="N90:O90"/>
    <mergeCell ref="P90:Q90"/>
    <mergeCell ref="A91:A94"/>
    <mergeCell ref="E91:I91"/>
    <mergeCell ref="J91:K91"/>
    <mergeCell ref="L91:M91"/>
    <mergeCell ref="N91:O91"/>
    <mergeCell ref="A83:A90"/>
    <mergeCell ref="J86:K86"/>
    <mergeCell ref="L86:M86"/>
    <mergeCell ref="P91:Q91"/>
    <mergeCell ref="E88:I88"/>
    <mergeCell ref="J88:K88"/>
    <mergeCell ref="L88:M88"/>
    <mergeCell ref="N88:O88"/>
    <mergeCell ref="P88:Q88"/>
    <mergeCell ref="E89:I89"/>
    <mergeCell ref="J89:K89"/>
    <mergeCell ref="L89:M89"/>
    <mergeCell ref="N89:O89"/>
    <mergeCell ref="P89:Q89"/>
    <mergeCell ref="U91:W94"/>
    <mergeCell ref="E92:I92"/>
    <mergeCell ref="J92:K92"/>
    <mergeCell ref="L92:M92"/>
    <mergeCell ref="N92:O92"/>
    <mergeCell ref="P92:Q92"/>
    <mergeCell ref="E93:I93"/>
    <mergeCell ref="J93:K93"/>
    <mergeCell ref="L93:M93"/>
    <mergeCell ref="E96:I96"/>
    <mergeCell ref="J96:K96"/>
    <mergeCell ref="L96:M96"/>
    <mergeCell ref="N96:O96"/>
    <mergeCell ref="P96:Q96"/>
    <mergeCell ref="J98:Q98"/>
    <mergeCell ref="N93:O93"/>
    <mergeCell ref="P93:Q93"/>
    <mergeCell ref="E94:I94"/>
    <mergeCell ref="J94:K94"/>
    <mergeCell ref="L94:M94"/>
    <mergeCell ref="N94:O94"/>
    <mergeCell ref="P94:Q94"/>
  </mergeCells>
  <pageMargins left="0.39370078740157483" right="0.19685039370078741" top="0.19685039370078741" bottom="0.19685039370078741" header="0.31496062992125984" footer="0.31496062992125984"/>
  <pageSetup paperSize="9" scale="51" orientation="portrait" horizontalDpi="1200" verticalDpi="1200" r:id="rId1"/>
  <ignoredErrors>
    <ignoredError sqref="R82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W96"/>
  <sheetViews>
    <sheetView zoomScale="75" zoomScaleNormal="75" workbookViewId="0">
      <selection activeCell="E83" sqref="E83:I83"/>
    </sheetView>
  </sheetViews>
  <sheetFormatPr defaultRowHeight="14.4" x14ac:dyDescent="0.3"/>
  <cols>
    <col min="1" max="1" width="12.6640625" customWidth="1"/>
    <col min="2" max="3" width="7.6640625" customWidth="1"/>
    <col min="4" max="4" width="9.109375" style="8" bestFit="1" customWidth="1"/>
    <col min="5" max="5" width="35.6640625" customWidth="1"/>
    <col min="6" max="6" width="5.6640625" customWidth="1"/>
    <col min="7" max="8" width="6.6640625" customWidth="1"/>
    <col min="9" max="9" width="7" bestFit="1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45916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24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 t="s">
        <v>79</v>
      </c>
      <c r="E7" s="12" t="s">
        <v>75</v>
      </c>
      <c r="F7" s="17">
        <v>360</v>
      </c>
      <c r="G7" s="17">
        <v>304</v>
      </c>
      <c r="H7" s="18">
        <v>0.9</v>
      </c>
      <c r="I7" s="17">
        <v>35000</v>
      </c>
      <c r="J7" s="165"/>
      <c r="K7" s="166"/>
      <c r="L7" s="165"/>
      <c r="M7" s="166"/>
      <c r="N7" s="165">
        <v>1020</v>
      </c>
      <c r="O7" s="166"/>
      <c r="P7" s="165"/>
      <c r="Q7" s="166"/>
      <c r="R7" s="44"/>
      <c r="S7" s="14" t="s">
        <v>20</v>
      </c>
      <c r="T7" s="42"/>
      <c r="U7" s="202" t="s">
        <v>47</v>
      </c>
      <c r="V7" s="203"/>
      <c r="W7" s="204"/>
    </row>
    <row r="8" spans="1:23" x14ac:dyDescent="0.3">
      <c r="A8" s="181"/>
      <c r="B8" s="5"/>
      <c r="C8" s="5"/>
      <c r="D8" s="4" t="s">
        <v>79</v>
      </c>
      <c r="E8" s="12" t="s">
        <v>80</v>
      </c>
      <c r="F8" s="17">
        <v>300</v>
      </c>
      <c r="G8" s="17">
        <v>304</v>
      </c>
      <c r="H8" s="18">
        <v>0.9</v>
      </c>
      <c r="I8" s="17">
        <v>35000</v>
      </c>
      <c r="J8" s="165"/>
      <c r="K8" s="166"/>
      <c r="L8" s="165"/>
      <c r="M8" s="166"/>
      <c r="N8" s="165">
        <v>1620</v>
      </c>
      <c r="O8" s="166"/>
      <c r="P8" s="165"/>
      <c r="Q8" s="166"/>
      <c r="R8" s="44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 t="s">
        <v>42</v>
      </c>
      <c r="E9" s="12" t="s">
        <v>76</v>
      </c>
      <c r="F9" s="17">
        <v>252</v>
      </c>
      <c r="G9" s="17">
        <v>304</v>
      </c>
      <c r="H9" s="18">
        <v>0.9</v>
      </c>
      <c r="I9" s="17">
        <v>35000</v>
      </c>
      <c r="J9" s="165"/>
      <c r="K9" s="166"/>
      <c r="L9" s="165"/>
      <c r="M9" s="166"/>
      <c r="N9" s="165">
        <v>255</v>
      </c>
      <c r="O9" s="166"/>
      <c r="P9" s="165"/>
      <c r="Q9" s="166"/>
      <c r="R9" s="44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42</v>
      </c>
      <c r="E10" s="12" t="s">
        <v>78</v>
      </c>
      <c r="F10" s="17">
        <v>180</v>
      </c>
      <c r="G10" s="17">
        <v>304</v>
      </c>
      <c r="H10" s="18">
        <v>0.9</v>
      </c>
      <c r="I10" s="17">
        <v>35000</v>
      </c>
      <c r="J10" s="165"/>
      <c r="K10" s="166"/>
      <c r="L10" s="165"/>
      <c r="M10" s="166"/>
      <c r="N10" s="165">
        <v>324</v>
      </c>
      <c r="O10" s="166"/>
      <c r="P10" s="165"/>
      <c r="Q10" s="166"/>
      <c r="R10" s="44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79</v>
      </c>
      <c r="E11" s="12" t="s">
        <v>77</v>
      </c>
      <c r="F11" s="17">
        <v>320</v>
      </c>
      <c r="G11" s="17">
        <v>304</v>
      </c>
      <c r="H11" s="18">
        <v>0.9</v>
      </c>
      <c r="I11" s="17">
        <v>35000</v>
      </c>
      <c r="J11" s="165"/>
      <c r="K11" s="166"/>
      <c r="L11" s="165"/>
      <c r="M11" s="166"/>
      <c r="N11" s="165">
        <v>1300</v>
      </c>
      <c r="O11" s="166"/>
      <c r="P11" s="165"/>
      <c r="Q11" s="166"/>
      <c r="R11" s="44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42</v>
      </c>
      <c r="E12" s="12" t="s">
        <v>78</v>
      </c>
      <c r="F12" s="17">
        <v>132</v>
      </c>
      <c r="G12" s="17">
        <v>304</v>
      </c>
      <c r="H12" s="18">
        <v>0.9</v>
      </c>
      <c r="I12" s="17">
        <v>35000</v>
      </c>
      <c r="J12" s="165"/>
      <c r="K12" s="166"/>
      <c r="L12" s="165"/>
      <c r="M12" s="166"/>
      <c r="N12" s="165">
        <v>260</v>
      </c>
      <c r="O12" s="166"/>
      <c r="P12" s="165"/>
      <c r="Q12" s="166"/>
      <c r="R12" s="44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>
        <v>0.70833333333333337</v>
      </c>
      <c r="D13" s="4" t="s">
        <v>79</v>
      </c>
      <c r="E13" s="12" t="s">
        <v>81</v>
      </c>
      <c r="F13" s="17">
        <v>265</v>
      </c>
      <c r="G13" s="17">
        <v>304</v>
      </c>
      <c r="H13" s="18">
        <v>0.9</v>
      </c>
      <c r="I13" s="17">
        <v>35000</v>
      </c>
      <c r="J13" s="165"/>
      <c r="K13" s="166"/>
      <c r="L13" s="165"/>
      <c r="M13" s="166"/>
      <c r="N13" s="165">
        <v>1332</v>
      </c>
      <c r="O13" s="166"/>
      <c r="P13" s="165"/>
      <c r="Q13" s="166"/>
      <c r="R13" s="44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/>
      <c r="E14" s="12"/>
      <c r="F14" s="17"/>
      <c r="G14" s="17"/>
      <c r="H14" s="18"/>
      <c r="I14" s="17"/>
      <c r="J14" s="165"/>
      <c r="K14" s="166"/>
      <c r="L14" s="165"/>
      <c r="M14" s="166"/>
      <c r="N14" s="165"/>
      <c r="O14" s="166"/>
      <c r="P14" s="165"/>
      <c r="Q14" s="166"/>
      <c r="R14" s="44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/>
      <c r="E15" s="12"/>
      <c r="F15" s="17"/>
      <c r="G15" s="17"/>
      <c r="H15" s="18"/>
      <c r="I15" s="17"/>
      <c r="J15" s="165"/>
      <c r="K15" s="166"/>
      <c r="L15" s="165"/>
      <c r="M15" s="166"/>
      <c r="N15" s="165"/>
      <c r="O15" s="166"/>
      <c r="P15" s="165"/>
      <c r="Q15" s="166"/>
      <c r="R15" s="44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44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44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44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44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44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0</v>
      </c>
      <c r="K21" s="22" t="s">
        <v>17</v>
      </c>
      <c r="L21" s="21">
        <f>SUM(L7:M20)</f>
        <v>0</v>
      </c>
      <c r="M21" s="22" t="s">
        <v>17</v>
      </c>
      <c r="N21" s="21">
        <f>SUM(N7:O20)</f>
        <v>6111</v>
      </c>
      <c r="O21" s="22" t="s">
        <v>17</v>
      </c>
      <c r="P21" s="21">
        <f>SUM(P7:Q20)</f>
        <v>0</v>
      </c>
      <c r="Q21" s="22" t="s">
        <v>17</v>
      </c>
      <c r="R21" s="23">
        <f>SUM(R7:R20)</f>
        <v>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16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0</v>
      </c>
      <c r="K24" s="31" t="s">
        <v>17</v>
      </c>
      <c r="L24" s="32">
        <f>L21</f>
        <v>0</v>
      </c>
      <c r="M24" s="31" t="s">
        <v>17</v>
      </c>
      <c r="N24" s="32">
        <f>N21</f>
        <v>6111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6111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45916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16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>
        <v>0.70833333333333337</v>
      </c>
      <c r="D31" s="4">
        <v>10925</v>
      </c>
      <c r="E31" s="13" t="s">
        <v>52</v>
      </c>
      <c r="F31" s="40">
        <v>430</v>
      </c>
      <c r="G31" s="41">
        <v>0.8</v>
      </c>
      <c r="H31" s="40">
        <v>310</v>
      </c>
      <c r="I31" s="4" t="s">
        <v>49</v>
      </c>
      <c r="J31" s="165"/>
      <c r="K31" s="166"/>
      <c r="L31" s="165"/>
      <c r="M31" s="166"/>
      <c r="N31" s="165">
        <v>2500</v>
      </c>
      <c r="O31" s="166"/>
      <c r="P31" s="165"/>
      <c r="Q31" s="166"/>
      <c r="R31" s="44">
        <v>30</v>
      </c>
      <c r="S31" s="14" t="s">
        <v>20</v>
      </c>
      <c r="T31" s="42" t="s">
        <v>82</v>
      </c>
      <c r="U31" s="247" t="s">
        <v>83</v>
      </c>
      <c r="V31" s="248"/>
      <c r="W31" s="249"/>
    </row>
    <row r="32" spans="1:23" ht="14.55" customHeight="1" x14ac:dyDescent="0.3">
      <c r="A32" s="181"/>
      <c r="B32" s="5"/>
      <c r="C32" s="5"/>
      <c r="D32" s="4"/>
      <c r="E32" s="13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44"/>
      <c r="S32" s="14" t="s">
        <v>20</v>
      </c>
      <c r="T32" s="42"/>
      <c r="U32" s="247"/>
      <c r="V32" s="248"/>
      <c r="W32" s="249"/>
    </row>
    <row r="33" spans="1:23" ht="14.55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44"/>
      <c r="S33" s="14" t="s">
        <v>20</v>
      </c>
      <c r="T33" s="42"/>
      <c r="U33" s="247"/>
      <c r="V33" s="248"/>
      <c r="W33" s="249"/>
    </row>
    <row r="34" spans="1:23" ht="14.55" customHeight="1" x14ac:dyDescent="0.3">
      <c r="A34" s="181"/>
      <c r="B34" s="5"/>
      <c r="C34" s="5"/>
      <c r="D34" s="4"/>
      <c r="E34" s="13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44"/>
      <c r="S34" s="14" t="s">
        <v>20</v>
      </c>
      <c r="T34" s="42"/>
      <c r="U34" s="247"/>
      <c r="V34" s="248"/>
      <c r="W34" s="249"/>
    </row>
    <row r="35" spans="1:23" ht="14.55" customHeight="1" x14ac:dyDescent="0.3">
      <c r="A35" s="181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44"/>
      <c r="S35" s="14" t="s">
        <v>20</v>
      </c>
      <c r="T35" s="42"/>
      <c r="U35" s="247"/>
      <c r="V35" s="248"/>
      <c r="W35" s="249"/>
    </row>
    <row r="36" spans="1:23" ht="14.55" customHeight="1" x14ac:dyDescent="0.3">
      <c r="A36" s="181"/>
      <c r="B36" s="5"/>
      <c r="C36" s="5"/>
      <c r="D36" s="4"/>
      <c r="E36" s="13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44"/>
      <c r="S36" s="14" t="s">
        <v>20</v>
      </c>
      <c r="T36" s="42"/>
      <c r="U36" s="247"/>
      <c r="V36" s="248"/>
      <c r="W36" s="249"/>
    </row>
    <row r="37" spans="1:23" ht="14.55" customHeight="1" x14ac:dyDescent="0.3">
      <c r="A37" s="181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44"/>
      <c r="S37" s="14" t="s">
        <v>20</v>
      </c>
      <c r="T37" s="42"/>
      <c r="U37" s="247"/>
      <c r="V37" s="248"/>
      <c r="W37" s="249"/>
    </row>
    <row r="38" spans="1:23" ht="14.55" customHeight="1" x14ac:dyDescent="0.3">
      <c r="A38" s="181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44"/>
      <c r="S38" s="14" t="s">
        <v>20</v>
      </c>
      <c r="T38" s="42"/>
      <c r="U38" s="247"/>
      <c r="V38" s="248"/>
      <c r="W38" s="249"/>
    </row>
    <row r="39" spans="1:23" ht="14.55" customHeight="1" x14ac:dyDescent="0.3">
      <c r="A39" s="181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44"/>
      <c r="S39" s="14" t="s">
        <v>20</v>
      </c>
      <c r="T39" s="42"/>
      <c r="U39" s="247"/>
      <c r="V39" s="248"/>
      <c r="W39" s="249"/>
    </row>
    <row r="40" spans="1:23" ht="14.55" customHeight="1" x14ac:dyDescent="0.3">
      <c r="A40" s="182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SUM(J31:K39)</f>
        <v>0</v>
      </c>
      <c r="K40" s="174"/>
      <c r="L40" s="173">
        <f>SUM(L31:M39)</f>
        <v>0</v>
      </c>
      <c r="M40" s="174"/>
      <c r="N40" s="173">
        <f>SUM(N31:O39)</f>
        <v>2500</v>
      </c>
      <c r="O40" s="174"/>
      <c r="P40" s="173">
        <f>SUM(P31:Q39)</f>
        <v>0</v>
      </c>
      <c r="Q40" s="174"/>
      <c r="R40" s="23">
        <f>SUM(R31:R39)</f>
        <v>30</v>
      </c>
      <c r="S40" s="24" t="s">
        <v>20</v>
      </c>
      <c r="T40" s="19"/>
      <c r="U40" s="247"/>
      <c r="V40" s="248"/>
      <c r="W40" s="249"/>
    </row>
    <row r="41" spans="1:23" ht="14.55" customHeight="1" x14ac:dyDescent="0.3">
      <c r="A41" s="163" t="s">
        <v>34</v>
      </c>
      <c r="B41" s="5">
        <v>0.58333333333333337</v>
      </c>
      <c r="C41" s="5">
        <v>0.625</v>
      </c>
      <c r="D41" s="4">
        <v>250066</v>
      </c>
      <c r="E41" s="12" t="s">
        <v>53</v>
      </c>
      <c r="F41" s="40">
        <v>430</v>
      </c>
      <c r="G41" s="41">
        <v>0.5</v>
      </c>
      <c r="H41" s="40">
        <v>22</v>
      </c>
      <c r="I41" s="4">
        <v>2</v>
      </c>
      <c r="J41" s="165">
        <v>103</v>
      </c>
      <c r="K41" s="166"/>
      <c r="L41" s="165"/>
      <c r="M41" s="166"/>
      <c r="N41" s="165"/>
      <c r="O41" s="166"/>
      <c r="P41" s="165"/>
      <c r="Q41" s="166"/>
      <c r="R41" s="46"/>
      <c r="S41" s="14" t="s">
        <v>20</v>
      </c>
      <c r="T41" s="42"/>
      <c r="U41" s="247" t="s">
        <v>51</v>
      </c>
      <c r="V41" s="248"/>
      <c r="W41" s="249"/>
    </row>
    <row r="42" spans="1:23" ht="14.55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44"/>
      <c r="S42" s="14" t="s">
        <v>20</v>
      </c>
      <c r="T42" s="42"/>
      <c r="U42" s="247"/>
      <c r="V42" s="248"/>
      <c r="W42" s="249"/>
    </row>
    <row r="43" spans="1:23" ht="14.55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44"/>
      <c r="S43" s="14" t="s">
        <v>20</v>
      </c>
      <c r="T43" s="42"/>
      <c r="U43" s="247"/>
      <c r="V43" s="248"/>
      <c r="W43" s="24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44"/>
      <c r="S44" s="14" t="s">
        <v>20</v>
      </c>
      <c r="T44" s="42"/>
      <c r="U44" s="247"/>
      <c r="V44" s="248"/>
      <c r="W44" s="249"/>
    </row>
    <row r="45" spans="1:23" ht="14.55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44"/>
      <c r="S45" s="14" t="s">
        <v>20</v>
      </c>
      <c r="T45" s="42"/>
      <c r="U45" s="247"/>
      <c r="V45" s="248"/>
      <c r="W45" s="249"/>
    </row>
    <row r="46" spans="1:23" ht="14.55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44"/>
      <c r="S46" s="14" t="s">
        <v>20</v>
      </c>
      <c r="T46" s="42"/>
      <c r="U46" s="247"/>
      <c r="V46" s="248"/>
      <c r="W46" s="249"/>
    </row>
    <row r="47" spans="1:23" ht="14.55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44"/>
      <c r="S47" s="14" t="s">
        <v>20</v>
      </c>
      <c r="T47" s="42"/>
      <c r="U47" s="247"/>
      <c r="V47" s="248"/>
      <c r="W47" s="24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44"/>
      <c r="S48" s="14" t="s">
        <v>20</v>
      </c>
      <c r="T48" s="42"/>
      <c r="U48" s="247"/>
      <c r="V48" s="248"/>
      <c r="W48" s="249"/>
    </row>
    <row r="49" spans="1:23" ht="14.55" customHeight="1" x14ac:dyDescent="0.3">
      <c r="A49" s="163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44"/>
      <c r="S49" s="14" t="s">
        <v>20</v>
      </c>
      <c r="T49" s="42"/>
      <c r="U49" s="247"/>
      <c r="V49" s="248"/>
      <c r="W49" s="249"/>
    </row>
    <row r="50" spans="1:23" ht="14.55" customHeight="1" x14ac:dyDescent="0.3">
      <c r="A50" s="164"/>
      <c r="B50" s="19"/>
      <c r="C50" s="19"/>
      <c r="D50" s="20"/>
      <c r="E50" s="170" t="s">
        <v>0</v>
      </c>
      <c r="F50" s="171"/>
      <c r="G50" s="171"/>
      <c r="H50" s="171"/>
      <c r="I50" s="172"/>
      <c r="J50" s="173">
        <f>SUM(J41:K49)</f>
        <v>103</v>
      </c>
      <c r="K50" s="174"/>
      <c r="L50" s="173">
        <f>SUM(L41:M49)</f>
        <v>0</v>
      </c>
      <c r="M50" s="174"/>
      <c r="N50" s="173">
        <f>SUM(N41:O49)</f>
        <v>0</v>
      </c>
      <c r="O50" s="174"/>
      <c r="P50" s="173">
        <f>SUM(P41:Q49)</f>
        <v>0</v>
      </c>
      <c r="Q50" s="174"/>
      <c r="R50" s="23">
        <f>SUM(R41:R49)</f>
        <v>0</v>
      </c>
      <c r="S50" s="24" t="s">
        <v>20</v>
      </c>
      <c r="T50" s="19"/>
      <c r="U50" s="247"/>
      <c r="V50" s="248"/>
      <c r="W50" s="249"/>
    </row>
    <row r="51" spans="1:23" ht="14.55" customHeight="1" x14ac:dyDescent="0.3">
      <c r="A51" s="163" t="s">
        <v>35</v>
      </c>
      <c r="B51" s="5">
        <v>0.33333333333333331</v>
      </c>
      <c r="C51" s="5"/>
      <c r="D51" s="4">
        <v>10925</v>
      </c>
      <c r="E51" s="12" t="s">
        <v>55</v>
      </c>
      <c r="F51" s="40">
        <v>430</v>
      </c>
      <c r="G51" s="41">
        <v>0.8</v>
      </c>
      <c r="H51" s="40">
        <v>37</v>
      </c>
      <c r="I51" s="12"/>
      <c r="J51" s="165"/>
      <c r="K51" s="166"/>
      <c r="L51" s="165"/>
      <c r="M51" s="166"/>
      <c r="N51" s="165">
        <v>1200</v>
      </c>
      <c r="O51" s="166"/>
      <c r="P51" s="165"/>
      <c r="Q51" s="166"/>
      <c r="R51" s="44">
        <v>15</v>
      </c>
      <c r="S51" s="14" t="s">
        <v>20</v>
      </c>
      <c r="T51" s="42" t="s">
        <v>86</v>
      </c>
      <c r="U51" s="177" t="s">
        <v>85</v>
      </c>
      <c r="V51" s="178"/>
      <c r="W51" s="179"/>
    </row>
    <row r="52" spans="1:23" ht="14.55" customHeight="1" x14ac:dyDescent="0.3">
      <c r="A52" s="163"/>
      <c r="B52" s="5"/>
      <c r="C52" s="5">
        <v>0.70833333333333337</v>
      </c>
      <c r="D52" s="4">
        <v>10925</v>
      </c>
      <c r="E52" s="12" t="s">
        <v>84</v>
      </c>
      <c r="F52" s="40">
        <v>430</v>
      </c>
      <c r="G52" s="41">
        <v>0.8</v>
      </c>
      <c r="H52" s="40">
        <v>38.299999999999997</v>
      </c>
      <c r="I52" s="12"/>
      <c r="J52" s="165"/>
      <c r="K52" s="166"/>
      <c r="L52" s="165"/>
      <c r="M52" s="166"/>
      <c r="N52" s="165">
        <v>450</v>
      </c>
      <c r="O52" s="166"/>
      <c r="P52" s="165"/>
      <c r="Q52" s="166"/>
      <c r="R52" s="44">
        <v>60</v>
      </c>
      <c r="S52" s="14" t="s">
        <v>20</v>
      </c>
      <c r="T52" s="42" t="s">
        <v>82</v>
      </c>
      <c r="U52" s="177"/>
      <c r="V52" s="178"/>
      <c r="W52" s="179"/>
    </row>
    <row r="53" spans="1:23" ht="14.55" customHeight="1" x14ac:dyDescent="0.3">
      <c r="A53" s="163"/>
      <c r="B53" s="5"/>
      <c r="C53" s="5"/>
      <c r="D53" s="4"/>
      <c r="E53" s="12"/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44"/>
      <c r="S53" s="14" t="s">
        <v>20</v>
      </c>
      <c r="T53" s="42"/>
      <c r="U53" s="177"/>
      <c r="V53" s="178"/>
      <c r="W53" s="179"/>
    </row>
    <row r="54" spans="1:23" ht="14.55" customHeight="1" x14ac:dyDescent="0.3">
      <c r="A54" s="163"/>
      <c r="B54" s="5"/>
      <c r="C54" s="5"/>
      <c r="D54" s="4"/>
      <c r="E54" s="12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44"/>
      <c r="S54" s="14" t="s">
        <v>20</v>
      </c>
      <c r="T54" s="42"/>
      <c r="U54" s="177"/>
      <c r="V54" s="178"/>
      <c r="W54" s="179"/>
    </row>
    <row r="55" spans="1:23" ht="14.55" customHeight="1" x14ac:dyDescent="0.3">
      <c r="A55" s="163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44"/>
      <c r="S55" s="14" t="s">
        <v>20</v>
      </c>
      <c r="T55" s="42"/>
      <c r="U55" s="177"/>
      <c r="V55" s="178"/>
      <c r="W55" s="179"/>
    </row>
    <row r="56" spans="1:23" ht="14.55" customHeight="1" x14ac:dyDescent="0.3">
      <c r="A56" s="163"/>
      <c r="B56" s="5"/>
      <c r="C56" s="5"/>
      <c r="D56" s="4"/>
      <c r="E56" s="12"/>
      <c r="F56" s="40"/>
      <c r="G56" s="41"/>
      <c r="H56" s="40"/>
      <c r="I56" s="12"/>
      <c r="J56" s="165"/>
      <c r="K56" s="166"/>
      <c r="L56" s="165"/>
      <c r="M56" s="166"/>
      <c r="N56" s="165"/>
      <c r="O56" s="166"/>
      <c r="P56" s="165"/>
      <c r="Q56" s="166"/>
      <c r="R56" s="44"/>
      <c r="S56" s="14" t="s">
        <v>20</v>
      </c>
      <c r="T56" s="42"/>
      <c r="U56" s="177"/>
      <c r="V56" s="178"/>
      <c r="W56" s="179"/>
    </row>
    <row r="57" spans="1:23" ht="14.55" customHeight="1" x14ac:dyDescent="0.3">
      <c r="A57" s="163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44"/>
      <c r="S57" s="14" t="s">
        <v>20</v>
      </c>
      <c r="T57" s="42"/>
      <c r="U57" s="177"/>
      <c r="V57" s="178"/>
      <c r="W57" s="179"/>
    </row>
    <row r="58" spans="1:23" ht="14.55" customHeight="1" x14ac:dyDescent="0.3">
      <c r="A58" s="163"/>
      <c r="B58" s="5"/>
      <c r="C58" s="5"/>
      <c r="D58" s="4"/>
      <c r="E58" s="12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44"/>
      <c r="S58" s="14" t="s">
        <v>20</v>
      </c>
      <c r="T58" s="42"/>
      <c r="U58" s="177"/>
      <c r="V58" s="178"/>
      <c r="W58" s="179"/>
    </row>
    <row r="59" spans="1:23" ht="14.55" customHeight="1" x14ac:dyDescent="0.3">
      <c r="A59" s="163"/>
      <c r="B59" s="5"/>
      <c r="C59" s="5"/>
      <c r="D59" s="4"/>
      <c r="E59" s="12"/>
      <c r="F59" s="40"/>
      <c r="G59" s="41"/>
      <c r="H59" s="40"/>
      <c r="I59" s="12"/>
      <c r="J59" s="165"/>
      <c r="K59" s="166"/>
      <c r="L59" s="165"/>
      <c r="M59" s="166"/>
      <c r="N59" s="165"/>
      <c r="O59" s="166"/>
      <c r="P59" s="165"/>
      <c r="Q59" s="166"/>
      <c r="R59" s="44"/>
      <c r="S59" s="14" t="s">
        <v>20</v>
      </c>
      <c r="T59" s="42"/>
      <c r="U59" s="177"/>
      <c r="V59" s="178"/>
      <c r="W59" s="179"/>
    </row>
    <row r="60" spans="1:23" ht="14.55" customHeight="1" x14ac:dyDescent="0.3">
      <c r="A60" s="164"/>
      <c r="B60" s="19"/>
      <c r="C60" s="19"/>
      <c r="D60" s="20"/>
      <c r="E60" s="170" t="s">
        <v>0</v>
      </c>
      <c r="F60" s="171"/>
      <c r="G60" s="171"/>
      <c r="H60" s="171"/>
      <c r="I60" s="172"/>
      <c r="J60" s="173">
        <f>SUM(J51:K59)</f>
        <v>0</v>
      </c>
      <c r="K60" s="174"/>
      <c r="L60" s="173">
        <f>SUM(L51:M59)</f>
        <v>0</v>
      </c>
      <c r="M60" s="174"/>
      <c r="N60" s="173">
        <f>SUM(N51:O59)</f>
        <v>1650</v>
      </c>
      <c r="O60" s="174"/>
      <c r="P60" s="173">
        <f>SUM(P51:Q59)</f>
        <v>0</v>
      </c>
      <c r="Q60" s="174"/>
      <c r="R60" s="23">
        <f>SUM(R51:R59)</f>
        <v>75</v>
      </c>
      <c r="S60" s="24" t="s">
        <v>20</v>
      </c>
      <c r="T60" s="19"/>
      <c r="U60" s="177"/>
      <c r="V60" s="178"/>
      <c r="W60" s="179"/>
    </row>
    <row r="61" spans="1:23" ht="14.55" customHeight="1" x14ac:dyDescent="0.3">
      <c r="A61" s="27"/>
      <c r="B61" s="27"/>
      <c r="C61" s="27"/>
      <c r="D61" s="27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27"/>
      <c r="S61" s="27"/>
      <c r="T61" s="39"/>
      <c r="U61" s="39"/>
      <c r="V61" s="39"/>
      <c r="W61" s="39"/>
    </row>
    <row r="62" spans="1:23" x14ac:dyDescent="0.3">
      <c r="E62" s="170" t="s">
        <v>31</v>
      </c>
      <c r="F62" s="171"/>
      <c r="G62" s="171"/>
      <c r="H62" s="171"/>
      <c r="I62" s="172"/>
      <c r="J62" s="175" t="s">
        <v>7</v>
      </c>
      <c r="K62" s="176"/>
      <c r="L62" s="175" t="s">
        <v>8</v>
      </c>
      <c r="M62" s="176"/>
      <c r="N62" s="175" t="s">
        <v>9</v>
      </c>
      <c r="O62" s="176"/>
      <c r="P62" s="175" t="s">
        <v>16</v>
      </c>
      <c r="Q62" s="176"/>
    </row>
    <row r="63" spans="1:23" s="2" customFormat="1" x14ac:dyDescent="0.3">
      <c r="E63" s="15"/>
      <c r="F63" s="15"/>
      <c r="G63" s="15"/>
      <c r="H63" s="15"/>
      <c r="I63" s="15"/>
      <c r="J63" s="30">
        <f>J40+J50+J60</f>
        <v>103</v>
      </c>
      <c r="K63" s="31" t="s">
        <v>17</v>
      </c>
      <c r="L63" s="30">
        <f>L40+L50+L60</f>
        <v>0</v>
      </c>
      <c r="M63" s="31" t="s">
        <v>17</v>
      </c>
      <c r="N63" s="30">
        <f>N40+N50+N60</f>
        <v>4150</v>
      </c>
      <c r="O63" s="31" t="s">
        <v>17</v>
      </c>
      <c r="P63" s="30">
        <f>P40+P50+P60</f>
        <v>0</v>
      </c>
      <c r="Q63" s="34" t="s">
        <v>17</v>
      </c>
    </row>
    <row r="64" spans="1:23" ht="24.45" customHeight="1" x14ac:dyDescent="0.3">
      <c r="E64" s="28"/>
      <c r="F64" s="28"/>
      <c r="G64" s="28"/>
      <c r="H64" s="28"/>
      <c r="I64" s="28"/>
      <c r="J64" s="167">
        <f>J63+L63+N63+P63</f>
        <v>4253</v>
      </c>
      <c r="K64" s="168"/>
      <c r="L64" s="168"/>
      <c r="M64" s="168"/>
      <c r="N64" s="168"/>
      <c r="O64" s="168"/>
      <c r="P64" s="168"/>
      <c r="Q64" s="169"/>
    </row>
    <row r="65" spans="1:23" ht="30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 spans="1:23" s="37" customFormat="1" ht="19.95" customHeight="1" x14ac:dyDescent="0.4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214" t="s">
        <v>14</v>
      </c>
      <c r="R66" s="215"/>
      <c r="S66" s="216"/>
      <c r="T66" s="184">
        <f>T3</f>
        <v>45916</v>
      </c>
      <c r="U66" s="185"/>
      <c r="V66" s="185"/>
      <c r="W66" s="186"/>
    </row>
    <row r="67" spans="1:23" s="16" customFormat="1" ht="30" customHeight="1" x14ac:dyDescent="0.3">
      <c r="A67" s="187" t="s">
        <v>26</v>
      </c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9"/>
      <c r="Q67" s="189"/>
      <c r="R67" s="189"/>
      <c r="S67" s="189"/>
      <c r="T67" s="188"/>
      <c r="U67" s="188"/>
      <c r="V67" s="188"/>
      <c r="W67" s="190"/>
    </row>
    <row r="68" spans="1:23" s="26" customFormat="1" ht="13.8" x14ac:dyDescent="0.3">
      <c r="A68" s="191" t="s">
        <v>1</v>
      </c>
      <c r="B68" s="192" t="s">
        <v>2</v>
      </c>
      <c r="C68" s="192" t="s">
        <v>3</v>
      </c>
      <c r="D68" s="192" t="s">
        <v>4</v>
      </c>
      <c r="E68" s="193" t="s">
        <v>5</v>
      </c>
      <c r="F68" s="197"/>
      <c r="G68" s="197"/>
      <c r="H68" s="197"/>
      <c r="I68" s="198"/>
      <c r="J68" s="193" t="s">
        <v>6</v>
      </c>
      <c r="K68" s="197"/>
      <c r="L68" s="197"/>
      <c r="M68" s="197"/>
      <c r="N68" s="197"/>
      <c r="O68" s="197"/>
      <c r="P68" s="197"/>
      <c r="Q68" s="198"/>
      <c r="R68" s="193" t="s">
        <v>10</v>
      </c>
      <c r="S68" s="198"/>
      <c r="T68" s="191" t="s">
        <v>11</v>
      </c>
      <c r="U68" s="191" t="s">
        <v>12</v>
      </c>
      <c r="V68" s="191"/>
      <c r="W68" s="191"/>
    </row>
    <row r="69" spans="1:23" s="26" customFormat="1" ht="13.8" x14ac:dyDescent="0.3">
      <c r="A69" s="191"/>
      <c r="B69" s="192"/>
      <c r="C69" s="192"/>
      <c r="D69" s="192"/>
      <c r="E69" s="194"/>
      <c r="F69" s="217"/>
      <c r="G69" s="217"/>
      <c r="H69" s="217"/>
      <c r="I69" s="199"/>
      <c r="J69" s="200" t="s">
        <v>7</v>
      </c>
      <c r="K69" s="201"/>
      <c r="L69" s="200" t="s">
        <v>8</v>
      </c>
      <c r="M69" s="201"/>
      <c r="N69" s="200" t="s">
        <v>9</v>
      </c>
      <c r="O69" s="201"/>
      <c r="P69" s="200" t="s">
        <v>16</v>
      </c>
      <c r="Q69" s="201"/>
      <c r="R69" s="194"/>
      <c r="S69" s="199"/>
      <c r="T69" s="191"/>
      <c r="U69" s="191"/>
      <c r="V69" s="191"/>
      <c r="W69" s="191"/>
    </row>
    <row r="70" spans="1:23" x14ac:dyDescent="0.3">
      <c r="A70" s="180" t="s">
        <v>58</v>
      </c>
      <c r="B70" s="5">
        <v>0.33333333333333331</v>
      </c>
      <c r="C70" s="5"/>
      <c r="D70" s="4">
        <v>250062</v>
      </c>
      <c r="E70" s="211" t="s">
        <v>87</v>
      </c>
      <c r="F70" s="212"/>
      <c r="G70" s="212"/>
      <c r="H70" s="212"/>
      <c r="I70" s="213"/>
      <c r="J70" s="165">
        <v>120</v>
      </c>
      <c r="K70" s="166"/>
      <c r="L70" s="165"/>
      <c r="M70" s="166"/>
      <c r="N70" s="165"/>
      <c r="O70" s="166"/>
      <c r="P70" s="165"/>
      <c r="Q70" s="166"/>
      <c r="R70" s="44"/>
      <c r="S70" s="6" t="s">
        <v>20</v>
      </c>
      <c r="T70" s="3"/>
      <c r="U70" s="202" t="s">
        <v>95</v>
      </c>
      <c r="V70" s="203"/>
      <c r="W70" s="204"/>
    </row>
    <row r="71" spans="1:23" x14ac:dyDescent="0.3">
      <c r="A71" s="163"/>
      <c r="B71" s="5"/>
      <c r="C71" s="5"/>
      <c r="D71" s="4">
        <v>250062</v>
      </c>
      <c r="E71" s="211" t="s">
        <v>88</v>
      </c>
      <c r="F71" s="212"/>
      <c r="G71" s="212"/>
      <c r="H71" s="212"/>
      <c r="I71" s="213"/>
      <c r="J71" s="165">
        <v>152</v>
      </c>
      <c r="K71" s="166"/>
      <c r="L71" s="165"/>
      <c r="M71" s="166"/>
      <c r="N71" s="165"/>
      <c r="O71" s="166"/>
      <c r="P71" s="165"/>
      <c r="Q71" s="166"/>
      <c r="R71" s="44">
        <v>30</v>
      </c>
      <c r="S71" s="6" t="s">
        <v>20</v>
      </c>
      <c r="T71" s="3" t="s">
        <v>93</v>
      </c>
      <c r="U71" s="205"/>
      <c r="V71" s="206"/>
      <c r="W71" s="207"/>
    </row>
    <row r="72" spans="1:23" x14ac:dyDescent="0.3">
      <c r="A72" s="163"/>
      <c r="B72" s="5"/>
      <c r="C72" s="5"/>
      <c r="D72" s="4">
        <v>250048</v>
      </c>
      <c r="E72" s="211" t="s">
        <v>89</v>
      </c>
      <c r="F72" s="212"/>
      <c r="G72" s="212"/>
      <c r="H72" s="212"/>
      <c r="I72" s="213"/>
      <c r="J72" s="165">
        <v>580</v>
      </c>
      <c r="K72" s="166"/>
      <c r="L72" s="165"/>
      <c r="M72" s="166"/>
      <c r="N72" s="165"/>
      <c r="O72" s="166"/>
      <c r="P72" s="165"/>
      <c r="Q72" s="166"/>
      <c r="R72" s="44">
        <v>30</v>
      </c>
      <c r="S72" s="6" t="s">
        <v>20</v>
      </c>
      <c r="T72" s="3" t="s">
        <v>93</v>
      </c>
      <c r="U72" s="205"/>
      <c r="V72" s="206"/>
      <c r="W72" s="207"/>
    </row>
    <row r="73" spans="1:23" x14ac:dyDescent="0.3">
      <c r="A73" s="163"/>
      <c r="B73" s="5"/>
      <c r="C73" s="5"/>
      <c r="D73" s="4">
        <v>250046</v>
      </c>
      <c r="E73" s="211" t="s">
        <v>90</v>
      </c>
      <c r="F73" s="212"/>
      <c r="G73" s="212"/>
      <c r="H73" s="212"/>
      <c r="I73" s="213"/>
      <c r="J73" s="165">
        <v>966</v>
      </c>
      <c r="K73" s="166"/>
      <c r="L73" s="165"/>
      <c r="M73" s="166"/>
      <c r="N73" s="165"/>
      <c r="O73" s="166"/>
      <c r="P73" s="165"/>
      <c r="Q73" s="166"/>
      <c r="R73" s="44">
        <v>15</v>
      </c>
      <c r="S73" s="6" t="s">
        <v>20</v>
      </c>
      <c r="T73" s="3" t="s">
        <v>94</v>
      </c>
      <c r="U73" s="205"/>
      <c r="V73" s="206"/>
      <c r="W73" s="207"/>
    </row>
    <row r="74" spans="1:23" x14ac:dyDescent="0.3">
      <c r="A74" s="163"/>
      <c r="B74" s="5"/>
      <c r="C74" s="5"/>
      <c r="D74" s="4">
        <v>250048</v>
      </c>
      <c r="E74" s="211" t="s">
        <v>91</v>
      </c>
      <c r="F74" s="212"/>
      <c r="G74" s="212"/>
      <c r="H74" s="212"/>
      <c r="I74" s="213"/>
      <c r="J74" s="165">
        <v>577</v>
      </c>
      <c r="K74" s="166"/>
      <c r="L74" s="165"/>
      <c r="M74" s="166"/>
      <c r="N74" s="165"/>
      <c r="O74" s="166"/>
      <c r="P74" s="165"/>
      <c r="Q74" s="166"/>
      <c r="R74" s="44"/>
      <c r="S74" s="6" t="s">
        <v>20</v>
      </c>
      <c r="T74" s="3"/>
      <c r="U74" s="205"/>
      <c r="V74" s="206"/>
      <c r="W74" s="207"/>
    </row>
    <row r="75" spans="1:23" x14ac:dyDescent="0.3">
      <c r="A75" s="163"/>
      <c r="B75" s="5"/>
      <c r="C75" s="5">
        <v>0.70833333333333337</v>
      </c>
      <c r="D75" s="4">
        <v>250048</v>
      </c>
      <c r="E75" s="211" t="s">
        <v>92</v>
      </c>
      <c r="F75" s="212"/>
      <c r="G75" s="212"/>
      <c r="H75" s="212"/>
      <c r="I75" s="213"/>
      <c r="J75" s="165">
        <v>288</v>
      </c>
      <c r="K75" s="166"/>
      <c r="L75" s="165"/>
      <c r="M75" s="166"/>
      <c r="N75" s="165"/>
      <c r="O75" s="166"/>
      <c r="P75" s="165"/>
      <c r="Q75" s="166"/>
      <c r="R75" s="44">
        <v>60</v>
      </c>
      <c r="S75" s="6" t="s">
        <v>20</v>
      </c>
      <c r="T75" s="3" t="s">
        <v>96</v>
      </c>
      <c r="U75" s="205"/>
      <c r="V75" s="206"/>
      <c r="W75" s="207"/>
    </row>
    <row r="76" spans="1:23" x14ac:dyDescent="0.3">
      <c r="A76" s="163"/>
      <c r="B76" s="5"/>
      <c r="C76" s="5"/>
      <c r="D76" s="4"/>
      <c r="E76" s="211"/>
      <c r="F76" s="212"/>
      <c r="G76" s="212"/>
      <c r="H76" s="212"/>
      <c r="I76" s="213"/>
      <c r="J76" s="165"/>
      <c r="K76" s="166"/>
      <c r="L76" s="165"/>
      <c r="M76" s="166"/>
      <c r="N76" s="165"/>
      <c r="O76" s="166"/>
      <c r="P76" s="165"/>
      <c r="Q76" s="166"/>
      <c r="R76" s="44"/>
      <c r="S76" s="6" t="s">
        <v>20</v>
      </c>
      <c r="T76" s="3"/>
      <c r="U76" s="205"/>
      <c r="V76" s="206"/>
      <c r="W76" s="207"/>
    </row>
    <row r="77" spans="1:23" x14ac:dyDescent="0.3">
      <c r="A77" s="164"/>
      <c r="B77" s="19"/>
      <c r="C77" s="19"/>
      <c r="D77" s="20"/>
      <c r="E77" s="170" t="s">
        <v>0</v>
      </c>
      <c r="F77" s="171"/>
      <c r="G77" s="171"/>
      <c r="H77" s="171"/>
      <c r="I77" s="172"/>
      <c r="J77" s="173">
        <f>SUM(J70:J76)</f>
        <v>2683</v>
      </c>
      <c r="K77" s="174"/>
      <c r="L77" s="173">
        <f>SUM(L70:L76)</f>
        <v>0</v>
      </c>
      <c r="M77" s="174"/>
      <c r="N77" s="173">
        <f>SUM(N70:N76)</f>
        <v>0</v>
      </c>
      <c r="O77" s="174"/>
      <c r="P77" s="173">
        <f>SUM(P70:P76)</f>
        <v>0</v>
      </c>
      <c r="Q77" s="174"/>
      <c r="R77" s="23">
        <f>SUM(R70:R76)</f>
        <v>135</v>
      </c>
      <c r="S77" s="24" t="s">
        <v>20</v>
      </c>
      <c r="T77" s="19"/>
      <c r="U77" s="208"/>
      <c r="V77" s="209"/>
      <c r="W77" s="210"/>
    </row>
    <row r="78" spans="1:23" x14ac:dyDescent="0.3">
      <c r="A78" s="180" t="s">
        <v>15</v>
      </c>
      <c r="B78" s="5">
        <v>0.33333333333333331</v>
      </c>
      <c r="C78" s="5"/>
      <c r="D78" s="4">
        <v>225066</v>
      </c>
      <c r="E78" s="211" t="s">
        <v>97</v>
      </c>
      <c r="F78" s="212"/>
      <c r="G78" s="212"/>
      <c r="H78" s="212"/>
      <c r="I78" s="213"/>
      <c r="J78" s="165">
        <v>780</v>
      </c>
      <c r="K78" s="166"/>
      <c r="L78" s="165"/>
      <c r="M78" s="166"/>
      <c r="N78" s="165"/>
      <c r="O78" s="166"/>
      <c r="P78" s="165"/>
      <c r="Q78" s="166"/>
      <c r="R78" s="44"/>
      <c r="S78" s="6" t="s">
        <v>20</v>
      </c>
      <c r="T78" s="3"/>
      <c r="U78" s="202" t="s">
        <v>74</v>
      </c>
      <c r="V78" s="203"/>
      <c r="W78" s="204"/>
    </row>
    <row r="79" spans="1:23" x14ac:dyDescent="0.3">
      <c r="A79" s="163"/>
      <c r="B79" s="5"/>
      <c r="C79" s="5"/>
      <c r="D79" s="4">
        <v>250062</v>
      </c>
      <c r="E79" s="211" t="s">
        <v>98</v>
      </c>
      <c r="F79" s="212"/>
      <c r="G79" s="212"/>
      <c r="H79" s="212"/>
      <c r="I79" s="213"/>
      <c r="J79" s="165">
        <v>131</v>
      </c>
      <c r="K79" s="166"/>
      <c r="L79" s="165"/>
      <c r="M79" s="166"/>
      <c r="N79" s="165"/>
      <c r="O79" s="166"/>
      <c r="P79" s="165"/>
      <c r="Q79" s="166"/>
      <c r="R79" s="44">
        <v>15</v>
      </c>
      <c r="S79" s="6" t="s">
        <v>20</v>
      </c>
      <c r="T79" s="3" t="s">
        <v>94</v>
      </c>
      <c r="U79" s="205"/>
      <c r="V79" s="206"/>
      <c r="W79" s="207"/>
    </row>
    <row r="80" spans="1:23" x14ac:dyDescent="0.3">
      <c r="A80" s="163"/>
      <c r="B80" s="5"/>
      <c r="C80" s="5"/>
      <c r="D80" s="4">
        <v>225066</v>
      </c>
      <c r="E80" s="211" t="s">
        <v>99</v>
      </c>
      <c r="F80" s="212"/>
      <c r="G80" s="212"/>
      <c r="H80" s="212"/>
      <c r="I80" s="213"/>
      <c r="J80" s="165">
        <v>1550</v>
      </c>
      <c r="K80" s="166"/>
      <c r="L80" s="165"/>
      <c r="M80" s="166"/>
      <c r="N80" s="165"/>
      <c r="O80" s="166"/>
      <c r="P80" s="165"/>
      <c r="Q80" s="166"/>
      <c r="R80" s="46">
        <v>30</v>
      </c>
      <c r="S80" s="6" t="s">
        <v>20</v>
      </c>
      <c r="T80" s="3" t="s">
        <v>93</v>
      </c>
      <c r="U80" s="205"/>
      <c r="V80" s="206"/>
      <c r="W80" s="207"/>
    </row>
    <row r="81" spans="1:23" x14ac:dyDescent="0.3">
      <c r="A81" s="163"/>
      <c r="B81" s="5"/>
      <c r="C81" s="5"/>
      <c r="D81" s="4">
        <v>225065</v>
      </c>
      <c r="E81" s="211" t="s">
        <v>100</v>
      </c>
      <c r="F81" s="212"/>
      <c r="G81" s="212"/>
      <c r="H81" s="212"/>
      <c r="I81" s="213"/>
      <c r="J81" s="165">
        <v>1557</v>
      </c>
      <c r="K81" s="166"/>
      <c r="L81" s="165"/>
      <c r="M81" s="166"/>
      <c r="N81" s="165"/>
      <c r="O81" s="166"/>
      <c r="P81" s="165"/>
      <c r="Q81" s="166"/>
      <c r="R81" s="46">
        <v>15</v>
      </c>
      <c r="S81" s="6" t="s">
        <v>20</v>
      </c>
      <c r="T81" s="3" t="s">
        <v>94</v>
      </c>
      <c r="U81" s="205"/>
      <c r="V81" s="206"/>
      <c r="W81" s="207"/>
    </row>
    <row r="82" spans="1:23" x14ac:dyDescent="0.3">
      <c r="A82" s="163"/>
      <c r="B82" s="5"/>
      <c r="C82" s="5">
        <v>0.70833333333333337</v>
      </c>
      <c r="D82" s="4">
        <v>250074</v>
      </c>
      <c r="E82" s="211" t="s">
        <v>202</v>
      </c>
      <c r="F82" s="212"/>
      <c r="G82" s="212"/>
      <c r="H82" s="212"/>
      <c r="I82" s="213"/>
      <c r="J82" s="165"/>
      <c r="K82" s="166"/>
      <c r="L82" s="165"/>
      <c r="M82" s="166"/>
      <c r="N82" s="165">
        <v>276</v>
      </c>
      <c r="O82" s="166"/>
      <c r="P82" s="165"/>
      <c r="Q82" s="166"/>
      <c r="R82" s="46">
        <v>30</v>
      </c>
      <c r="S82" s="6" t="s">
        <v>20</v>
      </c>
      <c r="T82" s="3" t="s">
        <v>93</v>
      </c>
      <c r="U82" s="205"/>
      <c r="V82" s="206"/>
      <c r="W82" s="207"/>
    </row>
    <row r="83" spans="1:23" x14ac:dyDescent="0.3">
      <c r="A83" s="163"/>
      <c r="B83" s="5"/>
      <c r="C83" s="5"/>
      <c r="D83" s="4"/>
      <c r="E83" s="211"/>
      <c r="F83" s="212"/>
      <c r="G83" s="212"/>
      <c r="H83" s="212"/>
      <c r="I83" s="213"/>
      <c r="J83" s="165"/>
      <c r="K83" s="166"/>
      <c r="L83" s="165"/>
      <c r="M83" s="166"/>
      <c r="N83" s="165"/>
      <c r="O83" s="166"/>
      <c r="P83" s="165"/>
      <c r="Q83" s="166"/>
      <c r="R83" s="44"/>
      <c r="S83" s="6" t="s">
        <v>20</v>
      </c>
      <c r="T83" s="3"/>
      <c r="U83" s="205"/>
      <c r="V83" s="206"/>
      <c r="W83" s="207"/>
    </row>
    <row r="84" spans="1:23" x14ac:dyDescent="0.3">
      <c r="A84" s="164"/>
      <c r="B84" s="19"/>
      <c r="C84" s="19"/>
      <c r="D84" s="20"/>
      <c r="E84" s="170" t="s">
        <v>0</v>
      </c>
      <c r="F84" s="171"/>
      <c r="G84" s="171"/>
      <c r="H84" s="171"/>
      <c r="I84" s="172"/>
      <c r="J84" s="173">
        <f>SUM(J78:J83)</f>
        <v>4018</v>
      </c>
      <c r="K84" s="174"/>
      <c r="L84" s="173">
        <f>SUM(L78:L83)</f>
        <v>0</v>
      </c>
      <c r="M84" s="174"/>
      <c r="N84" s="173">
        <f>SUM(N78:N83)</f>
        <v>276</v>
      </c>
      <c r="O84" s="174"/>
      <c r="P84" s="173">
        <f>SUM(P73:P83)</f>
        <v>0</v>
      </c>
      <c r="Q84" s="174"/>
      <c r="R84" s="23">
        <f>SUM(R78:R83)</f>
        <v>90</v>
      </c>
      <c r="S84" s="24" t="s">
        <v>20</v>
      </c>
      <c r="T84" s="7"/>
      <c r="U84" s="208"/>
      <c r="V84" s="209"/>
      <c r="W84" s="210"/>
    </row>
    <row r="85" spans="1:23" x14ac:dyDescent="0.3">
      <c r="A85" s="180" t="s">
        <v>37</v>
      </c>
      <c r="B85" s="5"/>
      <c r="C85" s="5"/>
      <c r="D85" s="4"/>
      <c r="E85" s="211"/>
      <c r="F85" s="212"/>
      <c r="G85" s="212"/>
      <c r="H85" s="212"/>
      <c r="I85" s="213"/>
      <c r="J85" s="165"/>
      <c r="K85" s="166"/>
      <c r="L85" s="165"/>
      <c r="M85" s="166"/>
      <c r="N85" s="165"/>
      <c r="O85" s="166"/>
      <c r="P85" s="165"/>
      <c r="Q85" s="166"/>
      <c r="R85" s="44"/>
      <c r="S85" s="6" t="s">
        <v>20</v>
      </c>
      <c r="T85" s="3"/>
      <c r="U85" s="202" t="s">
        <v>73</v>
      </c>
      <c r="V85" s="203"/>
      <c r="W85" s="204"/>
    </row>
    <row r="86" spans="1:23" x14ac:dyDescent="0.3">
      <c r="A86" s="163"/>
      <c r="B86" s="5"/>
      <c r="C86" s="5"/>
      <c r="D86" s="4"/>
      <c r="E86" s="211"/>
      <c r="F86" s="212"/>
      <c r="G86" s="212"/>
      <c r="H86" s="212"/>
      <c r="I86" s="213"/>
      <c r="J86" s="165"/>
      <c r="K86" s="166"/>
      <c r="L86" s="165"/>
      <c r="M86" s="166"/>
      <c r="N86" s="165"/>
      <c r="O86" s="166"/>
      <c r="P86" s="165"/>
      <c r="Q86" s="166"/>
      <c r="R86" s="44"/>
      <c r="S86" s="6" t="s">
        <v>20</v>
      </c>
      <c r="T86" s="3"/>
      <c r="U86" s="205"/>
      <c r="V86" s="206"/>
      <c r="W86" s="207"/>
    </row>
    <row r="87" spans="1:23" x14ac:dyDescent="0.3">
      <c r="A87" s="163"/>
      <c r="B87" s="5"/>
      <c r="C87" s="5"/>
      <c r="D87" s="4"/>
      <c r="E87" s="211"/>
      <c r="F87" s="212"/>
      <c r="G87" s="212"/>
      <c r="H87" s="212"/>
      <c r="I87" s="213"/>
      <c r="J87" s="165"/>
      <c r="K87" s="166"/>
      <c r="L87" s="165"/>
      <c r="M87" s="166"/>
      <c r="N87" s="165"/>
      <c r="O87" s="166"/>
      <c r="P87" s="165"/>
      <c r="Q87" s="166"/>
      <c r="R87" s="44"/>
      <c r="S87" s="6" t="s">
        <v>20</v>
      </c>
      <c r="T87" s="3"/>
      <c r="U87" s="205"/>
      <c r="V87" s="206"/>
      <c r="W87" s="207"/>
    </row>
    <row r="88" spans="1:23" x14ac:dyDescent="0.3">
      <c r="A88" s="164"/>
      <c r="B88" s="19"/>
      <c r="C88" s="19"/>
      <c r="D88" s="20"/>
      <c r="E88" s="170" t="s">
        <v>0</v>
      </c>
      <c r="F88" s="171"/>
      <c r="G88" s="171"/>
      <c r="H88" s="171"/>
      <c r="I88" s="172"/>
      <c r="J88" s="173">
        <f>SUM(J85:J87)</f>
        <v>0</v>
      </c>
      <c r="K88" s="174"/>
      <c r="L88" s="173">
        <f>SUM(L85:L87)</f>
        <v>0</v>
      </c>
      <c r="M88" s="174"/>
      <c r="N88" s="173">
        <f>SUM(N85:N87)</f>
        <v>0</v>
      </c>
      <c r="O88" s="174"/>
      <c r="P88" s="173">
        <f>SUM(P85:P87)</f>
        <v>0</v>
      </c>
      <c r="Q88" s="174"/>
      <c r="R88" s="23">
        <f>SUM(R85:R87)</f>
        <v>0</v>
      </c>
      <c r="S88" s="24" t="s">
        <v>20</v>
      </c>
      <c r="T88" s="19"/>
      <c r="U88" s="208"/>
      <c r="V88" s="209"/>
      <c r="W88" s="210"/>
    </row>
    <row r="89" spans="1:23" x14ac:dyDescent="0.3">
      <c r="A89" s="180" t="s">
        <v>36</v>
      </c>
      <c r="B89" s="5"/>
      <c r="C89" s="5"/>
      <c r="D89" s="4"/>
      <c r="E89" s="211"/>
      <c r="F89" s="212"/>
      <c r="G89" s="212"/>
      <c r="H89" s="212"/>
      <c r="I89" s="213"/>
      <c r="J89" s="165"/>
      <c r="K89" s="166"/>
      <c r="L89" s="165"/>
      <c r="M89" s="166"/>
      <c r="N89" s="165"/>
      <c r="O89" s="166"/>
      <c r="P89" s="165"/>
      <c r="Q89" s="166"/>
      <c r="R89" s="44"/>
      <c r="S89" s="6" t="s">
        <v>20</v>
      </c>
      <c r="T89" s="3"/>
      <c r="U89" s="202"/>
      <c r="V89" s="203"/>
      <c r="W89" s="204"/>
    </row>
    <row r="90" spans="1:23" x14ac:dyDescent="0.3">
      <c r="A90" s="163"/>
      <c r="B90" s="5"/>
      <c r="C90" s="5"/>
      <c r="D90" s="4"/>
      <c r="E90" s="211"/>
      <c r="F90" s="212"/>
      <c r="G90" s="212"/>
      <c r="H90" s="212"/>
      <c r="I90" s="213"/>
      <c r="J90" s="165"/>
      <c r="K90" s="166"/>
      <c r="L90" s="165"/>
      <c r="M90" s="166"/>
      <c r="N90" s="165"/>
      <c r="O90" s="166"/>
      <c r="P90" s="165"/>
      <c r="Q90" s="166"/>
      <c r="R90" s="44"/>
      <c r="S90" s="6" t="s">
        <v>20</v>
      </c>
      <c r="T90" s="3"/>
      <c r="U90" s="205"/>
      <c r="V90" s="206"/>
      <c r="W90" s="207"/>
    </row>
    <row r="91" spans="1:23" x14ac:dyDescent="0.3">
      <c r="A91" s="163"/>
      <c r="B91" s="5"/>
      <c r="C91" s="5"/>
      <c r="D91" s="4"/>
      <c r="E91" s="211"/>
      <c r="F91" s="212"/>
      <c r="G91" s="212"/>
      <c r="H91" s="212"/>
      <c r="I91" s="213"/>
      <c r="J91" s="165"/>
      <c r="K91" s="166"/>
      <c r="L91" s="165"/>
      <c r="M91" s="166"/>
      <c r="N91" s="165"/>
      <c r="O91" s="166"/>
      <c r="P91" s="165"/>
      <c r="Q91" s="166"/>
      <c r="R91" s="44"/>
      <c r="S91" s="6" t="s">
        <v>20</v>
      </c>
      <c r="T91" s="3"/>
      <c r="U91" s="205"/>
      <c r="V91" s="206"/>
      <c r="W91" s="207"/>
    </row>
    <row r="92" spans="1:23" x14ac:dyDescent="0.3">
      <c r="A92" s="164"/>
      <c r="B92" s="19"/>
      <c r="C92" s="19"/>
      <c r="D92" s="20"/>
      <c r="E92" s="170" t="s">
        <v>0</v>
      </c>
      <c r="F92" s="171"/>
      <c r="G92" s="171"/>
      <c r="H92" s="171"/>
      <c r="I92" s="172"/>
      <c r="J92" s="173">
        <f>SUM(J89:J91)</f>
        <v>0</v>
      </c>
      <c r="K92" s="174"/>
      <c r="L92" s="173">
        <f>SUM(L89:L91)</f>
        <v>0</v>
      </c>
      <c r="M92" s="174"/>
      <c r="N92" s="173">
        <f>SUM(N89:N91)</f>
        <v>0</v>
      </c>
      <c r="O92" s="174"/>
      <c r="P92" s="173">
        <f>SUM(P89:P91)</f>
        <v>0</v>
      </c>
      <c r="Q92" s="174"/>
      <c r="R92" s="23">
        <f>SUM(R89:R91)</f>
        <v>0</v>
      </c>
      <c r="S92" s="24" t="s">
        <v>20</v>
      </c>
      <c r="T92" s="19"/>
      <c r="U92" s="208"/>
      <c r="V92" s="209"/>
      <c r="W92" s="210"/>
    </row>
    <row r="93" spans="1:23" x14ac:dyDescent="0.3">
      <c r="E93" s="28"/>
      <c r="F93" s="28"/>
      <c r="G93" s="28"/>
      <c r="H93" s="28"/>
      <c r="I93" s="28"/>
      <c r="J93" s="29"/>
      <c r="K93" s="29"/>
      <c r="L93" s="29"/>
      <c r="M93" s="29"/>
      <c r="N93" s="29"/>
      <c r="O93" s="29"/>
      <c r="P93" s="29"/>
      <c r="Q93" s="29"/>
    </row>
    <row r="94" spans="1:23" x14ac:dyDescent="0.3">
      <c r="E94" s="170" t="s">
        <v>28</v>
      </c>
      <c r="F94" s="171"/>
      <c r="G94" s="171"/>
      <c r="H94" s="171"/>
      <c r="I94" s="172"/>
      <c r="J94" s="175" t="s">
        <v>7</v>
      </c>
      <c r="K94" s="176"/>
      <c r="L94" s="175" t="s">
        <v>8</v>
      </c>
      <c r="M94" s="176"/>
      <c r="N94" s="175" t="s">
        <v>9</v>
      </c>
      <c r="O94" s="176"/>
      <c r="P94" s="175" t="s">
        <v>16</v>
      </c>
      <c r="Q94" s="176"/>
    </row>
    <row r="95" spans="1:23" s="2" customFormat="1" x14ac:dyDescent="0.3">
      <c r="E95" s="15"/>
      <c r="F95" s="15"/>
      <c r="G95" s="15"/>
      <c r="H95" s="15"/>
      <c r="I95" s="15"/>
      <c r="J95" s="30">
        <f>J77+J84</f>
        <v>6701</v>
      </c>
      <c r="K95" s="31" t="s">
        <v>17</v>
      </c>
      <c r="L95" s="32">
        <f>L77+L84</f>
        <v>0</v>
      </c>
      <c r="M95" s="31" t="s">
        <v>17</v>
      </c>
      <c r="N95" s="32">
        <f>N77+N84</f>
        <v>276</v>
      </c>
      <c r="O95" s="31" t="s">
        <v>17</v>
      </c>
      <c r="P95" s="33">
        <f>P88+P92</f>
        <v>0</v>
      </c>
      <c r="Q95" s="34" t="s">
        <v>17</v>
      </c>
    </row>
    <row r="96" spans="1:23" ht="24.45" customHeight="1" x14ac:dyDescent="0.3">
      <c r="E96" s="28"/>
      <c r="F96" s="28"/>
      <c r="G96" s="28"/>
      <c r="H96" s="28"/>
      <c r="I96" s="28"/>
      <c r="J96" s="167">
        <f>J95+L95+N95+P95</f>
        <v>6977</v>
      </c>
      <c r="K96" s="168"/>
      <c r="L96" s="168"/>
      <c r="M96" s="168"/>
      <c r="N96" s="168"/>
      <c r="O96" s="168"/>
      <c r="P96" s="168"/>
      <c r="Q96" s="169"/>
    </row>
  </sheetData>
  <mergeCells count="385">
    <mergeCell ref="P82:Q82"/>
    <mergeCell ref="E94:I94"/>
    <mergeCell ref="J94:K94"/>
    <mergeCell ref="L94:M94"/>
    <mergeCell ref="N94:O94"/>
    <mergeCell ref="P94:Q94"/>
    <mergeCell ref="J96:Q96"/>
    <mergeCell ref="N91:O91"/>
    <mergeCell ref="P91:Q91"/>
    <mergeCell ref="E92:I92"/>
    <mergeCell ref="J92:K92"/>
    <mergeCell ref="L92:M92"/>
    <mergeCell ref="N92:O92"/>
    <mergeCell ref="P92:Q92"/>
    <mergeCell ref="E88:I88"/>
    <mergeCell ref="J88:K88"/>
    <mergeCell ref="L88:M88"/>
    <mergeCell ref="N88:O88"/>
    <mergeCell ref="P88:Q88"/>
    <mergeCell ref="L82:M82"/>
    <mergeCell ref="N82:O82"/>
    <mergeCell ref="U89:W92"/>
    <mergeCell ref="E90:I90"/>
    <mergeCell ref="J90:K90"/>
    <mergeCell ref="L90:M90"/>
    <mergeCell ref="N90:O90"/>
    <mergeCell ref="P90:Q90"/>
    <mergeCell ref="E91:I91"/>
    <mergeCell ref="J91:K91"/>
    <mergeCell ref="L91:M91"/>
    <mergeCell ref="A89:A92"/>
    <mergeCell ref="E89:I89"/>
    <mergeCell ref="J89:K89"/>
    <mergeCell ref="L89:M89"/>
    <mergeCell ref="N89:O89"/>
    <mergeCell ref="A85:A88"/>
    <mergeCell ref="P89:Q89"/>
    <mergeCell ref="E86:I86"/>
    <mergeCell ref="J86:K86"/>
    <mergeCell ref="L86:M86"/>
    <mergeCell ref="N86:O86"/>
    <mergeCell ref="P86:Q86"/>
    <mergeCell ref="E87:I87"/>
    <mergeCell ref="J87:K87"/>
    <mergeCell ref="L87:M87"/>
    <mergeCell ref="N87:O87"/>
    <mergeCell ref="P87:Q87"/>
    <mergeCell ref="U85:W88"/>
    <mergeCell ref="E85:I85"/>
    <mergeCell ref="J85:K85"/>
    <mergeCell ref="L85:M85"/>
    <mergeCell ref="N85:O85"/>
    <mergeCell ref="P85:Q85"/>
    <mergeCell ref="U78:W84"/>
    <mergeCell ref="E79:I79"/>
    <mergeCell ref="J79:K79"/>
    <mergeCell ref="L79:M79"/>
    <mergeCell ref="N79:O79"/>
    <mergeCell ref="P79:Q79"/>
    <mergeCell ref="E83:I83"/>
    <mergeCell ref="J83:K83"/>
    <mergeCell ref="L83:M83"/>
    <mergeCell ref="E80:I80"/>
    <mergeCell ref="J80:K80"/>
    <mergeCell ref="L80:M80"/>
    <mergeCell ref="N80:O80"/>
    <mergeCell ref="P80:Q80"/>
    <mergeCell ref="E81:I81"/>
    <mergeCell ref="J81:K81"/>
    <mergeCell ref="L81:M81"/>
    <mergeCell ref="N81:O81"/>
    <mergeCell ref="P81:Q81"/>
    <mergeCell ref="E82:I82"/>
    <mergeCell ref="E77:I77"/>
    <mergeCell ref="J77:K77"/>
    <mergeCell ref="L77:M77"/>
    <mergeCell ref="N77:O77"/>
    <mergeCell ref="P77:Q77"/>
    <mergeCell ref="A78:A84"/>
    <mergeCell ref="E78:I78"/>
    <mergeCell ref="J78:K78"/>
    <mergeCell ref="L78:M78"/>
    <mergeCell ref="N78:O78"/>
    <mergeCell ref="A70:A77"/>
    <mergeCell ref="J73:K73"/>
    <mergeCell ref="L73:M73"/>
    <mergeCell ref="N83:O83"/>
    <mergeCell ref="P83:Q83"/>
    <mergeCell ref="E84:I84"/>
    <mergeCell ref="J84:K84"/>
    <mergeCell ref="L84:M84"/>
    <mergeCell ref="N84:O84"/>
    <mergeCell ref="P84:Q84"/>
    <mergeCell ref="P78:Q78"/>
    <mergeCell ref="J82:K82"/>
    <mergeCell ref="E75:I75"/>
    <mergeCell ref="J75:K75"/>
    <mergeCell ref="L75:M75"/>
    <mergeCell ref="N75:O75"/>
    <mergeCell ref="P75:Q75"/>
    <mergeCell ref="E76:I76"/>
    <mergeCell ref="J76:K76"/>
    <mergeCell ref="L76:M76"/>
    <mergeCell ref="N76:O76"/>
    <mergeCell ref="P76:Q76"/>
    <mergeCell ref="N73:O73"/>
    <mergeCell ref="P73:Q73"/>
    <mergeCell ref="E74:I74"/>
    <mergeCell ref="J74:K74"/>
    <mergeCell ref="L74:M74"/>
    <mergeCell ref="N74:O74"/>
    <mergeCell ref="P74:Q74"/>
    <mergeCell ref="U70:W77"/>
    <mergeCell ref="E71:I71"/>
    <mergeCell ref="J71:K71"/>
    <mergeCell ref="L71:M71"/>
    <mergeCell ref="N71:O71"/>
    <mergeCell ref="P71:Q71"/>
    <mergeCell ref="E72:I72"/>
    <mergeCell ref="J72:K72"/>
    <mergeCell ref="L72:M72"/>
    <mergeCell ref="N72:O72"/>
    <mergeCell ref="E70:I70"/>
    <mergeCell ref="J70:K70"/>
    <mergeCell ref="L70:M70"/>
    <mergeCell ref="N70:O70"/>
    <mergeCell ref="P70:Q70"/>
    <mergeCell ref="P72:Q72"/>
    <mergeCell ref="E73:I73"/>
    <mergeCell ref="E62:I62"/>
    <mergeCell ref="J62:K62"/>
    <mergeCell ref="L62:M62"/>
    <mergeCell ref="N62:O62"/>
    <mergeCell ref="P62:Q62"/>
    <mergeCell ref="R68:S69"/>
    <mergeCell ref="T68:T69"/>
    <mergeCell ref="U68:W69"/>
    <mergeCell ref="J69:K69"/>
    <mergeCell ref="L69:M69"/>
    <mergeCell ref="N69:O69"/>
    <mergeCell ref="P69:Q69"/>
    <mergeCell ref="J64:Q64"/>
    <mergeCell ref="Q66:S66"/>
    <mergeCell ref="T66:W66"/>
    <mergeCell ref="A67:W67"/>
    <mergeCell ref="A68:A69"/>
    <mergeCell ref="B68:B69"/>
    <mergeCell ref="C68:C69"/>
    <mergeCell ref="D68:D69"/>
    <mergeCell ref="E68:I69"/>
    <mergeCell ref="J68:Q68"/>
    <mergeCell ref="U51:W60"/>
    <mergeCell ref="J52:K52"/>
    <mergeCell ref="L52:M52"/>
    <mergeCell ref="N52:O52"/>
    <mergeCell ref="P52:Q52"/>
    <mergeCell ref="J53:K53"/>
    <mergeCell ref="L53:M53"/>
    <mergeCell ref="N53:O53"/>
    <mergeCell ref="P53:Q53"/>
    <mergeCell ref="J54:K54"/>
    <mergeCell ref="J58:K58"/>
    <mergeCell ref="L58:M58"/>
    <mergeCell ref="N58:O58"/>
    <mergeCell ref="P58:Q58"/>
    <mergeCell ref="J59:K59"/>
    <mergeCell ref="L59:M59"/>
    <mergeCell ref="N59:O59"/>
    <mergeCell ref="P59:Q59"/>
    <mergeCell ref="J56:K56"/>
    <mergeCell ref="L56:M56"/>
    <mergeCell ref="N56:O56"/>
    <mergeCell ref="P56:Q56"/>
    <mergeCell ref="J57:K57"/>
    <mergeCell ref="L57:M57"/>
    <mergeCell ref="A51:A60"/>
    <mergeCell ref="J51:K51"/>
    <mergeCell ref="L51:M51"/>
    <mergeCell ref="N51:O51"/>
    <mergeCell ref="P51:Q51"/>
    <mergeCell ref="L54:M54"/>
    <mergeCell ref="N54:O54"/>
    <mergeCell ref="P54:Q54"/>
    <mergeCell ref="J55:K55"/>
    <mergeCell ref="L55:M55"/>
    <mergeCell ref="N55:O55"/>
    <mergeCell ref="P55:Q55"/>
    <mergeCell ref="N57:O57"/>
    <mergeCell ref="P57:Q57"/>
    <mergeCell ref="E60:I60"/>
    <mergeCell ref="J60:K60"/>
    <mergeCell ref="L60:M60"/>
    <mergeCell ref="N60:O60"/>
    <mergeCell ref="P60:Q60"/>
    <mergeCell ref="U41:W50"/>
    <mergeCell ref="J42:K42"/>
    <mergeCell ref="L42:M42"/>
    <mergeCell ref="N42:O42"/>
    <mergeCell ref="P42:Q42"/>
    <mergeCell ref="J43:K43"/>
    <mergeCell ref="L43:M43"/>
    <mergeCell ref="N43:O43"/>
    <mergeCell ref="P43:Q43"/>
    <mergeCell ref="J44:K44"/>
    <mergeCell ref="J48:K48"/>
    <mergeCell ref="L48:M48"/>
    <mergeCell ref="N48:O48"/>
    <mergeCell ref="P48:Q48"/>
    <mergeCell ref="J49:K49"/>
    <mergeCell ref="L49:M49"/>
    <mergeCell ref="N49:O49"/>
    <mergeCell ref="P49:Q49"/>
    <mergeCell ref="J46:K46"/>
    <mergeCell ref="L46:M46"/>
    <mergeCell ref="N46:O46"/>
    <mergeCell ref="P46:Q46"/>
    <mergeCell ref="J47:K47"/>
    <mergeCell ref="L47:M47"/>
    <mergeCell ref="A41:A50"/>
    <mergeCell ref="J41:K41"/>
    <mergeCell ref="L41:M41"/>
    <mergeCell ref="N41:O41"/>
    <mergeCell ref="P41:Q41"/>
    <mergeCell ref="L44:M44"/>
    <mergeCell ref="N44:O44"/>
    <mergeCell ref="P44:Q44"/>
    <mergeCell ref="J45:K45"/>
    <mergeCell ref="L45:M45"/>
    <mergeCell ref="N45:O45"/>
    <mergeCell ref="P45:Q45"/>
    <mergeCell ref="N47:O47"/>
    <mergeCell ref="P47:Q47"/>
    <mergeCell ref="E50:I50"/>
    <mergeCell ref="J50:K50"/>
    <mergeCell ref="L50:M50"/>
    <mergeCell ref="N50:O50"/>
    <mergeCell ref="P50:Q50"/>
    <mergeCell ref="U31:W40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J38:K38"/>
    <mergeCell ref="L38:M38"/>
    <mergeCell ref="N38:O38"/>
    <mergeCell ref="P38:Q38"/>
    <mergeCell ref="J39:K39"/>
    <mergeCell ref="L39:M39"/>
    <mergeCell ref="N39:O39"/>
    <mergeCell ref="P39:Q39"/>
    <mergeCell ref="J36:K36"/>
    <mergeCell ref="L36:M36"/>
    <mergeCell ref="N36:O36"/>
    <mergeCell ref="P36:Q36"/>
    <mergeCell ref="J37:K37"/>
    <mergeCell ref="L37:M37"/>
    <mergeCell ref="A31:A40"/>
    <mergeCell ref="J31:K31"/>
    <mergeCell ref="L31:M31"/>
    <mergeCell ref="N31:O31"/>
    <mergeCell ref="P31:Q31"/>
    <mergeCell ref="G29:G30"/>
    <mergeCell ref="H29:H30"/>
    <mergeCell ref="I29:I30"/>
    <mergeCell ref="J29:Q29"/>
    <mergeCell ref="L34:M34"/>
    <mergeCell ref="N34:O34"/>
    <mergeCell ref="P34:Q34"/>
    <mergeCell ref="J35:K35"/>
    <mergeCell ref="L35:M35"/>
    <mergeCell ref="N35:O35"/>
    <mergeCell ref="P35:Q35"/>
    <mergeCell ref="N37:O37"/>
    <mergeCell ref="P37:Q37"/>
    <mergeCell ref="E40:I40"/>
    <mergeCell ref="J40:K40"/>
    <mergeCell ref="L40:M40"/>
    <mergeCell ref="N40:O40"/>
    <mergeCell ref="P40:Q4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W97"/>
  <sheetViews>
    <sheetView zoomScale="85" zoomScaleNormal="85" workbookViewId="0">
      <selection activeCell="D33" sqref="D33"/>
    </sheetView>
  </sheetViews>
  <sheetFormatPr defaultRowHeight="14.4" x14ac:dyDescent="0.3"/>
  <cols>
    <col min="1" max="1" width="12.6640625" customWidth="1"/>
    <col min="2" max="3" width="7.6640625" customWidth="1"/>
    <col min="4" max="4" width="9.109375" style="8" bestFit="1" customWidth="1"/>
    <col min="5" max="5" width="31.10937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45917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24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 t="s">
        <v>79</v>
      </c>
      <c r="E7" s="12" t="s">
        <v>101</v>
      </c>
      <c r="F7" s="17">
        <v>369</v>
      </c>
      <c r="G7" s="17">
        <v>304</v>
      </c>
      <c r="H7" s="18">
        <v>0.9</v>
      </c>
      <c r="I7" s="17">
        <v>35000</v>
      </c>
      <c r="J7" s="165"/>
      <c r="K7" s="166"/>
      <c r="L7" s="165"/>
      <c r="M7" s="166"/>
      <c r="N7" s="165">
        <v>928</v>
      </c>
      <c r="O7" s="166"/>
      <c r="P7" s="165"/>
      <c r="Q7" s="166"/>
      <c r="R7" s="46">
        <v>30</v>
      </c>
      <c r="S7" s="14" t="s">
        <v>20</v>
      </c>
      <c r="T7" s="42" t="s">
        <v>110</v>
      </c>
      <c r="U7" s="202" t="s">
        <v>114</v>
      </c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103</v>
      </c>
      <c r="F8" s="17">
        <v>226</v>
      </c>
      <c r="G8" s="17">
        <v>304</v>
      </c>
      <c r="H8" s="18">
        <v>0.9</v>
      </c>
      <c r="I8" s="17">
        <v>35000</v>
      </c>
      <c r="J8" s="165"/>
      <c r="K8" s="166"/>
      <c r="L8" s="165"/>
      <c r="M8" s="166"/>
      <c r="N8" s="165">
        <v>232</v>
      </c>
      <c r="O8" s="166"/>
      <c r="P8" s="165"/>
      <c r="Q8" s="166"/>
      <c r="R8" s="46">
        <v>10</v>
      </c>
      <c r="S8" s="14" t="s">
        <v>20</v>
      </c>
      <c r="T8" s="42" t="s">
        <v>111</v>
      </c>
      <c r="U8" s="205"/>
      <c r="V8" s="206"/>
      <c r="W8" s="207"/>
    </row>
    <row r="9" spans="1:23" x14ac:dyDescent="0.3">
      <c r="A9" s="181"/>
      <c r="B9" s="5"/>
      <c r="C9" s="5"/>
      <c r="D9" s="4">
        <v>10925</v>
      </c>
      <c r="E9" s="12" t="s">
        <v>105</v>
      </c>
      <c r="F9" s="17">
        <v>332</v>
      </c>
      <c r="G9" s="17">
        <v>430</v>
      </c>
      <c r="H9" s="18">
        <v>0.8</v>
      </c>
      <c r="I9" s="17">
        <v>35000</v>
      </c>
      <c r="J9" s="165"/>
      <c r="K9" s="166"/>
      <c r="L9" s="165"/>
      <c r="M9" s="166"/>
      <c r="N9" s="165">
        <v>60</v>
      </c>
      <c r="O9" s="166"/>
      <c r="P9" s="165"/>
      <c r="Q9" s="166"/>
      <c r="R9" s="46">
        <v>180</v>
      </c>
      <c r="S9" s="14" t="s">
        <v>20</v>
      </c>
      <c r="T9" s="42" t="s">
        <v>104</v>
      </c>
      <c r="U9" s="205"/>
      <c r="V9" s="206"/>
      <c r="W9" s="207"/>
    </row>
    <row r="10" spans="1:23" x14ac:dyDescent="0.3">
      <c r="A10" s="181"/>
      <c r="B10" s="5"/>
      <c r="C10" s="5"/>
      <c r="D10" s="4">
        <v>10925</v>
      </c>
      <c r="E10" s="12" t="s">
        <v>106</v>
      </c>
      <c r="F10" s="17">
        <v>365</v>
      </c>
      <c r="G10" s="17">
        <v>430</v>
      </c>
      <c r="H10" s="18">
        <v>0.8</v>
      </c>
      <c r="I10" s="17">
        <v>35000</v>
      </c>
      <c r="J10" s="165"/>
      <c r="K10" s="166"/>
      <c r="L10" s="165"/>
      <c r="M10" s="166"/>
      <c r="N10" s="165">
        <v>204</v>
      </c>
      <c r="O10" s="166"/>
      <c r="P10" s="165"/>
      <c r="Q10" s="166"/>
      <c r="R10" s="46">
        <v>45</v>
      </c>
      <c r="S10" s="14" t="s">
        <v>20</v>
      </c>
      <c r="T10" s="42" t="s">
        <v>112</v>
      </c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107</v>
      </c>
      <c r="F11" s="17">
        <v>267</v>
      </c>
      <c r="G11" s="17">
        <v>430</v>
      </c>
      <c r="H11" s="18">
        <v>0.8</v>
      </c>
      <c r="I11" s="17">
        <v>35000</v>
      </c>
      <c r="J11" s="165">
        <v>68</v>
      </c>
      <c r="K11" s="166"/>
      <c r="L11" s="165"/>
      <c r="M11" s="166"/>
      <c r="N11" s="165"/>
      <c r="O11" s="166"/>
      <c r="P11" s="165"/>
      <c r="Q11" s="166"/>
      <c r="R11" s="47">
        <v>10</v>
      </c>
      <c r="S11" s="14" t="s">
        <v>20</v>
      </c>
      <c r="T11" s="42" t="s">
        <v>111</v>
      </c>
      <c r="U11" s="205"/>
      <c r="V11" s="206"/>
      <c r="W11" s="207"/>
    </row>
    <row r="12" spans="1:23" x14ac:dyDescent="0.3">
      <c r="A12" s="181"/>
      <c r="B12" s="5"/>
      <c r="C12" s="5"/>
      <c r="D12" s="4">
        <v>160925</v>
      </c>
      <c r="E12" s="12" t="s">
        <v>108</v>
      </c>
      <c r="F12" s="17">
        <v>342</v>
      </c>
      <c r="G12" s="17">
        <v>304</v>
      </c>
      <c r="H12" s="18">
        <v>0.7</v>
      </c>
      <c r="I12" s="17">
        <v>35000</v>
      </c>
      <c r="J12" s="165">
        <v>705</v>
      </c>
      <c r="K12" s="166"/>
      <c r="L12" s="165"/>
      <c r="M12" s="166"/>
      <c r="N12" s="165"/>
      <c r="O12" s="166"/>
      <c r="P12" s="165"/>
      <c r="Q12" s="166"/>
      <c r="R12" s="47">
        <v>30</v>
      </c>
      <c r="S12" s="14" t="s">
        <v>20</v>
      </c>
      <c r="T12" s="42" t="s">
        <v>113</v>
      </c>
      <c r="U12" s="205"/>
      <c r="V12" s="206"/>
      <c r="W12" s="207"/>
    </row>
    <row r="13" spans="1:23" x14ac:dyDescent="0.3">
      <c r="A13" s="181"/>
      <c r="B13" s="5"/>
      <c r="C13" s="5">
        <v>0.70833333333333337</v>
      </c>
      <c r="D13" s="4" t="s">
        <v>102</v>
      </c>
      <c r="E13" s="12" t="s">
        <v>109</v>
      </c>
      <c r="F13" s="17">
        <v>315</v>
      </c>
      <c r="G13" s="17">
        <v>304</v>
      </c>
      <c r="H13" s="18">
        <v>0.7</v>
      </c>
      <c r="I13" s="17">
        <v>35000</v>
      </c>
      <c r="J13" s="165">
        <v>235</v>
      </c>
      <c r="K13" s="166"/>
      <c r="L13" s="165"/>
      <c r="M13" s="166"/>
      <c r="N13" s="165"/>
      <c r="O13" s="166"/>
      <c r="P13" s="165"/>
      <c r="Q13" s="166"/>
      <c r="R13" s="46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/>
      <c r="E14" s="12"/>
      <c r="F14" s="17"/>
      <c r="G14" s="17"/>
      <c r="H14" s="18"/>
      <c r="I14" s="17"/>
      <c r="J14" s="165"/>
      <c r="K14" s="166"/>
      <c r="L14" s="165"/>
      <c r="M14" s="166"/>
      <c r="N14" s="165"/>
      <c r="O14" s="166"/>
      <c r="P14" s="165"/>
      <c r="Q14" s="166"/>
      <c r="R14" s="46"/>
      <c r="S14" s="14" t="s">
        <v>20</v>
      </c>
      <c r="T14" s="42"/>
      <c r="U14" s="205"/>
      <c r="V14" s="206"/>
      <c r="W14" s="207"/>
    </row>
    <row r="15" spans="1:23" hidden="1" x14ac:dyDescent="0.3">
      <c r="A15" s="181"/>
      <c r="B15" s="5"/>
      <c r="C15" s="5"/>
      <c r="D15" s="4"/>
      <c r="E15" s="12"/>
      <c r="F15" s="17"/>
      <c r="G15" s="17"/>
      <c r="H15" s="18"/>
      <c r="I15" s="17"/>
      <c r="J15" s="165"/>
      <c r="K15" s="166"/>
      <c r="L15" s="165"/>
      <c r="M15" s="166"/>
      <c r="N15" s="165"/>
      <c r="O15" s="166"/>
      <c r="P15" s="165"/>
      <c r="Q15" s="166"/>
      <c r="R15" s="46"/>
      <c r="S15" s="14" t="s">
        <v>20</v>
      </c>
      <c r="T15" s="42"/>
      <c r="U15" s="205"/>
      <c r="V15" s="206"/>
      <c r="W15" s="207"/>
    </row>
    <row r="16" spans="1:23" hidden="1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46"/>
      <c r="S16" s="14" t="s">
        <v>20</v>
      </c>
      <c r="T16" s="42"/>
      <c r="U16" s="205"/>
      <c r="V16" s="206"/>
      <c r="W16" s="207"/>
    </row>
    <row r="17" spans="1:23" hidden="1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46"/>
      <c r="S17" s="14" t="s">
        <v>20</v>
      </c>
      <c r="T17" s="42"/>
      <c r="U17" s="205"/>
      <c r="V17" s="206"/>
      <c r="W17" s="207"/>
    </row>
    <row r="18" spans="1:23" hidden="1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46"/>
      <c r="S18" s="14" t="s">
        <v>20</v>
      </c>
      <c r="T18" s="42"/>
      <c r="U18" s="205"/>
      <c r="V18" s="206"/>
      <c r="W18" s="207"/>
    </row>
    <row r="19" spans="1:23" hidden="1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46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46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1008</v>
      </c>
      <c r="K21" s="22" t="s">
        <v>17</v>
      </c>
      <c r="L21" s="21">
        <f>SUM(L7:M20)</f>
        <v>0</v>
      </c>
      <c r="M21" s="22" t="s">
        <v>17</v>
      </c>
      <c r="N21" s="21">
        <f>SUM(N7:O20)</f>
        <v>1424</v>
      </c>
      <c r="O21" s="22" t="s">
        <v>17</v>
      </c>
      <c r="P21" s="21">
        <f>SUM(P7:Q20)</f>
        <v>0</v>
      </c>
      <c r="Q21" s="22" t="s">
        <v>17</v>
      </c>
      <c r="R21" s="23">
        <f>SUM(R7:R20)</f>
        <v>305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16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1008</v>
      </c>
      <c r="K24" s="31" t="s">
        <v>17</v>
      </c>
      <c r="L24" s="32">
        <f>L21</f>
        <v>0</v>
      </c>
      <c r="M24" s="31" t="s">
        <v>17</v>
      </c>
      <c r="N24" s="32">
        <f>N21</f>
        <v>1424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2432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45917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121</v>
      </c>
      <c r="B31" s="5">
        <v>0.33333333333333331</v>
      </c>
      <c r="C31" s="5"/>
      <c r="D31" s="4">
        <v>10925</v>
      </c>
      <c r="E31" s="13" t="s">
        <v>52</v>
      </c>
      <c r="F31" s="40">
        <v>430</v>
      </c>
      <c r="G31" s="41">
        <v>0.8</v>
      </c>
      <c r="H31" s="40">
        <v>310</v>
      </c>
      <c r="I31" s="4" t="s">
        <v>49</v>
      </c>
      <c r="J31" s="165"/>
      <c r="K31" s="166"/>
      <c r="L31" s="165"/>
      <c r="M31" s="166"/>
      <c r="N31" s="165">
        <v>600</v>
      </c>
      <c r="O31" s="166"/>
      <c r="P31" s="165"/>
      <c r="Q31" s="166"/>
      <c r="R31" s="46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/>
      <c r="D32" s="4">
        <v>210825</v>
      </c>
      <c r="E32" s="13" t="s">
        <v>115</v>
      </c>
      <c r="F32" s="40">
        <v>430</v>
      </c>
      <c r="G32" s="41">
        <v>0.6</v>
      </c>
      <c r="H32" s="40">
        <v>542</v>
      </c>
      <c r="I32" s="4" t="s">
        <v>49</v>
      </c>
      <c r="J32" s="165"/>
      <c r="K32" s="166"/>
      <c r="L32" s="165">
        <v>730</v>
      </c>
      <c r="M32" s="166"/>
      <c r="N32" s="165"/>
      <c r="O32" s="166"/>
      <c r="P32" s="165"/>
      <c r="Q32" s="166"/>
      <c r="R32" s="46">
        <v>45</v>
      </c>
      <c r="S32" s="14" t="s">
        <v>20</v>
      </c>
      <c r="T32" s="42" t="s">
        <v>93</v>
      </c>
      <c r="U32" s="177"/>
      <c r="V32" s="178"/>
      <c r="W32" s="179"/>
    </row>
    <row r="33" spans="1:23" ht="14.55" customHeight="1" x14ac:dyDescent="0.3">
      <c r="A33" s="181"/>
      <c r="B33" s="5"/>
      <c r="C33" s="5"/>
      <c r="D33" s="4">
        <v>290725</v>
      </c>
      <c r="E33" s="12" t="s">
        <v>116</v>
      </c>
      <c r="F33" s="40">
        <v>430</v>
      </c>
      <c r="G33" s="41">
        <v>0.5</v>
      </c>
      <c r="H33" s="40">
        <v>350</v>
      </c>
      <c r="I33" s="12"/>
      <c r="J33" s="165"/>
      <c r="K33" s="166"/>
      <c r="L33" s="165"/>
      <c r="M33" s="166"/>
      <c r="N33" s="165"/>
      <c r="O33" s="166"/>
      <c r="P33" s="165">
        <v>1800</v>
      </c>
      <c r="Q33" s="166"/>
      <c r="R33" s="46">
        <v>60</v>
      </c>
      <c r="S33" s="14" t="s">
        <v>20</v>
      </c>
      <c r="T33" s="42" t="s">
        <v>118</v>
      </c>
      <c r="U33" s="177"/>
      <c r="V33" s="178"/>
      <c r="W33" s="179"/>
    </row>
    <row r="34" spans="1:23" ht="14.55" hidden="1" customHeight="1" x14ac:dyDescent="0.3">
      <c r="A34" s="181"/>
      <c r="B34" s="5"/>
      <c r="C34" s="5"/>
      <c r="D34" s="4"/>
      <c r="E34" s="13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46"/>
      <c r="S34" s="14" t="s">
        <v>20</v>
      </c>
      <c r="T34" s="42"/>
      <c r="U34" s="177"/>
      <c r="V34" s="178"/>
      <c r="W34" s="179"/>
    </row>
    <row r="35" spans="1:23" ht="14.55" hidden="1" customHeight="1" x14ac:dyDescent="0.3">
      <c r="A35" s="181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46"/>
      <c r="S35" s="14" t="s">
        <v>20</v>
      </c>
      <c r="T35" s="42"/>
      <c r="U35" s="177"/>
      <c r="V35" s="178"/>
      <c r="W35" s="179"/>
    </row>
    <row r="36" spans="1:23" ht="14.55" hidden="1" customHeight="1" x14ac:dyDescent="0.3">
      <c r="A36" s="181"/>
      <c r="B36" s="5"/>
      <c r="C36" s="5"/>
      <c r="D36" s="4"/>
      <c r="E36" s="13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46"/>
      <c r="S36" s="14" t="s">
        <v>20</v>
      </c>
      <c r="T36" s="42"/>
      <c r="U36" s="177"/>
      <c r="V36" s="178"/>
      <c r="W36" s="179"/>
    </row>
    <row r="37" spans="1:23" ht="14.55" hidden="1" customHeight="1" x14ac:dyDescent="0.3">
      <c r="A37" s="181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46"/>
      <c r="S37" s="14" t="s">
        <v>20</v>
      </c>
      <c r="T37" s="42"/>
      <c r="U37" s="177"/>
      <c r="V37" s="178"/>
      <c r="W37" s="179"/>
    </row>
    <row r="38" spans="1:23" ht="14.55" hidden="1" customHeight="1" x14ac:dyDescent="0.3">
      <c r="A38" s="181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46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81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46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82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SUM(J31:K39)</f>
        <v>0</v>
      </c>
      <c r="K40" s="174"/>
      <c r="L40" s="173">
        <f>SUM(L31:M39)</f>
        <v>730</v>
      </c>
      <c r="M40" s="174"/>
      <c r="N40" s="173">
        <f>SUM(N31:O39)</f>
        <v>600</v>
      </c>
      <c r="O40" s="174"/>
      <c r="P40" s="173">
        <f>SUM(P31:Q39)</f>
        <v>1800</v>
      </c>
      <c r="Q40" s="174"/>
      <c r="R40" s="23">
        <f>SUM(R31:R39)</f>
        <v>105</v>
      </c>
      <c r="S40" s="24" t="s">
        <v>20</v>
      </c>
      <c r="T40" s="19"/>
      <c r="U40" s="177"/>
      <c r="V40" s="178"/>
      <c r="W40" s="179"/>
    </row>
    <row r="41" spans="1:23" ht="14.55" customHeight="1" x14ac:dyDescent="0.3">
      <c r="A41" s="163" t="s">
        <v>34</v>
      </c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46"/>
      <c r="S41" s="14" t="s">
        <v>20</v>
      </c>
      <c r="T41" s="42"/>
      <c r="U41" s="177"/>
      <c r="V41" s="178"/>
      <c r="W41" s="179"/>
    </row>
    <row r="42" spans="1:23" ht="14.55" hidden="1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46"/>
      <c r="S42" s="14" t="s">
        <v>20</v>
      </c>
      <c r="T42" s="42"/>
      <c r="U42" s="177"/>
      <c r="V42" s="178"/>
      <c r="W42" s="179"/>
    </row>
    <row r="43" spans="1:23" ht="14.55" hidden="1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46"/>
      <c r="S43" s="14" t="s">
        <v>20</v>
      </c>
      <c r="T43" s="42"/>
      <c r="U43" s="177"/>
      <c r="V43" s="178"/>
      <c r="W43" s="179"/>
    </row>
    <row r="44" spans="1:23" ht="14.55" hidden="1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46"/>
      <c r="S44" s="14" t="s">
        <v>20</v>
      </c>
      <c r="T44" s="42"/>
      <c r="U44" s="177"/>
      <c r="V44" s="178"/>
      <c r="W44" s="179"/>
    </row>
    <row r="45" spans="1:23" ht="14.55" hidden="1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46"/>
      <c r="S45" s="14" t="s">
        <v>20</v>
      </c>
      <c r="T45" s="42"/>
      <c r="U45" s="177"/>
      <c r="V45" s="178"/>
      <c r="W45" s="179"/>
    </row>
    <row r="46" spans="1:23" ht="14.55" hidden="1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46"/>
      <c r="S46" s="14" t="s">
        <v>20</v>
      </c>
      <c r="T46" s="42"/>
      <c r="U46" s="177"/>
      <c r="V46" s="178"/>
      <c r="W46" s="179"/>
    </row>
    <row r="47" spans="1:23" ht="14.55" hidden="1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46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46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63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46"/>
      <c r="S49" s="14" t="s">
        <v>20</v>
      </c>
      <c r="T49" s="42"/>
      <c r="U49" s="177"/>
      <c r="V49" s="178"/>
      <c r="W49" s="179"/>
    </row>
    <row r="50" spans="1:23" ht="14.55" customHeight="1" x14ac:dyDescent="0.3">
      <c r="A50" s="164"/>
      <c r="B50" s="19"/>
      <c r="C50" s="19"/>
      <c r="D50" s="20"/>
      <c r="E50" s="170" t="s">
        <v>0</v>
      </c>
      <c r="F50" s="171"/>
      <c r="G50" s="171"/>
      <c r="H50" s="171"/>
      <c r="I50" s="172"/>
      <c r="J50" s="173">
        <f>SUM(J41:K49)</f>
        <v>0</v>
      </c>
      <c r="K50" s="174"/>
      <c r="L50" s="173">
        <f>SUM(L41:M49)</f>
        <v>0</v>
      </c>
      <c r="M50" s="174"/>
      <c r="N50" s="173">
        <f>SUM(N41:O49)</f>
        <v>0</v>
      </c>
      <c r="O50" s="174"/>
      <c r="P50" s="173">
        <f>SUM(P41:Q49)</f>
        <v>0</v>
      </c>
      <c r="Q50" s="174"/>
      <c r="R50" s="23">
        <f>SUM(R41:R49)</f>
        <v>0</v>
      </c>
      <c r="S50" s="24" t="s">
        <v>20</v>
      </c>
      <c r="T50" s="19"/>
      <c r="U50" s="177"/>
      <c r="V50" s="178"/>
      <c r="W50" s="179"/>
    </row>
    <row r="51" spans="1:23" ht="14.55" customHeight="1" x14ac:dyDescent="0.3">
      <c r="A51" s="163" t="s">
        <v>35</v>
      </c>
      <c r="B51" s="5">
        <v>0.33333333333333331</v>
      </c>
      <c r="C51" s="5">
        <v>0.70833333333333337</v>
      </c>
      <c r="D51" s="4">
        <v>10925</v>
      </c>
      <c r="E51" s="12" t="s">
        <v>84</v>
      </c>
      <c r="F51" s="40">
        <v>430</v>
      </c>
      <c r="G51" s="41">
        <v>0.8</v>
      </c>
      <c r="H51" s="40">
        <v>383</v>
      </c>
      <c r="I51" s="12"/>
      <c r="J51" s="165"/>
      <c r="K51" s="166"/>
      <c r="L51" s="165"/>
      <c r="M51" s="166"/>
      <c r="N51" s="165">
        <f>1590</f>
        <v>1590</v>
      </c>
      <c r="O51" s="166"/>
      <c r="P51" s="165"/>
      <c r="Q51" s="166"/>
      <c r="R51" s="47">
        <v>60</v>
      </c>
      <c r="S51" s="14" t="s">
        <v>20</v>
      </c>
      <c r="T51" s="42" t="s">
        <v>119</v>
      </c>
      <c r="U51" s="247" t="s">
        <v>120</v>
      </c>
      <c r="V51" s="248"/>
      <c r="W51" s="249"/>
    </row>
    <row r="52" spans="1:23" ht="14.55" customHeight="1" x14ac:dyDescent="0.3">
      <c r="A52" s="163"/>
      <c r="B52" s="5"/>
      <c r="C52" s="5"/>
      <c r="D52" s="4"/>
      <c r="E52" s="12"/>
      <c r="F52" s="40"/>
      <c r="G52" s="41"/>
      <c r="H52" s="40"/>
      <c r="I52" s="12"/>
      <c r="J52" s="165"/>
      <c r="K52" s="166"/>
      <c r="L52" s="165"/>
      <c r="M52" s="166"/>
      <c r="N52" s="165"/>
      <c r="O52" s="166"/>
      <c r="P52" s="165"/>
      <c r="Q52" s="166"/>
      <c r="R52" s="46"/>
      <c r="S52" s="14" t="s">
        <v>20</v>
      </c>
      <c r="T52" s="42"/>
      <c r="U52" s="247"/>
      <c r="V52" s="248"/>
      <c r="W52" s="249"/>
    </row>
    <row r="53" spans="1:23" ht="14.55" hidden="1" customHeight="1" x14ac:dyDescent="0.3">
      <c r="A53" s="163"/>
      <c r="B53" s="5"/>
      <c r="C53" s="5"/>
      <c r="D53" s="4"/>
      <c r="E53" s="12"/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46"/>
      <c r="S53" s="14" t="s">
        <v>20</v>
      </c>
      <c r="T53" s="42"/>
      <c r="U53" s="247"/>
      <c r="V53" s="248"/>
      <c r="W53" s="249"/>
    </row>
    <row r="54" spans="1:23" ht="14.55" hidden="1" customHeight="1" x14ac:dyDescent="0.3">
      <c r="A54" s="163"/>
      <c r="B54" s="5"/>
      <c r="C54" s="5"/>
      <c r="D54" s="4"/>
      <c r="E54" s="12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46"/>
      <c r="S54" s="14" t="s">
        <v>20</v>
      </c>
      <c r="T54" s="42"/>
      <c r="U54" s="247"/>
      <c r="V54" s="248"/>
      <c r="W54" s="249"/>
    </row>
    <row r="55" spans="1:23" ht="14.55" hidden="1" customHeight="1" x14ac:dyDescent="0.3">
      <c r="A55" s="163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46"/>
      <c r="S55" s="14" t="s">
        <v>20</v>
      </c>
      <c r="T55" s="42"/>
      <c r="U55" s="247"/>
      <c r="V55" s="248"/>
      <c r="W55" s="249"/>
    </row>
    <row r="56" spans="1:23" ht="14.55" hidden="1" customHeight="1" x14ac:dyDescent="0.3">
      <c r="A56" s="163"/>
      <c r="B56" s="5"/>
      <c r="C56" s="5"/>
      <c r="D56" s="4"/>
      <c r="E56" s="12"/>
      <c r="F56" s="40"/>
      <c r="G56" s="41"/>
      <c r="H56" s="40"/>
      <c r="I56" s="12"/>
      <c r="J56" s="165"/>
      <c r="K56" s="166"/>
      <c r="L56" s="165"/>
      <c r="M56" s="166"/>
      <c r="N56" s="165"/>
      <c r="O56" s="166"/>
      <c r="P56" s="165"/>
      <c r="Q56" s="166"/>
      <c r="R56" s="46"/>
      <c r="S56" s="14" t="s">
        <v>20</v>
      </c>
      <c r="T56" s="42"/>
      <c r="U56" s="247"/>
      <c r="V56" s="248"/>
      <c r="W56" s="249"/>
    </row>
    <row r="57" spans="1:23" ht="14.55" hidden="1" customHeight="1" x14ac:dyDescent="0.3">
      <c r="A57" s="163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46"/>
      <c r="S57" s="14" t="s">
        <v>20</v>
      </c>
      <c r="T57" s="42"/>
      <c r="U57" s="247"/>
      <c r="V57" s="248"/>
      <c r="W57" s="249"/>
    </row>
    <row r="58" spans="1:23" ht="14.55" hidden="1" customHeight="1" x14ac:dyDescent="0.3">
      <c r="A58" s="163"/>
      <c r="B58" s="5"/>
      <c r="C58" s="5"/>
      <c r="D58" s="4"/>
      <c r="E58" s="12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46"/>
      <c r="S58" s="14" t="s">
        <v>20</v>
      </c>
      <c r="T58" s="42"/>
      <c r="U58" s="247"/>
      <c r="V58" s="248"/>
      <c r="W58" s="249"/>
    </row>
    <row r="59" spans="1:23" ht="14.55" customHeight="1" x14ac:dyDescent="0.3">
      <c r="A59" s="163"/>
      <c r="B59" s="5"/>
      <c r="C59" s="5"/>
      <c r="D59" s="4"/>
      <c r="E59" s="12"/>
      <c r="F59" s="40"/>
      <c r="G59" s="41"/>
      <c r="H59" s="40"/>
      <c r="I59" s="12"/>
      <c r="J59" s="165"/>
      <c r="K59" s="166"/>
      <c r="L59" s="165"/>
      <c r="M59" s="166"/>
      <c r="N59" s="165"/>
      <c r="O59" s="166"/>
      <c r="P59" s="165"/>
      <c r="Q59" s="166"/>
      <c r="R59" s="46"/>
      <c r="S59" s="14" t="s">
        <v>20</v>
      </c>
      <c r="T59" s="42"/>
      <c r="U59" s="247"/>
      <c r="V59" s="248"/>
      <c r="W59" s="249"/>
    </row>
    <row r="60" spans="1:23" ht="14.55" customHeight="1" x14ac:dyDescent="0.3">
      <c r="A60" s="164"/>
      <c r="B60" s="19"/>
      <c r="C60" s="19"/>
      <c r="D60" s="20"/>
      <c r="E60" s="170" t="s">
        <v>0</v>
      </c>
      <c r="F60" s="171"/>
      <c r="G60" s="171"/>
      <c r="H60" s="171"/>
      <c r="I60" s="172"/>
      <c r="J60" s="173">
        <f>SUM(J51:K59)</f>
        <v>0</v>
      </c>
      <c r="K60" s="174"/>
      <c r="L60" s="173">
        <f>SUM(L51:M59)</f>
        <v>0</v>
      </c>
      <c r="M60" s="174"/>
      <c r="N60" s="173">
        <f>SUM(N51:O59)</f>
        <v>1590</v>
      </c>
      <c r="O60" s="174"/>
      <c r="P60" s="173">
        <f>SUM(P51:Q59)</f>
        <v>0</v>
      </c>
      <c r="Q60" s="174"/>
      <c r="R60" s="23">
        <f>SUM(R51:R59)</f>
        <v>60</v>
      </c>
      <c r="S60" s="24" t="s">
        <v>20</v>
      </c>
      <c r="T60" s="19"/>
      <c r="U60" s="247"/>
      <c r="V60" s="248"/>
      <c r="W60" s="249"/>
    </row>
    <row r="61" spans="1:23" ht="14.55" customHeight="1" x14ac:dyDescent="0.3">
      <c r="A61" s="27"/>
      <c r="B61" s="27"/>
      <c r="C61" s="27"/>
      <c r="D61" s="27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27"/>
      <c r="S61" s="27"/>
      <c r="T61" s="39"/>
      <c r="U61" s="39"/>
      <c r="V61" s="39"/>
      <c r="W61" s="39"/>
    </row>
    <row r="62" spans="1:23" x14ac:dyDescent="0.3">
      <c r="E62" s="170" t="s">
        <v>31</v>
      </c>
      <c r="F62" s="171"/>
      <c r="G62" s="171"/>
      <c r="H62" s="171"/>
      <c r="I62" s="172"/>
      <c r="J62" s="175" t="s">
        <v>7</v>
      </c>
      <c r="K62" s="176"/>
      <c r="L62" s="175" t="s">
        <v>8</v>
      </c>
      <c r="M62" s="176"/>
      <c r="N62" s="175" t="s">
        <v>9</v>
      </c>
      <c r="O62" s="176"/>
      <c r="P62" s="175" t="s">
        <v>117</v>
      </c>
      <c r="Q62" s="176"/>
    </row>
    <row r="63" spans="1:23" s="2" customFormat="1" x14ac:dyDescent="0.3">
      <c r="E63" s="15"/>
      <c r="F63" s="15"/>
      <c r="G63" s="15"/>
      <c r="H63" s="15"/>
      <c r="I63" s="15"/>
      <c r="J63" s="30">
        <f>J40+J50+J60</f>
        <v>0</v>
      </c>
      <c r="K63" s="31" t="s">
        <v>17</v>
      </c>
      <c r="L63" s="30">
        <f>L40+L50+L60</f>
        <v>730</v>
      </c>
      <c r="M63" s="31" t="s">
        <v>17</v>
      </c>
      <c r="N63" s="30">
        <f>N40+N50+N60</f>
        <v>2190</v>
      </c>
      <c r="O63" s="31" t="s">
        <v>17</v>
      </c>
      <c r="P63" s="30">
        <f>P40+P50+P60</f>
        <v>1800</v>
      </c>
      <c r="Q63" s="34" t="s">
        <v>17</v>
      </c>
    </row>
    <row r="64" spans="1:23" ht="24.45" customHeight="1" x14ac:dyDescent="0.3">
      <c r="E64" s="28"/>
      <c r="F64" s="28"/>
      <c r="G64" s="28"/>
      <c r="H64" s="28"/>
      <c r="I64" s="28"/>
      <c r="J64" s="167">
        <f>J63+L63+N63+P63</f>
        <v>4720</v>
      </c>
      <c r="K64" s="168"/>
      <c r="L64" s="168"/>
      <c r="M64" s="168"/>
      <c r="N64" s="168"/>
      <c r="O64" s="168"/>
      <c r="P64" s="168"/>
      <c r="Q64" s="169"/>
    </row>
    <row r="65" spans="1:23" ht="30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 spans="1:23" s="37" customFormat="1" ht="19.95" customHeight="1" x14ac:dyDescent="0.4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214" t="s">
        <v>14</v>
      </c>
      <c r="R66" s="215"/>
      <c r="S66" s="216"/>
      <c r="T66" s="184">
        <f>T3</f>
        <v>45917</v>
      </c>
      <c r="U66" s="185"/>
      <c r="V66" s="185"/>
      <c r="W66" s="186"/>
    </row>
    <row r="67" spans="1:23" s="16" customFormat="1" ht="30" customHeight="1" x14ac:dyDescent="0.3">
      <c r="A67" s="187" t="s">
        <v>26</v>
      </c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9"/>
      <c r="Q67" s="189"/>
      <c r="R67" s="189"/>
      <c r="S67" s="189"/>
      <c r="T67" s="188"/>
      <c r="U67" s="188"/>
      <c r="V67" s="188"/>
      <c r="W67" s="190"/>
    </row>
    <row r="68" spans="1:23" s="26" customFormat="1" ht="13.8" x14ac:dyDescent="0.3">
      <c r="A68" s="191" t="s">
        <v>1</v>
      </c>
      <c r="B68" s="192" t="s">
        <v>2</v>
      </c>
      <c r="C68" s="192" t="s">
        <v>3</v>
      </c>
      <c r="D68" s="192" t="s">
        <v>4</v>
      </c>
      <c r="E68" s="193" t="s">
        <v>5</v>
      </c>
      <c r="F68" s="197"/>
      <c r="G68" s="197"/>
      <c r="H68" s="197"/>
      <c r="I68" s="198"/>
      <c r="J68" s="193" t="s">
        <v>6</v>
      </c>
      <c r="K68" s="197"/>
      <c r="L68" s="197"/>
      <c r="M68" s="197"/>
      <c r="N68" s="197"/>
      <c r="O68" s="197"/>
      <c r="P68" s="197"/>
      <c r="Q68" s="198"/>
      <c r="R68" s="193" t="s">
        <v>10</v>
      </c>
      <c r="S68" s="198"/>
      <c r="T68" s="191" t="s">
        <v>11</v>
      </c>
      <c r="U68" s="191" t="s">
        <v>12</v>
      </c>
      <c r="V68" s="191"/>
      <c r="W68" s="191"/>
    </row>
    <row r="69" spans="1:23" s="26" customFormat="1" ht="13.8" x14ac:dyDescent="0.3">
      <c r="A69" s="191"/>
      <c r="B69" s="192"/>
      <c r="C69" s="192"/>
      <c r="D69" s="192"/>
      <c r="E69" s="194"/>
      <c r="F69" s="217"/>
      <c r="G69" s="217"/>
      <c r="H69" s="217"/>
      <c r="I69" s="199"/>
      <c r="J69" s="200" t="s">
        <v>7</v>
      </c>
      <c r="K69" s="201"/>
      <c r="L69" s="200" t="s">
        <v>8</v>
      </c>
      <c r="M69" s="201"/>
      <c r="N69" s="200" t="s">
        <v>9</v>
      </c>
      <c r="O69" s="201"/>
      <c r="P69" s="200" t="s">
        <v>16</v>
      </c>
      <c r="Q69" s="201"/>
      <c r="R69" s="194"/>
      <c r="S69" s="199"/>
      <c r="T69" s="191"/>
      <c r="U69" s="191"/>
      <c r="V69" s="191"/>
      <c r="W69" s="191"/>
    </row>
    <row r="70" spans="1:23" x14ac:dyDescent="0.3">
      <c r="A70" s="180" t="s">
        <v>13</v>
      </c>
      <c r="B70" s="5">
        <v>0.33333333333333331</v>
      </c>
      <c r="C70" s="5"/>
      <c r="D70" s="4">
        <v>250048</v>
      </c>
      <c r="E70" s="211" t="s">
        <v>92</v>
      </c>
      <c r="F70" s="212"/>
      <c r="G70" s="212"/>
      <c r="H70" s="212"/>
      <c r="I70" s="213"/>
      <c r="J70" s="165">
        <v>280</v>
      </c>
      <c r="K70" s="166"/>
      <c r="L70" s="165"/>
      <c r="M70" s="166"/>
      <c r="N70" s="165"/>
      <c r="O70" s="166"/>
      <c r="P70" s="165"/>
      <c r="Q70" s="166"/>
      <c r="R70" s="46"/>
      <c r="S70" s="6" t="s">
        <v>20</v>
      </c>
      <c r="T70" s="3"/>
      <c r="U70" s="202"/>
      <c r="V70" s="203"/>
      <c r="W70" s="204"/>
    </row>
    <row r="71" spans="1:23" x14ac:dyDescent="0.3">
      <c r="A71" s="163"/>
      <c r="B71" s="5"/>
      <c r="C71" s="5"/>
      <c r="D71" s="4">
        <v>250046</v>
      </c>
      <c r="E71" s="211" t="s">
        <v>122</v>
      </c>
      <c r="F71" s="212"/>
      <c r="G71" s="212"/>
      <c r="H71" s="212"/>
      <c r="I71" s="213"/>
      <c r="J71" s="165">
        <v>60</v>
      </c>
      <c r="K71" s="166"/>
      <c r="L71" s="165"/>
      <c r="M71" s="166"/>
      <c r="N71" s="165"/>
      <c r="O71" s="166"/>
      <c r="P71" s="165"/>
      <c r="Q71" s="166"/>
      <c r="R71" s="46"/>
      <c r="S71" s="6" t="s">
        <v>20</v>
      </c>
      <c r="T71" s="3"/>
      <c r="U71" s="205"/>
      <c r="V71" s="206"/>
      <c r="W71" s="207"/>
    </row>
    <row r="72" spans="1:23" x14ac:dyDescent="0.3">
      <c r="A72" s="163"/>
      <c r="B72" s="5"/>
      <c r="C72" s="5"/>
      <c r="D72" s="4">
        <v>250048</v>
      </c>
      <c r="E72" s="211" t="s">
        <v>123</v>
      </c>
      <c r="F72" s="212"/>
      <c r="G72" s="212"/>
      <c r="H72" s="212"/>
      <c r="I72" s="213"/>
      <c r="J72" s="165">
        <v>19</v>
      </c>
      <c r="K72" s="166"/>
      <c r="L72" s="165"/>
      <c r="M72" s="166"/>
      <c r="N72" s="165"/>
      <c r="O72" s="166"/>
      <c r="P72" s="165"/>
      <c r="Q72" s="166"/>
      <c r="R72" s="46"/>
      <c r="S72" s="6" t="s">
        <v>20</v>
      </c>
      <c r="T72" s="3"/>
      <c r="U72" s="205"/>
      <c r="V72" s="206"/>
      <c r="W72" s="207"/>
    </row>
    <row r="73" spans="1:23" x14ac:dyDescent="0.3">
      <c r="A73" s="163"/>
      <c r="B73" s="5"/>
      <c r="C73" s="5"/>
      <c r="D73" s="4">
        <v>250069</v>
      </c>
      <c r="E73" s="211" t="s">
        <v>124</v>
      </c>
      <c r="F73" s="212"/>
      <c r="G73" s="212"/>
      <c r="H73" s="212"/>
      <c r="I73" s="213"/>
      <c r="J73" s="165"/>
      <c r="K73" s="166"/>
      <c r="L73" s="165">
        <v>1653</v>
      </c>
      <c r="M73" s="166"/>
      <c r="N73" s="165"/>
      <c r="O73" s="166"/>
      <c r="P73" s="165"/>
      <c r="Q73" s="166"/>
      <c r="R73" s="46">
        <v>30</v>
      </c>
      <c r="S73" s="6" t="s">
        <v>20</v>
      </c>
      <c r="T73" s="3" t="s">
        <v>126</v>
      </c>
      <c r="U73" s="205"/>
      <c r="V73" s="206"/>
      <c r="W73" s="207"/>
    </row>
    <row r="74" spans="1:23" x14ac:dyDescent="0.3">
      <c r="A74" s="163"/>
      <c r="B74" s="5"/>
      <c r="C74" s="5"/>
      <c r="D74" s="4">
        <v>250069</v>
      </c>
      <c r="E74" s="211" t="s">
        <v>125</v>
      </c>
      <c r="F74" s="212"/>
      <c r="G74" s="212"/>
      <c r="H74" s="212"/>
      <c r="I74" s="213"/>
      <c r="J74" s="165"/>
      <c r="K74" s="166"/>
      <c r="L74" s="165">
        <v>1500</v>
      </c>
      <c r="M74" s="166"/>
      <c r="N74" s="165"/>
      <c r="O74" s="166"/>
      <c r="P74" s="165"/>
      <c r="Q74" s="166"/>
      <c r="R74" s="46"/>
      <c r="S74" s="6" t="s">
        <v>20</v>
      </c>
      <c r="T74" s="3"/>
      <c r="U74" s="205"/>
      <c r="V74" s="206"/>
      <c r="W74" s="207"/>
    </row>
    <row r="75" spans="1:23" hidden="1" x14ac:dyDescent="0.3">
      <c r="A75" s="163"/>
      <c r="B75" s="5"/>
      <c r="C75" s="5"/>
      <c r="D75" s="4"/>
      <c r="E75" s="211"/>
      <c r="F75" s="212"/>
      <c r="G75" s="212"/>
      <c r="H75" s="212"/>
      <c r="I75" s="213"/>
      <c r="J75" s="165"/>
      <c r="K75" s="166"/>
      <c r="L75" s="165"/>
      <c r="M75" s="166"/>
      <c r="N75" s="165"/>
      <c r="O75" s="166"/>
      <c r="P75" s="165"/>
      <c r="Q75" s="166"/>
      <c r="R75" s="46"/>
      <c r="S75" s="6" t="s">
        <v>20</v>
      </c>
      <c r="T75" s="3"/>
      <c r="U75" s="205"/>
      <c r="V75" s="206"/>
      <c r="W75" s="207"/>
    </row>
    <row r="76" spans="1:23" x14ac:dyDescent="0.3">
      <c r="A76" s="163"/>
      <c r="B76" s="5"/>
      <c r="C76" s="5"/>
      <c r="D76" s="4"/>
      <c r="E76" s="211"/>
      <c r="F76" s="212"/>
      <c r="G76" s="212"/>
      <c r="H76" s="212"/>
      <c r="I76" s="213"/>
      <c r="J76" s="165"/>
      <c r="K76" s="166"/>
      <c r="L76" s="165"/>
      <c r="M76" s="166"/>
      <c r="N76" s="165"/>
      <c r="O76" s="166"/>
      <c r="P76" s="165"/>
      <c r="Q76" s="166"/>
      <c r="R76" s="46"/>
      <c r="S76" s="6" t="s">
        <v>20</v>
      </c>
      <c r="T76" s="3"/>
      <c r="U76" s="205"/>
      <c r="V76" s="206"/>
      <c r="W76" s="207"/>
    </row>
    <row r="77" spans="1:23" x14ac:dyDescent="0.3">
      <c r="A77" s="164"/>
      <c r="B77" s="19"/>
      <c r="C77" s="19"/>
      <c r="D77" s="20"/>
      <c r="E77" s="170" t="s">
        <v>0</v>
      </c>
      <c r="F77" s="171"/>
      <c r="G77" s="171"/>
      <c r="H77" s="171"/>
      <c r="I77" s="172"/>
      <c r="J77" s="173">
        <f>SUM(J70:J76)</f>
        <v>359</v>
      </c>
      <c r="K77" s="174"/>
      <c r="L77" s="173">
        <f>SUM(L70:L76)</f>
        <v>3153</v>
      </c>
      <c r="M77" s="174"/>
      <c r="N77" s="173">
        <f>SUM(N70:N76)</f>
        <v>0</v>
      </c>
      <c r="O77" s="174"/>
      <c r="P77" s="173">
        <f>SUM(P70:P76)</f>
        <v>0</v>
      </c>
      <c r="Q77" s="174"/>
      <c r="R77" s="23">
        <f>SUM(R70:R76)</f>
        <v>30</v>
      </c>
      <c r="S77" s="24" t="s">
        <v>20</v>
      </c>
      <c r="T77" s="19"/>
      <c r="U77" s="208"/>
      <c r="V77" s="209"/>
      <c r="W77" s="210"/>
    </row>
    <row r="78" spans="1:23" x14ac:dyDescent="0.3">
      <c r="A78" s="180" t="s">
        <v>15</v>
      </c>
      <c r="B78" s="5"/>
      <c r="C78" s="5"/>
      <c r="D78" s="4"/>
      <c r="E78" s="211"/>
      <c r="F78" s="212"/>
      <c r="G78" s="212"/>
      <c r="H78" s="212"/>
      <c r="I78" s="213"/>
      <c r="J78" s="165"/>
      <c r="K78" s="166"/>
      <c r="L78" s="165"/>
      <c r="M78" s="166"/>
      <c r="N78" s="165"/>
      <c r="O78" s="166"/>
      <c r="P78" s="165"/>
      <c r="Q78" s="166"/>
      <c r="R78" s="46"/>
      <c r="S78" s="6" t="s">
        <v>20</v>
      </c>
      <c r="T78" s="3"/>
      <c r="U78" s="202"/>
      <c r="V78" s="203"/>
      <c r="W78" s="204"/>
    </row>
    <row r="79" spans="1:23" x14ac:dyDescent="0.3">
      <c r="A79" s="163"/>
      <c r="B79" s="5"/>
      <c r="C79" s="5"/>
      <c r="D79" s="4"/>
      <c r="E79" s="211"/>
      <c r="F79" s="212"/>
      <c r="G79" s="212"/>
      <c r="H79" s="212"/>
      <c r="I79" s="213"/>
      <c r="J79" s="165"/>
      <c r="K79" s="166"/>
      <c r="L79" s="165"/>
      <c r="M79" s="166"/>
      <c r="N79" s="165"/>
      <c r="O79" s="166"/>
      <c r="P79" s="165"/>
      <c r="Q79" s="166"/>
      <c r="R79" s="46"/>
      <c r="S79" s="6" t="s">
        <v>20</v>
      </c>
      <c r="T79" s="3"/>
      <c r="U79" s="205"/>
      <c r="V79" s="206"/>
      <c r="W79" s="207"/>
    </row>
    <row r="80" spans="1:23" x14ac:dyDescent="0.3">
      <c r="A80" s="163"/>
      <c r="B80" s="5"/>
      <c r="C80" s="5"/>
      <c r="D80" s="4"/>
      <c r="E80" s="211"/>
      <c r="F80" s="212"/>
      <c r="G80" s="212"/>
      <c r="H80" s="212"/>
      <c r="I80" s="213"/>
      <c r="J80" s="165"/>
      <c r="K80" s="166"/>
      <c r="L80" s="165"/>
      <c r="M80" s="166"/>
      <c r="N80" s="165"/>
      <c r="O80" s="166"/>
      <c r="P80" s="165"/>
      <c r="Q80" s="166"/>
      <c r="R80" s="46"/>
      <c r="S80" s="6" t="s">
        <v>20</v>
      </c>
      <c r="T80" s="3"/>
      <c r="U80" s="205"/>
      <c r="V80" s="206"/>
      <c r="W80" s="207"/>
    </row>
    <row r="81" spans="1:23" x14ac:dyDescent="0.3">
      <c r="A81" s="164"/>
      <c r="B81" s="19"/>
      <c r="C81" s="19"/>
      <c r="D81" s="20"/>
      <c r="E81" s="170" t="s">
        <v>0</v>
      </c>
      <c r="F81" s="171"/>
      <c r="G81" s="171"/>
      <c r="H81" s="171"/>
      <c r="I81" s="172"/>
      <c r="J81" s="173">
        <f>SUM(J78:J80)</f>
        <v>0</v>
      </c>
      <c r="K81" s="174"/>
      <c r="L81" s="173">
        <f>SUM(L78:L80)</f>
        <v>0</v>
      </c>
      <c r="M81" s="174"/>
      <c r="N81" s="173">
        <f>SUM(N78:N80)</f>
        <v>0</v>
      </c>
      <c r="O81" s="174"/>
      <c r="P81" s="173">
        <f>SUM(P73:P80)</f>
        <v>0</v>
      </c>
      <c r="Q81" s="174"/>
      <c r="R81" s="23">
        <f>SUM(R78:R80)</f>
        <v>0</v>
      </c>
      <c r="S81" s="24" t="s">
        <v>20</v>
      </c>
      <c r="T81" s="7"/>
      <c r="U81" s="208"/>
      <c r="V81" s="209"/>
      <c r="W81" s="210"/>
    </row>
    <row r="82" spans="1:23" x14ac:dyDescent="0.3">
      <c r="A82" s="180" t="s">
        <v>37</v>
      </c>
      <c r="B82" s="5"/>
      <c r="C82" s="5"/>
      <c r="D82" s="4"/>
      <c r="E82" s="211"/>
      <c r="F82" s="212"/>
      <c r="G82" s="212"/>
      <c r="H82" s="212"/>
      <c r="I82" s="213"/>
      <c r="J82" s="165"/>
      <c r="K82" s="166"/>
      <c r="L82" s="165"/>
      <c r="M82" s="166"/>
      <c r="N82" s="165"/>
      <c r="O82" s="166"/>
      <c r="P82" s="165"/>
      <c r="Q82" s="166"/>
      <c r="R82" s="46"/>
      <c r="S82" s="6" t="s">
        <v>20</v>
      </c>
      <c r="T82" s="3"/>
      <c r="U82" s="202" t="s">
        <v>127</v>
      </c>
      <c r="V82" s="203"/>
      <c r="W82" s="204"/>
    </row>
    <row r="83" spans="1:23" x14ac:dyDescent="0.3">
      <c r="A83" s="163"/>
      <c r="B83" s="5"/>
      <c r="C83" s="5"/>
      <c r="D83" s="4"/>
      <c r="E83" s="211"/>
      <c r="F83" s="212"/>
      <c r="G83" s="212"/>
      <c r="H83" s="212"/>
      <c r="I83" s="213"/>
      <c r="J83" s="165"/>
      <c r="K83" s="166"/>
      <c r="L83" s="165"/>
      <c r="M83" s="166"/>
      <c r="N83" s="165"/>
      <c r="O83" s="166"/>
      <c r="P83" s="165"/>
      <c r="Q83" s="166"/>
      <c r="R83" s="46"/>
      <c r="S83" s="6" t="s">
        <v>20</v>
      </c>
      <c r="T83" s="3"/>
      <c r="U83" s="205"/>
      <c r="V83" s="206"/>
      <c r="W83" s="207"/>
    </row>
    <row r="84" spans="1:23" hidden="1" x14ac:dyDescent="0.3">
      <c r="A84" s="163"/>
      <c r="B84" s="5"/>
      <c r="C84" s="5"/>
      <c r="D84" s="4"/>
      <c r="E84" s="211"/>
      <c r="F84" s="212"/>
      <c r="G84" s="212"/>
      <c r="H84" s="212"/>
      <c r="I84" s="213"/>
      <c r="J84" s="165"/>
      <c r="K84" s="166"/>
      <c r="L84" s="165"/>
      <c r="M84" s="166"/>
      <c r="N84" s="165"/>
      <c r="O84" s="166"/>
      <c r="P84" s="165"/>
      <c r="Q84" s="166"/>
      <c r="R84" s="46"/>
      <c r="S84" s="6" t="s">
        <v>20</v>
      </c>
      <c r="T84" s="3"/>
      <c r="U84" s="205"/>
      <c r="V84" s="206"/>
      <c r="W84" s="207"/>
    </row>
    <row r="85" spans="1:23" hidden="1" x14ac:dyDescent="0.3">
      <c r="A85" s="163"/>
      <c r="B85" s="5"/>
      <c r="C85" s="5"/>
      <c r="D85" s="4"/>
      <c r="E85" s="211"/>
      <c r="F85" s="212"/>
      <c r="G85" s="212"/>
      <c r="H85" s="212"/>
      <c r="I85" s="213"/>
      <c r="J85" s="165"/>
      <c r="K85" s="166"/>
      <c r="L85" s="165"/>
      <c r="M85" s="166"/>
      <c r="N85" s="165"/>
      <c r="O85" s="166"/>
      <c r="P85" s="165"/>
      <c r="Q85" s="166"/>
      <c r="R85" s="46"/>
      <c r="S85" s="6" t="s">
        <v>20</v>
      </c>
      <c r="T85" s="3"/>
      <c r="U85" s="205"/>
      <c r="V85" s="206"/>
      <c r="W85" s="207"/>
    </row>
    <row r="86" spans="1:23" hidden="1" x14ac:dyDescent="0.3">
      <c r="A86" s="163"/>
      <c r="B86" s="5"/>
      <c r="C86" s="5"/>
      <c r="D86" s="4"/>
      <c r="E86" s="211"/>
      <c r="F86" s="212"/>
      <c r="G86" s="212"/>
      <c r="H86" s="212"/>
      <c r="I86" s="213"/>
      <c r="J86" s="165"/>
      <c r="K86" s="166"/>
      <c r="L86" s="165"/>
      <c r="M86" s="166"/>
      <c r="N86" s="165"/>
      <c r="O86" s="166"/>
      <c r="P86" s="165"/>
      <c r="Q86" s="166"/>
      <c r="R86" s="46"/>
      <c r="S86" s="6" t="s">
        <v>20</v>
      </c>
      <c r="T86" s="3"/>
      <c r="U86" s="205"/>
      <c r="V86" s="206"/>
      <c r="W86" s="207"/>
    </row>
    <row r="87" spans="1:23" hidden="1" x14ac:dyDescent="0.3">
      <c r="A87" s="163"/>
      <c r="B87" s="5"/>
      <c r="C87" s="5"/>
      <c r="D87" s="4"/>
      <c r="E87" s="211"/>
      <c r="F87" s="212"/>
      <c r="G87" s="212"/>
      <c r="H87" s="212"/>
      <c r="I87" s="213"/>
      <c r="J87" s="165"/>
      <c r="K87" s="166"/>
      <c r="L87" s="165"/>
      <c r="M87" s="166"/>
      <c r="N87" s="165"/>
      <c r="O87" s="166"/>
      <c r="P87" s="165"/>
      <c r="Q87" s="166"/>
      <c r="R87" s="46"/>
      <c r="S87" s="6" t="s">
        <v>20</v>
      </c>
      <c r="T87" s="3"/>
      <c r="U87" s="205"/>
      <c r="V87" s="206"/>
      <c r="W87" s="207"/>
    </row>
    <row r="88" spans="1:23" x14ac:dyDescent="0.3">
      <c r="A88" s="163"/>
      <c r="B88" s="5"/>
      <c r="C88" s="5"/>
      <c r="D88" s="4"/>
      <c r="E88" s="211"/>
      <c r="F88" s="212"/>
      <c r="G88" s="212"/>
      <c r="H88" s="212"/>
      <c r="I88" s="213"/>
      <c r="J88" s="165"/>
      <c r="K88" s="166"/>
      <c r="L88" s="165"/>
      <c r="M88" s="166"/>
      <c r="N88" s="165"/>
      <c r="O88" s="166"/>
      <c r="P88" s="165"/>
      <c r="Q88" s="166"/>
      <c r="R88" s="46"/>
      <c r="S88" s="6" t="s">
        <v>20</v>
      </c>
      <c r="T88" s="3"/>
      <c r="U88" s="205"/>
      <c r="V88" s="206"/>
      <c r="W88" s="207"/>
    </row>
    <row r="89" spans="1:23" x14ac:dyDescent="0.3">
      <c r="A89" s="164"/>
      <c r="B89" s="19"/>
      <c r="C89" s="19"/>
      <c r="D89" s="20"/>
      <c r="E89" s="170" t="s">
        <v>0</v>
      </c>
      <c r="F89" s="171"/>
      <c r="G89" s="171"/>
      <c r="H89" s="171"/>
      <c r="I89" s="172"/>
      <c r="J89" s="173">
        <f>SUM(J82:J88)</f>
        <v>0</v>
      </c>
      <c r="K89" s="174"/>
      <c r="L89" s="173">
        <f>SUM(L82:L88)</f>
        <v>0</v>
      </c>
      <c r="M89" s="174"/>
      <c r="N89" s="173">
        <f>SUM(N82:N88)</f>
        <v>0</v>
      </c>
      <c r="O89" s="174"/>
      <c r="P89" s="173">
        <f>SUM(P82:P88)</f>
        <v>0</v>
      </c>
      <c r="Q89" s="174"/>
      <c r="R89" s="23">
        <f>SUM(R82:R88)</f>
        <v>0</v>
      </c>
      <c r="S89" s="24" t="s">
        <v>20</v>
      </c>
      <c r="T89" s="19"/>
      <c r="U89" s="208"/>
      <c r="V89" s="209"/>
      <c r="W89" s="210"/>
    </row>
    <row r="90" spans="1:23" x14ac:dyDescent="0.3">
      <c r="A90" s="180" t="s">
        <v>36</v>
      </c>
      <c r="B90" s="5"/>
      <c r="C90" s="5"/>
      <c r="D90" s="4"/>
      <c r="E90" s="211"/>
      <c r="F90" s="212"/>
      <c r="G90" s="212"/>
      <c r="H90" s="212"/>
      <c r="I90" s="213"/>
      <c r="J90" s="165"/>
      <c r="K90" s="166"/>
      <c r="L90" s="165"/>
      <c r="M90" s="166"/>
      <c r="N90" s="165"/>
      <c r="O90" s="166"/>
      <c r="P90" s="165"/>
      <c r="Q90" s="166"/>
      <c r="R90" s="46"/>
      <c r="S90" s="6" t="s">
        <v>20</v>
      </c>
      <c r="T90" s="3"/>
      <c r="U90" s="202"/>
      <c r="V90" s="203"/>
      <c r="W90" s="204"/>
    </row>
    <row r="91" spans="1:23" x14ac:dyDescent="0.3">
      <c r="A91" s="163"/>
      <c r="B91" s="5"/>
      <c r="C91" s="5"/>
      <c r="D91" s="4"/>
      <c r="E91" s="211"/>
      <c r="F91" s="212"/>
      <c r="G91" s="212"/>
      <c r="H91" s="212"/>
      <c r="I91" s="213"/>
      <c r="J91" s="165"/>
      <c r="K91" s="166"/>
      <c r="L91" s="165"/>
      <c r="M91" s="166"/>
      <c r="N91" s="165"/>
      <c r="O91" s="166"/>
      <c r="P91" s="165"/>
      <c r="Q91" s="166"/>
      <c r="R91" s="46"/>
      <c r="S91" s="6" t="s">
        <v>20</v>
      </c>
      <c r="T91" s="3"/>
      <c r="U91" s="205"/>
      <c r="V91" s="206"/>
      <c r="W91" s="207"/>
    </row>
    <row r="92" spans="1:23" x14ac:dyDescent="0.3">
      <c r="A92" s="163"/>
      <c r="B92" s="5"/>
      <c r="C92" s="5"/>
      <c r="D92" s="4"/>
      <c r="E92" s="211"/>
      <c r="F92" s="212"/>
      <c r="G92" s="212"/>
      <c r="H92" s="212"/>
      <c r="I92" s="213"/>
      <c r="J92" s="165"/>
      <c r="K92" s="166"/>
      <c r="L92" s="165"/>
      <c r="M92" s="166"/>
      <c r="N92" s="165"/>
      <c r="O92" s="166"/>
      <c r="P92" s="165"/>
      <c r="Q92" s="166"/>
      <c r="R92" s="46"/>
      <c r="S92" s="6" t="s">
        <v>20</v>
      </c>
      <c r="T92" s="3"/>
      <c r="U92" s="205"/>
      <c r="V92" s="206"/>
      <c r="W92" s="207"/>
    </row>
    <row r="93" spans="1:23" x14ac:dyDescent="0.3">
      <c r="A93" s="164"/>
      <c r="B93" s="19"/>
      <c r="C93" s="19"/>
      <c r="D93" s="20"/>
      <c r="E93" s="170" t="s">
        <v>0</v>
      </c>
      <c r="F93" s="171"/>
      <c r="G93" s="171"/>
      <c r="H93" s="171"/>
      <c r="I93" s="172"/>
      <c r="J93" s="173">
        <f>SUM(J90:J92)</f>
        <v>0</v>
      </c>
      <c r="K93" s="174"/>
      <c r="L93" s="173">
        <f>SUM(L90:L92)</f>
        <v>0</v>
      </c>
      <c r="M93" s="174"/>
      <c r="N93" s="173">
        <f>SUM(N90:N92)</f>
        <v>0</v>
      </c>
      <c r="O93" s="174"/>
      <c r="P93" s="173">
        <f>SUM(P90:P92)</f>
        <v>0</v>
      </c>
      <c r="Q93" s="174"/>
      <c r="R93" s="23">
        <f>SUM(R90:R92)</f>
        <v>0</v>
      </c>
      <c r="S93" s="24" t="s">
        <v>20</v>
      </c>
      <c r="T93" s="19"/>
      <c r="U93" s="208"/>
      <c r="V93" s="209"/>
      <c r="W93" s="210"/>
    </row>
    <row r="94" spans="1:23" x14ac:dyDescent="0.3">
      <c r="E94" s="28"/>
      <c r="F94" s="28"/>
      <c r="G94" s="28"/>
      <c r="H94" s="28"/>
      <c r="I94" s="28"/>
      <c r="J94" s="29"/>
      <c r="K94" s="29"/>
      <c r="L94" s="29"/>
      <c r="M94" s="29"/>
      <c r="N94" s="29"/>
      <c r="O94" s="29"/>
      <c r="P94" s="29"/>
      <c r="Q94" s="29"/>
    </row>
    <row r="95" spans="1:23" x14ac:dyDescent="0.3">
      <c r="E95" s="170" t="s">
        <v>28</v>
      </c>
      <c r="F95" s="171"/>
      <c r="G95" s="171"/>
      <c r="H95" s="171"/>
      <c r="I95" s="172"/>
      <c r="J95" s="175" t="s">
        <v>7</v>
      </c>
      <c r="K95" s="176"/>
      <c r="L95" s="175" t="s">
        <v>8</v>
      </c>
      <c r="M95" s="176"/>
      <c r="N95" s="175" t="s">
        <v>9</v>
      </c>
      <c r="O95" s="176"/>
      <c r="P95" s="175" t="s">
        <v>16</v>
      </c>
      <c r="Q95" s="176"/>
    </row>
    <row r="96" spans="1:23" s="2" customFormat="1" x14ac:dyDescent="0.3">
      <c r="E96" s="15"/>
      <c r="F96" s="15"/>
      <c r="G96" s="15"/>
      <c r="H96" s="15"/>
      <c r="I96" s="15"/>
      <c r="J96" s="30">
        <f>J77+J81</f>
        <v>359</v>
      </c>
      <c r="K96" s="31" t="s">
        <v>17</v>
      </c>
      <c r="L96" s="32">
        <f>L77+L81</f>
        <v>3153</v>
      </c>
      <c r="M96" s="31" t="s">
        <v>17</v>
      </c>
      <c r="N96" s="32">
        <f>N77+N81</f>
        <v>0</v>
      </c>
      <c r="O96" s="31" t="s">
        <v>17</v>
      </c>
      <c r="P96" s="33">
        <f>P89+P93</f>
        <v>0</v>
      </c>
      <c r="Q96" s="34" t="s">
        <v>17</v>
      </c>
    </row>
    <row r="97" spans="5:17" ht="24.45" customHeight="1" x14ac:dyDescent="0.3">
      <c r="E97" s="28"/>
      <c r="F97" s="28"/>
      <c r="G97" s="28"/>
      <c r="H97" s="28"/>
      <c r="I97" s="28"/>
      <c r="J97" s="167">
        <f>J96+L96+N96+P96</f>
        <v>3512</v>
      </c>
      <c r="K97" s="168"/>
      <c r="L97" s="168"/>
      <c r="M97" s="168"/>
      <c r="N97" s="168"/>
      <c r="O97" s="168"/>
      <c r="P97" s="168"/>
      <c r="Q97" s="169"/>
    </row>
  </sheetData>
  <mergeCells count="390">
    <mergeCell ref="E95:I95"/>
    <mergeCell ref="J95:K95"/>
    <mergeCell ref="L95:M95"/>
    <mergeCell ref="N95:O95"/>
    <mergeCell ref="P95:Q95"/>
    <mergeCell ref="J97:Q97"/>
    <mergeCell ref="N92:O92"/>
    <mergeCell ref="P92:Q92"/>
    <mergeCell ref="E93:I93"/>
    <mergeCell ref="J93:K93"/>
    <mergeCell ref="L93:M93"/>
    <mergeCell ref="N93:O93"/>
    <mergeCell ref="P93:Q93"/>
    <mergeCell ref="U90:W93"/>
    <mergeCell ref="E91:I91"/>
    <mergeCell ref="J91:K91"/>
    <mergeCell ref="L91:M91"/>
    <mergeCell ref="N91:O91"/>
    <mergeCell ref="P91:Q91"/>
    <mergeCell ref="E92:I92"/>
    <mergeCell ref="J92:K92"/>
    <mergeCell ref="L92:M92"/>
    <mergeCell ref="E89:I89"/>
    <mergeCell ref="J89:K89"/>
    <mergeCell ref="L89:M89"/>
    <mergeCell ref="N89:O89"/>
    <mergeCell ref="P89:Q89"/>
    <mergeCell ref="A90:A93"/>
    <mergeCell ref="E90:I90"/>
    <mergeCell ref="J90:K90"/>
    <mergeCell ref="L90:M90"/>
    <mergeCell ref="N90:O90"/>
    <mergeCell ref="A82:A89"/>
    <mergeCell ref="J85:K85"/>
    <mergeCell ref="L85:M85"/>
    <mergeCell ref="P90:Q90"/>
    <mergeCell ref="E87:I87"/>
    <mergeCell ref="J87:K87"/>
    <mergeCell ref="L87:M87"/>
    <mergeCell ref="N87:O87"/>
    <mergeCell ref="P87:Q87"/>
    <mergeCell ref="E88:I88"/>
    <mergeCell ref="J88:K88"/>
    <mergeCell ref="L88:M88"/>
    <mergeCell ref="N88:O88"/>
    <mergeCell ref="P88:Q88"/>
    <mergeCell ref="N85:O85"/>
    <mergeCell ref="P85:Q85"/>
    <mergeCell ref="E86:I86"/>
    <mergeCell ref="J86:K86"/>
    <mergeCell ref="L86:M86"/>
    <mergeCell ref="N86:O86"/>
    <mergeCell ref="P86:Q86"/>
    <mergeCell ref="U82:W89"/>
    <mergeCell ref="E83:I83"/>
    <mergeCell ref="J83:K83"/>
    <mergeCell ref="L83:M83"/>
    <mergeCell ref="N83:O83"/>
    <mergeCell ref="P83:Q83"/>
    <mergeCell ref="E84:I84"/>
    <mergeCell ref="J84:K84"/>
    <mergeCell ref="L84:M84"/>
    <mergeCell ref="N84:O84"/>
    <mergeCell ref="E82:I82"/>
    <mergeCell ref="J82:K82"/>
    <mergeCell ref="L82:M82"/>
    <mergeCell ref="N82:O82"/>
    <mergeCell ref="P82:Q82"/>
    <mergeCell ref="P84:Q84"/>
    <mergeCell ref="E85:I85"/>
    <mergeCell ref="U78:W81"/>
    <mergeCell ref="E79:I79"/>
    <mergeCell ref="J79:K79"/>
    <mergeCell ref="L79:M79"/>
    <mergeCell ref="N79:O79"/>
    <mergeCell ref="P79:Q79"/>
    <mergeCell ref="E80:I80"/>
    <mergeCell ref="J80:K80"/>
    <mergeCell ref="L80:M80"/>
    <mergeCell ref="P80:Q80"/>
    <mergeCell ref="E81:I81"/>
    <mergeCell ref="J81:K81"/>
    <mergeCell ref="L81:M81"/>
    <mergeCell ref="N81:O81"/>
    <mergeCell ref="P81:Q81"/>
    <mergeCell ref="P78:Q78"/>
    <mergeCell ref="A78:A81"/>
    <mergeCell ref="E78:I78"/>
    <mergeCell ref="J78:K78"/>
    <mergeCell ref="L78:M78"/>
    <mergeCell ref="N78:O78"/>
    <mergeCell ref="A70:A77"/>
    <mergeCell ref="J73:K73"/>
    <mergeCell ref="L73:M73"/>
    <mergeCell ref="N80:O80"/>
    <mergeCell ref="N73:O73"/>
    <mergeCell ref="P73:Q73"/>
    <mergeCell ref="E74:I74"/>
    <mergeCell ref="J74:K74"/>
    <mergeCell ref="L74:M74"/>
    <mergeCell ref="N74:O74"/>
    <mergeCell ref="P74:Q74"/>
    <mergeCell ref="E77:I77"/>
    <mergeCell ref="J77:K77"/>
    <mergeCell ref="L77:M77"/>
    <mergeCell ref="N77:O77"/>
    <mergeCell ref="P77:Q77"/>
    <mergeCell ref="E75:I75"/>
    <mergeCell ref="J75:K75"/>
    <mergeCell ref="L75:M75"/>
    <mergeCell ref="U70:W77"/>
    <mergeCell ref="E71:I71"/>
    <mergeCell ref="J71:K71"/>
    <mergeCell ref="L71:M71"/>
    <mergeCell ref="N71:O71"/>
    <mergeCell ref="P71:Q71"/>
    <mergeCell ref="E72:I72"/>
    <mergeCell ref="J72:K72"/>
    <mergeCell ref="L72:M72"/>
    <mergeCell ref="N72:O72"/>
    <mergeCell ref="E70:I70"/>
    <mergeCell ref="J70:K70"/>
    <mergeCell ref="L70:M70"/>
    <mergeCell ref="N70:O70"/>
    <mergeCell ref="P70:Q70"/>
    <mergeCell ref="P72:Q72"/>
    <mergeCell ref="E73:I73"/>
    <mergeCell ref="N75:O75"/>
    <mergeCell ref="P75:Q75"/>
    <mergeCell ref="E76:I76"/>
    <mergeCell ref="J76:K76"/>
    <mergeCell ref="L76:M76"/>
    <mergeCell ref="N76:O76"/>
    <mergeCell ref="P76:Q76"/>
    <mergeCell ref="E62:I62"/>
    <mergeCell ref="J62:K62"/>
    <mergeCell ref="L62:M62"/>
    <mergeCell ref="N62:O62"/>
    <mergeCell ref="P62:Q62"/>
    <mergeCell ref="R68:S69"/>
    <mergeCell ref="T68:T69"/>
    <mergeCell ref="U68:W69"/>
    <mergeCell ref="J69:K69"/>
    <mergeCell ref="L69:M69"/>
    <mergeCell ref="N69:O69"/>
    <mergeCell ref="P69:Q69"/>
    <mergeCell ref="J64:Q64"/>
    <mergeCell ref="Q66:S66"/>
    <mergeCell ref="T66:W66"/>
    <mergeCell ref="A67:W67"/>
    <mergeCell ref="A68:A69"/>
    <mergeCell ref="B68:B69"/>
    <mergeCell ref="C68:C69"/>
    <mergeCell ref="D68:D69"/>
    <mergeCell ref="E68:I69"/>
    <mergeCell ref="J68:Q68"/>
    <mergeCell ref="U51:W60"/>
    <mergeCell ref="J52:K52"/>
    <mergeCell ref="L52:M52"/>
    <mergeCell ref="N52:O52"/>
    <mergeCell ref="P52:Q52"/>
    <mergeCell ref="J53:K53"/>
    <mergeCell ref="L53:M53"/>
    <mergeCell ref="N53:O53"/>
    <mergeCell ref="P53:Q53"/>
    <mergeCell ref="J54:K54"/>
    <mergeCell ref="J58:K58"/>
    <mergeCell ref="L58:M58"/>
    <mergeCell ref="N58:O58"/>
    <mergeCell ref="P58:Q58"/>
    <mergeCell ref="J59:K59"/>
    <mergeCell ref="L59:M59"/>
    <mergeCell ref="N59:O59"/>
    <mergeCell ref="P59:Q59"/>
    <mergeCell ref="J56:K56"/>
    <mergeCell ref="L56:M56"/>
    <mergeCell ref="N56:O56"/>
    <mergeCell ref="P56:Q56"/>
    <mergeCell ref="J57:K57"/>
    <mergeCell ref="L57:M57"/>
    <mergeCell ref="A51:A60"/>
    <mergeCell ref="J51:K51"/>
    <mergeCell ref="L51:M51"/>
    <mergeCell ref="N51:O51"/>
    <mergeCell ref="P51:Q51"/>
    <mergeCell ref="L54:M54"/>
    <mergeCell ref="N54:O54"/>
    <mergeCell ref="P54:Q54"/>
    <mergeCell ref="J55:K55"/>
    <mergeCell ref="L55:M55"/>
    <mergeCell ref="N55:O55"/>
    <mergeCell ref="P55:Q55"/>
    <mergeCell ref="N57:O57"/>
    <mergeCell ref="P57:Q57"/>
    <mergeCell ref="E60:I60"/>
    <mergeCell ref="J60:K60"/>
    <mergeCell ref="L60:M60"/>
    <mergeCell ref="N60:O60"/>
    <mergeCell ref="P60:Q60"/>
    <mergeCell ref="U41:W50"/>
    <mergeCell ref="J42:K42"/>
    <mergeCell ref="L42:M42"/>
    <mergeCell ref="N42:O42"/>
    <mergeCell ref="P42:Q42"/>
    <mergeCell ref="J43:K43"/>
    <mergeCell ref="L43:M43"/>
    <mergeCell ref="N43:O43"/>
    <mergeCell ref="P43:Q43"/>
    <mergeCell ref="J44:K44"/>
    <mergeCell ref="J48:K48"/>
    <mergeCell ref="L48:M48"/>
    <mergeCell ref="N48:O48"/>
    <mergeCell ref="P48:Q48"/>
    <mergeCell ref="J49:K49"/>
    <mergeCell ref="L49:M49"/>
    <mergeCell ref="N49:O49"/>
    <mergeCell ref="P49:Q49"/>
    <mergeCell ref="J46:K46"/>
    <mergeCell ref="L46:M46"/>
    <mergeCell ref="N46:O46"/>
    <mergeCell ref="P46:Q46"/>
    <mergeCell ref="J47:K47"/>
    <mergeCell ref="L47:M47"/>
    <mergeCell ref="A41:A50"/>
    <mergeCell ref="J41:K41"/>
    <mergeCell ref="L41:M41"/>
    <mergeCell ref="N41:O41"/>
    <mergeCell ref="P41:Q41"/>
    <mergeCell ref="L44:M44"/>
    <mergeCell ref="N44:O44"/>
    <mergeCell ref="P44:Q44"/>
    <mergeCell ref="J45:K45"/>
    <mergeCell ref="L45:M45"/>
    <mergeCell ref="N45:O45"/>
    <mergeCell ref="P45:Q45"/>
    <mergeCell ref="N47:O47"/>
    <mergeCell ref="P47:Q47"/>
    <mergeCell ref="E50:I50"/>
    <mergeCell ref="J50:K50"/>
    <mergeCell ref="L50:M50"/>
    <mergeCell ref="N50:O50"/>
    <mergeCell ref="P50:Q50"/>
    <mergeCell ref="U31:W40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J38:K38"/>
    <mergeCell ref="L38:M38"/>
    <mergeCell ref="N38:O38"/>
    <mergeCell ref="P38:Q38"/>
    <mergeCell ref="J39:K39"/>
    <mergeCell ref="L39:M39"/>
    <mergeCell ref="N39:O39"/>
    <mergeCell ref="P39:Q39"/>
    <mergeCell ref="J36:K36"/>
    <mergeCell ref="L36:M36"/>
    <mergeCell ref="N36:O36"/>
    <mergeCell ref="P36:Q36"/>
    <mergeCell ref="J37:K37"/>
    <mergeCell ref="L37:M37"/>
    <mergeCell ref="A31:A40"/>
    <mergeCell ref="J31:K31"/>
    <mergeCell ref="L31:M31"/>
    <mergeCell ref="N31:O31"/>
    <mergeCell ref="P31:Q31"/>
    <mergeCell ref="G29:G30"/>
    <mergeCell ref="H29:H30"/>
    <mergeCell ref="I29:I30"/>
    <mergeCell ref="J29:Q29"/>
    <mergeCell ref="L34:M34"/>
    <mergeCell ref="N34:O34"/>
    <mergeCell ref="P34:Q34"/>
    <mergeCell ref="J35:K35"/>
    <mergeCell ref="L35:M35"/>
    <mergeCell ref="N35:O35"/>
    <mergeCell ref="P35:Q35"/>
    <mergeCell ref="N37:O37"/>
    <mergeCell ref="P37:Q37"/>
    <mergeCell ref="E40:I40"/>
    <mergeCell ref="J40:K40"/>
    <mergeCell ref="L40:M40"/>
    <mergeCell ref="N40:O40"/>
    <mergeCell ref="P40:Q4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1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W103"/>
  <sheetViews>
    <sheetView topLeftCell="A59" zoomScale="85" zoomScaleNormal="85" workbookViewId="0">
      <selection activeCell="F65" sqref="F65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28.3320312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45918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160925</v>
      </c>
      <c r="E7" s="12" t="s">
        <v>128</v>
      </c>
      <c r="F7" s="17">
        <v>342</v>
      </c>
      <c r="G7" s="17">
        <v>304</v>
      </c>
      <c r="H7" s="18">
        <v>0.7</v>
      </c>
      <c r="I7" s="17">
        <v>35000</v>
      </c>
      <c r="J7" s="165">
        <v>405</v>
      </c>
      <c r="K7" s="166"/>
      <c r="L7" s="165"/>
      <c r="M7" s="166"/>
      <c r="N7" s="165"/>
      <c r="O7" s="166"/>
      <c r="P7" s="165"/>
      <c r="Q7" s="166"/>
      <c r="R7" s="47"/>
      <c r="S7" s="14" t="s">
        <v>20</v>
      </c>
      <c r="T7" s="42"/>
      <c r="U7" s="202" t="s">
        <v>136</v>
      </c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129</v>
      </c>
      <c r="F8" s="17">
        <v>315</v>
      </c>
      <c r="G8" s="17">
        <v>304</v>
      </c>
      <c r="H8" s="18">
        <v>0.7</v>
      </c>
      <c r="I8" s="17">
        <v>35000</v>
      </c>
      <c r="J8" s="165">
        <v>135</v>
      </c>
      <c r="K8" s="166"/>
      <c r="L8" s="165"/>
      <c r="M8" s="166"/>
      <c r="N8" s="165"/>
      <c r="O8" s="166"/>
      <c r="P8" s="165"/>
      <c r="Q8" s="166"/>
      <c r="R8" s="47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160925</v>
      </c>
      <c r="E9" s="12" t="s">
        <v>130</v>
      </c>
      <c r="F9" s="17">
        <v>433</v>
      </c>
      <c r="G9" s="17">
        <v>304</v>
      </c>
      <c r="H9" s="18">
        <v>0.7</v>
      </c>
      <c r="I9" s="17">
        <v>35000</v>
      </c>
      <c r="J9" s="165">
        <v>1116</v>
      </c>
      <c r="K9" s="166"/>
      <c r="L9" s="165"/>
      <c r="M9" s="166"/>
      <c r="N9" s="165"/>
      <c r="O9" s="166"/>
      <c r="P9" s="165"/>
      <c r="Q9" s="166"/>
      <c r="R9" s="47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>
        <v>160925</v>
      </c>
      <c r="E10" s="12" t="s">
        <v>131</v>
      </c>
      <c r="F10" s="17">
        <v>362</v>
      </c>
      <c r="G10" s="17">
        <v>304</v>
      </c>
      <c r="H10" s="18">
        <v>0.7</v>
      </c>
      <c r="I10" s="17">
        <v>35000</v>
      </c>
      <c r="J10" s="165">
        <v>1116</v>
      </c>
      <c r="K10" s="166"/>
      <c r="L10" s="165"/>
      <c r="M10" s="166"/>
      <c r="N10" s="165"/>
      <c r="O10" s="166"/>
      <c r="P10" s="165"/>
      <c r="Q10" s="166"/>
      <c r="R10" s="47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132</v>
      </c>
      <c r="F11" s="17">
        <v>277</v>
      </c>
      <c r="G11" s="17">
        <v>304</v>
      </c>
      <c r="H11" s="18">
        <v>0.7</v>
      </c>
      <c r="I11" s="17">
        <v>35000</v>
      </c>
      <c r="J11" s="253">
        <v>372</v>
      </c>
      <c r="K11" s="254"/>
      <c r="L11" s="165"/>
      <c r="M11" s="166"/>
      <c r="N11" s="165"/>
      <c r="O11" s="166"/>
      <c r="P11" s="165"/>
      <c r="Q11" s="166"/>
      <c r="R11" s="47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>
        <v>160925</v>
      </c>
      <c r="E12" s="12" t="s">
        <v>133</v>
      </c>
      <c r="F12" s="17">
        <v>319</v>
      </c>
      <c r="G12" s="17">
        <v>304</v>
      </c>
      <c r="H12" s="18">
        <v>0.7</v>
      </c>
      <c r="I12" s="17">
        <v>35000</v>
      </c>
      <c r="J12" s="165">
        <v>1120</v>
      </c>
      <c r="K12" s="166"/>
      <c r="L12" s="165"/>
      <c r="M12" s="166"/>
      <c r="N12" s="165"/>
      <c r="O12" s="166"/>
      <c r="P12" s="165"/>
      <c r="Q12" s="166"/>
      <c r="R12" s="47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134</v>
      </c>
      <c r="F13" s="17">
        <v>132</v>
      </c>
      <c r="G13" s="17">
        <v>304</v>
      </c>
      <c r="H13" s="18">
        <v>0.7</v>
      </c>
      <c r="I13" s="17">
        <v>35000</v>
      </c>
      <c r="J13" s="165">
        <v>280</v>
      </c>
      <c r="K13" s="166"/>
      <c r="L13" s="165"/>
      <c r="M13" s="166"/>
      <c r="N13" s="165"/>
      <c r="O13" s="166"/>
      <c r="P13" s="165"/>
      <c r="Q13" s="166"/>
      <c r="R13" s="47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>
        <v>0.70833333333333337</v>
      </c>
      <c r="D14" s="4">
        <v>160925</v>
      </c>
      <c r="E14" s="12" t="s">
        <v>135</v>
      </c>
      <c r="F14" s="17">
        <v>332</v>
      </c>
      <c r="G14" s="17">
        <v>304</v>
      </c>
      <c r="H14" s="18">
        <v>0.9</v>
      </c>
      <c r="I14" s="17">
        <v>30000</v>
      </c>
      <c r="J14" s="165"/>
      <c r="K14" s="166"/>
      <c r="L14" s="165"/>
      <c r="M14" s="166"/>
      <c r="N14" s="165">
        <v>1150</v>
      </c>
      <c r="O14" s="166"/>
      <c r="P14" s="165"/>
      <c r="Q14" s="166"/>
      <c r="R14" s="47">
        <v>40</v>
      </c>
      <c r="S14" s="14" t="s">
        <v>20</v>
      </c>
      <c r="T14" s="42" t="s">
        <v>110</v>
      </c>
      <c r="U14" s="205"/>
      <c r="V14" s="206"/>
      <c r="W14" s="207"/>
    </row>
    <row r="15" spans="1:23" hidden="1" x14ac:dyDescent="0.3">
      <c r="A15" s="181"/>
      <c r="B15" s="5"/>
      <c r="C15" s="5"/>
      <c r="D15" s="4"/>
      <c r="E15" s="12"/>
      <c r="F15" s="17"/>
      <c r="G15" s="17"/>
      <c r="H15" s="18"/>
      <c r="I15" s="17"/>
      <c r="J15" s="165"/>
      <c r="K15" s="166"/>
      <c r="L15" s="165"/>
      <c r="M15" s="166"/>
      <c r="N15" s="165"/>
      <c r="O15" s="166"/>
      <c r="P15" s="165"/>
      <c r="Q15" s="166"/>
      <c r="R15" s="47"/>
      <c r="S15" s="14" t="s">
        <v>20</v>
      </c>
      <c r="T15" s="42"/>
      <c r="U15" s="205"/>
      <c r="V15" s="206"/>
      <c r="W15" s="207"/>
    </row>
    <row r="16" spans="1:23" hidden="1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47"/>
      <c r="S16" s="14" t="s">
        <v>20</v>
      </c>
      <c r="T16" s="42"/>
      <c r="U16" s="205"/>
      <c r="V16" s="206"/>
      <c r="W16" s="207"/>
    </row>
    <row r="17" spans="1:23" hidden="1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47"/>
      <c r="S17" s="14" t="s">
        <v>20</v>
      </c>
      <c r="T17" s="42"/>
      <c r="U17" s="205"/>
      <c r="V17" s="206"/>
      <c r="W17" s="207"/>
    </row>
    <row r="18" spans="1:23" hidden="1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47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47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47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4544</v>
      </c>
      <c r="K21" s="22" t="s">
        <v>17</v>
      </c>
      <c r="L21" s="21">
        <f>SUM(L7:M20)</f>
        <v>0</v>
      </c>
      <c r="M21" s="22" t="s">
        <v>17</v>
      </c>
      <c r="N21" s="21">
        <f>SUM(N7:O20)</f>
        <v>1150</v>
      </c>
      <c r="O21" s="22" t="s">
        <v>17</v>
      </c>
      <c r="P21" s="21">
        <f>SUM(P7:Q20)</f>
        <v>0</v>
      </c>
      <c r="Q21" s="22" t="s">
        <v>17</v>
      </c>
      <c r="R21" s="23">
        <f>SUM(R7:R20)</f>
        <v>40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4544</v>
      </c>
      <c r="K24" s="31" t="s">
        <v>17</v>
      </c>
      <c r="L24" s="32">
        <f>L21</f>
        <v>0</v>
      </c>
      <c r="M24" s="31" t="s">
        <v>17</v>
      </c>
      <c r="N24" s="32">
        <f>N21</f>
        <v>1150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5694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45918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>
        <v>0.70833333333333337</v>
      </c>
      <c r="D31" s="4">
        <v>210825</v>
      </c>
      <c r="E31" s="13" t="s">
        <v>115</v>
      </c>
      <c r="F31" s="40">
        <v>430</v>
      </c>
      <c r="G31" s="41">
        <v>0.6</v>
      </c>
      <c r="H31" s="40">
        <v>542</v>
      </c>
      <c r="I31" s="4" t="s">
        <v>49</v>
      </c>
      <c r="J31" s="165"/>
      <c r="K31" s="166"/>
      <c r="L31" s="165">
        <v>1600</v>
      </c>
      <c r="M31" s="166"/>
      <c r="N31" s="165"/>
      <c r="O31" s="166"/>
      <c r="P31" s="165"/>
      <c r="Q31" s="166"/>
      <c r="R31" s="47"/>
      <c r="S31" s="14" t="s">
        <v>20</v>
      </c>
      <c r="T31" s="42"/>
      <c r="U31" s="177"/>
      <c r="V31" s="178"/>
      <c r="W31" s="179"/>
    </row>
    <row r="32" spans="1:23" ht="14.55" hidden="1" customHeight="1" x14ac:dyDescent="0.3">
      <c r="A32" s="181"/>
      <c r="B32" s="5"/>
      <c r="C32" s="5"/>
      <c r="D32" s="4"/>
      <c r="E32" s="13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47"/>
      <c r="S32" s="14" t="s">
        <v>20</v>
      </c>
      <c r="T32" s="42"/>
      <c r="U32" s="177"/>
      <c r="V32" s="178"/>
      <c r="W32" s="179"/>
    </row>
    <row r="33" spans="1:23" ht="14.55" hidden="1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47"/>
      <c r="S33" s="14" t="s">
        <v>20</v>
      </c>
      <c r="T33" s="42"/>
      <c r="U33" s="177"/>
      <c r="V33" s="178"/>
      <c r="W33" s="179"/>
    </row>
    <row r="34" spans="1:23" ht="14.55" hidden="1" customHeight="1" x14ac:dyDescent="0.3">
      <c r="A34" s="181"/>
      <c r="B34" s="5"/>
      <c r="C34" s="5"/>
      <c r="D34" s="4"/>
      <c r="E34" s="13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47"/>
      <c r="S34" s="14" t="s">
        <v>20</v>
      </c>
      <c r="T34" s="42"/>
      <c r="U34" s="177"/>
      <c r="V34" s="178"/>
      <c r="W34" s="179"/>
    </row>
    <row r="35" spans="1:23" ht="14.55" hidden="1" customHeight="1" x14ac:dyDescent="0.3">
      <c r="A35" s="181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47"/>
      <c r="S35" s="14" t="s">
        <v>20</v>
      </c>
      <c r="T35" s="42"/>
      <c r="U35" s="177"/>
      <c r="V35" s="178"/>
      <c r="W35" s="179"/>
    </row>
    <row r="36" spans="1:23" ht="14.55" hidden="1" customHeight="1" x14ac:dyDescent="0.3">
      <c r="A36" s="181"/>
      <c r="B36" s="5"/>
      <c r="C36" s="5"/>
      <c r="D36" s="4"/>
      <c r="E36" s="13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47"/>
      <c r="S36" s="14" t="s">
        <v>20</v>
      </c>
      <c r="T36" s="42"/>
      <c r="U36" s="177"/>
      <c r="V36" s="178"/>
      <c r="W36" s="179"/>
    </row>
    <row r="37" spans="1:23" ht="14.55" hidden="1" customHeight="1" x14ac:dyDescent="0.3">
      <c r="A37" s="181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47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81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47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81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47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82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SUM(J31:K39)</f>
        <v>0</v>
      </c>
      <c r="K40" s="174"/>
      <c r="L40" s="173">
        <f>SUM(L31:M39)</f>
        <v>1600</v>
      </c>
      <c r="M40" s="174"/>
      <c r="N40" s="173">
        <f>SUM(N31:O39)</f>
        <v>0</v>
      </c>
      <c r="O40" s="174"/>
      <c r="P40" s="173">
        <f>SUM(P31:Q39)</f>
        <v>0</v>
      </c>
      <c r="Q40" s="174"/>
      <c r="R40" s="23">
        <f>SUM(R31:R39)</f>
        <v>0</v>
      </c>
      <c r="S40" s="24" t="s">
        <v>20</v>
      </c>
      <c r="T40" s="19"/>
      <c r="U40" s="177"/>
      <c r="V40" s="178"/>
      <c r="W40" s="179"/>
    </row>
    <row r="41" spans="1:23" ht="14.55" customHeight="1" x14ac:dyDescent="0.3">
      <c r="A41" s="163" t="s">
        <v>34</v>
      </c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47"/>
      <c r="S41" s="14" t="s">
        <v>20</v>
      </c>
      <c r="T41" s="42"/>
      <c r="U41" s="177"/>
      <c r="V41" s="178"/>
      <c r="W41" s="179"/>
    </row>
    <row r="42" spans="1:23" ht="14.55" hidden="1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47"/>
      <c r="S42" s="14" t="s">
        <v>20</v>
      </c>
      <c r="T42" s="42"/>
      <c r="U42" s="177"/>
      <c r="V42" s="178"/>
      <c r="W42" s="179"/>
    </row>
    <row r="43" spans="1:23" ht="14.55" hidden="1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47"/>
      <c r="S43" s="14" t="s">
        <v>20</v>
      </c>
      <c r="T43" s="42"/>
      <c r="U43" s="177"/>
      <c r="V43" s="178"/>
      <c r="W43" s="179"/>
    </row>
    <row r="44" spans="1:23" ht="14.55" hidden="1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47"/>
      <c r="S44" s="14" t="s">
        <v>20</v>
      </c>
      <c r="T44" s="42"/>
      <c r="U44" s="177"/>
      <c r="V44" s="178"/>
      <c r="W44" s="179"/>
    </row>
    <row r="45" spans="1:23" ht="14.55" hidden="1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47"/>
      <c r="S45" s="14" t="s">
        <v>20</v>
      </c>
      <c r="T45" s="42"/>
      <c r="U45" s="177"/>
      <c r="V45" s="178"/>
      <c r="W45" s="179"/>
    </row>
    <row r="46" spans="1:23" ht="14.55" hidden="1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47"/>
      <c r="S46" s="14" t="s">
        <v>20</v>
      </c>
      <c r="T46" s="42"/>
      <c r="U46" s="177"/>
      <c r="V46" s="178"/>
      <c r="W46" s="179"/>
    </row>
    <row r="47" spans="1:23" ht="14.55" hidden="1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47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47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63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47"/>
      <c r="S49" s="14" t="s">
        <v>20</v>
      </c>
      <c r="T49" s="42"/>
      <c r="U49" s="177"/>
      <c r="V49" s="178"/>
      <c r="W49" s="179"/>
    </row>
    <row r="50" spans="1:23" ht="14.55" customHeight="1" x14ac:dyDescent="0.3">
      <c r="A50" s="164"/>
      <c r="B50" s="19"/>
      <c r="C50" s="19"/>
      <c r="D50" s="20"/>
      <c r="E50" s="170" t="s">
        <v>0</v>
      </c>
      <c r="F50" s="171"/>
      <c r="G50" s="171"/>
      <c r="H50" s="171"/>
      <c r="I50" s="172"/>
      <c r="J50" s="173">
        <f>SUM(J41:K49)</f>
        <v>0</v>
      </c>
      <c r="K50" s="174"/>
      <c r="L50" s="173">
        <f>SUM(L41:M49)</f>
        <v>0</v>
      </c>
      <c r="M50" s="174"/>
      <c r="N50" s="173">
        <f>SUM(N41:O49)</f>
        <v>0</v>
      </c>
      <c r="O50" s="174"/>
      <c r="P50" s="173">
        <f>SUM(P41:Q49)</f>
        <v>0</v>
      </c>
      <c r="Q50" s="174"/>
      <c r="R50" s="23">
        <f>SUM(R41:R49)</f>
        <v>0</v>
      </c>
      <c r="S50" s="24" t="s">
        <v>20</v>
      </c>
      <c r="T50" s="19"/>
      <c r="U50" s="177"/>
      <c r="V50" s="178"/>
      <c r="W50" s="179"/>
    </row>
    <row r="51" spans="1:23" ht="14.55" customHeight="1" x14ac:dyDescent="0.3">
      <c r="A51" s="163" t="s">
        <v>35</v>
      </c>
      <c r="B51" s="5">
        <v>0.33333333333333331</v>
      </c>
      <c r="C51" s="5"/>
      <c r="D51" s="4">
        <v>10925</v>
      </c>
      <c r="E51" s="12" t="s">
        <v>137</v>
      </c>
      <c r="F51" s="40">
        <v>430</v>
      </c>
      <c r="G51" s="41">
        <v>0.8</v>
      </c>
      <c r="H51" s="40">
        <v>383</v>
      </c>
      <c r="I51" s="12"/>
      <c r="J51" s="165"/>
      <c r="K51" s="166"/>
      <c r="L51" s="165"/>
      <c r="M51" s="166"/>
      <c r="N51" s="165">
        <v>1700</v>
      </c>
      <c r="O51" s="166"/>
      <c r="P51" s="165"/>
      <c r="Q51" s="166"/>
      <c r="R51" s="47"/>
      <c r="S51" s="14" t="s">
        <v>20</v>
      </c>
      <c r="T51" s="42"/>
      <c r="U51" s="177"/>
      <c r="V51" s="178"/>
      <c r="W51" s="179"/>
    </row>
    <row r="52" spans="1:23" ht="14.55" customHeight="1" x14ac:dyDescent="0.3">
      <c r="A52" s="163"/>
      <c r="B52" s="5"/>
      <c r="C52" s="5">
        <v>0.70833333333333337</v>
      </c>
      <c r="D52" s="4">
        <v>100925</v>
      </c>
      <c r="E52" s="12" t="s">
        <v>200</v>
      </c>
      <c r="F52" s="40">
        <v>304</v>
      </c>
      <c r="G52" s="41">
        <v>0.9</v>
      </c>
      <c r="H52" s="40">
        <v>395</v>
      </c>
      <c r="I52" s="12"/>
      <c r="J52" s="165"/>
      <c r="K52" s="166"/>
      <c r="L52" s="165"/>
      <c r="M52" s="166"/>
      <c r="N52" s="165">
        <v>200</v>
      </c>
      <c r="O52" s="166"/>
      <c r="P52" s="165"/>
      <c r="Q52" s="166"/>
      <c r="R52" s="47"/>
      <c r="S52" s="14" t="s">
        <v>20</v>
      </c>
      <c r="T52" s="42"/>
      <c r="U52" s="177"/>
      <c r="V52" s="178"/>
      <c r="W52" s="179"/>
    </row>
    <row r="53" spans="1:23" ht="14.55" hidden="1" customHeight="1" x14ac:dyDescent="0.3">
      <c r="A53" s="163"/>
      <c r="B53" s="5"/>
      <c r="C53" s="5"/>
      <c r="D53" s="4"/>
      <c r="E53" s="12"/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47"/>
      <c r="S53" s="14" t="s">
        <v>20</v>
      </c>
      <c r="T53" s="42"/>
      <c r="U53" s="177"/>
      <c r="V53" s="178"/>
      <c r="W53" s="179"/>
    </row>
    <row r="54" spans="1:23" ht="14.55" hidden="1" customHeight="1" x14ac:dyDescent="0.3">
      <c r="A54" s="163"/>
      <c r="B54" s="5"/>
      <c r="C54" s="5"/>
      <c r="D54" s="4"/>
      <c r="E54" s="12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47"/>
      <c r="S54" s="14" t="s">
        <v>20</v>
      </c>
      <c r="T54" s="42"/>
      <c r="U54" s="177"/>
      <c r="V54" s="178"/>
      <c r="W54" s="179"/>
    </row>
    <row r="55" spans="1:23" ht="14.55" hidden="1" customHeight="1" x14ac:dyDescent="0.3">
      <c r="A55" s="163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47"/>
      <c r="S55" s="14" t="s">
        <v>20</v>
      </c>
      <c r="T55" s="42"/>
      <c r="U55" s="177"/>
      <c r="V55" s="178"/>
      <c r="W55" s="179"/>
    </row>
    <row r="56" spans="1:23" ht="14.55" hidden="1" customHeight="1" x14ac:dyDescent="0.3">
      <c r="A56" s="163"/>
      <c r="B56" s="5"/>
      <c r="C56" s="5"/>
      <c r="D56" s="4"/>
      <c r="E56" s="12"/>
      <c r="F56" s="40"/>
      <c r="G56" s="41"/>
      <c r="H56" s="40"/>
      <c r="I56" s="12"/>
      <c r="J56" s="165"/>
      <c r="K56" s="166"/>
      <c r="L56" s="165"/>
      <c r="M56" s="166"/>
      <c r="N56" s="165"/>
      <c r="O56" s="166"/>
      <c r="P56" s="165"/>
      <c r="Q56" s="166"/>
      <c r="R56" s="47"/>
      <c r="S56" s="14" t="s">
        <v>20</v>
      </c>
      <c r="T56" s="42"/>
      <c r="U56" s="177"/>
      <c r="V56" s="178"/>
      <c r="W56" s="179"/>
    </row>
    <row r="57" spans="1:23" ht="14.55" hidden="1" customHeight="1" x14ac:dyDescent="0.3">
      <c r="A57" s="163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47"/>
      <c r="S57" s="14" t="s">
        <v>20</v>
      </c>
      <c r="T57" s="42"/>
      <c r="U57" s="177"/>
      <c r="V57" s="178"/>
      <c r="W57" s="179"/>
    </row>
    <row r="58" spans="1:23" ht="14.55" hidden="1" customHeight="1" x14ac:dyDescent="0.3">
      <c r="A58" s="163"/>
      <c r="B58" s="5"/>
      <c r="C58" s="5"/>
      <c r="D58" s="4"/>
      <c r="E58" s="12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47"/>
      <c r="S58" s="14" t="s">
        <v>20</v>
      </c>
      <c r="T58" s="42"/>
      <c r="U58" s="177"/>
      <c r="V58" s="178"/>
      <c r="W58" s="179"/>
    </row>
    <row r="59" spans="1:23" ht="14.55" customHeight="1" x14ac:dyDescent="0.3">
      <c r="A59" s="163"/>
      <c r="B59" s="5"/>
      <c r="C59" s="5"/>
      <c r="D59" s="4"/>
      <c r="E59" s="12"/>
      <c r="F59" s="40"/>
      <c r="G59" s="41"/>
      <c r="H59" s="40"/>
      <c r="I59" s="12"/>
      <c r="J59" s="165"/>
      <c r="K59" s="166"/>
      <c r="L59" s="165"/>
      <c r="M59" s="166"/>
      <c r="N59" s="165"/>
      <c r="O59" s="166"/>
      <c r="P59" s="165"/>
      <c r="Q59" s="166"/>
      <c r="R59" s="47"/>
      <c r="S59" s="14" t="s">
        <v>20</v>
      </c>
      <c r="T59" s="42"/>
      <c r="U59" s="177"/>
      <c r="V59" s="178"/>
      <c r="W59" s="179"/>
    </row>
    <row r="60" spans="1:23" ht="14.55" customHeight="1" x14ac:dyDescent="0.3">
      <c r="A60" s="164"/>
      <c r="B60" s="19"/>
      <c r="C60" s="19"/>
      <c r="D60" s="20"/>
      <c r="E60" s="170" t="s">
        <v>0</v>
      </c>
      <c r="F60" s="171"/>
      <c r="G60" s="171"/>
      <c r="H60" s="171"/>
      <c r="I60" s="172"/>
      <c r="J60" s="173">
        <f>SUM(J51:K59)</f>
        <v>0</v>
      </c>
      <c r="K60" s="174"/>
      <c r="L60" s="173">
        <f>SUM(L51:M59)</f>
        <v>0</v>
      </c>
      <c r="M60" s="174"/>
      <c r="N60" s="173">
        <f>SUM(N51:O59)</f>
        <v>1900</v>
      </c>
      <c r="O60" s="174"/>
      <c r="P60" s="173">
        <f>SUM(P51:Q59)</f>
        <v>0</v>
      </c>
      <c r="Q60" s="174"/>
      <c r="R60" s="23">
        <f>SUM(R51:R59)</f>
        <v>0</v>
      </c>
      <c r="S60" s="24" t="s">
        <v>20</v>
      </c>
      <c r="T60" s="19"/>
      <c r="U60" s="177"/>
      <c r="V60" s="178"/>
      <c r="W60" s="179"/>
    </row>
    <row r="61" spans="1:23" ht="14.55" customHeight="1" x14ac:dyDescent="0.3">
      <c r="A61" s="27"/>
      <c r="B61" s="27"/>
      <c r="C61" s="27"/>
      <c r="D61" s="27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27"/>
      <c r="S61" s="27"/>
      <c r="T61" s="39"/>
      <c r="U61" s="39"/>
      <c r="V61" s="39"/>
      <c r="W61" s="39"/>
    </row>
    <row r="62" spans="1:23" x14ac:dyDescent="0.3">
      <c r="E62" s="170" t="s">
        <v>31</v>
      </c>
      <c r="F62" s="171"/>
      <c r="G62" s="171"/>
      <c r="H62" s="171"/>
      <c r="I62" s="172"/>
      <c r="J62" s="175" t="s">
        <v>7</v>
      </c>
      <c r="K62" s="176"/>
      <c r="L62" s="175" t="s">
        <v>8</v>
      </c>
      <c r="M62" s="176"/>
      <c r="N62" s="175" t="s">
        <v>9</v>
      </c>
      <c r="O62" s="176"/>
      <c r="P62" s="175" t="s">
        <v>16</v>
      </c>
      <c r="Q62" s="176"/>
    </row>
    <row r="63" spans="1:23" s="2" customFormat="1" x14ac:dyDescent="0.3">
      <c r="E63" s="15"/>
      <c r="F63" s="15"/>
      <c r="G63" s="15"/>
      <c r="H63" s="15"/>
      <c r="I63" s="15"/>
      <c r="J63" s="30">
        <f>J40+J50+J60</f>
        <v>0</v>
      </c>
      <c r="K63" s="31" t="s">
        <v>17</v>
      </c>
      <c r="L63" s="30">
        <f>L40+L50+L60</f>
        <v>1600</v>
      </c>
      <c r="M63" s="31" t="s">
        <v>17</v>
      </c>
      <c r="N63" s="30">
        <f>N40+N50+N60</f>
        <v>1900</v>
      </c>
      <c r="O63" s="31" t="s">
        <v>17</v>
      </c>
      <c r="P63" s="30">
        <f>P40+P50+P60</f>
        <v>0</v>
      </c>
      <c r="Q63" s="34" t="s">
        <v>17</v>
      </c>
    </row>
    <row r="64" spans="1:23" ht="24.45" customHeight="1" x14ac:dyDescent="0.3">
      <c r="E64" s="28"/>
      <c r="F64" s="28"/>
      <c r="G64" s="28"/>
      <c r="H64" s="28"/>
      <c r="I64" s="28"/>
      <c r="J64" s="167">
        <f>J63+L63+N63+P63</f>
        <v>3500</v>
      </c>
      <c r="K64" s="168"/>
      <c r="L64" s="168"/>
      <c r="M64" s="168"/>
      <c r="N64" s="168"/>
      <c r="O64" s="168"/>
      <c r="P64" s="168"/>
      <c r="Q64" s="169"/>
    </row>
    <row r="65" spans="1:23" ht="30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 spans="1:23" s="37" customFormat="1" ht="19.95" customHeight="1" x14ac:dyDescent="0.4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214" t="s">
        <v>14</v>
      </c>
      <c r="R66" s="215"/>
      <c r="S66" s="216"/>
      <c r="T66" s="184">
        <f>T3</f>
        <v>45918</v>
      </c>
      <c r="U66" s="185"/>
      <c r="V66" s="185"/>
      <c r="W66" s="186"/>
    </row>
    <row r="67" spans="1:23" s="16" customFormat="1" ht="30" customHeight="1" x14ac:dyDescent="0.3">
      <c r="A67" s="187" t="s">
        <v>26</v>
      </c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9"/>
      <c r="Q67" s="189"/>
      <c r="R67" s="189"/>
      <c r="S67" s="189"/>
      <c r="T67" s="188"/>
      <c r="U67" s="188"/>
      <c r="V67" s="188"/>
      <c r="W67" s="190"/>
    </row>
    <row r="68" spans="1:23" s="26" customFormat="1" ht="13.8" x14ac:dyDescent="0.3">
      <c r="A68" s="191" t="s">
        <v>1</v>
      </c>
      <c r="B68" s="192" t="s">
        <v>2</v>
      </c>
      <c r="C68" s="192" t="s">
        <v>3</v>
      </c>
      <c r="D68" s="192" t="s">
        <v>4</v>
      </c>
      <c r="E68" s="193" t="s">
        <v>5</v>
      </c>
      <c r="F68" s="197"/>
      <c r="G68" s="197"/>
      <c r="H68" s="197"/>
      <c r="I68" s="198"/>
      <c r="J68" s="193" t="s">
        <v>6</v>
      </c>
      <c r="K68" s="197"/>
      <c r="L68" s="197"/>
      <c r="M68" s="197"/>
      <c r="N68" s="197"/>
      <c r="O68" s="197"/>
      <c r="P68" s="197"/>
      <c r="Q68" s="198"/>
      <c r="R68" s="193" t="s">
        <v>10</v>
      </c>
      <c r="S68" s="198"/>
      <c r="T68" s="191" t="s">
        <v>11</v>
      </c>
      <c r="U68" s="191" t="s">
        <v>12</v>
      </c>
      <c r="V68" s="191"/>
      <c r="W68" s="191"/>
    </row>
    <row r="69" spans="1:23" s="26" customFormat="1" ht="13.8" x14ac:dyDescent="0.3">
      <c r="A69" s="191"/>
      <c r="B69" s="192"/>
      <c r="C69" s="192"/>
      <c r="D69" s="192"/>
      <c r="E69" s="194"/>
      <c r="F69" s="217"/>
      <c r="G69" s="217"/>
      <c r="H69" s="217"/>
      <c r="I69" s="199"/>
      <c r="J69" s="200" t="s">
        <v>7</v>
      </c>
      <c r="K69" s="201"/>
      <c r="L69" s="200" t="s">
        <v>8</v>
      </c>
      <c r="M69" s="201"/>
      <c r="N69" s="200" t="s">
        <v>9</v>
      </c>
      <c r="O69" s="201"/>
      <c r="P69" s="200" t="s">
        <v>16</v>
      </c>
      <c r="Q69" s="201"/>
      <c r="R69" s="194"/>
      <c r="S69" s="199"/>
      <c r="T69" s="191"/>
      <c r="U69" s="191"/>
      <c r="V69" s="191"/>
      <c r="W69" s="191"/>
    </row>
    <row r="70" spans="1:23" x14ac:dyDescent="0.3">
      <c r="A70" s="180" t="s">
        <v>13</v>
      </c>
      <c r="B70" s="5">
        <v>0.33333333333333331</v>
      </c>
      <c r="C70" s="5"/>
      <c r="D70" s="4">
        <v>250069</v>
      </c>
      <c r="E70" s="211" t="s">
        <v>125</v>
      </c>
      <c r="F70" s="212"/>
      <c r="G70" s="212"/>
      <c r="H70" s="212"/>
      <c r="I70" s="213"/>
      <c r="J70" s="165"/>
      <c r="K70" s="166"/>
      <c r="L70" s="165">
        <v>208</v>
      </c>
      <c r="M70" s="166"/>
      <c r="N70" s="165"/>
      <c r="O70" s="166"/>
      <c r="P70" s="165"/>
      <c r="Q70" s="166"/>
      <c r="R70" s="47">
        <v>30</v>
      </c>
      <c r="S70" s="6" t="s">
        <v>20</v>
      </c>
      <c r="T70" s="3" t="s">
        <v>93</v>
      </c>
      <c r="U70" s="202"/>
      <c r="V70" s="203"/>
      <c r="W70" s="204"/>
    </row>
    <row r="71" spans="1:23" x14ac:dyDescent="0.3">
      <c r="A71" s="163"/>
      <c r="B71" s="5"/>
      <c r="C71" s="5"/>
      <c r="D71" s="4">
        <v>10925</v>
      </c>
      <c r="E71" s="211" t="s">
        <v>138</v>
      </c>
      <c r="F71" s="212"/>
      <c r="G71" s="212"/>
      <c r="H71" s="212"/>
      <c r="I71" s="213"/>
      <c r="J71" s="165"/>
      <c r="K71" s="166"/>
      <c r="L71" s="165"/>
      <c r="M71" s="166"/>
      <c r="N71" s="165">
        <v>3272</v>
      </c>
      <c r="O71" s="166"/>
      <c r="P71" s="165"/>
      <c r="Q71" s="166"/>
      <c r="R71" s="47">
        <v>30</v>
      </c>
      <c r="S71" s="6" t="s">
        <v>20</v>
      </c>
      <c r="T71" s="3" t="s">
        <v>93</v>
      </c>
      <c r="U71" s="205"/>
      <c r="V71" s="206"/>
      <c r="W71" s="207"/>
    </row>
    <row r="72" spans="1:23" x14ac:dyDescent="0.3">
      <c r="A72" s="163"/>
      <c r="B72" s="5"/>
      <c r="C72" s="5"/>
      <c r="D72" s="4">
        <v>250068</v>
      </c>
      <c r="E72" s="211" t="s">
        <v>185</v>
      </c>
      <c r="F72" s="212"/>
      <c r="G72" s="212"/>
      <c r="H72" s="212"/>
      <c r="I72" s="213"/>
      <c r="J72" s="165"/>
      <c r="K72" s="166"/>
      <c r="L72" s="165">
        <v>670</v>
      </c>
      <c r="M72" s="166"/>
      <c r="N72" s="165"/>
      <c r="O72" s="166"/>
      <c r="P72" s="165"/>
      <c r="Q72" s="166"/>
      <c r="R72" s="47">
        <v>30</v>
      </c>
      <c r="S72" s="6" t="s">
        <v>20</v>
      </c>
      <c r="T72" s="3" t="s">
        <v>139</v>
      </c>
      <c r="U72" s="205"/>
      <c r="V72" s="206"/>
      <c r="W72" s="207"/>
    </row>
    <row r="73" spans="1:23" hidden="1" x14ac:dyDescent="0.3">
      <c r="A73" s="163"/>
      <c r="B73" s="5"/>
      <c r="C73" s="5"/>
      <c r="D73" s="4"/>
      <c r="E73" s="211"/>
      <c r="F73" s="212"/>
      <c r="G73" s="212"/>
      <c r="H73" s="212"/>
      <c r="I73" s="213"/>
      <c r="J73" s="165"/>
      <c r="K73" s="166"/>
      <c r="L73" s="165"/>
      <c r="M73" s="166"/>
      <c r="N73" s="165"/>
      <c r="O73" s="166"/>
      <c r="P73" s="165"/>
      <c r="Q73" s="166"/>
      <c r="R73" s="47"/>
      <c r="S73" s="6" t="s">
        <v>20</v>
      </c>
      <c r="T73" s="3"/>
      <c r="U73" s="205"/>
      <c r="V73" s="206"/>
      <c r="W73" s="207"/>
    </row>
    <row r="74" spans="1:23" hidden="1" x14ac:dyDescent="0.3">
      <c r="A74" s="163"/>
      <c r="B74" s="5"/>
      <c r="C74" s="5"/>
      <c r="D74" s="4"/>
      <c r="E74" s="211"/>
      <c r="F74" s="212"/>
      <c r="G74" s="212"/>
      <c r="H74" s="212"/>
      <c r="I74" s="213"/>
      <c r="J74" s="165"/>
      <c r="K74" s="166"/>
      <c r="L74" s="165"/>
      <c r="M74" s="166"/>
      <c r="N74" s="165"/>
      <c r="O74" s="166"/>
      <c r="P74" s="165"/>
      <c r="Q74" s="166"/>
      <c r="R74" s="47"/>
      <c r="S74" s="6" t="s">
        <v>20</v>
      </c>
      <c r="T74" s="3"/>
      <c r="U74" s="205"/>
      <c r="V74" s="206"/>
      <c r="W74" s="207"/>
    </row>
    <row r="75" spans="1:23" hidden="1" x14ac:dyDescent="0.3">
      <c r="A75" s="163"/>
      <c r="B75" s="5"/>
      <c r="C75" s="5"/>
      <c r="D75" s="4"/>
      <c r="E75" s="211"/>
      <c r="F75" s="212"/>
      <c r="G75" s="212"/>
      <c r="H75" s="212"/>
      <c r="I75" s="213"/>
      <c r="J75" s="165"/>
      <c r="K75" s="166"/>
      <c r="L75" s="165"/>
      <c r="M75" s="166"/>
      <c r="N75" s="165"/>
      <c r="O75" s="166"/>
      <c r="P75" s="165"/>
      <c r="Q75" s="166"/>
      <c r="R75" s="47"/>
      <c r="S75" s="6" t="s">
        <v>20</v>
      </c>
      <c r="T75" s="3"/>
      <c r="U75" s="205"/>
      <c r="V75" s="206"/>
      <c r="W75" s="207"/>
    </row>
    <row r="76" spans="1:23" x14ac:dyDescent="0.3">
      <c r="A76" s="163"/>
      <c r="B76" s="5"/>
      <c r="C76" s="5"/>
      <c r="D76" s="4"/>
      <c r="E76" s="211"/>
      <c r="F76" s="212"/>
      <c r="G76" s="212"/>
      <c r="H76" s="212"/>
      <c r="I76" s="213"/>
      <c r="J76" s="165"/>
      <c r="K76" s="166"/>
      <c r="L76" s="165"/>
      <c r="M76" s="166"/>
      <c r="N76" s="165"/>
      <c r="O76" s="166"/>
      <c r="P76" s="165"/>
      <c r="Q76" s="166"/>
      <c r="R76" s="47"/>
      <c r="S76" s="6" t="s">
        <v>20</v>
      </c>
      <c r="T76" s="3"/>
      <c r="U76" s="205"/>
      <c r="V76" s="206"/>
      <c r="W76" s="207"/>
    </row>
    <row r="77" spans="1:23" x14ac:dyDescent="0.3">
      <c r="A77" s="164"/>
      <c r="B77" s="19"/>
      <c r="C77" s="19"/>
      <c r="D77" s="20"/>
      <c r="E77" s="170" t="s">
        <v>0</v>
      </c>
      <c r="F77" s="171"/>
      <c r="G77" s="171"/>
      <c r="H77" s="171"/>
      <c r="I77" s="172"/>
      <c r="J77" s="173">
        <f>SUM(J70:J76)</f>
        <v>0</v>
      </c>
      <c r="K77" s="174"/>
      <c r="L77" s="173">
        <f>SUM(L70:L76)</f>
        <v>878</v>
      </c>
      <c r="M77" s="174"/>
      <c r="N77" s="173">
        <f>SUM(N70:N76)</f>
        <v>3272</v>
      </c>
      <c r="O77" s="174"/>
      <c r="P77" s="173">
        <f>SUM(P70:P76)</f>
        <v>0</v>
      </c>
      <c r="Q77" s="174"/>
      <c r="R77" s="23">
        <f>SUM(R70:R76)</f>
        <v>90</v>
      </c>
      <c r="S77" s="24" t="s">
        <v>20</v>
      </c>
      <c r="T77" s="19"/>
      <c r="U77" s="208"/>
      <c r="V77" s="209"/>
      <c r="W77" s="210"/>
    </row>
    <row r="78" spans="1:23" x14ac:dyDescent="0.3">
      <c r="A78" s="180" t="s">
        <v>15</v>
      </c>
      <c r="B78" s="5"/>
      <c r="C78" s="5"/>
      <c r="D78" s="4"/>
      <c r="E78" s="211"/>
      <c r="F78" s="212"/>
      <c r="G78" s="212"/>
      <c r="H78" s="212"/>
      <c r="I78" s="213"/>
      <c r="J78" s="165"/>
      <c r="K78" s="166"/>
      <c r="L78" s="165"/>
      <c r="M78" s="166"/>
      <c r="N78" s="165"/>
      <c r="O78" s="166"/>
      <c r="P78" s="165"/>
      <c r="Q78" s="166"/>
      <c r="R78" s="47"/>
      <c r="S78" s="6" t="s">
        <v>20</v>
      </c>
      <c r="T78" s="3"/>
      <c r="U78" s="202"/>
      <c r="V78" s="203"/>
      <c r="W78" s="204"/>
    </row>
    <row r="79" spans="1:23" x14ac:dyDescent="0.3">
      <c r="A79" s="163"/>
      <c r="B79" s="5"/>
      <c r="C79" s="5"/>
      <c r="D79" s="4"/>
      <c r="E79" s="211"/>
      <c r="F79" s="212"/>
      <c r="G79" s="212"/>
      <c r="H79" s="212"/>
      <c r="I79" s="213"/>
      <c r="J79" s="165"/>
      <c r="K79" s="166"/>
      <c r="L79" s="165"/>
      <c r="M79" s="166"/>
      <c r="N79" s="165"/>
      <c r="O79" s="166"/>
      <c r="P79" s="165"/>
      <c r="Q79" s="166"/>
      <c r="R79" s="47"/>
      <c r="S79" s="6" t="s">
        <v>20</v>
      </c>
      <c r="T79" s="3"/>
      <c r="U79" s="205"/>
      <c r="V79" s="206"/>
      <c r="W79" s="207"/>
    </row>
    <row r="80" spans="1:23" x14ac:dyDescent="0.3">
      <c r="A80" s="163"/>
      <c r="B80" s="5"/>
      <c r="C80" s="5"/>
      <c r="D80" s="4"/>
      <c r="E80" s="211"/>
      <c r="F80" s="212"/>
      <c r="G80" s="212"/>
      <c r="H80" s="212"/>
      <c r="I80" s="213"/>
      <c r="J80" s="165"/>
      <c r="K80" s="166"/>
      <c r="L80" s="165"/>
      <c r="M80" s="166"/>
      <c r="N80" s="165"/>
      <c r="O80" s="166"/>
      <c r="P80" s="165"/>
      <c r="Q80" s="166"/>
      <c r="R80" s="47"/>
      <c r="S80" s="6" t="s">
        <v>20</v>
      </c>
      <c r="T80" s="3"/>
      <c r="U80" s="205"/>
      <c r="V80" s="206"/>
      <c r="W80" s="207"/>
    </row>
    <row r="81" spans="1:23" x14ac:dyDescent="0.3">
      <c r="A81" s="164"/>
      <c r="B81" s="19"/>
      <c r="C81" s="19"/>
      <c r="D81" s="20"/>
      <c r="E81" s="170" t="s">
        <v>0</v>
      </c>
      <c r="F81" s="171"/>
      <c r="G81" s="171"/>
      <c r="H81" s="171"/>
      <c r="I81" s="172"/>
      <c r="J81" s="173">
        <f>SUM(J78:J80)</f>
        <v>0</v>
      </c>
      <c r="K81" s="174"/>
      <c r="L81" s="173">
        <f>SUM(L78:L80)</f>
        <v>0</v>
      </c>
      <c r="M81" s="174"/>
      <c r="N81" s="173">
        <f>SUM(N78:N80)</f>
        <v>0</v>
      </c>
      <c r="O81" s="174"/>
      <c r="P81" s="173">
        <f>SUM(P73:P80)</f>
        <v>0</v>
      </c>
      <c r="Q81" s="174"/>
      <c r="R81" s="23">
        <f>SUM(R78:R80)</f>
        <v>0</v>
      </c>
      <c r="S81" s="24" t="s">
        <v>20</v>
      </c>
      <c r="T81" s="7"/>
      <c r="U81" s="208"/>
      <c r="V81" s="209"/>
      <c r="W81" s="210"/>
    </row>
    <row r="82" spans="1:23" x14ac:dyDescent="0.3">
      <c r="A82" s="180" t="s">
        <v>37</v>
      </c>
      <c r="B82" s="5"/>
      <c r="C82" s="5"/>
      <c r="D82" s="4" t="s">
        <v>140</v>
      </c>
      <c r="E82" s="211" t="s">
        <v>141</v>
      </c>
      <c r="F82" s="212"/>
      <c r="G82" s="212"/>
      <c r="H82" s="212"/>
      <c r="I82" s="213"/>
      <c r="J82" s="165"/>
      <c r="K82" s="166"/>
      <c r="L82" s="165"/>
      <c r="M82" s="166"/>
      <c r="N82" s="165"/>
      <c r="O82" s="166"/>
      <c r="P82" s="165">
        <v>517</v>
      </c>
      <c r="Q82" s="166"/>
      <c r="R82" s="47"/>
      <c r="S82" s="6" t="s">
        <v>20</v>
      </c>
      <c r="T82" s="3"/>
      <c r="U82" s="202" t="s">
        <v>151</v>
      </c>
      <c r="V82" s="203"/>
      <c r="W82" s="204"/>
    </row>
    <row r="83" spans="1:23" x14ac:dyDescent="0.3">
      <c r="A83" s="163"/>
      <c r="B83" s="5"/>
      <c r="C83" s="5"/>
      <c r="D83" s="4" t="s">
        <v>140</v>
      </c>
      <c r="E83" s="211" t="s">
        <v>142</v>
      </c>
      <c r="F83" s="212"/>
      <c r="G83" s="212"/>
      <c r="H83" s="212"/>
      <c r="I83" s="213"/>
      <c r="J83" s="165"/>
      <c r="K83" s="166"/>
      <c r="L83" s="165"/>
      <c r="M83" s="166"/>
      <c r="N83" s="165"/>
      <c r="O83" s="166"/>
      <c r="P83" s="165">
        <v>275</v>
      </c>
      <c r="Q83" s="166"/>
      <c r="R83" s="47"/>
      <c r="S83" s="6" t="s">
        <v>20</v>
      </c>
      <c r="T83" s="3"/>
      <c r="U83" s="205"/>
      <c r="V83" s="206"/>
      <c r="W83" s="207"/>
    </row>
    <row r="84" spans="1:23" x14ac:dyDescent="0.3">
      <c r="A84" s="163"/>
      <c r="B84" s="5"/>
      <c r="C84" s="5"/>
      <c r="D84" s="4" t="s">
        <v>140</v>
      </c>
      <c r="E84" s="211" t="s">
        <v>143</v>
      </c>
      <c r="F84" s="212"/>
      <c r="G84" s="212"/>
      <c r="H84" s="212"/>
      <c r="I84" s="213"/>
      <c r="J84" s="165"/>
      <c r="K84" s="166"/>
      <c r="L84" s="165"/>
      <c r="M84" s="166"/>
      <c r="N84" s="165"/>
      <c r="O84" s="166"/>
      <c r="P84" s="165">
        <v>275</v>
      </c>
      <c r="Q84" s="166"/>
      <c r="R84" s="47"/>
      <c r="S84" s="6" t="s">
        <v>20</v>
      </c>
      <c r="T84" s="3"/>
      <c r="U84" s="205"/>
      <c r="V84" s="206"/>
      <c r="W84" s="207"/>
    </row>
    <row r="85" spans="1:23" x14ac:dyDescent="0.3">
      <c r="A85" s="163"/>
      <c r="B85" s="5"/>
      <c r="C85" s="5"/>
      <c r="D85" s="4" t="s">
        <v>140</v>
      </c>
      <c r="E85" s="211" t="s">
        <v>144</v>
      </c>
      <c r="F85" s="212"/>
      <c r="G85" s="212"/>
      <c r="H85" s="212"/>
      <c r="I85" s="213"/>
      <c r="J85" s="165"/>
      <c r="K85" s="166"/>
      <c r="L85" s="165"/>
      <c r="M85" s="166"/>
      <c r="N85" s="165"/>
      <c r="O85" s="166"/>
      <c r="P85" s="165">
        <v>530</v>
      </c>
      <c r="Q85" s="166"/>
      <c r="R85" s="47"/>
      <c r="S85" s="6" t="s">
        <v>20</v>
      </c>
      <c r="T85" s="3"/>
      <c r="U85" s="205"/>
      <c r="V85" s="206"/>
      <c r="W85" s="207"/>
    </row>
    <row r="86" spans="1:23" x14ac:dyDescent="0.3">
      <c r="A86" s="163"/>
      <c r="B86" s="5"/>
      <c r="C86" s="5"/>
      <c r="D86" s="4" t="s">
        <v>140</v>
      </c>
      <c r="E86" s="211" t="s">
        <v>145</v>
      </c>
      <c r="F86" s="212"/>
      <c r="G86" s="212"/>
      <c r="H86" s="212"/>
      <c r="I86" s="213"/>
      <c r="J86" s="165"/>
      <c r="K86" s="166"/>
      <c r="L86" s="165"/>
      <c r="M86" s="166"/>
      <c r="N86" s="165"/>
      <c r="O86" s="166"/>
      <c r="P86" s="165">
        <v>276</v>
      </c>
      <c r="Q86" s="166"/>
      <c r="R86" s="47"/>
      <c r="S86" s="6" t="s">
        <v>20</v>
      </c>
      <c r="T86" s="3"/>
      <c r="U86" s="205"/>
      <c r="V86" s="206"/>
      <c r="W86" s="207"/>
    </row>
    <row r="87" spans="1:23" x14ac:dyDescent="0.3">
      <c r="A87" s="163"/>
      <c r="B87" s="5"/>
      <c r="C87" s="5"/>
      <c r="D87" s="4" t="s">
        <v>140</v>
      </c>
      <c r="E87" s="211" t="s">
        <v>146</v>
      </c>
      <c r="F87" s="212"/>
      <c r="G87" s="212"/>
      <c r="H87" s="212"/>
      <c r="I87" s="213"/>
      <c r="J87" s="165"/>
      <c r="K87" s="166"/>
      <c r="L87" s="165"/>
      <c r="M87" s="166"/>
      <c r="N87" s="165"/>
      <c r="O87" s="166"/>
      <c r="P87" s="165">
        <v>274</v>
      </c>
      <c r="Q87" s="166"/>
      <c r="R87" s="47"/>
      <c r="S87" s="6" t="s">
        <v>20</v>
      </c>
      <c r="T87" s="3"/>
      <c r="U87" s="205"/>
      <c r="V87" s="206"/>
      <c r="W87" s="207"/>
    </row>
    <row r="88" spans="1:23" x14ac:dyDescent="0.3">
      <c r="A88" s="163"/>
      <c r="B88" s="5"/>
      <c r="C88" s="5"/>
      <c r="D88" s="4" t="s">
        <v>140</v>
      </c>
      <c r="E88" s="211" t="s">
        <v>147</v>
      </c>
      <c r="F88" s="212"/>
      <c r="G88" s="212"/>
      <c r="H88" s="212"/>
      <c r="I88" s="213"/>
      <c r="J88" s="165"/>
      <c r="K88" s="166"/>
      <c r="L88" s="165"/>
      <c r="M88" s="166"/>
      <c r="N88" s="165"/>
      <c r="O88" s="166"/>
      <c r="P88" s="165">
        <v>273</v>
      </c>
      <c r="Q88" s="166"/>
      <c r="R88" s="48"/>
      <c r="S88" s="6" t="s">
        <v>20</v>
      </c>
      <c r="T88" s="3"/>
      <c r="U88" s="205"/>
      <c r="V88" s="206"/>
      <c r="W88" s="207"/>
    </row>
    <row r="89" spans="1:23" x14ac:dyDescent="0.3">
      <c r="A89" s="163"/>
      <c r="B89" s="5"/>
      <c r="C89" s="5"/>
      <c r="D89" s="4" t="s">
        <v>140</v>
      </c>
      <c r="E89" s="211" t="s">
        <v>148</v>
      </c>
      <c r="F89" s="212"/>
      <c r="G89" s="212"/>
      <c r="H89" s="212"/>
      <c r="I89" s="213"/>
      <c r="J89" s="165"/>
      <c r="K89" s="166"/>
      <c r="L89" s="165"/>
      <c r="M89" s="166"/>
      <c r="N89" s="165"/>
      <c r="O89" s="166"/>
      <c r="P89" s="165">
        <v>275</v>
      </c>
      <c r="Q89" s="166"/>
      <c r="R89" s="48"/>
      <c r="S89" s="6" t="s">
        <v>20</v>
      </c>
      <c r="T89" s="3"/>
      <c r="U89" s="205"/>
      <c r="V89" s="206"/>
      <c r="W89" s="207"/>
    </row>
    <row r="90" spans="1:23" x14ac:dyDescent="0.3">
      <c r="A90" s="163"/>
      <c r="B90" s="5"/>
      <c r="C90" s="5"/>
      <c r="D90" s="4" t="s">
        <v>140</v>
      </c>
      <c r="E90" s="211" t="s">
        <v>149</v>
      </c>
      <c r="F90" s="212"/>
      <c r="G90" s="212"/>
      <c r="H90" s="212"/>
      <c r="I90" s="213"/>
      <c r="J90" s="165"/>
      <c r="K90" s="166"/>
      <c r="L90" s="165"/>
      <c r="M90" s="166"/>
      <c r="N90" s="165"/>
      <c r="O90" s="166"/>
      <c r="P90" s="165">
        <v>277</v>
      </c>
      <c r="Q90" s="166"/>
      <c r="R90" s="48"/>
      <c r="S90" s="6" t="s">
        <v>20</v>
      </c>
      <c r="T90" s="3"/>
      <c r="U90" s="205"/>
      <c r="V90" s="206"/>
      <c r="W90" s="207"/>
    </row>
    <row r="91" spans="1:23" x14ac:dyDescent="0.3">
      <c r="A91" s="163"/>
      <c r="B91" s="5"/>
      <c r="C91" s="5"/>
      <c r="D91" s="4" t="s">
        <v>140</v>
      </c>
      <c r="E91" s="211" t="s">
        <v>150</v>
      </c>
      <c r="F91" s="212"/>
      <c r="G91" s="212"/>
      <c r="H91" s="212"/>
      <c r="I91" s="213"/>
      <c r="J91" s="165"/>
      <c r="K91" s="166"/>
      <c r="L91" s="165"/>
      <c r="M91" s="166"/>
      <c r="N91" s="165"/>
      <c r="O91" s="166"/>
      <c r="P91" s="165">
        <v>275</v>
      </c>
      <c r="Q91" s="166"/>
      <c r="R91" s="48"/>
      <c r="S91" s="6" t="s">
        <v>20</v>
      </c>
      <c r="T91" s="3"/>
      <c r="U91" s="205"/>
      <c r="V91" s="206"/>
      <c r="W91" s="207"/>
    </row>
    <row r="92" spans="1:23" x14ac:dyDescent="0.3">
      <c r="A92" s="163"/>
      <c r="B92" s="5"/>
      <c r="C92" s="5"/>
      <c r="D92" s="4"/>
      <c r="E92" s="250"/>
      <c r="F92" s="251"/>
      <c r="G92" s="251"/>
      <c r="H92" s="251"/>
      <c r="I92" s="252"/>
      <c r="J92" s="165"/>
      <c r="K92" s="166"/>
      <c r="L92" s="165"/>
      <c r="M92" s="166"/>
      <c r="N92" s="165"/>
      <c r="O92" s="166"/>
      <c r="P92" s="165"/>
      <c r="Q92" s="166"/>
      <c r="R92" s="48"/>
      <c r="S92" s="6" t="s">
        <v>20</v>
      </c>
      <c r="T92" s="3"/>
      <c r="U92" s="205"/>
      <c r="V92" s="206"/>
      <c r="W92" s="207"/>
    </row>
    <row r="93" spans="1:23" hidden="1" x14ac:dyDescent="0.3">
      <c r="A93" s="163"/>
      <c r="B93" s="5"/>
      <c r="C93" s="5"/>
      <c r="D93" s="4"/>
      <c r="E93" s="250"/>
      <c r="F93" s="251"/>
      <c r="G93" s="251"/>
      <c r="H93" s="251"/>
      <c r="I93" s="252"/>
      <c r="J93" s="165"/>
      <c r="K93" s="166"/>
      <c r="L93" s="165"/>
      <c r="M93" s="166"/>
      <c r="N93" s="165"/>
      <c r="O93" s="166"/>
      <c r="P93" s="165"/>
      <c r="Q93" s="166"/>
      <c r="R93" s="48"/>
      <c r="S93" s="6" t="s">
        <v>20</v>
      </c>
      <c r="T93" s="3"/>
      <c r="U93" s="205"/>
      <c r="V93" s="206"/>
      <c r="W93" s="207"/>
    </row>
    <row r="94" spans="1:23" x14ac:dyDescent="0.3">
      <c r="A94" s="163"/>
      <c r="B94" s="5"/>
      <c r="C94" s="5"/>
      <c r="D94" s="4"/>
      <c r="E94" s="211"/>
      <c r="F94" s="212"/>
      <c r="G94" s="212"/>
      <c r="H94" s="212"/>
      <c r="I94" s="213"/>
      <c r="J94" s="165"/>
      <c r="K94" s="166"/>
      <c r="L94" s="165"/>
      <c r="M94" s="166"/>
      <c r="N94" s="165"/>
      <c r="O94" s="166"/>
      <c r="P94" s="165"/>
      <c r="Q94" s="166"/>
      <c r="R94" s="47"/>
      <c r="S94" s="6" t="s">
        <v>20</v>
      </c>
      <c r="T94" s="3"/>
      <c r="U94" s="205"/>
      <c r="V94" s="206"/>
      <c r="W94" s="207"/>
    </row>
    <row r="95" spans="1:23" x14ac:dyDescent="0.3">
      <c r="A95" s="164"/>
      <c r="B95" s="19"/>
      <c r="C95" s="19"/>
      <c r="D95" s="20"/>
      <c r="E95" s="170" t="s">
        <v>0</v>
      </c>
      <c r="F95" s="171"/>
      <c r="G95" s="171"/>
      <c r="H95" s="171"/>
      <c r="I95" s="172"/>
      <c r="J95" s="173">
        <f>SUM(J82:J94)</f>
        <v>0</v>
      </c>
      <c r="K95" s="174"/>
      <c r="L95" s="173">
        <f>SUM(L82:L94)</f>
        <v>0</v>
      </c>
      <c r="M95" s="174"/>
      <c r="N95" s="173">
        <f>SUM(N82:N94)</f>
        <v>0</v>
      </c>
      <c r="O95" s="174"/>
      <c r="P95" s="173">
        <f>SUM(P82:P94)</f>
        <v>3247</v>
      </c>
      <c r="Q95" s="174"/>
      <c r="R95" s="23">
        <f>SUM(R82:R94)</f>
        <v>0</v>
      </c>
      <c r="S95" s="24" t="s">
        <v>20</v>
      </c>
      <c r="T95" s="19"/>
      <c r="U95" s="208"/>
      <c r="V95" s="209"/>
      <c r="W95" s="210"/>
    </row>
    <row r="96" spans="1:23" x14ac:dyDescent="0.3">
      <c r="A96" s="180" t="s">
        <v>36</v>
      </c>
      <c r="B96" s="5"/>
      <c r="C96" s="5"/>
      <c r="D96" s="4"/>
      <c r="E96" s="211"/>
      <c r="F96" s="212"/>
      <c r="G96" s="212"/>
      <c r="H96" s="212"/>
      <c r="I96" s="213"/>
      <c r="J96" s="165"/>
      <c r="K96" s="166"/>
      <c r="L96" s="165"/>
      <c r="M96" s="166"/>
      <c r="N96" s="165"/>
      <c r="O96" s="166"/>
      <c r="P96" s="165"/>
      <c r="Q96" s="166"/>
      <c r="R96" s="47"/>
      <c r="S96" s="6" t="s">
        <v>20</v>
      </c>
      <c r="T96" s="3"/>
      <c r="U96" s="202"/>
      <c r="V96" s="203"/>
      <c r="W96" s="204"/>
    </row>
    <row r="97" spans="1:23" x14ac:dyDescent="0.3">
      <c r="A97" s="163"/>
      <c r="B97" s="5"/>
      <c r="C97" s="5"/>
      <c r="D97" s="4"/>
      <c r="E97" s="211"/>
      <c r="F97" s="212"/>
      <c r="G97" s="212"/>
      <c r="H97" s="212"/>
      <c r="I97" s="213"/>
      <c r="J97" s="165"/>
      <c r="K97" s="166"/>
      <c r="L97" s="165"/>
      <c r="M97" s="166"/>
      <c r="N97" s="165"/>
      <c r="O97" s="166"/>
      <c r="P97" s="165"/>
      <c r="Q97" s="166"/>
      <c r="R97" s="47"/>
      <c r="S97" s="6" t="s">
        <v>20</v>
      </c>
      <c r="T97" s="3"/>
      <c r="U97" s="205"/>
      <c r="V97" s="206"/>
      <c r="W97" s="207"/>
    </row>
    <row r="98" spans="1:23" x14ac:dyDescent="0.3">
      <c r="A98" s="163"/>
      <c r="B98" s="5"/>
      <c r="C98" s="5"/>
      <c r="D98" s="4"/>
      <c r="E98" s="211"/>
      <c r="F98" s="212"/>
      <c r="G98" s="212"/>
      <c r="H98" s="212"/>
      <c r="I98" s="213"/>
      <c r="J98" s="165"/>
      <c r="K98" s="166"/>
      <c r="L98" s="165"/>
      <c r="M98" s="166"/>
      <c r="N98" s="165"/>
      <c r="O98" s="166"/>
      <c r="P98" s="165"/>
      <c r="Q98" s="166"/>
      <c r="R98" s="47"/>
      <c r="S98" s="6" t="s">
        <v>20</v>
      </c>
      <c r="T98" s="3"/>
      <c r="U98" s="205"/>
      <c r="V98" s="206"/>
      <c r="W98" s="207"/>
    </row>
    <row r="99" spans="1:23" x14ac:dyDescent="0.3">
      <c r="A99" s="164"/>
      <c r="B99" s="19"/>
      <c r="C99" s="19"/>
      <c r="D99" s="20"/>
      <c r="E99" s="170" t="s">
        <v>0</v>
      </c>
      <c r="F99" s="171"/>
      <c r="G99" s="171"/>
      <c r="H99" s="171"/>
      <c r="I99" s="172"/>
      <c r="J99" s="173">
        <f>SUM(J96:J98)</f>
        <v>0</v>
      </c>
      <c r="K99" s="174"/>
      <c r="L99" s="173">
        <f>SUM(L96:L98)</f>
        <v>0</v>
      </c>
      <c r="M99" s="174"/>
      <c r="N99" s="173">
        <f>SUM(N96:N98)</f>
        <v>0</v>
      </c>
      <c r="O99" s="174"/>
      <c r="P99" s="173">
        <f>SUM(P96:P98)</f>
        <v>0</v>
      </c>
      <c r="Q99" s="174"/>
      <c r="R99" s="23">
        <f>SUM(R96:R98)</f>
        <v>0</v>
      </c>
      <c r="S99" s="24" t="s">
        <v>20</v>
      </c>
      <c r="T99" s="19"/>
      <c r="U99" s="208"/>
      <c r="V99" s="209"/>
      <c r="W99" s="210"/>
    </row>
    <row r="100" spans="1:23" x14ac:dyDescent="0.3">
      <c r="E100" s="28"/>
      <c r="F100" s="28"/>
      <c r="G100" s="28"/>
      <c r="H100" s="28"/>
      <c r="I100" s="28"/>
      <c r="J100" s="29"/>
      <c r="K100" s="29"/>
      <c r="L100" s="29"/>
      <c r="M100" s="29"/>
      <c r="N100" s="29"/>
      <c r="O100" s="29"/>
      <c r="P100" s="29"/>
      <c r="Q100" s="29"/>
    </row>
    <row r="101" spans="1:23" x14ac:dyDescent="0.3">
      <c r="E101" s="170" t="s">
        <v>28</v>
      </c>
      <c r="F101" s="171"/>
      <c r="G101" s="171"/>
      <c r="H101" s="171"/>
      <c r="I101" s="172"/>
      <c r="J101" s="175" t="s">
        <v>7</v>
      </c>
      <c r="K101" s="176"/>
      <c r="L101" s="175" t="s">
        <v>8</v>
      </c>
      <c r="M101" s="176"/>
      <c r="N101" s="175" t="s">
        <v>9</v>
      </c>
      <c r="O101" s="176"/>
      <c r="P101" s="175" t="s">
        <v>16</v>
      </c>
      <c r="Q101" s="176"/>
    </row>
    <row r="102" spans="1:23" s="2" customFormat="1" x14ac:dyDescent="0.3">
      <c r="E102" s="15"/>
      <c r="F102" s="15"/>
      <c r="G102" s="15"/>
      <c r="H102" s="15"/>
      <c r="I102" s="15"/>
      <c r="J102" s="30">
        <f>J77+J81</f>
        <v>0</v>
      </c>
      <c r="K102" s="31" t="s">
        <v>17</v>
      </c>
      <c r="L102" s="32">
        <f>L77+L81</f>
        <v>878</v>
      </c>
      <c r="M102" s="31" t="s">
        <v>17</v>
      </c>
      <c r="N102" s="32">
        <f>N77+N81</f>
        <v>3272</v>
      </c>
      <c r="O102" s="31" t="s">
        <v>17</v>
      </c>
      <c r="P102" s="33">
        <f>P95+P99</f>
        <v>3247</v>
      </c>
      <c r="Q102" s="34" t="s">
        <v>17</v>
      </c>
    </row>
    <row r="103" spans="1:23" ht="24.45" customHeight="1" x14ac:dyDescent="0.3">
      <c r="E103" s="28"/>
      <c r="F103" s="28"/>
      <c r="G103" s="28"/>
      <c r="H103" s="28"/>
      <c r="I103" s="28"/>
      <c r="J103" s="167">
        <f>J102+L102+N102+P102</f>
        <v>7397</v>
      </c>
      <c r="K103" s="168"/>
      <c r="L103" s="168"/>
      <c r="M103" s="168"/>
      <c r="N103" s="168"/>
      <c r="O103" s="168"/>
      <c r="P103" s="168"/>
      <c r="Q103" s="169"/>
    </row>
  </sheetData>
  <mergeCells count="420">
    <mergeCell ref="P89:Q89"/>
    <mergeCell ref="P90:Q90"/>
    <mergeCell ref="P91:Q91"/>
    <mergeCell ref="P92:Q92"/>
    <mergeCell ref="P93:Q93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P17:Q17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A31:A40"/>
    <mergeCell ref="J31:K31"/>
    <mergeCell ref="L31:M31"/>
    <mergeCell ref="N31:O31"/>
    <mergeCell ref="P31:Q31"/>
    <mergeCell ref="G29:G30"/>
    <mergeCell ref="H29:H30"/>
    <mergeCell ref="I29:I30"/>
    <mergeCell ref="J29:Q29"/>
    <mergeCell ref="L34:M34"/>
    <mergeCell ref="N34:O34"/>
    <mergeCell ref="P34:Q34"/>
    <mergeCell ref="J35:K35"/>
    <mergeCell ref="L35:M35"/>
    <mergeCell ref="N35:O35"/>
    <mergeCell ref="P35:Q35"/>
    <mergeCell ref="N37:O37"/>
    <mergeCell ref="P37:Q37"/>
    <mergeCell ref="E40:I40"/>
    <mergeCell ref="J40:K40"/>
    <mergeCell ref="L40:M40"/>
    <mergeCell ref="N40:O40"/>
    <mergeCell ref="P40:Q40"/>
    <mergeCell ref="U31:W40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J38:K38"/>
    <mergeCell ref="L38:M38"/>
    <mergeCell ref="N38:O38"/>
    <mergeCell ref="P38:Q38"/>
    <mergeCell ref="J39:K39"/>
    <mergeCell ref="L39:M39"/>
    <mergeCell ref="N39:O39"/>
    <mergeCell ref="P39:Q39"/>
    <mergeCell ref="J36:K36"/>
    <mergeCell ref="L36:M36"/>
    <mergeCell ref="N36:O36"/>
    <mergeCell ref="P36:Q36"/>
    <mergeCell ref="J37:K37"/>
    <mergeCell ref="L37:M37"/>
    <mergeCell ref="A41:A50"/>
    <mergeCell ref="J41:K41"/>
    <mergeCell ref="L41:M41"/>
    <mergeCell ref="N41:O41"/>
    <mergeCell ref="P41:Q41"/>
    <mergeCell ref="L44:M44"/>
    <mergeCell ref="N44:O44"/>
    <mergeCell ref="P44:Q44"/>
    <mergeCell ref="J45:K45"/>
    <mergeCell ref="L45:M45"/>
    <mergeCell ref="N45:O45"/>
    <mergeCell ref="P45:Q45"/>
    <mergeCell ref="N47:O47"/>
    <mergeCell ref="P47:Q47"/>
    <mergeCell ref="E50:I50"/>
    <mergeCell ref="J50:K50"/>
    <mergeCell ref="L50:M50"/>
    <mergeCell ref="N50:O50"/>
    <mergeCell ref="P50:Q50"/>
    <mergeCell ref="U41:W50"/>
    <mergeCell ref="J42:K42"/>
    <mergeCell ref="L42:M42"/>
    <mergeCell ref="N42:O42"/>
    <mergeCell ref="P42:Q42"/>
    <mergeCell ref="J43:K43"/>
    <mergeCell ref="L43:M43"/>
    <mergeCell ref="N43:O43"/>
    <mergeCell ref="P43:Q43"/>
    <mergeCell ref="J44:K44"/>
    <mergeCell ref="J48:K48"/>
    <mergeCell ref="L48:M48"/>
    <mergeCell ref="N48:O48"/>
    <mergeCell ref="P48:Q48"/>
    <mergeCell ref="J49:K49"/>
    <mergeCell ref="L49:M49"/>
    <mergeCell ref="N49:O49"/>
    <mergeCell ref="P49:Q49"/>
    <mergeCell ref="J46:K46"/>
    <mergeCell ref="L46:M46"/>
    <mergeCell ref="N46:O46"/>
    <mergeCell ref="P46:Q46"/>
    <mergeCell ref="J47:K47"/>
    <mergeCell ref="L47:M47"/>
    <mergeCell ref="A51:A60"/>
    <mergeCell ref="J51:K51"/>
    <mergeCell ref="L51:M51"/>
    <mergeCell ref="N51:O51"/>
    <mergeCell ref="P51:Q51"/>
    <mergeCell ref="L54:M54"/>
    <mergeCell ref="N54:O54"/>
    <mergeCell ref="P54:Q54"/>
    <mergeCell ref="J55:K55"/>
    <mergeCell ref="L55:M55"/>
    <mergeCell ref="N55:O55"/>
    <mergeCell ref="P55:Q55"/>
    <mergeCell ref="N57:O57"/>
    <mergeCell ref="P57:Q57"/>
    <mergeCell ref="E60:I60"/>
    <mergeCell ref="J60:K60"/>
    <mergeCell ref="L60:M60"/>
    <mergeCell ref="N60:O60"/>
    <mergeCell ref="P60:Q60"/>
    <mergeCell ref="U51:W60"/>
    <mergeCell ref="J52:K52"/>
    <mergeCell ref="L52:M52"/>
    <mergeCell ref="N52:O52"/>
    <mergeCell ref="P52:Q52"/>
    <mergeCell ref="J53:K53"/>
    <mergeCell ref="L53:M53"/>
    <mergeCell ref="N53:O53"/>
    <mergeCell ref="P53:Q53"/>
    <mergeCell ref="J54:K54"/>
    <mergeCell ref="J58:K58"/>
    <mergeCell ref="L58:M58"/>
    <mergeCell ref="N58:O58"/>
    <mergeCell ref="P58:Q58"/>
    <mergeCell ref="J59:K59"/>
    <mergeCell ref="L59:M59"/>
    <mergeCell ref="N59:O59"/>
    <mergeCell ref="P59:Q59"/>
    <mergeCell ref="J56:K56"/>
    <mergeCell ref="L56:M56"/>
    <mergeCell ref="N56:O56"/>
    <mergeCell ref="P56:Q56"/>
    <mergeCell ref="J57:K57"/>
    <mergeCell ref="L57:M57"/>
    <mergeCell ref="E62:I62"/>
    <mergeCell ref="J62:K62"/>
    <mergeCell ref="L62:M62"/>
    <mergeCell ref="N62:O62"/>
    <mergeCell ref="P62:Q62"/>
    <mergeCell ref="R68:S69"/>
    <mergeCell ref="T68:T69"/>
    <mergeCell ref="U68:W69"/>
    <mergeCell ref="J69:K69"/>
    <mergeCell ref="L69:M69"/>
    <mergeCell ref="N69:O69"/>
    <mergeCell ref="P69:Q69"/>
    <mergeCell ref="J64:Q64"/>
    <mergeCell ref="Q66:S66"/>
    <mergeCell ref="T66:W66"/>
    <mergeCell ref="A67:W67"/>
    <mergeCell ref="A68:A69"/>
    <mergeCell ref="B68:B69"/>
    <mergeCell ref="C68:C69"/>
    <mergeCell ref="D68:D69"/>
    <mergeCell ref="E68:I69"/>
    <mergeCell ref="J68:Q68"/>
    <mergeCell ref="U70:W77"/>
    <mergeCell ref="E71:I71"/>
    <mergeCell ref="J71:K71"/>
    <mergeCell ref="L71:M71"/>
    <mergeCell ref="N71:O71"/>
    <mergeCell ref="P71:Q71"/>
    <mergeCell ref="E72:I72"/>
    <mergeCell ref="J72:K72"/>
    <mergeCell ref="L72:M72"/>
    <mergeCell ref="N72:O72"/>
    <mergeCell ref="E70:I70"/>
    <mergeCell ref="J70:K70"/>
    <mergeCell ref="L70:M70"/>
    <mergeCell ref="N70:O70"/>
    <mergeCell ref="P70:Q70"/>
    <mergeCell ref="P72:Q72"/>
    <mergeCell ref="E73:I73"/>
    <mergeCell ref="N75:O75"/>
    <mergeCell ref="P75:Q75"/>
    <mergeCell ref="E76:I76"/>
    <mergeCell ref="J76:K76"/>
    <mergeCell ref="L76:M76"/>
    <mergeCell ref="N76:O76"/>
    <mergeCell ref="P76:Q76"/>
    <mergeCell ref="P73:Q73"/>
    <mergeCell ref="E74:I74"/>
    <mergeCell ref="J74:K74"/>
    <mergeCell ref="L74:M74"/>
    <mergeCell ref="N74:O74"/>
    <mergeCell ref="P74:Q74"/>
    <mergeCell ref="E77:I77"/>
    <mergeCell ref="J77:K77"/>
    <mergeCell ref="L77:M77"/>
    <mergeCell ref="N77:O77"/>
    <mergeCell ref="P77:Q77"/>
    <mergeCell ref="E75:I75"/>
    <mergeCell ref="J75:K75"/>
    <mergeCell ref="L75:M75"/>
    <mergeCell ref="A78:A81"/>
    <mergeCell ref="E78:I78"/>
    <mergeCell ref="J78:K78"/>
    <mergeCell ref="L78:M78"/>
    <mergeCell ref="N78:O78"/>
    <mergeCell ref="A70:A77"/>
    <mergeCell ref="J73:K73"/>
    <mergeCell ref="L73:M73"/>
    <mergeCell ref="N80:O80"/>
    <mergeCell ref="N73:O73"/>
    <mergeCell ref="U78:W81"/>
    <mergeCell ref="E79:I79"/>
    <mergeCell ref="J79:K79"/>
    <mergeCell ref="L79:M79"/>
    <mergeCell ref="N79:O79"/>
    <mergeCell ref="P79:Q79"/>
    <mergeCell ref="E80:I80"/>
    <mergeCell ref="J80:K80"/>
    <mergeCell ref="L80:M80"/>
    <mergeCell ref="P80:Q80"/>
    <mergeCell ref="E81:I81"/>
    <mergeCell ref="J81:K81"/>
    <mergeCell ref="L81:M81"/>
    <mergeCell ref="N81:O81"/>
    <mergeCell ref="P81:Q81"/>
    <mergeCell ref="P78:Q78"/>
    <mergeCell ref="N85:O85"/>
    <mergeCell ref="P85:Q85"/>
    <mergeCell ref="E86:I86"/>
    <mergeCell ref="J86:K86"/>
    <mergeCell ref="L86:M86"/>
    <mergeCell ref="N86:O86"/>
    <mergeCell ref="P86:Q86"/>
    <mergeCell ref="U82:W95"/>
    <mergeCell ref="E83:I83"/>
    <mergeCell ref="J83:K83"/>
    <mergeCell ref="L83:M83"/>
    <mergeCell ref="N83:O83"/>
    <mergeCell ref="P83:Q83"/>
    <mergeCell ref="E84:I84"/>
    <mergeCell ref="J84:K84"/>
    <mergeCell ref="L84:M84"/>
    <mergeCell ref="N84:O84"/>
    <mergeCell ref="E82:I82"/>
    <mergeCell ref="J82:K82"/>
    <mergeCell ref="L82:M82"/>
    <mergeCell ref="N82:O82"/>
    <mergeCell ref="P82:Q82"/>
    <mergeCell ref="P84:Q84"/>
    <mergeCell ref="E85:I85"/>
    <mergeCell ref="E87:I87"/>
    <mergeCell ref="J87:K87"/>
    <mergeCell ref="L87:M87"/>
    <mergeCell ref="N87:O87"/>
    <mergeCell ref="P87:Q87"/>
    <mergeCell ref="E94:I94"/>
    <mergeCell ref="J94:K94"/>
    <mergeCell ref="L94:M94"/>
    <mergeCell ref="N94:O94"/>
    <mergeCell ref="P94:Q94"/>
    <mergeCell ref="E88:I88"/>
    <mergeCell ref="E89:I89"/>
    <mergeCell ref="E90:I90"/>
    <mergeCell ref="E91:I91"/>
    <mergeCell ref="E92:I92"/>
    <mergeCell ref="E93:I93"/>
    <mergeCell ref="J88:K88"/>
    <mergeCell ref="J89:K89"/>
    <mergeCell ref="J90:K90"/>
    <mergeCell ref="J91:K91"/>
    <mergeCell ref="J92:K92"/>
    <mergeCell ref="J93:K93"/>
    <mergeCell ref="L88:M88"/>
    <mergeCell ref="L89:M89"/>
    <mergeCell ref="E95:I95"/>
    <mergeCell ref="J95:K95"/>
    <mergeCell ref="L95:M95"/>
    <mergeCell ref="N95:O95"/>
    <mergeCell ref="P95:Q95"/>
    <mergeCell ref="A96:A99"/>
    <mergeCell ref="E96:I96"/>
    <mergeCell ref="J96:K96"/>
    <mergeCell ref="L96:M96"/>
    <mergeCell ref="N96:O96"/>
    <mergeCell ref="A82:A95"/>
    <mergeCell ref="J85:K85"/>
    <mergeCell ref="L85:M85"/>
    <mergeCell ref="L90:M90"/>
    <mergeCell ref="L91:M91"/>
    <mergeCell ref="L92:M92"/>
    <mergeCell ref="L93:M93"/>
    <mergeCell ref="N88:O88"/>
    <mergeCell ref="N89:O89"/>
    <mergeCell ref="N90:O90"/>
    <mergeCell ref="N91:O91"/>
    <mergeCell ref="N92:O92"/>
    <mergeCell ref="N93:O93"/>
    <mergeCell ref="P88:Q88"/>
    <mergeCell ref="P96:Q96"/>
    <mergeCell ref="U96:W99"/>
    <mergeCell ref="E97:I97"/>
    <mergeCell ref="J97:K97"/>
    <mergeCell ref="L97:M97"/>
    <mergeCell ref="N97:O97"/>
    <mergeCell ref="P97:Q97"/>
    <mergeCell ref="E98:I98"/>
    <mergeCell ref="J98:K98"/>
    <mergeCell ref="L98:M98"/>
    <mergeCell ref="E101:I101"/>
    <mergeCell ref="J101:K101"/>
    <mergeCell ref="L101:M101"/>
    <mergeCell ref="N101:O101"/>
    <mergeCell ref="P101:Q101"/>
    <mergeCell ref="J103:Q103"/>
    <mergeCell ref="N98:O98"/>
    <mergeCell ref="P98:Q98"/>
    <mergeCell ref="E99:I99"/>
    <mergeCell ref="J99:K99"/>
    <mergeCell ref="L99:M99"/>
    <mergeCell ref="N99:O99"/>
    <mergeCell ref="P99:Q99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W103"/>
  <sheetViews>
    <sheetView topLeftCell="A87" zoomScale="85" zoomScaleNormal="85" workbookViewId="0">
      <selection activeCell="E51" sqref="E51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29.7773437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45919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160925</v>
      </c>
      <c r="E7" s="12" t="s">
        <v>152</v>
      </c>
      <c r="F7" s="17">
        <v>510</v>
      </c>
      <c r="G7" s="17">
        <v>304</v>
      </c>
      <c r="H7" s="18">
        <v>0.9</v>
      </c>
      <c r="I7" s="17">
        <v>30000</v>
      </c>
      <c r="J7" s="165"/>
      <c r="K7" s="166"/>
      <c r="L7" s="165">
        <v>1134</v>
      </c>
      <c r="M7" s="166"/>
      <c r="N7" s="165"/>
      <c r="O7" s="166"/>
      <c r="P7" s="165"/>
      <c r="Q7" s="166"/>
      <c r="R7" s="48">
        <v>10</v>
      </c>
      <c r="S7" s="14" t="s">
        <v>20</v>
      </c>
      <c r="T7" s="42" t="s">
        <v>111</v>
      </c>
      <c r="U7" s="202" t="s">
        <v>160</v>
      </c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153</v>
      </c>
      <c r="F8" s="17">
        <v>226</v>
      </c>
      <c r="G8" s="17">
        <v>304</v>
      </c>
      <c r="H8" s="18">
        <v>0.9</v>
      </c>
      <c r="I8" s="17">
        <v>30000</v>
      </c>
      <c r="J8" s="165"/>
      <c r="K8" s="166"/>
      <c r="L8" s="165"/>
      <c r="M8" s="166"/>
      <c r="N8" s="165">
        <v>378</v>
      </c>
      <c r="O8" s="166"/>
      <c r="P8" s="165"/>
      <c r="Q8" s="166"/>
      <c r="R8" s="48">
        <v>30</v>
      </c>
      <c r="S8" s="14" t="s">
        <v>20</v>
      </c>
      <c r="T8" s="42" t="s">
        <v>110</v>
      </c>
      <c r="U8" s="205"/>
      <c r="V8" s="206"/>
      <c r="W8" s="207"/>
    </row>
    <row r="9" spans="1:23" x14ac:dyDescent="0.3">
      <c r="A9" s="181"/>
      <c r="B9" s="5"/>
      <c r="C9" s="5"/>
      <c r="D9" s="4">
        <v>160925</v>
      </c>
      <c r="E9" s="12" t="s">
        <v>154</v>
      </c>
      <c r="F9" s="17">
        <v>275</v>
      </c>
      <c r="G9" s="17">
        <v>304</v>
      </c>
      <c r="H9" s="18">
        <v>0.9</v>
      </c>
      <c r="I9" s="17">
        <v>30000</v>
      </c>
      <c r="J9" s="165"/>
      <c r="K9" s="166"/>
      <c r="L9" s="165"/>
      <c r="M9" s="166"/>
      <c r="N9" s="165">
        <v>576</v>
      </c>
      <c r="O9" s="166"/>
      <c r="P9" s="165"/>
      <c r="Q9" s="166"/>
      <c r="R9" s="48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>
        <v>250042</v>
      </c>
      <c r="E10" s="12" t="s">
        <v>155</v>
      </c>
      <c r="F10" s="17">
        <v>510</v>
      </c>
      <c r="G10" s="17">
        <v>304</v>
      </c>
      <c r="H10" s="18">
        <v>0.9</v>
      </c>
      <c r="I10" s="17">
        <v>30000</v>
      </c>
      <c r="J10" s="165"/>
      <c r="K10" s="166"/>
      <c r="L10" s="165">
        <v>774</v>
      </c>
      <c r="M10" s="166"/>
      <c r="N10" s="165"/>
      <c r="O10" s="166"/>
      <c r="P10" s="165"/>
      <c r="Q10" s="166"/>
      <c r="R10" s="48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153</v>
      </c>
      <c r="F11" s="17">
        <v>226</v>
      </c>
      <c r="G11" s="17">
        <v>304</v>
      </c>
      <c r="H11" s="18">
        <v>0.9</v>
      </c>
      <c r="I11" s="17">
        <v>30000</v>
      </c>
      <c r="J11" s="253"/>
      <c r="K11" s="254"/>
      <c r="L11" s="165"/>
      <c r="M11" s="166"/>
      <c r="N11" s="165">
        <v>258</v>
      </c>
      <c r="O11" s="166"/>
      <c r="P11" s="165"/>
      <c r="Q11" s="166"/>
      <c r="R11" s="48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>
        <v>250042</v>
      </c>
      <c r="E12" s="12" t="s">
        <v>156</v>
      </c>
      <c r="F12" s="17">
        <v>543</v>
      </c>
      <c r="G12" s="17">
        <v>304</v>
      </c>
      <c r="H12" s="18">
        <v>0.9</v>
      </c>
      <c r="I12" s="17">
        <v>25000</v>
      </c>
      <c r="J12" s="165"/>
      <c r="K12" s="166"/>
      <c r="L12" s="165">
        <v>657</v>
      </c>
      <c r="M12" s="166"/>
      <c r="N12" s="165"/>
      <c r="O12" s="166"/>
      <c r="P12" s="165"/>
      <c r="Q12" s="166"/>
      <c r="R12" s="48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157</v>
      </c>
      <c r="F13" s="17">
        <v>290</v>
      </c>
      <c r="G13" s="17">
        <v>304</v>
      </c>
      <c r="H13" s="18">
        <v>0.9</v>
      </c>
      <c r="I13" s="17">
        <v>25000</v>
      </c>
      <c r="J13" s="165"/>
      <c r="K13" s="166"/>
      <c r="L13" s="165"/>
      <c r="M13" s="166"/>
      <c r="N13" s="165">
        <v>180</v>
      </c>
      <c r="O13" s="166"/>
      <c r="P13" s="165"/>
      <c r="Q13" s="166"/>
      <c r="R13" s="48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 t="s">
        <v>102</v>
      </c>
      <c r="E14" s="12" t="s">
        <v>153</v>
      </c>
      <c r="F14" s="17">
        <v>226</v>
      </c>
      <c r="G14" s="17">
        <v>304</v>
      </c>
      <c r="H14" s="18">
        <v>0.9</v>
      </c>
      <c r="I14" s="17">
        <v>25000</v>
      </c>
      <c r="J14" s="165"/>
      <c r="K14" s="166"/>
      <c r="L14" s="165"/>
      <c r="M14" s="166"/>
      <c r="N14" s="165">
        <v>36</v>
      </c>
      <c r="O14" s="166"/>
      <c r="P14" s="165"/>
      <c r="Q14" s="166"/>
      <c r="R14" s="48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52">
        <v>250052</v>
      </c>
      <c r="E15" s="12" t="s">
        <v>158</v>
      </c>
      <c r="F15" s="17">
        <v>582</v>
      </c>
      <c r="G15" s="17">
        <v>304</v>
      </c>
      <c r="H15" s="18">
        <v>0.7</v>
      </c>
      <c r="I15" s="17">
        <v>33000</v>
      </c>
      <c r="J15" s="165">
        <v>540</v>
      </c>
      <c r="K15" s="166"/>
      <c r="L15" s="165"/>
      <c r="M15" s="166"/>
      <c r="N15" s="165"/>
      <c r="O15" s="166"/>
      <c r="P15" s="165"/>
      <c r="Q15" s="166"/>
      <c r="R15" s="48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>
        <v>0.70833333333333337</v>
      </c>
      <c r="D16" s="4" t="s">
        <v>102</v>
      </c>
      <c r="E16" s="12" t="s">
        <v>159</v>
      </c>
      <c r="F16" s="17">
        <v>265</v>
      </c>
      <c r="G16" s="17">
        <v>304</v>
      </c>
      <c r="H16" s="18">
        <v>0.7</v>
      </c>
      <c r="I16" s="17">
        <v>33000</v>
      </c>
      <c r="J16" s="165"/>
      <c r="K16" s="166"/>
      <c r="L16" s="165"/>
      <c r="M16" s="166"/>
      <c r="N16" s="165">
        <v>270</v>
      </c>
      <c r="O16" s="166"/>
      <c r="P16" s="165"/>
      <c r="Q16" s="166"/>
      <c r="R16" s="48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48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48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48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48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540</v>
      </c>
      <c r="K21" s="22" t="s">
        <v>17</v>
      </c>
      <c r="L21" s="21">
        <f>SUM(L7:M20)</f>
        <v>2565</v>
      </c>
      <c r="M21" s="22" t="s">
        <v>17</v>
      </c>
      <c r="N21" s="21">
        <f>SUM(N7:O20)</f>
        <v>1698</v>
      </c>
      <c r="O21" s="22" t="s">
        <v>17</v>
      </c>
      <c r="P21" s="21">
        <f>SUM(P7:Q20)</f>
        <v>0</v>
      </c>
      <c r="Q21" s="22" t="s">
        <v>17</v>
      </c>
      <c r="R21" s="23">
        <f>SUM(R7:R20)</f>
        <v>40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540</v>
      </c>
      <c r="K24" s="31" t="s">
        <v>17</v>
      </c>
      <c r="L24" s="32">
        <f>L21</f>
        <v>2565</v>
      </c>
      <c r="M24" s="31" t="s">
        <v>17</v>
      </c>
      <c r="N24" s="32">
        <f>N21</f>
        <v>1698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4803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45919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/>
      <c r="D31" s="4">
        <v>210825</v>
      </c>
      <c r="E31" s="13" t="s">
        <v>115</v>
      </c>
      <c r="F31" s="40">
        <v>430</v>
      </c>
      <c r="G31" s="41">
        <v>0.6</v>
      </c>
      <c r="H31" s="40">
        <v>542</v>
      </c>
      <c r="I31" s="4" t="s">
        <v>49</v>
      </c>
      <c r="J31" s="165"/>
      <c r="K31" s="166"/>
      <c r="L31" s="165">
        <v>750</v>
      </c>
      <c r="M31" s="166"/>
      <c r="N31" s="165"/>
      <c r="O31" s="166"/>
      <c r="P31" s="165"/>
      <c r="Q31" s="166"/>
      <c r="R31" s="48">
        <v>30</v>
      </c>
      <c r="S31" s="14" t="s">
        <v>20</v>
      </c>
      <c r="T31" s="42" t="s">
        <v>162</v>
      </c>
      <c r="U31" s="247" t="s">
        <v>179</v>
      </c>
      <c r="V31" s="248"/>
      <c r="W31" s="249"/>
    </row>
    <row r="32" spans="1:23" ht="14.55" customHeight="1" x14ac:dyDescent="0.3">
      <c r="A32" s="181"/>
      <c r="B32" s="5"/>
      <c r="C32" s="5">
        <v>0.70833333333333337</v>
      </c>
      <c r="D32" s="4">
        <v>210825</v>
      </c>
      <c r="E32" s="13" t="s">
        <v>161</v>
      </c>
      <c r="F32" s="40">
        <v>430</v>
      </c>
      <c r="G32" s="41">
        <v>0.6</v>
      </c>
      <c r="H32" s="40">
        <v>542</v>
      </c>
      <c r="I32" s="4" t="s">
        <v>49</v>
      </c>
      <c r="J32" s="165"/>
      <c r="K32" s="166"/>
      <c r="L32" s="165">
        <v>750</v>
      </c>
      <c r="M32" s="166"/>
      <c r="N32" s="165"/>
      <c r="O32" s="166"/>
      <c r="P32" s="165"/>
      <c r="Q32" s="166"/>
      <c r="R32" s="48"/>
      <c r="S32" s="14" t="s">
        <v>20</v>
      </c>
      <c r="T32" s="42"/>
      <c r="U32" s="247"/>
      <c r="V32" s="248"/>
      <c r="W32" s="249"/>
    </row>
    <row r="33" spans="1:23" ht="14.55" hidden="1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48"/>
      <c r="S33" s="14" t="s">
        <v>20</v>
      </c>
      <c r="T33" s="42"/>
      <c r="U33" s="247"/>
      <c r="V33" s="248"/>
      <c r="W33" s="249"/>
    </row>
    <row r="34" spans="1:23" ht="14.55" hidden="1" customHeight="1" x14ac:dyDescent="0.3">
      <c r="A34" s="181"/>
      <c r="B34" s="5"/>
      <c r="C34" s="5"/>
      <c r="D34" s="4"/>
      <c r="E34" s="13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48"/>
      <c r="S34" s="14" t="s">
        <v>20</v>
      </c>
      <c r="T34" s="42"/>
      <c r="U34" s="247"/>
      <c r="V34" s="248"/>
      <c r="W34" s="249"/>
    </row>
    <row r="35" spans="1:23" ht="14.55" hidden="1" customHeight="1" x14ac:dyDescent="0.3">
      <c r="A35" s="181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48"/>
      <c r="S35" s="14" t="s">
        <v>20</v>
      </c>
      <c r="T35" s="42"/>
      <c r="U35" s="247"/>
      <c r="V35" s="248"/>
      <c r="W35" s="249"/>
    </row>
    <row r="36" spans="1:23" ht="14.55" hidden="1" customHeight="1" x14ac:dyDescent="0.3">
      <c r="A36" s="181"/>
      <c r="B36" s="5"/>
      <c r="C36" s="5"/>
      <c r="D36" s="4"/>
      <c r="E36" s="13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48"/>
      <c r="S36" s="14" t="s">
        <v>20</v>
      </c>
      <c r="T36" s="42"/>
      <c r="U36" s="247"/>
      <c r="V36" s="248"/>
      <c r="W36" s="249"/>
    </row>
    <row r="37" spans="1:23" ht="14.55" hidden="1" customHeight="1" x14ac:dyDescent="0.3">
      <c r="A37" s="181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48"/>
      <c r="S37" s="14" t="s">
        <v>20</v>
      </c>
      <c r="T37" s="42"/>
      <c r="U37" s="247"/>
      <c r="V37" s="248"/>
      <c r="W37" s="249"/>
    </row>
    <row r="38" spans="1:23" ht="14.55" customHeight="1" x14ac:dyDescent="0.3">
      <c r="A38" s="181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48"/>
      <c r="S38" s="14" t="s">
        <v>20</v>
      </c>
      <c r="T38" s="42"/>
      <c r="U38" s="247"/>
      <c r="V38" s="248"/>
      <c r="W38" s="249"/>
    </row>
    <row r="39" spans="1:23" ht="14.55" customHeight="1" x14ac:dyDescent="0.3">
      <c r="A39" s="181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48"/>
      <c r="S39" s="14" t="s">
        <v>20</v>
      </c>
      <c r="T39" s="42"/>
      <c r="U39" s="247"/>
      <c r="V39" s="248"/>
      <c r="W39" s="249"/>
    </row>
    <row r="40" spans="1:23" ht="14.55" customHeight="1" x14ac:dyDescent="0.3">
      <c r="A40" s="182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SUM(J31:K39)</f>
        <v>0</v>
      </c>
      <c r="K40" s="174"/>
      <c r="L40" s="173">
        <f>SUM(L31:M39)</f>
        <v>1500</v>
      </c>
      <c r="M40" s="174"/>
      <c r="N40" s="173">
        <f>SUM(N31:O39)</f>
        <v>0</v>
      </c>
      <c r="O40" s="174"/>
      <c r="P40" s="173">
        <f>SUM(P31:Q39)</f>
        <v>0</v>
      </c>
      <c r="Q40" s="174"/>
      <c r="R40" s="23">
        <f>SUM(R31:R39)</f>
        <v>30</v>
      </c>
      <c r="S40" s="24" t="s">
        <v>20</v>
      </c>
      <c r="T40" s="19"/>
      <c r="U40" s="247"/>
      <c r="V40" s="248"/>
      <c r="W40" s="249"/>
    </row>
    <row r="41" spans="1:23" ht="14.55" customHeight="1" x14ac:dyDescent="0.3">
      <c r="A41" s="163" t="s">
        <v>34</v>
      </c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48"/>
      <c r="S41" s="14" t="s">
        <v>20</v>
      </c>
      <c r="T41" s="42"/>
      <c r="U41" s="177"/>
      <c r="V41" s="178"/>
      <c r="W41" s="179"/>
    </row>
    <row r="42" spans="1:23" ht="14.55" hidden="1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48"/>
      <c r="S42" s="14" t="s">
        <v>20</v>
      </c>
      <c r="T42" s="42"/>
      <c r="U42" s="177"/>
      <c r="V42" s="178"/>
      <c r="W42" s="179"/>
    </row>
    <row r="43" spans="1:23" ht="14.55" hidden="1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48"/>
      <c r="S43" s="14" t="s">
        <v>20</v>
      </c>
      <c r="T43" s="42"/>
      <c r="U43" s="177"/>
      <c r="V43" s="178"/>
      <c r="W43" s="179"/>
    </row>
    <row r="44" spans="1:23" ht="14.55" hidden="1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48"/>
      <c r="S44" s="14" t="s">
        <v>20</v>
      </c>
      <c r="T44" s="42"/>
      <c r="U44" s="177"/>
      <c r="V44" s="178"/>
      <c r="W44" s="179"/>
    </row>
    <row r="45" spans="1:23" ht="14.55" hidden="1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48"/>
      <c r="S45" s="14" t="s">
        <v>20</v>
      </c>
      <c r="T45" s="42"/>
      <c r="U45" s="177"/>
      <c r="V45" s="178"/>
      <c r="W45" s="179"/>
    </row>
    <row r="46" spans="1:23" ht="14.55" hidden="1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48"/>
      <c r="S46" s="14" t="s">
        <v>20</v>
      </c>
      <c r="T46" s="42"/>
      <c r="U46" s="177"/>
      <c r="V46" s="178"/>
      <c r="W46" s="179"/>
    </row>
    <row r="47" spans="1:23" ht="14.55" hidden="1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48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48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63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48"/>
      <c r="S49" s="14" t="s">
        <v>20</v>
      </c>
      <c r="T49" s="42"/>
      <c r="U49" s="177"/>
      <c r="V49" s="178"/>
      <c r="W49" s="179"/>
    </row>
    <row r="50" spans="1:23" ht="14.55" customHeight="1" x14ac:dyDescent="0.3">
      <c r="A50" s="164"/>
      <c r="B50" s="19"/>
      <c r="C50" s="19"/>
      <c r="D50" s="20"/>
      <c r="E50" s="170" t="s">
        <v>0</v>
      </c>
      <c r="F50" s="171"/>
      <c r="G50" s="171"/>
      <c r="H50" s="171"/>
      <c r="I50" s="172"/>
      <c r="J50" s="173">
        <f>SUM(J41:K49)</f>
        <v>0</v>
      </c>
      <c r="K50" s="174"/>
      <c r="L50" s="173">
        <f>SUM(L41:M49)</f>
        <v>0</v>
      </c>
      <c r="M50" s="174"/>
      <c r="N50" s="173">
        <f>SUM(N41:O49)</f>
        <v>0</v>
      </c>
      <c r="O50" s="174"/>
      <c r="P50" s="173">
        <f>SUM(P41:Q49)</f>
        <v>0</v>
      </c>
      <c r="Q50" s="174"/>
      <c r="R50" s="23">
        <f>SUM(R41:R49)</f>
        <v>0</v>
      </c>
      <c r="S50" s="24" t="s">
        <v>20</v>
      </c>
      <c r="T50" s="19"/>
      <c r="U50" s="177"/>
      <c r="V50" s="178"/>
      <c r="W50" s="179"/>
    </row>
    <row r="51" spans="1:23" ht="14.55" customHeight="1" x14ac:dyDescent="0.3">
      <c r="A51" s="163" t="s">
        <v>35</v>
      </c>
      <c r="B51" s="5">
        <v>0.41666666666666669</v>
      </c>
      <c r="C51" s="5">
        <v>0.70833333333333337</v>
      </c>
      <c r="D51" s="4">
        <v>100925</v>
      </c>
      <c r="E51" s="12" t="s">
        <v>201</v>
      </c>
      <c r="F51" s="40">
        <v>304</v>
      </c>
      <c r="G51" s="41">
        <v>0.9</v>
      </c>
      <c r="H51" s="40">
        <v>395</v>
      </c>
      <c r="I51" s="12"/>
      <c r="J51" s="165"/>
      <c r="K51" s="166"/>
      <c r="L51" s="165"/>
      <c r="M51" s="166"/>
      <c r="N51" s="165">
        <v>1100</v>
      </c>
      <c r="O51" s="166"/>
      <c r="P51" s="165"/>
      <c r="Q51" s="166"/>
      <c r="R51" s="48">
        <v>15</v>
      </c>
      <c r="S51" s="14" t="s">
        <v>20</v>
      </c>
      <c r="T51" s="42" t="s">
        <v>163</v>
      </c>
      <c r="U51" s="247" t="s">
        <v>180</v>
      </c>
      <c r="V51" s="178"/>
      <c r="W51" s="179"/>
    </row>
    <row r="52" spans="1:23" ht="14.55" customHeight="1" x14ac:dyDescent="0.3">
      <c r="A52" s="163"/>
      <c r="B52" s="5"/>
      <c r="C52" s="5"/>
      <c r="D52" s="4"/>
      <c r="E52" s="12"/>
      <c r="F52" s="40"/>
      <c r="G52" s="41"/>
      <c r="H52" s="40"/>
      <c r="I52" s="12"/>
      <c r="J52" s="165"/>
      <c r="K52" s="166"/>
      <c r="L52" s="165"/>
      <c r="M52" s="166"/>
      <c r="N52" s="165"/>
      <c r="O52" s="166"/>
      <c r="P52" s="165"/>
      <c r="Q52" s="166"/>
      <c r="R52" s="48">
        <v>40</v>
      </c>
      <c r="S52" s="14" t="s">
        <v>20</v>
      </c>
      <c r="T52" s="42" t="s">
        <v>164</v>
      </c>
      <c r="U52" s="177"/>
      <c r="V52" s="178"/>
      <c r="W52" s="179"/>
    </row>
    <row r="53" spans="1:23" ht="14.55" customHeight="1" x14ac:dyDescent="0.3">
      <c r="A53" s="163"/>
      <c r="B53" s="5"/>
      <c r="C53" s="5"/>
      <c r="D53" s="4"/>
      <c r="E53" s="12"/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48">
        <v>30</v>
      </c>
      <c r="S53" s="14" t="s">
        <v>20</v>
      </c>
      <c r="T53" s="42" t="s">
        <v>165</v>
      </c>
      <c r="U53" s="177"/>
      <c r="V53" s="178"/>
      <c r="W53" s="179"/>
    </row>
    <row r="54" spans="1:23" ht="14.55" customHeight="1" x14ac:dyDescent="0.3">
      <c r="A54" s="163"/>
      <c r="B54" s="5"/>
      <c r="C54" s="5"/>
      <c r="D54" s="4"/>
      <c r="E54" s="12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48"/>
      <c r="S54" s="14" t="s">
        <v>20</v>
      </c>
      <c r="T54" s="42"/>
      <c r="U54" s="177"/>
      <c r="V54" s="178"/>
      <c r="W54" s="179"/>
    </row>
    <row r="55" spans="1:23" ht="14.55" customHeight="1" x14ac:dyDescent="0.3">
      <c r="A55" s="163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48"/>
      <c r="S55" s="14" t="s">
        <v>20</v>
      </c>
      <c r="T55" s="42"/>
      <c r="U55" s="177"/>
      <c r="V55" s="178"/>
      <c r="W55" s="179"/>
    </row>
    <row r="56" spans="1:23" ht="14.55" hidden="1" customHeight="1" x14ac:dyDescent="0.3">
      <c r="A56" s="163"/>
      <c r="B56" s="5"/>
      <c r="C56" s="5"/>
      <c r="D56" s="4"/>
      <c r="E56" s="12"/>
      <c r="F56" s="40"/>
      <c r="G56" s="41"/>
      <c r="H56" s="40"/>
      <c r="I56" s="12"/>
      <c r="J56" s="165"/>
      <c r="K56" s="166"/>
      <c r="L56" s="165"/>
      <c r="M56" s="166"/>
      <c r="N56" s="165"/>
      <c r="O56" s="166"/>
      <c r="P56" s="165"/>
      <c r="Q56" s="166"/>
      <c r="R56" s="48"/>
      <c r="S56" s="14" t="s">
        <v>20</v>
      </c>
      <c r="T56" s="42"/>
      <c r="U56" s="177"/>
      <c r="V56" s="178"/>
      <c r="W56" s="179"/>
    </row>
    <row r="57" spans="1:23" ht="14.55" hidden="1" customHeight="1" x14ac:dyDescent="0.3">
      <c r="A57" s="163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48"/>
      <c r="S57" s="14" t="s">
        <v>20</v>
      </c>
      <c r="T57" s="42"/>
      <c r="U57" s="177"/>
      <c r="V57" s="178"/>
      <c r="W57" s="179"/>
    </row>
    <row r="58" spans="1:23" ht="14.55" hidden="1" customHeight="1" x14ac:dyDescent="0.3">
      <c r="A58" s="163"/>
      <c r="B58" s="5"/>
      <c r="C58" s="5"/>
      <c r="D58" s="4"/>
      <c r="E58" s="12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48"/>
      <c r="S58" s="14" t="s">
        <v>20</v>
      </c>
      <c r="T58" s="42"/>
      <c r="U58" s="177"/>
      <c r="V58" s="178"/>
      <c r="W58" s="179"/>
    </row>
    <row r="59" spans="1:23" ht="14.55" customHeight="1" x14ac:dyDescent="0.3">
      <c r="A59" s="163"/>
      <c r="B59" s="5"/>
      <c r="C59" s="5"/>
      <c r="D59" s="4"/>
      <c r="E59" s="12"/>
      <c r="F59" s="40"/>
      <c r="G59" s="41"/>
      <c r="H59" s="40"/>
      <c r="I59" s="12"/>
      <c r="J59" s="165"/>
      <c r="K59" s="166"/>
      <c r="L59" s="165"/>
      <c r="M59" s="166"/>
      <c r="N59" s="165"/>
      <c r="O59" s="166"/>
      <c r="P59" s="165"/>
      <c r="Q59" s="166"/>
      <c r="R59" s="48"/>
      <c r="S59" s="14" t="s">
        <v>20</v>
      </c>
      <c r="T59" s="42"/>
      <c r="U59" s="177"/>
      <c r="V59" s="178"/>
      <c r="W59" s="179"/>
    </row>
    <row r="60" spans="1:23" ht="14.55" customHeight="1" x14ac:dyDescent="0.3">
      <c r="A60" s="164"/>
      <c r="B60" s="19"/>
      <c r="C60" s="19"/>
      <c r="D60" s="20"/>
      <c r="E60" s="170" t="s">
        <v>0</v>
      </c>
      <c r="F60" s="171"/>
      <c r="G60" s="171"/>
      <c r="H60" s="171"/>
      <c r="I60" s="172"/>
      <c r="J60" s="173">
        <f>SUM(J51:K59)</f>
        <v>0</v>
      </c>
      <c r="K60" s="174"/>
      <c r="L60" s="173">
        <f>SUM(L51:M59)</f>
        <v>0</v>
      </c>
      <c r="M60" s="174"/>
      <c r="N60" s="173">
        <f>SUM(N51:O59)</f>
        <v>1100</v>
      </c>
      <c r="O60" s="174"/>
      <c r="P60" s="173">
        <f>SUM(P51:Q59)</f>
        <v>0</v>
      </c>
      <c r="Q60" s="174"/>
      <c r="R60" s="23">
        <f>SUM(R51:R59)</f>
        <v>85</v>
      </c>
      <c r="S60" s="24" t="s">
        <v>20</v>
      </c>
      <c r="T60" s="19"/>
      <c r="U60" s="177"/>
      <c r="V60" s="178"/>
      <c r="W60" s="179"/>
    </row>
    <row r="61" spans="1:23" ht="14.55" customHeight="1" x14ac:dyDescent="0.3">
      <c r="A61" s="27"/>
      <c r="B61" s="27"/>
      <c r="C61" s="27"/>
      <c r="D61" s="27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27"/>
      <c r="S61" s="27"/>
      <c r="T61" s="39"/>
      <c r="U61" s="39"/>
      <c r="V61" s="39"/>
      <c r="W61" s="39"/>
    </row>
    <row r="62" spans="1:23" x14ac:dyDescent="0.3">
      <c r="E62" s="170" t="s">
        <v>31</v>
      </c>
      <c r="F62" s="171"/>
      <c r="G62" s="171"/>
      <c r="H62" s="171"/>
      <c r="I62" s="172"/>
      <c r="J62" s="175" t="s">
        <v>7</v>
      </c>
      <c r="K62" s="176"/>
      <c r="L62" s="175" t="s">
        <v>8</v>
      </c>
      <c r="M62" s="176"/>
      <c r="N62" s="175" t="s">
        <v>9</v>
      </c>
      <c r="O62" s="176"/>
      <c r="P62" s="175" t="s">
        <v>16</v>
      </c>
      <c r="Q62" s="176"/>
    </row>
    <row r="63" spans="1:23" s="2" customFormat="1" x14ac:dyDescent="0.3">
      <c r="E63" s="15"/>
      <c r="F63" s="15"/>
      <c r="G63" s="15"/>
      <c r="H63" s="15"/>
      <c r="I63" s="15"/>
      <c r="J63" s="30">
        <f>J40+J50+J60</f>
        <v>0</v>
      </c>
      <c r="K63" s="31" t="s">
        <v>17</v>
      </c>
      <c r="L63" s="30">
        <f>L40+L50+L60</f>
        <v>1500</v>
      </c>
      <c r="M63" s="31" t="s">
        <v>17</v>
      </c>
      <c r="N63" s="30">
        <f>N40+N50+N60</f>
        <v>1100</v>
      </c>
      <c r="O63" s="31" t="s">
        <v>17</v>
      </c>
      <c r="P63" s="30">
        <f>P40+P50+P60</f>
        <v>0</v>
      </c>
      <c r="Q63" s="34" t="s">
        <v>17</v>
      </c>
    </row>
    <row r="64" spans="1:23" ht="24.45" customHeight="1" x14ac:dyDescent="0.3">
      <c r="E64" s="28"/>
      <c r="F64" s="28"/>
      <c r="G64" s="28"/>
      <c r="H64" s="28"/>
      <c r="I64" s="28"/>
      <c r="J64" s="167">
        <f>J63+L63+N63+P63</f>
        <v>2600</v>
      </c>
      <c r="K64" s="168"/>
      <c r="L64" s="168"/>
      <c r="M64" s="168"/>
      <c r="N64" s="168"/>
      <c r="O64" s="168"/>
      <c r="P64" s="168"/>
      <c r="Q64" s="169"/>
    </row>
    <row r="65" spans="1:23" ht="30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 spans="1:23" s="37" customFormat="1" ht="19.95" customHeight="1" x14ac:dyDescent="0.4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214" t="s">
        <v>14</v>
      </c>
      <c r="R66" s="215"/>
      <c r="S66" s="216"/>
      <c r="T66" s="184">
        <f>T3</f>
        <v>45919</v>
      </c>
      <c r="U66" s="185"/>
      <c r="V66" s="185"/>
      <c r="W66" s="186"/>
    </row>
    <row r="67" spans="1:23" s="16" customFormat="1" ht="30" customHeight="1" x14ac:dyDescent="0.3">
      <c r="A67" s="187" t="s">
        <v>26</v>
      </c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9"/>
      <c r="Q67" s="189"/>
      <c r="R67" s="189"/>
      <c r="S67" s="189"/>
      <c r="T67" s="188"/>
      <c r="U67" s="188"/>
      <c r="V67" s="188"/>
      <c r="W67" s="190"/>
    </row>
    <row r="68" spans="1:23" s="26" customFormat="1" ht="13.8" x14ac:dyDescent="0.3">
      <c r="A68" s="191" t="s">
        <v>1</v>
      </c>
      <c r="B68" s="192" t="s">
        <v>2</v>
      </c>
      <c r="C68" s="192" t="s">
        <v>3</v>
      </c>
      <c r="D68" s="192" t="s">
        <v>4</v>
      </c>
      <c r="E68" s="193" t="s">
        <v>5</v>
      </c>
      <c r="F68" s="197"/>
      <c r="G68" s="197"/>
      <c r="H68" s="197"/>
      <c r="I68" s="198"/>
      <c r="J68" s="193" t="s">
        <v>6</v>
      </c>
      <c r="K68" s="197"/>
      <c r="L68" s="197"/>
      <c r="M68" s="197"/>
      <c r="N68" s="197"/>
      <c r="O68" s="197"/>
      <c r="P68" s="197"/>
      <c r="Q68" s="198"/>
      <c r="R68" s="193" t="s">
        <v>10</v>
      </c>
      <c r="S68" s="198"/>
      <c r="T68" s="191" t="s">
        <v>11</v>
      </c>
      <c r="U68" s="191" t="s">
        <v>12</v>
      </c>
      <c r="V68" s="191"/>
      <c r="W68" s="191"/>
    </row>
    <row r="69" spans="1:23" s="26" customFormat="1" ht="13.8" x14ac:dyDescent="0.3">
      <c r="A69" s="191"/>
      <c r="B69" s="192"/>
      <c r="C69" s="192"/>
      <c r="D69" s="192"/>
      <c r="E69" s="194"/>
      <c r="F69" s="217"/>
      <c r="G69" s="217"/>
      <c r="H69" s="217"/>
      <c r="I69" s="199"/>
      <c r="J69" s="200" t="s">
        <v>7</v>
      </c>
      <c r="K69" s="201"/>
      <c r="L69" s="200" t="s">
        <v>8</v>
      </c>
      <c r="M69" s="201"/>
      <c r="N69" s="200" t="s">
        <v>9</v>
      </c>
      <c r="O69" s="201"/>
      <c r="P69" s="200" t="s">
        <v>16</v>
      </c>
      <c r="Q69" s="201"/>
      <c r="R69" s="194"/>
      <c r="S69" s="199"/>
      <c r="T69" s="191"/>
      <c r="U69" s="191"/>
      <c r="V69" s="191"/>
      <c r="W69" s="191"/>
    </row>
    <row r="70" spans="1:23" x14ac:dyDescent="0.3">
      <c r="A70" s="180" t="s">
        <v>13</v>
      </c>
      <c r="B70" s="5">
        <v>0.33333333333333331</v>
      </c>
      <c r="C70" s="5"/>
      <c r="D70" s="50">
        <v>250068</v>
      </c>
      <c r="E70" s="211" t="s">
        <v>166</v>
      </c>
      <c r="F70" s="212"/>
      <c r="G70" s="212"/>
      <c r="H70" s="212"/>
      <c r="I70" s="213"/>
      <c r="J70" s="165"/>
      <c r="K70" s="166"/>
      <c r="L70" s="165">
        <v>1021</v>
      </c>
      <c r="M70" s="166"/>
      <c r="N70" s="165"/>
      <c r="O70" s="166"/>
      <c r="P70" s="165"/>
      <c r="Q70" s="166"/>
      <c r="R70" s="48">
        <v>30</v>
      </c>
      <c r="S70" s="6" t="s">
        <v>20</v>
      </c>
      <c r="T70" s="3" t="s">
        <v>169</v>
      </c>
      <c r="U70" s="202"/>
      <c r="V70" s="203"/>
      <c r="W70" s="204"/>
    </row>
    <row r="71" spans="1:23" x14ac:dyDescent="0.3">
      <c r="A71" s="163"/>
      <c r="B71" s="5"/>
      <c r="C71" s="5"/>
      <c r="D71" s="50">
        <v>250068</v>
      </c>
      <c r="E71" s="211" t="s">
        <v>167</v>
      </c>
      <c r="F71" s="212"/>
      <c r="G71" s="212"/>
      <c r="H71" s="212"/>
      <c r="I71" s="213"/>
      <c r="J71" s="165"/>
      <c r="K71" s="166"/>
      <c r="L71" s="165">
        <v>1700</v>
      </c>
      <c r="M71" s="166"/>
      <c r="N71" s="165"/>
      <c r="O71" s="166"/>
      <c r="P71" s="165"/>
      <c r="Q71" s="166"/>
      <c r="R71" s="48"/>
      <c r="S71" s="6" t="s">
        <v>20</v>
      </c>
      <c r="T71" s="3"/>
      <c r="U71" s="205"/>
      <c r="V71" s="206"/>
      <c r="W71" s="207"/>
    </row>
    <row r="72" spans="1:23" x14ac:dyDescent="0.3">
      <c r="A72" s="163"/>
      <c r="B72" s="5"/>
      <c r="C72" s="5">
        <v>0.70833333333333337</v>
      </c>
      <c r="D72" s="50">
        <v>210825</v>
      </c>
      <c r="E72" s="211" t="s">
        <v>168</v>
      </c>
      <c r="F72" s="212"/>
      <c r="G72" s="212"/>
      <c r="H72" s="212"/>
      <c r="I72" s="213"/>
      <c r="J72" s="165"/>
      <c r="K72" s="166"/>
      <c r="L72" s="165">
        <v>904</v>
      </c>
      <c r="M72" s="166"/>
      <c r="N72" s="165"/>
      <c r="O72" s="166"/>
      <c r="P72" s="165"/>
      <c r="Q72" s="166"/>
      <c r="R72" s="48"/>
      <c r="S72" s="6" t="s">
        <v>20</v>
      </c>
      <c r="T72" s="3"/>
      <c r="U72" s="205"/>
      <c r="V72" s="206"/>
      <c r="W72" s="207"/>
    </row>
    <row r="73" spans="1:23" hidden="1" x14ac:dyDescent="0.3">
      <c r="A73" s="163"/>
      <c r="B73" s="5"/>
      <c r="C73" s="5"/>
      <c r="D73" s="4"/>
      <c r="E73" s="211"/>
      <c r="F73" s="212"/>
      <c r="G73" s="212"/>
      <c r="H73" s="212"/>
      <c r="I73" s="213"/>
      <c r="J73" s="165"/>
      <c r="K73" s="166"/>
      <c r="L73" s="165"/>
      <c r="M73" s="166"/>
      <c r="N73" s="165"/>
      <c r="O73" s="166"/>
      <c r="P73" s="165"/>
      <c r="Q73" s="166"/>
      <c r="R73" s="48"/>
      <c r="S73" s="6" t="s">
        <v>20</v>
      </c>
      <c r="T73" s="3"/>
      <c r="U73" s="205"/>
      <c r="V73" s="206"/>
      <c r="W73" s="207"/>
    </row>
    <row r="74" spans="1:23" hidden="1" x14ac:dyDescent="0.3">
      <c r="A74" s="163"/>
      <c r="B74" s="5"/>
      <c r="C74" s="5"/>
      <c r="D74" s="4"/>
      <c r="E74" s="211"/>
      <c r="F74" s="212"/>
      <c r="G74" s="212"/>
      <c r="H74" s="212"/>
      <c r="I74" s="213"/>
      <c r="J74" s="165"/>
      <c r="K74" s="166"/>
      <c r="L74" s="165"/>
      <c r="M74" s="166"/>
      <c r="N74" s="165"/>
      <c r="O74" s="166"/>
      <c r="P74" s="165"/>
      <c r="Q74" s="166"/>
      <c r="R74" s="48"/>
      <c r="S74" s="6" t="s">
        <v>20</v>
      </c>
      <c r="T74" s="3"/>
      <c r="U74" s="205"/>
      <c r="V74" s="206"/>
      <c r="W74" s="207"/>
    </row>
    <row r="75" spans="1:23" hidden="1" x14ac:dyDescent="0.3">
      <c r="A75" s="163"/>
      <c r="B75" s="5"/>
      <c r="C75" s="5"/>
      <c r="D75" s="4"/>
      <c r="E75" s="211"/>
      <c r="F75" s="212"/>
      <c r="G75" s="212"/>
      <c r="H75" s="212"/>
      <c r="I75" s="213"/>
      <c r="J75" s="165"/>
      <c r="K75" s="166"/>
      <c r="L75" s="165"/>
      <c r="M75" s="166"/>
      <c r="N75" s="165"/>
      <c r="O75" s="166"/>
      <c r="P75" s="165"/>
      <c r="Q75" s="166"/>
      <c r="R75" s="48"/>
      <c r="S75" s="6" t="s">
        <v>20</v>
      </c>
      <c r="T75" s="3"/>
      <c r="U75" s="205"/>
      <c r="V75" s="206"/>
      <c r="W75" s="207"/>
    </row>
    <row r="76" spans="1:23" x14ac:dyDescent="0.3">
      <c r="A76" s="163"/>
      <c r="B76" s="5"/>
      <c r="C76" s="5"/>
      <c r="D76" s="4"/>
      <c r="E76" s="211"/>
      <c r="F76" s="212"/>
      <c r="G76" s="212"/>
      <c r="H76" s="212"/>
      <c r="I76" s="213"/>
      <c r="J76" s="165"/>
      <c r="K76" s="166"/>
      <c r="L76" s="165"/>
      <c r="M76" s="166"/>
      <c r="N76" s="165"/>
      <c r="O76" s="166"/>
      <c r="P76" s="165"/>
      <c r="Q76" s="166"/>
      <c r="R76" s="48"/>
      <c r="S76" s="6" t="s">
        <v>20</v>
      </c>
      <c r="T76" s="3"/>
      <c r="U76" s="205"/>
      <c r="V76" s="206"/>
      <c r="W76" s="207"/>
    </row>
    <row r="77" spans="1:23" x14ac:dyDescent="0.3">
      <c r="A77" s="164"/>
      <c r="B77" s="19"/>
      <c r="C77" s="19"/>
      <c r="D77" s="20"/>
      <c r="E77" s="170" t="s">
        <v>0</v>
      </c>
      <c r="F77" s="171"/>
      <c r="G77" s="171"/>
      <c r="H77" s="171"/>
      <c r="I77" s="172"/>
      <c r="J77" s="173">
        <f>SUM(J70:J76)</f>
        <v>0</v>
      </c>
      <c r="K77" s="174"/>
      <c r="L77" s="173">
        <f>SUM(L70:L76)</f>
        <v>3625</v>
      </c>
      <c r="M77" s="174"/>
      <c r="N77" s="173">
        <f>SUM(N70:N76)</f>
        <v>0</v>
      </c>
      <c r="O77" s="174"/>
      <c r="P77" s="173">
        <f>SUM(P70:P76)</f>
        <v>0</v>
      </c>
      <c r="Q77" s="174"/>
      <c r="R77" s="23">
        <f>SUM(R70:R76)</f>
        <v>30</v>
      </c>
      <c r="S77" s="24" t="s">
        <v>20</v>
      </c>
      <c r="T77" s="19"/>
      <c r="U77" s="208"/>
      <c r="V77" s="209"/>
      <c r="W77" s="210"/>
    </row>
    <row r="78" spans="1:23" x14ac:dyDescent="0.3">
      <c r="A78" s="180" t="s">
        <v>15</v>
      </c>
      <c r="B78" s="5"/>
      <c r="C78" s="5"/>
      <c r="D78" s="4"/>
      <c r="E78" s="211"/>
      <c r="F78" s="212"/>
      <c r="G78" s="212"/>
      <c r="H78" s="212"/>
      <c r="I78" s="213"/>
      <c r="J78" s="165"/>
      <c r="K78" s="166"/>
      <c r="L78" s="165"/>
      <c r="M78" s="166"/>
      <c r="N78" s="165"/>
      <c r="O78" s="166"/>
      <c r="P78" s="165"/>
      <c r="Q78" s="166"/>
      <c r="R78" s="48"/>
      <c r="S78" s="6" t="s">
        <v>20</v>
      </c>
      <c r="T78" s="3"/>
      <c r="U78" s="202"/>
      <c r="V78" s="203"/>
      <c r="W78" s="204"/>
    </row>
    <row r="79" spans="1:23" x14ac:dyDescent="0.3">
      <c r="A79" s="163"/>
      <c r="B79" s="5"/>
      <c r="C79" s="5"/>
      <c r="D79" s="4"/>
      <c r="E79" s="211"/>
      <c r="F79" s="212"/>
      <c r="G79" s="212"/>
      <c r="H79" s="212"/>
      <c r="I79" s="213"/>
      <c r="J79" s="165"/>
      <c r="K79" s="166"/>
      <c r="L79" s="165"/>
      <c r="M79" s="166"/>
      <c r="N79" s="165"/>
      <c r="O79" s="166"/>
      <c r="P79" s="165"/>
      <c r="Q79" s="166"/>
      <c r="R79" s="48"/>
      <c r="S79" s="6" t="s">
        <v>20</v>
      </c>
      <c r="T79" s="3"/>
      <c r="U79" s="205"/>
      <c r="V79" s="206"/>
      <c r="W79" s="207"/>
    </row>
    <row r="80" spans="1:23" x14ac:dyDescent="0.3">
      <c r="A80" s="163"/>
      <c r="B80" s="5"/>
      <c r="C80" s="5"/>
      <c r="D80" s="4"/>
      <c r="E80" s="211"/>
      <c r="F80" s="212"/>
      <c r="G80" s="212"/>
      <c r="H80" s="212"/>
      <c r="I80" s="213"/>
      <c r="J80" s="165"/>
      <c r="K80" s="166"/>
      <c r="L80" s="165"/>
      <c r="M80" s="166"/>
      <c r="N80" s="165"/>
      <c r="O80" s="166"/>
      <c r="P80" s="165"/>
      <c r="Q80" s="166"/>
      <c r="R80" s="48"/>
      <c r="S80" s="6" t="s">
        <v>20</v>
      </c>
      <c r="T80" s="3"/>
      <c r="U80" s="205"/>
      <c r="V80" s="206"/>
      <c r="W80" s="207"/>
    </row>
    <row r="81" spans="1:23" x14ac:dyDescent="0.3">
      <c r="A81" s="164"/>
      <c r="B81" s="19"/>
      <c r="C81" s="19"/>
      <c r="D81" s="20"/>
      <c r="E81" s="170" t="s">
        <v>0</v>
      </c>
      <c r="F81" s="171"/>
      <c r="G81" s="171"/>
      <c r="H81" s="171"/>
      <c r="I81" s="172"/>
      <c r="J81" s="173">
        <f>SUM(J78:J80)</f>
        <v>0</v>
      </c>
      <c r="K81" s="174"/>
      <c r="L81" s="173">
        <f>SUM(L78:L80)</f>
        <v>0</v>
      </c>
      <c r="M81" s="174"/>
      <c r="N81" s="173">
        <f>SUM(N78:N80)</f>
        <v>0</v>
      </c>
      <c r="O81" s="174"/>
      <c r="P81" s="173">
        <f>SUM(P73:P80)</f>
        <v>0</v>
      </c>
      <c r="Q81" s="174"/>
      <c r="R81" s="23">
        <f>SUM(R78:R80)</f>
        <v>0</v>
      </c>
      <c r="S81" s="24" t="s">
        <v>20</v>
      </c>
      <c r="T81" s="7"/>
      <c r="U81" s="208"/>
      <c r="V81" s="209"/>
      <c r="W81" s="210"/>
    </row>
    <row r="82" spans="1:23" x14ac:dyDescent="0.3">
      <c r="A82" s="180" t="s">
        <v>37</v>
      </c>
      <c r="B82" s="5"/>
      <c r="C82" s="5"/>
      <c r="D82" s="4"/>
      <c r="E82" s="211"/>
      <c r="F82" s="212"/>
      <c r="G82" s="212"/>
      <c r="H82" s="212"/>
      <c r="I82" s="213"/>
      <c r="J82" s="165"/>
      <c r="K82" s="166"/>
      <c r="L82" s="165"/>
      <c r="M82" s="166"/>
      <c r="N82" s="165"/>
      <c r="O82" s="166"/>
      <c r="P82" s="165"/>
      <c r="Q82" s="166"/>
      <c r="R82" s="48"/>
      <c r="S82" s="6" t="s">
        <v>20</v>
      </c>
      <c r="T82" s="3"/>
      <c r="U82" s="202"/>
      <c r="V82" s="203"/>
      <c r="W82" s="204"/>
    </row>
    <row r="83" spans="1:23" hidden="1" x14ac:dyDescent="0.3">
      <c r="A83" s="163"/>
      <c r="B83" s="5"/>
      <c r="C83" s="5"/>
      <c r="D83" s="4"/>
      <c r="E83" s="211"/>
      <c r="F83" s="212"/>
      <c r="G83" s="212"/>
      <c r="H83" s="212"/>
      <c r="I83" s="213"/>
      <c r="J83" s="165"/>
      <c r="K83" s="166"/>
      <c r="L83" s="165"/>
      <c r="M83" s="166"/>
      <c r="N83" s="165"/>
      <c r="O83" s="166"/>
      <c r="P83" s="165"/>
      <c r="Q83" s="166"/>
      <c r="R83" s="48"/>
      <c r="S83" s="6" t="s">
        <v>20</v>
      </c>
      <c r="T83" s="3"/>
      <c r="U83" s="205"/>
      <c r="V83" s="206"/>
      <c r="W83" s="207"/>
    </row>
    <row r="84" spans="1:23" hidden="1" x14ac:dyDescent="0.3">
      <c r="A84" s="163"/>
      <c r="B84" s="5"/>
      <c r="C84" s="5"/>
      <c r="D84" s="4"/>
      <c r="E84" s="211"/>
      <c r="F84" s="212"/>
      <c r="G84" s="212"/>
      <c r="H84" s="212"/>
      <c r="I84" s="213"/>
      <c r="J84" s="165"/>
      <c r="K84" s="166"/>
      <c r="L84" s="165"/>
      <c r="M84" s="166"/>
      <c r="N84" s="165"/>
      <c r="O84" s="166"/>
      <c r="P84" s="165"/>
      <c r="Q84" s="166"/>
      <c r="R84" s="48"/>
      <c r="S84" s="6" t="s">
        <v>20</v>
      </c>
      <c r="T84" s="3"/>
      <c r="U84" s="205"/>
      <c r="V84" s="206"/>
      <c r="W84" s="207"/>
    </row>
    <row r="85" spans="1:23" hidden="1" x14ac:dyDescent="0.3">
      <c r="A85" s="163"/>
      <c r="B85" s="5"/>
      <c r="C85" s="5"/>
      <c r="D85" s="4"/>
      <c r="E85" s="211"/>
      <c r="F85" s="212"/>
      <c r="G85" s="212"/>
      <c r="H85" s="212"/>
      <c r="I85" s="213"/>
      <c r="J85" s="165"/>
      <c r="K85" s="166"/>
      <c r="L85" s="165"/>
      <c r="M85" s="166"/>
      <c r="N85" s="165"/>
      <c r="O85" s="166"/>
      <c r="P85" s="165"/>
      <c r="Q85" s="166"/>
      <c r="R85" s="48"/>
      <c r="S85" s="6" t="s">
        <v>20</v>
      </c>
      <c r="T85" s="3"/>
      <c r="U85" s="205"/>
      <c r="V85" s="206"/>
      <c r="W85" s="207"/>
    </row>
    <row r="86" spans="1:23" hidden="1" x14ac:dyDescent="0.3">
      <c r="A86" s="163"/>
      <c r="B86" s="5"/>
      <c r="C86" s="5"/>
      <c r="D86" s="4"/>
      <c r="E86" s="211"/>
      <c r="F86" s="212"/>
      <c r="G86" s="212"/>
      <c r="H86" s="212"/>
      <c r="I86" s="213"/>
      <c r="J86" s="165"/>
      <c r="K86" s="166"/>
      <c r="L86" s="165"/>
      <c r="M86" s="166"/>
      <c r="N86" s="165"/>
      <c r="O86" s="166"/>
      <c r="P86" s="165"/>
      <c r="Q86" s="166"/>
      <c r="R86" s="48"/>
      <c r="S86" s="6" t="s">
        <v>20</v>
      </c>
      <c r="T86" s="3"/>
      <c r="U86" s="205"/>
      <c r="V86" s="206"/>
      <c r="W86" s="207"/>
    </row>
    <row r="87" spans="1:23" x14ac:dyDescent="0.3">
      <c r="A87" s="163"/>
      <c r="B87" s="5"/>
      <c r="C87" s="5"/>
      <c r="D87" s="4"/>
      <c r="E87" s="211"/>
      <c r="F87" s="212"/>
      <c r="G87" s="212"/>
      <c r="H87" s="212"/>
      <c r="I87" s="213"/>
      <c r="J87" s="165"/>
      <c r="K87" s="166"/>
      <c r="L87" s="165"/>
      <c r="M87" s="166"/>
      <c r="N87" s="165"/>
      <c r="O87" s="166"/>
      <c r="P87" s="165"/>
      <c r="Q87" s="166"/>
      <c r="R87" s="48"/>
      <c r="S87" s="6" t="s">
        <v>20</v>
      </c>
      <c r="T87" s="3"/>
      <c r="U87" s="205"/>
      <c r="V87" s="206"/>
      <c r="W87" s="207"/>
    </row>
    <row r="88" spans="1:23" hidden="1" x14ac:dyDescent="0.3">
      <c r="A88" s="163"/>
      <c r="B88" s="5"/>
      <c r="C88" s="5"/>
      <c r="D88" s="4"/>
      <c r="E88" s="211"/>
      <c r="F88" s="212"/>
      <c r="G88" s="212"/>
      <c r="H88" s="212"/>
      <c r="I88" s="213"/>
      <c r="J88" s="165"/>
      <c r="K88" s="166"/>
      <c r="L88" s="165"/>
      <c r="M88" s="166"/>
      <c r="N88" s="165"/>
      <c r="O88" s="166"/>
      <c r="P88" s="165"/>
      <c r="Q88" s="166"/>
      <c r="R88" s="48"/>
      <c r="S88" s="6"/>
      <c r="T88" s="3"/>
      <c r="U88" s="205"/>
      <c r="V88" s="206"/>
      <c r="W88" s="207"/>
    </row>
    <row r="89" spans="1:23" hidden="1" x14ac:dyDescent="0.3">
      <c r="A89" s="163"/>
      <c r="B89" s="5"/>
      <c r="C89" s="5"/>
      <c r="D89" s="4"/>
      <c r="E89" s="211"/>
      <c r="F89" s="212"/>
      <c r="G89" s="212"/>
      <c r="H89" s="212"/>
      <c r="I89" s="213"/>
      <c r="J89" s="165"/>
      <c r="K89" s="166"/>
      <c r="L89" s="165"/>
      <c r="M89" s="166"/>
      <c r="N89" s="165"/>
      <c r="O89" s="166"/>
      <c r="P89" s="165"/>
      <c r="Q89" s="166"/>
      <c r="R89" s="48"/>
      <c r="S89" s="6"/>
      <c r="T89" s="3"/>
      <c r="U89" s="205"/>
      <c r="V89" s="206"/>
      <c r="W89" s="207"/>
    </row>
    <row r="90" spans="1:23" hidden="1" x14ac:dyDescent="0.3">
      <c r="A90" s="163"/>
      <c r="B90" s="5"/>
      <c r="C90" s="5"/>
      <c r="D90" s="4"/>
      <c r="E90" s="211"/>
      <c r="F90" s="212"/>
      <c r="G90" s="212"/>
      <c r="H90" s="212"/>
      <c r="I90" s="213"/>
      <c r="J90" s="165"/>
      <c r="K90" s="166"/>
      <c r="L90" s="165"/>
      <c r="M90" s="166"/>
      <c r="N90" s="165"/>
      <c r="O90" s="166"/>
      <c r="P90" s="165"/>
      <c r="Q90" s="166"/>
      <c r="R90" s="48"/>
      <c r="S90" s="6"/>
      <c r="T90" s="3"/>
      <c r="U90" s="205"/>
      <c r="V90" s="206"/>
      <c r="W90" s="207"/>
    </row>
    <row r="91" spans="1:23" hidden="1" x14ac:dyDescent="0.3">
      <c r="A91" s="163"/>
      <c r="B91" s="5"/>
      <c r="C91" s="5"/>
      <c r="D91" s="4"/>
      <c r="E91" s="211"/>
      <c r="F91" s="212"/>
      <c r="G91" s="212"/>
      <c r="H91" s="212"/>
      <c r="I91" s="213"/>
      <c r="J91" s="165"/>
      <c r="K91" s="166"/>
      <c r="L91" s="165"/>
      <c r="M91" s="166"/>
      <c r="N91" s="165"/>
      <c r="O91" s="166"/>
      <c r="P91" s="165"/>
      <c r="Q91" s="166"/>
      <c r="R91" s="48"/>
      <c r="S91" s="6"/>
      <c r="T91" s="3"/>
      <c r="U91" s="205"/>
      <c r="V91" s="206"/>
      <c r="W91" s="207"/>
    </row>
    <row r="92" spans="1:23" hidden="1" x14ac:dyDescent="0.3">
      <c r="A92" s="163"/>
      <c r="B92" s="5"/>
      <c r="C92" s="5"/>
      <c r="D92" s="4"/>
      <c r="E92" s="250"/>
      <c r="F92" s="251"/>
      <c r="G92" s="251"/>
      <c r="H92" s="251"/>
      <c r="I92" s="252"/>
      <c r="J92" s="165"/>
      <c r="K92" s="166"/>
      <c r="L92" s="165"/>
      <c r="M92" s="166"/>
      <c r="N92" s="165"/>
      <c r="O92" s="166"/>
      <c r="P92" s="165"/>
      <c r="Q92" s="166"/>
      <c r="R92" s="48"/>
      <c r="S92" s="6"/>
      <c r="T92" s="3"/>
      <c r="U92" s="205"/>
      <c r="V92" s="206"/>
      <c r="W92" s="207"/>
    </row>
    <row r="93" spans="1:23" hidden="1" x14ac:dyDescent="0.3">
      <c r="A93" s="163"/>
      <c r="B93" s="5"/>
      <c r="C93" s="5"/>
      <c r="D93" s="4"/>
      <c r="E93" s="250"/>
      <c r="F93" s="251"/>
      <c r="G93" s="251"/>
      <c r="H93" s="251"/>
      <c r="I93" s="252"/>
      <c r="J93" s="165"/>
      <c r="K93" s="166"/>
      <c r="L93" s="165"/>
      <c r="M93" s="166"/>
      <c r="N93" s="165"/>
      <c r="O93" s="166"/>
      <c r="P93" s="165"/>
      <c r="Q93" s="166"/>
      <c r="R93" s="48"/>
      <c r="S93" s="6"/>
      <c r="T93" s="3"/>
      <c r="U93" s="205"/>
      <c r="V93" s="206"/>
      <c r="W93" s="207"/>
    </row>
    <row r="94" spans="1:23" x14ac:dyDescent="0.3">
      <c r="A94" s="163"/>
      <c r="B94" s="5"/>
      <c r="C94" s="5"/>
      <c r="D94" s="4"/>
      <c r="E94" s="211"/>
      <c r="F94" s="212"/>
      <c r="G94" s="212"/>
      <c r="H94" s="212"/>
      <c r="I94" s="213"/>
      <c r="J94" s="165"/>
      <c r="K94" s="166"/>
      <c r="L94" s="165"/>
      <c r="M94" s="166"/>
      <c r="N94" s="165"/>
      <c r="O94" s="166"/>
      <c r="P94" s="165"/>
      <c r="Q94" s="166"/>
      <c r="R94" s="48"/>
      <c r="S94" s="6" t="s">
        <v>20</v>
      </c>
      <c r="T94" s="3"/>
      <c r="U94" s="205"/>
      <c r="V94" s="206"/>
      <c r="W94" s="207"/>
    </row>
    <row r="95" spans="1:23" x14ac:dyDescent="0.3">
      <c r="A95" s="164"/>
      <c r="B95" s="19"/>
      <c r="C95" s="19"/>
      <c r="D95" s="20"/>
      <c r="E95" s="170" t="s">
        <v>0</v>
      </c>
      <c r="F95" s="171"/>
      <c r="G95" s="171"/>
      <c r="H95" s="171"/>
      <c r="I95" s="172"/>
      <c r="J95" s="173">
        <f>SUM(J82:J94)</f>
        <v>0</v>
      </c>
      <c r="K95" s="174"/>
      <c r="L95" s="173">
        <f>SUM(L82:L94)</f>
        <v>0</v>
      </c>
      <c r="M95" s="174"/>
      <c r="N95" s="173">
        <f>SUM(N82:N94)</f>
        <v>0</v>
      </c>
      <c r="O95" s="174"/>
      <c r="P95" s="173">
        <f>SUM(P82:P94)</f>
        <v>0</v>
      </c>
      <c r="Q95" s="174"/>
      <c r="R95" s="23">
        <f>SUM(R82:R94)</f>
        <v>0</v>
      </c>
      <c r="S95" s="24" t="s">
        <v>20</v>
      </c>
      <c r="T95" s="19"/>
      <c r="U95" s="208"/>
      <c r="V95" s="209"/>
      <c r="W95" s="210"/>
    </row>
    <row r="96" spans="1:23" x14ac:dyDescent="0.3">
      <c r="A96" s="180" t="s">
        <v>36</v>
      </c>
      <c r="B96" s="5"/>
      <c r="C96" s="5"/>
      <c r="D96" s="4"/>
      <c r="E96" s="211"/>
      <c r="F96" s="212"/>
      <c r="G96" s="212"/>
      <c r="H96" s="212"/>
      <c r="I96" s="213"/>
      <c r="J96" s="165"/>
      <c r="K96" s="166"/>
      <c r="L96" s="165"/>
      <c r="M96" s="166"/>
      <c r="N96" s="165"/>
      <c r="O96" s="166"/>
      <c r="P96" s="165"/>
      <c r="Q96" s="166"/>
      <c r="R96" s="48"/>
      <c r="S96" s="6" t="s">
        <v>20</v>
      </c>
      <c r="T96" s="3"/>
      <c r="U96" s="202"/>
      <c r="V96" s="203"/>
      <c r="W96" s="204"/>
    </row>
    <row r="97" spans="1:23" x14ac:dyDescent="0.3">
      <c r="A97" s="163"/>
      <c r="B97" s="5"/>
      <c r="C97" s="5"/>
      <c r="D97" s="4"/>
      <c r="E97" s="211"/>
      <c r="F97" s="212"/>
      <c r="G97" s="212"/>
      <c r="H97" s="212"/>
      <c r="I97" s="213"/>
      <c r="J97" s="165"/>
      <c r="K97" s="166"/>
      <c r="L97" s="165"/>
      <c r="M97" s="166"/>
      <c r="N97" s="165"/>
      <c r="O97" s="166"/>
      <c r="P97" s="165"/>
      <c r="Q97" s="166"/>
      <c r="R97" s="48"/>
      <c r="S97" s="6" t="s">
        <v>20</v>
      </c>
      <c r="T97" s="3"/>
      <c r="U97" s="205"/>
      <c r="V97" s="206"/>
      <c r="W97" s="207"/>
    </row>
    <row r="98" spans="1:23" x14ac:dyDescent="0.3">
      <c r="A98" s="163"/>
      <c r="B98" s="5"/>
      <c r="C98" s="5"/>
      <c r="D98" s="4"/>
      <c r="E98" s="211"/>
      <c r="F98" s="212"/>
      <c r="G98" s="212"/>
      <c r="H98" s="212"/>
      <c r="I98" s="213"/>
      <c r="J98" s="165"/>
      <c r="K98" s="166"/>
      <c r="L98" s="165"/>
      <c r="M98" s="166"/>
      <c r="N98" s="165"/>
      <c r="O98" s="166"/>
      <c r="P98" s="165"/>
      <c r="Q98" s="166"/>
      <c r="R98" s="48"/>
      <c r="S98" s="6" t="s">
        <v>20</v>
      </c>
      <c r="T98" s="3"/>
      <c r="U98" s="205"/>
      <c r="V98" s="206"/>
      <c r="W98" s="207"/>
    </row>
    <row r="99" spans="1:23" x14ac:dyDescent="0.3">
      <c r="A99" s="164"/>
      <c r="B99" s="19"/>
      <c r="C99" s="19"/>
      <c r="D99" s="20"/>
      <c r="E99" s="170" t="s">
        <v>0</v>
      </c>
      <c r="F99" s="171"/>
      <c r="G99" s="171"/>
      <c r="H99" s="171"/>
      <c r="I99" s="172"/>
      <c r="J99" s="173">
        <f>SUM(J96:J98)</f>
        <v>0</v>
      </c>
      <c r="K99" s="174"/>
      <c r="L99" s="173">
        <f>SUM(L96:L98)</f>
        <v>0</v>
      </c>
      <c r="M99" s="174"/>
      <c r="N99" s="173">
        <f>SUM(N96:N98)</f>
        <v>0</v>
      </c>
      <c r="O99" s="174"/>
      <c r="P99" s="173">
        <f>SUM(P96:P98)</f>
        <v>0</v>
      </c>
      <c r="Q99" s="174"/>
      <c r="R99" s="23">
        <f>SUM(R96:R98)</f>
        <v>0</v>
      </c>
      <c r="S99" s="24" t="s">
        <v>20</v>
      </c>
      <c r="T99" s="19"/>
      <c r="U99" s="208"/>
      <c r="V99" s="209"/>
      <c r="W99" s="210"/>
    </row>
    <row r="100" spans="1:23" x14ac:dyDescent="0.3">
      <c r="E100" s="28"/>
      <c r="F100" s="28"/>
      <c r="G100" s="28"/>
      <c r="H100" s="28"/>
      <c r="I100" s="28"/>
      <c r="J100" s="29"/>
      <c r="K100" s="29"/>
      <c r="L100" s="29"/>
      <c r="M100" s="29"/>
      <c r="N100" s="29"/>
      <c r="O100" s="29"/>
      <c r="P100" s="29"/>
      <c r="Q100" s="29"/>
    </row>
    <row r="101" spans="1:23" x14ac:dyDescent="0.3">
      <c r="E101" s="170" t="s">
        <v>28</v>
      </c>
      <c r="F101" s="171"/>
      <c r="G101" s="171"/>
      <c r="H101" s="171"/>
      <c r="I101" s="172"/>
      <c r="J101" s="175" t="s">
        <v>7</v>
      </c>
      <c r="K101" s="176"/>
      <c r="L101" s="175" t="s">
        <v>8</v>
      </c>
      <c r="M101" s="176"/>
      <c r="N101" s="175" t="s">
        <v>9</v>
      </c>
      <c r="O101" s="176"/>
      <c r="P101" s="175" t="s">
        <v>16</v>
      </c>
      <c r="Q101" s="176"/>
    </row>
    <row r="102" spans="1:23" s="2" customFormat="1" x14ac:dyDescent="0.3">
      <c r="E102" s="15"/>
      <c r="F102" s="15"/>
      <c r="G102" s="15"/>
      <c r="H102" s="15"/>
      <c r="I102" s="15"/>
      <c r="J102" s="30">
        <f>J77+J81</f>
        <v>0</v>
      </c>
      <c r="K102" s="31" t="s">
        <v>17</v>
      </c>
      <c r="L102" s="32">
        <f>L77+L81</f>
        <v>3625</v>
      </c>
      <c r="M102" s="31" t="s">
        <v>17</v>
      </c>
      <c r="N102" s="32">
        <f>N77+N81</f>
        <v>0</v>
      </c>
      <c r="O102" s="31" t="s">
        <v>17</v>
      </c>
      <c r="P102" s="33">
        <f>P95+P99</f>
        <v>0</v>
      </c>
      <c r="Q102" s="34" t="s">
        <v>17</v>
      </c>
    </row>
    <row r="103" spans="1:23" ht="24.45" customHeight="1" x14ac:dyDescent="0.3">
      <c r="E103" s="28"/>
      <c r="F103" s="28"/>
      <c r="G103" s="28"/>
      <c r="H103" s="28"/>
      <c r="I103" s="28"/>
      <c r="J103" s="167">
        <f>J102+L102+N102+P102</f>
        <v>3625</v>
      </c>
      <c r="K103" s="168"/>
      <c r="L103" s="168"/>
      <c r="M103" s="168"/>
      <c r="N103" s="168"/>
      <c r="O103" s="168"/>
      <c r="P103" s="168"/>
      <c r="Q103" s="169"/>
    </row>
  </sheetData>
  <mergeCells count="420">
    <mergeCell ref="E101:I101"/>
    <mergeCell ref="J101:K101"/>
    <mergeCell ref="L101:M101"/>
    <mergeCell ref="N101:O101"/>
    <mergeCell ref="P101:Q101"/>
    <mergeCell ref="J103:Q103"/>
    <mergeCell ref="N98:O98"/>
    <mergeCell ref="P98:Q98"/>
    <mergeCell ref="E99:I99"/>
    <mergeCell ref="J99:K99"/>
    <mergeCell ref="L99:M99"/>
    <mergeCell ref="N99:O99"/>
    <mergeCell ref="P99:Q99"/>
    <mergeCell ref="U96:W99"/>
    <mergeCell ref="E97:I97"/>
    <mergeCell ref="J97:K97"/>
    <mergeCell ref="L97:M97"/>
    <mergeCell ref="N97:O97"/>
    <mergeCell ref="P97:Q97"/>
    <mergeCell ref="E98:I98"/>
    <mergeCell ref="J98:K98"/>
    <mergeCell ref="L98:M98"/>
    <mergeCell ref="E95:I95"/>
    <mergeCell ref="J95:K95"/>
    <mergeCell ref="L95:M95"/>
    <mergeCell ref="N95:O95"/>
    <mergeCell ref="P95:Q95"/>
    <mergeCell ref="A96:A99"/>
    <mergeCell ref="E96:I96"/>
    <mergeCell ref="J96:K96"/>
    <mergeCell ref="L96:M96"/>
    <mergeCell ref="N96:O96"/>
    <mergeCell ref="A82:A95"/>
    <mergeCell ref="J85:K85"/>
    <mergeCell ref="L85:M85"/>
    <mergeCell ref="P96:Q96"/>
    <mergeCell ref="E93:I93"/>
    <mergeCell ref="J93:K93"/>
    <mergeCell ref="L93:M93"/>
    <mergeCell ref="N93:O93"/>
    <mergeCell ref="P93:Q93"/>
    <mergeCell ref="E94:I94"/>
    <mergeCell ref="J94:K94"/>
    <mergeCell ref="L94:M94"/>
    <mergeCell ref="N94:O94"/>
    <mergeCell ref="P94:Q94"/>
    <mergeCell ref="E91:I91"/>
    <mergeCell ref="J91:K91"/>
    <mergeCell ref="L91:M91"/>
    <mergeCell ref="N91:O91"/>
    <mergeCell ref="P91:Q91"/>
    <mergeCell ref="E92:I92"/>
    <mergeCell ref="J92:K92"/>
    <mergeCell ref="L92:M92"/>
    <mergeCell ref="N92:O92"/>
    <mergeCell ref="P92:Q92"/>
    <mergeCell ref="E89:I89"/>
    <mergeCell ref="J89:K89"/>
    <mergeCell ref="L89:M89"/>
    <mergeCell ref="N89:O89"/>
    <mergeCell ref="P89:Q89"/>
    <mergeCell ref="E90:I90"/>
    <mergeCell ref="J90:K90"/>
    <mergeCell ref="L90:M90"/>
    <mergeCell ref="N90:O90"/>
    <mergeCell ref="P90:Q90"/>
    <mergeCell ref="E87:I87"/>
    <mergeCell ref="J87:K87"/>
    <mergeCell ref="L87:M87"/>
    <mergeCell ref="N87:O87"/>
    <mergeCell ref="P87:Q87"/>
    <mergeCell ref="E88:I88"/>
    <mergeCell ref="J88:K88"/>
    <mergeCell ref="L88:M88"/>
    <mergeCell ref="N88:O88"/>
    <mergeCell ref="P88:Q88"/>
    <mergeCell ref="N85:O85"/>
    <mergeCell ref="P85:Q85"/>
    <mergeCell ref="E86:I86"/>
    <mergeCell ref="J86:K86"/>
    <mergeCell ref="L86:M86"/>
    <mergeCell ref="N86:O86"/>
    <mergeCell ref="P86:Q86"/>
    <mergeCell ref="U82:W95"/>
    <mergeCell ref="E83:I83"/>
    <mergeCell ref="J83:K83"/>
    <mergeCell ref="L83:M83"/>
    <mergeCell ref="N83:O83"/>
    <mergeCell ref="P83:Q83"/>
    <mergeCell ref="E84:I84"/>
    <mergeCell ref="J84:K84"/>
    <mergeCell ref="L84:M84"/>
    <mergeCell ref="N84:O84"/>
    <mergeCell ref="E82:I82"/>
    <mergeCell ref="J82:K82"/>
    <mergeCell ref="L82:M82"/>
    <mergeCell ref="N82:O82"/>
    <mergeCell ref="P82:Q82"/>
    <mergeCell ref="P84:Q84"/>
    <mergeCell ref="E85:I85"/>
    <mergeCell ref="U78:W81"/>
    <mergeCell ref="E79:I79"/>
    <mergeCell ref="J79:K79"/>
    <mergeCell ref="L79:M79"/>
    <mergeCell ref="N79:O79"/>
    <mergeCell ref="P79:Q79"/>
    <mergeCell ref="E80:I80"/>
    <mergeCell ref="J80:K80"/>
    <mergeCell ref="L80:M80"/>
    <mergeCell ref="P80:Q80"/>
    <mergeCell ref="E81:I81"/>
    <mergeCell ref="J81:K81"/>
    <mergeCell ref="L81:M81"/>
    <mergeCell ref="N81:O81"/>
    <mergeCell ref="P81:Q81"/>
    <mergeCell ref="P78:Q78"/>
    <mergeCell ref="A78:A81"/>
    <mergeCell ref="E78:I78"/>
    <mergeCell ref="J78:K78"/>
    <mergeCell ref="L78:M78"/>
    <mergeCell ref="N78:O78"/>
    <mergeCell ref="A70:A77"/>
    <mergeCell ref="J73:K73"/>
    <mergeCell ref="L73:M73"/>
    <mergeCell ref="N80:O80"/>
    <mergeCell ref="N73:O73"/>
    <mergeCell ref="P73:Q73"/>
    <mergeCell ref="E74:I74"/>
    <mergeCell ref="J74:K74"/>
    <mergeCell ref="L74:M74"/>
    <mergeCell ref="N74:O74"/>
    <mergeCell ref="P74:Q74"/>
    <mergeCell ref="E77:I77"/>
    <mergeCell ref="J77:K77"/>
    <mergeCell ref="L77:M77"/>
    <mergeCell ref="N77:O77"/>
    <mergeCell ref="P77:Q77"/>
    <mergeCell ref="E75:I75"/>
    <mergeCell ref="J75:K75"/>
    <mergeCell ref="L75:M75"/>
    <mergeCell ref="U70:W77"/>
    <mergeCell ref="E71:I71"/>
    <mergeCell ref="J71:K71"/>
    <mergeCell ref="L71:M71"/>
    <mergeCell ref="N71:O71"/>
    <mergeCell ref="P71:Q71"/>
    <mergeCell ref="E72:I72"/>
    <mergeCell ref="J72:K72"/>
    <mergeCell ref="L72:M72"/>
    <mergeCell ref="N72:O72"/>
    <mergeCell ref="E70:I70"/>
    <mergeCell ref="J70:K70"/>
    <mergeCell ref="L70:M70"/>
    <mergeCell ref="N70:O70"/>
    <mergeCell ref="P70:Q70"/>
    <mergeCell ref="P72:Q72"/>
    <mergeCell ref="E73:I73"/>
    <mergeCell ref="N75:O75"/>
    <mergeCell ref="P75:Q75"/>
    <mergeCell ref="E76:I76"/>
    <mergeCell ref="J76:K76"/>
    <mergeCell ref="L76:M76"/>
    <mergeCell ref="N76:O76"/>
    <mergeCell ref="P76:Q76"/>
    <mergeCell ref="E62:I62"/>
    <mergeCell ref="J62:K62"/>
    <mergeCell ref="L62:M62"/>
    <mergeCell ref="N62:O62"/>
    <mergeCell ref="P62:Q62"/>
    <mergeCell ref="R68:S69"/>
    <mergeCell ref="T68:T69"/>
    <mergeCell ref="U68:W69"/>
    <mergeCell ref="J69:K69"/>
    <mergeCell ref="L69:M69"/>
    <mergeCell ref="N69:O69"/>
    <mergeCell ref="P69:Q69"/>
    <mergeCell ref="J64:Q64"/>
    <mergeCell ref="Q66:S66"/>
    <mergeCell ref="T66:W66"/>
    <mergeCell ref="A67:W67"/>
    <mergeCell ref="A68:A69"/>
    <mergeCell ref="B68:B69"/>
    <mergeCell ref="C68:C69"/>
    <mergeCell ref="D68:D69"/>
    <mergeCell ref="E68:I69"/>
    <mergeCell ref="J68:Q68"/>
    <mergeCell ref="U51:W60"/>
    <mergeCell ref="J52:K52"/>
    <mergeCell ref="L52:M52"/>
    <mergeCell ref="N52:O52"/>
    <mergeCell ref="P52:Q52"/>
    <mergeCell ref="J53:K53"/>
    <mergeCell ref="L53:M53"/>
    <mergeCell ref="N53:O53"/>
    <mergeCell ref="P53:Q53"/>
    <mergeCell ref="J54:K54"/>
    <mergeCell ref="J58:K58"/>
    <mergeCell ref="L58:M58"/>
    <mergeCell ref="N58:O58"/>
    <mergeCell ref="P58:Q58"/>
    <mergeCell ref="J59:K59"/>
    <mergeCell ref="L59:M59"/>
    <mergeCell ref="N59:O59"/>
    <mergeCell ref="P59:Q59"/>
    <mergeCell ref="J56:K56"/>
    <mergeCell ref="L56:M56"/>
    <mergeCell ref="N56:O56"/>
    <mergeCell ref="P56:Q56"/>
    <mergeCell ref="J57:K57"/>
    <mergeCell ref="L57:M57"/>
    <mergeCell ref="A51:A60"/>
    <mergeCell ref="J51:K51"/>
    <mergeCell ref="L51:M51"/>
    <mergeCell ref="N51:O51"/>
    <mergeCell ref="P51:Q51"/>
    <mergeCell ref="L54:M54"/>
    <mergeCell ref="N54:O54"/>
    <mergeCell ref="P54:Q54"/>
    <mergeCell ref="J55:K55"/>
    <mergeCell ref="L55:M55"/>
    <mergeCell ref="N55:O55"/>
    <mergeCell ref="P55:Q55"/>
    <mergeCell ref="N57:O57"/>
    <mergeCell ref="P57:Q57"/>
    <mergeCell ref="E60:I60"/>
    <mergeCell ref="J60:K60"/>
    <mergeCell ref="L60:M60"/>
    <mergeCell ref="N60:O60"/>
    <mergeCell ref="P60:Q60"/>
    <mergeCell ref="U41:W50"/>
    <mergeCell ref="J42:K42"/>
    <mergeCell ref="L42:M42"/>
    <mergeCell ref="N42:O42"/>
    <mergeCell ref="P42:Q42"/>
    <mergeCell ref="J43:K43"/>
    <mergeCell ref="L43:M43"/>
    <mergeCell ref="N43:O43"/>
    <mergeCell ref="P43:Q43"/>
    <mergeCell ref="J44:K44"/>
    <mergeCell ref="J48:K48"/>
    <mergeCell ref="L48:M48"/>
    <mergeCell ref="N48:O48"/>
    <mergeCell ref="P48:Q48"/>
    <mergeCell ref="J49:K49"/>
    <mergeCell ref="L49:M49"/>
    <mergeCell ref="N49:O49"/>
    <mergeCell ref="P49:Q49"/>
    <mergeCell ref="J46:K46"/>
    <mergeCell ref="L46:M46"/>
    <mergeCell ref="N46:O46"/>
    <mergeCell ref="P46:Q46"/>
    <mergeCell ref="J47:K47"/>
    <mergeCell ref="L47:M47"/>
    <mergeCell ref="A41:A50"/>
    <mergeCell ref="J41:K41"/>
    <mergeCell ref="L41:M41"/>
    <mergeCell ref="N41:O41"/>
    <mergeCell ref="P41:Q41"/>
    <mergeCell ref="L44:M44"/>
    <mergeCell ref="N44:O44"/>
    <mergeCell ref="P44:Q44"/>
    <mergeCell ref="J45:K45"/>
    <mergeCell ref="L45:M45"/>
    <mergeCell ref="N45:O45"/>
    <mergeCell ref="P45:Q45"/>
    <mergeCell ref="N47:O47"/>
    <mergeCell ref="P47:Q47"/>
    <mergeCell ref="E50:I50"/>
    <mergeCell ref="J50:K50"/>
    <mergeCell ref="L50:M50"/>
    <mergeCell ref="N50:O50"/>
    <mergeCell ref="P50:Q50"/>
    <mergeCell ref="U31:W40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J38:K38"/>
    <mergeCell ref="L38:M38"/>
    <mergeCell ref="N38:O38"/>
    <mergeCell ref="P38:Q38"/>
    <mergeCell ref="J39:K39"/>
    <mergeCell ref="L39:M39"/>
    <mergeCell ref="N39:O39"/>
    <mergeCell ref="P39:Q39"/>
    <mergeCell ref="J36:K36"/>
    <mergeCell ref="L36:M36"/>
    <mergeCell ref="N36:O36"/>
    <mergeCell ref="P36:Q36"/>
    <mergeCell ref="J37:K37"/>
    <mergeCell ref="L37:M37"/>
    <mergeCell ref="A31:A40"/>
    <mergeCell ref="J31:K31"/>
    <mergeCell ref="L31:M31"/>
    <mergeCell ref="N31:O31"/>
    <mergeCell ref="P31:Q31"/>
    <mergeCell ref="G29:G30"/>
    <mergeCell ref="H29:H30"/>
    <mergeCell ref="I29:I30"/>
    <mergeCell ref="J29:Q29"/>
    <mergeCell ref="L34:M34"/>
    <mergeCell ref="N34:O34"/>
    <mergeCell ref="P34:Q34"/>
    <mergeCell ref="J35:K35"/>
    <mergeCell ref="L35:M35"/>
    <mergeCell ref="N35:O35"/>
    <mergeCell ref="P35:Q35"/>
    <mergeCell ref="N37:O37"/>
    <mergeCell ref="P37:Q37"/>
    <mergeCell ref="E40:I40"/>
    <mergeCell ref="J40:K40"/>
    <mergeCell ref="L40:M40"/>
    <mergeCell ref="N40:O40"/>
    <mergeCell ref="P40:Q4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1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W97"/>
  <sheetViews>
    <sheetView topLeftCell="A67" zoomScale="85" zoomScaleNormal="85" workbookViewId="0">
      <selection activeCell="X76" sqref="X76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28.3320312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45920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24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250052</v>
      </c>
      <c r="E7" s="12" t="s">
        <v>170</v>
      </c>
      <c r="F7" s="17">
        <v>582</v>
      </c>
      <c r="G7" s="17">
        <v>304</v>
      </c>
      <c r="H7" s="18">
        <v>0.7</v>
      </c>
      <c r="I7" s="17">
        <v>33000</v>
      </c>
      <c r="J7" s="165">
        <v>246</v>
      </c>
      <c r="K7" s="166"/>
      <c r="L7" s="165"/>
      <c r="M7" s="166"/>
      <c r="N7" s="165"/>
      <c r="O7" s="166"/>
      <c r="P7" s="165"/>
      <c r="Q7" s="166"/>
      <c r="R7" s="49">
        <v>10</v>
      </c>
      <c r="S7" s="14" t="s">
        <v>20</v>
      </c>
      <c r="T7" s="42" t="s">
        <v>111</v>
      </c>
      <c r="U7" s="202" t="s">
        <v>174</v>
      </c>
      <c r="V7" s="203"/>
      <c r="W7" s="204"/>
    </row>
    <row r="8" spans="1:23" x14ac:dyDescent="0.3">
      <c r="A8" s="181"/>
      <c r="B8" s="5"/>
      <c r="C8" s="5"/>
      <c r="D8" s="4">
        <v>250052</v>
      </c>
      <c r="E8" s="12" t="s">
        <v>159</v>
      </c>
      <c r="F8" s="17">
        <v>265</v>
      </c>
      <c r="G8" s="17">
        <v>304</v>
      </c>
      <c r="H8" s="18">
        <v>0.7</v>
      </c>
      <c r="I8" s="17">
        <v>33000</v>
      </c>
      <c r="J8" s="165">
        <v>123</v>
      </c>
      <c r="K8" s="166"/>
      <c r="L8" s="165"/>
      <c r="M8" s="166"/>
      <c r="N8" s="165"/>
      <c r="O8" s="166"/>
      <c r="P8" s="165"/>
      <c r="Q8" s="166"/>
      <c r="R8" s="49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250052</v>
      </c>
      <c r="E9" s="12" t="s">
        <v>171</v>
      </c>
      <c r="F9" s="17">
        <v>435</v>
      </c>
      <c r="G9" s="17">
        <v>304</v>
      </c>
      <c r="H9" s="18">
        <v>0.7</v>
      </c>
      <c r="I9" s="17">
        <v>33000</v>
      </c>
      <c r="J9" s="165">
        <v>792</v>
      </c>
      <c r="K9" s="166"/>
      <c r="L9" s="165"/>
      <c r="M9" s="166"/>
      <c r="N9" s="165"/>
      <c r="O9" s="166"/>
      <c r="P9" s="165"/>
      <c r="Q9" s="166"/>
      <c r="R9" s="49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>
        <v>250055</v>
      </c>
      <c r="E10" s="12" t="s">
        <v>171</v>
      </c>
      <c r="F10" s="17">
        <v>435</v>
      </c>
      <c r="G10" s="17">
        <v>304</v>
      </c>
      <c r="H10" s="18">
        <v>0.7</v>
      </c>
      <c r="I10" s="17">
        <v>33000</v>
      </c>
      <c r="J10" s="165">
        <v>816</v>
      </c>
      <c r="K10" s="166"/>
      <c r="L10" s="165"/>
      <c r="M10" s="166"/>
      <c r="N10" s="165"/>
      <c r="O10" s="166"/>
      <c r="P10" s="165"/>
      <c r="Q10" s="166"/>
      <c r="R10" s="49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>
        <v>250057</v>
      </c>
      <c r="E11" s="12" t="s">
        <v>171</v>
      </c>
      <c r="F11" s="17">
        <v>435</v>
      </c>
      <c r="G11" s="17">
        <v>304</v>
      </c>
      <c r="H11" s="18">
        <v>0.7</v>
      </c>
      <c r="I11" s="17">
        <v>33000</v>
      </c>
      <c r="J11" s="165">
        <v>396</v>
      </c>
      <c r="K11" s="166"/>
      <c r="L11" s="165"/>
      <c r="M11" s="166"/>
      <c r="N11" s="165"/>
      <c r="O11" s="166"/>
      <c r="P11" s="165"/>
      <c r="Q11" s="166"/>
      <c r="R11" s="49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>
        <v>250061</v>
      </c>
      <c r="E12" s="12" t="s">
        <v>171</v>
      </c>
      <c r="F12" s="17">
        <v>435</v>
      </c>
      <c r="G12" s="17">
        <v>304</v>
      </c>
      <c r="H12" s="18">
        <v>0.7</v>
      </c>
      <c r="I12" s="17">
        <v>33000</v>
      </c>
      <c r="J12" s="165">
        <v>540</v>
      </c>
      <c r="K12" s="166"/>
      <c r="L12" s="165"/>
      <c r="M12" s="166"/>
      <c r="N12" s="165"/>
      <c r="O12" s="166"/>
      <c r="P12" s="165"/>
      <c r="Q12" s="166"/>
      <c r="R12" s="49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>
        <v>250052</v>
      </c>
      <c r="E13" s="12" t="s">
        <v>172</v>
      </c>
      <c r="F13" s="17">
        <v>355</v>
      </c>
      <c r="G13" s="17">
        <v>304</v>
      </c>
      <c r="H13" s="18">
        <v>0.7</v>
      </c>
      <c r="I13" s="17">
        <v>33000</v>
      </c>
      <c r="J13" s="165">
        <v>360</v>
      </c>
      <c r="K13" s="166"/>
      <c r="L13" s="165"/>
      <c r="M13" s="166"/>
      <c r="N13" s="165"/>
      <c r="O13" s="166"/>
      <c r="P13" s="165"/>
      <c r="Q13" s="166"/>
      <c r="R13" s="49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>
        <v>0.58333333333333337</v>
      </c>
      <c r="D14" s="4" t="s">
        <v>102</v>
      </c>
      <c r="E14" s="12" t="s">
        <v>173</v>
      </c>
      <c r="F14" s="17">
        <v>293</v>
      </c>
      <c r="G14" s="17">
        <v>304</v>
      </c>
      <c r="H14" s="18">
        <v>0.7</v>
      </c>
      <c r="I14" s="17">
        <v>33000</v>
      </c>
      <c r="J14" s="165">
        <v>120</v>
      </c>
      <c r="K14" s="166"/>
      <c r="L14" s="165"/>
      <c r="M14" s="166"/>
      <c r="N14" s="165"/>
      <c r="O14" s="166"/>
      <c r="P14" s="165"/>
      <c r="Q14" s="166"/>
      <c r="R14" s="49"/>
      <c r="S14" s="14" t="s">
        <v>20</v>
      </c>
      <c r="T14" s="42"/>
      <c r="U14" s="205"/>
      <c r="V14" s="206"/>
      <c r="W14" s="207"/>
    </row>
    <row r="15" spans="1:23" hidden="1" x14ac:dyDescent="0.3">
      <c r="A15" s="181"/>
      <c r="B15" s="5"/>
      <c r="C15" s="5"/>
      <c r="D15" s="4"/>
      <c r="E15" s="12"/>
      <c r="F15" s="17"/>
      <c r="G15" s="17"/>
      <c r="H15" s="18"/>
      <c r="I15" s="17"/>
      <c r="J15" s="165"/>
      <c r="K15" s="166"/>
      <c r="L15" s="165"/>
      <c r="M15" s="166"/>
      <c r="N15" s="165"/>
      <c r="O15" s="166"/>
      <c r="P15" s="165"/>
      <c r="Q15" s="166"/>
      <c r="R15" s="49"/>
      <c r="S15" s="14" t="s">
        <v>20</v>
      </c>
      <c r="T15" s="42"/>
      <c r="U15" s="205"/>
      <c r="V15" s="206"/>
      <c r="W15" s="207"/>
    </row>
    <row r="16" spans="1:23" hidden="1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49"/>
      <c r="S16" s="14" t="s">
        <v>20</v>
      </c>
      <c r="T16" s="42"/>
      <c r="U16" s="205"/>
      <c r="V16" s="206"/>
      <c r="W16" s="207"/>
    </row>
    <row r="17" spans="1:23" hidden="1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49"/>
      <c r="S17" s="14" t="s">
        <v>20</v>
      </c>
      <c r="T17" s="42"/>
      <c r="U17" s="205"/>
      <c r="V17" s="206"/>
      <c r="W17" s="207"/>
    </row>
    <row r="18" spans="1:23" hidden="1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49"/>
      <c r="S18" s="14" t="s">
        <v>20</v>
      </c>
      <c r="T18" s="42"/>
      <c r="U18" s="205"/>
      <c r="V18" s="206"/>
      <c r="W18" s="207"/>
    </row>
    <row r="19" spans="1:23" hidden="1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49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49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3393</v>
      </c>
      <c r="K21" s="22" t="s">
        <v>17</v>
      </c>
      <c r="L21" s="21">
        <f>SUM(L7:M20)</f>
        <v>0</v>
      </c>
      <c r="M21" s="22" t="s">
        <v>17</v>
      </c>
      <c r="N21" s="21">
        <f>SUM(N7:O20)</f>
        <v>0</v>
      </c>
      <c r="O21" s="22" t="s">
        <v>17</v>
      </c>
      <c r="P21" s="21">
        <f>SUM(P7:Q20)</f>
        <v>0</v>
      </c>
      <c r="Q21" s="22" t="s">
        <v>17</v>
      </c>
      <c r="R21" s="23">
        <f>SUM(R7:R20)</f>
        <v>10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3393</v>
      </c>
      <c r="K24" s="31" t="s">
        <v>17</v>
      </c>
      <c r="L24" s="32">
        <f>L21</f>
        <v>0</v>
      </c>
      <c r="M24" s="31" t="s">
        <v>17</v>
      </c>
      <c r="N24" s="32">
        <f>N21</f>
        <v>0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3393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45920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>
        <v>0.58333333333333337</v>
      </c>
      <c r="D31" s="4">
        <v>210825</v>
      </c>
      <c r="E31" s="13" t="s">
        <v>161</v>
      </c>
      <c r="F31" s="40">
        <v>430</v>
      </c>
      <c r="G31" s="41">
        <v>0.6</v>
      </c>
      <c r="H31" s="40">
        <v>542</v>
      </c>
      <c r="I31" s="4" t="s">
        <v>49</v>
      </c>
      <c r="J31" s="165"/>
      <c r="K31" s="166"/>
      <c r="L31" s="165">
        <v>1050</v>
      </c>
      <c r="M31" s="166"/>
      <c r="N31" s="165"/>
      <c r="O31" s="166"/>
      <c r="P31" s="165"/>
      <c r="Q31" s="166"/>
      <c r="R31" s="49"/>
      <c r="S31" s="14" t="s">
        <v>20</v>
      </c>
      <c r="T31" s="42"/>
      <c r="U31" s="247" t="s">
        <v>175</v>
      </c>
      <c r="V31" s="248"/>
      <c r="W31" s="249"/>
    </row>
    <row r="32" spans="1:23" ht="14.55" hidden="1" customHeight="1" x14ac:dyDescent="0.3">
      <c r="A32" s="181"/>
      <c r="B32" s="5"/>
      <c r="C32" s="5"/>
      <c r="D32" s="4"/>
      <c r="E32" s="13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49"/>
      <c r="S32" s="14" t="s">
        <v>20</v>
      </c>
      <c r="T32" s="42"/>
      <c r="U32" s="247"/>
      <c r="V32" s="248"/>
      <c r="W32" s="249"/>
    </row>
    <row r="33" spans="1:23" ht="14.55" hidden="1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49"/>
      <c r="S33" s="14" t="s">
        <v>20</v>
      </c>
      <c r="T33" s="42"/>
      <c r="U33" s="247"/>
      <c r="V33" s="248"/>
      <c r="W33" s="249"/>
    </row>
    <row r="34" spans="1:23" ht="14.55" hidden="1" customHeight="1" x14ac:dyDescent="0.3">
      <c r="A34" s="181"/>
      <c r="B34" s="5"/>
      <c r="C34" s="5"/>
      <c r="D34" s="4"/>
      <c r="E34" s="13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49"/>
      <c r="S34" s="14" t="s">
        <v>20</v>
      </c>
      <c r="T34" s="42"/>
      <c r="U34" s="247"/>
      <c r="V34" s="248"/>
      <c r="W34" s="249"/>
    </row>
    <row r="35" spans="1:23" ht="14.55" hidden="1" customHeight="1" x14ac:dyDescent="0.3">
      <c r="A35" s="181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49"/>
      <c r="S35" s="14" t="s">
        <v>20</v>
      </c>
      <c r="T35" s="42"/>
      <c r="U35" s="247"/>
      <c r="V35" s="248"/>
      <c r="W35" s="249"/>
    </row>
    <row r="36" spans="1:23" ht="14.55" hidden="1" customHeight="1" x14ac:dyDescent="0.3">
      <c r="A36" s="181"/>
      <c r="B36" s="5"/>
      <c r="C36" s="5"/>
      <c r="D36" s="4"/>
      <c r="E36" s="13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49"/>
      <c r="S36" s="14" t="s">
        <v>20</v>
      </c>
      <c r="T36" s="42"/>
      <c r="U36" s="247"/>
      <c r="V36" s="248"/>
      <c r="W36" s="249"/>
    </row>
    <row r="37" spans="1:23" ht="14.55" hidden="1" customHeight="1" x14ac:dyDescent="0.3">
      <c r="A37" s="181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49"/>
      <c r="S37" s="14" t="s">
        <v>20</v>
      </c>
      <c r="T37" s="42"/>
      <c r="U37" s="247"/>
      <c r="V37" s="248"/>
      <c r="W37" s="249"/>
    </row>
    <row r="38" spans="1:23" ht="14.55" customHeight="1" x14ac:dyDescent="0.3">
      <c r="A38" s="181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49"/>
      <c r="S38" s="14" t="s">
        <v>20</v>
      </c>
      <c r="T38" s="42"/>
      <c r="U38" s="247"/>
      <c r="V38" s="248"/>
      <c r="W38" s="249"/>
    </row>
    <row r="39" spans="1:23" ht="14.55" customHeight="1" x14ac:dyDescent="0.3">
      <c r="A39" s="181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49"/>
      <c r="S39" s="14" t="s">
        <v>20</v>
      </c>
      <c r="T39" s="42"/>
      <c r="U39" s="247"/>
      <c r="V39" s="248"/>
      <c r="W39" s="249"/>
    </row>
    <row r="40" spans="1:23" ht="14.55" customHeight="1" x14ac:dyDescent="0.3">
      <c r="A40" s="182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SUM(J31:K39)</f>
        <v>0</v>
      </c>
      <c r="K40" s="174"/>
      <c r="L40" s="173">
        <f>SUM(L31:M39)</f>
        <v>1050</v>
      </c>
      <c r="M40" s="174"/>
      <c r="N40" s="173">
        <f>SUM(N31:O39)</f>
        <v>0</v>
      </c>
      <c r="O40" s="174"/>
      <c r="P40" s="173">
        <f>SUM(P31:Q39)</f>
        <v>0</v>
      </c>
      <c r="Q40" s="174"/>
      <c r="R40" s="23">
        <f>SUM(R31:R39)</f>
        <v>0</v>
      </c>
      <c r="S40" s="24" t="s">
        <v>20</v>
      </c>
      <c r="T40" s="19"/>
      <c r="U40" s="247"/>
      <c r="V40" s="248"/>
      <c r="W40" s="249"/>
    </row>
    <row r="41" spans="1:23" ht="14.55" customHeight="1" x14ac:dyDescent="0.3">
      <c r="A41" s="163" t="s">
        <v>34</v>
      </c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49"/>
      <c r="S41" s="14" t="s">
        <v>20</v>
      </c>
      <c r="T41" s="42"/>
      <c r="U41" s="177"/>
      <c r="V41" s="178"/>
      <c r="W41" s="179"/>
    </row>
    <row r="42" spans="1:23" ht="14.55" hidden="1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49"/>
      <c r="S42" s="14" t="s">
        <v>20</v>
      </c>
      <c r="T42" s="42"/>
      <c r="U42" s="177"/>
      <c r="V42" s="178"/>
      <c r="W42" s="179"/>
    </row>
    <row r="43" spans="1:23" ht="14.55" hidden="1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49"/>
      <c r="S43" s="14" t="s">
        <v>20</v>
      </c>
      <c r="T43" s="42"/>
      <c r="U43" s="177"/>
      <c r="V43" s="178"/>
      <c r="W43" s="179"/>
    </row>
    <row r="44" spans="1:23" ht="14.55" hidden="1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49"/>
      <c r="S44" s="14" t="s">
        <v>20</v>
      </c>
      <c r="T44" s="42"/>
      <c r="U44" s="177"/>
      <c r="V44" s="178"/>
      <c r="W44" s="179"/>
    </row>
    <row r="45" spans="1:23" ht="14.55" hidden="1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49"/>
      <c r="S45" s="14" t="s">
        <v>20</v>
      </c>
      <c r="T45" s="42"/>
      <c r="U45" s="177"/>
      <c r="V45" s="178"/>
      <c r="W45" s="179"/>
    </row>
    <row r="46" spans="1:23" ht="14.55" hidden="1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49"/>
      <c r="S46" s="14" t="s">
        <v>20</v>
      </c>
      <c r="T46" s="42"/>
      <c r="U46" s="177"/>
      <c r="V46" s="178"/>
      <c r="W46" s="179"/>
    </row>
    <row r="47" spans="1:23" ht="14.55" hidden="1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49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49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63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49"/>
      <c r="S49" s="14" t="s">
        <v>20</v>
      </c>
      <c r="T49" s="42"/>
      <c r="U49" s="177"/>
      <c r="V49" s="178"/>
      <c r="W49" s="179"/>
    </row>
    <row r="50" spans="1:23" ht="14.55" customHeight="1" x14ac:dyDescent="0.3">
      <c r="A50" s="164"/>
      <c r="B50" s="19"/>
      <c r="C50" s="19"/>
      <c r="D50" s="20"/>
      <c r="E50" s="170" t="s">
        <v>0</v>
      </c>
      <c r="F50" s="171"/>
      <c r="G50" s="171"/>
      <c r="H50" s="171"/>
      <c r="I50" s="172"/>
      <c r="J50" s="173">
        <f>SUM(J41:K49)</f>
        <v>0</v>
      </c>
      <c r="K50" s="174"/>
      <c r="L50" s="173">
        <f>SUM(L41:M49)</f>
        <v>0</v>
      </c>
      <c r="M50" s="174"/>
      <c r="N50" s="173">
        <f>SUM(N41:O49)</f>
        <v>0</v>
      </c>
      <c r="O50" s="174"/>
      <c r="P50" s="173">
        <f>SUM(P41:Q49)</f>
        <v>0</v>
      </c>
      <c r="Q50" s="174"/>
      <c r="R50" s="23">
        <f>SUM(R41:R49)</f>
        <v>0</v>
      </c>
      <c r="S50" s="24" t="s">
        <v>20</v>
      </c>
      <c r="T50" s="19"/>
      <c r="U50" s="177"/>
      <c r="V50" s="178"/>
      <c r="W50" s="179"/>
    </row>
    <row r="51" spans="1:23" ht="14.55" customHeight="1" x14ac:dyDescent="0.3">
      <c r="A51" s="163" t="s">
        <v>35</v>
      </c>
      <c r="B51" s="5">
        <v>0.33333333333333331</v>
      </c>
      <c r="C51" s="5">
        <v>0.58333333333333337</v>
      </c>
      <c r="D51" s="4">
        <v>100925</v>
      </c>
      <c r="E51" s="12" t="s">
        <v>176</v>
      </c>
      <c r="F51" s="40">
        <v>304</v>
      </c>
      <c r="G51" s="41">
        <v>0.9</v>
      </c>
      <c r="H51" s="40">
        <v>360</v>
      </c>
      <c r="I51" s="12"/>
      <c r="J51" s="165"/>
      <c r="K51" s="166"/>
      <c r="L51" s="165"/>
      <c r="M51" s="166"/>
      <c r="N51" s="165">
        <v>900</v>
      </c>
      <c r="O51" s="166"/>
      <c r="P51" s="165"/>
      <c r="Q51" s="166"/>
      <c r="R51" s="49">
        <v>15</v>
      </c>
      <c r="S51" s="14" t="s">
        <v>20</v>
      </c>
      <c r="T51" s="42" t="s">
        <v>177</v>
      </c>
      <c r="U51" s="247" t="s">
        <v>178</v>
      </c>
      <c r="V51" s="248"/>
      <c r="W51" s="249"/>
    </row>
    <row r="52" spans="1:23" ht="14.55" hidden="1" customHeight="1" x14ac:dyDescent="0.3">
      <c r="A52" s="163"/>
      <c r="B52" s="5"/>
      <c r="C52" s="5"/>
      <c r="D52" s="4"/>
      <c r="E52" s="12"/>
      <c r="F52" s="40"/>
      <c r="G52" s="41"/>
      <c r="H52" s="40"/>
      <c r="I52" s="12"/>
      <c r="J52" s="165"/>
      <c r="K52" s="166"/>
      <c r="L52" s="165"/>
      <c r="M52" s="166"/>
      <c r="N52" s="165"/>
      <c r="O52" s="166"/>
      <c r="P52" s="165"/>
      <c r="Q52" s="166"/>
      <c r="R52" s="49"/>
      <c r="S52" s="14" t="s">
        <v>20</v>
      </c>
      <c r="T52" s="42"/>
      <c r="U52" s="247"/>
      <c r="V52" s="248"/>
      <c r="W52" s="249"/>
    </row>
    <row r="53" spans="1:23" ht="14.55" hidden="1" customHeight="1" x14ac:dyDescent="0.3">
      <c r="A53" s="163"/>
      <c r="B53" s="5"/>
      <c r="C53" s="5"/>
      <c r="D53" s="4"/>
      <c r="E53" s="12"/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49"/>
      <c r="S53" s="14" t="s">
        <v>20</v>
      </c>
      <c r="T53" s="42"/>
      <c r="U53" s="247"/>
      <c r="V53" s="248"/>
      <c r="W53" s="249"/>
    </row>
    <row r="54" spans="1:23" ht="14.55" hidden="1" customHeight="1" x14ac:dyDescent="0.3">
      <c r="A54" s="163"/>
      <c r="B54" s="5"/>
      <c r="C54" s="5"/>
      <c r="D54" s="4"/>
      <c r="E54" s="12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49"/>
      <c r="S54" s="14" t="s">
        <v>20</v>
      </c>
      <c r="T54" s="42"/>
      <c r="U54" s="247"/>
      <c r="V54" s="248"/>
      <c r="W54" s="249"/>
    </row>
    <row r="55" spans="1:23" ht="14.55" hidden="1" customHeight="1" x14ac:dyDescent="0.3">
      <c r="A55" s="163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49"/>
      <c r="S55" s="14" t="s">
        <v>20</v>
      </c>
      <c r="T55" s="42"/>
      <c r="U55" s="247"/>
      <c r="V55" s="248"/>
      <c r="W55" s="249"/>
    </row>
    <row r="56" spans="1:23" ht="14.55" hidden="1" customHeight="1" x14ac:dyDescent="0.3">
      <c r="A56" s="163"/>
      <c r="B56" s="5"/>
      <c r="C56" s="5"/>
      <c r="D56" s="4"/>
      <c r="E56" s="12"/>
      <c r="F56" s="40"/>
      <c r="G56" s="41"/>
      <c r="H56" s="40"/>
      <c r="I56" s="12"/>
      <c r="J56" s="165"/>
      <c r="K56" s="166"/>
      <c r="L56" s="165"/>
      <c r="M56" s="166"/>
      <c r="N56" s="165"/>
      <c r="O56" s="166"/>
      <c r="P56" s="165"/>
      <c r="Q56" s="166"/>
      <c r="R56" s="49"/>
      <c r="S56" s="14" t="s">
        <v>20</v>
      </c>
      <c r="T56" s="42"/>
      <c r="U56" s="247"/>
      <c r="V56" s="248"/>
      <c r="W56" s="249"/>
    </row>
    <row r="57" spans="1:23" ht="14.55" hidden="1" customHeight="1" x14ac:dyDescent="0.3">
      <c r="A57" s="163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49"/>
      <c r="S57" s="14" t="s">
        <v>20</v>
      </c>
      <c r="T57" s="42"/>
      <c r="U57" s="247"/>
      <c r="V57" s="248"/>
      <c r="W57" s="249"/>
    </row>
    <row r="58" spans="1:23" ht="14.55" customHeight="1" x14ac:dyDescent="0.3">
      <c r="A58" s="163"/>
      <c r="B58" s="5"/>
      <c r="C58" s="5"/>
      <c r="D58" s="4"/>
      <c r="E58" s="12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49"/>
      <c r="S58" s="14" t="s">
        <v>20</v>
      </c>
      <c r="T58" s="42"/>
      <c r="U58" s="247"/>
      <c r="V58" s="248"/>
      <c r="W58" s="249"/>
    </row>
    <row r="59" spans="1:23" ht="14.55" customHeight="1" x14ac:dyDescent="0.3">
      <c r="A59" s="163"/>
      <c r="B59" s="5"/>
      <c r="C59" s="5"/>
      <c r="D59" s="4"/>
      <c r="E59" s="12"/>
      <c r="F59" s="40"/>
      <c r="G59" s="41"/>
      <c r="H59" s="40"/>
      <c r="I59" s="12"/>
      <c r="J59" s="165"/>
      <c r="K59" s="166"/>
      <c r="L59" s="165"/>
      <c r="M59" s="166"/>
      <c r="N59" s="165"/>
      <c r="O59" s="166"/>
      <c r="P59" s="165"/>
      <c r="Q59" s="166"/>
      <c r="R59" s="49"/>
      <c r="S59" s="14" t="s">
        <v>20</v>
      </c>
      <c r="T59" s="42"/>
      <c r="U59" s="247"/>
      <c r="V59" s="248"/>
      <c r="W59" s="249"/>
    </row>
    <row r="60" spans="1:23" ht="14.55" customHeight="1" x14ac:dyDescent="0.3">
      <c r="A60" s="164"/>
      <c r="B60" s="19"/>
      <c r="C60" s="19"/>
      <c r="D60" s="20"/>
      <c r="E60" s="170" t="s">
        <v>0</v>
      </c>
      <c r="F60" s="171"/>
      <c r="G60" s="171"/>
      <c r="H60" s="171"/>
      <c r="I60" s="172"/>
      <c r="J60" s="173">
        <f>SUM(J51:K59)</f>
        <v>0</v>
      </c>
      <c r="K60" s="174"/>
      <c r="L60" s="173">
        <f>SUM(L51:M59)</f>
        <v>0</v>
      </c>
      <c r="M60" s="174"/>
      <c r="N60" s="173">
        <f>SUM(N51:O59)</f>
        <v>900</v>
      </c>
      <c r="O60" s="174"/>
      <c r="P60" s="173">
        <f>SUM(P51:Q59)</f>
        <v>0</v>
      </c>
      <c r="Q60" s="174"/>
      <c r="R60" s="23">
        <f>SUM(R51:R59)</f>
        <v>15</v>
      </c>
      <c r="S60" s="24" t="s">
        <v>20</v>
      </c>
      <c r="T60" s="19"/>
      <c r="U60" s="247"/>
      <c r="V60" s="248"/>
      <c r="W60" s="249"/>
    </row>
    <row r="61" spans="1:23" ht="14.55" customHeight="1" x14ac:dyDescent="0.3">
      <c r="A61" s="27"/>
      <c r="B61" s="27"/>
      <c r="C61" s="27"/>
      <c r="D61" s="27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27"/>
      <c r="S61" s="27"/>
      <c r="T61" s="39"/>
      <c r="U61" s="39"/>
      <c r="V61" s="39"/>
      <c r="W61" s="39"/>
    </row>
    <row r="62" spans="1:23" x14ac:dyDescent="0.3">
      <c r="E62" s="170" t="s">
        <v>31</v>
      </c>
      <c r="F62" s="171"/>
      <c r="G62" s="171"/>
      <c r="H62" s="171"/>
      <c r="I62" s="172"/>
      <c r="J62" s="175" t="s">
        <v>7</v>
      </c>
      <c r="K62" s="176"/>
      <c r="L62" s="175" t="s">
        <v>8</v>
      </c>
      <c r="M62" s="176"/>
      <c r="N62" s="175" t="s">
        <v>9</v>
      </c>
      <c r="O62" s="176"/>
      <c r="P62" s="175" t="s">
        <v>16</v>
      </c>
      <c r="Q62" s="176"/>
    </row>
    <row r="63" spans="1:23" s="2" customFormat="1" x14ac:dyDescent="0.3">
      <c r="E63" s="15"/>
      <c r="F63" s="15"/>
      <c r="G63" s="15"/>
      <c r="H63" s="15"/>
      <c r="I63" s="15"/>
      <c r="J63" s="30">
        <f>J40+J50+J60</f>
        <v>0</v>
      </c>
      <c r="K63" s="31" t="s">
        <v>17</v>
      </c>
      <c r="L63" s="30">
        <f>L40+L50+L60</f>
        <v>1050</v>
      </c>
      <c r="M63" s="31" t="s">
        <v>17</v>
      </c>
      <c r="N63" s="30">
        <f>N40+N50+N60</f>
        <v>900</v>
      </c>
      <c r="O63" s="31" t="s">
        <v>17</v>
      </c>
      <c r="P63" s="30">
        <f>P40+P50+P60</f>
        <v>0</v>
      </c>
      <c r="Q63" s="34" t="s">
        <v>17</v>
      </c>
    </row>
    <row r="64" spans="1:23" ht="24.45" customHeight="1" x14ac:dyDescent="0.3">
      <c r="E64" s="28"/>
      <c r="F64" s="28"/>
      <c r="G64" s="28"/>
      <c r="H64" s="28"/>
      <c r="I64" s="28"/>
      <c r="J64" s="167">
        <f>J63+L63+N63+P63</f>
        <v>1950</v>
      </c>
      <c r="K64" s="168"/>
      <c r="L64" s="168"/>
      <c r="M64" s="168"/>
      <c r="N64" s="168"/>
      <c r="O64" s="168"/>
      <c r="P64" s="168"/>
      <c r="Q64" s="169"/>
    </row>
    <row r="65" spans="1:23" ht="30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 spans="1:23" s="37" customFormat="1" ht="19.95" customHeight="1" x14ac:dyDescent="0.4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214" t="s">
        <v>14</v>
      </c>
      <c r="R66" s="215"/>
      <c r="S66" s="216"/>
      <c r="T66" s="184">
        <f>T3</f>
        <v>45920</v>
      </c>
      <c r="U66" s="185"/>
      <c r="V66" s="185"/>
      <c r="W66" s="186"/>
    </row>
    <row r="67" spans="1:23" s="16" customFormat="1" ht="30" customHeight="1" x14ac:dyDescent="0.3">
      <c r="A67" s="187" t="s">
        <v>26</v>
      </c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9"/>
      <c r="Q67" s="189"/>
      <c r="R67" s="189"/>
      <c r="S67" s="189"/>
      <c r="T67" s="188"/>
      <c r="U67" s="188"/>
      <c r="V67" s="188"/>
      <c r="W67" s="190"/>
    </row>
    <row r="68" spans="1:23" s="26" customFormat="1" ht="13.8" x14ac:dyDescent="0.3">
      <c r="A68" s="191" t="s">
        <v>1</v>
      </c>
      <c r="B68" s="192" t="s">
        <v>2</v>
      </c>
      <c r="C68" s="192" t="s">
        <v>3</v>
      </c>
      <c r="D68" s="192" t="s">
        <v>4</v>
      </c>
      <c r="E68" s="193" t="s">
        <v>5</v>
      </c>
      <c r="F68" s="197"/>
      <c r="G68" s="197"/>
      <c r="H68" s="197"/>
      <c r="I68" s="198"/>
      <c r="J68" s="193" t="s">
        <v>6</v>
      </c>
      <c r="K68" s="197"/>
      <c r="L68" s="197"/>
      <c r="M68" s="197"/>
      <c r="N68" s="197"/>
      <c r="O68" s="197"/>
      <c r="P68" s="197"/>
      <c r="Q68" s="198"/>
      <c r="R68" s="193" t="s">
        <v>10</v>
      </c>
      <c r="S68" s="198"/>
      <c r="T68" s="191" t="s">
        <v>11</v>
      </c>
      <c r="U68" s="191" t="s">
        <v>12</v>
      </c>
      <c r="V68" s="191"/>
      <c r="W68" s="191"/>
    </row>
    <row r="69" spans="1:23" s="26" customFormat="1" ht="13.8" x14ac:dyDescent="0.3">
      <c r="A69" s="191"/>
      <c r="B69" s="192"/>
      <c r="C69" s="192"/>
      <c r="D69" s="192"/>
      <c r="E69" s="194"/>
      <c r="F69" s="217"/>
      <c r="G69" s="217"/>
      <c r="H69" s="217"/>
      <c r="I69" s="199"/>
      <c r="J69" s="200" t="s">
        <v>7</v>
      </c>
      <c r="K69" s="201"/>
      <c r="L69" s="200" t="s">
        <v>8</v>
      </c>
      <c r="M69" s="201"/>
      <c r="N69" s="200" t="s">
        <v>9</v>
      </c>
      <c r="O69" s="201"/>
      <c r="P69" s="200" t="s">
        <v>16</v>
      </c>
      <c r="Q69" s="201"/>
      <c r="R69" s="194"/>
      <c r="S69" s="199"/>
      <c r="T69" s="191"/>
      <c r="U69" s="191"/>
      <c r="V69" s="191"/>
      <c r="W69" s="191"/>
    </row>
    <row r="70" spans="1:23" x14ac:dyDescent="0.3">
      <c r="A70" s="180" t="s">
        <v>13</v>
      </c>
      <c r="B70" s="5">
        <v>0.33333333333333331</v>
      </c>
      <c r="C70" s="5"/>
      <c r="D70" s="4">
        <v>250074</v>
      </c>
      <c r="E70" s="211" t="s">
        <v>202</v>
      </c>
      <c r="F70" s="212"/>
      <c r="G70" s="212"/>
      <c r="H70" s="212"/>
      <c r="I70" s="213"/>
      <c r="J70" s="165"/>
      <c r="K70" s="166"/>
      <c r="L70" s="165"/>
      <c r="M70" s="166"/>
      <c r="N70" s="165">
        <v>505</v>
      </c>
      <c r="O70" s="166"/>
      <c r="P70" s="165"/>
      <c r="Q70" s="166"/>
      <c r="R70" s="49">
        <v>30</v>
      </c>
      <c r="S70" s="6" t="s">
        <v>20</v>
      </c>
      <c r="T70" s="3" t="s">
        <v>93</v>
      </c>
      <c r="U70" s="202"/>
      <c r="V70" s="203"/>
      <c r="W70" s="204"/>
    </row>
    <row r="71" spans="1:23" x14ac:dyDescent="0.3">
      <c r="A71" s="163"/>
      <c r="B71" s="5"/>
      <c r="C71" s="5"/>
      <c r="D71" s="53">
        <v>250041</v>
      </c>
      <c r="E71" s="211" t="s">
        <v>181</v>
      </c>
      <c r="F71" s="212"/>
      <c r="G71" s="212"/>
      <c r="H71" s="212"/>
      <c r="I71" s="213"/>
      <c r="J71" s="165">
        <v>507</v>
      </c>
      <c r="K71" s="166"/>
      <c r="L71" s="165"/>
      <c r="M71" s="166"/>
      <c r="N71" s="165"/>
      <c r="O71" s="166"/>
      <c r="P71" s="165"/>
      <c r="Q71" s="166"/>
      <c r="R71" s="49"/>
      <c r="S71" s="6" t="s">
        <v>20</v>
      </c>
      <c r="T71" s="3"/>
      <c r="U71" s="205"/>
      <c r="V71" s="206"/>
      <c r="W71" s="207"/>
    </row>
    <row r="72" spans="1:23" x14ac:dyDescent="0.3">
      <c r="A72" s="163"/>
      <c r="B72" s="5"/>
      <c r="C72" s="5"/>
      <c r="D72" s="53">
        <v>250041</v>
      </c>
      <c r="E72" s="211" t="s">
        <v>183</v>
      </c>
      <c r="F72" s="212"/>
      <c r="G72" s="212"/>
      <c r="H72" s="212"/>
      <c r="I72" s="213"/>
      <c r="J72" s="165">
        <v>508</v>
      </c>
      <c r="K72" s="166"/>
      <c r="L72" s="165"/>
      <c r="M72" s="166"/>
      <c r="N72" s="165"/>
      <c r="O72" s="166"/>
      <c r="P72" s="165"/>
      <c r="Q72" s="166"/>
      <c r="R72" s="49"/>
      <c r="S72" s="6" t="s">
        <v>20</v>
      </c>
      <c r="T72" s="3"/>
      <c r="U72" s="205"/>
      <c r="V72" s="206"/>
      <c r="W72" s="207"/>
    </row>
    <row r="73" spans="1:23" x14ac:dyDescent="0.3">
      <c r="A73" s="163"/>
      <c r="B73" s="5"/>
      <c r="C73" s="5"/>
      <c r="D73" s="53">
        <v>250041</v>
      </c>
      <c r="E73" s="211" t="s">
        <v>182</v>
      </c>
      <c r="F73" s="212"/>
      <c r="G73" s="212"/>
      <c r="H73" s="212"/>
      <c r="I73" s="213"/>
      <c r="J73" s="165">
        <v>515</v>
      </c>
      <c r="K73" s="166"/>
      <c r="L73" s="165"/>
      <c r="M73" s="166"/>
      <c r="N73" s="165"/>
      <c r="O73" s="166"/>
      <c r="P73" s="165"/>
      <c r="Q73" s="166"/>
      <c r="R73" s="49"/>
      <c r="S73" s="6" t="s">
        <v>20</v>
      </c>
      <c r="T73" s="3"/>
      <c r="U73" s="205"/>
      <c r="V73" s="206"/>
      <c r="W73" s="207"/>
    </row>
    <row r="74" spans="1:23" x14ac:dyDescent="0.3">
      <c r="A74" s="163"/>
      <c r="B74" s="5"/>
      <c r="C74" s="5"/>
      <c r="D74" s="53">
        <v>250041</v>
      </c>
      <c r="E74" s="211" t="s">
        <v>184</v>
      </c>
      <c r="F74" s="212"/>
      <c r="G74" s="212"/>
      <c r="H74" s="212"/>
      <c r="I74" s="213"/>
      <c r="J74" s="165">
        <v>515</v>
      </c>
      <c r="K74" s="166"/>
      <c r="L74" s="165"/>
      <c r="M74" s="166"/>
      <c r="N74" s="165"/>
      <c r="O74" s="166"/>
      <c r="P74" s="165"/>
      <c r="Q74" s="166"/>
      <c r="R74" s="49"/>
      <c r="S74" s="6" t="s">
        <v>20</v>
      </c>
      <c r="T74" s="3"/>
      <c r="U74" s="205"/>
      <c r="V74" s="206"/>
      <c r="W74" s="207"/>
    </row>
    <row r="75" spans="1:23" x14ac:dyDescent="0.3">
      <c r="A75" s="163"/>
      <c r="B75" s="5"/>
      <c r="C75" s="5"/>
      <c r="D75" s="4"/>
      <c r="E75" s="211"/>
      <c r="F75" s="212"/>
      <c r="G75" s="212"/>
      <c r="H75" s="212"/>
      <c r="I75" s="213"/>
      <c r="J75" s="165"/>
      <c r="K75" s="166"/>
      <c r="L75" s="165"/>
      <c r="M75" s="166"/>
      <c r="N75" s="165"/>
      <c r="O75" s="166"/>
      <c r="P75" s="165"/>
      <c r="Q75" s="166"/>
      <c r="R75" s="49"/>
      <c r="S75" s="6" t="s">
        <v>20</v>
      </c>
      <c r="T75" s="3"/>
      <c r="U75" s="205"/>
      <c r="V75" s="206"/>
      <c r="W75" s="207"/>
    </row>
    <row r="76" spans="1:23" x14ac:dyDescent="0.3">
      <c r="A76" s="163"/>
      <c r="B76" s="5"/>
      <c r="C76" s="5"/>
      <c r="D76" s="4"/>
      <c r="E76" s="211"/>
      <c r="F76" s="212"/>
      <c r="G76" s="212"/>
      <c r="H76" s="212"/>
      <c r="I76" s="213"/>
      <c r="J76" s="165"/>
      <c r="K76" s="166"/>
      <c r="L76" s="165"/>
      <c r="M76" s="166"/>
      <c r="N76" s="165"/>
      <c r="O76" s="166"/>
      <c r="P76" s="165"/>
      <c r="Q76" s="166"/>
      <c r="R76" s="49"/>
      <c r="S76" s="6" t="s">
        <v>20</v>
      </c>
      <c r="T76" s="3"/>
      <c r="U76" s="205"/>
      <c r="V76" s="206"/>
      <c r="W76" s="207"/>
    </row>
    <row r="77" spans="1:23" x14ac:dyDescent="0.3">
      <c r="A77" s="164"/>
      <c r="B77" s="19"/>
      <c r="C77" s="19"/>
      <c r="D77" s="20"/>
      <c r="E77" s="170" t="s">
        <v>0</v>
      </c>
      <c r="F77" s="171"/>
      <c r="G77" s="171"/>
      <c r="H77" s="171"/>
      <c r="I77" s="172"/>
      <c r="J77" s="173">
        <f>SUM(J70:J76)</f>
        <v>2045</v>
      </c>
      <c r="K77" s="174"/>
      <c r="L77" s="173">
        <f>SUM(L70:L76)</f>
        <v>0</v>
      </c>
      <c r="M77" s="174"/>
      <c r="N77" s="173">
        <f>SUM(N70:N76)</f>
        <v>505</v>
      </c>
      <c r="O77" s="174"/>
      <c r="P77" s="173">
        <f>SUM(P70:P76)</f>
        <v>0</v>
      </c>
      <c r="Q77" s="174"/>
      <c r="R77" s="23">
        <f>SUM(R70:R76)</f>
        <v>30</v>
      </c>
      <c r="S77" s="24" t="s">
        <v>20</v>
      </c>
      <c r="T77" s="19"/>
      <c r="U77" s="208"/>
      <c r="V77" s="209"/>
      <c r="W77" s="210"/>
    </row>
    <row r="78" spans="1:23" x14ac:dyDescent="0.3">
      <c r="A78" s="180" t="s">
        <v>15</v>
      </c>
      <c r="B78" s="5"/>
      <c r="C78" s="5"/>
      <c r="D78" s="4"/>
      <c r="E78" s="211"/>
      <c r="F78" s="212"/>
      <c r="G78" s="212"/>
      <c r="H78" s="212"/>
      <c r="I78" s="213"/>
      <c r="J78" s="165"/>
      <c r="K78" s="166"/>
      <c r="L78" s="165"/>
      <c r="M78" s="166"/>
      <c r="N78" s="165"/>
      <c r="O78" s="166"/>
      <c r="P78" s="165"/>
      <c r="Q78" s="166"/>
      <c r="R78" s="49"/>
      <c r="S78" s="6" t="s">
        <v>20</v>
      </c>
      <c r="T78" s="3"/>
      <c r="U78" s="202"/>
      <c r="V78" s="203"/>
      <c r="W78" s="204"/>
    </row>
    <row r="79" spans="1:23" x14ac:dyDescent="0.3">
      <c r="A79" s="163"/>
      <c r="B79" s="5"/>
      <c r="C79" s="5"/>
      <c r="D79" s="4"/>
      <c r="E79" s="211"/>
      <c r="F79" s="212"/>
      <c r="G79" s="212"/>
      <c r="H79" s="212"/>
      <c r="I79" s="213"/>
      <c r="J79" s="165"/>
      <c r="K79" s="166"/>
      <c r="L79" s="165"/>
      <c r="M79" s="166"/>
      <c r="N79" s="165"/>
      <c r="O79" s="166"/>
      <c r="P79" s="165"/>
      <c r="Q79" s="166"/>
      <c r="R79" s="49"/>
      <c r="S79" s="6" t="s">
        <v>20</v>
      </c>
      <c r="T79" s="3"/>
      <c r="U79" s="205"/>
      <c r="V79" s="206"/>
      <c r="W79" s="207"/>
    </row>
    <row r="80" spans="1:23" x14ac:dyDescent="0.3">
      <c r="A80" s="163"/>
      <c r="B80" s="5"/>
      <c r="C80" s="5"/>
      <c r="D80" s="4"/>
      <c r="E80" s="211"/>
      <c r="F80" s="212"/>
      <c r="G80" s="212"/>
      <c r="H80" s="212"/>
      <c r="I80" s="213"/>
      <c r="J80" s="165"/>
      <c r="K80" s="166"/>
      <c r="L80" s="165"/>
      <c r="M80" s="166"/>
      <c r="N80" s="165"/>
      <c r="O80" s="166"/>
      <c r="P80" s="165"/>
      <c r="Q80" s="166"/>
      <c r="R80" s="49"/>
      <c r="S80" s="6" t="s">
        <v>20</v>
      </c>
      <c r="T80" s="3"/>
      <c r="U80" s="205"/>
      <c r="V80" s="206"/>
      <c r="W80" s="207"/>
    </row>
    <row r="81" spans="1:23" x14ac:dyDescent="0.3">
      <c r="A81" s="164"/>
      <c r="B81" s="19"/>
      <c r="C81" s="19"/>
      <c r="D81" s="20"/>
      <c r="E81" s="170" t="s">
        <v>0</v>
      </c>
      <c r="F81" s="171"/>
      <c r="G81" s="171"/>
      <c r="H81" s="171"/>
      <c r="I81" s="172"/>
      <c r="J81" s="173">
        <f>SUM(J78:J80)</f>
        <v>0</v>
      </c>
      <c r="K81" s="174"/>
      <c r="L81" s="173">
        <f>SUM(L78:L80)</f>
        <v>0</v>
      </c>
      <c r="M81" s="174"/>
      <c r="N81" s="173">
        <f>SUM(N78:N80)</f>
        <v>0</v>
      </c>
      <c r="O81" s="174"/>
      <c r="P81" s="173">
        <f>SUM(P73:P80)</f>
        <v>0</v>
      </c>
      <c r="Q81" s="174"/>
      <c r="R81" s="23">
        <f>SUM(R78:R80)</f>
        <v>0</v>
      </c>
      <c r="S81" s="24" t="s">
        <v>20</v>
      </c>
      <c r="T81" s="7"/>
      <c r="U81" s="208"/>
      <c r="V81" s="209"/>
      <c r="W81" s="210"/>
    </row>
    <row r="82" spans="1:23" x14ac:dyDescent="0.3">
      <c r="A82" s="180" t="s">
        <v>37</v>
      </c>
      <c r="B82" s="5"/>
      <c r="C82" s="5"/>
      <c r="D82" s="4"/>
      <c r="E82" s="211"/>
      <c r="F82" s="212"/>
      <c r="G82" s="212"/>
      <c r="H82" s="212"/>
      <c r="I82" s="213"/>
      <c r="J82" s="165"/>
      <c r="K82" s="166"/>
      <c r="L82" s="165"/>
      <c r="M82" s="166"/>
      <c r="N82" s="165"/>
      <c r="O82" s="166"/>
      <c r="P82" s="165"/>
      <c r="Q82" s="166"/>
      <c r="R82" s="49"/>
      <c r="S82" s="6" t="s">
        <v>20</v>
      </c>
      <c r="T82" s="3"/>
      <c r="U82" s="202"/>
      <c r="V82" s="203"/>
      <c r="W82" s="204"/>
    </row>
    <row r="83" spans="1:23" hidden="1" x14ac:dyDescent="0.3">
      <c r="A83" s="163"/>
      <c r="B83" s="5"/>
      <c r="C83" s="5"/>
      <c r="D83" s="4"/>
      <c r="E83" s="211"/>
      <c r="F83" s="212"/>
      <c r="G83" s="212"/>
      <c r="H83" s="212"/>
      <c r="I83" s="213"/>
      <c r="J83" s="165"/>
      <c r="K83" s="166"/>
      <c r="L83" s="165"/>
      <c r="M83" s="166"/>
      <c r="N83" s="165"/>
      <c r="O83" s="166"/>
      <c r="P83" s="165"/>
      <c r="Q83" s="166"/>
      <c r="R83" s="49"/>
      <c r="S83" s="6" t="s">
        <v>20</v>
      </c>
      <c r="T83" s="3"/>
      <c r="U83" s="205"/>
      <c r="V83" s="206"/>
      <c r="W83" s="207"/>
    </row>
    <row r="84" spans="1:23" hidden="1" x14ac:dyDescent="0.3">
      <c r="A84" s="163"/>
      <c r="B84" s="5"/>
      <c r="C84" s="5"/>
      <c r="D84" s="4"/>
      <c r="E84" s="211"/>
      <c r="F84" s="212"/>
      <c r="G84" s="212"/>
      <c r="H84" s="212"/>
      <c r="I84" s="213"/>
      <c r="J84" s="165"/>
      <c r="K84" s="166"/>
      <c r="L84" s="165"/>
      <c r="M84" s="166"/>
      <c r="N84" s="165"/>
      <c r="O84" s="166"/>
      <c r="P84" s="165"/>
      <c r="Q84" s="166"/>
      <c r="R84" s="49"/>
      <c r="S84" s="6" t="s">
        <v>20</v>
      </c>
      <c r="T84" s="3"/>
      <c r="U84" s="205"/>
      <c r="V84" s="206"/>
      <c r="W84" s="207"/>
    </row>
    <row r="85" spans="1:23" hidden="1" x14ac:dyDescent="0.3">
      <c r="A85" s="163"/>
      <c r="B85" s="5"/>
      <c r="C85" s="5"/>
      <c r="D85" s="4"/>
      <c r="E85" s="211"/>
      <c r="F85" s="212"/>
      <c r="G85" s="212"/>
      <c r="H85" s="212"/>
      <c r="I85" s="213"/>
      <c r="J85" s="165"/>
      <c r="K85" s="166"/>
      <c r="L85" s="165"/>
      <c r="M85" s="166"/>
      <c r="N85" s="165"/>
      <c r="O85" s="166"/>
      <c r="P85" s="165"/>
      <c r="Q85" s="166"/>
      <c r="R85" s="49"/>
      <c r="S85" s="6" t="s">
        <v>20</v>
      </c>
      <c r="T85" s="3"/>
      <c r="U85" s="205"/>
      <c r="V85" s="206"/>
      <c r="W85" s="207"/>
    </row>
    <row r="86" spans="1:23" hidden="1" x14ac:dyDescent="0.3">
      <c r="A86" s="163"/>
      <c r="B86" s="5"/>
      <c r="C86" s="5"/>
      <c r="D86" s="4"/>
      <c r="E86" s="211"/>
      <c r="F86" s="212"/>
      <c r="G86" s="212"/>
      <c r="H86" s="212"/>
      <c r="I86" s="213"/>
      <c r="J86" s="165"/>
      <c r="K86" s="166"/>
      <c r="L86" s="165"/>
      <c r="M86" s="166"/>
      <c r="N86" s="165"/>
      <c r="O86" s="166"/>
      <c r="P86" s="165"/>
      <c r="Q86" s="166"/>
      <c r="R86" s="49"/>
      <c r="S86" s="6" t="s">
        <v>20</v>
      </c>
      <c r="T86" s="3"/>
      <c r="U86" s="205"/>
      <c r="V86" s="206"/>
      <c r="W86" s="207"/>
    </row>
    <row r="87" spans="1:23" x14ac:dyDescent="0.3">
      <c r="A87" s="163"/>
      <c r="B87" s="5"/>
      <c r="C87" s="5"/>
      <c r="D87" s="4"/>
      <c r="E87" s="211"/>
      <c r="F87" s="212"/>
      <c r="G87" s="212"/>
      <c r="H87" s="212"/>
      <c r="I87" s="213"/>
      <c r="J87" s="165"/>
      <c r="K87" s="166"/>
      <c r="L87" s="165"/>
      <c r="M87" s="166"/>
      <c r="N87" s="165"/>
      <c r="O87" s="166"/>
      <c r="P87" s="165"/>
      <c r="Q87" s="166"/>
      <c r="R87" s="49"/>
      <c r="S87" s="6" t="s">
        <v>20</v>
      </c>
      <c r="T87" s="3"/>
      <c r="U87" s="205"/>
      <c r="V87" s="206"/>
      <c r="W87" s="207"/>
    </row>
    <row r="88" spans="1:23" x14ac:dyDescent="0.3">
      <c r="A88" s="163"/>
      <c r="B88" s="5"/>
      <c r="C88" s="5"/>
      <c r="D88" s="4"/>
      <c r="E88" s="211"/>
      <c r="F88" s="212"/>
      <c r="G88" s="212"/>
      <c r="H88" s="212"/>
      <c r="I88" s="213"/>
      <c r="J88" s="165"/>
      <c r="K88" s="166"/>
      <c r="L88" s="165"/>
      <c r="M88" s="166"/>
      <c r="N88" s="165"/>
      <c r="O88" s="166"/>
      <c r="P88" s="165"/>
      <c r="Q88" s="166"/>
      <c r="R88" s="49"/>
      <c r="S88" s="6" t="s">
        <v>20</v>
      </c>
      <c r="T88" s="3"/>
      <c r="U88" s="205"/>
      <c r="V88" s="206"/>
      <c r="W88" s="207"/>
    </row>
    <row r="89" spans="1:23" x14ac:dyDescent="0.3">
      <c r="A89" s="164"/>
      <c r="B89" s="19"/>
      <c r="C89" s="19"/>
      <c r="D89" s="20"/>
      <c r="E89" s="170" t="s">
        <v>0</v>
      </c>
      <c r="F89" s="171"/>
      <c r="G89" s="171"/>
      <c r="H89" s="171"/>
      <c r="I89" s="172"/>
      <c r="J89" s="173">
        <f>SUM(J82:J88)</f>
        <v>0</v>
      </c>
      <c r="K89" s="174"/>
      <c r="L89" s="173">
        <f>SUM(L82:L88)</f>
        <v>0</v>
      </c>
      <c r="M89" s="174"/>
      <c r="N89" s="173">
        <f>SUM(N82:N88)</f>
        <v>0</v>
      </c>
      <c r="O89" s="174"/>
      <c r="P89" s="173">
        <f>SUM(P82:P88)</f>
        <v>0</v>
      </c>
      <c r="Q89" s="174"/>
      <c r="R89" s="23">
        <f>SUM(R82:R88)</f>
        <v>0</v>
      </c>
      <c r="S89" s="24" t="s">
        <v>20</v>
      </c>
      <c r="T89" s="19"/>
      <c r="U89" s="208"/>
      <c r="V89" s="209"/>
      <c r="W89" s="210"/>
    </row>
    <row r="90" spans="1:23" x14ac:dyDescent="0.3">
      <c r="A90" s="180" t="s">
        <v>36</v>
      </c>
      <c r="B90" s="5"/>
      <c r="C90" s="5"/>
      <c r="D90" s="4"/>
      <c r="E90" s="211"/>
      <c r="F90" s="212"/>
      <c r="G90" s="212"/>
      <c r="H90" s="212"/>
      <c r="I90" s="213"/>
      <c r="J90" s="165"/>
      <c r="K90" s="166"/>
      <c r="L90" s="165"/>
      <c r="M90" s="166"/>
      <c r="N90" s="165"/>
      <c r="O90" s="166"/>
      <c r="P90" s="165"/>
      <c r="Q90" s="166"/>
      <c r="R90" s="49"/>
      <c r="S90" s="6" t="s">
        <v>20</v>
      </c>
      <c r="T90" s="3"/>
      <c r="U90" s="202"/>
      <c r="V90" s="203"/>
      <c r="W90" s="204"/>
    </row>
    <row r="91" spans="1:23" x14ac:dyDescent="0.3">
      <c r="A91" s="163"/>
      <c r="B91" s="5"/>
      <c r="C91" s="5"/>
      <c r="D91" s="4"/>
      <c r="E91" s="211"/>
      <c r="F91" s="212"/>
      <c r="G91" s="212"/>
      <c r="H91" s="212"/>
      <c r="I91" s="213"/>
      <c r="J91" s="165"/>
      <c r="K91" s="166"/>
      <c r="L91" s="165"/>
      <c r="M91" s="166"/>
      <c r="N91" s="165"/>
      <c r="O91" s="166"/>
      <c r="P91" s="165"/>
      <c r="Q91" s="166"/>
      <c r="R91" s="49"/>
      <c r="S91" s="6" t="s">
        <v>20</v>
      </c>
      <c r="T91" s="3"/>
      <c r="U91" s="205"/>
      <c r="V91" s="206"/>
      <c r="W91" s="207"/>
    </row>
    <row r="92" spans="1:23" x14ac:dyDescent="0.3">
      <c r="A92" s="163"/>
      <c r="B92" s="5"/>
      <c r="C92" s="5"/>
      <c r="D92" s="4"/>
      <c r="E92" s="211"/>
      <c r="F92" s="212"/>
      <c r="G92" s="212"/>
      <c r="H92" s="212"/>
      <c r="I92" s="213"/>
      <c r="J92" s="165"/>
      <c r="K92" s="166"/>
      <c r="L92" s="165"/>
      <c r="M92" s="166"/>
      <c r="N92" s="165"/>
      <c r="O92" s="166"/>
      <c r="P92" s="165"/>
      <c r="Q92" s="166"/>
      <c r="R92" s="49"/>
      <c r="S92" s="6" t="s">
        <v>20</v>
      </c>
      <c r="T92" s="3"/>
      <c r="U92" s="205"/>
      <c r="V92" s="206"/>
      <c r="W92" s="207"/>
    </row>
    <row r="93" spans="1:23" x14ac:dyDescent="0.3">
      <c r="A93" s="164"/>
      <c r="B93" s="19"/>
      <c r="C93" s="19"/>
      <c r="D93" s="20"/>
      <c r="E93" s="170" t="s">
        <v>0</v>
      </c>
      <c r="F93" s="171"/>
      <c r="G93" s="171"/>
      <c r="H93" s="171"/>
      <c r="I93" s="172"/>
      <c r="J93" s="173">
        <f>SUM(J90:J92)</f>
        <v>0</v>
      </c>
      <c r="K93" s="174"/>
      <c r="L93" s="173">
        <f>SUM(L90:L92)</f>
        <v>0</v>
      </c>
      <c r="M93" s="174"/>
      <c r="N93" s="173">
        <f>SUM(N90:N92)</f>
        <v>0</v>
      </c>
      <c r="O93" s="174"/>
      <c r="P93" s="173">
        <f>SUM(P90:P92)</f>
        <v>0</v>
      </c>
      <c r="Q93" s="174"/>
      <c r="R93" s="23">
        <f>SUM(R90:R92)</f>
        <v>0</v>
      </c>
      <c r="S93" s="24" t="s">
        <v>20</v>
      </c>
      <c r="T93" s="19"/>
      <c r="U93" s="208"/>
      <c r="V93" s="209"/>
      <c r="W93" s="210"/>
    </row>
    <row r="94" spans="1:23" x14ac:dyDescent="0.3">
      <c r="E94" s="28"/>
      <c r="F94" s="28"/>
      <c r="G94" s="28"/>
      <c r="H94" s="28"/>
      <c r="I94" s="28"/>
      <c r="J94" s="29"/>
      <c r="K94" s="29"/>
      <c r="L94" s="29"/>
      <c r="M94" s="29"/>
      <c r="N94" s="29"/>
      <c r="O94" s="29"/>
      <c r="P94" s="29"/>
      <c r="Q94" s="29"/>
    </row>
    <row r="95" spans="1:23" x14ac:dyDescent="0.3">
      <c r="E95" s="170" t="s">
        <v>28</v>
      </c>
      <c r="F95" s="171"/>
      <c r="G95" s="171"/>
      <c r="H95" s="171"/>
      <c r="I95" s="172"/>
      <c r="J95" s="175" t="s">
        <v>7</v>
      </c>
      <c r="K95" s="176"/>
      <c r="L95" s="175" t="s">
        <v>8</v>
      </c>
      <c r="M95" s="176"/>
      <c r="N95" s="175" t="s">
        <v>9</v>
      </c>
      <c r="O95" s="176"/>
      <c r="P95" s="175" t="s">
        <v>16</v>
      </c>
      <c r="Q95" s="176"/>
    </row>
    <row r="96" spans="1:23" s="2" customFormat="1" x14ac:dyDescent="0.3">
      <c r="E96" s="15"/>
      <c r="F96" s="15"/>
      <c r="G96" s="15"/>
      <c r="H96" s="15"/>
      <c r="I96" s="15"/>
      <c r="J96" s="30">
        <f>J77+J81</f>
        <v>2045</v>
      </c>
      <c r="K96" s="31" t="s">
        <v>17</v>
      </c>
      <c r="L96" s="32">
        <f>L77+L81</f>
        <v>0</v>
      </c>
      <c r="M96" s="31" t="s">
        <v>17</v>
      </c>
      <c r="N96" s="32">
        <f>N77+N81</f>
        <v>505</v>
      </c>
      <c r="O96" s="31" t="s">
        <v>17</v>
      </c>
      <c r="P96" s="33">
        <f>P89+P93</f>
        <v>0</v>
      </c>
      <c r="Q96" s="34" t="s">
        <v>17</v>
      </c>
    </row>
    <row r="97" spans="5:17" ht="24.45" customHeight="1" x14ac:dyDescent="0.3">
      <c r="E97" s="28"/>
      <c r="F97" s="28"/>
      <c r="G97" s="28"/>
      <c r="H97" s="28"/>
      <c r="I97" s="28"/>
      <c r="J97" s="167">
        <f>J96+L96+N96+P96</f>
        <v>2550</v>
      </c>
      <c r="K97" s="168"/>
      <c r="L97" s="168"/>
      <c r="M97" s="168"/>
      <c r="N97" s="168"/>
      <c r="O97" s="168"/>
      <c r="P97" s="168"/>
      <c r="Q97" s="169"/>
    </row>
  </sheetData>
  <mergeCells count="390">
    <mergeCell ref="E95:I95"/>
    <mergeCell ref="J95:K95"/>
    <mergeCell ref="L95:M95"/>
    <mergeCell ref="N95:O95"/>
    <mergeCell ref="P95:Q95"/>
    <mergeCell ref="J97:Q97"/>
    <mergeCell ref="N92:O92"/>
    <mergeCell ref="P92:Q92"/>
    <mergeCell ref="E93:I93"/>
    <mergeCell ref="J93:K93"/>
    <mergeCell ref="L93:M93"/>
    <mergeCell ref="N93:O93"/>
    <mergeCell ref="P93:Q93"/>
    <mergeCell ref="U90:W93"/>
    <mergeCell ref="E91:I91"/>
    <mergeCell ref="J91:K91"/>
    <mergeCell ref="L91:M91"/>
    <mergeCell ref="N91:O91"/>
    <mergeCell ref="P91:Q91"/>
    <mergeCell ref="E92:I92"/>
    <mergeCell ref="J92:K92"/>
    <mergeCell ref="L92:M92"/>
    <mergeCell ref="E89:I89"/>
    <mergeCell ref="J89:K89"/>
    <mergeCell ref="L89:M89"/>
    <mergeCell ref="N89:O89"/>
    <mergeCell ref="P89:Q89"/>
    <mergeCell ref="A90:A93"/>
    <mergeCell ref="E90:I90"/>
    <mergeCell ref="J90:K90"/>
    <mergeCell ref="L90:M90"/>
    <mergeCell ref="N90:O90"/>
    <mergeCell ref="A82:A89"/>
    <mergeCell ref="J85:K85"/>
    <mergeCell ref="L85:M85"/>
    <mergeCell ref="P90:Q90"/>
    <mergeCell ref="E87:I87"/>
    <mergeCell ref="J87:K87"/>
    <mergeCell ref="L87:M87"/>
    <mergeCell ref="N87:O87"/>
    <mergeCell ref="P87:Q87"/>
    <mergeCell ref="E88:I88"/>
    <mergeCell ref="J88:K88"/>
    <mergeCell ref="L88:M88"/>
    <mergeCell ref="N88:O88"/>
    <mergeCell ref="P88:Q88"/>
    <mergeCell ref="N85:O85"/>
    <mergeCell ref="P85:Q85"/>
    <mergeCell ref="E86:I86"/>
    <mergeCell ref="J86:K86"/>
    <mergeCell ref="L86:M86"/>
    <mergeCell ref="N86:O86"/>
    <mergeCell ref="P86:Q86"/>
    <mergeCell ref="U82:W89"/>
    <mergeCell ref="E83:I83"/>
    <mergeCell ref="J83:K83"/>
    <mergeCell ref="L83:M83"/>
    <mergeCell ref="N83:O83"/>
    <mergeCell ref="P83:Q83"/>
    <mergeCell ref="E84:I84"/>
    <mergeCell ref="J84:K84"/>
    <mergeCell ref="L84:M84"/>
    <mergeCell ref="N84:O84"/>
    <mergeCell ref="E82:I82"/>
    <mergeCell ref="J82:K82"/>
    <mergeCell ref="L82:M82"/>
    <mergeCell ref="N82:O82"/>
    <mergeCell ref="P82:Q82"/>
    <mergeCell ref="P84:Q84"/>
    <mergeCell ref="E85:I85"/>
    <mergeCell ref="U78:W81"/>
    <mergeCell ref="E79:I79"/>
    <mergeCell ref="J79:K79"/>
    <mergeCell ref="L79:M79"/>
    <mergeCell ref="N79:O79"/>
    <mergeCell ref="P79:Q79"/>
    <mergeCell ref="E80:I80"/>
    <mergeCell ref="J80:K80"/>
    <mergeCell ref="L80:M80"/>
    <mergeCell ref="P80:Q80"/>
    <mergeCell ref="E81:I81"/>
    <mergeCell ref="J81:K81"/>
    <mergeCell ref="L81:M81"/>
    <mergeCell ref="N81:O81"/>
    <mergeCell ref="P81:Q81"/>
    <mergeCell ref="P78:Q78"/>
    <mergeCell ref="A78:A81"/>
    <mergeCell ref="E78:I78"/>
    <mergeCell ref="J78:K78"/>
    <mergeCell ref="L78:M78"/>
    <mergeCell ref="N78:O78"/>
    <mergeCell ref="A70:A77"/>
    <mergeCell ref="J73:K73"/>
    <mergeCell ref="L73:M73"/>
    <mergeCell ref="N80:O80"/>
    <mergeCell ref="N73:O73"/>
    <mergeCell ref="P73:Q73"/>
    <mergeCell ref="E74:I74"/>
    <mergeCell ref="J74:K74"/>
    <mergeCell ref="L74:M74"/>
    <mergeCell ref="N74:O74"/>
    <mergeCell ref="P74:Q74"/>
    <mergeCell ref="E77:I77"/>
    <mergeCell ref="J77:K77"/>
    <mergeCell ref="L77:M77"/>
    <mergeCell ref="N77:O77"/>
    <mergeCell ref="P77:Q77"/>
    <mergeCell ref="E75:I75"/>
    <mergeCell ref="J75:K75"/>
    <mergeCell ref="L75:M75"/>
    <mergeCell ref="U70:W77"/>
    <mergeCell ref="E71:I71"/>
    <mergeCell ref="J71:K71"/>
    <mergeCell ref="L71:M71"/>
    <mergeCell ref="N71:O71"/>
    <mergeCell ref="P71:Q71"/>
    <mergeCell ref="E72:I72"/>
    <mergeCell ref="J72:K72"/>
    <mergeCell ref="L72:M72"/>
    <mergeCell ref="N72:O72"/>
    <mergeCell ref="E70:I70"/>
    <mergeCell ref="J70:K70"/>
    <mergeCell ref="L70:M70"/>
    <mergeCell ref="N70:O70"/>
    <mergeCell ref="P70:Q70"/>
    <mergeCell ref="P72:Q72"/>
    <mergeCell ref="E73:I73"/>
    <mergeCell ref="N75:O75"/>
    <mergeCell ref="P75:Q75"/>
    <mergeCell ref="E76:I76"/>
    <mergeCell ref="J76:K76"/>
    <mergeCell ref="L76:M76"/>
    <mergeCell ref="N76:O76"/>
    <mergeCell ref="P76:Q76"/>
    <mergeCell ref="E62:I62"/>
    <mergeCell ref="J62:K62"/>
    <mergeCell ref="L62:M62"/>
    <mergeCell ref="N62:O62"/>
    <mergeCell ref="P62:Q62"/>
    <mergeCell ref="R68:S69"/>
    <mergeCell ref="T68:T69"/>
    <mergeCell ref="U68:W69"/>
    <mergeCell ref="J69:K69"/>
    <mergeCell ref="L69:M69"/>
    <mergeCell ref="N69:O69"/>
    <mergeCell ref="P69:Q69"/>
    <mergeCell ref="J64:Q64"/>
    <mergeCell ref="Q66:S66"/>
    <mergeCell ref="T66:W66"/>
    <mergeCell ref="A67:W67"/>
    <mergeCell ref="A68:A69"/>
    <mergeCell ref="B68:B69"/>
    <mergeCell ref="C68:C69"/>
    <mergeCell ref="D68:D69"/>
    <mergeCell ref="E68:I69"/>
    <mergeCell ref="J68:Q68"/>
    <mergeCell ref="U51:W60"/>
    <mergeCell ref="J52:K52"/>
    <mergeCell ref="L52:M52"/>
    <mergeCell ref="N52:O52"/>
    <mergeCell ref="P52:Q52"/>
    <mergeCell ref="J53:K53"/>
    <mergeCell ref="L53:M53"/>
    <mergeCell ref="N53:O53"/>
    <mergeCell ref="P53:Q53"/>
    <mergeCell ref="J54:K54"/>
    <mergeCell ref="J58:K58"/>
    <mergeCell ref="L58:M58"/>
    <mergeCell ref="N58:O58"/>
    <mergeCell ref="P58:Q58"/>
    <mergeCell ref="J59:K59"/>
    <mergeCell ref="L59:M59"/>
    <mergeCell ref="N59:O59"/>
    <mergeCell ref="P59:Q59"/>
    <mergeCell ref="J56:K56"/>
    <mergeCell ref="L56:M56"/>
    <mergeCell ref="N56:O56"/>
    <mergeCell ref="P56:Q56"/>
    <mergeCell ref="J57:K57"/>
    <mergeCell ref="L57:M57"/>
    <mergeCell ref="A51:A60"/>
    <mergeCell ref="J51:K51"/>
    <mergeCell ref="L51:M51"/>
    <mergeCell ref="N51:O51"/>
    <mergeCell ref="P51:Q51"/>
    <mergeCell ref="L54:M54"/>
    <mergeCell ref="N54:O54"/>
    <mergeCell ref="P54:Q54"/>
    <mergeCell ref="J55:K55"/>
    <mergeCell ref="L55:M55"/>
    <mergeCell ref="N55:O55"/>
    <mergeCell ref="P55:Q55"/>
    <mergeCell ref="N57:O57"/>
    <mergeCell ref="P57:Q57"/>
    <mergeCell ref="E60:I60"/>
    <mergeCell ref="J60:K60"/>
    <mergeCell ref="L60:M60"/>
    <mergeCell ref="N60:O60"/>
    <mergeCell ref="P60:Q60"/>
    <mergeCell ref="U41:W50"/>
    <mergeCell ref="J42:K42"/>
    <mergeCell ref="L42:M42"/>
    <mergeCell ref="N42:O42"/>
    <mergeCell ref="P42:Q42"/>
    <mergeCell ref="J43:K43"/>
    <mergeCell ref="L43:M43"/>
    <mergeCell ref="N43:O43"/>
    <mergeCell ref="P43:Q43"/>
    <mergeCell ref="J44:K44"/>
    <mergeCell ref="J48:K48"/>
    <mergeCell ref="L48:M48"/>
    <mergeCell ref="N48:O48"/>
    <mergeCell ref="P48:Q48"/>
    <mergeCell ref="J49:K49"/>
    <mergeCell ref="L49:M49"/>
    <mergeCell ref="N49:O49"/>
    <mergeCell ref="P49:Q49"/>
    <mergeCell ref="J46:K46"/>
    <mergeCell ref="L46:M46"/>
    <mergeCell ref="N46:O46"/>
    <mergeCell ref="P46:Q46"/>
    <mergeCell ref="J47:K47"/>
    <mergeCell ref="L47:M47"/>
    <mergeCell ref="A41:A50"/>
    <mergeCell ref="J41:K41"/>
    <mergeCell ref="L41:M41"/>
    <mergeCell ref="N41:O41"/>
    <mergeCell ref="P41:Q41"/>
    <mergeCell ref="L44:M44"/>
    <mergeCell ref="N44:O44"/>
    <mergeCell ref="P44:Q44"/>
    <mergeCell ref="J45:K45"/>
    <mergeCell ref="L45:M45"/>
    <mergeCell ref="N45:O45"/>
    <mergeCell ref="P45:Q45"/>
    <mergeCell ref="N47:O47"/>
    <mergeCell ref="P47:Q47"/>
    <mergeCell ref="E50:I50"/>
    <mergeCell ref="J50:K50"/>
    <mergeCell ref="L50:M50"/>
    <mergeCell ref="N50:O50"/>
    <mergeCell ref="P50:Q50"/>
    <mergeCell ref="U31:W40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J38:K38"/>
    <mergeCell ref="L38:M38"/>
    <mergeCell ref="N38:O38"/>
    <mergeCell ref="P38:Q38"/>
    <mergeCell ref="J39:K39"/>
    <mergeCell ref="L39:M39"/>
    <mergeCell ref="N39:O39"/>
    <mergeCell ref="P39:Q39"/>
    <mergeCell ref="J36:K36"/>
    <mergeCell ref="L36:M36"/>
    <mergeCell ref="N36:O36"/>
    <mergeCell ref="P36:Q36"/>
    <mergeCell ref="J37:K37"/>
    <mergeCell ref="L37:M37"/>
    <mergeCell ref="A31:A40"/>
    <mergeCell ref="J31:K31"/>
    <mergeCell ref="L31:M31"/>
    <mergeCell ref="N31:O31"/>
    <mergeCell ref="P31:Q31"/>
    <mergeCell ref="G29:G30"/>
    <mergeCell ref="H29:H30"/>
    <mergeCell ref="I29:I30"/>
    <mergeCell ref="J29:Q29"/>
    <mergeCell ref="L34:M34"/>
    <mergeCell ref="N34:O34"/>
    <mergeCell ref="P34:Q34"/>
    <mergeCell ref="J35:K35"/>
    <mergeCell ref="L35:M35"/>
    <mergeCell ref="N35:O35"/>
    <mergeCell ref="P35:Q35"/>
    <mergeCell ref="N37:O37"/>
    <mergeCell ref="P37:Q37"/>
    <mergeCell ref="E40:I40"/>
    <mergeCell ref="J40:K40"/>
    <mergeCell ref="L40:M40"/>
    <mergeCell ref="N40:O40"/>
    <mergeCell ref="P40:Q4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W101"/>
  <sheetViews>
    <sheetView topLeftCell="A33" zoomScale="85" zoomScaleNormal="85" workbookViewId="0">
      <selection activeCell="P6" sqref="P6:Q6"/>
    </sheetView>
  </sheetViews>
  <sheetFormatPr defaultRowHeight="14.4" x14ac:dyDescent="0.3"/>
  <cols>
    <col min="1" max="1" width="12.6640625" customWidth="1"/>
    <col min="2" max="3" width="7.6640625" customWidth="1"/>
    <col min="4" max="4" width="8.77734375" style="8" customWidth="1"/>
    <col min="5" max="5" width="28.3320312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45922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250052</v>
      </c>
      <c r="E7" s="12" t="s">
        <v>172</v>
      </c>
      <c r="F7" s="17">
        <v>355</v>
      </c>
      <c r="G7" s="17">
        <v>304</v>
      </c>
      <c r="H7" s="18">
        <v>0.7</v>
      </c>
      <c r="I7" s="17">
        <v>33000</v>
      </c>
      <c r="J7" s="165">
        <v>300</v>
      </c>
      <c r="K7" s="166"/>
      <c r="L7" s="165"/>
      <c r="M7" s="166"/>
      <c r="N7" s="165"/>
      <c r="O7" s="166"/>
      <c r="P7" s="165"/>
      <c r="Q7" s="166"/>
      <c r="R7" s="51">
        <v>30</v>
      </c>
      <c r="S7" s="14" t="s">
        <v>20</v>
      </c>
      <c r="T7" s="42" t="s">
        <v>110</v>
      </c>
      <c r="U7" s="202" t="s">
        <v>192</v>
      </c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186</v>
      </c>
      <c r="F8" s="17">
        <v>293</v>
      </c>
      <c r="G8" s="17">
        <v>304</v>
      </c>
      <c r="H8" s="18">
        <v>0.7</v>
      </c>
      <c r="I8" s="17">
        <v>33000</v>
      </c>
      <c r="J8" s="165">
        <v>100</v>
      </c>
      <c r="K8" s="166"/>
      <c r="L8" s="165"/>
      <c r="M8" s="166"/>
      <c r="N8" s="165"/>
      <c r="O8" s="166"/>
      <c r="P8" s="165"/>
      <c r="Q8" s="166"/>
      <c r="R8" s="51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250055</v>
      </c>
      <c r="E9" s="12" t="s">
        <v>172</v>
      </c>
      <c r="F9" s="17">
        <v>355</v>
      </c>
      <c r="G9" s="17">
        <v>304</v>
      </c>
      <c r="H9" s="18">
        <v>0.7</v>
      </c>
      <c r="I9" s="17">
        <v>33000</v>
      </c>
      <c r="J9" s="165">
        <v>816</v>
      </c>
      <c r="K9" s="166"/>
      <c r="L9" s="165"/>
      <c r="M9" s="166"/>
      <c r="N9" s="165"/>
      <c r="O9" s="166"/>
      <c r="P9" s="165"/>
      <c r="Q9" s="166"/>
      <c r="R9" s="51">
        <v>50</v>
      </c>
      <c r="S9" s="14" t="s">
        <v>20</v>
      </c>
      <c r="T9" s="42" t="s">
        <v>191</v>
      </c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186</v>
      </c>
      <c r="F10" s="17">
        <v>293</v>
      </c>
      <c r="G10" s="17">
        <v>304</v>
      </c>
      <c r="H10" s="18">
        <v>0.7</v>
      </c>
      <c r="I10" s="17">
        <v>33000</v>
      </c>
      <c r="J10" s="165">
        <v>272</v>
      </c>
      <c r="K10" s="166"/>
      <c r="L10" s="165"/>
      <c r="M10" s="166"/>
      <c r="N10" s="165"/>
      <c r="O10" s="166"/>
      <c r="P10" s="165"/>
      <c r="Q10" s="166"/>
      <c r="R10" s="51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>
        <v>250057</v>
      </c>
      <c r="E11" s="12" t="s">
        <v>172</v>
      </c>
      <c r="F11" s="17">
        <v>355</v>
      </c>
      <c r="G11" s="17">
        <v>304</v>
      </c>
      <c r="H11" s="18">
        <v>0.7</v>
      </c>
      <c r="I11" s="17">
        <v>33000</v>
      </c>
      <c r="J11" s="165">
        <v>396</v>
      </c>
      <c r="K11" s="166"/>
      <c r="L11" s="165"/>
      <c r="M11" s="166"/>
      <c r="N11" s="165"/>
      <c r="O11" s="166"/>
      <c r="P11" s="165"/>
      <c r="Q11" s="166"/>
      <c r="R11" s="51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186</v>
      </c>
      <c r="F12" s="17">
        <v>293</v>
      </c>
      <c r="G12" s="17">
        <v>304</v>
      </c>
      <c r="H12" s="18">
        <v>0.7</v>
      </c>
      <c r="I12" s="17">
        <v>33000</v>
      </c>
      <c r="J12" s="165">
        <v>132</v>
      </c>
      <c r="K12" s="166"/>
      <c r="L12" s="165"/>
      <c r="M12" s="166"/>
      <c r="N12" s="165"/>
      <c r="O12" s="166"/>
      <c r="P12" s="165"/>
      <c r="Q12" s="166"/>
      <c r="R12" s="51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>
        <v>250061</v>
      </c>
      <c r="E13" s="12" t="s">
        <v>172</v>
      </c>
      <c r="F13" s="17">
        <v>355</v>
      </c>
      <c r="G13" s="17">
        <v>304</v>
      </c>
      <c r="H13" s="18">
        <v>0.7</v>
      </c>
      <c r="I13" s="17">
        <v>33000</v>
      </c>
      <c r="J13" s="165">
        <v>528</v>
      </c>
      <c r="K13" s="166"/>
      <c r="L13" s="165"/>
      <c r="M13" s="166"/>
      <c r="N13" s="165"/>
      <c r="O13" s="166"/>
      <c r="P13" s="165"/>
      <c r="Q13" s="166"/>
      <c r="R13" s="51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 t="s">
        <v>102</v>
      </c>
      <c r="E14" s="12" t="s">
        <v>186</v>
      </c>
      <c r="F14" s="17">
        <v>293</v>
      </c>
      <c r="G14" s="17">
        <v>304</v>
      </c>
      <c r="H14" s="18">
        <v>0.7</v>
      </c>
      <c r="I14" s="17">
        <v>33000</v>
      </c>
      <c r="J14" s="165">
        <v>176</v>
      </c>
      <c r="K14" s="166"/>
      <c r="L14" s="165"/>
      <c r="M14" s="166"/>
      <c r="N14" s="165"/>
      <c r="O14" s="166"/>
      <c r="P14" s="165"/>
      <c r="Q14" s="166"/>
      <c r="R14" s="51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>
        <v>250057</v>
      </c>
      <c r="E15" s="12" t="s">
        <v>187</v>
      </c>
      <c r="F15" s="17">
        <v>362</v>
      </c>
      <c r="G15" s="17">
        <v>304</v>
      </c>
      <c r="H15" s="18">
        <v>0.7</v>
      </c>
      <c r="I15" s="17">
        <v>33000</v>
      </c>
      <c r="J15" s="165">
        <v>396</v>
      </c>
      <c r="K15" s="166"/>
      <c r="L15" s="165"/>
      <c r="M15" s="166"/>
      <c r="N15" s="165"/>
      <c r="O15" s="166"/>
      <c r="P15" s="165"/>
      <c r="Q15" s="166"/>
      <c r="R15" s="51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 t="s">
        <v>102</v>
      </c>
      <c r="E16" s="12" t="s">
        <v>132</v>
      </c>
      <c r="F16" s="17">
        <v>277</v>
      </c>
      <c r="G16" s="17">
        <v>304</v>
      </c>
      <c r="H16" s="18">
        <v>0.7</v>
      </c>
      <c r="I16" s="17">
        <v>33000</v>
      </c>
      <c r="J16" s="165">
        <v>132</v>
      </c>
      <c r="K16" s="166"/>
      <c r="L16" s="165"/>
      <c r="M16" s="166"/>
      <c r="N16" s="165"/>
      <c r="O16" s="166"/>
      <c r="P16" s="165"/>
      <c r="Q16" s="166"/>
      <c r="R16" s="51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>
        <v>250061</v>
      </c>
      <c r="E17" s="12" t="s">
        <v>187</v>
      </c>
      <c r="F17" s="17">
        <v>362</v>
      </c>
      <c r="G17" s="17">
        <v>304</v>
      </c>
      <c r="H17" s="18">
        <v>0.7</v>
      </c>
      <c r="I17" s="17">
        <v>33000</v>
      </c>
      <c r="J17" s="165">
        <v>540</v>
      </c>
      <c r="K17" s="166"/>
      <c r="L17" s="165"/>
      <c r="M17" s="166"/>
      <c r="N17" s="165"/>
      <c r="O17" s="166"/>
      <c r="P17" s="165"/>
      <c r="Q17" s="166"/>
      <c r="R17" s="51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 t="s">
        <v>102</v>
      </c>
      <c r="E18" s="12" t="s">
        <v>132</v>
      </c>
      <c r="F18" s="17">
        <v>277</v>
      </c>
      <c r="G18" s="17">
        <v>304</v>
      </c>
      <c r="H18" s="18">
        <v>0.7</v>
      </c>
      <c r="I18" s="17">
        <v>33000</v>
      </c>
      <c r="J18" s="165">
        <v>180</v>
      </c>
      <c r="K18" s="166"/>
      <c r="L18" s="165"/>
      <c r="M18" s="166"/>
      <c r="N18" s="165"/>
      <c r="O18" s="166"/>
      <c r="P18" s="165"/>
      <c r="Q18" s="166"/>
      <c r="R18" s="51">
        <v>30</v>
      </c>
      <c r="S18" s="14" t="s">
        <v>20</v>
      </c>
      <c r="T18" s="42" t="s">
        <v>110</v>
      </c>
      <c r="U18" s="205"/>
      <c r="V18" s="206"/>
      <c r="W18" s="207"/>
    </row>
    <row r="19" spans="1:23" x14ac:dyDescent="0.3">
      <c r="A19" s="181"/>
      <c r="B19" s="5"/>
      <c r="C19" s="5"/>
      <c r="D19" s="4">
        <v>250052</v>
      </c>
      <c r="E19" s="12" t="s">
        <v>188</v>
      </c>
      <c r="F19" s="17">
        <v>385</v>
      </c>
      <c r="G19" s="17">
        <v>304</v>
      </c>
      <c r="H19" s="18">
        <v>0.7</v>
      </c>
      <c r="I19" s="17">
        <v>33000</v>
      </c>
      <c r="J19" s="165">
        <v>216</v>
      </c>
      <c r="K19" s="166"/>
      <c r="L19" s="165"/>
      <c r="M19" s="166"/>
      <c r="N19" s="165"/>
      <c r="O19" s="166"/>
      <c r="P19" s="165"/>
      <c r="Q19" s="166"/>
      <c r="R19" s="54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 t="s">
        <v>102</v>
      </c>
      <c r="E20" s="12" t="s">
        <v>189</v>
      </c>
      <c r="F20" s="17">
        <v>218</v>
      </c>
      <c r="G20" s="17">
        <v>304</v>
      </c>
      <c r="H20" s="18">
        <v>0.7</v>
      </c>
      <c r="I20" s="17">
        <v>33000</v>
      </c>
      <c r="J20" s="165">
        <v>72</v>
      </c>
      <c r="K20" s="166"/>
      <c r="L20" s="165"/>
      <c r="M20" s="166"/>
      <c r="N20" s="165"/>
      <c r="O20" s="166"/>
      <c r="P20" s="165"/>
      <c r="Q20" s="166"/>
      <c r="R20" s="54"/>
      <c r="S20" s="14" t="s">
        <v>20</v>
      </c>
      <c r="T20" s="42"/>
      <c r="U20" s="205"/>
      <c r="V20" s="206"/>
      <c r="W20" s="207"/>
    </row>
    <row r="21" spans="1:23" x14ac:dyDescent="0.3">
      <c r="A21" s="181"/>
      <c r="B21" s="5"/>
      <c r="C21" s="5"/>
      <c r="D21" s="4">
        <v>250052</v>
      </c>
      <c r="E21" s="12" t="s">
        <v>188</v>
      </c>
      <c r="F21" s="17">
        <v>385</v>
      </c>
      <c r="G21" s="17">
        <v>304</v>
      </c>
      <c r="H21" s="18">
        <v>0.7</v>
      </c>
      <c r="I21" s="17">
        <v>33000</v>
      </c>
      <c r="J21" s="165">
        <v>576</v>
      </c>
      <c r="K21" s="166"/>
      <c r="L21" s="165"/>
      <c r="M21" s="166"/>
      <c r="N21" s="165"/>
      <c r="O21" s="166"/>
      <c r="P21" s="165"/>
      <c r="Q21" s="166"/>
      <c r="R21" s="54"/>
      <c r="S21" s="14" t="s">
        <v>20</v>
      </c>
      <c r="T21" s="42"/>
      <c r="U21" s="205"/>
      <c r="V21" s="206"/>
      <c r="W21" s="207"/>
    </row>
    <row r="22" spans="1:23" x14ac:dyDescent="0.3">
      <c r="A22" s="181"/>
      <c r="B22" s="5"/>
      <c r="C22" s="5"/>
      <c r="D22" s="4" t="s">
        <v>102</v>
      </c>
      <c r="E22" s="12" t="s">
        <v>190</v>
      </c>
      <c r="F22" s="17">
        <v>160</v>
      </c>
      <c r="G22" s="17">
        <v>304</v>
      </c>
      <c r="H22" s="18">
        <v>0.7</v>
      </c>
      <c r="I22" s="17">
        <v>33000</v>
      </c>
      <c r="J22" s="165">
        <v>280</v>
      </c>
      <c r="K22" s="166"/>
      <c r="L22" s="165"/>
      <c r="M22" s="166"/>
      <c r="N22" s="165"/>
      <c r="O22" s="166"/>
      <c r="P22" s="165"/>
      <c r="Q22" s="166"/>
      <c r="R22" s="54"/>
      <c r="S22" s="14" t="s">
        <v>20</v>
      </c>
      <c r="T22" s="42"/>
      <c r="U22" s="205"/>
      <c r="V22" s="206"/>
      <c r="W22" s="207"/>
    </row>
    <row r="23" spans="1:23" x14ac:dyDescent="0.3">
      <c r="A23" s="181"/>
      <c r="B23" s="5"/>
      <c r="C23" s="5">
        <v>0.70833333333333337</v>
      </c>
      <c r="D23" s="4">
        <v>250055</v>
      </c>
      <c r="E23" s="12" t="s">
        <v>188</v>
      </c>
      <c r="F23" s="17">
        <v>385</v>
      </c>
      <c r="G23" s="17">
        <v>304</v>
      </c>
      <c r="H23" s="18">
        <v>0.7</v>
      </c>
      <c r="I23" s="17">
        <v>33000</v>
      </c>
      <c r="J23" s="165">
        <v>544</v>
      </c>
      <c r="K23" s="166"/>
      <c r="L23" s="165"/>
      <c r="M23" s="166"/>
      <c r="N23" s="165"/>
      <c r="O23" s="166"/>
      <c r="P23" s="165"/>
      <c r="Q23" s="166"/>
      <c r="R23" s="51"/>
      <c r="S23" s="14" t="s">
        <v>20</v>
      </c>
      <c r="T23" s="42"/>
      <c r="U23" s="205"/>
      <c r="V23" s="206"/>
      <c r="W23" s="207"/>
    </row>
    <row r="24" spans="1:23" x14ac:dyDescent="0.3">
      <c r="A24" s="181"/>
      <c r="B24" s="5"/>
      <c r="C24" s="5"/>
      <c r="D24" s="4"/>
      <c r="E24" s="12"/>
      <c r="F24" s="17"/>
      <c r="G24" s="17"/>
      <c r="H24" s="18"/>
      <c r="I24" s="17"/>
      <c r="J24" s="165"/>
      <c r="K24" s="166"/>
      <c r="L24" s="165"/>
      <c r="M24" s="166"/>
      <c r="N24" s="165"/>
      <c r="O24" s="166"/>
      <c r="P24" s="165"/>
      <c r="Q24" s="166"/>
      <c r="R24" s="51"/>
      <c r="S24" s="14" t="s">
        <v>20</v>
      </c>
      <c r="T24" s="42"/>
      <c r="U24" s="205"/>
      <c r="V24" s="206"/>
      <c r="W24" s="207"/>
    </row>
    <row r="25" spans="1:23" x14ac:dyDescent="0.3">
      <c r="A25" s="182"/>
      <c r="B25" s="170" t="s">
        <v>0</v>
      </c>
      <c r="C25" s="171"/>
      <c r="D25" s="171"/>
      <c r="E25" s="171"/>
      <c r="F25" s="171"/>
      <c r="G25" s="171"/>
      <c r="H25" s="171"/>
      <c r="I25" s="172"/>
      <c r="J25" s="21">
        <f>SUM(J7:K24)</f>
        <v>5656</v>
      </c>
      <c r="K25" s="22" t="s">
        <v>17</v>
      </c>
      <c r="L25" s="21">
        <f>SUM(L7:M24)</f>
        <v>0</v>
      </c>
      <c r="M25" s="22" t="s">
        <v>17</v>
      </c>
      <c r="N25" s="21">
        <f>SUM(N7:O24)</f>
        <v>0</v>
      </c>
      <c r="O25" s="22" t="s">
        <v>17</v>
      </c>
      <c r="P25" s="21">
        <f>SUM(P7:Q24)</f>
        <v>0</v>
      </c>
      <c r="Q25" s="22" t="s">
        <v>17</v>
      </c>
      <c r="R25" s="23">
        <f>SUM(R7:R24)</f>
        <v>110</v>
      </c>
      <c r="S25" s="24" t="s">
        <v>20</v>
      </c>
      <c r="T25" s="19"/>
      <c r="U25" s="208"/>
      <c r="V25" s="209"/>
      <c r="W25" s="210"/>
    </row>
    <row r="26" spans="1:23" ht="14.5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ht="14.55" customHeight="1" x14ac:dyDescent="0.3">
      <c r="A27" s="27"/>
      <c r="B27" s="27"/>
      <c r="C27" s="27"/>
      <c r="D27" s="27"/>
      <c r="E27" s="170" t="s">
        <v>27</v>
      </c>
      <c r="F27" s="171"/>
      <c r="G27" s="171"/>
      <c r="H27" s="171"/>
      <c r="I27" s="172"/>
      <c r="J27" s="175" t="s">
        <v>7</v>
      </c>
      <c r="K27" s="176"/>
      <c r="L27" s="175" t="s">
        <v>8</v>
      </c>
      <c r="M27" s="176"/>
      <c r="N27" s="175" t="s">
        <v>9</v>
      </c>
      <c r="O27" s="176"/>
      <c r="P27" s="175" t="s">
        <v>117</v>
      </c>
      <c r="Q27" s="176"/>
      <c r="R27" s="27"/>
      <c r="S27" s="27"/>
    </row>
    <row r="28" spans="1:23" ht="14.55" customHeight="1" x14ac:dyDescent="0.3">
      <c r="A28" s="27"/>
      <c r="B28" s="27"/>
      <c r="C28" s="27"/>
      <c r="D28" s="27"/>
      <c r="E28" s="15"/>
      <c r="F28" s="15"/>
      <c r="G28" s="15"/>
      <c r="H28" s="15"/>
      <c r="I28" s="15"/>
      <c r="J28" s="30">
        <f>J25</f>
        <v>5656</v>
      </c>
      <c r="K28" s="31" t="s">
        <v>17</v>
      </c>
      <c r="L28" s="32">
        <f>L25</f>
        <v>0</v>
      </c>
      <c r="M28" s="31" t="s">
        <v>17</v>
      </c>
      <c r="N28" s="32">
        <f>N25</f>
        <v>0</v>
      </c>
      <c r="O28" s="31" t="s">
        <v>17</v>
      </c>
      <c r="P28" s="33">
        <f>P25</f>
        <v>0</v>
      </c>
      <c r="Q28" s="34" t="s">
        <v>17</v>
      </c>
      <c r="R28" s="27"/>
      <c r="S28" s="27"/>
    </row>
    <row r="29" spans="1:23" ht="30" customHeight="1" x14ac:dyDescent="0.3">
      <c r="A29" s="27"/>
      <c r="B29" s="27"/>
      <c r="C29" s="27"/>
      <c r="D29" s="27"/>
      <c r="E29" s="28"/>
      <c r="F29" s="28"/>
      <c r="G29" s="28"/>
      <c r="H29" s="28"/>
      <c r="I29" s="28"/>
      <c r="J29" s="167">
        <f>J28+L28+N28+P28</f>
        <v>5656</v>
      </c>
      <c r="K29" s="168"/>
      <c r="L29" s="168"/>
      <c r="M29" s="168"/>
      <c r="N29" s="168"/>
      <c r="O29" s="168"/>
      <c r="P29" s="168"/>
      <c r="Q29" s="169"/>
      <c r="R29" s="27"/>
      <c r="S29" s="27"/>
    </row>
    <row r="30" spans="1:23" ht="30" customHeight="1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</row>
    <row r="31" spans="1:23" s="37" customFormat="1" ht="19.95" customHeight="1" x14ac:dyDescent="0.4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183" t="s">
        <v>14</v>
      </c>
      <c r="R31" s="183"/>
      <c r="S31" s="183"/>
      <c r="T31" s="184">
        <f>T3</f>
        <v>45922</v>
      </c>
      <c r="U31" s="185"/>
      <c r="V31" s="185"/>
      <c r="W31" s="186"/>
    </row>
    <row r="32" spans="1:23" s="16" customFormat="1" ht="30" customHeight="1" x14ac:dyDescent="0.3">
      <c r="A32" s="187" t="s">
        <v>29</v>
      </c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9"/>
      <c r="Q32" s="189"/>
      <c r="R32" s="189"/>
      <c r="S32" s="189"/>
      <c r="T32" s="188"/>
      <c r="U32" s="188"/>
      <c r="V32" s="188"/>
      <c r="W32" s="190"/>
    </row>
    <row r="33" spans="1:23" s="26" customFormat="1" ht="13.8" x14ac:dyDescent="0.3">
      <c r="A33" s="191" t="s">
        <v>1</v>
      </c>
      <c r="B33" s="192" t="s">
        <v>2</v>
      </c>
      <c r="C33" s="192" t="s">
        <v>3</v>
      </c>
      <c r="D33" s="192" t="s">
        <v>4</v>
      </c>
      <c r="E33" s="193" t="s">
        <v>5</v>
      </c>
      <c r="F33" s="195" t="s">
        <v>21</v>
      </c>
      <c r="G33" s="195" t="s">
        <v>22</v>
      </c>
      <c r="H33" s="195" t="s">
        <v>33</v>
      </c>
      <c r="I33" s="195" t="s">
        <v>30</v>
      </c>
      <c r="J33" s="193" t="s">
        <v>6</v>
      </c>
      <c r="K33" s="197"/>
      <c r="L33" s="197"/>
      <c r="M33" s="197"/>
      <c r="N33" s="197"/>
      <c r="O33" s="197"/>
      <c r="P33" s="197"/>
      <c r="Q33" s="198"/>
      <c r="R33" s="193" t="s">
        <v>10</v>
      </c>
      <c r="S33" s="198"/>
      <c r="T33" s="191" t="s">
        <v>11</v>
      </c>
      <c r="U33" s="191" t="s">
        <v>12</v>
      </c>
      <c r="V33" s="191"/>
      <c r="W33" s="191"/>
    </row>
    <row r="34" spans="1:23" s="26" customFormat="1" ht="13.8" x14ac:dyDescent="0.3">
      <c r="A34" s="191"/>
      <c r="B34" s="192"/>
      <c r="C34" s="192"/>
      <c r="D34" s="192"/>
      <c r="E34" s="194"/>
      <c r="F34" s="196"/>
      <c r="G34" s="196"/>
      <c r="H34" s="196"/>
      <c r="I34" s="196"/>
      <c r="J34" s="200" t="s">
        <v>7</v>
      </c>
      <c r="K34" s="201"/>
      <c r="L34" s="200" t="s">
        <v>8</v>
      </c>
      <c r="M34" s="201"/>
      <c r="N34" s="200" t="s">
        <v>9</v>
      </c>
      <c r="O34" s="201"/>
      <c r="P34" s="200" t="s">
        <v>117</v>
      </c>
      <c r="Q34" s="201"/>
      <c r="R34" s="194"/>
      <c r="S34" s="199"/>
      <c r="T34" s="191"/>
      <c r="U34" s="191"/>
      <c r="V34" s="191"/>
      <c r="W34" s="191"/>
    </row>
    <row r="35" spans="1:23" ht="14.55" customHeight="1" x14ac:dyDescent="0.3">
      <c r="A35" s="180" t="s">
        <v>32</v>
      </c>
      <c r="B35" s="5">
        <v>0.33333333333333331</v>
      </c>
      <c r="C35" s="5"/>
      <c r="D35" s="4">
        <v>210825</v>
      </c>
      <c r="E35" s="13" t="s">
        <v>161</v>
      </c>
      <c r="F35" s="40">
        <v>430</v>
      </c>
      <c r="G35" s="41">
        <v>0.6</v>
      </c>
      <c r="H35" s="40">
        <v>542</v>
      </c>
      <c r="I35" s="55" t="s">
        <v>49</v>
      </c>
      <c r="J35" s="165"/>
      <c r="K35" s="166"/>
      <c r="L35" s="165">
        <v>1250</v>
      </c>
      <c r="M35" s="166"/>
      <c r="N35" s="165"/>
      <c r="O35" s="166"/>
      <c r="P35" s="165"/>
      <c r="Q35" s="166"/>
      <c r="R35" s="51">
        <v>50</v>
      </c>
      <c r="S35" s="14" t="s">
        <v>20</v>
      </c>
      <c r="T35" s="42" t="s">
        <v>191</v>
      </c>
      <c r="U35" s="247" t="s">
        <v>192</v>
      </c>
      <c r="V35" s="248"/>
      <c r="W35" s="249"/>
    </row>
    <row r="36" spans="1:23" ht="14.55" customHeight="1" x14ac:dyDescent="0.3">
      <c r="A36" s="181"/>
      <c r="B36" s="5"/>
      <c r="C36" s="5">
        <v>0.70833333333333337</v>
      </c>
      <c r="D36" s="4">
        <v>210825</v>
      </c>
      <c r="E36" s="13" t="s">
        <v>193</v>
      </c>
      <c r="F36" s="40">
        <v>430</v>
      </c>
      <c r="G36" s="41">
        <v>0.6</v>
      </c>
      <c r="H36" s="40">
        <v>445</v>
      </c>
      <c r="I36" s="55" t="s">
        <v>49</v>
      </c>
      <c r="J36" s="165"/>
      <c r="K36" s="166"/>
      <c r="L36" s="165">
        <v>300</v>
      </c>
      <c r="M36" s="166"/>
      <c r="N36" s="165"/>
      <c r="O36" s="166"/>
      <c r="P36" s="165"/>
      <c r="Q36" s="166"/>
      <c r="R36" s="51"/>
      <c r="S36" s="14" t="s">
        <v>20</v>
      </c>
      <c r="T36" s="42"/>
      <c r="U36" s="247"/>
      <c r="V36" s="248"/>
      <c r="W36" s="249"/>
    </row>
    <row r="37" spans="1:23" ht="14.55" hidden="1" customHeight="1" x14ac:dyDescent="0.3">
      <c r="A37" s="181"/>
      <c r="B37" s="5"/>
      <c r="C37" s="5"/>
      <c r="D37" s="4"/>
      <c r="E37" s="12"/>
      <c r="F37" s="40"/>
      <c r="G37" s="41"/>
      <c r="H37" s="40"/>
      <c r="I37" s="55"/>
      <c r="J37" s="165"/>
      <c r="K37" s="166"/>
      <c r="L37" s="165"/>
      <c r="M37" s="166"/>
      <c r="N37" s="165"/>
      <c r="O37" s="166"/>
      <c r="P37" s="165"/>
      <c r="Q37" s="166"/>
      <c r="R37" s="51"/>
      <c r="S37" s="14" t="s">
        <v>20</v>
      </c>
      <c r="T37" s="42"/>
      <c r="U37" s="247"/>
      <c r="V37" s="248"/>
      <c r="W37" s="249"/>
    </row>
    <row r="38" spans="1:23" ht="14.55" hidden="1" customHeight="1" x14ac:dyDescent="0.3">
      <c r="A38" s="181"/>
      <c r="B38" s="5"/>
      <c r="C38" s="5"/>
      <c r="D38" s="4"/>
      <c r="E38" s="13"/>
      <c r="F38" s="40"/>
      <c r="G38" s="41"/>
      <c r="H38" s="40"/>
      <c r="I38" s="55"/>
      <c r="J38" s="165"/>
      <c r="K38" s="166"/>
      <c r="L38" s="165"/>
      <c r="M38" s="166"/>
      <c r="N38" s="165"/>
      <c r="O38" s="166"/>
      <c r="P38" s="165"/>
      <c r="Q38" s="166"/>
      <c r="R38" s="51"/>
      <c r="S38" s="14" t="s">
        <v>20</v>
      </c>
      <c r="T38" s="42"/>
      <c r="U38" s="247"/>
      <c r="V38" s="248"/>
      <c r="W38" s="249"/>
    </row>
    <row r="39" spans="1:23" ht="14.55" hidden="1" customHeight="1" x14ac:dyDescent="0.3">
      <c r="A39" s="181"/>
      <c r="B39" s="5"/>
      <c r="C39" s="5"/>
      <c r="D39" s="4"/>
      <c r="E39" s="12"/>
      <c r="F39" s="40"/>
      <c r="G39" s="41"/>
      <c r="H39" s="40"/>
      <c r="I39" s="55"/>
      <c r="J39" s="165"/>
      <c r="K39" s="166"/>
      <c r="L39" s="165"/>
      <c r="M39" s="166"/>
      <c r="N39" s="165"/>
      <c r="O39" s="166"/>
      <c r="P39" s="165"/>
      <c r="Q39" s="166"/>
      <c r="R39" s="51"/>
      <c r="S39" s="14" t="s">
        <v>20</v>
      </c>
      <c r="T39" s="42"/>
      <c r="U39" s="247"/>
      <c r="V39" s="248"/>
      <c r="W39" s="249"/>
    </row>
    <row r="40" spans="1:23" ht="14.55" hidden="1" customHeight="1" x14ac:dyDescent="0.3">
      <c r="A40" s="181"/>
      <c r="B40" s="5"/>
      <c r="C40" s="5"/>
      <c r="D40" s="4"/>
      <c r="E40" s="13"/>
      <c r="F40" s="40"/>
      <c r="G40" s="41"/>
      <c r="H40" s="40"/>
      <c r="I40" s="55"/>
      <c r="J40" s="165"/>
      <c r="K40" s="166"/>
      <c r="L40" s="165"/>
      <c r="M40" s="166"/>
      <c r="N40" s="165"/>
      <c r="O40" s="166"/>
      <c r="P40" s="165"/>
      <c r="Q40" s="166"/>
      <c r="R40" s="51"/>
      <c r="S40" s="14" t="s">
        <v>20</v>
      </c>
      <c r="T40" s="42"/>
      <c r="U40" s="247"/>
      <c r="V40" s="248"/>
      <c r="W40" s="249"/>
    </row>
    <row r="41" spans="1:23" ht="14.55" hidden="1" customHeight="1" x14ac:dyDescent="0.3">
      <c r="A41" s="181"/>
      <c r="B41" s="5"/>
      <c r="C41" s="5"/>
      <c r="D41" s="4"/>
      <c r="E41" s="12"/>
      <c r="F41" s="40"/>
      <c r="G41" s="41"/>
      <c r="H41" s="40"/>
      <c r="I41" s="55"/>
      <c r="J41" s="165"/>
      <c r="K41" s="166"/>
      <c r="L41" s="165"/>
      <c r="M41" s="166"/>
      <c r="N41" s="165"/>
      <c r="O41" s="166"/>
      <c r="P41" s="165"/>
      <c r="Q41" s="166"/>
      <c r="R41" s="51"/>
      <c r="S41" s="14" t="s">
        <v>20</v>
      </c>
      <c r="T41" s="42"/>
      <c r="U41" s="247"/>
      <c r="V41" s="248"/>
      <c r="W41" s="249"/>
    </row>
    <row r="42" spans="1:23" ht="14.55" hidden="1" customHeight="1" x14ac:dyDescent="0.3">
      <c r="A42" s="181"/>
      <c r="B42" s="5"/>
      <c r="C42" s="5"/>
      <c r="D42" s="4"/>
      <c r="E42" s="12"/>
      <c r="F42" s="40"/>
      <c r="G42" s="41"/>
      <c r="H42" s="40"/>
      <c r="I42" s="55"/>
      <c r="J42" s="165"/>
      <c r="K42" s="166"/>
      <c r="L42" s="165"/>
      <c r="M42" s="166"/>
      <c r="N42" s="165"/>
      <c r="O42" s="166"/>
      <c r="P42" s="165"/>
      <c r="Q42" s="166"/>
      <c r="R42" s="51"/>
      <c r="S42" s="14" t="s">
        <v>20</v>
      </c>
      <c r="T42" s="42"/>
      <c r="U42" s="247"/>
      <c r="V42" s="248"/>
      <c r="W42" s="249"/>
    </row>
    <row r="43" spans="1:23" ht="14.55" customHeight="1" x14ac:dyDescent="0.3">
      <c r="A43" s="181"/>
      <c r="B43" s="5"/>
      <c r="C43" s="5"/>
      <c r="D43" s="4"/>
      <c r="E43" s="12"/>
      <c r="F43" s="40"/>
      <c r="G43" s="41"/>
      <c r="H43" s="40"/>
      <c r="I43" s="55"/>
      <c r="J43" s="165"/>
      <c r="K43" s="166"/>
      <c r="L43" s="165"/>
      <c r="M43" s="166"/>
      <c r="N43" s="165"/>
      <c r="O43" s="166"/>
      <c r="P43" s="165"/>
      <c r="Q43" s="166"/>
      <c r="R43" s="51"/>
      <c r="S43" s="14" t="s">
        <v>20</v>
      </c>
      <c r="T43" s="42"/>
      <c r="U43" s="247"/>
      <c r="V43" s="248"/>
      <c r="W43" s="249"/>
    </row>
    <row r="44" spans="1:23" ht="14.55" customHeight="1" x14ac:dyDescent="0.3">
      <c r="A44" s="182"/>
      <c r="B44" s="19"/>
      <c r="C44" s="19"/>
      <c r="D44" s="20"/>
      <c r="E44" s="170" t="s">
        <v>0</v>
      </c>
      <c r="F44" s="171"/>
      <c r="G44" s="171"/>
      <c r="H44" s="171"/>
      <c r="I44" s="172"/>
      <c r="J44" s="173">
        <f>SUM(J35:K43)</f>
        <v>0</v>
      </c>
      <c r="K44" s="174"/>
      <c r="L44" s="173">
        <f>SUM(L35:M43)</f>
        <v>1550</v>
      </c>
      <c r="M44" s="174"/>
      <c r="N44" s="173">
        <f>SUM(N35:O43)</f>
        <v>0</v>
      </c>
      <c r="O44" s="174"/>
      <c r="P44" s="173">
        <f>SUM(P35:Q43)</f>
        <v>0</v>
      </c>
      <c r="Q44" s="174"/>
      <c r="R44" s="23">
        <f>SUM(R35:R43)</f>
        <v>50</v>
      </c>
      <c r="S44" s="24" t="s">
        <v>20</v>
      </c>
      <c r="T44" s="19"/>
      <c r="U44" s="247"/>
      <c r="V44" s="248"/>
      <c r="W44" s="249"/>
    </row>
    <row r="45" spans="1:23" ht="14.55" customHeight="1" x14ac:dyDescent="0.3">
      <c r="A45" s="163" t="s">
        <v>34</v>
      </c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51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51"/>
      <c r="S46" s="14" t="s">
        <v>20</v>
      </c>
      <c r="T46" s="42"/>
      <c r="U46" s="177"/>
      <c r="V46" s="178"/>
      <c r="W46" s="179"/>
    </row>
    <row r="47" spans="1:23" ht="14.55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51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51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63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51"/>
      <c r="S49" s="14" t="s">
        <v>20</v>
      </c>
      <c r="T49" s="42"/>
      <c r="U49" s="177"/>
      <c r="V49" s="178"/>
      <c r="W49" s="179"/>
    </row>
    <row r="50" spans="1:23" ht="14.55" customHeight="1" x14ac:dyDescent="0.3">
      <c r="A50" s="163"/>
      <c r="B50" s="5"/>
      <c r="C50" s="5"/>
      <c r="D50" s="4"/>
      <c r="E50" s="12"/>
      <c r="F50" s="40"/>
      <c r="G50" s="41"/>
      <c r="H50" s="40"/>
      <c r="I50" s="12"/>
      <c r="J50" s="165"/>
      <c r="K50" s="166"/>
      <c r="L50" s="165"/>
      <c r="M50" s="166"/>
      <c r="N50" s="165"/>
      <c r="O50" s="166"/>
      <c r="P50" s="165"/>
      <c r="Q50" s="166"/>
      <c r="R50" s="51"/>
      <c r="S50" s="14" t="s">
        <v>20</v>
      </c>
      <c r="T50" s="42"/>
      <c r="U50" s="177"/>
      <c r="V50" s="178"/>
      <c r="W50" s="179"/>
    </row>
    <row r="51" spans="1:23" ht="14.55" customHeight="1" x14ac:dyDescent="0.3">
      <c r="A51" s="163"/>
      <c r="B51" s="5"/>
      <c r="C51" s="5"/>
      <c r="D51" s="4"/>
      <c r="E51" s="12"/>
      <c r="F51" s="40"/>
      <c r="G51" s="41"/>
      <c r="H51" s="40"/>
      <c r="I51" s="12"/>
      <c r="J51" s="165"/>
      <c r="K51" s="166"/>
      <c r="L51" s="165"/>
      <c r="M51" s="166"/>
      <c r="N51" s="165"/>
      <c r="O51" s="166"/>
      <c r="P51" s="165"/>
      <c r="Q51" s="166"/>
      <c r="R51" s="51"/>
      <c r="S51" s="14" t="s">
        <v>20</v>
      </c>
      <c r="T51" s="42"/>
      <c r="U51" s="177"/>
      <c r="V51" s="178"/>
      <c r="W51" s="179"/>
    </row>
    <row r="52" spans="1:23" ht="14.55" customHeight="1" x14ac:dyDescent="0.3">
      <c r="A52" s="163"/>
      <c r="B52" s="5"/>
      <c r="C52" s="5"/>
      <c r="D52" s="4"/>
      <c r="E52" s="12"/>
      <c r="F52" s="40"/>
      <c r="G52" s="41"/>
      <c r="H52" s="40"/>
      <c r="I52" s="12"/>
      <c r="J52" s="165"/>
      <c r="K52" s="166"/>
      <c r="L52" s="165"/>
      <c r="M52" s="166"/>
      <c r="N52" s="165"/>
      <c r="O52" s="166"/>
      <c r="P52" s="165"/>
      <c r="Q52" s="166"/>
      <c r="R52" s="51"/>
      <c r="S52" s="14" t="s">
        <v>20</v>
      </c>
      <c r="T52" s="42"/>
      <c r="U52" s="177"/>
      <c r="V52" s="178"/>
      <c r="W52" s="179"/>
    </row>
    <row r="53" spans="1:23" ht="14.55" customHeight="1" x14ac:dyDescent="0.3">
      <c r="A53" s="163"/>
      <c r="B53" s="5"/>
      <c r="C53" s="5"/>
      <c r="D53" s="4"/>
      <c r="E53" s="12"/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51"/>
      <c r="S53" s="14" t="s">
        <v>20</v>
      </c>
      <c r="T53" s="42"/>
      <c r="U53" s="177"/>
      <c r="V53" s="178"/>
      <c r="W53" s="179"/>
    </row>
    <row r="54" spans="1:23" ht="14.55" customHeight="1" x14ac:dyDescent="0.3">
      <c r="A54" s="164"/>
      <c r="B54" s="19"/>
      <c r="C54" s="19"/>
      <c r="D54" s="20"/>
      <c r="E54" s="170" t="s">
        <v>0</v>
      </c>
      <c r="F54" s="171"/>
      <c r="G54" s="171"/>
      <c r="H54" s="171"/>
      <c r="I54" s="172"/>
      <c r="J54" s="173">
        <f>SUM(J45:K53)</f>
        <v>0</v>
      </c>
      <c r="K54" s="174"/>
      <c r="L54" s="173">
        <f>SUM(L45:M53)</f>
        <v>0</v>
      </c>
      <c r="M54" s="174"/>
      <c r="N54" s="173">
        <f>SUM(N45:O53)</f>
        <v>0</v>
      </c>
      <c r="O54" s="174"/>
      <c r="P54" s="173">
        <f>SUM(P45:Q53)</f>
        <v>0</v>
      </c>
      <c r="Q54" s="174"/>
      <c r="R54" s="23">
        <f>SUM(R45:R53)</f>
        <v>0</v>
      </c>
      <c r="S54" s="24" t="s">
        <v>20</v>
      </c>
      <c r="T54" s="19"/>
      <c r="U54" s="177"/>
      <c r="V54" s="178"/>
      <c r="W54" s="179"/>
    </row>
    <row r="55" spans="1:23" ht="14.55" customHeight="1" x14ac:dyDescent="0.3">
      <c r="A55" s="163" t="s">
        <v>35</v>
      </c>
      <c r="B55" s="5">
        <v>0.33333333333333331</v>
      </c>
      <c r="C55" s="5"/>
      <c r="D55" s="4" t="s">
        <v>79</v>
      </c>
      <c r="E55" s="12" t="s">
        <v>176</v>
      </c>
      <c r="F55" s="40">
        <v>304</v>
      </c>
      <c r="G55" s="41">
        <v>0.9</v>
      </c>
      <c r="H55" s="40">
        <v>360</v>
      </c>
      <c r="I55" s="12"/>
      <c r="J55" s="165"/>
      <c r="K55" s="166"/>
      <c r="L55" s="165"/>
      <c r="M55" s="166"/>
      <c r="N55" s="165">
        <v>750</v>
      </c>
      <c r="O55" s="166"/>
      <c r="P55" s="165"/>
      <c r="Q55" s="166"/>
      <c r="R55" s="51">
        <v>50</v>
      </c>
      <c r="S55" s="14" t="s">
        <v>20</v>
      </c>
      <c r="T55" s="42" t="s">
        <v>191</v>
      </c>
      <c r="U55" s="247" t="s">
        <v>192</v>
      </c>
      <c r="V55" s="248"/>
      <c r="W55" s="249"/>
    </row>
    <row r="56" spans="1:23" ht="14.55" customHeight="1" x14ac:dyDescent="0.3">
      <c r="A56" s="163"/>
      <c r="B56" s="5"/>
      <c r="C56" s="5">
        <v>0.70833333333333337</v>
      </c>
      <c r="D56" s="4" t="s">
        <v>79</v>
      </c>
      <c r="E56" s="12" t="s">
        <v>194</v>
      </c>
      <c r="F56" s="40">
        <v>304</v>
      </c>
      <c r="G56" s="41">
        <v>0.9</v>
      </c>
      <c r="H56" s="40">
        <v>360</v>
      </c>
      <c r="I56" s="12"/>
      <c r="J56" s="165"/>
      <c r="K56" s="166"/>
      <c r="L56" s="165"/>
      <c r="M56" s="166"/>
      <c r="N56" s="165">
        <v>500</v>
      </c>
      <c r="O56" s="166"/>
      <c r="P56" s="165"/>
      <c r="Q56" s="166"/>
      <c r="R56" s="51">
        <v>60</v>
      </c>
      <c r="S56" s="14" t="s">
        <v>20</v>
      </c>
      <c r="T56" s="42" t="s">
        <v>195</v>
      </c>
      <c r="U56" s="247"/>
      <c r="V56" s="248"/>
      <c r="W56" s="249"/>
    </row>
    <row r="57" spans="1:23" ht="14.55" hidden="1" customHeight="1" x14ac:dyDescent="0.3">
      <c r="A57" s="163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51">
        <v>30</v>
      </c>
      <c r="S57" s="14" t="s">
        <v>20</v>
      </c>
      <c r="T57" s="42" t="s">
        <v>196</v>
      </c>
      <c r="U57" s="247"/>
      <c r="V57" s="248"/>
      <c r="W57" s="249"/>
    </row>
    <row r="58" spans="1:23" ht="14.55" hidden="1" customHeight="1" x14ac:dyDescent="0.3">
      <c r="A58" s="163"/>
      <c r="B58" s="5"/>
      <c r="C58" s="5"/>
      <c r="D58" s="4"/>
      <c r="E58" s="12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51"/>
      <c r="S58" s="14" t="s">
        <v>20</v>
      </c>
      <c r="T58" s="42"/>
      <c r="U58" s="247"/>
      <c r="V58" s="248"/>
      <c r="W58" s="249"/>
    </row>
    <row r="59" spans="1:23" ht="14.55" hidden="1" customHeight="1" x14ac:dyDescent="0.3">
      <c r="A59" s="163"/>
      <c r="B59" s="5"/>
      <c r="C59" s="5"/>
      <c r="D59" s="4"/>
      <c r="E59" s="12"/>
      <c r="F59" s="40"/>
      <c r="G59" s="41"/>
      <c r="H59" s="40"/>
      <c r="I59" s="12"/>
      <c r="J59" s="165"/>
      <c r="K59" s="166"/>
      <c r="L59" s="165"/>
      <c r="M59" s="166"/>
      <c r="N59" s="165"/>
      <c r="O59" s="166"/>
      <c r="P59" s="165"/>
      <c r="Q59" s="166"/>
      <c r="R59" s="51"/>
      <c r="S59" s="14" t="s">
        <v>20</v>
      </c>
      <c r="T59" s="42"/>
      <c r="U59" s="247"/>
      <c r="V59" s="248"/>
      <c r="W59" s="249"/>
    </row>
    <row r="60" spans="1:23" ht="14.55" hidden="1" customHeight="1" x14ac:dyDescent="0.3">
      <c r="A60" s="163"/>
      <c r="B60" s="5"/>
      <c r="C60" s="5"/>
      <c r="D60" s="4"/>
      <c r="E60" s="12"/>
      <c r="F60" s="40"/>
      <c r="G60" s="41"/>
      <c r="H60" s="40"/>
      <c r="I60" s="12"/>
      <c r="J60" s="165"/>
      <c r="K60" s="166"/>
      <c r="L60" s="165"/>
      <c r="M60" s="166"/>
      <c r="N60" s="165"/>
      <c r="O60" s="166"/>
      <c r="P60" s="165"/>
      <c r="Q60" s="166"/>
      <c r="R60" s="51"/>
      <c r="S60" s="14" t="s">
        <v>20</v>
      </c>
      <c r="T60" s="42"/>
      <c r="U60" s="247"/>
      <c r="V60" s="248"/>
      <c r="W60" s="249"/>
    </row>
    <row r="61" spans="1:23" ht="14.55" hidden="1" customHeight="1" x14ac:dyDescent="0.3">
      <c r="A61" s="163"/>
      <c r="B61" s="5"/>
      <c r="C61" s="5"/>
      <c r="D61" s="4"/>
      <c r="E61" s="12"/>
      <c r="F61" s="40"/>
      <c r="G61" s="41"/>
      <c r="H61" s="40"/>
      <c r="I61" s="12"/>
      <c r="J61" s="165"/>
      <c r="K61" s="166"/>
      <c r="L61" s="165"/>
      <c r="M61" s="166"/>
      <c r="N61" s="165"/>
      <c r="O61" s="166"/>
      <c r="P61" s="165"/>
      <c r="Q61" s="166"/>
      <c r="R61" s="51"/>
      <c r="S61" s="14" t="s">
        <v>20</v>
      </c>
      <c r="T61" s="42"/>
      <c r="U61" s="247"/>
      <c r="V61" s="248"/>
      <c r="W61" s="249"/>
    </row>
    <row r="62" spans="1:23" ht="14.55" hidden="1" customHeight="1" x14ac:dyDescent="0.3">
      <c r="A62" s="163"/>
      <c r="B62" s="5"/>
      <c r="C62" s="5"/>
      <c r="D62" s="4"/>
      <c r="E62" s="12"/>
      <c r="F62" s="40"/>
      <c r="G62" s="41"/>
      <c r="H62" s="40"/>
      <c r="I62" s="12"/>
      <c r="J62" s="165"/>
      <c r="K62" s="166"/>
      <c r="L62" s="165"/>
      <c r="M62" s="166"/>
      <c r="N62" s="165"/>
      <c r="O62" s="166"/>
      <c r="P62" s="165"/>
      <c r="Q62" s="166"/>
      <c r="R62" s="51"/>
      <c r="S62" s="14" t="s">
        <v>20</v>
      </c>
      <c r="T62" s="42"/>
      <c r="U62" s="247"/>
      <c r="V62" s="248"/>
      <c r="W62" s="249"/>
    </row>
    <row r="63" spans="1:23" ht="14.55" customHeight="1" x14ac:dyDescent="0.3">
      <c r="A63" s="163"/>
      <c r="B63" s="5"/>
      <c r="C63" s="5"/>
      <c r="D63" s="4"/>
      <c r="E63" s="12"/>
      <c r="F63" s="40"/>
      <c r="G63" s="41"/>
      <c r="H63" s="40"/>
      <c r="I63" s="12"/>
      <c r="J63" s="165"/>
      <c r="K63" s="166"/>
      <c r="L63" s="165"/>
      <c r="M63" s="166"/>
      <c r="N63" s="165"/>
      <c r="O63" s="166"/>
      <c r="P63" s="165"/>
      <c r="Q63" s="166"/>
      <c r="R63" s="51"/>
      <c r="S63" s="14" t="s">
        <v>20</v>
      </c>
      <c r="T63" s="42"/>
      <c r="U63" s="247"/>
      <c r="V63" s="248"/>
      <c r="W63" s="249"/>
    </row>
    <row r="64" spans="1:23" ht="14.55" customHeight="1" x14ac:dyDescent="0.3">
      <c r="A64" s="164"/>
      <c r="B64" s="19"/>
      <c r="C64" s="19"/>
      <c r="D64" s="20"/>
      <c r="E64" s="170" t="s">
        <v>0</v>
      </c>
      <c r="F64" s="171"/>
      <c r="G64" s="171"/>
      <c r="H64" s="171"/>
      <c r="I64" s="172"/>
      <c r="J64" s="173">
        <f>SUM(J55:K63)</f>
        <v>0</v>
      </c>
      <c r="K64" s="174"/>
      <c r="L64" s="173">
        <f>SUM(L55:M63)</f>
        <v>0</v>
      </c>
      <c r="M64" s="174"/>
      <c r="N64" s="173">
        <f>SUM(N55:O63)</f>
        <v>1250</v>
      </c>
      <c r="O64" s="174"/>
      <c r="P64" s="173">
        <f>SUM(P55:Q63)</f>
        <v>0</v>
      </c>
      <c r="Q64" s="174"/>
      <c r="R64" s="23">
        <f>SUM(R55:R63)</f>
        <v>140</v>
      </c>
      <c r="S64" s="24" t="s">
        <v>20</v>
      </c>
      <c r="T64" s="19"/>
      <c r="U64" s="247"/>
      <c r="V64" s="248"/>
      <c r="W64" s="249"/>
    </row>
    <row r="65" spans="1:23" ht="14.55" customHeight="1" x14ac:dyDescent="0.3">
      <c r="A65" s="27"/>
      <c r="B65" s="27"/>
      <c r="C65" s="27"/>
      <c r="D65" s="27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27"/>
      <c r="S65" s="27"/>
      <c r="T65" s="39"/>
      <c r="U65" s="39"/>
      <c r="V65" s="39"/>
      <c r="W65" s="39"/>
    </row>
    <row r="66" spans="1:23" x14ac:dyDescent="0.3">
      <c r="E66" s="170" t="s">
        <v>31</v>
      </c>
      <c r="F66" s="171"/>
      <c r="G66" s="171"/>
      <c r="H66" s="171"/>
      <c r="I66" s="172"/>
      <c r="J66" s="175" t="s">
        <v>7</v>
      </c>
      <c r="K66" s="176"/>
      <c r="L66" s="175" t="s">
        <v>8</v>
      </c>
      <c r="M66" s="176"/>
      <c r="N66" s="175" t="s">
        <v>9</v>
      </c>
      <c r="O66" s="176"/>
      <c r="P66" s="175" t="s">
        <v>16</v>
      </c>
      <c r="Q66" s="176"/>
    </row>
    <row r="67" spans="1:23" s="2" customFormat="1" x14ac:dyDescent="0.3">
      <c r="E67" s="15"/>
      <c r="F67" s="15"/>
      <c r="G67" s="15"/>
      <c r="H67" s="15"/>
      <c r="I67" s="15"/>
      <c r="J67" s="30">
        <f>J44+J54+J64</f>
        <v>0</v>
      </c>
      <c r="K67" s="31" t="s">
        <v>17</v>
      </c>
      <c r="L67" s="30">
        <f>L44+L54+L64</f>
        <v>1550</v>
      </c>
      <c r="M67" s="31" t="s">
        <v>17</v>
      </c>
      <c r="N67" s="30">
        <f>N44+N54+N64</f>
        <v>1250</v>
      </c>
      <c r="O67" s="31" t="s">
        <v>17</v>
      </c>
      <c r="P67" s="30">
        <f>P44+P54+P64</f>
        <v>0</v>
      </c>
      <c r="Q67" s="34" t="s">
        <v>17</v>
      </c>
    </row>
    <row r="68" spans="1:23" ht="24.45" customHeight="1" x14ac:dyDescent="0.3">
      <c r="E68" s="28"/>
      <c r="F68" s="28"/>
      <c r="G68" s="28"/>
      <c r="H68" s="28"/>
      <c r="I68" s="28"/>
      <c r="J68" s="167">
        <f>J67+L67+N67+P67</f>
        <v>2800</v>
      </c>
      <c r="K68" s="168"/>
      <c r="L68" s="168"/>
      <c r="M68" s="168"/>
      <c r="N68" s="168"/>
      <c r="O68" s="168"/>
      <c r="P68" s="168"/>
      <c r="Q68" s="169"/>
    </row>
    <row r="69" spans="1:23" ht="30" customHeight="1" x14ac:dyDescent="0.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</row>
    <row r="70" spans="1:23" s="37" customFormat="1" ht="19.95" customHeight="1" x14ac:dyDescent="0.4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214" t="s">
        <v>14</v>
      </c>
      <c r="R70" s="215"/>
      <c r="S70" s="216"/>
      <c r="T70" s="184">
        <f>T3</f>
        <v>45922</v>
      </c>
      <c r="U70" s="185"/>
      <c r="V70" s="185"/>
      <c r="W70" s="186"/>
    </row>
    <row r="71" spans="1:23" s="16" customFormat="1" ht="30" customHeight="1" x14ac:dyDescent="0.3">
      <c r="A71" s="187" t="s">
        <v>26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9"/>
      <c r="Q71" s="189"/>
      <c r="R71" s="189"/>
      <c r="S71" s="189"/>
      <c r="T71" s="188"/>
      <c r="U71" s="188"/>
      <c r="V71" s="188"/>
      <c r="W71" s="190"/>
    </row>
    <row r="72" spans="1:23" s="26" customFormat="1" ht="13.8" x14ac:dyDescent="0.3">
      <c r="A72" s="191" t="s">
        <v>1</v>
      </c>
      <c r="B72" s="192" t="s">
        <v>2</v>
      </c>
      <c r="C72" s="192" t="s">
        <v>3</v>
      </c>
      <c r="D72" s="192" t="s">
        <v>4</v>
      </c>
      <c r="E72" s="193" t="s">
        <v>5</v>
      </c>
      <c r="F72" s="197"/>
      <c r="G72" s="197"/>
      <c r="H72" s="197"/>
      <c r="I72" s="198"/>
      <c r="J72" s="193" t="s">
        <v>6</v>
      </c>
      <c r="K72" s="197"/>
      <c r="L72" s="197"/>
      <c r="M72" s="197"/>
      <c r="N72" s="197"/>
      <c r="O72" s="197"/>
      <c r="P72" s="197"/>
      <c r="Q72" s="198"/>
      <c r="R72" s="193" t="s">
        <v>10</v>
      </c>
      <c r="S72" s="198"/>
      <c r="T72" s="191" t="s">
        <v>11</v>
      </c>
      <c r="U72" s="191" t="s">
        <v>12</v>
      </c>
      <c r="V72" s="191"/>
      <c r="W72" s="191"/>
    </row>
    <row r="73" spans="1:23" s="26" customFormat="1" ht="13.8" x14ac:dyDescent="0.3">
      <c r="A73" s="191"/>
      <c r="B73" s="192"/>
      <c r="C73" s="192"/>
      <c r="D73" s="192"/>
      <c r="E73" s="194"/>
      <c r="F73" s="217"/>
      <c r="G73" s="217"/>
      <c r="H73" s="217"/>
      <c r="I73" s="199"/>
      <c r="J73" s="200" t="s">
        <v>7</v>
      </c>
      <c r="K73" s="201"/>
      <c r="L73" s="200" t="s">
        <v>8</v>
      </c>
      <c r="M73" s="201"/>
      <c r="N73" s="200" t="s">
        <v>9</v>
      </c>
      <c r="O73" s="201"/>
      <c r="P73" s="200" t="s">
        <v>16</v>
      </c>
      <c r="Q73" s="201"/>
      <c r="R73" s="194"/>
      <c r="S73" s="199"/>
      <c r="T73" s="191"/>
      <c r="U73" s="191"/>
      <c r="V73" s="191"/>
      <c r="W73" s="191"/>
    </row>
    <row r="74" spans="1:23" x14ac:dyDescent="0.3">
      <c r="A74" s="180" t="s">
        <v>13</v>
      </c>
      <c r="B74" s="5">
        <v>0.33333333333333331</v>
      </c>
      <c r="C74" s="5"/>
      <c r="D74" s="50">
        <v>210825</v>
      </c>
      <c r="E74" s="211" t="s">
        <v>168</v>
      </c>
      <c r="F74" s="212"/>
      <c r="G74" s="212"/>
      <c r="H74" s="212"/>
      <c r="I74" s="213"/>
      <c r="J74" s="165"/>
      <c r="K74" s="166"/>
      <c r="L74" s="165">
        <v>2125</v>
      </c>
      <c r="M74" s="166"/>
      <c r="N74" s="165"/>
      <c r="O74" s="166"/>
      <c r="P74" s="165"/>
      <c r="Q74" s="166"/>
      <c r="R74" s="51">
        <v>50</v>
      </c>
      <c r="S74" s="6" t="s">
        <v>20</v>
      </c>
      <c r="T74" s="3" t="s">
        <v>191</v>
      </c>
      <c r="U74" s="202" t="s">
        <v>192</v>
      </c>
      <c r="V74" s="203"/>
      <c r="W74" s="204"/>
    </row>
    <row r="75" spans="1:23" x14ac:dyDescent="0.3">
      <c r="A75" s="163"/>
      <c r="B75" s="5"/>
      <c r="C75" s="5"/>
      <c r="D75" s="4"/>
      <c r="E75" s="211" t="s">
        <v>197</v>
      </c>
      <c r="F75" s="212"/>
      <c r="G75" s="212"/>
      <c r="H75" s="212"/>
      <c r="I75" s="213"/>
      <c r="J75" s="165">
        <v>38</v>
      </c>
      <c r="K75" s="166"/>
      <c r="L75" s="165"/>
      <c r="M75" s="166"/>
      <c r="N75" s="165"/>
      <c r="O75" s="166"/>
      <c r="P75" s="165"/>
      <c r="Q75" s="166"/>
      <c r="R75" s="51">
        <v>30</v>
      </c>
      <c r="S75" s="6" t="s">
        <v>20</v>
      </c>
      <c r="T75" s="3" t="s">
        <v>93</v>
      </c>
      <c r="U75" s="205"/>
      <c r="V75" s="206"/>
      <c r="W75" s="207"/>
    </row>
    <row r="76" spans="1:23" x14ac:dyDescent="0.3">
      <c r="A76" s="163"/>
      <c r="B76" s="5"/>
      <c r="C76" s="5">
        <v>0.70833333333333337</v>
      </c>
      <c r="D76" s="4">
        <v>10925</v>
      </c>
      <c r="E76" s="211" t="s">
        <v>198</v>
      </c>
      <c r="F76" s="212"/>
      <c r="G76" s="212"/>
      <c r="H76" s="212"/>
      <c r="I76" s="213"/>
      <c r="J76" s="165"/>
      <c r="K76" s="166"/>
      <c r="L76" s="165"/>
      <c r="M76" s="166"/>
      <c r="N76" s="165">
        <v>874</v>
      </c>
      <c r="O76" s="166"/>
      <c r="P76" s="165"/>
      <c r="Q76" s="166"/>
      <c r="R76" s="51">
        <v>30</v>
      </c>
      <c r="S76" s="6" t="s">
        <v>20</v>
      </c>
      <c r="T76" s="3" t="s">
        <v>93</v>
      </c>
      <c r="U76" s="205"/>
      <c r="V76" s="206"/>
      <c r="W76" s="207"/>
    </row>
    <row r="77" spans="1:23" hidden="1" x14ac:dyDescent="0.3">
      <c r="A77" s="163"/>
      <c r="B77" s="5"/>
      <c r="C77" s="5"/>
      <c r="D77" s="4"/>
      <c r="E77" s="211"/>
      <c r="F77" s="212"/>
      <c r="G77" s="212"/>
      <c r="H77" s="212"/>
      <c r="I77" s="213"/>
      <c r="J77" s="165"/>
      <c r="K77" s="166"/>
      <c r="L77" s="165"/>
      <c r="M77" s="166"/>
      <c r="N77" s="165"/>
      <c r="O77" s="166"/>
      <c r="P77" s="165"/>
      <c r="Q77" s="166"/>
      <c r="R77" s="51"/>
      <c r="S77" s="6" t="s">
        <v>20</v>
      </c>
      <c r="T77" s="3"/>
      <c r="U77" s="205"/>
      <c r="V77" s="206"/>
      <c r="W77" s="207"/>
    </row>
    <row r="78" spans="1:23" hidden="1" x14ac:dyDescent="0.3">
      <c r="A78" s="163"/>
      <c r="B78" s="5"/>
      <c r="C78" s="5"/>
      <c r="D78" s="4"/>
      <c r="E78" s="211"/>
      <c r="F78" s="212"/>
      <c r="G78" s="212"/>
      <c r="H78" s="212"/>
      <c r="I78" s="213"/>
      <c r="J78" s="165"/>
      <c r="K78" s="166"/>
      <c r="L78" s="165"/>
      <c r="M78" s="166"/>
      <c r="N78" s="165"/>
      <c r="O78" s="166"/>
      <c r="P78" s="165"/>
      <c r="Q78" s="166"/>
      <c r="R78" s="51"/>
      <c r="S78" s="6" t="s">
        <v>20</v>
      </c>
      <c r="T78" s="3"/>
      <c r="U78" s="205"/>
      <c r="V78" s="206"/>
      <c r="W78" s="207"/>
    </row>
    <row r="79" spans="1:23" hidden="1" x14ac:dyDescent="0.3">
      <c r="A79" s="163"/>
      <c r="B79" s="5"/>
      <c r="C79" s="5"/>
      <c r="D79" s="4"/>
      <c r="E79" s="211"/>
      <c r="F79" s="212"/>
      <c r="G79" s="212"/>
      <c r="H79" s="212"/>
      <c r="I79" s="213"/>
      <c r="J79" s="165"/>
      <c r="K79" s="166"/>
      <c r="L79" s="165"/>
      <c r="M79" s="166"/>
      <c r="N79" s="165"/>
      <c r="O79" s="166"/>
      <c r="P79" s="165"/>
      <c r="Q79" s="166"/>
      <c r="R79" s="51"/>
      <c r="S79" s="6" t="s">
        <v>20</v>
      </c>
      <c r="T79" s="3"/>
      <c r="U79" s="205"/>
      <c r="V79" s="206"/>
      <c r="W79" s="207"/>
    </row>
    <row r="80" spans="1:23" x14ac:dyDescent="0.3">
      <c r="A80" s="163"/>
      <c r="B80" s="5"/>
      <c r="C80" s="5"/>
      <c r="D80" s="4"/>
      <c r="E80" s="211"/>
      <c r="F80" s="212"/>
      <c r="G80" s="212"/>
      <c r="H80" s="212"/>
      <c r="I80" s="213"/>
      <c r="J80" s="165"/>
      <c r="K80" s="166"/>
      <c r="L80" s="165"/>
      <c r="M80" s="166"/>
      <c r="N80" s="165"/>
      <c r="O80" s="166"/>
      <c r="P80" s="165"/>
      <c r="Q80" s="166"/>
      <c r="R80" s="51"/>
      <c r="S80" s="6" t="s">
        <v>20</v>
      </c>
      <c r="T80" s="3"/>
      <c r="U80" s="205"/>
      <c r="V80" s="206"/>
      <c r="W80" s="207"/>
    </row>
    <row r="81" spans="1:23" x14ac:dyDescent="0.3">
      <c r="A81" s="164"/>
      <c r="B81" s="19"/>
      <c r="C81" s="19"/>
      <c r="D81" s="20"/>
      <c r="E81" s="170" t="s">
        <v>0</v>
      </c>
      <c r="F81" s="171"/>
      <c r="G81" s="171"/>
      <c r="H81" s="171"/>
      <c r="I81" s="172"/>
      <c r="J81" s="173">
        <f>SUM(J74:J80)</f>
        <v>38</v>
      </c>
      <c r="K81" s="174"/>
      <c r="L81" s="173">
        <f>SUM(L74:L80)</f>
        <v>2125</v>
      </c>
      <c r="M81" s="174"/>
      <c r="N81" s="173">
        <f>SUM(N74:N80)</f>
        <v>874</v>
      </c>
      <c r="O81" s="174"/>
      <c r="P81" s="173">
        <f>SUM(P74:P80)</f>
        <v>0</v>
      </c>
      <c r="Q81" s="174"/>
      <c r="R81" s="23">
        <f>SUM(R74:R80)</f>
        <v>110</v>
      </c>
      <c r="S81" s="24" t="s">
        <v>20</v>
      </c>
      <c r="T81" s="19"/>
      <c r="U81" s="208"/>
      <c r="V81" s="209"/>
      <c r="W81" s="210"/>
    </row>
    <row r="82" spans="1:23" x14ac:dyDescent="0.3">
      <c r="A82" s="180" t="s">
        <v>15</v>
      </c>
      <c r="B82" s="5"/>
      <c r="C82" s="5"/>
      <c r="D82" s="4"/>
      <c r="E82" s="211"/>
      <c r="F82" s="212"/>
      <c r="G82" s="212"/>
      <c r="H82" s="212"/>
      <c r="I82" s="213"/>
      <c r="J82" s="165"/>
      <c r="K82" s="166"/>
      <c r="L82" s="165"/>
      <c r="M82" s="166"/>
      <c r="N82" s="165"/>
      <c r="O82" s="166"/>
      <c r="P82" s="165"/>
      <c r="Q82" s="166"/>
      <c r="R82" s="51"/>
      <c r="S82" s="6" t="s">
        <v>20</v>
      </c>
      <c r="T82" s="3"/>
      <c r="U82" s="202"/>
      <c r="V82" s="203"/>
      <c r="W82" s="204"/>
    </row>
    <row r="83" spans="1:23" x14ac:dyDescent="0.3">
      <c r="A83" s="163"/>
      <c r="B83" s="5"/>
      <c r="C83" s="5"/>
      <c r="D83" s="4"/>
      <c r="E83" s="211"/>
      <c r="F83" s="212"/>
      <c r="G83" s="212"/>
      <c r="H83" s="212"/>
      <c r="I83" s="213"/>
      <c r="J83" s="165"/>
      <c r="K83" s="166"/>
      <c r="L83" s="165"/>
      <c r="M83" s="166"/>
      <c r="N83" s="165"/>
      <c r="O83" s="166"/>
      <c r="P83" s="165"/>
      <c r="Q83" s="166"/>
      <c r="R83" s="51"/>
      <c r="S83" s="6" t="s">
        <v>20</v>
      </c>
      <c r="T83" s="3"/>
      <c r="U83" s="205"/>
      <c r="V83" s="206"/>
      <c r="W83" s="207"/>
    </row>
    <row r="84" spans="1:23" x14ac:dyDescent="0.3">
      <c r="A84" s="163"/>
      <c r="B84" s="5"/>
      <c r="C84" s="5"/>
      <c r="D84" s="4"/>
      <c r="E84" s="211"/>
      <c r="F84" s="212"/>
      <c r="G84" s="212"/>
      <c r="H84" s="212"/>
      <c r="I84" s="213"/>
      <c r="J84" s="165"/>
      <c r="K84" s="166"/>
      <c r="L84" s="165"/>
      <c r="M84" s="166"/>
      <c r="N84" s="165"/>
      <c r="O84" s="166"/>
      <c r="P84" s="165"/>
      <c r="Q84" s="166"/>
      <c r="R84" s="51"/>
      <c r="S84" s="6" t="s">
        <v>20</v>
      </c>
      <c r="T84" s="3"/>
      <c r="U84" s="205"/>
      <c r="V84" s="206"/>
      <c r="W84" s="207"/>
    </row>
    <row r="85" spans="1:23" x14ac:dyDescent="0.3">
      <c r="A85" s="164"/>
      <c r="B85" s="19"/>
      <c r="C85" s="19"/>
      <c r="D85" s="20"/>
      <c r="E85" s="170" t="s">
        <v>0</v>
      </c>
      <c r="F85" s="171"/>
      <c r="G85" s="171"/>
      <c r="H85" s="171"/>
      <c r="I85" s="172"/>
      <c r="J85" s="173">
        <f>SUM(J82:J84)</f>
        <v>0</v>
      </c>
      <c r="K85" s="174"/>
      <c r="L85" s="173">
        <f>SUM(L82:L84)</f>
        <v>0</v>
      </c>
      <c r="M85" s="174"/>
      <c r="N85" s="173">
        <f>SUM(N82:N84)</f>
        <v>0</v>
      </c>
      <c r="O85" s="174"/>
      <c r="P85" s="173">
        <f>SUM(P77:P84)</f>
        <v>0</v>
      </c>
      <c r="Q85" s="174"/>
      <c r="R85" s="23">
        <f>SUM(R82:R84)</f>
        <v>0</v>
      </c>
      <c r="S85" s="24" t="s">
        <v>20</v>
      </c>
      <c r="T85" s="7"/>
      <c r="U85" s="208"/>
      <c r="V85" s="209"/>
      <c r="W85" s="210"/>
    </row>
    <row r="86" spans="1:23" x14ac:dyDescent="0.3">
      <c r="A86" s="180" t="s">
        <v>37</v>
      </c>
      <c r="B86" s="5"/>
      <c r="C86" s="5"/>
      <c r="D86" s="4"/>
      <c r="E86" s="211"/>
      <c r="F86" s="212"/>
      <c r="G86" s="212"/>
      <c r="H86" s="212"/>
      <c r="I86" s="213"/>
      <c r="J86" s="165"/>
      <c r="K86" s="166"/>
      <c r="L86" s="165"/>
      <c r="M86" s="166"/>
      <c r="N86" s="165"/>
      <c r="O86" s="166"/>
      <c r="P86" s="165"/>
      <c r="Q86" s="166"/>
      <c r="R86" s="51"/>
      <c r="S86" s="6" t="s">
        <v>20</v>
      </c>
      <c r="T86" s="3"/>
      <c r="U86" s="202" t="s">
        <v>199</v>
      </c>
      <c r="V86" s="203"/>
      <c r="W86" s="204"/>
    </row>
    <row r="87" spans="1:23" hidden="1" x14ac:dyDescent="0.3">
      <c r="A87" s="163"/>
      <c r="B87" s="5"/>
      <c r="C87" s="5"/>
      <c r="D87" s="4"/>
      <c r="E87" s="211"/>
      <c r="F87" s="212"/>
      <c r="G87" s="212"/>
      <c r="H87" s="212"/>
      <c r="I87" s="213"/>
      <c r="J87" s="165"/>
      <c r="K87" s="166"/>
      <c r="L87" s="165"/>
      <c r="M87" s="166"/>
      <c r="N87" s="165"/>
      <c r="O87" s="166"/>
      <c r="P87" s="165"/>
      <c r="Q87" s="166"/>
      <c r="R87" s="51"/>
      <c r="S87" s="6" t="s">
        <v>20</v>
      </c>
      <c r="T87" s="3"/>
      <c r="U87" s="205"/>
      <c r="V87" s="206"/>
      <c r="W87" s="207"/>
    </row>
    <row r="88" spans="1:23" hidden="1" x14ac:dyDescent="0.3">
      <c r="A88" s="163"/>
      <c r="B88" s="5"/>
      <c r="C88" s="5"/>
      <c r="D88" s="4"/>
      <c r="E88" s="211"/>
      <c r="F88" s="212"/>
      <c r="G88" s="212"/>
      <c r="H88" s="212"/>
      <c r="I88" s="213"/>
      <c r="J88" s="165"/>
      <c r="K88" s="166"/>
      <c r="L88" s="165"/>
      <c r="M88" s="166"/>
      <c r="N88" s="165"/>
      <c r="O88" s="166"/>
      <c r="P88" s="165"/>
      <c r="Q88" s="166"/>
      <c r="R88" s="51"/>
      <c r="S88" s="6" t="s">
        <v>20</v>
      </c>
      <c r="T88" s="3"/>
      <c r="U88" s="205"/>
      <c r="V88" s="206"/>
      <c r="W88" s="207"/>
    </row>
    <row r="89" spans="1:23" hidden="1" x14ac:dyDescent="0.3">
      <c r="A89" s="163"/>
      <c r="B89" s="5"/>
      <c r="C89" s="5"/>
      <c r="D89" s="4"/>
      <c r="E89" s="211"/>
      <c r="F89" s="212"/>
      <c r="G89" s="212"/>
      <c r="H89" s="212"/>
      <c r="I89" s="213"/>
      <c r="J89" s="165"/>
      <c r="K89" s="166"/>
      <c r="L89" s="165"/>
      <c r="M89" s="166"/>
      <c r="N89" s="165"/>
      <c r="O89" s="166"/>
      <c r="P89" s="165"/>
      <c r="Q89" s="166"/>
      <c r="R89" s="51"/>
      <c r="S89" s="6" t="s">
        <v>20</v>
      </c>
      <c r="T89" s="3"/>
      <c r="U89" s="205"/>
      <c r="V89" s="206"/>
      <c r="W89" s="207"/>
    </row>
    <row r="90" spans="1:23" hidden="1" x14ac:dyDescent="0.3">
      <c r="A90" s="163"/>
      <c r="B90" s="5"/>
      <c r="C90" s="5"/>
      <c r="D90" s="4"/>
      <c r="E90" s="211"/>
      <c r="F90" s="212"/>
      <c r="G90" s="212"/>
      <c r="H90" s="212"/>
      <c r="I90" s="213"/>
      <c r="J90" s="165"/>
      <c r="K90" s="166"/>
      <c r="L90" s="165"/>
      <c r="M90" s="166"/>
      <c r="N90" s="165"/>
      <c r="O90" s="166"/>
      <c r="P90" s="165"/>
      <c r="Q90" s="166"/>
      <c r="R90" s="51"/>
      <c r="S90" s="6" t="s">
        <v>20</v>
      </c>
      <c r="T90" s="3"/>
      <c r="U90" s="205"/>
      <c r="V90" s="206"/>
      <c r="W90" s="207"/>
    </row>
    <row r="91" spans="1:23" x14ac:dyDescent="0.3">
      <c r="A91" s="163"/>
      <c r="B91" s="5"/>
      <c r="C91" s="5"/>
      <c r="D91" s="4"/>
      <c r="E91" s="211"/>
      <c r="F91" s="212"/>
      <c r="G91" s="212"/>
      <c r="H91" s="212"/>
      <c r="I91" s="213"/>
      <c r="J91" s="165"/>
      <c r="K91" s="166"/>
      <c r="L91" s="165"/>
      <c r="M91" s="166"/>
      <c r="N91" s="165"/>
      <c r="O91" s="166"/>
      <c r="P91" s="165"/>
      <c r="Q91" s="166"/>
      <c r="R91" s="51"/>
      <c r="S91" s="6" t="s">
        <v>20</v>
      </c>
      <c r="T91" s="3"/>
      <c r="U91" s="205"/>
      <c r="V91" s="206"/>
      <c r="W91" s="207"/>
    </row>
    <row r="92" spans="1:23" x14ac:dyDescent="0.3">
      <c r="A92" s="163"/>
      <c r="B92" s="5"/>
      <c r="C92" s="5"/>
      <c r="D92" s="4"/>
      <c r="E92" s="211"/>
      <c r="F92" s="212"/>
      <c r="G92" s="212"/>
      <c r="H92" s="212"/>
      <c r="I92" s="213"/>
      <c r="J92" s="165"/>
      <c r="K92" s="166"/>
      <c r="L92" s="165"/>
      <c r="M92" s="166"/>
      <c r="N92" s="165"/>
      <c r="O92" s="166"/>
      <c r="P92" s="165"/>
      <c r="Q92" s="166"/>
      <c r="R92" s="51"/>
      <c r="S92" s="6" t="s">
        <v>20</v>
      </c>
      <c r="T92" s="3"/>
      <c r="U92" s="205"/>
      <c r="V92" s="206"/>
      <c r="W92" s="207"/>
    </row>
    <row r="93" spans="1:23" x14ac:dyDescent="0.3">
      <c r="A93" s="164"/>
      <c r="B93" s="19"/>
      <c r="C93" s="19"/>
      <c r="D93" s="20"/>
      <c r="E93" s="170" t="s">
        <v>0</v>
      </c>
      <c r="F93" s="171"/>
      <c r="G93" s="171"/>
      <c r="H93" s="171"/>
      <c r="I93" s="172"/>
      <c r="J93" s="173">
        <f>SUM(J86:J92)</f>
        <v>0</v>
      </c>
      <c r="K93" s="174"/>
      <c r="L93" s="173">
        <f>SUM(L86:L92)</f>
        <v>0</v>
      </c>
      <c r="M93" s="174"/>
      <c r="N93" s="173">
        <f>SUM(N86:N92)</f>
        <v>0</v>
      </c>
      <c r="O93" s="174"/>
      <c r="P93" s="173">
        <f>SUM(P86:P92)</f>
        <v>0</v>
      </c>
      <c r="Q93" s="174"/>
      <c r="R93" s="23">
        <f>SUM(R86:R92)</f>
        <v>0</v>
      </c>
      <c r="S93" s="24" t="s">
        <v>20</v>
      </c>
      <c r="T93" s="19"/>
      <c r="U93" s="208"/>
      <c r="V93" s="209"/>
      <c r="W93" s="210"/>
    </row>
    <row r="94" spans="1:23" x14ac:dyDescent="0.3">
      <c r="A94" s="180" t="s">
        <v>36</v>
      </c>
      <c r="B94" s="5"/>
      <c r="C94" s="5"/>
      <c r="D94" s="4"/>
      <c r="E94" s="211"/>
      <c r="F94" s="212"/>
      <c r="G94" s="212"/>
      <c r="H94" s="212"/>
      <c r="I94" s="213"/>
      <c r="J94" s="165"/>
      <c r="K94" s="166"/>
      <c r="L94" s="165"/>
      <c r="M94" s="166"/>
      <c r="N94" s="165"/>
      <c r="O94" s="166"/>
      <c r="P94" s="165"/>
      <c r="Q94" s="166"/>
      <c r="R94" s="51"/>
      <c r="S94" s="6" t="s">
        <v>20</v>
      </c>
      <c r="T94" s="3"/>
      <c r="U94" s="202"/>
      <c r="V94" s="203"/>
      <c r="W94" s="204"/>
    </row>
    <row r="95" spans="1:23" x14ac:dyDescent="0.3">
      <c r="A95" s="163"/>
      <c r="B95" s="5"/>
      <c r="C95" s="5"/>
      <c r="D95" s="4"/>
      <c r="E95" s="211"/>
      <c r="F95" s="212"/>
      <c r="G95" s="212"/>
      <c r="H95" s="212"/>
      <c r="I95" s="213"/>
      <c r="J95" s="165"/>
      <c r="K95" s="166"/>
      <c r="L95" s="165"/>
      <c r="M95" s="166"/>
      <c r="N95" s="165"/>
      <c r="O95" s="166"/>
      <c r="P95" s="165"/>
      <c r="Q95" s="166"/>
      <c r="R95" s="51"/>
      <c r="S95" s="6" t="s">
        <v>20</v>
      </c>
      <c r="T95" s="3"/>
      <c r="U95" s="205"/>
      <c r="V95" s="206"/>
      <c r="W95" s="207"/>
    </row>
    <row r="96" spans="1:23" x14ac:dyDescent="0.3">
      <c r="A96" s="163"/>
      <c r="B96" s="5"/>
      <c r="C96" s="5"/>
      <c r="D96" s="4"/>
      <c r="E96" s="211"/>
      <c r="F96" s="212"/>
      <c r="G96" s="212"/>
      <c r="H96" s="212"/>
      <c r="I96" s="213"/>
      <c r="J96" s="165"/>
      <c r="K96" s="166"/>
      <c r="L96" s="165"/>
      <c r="M96" s="166"/>
      <c r="N96" s="165"/>
      <c r="O96" s="166"/>
      <c r="P96" s="165"/>
      <c r="Q96" s="166"/>
      <c r="R96" s="51"/>
      <c r="S96" s="6" t="s">
        <v>20</v>
      </c>
      <c r="T96" s="3"/>
      <c r="U96" s="205"/>
      <c r="V96" s="206"/>
      <c r="W96" s="207"/>
    </row>
    <row r="97" spans="1:23" x14ac:dyDescent="0.3">
      <c r="A97" s="164"/>
      <c r="B97" s="19"/>
      <c r="C97" s="19"/>
      <c r="D97" s="20"/>
      <c r="E97" s="170" t="s">
        <v>0</v>
      </c>
      <c r="F97" s="171"/>
      <c r="G97" s="171"/>
      <c r="H97" s="171"/>
      <c r="I97" s="172"/>
      <c r="J97" s="173">
        <f>SUM(J94:J96)</f>
        <v>0</v>
      </c>
      <c r="K97" s="174"/>
      <c r="L97" s="173">
        <f>SUM(L94:L96)</f>
        <v>0</v>
      </c>
      <c r="M97" s="174"/>
      <c r="N97" s="173">
        <f>SUM(N94:N96)</f>
        <v>0</v>
      </c>
      <c r="O97" s="174"/>
      <c r="P97" s="173">
        <f>SUM(P94:P96)</f>
        <v>0</v>
      </c>
      <c r="Q97" s="174"/>
      <c r="R97" s="23">
        <f>SUM(R94:R96)</f>
        <v>0</v>
      </c>
      <c r="S97" s="24" t="s">
        <v>20</v>
      </c>
      <c r="T97" s="19"/>
      <c r="U97" s="208"/>
      <c r="V97" s="209"/>
      <c r="W97" s="210"/>
    </row>
    <row r="98" spans="1:23" x14ac:dyDescent="0.3">
      <c r="E98" s="28"/>
      <c r="F98" s="28"/>
      <c r="G98" s="28"/>
      <c r="H98" s="28"/>
      <c r="I98" s="28"/>
      <c r="J98" s="29"/>
      <c r="K98" s="29"/>
      <c r="L98" s="29"/>
      <c r="M98" s="29"/>
      <c r="N98" s="29"/>
      <c r="O98" s="29"/>
      <c r="P98" s="29"/>
      <c r="Q98" s="29"/>
    </row>
    <row r="99" spans="1:23" x14ac:dyDescent="0.3">
      <c r="E99" s="170" t="s">
        <v>28</v>
      </c>
      <c r="F99" s="171"/>
      <c r="G99" s="171"/>
      <c r="H99" s="171"/>
      <c r="I99" s="172"/>
      <c r="J99" s="175" t="s">
        <v>7</v>
      </c>
      <c r="K99" s="176"/>
      <c r="L99" s="175" t="s">
        <v>8</v>
      </c>
      <c r="M99" s="176"/>
      <c r="N99" s="175" t="s">
        <v>9</v>
      </c>
      <c r="O99" s="176"/>
      <c r="P99" s="175" t="s">
        <v>16</v>
      </c>
      <c r="Q99" s="176"/>
    </row>
    <row r="100" spans="1:23" s="2" customFormat="1" x14ac:dyDescent="0.3">
      <c r="E100" s="15"/>
      <c r="F100" s="15"/>
      <c r="G100" s="15"/>
      <c r="H100" s="15"/>
      <c r="I100" s="15"/>
      <c r="J100" s="30">
        <f>J81+J85</f>
        <v>38</v>
      </c>
      <c r="K100" s="31" t="s">
        <v>17</v>
      </c>
      <c r="L100" s="32">
        <f>L81+L85</f>
        <v>2125</v>
      </c>
      <c r="M100" s="31" t="s">
        <v>17</v>
      </c>
      <c r="N100" s="32">
        <f>N81+N85</f>
        <v>874</v>
      </c>
      <c r="O100" s="31" t="s">
        <v>17</v>
      </c>
      <c r="P100" s="33">
        <f>P93+P97</f>
        <v>0</v>
      </c>
      <c r="Q100" s="34" t="s">
        <v>17</v>
      </c>
    </row>
    <row r="101" spans="1:23" ht="24.45" customHeight="1" x14ac:dyDescent="0.3">
      <c r="E101" s="28"/>
      <c r="F101" s="28"/>
      <c r="G101" s="28"/>
      <c r="H101" s="28"/>
      <c r="I101" s="28"/>
      <c r="J101" s="167">
        <f>J100+L100+N100+P100</f>
        <v>3037</v>
      </c>
      <c r="K101" s="168"/>
      <c r="L101" s="168"/>
      <c r="M101" s="168"/>
      <c r="N101" s="168"/>
      <c r="O101" s="168"/>
      <c r="P101" s="168"/>
      <c r="Q101" s="169"/>
    </row>
  </sheetData>
  <mergeCells count="406">
    <mergeCell ref="J19:K19"/>
    <mergeCell ref="J20:K20"/>
    <mergeCell ref="J21:K21"/>
    <mergeCell ref="J22:K22"/>
    <mergeCell ref="L19:M19"/>
    <mergeCell ref="N19:O19"/>
    <mergeCell ref="P19:Q19"/>
    <mergeCell ref="L20:M20"/>
    <mergeCell ref="N20:O20"/>
    <mergeCell ref="P20:Q20"/>
    <mergeCell ref="L21:M21"/>
    <mergeCell ref="N21:O21"/>
    <mergeCell ref="P21:Q21"/>
    <mergeCell ref="L22:M22"/>
    <mergeCell ref="N22:O22"/>
    <mergeCell ref="P22:Q22"/>
    <mergeCell ref="E99:I99"/>
    <mergeCell ref="J99:K99"/>
    <mergeCell ref="L99:M99"/>
    <mergeCell ref="N99:O99"/>
    <mergeCell ref="P99:Q99"/>
    <mergeCell ref="J101:Q101"/>
    <mergeCell ref="N96:O96"/>
    <mergeCell ref="P96:Q96"/>
    <mergeCell ref="E97:I97"/>
    <mergeCell ref="J97:K97"/>
    <mergeCell ref="L97:M97"/>
    <mergeCell ref="N97:O97"/>
    <mergeCell ref="P97:Q97"/>
    <mergeCell ref="U94:W97"/>
    <mergeCell ref="E95:I95"/>
    <mergeCell ref="J95:K95"/>
    <mergeCell ref="L95:M95"/>
    <mergeCell ref="N95:O95"/>
    <mergeCell ref="P95:Q95"/>
    <mergeCell ref="E96:I96"/>
    <mergeCell ref="J96:K96"/>
    <mergeCell ref="L96:M96"/>
    <mergeCell ref="E93:I93"/>
    <mergeCell ref="J93:K93"/>
    <mergeCell ref="L93:M93"/>
    <mergeCell ref="N93:O93"/>
    <mergeCell ref="P93:Q93"/>
    <mergeCell ref="A94:A97"/>
    <mergeCell ref="E94:I94"/>
    <mergeCell ref="J94:K94"/>
    <mergeCell ref="L94:M94"/>
    <mergeCell ref="N94:O94"/>
    <mergeCell ref="A86:A93"/>
    <mergeCell ref="J89:K89"/>
    <mergeCell ref="L89:M89"/>
    <mergeCell ref="P94:Q94"/>
    <mergeCell ref="E91:I91"/>
    <mergeCell ref="J91:K91"/>
    <mergeCell ref="L91:M91"/>
    <mergeCell ref="N91:O91"/>
    <mergeCell ref="P91:Q91"/>
    <mergeCell ref="E92:I92"/>
    <mergeCell ref="J92:K92"/>
    <mergeCell ref="L92:M92"/>
    <mergeCell ref="N92:O92"/>
    <mergeCell ref="P92:Q92"/>
    <mergeCell ref="N89:O89"/>
    <mergeCell ref="P89:Q89"/>
    <mergeCell ref="E90:I90"/>
    <mergeCell ref="J90:K90"/>
    <mergeCell ref="L90:M90"/>
    <mergeCell ref="N90:O90"/>
    <mergeCell ref="P90:Q90"/>
    <mergeCell ref="U86:W93"/>
    <mergeCell ref="E87:I87"/>
    <mergeCell ref="J87:K87"/>
    <mergeCell ref="L87:M87"/>
    <mergeCell ref="N87:O87"/>
    <mergeCell ref="P87:Q87"/>
    <mergeCell ref="E88:I88"/>
    <mergeCell ref="J88:K88"/>
    <mergeCell ref="L88:M88"/>
    <mergeCell ref="N88:O88"/>
    <mergeCell ref="E86:I86"/>
    <mergeCell ref="J86:K86"/>
    <mergeCell ref="L86:M86"/>
    <mergeCell ref="N86:O86"/>
    <mergeCell ref="P86:Q86"/>
    <mergeCell ref="P88:Q88"/>
    <mergeCell ref="E89:I89"/>
    <mergeCell ref="U82:W85"/>
    <mergeCell ref="E83:I83"/>
    <mergeCell ref="J83:K83"/>
    <mergeCell ref="L83:M83"/>
    <mergeCell ref="N83:O83"/>
    <mergeCell ref="P83:Q83"/>
    <mergeCell ref="E84:I84"/>
    <mergeCell ref="J84:K84"/>
    <mergeCell ref="L84:M84"/>
    <mergeCell ref="P84:Q84"/>
    <mergeCell ref="E85:I85"/>
    <mergeCell ref="J85:K85"/>
    <mergeCell ref="L85:M85"/>
    <mergeCell ref="N85:O85"/>
    <mergeCell ref="P85:Q85"/>
    <mergeCell ref="P82:Q82"/>
    <mergeCell ref="A82:A85"/>
    <mergeCell ref="E82:I82"/>
    <mergeCell ref="J82:K82"/>
    <mergeCell ref="L82:M82"/>
    <mergeCell ref="N82:O82"/>
    <mergeCell ref="A74:A81"/>
    <mergeCell ref="J77:K77"/>
    <mergeCell ref="L77:M77"/>
    <mergeCell ref="N84:O84"/>
    <mergeCell ref="N77:O77"/>
    <mergeCell ref="P77:Q77"/>
    <mergeCell ref="E78:I78"/>
    <mergeCell ref="J78:K78"/>
    <mergeCell ref="L78:M78"/>
    <mergeCell ref="N78:O78"/>
    <mergeCell ref="P78:Q78"/>
    <mergeCell ref="E81:I81"/>
    <mergeCell ref="J81:K81"/>
    <mergeCell ref="L81:M81"/>
    <mergeCell ref="N81:O81"/>
    <mergeCell ref="P81:Q81"/>
    <mergeCell ref="E79:I79"/>
    <mergeCell ref="J79:K79"/>
    <mergeCell ref="L79:M79"/>
    <mergeCell ref="U74:W81"/>
    <mergeCell ref="E75:I75"/>
    <mergeCell ref="J75:K75"/>
    <mergeCell ref="L75:M75"/>
    <mergeCell ref="N75:O75"/>
    <mergeCell ref="P75:Q75"/>
    <mergeCell ref="E76:I76"/>
    <mergeCell ref="J76:K76"/>
    <mergeCell ref="L76:M76"/>
    <mergeCell ref="N76:O76"/>
    <mergeCell ref="E74:I74"/>
    <mergeCell ref="J74:K74"/>
    <mergeCell ref="L74:M74"/>
    <mergeCell ref="N74:O74"/>
    <mergeCell ref="P74:Q74"/>
    <mergeCell ref="P76:Q76"/>
    <mergeCell ref="E77:I77"/>
    <mergeCell ref="N79:O79"/>
    <mergeCell ref="P79:Q79"/>
    <mergeCell ref="E80:I80"/>
    <mergeCell ref="J80:K80"/>
    <mergeCell ref="L80:M80"/>
    <mergeCell ref="N80:O80"/>
    <mergeCell ref="P80:Q80"/>
    <mergeCell ref="E66:I66"/>
    <mergeCell ref="J66:K66"/>
    <mergeCell ref="L66:M66"/>
    <mergeCell ref="N66:O66"/>
    <mergeCell ref="P66:Q66"/>
    <mergeCell ref="R72:S73"/>
    <mergeCell ref="T72:T73"/>
    <mergeCell ref="U72:W73"/>
    <mergeCell ref="J73:K73"/>
    <mergeCell ref="L73:M73"/>
    <mergeCell ref="N73:O73"/>
    <mergeCell ref="P73:Q73"/>
    <mergeCell ref="J68:Q68"/>
    <mergeCell ref="Q70:S70"/>
    <mergeCell ref="T70:W70"/>
    <mergeCell ref="A71:W71"/>
    <mergeCell ref="A72:A73"/>
    <mergeCell ref="B72:B73"/>
    <mergeCell ref="C72:C73"/>
    <mergeCell ref="D72:D73"/>
    <mergeCell ref="E72:I73"/>
    <mergeCell ref="J72:Q72"/>
    <mergeCell ref="U55:W64"/>
    <mergeCell ref="J56:K56"/>
    <mergeCell ref="L56:M56"/>
    <mergeCell ref="N56:O56"/>
    <mergeCell ref="P56:Q56"/>
    <mergeCell ref="J57:K57"/>
    <mergeCell ref="L57:M57"/>
    <mergeCell ref="N57:O57"/>
    <mergeCell ref="P57:Q57"/>
    <mergeCell ref="J58:K58"/>
    <mergeCell ref="J62:K62"/>
    <mergeCell ref="L62:M62"/>
    <mergeCell ref="N62:O62"/>
    <mergeCell ref="P62:Q62"/>
    <mergeCell ref="J63:K63"/>
    <mergeCell ref="L63:M63"/>
    <mergeCell ref="N63:O63"/>
    <mergeCell ref="P63:Q63"/>
    <mergeCell ref="J60:K60"/>
    <mergeCell ref="L60:M60"/>
    <mergeCell ref="N60:O60"/>
    <mergeCell ref="P60:Q60"/>
    <mergeCell ref="J61:K61"/>
    <mergeCell ref="L61:M61"/>
    <mergeCell ref="A55:A64"/>
    <mergeCell ref="J55:K55"/>
    <mergeCell ref="L55:M55"/>
    <mergeCell ref="N55:O55"/>
    <mergeCell ref="P55:Q55"/>
    <mergeCell ref="L58:M58"/>
    <mergeCell ref="N58:O58"/>
    <mergeCell ref="P58:Q58"/>
    <mergeCell ref="J59:K59"/>
    <mergeCell ref="L59:M59"/>
    <mergeCell ref="N59:O59"/>
    <mergeCell ref="P59:Q59"/>
    <mergeCell ref="N61:O61"/>
    <mergeCell ref="P61:Q61"/>
    <mergeCell ref="E64:I64"/>
    <mergeCell ref="J64:K64"/>
    <mergeCell ref="L64:M64"/>
    <mergeCell ref="N64:O64"/>
    <mergeCell ref="P64:Q64"/>
    <mergeCell ref="U45:W54"/>
    <mergeCell ref="J46:K46"/>
    <mergeCell ref="L46:M46"/>
    <mergeCell ref="N46:O46"/>
    <mergeCell ref="P46:Q46"/>
    <mergeCell ref="J47:K47"/>
    <mergeCell ref="L47:M47"/>
    <mergeCell ref="N47:O47"/>
    <mergeCell ref="P47:Q47"/>
    <mergeCell ref="J48:K48"/>
    <mergeCell ref="J52:K52"/>
    <mergeCell ref="L52:M52"/>
    <mergeCell ref="N52:O52"/>
    <mergeCell ref="P52:Q52"/>
    <mergeCell ref="J53:K53"/>
    <mergeCell ref="L53:M53"/>
    <mergeCell ref="N53:O53"/>
    <mergeCell ref="P53:Q53"/>
    <mergeCell ref="J50:K50"/>
    <mergeCell ref="L50:M50"/>
    <mergeCell ref="N50:O50"/>
    <mergeCell ref="P50:Q50"/>
    <mergeCell ref="J51:K51"/>
    <mergeCell ref="L51:M51"/>
    <mergeCell ref="A45:A54"/>
    <mergeCell ref="J45:K45"/>
    <mergeCell ref="L45:M45"/>
    <mergeCell ref="N45:O45"/>
    <mergeCell ref="P45:Q45"/>
    <mergeCell ref="L48:M48"/>
    <mergeCell ref="N48:O48"/>
    <mergeCell ref="P48:Q48"/>
    <mergeCell ref="J49:K49"/>
    <mergeCell ref="L49:M49"/>
    <mergeCell ref="N49:O49"/>
    <mergeCell ref="P49:Q49"/>
    <mergeCell ref="N51:O51"/>
    <mergeCell ref="P51:Q51"/>
    <mergeCell ref="E54:I54"/>
    <mergeCell ref="J54:K54"/>
    <mergeCell ref="L54:M54"/>
    <mergeCell ref="N54:O54"/>
    <mergeCell ref="P54:Q54"/>
    <mergeCell ref="U35:W44"/>
    <mergeCell ref="J36:K36"/>
    <mergeCell ref="L36:M36"/>
    <mergeCell ref="N36:O36"/>
    <mergeCell ref="P36:Q36"/>
    <mergeCell ref="J37:K37"/>
    <mergeCell ref="L37:M37"/>
    <mergeCell ref="N37:O37"/>
    <mergeCell ref="P37:Q37"/>
    <mergeCell ref="J38:K38"/>
    <mergeCell ref="J42:K42"/>
    <mergeCell ref="L42:M42"/>
    <mergeCell ref="N42:O42"/>
    <mergeCell ref="P42:Q42"/>
    <mergeCell ref="J43:K43"/>
    <mergeCell ref="L43:M43"/>
    <mergeCell ref="N43:O43"/>
    <mergeCell ref="P43:Q43"/>
    <mergeCell ref="J40:K40"/>
    <mergeCell ref="L40:M40"/>
    <mergeCell ref="N40:O40"/>
    <mergeCell ref="P40:Q40"/>
    <mergeCell ref="J41:K41"/>
    <mergeCell ref="L41:M41"/>
    <mergeCell ref="A35:A44"/>
    <mergeCell ref="J35:K35"/>
    <mergeCell ref="L35:M35"/>
    <mergeCell ref="N35:O35"/>
    <mergeCell ref="P35:Q35"/>
    <mergeCell ref="G33:G34"/>
    <mergeCell ref="H33:H34"/>
    <mergeCell ref="I33:I34"/>
    <mergeCell ref="J33:Q33"/>
    <mergeCell ref="L38:M38"/>
    <mergeCell ref="N38:O38"/>
    <mergeCell ref="P38:Q38"/>
    <mergeCell ref="J39:K39"/>
    <mergeCell ref="L39:M39"/>
    <mergeCell ref="N39:O39"/>
    <mergeCell ref="P39:Q39"/>
    <mergeCell ref="N41:O41"/>
    <mergeCell ref="P41:Q41"/>
    <mergeCell ref="E44:I44"/>
    <mergeCell ref="J44:K44"/>
    <mergeCell ref="L44:M44"/>
    <mergeCell ref="N44:O44"/>
    <mergeCell ref="P44:Q44"/>
    <mergeCell ref="J29:Q29"/>
    <mergeCell ref="Q31:S31"/>
    <mergeCell ref="T31:W31"/>
    <mergeCell ref="A32:W32"/>
    <mergeCell ref="A33:A34"/>
    <mergeCell ref="B33:B34"/>
    <mergeCell ref="C33:C34"/>
    <mergeCell ref="D33:D34"/>
    <mergeCell ref="E33:E34"/>
    <mergeCell ref="F33:F34"/>
    <mergeCell ref="U33:W34"/>
    <mergeCell ref="J34:K34"/>
    <mergeCell ref="L34:M34"/>
    <mergeCell ref="N34:O34"/>
    <mergeCell ref="P34:Q34"/>
    <mergeCell ref="R33:S34"/>
    <mergeCell ref="T33:T34"/>
    <mergeCell ref="B25:I25"/>
    <mergeCell ref="E27:I27"/>
    <mergeCell ref="J27:K27"/>
    <mergeCell ref="L27:M27"/>
    <mergeCell ref="N27:O27"/>
    <mergeCell ref="P27:Q27"/>
    <mergeCell ref="J23:K23"/>
    <mergeCell ref="L23:M23"/>
    <mergeCell ref="N23:O23"/>
    <mergeCell ref="P23:Q23"/>
    <mergeCell ref="J24:K24"/>
    <mergeCell ref="L24:M24"/>
    <mergeCell ref="N24:O24"/>
    <mergeCell ref="P24:Q24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5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5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1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W107"/>
  <sheetViews>
    <sheetView zoomScale="85" zoomScaleNormal="85" workbookViewId="0">
      <selection activeCell="E99" sqref="E99:I99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28.3320312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45923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250055</v>
      </c>
      <c r="E7" s="12" t="s">
        <v>188</v>
      </c>
      <c r="F7" s="17">
        <v>385</v>
      </c>
      <c r="G7" s="17">
        <v>304</v>
      </c>
      <c r="H7" s="18">
        <v>0.7</v>
      </c>
      <c r="I7" s="17">
        <v>33000</v>
      </c>
      <c r="J7" s="165">
        <v>288</v>
      </c>
      <c r="K7" s="166"/>
      <c r="L7" s="165"/>
      <c r="M7" s="166"/>
      <c r="N7" s="165"/>
      <c r="O7" s="166"/>
      <c r="P7" s="165"/>
      <c r="Q7" s="166"/>
      <c r="R7" s="56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203</v>
      </c>
      <c r="F8" s="17">
        <v>160</v>
      </c>
      <c r="G8" s="17">
        <v>304</v>
      </c>
      <c r="H8" s="18">
        <v>0.7</v>
      </c>
      <c r="I8" s="17"/>
      <c r="J8" s="165">
        <v>72</v>
      </c>
      <c r="K8" s="166"/>
      <c r="L8" s="165"/>
      <c r="M8" s="166"/>
      <c r="N8" s="165"/>
      <c r="O8" s="166"/>
      <c r="P8" s="165"/>
      <c r="Q8" s="166"/>
      <c r="R8" s="56">
        <v>10</v>
      </c>
      <c r="S8" s="14" t="s">
        <v>20</v>
      </c>
      <c r="T8" s="42" t="s">
        <v>111</v>
      </c>
      <c r="U8" s="205"/>
      <c r="V8" s="206"/>
      <c r="W8" s="207"/>
    </row>
    <row r="9" spans="1:23" x14ac:dyDescent="0.3">
      <c r="A9" s="181"/>
      <c r="B9" s="5"/>
      <c r="C9" s="5"/>
      <c r="D9" s="4">
        <v>250057</v>
      </c>
      <c r="E9" s="12" t="s">
        <v>204</v>
      </c>
      <c r="F9" s="17">
        <v>543</v>
      </c>
      <c r="G9" s="17">
        <v>304</v>
      </c>
      <c r="H9" s="18">
        <v>0.7</v>
      </c>
      <c r="I9" s="17"/>
      <c r="J9" s="165">
        <v>423</v>
      </c>
      <c r="K9" s="166"/>
      <c r="L9" s="165"/>
      <c r="M9" s="166"/>
      <c r="N9" s="165"/>
      <c r="O9" s="166"/>
      <c r="P9" s="165"/>
      <c r="Q9" s="166"/>
      <c r="R9" s="56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>
        <v>250055</v>
      </c>
      <c r="E10" s="12" t="s">
        <v>205</v>
      </c>
      <c r="F10" s="17">
        <v>505</v>
      </c>
      <c r="G10" s="17">
        <v>304</v>
      </c>
      <c r="H10" s="18">
        <v>0.7</v>
      </c>
      <c r="I10" s="17"/>
      <c r="J10" s="165">
        <v>819</v>
      </c>
      <c r="K10" s="166"/>
      <c r="L10" s="165"/>
      <c r="M10" s="166"/>
      <c r="N10" s="165"/>
      <c r="O10" s="166"/>
      <c r="P10" s="165"/>
      <c r="Q10" s="166"/>
      <c r="R10" s="56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189</v>
      </c>
      <c r="F11" s="17">
        <v>218</v>
      </c>
      <c r="G11" s="17"/>
      <c r="H11" s="18"/>
      <c r="I11" s="17"/>
      <c r="J11" s="165">
        <v>273</v>
      </c>
      <c r="K11" s="166"/>
      <c r="L11" s="165"/>
      <c r="M11" s="166"/>
      <c r="N11" s="165"/>
      <c r="O11" s="166"/>
      <c r="P11" s="165"/>
      <c r="Q11" s="166"/>
      <c r="R11" s="56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>
        <v>250057</v>
      </c>
      <c r="E12" s="12" t="s">
        <v>205</v>
      </c>
      <c r="F12" s="17">
        <v>505</v>
      </c>
      <c r="G12" s="17"/>
      <c r="H12" s="18"/>
      <c r="I12" s="17"/>
      <c r="J12" s="165">
        <v>396</v>
      </c>
      <c r="K12" s="166"/>
      <c r="L12" s="165"/>
      <c r="M12" s="166"/>
      <c r="N12" s="165"/>
      <c r="O12" s="166"/>
      <c r="P12" s="165"/>
      <c r="Q12" s="166"/>
      <c r="R12" s="56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189</v>
      </c>
      <c r="F13" s="17">
        <v>218</v>
      </c>
      <c r="G13" s="17"/>
      <c r="H13" s="18"/>
      <c r="I13" s="17"/>
      <c r="J13" s="165">
        <v>132</v>
      </c>
      <c r="K13" s="166"/>
      <c r="L13" s="165"/>
      <c r="M13" s="166"/>
      <c r="N13" s="165"/>
      <c r="O13" s="166"/>
      <c r="P13" s="165"/>
      <c r="Q13" s="166"/>
      <c r="R13" s="56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250061</v>
      </c>
      <c r="E14" s="12" t="s">
        <v>205</v>
      </c>
      <c r="F14" s="17">
        <v>505</v>
      </c>
      <c r="G14" s="17"/>
      <c r="H14" s="18"/>
      <c r="I14" s="17"/>
      <c r="J14" s="165">
        <v>540</v>
      </c>
      <c r="K14" s="166"/>
      <c r="L14" s="165"/>
      <c r="M14" s="166"/>
      <c r="N14" s="165"/>
      <c r="O14" s="166"/>
      <c r="P14" s="165"/>
      <c r="Q14" s="166"/>
      <c r="R14" s="56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 t="s">
        <v>102</v>
      </c>
      <c r="E15" s="12" t="s">
        <v>189</v>
      </c>
      <c r="F15" s="17">
        <v>218</v>
      </c>
      <c r="G15" s="17"/>
      <c r="H15" s="18"/>
      <c r="I15" s="17"/>
      <c r="J15" s="165">
        <v>180</v>
      </c>
      <c r="K15" s="166"/>
      <c r="L15" s="165"/>
      <c r="M15" s="166"/>
      <c r="N15" s="165"/>
      <c r="O15" s="166"/>
      <c r="P15" s="165"/>
      <c r="Q15" s="166"/>
      <c r="R15" s="56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>
        <v>250052</v>
      </c>
      <c r="E16" s="12" t="s">
        <v>206</v>
      </c>
      <c r="F16" s="17">
        <v>323</v>
      </c>
      <c r="G16" s="17"/>
      <c r="H16" s="18"/>
      <c r="I16" s="17"/>
      <c r="J16" s="165">
        <v>800</v>
      </c>
      <c r="K16" s="166"/>
      <c r="L16" s="165"/>
      <c r="M16" s="166"/>
      <c r="N16" s="165"/>
      <c r="O16" s="166"/>
      <c r="P16" s="165"/>
      <c r="Q16" s="166"/>
      <c r="R16" s="56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>
        <v>250055</v>
      </c>
      <c r="E17" s="12" t="s">
        <v>206</v>
      </c>
      <c r="F17" s="17">
        <v>323</v>
      </c>
      <c r="G17" s="17"/>
      <c r="H17" s="18"/>
      <c r="I17" s="17"/>
      <c r="J17" s="165">
        <v>825</v>
      </c>
      <c r="K17" s="166"/>
      <c r="L17" s="165"/>
      <c r="M17" s="166"/>
      <c r="N17" s="165"/>
      <c r="O17" s="166"/>
      <c r="P17" s="165"/>
      <c r="Q17" s="166"/>
      <c r="R17" s="56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>
        <v>250057</v>
      </c>
      <c r="E18" s="12" t="s">
        <v>206</v>
      </c>
      <c r="F18" s="17">
        <v>323</v>
      </c>
      <c r="G18" s="17"/>
      <c r="H18" s="18"/>
      <c r="I18" s="17"/>
      <c r="J18" s="165">
        <v>400</v>
      </c>
      <c r="K18" s="166"/>
      <c r="L18" s="165"/>
      <c r="M18" s="166"/>
      <c r="N18" s="165"/>
      <c r="O18" s="166"/>
      <c r="P18" s="165"/>
      <c r="Q18" s="166"/>
      <c r="R18" s="56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>
        <v>250061</v>
      </c>
      <c r="E19" s="12" t="s">
        <v>206</v>
      </c>
      <c r="F19" s="17">
        <v>323</v>
      </c>
      <c r="G19" s="17"/>
      <c r="H19" s="18"/>
      <c r="I19" s="17"/>
      <c r="J19" s="165">
        <v>525</v>
      </c>
      <c r="K19" s="166"/>
      <c r="L19" s="165"/>
      <c r="M19" s="166"/>
      <c r="N19" s="165"/>
      <c r="O19" s="166"/>
      <c r="P19" s="165"/>
      <c r="Q19" s="166"/>
      <c r="R19" s="56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>
        <v>250057</v>
      </c>
      <c r="E20" s="12" t="s">
        <v>207</v>
      </c>
      <c r="F20" s="17">
        <v>315</v>
      </c>
      <c r="G20" s="17"/>
      <c r="H20" s="18"/>
      <c r="I20" s="17"/>
      <c r="J20" s="165">
        <v>400</v>
      </c>
      <c r="K20" s="166"/>
      <c r="L20" s="165"/>
      <c r="M20" s="166"/>
      <c r="N20" s="165"/>
      <c r="O20" s="166"/>
      <c r="P20" s="165"/>
      <c r="Q20" s="166"/>
      <c r="R20" s="57"/>
      <c r="S20" s="14"/>
      <c r="T20" s="42"/>
      <c r="U20" s="205"/>
      <c r="V20" s="206"/>
      <c r="W20" s="207"/>
    </row>
    <row r="21" spans="1:23" x14ac:dyDescent="0.3">
      <c r="A21" s="181"/>
      <c r="B21" s="5"/>
      <c r="C21" s="5"/>
      <c r="D21" s="4" t="s">
        <v>102</v>
      </c>
      <c r="E21" s="12" t="s">
        <v>208</v>
      </c>
      <c r="F21" s="17">
        <v>132</v>
      </c>
      <c r="G21" s="17"/>
      <c r="H21" s="18"/>
      <c r="I21" s="17"/>
      <c r="J21" s="165">
        <v>80</v>
      </c>
      <c r="K21" s="166"/>
      <c r="L21" s="165"/>
      <c r="M21" s="166"/>
      <c r="N21" s="165"/>
      <c r="O21" s="166"/>
      <c r="P21" s="165"/>
      <c r="Q21" s="166"/>
      <c r="R21" s="57"/>
      <c r="S21" s="14"/>
      <c r="T21" s="42"/>
      <c r="U21" s="205"/>
      <c r="V21" s="206"/>
      <c r="W21" s="207"/>
    </row>
    <row r="22" spans="1:23" x14ac:dyDescent="0.3">
      <c r="A22" s="181"/>
      <c r="B22" s="5"/>
      <c r="C22" s="5"/>
      <c r="D22" s="4">
        <v>250061</v>
      </c>
      <c r="E22" s="12" t="s">
        <v>207</v>
      </c>
      <c r="F22" s="17">
        <v>315</v>
      </c>
      <c r="G22" s="17"/>
      <c r="H22" s="18"/>
      <c r="I22" s="17"/>
      <c r="J22" s="165">
        <v>225</v>
      </c>
      <c r="K22" s="166"/>
      <c r="L22" s="165"/>
      <c r="M22" s="166"/>
      <c r="N22" s="165"/>
      <c r="O22" s="166"/>
      <c r="P22" s="165"/>
      <c r="Q22" s="166"/>
      <c r="R22" s="57"/>
      <c r="S22" s="14"/>
      <c r="T22" s="42"/>
      <c r="U22" s="205"/>
      <c r="V22" s="206"/>
      <c r="W22" s="207"/>
    </row>
    <row r="23" spans="1:23" x14ac:dyDescent="0.3">
      <c r="A23" s="181"/>
      <c r="B23" s="5"/>
      <c r="C23" s="5"/>
      <c r="D23" s="4" t="s">
        <v>102</v>
      </c>
      <c r="E23" s="12" t="s">
        <v>208</v>
      </c>
      <c r="F23" s="17">
        <v>132</v>
      </c>
      <c r="G23" s="17"/>
      <c r="H23" s="18"/>
      <c r="I23" s="17"/>
      <c r="J23" s="165">
        <v>45</v>
      </c>
      <c r="K23" s="166"/>
      <c r="L23" s="165"/>
      <c r="M23" s="166"/>
      <c r="N23" s="165"/>
      <c r="O23" s="166"/>
      <c r="P23" s="165"/>
      <c r="Q23" s="166"/>
      <c r="R23" s="57"/>
      <c r="S23" s="14"/>
      <c r="T23" s="42"/>
      <c r="U23" s="205"/>
      <c r="V23" s="206"/>
      <c r="W23" s="207"/>
    </row>
    <row r="24" spans="1:23" x14ac:dyDescent="0.3">
      <c r="A24" s="181"/>
      <c r="B24" s="5"/>
      <c r="C24" s="5"/>
      <c r="D24" s="4">
        <v>250057</v>
      </c>
      <c r="E24" s="12" t="s">
        <v>209</v>
      </c>
      <c r="F24" s="17">
        <v>397</v>
      </c>
      <c r="G24" s="17"/>
      <c r="H24" s="18"/>
      <c r="I24" s="17"/>
      <c r="J24" s="165">
        <v>400</v>
      </c>
      <c r="K24" s="166"/>
      <c r="L24" s="165"/>
      <c r="M24" s="166"/>
      <c r="N24" s="165"/>
      <c r="O24" s="166"/>
      <c r="P24" s="165"/>
      <c r="Q24" s="166"/>
      <c r="R24" s="57"/>
      <c r="S24" s="14"/>
      <c r="T24" s="42"/>
      <c r="U24" s="205"/>
      <c r="V24" s="206"/>
      <c r="W24" s="207"/>
    </row>
    <row r="25" spans="1:23" x14ac:dyDescent="0.3">
      <c r="A25" s="181"/>
      <c r="B25" s="5"/>
      <c r="C25" s="5"/>
      <c r="D25" s="4" t="s">
        <v>102</v>
      </c>
      <c r="E25" s="12" t="s">
        <v>210</v>
      </c>
      <c r="F25" s="17">
        <v>147</v>
      </c>
      <c r="G25" s="17"/>
      <c r="H25" s="18"/>
      <c r="I25" s="17"/>
      <c r="J25" s="165">
        <v>100</v>
      </c>
      <c r="K25" s="166"/>
      <c r="L25" s="165"/>
      <c r="M25" s="166"/>
      <c r="N25" s="165"/>
      <c r="O25" s="166"/>
      <c r="P25" s="165"/>
      <c r="Q25" s="166"/>
      <c r="R25" s="57"/>
      <c r="S25" s="14"/>
      <c r="T25" s="42"/>
      <c r="U25" s="205"/>
      <c r="V25" s="206"/>
      <c r="W25" s="207"/>
    </row>
    <row r="26" spans="1:23" x14ac:dyDescent="0.3">
      <c r="A26" s="181"/>
      <c r="B26" s="5"/>
      <c r="C26" s="5"/>
      <c r="D26" s="4">
        <v>250057</v>
      </c>
      <c r="E26" s="12" t="s">
        <v>211</v>
      </c>
      <c r="F26" s="17">
        <v>307</v>
      </c>
      <c r="G26" s="17"/>
      <c r="H26" s="18"/>
      <c r="I26" s="17"/>
      <c r="J26" s="165">
        <v>250</v>
      </c>
      <c r="K26" s="166"/>
      <c r="L26" s="165"/>
      <c r="M26" s="166"/>
      <c r="N26" s="165"/>
      <c r="O26" s="166"/>
      <c r="P26" s="165"/>
      <c r="Q26" s="166"/>
      <c r="R26" s="57"/>
      <c r="S26" s="14"/>
      <c r="T26" s="42"/>
      <c r="U26" s="205"/>
      <c r="V26" s="206"/>
      <c r="W26" s="207"/>
    </row>
    <row r="27" spans="1:23" x14ac:dyDescent="0.3">
      <c r="A27" s="181"/>
      <c r="B27" s="5"/>
      <c r="C27" s="5">
        <v>0.70833333333333337</v>
      </c>
      <c r="D27" s="4" t="s">
        <v>102</v>
      </c>
      <c r="E27" s="12" t="s">
        <v>210</v>
      </c>
      <c r="F27" s="17">
        <v>147</v>
      </c>
      <c r="G27" s="17"/>
      <c r="H27" s="18"/>
      <c r="I27" s="17"/>
      <c r="J27" s="165">
        <v>50</v>
      </c>
      <c r="K27" s="166"/>
      <c r="L27" s="165"/>
      <c r="M27" s="166"/>
      <c r="N27" s="165"/>
      <c r="O27" s="166"/>
      <c r="P27" s="165"/>
      <c r="Q27" s="166"/>
      <c r="R27" s="57"/>
      <c r="S27" s="14"/>
      <c r="T27" s="42"/>
      <c r="U27" s="205"/>
      <c r="V27" s="206"/>
      <c r="W27" s="207"/>
    </row>
    <row r="28" spans="1:23" x14ac:dyDescent="0.3">
      <c r="A28" s="181"/>
      <c r="B28" s="5"/>
      <c r="C28" s="5"/>
      <c r="D28" s="4"/>
      <c r="E28" s="12"/>
      <c r="F28" s="17"/>
      <c r="G28" s="17"/>
      <c r="H28" s="18"/>
      <c r="I28" s="17"/>
      <c r="J28" s="165"/>
      <c r="K28" s="166"/>
      <c r="L28" s="165"/>
      <c r="M28" s="166"/>
      <c r="N28" s="165"/>
      <c r="O28" s="166"/>
      <c r="P28" s="165"/>
      <c r="Q28" s="166"/>
      <c r="R28" s="57"/>
      <c r="S28" s="14"/>
      <c r="T28" s="42"/>
      <c r="U28" s="205"/>
      <c r="V28" s="206"/>
      <c r="W28" s="207"/>
    </row>
    <row r="29" spans="1:23" x14ac:dyDescent="0.3">
      <c r="A29" s="181"/>
      <c r="B29" s="5"/>
      <c r="C29" s="5"/>
      <c r="D29" s="4"/>
      <c r="E29" s="12"/>
      <c r="F29" s="17"/>
      <c r="G29" s="17"/>
      <c r="H29" s="18"/>
      <c r="I29" s="17"/>
      <c r="J29" s="165"/>
      <c r="K29" s="166"/>
      <c r="L29" s="165"/>
      <c r="M29" s="166"/>
      <c r="N29" s="165"/>
      <c r="O29" s="166"/>
      <c r="P29" s="165"/>
      <c r="Q29" s="166"/>
      <c r="R29" s="57"/>
      <c r="S29" s="14"/>
      <c r="T29" s="42"/>
      <c r="U29" s="205"/>
      <c r="V29" s="206"/>
      <c r="W29" s="207"/>
    </row>
    <row r="30" spans="1:23" x14ac:dyDescent="0.3">
      <c r="A30" s="181"/>
      <c r="B30" s="5"/>
      <c r="C30" s="5"/>
      <c r="D30" s="4"/>
      <c r="E30" s="12"/>
      <c r="F30" s="17"/>
      <c r="G30" s="17"/>
      <c r="H30" s="18"/>
      <c r="I30" s="17"/>
      <c r="J30" s="165"/>
      <c r="K30" s="166"/>
      <c r="L30" s="165"/>
      <c r="M30" s="166"/>
      <c r="N30" s="165"/>
      <c r="O30" s="166"/>
      <c r="P30" s="165"/>
      <c r="Q30" s="166"/>
      <c r="R30" s="56"/>
      <c r="S30" s="14" t="s">
        <v>20</v>
      </c>
      <c r="T30" s="42"/>
      <c r="U30" s="205"/>
      <c r="V30" s="206"/>
      <c r="W30" s="207"/>
    </row>
    <row r="31" spans="1:23" x14ac:dyDescent="0.3">
      <c r="A31" s="182"/>
      <c r="B31" s="170" t="s">
        <v>0</v>
      </c>
      <c r="C31" s="171"/>
      <c r="D31" s="171"/>
      <c r="E31" s="171"/>
      <c r="F31" s="171"/>
      <c r="G31" s="171"/>
      <c r="H31" s="171"/>
      <c r="I31" s="172"/>
      <c r="J31" s="21">
        <f>SUM(J7:K30)</f>
        <v>7223</v>
      </c>
      <c r="K31" s="22" t="s">
        <v>17</v>
      </c>
      <c r="L31" s="21">
        <f>SUM(L7:M30)</f>
        <v>0</v>
      </c>
      <c r="M31" s="22" t="s">
        <v>17</v>
      </c>
      <c r="N31" s="21">
        <f>SUM(N7:O30)</f>
        <v>0</v>
      </c>
      <c r="O31" s="22" t="s">
        <v>17</v>
      </c>
      <c r="P31" s="21">
        <f>SUM(P7:Q30)</f>
        <v>0</v>
      </c>
      <c r="Q31" s="22" t="s">
        <v>17</v>
      </c>
      <c r="R31" s="23">
        <f>SUM(R7:R30)</f>
        <v>10</v>
      </c>
      <c r="S31" s="24" t="s">
        <v>20</v>
      </c>
      <c r="T31" s="19"/>
      <c r="U31" s="208"/>
      <c r="V31" s="209"/>
      <c r="W31" s="210"/>
    </row>
    <row r="32" spans="1:23" ht="14.55" customHeight="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spans="1:23" ht="14.55" customHeight="1" x14ac:dyDescent="0.3">
      <c r="A33" s="27"/>
      <c r="B33" s="27"/>
      <c r="C33" s="27"/>
      <c r="D33" s="27"/>
      <c r="E33" s="170" t="s">
        <v>27</v>
      </c>
      <c r="F33" s="171"/>
      <c r="G33" s="171"/>
      <c r="H33" s="171"/>
      <c r="I33" s="172"/>
      <c r="J33" s="175" t="s">
        <v>7</v>
      </c>
      <c r="K33" s="176"/>
      <c r="L33" s="175" t="s">
        <v>8</v>
      </c>
      <c r="M33" s="176"/>
      <c r="N33" s="175" t="s">
        <v>9</v>
      </c>
      <c r="O33" s="176"/>
      <c r="P33" s="175" t="s">
        <v>117</v>
      </c>
      <c r="Q33" s="176"/>
      <c r="R33" s="27"/>
      <c r="S33" s="27"/>
    </row>
    <row r="34" spans="1:23" ht="14.55" customHeight="1" x14ac:dyDescent="0.3">
      <c r="A34" s="27"/>
      <c r="B34" s="27"/>
      <c r="C34" s="27"/>
      <c r="D34" s="27"/>
      <c r="E34" s="15"/>
      <c r="F34" s="15"/>
      <c r="G34" s="15"/>
      <c r="H34" s="15"/>
      <c r="I34" s="15"/>
      <c r="J34" s="30">
        <f>J31</f>
        <v>7223</v>
      </c>
      <c r="K34" s="31" t="s">
        <v>17</v>
      </c>
      <c r="L34" s="32">
        <f>L31</f>
        <v>0</v>
      </c>
      <c r="M34" s="31" t="s">
        <v>17</v>
      </c>
      <c r="N34" s="32">
        <f>N31</f>
        <v>0</v>
      </c>
      <c r="O34" s="31" t="s">
        <v>17</v>
      </c>
      <c r="P34" s="33">
        <f>P31</f>
        <v>0</v>
      </c>
      <c r="Q34" s="34" t="s">
        <v>17</v>
      </c>
      <c r="R34" s="27"/>
      <c r="S34" s="27"/>
    </row>
    <row r="35" spans="1:23" ht="30" customHeight="1" x14ac:dyDescent="0.3">
      <c r="A35" s="27"/>
      <c r="B35" s="27"/>
      <c r="C35" s="27"/>
      <c r="D35" s="27"/>
      <c r="E35" s="28"/>
      <c r="F35" s="28"/>
      <c r="G35" s="28"/>
      <c r="H35" s="28"/>
      <c r="I35" s="28"/>
      <c r="J35" s="167">
        <f>J34+L34+N34+P34</f>
        <v>7223</v>
      </c>
      <c r="K35" s="168"/>
      <c r="L35" s="168"/>
      <c r="M35" s="168"/>
      <c r="N35" s="168"/>
      <c r="O35" s="168"/>
      <c r="P35" s="168"/>
      <c r="Q35" s="169"/>
      <c r="R35" s="27"/>
      <c r="S35" s="27"/>
    </row>
    <row r="36" spans="1:23" ht="30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 spans="1:23" s="37" customFormat="1" ht="19.95" customHeight="1" x14ac:dyDescent="0.4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  <c r="Q37" s="183" t="s">
        <v>14</v>
      </c>
      <c r="R37" s="183"/>
      <c r="S37" s="183"/>
      <c r="T37" s="184">
        <f>T3</f>
        <v>45923</v>
      </c>
      <c r="U37" s="185"/>
      <c r="V37" s="185"/>
      <c r="W37" s="186"/>
    </row>
    <row r="38" spans="1:23" s="16" customFormat="1" ht="30" customHeight="1" x14ac:dyDescent="0.3">
      <c r="A38" s="187" t="s">
        <v>29</v>
      </c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9"/>
      <c r="Q38" s="189"/>
      <c r="R38" s="189"/>
      <c r="S38" s="189"/>
      <c r="T38" s="188"/>
      <c r="U38" s="188"/>
      <c r="V38" s="188"/>
      <c r="W38" s="190"/>
    </row>
    <row r="39" spans="1:23" s="26" customFormat="1" ht="13.8" x14ac:dyDescent="0.3">
      <c r="A39" s="191" t="s">
        <v>1</v>
      </c>
      <c r="B39" s="192" t="s">
        <v>2</v>
      </c>
      <c r="C39" s="192" t="s">
        <v>3</v>
      </c>
      <c r="D39" s="192" t="s">
        <v>4</v>
      </c>
      <c r="E39" s="193" t="s">
        <v>5</v>
      </c>
      <c r="F39" s="195" t="s">
        <v>21</v>
      </c>
      <c r="G39" s="195" t="s">
        <v>22</v>
      </c>
      <c r="H39" s="195" t="s">
        <v>33</v>
      </c>
      <c r="I39" s="195" t="s">
        <v>30</v>
      </c>
      <c r="J39" s="193" t="s">
        <v>6</v>
      </c>
      <c r="K39" s="197"/>
      <c r="L39" s="197"/>
      <c r="M39" s="197"/>
      <c r="N39" s="197"/>
      <c r="O39" s="197"/>
      <c r="P39" s="197"/>
      <c r="Q39" s="198"/>
      <c r="R39" s="193" t="s">
        <v>10</v>
      </c>
      <c r="S39" s="198"/>
      <c r="T39" s="191" t="s">
        <v>11</v>
      </c>
      <c r="U39" s="191" t="s">
        <v>12</v>
      </c>
      <c r="V39" s="191"/>
      <c r="W39" s="191"/>
    </row>
    <row r="40" spans="1:23" s="26" customFormat="1" ht="13.8" x14ac:dyDescent="0.3">
      <c r="A40" s="191"/>
      <c r="B40" s="192"/>
      <c r="C40" s="192"/>
      <c r="D40" s="192"/>
      <c r="E40" s="194"/>
      <c r="F40" s="196"/>
      <c r="G40" s="196"/>
      <c r="H40" s="196"/>
      <c r="I40" s="196"/>
      <c r="J40" s="200" t="s">
        <v>7</v>
      </c>
      <c r="K40" s="201"/>
      <c r="L40" s="200" t="s">
        <v>8</v>
      </c>
      <c r="M40" s="201"/>
      <c r="N40" s="200" t="s">
        <v>9</v>
      </c>
      <c r="O40" s="201"/>
      <c r="P40" s="200" t="s">
        <v>117</v>
      </c>
      <c r="Q40" s="201"/>
      <c r="R40" s="194"/>
      <c r="S40" s="199"/>
      <c r="T40" s="191"/>
      <c r="U40" s="191"/>
      <c r="V40" s="191"/>
      <c r="W40" s="191"/>
    </row>
    <row r="41" spans="1:23" ht="14.55" customHeight="1" x14ac:dyDescent="0.3">
      <c r="A41" s="180" t="s">
        <v>32</v>
      </c>
      <c r="B41" s="5">
        <v>0.33333333333333331</v>
      </c>
      <c r="C41" s="5">
        <v>0.70833333333333337</v>
      </c>
      <c r="D41" s="4">
        <v>210825</v>
      </c>
      <c r="E41" s="12" t="s">
        <v>213</v>
      </c>
      <c r="F41" s="40">
        <v>430</v>
      </c>
      <c r="G41" s="41">
        <v>0.6</v>
      </c>
      <c r="H41" s="40">
        <v>445</v>
      </c>
      <c r="I41" s="12">
        <v>5</v>
      </c>
      <c r="J41" s="165"/>
      <c r="K41" s="166"/>
      <c r="L41" s="165">
        <v>1900</v>
      </c>
      <c r="M41" s="166"/>
      <c r="N41" s="165"/>
      <c r="O41" s="166"/>
      <c r="P41" s="165"/>
      <c r="Q41" s="166"/>
      <c r="R41" s="56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81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56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81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56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81"/>
      <c r="B44" s="5"/>
      <c r="C44" s="5"/>
      <c r="D44" s="4"/>
      <c r="E44" s="13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56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81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56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81"/>
      <c r="B46" s="5"/>
      <c r="C46" s="5"/>
      <c r="D46" s="4"/>
      <c r="E46" s="13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56"/>
      <c r="S46" s="14" t="s">
        <v>20</v>
      </c>
      <c r="T46" s="42"/>
      <c r="U46" s="177"/>
      <c r="V46" s="178"/>
      <c r="W46" s="179"/>
    </row>
    <row r="47" spans="1:23" ht="14.55" customHeight="1" x14ac:dyDescent="0.3">
      <c r="A47" s="181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56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81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56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81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56"/>
      <c r="S49" s="14" t="s">
        <v>20</v>
      </c>
      <c r="T49" s="42"/>
      <c r="U49" s="177"/>
      <c r="V49" s="178"/>
      <c r="W49" s="179"/>
    </row>
    <row r="50" spans="1:23" ht="14.55" customHeight="1" x14ac:dyDescent="0.3">
      <c r="A50" s="182"/>
      <c r="B50" s="19"/>
      <c r="C50" s="19"/>
      <c r="D50" s="20"/>
      <c r="E50" s="170" t="s">
        <v>0</v>
      </c>
      <c r="F50" s="171"/>
      <c r="G50" s="171"/>
      <c r="H50" s="171"/>
      <c r="I50" s="172"/>
      <c r="J50" s="173">
        <f>SUM(J41:K49)</f>
        <v>0</v>
      </c>
      <c r="K50" s="174"/>
      <c r="L50" s="173">
        <f>SUM(L41:M49)</f>
        <v>1900</v>
      </c>
      <c r="M50" s="174"/>
      <c r="N50" s="173">
        <f>SUM(N41:O49)</f>
        <v>0</v>
      </c>
      <c r="O50" s="174"/>
      <c r="P50" s="173">
        <f>SUM(P41:Q49)</f>
        <v>0</v>
      </c>
      <c r="Q50" s="174"/>
      <c r="R50" s="23">
        <f>SUM(R41:R49)</f>
        <v>0</v>
      </c>
      <c r="S50" s="24" t="s">
        <v>20</v>
      </c>
      <c r="T50" s="19"/>
      <c r="U50" s="177"/>
      <c r="V50" s="178"/>
      <c r="W50" s="179"/>
    </row>
    <row r="51" spans="1:23" ht="14.55" customHeight="1" x14ac:dyDescent="0.3">
      <c r="A51" s="163" t="s">
        <v>34</v>
      </c>
      <c r="B51" s="5">
        <v>0.33333333333333331</v>
      </c>
      <c r="C51" s="5">
        <v>0.70833333333333337</v>
      </c>
      <c r="D51" s="4">
        <v>250825</v>
      </c>
      <c r="E51" s="12" t="s">
        <v>212</v>
      </c>
      <c r="F51" s="40">
        <v>430</v>
      </c>
      <c r="G51" s="41">
        <v>0.8</v>
      </c>
      <c r="H51" s="40">
        <v>425</v>
      </c>
      <c r="I51" s="40">
        <v>3</v>
      </c>
      <c r="J51" s="165"/>
      <c r="K51" s="166"/>
      <c r="L51" s="165"/>
      <c r="M51" s="166"/>
      <c r="N51" s="165">
        <v>570</v>
      </c>
      <c r="O51" s="166"/>
      <c r="P51" s="165"/>
      <c r="Q51" s="166"/>
      <c r="R51" s="56"/>
      <c r="S51" s="14" t="s">
        <v>20</v>
      </c>
      <c r="T51" s="42"/>
      <c r="U51" s="177"/>
      <c r="V51" s="178"/>
      <c r="W51" s="179"/>
    </row>
    <row r="52" spans="1:23" ht="14.55" customHeight="1" x14ac:dyDescent="0.3">
      <c r="A52" s="163"/>
      <c r="B52" s="5"/>
      <c r="C52" s="5"/>
      <c r="D52" s="4"/>
      <c r="E52" s="12"/>
      <c r="F52" s="40"/>
      <c r="G52" s="41"/>
      <c r="H52" s="40"/>
      <c r="I52" s="40"/>
      <c r="J52" s="165"/>
      <c r="K52" s="166"/>
      <c r="L52" s="165"/>
      <c r="M52" s="166"/>
      <c r="N52" s="165"/>
      <c r="O52" s="166"/>
      <c r="P52" s="165"/>
      <c r="Q52" s="166"/>
      <c r="R52" s="56"/>
      <c r="S52" s="14" t="s">
        <v>20</v>
      </c>
      <c r="T52" s="42"/>
      <c r="U52" s="177"/>
      <c r="V52" s="178"/>
      <c r="W52" s="179"/>
    </row>
    <row r="53" spans="1:23" ht="14.55" customHeight="1" x14ac:dyDescent="0.3">
      <c r="A53" s="163"/>
      <c r="B53" s="5"/>
      <c r="C53" s="5"/>
      <c r="D53" s="4"/>
      <c r="E53" s="12"/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56"/>
      <c r="S53" s="14" t="s">
        <v>20</v>
      </c>
      <c r="T53" s="42"/>
      <c r="U53" s="177"/>
      <c r="V53" s="178"/>
      <c r="W53" s="179"/>
    </row>
    <row r="54" spans="1:23" ht="14.55" customHeight="1" x14ac:dyDescent="0.3">
      <c r="A54" s="163"/>
      <c r="B54" s="5"/>
      <c r="C54" s="5"/>
      <c r="D54" s="4"/>
      <c r="E54" s="12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56"/>
      <c r="S54" s="14" t="s">
        <v>20</v>
      </c>
      <c r="T54" s="42"/>
      <c r="U54" s="177"/>
      <c r="V54" s="178"/>
      <c r="W54" s="179"/>
    </row>
    <row r="55" spans="1:23" ht="14.55" customHeight="1" x14ac:dyDescent="0.3">
      <c r="A55" s="163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56"/>
      <c r="S55" s="14" t="s">
        <v>20</v>
      </c>
      <c r="T55" s="42"/>
      <c r="U55" s="177"/>
      <c r="V55" s="178"/>
      <c r="W55" s="179"/>
    </row>
    <row r="56" spans="1:23" ht="14.55" customHeight="1" x14ac:dyDescent="0.3">
      <c r="A56" s="163"/>
      <c r="B56" s="5"/>
      <c r="C56" s="5"/>
      <c r="D56" s="4"/>
      <c r="E56" s="12"/>
      <c r="F56" s="40"/>
      <c r="G56" s="41"/>
      <c r="H56" s="40"/>
      <c r="I56" s="12"/>
      <c r="J56" s="165"/>
      <c r="K56" s="166"/>
      <c r="L56" s="165"/>
      <c r="M56" s="166"/>
      <c r="N56" s="165"/>
      <c r="O56" s="166"/>
      <c r="P56" s="165"/>
      <c r="Q56" s="166"/>
      <c r="R56" s="56"/>
      <c r="S56" s="14" t="s">
        <v>20</v>
      </c>
      <c r="T56" s="42"/>
      <c r="U56" s="177"/>
      <c r="V56" s="178"/>
      <c r="W56" s="179"/>
    </row>
    <row r="57" spans="1:23" ht="14.55" customHeight="1" x14ac:dyDescent="0.3">
      <c r="A57" s="163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56"/>
      <c r="S57" s="14" t="s">
        <v>20</v>
      </c>
      <c r="T57" s="42"/>
      <c r="U57" s="177"/>
      <c r="V57" s="178"/>
      <c r="W57" s="179"/>
    </row>
    <row r="58" spans="1:23" ht="14.55" customHeight="1" x14ac:dyDescent="0.3">
      <c r="A58" s="163"/>
      <c r="B58" s="5"/>
      <c r="C58" s="5"/>
      <c r="D58" s="4"/>
      <c r="E58" s="12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56"/>
      <c r="S58" s="14" t="s">
        <v>20</v>
      </c>
      <c r="T58" s="42"/>
      <c r="U58" s="177"/>
      <c r="V58" s="178"/>
      <c r="W58" s="179"/>
    </row>
    <row r="59" spans="1:23" ht="14.55" customHeight="1" x14ac:dyDescent="0.3">
      <c r="A59" s="163"/>
      <c r="B59" s="5"/>
      <c r="C59" s="5"/>
      <c r="D59" s="4"/>
      <c r="E59" s="12"/>
      <c r="F59" s="40"/>
      <c r="G59" s="41"/>
      <c r="H59" s="40"/>
      <c r="I59" s="12"/>
      <c r="J59" s="165"/>
      <c r="K59" s="166"/>
      <c r="L59" s="165"/>
      <c r="M59" s="166"/>
      <c r="N59" s="165"/>
      <c r="O59" s="166"/>
      <c r="P59" s="165"/>
      <c r="Q59" s="166"/>
      <c r="R59" s="56"/>
      <c r="S59" s="14" t="s">
        <v>20</v>
      </c>
      <c r="T59" s="42"/>
      <c r="U59" s="177"/>
      <c r="V59" s="178"/>
      <c r="W59" s="179"/>
    </row>
    <row r="60" spans="1:23" ht="14.55" customHeight="1" x14ac:dyDescent="0.3">
      <c r="A60" s="164"/>
      <c r="B60" s="19"/>
      <c r="C60" s="19"/>
      <c r="D60" s="20"/>
      <c r="E60" s="170" t="s">
        <v>0</v>
      </c>
      <c r="F60" s="171"/>
      <c r="G60" s="171"/>
      <c r="H60" s="171"/>
      <c r="I60" s="172"/>
      <c r="J60" s="173">
        <f>SUM(J51:K59)</f>
        <v>0</v>
      </c>
      <c r="K60" s="174"/>
      <c r="L60" s="173">
        <f>SUM(L51:M59)</f>
        <v>0</v>
      </c>
      <c r="M60" s="174"/>
      <c r="N60" s="173">
        <f>SUM(N51:O59)</f>
        <v>570</v>
      </c>
      <c r="O60" s="174"/>
      <c r="P60" s="173">
        <f>SUM(P51:Q59)</f>
        <v>0</v>
      </c>
      <c r="Q60" s="174"/>
      <c r="R60" s="23">
        <f>SUM(R51:R59)</f>
        <v>0</v>
      </c>
      <c r="S60" s="24" t="s">
        <v>20</v>
      </c>
      <c r="T60" s="19"/>
      <c r="U60" s="177"/>
      <c r="V60" s="178"/>
      <c r="W60" s="179"/>
    </row>
    <row r="61" spans="1:23" ht="14.55" customHeight="1" x14ac:dyDescent="0.3">
      <c r="A61" s="163" t="s">
        <v>35</v>
      </c>
      <c r="B61" s="5">
        <v>0.33333333333333331</v>
      </c>
      <c r="C61" s="5"/>
      <c r="D61" s="4">
        <v>100925</v>
      </c>
      <c r="E61" s="12" t="s">
        <v>214</v>
      </c>
      <c r="F61" s="40">
        <v>304</v>
      </c>
      <c r="G61" s="41">
        <v>0.9</v>
      </c>
      <c r="H61" s="40">
        <v>360</v>
      </c>
      <c r="I61" s="12"/>
      <c r="J61" s="165"/>
      <c r="K61" s="166"/>
      <c r="L61" s="165"/>
      <c r="M61" s="166"/>
      <c r="N61" s="165">
        <v>1100</v>
      </c>
      <c r="O61" s="166"/>
      <c r="P61" s="165"/>
      <c r="Q61" s="166"/>
      <c r="R61" s="56">
        <v>30</v>
      </c>
      <c r="S61" s="14" t="s">
        <v>20</v>
      </c>
      <c r="T61" s="42" t="s">
        <v>93</v>
      </c>
      <c r="U61" s="177"/>
      <c r="V61" s="178"/>
      <c r="W61" s="179"/>
    </row>
    <row r="62" spans="1:23" ht="14.55" customHeight="1" x14ac:dyDescent="0.3">
      <c r="A62" s="163"/>
      <c r="B62" s="5"/>
      <c r="C62" s="5"/>
      <c r="D62" s="4">
        <v>100925</v>
      </c>
      <c r="E62" s="12" t="s">
        <v>215</v>
      </c>
      <c r="F62" s="40">
        <v>304</v>
      </c>
      <c r="G62" s="41">
        <v>0.6</v>
      </c>
      <c r="H62" s="40">
        <v>32</v>
      </c>
      <c r="I62" s="12"/>
      <c r="J62" s="165"/>
      <c r="K62" s="166"/>
      <c r="L62" s="165"/>
      <c r="M62" s="166"/>
      <c r="N62" s="165">
        <v>200</v>
      </c>
      <c r="O62" s="166"/>
      <c r="P62" s="165"/>
      <c r="Q62" s="166"/>
      <c r="R62" s="56">
        <v>10</v>
      </c>
      <c r="S62" s="14" t="s">
        <v>20</v>
      </c>
      <c r="T62" s="42" t="s">
        <v>216</v>
      </c>
      <c r="U62" s="177"/>
      <c r="V62" s="178"/>
      <c r="W62" s="179"/>
    </row>
    <row r="63" spans="1:23" ht="14.55" customHeight="1" x14ac:dyDescent="0.3">
      <c r="A63" s="163"/>
      <c r="B63" s="5"/>
      <c r="C63" s="5"/>
      <c r="D63" s="4"/>
      <c r="E63" s="12"/>
      <c r="F63" s="40"/>
      <c r="G63" s="41"/>
      <c r="H63" s="40"/>
      <c r="I63" s="12"/>
      <c r="J63" s="165"/>
      <c r="K63" s="166"/>
      <c r="L63" s="165"/>
      <c r="M63" s="166"/>
      <c r="N63" s="165"/>
      <c r="O63" s="166"/>
      <c r="P63" s="165"/>
      <c r="Q63" s="166"/>
      <c r="R63" s="56"/>
      <c r="S63" s="14" t="s">
        <v>20</v>
      </c>
      <c r="T63" s="42"/>
      <c r="U63" s="177"/>
      <c r="V63" s="178"/>
      <c r="W63" s="179"/>
    </row>
    <row r="64" spans="1:23" ht="14.55" customHeight="1" x14ac:dyDescent="0.3">
      <c r="A64" s="163"/>
      <c r="B64" s="5"/>
      <c r="C64" s="5"/>
      <c r="D64" s="4"/>
      <c r="E64" s="12"/>
      <c r="F64" s="40"/>
      <c r="G64" s="41"/>
      <c r="H64" s="40"/>
      <c r="I64" s="12"/>
      <c r="J64" s="165"/>
      <c r="K64" s="166"/>
      <c r="L64" s="165"/>
      <c r="M64" s="166"/>
      <c r="N64" s="165"/>
      <c r="O64" s="166"/>
      <c r="P64" s="165"/>
      <c r="Q64" s="166"/>
      <c r="R64" s="56"/>
      <c r="S64" s="14" t="s">
        <v>20</v>
      </c>
      <c r="T64" s="42"/>
      <c r="U64" s="177"/>
      <c r="V64" s="178"/>
      <c r="W64" s="179"/>
    </row>
    <row r="65" spans="1:23" ht="14.55" customHeight="1" x14ac:dyDescent="0.3">
      <c r="A65" s="163"/>
      <c r="B65" s="5"/>
      <c r="C65" s="5"/>
      <c r="D65" s="4"/>
      <c r="E65" s="12"/>
      <c r="F65" s="40"/>
      <c r="G65" s="41"/>
      <c r="H65" s="40"/>
      <c r="I65" s="12"/>
      <c r="J65" s="165"/>
      <c r="K65" s="166"/>
      <c r="L65" s="165"/>
      <c r="M65" s="166"/>
      <c r="N65" s="165"/>
      <c r="O65" s="166"/>
      <c r="P65" s="165"/>
      <c r="Q65" s="166"/>
      <c r="R65" s="56"/>
      <c r="S65" s="14" t="s">
        <v>20</v>
      </c>
      <c r="T65" s="42"/>
      <c r="U65" s="177"/>
      <c r="V65" s="178"/>
      <c r="W65" s="179"/>
    </row>
    <row r="66" spans="1:23" ht="14.55" customHeight="1" x14ac:dyDescent="0.3">
      <c r="A66" s="163"/>
      <c r="B66" s="5"/>
      <c r="C66" s="5"/>
      <c r="D66" s="4"/>
      <c r="E66" s="12"/>
      <c r="F66" s="40"/>
      <c r="G66" s="41"/>
      <c r="H66" s="40"/>
      <c r="I66" s="12"/>
      <c r="J66" s="165"/>
      <c r="K66" s="166"/>
      <c r="L66" s="165"/>
      <c r="M66" s="166"/>
      <c r="N66" s="165"/>
      <c r="O66" s="166"/>
      <c r="P66" s="165"/>
      <c r="Q66" s="166"/>
      <c r="R66" s="56"/>
      <c r="S66" s="14" t="s">
        <v>20</v>
      </c>
      <c r="T66" s="42"/>
      <c r="U66" s="177"/>
      <c r="V66" s="178"/>
      <c r="W66" s="179"/>
    </row>
    <row r="67" spans="1:23" ht="14.55" customHeight="1" x14ac:dyDescent="0.3">
      <c r="A67" s="163"/>
      <c r="B67" s="5"/>
      <c r="C67" s="5"/>
      <c r="D67" s="4"/>
      <c r="E67" s="12"/>
      <c r="F67" s="40"/>
      <c r="G67" s="41"/>
      <c r="H67" s="40"/>
      <c r="I67" s="12"/>
      <c r="J67" s="165"/>
      <c r="K67" s="166"/>
      <c r="L67" s="165"/>
      <c r="M67" s="166"/>
      <c r="N67" s="165"/>
      <c r="O67" s="166"/>
      <c r="P67" s="165"/>
      <c r="Q67" s="166"/>
      <c r="R67" s="56"/>
      <c r="S67" s="14" t="s">
        <v>20</v>
      </c>
      <c r="T67" s="42"/>
      <c r="U67" s="177"/>
      <c r="V67" s="178"/>
      <c r="W67" s="179"/>
    </row>
    <row r="68" spans="1:23" ht="14.55" customHeight="1" x14ac:dyDescent="0.3">
      <c r="A68" s="163"/>
      <c r="B68" s="5"/>
      <c r="C68" s="5"/>
      <c r="D68" s="4"/>
      <c r="E68" s="12"/>
      <c r="F68" s="40"/>
      <c r="G68" s="41"/>
      <c r="H68" s="40"/>
      <c r="I68" s="12"/>
      <c r="J68" s="165"/>
      <c r="K68" s="166"/>
      <c r="L68" s="165"/>
      <c r="M68" s="166"/>
      <c r="N68" s="165"/>
      <c r="O68" s="166"/>
      <c r="P68" s="165"/>
      <c r="Q68" s="166"/>
      <c r="R68" s="56"/>
      <c r="S68" s="14" t="s">
        <v>20</v>
      </c>
      <c r="T68" s="42"/>
      <c r="U68" s="177"/>
      <c r="V68" s="178"/>
      <c r="W68" s="179"/>
    </row>
    <row r="69" spans="1:23" ht="14.55" customHeight="1" x14ac:dyDescent="0.3">
      <c r="A69" s="163"/>
      <c r="B69" s="5"/>
      <c r="C69" s="5"/>
      <c r="D69" s="4"/>
      <c r="E69" s="12"/>
      <c r="F69" s="40"/>
      <c r="G69" s="41"/>
      <c r="H69" s="40"/>
      <c r="I69" s="12"/>
      <c r="J69" s="165"/>
      <c r="K69" s="166"/>
      <c r="L69" s="165"/>
      <c r="M69" s="166"/>
      <c r="N69" s="165"/>
      <c r="O69" s="166"/>
      <c r="P69" s="165"/>
      <c r="Q69" s="166"/>
      <c r="R69" s="56"/>
      <c r="S69" s="14" t="s">
        <v>20</v>
      </c>
      <c r="T69" s="42"/>
      <c r="U69" s="177"/>
      <c r="V69" s="178"/>
      <c r="W69" s="179"/>
    </row>
    <row r="70" spans="1:23" ht="14.55" customHeight="1" x14ac:dyDescent="0.3">
      <c r="A70" s="164"/>
      <c r="B70" s="19"/>
      <c r="C70" s="19"/>
      <c r="D70" s="20"/>
      <c r="E70" s="170" t="s">
        <v>0</v>
      </c>
      <c r="F70" s="171"/>
      <c r="G70" s="171"/>
      <c r="H70" s="171"/>
      <c r="I70" s="172"/>
      <c r="J70" s="173">
        <f>SUM(J61:K69)</f>
        <v>0</v>
      </c>
      <c r="K70" s="174"/>
      <c r="L70" s="173">
        <f>SUM(L61:M69)</f>
        <v>0</v>
      </c>
      <c r="M70" s="174"/>
      <c r="N70" s="173">
        <f>SUM(N61:O69)</f>
        <v>1300</v>
      </c>
      <c r="O70" s="174"/>
      <c r="P70" s="173">
        <f>SUM(P61:Q69)</f>
        <v>0</v>
      </c>
      <c r="Q70" s="174"/>
      <c r="R70" s="23">
        <f>SUM(R61:R69)</f>
        <v>40</v>
      </c>
      <c r="S70" s="24" t="s">
        <v>20</v>
      </c>
      <c r="T70" s="19"/>
      <c r="U70" s="177"/>
      <c r="V70" s="178"/>
      <c r="W70" s="179"/>
    </row>
    <row r="71" spans="1:23" ht="14.55" customHeight="1" x14ac:dyDescent="0.3">
      <c r="A71" s="27"/>
      <c r="B71" s="27"/>
      <c r="C71" s="27"/>
      <c r="D71" s="27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27"/>
      <c r="S71" s="27"/>
      <c r="T71" s="39"/>
      <c r="U71" s="39"/>
      <c r="V71" s="39"/>
      <c r="W71" s="39"/>
    </row>
    <row r="72" spans="1:23" x14ac:dyDescent="0.3">
      <c r="E72" s="170" t="s">
        <v>31</v>
      </c>
      <c r="F72" s="171"/>
      <c r="G72" s="171"/>
      <c r="H72" s="171"/>
      <c r="I72" s="172"/>
      <c r="J72" s="175" t="s">
        <v>7</v>
      </c>
      <c r="K72" s="176"/>
      <c r="L72" s="175" t="s">
        <v>8</v>
      </c>
      <c r="M72" s="176"/>
      <c r="N72" s="175" t="s">
        <v>9</v>
      </c>
      <c r="O72" s="176"/>
      <c r="P72" s="175" t="s">
        <v>16</v>
      </c>
      <c r="Q72" s="176"/>
    </row>
    <row r="73" spans="1:23" s="2" customFormat="1" x14ac:dyDescent="0.3">
      <c r="E73" s="15"/>
      <c r="F73" s="15"/>
      <c r="G73" s="15"/>
      <c r="H73" s="15"/>
      <c r="I73" s="15"/>
      <c r="J73" s="30">
        <f>J50+J60+J70</f>
        <v>0</v>
      </c>
      <c r="K73" s="31" t="s">
        <v>17</v>
      </c>
      <c r="L73" s="30">
        <f>L50+L60+L70</f>
        <v>1900</v>
      </c>
      <c r="M73" s="31" t="s">
        <v>17</v>
      </c>
      <c r="N73" s="30">
        <f>N50+N60+N70</f>
        <v>1870</v>
      </c>
      <c r="O73" s="31" t="s">
        <v>17</v>
      </c>
      <c r="P73" s="30">
        <f>P50+P60+P70</f>
        <v>0</v>
      </c>
      <c r="Q73" s="34" t="s">
        <v>17</v>
      </c>
    </row>
    <row r="74" spans="1:23" ht="24.45" customHeight="1" x14ac:dyDescent="0.3">
      <c r="E74" s="28"/>
      <c r="F74" s="28"/>
      <c r="G74" s="28"/>
      <c r="H74" s="28"/>
      <c r="I74" s="28"/>
      <c r="J74" s="167">
        <f>J73+L73+N73+P73</f>
        <v>3770</v>
      </c>
      <c r="K74" s="168"/>
      <c r="L74" s="168"/>
      <c r="M74" s="168"/>
      <c r="N74" s="168"/>
      <c r="O74" s="168"/>
      <c r="P74" s="168"/>
      <c r="Q74" s="169"/>
    </row>
    <row r="75" spans="1:23" ht="30" customHeight="1" x14ac:dyDescent="0.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</row>
    <row r="76" spans="1:23" s="37" customFormat="1" ht="19.95" customHeight="1" x14ac:dyDescent="0.4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214" t="s">
        <v>14</v>
      </c>
      <c r="R76" s="215"/>
      <c r="S76" s="216"/>
      <c r="T76" s="184">
        <f>T3</f>
        <v>45923</v>
      </c>
      <c r="U76" s="185"/>
      <c r="V76" s="185"/>
      <c r="W76" s="186"/>
    </row>
    <row r="77" spans="1:23" s="16" customFormat="1" ht="30" customHeight="1" x14ac:dyDescent="0.3">
      <c r="A77" s="187" t="s">
        <v>26</v>
      </c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9"/>
      <c r="Q77" s="189"/>
      <c r="R77" s="189"/>
      <c r="S77" s="189"/>
      <c r="T77" s="188"/>
      <c r="U77" s="188"/>
      <c r="V77" s="188"/>
      <c r="W77" s="190"/>
    </row>
    <row r="78" spans="1:23" s="26" customFormat="1" ht="13.8" x14ac:dyDescent="0.3">
      <c r="A78" s="191" t="s">
        <v>1</v>
      </c>
      <c r="B78" s="192" t="s">
        <v>2</v>
      </c>
      <c r="C78" s="192" t="s">
        <v>3</v>
      </c>
      <c r="D78" s="192" t="s">
        <v>4</v>
      </c>
      <c r="E78" s="193" t="s">
        <v>5</v>
      </c>
      <c r="F78" s="197"/>
      <c r="G78" s="197"/>
      <c r="H78" s="197"/>
      <c r="I78" s="198"/>
      <c r="J78" s="193" t="s">
        <v>6</v>
      </c>
      <c r="K78" s="197"/>
      <c r="L78" s="197"/>
      <c r="M78" s="197"/>
      <c r="N78" s="197"/>
      <c r="O78" s="197"/>
      <c r="P78" s="197"/>
      <c r="Q78" s="198"/>
      <c r="R78" s="193" t="s">
        <v>10</v>
      </c>
      <c r="S78" s="198"/>
      <c r="T78" s="191" t="s">
        <v>11</v>
      </c>
      <c r="U78" s="191" t="s">
        <v>12</v>
      </c>
      <c r="V78" s="191"/>
      <c r="W78" s="191"/>
    </row>
    <row r="79" spans="1:23" s="26" customFormat="1" ht="13.8" x14ac:dyDescent="0.3">
      <c r="A79" s="191"/>
      <c r="B79" s="192"/>
      <c r="C79" s="192"/>
      <c r="D79" s="192"/>
      <c r="E79" s="194"/>
      <c r="F79" s="217"/>
      <c r="G79" s="217"/>
      <c r="H79" s="217"/>
      <c r="I79" s="199"/>
      <c r="J79" s="200" t="s">
        <v>7</v>
      </c>
      <c r="K79" s="201"/>
      <c r="L79" s="200" t="s">
        <v>8</v>
      </c>
      <c r="M79" s="201"/>
      <c r="N79" s="200" t="s">
        <v>9</v>
      </c>
      <c r="O79" s="201"/>
      <c r="P79" s="200" t="s">
        <v>16</v>
      </c>
      <c r="Q79" s="201"/>
      <c r="R79" s="194"/>
      <c r="S79" s="199"/>
      <c r="T79" s="191"/>
      <c r="U79" s="191"/>
      <c r="V79" s="191"/>
      <c r="W79" s="191"/>
    </row>
    <row r="80" spans="1:23" x14ac:dyDescent="0.3">
      <c r="A80" s="180" t="s">
        <v>13</v>
      </c>
      <c r="B80" s="5">
        <v>0.33333333333333331</v>
      </c>
      <c r="C80" s="5"/>
      <c r="D80" s="4">
        <v>10925</v>
      </c>
      <c r="E80" s="211" t="s">
        <v>262</v>
      </c>
      <c r="F80" s="212"/>
      <c r="G80" s="212"/>
      <c r="H80" s="212"/>
      <c r="I80" s="213"/>
      <c r="J80" s="165"/>
      <c r="K80" s="166"/>
      <c r="L80" s="165"/>
      <c r="M80" s="166"/>
      <c r="N80" s="165">
        <v>2547</v>
      </c>
      <c r="O80" s="166"/>
      <c r="P80" s="165"/>
      <c r="Q80" s="166"/>
      <c r="R80" s="56"/>
      <c r="S80" s="6" t="s">
        <v>20</v>
      </c>
      <c r="T80" s="3"/>
      <c r="U80" s="202"/>
      <c r="V80" s="203"/>
      <c r="W80" s="204"/>
    </row>
    <row r="81" spans="1:23" x14ac:dyDescent="0.3">
      <c r="A81" s="163"/>
      <c r="B81" s="5"/>
      <c r="C81" s="5">
        <v>0.70833333333333337</v>
      </c>
      <c r="D81" s="4" t="s">
        <v>263</v>
      </c>
      <c r="E81" s="211" t="s">
        <v>229</v>
      </c>
      <c r="F81" s="212"/>
      <c r="G81" s="212"/>
      <c r="H81" s="212"/>
      <c r="I81" s="213"/>
      <c r="J81" s="165"/>
      <c r="K81" s="166"/>
      <c r="L81" s="165"/>
      <c r="M81" s="166"/>
      <c r="N81" s="165">
        <v>1968</v>
      </c>
      <c r="O81" s="166"/>
      <c r="P81" s="165"/>
      <c r="Q81" s="166"/>
      <c r="R81" s="56"/>
      <c r="S81" s="6" t="s">
        <v>20</v>
      </c>
      <c r="T81" s="3"/>
      <c r="U81" s="205"/>
      <c r="V81" s="206"/>
      <c r="W81" s="207"/>
    </row>
    <row r="82" spans="1:23" x14ac:dyDescent="0.3">
      <c r="A82" s="163"/>
      <c r="B82" s="5"/>
      <c r="C82" s="5"/>
      <c r="D82" s="4"/>
      <c r="E82" s="211"/>
      <c r="F82" s="212"/>
      <c r="G82" s="212"/>
      <c r="H82" s="212"/>
      <c r="I82" s="213"/>
      <c r="J82" s="165"/>
      <c r="K82" s="166"/>
      <c r="L82" s="165"/>
      <c r="M82" s="166"/>
      <c r="N82" s="165"/>
      <c r="O82" s="166"/>
      <c r="P82" s="165"/>
      <c r="Q82" s="166"/>
      <c r="R82" s="56"/>
      <c r="S82" s="6" t="s">
        <v>20</v>
      </c>
      <c r="T82" s="3"/>
      <c r="U82" s="205"/>
      <c r="V82" s="206"/>
      <c r="W82" s="207"/>
    </row>
    <row r="83" spans="1:23" x14ac:dyDescent="0.3">
      <c r="A83" s="163"/>
      <c r="B83" s="5"/>
      <c r="C83" s="5"/>
      <c r="D83" s="4"/>
      <c r="E83" s="211"/>
      <c r="F83" s="212"/>
      <c r="G83" s="212"/>
      <c r="H83" s="212"/>
      <c r="I83" s="213"/>
      <c r="J83" s="165"/>
      <c r="K83" s="166"/>
      <c r="L83" s="165"/>
      <c r="M83" s="166"/>
      <c r="N83" s="165"/>
      <c r="O83" s="166"/>
      <c r="P83" s="165"/>
      <c r="Q83" s="166"/>
      <c r="R83" s="56"/>
      <c r="S83" s="6" t="s">
        <v>20</v>
      </c>
      <c r="T83" s="3"/>
      <c r="U83" s="205"/>
      <c r="V83" s="206"/>
      <c r="W83" s="207"/>
    </row>
    <row r="84" spans="1:23" x14ac:dyDescent="0.3">
      <c r="A84" s="163"/>
      <c r="B84" s="5"/>
      <c r="C84" s="5"/>
      <c r="D84" s="4"/>
      <c r="E84" s="211"/>
      <c r="F84" s="212"/>
      <c r="G84" s="212"/>
      <c r="H84" s="212"/>
      <c r="I84" s="213"/>
      <c r="J84" s="165"/>
      <c r="K84" s="166"/>
      <c r="L84" s="165"/>
      <c r="M84" s="166"/>
      <c r="N84" s="165"/>
      <c r="O84" s="166"/>
      <c r="P84" s="165"/>
      <c r="Q84" s="166"/>
      <c r="R84" s="56"/>
      <c r="S84" s="6" t="s">
        <v>20</v>
      </c>
      <c r="T84" s="3"/>
      <c r="U84" s="205"/>
      <c r="V84" s="206"/>
      <c r="W84" s="207"/>
    </row>
    <row r="85" spans="1:23" x14ac:dyDescent="0.3">
      <c r="A85" s="163"/>
      <c r="B85" s="5"/>
      <c r="C85" s="5"/>
      <c r="D85" s="4"/>
      <c r="E85" s="211"/>
      <c r="F85" s="212"/>
      <c r="G85" s="212"/>
      <c r="H85" s="212"/>
      <c r="I85" s="213"/>
      <c r="J85" s="165"/>
      <c r="K85" s="166"/>
      <c r="L85" s="165"/>
      <c r="M85" s="166"/>
      <c r="N85" s="165"/>
      <c r="O85" s="166"/>
      <c r="P85" s="165"/>
      <c r="Q85" s="166"/>
      <c r="R85" s="56"/>
      <c r="S85" s="6" t="s">
        <v>20</v>
      </c>
      <c r="T85" s="3"/>
      <c r="U85" s="205"/>
      <c r="V85" s="206"/>
      <c r="W85" s="207"/>
    </row>
    <row r="86" spans="1:23" x14ac:dyDescent="0.3">
      <c r="A86" s="163"/>
      <c r="B86" s="5"/>
      <c r="C86" s="5"/>
      <c r="D86" s="4"/>
      <c r="E86" s="211"/>
      <c r="F86" s="212"/>
      <c r="G86" s="212"/>
      <c r="H86" s="212"/>
      <c r="I86" s="213"/>
      <c r="J86" s="165"/>
      <c r="K86" s="166"/>
      <c r="L86" s="165"/>
      <c r="M86" s="166"/>
      <c r="N86" s="165"/>
      <c r="O86" s="166"/>
      <c r="P86" s="165"/>
      <c r="Q86" s="166"/>
      <c r="R86" s="56"/>
      <c r="S86" s="6" t="s">
        <v>20</v>
      </c>
      <c r="T86" s="3"/>
      <c r="U86" s="205"/>
      <c r="V86" s="206"/>
      <c r="W86" s="207"/>
    </row>
    <row r="87" spans="1:23" x14ac:dyDescent="0.3">
      <c r="A87" s="164"/>
      <c r="B87" s="19"/>
      <c r="C87" s="19"/>
      <c r="D87" s="20"/>
      <c r="E87" s="170" t="s">
        <v>0</v>
      </c>
      <c r="F87" s="171"/>
      <c r="G87" s="171"/>
      <c r="H87" s="171"/>
      <c r="I87" s="172"/>
      <c r="J87" s="173">
        <f>SUM(J80:J86)</f>
        <v>0</v>
      </c>
      <c r="K87" s="174"/>
      <c r="L87" s="173">
        <f>SUM(L80:L86)</f>
        <v>0</v>
      </c>
      <c r="M87" s="174"/>
      <c r="N87" s="173">
        <f>SUM(N80:N86)</f>
        <v>4515</v>
      </c>
      <c r="O87" s="174"/>
      <c r="P87" s="173">
        <f>SUM(P80:P86)</f>
        <v>0</v>
      </c>
      <c r="Q87" s="174"/>
      <c r="R87" s="23">
        <f>SUM(R80:R86)</f>
        <v>0</v>
      </c>
      <c r="S87" s="24" t="s">
        <v>20</v>
      </c>
      <c r="T87" s="19"/>
      <c r="U87" s="208"/>
      <c r="V87" s="209"/>
      <c r="W87" s="210"/>
    </row>
    <row r="88" spans="1:23" x14ac:dyDescent="0.3">
      <c r="A88" s="180" t="s">
        <v>15</v>
      </c>
      <c r="B88" s="5"/>
      <c r="C88" s="5"/>
      <c r="D88" s="4"/>
      <c r="E88" s="211"/>
      <c r="F88" s="212"/>
      <c r="G88" s="212"/>
      <c r="H88" s="212"/>
      <c r="I88" s="213"/>
      <c r="J88" s="165"/>
      <c r="K88" s="166"/>
      <c r="L88" s="165"/>
      <c r="M88" s="166"/>
      <c r="N88" s="165"/>
      <c r="O88" s="166"/>
      <c r="P88" s="165"/>
      <c r="Q88" s="166"/>
      <c r="R88" s="56"/>
      <c r="S88" s="6" t="s">
        <v>20</v>
      </c>
      <c r="T88" s="3"/>
      <c r="U88" s="202"/>
      <c r="V88" s="203"/>
      <c r="W88" s="204"/>
    </row>
    <row r="89" spans="1:23" x14ac:dyDescent="0.3">
      <c r="A89" s="163"/>
      <c r="B89" s="5"/>
      <c r="C89" s="5"/>
      <c r="D89" s="4"/>
      <c r="E89" s="211"/>
      <c r="F89" s="212"/>
      <c r="G89" s="212"/>
      <c r="H89" s="212"/>
      <c r="I89" s="213"/>
      <c r="J89" s="165"/>
      <c r="K89" s="166"/>
      <c r="L89" s="165"/>
      <c r="M89" s="166"/>
      <c r="N89" s="165"/>
      <c r="O89" s="166"/>
      <c r="P89" s="165"/>
      <c r="Q89" s="166"/>
      <c r="R89" s="56"/>
      <c r="S89" s="6" t="s">
        <v>20</v>
      </c>
      <c r="T89" s="3"/>
      <c r="U89" s="205"/>
      <c r="V89" s="206"/>
      <c r="W89" s="207"/>
    </row>
    <row r="90" spans="1:23" x14ac:dyDescent="0.3">
      <c r="A90" s="163"/>
      <c r="B90" s="5"/>
      <c r="C90" s="5"/>
      <c r="D90" s="4"/>
      <c r="E90" s="211"/>
      <c r="F90" s="212"/>
      <c r="G90" s="212"/>
      <c r="H90" s="212"/>
      <c r="I90" s="213"/>
      <c r="J90" s="165"/>
      <c r="K90" s="166"/>
      <c r="L90" s="165"/>
      <c r="M90" s="166"/>
      <c r="N90" s="165"/>
      <c r="O90" s="166"/>
      <c r="P90" s="165"/>
      <c r="Q90" s="166"/>
      <c r="R90" s="56"/>
      <c r="S90" s="6" t="s">
        <v>20</v>
      </c>
      <c r="T90" s="3"/>
      <c r="U90" s="205"/>
      <c r="V90" s="206"/>
      <c r="W90" s="207"/>
    </row>
    <row r="91" spans="1:23" x14ac:dyDescent="0.3">
      <c r="A91" s="164"/>
      <c r="B91" s="19"/>
      <c r="C91" s="19"/>
      <c r="D91" s="20"/>
      <c r="E91" s="170" t="s">
        <v>0</v>
      </c>
      <c r="F91" s="171"/>
      <c r="G91" s="171"/>
      <c r="H91" s="171"/>
      <c r="I91" s="172"/>
      <c r="J91" s="173">
        <f>SUM(J88:J90)</f>
        <v>0</v>
      </c>
      <c r="K91" s="174"/>
      <c r="L91" s="173">
        <f>SUM(L88:L90)</f>
        <v>0</v>
      </c>
      <c r="M91" s="174"/>
      <c r="N91" s="173">
        <f>SUM(N88:N90)</f>
        <v>0</v>
      </c>
      <c r="O91" s="174"/>
      <c r="P91" s="173">
        <f>SUM(P83:P90)</f>
        <v>0</v>
      </c>
      <c r="Q91" s="174"/>
      <c r="R91" s="23">
        <f>SUM(R88:R90)</f>
        <v>0</v>
      </c>
      <c r="S91" s="24" t="s">
        <v>20</v>
      </c>
      <c r="T91" s="7"/>
      <c r="U91" s="208"/>
      <c r="V91" s="209"/>
      <c r="W91" s="210"/>
    </row>
    <row r="92" spans="1:23" x14ac:dyDescent="0.3">
      <c r="A92" s="180" t="s">
        <v>37</v>
      </c>
      <c r="B92" s="5">
        <v>0.33333333333333331</v>
      </c>
      <c r="C92" s="5"/>
      <c r="D92" s="4"/>
      <c r="E92" s="211" t="s">
        <v>264</v>
      </c>
      <c r="F92" s="212"/>
      <c r="G92" s="212"/>
      <c r="H92" s="212"/>
      <c r="I92" s="213"/>
      <c r="J92" s="165">
        <v>1030</v>
      </c>
      <c r="K92" s="166"/>
      <c r="L92" s="165"/>
      <c r="M92" s="166"/>
      <c r="N92" s="165"/>
      <c r="O92" s="166"/>
      <c r="P92" s="165"/>
      <c r="Q92" s="166"/>
      <c r="R92" s="56"/>
      <c r="S92" s="6" t="s">
        <v>20</v>
      </c>
      <c r="T92" s="3"/>
      <c r="U92" s="202"/>
      <c r="V92" s="203"/>
      <c r="W92" s="204"/>
    </row>
    <row r="93" spans="1:23" x14ac:dyDescent="0.3">
      <c r="A93" s="163"/>
      <c r="B93" s="5"/>
      <c r="C93" s="5"/>
      <c r="D93" s="4"/>
      <c r="E93" s="211" t="s">
        <v>265</v>
      </c>
      <c r="F93" s="212"/>
      <c r="G93" s="212"/>
      <c r="H93" s="212"/>
      <c r="I93" s="213"/>
      <c r="J93" s="165">
        <v>1750</v>
      </c>
      <c r="K93" s="166"/>
      <c r="L93" s="165"/>
      <c r="M93" s="166"/>
      <c r="N93" s="165"/>
      <c r="O93" s="166"/>
      <c r="P93" s="165"/>
      <c r="Q93" s="166"/>
      <c r="R93" s="56"/>
      <c r="S93" s="6" t="s">
        <v>20</v>
      </c>
      <c r="T93" s="3"/>
      <c r="U93" s="205"/>
      <c r="V93" s="206"/>
      <c r="W93" s="207"/>
    </row>
    <row r="94" spans="1:23" x14ac:dyDescent="0.3">
      <c r="A94" s="163"/>
      <c r="B94" s="5"/>
      <c r="C94" s="5">
        <v>0.70833333333333337</v>
      </c>
      <c r="D94" s="4"/>
      <c r="E94" s="211" t="s">
        <v>266</v>
      </c>
      <c r="F94" s="212"/>
      <c r="G94" s="212"/>
      <c r="H94" s="212"/>
      <c r="I94" s="213"/>
      <c r="J94" s="165">
        <v>1225</v>
      </c>
      <c r="K94" s="166"/>
      <c r="L94" s="165"/>
      <c r="M94" s="166"/>
      <c r="N94" s="165"/>
      <c r="O94" s="166"/>
      <c r="P94" s="165"/>
      <c r="Q94" s="166"/>
      <c r="R94" s="56"/>
      <c r="S94" s="6" t="s">
        <v>20</v>
      </c>
      <c r="T94" s="3"/>
      <c r="U94" s="205"/>
      <c r="V94" s="206"/>
      <c r="W94" s="207"/>
    </row>
    <row r="95" spans="1:23" x14ac:dyDescent="0.3">
      <c r="A95" s="163"/>
      <c r="B95" s="5"/>
      <c r="C95" s="5"/>
      <c r="D95" s="4"/>
      <c r="E95" s="211"/>
      <c r="F95" s="212"/>
      <c r="G95" s="212"/>
      <c r="H95" s="212"/>
      <c r="I95" s="213"/>
      <c r="J95" s="165"/>
      <c r="K95" s="166"/>
      <c r="L95" s="165"/>
      <c r="M95" s="166"/>
      <c r="N95" s="165"/>
      <c r="O95" s="166"/>
      <c r="P95" s="165"/>
      <c r="Q95" s="166"/>
      <c r="R95" s="56"/>
      <c r="S95" s="6" t="s">
        <v>20</v>
      </c>
      <c r="T95" s="3"/>
      <c r="U95" s="205"/>
      <c r="V95" s="206"/>
      <c r="W95" s="207"/>
    </row>
    <row r="96" spans="1:23" x14ac:dyDescent="0.3">
      <c r="A96" s="163"/>
      <c r="B96" s="5"/>
      <c r="C96" s="5"/>
      <c r="D96" s="4"/>
      <c r="E96" s="211"/>
      <c r="F96" s="212"/>
      <c r="G96" s="212"/>
      <c r="H96" s="212"/>
      <c r="I96" s="213"/>
      <c r="J96" s="165"/>
      <c r="K96" s="166"/>
      <c r="L96" s="165"/>
      <c r="M96" s="166"/>
      <c r="N96" s="165"/>
      <c r="O96" s="166"/>
      <c r="P96" s="165"/>
      <c r="Q96" s="166"/>
      <c r="R96" s="56"/>
      <c r="S96" s="6" t="s">
        <v>20</v>
      </c>
      <c r="T96" s="3"/>
      <c r="U96" s="205"/>
      <c r="V96" s="206"/>
      <c r="W96" s="207"/>
    </row>
    <row r="97" spans="1:23" x14ac:dyDescent="0.3">
      <c r="A97" s="163"/>
      <c r="B97" s="5"/>
      <c r="C97" s="5"/>
      <c r="D97" s="4"/>
      <c r="E97" s="211"/>
      <c r="F97" s="212"/>
      <c r="G97" s="212"/>
      <c r="H97" s="212"/>
      <c r="I97" s="213"/>
      <c r="J97" s="165"/>
      <c r="K97" s="166"/>
      <c r="L97" s="165"/>
      <c r="M97" s="166"/>
      <c r="N97" s="165"/>
      <c r="O97" s="166"/>
      <c r="P97" s="165"/>
      <c r="Q97" s="166"/>
      <c r="R97" s="56"/>
      <c r="S97" s="6" t="s">
        <v>20</v>
      </c>
      <c r="T97" s="3"/>
      <c r="U97" s="205"/>
      <c r="V97" s="206"/>
      <c r="W97" s="207"/>
    </row>
    <row r="98" spans="1:23" x14ac:dyDescent="0.3">
      <c r="A98" s="163"/>
      <c r="B98" s="5"/>
      <c r="C98" s="5"/>
      <c r="D98" s="4"/>
      <c r="E98" s="211"/>
      <c r="F98" s="212"/>
      <c r="G98" s="212"/>
      <c r="H98" s="212"/>
      <c r="I98" s="213"/>
      <c r="J98" s="165"/>
      <c r="K98" s="166"/>
      <c r="L98" s="165"/>
      <c r="M98" s="166"/>
      <c r="N98" s="165"/>
      <c r="O98" s="166"/>
      <c r="P98" s="165"/>
      <c r="Q98" s="166"/>
      <c r="R98" s="56"/>
      <c r="S98" s="6" t="s">
        <v>20</v>
      </c>
      <c r="T98" s="3"/>
      <c r="U98" s="205"/>
      <c r="V98" s="206"/>
      <c r="W98" s="207"/>
    </row>
    <row r="99" spans="1:23" x14ac:dyDescent="0.3">
      <c r="A99" s="164"/>
      <c r="B99" s="19"/>
      <c r="C99" s="19"/>
      <c r="D99" s="20"/>
      <c r="E99" s="170" t="s">
        <v>0</v>
      </c>
      <c r="F99" s="171"/>
      <c r="G99" s="171"/>
      <c r="H99" s="171"/>
      <c r="I99" s="172"/>
      <c r="J99" s="173">
        <f>SUM(J92:J98)</f>
        <v>4005</v>
      </c>
      <c r="K99" s="174"/>
      <c r="L99" s="173">
        <f>SUM(L92:L98)</f>
        <v>0</v>
      </c>
      <c r="M99" s="174"/>
      <c r="N99" s="173">
        <f>SUM(N92:N98)</f>
        <v>0</v>
      </c>
      <c r="O99" s="174"/>
      <c r="P99" s="173">
        <f>SUM(P92:P98)</f>
        <v>0</v>
      </c>
      <c r="Q99" s="174"/>
      <c r="R99" s="23">
        <f>SUM(R92:R98)</f>
        <v>0</v>
      </c>
      <c r="S99" s="24" t="s">
        <v>20</v>
      </c>
      <c r="T99" s="19"/>
      <c r="U99" s="208"/>
      <c r="V99" s="209"/>
      <c r="W99" s="210"/>
    </row>
    <row r="100" spans="1:23" x14ac:dyDescent="0.3">
      <c r="A100" s="180" t="s">
        <v>36</v>
      </c>
      <c r="B100" s="5"/>
      <c r="C100" s="5"/>
      <c r="D100" s="4"/>
      <c r="E100" s="211"/>
      <c r="F100" s="212"/>
      <c r="G100" s="212"/>
      <c r="H100" s="212"/>
      <c r="I100" s="213"/>
      <c r="J100" s="165"/>
      <c r="K100" s="166"/>
      <c r="L100" s="165"/>
      <c r="M100" s="166"/>
      <c r="N100" s="165"/>
      <c r="O100" s="166"/>
      <c r="P100" s="165"/>
      <c r="Q100" s="166"/>
      <c r="R100" s="56"/>
      <c r="S100" s="6" t="s">
        <v>20</v>
      </c>
      <c r="T100" s="3"/>
      <c r="U100" s="202"/>
      <c r="V100" s="203"/>
      <c r="W100" s="204"/>
    </row>
    <row r="101" spans="1:23" x14ac:dyDescent="0.3">
      <c r="A101" s="163"/>
      <c r="B101" s="5"/>
      <c r="C101" s="5"/>
      <c r="D101" s="4"/>
      <c r="E101" s="211"/>
      <c r="F101" s="212"/>
      <c r="G101" s="212"/>
      <c r="H101" s="212"/>
      <c r="I101" s="213"/>
      <c r="J101" s="165"/>
      <c r="K101" s="166"/>
      <c r="L101" s="165"/>
      <c r="M101" s="166"/>
      <c r="N101" s="165"/>
      <c r="O101" s="166"/>
      <c r="P101" s="165"/>
      <c r="Q101" s="166"/>
      <c r="R101" s="56"/>
      <c r="S101" s="6" t="s">
        <v>20</v>
      </c>
      <c r="T101" s="3"/>
      <c r="U101" s="205"/>
      <c r="V101" s="206"/>
      <c r="W101" s="207"/>
    </row>
    <row r="102" spans="1:23" x14ac:dyDescent="0.3">
      <c r="A102" s="163"/>
      <c r="B102" s="5"/>
      <c r="C102" s="5"/>
      <c r="D102" s="4"/>
      <c r="E102" s="211"/>
      <c r="F102" s="212"/>
      <c r="G102" s="212"/>
      <c r="H102" s="212"/>
      <c r="I102" s="213"/>
      <c r="J102" s="165"/>
      <c r="K102" s="166"/>
      <c r="L102" s="165"/>
      <c r="M102" s="166"/>
      <c r="N102" s="165"/>
      <c r="O102" s="166"/>
      <c r="P102" s="165"/>
      <c r="Q102" s="166"/>
      <c r="R102" s="56"/>
      <c r="S102" s="6" t="s">
        <v>20</v>
      </c>
      <c r="T102" s="3"/>
      <c r="U102" s="205"/>
      <c r="V102" s="206"/>
      <c r="W102" s="207"/>
    </row>
    <row r="103" spans="1:23" x14ac:dyDescent="0.3">
      <c r="A103" s="164"/>
      <c r="B103" s="19"/>
      <c r="C103" s="19"/>
      <c r="D103" s="20"/>
      <c r="E103" s="170" t="s">
        <v>0</v>
      </c>
      <c r="F103" s="171"/>
      <c r="G103" s="171"/>
      <c r="H103" s="171"/>
      <c r="I103" s="172"/>
      <c r="J103" s="173">
        <f>SUM(J100:J102)</f>
        <v>0</v>
      </c>
      <c r="K103" s="174"/>
      <c r="L103" s="173">
        <f>SUM(L100:L102)</f>
        <v>0</v>
      </c>
      <c r="M103" s="174"/>
      <c r="N103" s="173">
        <f>SUM(N100:N102)</f>
        <v>0</v>
      </c>
      <c r="O103" s="174"/>
      <c r="P103" s="173">
        <f>SUM(P100:P102)</f>
        <v>0</v>
      </c>
      <c r="Q103" s="174"/>
      <c r="R103" s="23">
        <f>SUM(R100:R102)</f>
        <v>0</v>
      </c>
      <c r="S103" s="24" t="s">
        <v>20</v>
      </c>
      <c r="T103" s="19"/>
      <c r="U103" s="208"/>
      <c r="V103" s="209"/>
      <c r="W103" s="210"/>
    </row>
    <row r="104" spans="1:23" x14ac:dyDescent="0.3">
      <c r="E104" s="28"/>
      <c r="F104" s="28"/>
      <c r="G104" s="28"/>
      <c r="H104" s="28"/>
      <c r="I104" s="28"/>
      <c r="J104" s="29"/>
      <c r="K104" s="29"/>
      <c r="L104" s="29"/>
      <c r="M104" s="29"/>
      <c r="N104" s="29"/>
      <c r="O104" s="29"/>
      <c r="P104" s="29"/>
      <c r="Q104" s="29"/>
    </row>
    <row r="105" spans="1:23" x14ac:dyDescent="0.3">
      <c r="E105" s="170" t="s">
        <v>28</v>
      </c>
      <c r="F105" s="171"/>
      <c r="G105" s="171"/>
      <c r="H105" s="171"/>
      <c r="I105" s="172"/>
      <c r="J105" s="175" t="s">
        <v>7</v>
      </c>
      <c r="K105" s="176"/>
      <c r="L105" s="175" t="s">
        <v>8</v>
      </c>
      <c r="M105" s="176"/>
      <c r="N105" s="175" t="s">
        <v>9</v>
      </c>
      <c r="O105" s="176"/>
      <c r="P105" s="175" t="s">
        <v>16</v>
      </c>
      <c r="Q105" s="176"/>
    </row>
    <row r="106" spans="1:23" s="2" customFormat="1" x14ac:dyDescent="0.3">
      <c r="E106" s="15"/>
      <c r="F106" s="15"/>
      <c r="G106" s="15"/>
      <c r="H106" s="15"/>
      <c r="I106" s="15"/>
      <c r="J106" s="30">
        <f>J87+J91</f>
        <v>0</v>
      </c>
      <c r="K106" s="31" t="s">
        <v>17</v>
      </c>
      <c r="L106" s="32">
        <f>L87+L91</f>
        <v>0</v>
      </c>
      <c r="M106" s="31" t="s">
        <v>17</v>
      </c>
      <c r="N106" s="32">
        <f>N87+N91</f>
        <v>4515</v>
      </c>
      <c r="O106" s="31" t="s">
        <v>17</v>
      </c>
      <c r="P106" s="33">
        <f>P99+P103</f>
        <v>0</v>
      </c>
      <c r="Q106" s="34" t="s">
        <v>17</v>
      </c>
    </row>
    <row r="107" spans="1:23" ht="24.45" customHeight="1" x14ac:dyDescent="0.3">
      <c r="E107" s="28"/>
      <c r="F107" s="28"/>
      <c r="G107" s="28"/>
      <c r="H107" s="28"/>
      <c r="I107" s="28"/>
      <c r="J107" s="167">
        <f>J106+L106+N106+P106</f>
        <v>4515</v>
      </c>
      <c r="K107" s="168"/>
      <c r="L107" s="168"/>
      <c r="M107" s="168"/>
      <c r="N107" s="168"/>
      <c r="O107" s="168"/>
      <c r="P107" s="168"/>
      <c r="Q107" s="169"/>
    </row>
  </sheetData>
  <mergeCells count="430">
    <mergeCell ref="E105:I105"/>
    <mergeCell ref="J105:K105"/>
    <mergeCell ref="L105:M105"/>
    <mergeCell ref="N105:O105"/>
    <mergeCell ref="P105:Q105"/>
    <mergeCell ref="J107:Q107"/>
    <mergeCell ref="N102:O102"/>
    <mergeCell ref="P102:Q102"/>
    <mergeCell ref="E103:I103"/>
    <mergeCell ref="J103:K103"/>
    <mergeCell ref="L103:M103"/>
    <mergeCell ref="N103:O103"/>
    <mergeCell ref="P103:Q103"/>
    <mergeCell ref="U100:W103"/>
    <mergeCell ref="E101:I101"/>
    <mergeCell ref="J101:K101"/>
    <mergeCell ref="L101:M101"/>
    <mergeCell ref="N101:O101"/>
    <mergeCell ref="P101:Q101"/>
    <mergeCell ref="E102:I102"/>
    <mergeCell ref="J102:K102"/>
    <mergeCell ref="L102:M102"/>
    <mergeCell ref="E99:I99"/>
    <mergeCell ref="J99:K99"/>
    <mergeCell ref="L99:M99"/>
    <mergeCell ref="N99:O99"/>
    <mergeCell ref="P99:Q99"/>
    <mergeCell ref="A100:A103"/>
    <mergeCell ref="E100:I100"/>
    <mergeCell ref="J100:K100"/>
    <mergeCell ref="L100:M100"/>
    <mergeCell ref="N100:O100"/>
    <mergeCell ref="A92:A99"/>
    <mergeCell ref="J95:K95"/>
    <mergeCell ref="L95:M95"/>
    <mergeCell ref="P100:Q100"/>
    <mergeCell ref="E97:I97"/>
    <mergeCell ref="J97:K97"/>
    <mergeCell ref="L97:M97"/>
    <mergeCell ref="N97:O97"/>
    <mergeCell ref="P97:Q97"/>
    <mergeCell ref="E98:I98"/>
    <mergeCell ref="J98:K98"/>
    <mergeCell ref="L98:M98"/>
    <mergeCell ref="N98:O98"/>
    <mergeCell ref="P98:Q98"/>
    <mergeCell ref="N95:O95"/>
    <mergeCell ref="P95:Q95"/>
    <mergeCell ref="E96:I96"/>
    <mergeCell ref="J96:K96"/>
    <mergeCell ref="L96:M96"/>
    <mergeCell ref="N96:O96"/>
    <mergeCell ref="P96:Q96"/>
    <mergeCell ref="U92:W99"/>
    <mergeCell ref="E93:I93"/>
    <mergeCell ref="J93:K93"/>
    <mergeCell ref="L93:M93"/>
    <mergeCell ref="N93:O93"/>
    <mergeCell ref="P93:Q93"/>
    <mergeCell ref="E94:I94"/>
    <mergeCell ref="J94:K94"/>
    <mergeCell ref="L94:M94"/>
    <mergeCell ref="N94:O94"/>
    <mergeCell ref="E92:I92"/>
    <mergeCell ref="J92:K92"/>
    <mergeCell ref="L92:M92"/>
    <mergeCell ref="N92:O92"/>
    <mergeCell ref="P92:Q92"/>
    <mergeCell ref="P94:Q94"/>
    <mergeCell ref="E95:I95"/>
    <mergeCell ref="U88:W91"/>
    <mergeCell ref="E89:I89"/>
    <mergeCell ref="J89:K89"/>
    <mergeCell ref="L89:M89"/>
    <mergeCell ref="N89:O89"/>
    <mergeCell ref="P89:Q89"/>
    <mergeCell ref="E90:I90"/>
    <mergeCell ref="J90:K90"/>
    <mergeCell ref="L90:M90"/>
    <mergeCell ref="P90:Q90"/>
    <mergeCell ref="E91:I91"/>
    <mergeCell ref="J91:K91"/>
    <mergeCell ref="L91:M91"/>
    <mergeCell ref="N91:O91"/>
    <mergeCell ref="P91:Q91"/>
    <mergeCell ref="P88:Q88"/>
    <mergeCell ref="A88:A91"/>
    <mergeCell ref="E88:I88"/>
    <mergeCell ref="J88:K88"/>
    <mergeCell ref="L88:M88"/>
    <mergeCell ref="N88:O88"/>
    <mergeCell ref="A80:A87"/>
    <mergeCell ref="J83:K83"/>
    <mergeCell ref="L83:M83"/>
    <mergeCell ref="N90:O90"/>
    <mergeCell ref="N83:O83"/>
    <mergeCell ref="P83:Q83"/>
    <mergeCell ref="E84:I84"/>
    <mergeCell ref="J84:K84"/>
    <mergeCell ref="L84:M84"/>
    <mergeCell ref="N84:O84"/>
    <mergeCell ref="P84:Q84"/>
    <mergeCell ref="E87:I87"/>
    <mergeCell ref="J87:K87"/>
    <mergeCell ref="L87:M87"/>
    <mergeCell ref="N87:O87"/>
    <mergeCell ref="P87:Q87"/>
    <mergeCell ref="E85:I85"/>
    <mergeCell ref="J85:K85"/>
    <mergeCell ref="L85:M85"/>
    <mergeCell ref="U80:W87"/>
    <mergeCell ref="E81:I81"/>
    <mergeCell ref="J81:K81"/>
    <mergeCell ref="L81:M81"/>
    <mergeCell ref="N81:O81"/>
    <mergeCell ref="P81:Q81"/>
    <mergeCell ref="E82:I82"/>
    <mergeCell ref="J82:K82"/>
    <mergeCell ref="L82:M82"/>
    <mergeCell ref="N82:O82"/>
    <mergeCell ref="E80:I80"/>
    <mergeCell ref="J80:K80"/>
    <mergeCell ref="L80:M80"/>
    <mergeCell ref="N80:O80"/>
    <mergeCell ref="P80:Q80"/>
    <mergeCell ref="P82:Q82"/>
    <mergeCell ref="E83:I83"/>
    <mergeCell ref="N85:O85"/>
    <mergeCell ref="P85:Q85"/>
    <mergeCell ref="E86:I86"/>
    <mergeCell ref="J86:K86"/>
    <mergeCell ref="L86:M86"/>
    <mergeCell ref="N86:O86"/>
    <mergeCell ref="P86:Q86"/>
    <mergeCell ref="E72:I72"/>
    <mergeCell ref="J72:K72"/>
    <mergeCell ref="L72:M72"/>
    <mergeCell ref="N72:O72"/>
    <mergeCell ref="P72:Q72"/>
    <mergeCell ref="R78:S79"/>
    <mergeCell ref="T78:T79"/>
    <mergeCell ref="U78:W79"/>
    <mergeCell ref="J79:K79"/>
    <mergeCell ref="L79:M79"/>
    <mergeCell ref="N79:O79"/>
    <mergeCell ref="P79:Q79"/>
    <mergeCell ref="J74:Q74"/>
    <mergeCell ref="Q76:S76"/>
    <mergeCell ref="T76:W76"/>
    <mergeCell ref="A77:W77"/>
    <mergeCell ref="A78:A79"/>
    <mergeCell ref="B78:B79"/>
    <mergeCell ref="C78:C79"/>
    <mergeCell ref="D78:D79"/>
    <mergeCell ref="E78:I79"/>
    <mergeCell ref="J78:Q78"/>
    <mergeCell ref="U61:W70"/>
    <mergeCell ref="J62:K62"/>
    <mergeCell ref="L62:M62"/>
    <mergeCell ref="N62:O62"/>
    <mergeCell ref="P62:Q62"/>
    <mergeCell ref="J63:K63"/>
    <mergeCell ref="L63:M63"/>
    <mergeCell ref="N63:O63"/>
    <mergeCell ref="P63:Q63"/>
    <mergeCell ref="J64:K64"/>
    <mergeCell ref="J68:K68"/>
    <mergeCell ref="L68:M68"/>
    <mergeCell ref="N68:O68"/>
    <mergeCell ref="P68:Q68"/>
    <mergeCell ref="J69:K69"/>
    <mergeCell ref="L69:M69"/>
    <mergeCell ref="N69:O69"/>
    <mergeCell ref="P69:Q69"/>
    <mergeCell ref="J66:K66"/>
    <mergeCell ref="L66:M66"/>
    <mergeCell ref="N66:O66"/>
    <mergeCell ref="P66:Q66"/>
    <mergeCell ref="J67:K67"/>
    <mergeCell ref="L67:M67"/>
    <mergeCell ref="A61:A70"/>
    <mergeCell ref="J61:K61"/>
    <mergeCell ref="L61:M61"/>
    <mergeCell ref="N61:O61"/>
    <mergeCell ref="P61:Q61"/>
    <mergeCell ref="L64:M64"/>
    <mergeCell ref="N64:O64"/>
    <mergeCell ref="P64:Q64"/>
    <mergeCell ref="J65:K65"/>
    <mergeCell ref="L65:M65"/>
    <mergeCell ref="N65:O65"/>
    <mergeCell ref="P65:Q65"/>
    <mergeCell ref="N67:O67"/>
    <mergeCell ref="P67:Q67"/>
    <mergeCell ref="E70:I70"/>
    <mergeCell ref="J70:K70"/>
    <mergeCell ref="L70:M70"/>
    <mergeCell ref="N70:O70"/>
    <mergeCell ref="P70:Q70"/>
    <mergeCell ref="U51:W60"/>
    <mergeCell ref="J52:K52"/>
    <mergeCell ref="L52:M52"/>
    <mergeCell ref="N52:O52"/>
    <mergeCell ref="P52:Q52"/>
    <mergeCell ref="J53:K53"/>
    <mergeCell ref="L53:M53"/>
    <mergeCell ref="N53:O53"/>
    <mergeCell ref="P53:Q53"/>
    <mergeCell ref="J54:K54"/>
    <mergeCell ref="J58:K58"/>
    <mergeCell ref="L58:M58"/>
    <mergeCell ref="N58:O58"/>
    <mergeCell ref="P58:Q58"/>
    <mergeCell ref="J59:K59"/>
    <mergeCell ref="L59:M59"/>
    <mergeCell ref="N59:O59"/>
    <mergeCell ref="P59:Q59"/>
    <mergeCell ref="J56:K56"/>
    <mergeCell ref="L56:M56"/>
    <mergeCell ref="N56:O56"/>
    <mergeCell ref="P56:Q56"/>
    <mergeCell ref="J57:K57"/>
    <mergeCell ref="L57:M57"/>
    <mergeCell ref="A51:A60"/>
    <mergeCell ref="J51:K51"/>
    <mergeCell ref="L51:M51"/>
    <mergeCell ref="N51:O51"/>
    <mergeCell ref="P51:Q51"/>
    <mergeCell ref="L54:M54"/>
    <mergeCell ref="N54:O54"/>
    <mergeCell ref="P54:Q54"/>
    <mergeCell ref="J55:K55"/>
    <mergeCell ref="L55:M55"/>
    <mergeCell ref="N55:O55"/>
    <mergeCell ref="P55:Q55"/>
    <mergeCell ref="N57:O57"/>
    <mergeCell ref="P57:Q57"/>
    <mergeCell ref="E60:I60"/>
    <mergeCell ref="J60:K60"/>
    <mergeCell ref="L60:M60"/>
    <mergeCell ref="N60:O60"/>
    <mergeCell ref="P60:Q60"/>
    <mergeCell ref="U41:W50"/>
    <mergeCell ref="J42:K42"/>
    <mergeCell ref="L42:M42"/>
    <mergeCell ref="N42:O42"/>
    <mergeCell ref="P42:Q42"/>
    <mergeCell ref="J43:K43"/>
    <mergeCell ref="L43:M43"/>
    <mergeCell ref="N43:O43"/>
    <mergeCell ref="P43:Q43"/>
    <mergeCell ref="J44:K44"/>
    <mergeCell ref="J48:K48"/>
    <mergeCell ref="L48:M48"/>
    <mergeCell ref="N48:O48"/>
    <mergeCell ref="P48:Q48"/>
    <mergeCell ref="J49:K49"/>
    <mergeCell ref="L49:M49"/>
    <mergeCell ref="N49:O49"/>
    <mergeCell ref="P49:Q49"/>
    <mergeCell ref="J46:K46"/>
    <mergeCell ref="L46:M46"/>
    <mergeCell ref="N46:O46"/>
    <mergeCell ref="P46:Q46"/>
    <mergeCell ref="J47:K47"/>
    <mergeCell ref="L47:M47"/>
    <mergeCell ref="A41:A50"/>
    <mergeCell ref="J41:K41"/>
    <mergeCell ref="L41:M41"/>
    <mergeCell ref="N41:O41"/>
    <mergeCell ref="P41:Q41"/>
    <mergeCell ref="G39:G40"/>
    <mergeCell ref="H39:H40"/>
    <mergeCell ref="I39:I40"/>
    <mergeCell ref="J39:Q39"/>
    <mergeCell ref="L44:M44"/>
    <mergeCell ref="N44:O44"/>
    <mergeCell ref="P44:Q44"/>
    <mergeCell ref="J45:K45"/>
    <mergeCell ref="L45:M45"/>
    <mergeCell ref="N45:O45"/>
    <mergeCell ref="P45:Q45"/>
    <mergeCell ref="N47:O47"/>
    <mergeCell ref="P47:Q47"/>
    <mergeCell ref="E50:I50"/>
    <mergeCell ref="J50:K50"/>
    <mergeCell ref="L50:M50"/>
    <mergeCell ref="N50:O50"/>
    <mergeCell ref="P50:Q50"/>
    <mergeCell ref="J35:Q35"/>
    <mergeCell ref="Q37:S37"/>
    <mergeCell ref="T37:W37"/>
    <mergeCell ref="A38:W38"/>
    <mergeCell ref="A39:A40"/>
    <mergeCell ref="B39:B40"/>
    <mergeCell ref="C39:C40"/>
    <mergeCell ref="D39:D40"/>
    <mergeCell ref="E39:E40"/>
    <mergeCell ref="F39:F40"/>
    <mergeCell ref="U39:W40"/>
    <mergeCell ref="J40:K40"/>
    <mergeCell ref="L40:M40"/>
    <mergeCell ref="N40:O40"/>
    <mergeCell ref="P40:Q40"/>
    <mergeCell ref="R39:S40"/>
    <mergeCell ref="T39:T40"/>
    <mergeCell ref="B31:I31"/>
    <mergeCell ref="E33:I33"/>
    <mergeCell ref="J33:K33"/>
    <mergeCell ref="L33:M33"/>
    <mergeCell ref="N33:O33"/>
    <mergeCell ref="P33:Q33"/>
    <mergeCell ref="J19:K19"/>
    <mergeCell ref="L19:M19"/>
    <mergeCell ref="N19:O19"/>
    <mergeCell ref="P19:Q19"/>
    <mergeCell ref="J30:K30"/>
    <mergeCell ref="L30:M30"/>
    <mergeCell ref="N30:O30"/>
    <mergeCell ref="P30:Q30"/>
    <mergeCell ref="J20:K20"/>
    <mergeCell ref="L20:M20"/>
    <mergeCell ref="N20:O20"/>
    <mergeCell ref="P20:Q20"/>
    <mergeCell ref="J23:K23"/>
    <mergeCell ref="L23:M23"/>
    <mergeCell ref="N23:O23"/>
    <mergeCell ref="P23:Q23"/>
    <mergeCell ref="J24:K24"/>
    <mergeCell ref="L24:M24"/>
    <mergeCell ref="A7:A3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3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J21:K21"/>
    <mergeCell ref="L21:M21"/>
    <mergeCell ref="N21:O21"/>
    <mergeCell ref="P21:Q21"/>
    <mergeCell ref="J22:K22"/>
    <mergeCell ref="L22:M22"/>
    <mergeCell ref="N22:O22"/>
    <mergeCell ref="P22:Q22"/>
    <mergeCell ref="Q3:S3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N24:O24"/>
    <mergeCell ref="P24:Q24"/>
    <mergeCell ref="J29:K29"/>
    <mergeCell ref="L29:M29"/>
    <mergeCell ref="N29:O29"/>
    <mergeCell ref="P29:Q29"/>
    <mergeCell ref="J25:K25"/>
    <mergeCell ref="L25:M25"/>
    <mergeCell ref="N25:O25"/>
    <mergeCell ref="P25:Q25"/>
    <mergeCell ref="J26:K26"/>
    <mergeCell ref="L26:M26"/>
    <mergeCell ref="N26:O26"/>
    <mergeCell ref="P26:Q26"/>
    <mergeCell ref="J27:K27"/>
    <mergeCell ref="L27:M27"/>
    <mergeCell ref="N27:O27"/>
    <mergeCell ref="P27:Q27"/>
    <mergeCell ref="J28:K28"/>
    <mergeCell ref="L28:M28"/>
    <mergeCell ref="N28:O28"/>
    <mergeCell ref="P28:Q28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W77"/>
  <sheetViews>
    <sheetView zoomScale="85" zoomScaleNormal="85" workbookViewId="0">
      <selection activeCell="Z24" sqref="Z24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0.7773437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45924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250057</v>
      </c>
      <c r="E7" s="12" t="s">
        <v>217</v>
      </c>
      <c r="F7" s="17">
        <v>307</v>
      </c>
      <c r="G7" s="17">
        <v>304</v>
      </c>
      <c r="H7" s="18">
        <v>0.7</v>
      </c>
      <c r="I7" s="17">
        <v>35000</v>
      </c>
      <c r="J7" s="165"/>
      <c r="K7" s="166"/>
      <c r="L7" s="165"/>
      <c r="M7" s="166"/>
      <c r="N7" s="165">
        <v>175</v>
      </c>
      <c r="O7" s="166"/>
      <c r="P7" s="165"/>
      <c r="Q7" s="166"/>
      <c r="R7" s="58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210</v>
      </c>
      <c r="F8" s="17">
        <v>147</v>
      </c>
      <c r="G8" s="17">
        <v>304</v>
      </c>
      <c r="H8" s="18">
        <v>0.7</v>
      </c>
      <c r="I8" s="17">
        <v>35000</v>
      </c>
      <c r="J8" s="165"/>
      <c r="K8" s="166"/>
      <c r="L8" s="165"/>
      <c r="M8" s="166"/>
      <c r="N8" s="165">
        <v>35</v>
      </c>
      <c r="O8" s="166"/>
      <c r="P8" s="165"/>
      <c r="Q8" s="166"/>
      <c r="R8" s="58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250052</v>
      </c>
      <c r="E9" s="12" t="s">
        <v>218</v>
      </c>
      <c r="F9" s="17">
        <v>397</v>
      </c>
      <c r="G9" s="17">
        <v>304</v>
      </c>
      <c r="H9" s="18">
        <v>0.7</v>
      </c>
      <c r="I9" s="17">
        <v>35000</v>
      </c>
      <c r="J9" s="165"/>
      <c r="K9" s="166"/>
      <c r="L9" s="165"/>
      <c r="M9" s="166"/>
      <c r="N9" s="165">
        <v>32</v>
      </c>
      <c r="O9" s="166"/>
      <c r="P9" s="165"/>
      <c r="Q9" s="166"/>
      <c r="R9" s="58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210</v>
      </c>
      <c r="F10" s="17">
        <v>147</v>
      </c>
      <c r="G10" s="17">
        <v>304</v>
      </c>
      <c r="H10" s="18">
        <v>0.7</v>
      </c>
      <c r="I10" s="17">
        <v>35000</v>
      </c>
      <c r="J10" s="165"/>
      <c r="K10" s="166"/>
      <c r="L10" s="165"/>
      <c r="M10" s="166"/>
      <c r="N10" s="165">
        <v>8</v>
      </c>
      <c r="O10" s="166"/>
      <c r="P10" s="165"/>
      <c r="Q10" s="166"/>
      <c r="R10" s="58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>
        <v>180925</v>
      </c>
      <c r="E11" s="12" t="s">
        <v>219</v>
      </c>
      <c r="F11" s="17">
        <v>433</v>
      </c>
      <c r="G11" s="17">
        <v>304</v>
      </c>
      <c r="H11" s="18">
        <v>0.7</v>
      </c>
      <c r="I11" s="17">
        <v>35000</v>
      </c>
      <c r="J11" s="165">
        <v>780</v>
      </c>
      <c r="K11" s="166"/>
      <c r="L11" s="165"/>
      <c r="M11" s="166"/>
      <c r="N11" s="165"/>
      <c r="O11" s="166"/>
      <c r="P11" s="165"/>
      <c r="Q11" s="166"/>
      <c r="R11" s="58">
        <v>50</v>
      </c>
      <c r="S11" s="14" t="s">
        <v>20</v>
      </c>
      <c r="T11" s="42" t="s">
        <v>110</v>
      </c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220</v>
      </c>
      <c r="F12" s="17">
        <v>368</v>
      </c>
      <c r="G12" s="17">
        <v>304</v>
      </c>
      <c r="H12" s="18">
        <v>0.7</v>
      </c>
      <c r="I12" s="17">
        <v>35000</v>
      </c>
      <c r="J12" s="165">
        <v>260</v>
      </c>
      <c r="K12" s="166"/>
      <c r="L12" s="165"/>
      <c r="M12" s="166"/>
      <c r="N12" s="165"/>
      <c r="O12" s="166"/>
      <c r="P12" s="165"/>
      <c r="Q12" s="166"/>
      <c r="R12" s="58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159</v>
      </c>
      <c r="F13" s="17">
        <v>265</v>
      </c>
      <c r="G13" s="17">
        <v>304</v>
      </c>
      <c r="H13" s="18">
        <v>0.7</v>
      </c>
      <c r="I13" s="17">
        <v>35000</v>
      </c>
      <c r="J13" s="165"/>
      <c r="K13" s="166"/>
      <c r="L13" s="165"/>
      <c r="M13" s="166"/>
      <c r="N13" s="165">
        <v>180</v>
      </c>
      <c r="O13" s="166"/>
      <c r="P13" s="165"/>
      <c r="Q13" s="166"/>
      <c r="R13" s="58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250057</v>
      </c>
      <c r="E14" s="12" t="s">
        <v>221</v>
      </c>
      <c r="F14" s="17">
        <v>425</v>
      </c>
      <c r="G14" s="17">
        <v>304</v>
      </c>
      <c r="H14" s="18">
        <v>0.6</v>
      </c>
      <c r="I14" s="17">
        <v>35000</v>
      </c>
      <c r="J14" s="165">
        <v>540</v>
      </c>
      <c r="K14" s="166"/>
      <c r="L14" s="165"/>
      <c r="M14" s="166"/>
      <c r="N14" s="165"/>
      <c r="O14" s="166"/>
      <c r="P14" s="165"/>
      <c r="Q14" s="166"/>
      <c r="R14" s="58">
        <v>45</v>
      </c>
      <c r="S14" s="14" t="s">
        <v>20</v>
      </c>
      <c r="T14" s="42" t="s">
        <v>110</v>
      </c>
      <c r="U14" s="205"/>
      <c r="V14" s="206"/>
      <c r="W14" s="207"/>
    </row>
    <row r="15" spans="1:23" x14ac:dyDescent="0.3">
      <c r="A15" s="181"/>
      <c r="B15" s="5"/>
      <c r="C15" s="5"/>
      <c r="D15" s="4" t="s">
        <v>102</v>
      </c>
      <c r="E15" s="12" t="s">
        <v>222</v>
      </c>
      <c r="F15" s="17">
        <v>376</v>
      </c>
      <c r="G15" s="17">
        <v>304</v>
      </c>
      <c r="H15" s="18">
        <v>0.6</v>
      </c>
      <c r="I15" s="17">
        <v>35000</v>
      </c>
      <c r="J15" s="165">
        <v>180</v>
      </c>
      <c r="K15" s="166"/>
      <c r="L15" s="165"/>
      <c r="M15" s="166"/>
      <c r="N15" s="165"/>
      <c r="O15" s="166"/>
      <c r="P15" s="165"/>
      <c r="Q15" s="166"/>
      <c r="R15" s="58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>
        <v>250061</v>
      </c>
      <c r="E16" s="12" t="s">
        <v>221</v>
      </c>
      <c r="F16" s="17">
        <v>425</v>
      </c>
      <c r="G16" s="17">
        <v>304</v>
      </c>
      <c r="H16" s="18">
        <v>0.6</v>
      </c>
      <c r="I16" s="17">
        <v>35000</v>
      </c>
      <c r="J16" s="165">
        <v>432</v>
      </c>
      <c r="K16" s="166"/>
      <c r="L16" s="165"/>
      <c r="M16" s="166"/>
      <c r="N16" s="165"/>
      <c r="O16" s="166"/>
      <c r="P16" s="165"/>
      <c r="Q16" s="166"/>
      <c r="R16" s="58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 t="s">
        <v>102</v>
      </c>
      <c r="E17" s="12" t="s">
        <v>223</v>
      </c>
      <c r="F17" s="17">
        <v>376</v>
      </c>
      <c r="G17" s="17">
        <v>304</v>
      </c>
      <c r="H17" s="18">
        <v>0.6</v>
      </c>
      <c r="I17" s="17">
        <v>35000</v>
      </c>
      <c r="J17" s="165">
        <v>144</v>
      </c>
      <c r="K17" s="166"/>
      <c r="L17" s="165"/>
      <c r="M17" s="166"/>
      <c r="N17" s="165"/>
      <c r="O17" s="166"/>
      <c r="P17" s="165"/>
      <c r="Q17" s="166"/>
      <c r="R17" s="58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>
        <v>180925</v>
      </c>
      <c r="E18" s="12" t="s">
        <v>224</v>
      </c>
      <c r="F18" s="17">
        <v>525</v>
      </c>
      <c r="G18" s="17">
        <v>430</v>
      </c>
      <c r="H18" s="18">
        <v>0.5</v>
      </c>
      <c r="I18" s="17">
        <v>35000</v>
      </c>
      <c r="J18" s="165">
        <v>1422</v>
      </c>
      <c r="K18" s="166"/>
      <c r="L18" s="165"/>
      <c r="M18" s="166"/>
      <c r="N18" s="165"/>
      <c r="O18" s="166"/>
      <c r="P18" s="165"/>
      <c r="Q18" s="166"/>
      <c r="R18" s="58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 t="s">
        <v>102</v>
      </c>
      <c r="E19" s="12" t="s">
        <v>225</v>
      </c>
      <c r="F19" s="17">
        <v>140</v>
      </c>
      <c r="G19" s="17">
        <v>430</v>
      </c>
      <c r="H19" s="18">
        <v>0.5</v>
      </c>
      <c r="I19" s="17">
        <v>35000</v>
      </c>
      <c r="J19" s="165">
        <v>474</v>
      </c>
      <c r="K19" s="166"/>
      <c r="L19" s="165"/>
      <c r="M19" s="166"/>
      <c r="N19" s="165"/>
      <c r="O19" s="166"/>
      <c r="P19" s="165"/>
      <c r="Q19" s="166"/>
      <c r="R19" s="58">
        <v>10</v>
      </c>
      <c r="S19" s="14" t="s">
        <v>20</v>
      </c>
      <c r="T19" s="42" t="s">
        <v>111</v>
      </c>
      <c r="U19" s="205"/>
      <c r="V19" s="206"/>
      <c r="W19" s="207"/>
    </row>
    <row r="20" spans="1:23" x14ac:dyDescent="0.3">
      <c r="A20" s="181"/>
      <c r="B20" s="5"/>
      <c r="C20" s="5"/>
      <c r="D20" s="4">
        <v>180925</v>
      </c>
      <c r="E20" s="12" t="s">
        <v>226</v>
      </c>
      <c r="F20" s="17">
        <v>385</v>
      </c>
      <c r="G20" s="17">
        <v>430</v>
      </c>
      <c r="H20" s="18">
        <v>0.5</v>
      </c>
      <c r="I20" s="17">
        <v>35000</v>
      </c>
      <c r="J20" s="165">
        <v>720</v>
      </c>
      <c r="K20" s="166"/>
      <c r="L20" s="165"/>
      <c r="M20" s="166"/>
      <c r="N20" s="165"/>
      <c r="O20" s="166"/>
      <c r="P20" s="165"/>
      <c r="Q20" s="166"/>
      <c r="R20" s="58"/>
      <c r="S20" s="14"/>
      <c r="T20" s="42"/>
      <c r="U20" s="205"/>
      <c r="V20" s="206"/>
      <c r="W20" s="207"/>
    </row>
    <row r="21" spans="1:23" x14ac:dyDescent="0.3">
      <c r="A21" s="181"/>
      <c r="B21" s="5"/>
      <c r="C21" s="5">
        <v>0.70833333333333337</v>
      </c>
      <c r="D21" s="4" t="s">
        <v>102</v>
      </c>
      <c r="E21" s="12" t="s">
        <v>227</v>
      </c>
      <c r="F21" s="17">
        <v>180</v>
      </c>
      <c r="G21" s="17">
        <v>430</v>
      </c>
      <c r="H21" s="18">
        <v>0.5</v>
      </c>
      <c r="I21" s="17">
        <v>35000</v>
      </c>
      <c r="J21" s="165">
        <v>180</v>
      </c>
      <c r="K21" s="166"/>
      <c r="L21" s="165"/>
      <c r="M21" s="166"/>
      <c r="N21" s="165"/>
      <c r="O21" s="166"/>
      <c r="P21" s="165"/>
      <c r="Q21" s="166"/>
      <c r="R21" s="58"/>
      <c r="S21" s="14"/>
      <c r="T21" s="42"/>
      <c r="U21" s="205"/>
      <c r="V21" s="206"/>
      <c r="W21" s="207"/>
    </row>
    <row r="22" spans="1:23" x14ac:dyDescent="0.3">
      <c r="A22" s="182"/>
      <c r="B22" s="170" t="s">
        <v>0</v>
      </c>
      <c r="C22" s="171"/>
      <c r="D22" s="171"/>
      <c r="E22" s="171"/>
      <c r="F22" s="171"/>
      <c r="G22" s="171"/>
      <c r="H22" s="171"/>
      <c r="I22" s="172"/>
      <c r="J22" s="21">
        <f>SUM(J7:K21)</f>
        <v>5132</v>
      </c>
      <c r="K22" s="22" t="s">
        <v>17</v>
      </c>
      <c r="L22" s="21">
        <f>SUM(L7:M21)</f>
        <v>0</v>
      </c>
      <c r="M22" s="22" t="s">
        <v>17</v>
      </c>
      <c r="N22" s="21">
        <f>SUM(N7:O21)</f>
        <v>430</v>
      </c>
      <c r="O22" s="22" t="s">
        <v>17</v>
      </c>
      <c r="P22" s="21">
        <f>SUM(P7:Q21)</f>
        <v>0</v>
      </c>
      <c r="Q22" s="22" t="s">
        <v>17</v>
      </c>
      <c r="R22" s="23">
        <f>SUM(R7:R21)</f>
        <v>105</v>
      </c>
      <c r="S22" s="24" t="s">
        <v>20</v>
      </c>
      <c r="T22" s="19"/>
      <c r="U22" s="208"/>
      <c r="V22" s="209"/>
      <c r="W22" s="210"/>
    </row>
    <row r="23" spans="1:23" ht="14.55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 spans="1:23" ht="14.55" customHeight="1" x14ac:dyDescent="0.3">
      <c r="A24" s="27"/>
      <c r="B24" s="27"/>
      <c r="C24" s="27"/>
      <c r="D24" s="27"/>
      <c r="E24" s="170" t="s">
        <v>27</v>
      </c>
      <c r="F24" s="171"/>
      <c r="G24" s="171"/>
      <c r="H24" s="171"/>
      <c r="I24" s="172"/>
      <c r="J24" s="175" t="s">
        <v>7</v>
      </c>
      <c r="K24" s="176"/>
      <c r="L24" s="175" t="s">
        <v>8</v>
      </c>
      <c r="M24" s="176"/>
      <c r="N24" s="175" t="s">
        <v>9</v>
      </c>
      <c r="O24" s="176"/>
      <c r="P24" s="175" t="s">
        <v>117</v>
      </c>
      <c r="Q24" s="176"/>
      <c r="R24" s="27"/>
      <c r="S24" s="27"/>
    </row>
    <row r="25" spans="1:23" ht="14.55" customHeight="1" x14ac:dyDescent="0.3">
      <c r="A25" s="27"/>
      <c r="B25" s="27"/>
      <c r="C25" s="27"/>
      <c r="D25" s="27"/>
      <c r="E25" s="15"/>
      <c r="F25" s="15"/>
      <c r="G25" s="15"/>
      <c r="H25" s="15"/>
      <c r="I25" s="15"/>
      <c r="J25" s="30">
        <f>J22</f>
        <v>5132</v>
      </c>
      <c r="K25" s="31" t="s">
        <v>17</v>
      </c>
      <c r="L25" s="32">
        <f>L22</f>
        <v>0</v>
      </c>
      <c r="M25" s="31" t="s">
        <v>17</v>
      </c>
      <c r="N25" s="32">
        <f>N22</f>
        <v>430</v>
      </c>
      <c r="O25" s="31" t="s">
        <v>17</v>
      </c>
      <c r="P25" s="33">
        <f>P22</f>
        <v>0</v>
      </c>
      <c r="Q25" s="34" t="s">
        <v>17</v>
      </c>
      <c r="R25" s="27"/>
      <c r="S25" s="27"/>
    </row>
    <row r="26" spans="1:23" ht="30" customHeight="1" x14ac:dyDescent="0.3">
      <c r="A26" s="27"/>
      <c r="B26" s="27"/>
      <c r="C26" s="27"/>
      <c r="D26" s="27"/>
      <c r="E26" s="28"/>
      <c r="F26" s="28"/>
      <c r="G26" s="28"/>
      <c r="H26" s="28"/>
      <c r="I26" s="28"/>
      <c r="J26" s="167">
        <f>J25+L25+N25+P25</f>
        <v>5562</v>
      </c>
      <c r="K26" s="168"/>
      <c r="L26" s="168"/>
      <c r="M26" s="168"/>
      <c r="N26" s="168"/>
      <c r="O26" s="168"/>
      <c r="P26" s="168"/>
      <c r="Q26" s="169"/>
      <c r="R26" s="27"/>
      <c r="S26" s="27"/>
    </row>
    <row r="27" spans="1:23" ht="30" customHeight="1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spans="1:23" s="37" customFormat="1" ht="19.95" customHeight="1" x14ac:dyDescent="0.4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183" t="s">
        <v>14</v>
      </c>
      <c r="R28" s="183"/>
      <c r="S28" s="183"/>
      <c r="T28" s="184">
        <f>T3</f>
        <v>45924</v>
      </c>
      <c r="U28" s="185"/>
      <c r="V28" s="185"/>
      <c r="W28" s="186"/>
    </row>
    <row r="29" spans="1:23" s="16" customFormat="1" ht="30" customHeight="1" x14ac:dyDescent="0.3">
      <c r="A29" s="187" t="s">
        <v>29</v>
      </c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9"/>
      <c r="Q29" s="189"/>
      <c r="R29" s="189"/>
      <c r="S29" s="189"/>
      <c r="T29" s="188"/>
      <c r="U29" s="188"/>
      <c r="V29" s="188"/>
      <c r="W29" s="190"/>
    </row>
    <row r="30" spans="1:23" s="26" customFormat="1" ht="13.8" x14ac:dyDescent="0.3">
      <c r="A30" s="191" t="s">
        <v>1</v>
      </c>
      <c r="B30" s="192" t="s">
        <v>2</v>
      </c>
      <c r="C30" s="192" t="s">
        <v>3</v>
      </c>
      <c r="D30" s="192" t="s">
        <v>4</v>
      </c>
      <c r="E30" s="193" t="s">
        <v>5</v>
      </c>
      <c r="F30" s="195" t="s">
        <v>21</v>
      </c>
      <c r="G30" s="195" t="s">
        <v>22</v>
      </c>
      <c r="H30" s="195" t="s">
        <v>33</v>
      </c>
      <c r="I30" s="195" t="s">
        <v>30</v>
      </c>
      <c r="J30" s="193" t="s">
        <v>6</v>
      </c>
      <c r="K30" s="197"/>
      <c r="L30" s="197"/>
      <c r="M30" s="197"/>
      <c r="N30" s="197"/>
      <c r="O30" s="197"/>
      <c r="P30" s="197"/>
      <c r="Q30" s="198"/>
      <c r="R30" s="193" t="s">
        <v>10</v>
      </c>
      <c r="S30" s="198"/>
      <c r="T30" s="191" t="s">
        <v>11</v>
      </c>
      <c r="U30" s="191" t="s">
        <v>12</v>
      </c>
      <c r="V30" s="191"/>
      <c r="W30" s="191"/>
    </row>
    <row r="31" spans="1:23" s="26" customFormat="1" ht="13.8" x14ac:dyDescent="0.3">
      <c r="A31" s="191"/>
      <c r="B31" s="192"/>
      <c r="C31" s="192"/>
      <c r="D31" s="192"/>
      <c r="E31" s="194"/>
      <c r="F31" s="196"/>
      <c r="G31" s="196"/>
      <c r="H31" s="196"/>
      <c r="I31" s="196"/>
      <c r="J31" s="200" t="s">
        <v>7</v>
      </c>
      <c r="K31" s="201"/>
      <c r="L31" s="200" t="s">
        <v>8</v>
      </c>
      <c r="M31" s="201"/>
      <c r="N31" s="200" t="s">
        <v>9</v>
      </c>
      <c r="O31" s="201"/>
      <c r="P31" s="200" t="s">
        <v>117</v>
      </c>
      <c r="Q31" s="201"/>
      <c r="R31" s="194"/>
      <c r="S31" s="199"/>
      <c r="T31" s="191"/>
      <c r="U31" s="191"/>
      <c r="V31" s="191"/>
      <c r="W31" s="191"/>
    </row>
    <row r="32" spans="1:23" ht="14.55" customHeight="1" x14ac:dyDescent="0.3">
      <c r="A32" s="180" t="s">
        <v>32</v>
      </c>
      <c r="B32" s="5">
        <v>0.33333333333333331</v>
      </c>
      <c r="C32" s="5"/>
      <c r="D32" s="4">
        <v>210825</v>
      </c>
      <c r="E32" s="12" t="s">
        <v>213</v>
      </c>
      <c r="F32" s="40">
        <v>430</v>
      </c>
      <c r="G32" s="41">
        <v>0.6</v>
      </c>
      <c r="H32" s="40">
        <v>445</v>
      </c>
      <c r="I32" s="12">
        <v>5</v>
      </c>
      <c r="J32" s="165"/>
      <c r="K32" s="166"/>
      <c r="L32" s="165">
        <v>460</v>
      </c>
      <c r="M32" s="166"/>
      <c r="N32" s="165"/>
      <c r="O32" s="166"/>
      <c r="P32" s="165"/>
      <c r="Q32" s="166"/>
      <c r="R32" s="58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/>
      <c r="D33" s="4">
        <v>250043</v>
      </c>
      <c r="E33" s="13" t="s">
        <v>204</v>
      </c>
      <c r="F33" s="40">
        <v>304</v>
      </c>
      <c r="G33" s="41">
        <v>0.6</v>
      </c>
      <c r="H33" s="40">
        <v>543</v>
      </c>
      <c r="I33" s="12">
        <v>5</v>
      </c>
      <c r="J33" s="165"/>
      <c r="K33" s="166"/>
      <c r="L33" s="165">
        <v>480</v>
      </c>
      <c r="M33" s="166"/>
      <c r="N33" s="165"/>
      <c r="O33" s="166"/>
      <c r="P33" s="165"/>
      <c r="Q33" s="166"/>
      <c r="R33" s="58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1"/>
      <c r="B34" s="5"/>
      <c r="C34" s="5">
        <v>0.70833333333333337</v>
      </c>
      <c r="D34" s="60">
        <v>250043</v>
      </c>
      <c r="E34" s="12" t="s">
        <v>228</v>
      </c>
      <c r="F34" s="40">
        <v>304</v>
      </c>
      <c r="G34" s="41">
        <v>0.6</v>
      </c>
      <c r="H34" s="40">
        <v>51</v>
      </c>
      <c r="I34" s="12"/>
      <c r="J34" s="165"/>
      <c r="K34" s="166"/>
      <c r="L34" s="165">
        <v>200</v>
      </c>
      <c r="M34" s="166"/>
      <c r="N34" s="165"/>
      <c r="O34" s="166"/>
      <c r="P34" s="165"/>
      <c r="Q34" s="166"/>
      <c r="R34" s="58"/>
      <c r="S34" s="14" t="s">
        <v>20</v>
      </c>
      <c r="T34" s="42"/>
      <c r="U34" s="177"/>
      <c r="V34" s="178"/>
      <c r="W34" s="179"/>
    </row>
    <row r="35" spans="1:23" x14ac:dyDescent="0.3">
      <c r="A35" s="182"/>
      <c r="B35" s="19"/>
      <c r="C35" s="19"/>
      <c r="D35" s="20"/>
      <c r="E35" s="170" t="s">
        <v>0</v>
      </c>
      <c r="F35" s="171"/>
      <c r="G35" s="171"/>
      <c r="H35" s="171"/>
      <c r="I35" s="172"/>
      <c r="J35" s="173">
        <f>SUM(J32:K34)</f>
        <v>0</v>
      </c>
      <c r="K35" s="174"/>
      <c r="L35" s="173">
        <f>SUM(L32:M34)</f>
        <v>1140</v>
      </c>
      <c r="M35" s="174"/>
      <c r="N35" s="173">
        <f>SUM(N32:O34)</f>
        <v>0</v>
      </c>
      <c r="O35" s="174"/>
      <c r="P35" s="173">
        <f>SUM(P32:Q34)</f>
        <v>0</v>
      </c>
      <c r="Q35" s="174"/>
      <c r="R35" s="23">
        <f>SUM(R32:R34)</f>
        <v>0</v>
      </c>
      <c r="S35" s="24" t="s">
        <v>20</v>
      </c>
      <c r="T35" s="19"/>
      <c r="U35" s="177"/>
      <c r="V35" s="178"/>
      <c r="W35" s="179"/>
    </row>
    <row r="36" spans="1:23" ht="14.4" customHeight="1" x14ac:dyDescent="0.3">
      <c r="A36" s="163" t="s">
        <v>274</v>
      </c>
      <c r="B36" s="5"/>
      <c r="C36" s="5"/>
      <c r="D36" s="4"/>
      <c r="E36" s="12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58"/>
      <c r="S36" s="14" t="s">
        <v>20</v>
      </c>
      <c r="T36" s="42"/>
      <c r="U36" s="177"/>
      <c r="V36" s="178"/>
      <c r="W36" s="179"/>
    </row>
    <row r="37" spans="1:23" x14ac:dyDescent="0.3">
      <c r="A37" s="164"/>
      <c r="B37" s="19"/>
      <c r="C37" s="19"/>
      <c r="D37" s="20"/>
      <c r="E37" s="170" t="s">
        <v>0</v>
      </c>
      <c r="F37" s="171"/>
      <c r="G37" s="171"/>
      <c r="H37" s="171"/>
      <c r="I37" s="172"/>
      <c r="J37" s="173">
        <f>SUM(J36:K36)</f>
        <v>0</v>
      </c>
      <c r="K37" s="174"/>
      <c r="L37" s="173">
        <f>SUM(L36:M36)</f>
        <v>0</v>
      </c>
      <c r="M37" s="174"/>
      <c r="N37" s="173">
        <f>SUM(N36:O36)</f>
        <v>0</v>
      </c>
      <c r="O37" s="174"/>
      <c r="P37" s="173">
        <f>SUM(P36:Q36)</f>
        <v>0</v>
      </c>
      <c r="Q37" s="174"/>
      <c r="R37" s="23">
        <f>SUM(R36:R36)</f>
        <v>0</v>
      </c>
      <c r="S37" s="24" t="s">
        <v>20</v>
      </c>
      <c r="T37" s="19"/>
      <c r="U37" s="177"/>
      <c r="V37" s="178"/>
      <c r="W37" s="179"/>
    </row>
    <row r="38" spans="1:23" ht="14.55" customHeight="1" x14ac:dyDescent="0.3">
      <c r="A38" s="163" t="s">
        <v>35</v>
      </c>
      <c r="B38" s="5">
        <v>0.33333333333333331</v>
      </c>
      <c r="C38" s="5"/>
      <c r="D38" s="4" t="s">
        <v>79</v>
      </c>
      <c r="E38" s="12" t="s">
        <v>270</v>
      </c>
      <c r="F38" s="40"/>
      <c r="G38" s="41"/>
      <c r="H38" s="40"/>
      <c r="I38" s="12"/>
      <c r="J38" s="165"/>
      <c r="K38" s="166"/>
      <c r="L38" s="165"/>
      <c r="M38" s="166"/>
      <c r="N38" s="165">
        <v>1100</v>
      </c>
      <c r="O38" s="166"/>
      <c r="P38" s="165"/>
      <c r="Q38" s="166"/>
      <c r="R38" s="58">
        <v>30</v>
      </c>
      <c r="S38" s="14" t="s">
        <v>20</v>
      </c>
      <c r="T38" s="42" t="s">
        <v>272</v>
      </c>
      <c r="U38" s="177"/>
      <c r="V38" s="178"/>
      <c r="W38" s="179"/>
    </row>
    <row r="39" spans="1:23" ht="14.55" customHeight="1" x14ac:dyDescent="0.3">
      <c r="A39" s="163"/>
      <c r="B39" s="5"/>
      <c r="C39" s="5">
        <v>0.70833333333333337</v>
      </c>
      <c r="D39" s="4" t="s">
        <v>79</v>
      </c>
      <c r="E39" s="12" t="s">
        <v>271</v>
      </c>
      <c r="F39" s="40"/>
      <c r="G39" s="41"/>
      <c r="H39" s="40"/>
      <c r="I39" s="12"/>
      <c r="J39" s="165"/>
      <c r="K39" s="166"/>
      <c r="L39" s="165"/>
      <c r="M39" s="166"/>
      <c r="N39" s="165">
        <v>200</v>
      </c>
      <c r="O39" s="166"/>
      <c r="P39" s="165"/>
      <c r="Q39" s="166"/>
      <c r="R39" s="58">
        <v>120</v>
      </c>
      <c r="S39" s="14" t="s">
        <v>20</v>
      </c>
      <c r="T39" s="42" t="s">
        <v>273</v>
      </c>
      <c r="U39" s="177"/>
      <c r="V39" s="178"/>
      <c r="W39" s="179"/>
    </row>
    <row r="40" spans="1:23" ht="14.55" customHeight="1" x14ac:dyDescent="0.3">
      <c r="A40" s="163"/>
      <c r="B40" s="5"/>
      <c r="C40" s="5"/>
      <c r="D40" s="4"/>
      <c r="E40" s="12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58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4"/>
      <c r="B41" s="19"/>
      <c r="C41" s="19"/>
      <c r="D41" s="20"/>
      <c r="E41" s="170" t="s">
        <v>0</v>
      </c>
      <c r="F41" s="171"/>
      <c r="G41" s="171"/>
      <c r="H41" s="171"/>
      <c r="I41" s="172"/>
      <c r="J41" s="173">
        <f>SUM(J38:K40)</f>
        <v>0</v>
      </c>
      <c r="K41" s="174"/>
      <c r="L41" s="173">
        <f>SUM(L38:M40)</f>
        <v>0</v>
      </c>
      <c r="M41" s="174"/>
      <c r="N41" s="173">
        <f>SUM(N38:O40)</f>
        <v>1300</v>
      </c>
      <c r="O41" s="174"/>
      <c r="P41" s="173">
        <f>SUM(P38:Q40)</f>
        <v>0</v>
      </c>
      <c r="Q41" s="174"/>
      <c r="R41" s="23">
        <f>SUM(R38:R40)</f>
        <v>150</v>
      </c>
      <c r="S41" s="24" t="s">
        <v>20</v>
      </c>
      <c r="T41" s="19"/>
      <c r="U41" s="177"/>
      <c r="V41" s="178"/>
      <c r="W41" s="179"/>
    </row>
    <row r="42" spans="1:23" ht="14.55" customHeight="1" x14ac:dyDescent="0.3">
      <c r="A42" s="27"/>
      <c r="B42" s="27"/>
      <c r="C42" s="27"/>
      <c r="D42" s="27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27"/>
      <c r="S42" s="27"/>
      <c r="T42" s="39"/>
      <c r="U42" s="39"/>
      <c r="V42" s="39"/>
      <c r="W42" s="39"/>
    </row>
    <row r="43" spans="1:23" x14ac:dyDescent="0.3">
      <c r="E43" s="170" t="s">
        <v>31</v>
      </c>
      <c r="F43" s="171"/>
      <c r="G43" s="171"/>
      <c r="H43" s="171"/>
      <c r="I43" s="172"/>
      <c r="J43" s="175" t="s">
        <v>7</v>
      </c>
      <c r="K43" s="176"/>
      <c r="L43" s="175" t="s">
        <v>8</v>
      </c>
      <c r="M43" s="176"/>
      <c r="N43" s="175" t="s">
        <v>9</v>
      </c>
      <c r="O43" s="176"/>
      <c r="P43" s="175" t="s">
        <v>16</v>
      </c>
      <c r="Q43" s="176"/>
    </row>
    <row r="44" spans="1:23" s="2" customFormat="1" x14ac:dyDescent="0.3">
      <c r="E44" s="15"/>
      <c r="F44" s="15"/>
      <c r="G44" s="15"/>
      <c r="H44" s="15"/>
      <c r="I44" s="15"/>
      <c r="J44" s="30">
        <f>J35+J37+J41</f>
        <v>0</v>
      </c>
      <c r="K44" s="31" t="s">
        <v>17</v>
      </c>
      <c r="L44" s="30">
        <f>L35+L37+L41</f>
        <v>1140</v>
      </c>
      <c r="M44" s="31" t="s">
        <v>17</v>
      </c>
      <c r="N44" s="30">
        <f>N35+N37+N41</f>
        <v>1300</v>
      </c>
      <c r="O44" s="31" t="s">
        <v>17</v>
      </c>
      <c r="P44" s="30">
        <f>P35+P37+P41</f>
        <v>0</v>
      </c>
      <c r="Q44" s="34" t="s">
        <v>17</v>
      </c>
    </row>
    <row r="45" spans="1:23" ht="24.45" customHeight="1" x14ac:dyDescent="0.3">
      <c r="E45" s="28"/>
      <c r="F45" s="28"/>
      <c r="G45" s="28"/>
      <c r="H45" s="28"/>
      <c r="I45" s="28"/>
      <c r="J45" s="167">
        <f>J44+L44+N44+P44</f>
        <v>2440</v>
      </c>
      <c r="K45" s="168"/>
      <c r="L45" s="168"/>
      <c r="M45" s="168"/>
      <c r="N45" s="168"/>
      <c r="O45" s="168"/>
      <c r="P45" s="168"/>
      <c r="Q45" s="169"/>
    </row>
    <row r="46" spans="1:23" ht="30" customHeight="1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spans="1:23" s="37" customFormat="1" ht="19.95" customHeight="1" x14ac:dyDescent="0.4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214" t="s">
        <v>14</v>
      </c>
      <c r="R47" s="215"/>
      <c r="S47" s="216"/>
      <c r="T47" s="184">
        <f>T3</f>
        <v>45924</v>
      </c>
      <c r="U47" s="185"/>
      <c r="V47" s="185"/>
      <c r="W47" s="186"/>
    </row>
    <row r="48" spans="1:23" s="16" customFormat="1" ht="30" customHeight="1" x14ac:dyDescent="0.3">
      <c r="A48" s="187" t="s">
        <v>26</v>
      </c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9"/>
      <c r="Q48" s="189"/>
      <c r="R48" s="189"/>
      <c r="S48" s="189"/>
      <c r="T48" s="188"/>
      <c r="U48" s="188"/>
      <c r="V48" s="188"/>
      <c r="W48" s="190"/>
    </row>
    <row r="49" spans="1:23" s="26" customFormat="1" ht="13.8" x14ac:dyDescent="0.3">
      <c r="A49" s="191" t="s">
        <v>1</v>
      </c>
      <c r="B49" s="192" t="s">
        <v>2</v>
      </c>
      <c r="C49" s="192" t="s">
        <v>3</v>
      </c>
      <c r="D49" s="192" t="s">
        <v>4</v>
      </c>
      <c r="E49" s="193" t="s">
        <v>5</v>
      </c>
      <c r="F49" s="197"/>
      <c r="G49" s="197"/>
      <c r="H49" s="197"/>
      <c r="I49" s="198"/>
      <c r="J49" s="193" t="s">
        <v>6</v>
      </c>
      <c r="K49" s="197"/>
      <c r="L49" s="197"/>
      <c r="M49" s="197"/>
      <c r="N49" s="197"/>
      <c r="O49" s="197"/>
      <c r="P49" s="197"/>
      <c r="Q49" s="198"/>
      <c r="R49" s="193" t="s">
        <v>10</v>
      </c>
      <c r="S49" s="198"/>
      <c r="T49" s="191" t="s">
        <v>11</v>
      </c>
      <c r="U49" s="191" t="s">
        <v>12</v>
      </c>
      <c r="V49" s="191"/>
      <c r="W49" s="191"/>
    </row>
    <row r="50" spans="1:23" s="26" customFormat="1" ht="13.8" x14ac:dyDescent="0.3">
      <c r="A50" s="191"/>
      <c r="B50" s="192"/>
      <c r="C50" s="192"/>
      <c r="D50" s="192"/>
      <c r="E50" s="194"/>
      <c r="F50" s="217"/>
      <c r="G50" s="217"/>
      <c r="H50" s="217"/>
      <c r="I50" s="199"/>
      <c r="J50" s="200" t="s">
        <v>7</v>
      </c>
      <c r="K50" s="201"/>
      <c r="L50" s="200" t="s">
        <v>8</v>
      </c>
      <c r="M50" s="201"/>
      <c r="N50" s="200" t="s">
        <v>9</v>
      </c>
      <c r="O50" s="201"/>
      <c r="P50" s="200" t="s">
        <v>16</v>
      </c>
      <c r="Q50" s="201"/>
      <c r="R50" s="194"/>
      <c r="S50" s="199"/>
      <c r="T50" s="191"/>
      <c r="U50" s="191"/>
      <c r="V50" s="191"/>
      <c r="W50" s="191"/>
    </row>
    <row r="51" spans="1:23" x14ac:dyDescent="0.3">
      <c r="A51" s="180" t="s">
        <v>13</v>
      </c>
      <c r="B51" s="5">
        <v>0.33333333333333331</v>
      </c>
      <c r="C51" s="5"/>
      <c r="D51" s="4" t="s">
        <v>261</v>
      </c>
      <c r="E51" s="211" t="s">
        <v>229</v>
      </c>
      <c r="F51" s="212"/>
      <c r="G51" s="212"/>
      <c r="H51" s="212"/>
      <c r="I51" s="213"/>
      <c r="J51" s="165"/>
      <c r="K51" s="166"/>
      <c r="L51" s="165"/>
      <c r="M51" s="166"/>
      <c r="N51" s="165">
        <v>1346</v>
      </c>
      <c r="O51" s="166"/>
      <c r="P51" s="165"/>
      <c r="Q51" s="166"/>
      <c r="R51" s="58"/>
      <c r="S51" s="6" t="s">
        <v>20</v>
      </c>
      <c r="T51" s="3"/>
      <c r="U51" s="202"/>
      <c r="V51" s="203"/>
      <c r="W51" s="204"/>
    </row>
    <row r="52" spans="1:23" x14ac:dyDescent="0.3">
      <c r="A52" s="163"/>
      <c r="B52" s="5"/>
      <c r="C52" s="5"/>
      <c r="D52" s="4"/>
      <c r="E52" s="211" t="s">
        <v>230</v>
      </c>
      <c r="F52" s="212"/>
      <c r="G52" s="212"/>
      <c r="H52" s="212"/>
      <c r="I52" s="213"/>
      <c r="J52" s="165"/>
      <c r="K52" s="166"/>
      <c r="L52" s="165"/>
      <c r="M52" s="166"/>
      <c r="N52" s="165">
        <v>359</v>
      </c>
      <c r="O52" s="166"/>
      <c r="P52" s="165"/>
      <c r="Q52" s="166"/>
      <c r="R52" s="58"/>
      <c r="S52" s="6" t="s">
        <v>20</v>
      </c>
      <c r="T52" s="3"/>
      <c r="U52" s="205"/>
      <c r="V52" s="206"/>
      <c r="W52" s="207"/>
    </row>
    <row r="53" spans="1:23" x14ac:dyDescent="0.3">
      <c r="A53" s="163"/>
      <c r="B53" s="5"/>
      <c r="C53" s="5"/>
      <c r="D53" s="4"/>
      <c r="E53" s="211" t="s">
        <v>231</v>
      </c>
      <c r="F53" s="212"/>
      <c r="G53" s="212"/>
      <c r="H53" s="212"/>
      <c r="I53" s="213"/>
      <c r="J53" s="165"/>
      <c r="K53" s="166"/>
      <c r="L53" s="165"/>
      <c r="M53" s="166"/>
      <c r="N53" s="165">
        <v>109</v>
      </c>
      <c r="O53" s="166"/>
      <c r="P53" s="165"/>
      <c r="Q53" s="166"/>
      <c r="R53" s="58"/>
      <c r="S53" s="6" t="s">
        <v>20</v>
      </c>
      <c r="T53" s="3"/>
      <c r="U53" s="205"/>
      <c r="V53" s="206"/>
      <c r="W53" s="207"/>
    </row>
    <row r="54" spans="1:23" x14ac:dyDescent="0.3">
      <c r="A54" s="163"/>
      <c r="B54" s="5"/>
      <c r="C54" s="5"/>
      <c r="D54" s="4"/>
      <c r="E54" s="211" t="s">
        <v>232</v>
      </c>
      <c r="F54" s="212"/>
      <c r="G54" s="212"/>
      <c r="H54" s="212"/>
      <c r="I54" s="213"/>
      <c r="J54" s="165"/>
      <c r="K54" s="166"/>
      <c r="L54" s="165">
        <v>1733</v>
      </c>
      <c r="M54" s="166"/>
      <c r="N54" s="165"/>
      <c r="O54" s="166"/>
      <c r="P54" s="165"/>
      <c r="Q54" s="166"/>
      <c r="R54" s="58"/>
      <c r="S54" s="6" t="s">
        <v>20</v>
      </c>
      <c r="T54" s="3"/>
      <c r="U54" s="205"/>
      <c r="V54" s="206"/>
      <c r="W54" s="207"/>
    </row>
    <row r="55" spans="1:23" x14ac:dyDescent="0.3">
      <c r="A55" s="163"/>
      <c r="B55" s="5"/>
      <c r="C55" s="5"/>
      <c r="D55" s="4"/>
      <c r="E55" s="211" t="s">
        <v>233</v>
      </c>
      <c r="F55" s="212"/>
      <c r="G55" s="212"/>
      <c r="H55" s="212"/>
      <c r="I55" s="213"/>
      <c r="J55" s="165">
        <v>4</v>
      </c>
      <c r="K55" s="166"/>
      <c r="L55" s="165"/>
      <c r="M55" s="166"/>
      <c r="N55" s="165"/>
      <c r="O55" s="166"/>
      <c r="P55" s="165"/>
      <c r="Q55" s="166"/>
      <c r="R55" s="58"/>
      <c r="S55" s="6" t="s">
        <v>20</v>
      </c>
      <c r="T55" s="3"/>
      <c r="U55" s="205"/>
      <c r="V55" s="206"/>
      <c r="W55" s="207"/>
    </row>
    <row r="56" spans="1:23" x14ac:dyDescent="0.3">
      <c r="A56" s="163"/>
      <c r="B56" s="5"/>
      <c r="C56" s="5"/>
      <c r="D56" s="4"/>
      <c r="E56" s="211" t="s">
        <v>234</v>
      </c>
      <c r="F56" s="212"/>
      <c r="G56" s="212"/>
      <c r="H56" s="212"/>
      <c r="I56" s="213"/>
      <c r="J56" s="165">
        <v>12</v>
      </c>
      <c r="K56" s="166"/>
      <c r="L56" s="165"/>
      <c r="M56" s="166"/>
      <c r="N56" s="165"/>
      <c r="O56" s="166"/>
      <c r="P56" s="165"/>
      <c r="Q56" s="166"/>
      <c r="R56" s="58"/>
      <c r="S56" s="6" t="s">
        <v>20</v>
      </c>
      <c r="T56" s="3"/>
      <c r="U56" s="205"/>
      <c r="V56" s="206"/>
      <c r="W56" s="207"/>
    </row>
    <row r="57" spans="1:23" x14ac:dyDescent="0.3">
      <c r="A57" s="163"/>
      <c r="B57" s="5"/>
      <c r="C57" s="5"/>
      <c r="D57" s="4"/>
      <c r="E57" s="211" t="s">
        <v>236</v>
      </c>
      <c r="F57" s="212"/>
      <c r="G57" s="212"/>
      <c r="H57" s="212"/>
      <c r="I57" s="213"/>
      <c r="J57" s="165">
        <v>12</v>
      </c>
      <c r="K57" s="166"/>
      <c r="L57" s="165"/>
      <c r="M57" s="166"/>
      <c r="N57" s="165"/>
      <c r="O57" s="166"/>
      <c r="P57" s="165"/>
      <c r="Q57" s="166"/>
      <c r="R57" s="58"/>
      <c r="S57" s="6" t="s">
        <v>20</v>
      </c>
      <c r="T57" s="3"/>
      <c r="U57" s="205"/>
      <c r="V57" s="206"/>
      <c r="W57" s="207"/>
    </row>
    <row r="58" spans="1:23" x14ac:dyDescent="0.3">
      <c r="A58" s="163"/>
      <c r="B58" s="5"/>
      <c r="C58" s="5"/>
      <c r="D58" s="4"/>
      <c r="E58" s="211" t="s">
        <v>235</v>
      </c>
      <c r="F58" s="212"/>
      <c r="G58" s="212"/>
      <c r="H58" s="212"/>
      <c r="I58" s="213"/>
      <c r="J58" s="165">
        <v>13</v>
      </c>
      <c r="K58" s="166"/>
      <c r="L58" s="165"/>
      <c r="M58" s="166"/>
      <c r="N58" s="165"/>
      <c r="O58" s="166"/>
      <c r="P58" s="165"/>
      <c r="Q58" s="166"/>
      <c r="R58" s="58"/>
      <c r="S58" s="6" t="s">
        <v>20</v>
      </c>
      <c r="T58" s="3"/>
      <c r="U58" s="205"/>
      <c r="V58" s="206"/>
      <c r="W58" s="207"/>
    </row>
    <row r="59" spans="1:23" x14ac:dyDescent="0.3">
      <c r="A59" s="163"/>
      <c r="B59" s="5"/>
      <c r="C59" s="5"/>
      <c r="D59" s="4"/>
      <c r="E59" s="211"/>
      <c r="F59" s="212"/>
      <c r="G59" s="212"/>
      <c r="H59" s="212"/>
      <c r="I59" s="213"/>
      <c r="J59" s="165"/>
      <c r="K59" s="166"/>
      <c r="L59" s="165"/>
      <c r="M59" s="166"/>
      <c r="N59" s="165"/>
      <c r="O59" s="166"/>
      <c r="P59" s="165"/>
      <c r="Q59" s="166"/>
      <c r="R59" s="58"/>
      <c r="S59" s="6" t="s">
        <v>20</v>
      </c>
      <c r="T59" s="3"/>
      <c r="U59" s="205"/>
      <c r="V59" s="206"/>
      <c r="W59" s="207"/>
    </row>
    <row r="60" spans="1:23" x14ac:dyDescent="0.3">
      <c r="A60" s="164"/>
      <c r="B60" s="19"/>
      <c r="C60" s="19"/>
      <c r="D60" s="20"/>
      <c r="E60" s="170" t="s">
        <v>0</v>
      </c>
      <c r="F60" s="171"/>
      <c r="G60" s="171"/>
      <c r="H60" s="171"/>
      <c r="I60" s="172"/>
      <c r="J60" s="173">
        <f>SUM(J51:J59)</f>
        <v>41</v>
      </c>
      <c r="K60" s="174"/>
      <c r="L60" s="173">
        <f>SUM(L51:L59)</f>
        <v>1733</v>
      </c>
      <c r="M60" s="174"/>
      <c r="N60" s="173">
        <f>SUM(N51:N59)</f>
        <v>1814</v>
      </c>
      <c r="O60" s="174"/>
      <c r="P60" s="173">
        <f>SUM(P51:P59)</f>
        <v>0</v>
      </c>
      <c r="Q60" s="174"/>
      <c r="R60" s="23">
        <f>SUM(R51:R59)</f>
        <v>0</v>
      </c>
      <c r="S60" s="24" t="s">
        <v>20</v>
      </c>
      <c r="T60" s="19"/>
      <c r="U60" s="208"/>
      <c r="V60" s="209"/>
      <c r="W60" s="210"/>
    </row>
    <row r="61" spans="1:23" x14ac:dyDescent="0.3">
      <c r="A61" s="180" t="s">
        <v>15</v>
      </c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58"/>
      <c r="S61" s="6" t="s">
        <v>20</v>
      </c>
      <c r="T61" s="3"/>
      <c r="U61" s="202"/>
      <c r="V61" s="203"/>
      <c r="W61" s="204"/>
    </row>
    <row r="62" spans="1:23" x14ac:dyDescent="0.3">
      <c r="A62" s="163"/>
      <c r="B62" s="5"/>
      <c r="C62" s="5"/>
      <c r="D62" s="4"/>
      <c r="E62" s="211"/>
      <c r="F62" s="212"/>
      <c r="G62" s="212"/>
      <c r="H62" s="212"/>
      <c r="I62" s="213"/>
      <c r="J62" s="165"/>
      <c r="K62" s="166"/>
      <c r="L62" s="165"/>
      <c r="M62" s="166"/>
      <c r="N62" s="165"/>
      <c r="O62" s="166"/>
      <c r="P62" s="165"/>
      <c r="Q62" s="166"/>
      <c r="R62" s="58"/>
      <c r="S62" s="6" t="s">
        <v>20</v>
      </c>
      <c r="T62" s="3"/>
      <c r="U62" s="205"/>
      <c r="V62" s="206"/>
      <c r="W62" s="207"/>
    </row>
    <row r="63" spans="1:23" x14ac:dyDescent="0.3">
      <c r="A63" s="163"/>
      <c r="B63" s="5"/>
      <c r="C63" s="5"/>
      <c r="D63" s="4"/>
      <c r="E63" s="211"/>
      <c r="F63" s="212"/>
      <c r="G63" s="212"/>
      <c r="H63" s="212"/>
      <c r="I63" s="213"/>
      <c r="J63" s="165"/>
      <c r="K63" s="166"/>
      <c r="L63" s="165"/>
      <c r="M63" s="166"/>
      <c r="N63" s="165"/>
      <c r="O63" s="166"/>
      <c r="P63" s="165"/>
      <c r="Q63" s="166"/>
      <c r="R63" s="58"/>
      <c r="S63" s="6" t="s">
        <v>20</v>
      </c>
      <c r="T63" s="3"/>
      <c r="U63" s="205"/>
      <c r="V63" s="206"/>
      <c r="W63" s="207"/>
    </row>
    <row r="64" spans="1:23" x14ac:dyDescent="0.3">
      <c r="A64" s="164"/>
      <c r="B64" s="19"/>
      <c r="C64" s="19"/>
      <c r="D64" s="20"/>
      <c r="E64" s="170" t="s">
        <v>0</v>
      </c>
      <c r="F64" s="171"/>
      <c r="G64" s="171"/>
      <c r="H64" s="171"/>
      <c r="I64" s="172"/>
      <c r="J64" s="173">
        <f>SUM(J61:J63)</f>
        <v>0</v>
      </c>
      <c r="K64" s="174"/>
      <c r="L64" s="173">
        <f>SUM(L61:L63)</f>
        <v>0</v>
      </c>
      <c r="M64" s="174"/>
      <c r="N64" s="173">
        <f>SUM(N61:N63)</f>
        <v>0</v>
      </c>
      <c r="O64" s="174"/>
      <c r="P64" s="173">
        <f>SUM(P54:P63)</f>
        <v>0</v>
      </c>
      <c r="Q64" s="174"/>
      <c r="R64" s="23">
        <f>SUM(R61:R63)</f>
        <v>0</v>
      </c>
      <c r="S64" s="24" t="s">
        <v>20</v>
      </c>
      <c r="T64" s="7"/>
      <c r="U64" s="208"/>
      <c r="V64" s="209"/>
      <c r="W64" s="210"/>
    </row>
    <row r="65" spans="1:23" x14ac:dyDescent="0.3">
      <c r="A65" s="180" t="s">
        <v>37</v>
      </c>
      <c r="B65" s="5">
        <v>0.33333333333333331</v>
      </c>
      <c r="C65" s="5"/>
      <c r="D65" s="4"/>
      <c r="E65" s="211" t="s">
        <v>266</v>
      </c>
      <c r="F65" s="212"/>
      <c r="G65" s="212"/>
      <c r="H65" s="212"/>
      <c r="I65" s="213"/>
      <c r="J65" s="165">
        <v>720</v>
      </c>
      <c r="K65" s="166"/>
      <c r="L65" s="165"/>
      <c r="M65" s="166"/>
      <c r="N65" s="165"/>
      <c r="O65" s="166"/>
      <c r="P65" s="165"/>
      <c r="Q65" s="166"/>
      <c r="R65" s="58"/>
      <c r="S65" s="6" t="s">
        <v>20</v>
      </c>
      <c r="T65" s="3"/>
      <c r="U65" s="202"/>
      <c r="V65" s="203"/>
      <c r="W65" s="204"/>
    </row>
    <row r="66" spans="1:23" x14ac:dyDescent="0.3">
      <c r="A66" s="163"/>
      <c r="B66" s="5"/>
      <c r="C66" s="5"/>
      <c r="D66" s="4"/>
      <c r="E66" s="211" t="s">
        <v>267</v>
      </c>
      <c r="F66" s="212"/>
      <c r="G66" s="212"/>
      <c r="H66" s="212"/>
      <c r="I66" s="213"/>
      <c r="J66" s="165">
        <v>1862</v>
      </c>
      <c r="K66" s="166"/>
      <c r="L66" s="165"/>
      <c r="M66" s="166"/>
      <c r="N66" s="165"/>
      <c r="O66" s="166"/>
      <c r="P66" s="165"/>
      <c r="Q66" s="166"/>
      <c r="R66" s="58"/>
      <c r="S66" s="6" t="s">
        <v>20</v>
      </c>
      <c r="T66" s="3"/>
      <c r="U66" s="205"/>
      <c r="V66" s="206"/>
      <c r="W66" s="207"/>
    </row>
    <row r="67" spans="1:23" x14ac:dyDescent="0.3">
      <c r="A67" s="163"/>
      <c r="B67" s="5"/>
      <c r="C67" s="5"/>
      <c r="D67" s="4"/>
      <c r="E67" s="211" t="s">
        <v>268</v>
      </c>
      <c r="F67" s="212"/>
      <c r="G67" s="212"/>
      <c r="H67" s="212"/>
      <c r="I67" s="213"/>
      <c r="J67" s="165">
        <v>723</v>
      </c>
      <c r="K67" s="166"/>
      <c r="L67" s="165"/>
      <c r="M67" s="166"/>
      <c r="N67" s="165"/>
      <c r="O67" s="166"/>
      <c r="P67" s="165"/>
      <c r="Q67" s="166"/>
      <c r="R67" s="58"/>
      <c r="S67" s="6" t="s">
        <v>20</v>
      </c>
      <c r="T67" s="3"/>
      <c r="U67" s="205"/>
      <c r="V67" s="206"/>
      <c r="W67" s="207"/>
    </row>
    <row r="68" spans="1:23" x14ac:dyDescent="0.3">
      <c r="A68" s="163"/>
      <c r="B68" s="5"/>
      <c r="C68" s="5">
        <v>0.70833333333333337</v>
      </c>
      <c r="D68" s="4"/>
      <c r="E68" s="211" t="s">
        <v>269</v>
      </c>
      <c r="F68" s="212"/>
      <c r="G68" s="212"/>
      <c r="H68" s="212"/>
      <c r="I68" s="213"/>
      <c r="J68" s="165">
        <v>720</v>
      </c>
      <c r="K68" s="166"/>
      <c r="L68" s="165"/>
      <c r="M68" s="166"/>
      <c r="N68" s="165"/>
      <c r="O68" s="166"/>
      <c r="P68" s="165"/>
      <c r="Q68" s="166"/>
      <c r="R68" s="58"/>
      <c r="S68" s="6" t="s">
        <v>20</v>
      </c>
      <c r="T68" s="3"/>
      <c r="U68" s="205"/>
      <c r="V68" s="206"/>
      <c r="W68" s="207"/>
    </row>
    <row r="69" spans="1:23" x14ac:dyDescent="0.3">
      <c r="A69" s="164"/>
      <c r="B69" s="19"/>
      <c r="C69" s="19"/>
      <c r="D69" s="20"/>
      <c r="E69" s="170" t="s">
        <v>0</v>
      </c>
      <c r="F69" s="171"/>
      <c r="G69" s="171"/>
      <c r="H69" s="171"/>
      <c r="I69" s="172"/>
      <c r="J69" s="173">
        <f>SUM(J65:J68)</f>
        <v>4025</v>
      </c>
      <c r="K69" s="174"/>
      <c r="L69" s="173">
        <f>SUM(L65:L68)</f>
        <v>0</v>
      </c>
      <c r="M69" s="174"/>
      <c r="N69" s="173">
        <f>SUM(N65:N68)</f>
        <v>0</v>
      </c>
      <c r="O69" s="174"/>
      <c r="P69" s="173">
        <f>SUM(P65:P68)</f>
        <v>0</v>
      </c>
      <c r="Q69" s="174"/>
      <c r="R69" s="23">
        <f>SUM(R65:R68)</f>
        <v>0</v>
      </c>
      <c r="S69" s="24" t="s">
        <v>20</v>
      </c>
      <c r="T69" s="19"/>
      <c r="U69" s="208"/>
      <c r="V69" s="209"/>
      <c r="W69" s="210"/>
    </row>
    <row r="70" spans="1:23" x14ac:dyDescent="0.3">
      <c r="A70" s="180" t="s">
        <v>36</v>
      </c>
      <c r="B70" s="5"/>
      <c r="C70" s="5"/>
      <c r="D70" s="4"/>
      <c r="E70" s="211"/>
      <c r="F70" s="212"/>
      <c r="G70" s="212"/>
      <c r="H70" s="212"/>
      <c r="I70" s="213"/>
      <c r="J70" s="165"/>
      <c r="K70" s="166"/>
      <c r="L70" s="165"/>
      <c r="M70" s="166"/>
      <c r="N70" s="165"/>
      <c r="O70" s="166"/>
      <c r="P70" s="165"/>
      <c r="Q70" s="166"/>
      <c r="R70" s="58"/>
      <c r="S70" s="6" t="s">
        <v>20</v>
      </c>
      <c r="T70" s="3"/>
      <c r="U70" s="202"/>
      <c r="V70" s="203"/>
      <c r="W70" s="204"/>
    </row>
    <row r="71" spans="1:23" x14ac:dyDescent="0.3">
      <c r="A71" s="163"/>
      <c r="B71" s="5"/>
      <c r="C71" s="5"/>
      <c r="D71" s="4"/>
      <c r="E71" s="211"/>
      <c r="F71" s="212"/>
      <c r="G71" s="212"/>
      <c r="H71" s="212"/>
      <c r="I71" s="213"/>
      <c r="J71" s="165"/>
      <c r="K71" s="166"/>
      <c r="L71" s="165"/>
      <c r="M71" s="166"/>
      <c r="N71" s="165"/>
      <c r="O71" s="166"/>
      <c r="P71" s="165"/>
      <c r="Q71" s="166"/>
      <c r="R71" s="58"/>
      <c r="S71" s="6" t="s">
        <v>20</v>
      </c>
      <c r="T71" s="3"/>
      <c r="U71" s="205"/>
      <c r="V71" s="206"/>
      <c r="W71" s="207"/>
    </row>
    <row r="72" spans="1:23" x14ac:dyDescent="0.3">
      <c r="A72" s="163"/>
      <c r="B72" s="5"/>
      <c r="C72" s="5"/>
      <c r="D72" s="4"/>
      <c r="E72" s="211"/>
      <c r="F72" s="212"/>
      <c r="G72" s="212"/>
      <c r="H72" s="212"/>
      <c r="I72" s="213"/>
      <c r="J72" s="165"/>
      <c r="K72" s="166"/>
      <c r="L72" s="165"/>
      <c r="M72" s="166"/>
      <c r="N72" s="165"/>
      <c r="O72" s="166"/>
      <c r="P72" s="165"/>
      <c r="Q72" s="166"/>
      <c r="R72" s="58"/>
      <c r="S72" s="6" t="s">
        <v>20</v>
      </c>
      <c r="T72" s="3"/>
      <c r="U72" s="205"/>
      <c r="V72" s="206"/>
      <c r="W72" s="207"/>
    </row>
    <row r="73" spans="1:23" x14ac:dyDescent="0.3">
      <c r="A73" s="164"/>
      <c r="B73" s="19"/>
      <c r="C73" s="19"/>
      <c r="D73" s="20"/>
      <c r="E73" s="170" t="s">
        <v>0</v>
      </c>
      <c r="F73" s="171"/>
      <c r="G73" s="171"/>
      <c r="H73" s="171"/>
      <c r="I73" s="172"/>
      <c r="J73" s="173">
        <f>SUM(J70:J72)</f>
        <v>0</v>
      </c>
      <c r="K73" s="174"/>
      <c r="L73" s="173">
        <f>SUM(L70:L72)</f>
        <v>0</v>
      </c>
      <c r="M73" s="174"/>
      <c r="N73" s="173">
        <f>SUM(N70:N72)</f>
        <v>0</v>
      </c>
      <c r="O73" s="174"/>
      <c r="P73" s="173">
        <f>SUM(P70:P72)</f>
        <v>0</v>
      </c>
      <c r="Q73" s="174"/>
      <c r="R73" s="23">
        <f>SUM(R70:R72)</f>
        <v>0</v>
      </c>
      <c r="S73" s="24" t="s">
        <v>20</v>
      </c>
      <c r="T73" s="19"/>
      <c r="U73" s="208"/>
      <c r="V73" s="209"/>
      <c r="W73" s="210"/>
    </row>
    <row r="74" spans="1:23" x14ac:dyDescent="0.3">
      <c r="E74" s="28"/>
      <c r="F74" s="28"/>
      <c r="G74" s="28"/>
      <c r="H74" s="28"/>
      <c r="I74" s="28"/>
      <c r="J74" s="29"/>
      <c r="K74" s="29"/>
      <c r="L74" s="29"/>
      <c r="M74" s="29"/>
      <c r="N74" s="29"/>
      <c r="O74" s="29"/>
      <c r="P74" s="29"/>
      <c r="Q74" s="29"/>
    </row>
    <row r="75" spans="1:23" x14ac:dyDescent="0.3">
      <c r="E75" s="170" t="s">
        <v>28</v>
      </c>
      <c r="F75" s="171"/>
      <c r="G75" s="171"/>
      <c r="H75" s="171"/>
      <c r="I75" s="172"/>
      <c r="J75" s="175" t="s">
        <v>7</v>
      </c>
      <c r="K75" s="176"/>
      <c r="L75" s="175" t="s">
        <v>8</v>
      </c>
      <c r="M75" s="176"/>
      <c r="N75" s="175" t="s">
        <v>9</v>
      </c>
      <c r="O75" s="176"/>
      <c r="P75" s="175" t="s">
        <v>16</v>
      </c>
      <c r="Q75" s="176"/>
    </row>
    <row r="76" spans="1:23" s="2" customFormat="1" x14ac:dyDescent="0.3">
      <c r="E76" s="15"/>
      <c r="F76" s="15"/>
      <c r="G76" s="15"/>
      <c r="H76" s="15"/>
      <c r="I76" s="15"/>
      <c r="J76" s="30">
        <f>J60+J64</f>
        <v>41</v>
      </c>
      <c r="K76" s="31" t="s">
        <v>17</v>
      </c>
      <c r="L76" s="32">
        <f>L60+L64</f>
        <v>1733</v>
      </c>
      <c r="M76" s="31" t="s">
        <v>17</v>
      </c>
      <c r="N76" s="32">
        <f>N60+N64</f>
        <v>1814</v>
      </c>
      <c r="O76" s="31" t="s">
        <v>17</v>
      </c>
      <c r="P76" s="33">
        <f>P69+P73</f>
        <v>0</v>
      </c>
      <c r="Q76" s="34" t="s">
        <v>17</v>
      </c>
    </row>
    <row r="77" spans="1:23" s="8" customFormat="1" ht="24.45" customHeight="1" x14ac:dyDescent="0.3">
      <c r="A77"/>
      <c r="B77"/>
      <c r="C77"/>
      <c r="E77" s="28"/>
      <c r="F77" s="28"/>
      <c r="G77" s="28"/>
      <c r="H77" s="28"/>
      <c r="I77" s="28"/>
      <c r="J77" s="167">
        <f>J76+L76+N76+P76</f>
        <v>3588</v>
      </c>
      <c r="K77" s="168"/>
      <c r="L77" s="168"/>
      <c r="M77" s="168"/>
      <c r="N77" s="168"/>
      <c r="O77" s="168"/>
      <c r="P77" s="168"/>
      <c r="Q77" s="169"/>
      <c r="S77"/>
      <c r="T77"/>
      <c r="U77"/>
      <c r="V77"/>
      <c r="W77"/>
    </row>
  </sheetData>
  <mergeCells count="309">
    <mergeCell ref="E75:I75"/>
    <mergeCell ref="J75:K75"/>
    <mergeCell ref="L75:M75"/>
    <mergeCell ref="N75:O75"/>
    <mergeCell ref="P75:Q75"/>
    <mergeCell ref="J77:Q77"/>
    <mergeCell ref="N72:O72"/>
    <mergeCell ref="P72:Q72"/>
    <mergeCell ref="E73:I73"/>
    <mergeCell ref="J73:K73"/>
    <mergeCell ref="L73:M73"/>
    <mergeCell ref="N73:O73"/>
    <mergeCell ref="P73:Q73"/>
    <mergeCell ref="U70:W73"/>
    <mergeCell ref="E71:I71"/>
    <mergeCell ref="J71:K71"/>
    <mergeCell ref="L71:M71"/>
    <mergeCell ref="N71:O71"/>
    <mergeCell ref="P71:Q71"/>
    <mergeCell ref="E72:I72"/>
    <mergeCell ref="J72:K72"/>
    <mergeCell ref="L72:M72"/>
    <mergeCell ref="A70:A73"/>
    <mergeCell ref="E70:I70"/>
    <mergeCell ref="J70:K70"/>
    <mergeCell ref="L70:M70"/>
    <mergeCell ref="N70:O70"/>
    <mergeCell ref="A65:A69"/>
    <mergeCell ref="J68:K68"/>
    <mergeCell ref="L68:M68"/>
    <mergeCell ref="P70:Q70"/>
    <mergeCell ref="N68:O68"/>
    <mergeCell ref="P68:Q68"/>
    <mergeCell ref="U65:W69"/>
    <mergeCell ref="E66:I66"/>
    <mergeCell ref="J66:K66"/>
    <mergeCell ref="L66:M66"/>
    <mergeCell ref="N66:O66"/>
    <mergeCell ref="P66:Q66"/>
    <mergeCell ref="E67:I67"/>
    <mergeCell ref="J67:K67"/>
    <mergeCell ref="L67:M67"/>
    <mergeCell ref="N67:O67"/>
    <mergeCell ref="E65:I65"/>
    <mergeCell ref="J65:K65"/>
    <mergeCell ref="L65:M65"/>
    <mergeCell ref="N65:O65"/>
    <mergeCell ref="P65:Q65"/>
    <mergeCell ref="P67:Q67"/>
    <mergeCell ref="E68:I68"/>
    <mergeCell ref="E69:I69"/>
    <mergeCell ref="J69:K69"/>
    <mergeCell ref="L69:M69"/>
    <mergeCell ref="N69:O69"/>
    <mergeCell ref="P69:Q69"/>
    <mergeCell ref="U61:W64"/>
    <mergeCell ref="E62:I62"/>
    <mergeCell ref="J62:K62"/>
    <mergeCell ref="L62:M62"/>
    <mergeCell ref="N62:O62"/>
    <mergeCell ref="P62:Q62"/>
    <mergeCell ref="E63:I63"/>
    <mergeCell ref="J63:K63"/>
    <mergeCell ref="L63:M63"/>
    <mergeCell ref="E60:I60"/>
    <mergeCell ref="J60:K60"/>
    <mergeCell ref="L60:M60"/>
    <mergeCell ref="N60:O60"/>
    <mergeCell ref="P60:Q60"/>
    <mergeCell ref="A61:A64"/>
    <mergeCell ref="E61:I61"/>
    <mergeCell ref="J61:K61"/>
    <mergeCell ref="L61:M61"/>
    <mergeCell ref="N61:O61"/>
    <mergeCell ref="A51:A60"/>
    <mergeCell ref="J54:K54"/>
    <mergeCell ref="L54:M54"/>
    <mergeCell ref="N63:O63"/>
    <mergeCell ref="P63:Q63"/>
    <mergeCell ref="E64:I64"/>
    <mergeCell ref="J64:K64"/>
    <mergeCell ref="L64:M64"/>
    <mergeCell ref="N64:O64"/>
    <mergeCell ref="P64:Q64"/>
    <mergeCell ref="P61:Q61"/>
    <mergeCell ref="E57:I57"/>
    <mergeCell ref="E58:I58"/>
    <mergeCell ref="J57:K57"/>
    <mergeCell ref="E56:I56"/>
    <mergeCell ref="J56:K56"/>
    <mergeCell ref="L56:M56"/>
    <mergeCell ref="N56:O56"/>
    <mergeCell ref="P56:Q56"/>
    <mergeCell ref="E59:I59"/>
    <mergeCell ref="J59:K59"/>
    <mergeCell ref="L59:M59"/>
    <mergeCell ref="N59:O59"/>
    <mergeCell ref="P59:Q59"/>
    <mergeCell ref="L57:M57"/>
    <mergeCell ref="N57:O57"/>
    <mergeCell ref="P57:Q57"/>
    <mergeCell ref="J58:K58"/>
    <mergeCell ref="L58:M58"/>
    <mergeCell ref="N58:O58"/>
    <mergeCell ref="P58:Q58"/>
    <mergeCell ref="N54:O54"/>
    <mergeCell ref="P54:Q54"/>
    <mergeCell ref="E55:I55"/>
    <mergeCell ref="J55:K55"/>
    <mergeCell ref="L55:M55"/>
    <mergeCell ref="N55:O55"/>
    <mergeCell ref="P55:Q55"/>
    <mergeCell ref="U51:W60"/>
    <mergeCell ref="E52:I52"/>
    <mergeCell ref="J52:K52"/>
    <mergeCell ref="L52:M52"/>
    <mergeCell ref="N52:O52"/>
    <mergeCell ref="P52:Q52"/>
    <mergeCell ref="E53:I53"/>
    <mergeCell ref="J53:K53"/>
    <mergeCell ref="L53:M53"/>
    <mergeCell ref="N53:O53"/>
    <mergeCell ref="E51:I51"/>
    <mergeCell ref="J51:K51"/>
    <mergeCell ref="L51:M51"/>
    <mergeCell ref="N51:O51"/>
    <mergeCell ref="P51:Q51"/>
    <mergeCell ref="P53:Q53"/>
    <mergeCell ref="E54:I54"/>
    <mergeCell ref="E43:I43"/>
    <mergeCell ref="J43:K43"/>
    <mergeCell ref="L43:M43"/>
    <mergeCell ref="N43:O43"/>
    <mergeCell ref="P43:Q43"/>
    <mergeCell ref="R49:S50"/>
    <mergeCell ref="T49:T50"/>
    <mergeCell ref="U49:W50"/>
    <mergeCell ref="J50:K50"/>
    <mergeCell ref="L50:M50"/>
    <mergeCell ref="N50:O50"/>
    <mergeCell ref="P50:Q50"/>
    <mergeCell ref="J45:Q45"/>
    <mergeCell ref="Q47:S47"/>
    <mergeCell ref="T47:W47"/>
    <mergeCell ref="A48:W48"/>
    <mergeCell ref="A49:A50"/>
    <mergeCell ref="B49:B50"/>
    <mergeCell ref="C49:C50"/>
    <mergeCell ref="D49:D50"/>
    <mergeCell ref="E49:I50"/>
    <mergeCell ref="J49:Q49"/>
    <mergeCell ref="A38:A41"/>
    <mergeCell ref="J38:K38"/>
    <mergeCell ref="L38:M38"/>
    <mergeCell ref="N38:O38"/>
    <mergeCell ref="P38:Q38"/>
    <mergeCell ref="U38:W41"/>
    <mergeCell ref="J39:K39"/>
    <mergeCell ref="L39:M39"/>
    <mergeCell ref="N39:O39"/>
    <mergeCell ref="P39:Q39"/>
    <mergeCell ref="J40:K40"/>
    <mergeCell ref="L40:M40"/>
    <mergeCell ref="N40:O40"/>
    <mergeCell ref="P40:Q40"/>
    <mergeCell ref="E41:I41"/>
    <mergeCell ref="J41:K41"/>
    <mergeCell ref="L41:M41"/>
    <mergeCell ref="N41:O41"/>
    <mergeCell ref="P41:Q41"/>
    <mergeCell ref="A36:A37"/>
    <mergeCell ref="J36:K36"/>
    <mergeCell ref="L36:M36"/>
    <mergeCell ref="N36:O36"/>
    <mergeCell ref="P36:Q36"/>
    <mergeCell ref="U36:W37"/>
    <mergeCell ref="E37:I37"/>
    <mergeCell ref="J37:K37"/>
    <mergeCell ref="L37:M37"/>
    <mergeCell ref="N37:O37"/>
    <mergeCell ref="P37:Q37"/>
    <mergeCell ref="U32:W35"/>
    <mergeCell ref="J33:K33"/>
    <mergeCell ref="L33:M33"/>
    <mergeCell ref="N33:O33"/>
    <mergeCell ref="P33:Q33"/>
    <mergeCell ref="J34:K34"/>
    <mergeCell ref="L34:M34"/>
    <mergeCell ref="N34:O34"/>
    <mergeCell ref="P34:Q34"/>
    <mergeCell ref="J35:K35"/>
    <mergeCell ref="L35:M35"/>
    <mergeCell ref="N35:O35"/>
    <mergeCell ref="P35:Q35"/>
    <mergeCell ref="A32:A35"/>
    <mergeCell ref="J32:K32"/>
    <mergeCell ref="L32:M32"/>
    <mergeCell ref="N32:O32"/>
    <mergeCell ref="P32:Q32"/>
    <mergeCell ref="G30:G31"/>
    <mergeCell ref="H30:H31"/>
    <mergeCell ref="I30:I31"/>
    <mergeCell ref="J30:Q30"/>
    <mergeCell ref="E35:I35"/>
    <mergeCell ref="J26:Q26"/>
    <mergeCell ref="Q28:S28"/>
    <mergeCell ref="T28:W28"/>
    <mergeCell ref="A29:W29"/>
    <mergeCell ref="A30:A31"/>
    <mergeCell ref="B30:B31"/>
    <mergeCell ref="C30:C31"/>
    <mergeCell ref="D30:D31"/>
    <mergeCell ref="E30:E31"/>
    <mergeCell ref="F30:F31"/>
    <mergeCell ref="U30:W31"/>
    <mergeCell ref="J31:K31"/>
    <mergeCell ref="L31:M31"/>
    <mergeCell ref="N31:O31"/>
    <mergeCell ref="P31:Q31"/>
    <mergeCell ref="R30:S31"/>
    <mergeCell ref="T30:T31"/>
    <mergeCell ref="B22:I22"/>
    <mergeCell ref="E24:I24"/>
    <mergeCell ref="J24:K24"/>
    <mergeCell ref="L24:M24"/>
    <mergeCell ref="N24:O24"/>
    <mergeCell ref="P24:Q24"/>
    <mergeCell ref="J19:K19"/>
    <mergeCell ref="L19:M19"/>
    <mergeCell ref="N19:O19"/>
    <mergeCell ref="P19:Q19"/>
    <mergeCell ref="J20:K20"/>
    <mergeCell ref="L20:M20"/>
    <mergeCell ref="N20:O20"/>
    <mergeCell ref="P20:Q20"/>
    <mergeCell ref="J21:K21"/>
    <mergeCell ref="L21:M21"/>
    <mergeCell ref="N21:O21"/>
    <mergeCell ref="P21:Q21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2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2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W67"/>
  <sheetViews>
    <sheetView zoomScale="85" zoomScaleNormal="85" workbookViewId="0">
      <selection activeCell="F14" sqref="F14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28.3320312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45925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180925</v>
      </c>
      <c r="E7" s="12" t="s">
        <v>237</v>
      </c>
      <c r="F7" s="17">
        <v>385</v>
      </c>
      <c r="G7" s="17">
        <v>430</v>
      </c>
      <c r="H7" s="18">
        <v>0.5</v>
      </c>
      <c r="I7" s="17">
        <v>35000</v>
      </c>
      <c r="J7" s="165"/>
      <c r="K7" s="166"/>
      <c r="L7" s="165"/>
      <c r="M7" s="166"/>
      <c r="N7" s="165"/>
      <c r="O7" s="166"/>
      <c r="P7" s="165">
        <v>704</v>
      </c>
      <c r="Q7" s="166"/>
      <c r="R7" s="59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238</v>
      </c>
      <c r="F8" s="17">
        <v>180</v>
      </c>
      <c r="G8" s="17">
        <v>430</v>
      </c>
      <c r="H8" s="18">
        <v>0.5</v>
      </c>
      <c r="I8" s="17">
        <v>35000</v>
      </c>
      <c r="J8" s="165">
        <v>176</v>
      </c>
      <c r="K8" s="166"/>
      <c r="L8" s="165"/>
      <c r="M8" s="166"/>
      <c r="N8" s="165"/>
      <c r="O8" s="166"/>
      <c r="P8" s="165"/>
      <c r="Q8" s="166"/>
      <c r="R8" s="59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180925</v>
      </c>
      <c r="E9" s="12" t="s">
        <v>239</v>
      </c>
      <c r="F9" s="17">
        <v>340</v>
      </c>
      <c r="G9" s="17">
        <v>430</v>
      </c>
      <c r="H9" s="18">
        <v>0.5</v>
      </c>
      <c r="I9" s="17">
        <v>35000</v>
      </c>
      <c r="J9" s="165"/>
      <c r="K9" s="166"/>
      <c r="L9" s="165"/>
      <c r="M9" s="166"/>
      <c r="N9" s="165"/>
      <c r="O9" s="166"/>
      <c r="P9" s="165">
        <v>1420</v>
      </c>
      <c r="Q9" s="166"/>
      <c r="R9" s="59">
        <v>45</v>
      </c>
      <c r="S9" s="14" t="s">
        <v>20</v>
      </c>
      <c r="T9" s="42" t="s">
        <v>110</v>
      </c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240</v>
      </c>
      <c r="F10" s="17">
        <v>290</v>
      </c>
      <c r="G10" s="17">
        <v>430</v>
      </c>
      <c r="H10" s="18">
        <v>0.5</v>
      </c>
      <c r="I10" s="17">
        <v>35000</v>
      </c>
      <c r="J10" s="165"/>
      <c r="K10" s="166"/>
      <c r="L10" s="165"/>
      <c r="M10" s="166"/>
      <c r="N10" s="165"/>
      <c r="O10" s="166"/>
      <c r="P10" s="165">
        <v>355</v>
      </c>
      <c r="Q10" s="166"/>
      <c r="R10" s="59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>
        <v>180925</v>
      </c>
      <c r="E11" s="12" t="s">
        <v>241</v>
      </c>
      <c r="F11" s="17">
        <v>237</v>
      </c>
      <c r="G11" s="17">
        <v>430</v>
      </c>
      <c r="H11" s="18">
        <v>0.5</v>
      </c>
      <c r="I11" s="17">
        <v>35000</v>
      </c>
      <c r="J11" s="165"/>
      <c r="K11" s="166"/>
      <c r="L11" s="165"/>
      <c r="M11" s="166"/>
      <c r="N11" s="165"/>
      <c r="O11" s="166"/>
      <c r="P11" s="165">
        <v>350</v>
      </c>
      <c r="Q11" s="166"/>
      <c r="R11" s="59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242</v>
      </c>
      <c r="F12" s="17">
        <v>160</v>
      </c>
      <c r="G12" s="17">
        <v>430</v>
      </c>
      <c r="H12" s="18">
        <v>0.5</v>
      </c>
      <c r="I12" s="17">
        <v>35000</v>
      </c>
      <c r="J12" s="165"/>
      <c r="K12" s="166"/>
      <c r="L12" s="165"/>
      <c r="M12" s="166"/>
      <c r="N12" s="165"/>
      <c r="O12" s="166"/>
      <c r="P12" s="165">
        <v>70</v>
      </c>
      <c r="Q12" s="166"/>
      <c r="R12" s="59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>
        <v>290725</v>
      </c>
      <c r="E13" s="12" t="s">
        <v>243</v>
      </c>
      <c r="F13" s="17">
        <v>216</v>
      </c>
      <c r="G13" s="17">
        <v>430</v>
      </c>
      <c r="H13" s="18">
        <v>0.5</v>
      </c>
      <c r="I13" s="17">
        <v>35000</v>
      </c>
      <c r="J13" s="165"/>
      <c r="K13" s="166"/>
      <c r="L13" s="165"/>
      <c r="M13" s="166"/>
      <c r="N13" s="165"/>
      <c r="O13" s="166"/>
      <c r="P13" s="165">
        <v>4464</v>
      </c>
      <c r="Q13" s="166"/>
      <c r="R13" s="59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180925</v>
      </c>
      <c r="E14" s="12" t="s">
        <v>244</v>
      </c>
      <c r="F14" s="17">
        <v>323</v>
      </c>
      <c r="G14" s="17">
        <v>430</v>
      </c>
      <c r="H14" s="18">
        <v>0.5</v>
      </c>
      <c r="I14" s="17">
        <v>35000</v>
      </c>
      <c r="J14" s="165"/>
      <c r="K14" s="166"/>
      <c r="L14" s="165"/>
      <c r="M14" s="166"/>
      <c r="N14" s="165"/>
      <c r="O14" s="166"/>
      <c r="P14" s="165">
        <v>1424</v>
      </c>
      <c r="Q14" s="166"/>
      <c r="R14" s="59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>
        <v>0.70833333333333337</v>
      </c>
      <c r="D15" s="4" t="s">
        <v>102</v>
      </c>
      <c r="E15" s="12" t="s">
        <v>245</v>
      </c>
      <c r="F15" s="17">
        <v>140</v>
      </c>
      <c r="G15" s="17">
        <v>430</v>
      </c>
      <c r="H15" s="18">
        <v>0.5</v>
      </c>
      <c r="I15" s="17">
        <v>35000</v>
      </c>
      <c r="J15" s="165">
        <v>356</v>
      </c>
      <c r="K15" s="166"/>
      <c r="L15" s="165"/>
      <c r="M15" s="166"/>
      <c r="N15" s="165"/>
      <c r="O15" s="166"/>
      <c r="P15" s="165"/>
      <c r="Q15" s="166"/>
      <c r="R15" s="59"/>
      <c r="S15" s="14" t="s">
        <v>20</v>
      </c>
      <c r="T15" s="42"/>
      <c r="U15" s="205"/>
      <c r="V15" s="206"/>
      <c r="W15" s="207"/>
    </row>
    <row r="16" spans="1:23" x14ac:dyDescent="0.3">
      <c r="A16" s="182"/>
      <c r="B16" s="170" t="s">
        <v>0</v>
      </c>
      <c r="C16" s="171"/>
      <c r="D16" s="171"/>
      <c r="E16" s="171"/>
      <c r="F16" s="171"/>
      <c r="G16" s="171"/>
      <c r="H16" s="171"/>
      <c r="I16" s="172"/>
      <c r="J16" s="21">
        <f>SUM(J7:K15)</f>
        <v>532</v>
      </c>
      <c r="K16" s="22" t="s">
        <v>17</v>
      </c>
      <c r="L16" s="21">
        <f>SUM(L7:M15)</f>
        <v>0</v>
      </c>
      <c r="M16" s="22" t="s">
        <v>17</v>
      </c>
      <c r="N16" s="21">
        <f>SUM(N7:O15)</f>
        <v>0</v>
      </c>
      <c r="O16" s="22" t="s">
        <v>17</v>
      </c>
      <c r="P16" s="21">
        <f>SUM(P7:Q15)</f>
        <v>8787</v>
      </c>
      <c r="Q16" s="22" t="s">
        <v>17</v>
      </c>
      <c r="R16" s="23">
        <f>SUM(R7:R15)</f>
        <v>45</v>
      </c>
      <c r="S16" s="24" t="s">
        <v>20</v>
      </c>
      <c r="T16" s="19"/>
      <c r="U16" s="208"/>
      <c r="V16" s="209"/>
      <c r="W16" s="210"/>
    </row>
    <row r="17" spans="1:23" ht="14.55" customHeight="1" x14ac:dyDescent="0.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 spans="1:23" ht="14.55" customHeight="1" x14ac:dyDescent="0.3">
      <c r="A18" s="27"/>
      <c r="B18" s="27"/>
      <c r="C18" s="27"/>
      <c r="D18" s="27"/>
      <c r="E18" s="170" t="s">
        <v>27</v>
      </c>
      <c r="F18" s="171"/>
      <c r="G18" s="171"/>
      <c r="H18" s="171"/>
      <c r="I18" s="172"/>
      <c r="J18" s="175" t="s">
        <v>7</v>
      </c>
      <c r="K18" s="176"/>
      <c r="L18" s="175" t="s">
        <v>8</v>
      </c>
      <c r="M18" s="176"/>
      <c r="N18" s="175" t="s">
        <v>9</v>
      </c>
      <c r="O18" s="176"/>
      <c r="P18" s="175" t="s">
        <v>117</v>
      </c>
      <c r="Q18" s="176"/>
      <c r="R18" s="27"/>
      <c r="S18" s="27"/>
    </row>
    <row r="19" spans="1:23" ht="14.55" customHeight="1" x14ac:dyDescent="0.3">
      <c r="A19" s="27"/>
      <c r="B19" s="27"/>
      <c r="C19" s="27"/>
      <c r="D19" s="27"/>
      <c r="E19" s="15"/>
      <c r="F19" s="15"/>
      <c r="G19" s="15"/>
      <c r="H19" s="15"/>
      <c r="I19" s="15"/>
      <c r="J19" s="30">
        <f>J16</f>
        <v>532</v>
      </c>
      <c r="K19" s="31" t="s">
        <v>17</v>
      </c>
      <c r="L19" s="32">
        <f>L16</f>
        <v>0</v>
      </c>
      <c r="M19" s="31" t="s">
        <v>17</v>
      </c>
      <c r="N19" s="32">
        <f>N16</f>
        <v>0</v>
      </c>
      <c r="O19" s="31" t="s">
        <v>17</v>
      </c>
      <c r="P19" s="33">
        <f>P16</f>
        <v>8787</v>
      </c>
      <c r="Q19" s="34" t="s">
        <v>17</v>
      </c>
      <c r="R19" s="27"/>
      <c r="S19" s="27"/>
    </row>
    <row r="20" spans="1:23" ht="30" customHeight="1" x14ac:dyDescent="0.3">
      <c r="A20" s="27"/>
      <c r="B20" s="27"/>
      <c r="C20" s="27"/>
      <c r="D20" s="27"/>
      <c r="E20" s="28"/>
      <c r="F20" s="28"/>
      <c r="G20" s="28"/>
      <c r="H20" s="28"/>
      <c r="I20" s="28"/>
      <c r="J20" s="167">
        <f>J19+L19+N19+P19</f>
        <v>9319</v>
      </c>
      <c r="K20" s="168"/>
      <c r="L20" s="168"/>
      <c r="M20" s="168"/>
      <c r="N20" s="168"/>
      <c r="O20" s="168"/>
      <c r="P20" s="168"/>
      <c r="Q20" s="169"/>
      <c r="R20" s="27"/>
      <c r="S20" s="27"/>
    </row>
    <row r="21" spans="1:23" ht="30" customHeight="1" x14ac:dyDescent="0.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2" spans="1:23" s="37" customFormat="1" ht="19.95" customHeight="1" x14ac:dyDescent="0.4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183" t="s">
        <v>14</v>
      </c>
      <c r="R22" s="183"/>
      <c r="S22" s="183"/>
      <c r="T22" s="184">
        <f>T3</f>
        <v>45925</v>
      </c>
      <c r="U22" s="185"/>
      <c r="V22" s="185"/>
      <c r="W22" s="186"/>
    </row>
    <row r="23" spans="1:23" s="16" customFormat="1" ht="30" customHeight="1" x14ac:dyDescent="0.3">
      <c r="A23" s="187" t="s">
        <v>29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9"/>
      <c r="Q23" s="189"/>
      <c r="R23" s="189"/>
      <c r="S23" s="189"/>
      <c r="T23" s="188"/>
      <c r="U23" s="188"/>
      <c r="V23" s="188"/>
      <c r="W23" s="190"/>
    </row>
    <row r="24" spans="1:23" s="26" customFormat="1" ht="13.8" x14ac:dyDescent="0.3">
      <c r="A24" s="191" t="s">
        <v>1</v>
      </c>
      <c r="B24" s="192" t="s">
        <v>2</v>
      </c>
      <c r="C24" s="192" t="s">
        <v>3</v>
      </c>
      <c r="D24" s="192" t="s">
        <v>4</v>
      </c>
      <c r="E24" s="193" t="s">
        <v>5</v>
      </c>
      <c r="F24" s="195" t="s">
        <v>21</v>
      </c>
      <c r="G24" s="195" t="s">
        <v>22</v>
      </c>
      <c r="H24" s="195" t="s">
        <v>33</v>
      </c>
      <c r="I24" s="195" t="s">
        <v>30</v>
      </c>
      <c r="J24" s="193" t="s">
        <v>6</v>
      </c>
      <c r="K24" s="197"/>
      <c r="L24" s="197"/>
      <c r="M24" s="197"/>
      <c r="N24" s="197"/>
      <c r="O24" s="197"/>
      <c r="P24" s="197"/>
      <c r="Q24" s="198"/>
      <c r="R24" s="193" t="s">
        <v>10</v>
      </c>
      <c r="S24" s="198"/>
      <c r="T24" s="191" t="s">
        <v>11</v>
      </c>
      <c r="U24" s="191" t="s">
        <v>12</v>
      </c>
      <c r="V24" s="191"/>
      <c r="W24" s="191"/>
    </row>
    <row r="25" spans="1:23" s="26" customFormat="1" ht="13.8" x14ac:dyDescent="0.3">
      <c r="A25" s="191"/>
      <c r="B25" s="192"/>
      <c r="C25" s="192"/>
      <c r="D25" s="192"/>
      <c r="E25" s="194"/>
      <c r="F25" s="196"/>
      <c r="G25" s="196"/>
      <c r="H25" s="196"/>
      <c r="I25" s="196"/>
      <c r="J25" s="200" t="s">
        <v>7</v>
      </c>
      <c r="K25" s="201"/>
      <c r="L25" s="200" t="s">
        <v>8</v>
      </c>
      <c r="M25" s="201"/>
      <c r="N25" s="200" t="s">
        <v>9</v>
      </c>
      <c r="O25" s="201"/>
      <c r="P25" s="200" t="s">
        <v>117</v>
      </c>
      <c r="Q25" s="201"/>
      <c r="R25" s="194"/>
      <c r="S25" s="199"/>
      <c r="T25" s="191"/>
      <c r="U25" s="191"/>
      <c r="V25" s="191"/>
      <c r="W25" s="191"/>
    </row>
    <row r="26" spans="1:23" ht="14.55" customHeight="1" x14ac:dyDescent="0.3">
      <c r="A26" s="180" t="s">
        <v>32</v>
      </c>
      <c r="B26" s="5">
        <v>0.33333333333333331</v>
      </c>
      <c r="C26" s="5"/>
      <c r="D26" s="60">
        <v>250043</v>
      </c>
      <c r="E26" s="12" t="s">
        <v>246</v>
      </c>
      <c r="F26" s="40">
        <v>304</v>
      </c>
      <c r="G26" s="41">
        <v>0.6</v>
      </c>
      <c r="H26" s="40">
        <v>51</v>
      </c>
      <c r="I26" s="12">
        <v>5</v>
      </c>
      <c r="J26" s="165"/>
      <c r="K26" s="166"/>
      <c r="L26" s="165">
        <v>880</v>
      </c>
      <c r="M26" s="166"/>
      <c r="N26" s="165"/>
      <c r="O26" s="166"/>
      <c r="P26" s="165"/>
      <c r="Q26" s="166"/>
      <c r="R26" s="59"/>
      <c r="S26" s="14" t="s">
        <v>20</v>
      </c>
      <c r="T26" s="42"/>
      <c r="U26" s="177"/>
      <c r="V26" s="178"/>
      <c r="W26" s="179"/>
    </row>
    <row r="27" spans="1:23" ht="14.55" customHeight="1" x14ac:dyDescent="0.3">
      <c r="A27" s="181"/>
      <c r="B27" s="5"/>
      <c r="C27" s="5"/>
      <c r="D27" s="4">
        <v>250043</v>
      </c>
      <c r="E27" s="13" t="s">
        <v>247</v>
      </c>
      <c r="F27" s="40">
        <v>304</v>
      </c>
      <c r="G27" s="41">
        <v>0.6</v>
      </c>
      <c r="H27" s="40">
        <v>543</v>
      </c>
      <c r="I27" s="12">
        <v>5</v>
      </c>
      <c r="J27" s="165"/>
      <c r="K27" s="166"/>
      <c r="L27" s="165">
        <v>300</v>
      </c>
      <c r="M27" s="166"/>
      <c r="N27" s="165"/>
      <c r="O27" s="166"/>
      <c r="P27" s="165"/>
      <c r="Q27" s="166"/>
      <c r="R27" s="59"/>
      <c r="S27" s="14" t="s">
        <v>20</v>
      </c>
      <c r="T27" s="42"/>
      <c r="U27" s="177"/>
      <c r="V27" s="178"/>
      <c r="W27" s="179"/>
    </row>
    <row r="28" spans="1:23" ht="14.55" customHeight="1" x14ac:dyDescent="0.3">
      <c r="A28" s="182"/>
      <c r="B28" s="19"/>
      <c r="C28" s="19"/>
      <c r="D28" s="20"/>
      <c r="E28" s="170" t="s">
        <v>0</v>
      </c>
      <c r="F28" s="171"/>
      <c r="G28" s="171"/>
      <c r="H28" s="171"/>
      <c r="I28" s="172"/>
      <c r="J28" s="173">
        <f>SUM(J26:K27)</f>
        <v>0</v>
      </c>
      <c r="K28" s="174"/>
      <c r="L28" s="173">
        <f>SUM(L26:M27)</f>
        <v>1180</v>
      </c>
      <c r="M28" s="174"/>
      <c r="N28" s="173">
        <f>SUM(N26:O27)</f>
        <v>0</v>
      </c>
      <c r="O28" s="174"/>
      <c r="P28" s="173">
        <f>SUM(P26:Q27)</f>
        <v>0</v>
      </c>
      <c r="Q28" s="174"/>
      <c r="R28" s="23">
        <f>SUM(R26:R27)</f>
        <v>0</v>
      </c>
      <c r="S28" s="24" t="s">
        <v>20</v>
      </c>
      <c r="T28" s="19"/>
      <c r="U28" s="177"/>
      <c r="V28" s="178"/>
      <c r="W28" s="179"/>
    </row>
    <row r="29" spans="1:23" ht="14.55" customHeight="1" x14ac:dyDescent="0.3">
      <c r="A29" s="163" t="s">
        <v>34</v>
      </c>
      <c r="B29" s="5">
        <v>0.33333333333333331</v>
      </c>
      <c r="C29" s="5"/>
      <c r="D29" s="4" t="s">
        <v>248</v>
      </c>
      <c r="E29" s="12" t="s">
        <v>249</v>
      </c>
      <c r="F29" s="40">
        <v>304</v>
      </c>
      <c r="G29" s="41">
        <v>0.9</v>
      </c>
      <c r="H29" s="40" t="s">
        <v>250</v>
      </c>
      <c r="I29" s="12">
        <v>7</v>
      </c>
      <c r="J29" s="165">
        <v>30</v>
      </c>
      <c r="K29" s="166"/>
      <c r="L29" s="165"/>
      <c r="M29" s="166"/>
      <c r="N29" s="165"/>
      <c r="O29" s="166"/>
      <c r="P29" s="165"/>
      <c r="Q29" s="166"/>
      <c r="R29" s="59">
        <v>45</v>
      </c>
      <c r="S29" s="14" t="s">
        <v>20</v>
      </c>
      <c r="T29" s="42" t="s">
        <v>93</v>
      </c>
      <c r="U29" s="177"/>
      <c r="V29" s="178"/>
      <c r="W29" s="179"/>
    </row>
    <row r="30" spans="1:23" ht="14.55" customHeight="1" x14ac:dyDescent="0.3">
      <c r="A30" s="163"/>
      <c r="B30" s="5"/>
      <c r="C30" s="5"/>
      <c r="D30" s="4" t="s">
        <v>248</v>
      </c>
      <c r="E30" s="12" t="s">
        <v>251</v>
      </c>
      <c r="F30" s="40">
        <v>304</v>
      </c>
      <c r="G30" s="41">
        <v>0.9</v>
      </c>
      <c r="H30" s="40" t="s">
        <v>250</v>
      </c>
      <c r="I30" s="12">
        <v>7</v>
      </c>
      <c r="J30" s="165">
        <v>30</v>
      </c>
      <c r="K30" s="166"/>
      <c r="L30" s="165"/>
      <c r="M30" s="166"/>
      <c r="N30" s="165"/>
      <c r="O30" s="166"/>
      <c r="P30" s="165"/>
      <c r="Q30" s="166"/>
      <c r="R30" s="59">
        <v>45</v>
      </c>
      <c r="S30" s="14" t="s">
        <v>20</v>
      </c>
      <c r="T30" s="42" t="s">
        <v>93</v>
      </c>
      <c r="U30" s="177"/>
      <c r="V30" s="178"/>
      <c r="W30" s="179"/>
    </row>
    <row r="31" spans="1:23" ht="14.55" customHeight="1" x14ac:dyDescent="0.3">
      <c r="A31" s="163"/>
      <c r="B31" s="5"/>
      <c r="C31" s="5">
        <v>0.70833333333333337</v>
      </c>
      <c r="D31" s="4" t="s">
        <v>248</v>
      </c>
      <c r="E31" s="12" t="s">
        <v>252</v>
      </c>
      <c r="F31" s="40">
        <v>304</v>
      </c>
      <c r="G31" s="41">
        <v>0.9</v>
      </c>
      <c r="H31" s="40" t="s">
        <v>250</v>
      </c>
      <c r="I31" s="12">
        <v>7</v>
      </c>
      <c r="J31" s="165">
        <v>30</v>
      </c>
      <c r="K31" s="166"/>
      <c r="L31" s="165"/>
      <c r="M31" s="166"/>
      <c r="N31" s="165"/>
      <c r="O31" s="166"/>
      <c r="P31" s="165"/>
      <c r="Q31" s="166"/>
      <c r="R31" s="59">
        <v>45</v>
      </c>
      <c r="S31" s="14" t="s">
        <v>20</v>
      </c>
      <c r="T31" s="42" t="s">
        <v>93</v>
      </c>
      <c r="U31" s="177"/>
      <c r="V31" s="178"/>
      <c r="W31" s="179"/>
    </row>
    <row r="32" spans="1:23" ht="14.55" customHeight="1" x14ac:dyDescent="0.3">
      <c r="A32" s="164"/>
      <c r="B32" s="19"/>
      <c r="C32" s="19"/>
      <c r="D32" s="20"/>
      <c r="E32" s="170" t="s">
        <v>0</v>
      </c>
      <c r="F32" s="171"/>
      <c r="G32" s="171"/>
      <c r="H32" s="171"/>
      <c r="I32" s="172"/>
      <c r="J32" s="173">
        <f>SUM(J29:K31)</f>
        <v>90</v>
      </c>
      <c r="K32" s="174"/>
      <c r="L32" s="173">
        <f>SUM(L29:M31)</f>
        <v>0</v>
      </c>
      <c r="M32" s="174"/>
      <c r="N32" s="173">
        <f>SUM(N29:O31)</f>
        <v>0</v>
      </c>
      <c r="O32" s="174"/>
      <c r="P32" s="173">
        <f>SUM(P29:Q31)</f>
        <v>0</v>
      </c>
      <c r="Q32" s="174"/>
      <c r="R32" s="23">
        <f>SUM(R29:R31)</f>
        <v>135</v>
      </c>
      <c r="S32" s="24" t="s">
        <v>20</v>
      </c>
      <c r="T32" s="19"/>
      <c r="U32" s="177"/>
      <c r="V32" s="178"/>
      <c r="W32" s="179"/>
    </row>
    <row r="33" spans="1:23" ht="14.55" customHeight="1" x14ac:dyDescent="0.3">
      <c r="A33" s="163" t="s">
        <v>35</v>
      </c>
      <c r="B33" s="5">
        <v>0.33333333333333331</v>
      </c>
      <c r="C33" s="5">
        <v>0.70833333333333337</v>
      </c>
      <c r="D33" s="4">
        <v>100925</v>
      </c>
      <c r="E33" s="12" t="s">
        <v>253</v>
      </c>
      <c r="F33" s="40">
        <v>304</v>
      </c>
      <c r="G33" s="41">
        <v>0.9</v>
      </c>
      <c r="H33" s="40">
        <v>395</v>
      </c>
      <c r="I33" s="12"/>
      <c r="J33" s="165"/>
      <c r="K33" s="166"/>
      <c r="L33" s="165"/>
      <c r="M33" s="166"/>
      <c r="N33" s="165">
        <v>1700</v>
      </c>
      <c r="O33" s="166"/>
      <c r="P33" s="165"/>
      <c r="Q33" s="166"/>
      <c r="R33" s="59">
        <v>40</v>
      </c>
      <c r="S33" s="14" t="s">
        <v>20</v>
      </c>
      <c r="T33" s="42" t="s">
        <v>254</v>
      </c>
      <c r="U33" s="177"/>
      <c r="V33" s="178"/>
      <c r="W33" s="179"/>
    </row>
    <row r="34" spans="1:23" ht="14.55" customHeight="1" x14ac:dyDescent="0.3">
      <c r="A34" s="164"/>
      <c r="B34" s="19"/>
      <c r="C34" s="19"/>
      <c r="D34" s="20"/>
      <c r="E34" s="170" t="s">
        <v>0</v>
      </c>
      <c r="F34" s="171"/>
      <c r="G34" s="171"/>
      <c r="H34" s="171"/>
      <c r="I34" s="172"/>
      <c r="J34" s="173">
        <f>SUM(J33:K33)</f>
        <v>0</v>
      </c>
      <c r="K34" s="174"/>
      <c r="L34" s="173">
        <f>SUM(L33:M33)</f>
        <v>0</v>
      </c>
      <c r="M34" s="174"/>
      <c r="N34" s="173">
        <f>SUM(N33:O33)</f>
        <v>1700</v>
      </c>
      <c r="O34" s="174"/>
      <c r="P34" s="173">
        <f>SUM(P33:Q33)</f>
        <v>0</v>
      </c>
      <c r="Q34" s="174"/>
      <c r="R34" s="23">
        <f>SUM(R33:R33)</f>
        <v>40</v>
      </c>
      <c r="S34" s="24" t="s">
        <v>20</v>
      </c>
      <c r="T34" s="19"/>
      <c r="U34" s="177"/>
      <c r="V34" s="178"/>
      <c r="W34" s="179"/>
    </row>
    <row r="35" spans="1:23" ht="14.55" customHeight="1" x14ac:dyDescent="0.3">
      <c r="A35" s="27"/>
      <c r="B35" s="27"/>
      <c r="C35" s="27"/>
      <c r="D35" s="27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27"/>
      <c r="S35" s="27"/>
      <c r="T35" s="39"/>
      <c r="U35" s="39"/>
      <c r="V35" s="39"/>
      <c r="W35" s="39"/>
    </row>
    <row r="36" spans="1:23" x14ac:dyDescent="0.3">
      <c r="E36" s="170" t="s">
        <v>31</v>
      </c>
      <c r="F36" s="171"/>
      <c r="G36" s="171"/>
      <c r="H36" s="171"/>
      <c r="I36" s="172"/>
      <c r="J36" s="175" t="s">
        <v>7</v>
      </c>
      <c r="K36" s="176"/>
      <c r="L36" s="175" t="s">
        <v>8</v>
      </c>
      <c r="M36" s="176"/>
      <c r="N36" s="175" t="s">
        <v>9</v>
      </c>
      <c r="O36" s="176"/>
      <c r="P36" s="175" t="s">
        <v>16</v>
      </c>
      <c r="Q36" s="176"/>
    </row>
    <row r="37" spans="1:23" s="2" customFormat="1" x14ac:dyDescent="0.3">
      <c r="E37" s="15"/>
      <c r="F37" s="15"/>
      <c r="G37" s="15"/>
      <c r="H37" s="15"/>
      <c r="I37" s="15"/>
      <c r="J37" s="30">
        <f>J28+J32+J34</f>
        <v>90</v>
      </c>
      <c r="K37" s="31" t="s">
        <v>17</v>
      </c>
      <c r="L37" s="30">
        <f>L28+L32+L34</f>
        <v>1180</v>
      </c>
      <c r="M37" s="31" t="s">
        <v>17</v>
      </c>
      <c r="N37" s="30">
        <f>N28+N32+N34</f>
        <v>1700</v>
      </c>
      <c r="O37" s="31" t="s">
        <v>17</v>
      </c>
      <c r="P37" s="30">
        <f>P28+P32+P34</f>
        <v>0</v>
      </c>
      <c r="Q37" s="34" t="s">
        <v>17</v>
      </c>
    </row>
    <row r="38" spans="1:23" ht="24.45" customHeight="1" x14ac:dyDescent="0.3">
      <c r="E38" s="28"/>
      <c r="F38" s="28"/>
      <c r="G38" s="28"/>
      <c r="H38" s="28"/>
      <c r="I38" s="28"/>
      <c r="J38" s="167">
        <f>J37+L37+N37+P37</f>
        <v>2970</v>
      </c>
      <c r="K38" s="168"/>
      <c r="L38" s="168"/>
      <c r="M38" s="168"/>
      <c r="N38" s="168"/>
      <c r="O38" s="168"/>
      <c r="P38" s="168"/>
      <c r="Q38" s="169"/>
    </row>
    <row r="39" spans="1:23" ht="30" customHeight="1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</row>
    <row r="40" spans="1:23" s="37" customFormat="1" ht="19.95" customHeight="1" x14ac:dyDescent="0.4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214" t="s">
        <v>14</v>
      </c>
      <c r="R40" s="215"/>
      <c r="S40" s="216"/>
      <c r="T40" s="184">
        <f>T3</f>
        <v>45925</v>
      </c>
      <c r="U40" s="185"/>
      <c r="V40" s="185"/>
      <c r="W40" s="186"/>
    </row>
    <row r="41" spans="1:23" s="16" customFormat="1" ht="30" customHeight="1" x14ac:dyDescent="0.3">
      <c r="A41" s="187" t="s">
        <v>26</v>
      </c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9"/>
      <c r="Q41" s="189"/>
      <c r="R41" s="189"/>
      <c r="S41" s="189"/>
      <c r="T41" s="188"/>
      <c r="U41" s="188"/>
      <c r="V41" s="188"/>
      <c r="W41" s="190"/>
    </row>
    <row r="42" spans="1:23" s="26" customFormat="1" ht="13.8" x14ac:dyDescent="0.3">
      <c r="A42" s="191" t="s">
        <v>1</v>
      </c>
      <c r="B42" s="192" t="s">
        <v>2</v>
      </c>
      <c r="C42" s="192" t="s">
        <v>3</v>
      </c>
      <c r="D42" s="192" t="s">
        <v>4</v>
      </c>
      <c r="E42" s="193" t="s">
        <v>5</v>
      </c>
      <c r="F42" s="197"/>
      <c r="G42" s="197"/>
      <c r="H42" s="197"/>
      <c r="I42" s="198"/>
      <c r="J42" s="193" t="s">
        <v>6</v>
      </c>
      <c r="K42" s="197"/>
      <c r="L42" s="197"/>
      <c r="M42" s="197"/>
      <c r="N42" s="197"/>
      <c r="O42" s="197"/>
      <c r="P42" s="197"/>
      <c r="Q42" s="198"/>
      <c r="R42" s="193" t="s">
        <v>10</v>
      </c>
      <c r="S42" s="198"/>
      <c r="T42" s="191" t="s">
        <v>11</v>
      </c>
      <c r="U42" s="191" t="s">
        <v>12</v>
      </c>
      <c r="V42" s="191"/>
      <c r="W42" s="191"/>
    </row>
    <row r="43" spans="1:23" s="26" customFormat="1" ht="13.8" x14ac:dyDescent="0.3">
      <c r="A43" s="191"/>
      <c r="B43" s="192"/>
      <c r="C43" s="192"/>
      <c r="D43" s="192"/>
      <c r="E43" s="194"/>
      <c r="F43" s="217"/>
      <c r="G43" s="217"/>
      <c r="H43" s="217"/>
      <c r="I43" s="199"/>
      <c r="J43" s="200" t="s">
        <v>7</v>
      </c>
      <c r="K43" s="201"/>
      <c r="L43" s="200" t="s">
        <v>8</v>
      </c>
      <c r="M43" s="201"/>
      <c r="N43" s="200" t="s">
        <v>9</v>
      </c>
      <c r="O43" s="201"/>
      <c r="P43" s="200" t="s">
        <v>16</v>
      </c>
      <c r="Q43" s="201"/>
      <c r="R43" s="194"/>
      <c r="S43" s="199"/>
      <c r="T43" s="191"/>
      <c r="U43" s="191"/>
      <c r="V43" s="191"/>
      <c r="W43" s="191"/>
    </row>
    <row r="44" spans="1:23" x14ac:dyDescent="0.3">
      <c r="A44" s="180" t="s">
        <v>13</v>
      </c>
      <c r="B44" s="5">
        <v>0.33333333333333331</v>
      </c>
      <c r="C44" s="5"/>
      <c r="D44" s="4">
        <v>210825</v>
      </c>
      <c r="E44" s="211" t="s">
        <v>255</v>
      </c>
      <c r="F44" s="212"/>
      <c r="G44" s="212"/>
      <c r="H44" s="212"/>
      <c r="I44" s="213"/>
      <c r="J44" s="165"/>
      <c r="K44" s="166"/>
      <c r="L44" s="165">
        <v>1324</v>
      </c>
      <c r="M44" s="166"/>
      <c r="N44" s="165"/>
      <c r="O44" s="166"/>
      <c r="P44" s="165"/>
      <c r="Q44" s="166"/>
      <c r="R44" s="59"/>
      <c r="S44" s="6" t="s">
        <v>20</v>
      </c>
      <c r="T44" s="3"/>
      <c r="U44" s="202" t="s">
        <v>259</v>
      </c>
      <c r="V44" s="203"/>
      <c r="W44" s="204"/>
    </row>
    <row r="45" spans="1:23" x14ac:dyDescent="0.3">
      <c r="A45" s="163"/>
      <c r="B45" s="5"/>
      <c r="C45" s="5"/>
      <c r="D45" s="4">
        <v>210825</v>
      </c>
      <c r="E45" s="211" t="s">
        <v>256</v>
      </c>
      <c r="F45" s="212"/>
      <c r="G45" s="212"/>
      <c r="H45" s="212"/>
      <c r="I45" s="213"/>
      <c r="J45" s="165"/>
      <c r="K45" s="166"/>
      <c r="L45" s="165">
        <v>2137</v>
      </c>
      <c r="M45" s="166"/>
      <c r="N45" s="165"/>
      <c r="O45" s="166"/>
      <c r="P45" s="165"/>
      <c r="Q45" s="166"/>
      <c r="R45" s="59"/>
      <c r="S45" s="6" t="s">
        <v>20</v>
      </c>
      <c r="T45" s="3"/>
      <c r="U45" s="205"/>
      <c r="V45" s="206"/>
      <c r="W45" s="207"/>
    </row>
    <row r="46" spans="1:23" x14ac:dyDescent="0.3">
      <c r="A46" s="163"/>
      <c r="B46" s="5"/>
      <c r="C46" s="5"/>
      <c r="D46" s="4" t="s">
        <v>248</v>
      </c>
      <c r="E46" s="211" t="s">
        <v>252</v>
      </c>
      <c r="F46" s="212"/>
      <c r="G46" s="212"/>
      <c r="H46" s="212"/>
      <c r="I46" s="213"/>
      <c r="J46" s="165"/>
      <c r="K46" s="166"/>
      <c r="L46" s="165">
        <v>10</v>
      </c>
      <c r="M46" s="166"/>
      <c r="N46" s="165"/>
      <c r="O46" s="166"/>
      <c r="P46" s="165"/>
      <c r="Q46" s="166"/>
      <c r="R46" s="59"/>
      <c r="S46" s="6" t="s">
        <v>20</v>
      </c>
      <c r="T46" s="3"/>
      <c r="U46" s="205"/>
      <c r="V46" s="206"/>
      <c r="W46" s="207"/>
    </row>
    <row r="47" spans="1:23" x14ac:dyDescent="0.3">
      <c r="A47" s="163"/>
      <c r="B47" s="5"/>
      <c r="C47" s="5"/>
      <c r="D47" s="4" t="s">
        <v>248</v>
      </c>
      <c r="E47" s="211" t="s">
        <v>251</v>
      </c>
      <c r="F47" s="212"/>
      <c r="G47" s="212"/>
      <c r="H47" s="212"/>
      <c r="I47" s="213"/>
      <c r="J47" s="165"/>
      <c r="K47" s="166"/>
      <c r="L47" s="165">
        <v>10</v>
      </c>
      <c r="M47" s="166"/>
      <c r="N47" s="165"/>
      <c r="O47" s="166"/>
      <c r="P47" s="165"/>
      <c r="Q47" s="166"/>
      <c r="R47" s="59"/>
      <c r="S47" s="6" t="s">
        <v>20</v>
      </c>
      <c r="T47" s="3"/>
      <c r="U47" s="205"/>
      <c r="V47" s="206"/>
      <c r="W47" s="207"/>
    </row>
    <row r="48" spans="1:23" x14ac:dyDescent="0.3">
      <c r="A48" s="163"/>
      <c r="B48" s="5"/>
      <c r="C48" s="5"/>
      <c r="D48" s="4" t="s">
        <v>248</v>
      </c>
      <c r="E48" s="211" t="s">
        <v>249</v>
      </c>
      <c r="F48" s="212"/>
      <c r="G48" s="212"/>
      <c r="H48" s="212"/>
      <c r="I48" s="213"/>
      <c r="J48" s="165"/>
      <c r="K48" s="166"/>
      <c r="L48" s="165">
        <v>10</v>
      </c>
      <c r="M48" s="166"/>
      <c r="N48" s="165"/>
      <c r="O48" s="166"/>
      <c r="P48" s="165"/>
      <c r="Q48" s="166"/>
      <c r="R48" s="59"/>
      <c r="S48" s="6" t="s">
        <v>20</v>
      </c>
      <c r="T48" s="3"/>
      <c r="U48" s="205"/>
      <c r="V48" s="206"/>
      <c r="W48" s="207"/>
    </row>
    <row r="49" spans="1:23" x14ac:dyDescent="0.3">
      <c r="A49" s="163"/>
      <c r="B49" s="5"/>
      <c r="C49" s="5"/>
      <c r="D49" s="4" t="s">
        <v>248</v>
      </c>
      <c r="E49" s="211" t="s">
        <v>257</v>
      </c>
      <c r="F49" s="212"/>
      <c r="G49" s="212"/>
      <c r="H49" s="212"/>
      <c r="I49" s="213"/>
      <c r="J49" s="165"/>
      <c r="K49" s="166"/>
      <c r="L49" s="165">
        <v>14</v>
      </c>
      <c r="M49" s="166"/>
      <c r="N49" s="165"/>
      <c r="O49" s="166"/>
      <c r="P49" s="165"/>
      <c r="Q49" s="166"/>
      <c r="R49" s="59"/>
      <c r="S49" s="6" t="s">
        <v>20</v>
      </c>
      <c r="T49" s="3"/>
      <c r="U49" s="205"/>
      <c r="V49" s="206"/>
      <c r="W49" s="207"/>
    </row>
    <row r="50" spans="1:23" x14ac:dyDescent="0.3">
      <c r="A50" s="163"/>
      <c r="B50" s="5"/>
      <c r="C50" s="5">
        <v>0.70833333333333337</v>
      </c>
      <c r="D50" s="4" t="s">
        <v>248</v>
      </c>
      <c r="E50" s="211" t="s">
        <v>258</v>
      </c>
      <c r="F50" s="212"/>
      <c r="G50" s="212"/>
      <c r="H50" s="212"/>
      <c r="I50" s="213"/>
      <c r="J50" s="165"/>
      <c r="K50" s="166"/>
      <c r="L50" s="165">
        <v>20</v>
      </c>
      <c r="M50" s="166"/>
      <c r="N50" s="165"/>
      <c r="O50" s="166"/>
      <c r="P50" s="165"/>
      <c r="Q50" s="166"/>
      <c r="R50" s="59"/>
      <c r="S50" s="6" t="s">
        <v>20</v>
      </c>
      <c r="T50" s="3"/>
      <c r="U50" s="205"/>
      <c r="V50" s="206"/>
      <c r="W50" s="207"/>
    </row>
    <row r="51" spans="1:23" x14ac:dyDescent="0.3">
      <c r="A51" s="164"/>
      <c r="B51" s="19"/>
      <c r="C51" s="19"/>
      <c r="D51" s="20"/>
      <c r="E51" s="170" t="s">
        <v>0</v>
      </c>
      <c r="F51" s="171"/>
      <c r="G51" s="171"/>
      <c r="H51" s="171"/>
      <c r="I51" s="172"/>
      <c r="J51" s="173">
        <f>SUM(J44:J50)</f>
        <v>0</v>
      </c>
      <c r="K51" s="174"/>
      <c r="L51" s="173">
        <f>SUM(L44:L50)</f>
        <v>3525</v>
      </c>
      <c r="M51" s="174"/>
      <c r="N51" s="173">
        <f>SUM(N44:N50)</f>
        <v>0</v>
      </c>
      <c r="O51" s="174"/>
      <c r="P51" s="173">
        <f>SUM(P44:P50)</f>
        <v>0</v>
      </c>
      <c r="Q51" s="174"/>
      <c r="R51" s="23">
        <f>SUM(R44:R50)</f>
        <v>0</v>
      </c>
      <c r="S51" s="24" t="s">
        <v>20</v>
      </c>
      <c r="T51" s="19"/>
      <c r="U51" s="208"/>
      <c r="V51" s="209"/>
      <c r="W51" s="210"/>
    </row>
    <row r="52" spans="1:23" x14ac:dyDescent="0.3">
      <c r="A52" s="180" t="s">
        <v>15</v>
      </c>
      <c r="B52" s="5"/>
      <c r="C52" s="5"/>
      <c r="D52" s="4"/>
      <c r="E52" s="211"/>
      <c r="F52" s="212"/>
      <c r="G52" s="212"/>
      <c r="H52" s="212"/>
      <c r="I52" s="213"/>
      <c r="J52" s="165"/>
      <c r="K52" s="166"/>
      <c r="L52" s="165"/>
      <c r="M52" s="166"/>
      <c r="N52" s="165"/>
      <c r="O52" s="166"/>
      <c r="P52" s="165"/>
      <c r="Q52" s="166"/>
      <c r="R52" s="59"/>
      <c r="S52" s="6" t="s">
        <v>20</v>
      </c>
      <c r="T52" s="3"/>
      <c r="U52" s="202"/>
      <c r="V52" s="203"/>
      <c r="W52" s="204"/>
    </row>
    <row r="53" spans="1:23" x14ac:dyDescent="0.3">
      <c r="A53" s="163"/>
      <c r="B53" s="5"/>
      <c r="C53" s="5"/>
      <c r="D53" s="4"/>
      <c r="E53" s="211"/>
      <c r="F53" s="212"/>
      <c r="G53" s="212"/>
      <c r="H53" s="212"/>
      <c r="I53" s="213"/>
      <c r="J53" s="165"/>
      <c r="K53" s="166"/>
      <c r="L53" s="165"/>
      <c r="M53" s="166"/>
      <c r="N53" s="165"/>
      <c r="O53" s="166"/>
      <c r="P53" s="165"/>
      <c r="Q53" s="166"/>
      <c r="R53" s="59"/>
      <c r="S53" s="6" t="s">
        <v>20</v>
      </c>
      <c r="T53" s="3"/>
      <c r="U53" s="205"/>
      <c r="V53" s="206"/>
      <c r="W53" s="207"/>
    </row>
    <row r="54" spans="1:23" x14ac:dyDescent="0.3">
      <c r="A54" s="163"/>
      <c r="B54" s="5"/>
      <c r="C54" s="5"/>
      <c r="D54" s="4"/>
      <c r="E54" s="211"/>
      <c r="F54" s="212"/>
      <c r="G54" s="212"/>
      <c r="H54" s="212"/>
      <c r="I54" s="213"/>
      <c r="J54" s="165"/>
      <c r="K54" s="166"/>
      <c r="L54" s="165"/>
      <c r="M54" s="166"/>
      <c r="N54" s="165"/>
      <c r="O54" s="166"/>
      <c r="P54" s="165"/>
      <c r="Q54" s="166"/>
      <c r="R54" s="59"/>
      <c r="S54" s="6" t="s">
        <v>20</v>
      </c>
      <c r="T54" s="3"/>
      <c r="U54" s="205"/>
      <c r="V54" s="206"/>
      <c r="W54" s="207"/>
    </row>
    <row r="55" spans="1:23" x14ac:dyDescent="0.3">
      <c r="A55" s="164"/>
      <c r="B55" s="19"/>
      <c r="C55" s="19"/>
      <c r="D55" s="20"/>
      <c r="E55" s="170" t="s">
        <v>0</v>
      </c>
      <c r="F55" s="171"/>
      <c r="G55" s="171"/>
      <c r="H55" s="171"/>
      <c r="I55" s="172"/>
      <c r="J55" s="173">
        <f>SUM(J52:J54)</f>
        <v>0</v>
      </c>
      <c r="K55" s="174"/>
      <c r="L55" s="173">
        <f>SUM(L52:L54)</f>
        <v>0</v>
      </c>
      <c r="M55" s="174"/>
      <c r="N55" s="173">
        <f>SUM(N52:N54)</f>
        <v>0</v>
      </c>
      <c r="O55" s="174"/>
      <c r="P55" s="173">
        <f>SUM(P47:P54)</f>
        <v>0</v>
      </c>
      <c r="Q55" s="174"/>
      <c r="R55" s="23">
        <f>SUM(R52:R54)</f>
        <v>0</v>
      </c>
      <c r="S55" s="24" t="s">
        <v>20</v>
      </c>
      <c r="T55" s="7"/>
      <c r="U55" s="208"/>
      <c r="V55" s="209"/>
      <c r="W55" s="210"/>
    </row>
    <row r="56" spans="1:23" x14ac:dyDescent="0.3">
      <c r="A56" s="180" t="s">
        <v>37</v>
      </c>
      <c r="B56" s="5">
        <v>0.33333333333333331</v>
      </c>
      <c r="C56" s="5">
        <v>0.70833333333333337</v>
      </c>
      <c r="D56" s="4"/>
      <c r="E56" s="211" t="s">
        <v>260</v>
      </c>
      <c r="F56" s="212"/>
      <c r="G56" s="212"/>
      <c r="H56" s="212"/>
      <c r="I56" s="213"/>
      <c r="J56" s="165">
        <v>1090</v>
      </c>
      <c r="K56" s="166"/>
      <c r="L56" s="165"/>
      <c r="M56" s="166"/>
      <c r="N56" s="165"/>
      <c r="O56" s="166"/>
      <c r="P56" s="165"/>
      <c r="Q56" s="166"/>
      <c r="R56" s="59"/>
      <c r="S56" s="6" t="s">
        <v>20</v>
      </c>
      <c r="T56" s="3"/>
      <c r="U56" s="202"/>
      <c r="V56" s="203"/>
      <c r="W56" s="204"/>
    </row>
    <row r="57" spans="1:23" x14ac:dyDescent="0.3">
      <c r="A57" s="163"/>
      <c r="B57" s="5"/>
      <c r="C57" s="5"/>
      <c r="D57" s="4"/>
      <c r="E57" s="211"/>
      <c r="F57" s="212"/>
      <c r="G57" s="212"/>
      <c r="H57" s="212"/>
      <c r="I57" s="213"/>
      <c r="J57" s="165"/>
      <c r="K57" s="166"/>
      <c r="L57" s="165"/>
      <c r="M57" s="166"/>
      <c r="N57" s="165"/>
      <c r="O57" s="166"/>
      <c r="P57" s="165"/>
      <c r="Q57" s="166"/>
      <c r="R57" s="59"/>
      <c r="S57" s="6" t="s">
        <v>20</v>
      </c>
      <c r="T57" s="3"/>
      <c r="U57" s="205"/>
      <c r="V57" s="206"/>
      <c r="W57" s="207"/>
    </row>
    <row r="58" spans="1:23" x14ac:dyDescent="0.3">
      <c r="A58" s="163"/>
      <c r="B58" s="5"/>
      <c r="C58" s="5"/>
      <c r="D58" s="4"/>
      <c r="E58" s="211"/>
      <c r="F58" s="212"/>
      <c r="G58" s="212"/>
      <c r="H58" s="212"/>
      <c r="I58" s="213"/>
      <c r="J58" s="165"/>
      <c r="K58" s="166"/>
      <c r="L58" s="165"/>
      <c r="M58" s="166"/>
      <c r="N58" s="165"/>
      <c r="O58" s="166"/>
      <c r="P58" s="165"/>
      <c r="Q58" s="166"/>
      <c r="R58" s="59"/>
      <c r="S58" s="6" t="s">
        <v>20</v>
      </c>
      <c r="T58" s="3"/>
      <c r="U58" s="205"/>
      <c r="V58" s="206"/>
      <c r="W58" s="207"/>
    </row>
    <row r="59" spans="1:23" x14ac:dyDescent="0.3">
      <c r="A59" s="164"/>
      <c r="B59" s="19"/>
      <c r="C59" s="19"/>
      <c r="D59" s="20"/>
      <c r="E59" s="170" t="s">
        <v>0</v>
      </c>
      <c r="F59" s="171"/>
      <c r="G59" s="171"/>
      <c r="H59" s="171"/>
      <c r="I59" s="172"/>
      <c r="J59" s="173">
        <f>SUM(J56:J58)</f>
        <v>1090</v>
      </c>
      <c r="K59" s="174"/>
      <c r="L59" s="173">
        <f>SUM(L56:L58)</f>
        <v>0</v>
      </c>
      <c r="M59" s="174"/>
      <c r="N59" s="173">
        <f>SUM(N56:N58)</f>
        <v>0</v>
      </c>
      <c r="O59" s="174"/>
      <c r="P59" s="173">
        <f>SUM(P56:P58)</f>
        <v>0</v>
      </c>
      <c r="Q59" s="174"/>
      <c r="R59" s="23">
        <f>SUM(R56:R58)</f>
        <v>0</v>
      </c>
      <c r="S59" s="24" t="s">
        <v>20</v>
      </c>
      <c r="T59" s="19"/>
      <c r="U59" s="208"/>
      <c r="V59" s="209"/>
      <c r="W59" s="210"/>
    </row>
    <row r="60" spans="1:23" x14ac:dyDescent="0.3">
      <c r="A60" s="180" t="s">
        <v>36</v>
      </c>
      <c r="B60" s="5"/>
      <c r="C60" s="5"/>
      <c r="D60" s="4"/>
      <c r="E60" s="211"/>
      <c r="F60" s="212"/>
      <c r="G60" s="212"/>
      <c r="H60" s="212"/>
      <c r="I60" s="213"/>
      <c r="J60" s="165"/>
      <c r="K60" s="166"/>
      <c r="L60" s="165"/>
      <c r="M60" s="166"/>
      <c r="N60" s="165"/>
      <c r="O60" s="166"/>
      <c r="P60" s="165"/>
      <c r="Q60" s="166"/>
      <c r="R60" s="59"/>
      <c r="S60" s="6" t="s">
        <v>20</v>
      </c>
      <c r="T60" s="3"/>
      <c r="U60" s="202"/>
      <c r="V60" s="203"/>
      <c r="W60" s="204"/>
    </row>
    <row r="61" spans="1:23" x14ac:dyDescent="0.3">
      <c r="A61" s="163"/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59"/>
      <c r="S61" s="6" t="s">
        <v>20</v>
      </c>
      <c r="T61" s="3"/>
      <c r="U61" s="205"/>
      <c r="V61" s="206"/>
      <c r="W61" s="207"/>
    </row>
    <row r="62" spans="1:23" x14ac:dyDescent="0.3">
      <c r="A62" s="163"/>
      <c r="B62" s="5"/>
      <c r="C62" s="5"/>
      <c r="D62" s="4"/>
      <c r="E62" s="211"/>
      <c r="F62" s="212"/>
      <c r="G62" s="212"/>
      <c r="H62" s="212"/>
      <c r="I62" s="213"/>
      <c r="J62" s="165"/>
      <c r="K62" s="166"/>
      <c r="L62" s="165"/>
      <c r="M62" s="166"/>
      <c r="N62" s="165"/>
      <c r="O62" s="166"/>
      <c r="P62" s="165"/>
      <c r="Q62" s="166"/>
      <c r="R62" s="59"/>
      <c r="S62" s="6" t="s">
        <v>20</v>
      </c>
      <c r="T62" s="3"/>
      <c r="U62" s="205"/>
      <c r="V62" s="206"/>
      <c r="W62" s="207"/>
    </row>
    <row r="63" spans="1:23" x14ac:dyDescent="0.3">
      <c r="A63" s="164"/>
      <c r="B63" s="19"/>
      <c r="C63" s="19"/>
      <c r="D63" s="20"/>
      <c r="E63" s="170" t="s">
        <v>0</v>
      </c>
      <c r="F63" s="171"/>
      <c r="G63" s="171"/>
      <c r="H63" s="171"/>
      <c r="I63" s="172"/>
      <c r="J63" s="173">
        <f>SUM(J60:J62)</f>
        <v>0</v>
      </c>
      <c r="K63" s="174"/>
      <c r="L63" s="173">
        <f>SUM(L60:L62)</f>
        <v>0</v>
      </c>
      <c r="M63" s="174"/>
      <c r="N63" s="173">
        <f>SUM(N60:N62)</f>
        <v>0</v>
      </c>
      <c r="O63" s="174"/>
      <c r="P63" s="173">
        <f>SUM(P60:P62)</f>
        <v>0</v>
      </c>
      <c r="Q63" s="174"/>
      <c r="R63" s="23">
        <f>SUM(R60:R62)</f>
        <v>0</v>
      </c>
      <c r="S63" s="24" t="s">
        <v>20</v>
      </c>
      <c r="T63" s="19"/>
      <c r="U63" s="208"/>
      <c r="V63" s="209"/>
      <c r="W63" s="210"/>
    </row>
    <row r="64" spans="1:23" x14ac:dyDescent="0.3">
      <c r="E64" s="28"/>
      <c r="F64" s="28"/>
      <c r="G64" s="28"/>
      <c r="H64" s="28"/>
      <c r="I64" s="28"/>
      <c r="J64" s="29"/>
      <c r="K64" s="29"/>
      <c r="L64" s="29"/>
      <c r="M64" s="29"/>
      <c r="N64" s="29"/>
      <c r="O64" s="29"/>
      <c r="P64" s="29"/>
      <c r="Q64" s="29"/>
    </row>
    <row r="65" spans="1:23" x14ac:dyDescent="0.3">
      <c r="E65" s="170" t="s">
        <v>28</v>
      </c>
      <c r="F65" s="171"/>
      <c r="G65" s="171"/>
      <c r="H65" s="171"/>
      <c r="I65" s="172"/>
      <c r="J65" s="175" t="s">
        <v>7</v>
      </c>
      <c r="K65" s="176"/>
      <c r="L65" s="175" t="s">
        <v>8</v>
      </c>
      <c r="M65" s="176"/>
      <c r="N65" s="175" t="s">
        <v>9</v>
      </c>
      <c r="O65" s="176"/>
      <c r="P65" s="175" t="s">
        <v>16</v>
      </c>
      <c r="Q65" s="176"/>
    </row>
    <row r="66" spans="1:23" s="2" customFormat="1" x14ac:dyDescent="0.3">
      <c r="E66" s="15"/>
      <c r="F66" s="15"/>
      <c r="G66" s="15"/>
      <c r="H66" s="15"/>
      <c r="I66" s="15"/>
      <c r="J66" s="30">
        <f>J51+J55</f>
        <v>0</v>
      </c>
      <c r="K66" s="31" t="s">
        <v>17</v>
      </c>
      <c r="L66" s="32">
        <f>L51+L55</f>
        <v>3525</v>
      </c>
      <c r="M66" s="31" t="s">
        <v>17</v>
      </c>
      <c r="N66" s="32">
        <f>N51+N55</f>
        <v>0</v>
      </c>
      <c r="O66" s="31" t="s">
        <v>17</v>
      </c>
      <c r="P66" s="33">
        <f>P59+P63</f>
        <v>0</v>
      </c>
      <c r="Q66" s="34" t="s">
        <v>17</v>
      </c>
    </row>
    <row r="67" spans="1:23" s="8" customFormat="1" ht="24.45" customHeight="1" x14ac:dyDescent="0.3">
      <c r="A67"/>
      <c r="B67"/>
      <c r="C67"/>
      <c r="E67" s="28"/>
      <c r="F67" s="28"/>
      <c r="G67" s="28"/>
      <c r="H67" s="28"/>
      <c r="I67" s="28"/>
      <c r="J67" s="167">
        <f>J66+L66+N66+P66</f>
        <v>3525</v>
      </c>
      <c r="K67" s="168"/>
      <c r="L67" s="168"/>
      <c r="M67" s="168"/>
      <c r="N67" s="168"/>
      <c r="O67" s="168"/>
      <c r="P67" s="168"/>
      <c r="Q67" s="169"/>
      <c r="S67"/>
      <c r="T67"/>
      <c r="U67"/>
      <c r="V67"/>
      <c r="W67"/>
    </row>
  </sheetData>
  <mergeCells count="266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U7:W16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A7:A16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B16:I16"/>
    <mergeCell ref="E18:I18"/>
    <mergeCell ref="J18:K18"/>
    <mergeCell ref="L18:M18"/>
    <mergeCell ref="N18:O18"/>
    <mergeCell ref="P18:Q18"/>
    <mergeCell ref="J15:K15"/>
    <mergeCell ref="L15:M15"/>
    <mergeCell ref="N15:O15"/>
    <mergeCell ref="P15:Q15"/>
    <mergeCell ref="G24:G25"/>
    <mergeCell ref="H24:H25"/>
    <mergeCell ref="I24:I25"/>
    <mergeCell ref="J24:Q24"/>
    <mergeCell ref="R24:S25"/>
    <mergeCell ref="T24:T25"/>
    <mergeCell ref="J20:Q20"/>
    <mergeCell ref="Q22:S22"/>
    <mergeCell ref="T22:W22"/>
    <mergeCell ref="A23:W23"/>
    <mergeCell ref="A24:A25"/>
    <mergeCell ref="B24:B25"/>
    <mergeCell ref="C24:C25"/>
    <mergeCell ref="D24:D25"/>
    <mergeCell ref="E24:E25"/>
    <mergeCell ref="F24:F25"/>
    <mergeCell ref="U26:W28"/>
    <mergeCell ref="J27:K27"/>
    <mergeCell ref="L27:M27"/>
    <mergeCell ref="N27:O27"/>
    <mergeCell ref="P27:Q27"/>
    <mergeCell ref="U24:W25"/>
    <mergeCell ref="J25:K25"/>
    <mergeCell ref="L25:M25"/>
    <mergeCell ref="N25:O25"/>
    <mergeCell ref="P25:Q25"/>
    <mergeCell ref="J26:K26"/>
    <mergeCell ref="L26:M26"/>
    <mergeCell ref="N26:O26"/>
    <mergeCell ref="P26:Q26"/>
    <mergeCell ref="E28:I28"/>
    <mergeCell ref="J28:K28"/>
    <mergeCell ref="L28:M28"/>
    <mergeCell ref="N28:O28"/>
    <mergeCell ref="P28:Q28"/>
    <mergeCell ref="A29:A32"/>
    <mergeCell ref="J29:K29"/>
    <mergeCell ref="L29:M29"/>
    <mergeCell ref="N29:O29"/>
    <mergeCell ref="P29:Q29"/>
    <mergeCell ref="A26:A28"/>
    <mergeCell ref="E32:I32"/>
    <mergeCell ref="U29:W32"/>
    <mergeCell ref="J30:K30"/>
    <mergeCell ref="L30:M30"/>
    <mergeCell ref="N30:O30"/>
    <mergeCell ref="P30:Q30"/>
    <mergeCell ref="J31:K31"/>
    <mergeCell ref="L31:M31"/>
    <mergeCell ref="N31:O31"/>
    <mergeCell ref="P31:Q31"/>
    <mergeCell ref="J32:K32"/>
    <mergeCell ref="L32:M32"/>
    <mergeCell ref="N32:O32"/>
    <mergeCell ref="P32:Q32"/>
    <mergeCell ref="A33:A34"/>
    <mergeCell ref="J33:K33"/>
    <mergeCell ref="L33:M33"/>
    <mergeCell ref="N33:O33"/>
    <mergeCell ref="P33:Q33"/>
    <mergeCell ref="E34:I34"/>
    <mergeCell ref="J34:K34"/>
    <mergeCell ref="L34:M34"/>
    <mergeCell ref="N34:O34"/>
    <mergeCell ref="P34:Q34"/>
    <mergeCell ref="E36:I36"/>
    <mergeCell ref="J36:K36"/>
    <mergeCell ref="L36:M36"/>
    <mergeCell ref="N36:O36"/>
    <mergeCell ref="P36:Q36"/>
    <mergeCell ref="R42:S43"/>
    <mergeCell ref="T42:T43"/>
    <mergeCell ref="U42:W43"/>
    <mergeCell ref="J43:K43"/>
    <mergeCell ref="L43:M43"/>
    <mergeCell ref="N43:O43"/>
    <mergeCell ref="P43:Q43"/>
    <mergeCell ref="J38:Q38"/>
    <mergeCell ref="Q40:S40"/>
    <mergeCell ref="T40:W40"/>
    <mergeCell ref="A41:W41"/>
    <mergeCell ref="A42:A43"/>
    <mergeCell ref="B42:B43"/>
    <mergeCell ref="C42:C43"/>
    <mergeCell ref="D42:D43"/>
    <mergeCell ref="E42:I43"/>
    <mergeCell ref="J42:Q42"/>
    <mergeCell ref="U33:W34"/>
    <mergeCell ref="U44:W51"/>
    <mergeCell ref="E45:I45"/>
    <mergeCell ref="J45:K45"/>
    <mergeCell ref="L45:M45"/>
    <mergeCell ref="N45:O45"/>
    <mergeCell ref="P45:Q45"/>
    <mergeCell ref="E46:I46"/>
    <mergeCell ref="J46:K46"/>
    <mergeCell ref="L46:M46"/>
    <mergeCell ref="N46:O46"/>
    <mergeCell ref="E44:I44"/>
    <mergeCell ref="J44:K44"/>
    <mergeCell ref="L44:M44"/>
    <mergeCell ref="N44:O44"/>
    <mergeCell ref="P44:Q44"/>
    <mergeCell ref="P46:Q46"/>
    <mergeCell ref="E47:I47"/>
    <mergeCell ref="N49:O49"/>
    <mergeCell ref="P49:Q49"/>
    <mergeCell ref="E50:I50"/>
    <mergeCell ref="J50:K50"/>
    <mergeCell ref="L50:M50"/>
    <mergeCell ref="N50:O50"/>
    <mergeCell ref="P50:Q50"/>
    <mergeCell ref="N47:O47"/>
    <mergeCell ref="P47:Q47"/>
    <mergeCell ref="E48:I48"/>
    <mergeCell ref="J48:K48"/>
    <mergeCell ref="L48:M48"/>
    <mergeCell ref="N48:O48"/>
    <mergeCell ref="P48:Q48"/>
    <mergeCell ref="E51:I51"/>
    <mergeCell ref="J51:K51"/>
    <mergeCell ref="L51:M51"/>
    <mergeCell ref="N51:O51"/>
    <mergeCell ref="P51:Q51"/>
    <mergeCell ref="E49:I49"/>
    <mergeCell ref="J49:K49"/>
    <mergeCell ref="L49:M49"/>
    <mergeCell ref="A52:A55"/>
    <mergeCell ref="E52:I52"/>
    <mergeCell ref="J52:K52"/>
    <mergeCell ref="L52:M52"/>
    <mergeCell ref="N52:O52"/>
    <mergeCell ref="A44:A51"/>
    <mergeCell ref="J47:K47"/>
    <mergeCell ref="L47:M47"/>
    <mergeCell ref="N54:O54"/>
    <mergeCell ref="U52:W55"/>
    <mergeCell ref="E53:I53"/>
    <mergeCell ref="J53:K53"/>
    <mergeCell ref="L53:M53"/>
    <mergeCell ref="N53:O53"/>
    <mergeCell ref="P53:Q53"/>
    <mergeCell ref="E54:I54"/>
    <mergeCell ref="J54:K54"/>
    <mergeCell ref="L54:M54"/>
    <mergeCell ref="P54:Q54"/>
    <mergeCell ref="E55:I55"/>
    <mergeCell ref="J55:K55"/>
    <mergeCell ref="L55:M55"/>
    <mergeCell ref="N55:O55"/>
    <mergeCell ref="P55:Q55"/>
    <mergeCell ref="P52:Q52"/>
    <mergeCell ref="L57:M57"/>
    <mergeCell ref="N57:O57"/>
    <mergeCell ref="P57:Q57"/>
    <mergeCell ref="E56:I56"/>
    <mergeCell ref="J56:K56"/>
    <mergeCell ref="L56:M56"/>
    <mergeCell ref="N56:O56"/>
    <mergeCell ref="P56:Q56"/>
    <mergeCell ref="E59:I59"/>
    <mergeCell ref="J59:K59"/>
    <mergeCell ref="L59:M59"/>
    <mergeCell ref="N59:O59"/>
    <mergeCell ref="P59:Q59"/>
    <mergeCell ref="A60:A63"/>
    <mergeCell ref="E60:I60"/>
    <mergeCell ref="J60:K60"/>
    <mergeCell ref="L60:M60"/>
    <mergeCell ref="N60:O60"/>
    <mergeCell ref="A56:A59"/>
    <mergeCell ref="P60:Q60"/>
    <mergeCell ref="U60:W63"/>
    <mergeCell ref="E61:I61"/>
    <mergeCell ref="J61:K61"/>
    <mergeCell ref="L61:M61"/>
    <mergeCell ref="N61:O61"/>
    <mergeCell ref="P61:Q61"/>
    <mergeCell ref="E62:I62"/>
    <mergeCell ref="J62:K62"/>
    <mergeCell ref="L62:M62"/>
    <mergeCell ref="E58:I58"/>
    <mergeCell ref="J58:K58"/>
    <mergeCell ref="L58:M58"/>
    <mergeCell ref="N58:O58"/>
    <mergeCell ref="P58:Q58"/>
    <mergeCell ref="U56:W59"/>
    <mergeCell ref="E57:I57"/>
    <mergeCell ref="J57:K57"/>
    <mergeCell ref="E65:I65"/>
    <mergeCell ref="J65:K65"/>
    <mergeCell ref="L65:M65"/>
    <mergeCell ref="N65:O65"/>
    <mergeCell ref="P65:Q65"/>
    <mergeCell ref="J67:Q67"/>
    <mergeCell ref="N62:O62"/>
    <mergeCell ref="P62:Q62"/>
    <mergeCell ref="E63:I63"/>
    <mergeCell ref="J63:K63"/>
    <mergeCell ref="L63:M63"/>
    <mergeCell ref="N63:O63"/>
    <mergeCell ref="P63:Q63"/>
  </mergeCells>
  <pageMargins left="0.39370078740157483" right="0.19685039370078741" top="0.19685039370078741" bottom="0.19685039370078741" header="0.31496062992125984" footer="0.31496062992125984"/>
  <pageSetup paperSize="9" scale="51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W74"/>
  <sheetViews>
    <sheetView zoomScale="85" zoomScaleNormal="85" workbookViewId="0">
      <selection activeCell="F7" sqref="F7"/>
    </sheetView>
  </sheetViews>
  <sheetFormatPr defaultRowHeight="14.4" x14ac:dyDescent="0.3"/>
  <cols>
    <col min="1" max="1" width="12.6640625" customWidth="1"/>
    <col min="2" max="3" width="7.6640625" customWidth="1"/>
    <col min="4" max="4" width="8.88671875" style="8" bestFit="1" customWidth="1"/>
    <col min="5" max="5" width="30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5.88671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45926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180925</v>
      </c>
      <c r="E7" s="12" t="s">
        <v>275</v>
      </c>
      <c r="F7" s="17">
        <v>365</v>
      </c>
      <c r="G7" s="17">
        <v>430</v>
      </c>
      <c r="H7" s="18">
        <v>0.6</v>
      </c>
      <c r="I7" s="17">
        <v>35000</v>
      </c>
      <c r="J7" s="165"/>
      <c r="K7" s="166"/>
      <c r="L7" s="165"/>
      <c r="M7" s="166"/>
      <c r="N7" s="165"/>
      <c r="O7" s="166"/>
      <c r="P7" s="165">
        <v>1428</v>
      </c>
      <c r="Q7" s="166"/>
      <c r="R7" s="61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276</v>
      </c>
      <c r="F8" s="17" t="s">
        <v>277</v>
      </c>
      <c r="G8" s="17">
        <v>430</v>
      </c>
      <c r="H8" s="18">
        <v>0.6</v>
      </c>
      <c r="I8" s="17">
        <v>35000</v>
      </c>
      <c r="J8" s="165">
        <v>476</v>
      </c>
      <c r="K8" s="166"/>
      <c r="L8" s="165"/>
      <c r="M8" s="166"/>
      <c r="N8" s="165"/>
      <c r="O8" s="166"/>
      <c r="P8" s="165"/>
      <c r="Q8" s="166"/>
      <c r="R8" s="61">
        <v>10</v>
      </c>
      <c r="S8" s="14" t="s">
        <v>20</v>
      </c>
      <c r="T8" s="42" t="s">
        <v>281</v>
      </c>
      <c r="U8" s="205"/>
      <c r="V8" s="206"/>
      <c r="W8" s="207"/>
    </row>
    <row r="9" spans="1:23" x14ac:dyDescent="0.3">
      <c r="A9" s="181"/>
      <c r="B9" s="5"/>
      <c r="C9" s="5"/>
      <c r="D9" s="4" t="s">
        <v>102</v>
      </c>
      <c r="E9" s="12" t="s">
        <v>278</v>
      </c>
      <c r="F9" s="17">
        <v>237</v>
      </c>
      <c r="G9" s="17">
        <v>430</v>
      </c>
      <c r="H9" s="18">
        <v>0.6</v>
      </c>
      <c r="I9" s="17">
        <v>35000</v>
      </c>
      <c r="J9" s="165">
        <v>4200</v>
      </c>
      <c r="K9" s="166"/>
      <c r="L9" s="165"/>
      <c r="M9" s="166"/>
      <c r="N9" s="165"/>
      <c r="O9" s="166"/>
      <c r="P9" s="165"/>
      <c r="Q9" s="166"/>
      <c r="R9" s="61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245</v>
      </c>
      <c r="F10" s="17">
        <v>200</v>
      </c>
      <c r="G10" s="17">
        <v>430</v>
      </c>
      <c r="H10" s="18">
        <v>0.6</v>
      </c>
      <c r="I10" s="17">
        <v>35000</v>
      </c>
      <c r="J10" s="165">
        <v>840</v>
      </c>
      <c r="K10" s="166"/>
      <c r="L10" s="165"/>
      <c r="M10" s="166"/>
      <c r="N10" s="165"/>
      <c r="O10" s="166"/>
      <c r="P10" s="165"/>
      <c r="Q10" s="166"/>
      <c r="R10" s="61">
        <v>10</v>
      </c>
      <c r="S10" s="14" t="s">
        <v>20</v>
      </c>
      <c r="T10" s="42" t="s">
        <v>111</v>
      </c>
      <c r="U10" s="205"/>
      <c r="V10" s="206"/>
      <c r="W10" s="207"/>
    </row>
    <row r="11" spans="1:23" x14ac:dyDescent="0.3">
      <c r="A11" s="181"/>
      <c r="B11" s="5"/>
      <c r="C11" s="5"/>
      <c r="D11" s="4">
        <v>250077</v>
      </c>
      <c r="E11" s="12" t="s">
        <v>279</v>
      </c>
      <c r="F11" s="17">
        <v>353</v>
      </c>
      <c r="G11" s="17">
        <v>430</v>
      </c>
      <c r="H11" s="18">
        <v>0.6</v>
      </c>
      <c r="I11" s="17">
        <v>35000</v>
      </c>
      <c r="J11" s="165">
        <v>1440</v>
      </c>
      <c r="K11" s="166"/>
      <c r="L11" s="165"/>
      <c r="M11" s="166"/>
      <c r="N11" s="165"/>
      <c r="O11" s="166"/>
      <c r="P11" s="165"/>
      <c r="Q11" s="166"/>
      <c r="R11" s="61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>
        <v>0.70833333333333337</v>
      </c>
      <c r="D12" s="4" t="s">
        <v>102</v>
      </c>
      <c r="E12" s="12" t="s">
        <v>280</v>
      </c>
      <c r="F12" s="17">
        <v>322</v>
      </c>
      <c r="G12" s="17">
        <v>430</v>
      </c>
      <c r="H12" s="18">
        <v>0.6</v>
      </c>
      <c r="I12" s="17">
        <v>35000</v>
      </c>
      <c r="J12" s="165">
        <v>480</v>
      </c>
      <c r="K12" s="166"/>
      <c r="L12" s="165"/>
      <c r="M12" s="166"/>
      <c r="N12" s="165"/>
      <c r="O12" s="166"/>
      <c r="P12" s="165"/>
      <c r="Q12" s="166"/>
      <c r="R12" s="61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/>
      <c r="E13" s="12"/>
      <c r="F13" s="17"/>
      <c r="G13" s="17"/>
      <c r="H13" s="18"/>
      <c r="I13" s="17"/>
      <c r="J13" s="165"/>
      <c r="K13" s="166"/>
      <c r="L13" s="165"/>
      <c r="M13" s="166"/>
      <c r="N13" s="165"/>
      <c r="O13" s="166"/>
      <c r="P13" s="165"/>
      <c r="Q13" s="166"/>
      <c r="R13" s="61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/>
      <c r="E14" s="12"/>
      <c r="F14" s="17"/>
      <c r="G14" s="17"/>
      <c r="H14" s="18"/>
      <c r="I14" s="17"/>
      <c r="J14" s="165"/>
      <c r="K14" s="166"/>
      <c r="L14" s="165"/>
      <c r="M14" s="166"/>
      <c r="N14" s="165"/>
      <c r="O14" s="166"/>
      <c r="P14" s="165"/>
      <c r="Q14" s="166"/>
      <c r="R14" s="61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/>
      <c r="E15" s="12"/>
      <c r="F15" s="17"/>
      <c r="G15" s="17"/>
      <c r="H15" s="18"/>
      <c r="I15" s="17"/>
      <c r="J15" s="165"/>
      <c r="K15" s="166"/>
      <c r="L15" s="165"/>
      <c r="M15" s="166"/>
      <c r="N15" s="165"/>
      <c r="O15" s="166"/>
      <c r="P15" s="165"/>
      <c r="Q15" s="166"/>
      <c r="R15" s="61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61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61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61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61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61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7436</v>
      </c>
      <c r="K21" s="22" t="s">
        <v>17</v>
      </c>
      <c r="L21" s="21">
        <f>SUM(L7:M20)</f>
        <v>0</v>
      </c>
      <c r="M21" s="22" t="s">
        <v>17</v>
      </c>
      <c r="N21" s="21">
        <f>SUM(N7:O20)</f>
        <v>0</v>
      </c>
      <c r="O21" s="22" t="s">
        <v>17</v>
      </c>
      <c r="P21" s="21">
        <f>SUM(P7:Q20)</f>
        <v>1428</v>
      </c>
      <c r="Q21" s="22" t="s">
        <v>17</v>
      </c>
      <c r="R21" s="23">
        <f>SUM(R7:R20)</f>
        <v>20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7436</v>
      </c>
      <c r="K24" s="31" t="s">
        <v>17</v>
      </c>
      <c r="L24" s="32">
        <f>L21</f>
        <v>0</v>
      </c>
      <c r="M24" s="31" t="s">
        <v>17</v>
      </c>
      <c r="N24" s="32">
        <f>N21</f>
        <v>0</v>
      </c>
      <c r="O24" s="31" t="s">
        <v>17</v>
      </c>
      <c r="P24" s="33">
        <f>P21</f>
        <v>1428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8864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45926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/>
      <c r="D31" s="4">
        <v>250043</v>
      </c>
      <c r="E31" s="12" t="s">
        <v>247</v>
      </c>
      <c r="F31" s="40">
        <v>304</v>
      </c>
      <c r="G31" s="41">
        <v>0.6</v>
      </c>
      <c r="H31" s="40">
        <v>51</v>
      </c>
      <c r="I31" s="12">
        <v>6</v>
      </c>
      <c r="J31" s="165"/>
      <c r="K31" s="166"/>
      <c r="L31" s="165">
        <v>460</v>
      </c>
      <c r="M31" s="166"/>
      <c r="N31" s="165"/>
      <c r="O31" s="166"/>
      <c r="P31" s="165"/>
      <c r="Q31" s="166"/>
      <c r="R31" s="61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>
        <v>0.70833333333333337</v>
      </c>
      <c r="D32" s="4">
        <v>250043</v>
      </c>
      <c r="E32" s="13" t="s">
        <v>282</v>
      </c>
      <c r="F32" s="40">
        <v>304</v>
      </c>
      <c r="G32" s="41">
        <v>0.6</v>
      </c>
      <c r="H32" s="40">
        <v>562</v>
      </c>
      <c r="I32" s="12">
        <v>6</v>
      </c>
      <c r="J32" s="165"/>
      <c r="K32" s="166"/>
      <c r="L32" s="165">
        <v>500</v>
      </c>
      <c r="M32" s="166"/>
      <c r="N32" s="165"/>
      <c r="O32" s="166"/>
      <c r="P32" s="165"/>
      <c r="Q32" s="166"/>
      <c r="R32" s="61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61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1"/>
      <c r="B34" s="5"/>
      <c r="C34" s="5"/>
      <c r="D34" s="4"/>
      <c r="E34" s="13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61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82"/>
      <c r="B35" s="19"/>
      <c r="C35" s="19"/>
      <c r="D35" s="20"/>
      <c r="E35" s="170" t="s">
        <v>0</v>
      </c>
      <c r="F35" s="171"/>
      <c r="G35" s="171"/>
      <c r="H35" s="171"/>
      <c r="I35" s="172"/>
      <c r="J35" s="173">
        <f>SUM(J31:K34)</f>
        <v>0</v>
      </c>
      <c r="K35" s="174"/>
      <c r="L35" s="173">
        <f>SUM(L31:M34)</f>
        <v>960</v>
      </c>
      <c r="M35" s="174"/>
      <c r="N35" s="173">
        <f>SUM(N31:O34)</f>
        <v>0</v>
      </c>
      <c r="O35" s="174"/>
      <c r="P35" s="173">
        <f>SUM(P31:Q34)</f>
        <v>0</v>
      </c>
      <c r="Q35" s="174"/>
      <c r="R35" s="23">
        <f>SUM(R31:R34)</f>
        <v>0</v>
      </c>
      <c r="S35" s="24" t="s">
        <v>20</v>
      </c>
      <c r="T35" s="19"/>
      <c r="U35" s="177"/>
      <c r="V35" s="178"/>
      <c r="W35" s="179"/>
    </row>
    <row r="36" spans="1:23" ht="14.55" customHeight="1" x14ac:dyDescent="0.3">
      <c r="A36" s="163" t="s">
        <v>34</v>
      </c>
      <c r="B36" s="5">
        <v>0.33333333333333331</v>
      </c>
      <c r="C36" s="5">
        <v>0.70833333333333337</v>
      </c>
      <c r="D36" s="4">
        <v>220565</v>
      </c>
      <c r="E36" s="12" t="s">
        <v>283</v>
      </c>
      <c r="F36" s="40">
        <v>430</v>
      </c>
      <c r="G36" s="41">
        <v>0.5</v>
      </c>
      <c r="H36" s="40">
        <v>323</v>
      </c>
      <c r="I36" s="12">
        <v>3</v>
      </c>
      <c r="J36" s="165"/>
      <c r="K36" s="166"/>
      <c r="L36" s="165">
        <v>85</v>
      </c>
      <c r="M36" s="166"/>
      <c r="N36" s="165"/>
      <c r="O36" s="166"/>
      <c r="P36" s="165"/>
      <c r="Q36" s="166"/>
      <c r="R36" s="61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63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61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64"/>
      <c r="B38" s="19"/>
      <c r="C38" s="19"/>
      <c r="D38" s="20"/>
      <c r="E38" s="170" t="s">
        <v>0</v>
      </c>
      <c r="F38" s="171"/>
      <c r="G38" s="171"/>
      <c r="H38" s="171"/>
      <c r="I38" s="172"/>
      <c r="J38" s="173">
        <f>SUM(J36:K37)</f>
        <v>0</v>
      </c>
      <c r="K38" s="174"/>
      <c r="L38" s="173">
        <f>SUM(L36:M37)</f>
        <v>85</v>
      </c>
      <c r="M38" s="174"/>
      <c r="N38" s="173">
        <f>SUM(N36:O37)</f>
        <v>0</v>
      </c>
      <c r="O38" s="174"/>
      <c r="P38" s="173">
        <f>SUM(P36:Q37)</f>
        <v>0</v>
      </c>
      <c r="Q38" s="174"/>
      <c r="R38" s="23">
        <f>SUM(R36:R37)</f>
        <v>0</v>
      </c>
      <c r="S38" s="24" t="s">
        <v>20</v>
      </c>
      <c r="T38" s="19"/>
      <c r="U38" s="177"/>
      <c r="V38" s="178"/>
      <c r="W38" s="179"/>
    </row>
    <row r="39" spans="1:23" ht="14.55" customHeight="1" x14ac:dyDescent="0.3">
      <c r="A39" s="163" t="s">
        <v>35</v>
      </c>
      <c r="B39" s="5">
        <v>0.33333333333333331</v>
      </c>
      <c r="C39" s="5"/>
      <c r="D39" s="4">
        <v>10925</v>
      </c>
      <c r="E39" s="12" t="s">
        <v>284</v>
      </c>
      <c r="F39" s="40">
        <v>304</v>
      </c>
      <c r="G39" s="41">
        <v>0.9</v>
      </c>
      <c r="H39" s="40">
        <v>395</v>
      </c>
      <c r="I39" s="12"/>
      <c r="J39" s="165"/>
      <c r="K39" s="166"/>
      <c r="L39" s="165">
        <v>400</v>
      </c>
      <c r="M39" s="166"/>
      <c r="N39" s="165"/>
      <c r="O39" s="166"/>
      <c r="P39" s="165"/>
      <c r="Q39" s="166"/>
      <c r="R39" s="61">
        <v>40</v>
      </c>
      <c r="S39" s="14" t="s">
        <v>20</v>
      </c>
      <c r="T39" s="42" t="s">
        <v>286</v>
      </c>
      <c r="U39" s="177"/>
      <c r="V39" s="178"/>
      <c r="W39" s="179"/>
    </row>
    <row r="40" spans="1:23" ht="14.55" customHeight="1" x14ac:dyDescent="0.3">
      <c r="A40" s="163"/>
      <c r="B40" s="5"/>
      <c r="C40" s="5">
        <v>0.70833333333333337</v>
      </c>
      <c r="D40" s="4" t="s">
        <v>79</v>
      </c>
      <c r="E40" s="12" t="s">
        <v>285</v>
      </c>
      <c r="F40" s="40">
        <v>304</v>
      </c>
      <c r="G40" s="41">
        <v>0.9</v>
      </c>
      <c r="H40" s="40">
        <v>402</v>
      </c>
      <c r="I40" s="12"/>
      <c r="J40" s="165"/>
      <c r="K40" s="166"/>
      <c r="L40" s="165">
        <v>1150</v>
      </c>
      <c r="M40" s="166"/>
      <c r="N40" s="165"/>
      <c r="O40" s="166"/>
      <c r="P40" s="165"/>
      <c r="Q40" s="166"/>
      <c r="R40" s="61">
        <v>15</v>
      </c>
      <c r="S40" s="14" t="s">
        <v>20</v>
      </c>
      <c r="T40" s="42" t="s">
        <v>287</v>
      </c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61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4"/>
      <c r="B42" s="19"/>
      <c r="C42" s="19"/>
      <c r="D42" s="20"/>
      <c r="E42" s="170" t="s">
        <v>0</v>
      </c>
      <c r="F42" s="171"/>
      <c r="G42" s="171"/>
      <c r="H42" s="171"/>
      <c r="I42" s="172"/>
      <c r="J42" s="173">
        <f>SUM(J39:K41)</f>
        <v>0</v>
      </c>
      <c r="K42" s="174"/>
      <c r="L42" s="173">
        <f>SUM(L39:M41)</f>
        <v>1550</v>
      </c>
      <c r="M42" s="174"/>
      <c r="N42" s="173">
        <f>SUM(N39:O41)</f>
        <v>0</v>
      </c>
      <c r="O42" s="174"/>
      <c r="P42" s="173">
        <f>SUM(P39:Q41)</f>
        <v>0</v>
      </c>
      <c r="Q42" s="174"/>
      <c r="R42" s="23">
        <f>SUM(R39:R41)</f>
        <v>55</v>
      </c>
      <c r="S42" s="24" t="s">
        <v>20</v>
      </c>
      <c r="T42" s="19"/>
      <c r="U42" s="177"/>
      <c r="V42" s="178"/>
      <c r="W42" s="179"/>
    </row>
    <row r="43" spans="1:23" ht="14.55" customHeight="1" x14ac:dyDescent="0.3">
      <c r="A43" s="27"/>
      <c r="B43" s="27"/>
      <c r="C43" s="27"/>
      <c r="D43" s="27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27"/>
      <c r="S43" s="27"/>
      <c r="T43" s="39"/>
      <c r="U43" s="39"/>
      <c r="V43" s="39"/>
      <c r="W43" s="39"/>
    </row>
    <row r="44" spans="1:23" x14ac:dyDescent="0.3">
      <c r="E44" s="170" t="s">
        <v>31</v>
      </c>
      <c r="F44" s="171"/>
      <c r="G44" s="171"/>
      <c r="H44" s="171"/>
      <c r="I44" s="172"/>
      <c r="J44" s="175" t="s">
        <v>7</v>
      </c>
      <c r="K44" s="176"/>
      <c r="L44" s="175" t="s">
        <v>8</v>
      </c>
      <c r="M44" s="176"/>
      <c r="N44" s="175" t="s">
        <v>9</v>
      </c>
      <c r="O44" s="176"/>
      <c r="P44" s="175" t="s">
        <v>16</v>
      </c>
      <c r="Q44" s="176"/>
    </row>
    <row r="45" spans="1:23" s="2" customFormat="1" x14ac:dyDescent="0.3">
      <c r="E45" s="15"/>
      <c r="F45" s="15"/>
      <c r="G45" s="15"/>
      <c r="H45" s="15"/>
      <c r="I45" s="15"/>
      <c r="J45" s="30">
        <f>J35+J38+J42</f>
        <v>0</v>
      </c>
      <c r="K45" s="31" t="s">
        <v>17</v>
      </c>
      <c r="L45" s="30">
        <f>L35+L38+L42</f>
        <v>2595</v>
      </c>
      <c r="M45" s="31" t="s">
        <v>17</v>
      </c>
      <c r="N45" s="30">
        <f>N35+N38+N42</f>
        <v>0</v>
      </c>
      <c r="O45" s="31" t="s">
        <v>17</v>
      </c>
      <c r="P45" s="30">
        <f>P35+P38+P42</f>
        <v>0</v>
      </c>
      <c r="Q45" s="34" t="s">
        <v>17</v>
      </c>
    </row>
    <row r="46" spans="1:23" ht="24.45" customHeight="1" x14ac:dyDescent="0.3">
      <c r="E46" s="28"/>
      <c r="F46" s="28"/>
      <c r="G46" s="28"/>
      <c r="H46" s="28"/>
      <c r="I46" s="28"/>
      <c r="J46" s="167">
        <f>J45+L45+N45+P45</f>
        <v>2595</v>
      </c>
      <c r="K46" s="168"/>
      <c r="L46" s="168"/>
      <c r="M46" s="168"/>
      <c r="N46" s="168"/>
      <c r="O46" s="168"/>
      <c r="P46" s="168"/>
      <c r="Q46" s="169"/>
    </row>
    <row r="47" spans="1:23" ht="30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spans="1:23" s="37" customFormat="1" ht="19.95" customHeight="1" x14ac:dyDescent="0.4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214" t="s">
        <v>14</v>
      </c>
      <c r="R48" s="215"/>
      <c r="S48" s="216"/>
      <c r="T48" s="184">
        <f>T3</f>
        <v>45926</v>
      </c>
      <c r="U48" s="185"/>
      <c r="V48" s="185"/>
      <c r="W48" s="186"/>
    </row>
    <row r="49" spans="1:23" s="16" customFormat="1" ht="30" customHeight="1" x14ac:dyDescent="0.3">
      <c r="A49" s="187" t="s">
        <v>26</v>
      </c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9"/>
      <c r="Q49" s="189"/>
      <c r="R49" s="189"/>
      <c r="S49" s="189"/>
      <c r="T49" s="188"/>
      <c r="U49" s="188"/>
      <c r="V49" s="188"/>
      <c r="W49" s="190"/>
    </row>
    <row r="50" spans="1:23" s="26" customFormat="1" ht="13.8" x14ac:dyDescent="0.3">
      <c r="A50" s="191" t="s">
        <v>1</v>
      </c>
      <c r="B50" s="192" t="s">
        <v>2</v>
      </c>
      <c r="C50" s="192" t="s">
        <v>3</v>
      </c>
      <c r="D50" s="192" t="s">
        <v>4</v>
      </c>
      <c r="E50" s="193" t="s">
        <v>5</v>
      </c>
      <c r="F50" s="197"/>
      <c r="G50" s="197"/>
      <c r="H50" s="197"/>
      <c r="I50" s="198"/>
      <c r="J50" s="193" t="s">
        <v>6</v>
      </c>
      <c r="K50" s="197"/>
      <c r="L50" s="197"/>
      <c r="M50" s="197"/>
      <c r="N50" s="197"/>
      <c r="O50" s="197"/>
      <c r="P50" s="197"/>
      <c r="Q50" s="198"/>
      <c r="R50" s="193" t="s">
        <v>10</v>
      </c>
      <c r="S50" s="198"/>
      <c r="T50" s="191" t="s">
        <v>11</v>
      </c>
      <c r="U50" s="191" t="s">
        <v>12</v>
      </c>
      <c r="V50" s="191"/>
      <c r="W50" s="191"/>
    </row>
    <row r="51" spans="1:23" s="26" customFormat="1" ht="13.8" x14ac:dyDescent="0.3">
      <c r="A51" s="191"/>
      <c r="B51" s="192"/>
      <c r="C51" s="192"/>
      <c r="D51" s="192"/>
      <c r="E51" s="194"/>
      <c r="F51" s="217"/>
      <c r="G51" s="217"/>
      <c r="H51" s="217"/>
      <c r="I51" s="199"/>
      <c r="J51" s="200" t="s">
        <v>7</v>
      </c>
      <c r="K51" s="201"/>
      <c r="L51" s="200" t="s">
        <v>8</v>
      </c>
      <c r="M51" s="201"/>
      <c r="N51" s="200" t="s">
        <v>9</v>
      </c>
      <c r="O51" s="201"/>
      <c r="P51" s="200" t="s">
        <v>16</v>
      </c>
      <c r="Q51" s="201"/>
      <c r="R51" s="194"/>
      <c r="S51" s="199"/>
      <c r="T51" s="191"/>
      <c r="U51" s="191"/>
      <c r="V51" s="191"/>
      <c r="W51" s="191"/>
    </row>
    <row r="52" spans="1:23" x14ac:dyDescent="0.3">
      <c r="A52" s="180" t="s">
        <v>13</v>
      </c>
      <c r="B52" s="5">
        <v>0.33333333333333331</v>
      </c>
      <c r="C52" s="5"/>
      <c r="D52" s="4">
        <v>100925</v>
      </c>
      <c r="E52" s="211" t="s">
        <v>288</v>
      </c>
      <c r="F52" s="212"/>
      <c r="G52" s="212"/>
      <c r="H52" s="212"/>
      <c r="I52" s="213"/>
      <c r="J52" s="165"/>
      <c r="K52" s="166"/>
      <c r="L52" s="165"/>
      <c r="M52" s="166"/>
      <c r="N52" s="165">
        <v>1281</v>
      </c>
      <c r="O52" s="166"/>
      <c r="P52" s="165"/>
      <c r="Q52" s="166"/>
      <c r="R52" s="61"/>
      <c r="S52" s="6" t="s">
        <v>20</v>
      </c>
      <c r="T52" s="3"/>
      <c r="U52" s="202"/>
      <c r="V52" s="203"/>
      <c r="W52" s="204"/>
    </row>
    <row r="53" spans="1:23" x14ac:dyDescent="0.3">
      <c r="A53" s="163"/>
      <c r="B53" s="5"/>
      <c r="C53" s="5"/>
      <c r="D53" s="4" t="s">
        <v>79</v>
      </c>
      <c r="E53" s="211" t="s">
        <v>289</v>
      </c>
      <c r="F53" s="212"/>
      <c r="G53" s="212"/>
      <c r="H53" s="212"/>
      <c r="I53" s="213"/>
      <c r="J53" s="165"/>
      <c r="K53" s="166"/>
      <c r="L53" s="165"/>
      <c r="M53" s="166"/>
      <c r="N53" s="165">
        <v>1604</v>
      </c>
      <c r="O53" s="166"/>
      <c r="P53" s="165"/>
      <c r="Q53" s="166"/>
      <c r="R53" s="61"/>
      <c r="S53" s="6" t="s">
        <v>20</v>
      </c>
      <c r="T53" s="3"/>
      <c r="U53" s="205"/>
      <c r="V53" s="206"/>
      <c r="W53" s="207"/>
    </row>
    <row r="54" spans="1:23" x14ac:dyDescent="0.3">
      <c r="A54" s="163"/>
      <c r="B54" s="5"/>
      <c r="C54" s="5"/>
      <c r="D54" s="4">
        <v>220565</v>
      </c>
      <c r="E54" s="211" t="s">
        <v>283</v>
      </c>
      <c r="F54" s="212"/>
      <c r="G54" s="212"/>
      <c r="H54" s="212"/>
      <c r="I54" s="213"/>
      <c r="J54" s="165"/>
      <c r="K54" s="166"/>
      <c r="L54" s="165"/>
      <c r="M54" s="166"/>
      <c r="N54" s="165">
        <v>85</v>
      </c>
      <c r="O54" s="166"/>
      <c r="P54" s="165"/>
      <c r="Q54" s="166"/>
      <c r="R54" s="61"/>
      <c r="S54" s="6" t="s">
        <v>20</v>
      </c>
      <c r="T54" s="3"/>
      <c r="U54" s="205"/>
      <c r="V54" s="206"/>
      <c r="W54" s="207"/>
    </row>
    <row r="55" spans="1:23" x14ac:dyDescent="0.3">
      <c r="A55" s="163"/>
      <c r="B55" s="5"/>
      <c r="C55" s="5"/>
      <c r="D55" s="4">
        <v>210825</v>
      </c>
      <c r="E55" s="211" t="s">
        <v>256</v>
      </c>
      <c r="F55" s="212"/>
      <c r="G55" s="212"/>
      <c r="H55" s="212"/>
      <c r="I55" s="213"/>
      <c r="J55" s="165"/>
      <c r="K55" s="166"/>
      <c r="L55" s="165">
        <v>528</v>
      </c>
      <c r="M55" s="166"/>
      <c r="N55" s="165"/>
      <c r="O55" s="166"/>
      <c r="P55" s="165"/>
      <c r="Q55" s="166"/>
      <c r="R55" s="61"/>
      <c r="S55" s="6" t="s">
        <v>20</v>
      </c>
      <c r="T55" s="3"/>
      <c r="U55" s="205"/>
      <c r="V55" s="206"/>
      <c r="W55" s="207"/>
    </row>
    <row r="56" spans="1:23" x14ac:dyDescent="0.3">
      <c r="A56" s="163"/>
      <c r="B56" s="5"/>
      <c r="C56" s="5"/>
      <c r="D56" s="4">
        <v>250043</v>
      </c>
      <c r="E56" s="211" t="s">
        <v>247</v>
      </c>
      <c r="F56" s="212"/>
      <c r="G56" s="212"/>
      <c r="H56" s="212"/>
      <c r="I56" s="213"/>
      <c r="J56" s="165"/>
      <c r="K56" s="166"/>
      <c r="L56" s="165">
        <v>496</v>
      </c>
      <c r="M56" s="166"/>
      <c r="N56" s="165"/>
      <c r="O56" s="166"/>
      <c r="P56" s="165"/>
      <c r="Q56" s="166"/>
      <c r="R56" s="61"/>
      <c r="S56" s="6" t="s">
        <v>20</v>
      </c>
      <c r="T56" s="3"/>
      <c r="U56" s="205"/>
      <c r="V56" s="206"/>
      <c r="W56" s="207"/>
    </row>
    <row r="57" spans="1:23" x14ac:dyDescent="0.3">
      <c r="A57" s="163"/>
      <c r="B57" s="5"/>
      <c r="C57" s="5"/>
      <c r="D57" s="4"/>
      <c r="E57" s="211"/>
      <c r="F57" s="212"/>
      <c r="G57" s="212"/>
      <c r="H57" s="212"/>
      <c r="I57" s="213"/>
      <c r="J57" s="165"/>
      <c r="K57" s="166"/>
      <c r="L57" s="165"/>
      <c r="M57" s="166"/>
      <c r="N57" s="165"/>
      <c r="O57" s="166"/>
      <c r="P57" s="165"/>
      <c r="Q57" s="166"/>
      <c r="R57" s="61"/>
      <c r="S57" s="6" t="s">
        <v>20</v>
      </c>
      <c r="T57" s="3"/>
      <c r="U57" s="205"/>
      <c r="V57" s="206"/>
      <c r="W57" s="207"/>
    </row>
    <row r="58" spans="1:23" x14ac:dyDescent="0.3">
      <c r="A58" s="163"/>
      <c r="B58" s="5"/>
      <c r="C58" s="5"/>
      <c r="D58" s="4"/>
      <c r="E58" s="211"/>
      <c r="F58" s="212"/>
      <c r="G58" s="212"/>
      <c r="H58" s="212"/>
      <c r="I58" s="213"/>
      <c r="J58" s="165"/>
      <c r="K58" s="166"/>
      <c r="L58" s="165"/>
      <c r="M58" s="166"/>
      <c r="N58" s="165"/>
      <c r="O58" s="166"/>
      <c r="P58" s="165"/>
      <c r="Q58" s="166"/>
      <c r="R58" s="61"/>
      <c r="S58" s="6" t="s">
        <v>20</v>
      </c>
      <c r="T58" s="3"/>
      <c r="U58" s="205"/>
      <c r="V58" s="206"/>
      <c r="W58" s="207"/>
    </row>
    <row r="59" spans="1:23" x14ac:dyDescent="0.3">
      <c r="A59" s="164"/>
      <c r="B59" s="19"/>
      <c r="C59" s="19"/>
      <c r="D59" s="20"/>
      <c r="E59" s="170" t="s">
        <v>0</v>
      </c>
      <c r="F59" s="171"/>
      <c r="G59" s="171"/>
      <c r="H59" s="171"/>
      <c r="I59" s="172"/>
      <c r="J59" s="173">
        <f>SUM(J52:J58)</f>
        <v>0</v>
      </c>
      <c r="K59" s="174"/>
      <c r="L59" s="173">
        <f>SUM(L52:L58)</f>
        <v>1024</v>
      </c>
      <c r="M59" s="174"/>
      <c r="N59" s="173">
        <f>SUM(N52:N58)</f>
        <v>2970</v>
      </c>
      <c r="O59" s="174"/>
      <c r="P59" s="173">
        <f>SUM(P52:P58)</f>
        <v>0</v>
      </c>
      <c r="Q59" s="174"/>
      <c r="R59" s="23">
        <f>SUM(R52:R58)</f>
        <v>0</v>
      </c>
      <c r="S59" s="24" t="s">
        <v>20</v>
      </c>
      <c r="T59" s="19"/>
      <c r="U59" s="208"/>
      <c r="V59" s="209"/>
      <c r="W59" s="210"/>
    </row>
    <row r="60" spans="1:23" x14ac:dyDescent="0.3">
      <c r="A60" s="180" t="s">
        <v>15</v>
      </c>
      <c r="B60" s="5"/>
      <c r="C60" s="5"/>
      <c r="D60" s="4"/>
      <c r="E60" s="211"/>
      <c r="F60" s="212"/>
      <c r="G60" s="212"/>
      <c r="H60" s="212"/>
      <c r="I60" s="213"/>
      <c r="J60" s="165"/>
      <c r="K60" s="166"/>
      <c r="L60" s="165"/>
      <c r="M60" s="166"/>
      <c r="N60" s="165"/>
      <c r="O60" s="166"/>
      <c r="P60" s="165"/>
      <c r="Q60" s="166"/>
      <c r="R60" s="61"/>
      <c r="S60" s="6" t="s">
        <v>20</v>
      </c>
      <c r="T60" s="3"/>
      <c r="U60" s="202"/>
      <c r="V60" s="203"/>
      <c r="W60" s="204"/>
    </row>
    <row r="61" spans="1:23" x14ac:dyDescent="0.3">
      <c r="A61" s="163"/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61"/>
      <c r="S61" s="6" t="s">
        <v>20</v>
      </c>
      <c r="T61" s="3"/>
      <c r="U61" s="205"/>
      <c r="V61" s="206"/>
      <c r="W61" s="207"/>
    </row>
    <row r="62" spans="1:23" x14ac:dyDescent="0.3">
      <c r="A62" s="163"/>
      <c r="B62" s="5"/>
      <c r="C62" s="5"/>
      <c r="D62" s="4"/>
      <c r="E62" s="211"/>
      <c r="F62" s="212"/>
      <c r="G62" s="212"/>
      <c r="H62" s="212"/>
      <c r="I62" s="213"/>
      <c r="J62" s="165"/>
      <c r="K62" s="166"/>
      <c r="L62" s="165"/>
      <c r="M62" s="166"/>
      <c r="N62" s="165"/>
      <c r="O62" s="166"/>
      <c r="P62" s="165"/>
      <c r="Q62" s="166"/>
      <c r="R62" s="61"/>
      <c r="S62" s="6" t="s">
        <v>20</v>
      </c>
      <c r="T62" s="3"/>
      <c r="U62" s="205"/>
      <c r="V62" s="206"/>
      <c r="W62" s="207"/>
    </row>
    <row r="63" spans="1:23" x14ac:dyDescent="0.3">
      <c r="A63" s="164"/>
      <c r="B63" s="19"/>
      <c r="C63" s="19"/>
      <c r="D63" s="20"/>
      <c r="E63" s="170" t="s">
        <v>0</v>
      </c>
      <c r="F63" s="171"/>
      <c r="G63" s="171"/>
      <c r="H63" s="171"/>
      <c r="I63" s="172"/>
      <c r="J63" s="173">
        <f>SUM(J60:J62)</f>
        <v>0</v>
      </c>
      <c r="K63" s="174"/>
      <c r="L63" s="173">
        <f>SUM(L60:L62)</f>
        <v>0</v>
      </c>
      <c r="M63" s="174"/>
      <c r="N63" s="173">
        <f>SUM(N60:N62)</f>
        <v>0</v>
      </c>
      <c r="O63" s="174"/>
      <c r="P63" s="173">
        <f>SUM(P55:P62)</f>
        <v>0</v>
      </c>
      <c r="Q63" s="174"/>
      <c r="R63" s="23">
        <f>SUM(R60:R62)</f>
        <v>0</v>
      </c>
      <c r="S63" s="24" t="s">
        <v>20</v>
      </c>
      <c r="T63" s="7"/>
      <c r="U63" s="208"/>
      <c r="V63" s="209"/>
      <c r="W63" s="210"/>
    </row>
    <row r="64" spans="1:23" x14ac:dyDescent="0.3">
      <c r="A64" s="180" t="s">
        <v>37</v>
      </c>
      <c r="B64" s="5"/>
      <c r="C64" s="5"/>
      <c r="D64" s="4"/>
      <c r="E64" s="211"/>
      <c r="F64" s="212"/>
      <c r="G64" s="212"/>
      <c r="H64" s="212"/>
      <c r="I64" s="213"/>
      <c r="J64" s="165"/>
      <c r="K64" s="166"/>
      <c r="L64" s="165"/>
      <c r="M64" s="166"/>
      <c r="N64" s="165"/>
      <c r="O64" s="166"/>
      <c r="P64" s="165"/>
      <c r="Q64" s="166"/>
      <c r="R64" s="61"/>
      <c r="S64" s="6" t="s">
        <v>20</v>
      </c>
      <c r="T64" s="3"/>
      <c r="U64" s="202"/>
      <c r="V64" s="203"/>
      <c r="W64" s="204"/>
    </row>
    <row r="65" spans="1:23" x14ac:dyDescent="0.3">
      <c r="A65" s="163"/>
      <c r="B65" s="5"/>
      <c r="C65" s="5"/>
      <c r="D65" s="4"/>
      <c r="E65" s="211"/>
      <c r="F65" s="212"/>
      <c r="G65" s="212"/>
      <c r="H65" s="212"/>
      <c r="I65" s="213"/>
      <c r="J65" s="165"/>
      <c r="K65" s="166"/>
      <c r="L65" s="165"/>
      <c r="M65" s="166"/>
      <c r="N65" s="165"/>
      <c r="O65" s="166"/>
      <c r="P65" s="165"/>
      <c r="Q65" s="166"/>
      <c r="R65" s="61"/>
      <c r="S65" s="6" t="s">
        <v>20</v>
      </c>
      <c r="T65" s="3"/>
      <c r="U65" s="205"/>
      <c r="V65" s="206"/>
      <c r="W65" s="207"/>
    </row>
    <row r="66" spans="1:23" x14ac:dyDescent="0.3">
      <c r="A66" s="164"/>
      <c r="B66" s="19"/>
      <c r="C66" s="19"/>
      <c r="D66" s="20"/>
      <c r="E66" s="170" t="s">
        <v>0</v>
      </c>
      <c r="F66" s="171"/>
      <c r="G66" s="171"/>
      <c r="H66" s="171"/>
      <c r="I66" s="172"/>
      <c r="J66" s="173">
        <f>SUM(J64:J65)</f>
        <v>0</v>
      </c>
      <c r="K66" s="174"/>
      <c r="L66" s="173">
        <f>SUM(L64:L65)</f>
        <v>0</v>
      </c>
      <c r="M66" s="174"/>
      <c r="N66" s="173">
        <f>SUM(N64:N65)</f>
        <v>0</v>
      </c>
      <c r="O66" s="174"/>
      <c r="P66" s="173">
        <f>SUM(P64:P65)</f>
        <v>0</v>
      </c>
      <c r="Q66" s="174"/>
      <c r="R66" s="23">
        <f>SUM(R64:R65)</f>
        <v>0</v>
      </c>
      <c r="S66" s="24" t="s">
        <v>20</v>
      </c>
      <c r="T66" s="19"/>
      <c r="U66" s="208"/>
      <c r="V66" s="209"/>
      <c r="W66" s="210"/>
    </row>
    <row r="67" spans="1:23" x14ac:dyDescent="0.3">
      <c r="A67" s="180" t="s">
        <v>36</v>
      </c>
      <c r="B67" s="5"/>
      <c r="C67" s="5"/>
      <c r="D67" s="4"/>
      <c r="E67" s="211"/>
      <c r="F67" s="212"/>
      <c r="G67" s="212"/>
      <c r="H67" s="212"/>
      <c r="I67" s="213"/>
      <c r="J67" s="165"/>
      <c r="K67" s="166"/>
      <c r="L67" s="165"/>
      <c r="M67" s="166"/>
      <c r="N67" s="165"/>
      <c r="O67" s="166"/>
      <c r="P67" s="165"/>
      <c r="Q67" s="166"/>
      <c r="R67" s="61"/>
      <c r="S67" s="6" t="s">
        <v>20</v>
      </c>
      <c r="T67" s="3"/>
      <c r="U67" s="202"/>
      <c r="V67" s="203"/>
      <c r="W67" s="204"/>
    </row>
    <row r="68" spans="1:23" x14ac:dyDescent="0.3">
      <c r="A68" s="163"/>
      <c r="B68" s="5"/>
      <c r="C68" s="5"/>
      <c r="D68" s="4"/>
      <c r="E68" s="211"/>
      <c r="F68" s="212"/>
      <c r="G68" s="212"/>
      <c r="H68" s="212"/>
      <c r="I68" s="213"/>
      <c r="J68" s="165"/>
      <c r="K68" s="166"/>
      <c r="L68" s="165"/>
      <c r="M68" s="166"/>
      <c r="N68" s="165"/>
      <c r="O68" s="166"/>
      <c r="P68" s="165"/>
      <c r="Q68" s="166"/>
      <c r="R68" s="61"/>
      <c r="S68" s="6" t="s">
        <v>20</v>
      </c>
      <c r="T68" s="3"/>
      <c r="U68" s="205"/>
      <c r="V68" s="206"/>
      <c r="W68" s="207"/>
    </row>
    <row r="69" spans="1:23" x14ac:dyDescent="0.3">
      <c r="A69" s="163"/>
      <c r="B69" s="5"/>
      <c r="C69" s="5"/>
      <c r="D69" s="4"/>
      <c r="E69" s="211"/>
      <c r="F69" s="212"/>
      <c r="G69" s="212"/>
      <c r="H69" s="212"/>
      <c r="I69" s="213"/>
      <c r="J69" s="165"/>
      <c r="K69" s="166"/>
      <c r="L69" s="165"/>
      <c r="M69" s="166"/>
      <c r="N69" s="165"/>
      <c r="O69" s="166"/>
      <c r="P69" s="165"/>
      <c r="Q69" s="166"/>
      <c r="R69" s="61"/>
      <c r="S69" s="6" t="s">
        <v>20</v>
      </c>
      <c r="T69" s="3"/>
      <c r="U69" s="205"/>
      <c r="V69" s="206"/>
      <c r="W69" s="207"/>
    </row>
    <row r="70" spans="1:23" x14ac:dyDescent="0.3">
      <c r="A70" s="164"/>
      <c r="B70" s="19"/>
      <c r="C70" s="19"/>
      <c r="D70" s="20"/>
      <c r="E70" s="170" t="s">
        <v>0</v>
      </c>
      <c r="F70" s="171"/>
      <c r="G70" s="171"/>
      <c r="H70" s="171"/>
      <c r="I70" s="172"/>
      <c r="J70" s="173">
        <f>SUM(J67:J69)</f>
        <v>0</v>
      </c>
      <c r="K70" s="174"/>
      <c r="L70" s="173">
        <f>SUM(L67:L69)</f>
        <v>0</v>
      </c>
      <c r="M70" s="174"/>
      <c r="N70" s="173">
        <f>SUM(N67:N69)</f>
        <v>0</v>
      </c>
      <c r="O70" s="174"/>
      <c r="P70" s="173">
        <f>SUM(P67:P69)</f>
        <v>0</v>
      </c>
      <c r="Q70" s="174"/>
      <c r="R70" s="23">
        <f>SUM(R67:R69)</f>
        <v>0</v>
      </c>
      <c r="S70" s="24" t="s">
        <v>20</v>
      </c>
      <c r="T70" s="19"/>
      <c r="U70" s="208"/>
      <c r="V70" s="209"/>
      <c r="W70" s="210"/>
    </row>
    <row r="71" spans="1:23" x14ac:dyDescent="0.3">
      <c r="E71" s="28"/>
      <c r="F71" s="28"/>
      <c r="G71" s="28"/>
      <c r="H71" s="28"/>
      <c r="I71" s="28"/>
      <c r="J71" s="29"/>
      <c r="K71" s="29"/>
      <c r="L71" s="29"/>
      <c r="M71" s="29"/>
      <c r="N71" s="29"/>
      <c r="O71" s="29"/>
      <c r="P71" s="29"/>
      <c r="Q71" s="29"/>
    </row>
    <row r="72" spans="1:23" x14ac:dyDescent="0.3">
      <c r="E72" s="170" t="s">
        <v>28</v>
      </c>
      <c r="F72" s="171"/>
      <c r="G72" s="171"/>
      <c r="H72" s="171"/>
      <c r="I72" s="172"/>
      <c r="J72" s="175" t="s">
        <v>7</v>
      </c>
      <c r="K72" s="176"/>
      <c r="L72" s="175" t="s">
        <v>8</v>
      </c>
      <c r="M72" s="176"/>
      <c r="N72" s="175" t="s">
        <v>9</v>
      </c>
      <c r="O72" s="176"/>
      <c r="P72" s="175" t="s">
        <v>16</v>
      </c>
      <c r="Q72" s="176"/>
    </row>
    <row r="73" spans="1:23" s="2" customFormat="1" x14ac:dyDescent="0.3">
      <c r="E73" s="15"/>
      <c r="F73" s="15"/>
      <c r="G73" s="15"/>
      <c r="H73" s="15"/>
      <c r="I73" s="15"/>
      <c r="J73" s="30">
        <f>J59+J63</f>
        <v>0</v>
      </c>
      <c r="K73" s="31" t="s">
        <v>17</v>
      </c>
      <c r="L73" s="32">
        <f>L59+L63</f>
        <v>1024</v>
      </c>
      <c r="M73" s="31" t="s">
        <v>17</v>
      </c>
      <c r="N73" s="32">
        <f>N59+N63</f>
        <v>2970</v>
      </c>
      <c r="O73" s="31" t="s">
        <v>17</v>
      </c>
      <c r="P73" s="33">
        <f>P66+P70</f>
        <v>0</v>
      </c>
      <c r="Q73" s="34" t="s">
        <v>17</v>
      </c>
    </row>
    <row r="74" spans="1:23" s="8" customFormat="1" ht="24.45" customHeight="1" x14ac:dyDescent="0.3">
      <c r="A74"/>
      <c r="B74"/>
      <c r="C74"/>
      <c r="E74" s="28"/>
      <c r="F74" s="28"/>
      <c r="G74" s="28"/>
      <c r="H74" s="28"/>
      <c r="I74" s="28"/>
      <c r="J74" s="167">
        <f>J73+L73+N73+P73</f>
        <v>3994</v>
      </c>
      <c r="K74" s="168"/>
      <c r="L74" s="168"/>
      <c r="M74" s="168"/>
      <c r="N74" s="168"/>
      <c r="O74" s="168"/>
      <c r="P74" s="168"/>
      <c r="Q74" s="169"/>
      <c r="S74"/>
      <c r="T74"/>
      <c r="U74"/>
      <c r="V74"/>
      <c r="W74"/>
    </row>
  </sheetData>
  <mergeCells count="293">
    <mergeCell ref="E72:I72"/>
    <mergeCell ref="J72:K72"/>
    <mergeCell ref="L72:M72"/>
    <mergeCell ref="N72:O72"/>
    <mergeCell ref="P72:Q72"/>
    <mergeCell ref="J74:Q74"/>
    <mergeCell ref="N69:O69"/>
    <mergeCell ref="P69:Q69"/>
    <mergeCell ref="E70:I70"/>
    <mergeCell ref="J70:K70"/>
    <mergeCell ref="L70:M70"/>
    <mergeCell ref="N70:O70"/>
    <mergeCell ref="P70:Q70"/>
    <mergeCell ref="A67:A70"/>
    <mergeCell ref="E67:I67"/>
    <mergeCell ref="J67:K67"/>
    <mergeCell ref="L67:M67"/>
    <mergeCell ref="N67:O67"/>
    <mergeCell ref="P67:Q67"/>
    <mergeCell ref="U67:W70"/>
    <mergeCell ref="E68:I68"/>
    <mergeCell ref="J68:K68"/>
    <mergeCell ref="L68:M68"/>
    <mergeCell ref="N68:O68"/>
    <mergeCell ref="P68:Q68"/>
    <mergeCell ref="E69:I69"/>
    <mergeCell ref="J69:K69"/>
    <mergeCell ref="L69:M69"/>
    <mergeCell ref="E65:I65"/>
    <mergeCell ref="J65:K65"/>
    <mergeCell ref="L65:M65"/>
    <mergeCell ref="N65:O65"/>
    <mergeCell ref="P65:Q65"/>
    <mergeCell ref="U64:W66"/>
    <mergeCell ref="A64:A66"/>
    <mergeCell ref="E64:I64"/>
    <mergeCell ref="J64:K64"/>
    <mergeCell ref="L64:M64"/>
    <mergeCell ref="N64:O64"/>
    <mergeCell ref="P64:Q64"/>
    <mergeCell ref="E66:I66"/>
    <mergeCell ref="J66:K66"/>
    <mergeCell ref="L66:M66"/>
    <mergeCell ref="N66:O66"/>
    <mergeCell ref="P66:Q66"/>
    <mergeCell ref="U60:W63"/>
    <mergeCell ref="E61:I61"/>
    <mergeCell ref="J61:K61"/>
    <mergeCell ref="L61:M61"/>
    <mergeCell ref="N61:O61"/>
    <mergeCell ref="P61:Q61"/>
    <mergeCell ref="E62:I62"/>
    <mergeCell ref="J62:K62"/>
    <mergeCell ref="L62:M62"/>
    <mergeCell ref="P62:Q62"/>
    <mergeCell ref="E63:I63"/>
    <mergeCell ref="J63:K63"/>
    <mergeCell ref="L63:M63"/>
    <mergeCell ref="N63:O63"/>
    <mergeCell ref="P63:Q63"/>
    <mergeCell ref="P60:Q60"/>
    <mergeCell ref="A60:A63"/>
    <mergeCell ref="E60:I60"/>
    <mergeCell ref="J60:K60"/>
    <mergeCell ref="L60:M60"/>
    <mergeCell ref="N60:O60"/>
    <mergeCell ref="A52:A59"/>
    <mergeCell ref="J55:K55"/>
    <mergeCell ref="L55:M55"/>
    <mergeCell ref="N62:O62"/>
    <mergeCell ref="N55:O55"/>
    <mergeCell ref="P55:Q55"/>
    <mergeCell ref="E56:I56"/>
    <mergeCell ref="J56:K56"/>
    <mergeCell ref="L56:M56"/>
    <mergeCell ref="N56:O56"/>
    <mergeCell ref="P56:Q56"/>
    <mergeCell ref="E59:I59"/>
    <mergeCell ref="J59:K59"/>
    <mergeCell ref="L59:M59"/>
    <mergeCell ref="N59:O59"/>
    <mergeCell ref="P59:Q59"/>
    <mergeCell ref="E57:I57"/>
    <mergeCell ref="J57:K57"/>
    <mergeCell ref="L57:M57"/>
    <mergeCell ref="U52:W59"/>
    <mergeCell ref="E53:I53"/>
    <mergeCell ref="J53:K53"/>
    <mergeCell ref="L53:M53"/>
    <mergeCell ref="N53:O53"/>
    <mergeCell ref="P53:Q53"/>
    <mergeCell ref="E54:I54"/>
    <mergeCell ref="J54:K54"/>
    <mergeCell ref="L54:M54"/>
    <mergeCell ref="N54:O54"/>
    <mergeCell ref="E52:I52"/>
    <mergeCell ref="J52:K52"/>
    <mergeCell ref="L52:M52"/>
    <mergeCell ref="N52:O52"/>
    <mergeCell ref="P52:Q52"/>
    <mergeCell ref="P54:Q54"/>
    <mergeCell ref="E55:I55"/>
    <mergeCell ref="N57:O57"/>
    <mergeCell ref="P57:Q57"/>
    <mergeCell ref="E58:I58"/>
    <mergeCell ref="J58:K58"/>
    <mergeCell ref="L58:M58"/>
    <mergeCell ref="N58:O58"/>
    <mergeCell ref="P58:Q58"/>
    <mergeCell ref="U50:W51"/>
    <mergeCell ref="J51:K51"/>
    <mergeCell ref="L51:M51"/>
    <mergeCell ref="N51:O51"/>
    <mergeCell ref="P51:Q51"/>
    <mergeCell ref="J46:Q46"/>
    <mergeCell ref="Q48:S48"/>
    <mergeCell ref="T48:W48"/>
    <mergeCell ref="A49:W49"/>
    <mergeCell ref="A50:A51"/>
    <mergeCell ref="B50:B51"/>
    <mergeCell ref="C50:C51"/>
    <mergeCell ref="D50:D51"/>
    <mergeCell ref="E50:I51"/>
    <mergeCell ref="J50:Q50"/>
    <mergeCell ref="L37:M37"/>
    <mergeCell ref="N37:O37"/>
    <mergeCell ref="E44:I44"/>
    <mergeCell ref="J44:K44"/>
    <mergeCell ref="L44:M44"/>
    <mergeCell ref="N44:O44"/>
    <mergeCell ref="P44:Q44"/>
    <mergeCell ref="R50:S51"/>
    <mergeCell ref="T50:T51"/>
    <mergeCell ref="P33:Q33"/>
    <mergeCell ref="J34:K34"/>
    <mergeCell ref="A39:A42"/>
    <mergeCell ref="J39:K39"/>
    <mergeCell ref="L39:M39"/>
    <mergeCell ref="N39:O39"/>
    <mergeCell ref="P39:Q39"/>
    <mergeCell ref="A36:A38"/>
    <mergeCell ref="U39:W42"/>
    <mergeCell ref="J40:K40"/>
    <mergeCell ref="L40:M40"/>
    <mergeCell ref="N40:O40"/>
    <mergeCell ref="P40:Q40"/>
    <mergeCell ref="J41:K41"/>
    <mergeCell ref="L41:M41"/>
    <mergeCell ref="N41:O41"/>
    <mergeCell ref="P41:Q41"/>
    <mergeCell ref="E42:I42"/>
    <mergeCell ref="J42:K42"/>
    <mergeCell ref="L42:M42"/>
    <mergeCell ref="N42:O42"/>
    <mergeCell ref="P42:Q42"/>
    <mergeCell ref="U36:W38"/>
    <mergeCell ref="J37:K37"/>
    <mergeCell ref="J36:K36"/>
    <mergeCell ref="L36:M36"/>
    <mergeCell ref="N36:O36"/>
    <mergeCell ref="A31:A35"/>
    <mergeCell ref="J31:K31"/>
    <mergeCell ref="L31:M31"/>
    <mergeCell ref="N31:O31"/>
    <mergeCell ref="P31:Q31"/>
    <mergeCell ref="J38:K38"/>
    <mergeCell ref="L38:M38"/>
    <mergeCell ref="N38:O38"/>
    <mergeCell ref="P38:Q38"/>
    <mergeCell ref="P37:Q37"/>
    <mergeCell ref="P36:Q36"/>
    <mergeCell ref="E38:I38"/>
    <mergeCell ref="L34:M34"/>
    <mergeCell ref="N34:O34"/>
    <mergeCell ref="P34:Q34"/>
    <mergeCell ref="J32:K32"/>
    <mergeCell ref="L32:M32"/>
    <mergeCell ref="N32:O32"/>
    <mergeCell ref="P32:Q32"/>
    <mergeCell ref="J33:K33"/>
    <mergeCell ref="L33:M33"/>
    <mergeCell ref="E35:I35"/>
    <mergeCell ref="J35:K35"/>
    <mergeCell ref="L35:M35"/>
    <mergeCell ref="N35:O35"/>
    <mergeCell ref="P35:Q35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G29:G30"/>
    <mergeCell ref="H29:H30"/>
    <mergeCell ref="U31:W35"/>
    <mergeCell ref="N33:O33"/>
    <mergeCell ref="I29:I30"/>
    <mergeCell ref="J29:Q29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25:Q25"/>
    <mergeCell ref="Q27:S27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W66"/>
  <sheetViews>
    <sheetView zoomScale="85" zoomScaleNormal="85" workbookViewId="0">
      <selection activeCell="D23" sqref="D23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28.3320312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45927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 t="s">
        <v>102</v>
      </c>
      <c r="E7" s="12" t="s">
        <v>290</v>
      </c>
      <c r="F7" s="17">
        <v>290</v>
      </c>
      <c r="G7" s="17">
        <v>304</v>
      </c>
      <c r="H7" s="18">
        <v>0.9</v>
      </c>
      <c r="I7" s="17">
        <v>26000</v>
      </c>
      <c r="J7" s="165"/>
      <c r="K7" s="166"/>
      <c r="L7" s="165"/>
      <c r="M7" s="166"/>
      <c r="N7" s="165">
        <v>112</v>
      </c>
      <c r="O7" s="166"/>
      <c r="P7" s="165"/>
      <c r="Q7" s="166"/>
      <c r="R7" s="62">
        <v>45</v>
      </c>
      <c r="S7" s="14" t="s">
        <v>20</v>
      </c>
      <c r="T7" s="42" t="s">
        <v>295</v>
      </c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291</v>
      </c>
      <c r="F8" s="17">
        <v>200</v>
      </c>
      <c r="G8" s="17">
        <v>304</v>
      </c>
      <c r="H8" s="18">
        <v>0.9</v>
      </c>
      <c r="I8" s="17">
        <v>26000</v>
      </c>
      <c r="J8" s="165"/>
      <c r="K8" s="166"/>
      <c r="L8" s="165"/>
      <c r="M8" s="166"/>
      <c r="N8" s="165">
        <v>28</v>
      </c>
      <c r="O8" s="166"/>
      <c r="P8" s="165"/>
      <c r="Q8" s="166"/>
      <c r="R8" s="62">
        <v>10</v>
      </c>
      <c r="S8" s="14" t="s">
        <v>20</v>
      </c>
      <c r="T8" s="42" t="s">
        <v>296</v>
      </c>
      <c r="U8" s="205"/>
      <c r="V8" s="206"/>
      <c r="W8" s="207"/>
    </row>
    <row r="9" spans="1:23" x14ac:dyDescent="0.3">
      <c r="A9" s="181"/>
      <c r="B9" s="5"/>
      <c r="C9" s="5"/>
      <c r="D9" s="4">
        <v>250042</v>
      </c>
      <c r="E9" s="12" t="s">
        <v>292</v>
      </c>
      <c r="F9" s="17">
        <v>560</v>
      </c>
      <c r="G9" s="17">
        <v>304</v>
      </c>
      <c r="H9" s="18">
        <v>0.9</v>
      </c>
      <c r="I9" s="17">
        <v>26000</v>
      </c>
      <c r="J9" s="165"/>
      <c r="K9" s="166"/>
      <c r="L9" s="165">
        <v>849</v>
      </c>
      <c r="M9" s="166"/>
      <c r="N9" s="165"/>
      <c r="O9" s="166"/>
      <c r="P9" s="165"/>
      <c r="Q9" s="166"/>
      <c r="R9" s="62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293</v>
      </c>
      <c r="F10" s="17">
        <v>520</v>
      </c>
      <c r="G10" s="17">
        <v>304</v>
      </c>
      <c r="H10" s="18">
        <v>0.9</v>
      </c>
      <c r="I10" s="17">
        <v>26000</v>
      </c>
      <c r="J10" s="165"/>
      <c r="K10" s="166"/>
      <c r="L10" s="165">
        <v>411</v>
      </c>
      <c r="M10" s="166"/>
      <c r="N10" s="165"/>
      <c r="O10" s="166"/>
      <c r="P10" s="165"/>
      <c r="Q10" s="166"/>
      <c r="R10" s="62">
        <v>45</v>
      </c>
      <c r="S10" s="14" t="s">
        <v>20</v>
      </c>
      <c r="T10" s="42" t="s">
        <v>295</v>
      </c>
      <c r="U10" s="205"/>
      <c r="V10" s="206"/>
      <c r="W10" s="207"/>
    </row>
    <row r="11" spans="1:23" x14ac:dyDescent="0.3">
      <c r="A11" s="181"/>
      <c r="B11" s="5"/>
      <c r="C11" s="5">
        <v>0.58333333333333337</v>
      </c>
      <c r="D11" s="4" t="s">
        <v>102</v>
      </c>
      <c r="E11" s="12" t="s">
        <v>294</v>
      </c>
      <c r="F11" s="17">
        <v>543</v>
      </c>
      <c r="G11" s="17">
        <v>304</v>
      </c>
      <c r="H11" s="18">
        <v>0.9</v>
      </c>
      <c r="I11" s="17">
        <v>26000</v>
      </c>
      <c r="J11" s="165"/>
      <c r="K11" s="166"/>
      <c r="L11" s="165">
        <v>180</v>
      </c>
      <c r="M11" s="166"/>
      <c r="N11" s="165"/>
      <c r="O11" s="166"/>
      <c r="P11" s="165"/>
      <c r="Q11" s="166"/>
      <c r="R11" s="62">
        <v>30</v>
      </c>
      <c r="S11" s="14" t="s">
        <v>20</v>
      </c>
      <c r="T11" s="42" t="s">
        <v>110</v>
      </c>
      <c r="U11" s="205"/>
      <c r="V11" s="206"/>
      <c r="W11" s="207"/>
    </row>
    <row r="12" spans="1:23" x14ac:dyDescent="0.3">
      <c r="A12" s="181"/>
      <c r="B12" s="5"/>
      <c r="C12" s="5"/>
      <c r="D12" s="4"/>
      <c r="E12" s="12"/>
      <c r="F12" s="17"/>
      <c r="G12" s="17"/>
      <c r="H12" s="18"/>
      <c r="I12" s="17"/>
      <c r="J12" s="165"/>
      <c r="K12" s="166"/>
      <c r="L12" s="165"/>
      <c r="M12" s="166"/>
      <c r="N12" s="165"/>
      <c r="O12" s="166"/>
      <c r="P12" s="165"/>
      <c r="Q12" s="166"/>
      <c r="R12" s="62"/>
      <c r="S12" s="14" t="s">
        <v>20</v>
      </c>
      <c r="T12" s="42"/>
      <c r="U12" s="205"/>
      <c r="V12" s="206"/>
      <c r="W12" s="207"/>
    </row>
    <row r="13" spans="1:23" x14ac:dyDescent="0.3">
      <c r="A13" s="182"/>
      <c r="B13" s="170" t="s">
        <v>0</v>
      </c>
      <c r="C13" s="171"/>
      <c r="D13" s="171"/>
      <c r="E13" s="171"/>
      <c r="F13" s="171"/>
      <c r="G13" s="171"/>
      <c r="H13" s="171"/>
      <c r="I13" s="172"/>
      <c r="J13" s="21">
        <f>SUM(J7:K12)</f>
        <v>0</v>
      </c>
      <c r="K13" s="22" t="s">
        <v>17</v>
      </c>
      <c r="L13" s="21">
        <f>SUM(L7:M12)</f>
        <v>1440</v>
      </c>
      <c r="M13" s="22" t="s">
        <v>17</v>
      </c>
      <c r="N13" s="21">
        <f>SUM(N7:O12)</f>
        <v>140</v>
      </c>
      <c r="O13" s="22" t="s">
        <v>17</v>
      </c>
      <c r="P13" s="21">
        <f>SUM(P7:Q12)</f>
        <v>0</v>
      </c>
      <c r="Q13" s="22" t="s">
        <v>17</v>
      </c>
      <c r="R13" s="23">
        <f>SUM(R7:R12)</f>
        <v>130</v>
      </c>
      <c r="S13" s="24" t="s">
        <v>20</v>
      </c>
      <c r="T13" s="19"/>
      <c r="U13" s="208"/>
      <c r="V13" s="209"/>
      <c r="W13" s="210"/>
    </row>
    <row r="14" spans="1:23" ht="14.55" customHeight="1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spans="1:23" ht="14.55" customHeight="1" x14ac:dyDescent="0.3">
      <c r="A15" s="27"/>
      <c r="B15" s="27"/>
      <c r="C15" s="27"/>
      <c r="D15" s="27"/>
      <c r="E15" s="170" t="s">
        <v>27</v>
      </c>
      <c r="F15" s="171"/>
      <c r="G15" s="171"/>
      <c r="H15" s="171"/>
      <c r="I15" s="172"/>
      <c r="J15" s="175" t="s">
        <v>7</v>
      </c>
      <c r="K15" s="176"/>
      <c r="L15" s="175" t="s">
        <v>8</v>
      </c>
      <c r="M15" s="176"/>
      <c r="N15" s="175" t="s">
        <v>9</v>
      </c>
      <c r="O15" s="176"/>
      <c r="P15" s="175" t="s">
        <v>117</v>
      </c>
      <c r="Q15" s="176"/>
      <c r="R15" s="27"/>
      <c r="S15" s="27"/>
    </row>
    <row r="16" spans="1:23" ht="14.55" customHeight="1" x14ac:dyDescent="0.3">
      <c r="A16" s="27"/>
      <c r="B16" s="27"/>
      <c r="C16" s="27"/>
      <c r="D16" s="27"/>
      <c r="E16" s="15"/>
      <c r="F16" s="15"/>
      <c r="G16" s="15"/>
      <c r="H16" s="15"/>
      <c r="I16" s="15"/>
      <c r="J16" s="30">
        <f>J13</f>
        <v>0</v>
      </c>
      <c r="K16" s="31" t="s">
        <v>17</v>
      </c>
      <c r="L16" s="32">
        <f>L13</f>
        <v>1440</v>
      </c>
      <c r="M16" s="31" t="s">
        <v>17</v>
      </c>
      <c r="N16" s="32">
        <f>N13</f>
        <v>140</v>
      </c>
      <c r="O16" s="31" t="s">
        <v>17</v>
      </c>
      <c r="P16" s="33">
        <f>P13</f>
        <v>0</v>
      </c>
      <c r="Q16" s="34" t="s">
        <v>17</v>
      </c>
      <c r="R16" s="27"/>
      <c r="S16" s="27"/>
    </row>
    <row r="17" spans="1:23" ht="30" customHeight="1" x14ac:dyDescent="0.3">
      <c r="A17" s="27"/>
      <c r="B17" s="27"/>
      <c r="C17" s="27"/>
      <c r="D17" s="27"/>
      <c r="E17" s="28"/>
      <c r="F17" s="28"/>
      <c r="G17" s="28"/>
      <c r="H17" s="28"/>
      <c r="I17" s="28"/>
      <c r="J17" s="167">
        <f>J16+L16+N16+P16</f>
        <v>1580</v>
      </c>
      <c r="K17" s="168"/>
      <c r="L17" s="168"/>
      <c r="M17" s="168"/>
      <c r="N17" s="168"/>
      <c r="O17" s="168"/>
      <c r="P17" s="168"/>
      <c r="Q17" s="169"/>
      <c r="R17" s="27"/>
      <c r="S17" s="27"/>
    </row>
    <row r="18" spans="1:23" ht="30" customHeight="1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 spans="1:23" s="37" customFormat="1" ht="19.95" customHeight="1" x14ac:dyDescent="0.4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183" t="s">
        <v>14</v>
      </c>
      <c r="R19" s="183"/>
      <c r="S19" s="183"/>
      <c r="T19" s="184">
        <f>T3</f>
        <v>45927</v>
      </c>
      <c r="U19" s="185"/>
      <c r="V19" s="185"/>
      <c r="W19" s="186"/>
    </row>
    <row r="20" spans="1:23" s="16" customFormat="1" ht="30" customHeight="1" x14ac:dyDescent="0.3">
      <c r="A20" s="187" t="s">
        <v>29</v>
      </c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9"/>
      <c r="Q20" s="189"/>
      <c r="R20" s="189"/>
      <c r="S20" s="189"/>
      <c r="T20" s="188"/>
      <c r="U20" s="188"/>
      <c r="V20" s="188"/>
      <c r="W20" s="190"/>
    </row>
    <row r="21" spans="1:23" s="26" customFormat="1" ht="13.8" x14ac:dyDescent="0.3">
      <c r="A21" s="191" t="s">
        <v>1</v>
      </c>
      <c r="B21" s="192" t="s">
        <v>2</v>
      </c>
      <c r="C21" s="192" t="s">
        <v>3</v>
      </c>
      <c r="D21" s="192" t="s">
        <v>4</v>
      </c>
      <c r="E21" s="193" t="s">
        <v>5</v>
      </c>
      <c r="F21" s="195" t="s">
        <v>21</v>
      </c>
      <c r="G21" s="195" t="s">
        <v>22</v>
      </c>
      <c r="H21" s="195" t="s">
        <v>33</v>
      </c>
      <c r="I21" s="195" t="s">
        <v>30</v>
      </c>
      <c r="J21" s="193" t="s">
        <v>6</v>
      </c>
      <c r="K21" s="197"/>
      <c r="L21" s="197"/>
      <c r="M21" s="197"/>
      <c r="N21" s="197"/>
      <c r="O21" s="197"/>
      <c r="P21" s="197"/>
      <c r="Q21" s="198"/>
      <c r="R21" s="193" t="s">
        <v>10</v>
      </c>
      <c r="S21" s="198"/>
      <c r="T21" s="191" t="s">
        <v>11</v>
      </c>
      <c r="U21" s="191" t="s">
        <v>12</v>
      </c>
      <c r="V21" s="191"/>
      <c r="W21" s="191"/>
    </row>
    <row r="22" spans="1:23" s="26" customFormat="1" ht="13.8" x14ac:dyDescent="0.3">
      <c r="A22" s="191"/>
      <c r="B22" s="192"/>
      <c r="C22" s="192"/>
      <c r="D22" s="192"/>
      <c r="E22" s="194"/>
      <c r="F22" s="196"/>
      <c r="G22" s="196"/>
      <c r="H22" s="196"/>
      <c r="I22" s="196"/>
      <c r="J22" s="200" t="s">
        <v>7</v>
      </c>
      <c r="K22" s="201"/>
      <c r="L22" s="200" t="s">
        <v>8</v>
      </c>
      <c r="M22" s="201"/>
      <c r="N22" s="200" t="s">
        <v>9</v>
      </c>
      <c r="O22" s="201"/>
      <c r="P22" s="200" t="s">
        <v>117</v>
      </c>
      <c r="Q22" s="201"/>
      <c r="R22" s="194"/>
      <c r="S22" s="199"/>
      <c r="T22" s="191"/>
      <c r="U22" s="191"/>
      <c r="V22" s="191"/>
      <c r="W22" s="191"/>
    </row>
    <row r="23" spans="1:23" ht="14.55" customHeight="1" x14ac:dyDescent="0.3">
      <c r="A23" s="180" t="s">
        <v>32</v>
      </c>
      <c r="B23" s="5">
        <v>0.33333333333333331</v>
      </c>
      <c r="C23" s="5"/>
      <c r="D23" s="4">
        <v>250043</v>
      </c>
      <c r="E23" s="12" t="s">
        <v>297</v>
      </c>
      <c r="F23" s="40">
        <v>304</v>
      </c>
      <c r="G23" s="41">
        <v>0.6</v>
      </c>
      <c r="H23" s="40">
        <v>562</v>
      </c>
      <c r="I23" s="12">
        <v>6</v>
      </c>
      <c r="J23" s="165"/>
      <c r="K23" s="166"/>
      <c r="L23" s="165">
        <v>530</v>
      </c>
      <c r="M23" s="166"/>
      <c r="N23" s="165"/>
      <c r="O23" s="166"/>
      <c r="P23" s="165"/>
      <c r="Q23" s="166"/>
      <c r="R23" s="62"/>
      <c r="S23" s="14" t="s">
        <v>20</v>
      </c>
      <c r="T23" s="42"/>
      <c r="U23" s="177"/>
      <c r="V23" s="178"/>
      <c r="W23" s="179"/>
    </row>
    <row r="24" spans="1:23" ht="14.55" customHeight="1" x14ac:dyDescent="0.3">
      <c r="A24" s="181"/>
      <c r="B24" s="5"/>
      <c r="C24" s="5">
        <v>0.58333333333333337</v>
      </c>
      <c r="D24" s="4" t="s">
        <v>248</v>
      </c>
      <c r="E24" s="12" t="s">
        <v>298</v>
      </c>
      <c r="F24" s="40">
        <v>304</v>
      </c>
      <c r="G24" s="41">
        <v>0.6</v>
      </c>
      <c r="H24" s="40">
        <v>562</v>
      </c>
      <c r="I24" s="12">
        <v>6</v>
      </c>
      <c r="J24" s="165"/>
      <c r="K24" s="166"/>
      <c r="L24" s="165">
        <v>5</v>
      </c>
      <c r="M24" s="166"/>
      <c r="N24" s="165"/>
      <c r="O24" s="166"/>
      <c r="P24" s="165"/>
      <c r="Q24" s="166"/>
      <c r="R24" s="62"/>
      <c r="S24" s="14" t="s">
        <v>20</v>
      </c>
      <c r="T24" s="42"/>
      <c r="U24" s="177"/>
      <c r="V24" s="178"/>
      <c r="W24" s="179"/>
    </row>
    <row r="25" spans="1:23" ht="14.55" customHeight="1" x14ac:dyDescent="0.3">
      <c r="A25" s="181"/>
      <c r="B25" s="5"/>
      <c r="C25" s="5"/>
      <c r="D25" s="4"/>
      <c r="E25" s="12"/>
      <c r="F25" s="40"/>
      <c r="G25" s="41"/>
      <c r="H25" s="40"/>
      <c r="I25" s="12"/>
      <c r="J25" s="165"/>
      <c r="K25" s="166"/>
      <c r="L25" s="165"/>
      <c r="M25" s="166"/>
      <c r="N25" s="165"/>
      <c r="O25" s="166"/>
      <c r="P25" s="165"/>
      <c r="Q25" s="166"/>
      <c r="R25" s="62"/>
      <c r="S25" s="14" t="s">
        <v>20</v>
      </c>
      <c r="T25" s="42"/>
      <c r="U25" s="177"/>
      <c r="V25" s="178"/>
      <c r="W25" s="179"/>
    </row>
    <row r="26" spans="1:23" ht="14.55" customHeight="1" x14ac:dyDescent="0.3">
      <c r="A26" s="181"/>
      <c r="B26" s="5"/>
      <c r="C26" s="5"/>
      <c r="D26" s="4"/>
      <c r="E26" s="12"/>
      <c r="F26" s="40"/>
      <c r="G26" s="41"/>
      <c r="H26" s="40"/>
      <c r="I26" s="12"/>
      <c r="J26" s="165"/>
      <c r="K26" s="166"/>
      <c r="L26" s="165"/>
      <c r="M26" s="166"/>
      <c r="N26" s="165"/>
      <c r="O26" s="166"/>
      <c r="P26" s="165"/>
      <c r="Q26" s="166"/>
      <c r="R26" s="62"/>
      <c r="S26" s="14" t="s">
        <v>20</v>
      </c>
      <c r="T26" s="42"/>
      <c r="U26" s="177"/>
      <c r="V26" s="178"/>
      <c r="W26" s="179"/>
    </row>
    <row r="27" spans="1:23" ht="14.55" customHeight="1" x14ac:dyDescent="0.3">
      <c r="A27" s="182"/>
      <c r="B27" s="19"/>
      <c r="C27" s="19"/>
      <c r="D27" s="20"/>
      <c r="E27" s="170" t="s">
        <v>0</v>
      </c>
      <c r="F27" s="171"/>
      <c r="G27" s="171"/>
      <c r="H27" s="171"/>
      <c r="I27" s="172"/>
      <c r="J27" s="173">
        <f>SUM(J23:K26)</f>
        <v>0</v>
      </c>
      <c r="K27" s="174"/>
      <c r="L27" s="173">
        <f>SUM(L23:M26)</f>
        <v>535</v>
      </c>
      <c r="M27" s="174"/>
      <c r="N27" s="173">
        <f>SUM(N23:O26)</f>
        <v>0</v>
      </c>
      <c r="O27" s="174"/>
      <c r="P27" s="173">
        <f>SUM(P23:Q26)</f>
        <v>0</v>
      </c>
      <c r="Q27" s="174"/>
      <c r="R27" s="23">
        <f>SUM(R23:R26)</f>
        <v>0</v>
      </c>
      <c r="S27" s="24" t="s">
        <v>20</v>
      </c>
      <c r="T27" s="19"/>
      <c r="U27" s="177"/>
      <c r="V27" s="178"/>
      <c r="W27" s="179"/>
    </row>
    <row r="28" spans="1:23" ht="14.55" customHeight="1" x14ac:dyDescent="0.3">
      <c r="A28" s="163" t="s">
        <v>34</v>
      </c>
      <c r="B28" s="5"/>
      <c r="C28" s="5"/>
      <c r="D28" s="4"/>
      <c r="E28" s="12"/>
      <c r="F28" s="40"/>
      <c r="G28" s="41"/>
      <c r="H28" s="40"/>
      <c r="I28" s="12"/>
      <c r="J28" s="165"/>
      <c r="K28" s="166"/>
      <c r="L28" s="165"/>
      <c r="M28" s="166"/>
      <c r="N28" s="165"/>
      <c r="O28" s="166"/>
      <c r="P28" s="165"/>
      <c r="Q28" s="166"/>
      <c r="R28" s="62"/>
      <c r="S28" s="14" t="s">
        <v>20</v>
      </c>
      <c r="T28" s="42"/>
      <c r="U28" s="177"/>
      <c r="V28" s="178"/>
      <c r="W28" s="179"/>
    </row>
    <row r="29" spans="1:23" ht="14.55" customHeight="1" x14ac:dyDescent="0.3">
      <c r="A29" s="163"/>
      <c r="B29" s="5"/>
      <c r="C29" s="5"/>
      <c r="D29" s="4"/>
      <c r="E29" s="12"/>
      <c r="F29" s="40"/>
      <c r="G29" s="41"/>
      <c r="H29" s="40"/>
      <c r="I29" s="12"/>
      <c r="J29" s="165"/>
      <c r="K29" s="166"/>
      <c r="L29" s="165"/>
      <c r="M29" s="166"/>
      <c r="N29" s="165"/>
      <c r="O29" s="166"/>
      <c r="P29" s="165"/>
      <c r="Q29" s="166"/>
      <c r="R29" s="62"/>
      <c r="S29" s="14" t="s">
        <v>20</v>
      </c>
      <c r="T29" s="42"/>
      <c r="U29" s="177"/>
      <c r="V29" s="178"/>
      <c r="W29" s="179"/>
    </row>
    <row r="30" spans="1:23" ht="14.55" customHeight="1" x14ac:dyDescent="0.3">
      <c r="A30" s="163"/>
      <c r="B30" s="5"/>
      <c r="C30" s="5"/>
      <c r="D30" s="4"/>
      <c r="E30" s="12"/>
      <c r="F30" s="40"/>
      <c r="G30" s="41"/>
      <c r="H30" s="40"/>
      <c r="I30" s="12"/>
      <c r="J30" s="165"/>
      <c r="K30" s="166"/>
      <c r="L30" s="165"/>
      <c r="M30" s="166"/>
      <c r="N30" s="165"/>
      <c r="O30" s="166"/>
      <c r="P30" s="165"/>
      <c r="Q30" s="166"/>
      <c r="R30" s="62"/>
      <c r="S30" s="14" t="s">
        <v>20</v>
      </c>
      <c r="T30" s="42"/>
      <c r="U30" s="177"/>
      <c r="V30" s="178"/>
      <c r="W30" s="179"/>
    </row>
    <row r="31" spans="1:23" ht="14.55" customHeight="1" x14ac:dyDescent="0.3">
      <c r="A31" s="164"/>
      <c r="B31" s="19"/>
      <c r="C31" s="19"/>
      <c r="D31" s="20"/>
      <c r="E31" s="170" t="s">
        <v>0</v>
      </c>
      <c r="F31" s="171"/>
      <c r="G31" s="171"/>
      <c r="H31" s="171"/>
      <c r="I31" s="172"/>
      <c r="J31" s="173">
        <f>SUM(J28:K30)</f>
        <v>0</v>
      </c>
      <c r="K31" s="174"/>
      <c r="L31" s="173">
        <f>SUM(L28:M30)</f>
        <v>0</v>
      </c>
      <c r="M31" s="174"/>
      <c r="N31" s="173">
        <f>SUM(N28:O30)</f>
        <v>0</v>
      </c>
      <c r="O31" s="174"/>
      <c r="P31" s="173">
        <f>SUM(P28:Q30)</f>
        <v>0</v>
      </c>
      <c r="Q31" s="174"/>
      <c r="R31" s="23">
        <f>SUM(R28:R30)</f>
        <v>0</v>
      </c>
      <c r="S31" s="24" t="s">
        <v>20</v>
      </c>
      <c r="T31" s="19"/>
      <c r="U31" s="177"/>
      <c r="V31" s="178"/>
      <c r="W31" s="179"/>
    </row>
    <row r="32" spans="1:23" ht="14.55" customHeight="1" x14ac:dyDescent="0.3">
      <c r="A32" s="163" t="s">
        <v>35</v>
      </c>
      <c r="B32" s="5"/>
      <c r="C32" s="5"/>
      <c r="D32" s="4"/>
      <c r="E32" s="12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62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63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62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63"/>
      <c r="B34" s="5"/>
      <c r="C34" s="5"/>
      <c r="D34" s="4"/>
      <c r="E34" s="12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62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63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62"/>
      <c r="S35" s="14" t="s">
        <v>20</v>
      </c>
      <c r="T35" s="42"/>
      <c r="U35" s="177"/>
      <c r="V35" s="178"/>
      <c r="W35" s="179"/>
    </row>
    <row r="36" spans="1:23" ht="14.55" customHeight="1" x14ac:dyDescent="0.3">
      <c r="A36" s="164"/>
      <c r="B36" s="19"/>
      <c r="C36" s="19"/>
      <c r="D36" s="20"/>
      <c r="E36" s="170" t="s">
        <v>0</v>
      </c>
      <c r="F36" s="171"/>
      <c r="G36" s="171"/>
      <c r="H36" s="171"/>
      <c r="I36" s="172"/>
      <c r="J36" s="173">
        <f>SUM(J32:K35)</f>
        <v>0</v>
      </c>
      <c r="K36" s="174"/>
      <c r="L36" s="173">
        <f>SUM(L32:M35)</f>
        <v>0</v>
      </c>
      <c r="M36" s="174"/>
      <c r="N36" s="173">
        <f>SUM(N32:O35)</f>
        <v>0</v>
      </c>
      <c r="O36" s="174"/>
      <c r="P36" s="173">
        <f>SUM(P32:Q35)</f>
        <v>0</v>
      </c>
      <c r="Q36" s="174"/>
      <c r="R36" s="23">
        <f>SUM(R32:R35)</f>
        <v>0</v>
      </c>
      <c r="S36" s="24" t="s">
        <v>20</v>
      </c>
      <c r="T36" s="19"/>
      <c r="U36" s="177"/>
      <c r="V36" s="178"/>
      <c r="W36" s="179"/>
    </row>
    <row r="37" spans="1:23" ht="14.55" customHeight="1" x14ac:dyDescent="0.3">
      <c r="A37" s="27"/>
      <c r="B37" s="27"/>
      <c r="C37" s="27"/>
      <c r="D37" s="27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27"/>
      <c r="S37" s="27"/>
      <c r="T37" s="39"/>
      <c r="U37" s="39"/>
      <c r="V37" s="39"/>
      <c r="W37" s="39"/>
    </row>
    <row r="38" spans="1:23" x14ac:dyDescent="0.3">
      <c r="E38" s="170" t="s">
        <v>31</v>
      </c>
      <c r="F38" s="171"/>
      <c r="G38" s="171"/>
      <c r="H38" s="171"/>
      <c r="I38" s="172"/>
      <c r="J38" s="175" t="s">
        <v>7</v>
      </c>
      <c r="K38" s="176"/>
      <c r="L38" s="175" t="s">
        <v>8</v>
      </c>
      <c r="M38" s="176"/>
      <c r="N38" s="175" t="s">
        <v>9</v>
      </c>
      <c r="O38" s="176"/>
      <c r="P38" s="175" t="s">
        <v>16</v>
      </c>
      <c r="Q38" s="176"/>
    </row>
    <row r="39" spans="1:23" s="2" customFormat="1" x14ac:dyDescent="0.3">
      <c r="E39" s="15"/>
      <c r="F39" s="15"/>
      <c r="G39" s="15"/>
      <c r="H39" s="15"/>
      <c r="I39" s="15"/>
      <c r="J39" s="30">
        <f>J27+J31+J36</f>
        <v>0</v>
      </c>
      <c r="K39" s="31" t="s">
        <v>17</v>
      </c>
      <c r="L39" s="30">
        <f>L27+L31+L36</f>
        <v>535</v>
      </c>
      <c r="M39" s="31" t="s">
        <v>17</v>
      </c>
      <c r="N39" s="30">
        <f>N27+N31+N36</f>
        <v>0</v>
      </c>
      <c r="O39" s="31" t="s">
        <v>17</v>
      </c>
      <c r="P39" s="30">
        <f>P27+P31+P36</f>
        <v>0</v>
      </c>
      <c r="Q39" s="34" t="s">
        <v>17</v>
      </c>
    </row>
    <row r="40" spans="1:23" ht="24.45" customHeight="1" x14ac:dyDescent="0.3">
      <c r="E40" s="28"/>
      <c r="F40" s="28"/>
      <c r="G40" s="28"/>
      <c r="H40" s="28"/>
      <c r="I40" s="28"/>
      <c r="J40" s="167">
        <f>J39+L39+N39+P39</f>
        <v>535</v>
      </c>
      <c r="K40" s="168"/>
      <c r="L40" s="168"/>
      <c r="M40" s="168"/>
      <c r="N40" s="168"/>
      <c r="O40" s="168"/>
      <c r="P40" s="168"/>
      <c r="Q40" s="169"/>
    </row>
    <row r="41" spans="1:23" ht="30" customHeight="1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</row>
    <row r="42" spans="1:23" s="37" customFormat="1" ht="19.95" customHeight="1" x14ac:dyDescent="0.4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6"/>
      <c r="Q42" s="214" t="s">
        <v>14</v>
      </c>
      <c r="R42" s="215"/>
      <c r="S42" s="216"/>
      <c r="T42" s="184">
        <f>T3</f>
        <v>45927</v>
      </c>
      <c r="U42" s="185"/>
      <c r="V42" s="185"/>
      <c r="W42" s="186"/>
    </row>
    <row r="43" spans="1:23" s="16" customFormat="1" ht="30" customHeight="1" x14ac:dyDescent="0.3">
      <c r="A43" s="187" t="s">
        <v>26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9"/>
      <c r="Q43" s="189"/>
      <c r="R43" s="189"/>
      <c r="S43" s="189"/>
      <c r="T43" s="188"/>
      <c r="U43" s="188"/>
      <c r="V43" s="188"/>
      <c r="W43" s="190"/>
    </row>
    <row r="44" spans="1:23" s="26" customFormat="1" ht="13.8" x14ac:dyDescent="0.3">
      <c r="A44" s="191" t="s">
        <v>1</v>
      </c>
      <c r="B44" s="192" t="s">
        <v>2</v>
      </c>
      <c r="C44" s="192" t="s">
        <v>3</v>
      </c>
      <c r="D44" s="192" t="s">
        <v>4</v>
      </c>
      <c r="E44" s="193" t="s">
        <v>5</v>
      </c>
      <c r="F44" s="197"/>
      <c r="G44" s="197"/>
      <c r="H44" s="197"/>
      <c r="I44" s="198"/>
      <c r="J44" s="193" t="s">
        <v>6</v>
      </c>
      <c r="K44" s="197"/>
      <c r="L44" s="197"/>
      <c r="M44" s="197"/>
      <c r="N44" s="197"/>
      <c r="O44" s="197"/>
      <c r="P44" s="197"/>
      <c r="Q44" s="198"/>
      <c r="R44" s="193" t="s">
        <v>10</v>
      </c>
      <c r="S44" s="198"/>
      <c r="T44" s="191" t="s">
        <v>11</v>
      </c>
      <c r="U44" s="191" t="s">
        <v>12</v>
      </c>
      <c r="V44" s="191"/>
      <c r="W44" s="191"/>
    </row>
    <row r="45" spans="1:23" s="26" customFormat="1" ht="13.8" x14ac:dyDescent="0.3">
      <c r="A45" s="191"/>
      <c r="B45" s="192"/>
      <c r="C45" s="192"/>
      <c r="D45" s="192"/>
      <c r="E45" s="194"/>
      <c r="F45" s="217"/>
      <c r="G45" s="217"/>
      <c r="H45" s="217"/>
      <c r="I45" s="199"/>
      <c r="J45" s="200" t="s">
        <v>7</v>
      </c>
      <c r="K45" s="201"/>
      <c r="L45" s="200" t="s">
        <v>8</v>
      </c>
      <c r="M45" s="201"/>
      <c r="N45" s="200" t="s">
        <v>9</v>
      </c>
      <c r="O45" s="201"/>
      <c r="P45" s="200" t="s">
        <v>16</v>
      </c>
      <c r="Q45" s="201"/>
      <c r="R45" s="194"/>
      <c r="S45" s="199"/>
      <c r="T45" s="191"/>
      <c r="U45" s="191"/>
      <c r="V45" s="191"/>
      <c r="W45" s="191"/>
    </row>
    <row r="46" spans="1:23" x14ac:dyDescent="0.3">
      <c r="A46" s="180" t="s">
        <v>13</v>
      </c>
      <c r="B46" s="5"/>
      <c r="C46" s="5"/>
      <c r="D46" s="4"/>
      <c r="E46" s="250" t="s">
        <v>299</v>
      </c>
      <c r="F46" s="251"/>
      <c r="G46" s="251"/>
      <c r="H46" s="251"/>
      <c r="I46" s="252"/>
      <c r="J46" s="165"/>
      <c r="K46" s="166"/>
      <c r="L46" s="165"/>
      <c r="M46" s="166"/>
      <c r="N46" s="165"/>
      <c r="O46" s="166"/>
      <c r="P46" s="165"/>
      <c r="Q46" s="166"/>
      <c r="R46" s="62"/>
      <c r="S46" s="6" t="s">
        <v>20</v>
      </c>
      <c r="T46" s="3"/>
      <c r="U46" s="202"/>
      <c r="V46" s="203"/>
      <c r="W46" s="204"/>
    </row>
    <row r="47" spans="1:23" x14ac:dyDescent="0.3">
      <c r="A47" s="163"/>
      <c r="B47" s="5"/>
      <c r="C47" s="5"/>
      <c r="D47" s="4"/>
      <c r="E47" s="211"/>
      <c r="F47" s="212"/>
      <c r="G47" s="212"/>
      <c r="H47" s="212"/>
      <c r="I47" s="213"/>
      <c r="J47" s="165"/>
      <c r="K47" s="166"/>
      <c r="L47" s="165"/>
      <c r="M47" s="166"/>
      <c r="N47" s="165"/>
      <c r="O47" s="166"/>
      <c r="P47" s="165"/>
      <c r="Q47" s="166"/>
      <c r="R47" s="62"/>
      <c r="S47" s="6" t="s">
        <v>20</v>
      </c>
      <c r="T47" s="3"/>
      <c r="U47" s="205"/>
      <c r="V47" s="206"/>
      <c r="W47" s="207"/>
    </row>
    <row r="48" spans="1:23" x14ac:dyDescent="0.3">
      <c r="A48" s="163"/>
      <c r="B48" s="5"/>
      <c r="C48" s="5"/>
      <c r="D48" s="4"/>
      <c r="E48" s="211"/>
      <c r="F48" s="212"/>
      <c r="G48" s="212"/>
      <c r="H48" s="212"/>
      <c r="I48" s="213"/>
      <c r="J48" s="165"/>
      <c r="K48" s="166"/>
      <c r="L48" s="165"/>
      <c r="M48" s="166"/>
      <c r="N48" s="165"/>
      <c r="O48" s="166"/>
      <c r="P48" s="165"/>
      <c r="Q48" s="166"/>
      <c r="R48" s="62"/>
      <c r="S48" s="6" t="s">
        <v>20</v>
      </c>
      <c r="T48" s="3"/>
      <c r="U48" s="205"/>
      <c r="V48" s="206"/>
      <c r="W48" s="207"/>
    </row>
    <row r="49" spans="1:23" x14ac:dyDescent="0.3">
      <c r="A49" s="163"/>
      <c r="B49" s="5"/>
      <c r="C49" s="5"/>
      <c r="D49" s="4"/>
      <c r="E49" s="211"/>
      <c r="F49" s="212"/>
      <c r="G49" s="212"/>
      <c r="H49" s="212"/>
      <c r="I49" s="213"/>
      <c r="J49" s="165"/>
      <c r="K49" s="166"/>
      <c r="L49" s="165"/>
      <c r="M49" s="166"/>
      <c r="N49" s="165"/>
      <c r="O49" s="166"/>
      <c r="P49" s="165"/>
      <c r="Q49" s="166"/>
      <c r="R49" s="62"/>
      <c r="S49" s="6" t="s">
        <v>20</v>
      </c>
      <c r="T49" s="3"/>
      <c r="U49" s="205"/>
      <c r="V49" s="206"/>
      <c r="W49" s="207"/>
    </row>
    <row r="50" spans="1:23" x14ac:dyDescent="0.3">
      <c r="A50" s="164"/>
      <c r="B50" s="19"/>
      <c r="C50" s="19"/>
      <c r="D50" s="20"/>
      <c r="E50" s="170" t="s">
        <v>0</v>
      </c>
      <c r="F50" s="171"/>
      <c r="G50" s="171"/>
      <c r="H50" s="171"/>
      <c r="I50" s="172"/>
      <c r="J50" s="173">
        <f>SUM(J46:J49)</f>
        <v>0</v>
      </c>
      <c r="K50" s="174"/>
      <c r="L50" s="173">
        <f>SUM(L46:L49)</f>
        <v>0</v>
      </c>
      <c r="M50" s="174"/>
      <c r="N50" s="173">
        <f>SUM(N46:N49)</f>
        <v>0</v>
      </c>
      <c r="O50" s="174"/>
      <c r="P50" s="173">
        <f>SUM(P46:P49)</f>
        <v>0</v>
      </c>
      <c r="Q50" s="174"/>
      <c r="R50" s="23">
        <f>SUM(R46:R49)</f>
        <v>0</v>
      </c>
      <c r="S50" s="24" t="s">
        <v>20</v>
      </c>
      <c r="T50" s="19"/>
      <c r="U50" s="208"/>
      <c r="V50" s="209"/>
      <c r="W50" s="210"/>
    </row>
    <row r="51" spans="1:23" x14ac:dyDescent="0.3">
      <c r="A51" s="180" t="s">
        <v>15</v>
      </c>
      <c r="B51" s="5"/>
      <c r="C51" s="5"/>
      <c r="D51" s="4"/>
      <c r="E51" s="211"/>
      <c r="F51" s="212"/>
      <c r="G51" s="212"/>
      <c r="H51" s="212"/>
      <c r="I51" s="213"/>
      <c r="J51" s="165"/>
      <c r="K51" s="166"/>
      <c r="L51" s="165"/>
      <c r="M51" s="166"/>
      <c r="N51" s="165"/>
      <c r="O51" s="166"/>
      <c r="P51" s="165"/>
      <c r="Q51" s="166"/>
      <c r="R51" s="62"/>
      <c r="S51" s="6" t="s">
        <v>20</v>
      </c>
      <c r="T51" s="3"/>
      <c r="U51" s="202"/>
      <c r="V51" s="203"/>
      <c r="W51" s="204"/>
    </row>
    <row r="52" spans="1:23" x14ac:dyDescent="0.3">
      <c r="A52" s="163"/>
      <c r="B52" s="5"/>
      <c r="C52" s="5"/>
      <c r="D52" s="4"/>
      <c r="E52" s="211"/>
      <c r="F52" s="212"/>
      <c r="G52" s="212"/>
      <c r="H52" s="212"/>
      <c r="I52" s="213"/>
      <c r="J52" s="165"/>
      <c r="K52" s="166"/>
      <c r="L52" s="165"/>
      <c r="M52" s="166"/>
      <c r="N52" s="165"/>
      <c r="O52" s="166"/>
      <c r="P52" s="165"/>
      <c r="Q52" s="166"/>
      <c r="R52" s="62"/>
      <c r="S52" s="6" t="s">
        <v>20</v>
      </c>
      <c r="T52" s="3"/>
      <c r="U52" s="205"/>
      <c r="V52" s="206"/>
      <c r="W52" s="207"/>
    </row>
    <row r="53" spans="1:23" x14ac:dyDescent="0.3">
      <c r="A53" s="163"/>
      <c r="B53" s="5"/>
      <c r="C53" s="5"/>
      <c r="D53" s="4"/>
      <c r="E53" s="211"/>
      <c r="F53" s="212"/>
      <c r="G53" s="212"/>
      <c r="H53" s="212"/>
      <c r="I53" s="213"/>
      <c r="J53" s="165"/>
      <c r="K53" s="166"/>
      <c r="L53" s="165"/>
      <c r="M53" s="166"/>
      <c r="N53" s="165"/>
      <c r="O53" s="166"/>
      <c r="P53" s="165"/>
      <c r="Q53" s="166"/>
      <c r="R53" s="62"/>
      <c r="S53" s="6" t="s">
        <v>20</v>
      </c>
      <c r="T53" s="3"/>
      <c r="U53" s="205"/>
      <c r="V53" s="206"/>
      <c r="W53" s="207"/>
    </row>
    <row r="54" spans="1:23" x14ac:dyDescent="0.3">
      <c r="A54" s="164"/>
      <c r="B54" s="19"/>
      <c r="C54" s="19"/>
      <c r="D54" s="20"/>
      <c r="E54" s="170" t="s">
        <v>0</v>
      </c>
      <c r="F54" s="171"/>
      <c r="G54" s="171"/>
      <c r="H54" s="171"/>
      <c r="I54" s="172"/>
      <c r="J54" s="173">
        <f>SUM(J51:J53)</f>
        <v>0</v>
      </c>
      <c r="K54" s="174"/>
      <c r="L54" s="173">
        <f>SUM(L51:L53)</f>
        <v>0</v>
      </c>
      <c r="M54" s="174"/>
      <c r="N54" s="173">
        <f>SUM(N51:N53)</f>
        <v>0</v>
      </c>
      <c r="O54" s="174"/>
      <c r="P54" s="173">
        <f>SUM(P49:P53)</f>
        <v>0</v>
      </c>
      <c r="Q54" s="174"/>
      <c r="R54" s="23">
        <f>SUM(R51:R53)</f>
        <v>0</v>
      </c>
      <c r="S54" s="24" t="s">
        <v>20</v>
      </c>
      <c r="T54" s="7"/>
      <c r="U54" s="208"/>
      <c r="V54" s="209"/>
      <c r="W54" s="210"/>
    </row>
    <row r="55" spans="1:23" x14ac:dyDescent="0.3">
      <c r="A55" s="180" t="s">
        <v>37</v>
      </c>
      <c r="B55" s="5"/>
      <c r="C55" s="5"/>
      <c r="D55" s="4"/>
      <c r="E55" s="250" t="s">
        <v>300</v>
      </c>
      <c r="F55" s="251"/>
      <c r="G55" s="251"/>
      <c r="H55" s="251"/>
      <c r="I55" s="252"/>
      <c r="J55" s="165"/>
      <c r="K55" s="166"/>
      <c r="L55" s="165"/>
      <c r="M55" s="166"/>
      <c r="N55" s="165"/>
      <c r="O55" s="166"/>
      <c r="P55" s="165"/>
      <c r="Q55" s="166"/>
      <c r="R55" s="62"/>
      <c r="S55" s="6" t="s">
        <v>20</v>
      </c>
      <c r="T55" s="3"/>
      <c r="U55" s="202"/>
      <c r="V55" s="203"/>
      <c r="W55" s="204"/>
    </row>
    <row r="56" spans="1:23" x14ac:dyDescent="0.3">
      <c r="A56" s="163"/>
      <c r="B56" s="5"/>
      <c r="C56" s="5"/>
      <c r="D56" s="4"/>
      <c r="E56" s="211"/>
      <c r="F56" s="212"/>
      <c r="G56" s="212"/>
      <c r="H56" s="212"/>
      <c r="I56" s="213"/>
      <c r="J56" s="165"/>
      <c r="K56" s="166"/>
      <c r="L56" s="165"/>
      <c r="M56" s="166"/>
      <c r="N56" s="165"/>
      <c r="O56" s="166"/>
      <c r="P56" s="165"/>
      <c r="Q56" s="166"/>
      <c r="R56" s="62"/>
      <c r="S56" s="6" t="s">
        <v>20</v>
      </c>
      <c r="T56" s="3"/>
      <c r="U56" s="205"/>
      <c r="V56" s="206"/>
      <c r="W56" s="207"/>
    </row>
    <row r="57" spans="1:23" x14ac:dyDescent="0.3">
      <c r="A57" s="163"/>
      <c r="B57" s="5"/>
      <c r="C57" s="5"/>
      <c r="D57" s="4"/>
      <c r="E57" s="211"/>
      <c r="F57" s="212"/>
      <c r="G57" s="212"/>
      <c r="H57" s="212"/>
      <c r="I57" s="213"/>
      <c r="J57" s="165"/>
      <c r="K57" s="166"/>
      <c r="L57" s="165"/>
      <c r="M57" s="166"/>
      <c r="N57" s="165"/>
      <c r="O57" s="166"/>
      <c r="P57" s="165"/>
      <c r="Q57" s="166"/>
      <c r="R57" s="62"/>
      <c r="S57" s="6" t="s">
        <v>20</v>
      </c>
      <c r="T57" s="3"/>
      <c r="U57" s="205"/>
      <c r="V57" s="206"/>
      <c r="W57" s="207"/>
    </row>
    <row r="58" spans="1:23" x14ac:dyDescent="0.3">
      <c r="A58" s="164"/>
      <c r="B58" s="19"/>
      <c r="C58" s="19"/>
      <c r="D58" s="20"/>
      <c r="E58" s="170" t="s">
        <v>0</v>
      </c>
      <c r="F58" s="171"/>
      <c r="G58" s="171"/>
      <c r="H58" s="171"/>
      <c r="I58" s="172"/>
      <c r="J58" s="173">
        <f>SUM(J55:J57)</f>
        <v>0</v>
      </c>
      <c r="K58" s="174"/>
      <c r="L58" s="173">
        <f>SUM(L55:L57)</f>
        <v>0</v>
      </c>
      <c r="M58" s="174"/>
      <c r="N58" s="173">
        <f>SUM(N55:N57)</f>
        <v>0</v>
      </c>
      <c r="O58" s="174"/>
      <c r="P58" s="173">
        <f>SUM(P55:P57)</f>
        <v>0</v>
      </c>
      <c r="Q58" s="174"/>
      <c r="R58" s="23">
        <f>SUM(R55:R57)</f>
        <v>0</v>
      </c>
      <c r="S58" s="24" t="s">
        <v>20</v>
      </c>
      <c r="T58" s="19"/>
      <c r="U58" s="208"/>
      <c r="V58" s="209"/>
      <c r="W58" s="210"/>
    </row>
    <row r="59" spans="1:23" x14ac:dyDescent="0.3">
      <c r="A59" s="180" t="s">
        <v>36</v>
      </c>
      <c r="B59" s="5"/>
      <c r="C59" s="5"/>
      <c r="D59" s="4"/>
      <c r="E59" s="211"/>
      <c r="F59" s="212"/>
      <c r="G59" s="212"/>
      <c r="H59" s="212"/>
      <c r="I59" s="213"/>
      <c r="J59" s="165"/>
      <c r="K59" s="166"/>
      <c r="L59" s="165"/>
      <c r="M59" s="166"/>
      <c r="N59" s="165"/>
      <c r="O59" s="166"/>
      <c r="P59" s="165"/>
      <c r="Q59" s="166"/>
      <c r="R59" s="62"/>
      <c r="S59" s="6" t="s">
        <v>20</v>
      </c>
      <c r="T59" s="3"/>
      <c r="U59" s="202"/>
      <c r="V59" s="203"/>
      <c r="W59" s="204"/>
    </row>
    <row r="60" spans="1:23" x14ac:dyDescent="0.3">
      <c r="A60" s="163"/>
      <c r="B60" s="5"/>
      <c r="C60" s="5"/>
      <c r="D60" s="4"/>
      <c r="E60" s="211"/>
      <c r="F60" s="212"/>
      <c r="G60" s="212"/>
      <c r="H60" s="212"/>
      <c r="I60" s="213"/>
      <c r="J60" s="165"/>
      <c r="K60" s="166"/>
      <c r="L60" s="165"/>
      <c r="M60" s="166"/>
      <c r="N60" s="165"/>
      <c r="O60" s="166"/>
      <c r="P60" s="165"/>
      <c r="Q60" s="166"/>
      <c r="R60" s="62"/>
      <c r="S60" s="6" t="s">
        <v>20</v>
      </c>
      <c r="T60" s="3"/>
      <c r="U60" s="205"/>
      <c r="V60" s="206"/>
      <c r="W60" s="207"/>
    </row>
    <row r="61" spans="1:23" x14ac:dyDescent="0.3">
      <c r="A61" s="163"/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62"/>
      <c r="S61" s="6" t="s">
        <v>20</v>
      </c>
      <c r="T61" s="3"/>
      <c r="U61" s="205"/>
      <c r="V61" s="206"/>
      <c r="W61" s="207"/>
    </row>
    <row r="62" spans="1:23" x14ac:dyDescent="0.3">
      <c r="A62" s="164"/>
      <c r="B62" s="19"/>
      <c r="C62" s="19"/>
      <c r="D62" s="20"/>
      <c r="E62" s="170" t="s">
        <v>0</v>
      </c>
      <c r="F62" s="171"/>
      <c r="G62" s="171"/>
      <c r="H62" s="171"/>
      <c r="I62" s="172"/>
      <c r="J62" s="173">
        <f>SUM(J59:J61)</f>
        <v>0</v>
      </c>
      <c r="K62" s="174"/>
      <c r="L62" s="173">
        <f>SUM(L59:L61)</f>
        <v>0</v>
      </c>
      <c r="M62" s="174"/>
      <c r="N62" s="173">
        <f>SUM(N59:N61)</f>
        <v>0</v>
      </c>
      <c r="O62" s="174"/>
      <c r="P62" s="173">
        <f>SUM(P59:P61)</f>
        <v>0</v>
      </c>
      <c r="Q62" s="174"/>
      <c r="R62" s="23">
        <f>SUM(R59:R61)</f>
        <v>0</v>
      </c>
      <c r="S62" s="24" t="s">
        <v>20</v>
      </c>
      <c r="T62" s="19"/>
      <c r="U62" s="208"/>
      <c r="V62" s="209"/>
      <c r="W62" s="210"/>
    </row>
    <row r="63" spans="1:23" x14ac:dyDescent="0.3">
      <c r="E63" s="28"/>
      <c r="F63" s="28"/>
      <c r="G63" s="28"/>
      <c r="H63" s="28"/>
      <c r="I63" s="28"/>
      <c r="J63" s="29"/>
      <c r="K63" s="29"/>
      <c r="L63" s="29"/>
      <c r="M63" s="29"/>
      <c r="N63" s="29"/>
      <c r="O63" s="29"/>
      <c r="P63" s="29"/>
      <c r="Q63" s="29"/>
    </row>
    <row r="64" spans="1:23" x14ac:dyDescent="0.3">
      <c r="E64" s="170" t="s">
        <v>28</v>
      </c>
      <c r="F64" s="171"/>
      <c r="G64" s="171"/>
      <c r="H64" s="171"/>
      <c r="I64" s="172"/>
      <c r="J64" s="175" t="s">
        <v>7</v>
      </c>
      <c r="K64" s="176"/>
      <c r="L64" s="175" t="s">
        <v>8</v>
      </c>
      <c r="M64" s="176"/>
      <c r="N64" s="175" t="s">
        <v>9</v>
      </c>
      <c r="O64" s="176"/>
      <c r="P64" s="175" t="s">
        <v>16</v>
      </c>
      <c r="Q64" s="176"/>
    </row>
    <row r="65" spans="1:23" s="2" customFormat="1" x14ac:dyDescent="0.3">
      <c r="E65" s="15"/>
      <c r="F65" s="15"/>
      <c r="G65" s="15"/>
      <c r="H65" s="15"/>
      <c r="I65" s="15"/>
      <c r="J65" s="30">
        <f>J50+J54</f>
        <v>0</v>
      </c>
      <c r="K65" s="31" t="s">
        <v>17</v>
      </c>
      <c r="L65" s="32">
        <f>L50+L54</f>
        <v>0</v>
      </c>
      <c r="M65" s="31" t="s">
        <v>17</v>
      </c>
      <c r="N65" s="32">
        <f>N50+N54</f>
        <v>0</v>
      </c>
      <c r="O65" s="31" t="s">
        <v>17</v>
      </c>
      <c r="P65" s="33">
        <f>P58+P62</f>
        <v>0</v>
      </c>
      <c r="Q65" s="34" t="s">
        <v>17</v>
      </c>
    </row>
    <row r="66" spans="1:23" s="8" customFormat="1" ht="24.45" customHeight="1" x14ac:dyDescent="0.3">
      <c r="A66"/>
      <c r="B66"/>
      <c r="C66"/>
      <c r="E66" s="28"/>
      <c r="F66" s="28"/>
      <c r="G66" s="28"/>
      <c r="H66" s="28"/>
      <c r="I66" s="28"/>
      <c r="J66" s="167">
        <f>J65+L65+N65+P65</f>
        <v>0</v>
      </c>
      <c r="K66" s="168"/>
      <c r="L66" s="168"/>
      <c r="M66" s="168"/>
      <c r="N66" s="168"/>
      <c r="O66" s="168"/>
      <c r="P66" s="168"/>
      <c r="Q66" s="169"/>
      <c r="S66"/>
      <c r="T66"/>
      <c r="U66"/>
      <c r="V66"/>
      <c r="W66"/>
    </row>
  </sheetData>
  <mergeCells count="259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A7:A13"/>
    <mergeCell ref="J7:K7"/>
    <mergeCell ref="L7:M7"/>
    <mergeCell ref="N7:O7"/>
    <mergeCell ref="P7:Q7"/>
    <mergeCell ref="U7:W13"/>
    <mergeCell ref="J8:K8"/>
    <mergeCell ref="L8:M8"/>
    <mergeCell ref="N8:O8"/>
    <mergeCell ref="P8:Q8"/>
    <mergeCell ref="J11:K11"/>
    <mergeCell ref="L11:M11"/>
    <mergeCell ref="N11:O11"/>
    <mergeCell ref="P11:Q11"/>
    <mergeCell ref="J9:K9"/>
    <mergeCell ref="L9:M9"/>
    <mergeCell ref="N9:O9"/>
    <mergeCell ref="P9:Q9"/>
    <mergeCell ref="J10:K10"/>
    <mergeCell ref="L10:M10"/>
    <mergeCell ref="N10:O10"/>
    <mergeCell ref="P10:Q10"/>
    <mergeCell ref="B13:I13"/>
    <mergeCell ref="E15:I15"/>
    <mergeCell ref="J15:K15"/>
    <mergeCell ref="L15:M15"/>
    <mergeCell ref="N15:O15"/>
    <mergeCell ref="P15:Q15"/>
    <mergeCell ref="J12:K12"/>
    <mergeCell ref="L12:M12"/>
    <mergeCell ref="N12:O12"/>
    <mergeCell ref="P12:Q12"/>
    <mergeCell ref="J17:Q17"/>
    <mergeCell ref="Q19:S19"/>
    <mergeCell ref="T19:W19"/>
    <mergeCell ref="A20:W20"/>
    <mergeCell ref="A21:A22"/>
    <mergeCell ref="B21:B22"/>
    <mergeCell ref="C21:C22"/>
    <mergeCell ref="D21:D22"/>
    <mergeCell ref="E21:E22"/>
    <mergeCell ref="F21:F22"/>
    <mergeCell ref="U21:W22"/>
    <mergeCell ref="J22:K22"/>
    <mergeCell ref="L22:M22"/>
    <mergeCell ref="N22:O22"/>
    <mergeCell ref="P22:Q22"/>
    <mergeCell ref="R21:S22"/>
    <mergeCell ref="T21:T22"/>
    <mergeCell ref="A23:A27"/>
    <mergeCell ref="J23:K23"/>
    <mergeCell ref="L23:M23"/>
    <mergeCell ref="N23:O23"/>
    <mergeCell ref="P23:Q23"/>
    <mergeCell ref="G21:G22"/>
    <mergeCell ref="H21:H22"/>
    <mergeCell ref="I21:I22"/>
    <mergeCell ref="J21:Q21"/>
    <mergeCell ref="J26:K26"/>
    <mergeCell ref="L26:M26"/>
    <mergeCell ref="N26:O26"/>
    <mergeCell ref="P26:Q26"/>
    <mergeCell ref="E27:I27"/>
    <mergeCell ref="U23:W27"/>
    <mergeCell ref="J24:K24"/>
    <mergeCell ref="L24:M24"/>
    <mergeCell ref="N24:O24"/>
    <mergeCell ref="P24:Q24"/>
    <mergeCell ref="J25:K25"/>
    <mergeCell ref="L25:M25"/>
    <mergeCell ref="N25:O25"/>
    <mergeCell ref="P25:Q25"/>
    <mergeCell ref="J27:K27"/>
    <mergeCell ref="L27:M27"/>
    <mergeCell ref="N27:O27"/>
    <mergeCell ref="P27:Q27"/>
    <mergeCell ref="A28:A31"/>
    <mergeCell ref="J28:K28"/>
    <mergeCell ref="L28:M28"/>
    <mergeCell ref="N28:O28"/>
    <mergeCell ref="P28:Q28"/>
    <mergeCell ref="J30:K30"/>
    <mergeCell ref="L30:M30"/>
    <mergeCell ref="N30:O30"/>
    <mergeCell ref="P30:Q30"/>
    <mergeCell ref="U28:W31"/>
    <mergeCell ref="J29:K29"/>
    <mergeCell ref="L29:M29"/>
    <mergeCell ref="N29:O29"/>
    <mergeCell ref="P29:Q29"/>
    <mergeCell ref="U32:W36"/>
    <mergeCell ref="E31:I31"/>
    <mergeCell ref="J31:K31"/>
    <mergeCell ref="L31:M31"/>
    <mergeCell ref="N31:O31"/>
    <mergeCell ref="P31:Q31"/>
    <mergeCell ref="A32:A36"/>
    <mergeCell ref="J32:K32"/>
    <mergeCell ref="L32:M32"/>
    <mergeCell ref="N32:O32"/>
    <mergeCell ref="P32:Q32"/>
    <mergeCell ref="J34:K34"/>
    <mergeCell ref="L34:M34"/>
    <mergeCell ref="N34:O34"/>
    <mergeCell ref="P34:Q34"/>
    <mergeCell ref="J35:K35"/>
    <mergeCell ref="L35:M35"/>
    <mergeCell ref="N35:O35"/>
    <mergeCell ref="P35:Q35"/>
    <mergeCell ref="J33:K33"/>
    <mergeCell ref="L33:M33"/>
    <mergeCell ref="N33:O33"/>
    <mergeCell ref="P33:Q33"/>
    <mergeCell ref="E36:I36"/>
    <mergeCell ref="J36:K36"/>
    <mergeCell ref="L36:M36"/>
    <mergeCell ref="N36:O36"/>
    <mergeCell ref="P36:Q36"/>
    <mergeCell ref="E38:I38"/>
    <mergeCell ref="J38:K38"/>
    <mergeCell ref="L38:M38"/>
    <mergeCell ref="N38:O38"/>
    <mergeCell ref="P38:Q38"/>
    <mergeCell ref="R44:S45"/>
    <mergeCell ref="T44:T45"/>
    <mergeCell ref="U44:W45"/>
    <mergeCell ref="J45:K45"/>
    <mergeCell ref="L45:M45"/>
    <mergeCell ref="N45:O45"/>
    <mergeCell ref="P45:Q45"/>
    <mergeCell ref="J40:Q40"/>
    <mergeCell ref="Q42:S42"/>
    <mergeCell ref="T42:W42"/>
    <mergeCell ref="A43:W43"/>
    <mergeCell ref="A44:A45"/>
    <mergeCell ref="B44:B45"/>
    <mergeCell ref="C44:C45"/>
    <mergeCell ref="D44:D45"/>
    <mergeCell ref="E44:I45"/>
    <mergeCell ref="J44:Q44"/>
    <mergeCell ref="U46:W50"/>
    <mergeCell ref="E47:I47"/>
    <mergeCell ref="J47:K47"/>
    <mergeCell ref="L47:M47"/>
    <mergeCell ref="N47:O47"/>
    <mergeCell ref="P47:Q47"/>
    <mergeCell ref="E48:I48"/>
    <mergeCell ref="J48:K48"/>
    <mergeCell ref="L48:M48"/>
    <mergeCell ref="N48:O48"/>
    <mergeCell ref="E46:I46"/>
    <mergeCell ref="J46:K46"/>
    <mergeCell ref="L46:M46"/>
    <mergeCell ref="N46:O46"/>
    <mergeCell ref="P46:Q46"/>
    <mergeCell ref="P48:Q48"/>
    <mergeCell ref="E50:I50"/>
    <mergeCell ref="J50:K50"/>
    <mergeCell ref="L50:M50"/>
    <mergeCell ref="N50:O50"/>
    <mergeCell ref="P50:Q50"/>
    <mergeCell ref="A51:A54"/>
    <mergeCell ref="E51:I51"/>
    <mergeCell ref="J51:K51"/>
    <mergeCell ref="L51:M51"/>
    <mergeCell ref="N51:O51"/>
    <mergeCell ref="A46:A50"/>
    <mergeCell ref="P51:Q51"/>
    <mergeCell ref="E49:I49"/>
    <mergeCell ref="J49:K49"/>
    <mergeCell ref="L49:M49"/>
    <mergeCell ref="N49:O49"/>
    <mergeCell ref="P49:Q49"/>
    <mergeCell ref="U51:W54"/>
    <mergeCell ref="E52:I52"/>
    <mergeCell ref="J52:K52"/>
    <mergeCell ref="L52:M52"/>
    <mergeCell ref="N52:O52"/>
    <mergeCell ref="P52:Q52"/>
    <mergeCell ref="E53:I53"/>
    <mergeCell ref="J53:K53"/>
    <mergeCell ref="L53:M53"/>
    <mergeCell ref="U55:W58"/>
    <mergeCell ref="A55:A58"/>
    <mergeCell ref="E55:I55"/>
    <mergeCell ref="J55:K55"/>
    <mergeCell ref="L55:M55"/>
    <mergeCell ref="N55:O55"/>
    <mergeCell ref="P55:Q55"/>
    <mergeCell ref="N53:O53"/>
    <mergeCell ref="P53:Q53"/>
    <mergeCell ref="E54:I54"/>
    <mergeCell ref="J54:K54"/>
    <mergeCell ref="L54:M54"/>
    <mergeCell ref="N54:O54"/>
    <mergeCell ref="P54:Q54"/>
    <mergeCell ref="E56:I56"/>
    <mergeCell ref="J56:K56"/>
    <mergeCell ref="L56:M56"/>
    <mergeCell ref="N56:O56"/>
    <mergeCell ref="P56:Q56"/>
    <mergeCell ref="E57:I57"/>
    <mergeCell ref="J57:K57"/>
    <mergeCell ref="L57:M57"/>
    <mergeCell ref="N57:O57"/>
    <mergeCell ref="P57:Q57"/>
    <mergeCell ref="E58:I58"/>
    <mergeCell ref="J58:K58"/>
    <mergeCell ref="L58:M58"/>
    <mergeCell ref="N58:O58"/>
    <mergeCell ref="P58:Q58"/>
    <mergeCell ref="A59:A62"/>
    <mergeCell ref="E59:I59"/>
    <mergeCell ref="J59:K59"/>
    <mergeCell ref="L59:M59"/>
    <mergeCell ref="N59:O59"/>
    <mergeCell ref="P59:Q59"/>
    <mergeCell ref="U59:W62"/>
    <mergeCell ref="E60:I60"/>
    <mergeCell ref="J60:K60"/>
    <mergeCell ref="L60:M60"/>
    <mergeCell ref="N60:O60"/>
    <mergeCell ref="P60:Q60"/>
    <mergeCell ref="E61:I61"/>
    <mergeCell ref="J61:K61"/>
    <mergeCell ref="L61:M61"/>
    <mergeCell ref="E64:I64"/>
    <mergeCell ref="J64:K64"/>
    <mergeCell ref="L64:M64"/>
    <mergeCell ref="N64:O64"/>
    <mergeCell ref="P64:Q64"/>
    <mergeCell ref="J66:Q66"/>
    <mergeCell ref="N61:O61"/>
    <mergeCell ref="P61:Q61"/>
    <mergeCell ref="E62:I62"/>
    <mergeCell ref="J62:K62"/>
    <mergeCell ref="L62:M62"/>
    <mergeCell ref="N62:O62"/>
    <mergeCell ref="P62:Q62"/>
  </mergeCells>
  <pageMargins left="0.39370078740157483" right="0.19685039370078741" top="0.19685039370078741" bottom="0.19685039370078741" header="0.31496062992125984" footer="0.31496062992125984"/>
  <pageSetup paperSize="9" scale="51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W83"/>
  <sheetViews>
    <sheetView zoomScale="85" zoomScaleNormal="85" workbookViewId="0">
      <selection activeCell="D60" sqref="D60"/>
    </sheetView>
  </sheetViews>
  <sheetFormatPr defaultRowHeight="14.4" x14ac:dyDescent="0.3"/>
  <cols>
    <col min="1" max="1" width="12.6640625" customWidth="1"/>
    <col min="2" max="3" width="7.6640625" customWidth="1"/>
    <col min="4" max="4" width="8.88671875" style="8" bestFit="1" customWidth="1"/>
    <col min="5" max="5" width="28.3320312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45929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250042</v>
      </c>
      <c r="E7" s="12" t="s">
        <v>292</v>
      </c>
      <c r="F7" s="17">
        <v>560</v>
      </c>
      <c r="G7" s="17">
        <v>304</v>
      </c>
      <c r="H7" s="18">
        <v>0.9</v>
      </c>
      <c r="I7" s="17">
        <v>30000</v>
      </c>
      <c r="J7" s="165"/>
      <c r="K7" s="166"/>
      <c r="L7" s="165">
        <v>120</v>
      </c>
      <c r="M7" s="166"/>
      <c r="N7" s="165"/>
      <c r="O7" s="166"/>
      <c r="P7" s="165"/>
      <c r="Q7" s="166"/>
      <c r="R7" s="63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>
        <v>250042</v>
      </c>
      <c r="E8" s="12" t="s">
        <v>293</v>
      </c>
      <c r="F8" s="17">
        <v>520</v>
      </c>
      <c r="G8" s="17">
        <v>304</v>
      </c>
      <c r="H8" s="18">
        <v>0.9</v>
      </c>
      <c r="I8" s="17">
        <v>30000</v>
      </c>
      <c r="J8" s="165"/>
      <c r="K8" s="166"/>
      <c r="L8" s="165">
        <v>60</v>
      </c>
      <c r="M8" s="166"/>
      <c r="N8" s="165"/>
      <c r="O8" s="166"/>
      <c r="P8" s="165"/>
      <c r="Q8" s="166"/>
      <c r="R8" s="63">
        <v>10</v>
      </c>
      <c r="S8" s="14" t="s">
        <v>20</v>
      </c>
      <c r="T8" s="42" t="s">
        <v>308</v>
      </c>
      <c r="U8" s="205"/>
      <c r="V8" s="206"/>
      <c r="W8" s="207"/>
    </row>
    <row r="9" spans="1:23" x14ac:dyDescent="0.3">
      <c r="A9" s="181"/>
      <c r="B9" s="5"/>
      <c r="C9" s="5"/>
      <c r="D9" s="4">
        <v>250042</v>
      </c>
      <c r="E9" s="12" t="s">
        <v>294</v>
      </c>
      <c r="F9" s="17">
        <v>543</v>
      </c>
      <c r="G9" s="17">
        <v>304</v>
      </c>
      <c r="H9" s="18">
        <v>0.9</v>
      </c>
      <c r="I9" s="17">
        <v>30000</v>
      </c>
      <c r="J9" s="165"/>
      <c r="K9" s="166"/>
      <c r="L9" s="165">
        <v>126</v>
      </c>
      <c r="M9" s="166"/>
      <c r="N9" s="165"/>
      <c r="O9" s="166"/>
      <c r="P9" s="165"/>
      <c r="Q9" s="166"/>
      <c r="R9" s="63">
        <v>45</v>
      </c>
      <c r="S9" s="14" t="s">
        <v>20</v>
      </c>
      <c r="T9" s="42" t="s">
        <v>112</v>
      </c>
      <c r="U9" s="205"/>
      <c r="V9" s="206"/>
      <c r="W9" s="207"/>
    </row>
    <row r="10" spans="1:23" x14ac:dyDescent="0.3">
      <c r="A10" s="181"/>
      <c r="B10" s="5"/>
      <c r="C10" s="5"/>
      <c r="D10" s="4">
        <v>250042</v>
      </c>
      <c r="E10" s="12" t="s">
        <v>293</v>
      </c>
      <c r="F10" s="17">
        <v>520</v>
      </c>
      <c r="G10" s="17">
        <v>304</v>
      </c>
      <c r="H10" s="18">
        <v>0.9</v>
      </c>
      <c r="I10" s="17">
        <v>30000</v>
      </c>
      <c r="J10" s="165"/>
      <c r="K10" s="166"/>
      <c r="L10" s="165">
        <v>126</v>
      </c>
      <c r="M10" s="166"/>
      <c r="N10" s="165"/>
      <c r="O10" s="166"/>
      <c r="P10" s="165"/>
      <c r="Q10" s="166"/>
      <c r="R10" s="63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153</v>
      </c>
      <c r="F11" s="17">
        <v>226</v>
      </c>
      <c r="G11" s="17">
        <v>304</v>
      </c>
      <c r="H11" s="18">
        <v>0.7</v>
      </c>
      <c r="I11" s="17">
        <v>35000</v>
      </c>
      <c r="J11" s="165"/>
      <c r="K11" s="166"/>
      <c r="L11" s="165"/>
      <c r="M11" s="166"/>
      <c r="N11" s="165">
        <v>42</v>
      </c>
      <c r="O11" s="166"/>
      <c r="P11" s="165"/>
      <c r="Q11" s="166"/>
      <c r="R11" s="63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>
        <v>250045</v>
      </c>
      <c r="E12" s="12" t="s">
        <v>301</v>
      </c>
      <c r="F12" s="17">
        <v>160</v>
      </c>
      <c r="G12" s="17">
        <v>304</v>
      </c>
      <c r="H12" s="18">
        <v>0.7</v>
      </c>
      <c r="I12" s="17">
        <v>35000</v>
      </c>
      <c r="J12" s="165"/>
      <c r="K12" s="166"/>
      <c r="L12" s="165"/>
      <c r="M12" s="166"/>
      <c r="N12" s="165">
        <v>720</v>
      </c>
      <c r="O12" s="166"/>
      <c r="P12" s="165"/>
      <c r="Q12" s="166"/>
      <c r="R12" s="63">
        <v>10</v>
      </c>
      <c r="S12" s="14" t="s">
        <v>20</v>
      </c>
      <c r="T12" s="42" t="s">
        <v>111</v>
      </c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302</v>
      </c>
      <c r="F13" s="17">
        <v>132</v>
      </c>
      <c r="G13" s="17">
        <v>304</v>
      </c>
      <c r="H13" s="18">
        <v>0.7</v>
      </c>
      <c r="I13" s="17">
        <v>35000</v>
      </c>
      <c r="J13" s="165"/>
      <c r="K13" s="166"/>
      <c r="L13" s="165"/>
      <c r="M13" s="166"/>
      <c r="N13" s="165">
        <v>80</v>
      </c>
      <c r="O13" s="166"/>
      <c r="P13" s="165"/>
      <c r="Q13" s="166"/>
      <c r="R13" s="63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 t="s">
        <v>102</v>
      </c>
      <c r="E14" s="12" t="s">
        <v>217</v>
      </c>
      <c r="F14" s="17">
        <v>307</v>
      </c>
      <c r="G14" s="17">
        <v>304</v>
      </c>
      <c r="H14" s="18">
        <v>0.7</v>
      </c>
      <c r="I14" s="17">
        <v>35000</v>
      </c>
      <c r="J14" s="165"/>
      <c r="K14" s="166"/>
      <c r="L14" s="165"/>
      <c r="M14" s="166"/>
      <c r="N14" s="165">
        <v>100</v>
      </c>
      <c r="O14" s="166"/>
      <c r="P14" s="165"/>
      <c r="Q14" s="166"/>
      <c r="R14" s="63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 t="s">
        <v>102</v>
      </c>
      <c r="E15" s="12" t="s">
        <v>303</v>
      </c>
      <c r="F15" s="17">
        <v>160</v>
      </c>
      <c r="G15" s="17">
        <v>304</v>
      </c>
      <c r="H15" s="18">
        <v>0.7</v>
      </c>
      <c r="I15" s="17">
        <v>35000</v>
      </c>
      <c r="J15" s="165"/>
      <c r="K15" s="166"/>
      <c r="L15" s="165"/>
      <c r="M15" s="166"/>
      <c r="N15" s="165">
        <v>20</v>
      </c>
      <c r="O15" s="166"/>
      <c r="P15" s="165"/>
      <c r="Q15" s="166"/>
      <c r="R15" s="63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>
        <v>180925</v>
      </c>
      <c r="E16" s="12" t="s">
        <v>304</v>
      </c>
      <c r="F16" s="17">
        <v>342</v>
      </c>
      <c r="G16" s="17">
        <v>304</v>
      </c>
      <c r="H16" s="18">
        <v>0.7</v>
      </c>
      <c r="I16" s="17">
        <v>35000</v>
      </c>
      <c r="J16" s="165">
        <v>2100</v>
      </c>
      <c r="K16" s="166"/>
      <c r="L16" s="165"/>
      <c r="M16" s="166"/>
      <c r="N16" s="165"/>
      <c r="O16" s="166"/>
      <c r="P16" s="165"/>
      <c r="Q16" s="166"/>
      <c r="R16" s="63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 t="s">
        <v>102</v>
      </c>
      <c r="E17" s="12" t="s">
        <v>305</v>
      </c>
      <c r="F17" s="17" t="s">
        <v>277</v>
      </c>
      <c r="G17" s="17">
        <v>304</v>
      </c>
      <c r="H17" s="18">
        <v>0.7</v>
      </c>
      <c r="I17" s="17">
        <v>35000</v>
      </c>
      <c r="J17" s="165">
        <v>525</v>
      </c>
      <c r="K17" s="166"/>
      <c r="L17" s="165"/>
      <c r="M17" s="166"/>
      <c r="N17" s="165"/>
      <c r="O17" s="166"/>
      <c r="P17" s="165"/>
      <c r="Q17" s="166"/>
      <c r="R17" s="63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>
        <v>180925</v>
      </c>
      <c r="E18" s="12" t="s">
        <v>306</v>
      </c>
      <c r="F18" s="17">
        <v>467</v>
      </c>
      <c r="G18" s="17">
        <v>304</v>
      </c>
      <c r="H18" s="18">
        <v>0.7</v>
      </c>
      <c r="I18" s="17">
        <v>35000</v>
      </c>
      <c r="J18" s="165">
        <v>1080</v>
      </c>
      <c r="K18" s="166"/>
      <c r="L18" s="165"/>
      <c r="M18" s="166"/>
      <c r="N18" s="165"/>
      <c r="O18" s="166"/>
      <c r="P18" s="165"/>
      <c r="Q18" s="166"/>
      <c r="R18" s="63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 t="s">
        <v>102</v>
      </c>
      <c r="E19" s="12" t="s">
        <v>307</v>
      </c>
      <c r="F19" s="17">
        <v>360</v>
      </c>
      <c r="G19" s="17">
        <v>304</v>
      </c>
      <c r="H19" s="18">
        <v>0.7</v>
      </c>
      <c r="I19" s="17">
        <v>35000</v>
      </c>
      <c r="J19" s="165">
        <v>360</v>
      </c>
      <c r="K19" s="166"/>
      <c r="L19" s="165"/>
      <c r="M19" s="166"/>
      <c r="N19" s="165"/>
      <c r="O19" s="166"/>
      <c r="P19" s="165"/>
      <c r="Q19" s="166"/>
      <c r="R19" s="63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>
        <v>0.70833333333333337</v>
      </c>
      <c r="D20" s="4" t="s">
        <v>102</v>
      </c>
      <c r="E20" s="12" t="s">
        <v>245</v>
      </c>
      <c r="F20" s="17">
        <v>121.6</v>
      </c>
      <c r="G20" s="17">
        <v>304</v>
      </c>
      <c r="H20" s="18">
        <v>0.7</v>
      </c>
      <c r="I20" s="17">
        <v>35000</v>
      </c>
      <c r="J20" s="165">
        <v>360</v>
      </c>
      <c r="K20" s="166"/>
      <c r="L20" s="165"/>
      <c r="M20" s="166"/>
      <c r="N20" s="165"/>
      <c r="O20" s="166"/>
      <c r="P20" s="165"/>
      <c r="Q20" s="166"/>
      <c r="R20" s="63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4425</v>
      </c>
      <c r="K21" s="22" t="s">
        <v>17</v>
      </c>
      <c r="L21" s="21">
        <f>SUM(L7:M20)</f>
        <v>432</v>
      </c>
      <c r="M21" s="22" t="s">
        <v>17</v>
      </c>
      <c r="N21" s="21">
        <f>SUM(N7:O20)</f>
        <v>962</v>
      </c>
      <c r="O21" s="22" t="s">
        <v>17</v>
      </c>
      <c r="P21" s="21">
        <f>SUM(P7:Q20)</f>
        <v>0</v>
      </c>
      <c r="Q21" s="22" t="s">
        <v>17</v>
      </c>
      <c r="R21" s="23">
        <f>SUM(R7:R20)</f>
        <v>65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4425</v>
      </c>
      <c r="K24" s="31" t="s">
        <v>17</v>
      </c>
      <c r="L24" s="32">
        <f>L21</f>
        <v>432</v>
      </c>
      <c r="M24" s="31" t="s">
        <v>17</v>
      </c>
      <c r="N24" s="32">
        <f>N21</f>
        <v>962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5819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45929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>
        <v>0.70833333333333337</v>
      </c>
      <c r="D31" s="4">
        <v>180925</v>
      </c>
      <c r="E31" s="13" t="s">
        <v>310</v>
      </c>
      <c r="F31" s="40">
        <v>430</v>
      </c>
      <c r="G31" s="41">
        <v>0.5</v>
      </c>
      <c r="H31" s="40"/>
      <c r="I31" s="12">
        <v>5</v>
      </c>
      <c r="J31" s="165"/>
      <c r="K31" s="166"/>
      <c r="L31" s="165"/>
      <c r="M31" s="166"/>
      <c r="N31" s="165"/>
      <c r="O31" s="166"/>
      <c r="P31" s="165"/>
      <c r="Q31" s="166"/>
      <c r="R31" s="63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/>
      <c r="D32" s="4"/>
      <c r="E32" s="13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>
        <v>630</v>
      </c>
      <c r="Q32" s="166"/>
      <c r="R32" s="63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2"/>
      <c r="B33" s="19"/>
      <c r="C33" s="19"/>
      <c r="D33" s="20"/>
      <c r="E33" s="170" t="s">
        <v>0</v>
      </c>
      <c r="F33" s="171"/>
      <c r="G33" s="171"/>
      <c r="H33" s="171"/>
      <c r="I33" s="172"/>
      <c r="J33" s="173">
        <f>SUM(J31:K32)</f>
        <v>0</v>
      </c>
      <c r="K33" s="174"/>
      <c r="L33" s="173">
        <f>SUM(L31:M32)</f>
        <v>0</v>
      </c>
      <c r="M33" s="174"/>
      <c r="N33" s="173">
        <f>SUM(N31:O32)</f>
        <v>0</v>
      </c>
      <c r="O33" s="174"/>
      <c r="P33" s="173">
        <f>SUM(P31:Q32)</f>
        <v>630</v>
      </c>
      <c r="Q33" s="174"/>
      <c r="R33" s="23">
        <f>SUM(R31:R32)</f>
        <v>0</v>
      </c>
      <c r="S33" s="24" t="s">
        <v>20</v>
      </c>
      <c r="T33" s="19"/>
      <c r="U33" s="177"/>
      <c r="V33" s="178"/>
      <c r="W33" s="179"/>
    </row>
    <row r="34" spans="1:23" ht="14.55" customHeight="1" x14ac:dyDescent="0.3">
      <c r="A34" s="163" t="s">
        <v>34</v>
      </c>
      <c r="B34" s="5">
        <v>0.33333333333333331</v>
      </c>
      <c r="C34" s="5">
        <v>0.70833333333333337</v>
      </c>
      <c r="D34" s="4">
        <v>250072</v>
      </c>
      <c r="E34" s="12" t="s">
        <v>309</v>
      </c>
      <c r="F34" s="40">
        <v>304</v>
      </c>
      <c r="G34" s="41">
        <v>0.7</v>
      </c>
      <c r="H34" s="40">
        <v>467</v>
      </c>
      <c r="I34" s="12">
        <v>3</v>
      </c>
      <c r="J34" s="165">
        <v>1430</v>
      </c>
      <c r="K34" s="166"/>
      <c r="L34" s="165"/>
      <c r="M34" s="166"/>
      <c r="N34" s="165"/>
      <c r="O34" s="166"/>
      <c r="P34" s="165"/>
      <c r="Q34" s="166"/>
      <c r="R34" s="63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63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63"/>
      <c r="S35" s="14" t="s">
        <v>20</v>
      </c>
      <c r="T35" s="42"/>
      <c r="U35" s="177"/>
      <c r="V35" s="178"/>
      <c r="W35" s="179"/>
    </row>
    <row r="36" spans="1:23" ht="14.55" customHeight="1" x14ac:dyDescent="0.3">
      <c r="A36" s="164"/>
      <c r="B36" s="19"/>
      <c r="C36" s="19"/>
      <c r="D36" s="20"/>
      <c r="E36" s="170" t="s">
        <v>0</v>
      </c>
      <c r="F36" s="171"/>
      <c r="G36" s="171"/>
      <c r="H36" s="171"/>
      <c r="I36" s="172"/>
      <c r="J36" s="173">
        <f>SUM(J34:K35)</f>
        <v>1430</v>
      </c>
      <c r="K36" s="174"/>
      <c r="L36" s="173">
        <f>SUM(L34:M35)</f>
        <v>0</v>
      </c>
      <c r="M36" s="174"/>
      <c r="N36" s="173">
        <f>SUM(N34:O35)</f>
        <v>0</v>
      </c>
      <c r="O36" s="174"/>
      <c r="P36" s="173">
        <f>SUM(P34:Q35)</f>
        <v>0</v>
      </c>
      <c r="Q36" s="174"/>
      <c r="R36" s="23">
        <f>SUM(R34:R35)</f>
        <v>0</v>
      </c>
      <c r="S36" s="24" t="s">
        <v>20</v>
      </c>
      <c r="T36" s="19"/>
      <c r="U36" s="177"/>
      <c r="V36" s="178"/>
      <c r="W36" s="179"/>
    </row>
    <row r="37" spans="1:23" ht="14.55" customHeight="1" x14ac:dyDescent="0.3">
      <c r="A37" s="163" t="s">
        <v>35</v>
      </c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63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63"/>
      <c r="B38" s="5"/>
      <c r="C38" s="5"/>
      <c r="D38" s="4"/>
      <c r="E38" s="12" t="s">
        <v>300</v>
      </c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63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3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63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63"/>
      <c r="B40" s="5"/>
      <c r="C40" s="5"/>
      <c r="D40" s="4"/>
      <c r="E40" s="12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63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63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63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63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63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63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4"/>
      <c r="B46" s="19"/>
      <c r="C46" s="19"/>
      <c r="D46" s="20"/>
      <c r="E46" s="170" t="s">
        <v>0</v>
      </c>
      <c r="F46" s="171"/>
      <c r="G46" s="171"/>
      <c r="H46" s="171"/>
      <c r="I46" s="172"/>
      <c r="J46" s="173">
        <f>SUM(J37:K45)</f>
        <v>0</v>
      </c>
      <c r="K46" s="174"/>
      <c r="L46" s="173">
        <f>SUM(L37:M45)</f>
        <v>0</v>
      </c>
      <c r="M46" s="174"/>
      <c r="N46" s="173">
        <f>SUM(N37:O45)</f>
        <v>0</v>
      </c>
      <c r="O46" s="174"/>
      <c r="P46" s="173">
        <f>SUM(P37:Q45)</f>
        <v>0</v>
      </c>
      <c r="Q46" s="174"/>
      <c r="R46" s="23">
        <f>SUM(R37:R45)</f>
        <v>0</v>
      </c>
      <c r="S46" s="24" t="s">
        <v>20</v>
      </c>
      <c r="T46" s="19"/>
      <c r="U46" s="177"/>
      <c r="V46" s="178"/>
      <c r="W46" s="179"/>
    </row>
    <row r="47" spans="1:23" ht="14.55" customHeight="1" x14ac:dyDescent="0.3">
      <c r="A47" s="27"/>
      <c r="B47" s="27"/>
      <c r="C47" s="27"/>
      <c r="D47" s="27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27"/>
      <c r="S47" s="27"/>
      <c r="T47" s="39"/>
      <c r="U47" s="39"/>
      <c r="V47" s="39"/>
      <c r="W47" s="39"/>
    </row>
    <row r="48" spans="1:23" x14ac:dyDescent="0.3">
      <c r="E48" s="170" t="s">
        <v>31</v>
      </c>
      <c r="F48" s="171"/>
      <c r="G48" s="171"/>
      <c r="H48" s="171"/>
      <c r="I48" s="172"/>
      <c r="J48" s="175" t="s">
        <v>7</v>
      </c>
      <c r="K48" s="176"/>
      <c r="L48" s="175" t="s">
        <v>8</v>
      </c>
      <c r="M48" s="176"/>
      <c r="N48" s="175" t="s">
        <v>9</v>
      </c>
      <c r="O48" s="176"/>
      <c r="P48" s="175" t="s">
        <v>16</v>
      </c>
      <c r="Q48" s="176"/>
    </row>
    <row r="49" spans="1:23" s="2" customFormat="1" x14ac:dyDescent="0.3">
      <c r="E49" s="15"/>
      <c r="F49" s="15"/>
      <c r="G49" s="15"/>
      <c r="H49" s="15"/>
      <c r="I49" s="15"/>
      <c r="J49" s="30">
        <f>J33+J36+J46</f>
        <v>1430</v>
      </c>
      <c r="K49" s="31" t="s">
        <v>17</v>
      </c>
      <c r="L49" s="30">
        <f>L33+L36+L46</f>
        <v>0</v>
      </c>
      <c r="M49" s="31" t="s">
        <v>17</v>
      </c>
      <c r="N49" s="30">
        <f>N33+N36+N46</f>
        <v>0</v>
      </c>
      <c r="O49" s="31" t="s">
        <v>17</v>
      </c>
      <c r="P49" s="30">
        <f>P33+P36+P46</f>
        <v>630</v>
      </c>
      <c r="Q49" s="34" t="s">
        <v>17</v>
      </c>
    </row>
    <row r="50" spans="1:23" ht="24.45" customHeight="1" x14ac:dyDescent="0.3">
      <c r="E50" s="28"/>
      <c r="F50" s="28"/>
      <c r="G50" s="28"/>
      <c r="H50" s="28"/>
      <c r="I50" s="28"/>
      <c r="J50" s="167">
        <f>J49+L49+N49+P49</f>
        <v>2060</v>
      </c>
      <c r="K50" s="168"/>
      <c r="L50" s="168"/>
      <c r="M50" s="168"/>
      <c r="N50" s="168"/>
      <c r="O50" s="168"/>
      <c r="P50" s="168"/>
      <c r="Q50" s="169"/>
    </row>
    <row r="51" spans="1:23" ht="30" customHeight="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 spans="1:23" s="37" customFormat="1" ht="19.95" customHeight="1" x14ac:dyDescent="0.4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214" t="s">
        <v>14</v>
      </c>
      <c r="R52" s="215"/>
      <c r="S52" s="216"/>
      <c r="T52" s="184">
        <f>T3</f>
        <v>45929</v>
      </c>
      <c r="U52" s="185"/>
      <c r="V52" s="185"/>
      <c r="W52" s="186"/>
    </row>
    <row r="53" spans="1:23" s="16" customFormat="1" ht="30" customHeight="1" x14ac:dyDescent="0.3">
      <c r="A53" s="187" t="s">
        <v>26</v>
      </c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9"/>
      <c r="Q53" s="189"/>
      <c r="R53" s="189"/>
      <c r="S53" s="189"/>
      <c r="T53" s="188"/>
      <c r="U53" s="188"/>
      <c r="V53" s="188"/>
      <c r="W53" s="190"/>
    </row>
    <row r="54" spans="1:23" s="26" customFormat="1" ht="13.8" x14ac:dyDescent="0.3">
      <c r="A54" s="191" t="s">
        <v>1</v>
      </c>
      <c r="B54" s="192" t="s">
        <v>2</v>
      </c>
      <c r="C54" s="192" t="s">
        <v>3</v>
      </c>
      <c r="D54" s="192" t="s">
        <v>4</v>
      </c>
      <c r="E54" s="193" t="s">
        <v>5</v>
      </c>
      <c r="F54" s="197"/>
      <c r="G54" s="197"/>
      <c r="H54" s="197"/>
      <c r="I54" s="198"/>
      <c r="J54" s="193" t="s">
        <v>6</v>
      </c>
      <c r="K54" s="197"/>
      <c r="L54" s="197"/>
      <c r="M54" s="197"/>
      <c r="N54" s="197"/>
      <c r="O54" s="197"/>
      <c r="P54" s="197"/>
      <c r="Q54" s="198"/>
      <c r="R54" s="193" t="s">
        <v>10</v>
      </c>
      <c r="S54" s="198"/>
      <c r="T54" s="191" t="s">
        <v>11</v>
      </c>
      <c r="U54" s="191" t="s">
        <v>12</v>
      </c>
      <c r="V54" s="191"/>
      <c r="W54" s="191"/>
    </row>
    <row r="55" spans="1:23" s="26" customFormat="1" ht="13.8" x14ac:dyDescent="0.3">
      <c r="A55" s="191"/>
      <c r="B55" s="192"/>
      <c r="C55" s="192"/>
      <c r="D55" s="192"/>
      <c r="E55" s="194"/>
      <c r="F55" s="217"/>
      <c r="G55" s="217"/>
      <c r="H55" s="217"/>
      <c r="I55" s="199"/>
      <c r="J55" s="200" t="s">
        <v>7</v>
      </c>
      <c r="K55" s="201"/>
      <c r="L55" s="200" t="s">
        <v>8</v>
      </c>
      <c r="M55" s="201"/>
      <c r="N55" s="200" t="s">
        <v>9</v>
      </c>
      <c r="O55" s="201"/>
      <c r="P55" s="200" t="s">
        <v>16</v>
      </c>
      <c r="Q55" s="201"/>
      <c r="R55" s="194"/>
      <c r="S55" s="199"/>
      <c r="T55" s="191"/>
      <c r="U55" s="191"/>
      <c r="V55" s="191"/>
      <c r="W55" s="191"/>
    </row>
    <row r="56" spans="1:23" x14ac:dyDescent="0.3">
      <c r="A56" s="180" t="s">
        <v>13</v>
      </c>
      <c r="B56" s="5">
        <v>0.33333333333333331</v>
      </c>
      <c r="C56" s="5"/>
      <c r="D56" s="4">
        <v>250043</v>
      </c>
      <c r="E56" s="211" t="s">
        <v>228</v>
      </c>
      <c r="F56" s="212"/>
      <c r="G56" s="212"/>
      <c r="H56" s="212"/>
      <c r="I56" s="213"/>
      <c r="J56" s="165"/>
      <c r="K56" s="166"/>
      <c r="L56" s="165">
        <v>1075</v>
      </c>
      <c r="M56" s="166"/>
      <c r="N56" s="165"/>
      <c r="O56" s="166"/>
      <c r="P56" s="165"/>
      <c r="Q56" s="166"/>
      <c r="R56" s="63"/>
      <c r="S56" s="6" t="s">
        <v>20</v>
      </c>
      <c r="T56" s="3"/>
      <c r="U56" s="202"/>
      <c r="V56" s="203"/>
      <c r="W56" s="204"/>
    </row>
    <row r="57" spans="1:23" x14ac:dyDescent="0.3">
      <c r="A57" s="163"/>
      <c r="B57" s="5"/>
      <c r="C57" s="5"/>
      <c r="D57" s="4">
        <v>250043</v>
      </c>
      <c r="E57" s="211" t="s">
        <v>204</v>
      </c>
      <c r="F57" s="212"/>
      <c r="G57" s="212"/>
      <c r="H57" s="212"/>
      <c r="I57" s="213"/>
      <c r="J57" s="165"/>
      <c r="K57" s="166"/>
      <c r="L57" s="165">
        <v>634</v>
      </c>
      <c r="M57" s="166"/>
      <c r="N57" s="165"/>
      <c r="O57" s="166"/>
      <c r="P57" s="165"/>
      <c r="Q57" s="166"/>
      <c r="R57" s="63"/>
      <c r="S57" s="6" t="s">
        <v>20</v>
      </c>
      <c r="T57" s="3"/>
      <c r="U57" s="205"/>
      <c r="V57" s="206"/>
      <c r="W57" s="207"/>
    </row>
    <row r="58" spans="1:23" x14ac:dyDescent="0.3">
      <c r="A58" s="163"/>
      <c r="B58" s="5"/>
      <c r="C58" s="5"/>
      <c r="D58" s="4">
        <v>250043</v>
      </c>
      <c r="E58" s="211" t="s">
        <v>311</v>
      </c>
      <c r="F58" s="212"/>
      <c r="G58" s="212"/>
      <c r="H58" s="212"/>
      <c r="I58" s="213"/>
      <c r="J58" s="165"/>
      <c r="K58" s="166"/>
      <c r="L58" s="165">
        <v>888</v>
      </c>
      <c r="M58" s="166"/>
      <c r="N58" s="165"/>
      <c r="O58" s="166"/>
      <c r="P58" s="165"/>
      <c r="Q58" s="166"/>
      <c r="R58" s="63"/>
      <c r="S58" s="6" t="s">
        <v>20</v>
      </c>
      <c r="T58" s="3"/>
      <c r="U58" s="205"/>
      <c r="V58" s="206"/>
      <c r="W58" s="207"/>
    </row>
    <row r="59" spans="1:23" x14ac:dyDescent="0.3">
      <c r="A59" s="163"/>
      <c r="B59" s="5"/>
      <c r="C59" s="5"/>
      <c r="D59" s="4">
        <v>250043</v>
      </c>
      <c r="E59" s="211" t="s">
        <v>311</v>
      </c>
      <c r="F59" s="212"/>
      <c r="G59" s="212"/>
      <c r="H59" s="212"/>
      <c r="I59" s="213"/>
      <c r="J59" s="165"/>
      <c r="K59" s="166"/>
      <c r="L59" s="165">
        <v>100</v>
      </c>
      <c r="M59" s="166"/>
      <c r="N59" s="165"/>
      <c r="O59" s="166"/>
      <c r="P59" s="165"/>
      <c r="Q59" s="166"/>
      <c r="R59" s="63"/>
      <c r="S59" s="6" t="s">
        <v>20</v>
      </c>
      <c r="T59" s="3"/>
      <c r="U59" s="205"/>
      <c r="V59" s="206"/>
      <c r="W59" s="207"/>
    </row>
    <row r="60" spans="1:23" x14ac:dyDescent="0.3">
      <c r="A60" s="163"/>
      <c r="B60" s="5"/>
      <c r="C60" s="5"/>
      <c r="D60" s="4" t="s">
        <v>79</v>
      </c>
      <c r="E60" s="211" t="s">
        <v>285</v>
      </c>
      <c r="F60" s="212"/>
      <c r="G60" s="212"/>
      <c r="H60" s="212"/>
      <c r="I60" s="213"/>
      <c r="J60" s="165"/>
      <c r="K60" s="166"/>
      <c r="L60" s="165">
        <v>393</v>
      </c>
      <c r="M60" s="166"/>
      <c r="N60" s="165"/>
      <c r="O60" s="166"/>
      <c r="P60" s="165"/>
      <c r="Q60" s="166"/>
      <c r="R60" s="63"/>
      <c r="S60" s="6" t="s">
        <v>20</v>
      </c>
      <c r="T60" s="3"/>
      <c r="U60" s="205"/>
      <c r="V60" s="206"/>
      <c r="W60" s="207"/>
    </row>
    <row r="61" spans="1:23" x14ac:dyDescent="0.3">
      <c r="A61" s="163"/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63"/>
      <c r="S61" s="6" t="s">
        <v>20</v>
      </c>
      <c r="T61" s="3"/>
      <c r="U61" s="205"/>
      <c r="V61" s="206"/>
      <c r="W61" s="207"/>
    </row>
    <row r="62" spans="1:23" x14ac:dyDescent="0.3">
      <c r="A62" s="163"/>
      <c r="B62" s="5"/>
      <c r="C62" s="5"/>
      <c r="D62" s="4"/>
      <c r="E62" s="211"/>
      <c r="F62" s="212"/>
      <c r="G62" s="212"/>
      <c r="H62" s="212"/>
      <c r="I62" s="213"/>
      <c r="J62" s="165"/>
      <c r="K62" s="166"/>
      <c r="L62" s="165"/>
      <c r="M62" s="166"/>
      <c r="N62" s="165"/>
      <c r="O62" s="166"/>
      <c r="P62" s="165"/>
      <c r="Q62" s="166"/>
      <c r="R62" s="63"/>
      <c r="S62" s="6" t="s">
        <v>20</v>
      </c>
      <c r="T62" s="3"/>
      <c r="U62" s="205"/>
      <c r="V62" s="206"/>
      <c r="W62" s="207"/>
    </row>
    <row r="63" spans="1:23" x14ac:dyDescent="0.3">
      <c r="A63" s="164"/>
      <c r="B63" s="19"/>
      <c r="C63" s="19"/>
      <c r="D63" s="20"/>
      <c r="E63" s="170" t="s">
        <v>0</v>
      </c>
      <c r="F63" s="171"/>
      <c r="G63" s="171"/>
      <c r="H63" s="171"/>
      <c r="I63" s="172"/>
      <c r="J63" s="173">
        <f>SUM(J56:J62)</f>
        <v>0</v>
      </c>
      <c r="K63" s="174"/>
      <c r="L63" s="173">
        <f>SUM(L56:L62)</f>
        <v>3090</v>
      </c>
      <c r="M63" s="174"/>
      <c r="N63" s="173">
        <f>SUM(N56:N62)</f>
        <v>0</v>
      </c>
      <c r="O63" s="174"/>
      <c r="P63" s="173">
        <f>SUM(P56:P62)</f>
        <v>0</v>
      </c>
      <c r="Q63" s="174"/>
      <c r="R63" s="23">
        <f>SUM(R56:R62)</f>
        <v>0</v>
      </c>
      <c r="S63" s="24" t="s">
        <v>20</v>
      </c>
      <c r="T63" s="19"/>
      <c r="U63" s="208"/>
      <c r="V63" s="209"/>
      <c r="W63" s="210"/>
    </row>
    <row r="64" spans="1:23" x14ac:dyDescent="0.3">
      <c r="A64" s="180" t="s">
        <v>15</v>
      </c>
      <c r="B64" s="5"/>
      <c r="C64" s="5"/>
      <c r="D64" s="4"/>
      <c r="E64" s="211"/>
      <c r="F64" s="212"/>
      <c r="G64" s="212"/>
      <c r="H64" s="212"/>
      <c r="I64" s="213"/>
      <c r="J64" s="165"/>
      <c r="K64" s="166"/>
      <c r="L64" s="165"/>
      <c r="M64" s="166"/>
      <c r="N64" s="165"/>
      <c r="O64" s="166"/>
      <c r="P64" s="165"/>
      <c r="Q64" s="166"/>
      <c r="R64" s="63"/>
      <c r="S64" s="6" t="s">
        <v>20</v>
      </c>
      <c r="T64" s="3"/>
      <c r="U64" s="202"/>
      <c r="V64" s="203"/>
      <c r="W64" s="204"/>
    </row>
    <row r="65" spans="1:23" x14ac:dyDescent="0.3">
      <c r="A65" s="163"/>
      <c r="B65" s="5"/>
      <c r="C65" s="5"/>
      <c r="D65" s="4"/>
      <c r="E65" s="211"/>
      <c r="F65" s="212"/>
      <c r="G65" s="212"/>
      <c r="H65" s="212"/>
      <c r="I65" s="213"/>
      <c r="J65" s="165"/>
      <c r="K65" s="166"/>
      <c r="L65" s="165"/>
      <c r="M65" s="166"/>
      <c r="N65" s="165"/>
      <c r="O65" s="166"/>
      <c r="P65" s="165"/>
      <c r="Q65" s="166"/>
      <c r="R65" s="63"/>
      <c r="S65" s="6" t="s">
        <v>20</v>
      </c>
      <c r="T65" s="3"/>
      <c r="U65" s="205"/>
      <c r="V65" s="206"/>
      <c r="W65" s="207"/>
    </row>
    <row r="66" spans="1:23" x14ac:dyDescent="0.3">
      <c r="A66" s="163"/>
      <c r="B66" s="5"/>
      <c r="C66" s="5"/>
      <c r="D66" s="4"/>
      <c r="E66" s="211"/>
      <c r="F66" s="212"/>
      <c r="G66" s="212"/>
      <c r="H66" s="212"/>
      <c r="I66" s="213"/>
      <c r="J66" s="165"/>
      <c r="K66" s="166"/>
      <c r="L66" s="165"/>
      <c r="M66" s="166"/>
      <c r="N66" s="165"/>
      <c r="O66" s="166"/>
      <c r="P66" s="165"/>
      <c r="Q66" s="166"/>
      <c r="R66" s="63"/>
      <c r="S66" s="6" t="s">
        <v>20</v>
      </c>
      <c r="T66" s="3"/>
      <c r="U66" s="205"/>
      <c r="V66" s="206"/>
      <c r="W66" s="207"/>
    </row>
    <row r="67" spans="1:23" x14ac:dyDescent="0.3">
      <c r="A67" s="164"/>
      <c r="B67" s="19"/>
      <c r="C67" s="19"/>
      <c r="D67" s="20"/>
      <c r="E67" s="170" t="s">
        <v>0</v>
      </c>
      <c r="F67" s="171"/>
      <c r="G67" s="171"/>
      <c r="H67" s="171"/>
      <c r="I67" s="172"/>
      <c r="J67" s="173">
        <f>SUM(J64:J66)</f>
        <v>0</v>
      </c>
      <c r="K67" s="174"/>
      <c r="L67" s="173">
        <f>SUM(L64:L66)</f>
        <v>0</v>
      </c>
      <c r="M67" s="174"/>
      <c r="N67" s="173">
        <f>SUM(N64:N66)</f>
        <v>0</v>
      </c>
      <c r="O67" s="174"/>
      <c r="P67" s="173">
        <f>SUM(P59:P66)</f>
        <v>0</v>
      </c>
      <c r="Q67" s="174"/>
      <c r="R67" s="23">
        <f>SUM(R64:R66)</f>
        <v>0</v>
      </c>
      <c r="S67" s="24" t="s">
        <v>20</v>
      </c>
      <c r="T67" s="7"/>
      <c r="U67" s="208"/>
      <c r="V67" s="209"/>
      <c r="W67" s="210"/>
    </row>
    <row r="68" spans="1:23" x14ac:dyDescent="0.3">
      <c r="A68" s="180" t="s">
        <v>37</v>
      </c>
      <c r="B68" s="5"/>
      <c r="C68" s="5"/>
      <c r="D68" s="4"/>
      <c r="E68" s="211"/>
      <c r="F68" s="212"/>
      <c r="G68" s="212"/>
      <c r="H68" s="212"/>
      <c r="I68" s="213"/>
      <c r="J68" s="165"/>
      <c r="K68" s="166"/>
      <c r="L68" s="165"/>
      <c r="M68" s="166"/>
      <c r="N68" s="165"/>
      <c r="O68" s="166"/>
      <c r="P68" s="165"/>
      <c r="Q68" s="166"/>
      <c r="R68" s="63"/>
      <c r="S68" s="6" t="s">
        <v>20</v>
      </c>
      <c r="T68" s="3"/>
      <c r="U68" s="202"/>
      <c r="V68" s="203"/>
      <c r="W68" s="204"/>
    </row>
    <row r="69" spans="1:23" x14ac:dyDescent="0.3">
      <c r="A69" s="163"/>
      <c r="B69" s="5"/>
      <c r="C69" s="5"/>
      <c r="D69" s="4"/>
      <c r="E69" s="211"/>
      <c r="F69" s="212"/>
      <c r="G69" s="212"/>
      <c r="H69" s="212"/>
      <c r="I69" s="213"/>
      <c r="J69" s="165"/>
      <c r="K69" s="166"/>
      <c r="L69" s="165"/>
      <c r="M69" s="166"/>
      <c r="N69" s="165"/>
      <c r="O69" s="166"/>
      <c r="P69" s="165"/>
      <c r="Q69" s="166"/>
      <c r="R69" s="63"/>
      <c r="S69" s="6" t="s">
        <v>20</v>
      </c>
      <c r="T69" s="3"/>
      <c r="U69" s="205"/>
      <c r="V69" s="206"/>
      <c r="W69" s="207"/>
    </row>
    <row r="70" spans="1:23" x14ac:dyDescent="0.3">
      <c r="A70" s="163"/>
      <c r="B70" s="5"/>
      <c r="C70" s="5"/>
      <c r="D70" s="4"/>
      <c r="E70" s="211"/>
      <c r="F70" s="212"/>
      <c r="G70" s="212"/>
      <c r="H70" s="212"/>
      <c r="I70" s="213"/>
      <c r="J70" s="165"/>
      <c r="K70" s="166"/>
      <c r="L70" s="165"/>
      <c r="M70" s="166"/>
      <c r="N70" s="165"/>
      <c r="O70" s="166"/>
      <c r="P70" s="165"/>
      <c r="Q70" s="166"/>
      <c r="R70" s="63"/>
      <c r="S70" s="6" t="s">
        <v>20</v>
      </c>
      <c r="T70" s="3"/>
      <c r="U70" s="205"/>
      <c r="V70" s="206"/>
      <c r="W70" s="207"/>
    </row>
    <row r="71" spans="1:23" x14ac:dyDescent="0.3">
      <c r="A71" s="163"/>
      <c r="B71" s="5"/>
      <c r="C71" s="5"/>
      <c r="D71" s="4"/>
      <c r="E71" s="211"/>
      <c r="F71" s="212"/>
      <c r="G71" s="212"/>
      <c r="H71" s="212"/>
      <c r="I71" s="213"/>
      <c r="J71" s="165"/>
      <c r="K71" s="166"/>
      <c r="L71" s="165"/>
      <c r="M71" s="166"/>
      <c r="N71" s="165"/>
      <c r="O71" s="166"/>
      <c r="P71" s="165"/>
      <c r="Q71" s="166"/>
      <c r="R71" s="63"/>
      <c r="S71" s="6" t="s">
        <v>20</v>
      </c>
      <c r="T71" s="3"/>
      <c r="U71" s="205"/>
      <c r="V71" s="206"/>
      <c r="W71" s="207"/>
    </row>
    <row r="72" spans="1:23" x14ac:dyDescent="0.3">
      <c r="A72" s="163"/>
      <c r="B72" s="5"/>
      <c r="C72" s="5"/>
      <c r="D72" s="4"/>
      <c r="E72" s="211"/>
      <c r="F72" s="212"/>
      <c r="G72" s="212"/>
      <c r="H72" s="212"/>
      <c r="I72" s="213"/>
      <c r="J72" s="165"/>
      <c r="K72" s="166"/>
      <c r="L72" s="165"/>
      <c r="M72" s="166"/>
      <c r="N72" s="165"/>
      <c r="O72" s="166"/>
      <c r="P72" s="165"/>
      <c r="Q72" s="166"/>
      <c r="R72" s="63"/>
      <c r="S72" s="6" t="s">
        <v>20</v>
      </c>
      <c r="T72" s="3"/>
      <c r="U72" s="205"/>
      <c r="V72" s="206"/>
      <c r="W72" s="207"/>
    </row>
    <row r="73" spans="1:23" x14ac:dyDescent="0.3">
      <c r="A73" s="163"/>
      <c r="B73" s="5"/>
      <c r="C73" s="5"/>
      <c r="D73" s="4"/>
      <c r="E73" s="211"/>
      <c r="F73" s="212"/>
      <c r="G73" s="212"/>
      <c r="H73" s="212"/>
      <c r="I73" s="213"/>
      <c r="J73" s="165"/>
      <c r="K73" s="166"/>
      <c r="L73" s="165"/>
      <c r="M73" s="166"/>
      <c r="N73" s="165"/>
      <c r="O73" s="166"/>
      <c r="P73" s="165"/>
      <c r="Q73" s="166"/>
      <c r="R73" s="63"/>
      <c r="S73" s="6" t="s">
        <v>20</v>
      </c>
      <c r="T73" s="3"/>
      <c r="U73" s="205"/>
      <c r="V73" s="206"/>
      <c r="W73" s="207"/>
    </row>
    <row r="74" spans="1:23" x14ac:dyDescent="0.3">
      <c r="A74" s="163"/>
      <c r="B74" s="5"/>
      <c r="C74" s="5"/>
      <c r="D74" s="4"/>
      <c r="E74" s="211"/>
      <c r="F74" s="212"/>
      <c r="G74" s="212"/>
      <c r="H74" s="212"/>
      <c r="I74" s="213"/>
      <c r="J74" s="165"/>
      <c r="K74" s="166"/>
      <c r="L74" s="165"/>
      <c r="M74" s="166"/>
      <c r="N74" s="165"/>
      <c r="O74" s="166"/>
      <c r="P74" s="165"/>
      <c r="Q74" s="166"/>
      <c r="R74" s="63"/>
      <c r="S74" s="6" t="s">
        <v>20</v>
      </c>
      <c r="T74" s="3"/>
      <c r="U74" s="205"/>
      <c r="V74" s="206"/>
      <c r="W74" s="207"/>
    </row>
    <row r="75" spans="1:23" x14ac:dyDescent="0.3">
      <c r="A75" s="164"/>
      <c r="B75" s="19"/>
      <c r="C75" s="19"/>
      <c r="D75" s="20"/>
      <c r="E75" s="170" t="s">
        <v>0</v>
      </c>
      <c r="F75" s="171"/>
      <c r="G75" s="171"/>
      <c r="H75" s="171"/>
      <c r="I75" s="172"/>
      <c r="J75" s="173">
        <f>SUM(J68:J74)</f>
        <v>0</v>
      </c>
      <c r="K75" s="174"/>
      <c r="L75" s="173">
        <f>SUM(L68:L74)</f>
        <v>0</v>
      </c>
      <c r="M75" s="174"/>
      <c r="N75" s="173">
        <f>SUM(N68:N74)</f>
        <v>0</v>
      </c>
      <c r="O75" s="174"/>
      <c r="P75" s="173">
        <f>SUM(P68:P74)</f>
        <v>0</v>
      </c>
      <c r="Q75" s="174"/>
      <c r="R75" s="23">
        <f>SUM(R68:R74)</f>
        <v>0</v>
      </c>
      <c r="S75" s="24" t="s">
        <v>20</v>
      </c>
      <c r="T75" s="19"/>
      <c r="U75" s="208"/>
      <c r="V75" s="209"/>
      <c r="W75" s="210"/>
    </row>
    <row r="76" spans="1:23" x14ac:dyDescent="0.3">
      <c r="A76" s="180" t="s">
        <v>36</v>
      </c>
      <c r="B76" s="5"/>
      <c r="C76" s="5"/>
      <c r="D76" s="4"/>
      <c r="E76" s="211"/>
      <c r="F76" s="212"/>
      <c r="G76" s="212"/>
      <c r="H76" s="212"/>
      <c r="I76" s="213"/>
      <c r="J76" s="165"/>
      <c r="K76" s="166"/>
      <c r="L76" s="165"/>
      <c r="M76" s="166"/>
      <c r="N76" s="165"/>
      <c r="O76" s="166"/>
      <c r="P76" s="165"/>
      <c r="Q76" s="166"/>
      <c r="R76" s="63"/>
      <c r="S76" s="6" t="s">
        <v>20</v>
      </c>
      <c r="T76" s="3"/>
      <c r="U76" s="202"/>
      <c r="V76" s="203"/>
      <c r="W76" s="204"/>
    </row>
    <row r="77" spans="1:23" x14ac:dyDescent="0.3">
      <c r="A77" s="163"/>
      <c r="B77" s="5"/>
      <c r="C77" s="5"/>
      <c r="D77" s="4"/>
      <c r="E77" s="211"/>
      <c r="F77" s="212"/>
      <c r="G77" s="212"/>
      <c r="H77" s="212"/>
      <c r="I77" s="213"/>
      <c r="J77" s="165"/>
      <c r="K77" s="166"/>
      <c r="L77" s="165"/>
      <c r="M77" s="166"/>
      <c r="N77" s="165"/>
      <c r="O77" s="166"/>
      <c r="P77" s="165"/>
      <c r="Q77" s="166"/>
      <c r="R77" s="63"/>
      <c r="S77" s="6" t="s">
        <v>20</v>
      </c>
      <c r="T77" s="3"/>
      <c r="U77" s="205"/>
      <c r="V77" s="206"/>
      <c r="W77" s="207"/>
    </row>
    <row r="78" spans="1:23" x14ac:dyDescent="0.3">
      <c r="A78" s="163"/>
      <c r="B78" s="5"/>
      <c r="C78" s="5"/>
      <c r="D78" s="4"/>
      <c r="E78" s="211"/>
      <c r="F78" s="212"/>
      <c r="G78" s="212"/>
      <c r="H78" s="212"/>
      <c r="I78" s="213"/>
      <c r="J78" s="165"/>
      <c r="K78" s="166"/>
      <c r="L78" s="165"/>
      <c r="M78" s="166"/>
      <c r="N78" s="165"/>
      <c r="O78" s="166"/>
      <c r="P78" s="165"/>
      <c r="Q78" s="166"/>
      <c r="R78" s="63"/>
      <c r="S78" s="6" t="s">
        <v>20</v>
      </c>
      <c r="T78" s="3"/>
      <c r="U78" s="205"/>
      <c r="V78" s="206"/>
      <c r="W78" s="207"/>
    </row>
    <row r="79" spans="1:23" x14ac:dyDescent="0.3">
      <c r="A79" s="164"/>
      <c r="B79" s="19"/>
      <c r="C79" s="19"/>
      <c r="D79" s="20"/>
      <c r="E79" s="170" t="s">
        <v>0</v>
      </c>
      <c r="F79" s="171"/>
      <c r="G79" s="171"/>
      <c r="H79" s="171"/>
      <c r="I79" s="172"/>
      <c r="J79" s="173">
        <f>SUM(J76:J78)</f>
        <v>0</v>
      </c>
      <c r="K79" s="174"/>
      <c r="L79" s="173">
        <f>SUM(L76:L78)</f>
        <v>0</v>
      </c>
      <c r="M79" s="174"/>
      <c r="N79" s="173">
        <f>SUM(N76:N78)</f>
        <v>0</v>
      </c>
      <c r="O79" s="174"/>
      <c r="P79" s="173">
        <f>SUM(P76:P78)</f>
        <v>0</v>
      </c>
      <c r="Q79" s="174"/>
      <c r="R79" s="23">
        <f>SUM(R76:R78)</f>
        <v>0</v>
      </c>
      <c r="S79" s="24" t="s">
        <v>20</v>
      </c>
      <c r="T79" s="19"/>
      <c r="U79" s="208"/>
      <c r="V79" s="209"/>
      <c r="W79" s="210"/>
    </row>
    <row r="80" spans="1:23" x14ac:dyDescent="0.3">
      <c r="E80" s="28"/>
      <c r="F80" s="28"/>
      <c r="G80" s="28"/>
      <c r="H80" s="28"/>
      <c r="I80" s="28"/>
      <c r="J80" s="29"/>
      <c r="K80" s="29"/>
      <c r="L80" s="29"/>
      <c r="M80" s="29"/>
      <c r="N80" s="29"/>
      <c r="O80" s="29"/>
      <c r="P80" s="29"/>
      <c r="Q80" s="29"/>
    </row>
    <row r="81" spans="1:23" x14ac:dyDescent="0.3">
      <c r="E81" s="170" t="s">
        <v>28</v>
      </c>
      <c r="F81" s="171"/>
      <c r="G81" s="171"/>
      <c r="H81" s="171"/>
      <c r="I81" s="172"/>
      <c r="J81" s="175" t="s">
        <v>7</v>
      </c>
      <c r="K81" s="176"/>
      <c r="L81" s="175" t="s">
        <v>8</v>
      </c>
      <c r="M81" s="176"/>
      <c r="N81" s="175" t="s">
        <v>9</v>
      </c>
      <c r="O81" s="176"/>
      <c r="P81" s="175" t="s">
        <v>16</v>
      </c>
      <c r="Q81" s="176"/>
    </row>
    <row r="82" spans="1:23" s="2" customFormat="1" x14ac:dyDescent="0.3">
      <c r="E82" s="15"/>
      <c r="F82" s="15"/>
      <c r="G82" s="15"/>
      <c r="H82" s="15"/>
      <c r="I82" s="15"/>
      <c r="J82" s="30">
        <f>J63+J67</f>
        <v>0</v>
      </c>
      <c r="K82" s="31" t="s">
        <v>17</v>
      </c>
      <c r="L82" s="32">
        <f>L63+L67</f>
        <v>3090</v>
      </c>
      <c r="M82" s="31" t="s">
        <v>17</v>
      </c>
      <c r="N82" s="32">
        <f>N63+N67</f>
        <v>0</v>
      </c>
      <c r="O82" s="31" t="s">
        <v>17</v>
      </c>
      <c r="P82" s="33">
        <f>P75+P79</f>
        <v>0</v>
      </c>
      <c r="Q82" s="34" t="s">
        <v>17</v>
      </c>
    </row>
    <row r="83" spans="1:23" s="8" customFormat="1" ht="24.45" customHeight="1" x14ac:dyDescent="0.3">
      <c r="A83"/>
      <c r="B83"/>
      <c r="C83"/>
      <c r="E83" s="28"/>
      <c r="F83" s="28"/>
      <c r="G83" s="28"/>
      <c r="H83" s="28"/>
      <c r="I83" s="28"/>
      <c r="J83" s="167">
        <f>J82+L82+N82+P82</f>
        <v>3090</v>
      </c>
      <c r="K83" s="168"/>
      <c r="L83" s="168"/>
      <c r="M83" s="168"/>
      <c r="N83" s="168"/>
      <c r="O83" s="168"/>
      <c r="P83" s="168"/>
      <c r="Q83" s="169"/>
      <c r="S83"/>
      <c r="T83"/>
      <c r="U83"/>
      <c r="V83"/>
      <c r="W83"/>
    </row>
  </sheetData>
  <mergeCells count="334">
    <mergeCell ref="E81:I81"/>
    <mergeCell ref="J81:K81"/>
    <mergeCell ref="L81:M81"/>
    <mergeCell ref="N81:O81"/>
    <mergeCell ref="P81:Q81"/>
    <mergeCell ref="J83:Q83"/>
    <mergeCell ref="N78:O78"/>
    <mergeCell ref="P78:Q78"/>
    <mergeCell ref="E79:I79"/>
    <mergeCell ref="J79:K79"/>
    <mergeCell ref="L79:M79"/>
    <mergeCell ref="N79:O79"/>
    <mergeCell ref="P79:Q79"/>
    <mergeCell ref="U76:W79"/>
    <mergeCell ref="E77:I77"/>
    <mergeCell ref="J77:K77"/>
    <mergeCell ref="L77:M77"/>
    <mergeCell ref="N77:O77"/>
    <mergeCell ref="P77:Q77"/>
    <mergeCell ref="E78:I78"/>
    <mergeCell ref="J78:K78"/>
    <mergeCell ref="L78:M78"/>
    <mergeCell ref="E75:I75"/>
    <mergeCell ref="J75:K75"/>
    <mergeCell ref="L75:M75"/>
    <mergeCell ref="N75:O75"/>
    <mergeCell ref="P75:Q75"/>
    <mergeCell ref="A76:A79"/>
    <mergeCell ref="E76:I76"/>
    <mergeCell ref="J76:K76"/>
    <mergeCell ref="L76:M76"/>
    <mergeCell ref="N76:O76"/>
    <mergeCell ref="A68:A75"/>
    <mergeCell ref="J71:K71"/>
    <mergeCell ref="L71:M71"/>
    <mergeCell ref="P76:Q76"/>
    <mergeCell ref="E73:I73"/>
    <mergeCell ref="J73:K73"/>
    <mergeCell ref="L73:M73"/>
    <mergeCell ref="N73:O73"/>
    <mergeCell ref="P73:Q73"/>
    <mergeCell ref="E74:I74"/>
    <mergeCell ref="J74:K74"/>
    <mergeCell ref="L74:M74"/>
    <mergeCell ref="N74:O74"/>
    <mergeCell ref="P74:Q74"/>
    <mergeCell ref="N71:O71"/>
    <mergeCell ref="P71:Q71"/>
    <mergeCell ref="E72:I72"/>
    <mergeCell ref="J72:K72"/>
    <mergeCell ref="L72:M72"/>
    <mergeCell ref="N72:O72"/>
    <mergeCell ref="P72:Q72"/>
    <mergeCell ref="U68:W75"/>
    <mergeCell ref="E69:I69"/>
    <mergeCell ref="J69:K69"/>
    <mergeCell ref="L69:M69"/>
    <mergeCell ref="N69:O69"/>
    <mergeCell ref="P69:Q69"/>
    <mergeCell ref="E70:I70"/>
    <mergeCell ref="J70:K70"/>
    <mergeCell ref="L70:M70"/>
    <mergeCell ref="N70:O70"/>
    <mergeCell ref="E68:I68"/>
    <mergeCell ref="J68:K68"/>
    <mergeCell ref="L68:M68"/>
    <mergeCell ref="N68:O68"/>
    <mergeCell ref="P68:Q68"/>
    <mergeCell ref="P70:Q70"/>
    <mergeCell ref="E71:I71"/>
    <mergeCell ref="U64:W67"/>
    <mergeCell ref="E65:I65"/>
    <mergeCell ref="J65:K65"/>
    <mergeCell ref="L65:M65"/>
    <mergeCell ref="N65:O65"/>
    <mergeCell ref="P65:Q65"/>
    <mergeCell ref="E66:I66"/>
    <mergeCell ref="J66:K66"/>
    <mergeCell ref="L66:M66"/>
    <mergeCell ref="P66:Q66"/>
    <mergeCell ref="E67:I67"/>
    <mergeCell ref="J67:K67"/>
    <mergeCell ref="L67:M67"/>
    <mergeCell ref="N67:O67"/>
    <mergeCell ref="P67:Q67"/>
    <mergeCell ref="P64:Q64"/>
    <mergeCell ref="A64:A67"/>
    <mergeCell ref="E64:I64"/>
    <mergeCell ref="J64:K64"/>
    <mergeCell ref="L64:M64"/>
    <mergeCell ref="N64:O64"/>
    <mergeCell ref="A56:A63"/>
    <mergeCell ref="J59:K59"/>
    <mergeCell ref="L59:M59"/>
    <mergeCell ref="N66:O66"/>
    <mergeCell ref="N59:O59"/>
    <mergeCell ref="P59:Q59"/>
    <mergeCell ref="E60:I60"/>
    <mergeCell ref="J60:K60"/>
    <mergeCell ref="L60:M60"/>
    <mergeCell ref="N60:O60"/>
    <mergeCell ref="P60:Q60"/>
    <mergeCell ref="E63:I63"/>
    <mergeCell ref="J63:K63"/>
    <mergeCell ref="L63:M63"/>
    <mergeCell ref="N63:O63"/>
    <mergeCell ref="P63:Q63"/>
    <mergeCell ref="E61:I61"/>
    <mergeCell ref="J61:K61"/>
    <mergeCell ref="L61:M61"/>
    <mergeCell ref="U56:W63"/>
    <mergeCell ref="E57:I57"/>
    <mergeCell ref="J57:K57"/>
    <mergeCell ref="L57:M57"/>
    <mergeCell ref="N57:O57"/>
    <mergeCell ref="P57:Q57"/>
    <mergeCell ref="E58:I58"/>
    <mergeCell ref="J58:K58"/>
    <mergeCell ref="L58:M58"/>
    <mergeCell ref="N58:O58"/>
    <mergeCell ref="E56:I56"/>
    <mergeCell ref="J56:K56"/>
    <mergeCell ref="L56:M56"/>
    <mergeCell ref="N56:O56"/>
    <mergeCell ref="P56:Q56"/>
    <mergeCell ref="P58:Q58"/>
    <mergeCell ref="E59:I59"/>
    <mergeCell ref="N61:O61"/>
    <mergeCell ref="P61:Q61"/>
    <mergeCell ref="E62:I62"/>
    <mergeCell ref="J62:K62"/>
    <mergeCell ref="L62:M62"/>
    <mergeCell ref="N62:O62"/>
    <mergeCell ref="P62:Q62"/>
    <mergeCell ref="E48:I48"/>
    <mergeCell ref="J48:K48"/>
    <mergeCell ref="L48:M48"/>
    <mergeCell ref="N48:O48"/>
    <mergeCell ref="P48:Q48"/>
    <mergeCell ref="R54:S55"/>
    <mergeCell ref="T54:T55"/>
    <mergeCell ref="U54:W55"/>
    <mergeCell ref="J55:K55"/>
    <mergeCell ref="L55:M55"/>
    <mergeCell ref="N55:O55"/>
    <mergeCell ref="P55:Q55"/>
    <mergeCell ref="J50:Q50"/>
    <mergeCell ref="Q52:S52"/>
    <mergeCell ref="T52:W52"/>
    <mergeCell ref="A53:W53"/>
    <mergeCell ref="A54:A55"/>
    <mergeCell ref="B54:B55"/>
    <mergeCell ref="C54:C55"/>
    <mergeCell ref="D54:D55"/>
    <mergeCell ref="E54:I55"/>
    <mergeCell ref="J54:Q54"/>
    <mergeCell ref="U37:W46"/>
    <mergeCell ref="J38:K38"/>
    <mergeCell ref="L38:M38"/>
    <mergeCell ref="N38:O38"/>
    <mergeCell ref="P38:Q38"/>
    <mergeCell ref="J39:K39"/>
    <mergeCell ref="L39:M39"/>
    <mergeCell ref="N39:O39"/>
    <mergeCell ref="P39:Q39"/>
    <mergeCell ref="J40:K40"/>
    <mergeCell ref="J44:K44"/>
    <mergeCell ref="L44:M44"/>
    <mergeCell ref="N44:O44"/>
    <mergeCell ref="P44:Q44"/>
    <mergeCell ref="J45:K45"/>
    <mergeCell ref="L45:M45"/>
    <mergeCell ref="N45:O45"/>
    <mergeCell ref="P45:Q45"/>
    <mergeCell ref="J42:K42"/>
    <mergeCell ref="L42:M42"/>
    <mergeCell ref="N42:O42"/>
    <mergeCell ref="P42:Q42"/>
    <mergeCell ref="J43:K43"/>
    <mergeCell ref="L43:M43"/>
    <mergeCell ref="A37:A46"/>
    <mergeCell ref="J37:K37"/>
    <mergeCell ref="L37:M37"/>
    <mergeCell ref="N37:O37"/>
    <mergeCell ref="P37:Q37"/>
    <mergeCell ref="A34:A36"/>
    <mergeCell ref="L40:M40"/>
    <mergeCell ref="N40:O40"/>
    <mergeCell ref="P40:Q40"/>
    <mergeCell ref="J41:K41"/>
    <mergeCell ref="L41:M41"/>
    <mergeCell ref="N41:O41"/>
    <mergeCell ref="P41:Q41"/>
    <mergeCell ref="N43:O43"/>
    <mergeCell ref="P43:Q43"/>
    <mergeCell ref="E46:I46"/>
    <mergeCell ref="J46:K46"/>
    <mergeCell ref="L46:M46"/>
    <mergeCell ref="N46:O46"/>
    <mergeCell ref="P46:Q46"/>
    <mergeCell ref="U34:W36"/>
    <mergeCell ref="J35:K35"/>
    <mergeCell ref="L35:M35"/>
    <mergeCell ref="N35:O35"/>
    <mergeCell ref="P35:Q35"/>
    <mergeCell ref="E33:I33"/>
    <mergeCell ref="J33:K33"/>
    <mergeCell ref="L33:M33"/>
    <mergeCell ref="N33:O33"/>
    <mergeCell ref="P33:Q33"/>
    <mergeCell ref="J34:K34"/>
    <mergeCell ref="L34:M34"/>
    <mergeCell ref="N34:O34"/>
    <mergeCell ref="P34:Q34"/>
    <mergeCell ref="U31:W33"/>
    <mergeCell ref="J32:K32"/>
    <mergeCell ref="L32:M32"/>
    <mergeCell ref="N32:O32"/>
    <mergeCell ref="P32:Q32"/>
    <mergeCell ref="E36:I36"/>
    <mergeCell ref="J36:K36"/>
    <mergeCell ref="L36:M36"/>
    <mergeCell ref="N36:O36"/>
    <mergeCell ref="P36:Q36"/>
    <mergeCell ref="A31:A33"/>
    <mergeCell ref="J31:K31"/>
    <mergeCell ref="L31:M31"/>
    <mergeCell ref="N31:O31"/>
    <mergeCell ref="P31:Q31"/>
    <mergeCell ref="G29:G30"/>
    <mergeCell ref="H29:H30"/>
    <mergeCell ref="I29:I30"/>
    <mergeCell ref="J29:Q29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1"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W86"/>
  <sheetViews>
    <sheetView zoomScale="85" zoomScaleNormal="85" workbookViewId="0">
      <selection activeCell="D59" sqref="D59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5.2187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45930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180925</v>
      </c>
      <c r="E7" s="12" t="s">
        <v>306</v>
      </c>
      <c r="F7" s="17">
        <v>467</v>
      </c>
      <c r="G7" s="17">
        <v>304</v>
      </c>
      <c r="H7" s="18">
        <v>0.7</v>
      </c>
      <c r="I7" s="17">
        <v>33000</v>
      </c>
      <c r="J7" s="165">
        <v>1035</v>
      </c>
      <c r="K7" s="166"/>
      <c r="L7" s="165"/>
      <c r="M7" s="166"/>
      <c r="N7" s="165"/>
      <c r="O7" s="166"/>
      <c r="P7" s="165"/>
      <c r="Q7" s="166"/>
      <c r="R7" s="64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307</v>
      </c>
      <c r="F8" s="17">
        <v>295</v>
      </c>
      <c r="G8" s="17">
        <v>304</v>
      </c>
      <c r="H8" s="18">
        <v>0.7</v>
      </c>
      <c r="I8" s="17">
        <v>33000</v>
      </c>
      <c r="J8" s="165">
        <v>345</v>
      </c>
      <c r="K8" s="166"/>
      <c r="L8" s="165"/>
      <c r="M8" s="166"/>
      <c r="N8" s="165"/>
      <c r="O8" s="166"/>
      <c r="P8" s="165"/>
      <c r="Q8" s="166"/>
      <c r="R8" s="64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 t="s">
        <v>102</v>
      </c>
      <c r="E9" s="12" t="s">
        <v>312</v>
      </c>
      <c r="F9" s="17" t="s">
        <v>313</v>
      </c>
      <c r="G9" s="17">
        <v>304</v>
      </c>
      <c r="H9" s="18">
        <v>0.7</v>
      </c>
      <c r="I9" s="17">
        <v>33000</v>
      </c>
      <c r="J9" s="165">
        <v>345</v>
      </c>
      <c r="K9" s="166"/>
      <c r="L9" s="165"/>
      <c r="M9" s="166"/>
      <c r="N9" s="165"/>
      <c r="O9" s="166"/>
      <c r="P9" s="165"/>
      <c r="Q9" s="166"/>
      <c r="R9" s="64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>
        <v>250055</v>
      </c>
      <c r="E10" s="12" t="s">
        <v>314</v>
      </c>
      <c r="F10" s="17">
        <v>245</v>
      </c>
      <c r="G10" s="17">
        <v>304</v>
      </c>
      <c r="H10" s="18">
        <v>0.7</v>
      </c>
      <c r="I10" s="17">
        <v>33000</v>
      </c>
      <c r="J10" s="165">
        <v>126</v>
      </c>
      <c r="K10" s="166"/>
      <c r="L10" s="165"/>
      <c r="M10" s="166"/>
      <c r="N10" s="165"/>
      <c r="O10" s="166"/>
      <c r="P10" s="165"/>
      <c r="Q10" s="166"/>
      <c r="R10" s="64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315</v>
      </c>
      <c r="F11" s="17">
        <v>180</v>
      </c>
      <c r="G11" s="17">
        <v>304</v>
      </c>
      <c r="H11" s="18">
        <v>0.7</v>
      </c>
      <c r="I11" s="17">
        <v>33000</v>
      </c>
      <c r="J11" s="165"/>
      <c r="K11" s="166"/>
      <c r="L11" s="165"/>
      <c r="M11" s="166"/>
      <c r="N11" s="165">
        <v>21</v>
      </c>
      <c r="O11" s="166"/>
      <c r="P11" s="165"/>
      <c r="Q11" s="166"/>
      <c r="R11" s="64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>
        <v>180925</v>
      </c>
      <c r="E12" s="12" t="s">
        <v>171</v>
      </c>
      <c r="F12" s="17">
        <v>433</v>
      </c>
      <c r="G12" s="17">
        <v>304</v>
      </c>
      <c r="H12" s="18">
        <v>0.7</v>
      </c>
      <c r="I12" s="17">
        <v>33000</v>
      </c>
      <c r="J12" s="165">
        <v>1344</v>
      </c>
      <c r="K12" s="166"/>
      <c r="L12" s="165"/>
      <c r="M12" s="166"/>
      <c r="N12" s="165"/>
      <c r="O12" s="166"/>
      <c r="P12" s="165"/>
      <c r="Q12" s="166"/>
      <c r="R12" s="64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220</v>
      </c>
      <c r="F13" s="17">
        <v>368</v>
      </c>
      <c r="G13" s="17">
        <v>304</v>
      </c>
      <c r="H13" s="18">
        <v>0.7</v>
      </c>
      <c r="I13" s="17">
        <v>33000</v>
      </c>
      <c r="J13" s="165">
        <v>448</v>
      </c>
      <c r="K13" s="166"/>
      <c r="L13" s="165"/>
      <c r="M13" s="166"/>
      <c r="N13" s="165"/>
      <c r="O13" s="166"/>
      <c r="P13" s="165"/>
      <c r="Q13" s="166"/>
      <c r="R13" s="64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18025</v>
      </c>
      <c r="E14" s="12" t="s">
        <v>209</v>
      </c>
      <c r="F14" s="17">
        <v>388</v>
      </c>
      <c r="G14" s="17">
        <v>304</v>
      </c>
      <c r="H14" s="18">
        <v>0.7</v>
      </c>
      <c r="I14" s="17">
        <v>33000</v>
      </c>
      <c r="J14" s="165">
        <v>2112</v>
      </c>
      <c r="K14" s="166"/>
      <c r="L14" s="165"/>
      <c r="M14" s="166"/>
      <c r="N14" s="165"/>
      <c r="O14" s="166"/>
      <c r="P14" s="165"/>
      <c r="Q14" s="166"/>
      <c r="R14" s="64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 t="s">
        <v>102</v>
      </c>
      <c r="E15" s="12" t="s">
        <v>203</v>
      </c>
      <c r="F15" s="17">
        <v>160</v>
      </c>
      <c r="G15" s="17">
        <v>304</v>
      </c>
      <c r="H15" s="18">
        <v>0.7</v>
      </c>
      <c r="I15" s="17">
        <v>33000</v>
      </c>
      <c r="J15" s="165"/>
      <c r="K15" s="166"/>
      <c r="L15" s="165"/>
      <c r="M15" s="166"/>
      <c r="N15" s="165">
        <v>528</v>
      </c>
      <c r="O15" s="166"/>
      <c r="P15" s="165"/>
      <c r="Q15" s="166"/>
      <c r="R15" s="64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>
        <v>250034</v>
      </c>
      <c r="E16" s="12" t="s">
        <v>316</v>
      </c>
      <c r="F16" s="17">
        <v>318</v>
      </c>
      <c r="G16" s="17">
        <v>304</v>
      </c>
      <c r="H16" s="18">
        <v>0.7</v>
      </c>
      <c r="I16" s="17">
        <v>33000</v>
      </c>
      <c r="J16" s="165">
        <v>875</v>
      </c>
      <c r="K16" s="166"/>
      <c r="L16" s="165"/>
      <c r="M16" s="166"/>
      <c r="N16" s="165"/>
      <c r="O16" s="166"/>
      <c r="P16" s="165"/>
      <c r="Q16" s="166"/>
      <c r="R16" s="64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>
        <v>0.70833333333333337</v>
      </c>
      <c r="D17" s="4" t="s">
        <v>102</v>
      </c>
      <c r="E17" s="12" t="s">
        <v>317</v>
      </c>
      <c r="F17" s="17">
        <v>132</v>
      </c>
      <c r="G17" s="17">
        <v>304</v>
      </c>
      <c r="H17" s="18">
        <v>0.7</v>
      </c>
      <c r="I17" s="17">
        <v>33000</v>
      </c>
      <c r="J17" s="165">
        <v>175</v>
      </c>
      <c r="K17" s="166"/>
      <c r="L17" s="165"/>
      <c r="M17" s="166"/>
      <c r="N17" s="165"/>
      <c r="O17" s="166"/>
      <c r="P17" s="165"/>
      <c r="Q17" s="166"/>
      <c r="R17" s="64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64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64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64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6805</v>
      </c>
      <c r="K21" s="22" t="s">
        <v>17</v>
      </c>
      <c r="L21" s="21">
        <f>SUM(L7:M20)</f>
        <v>0</v>
      </c>
      <c r="M21" s="22" t="s">
        <v>17</v>
      </c>
      <c r="N21" s="21">
        <f>SUM(N7:O20)</f>
        <v>549</v>
      </c>
      <c r="O21" s="22" t="s">
        <v>17</v>
      </c>
      <c r="P21" s="21">
        <f>SUM(P7:Q20)</f>
        <v>0</v>
      </c>
      <c r="Q21" s="22" t="s">
        <v>17</v>
      </c>
      <c r="R21" s="23">
        <f>SUM(R7:R20)</f>
        <v>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6805</v>
      </c>
      <c r="K24" s="31" t="s">
        <v>17</v>
      </c>
      <c r="L24" s="32">
        <f>L21</f>
        <v>0</v>
      </c>
      <c r="M24" s="31" t="s">
        <v>17</v>
      </c>
      <c r="N24" s="32">
        <f>N21</f>
        <v>549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7354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45930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/>
      <c r="D31" s="4">
        <v>180925</v>
      </c>
      <c r="E31" s="12" t="s">
        <v>319</v>
      </c>
      <c r="F31" s="40">
        <v>430</v>
      </c>
      <c r="G31" s="41">
        <v>0.5</v>
      </c>
      <c r="H31" s="40">
        <v>525</v>
      </c>
      <c r="I31" s="12">
        <v>5</v>
      </c>
      <c r="J31" s="165"/>
      <c r="K31" s="166"/>
      <c r="L31" s="165"/>
      <c r="M31" s="166"/>
      <c r="N31" s="165"/>
      <c r="O31" s="166"/>
      <c r="P31" s="165">
        <v>800</v>
      </c>
      <c r="Q31" s="166"/>
      <c r="R31" s="64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>
        <v>0.70833333333333337</v>
      </c>
      <c r="D32" s="4">
        <v>180925</v>
      </c>
      <c r="E32" s="13" t="s">
        <v>320</v>
      </c>
      <c r="F32" s="40">
        <v>430</v>
      </c>
      <c r="G32" s="41">
        <v>0.5</v>
      </c>
      <c r="H32" s="17">
        <v>365</v>
      </c>
      <c r="I32" s="12">
        <v>5</v>
      </c>
      <c r="J32" s="165"/>
      <c r="K32" s="166"/>
      <c r="L32" s="165"/>
      <c r="M32" s="166"/>
      <c r="N32" s="165"/>
      <c r="O32" s="166"/>
      <c r="P32" s="165">
        <v>1000</v>
      </c>
      <c r="Q32" s="166"/>
      <c r="R32" s="64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64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1"/>
      <c r="B34" s="5"/>
      <c r="C34" s="5"/>
      <c r="D34" s="4"/>
      <c r="E34" s="12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64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82"/>
      <c r="B35" s="19"/>
      <c r="C35" s="19"/>
      <c r="D35" s="20"/>
      <c r="E35" s="170" t="s">
        <v>0</v>
      </c>
      <c r="F35" s="171"/>
      <c r="G35" s="171"/>
      <c r="H35" s="171"/>
      <c r="I35" s="172"/>
      <c r="J35" s="173">
        <f>SUM(J31:K34)</f>
        <v>0</v>
      </c>
      <c r="K35" s="174"/>
      <c r="L35" s="173">
        <f>SUM(L31:M34)</f>
        <v>0</v>
      </c>
      <c r="M35" s="174"/>
      <c r="N35" s="173">
        <f>SUM(N31:O34)</f>
        <v>0</v>
      </c>
      <c r="O35" s="174"/>
      <c r="P35" s="173">
        <f>SUM(P31:Q34)</f>
        <v>1800</v>
      </c>
      <c r="Q35" s="174"/>
      <c r="R35" s="23">
        <f>SUM(R31:R34)</f>
        <v>0</v>
      </c>
      <c r="S35" s="24" t="s">
        <v>20</v>
      </c>
      <c r="T35" s="19"/>
      <c r="U35" s="177"/>
      <c r="V35" s="178"/>
      <c r="W35" s="179"/>
    </row>
    <row r="36" spans="1:23" ht="14.55" customHeight="1" x14ac:dyDescent="0.3">
      <c r="A36" s="163" t="s">
        <v>34</v>
      </c>
      <c r="B36" s="5">
        <v>0.33333333333333331</v>
      </c>
      <c r="C36" s="5">
        <v>0.70833333333333337</v>
      </c>
      <c r="D36" s="4">
        <v>250070</v>
      </c>
      <c r="E36" s="12" t="s">
        <v>318</v>
      </c>
      <c r="F36" s="40">
        <v>304</v>
      </c>
      <c r="G36" s="41">
        <v>0.6</v>
      </c>
      <c r="H36" s="40">
        <v>467</v>
      </c>
      <c r="I36" s="12">
        <v>3</v>
      </c>
      <c r="J36" s="165">
        <v>1500</v>
      </c>
      <c r="K36" s="166"/>
      <c r="L36" s="165"/>
      <c r="M36" s="166"/>
      <c r="N36" s="165"/>
      <c r="O36" s="166"/>
      <c r="P36" s="165"/>
      <c r="Q36" s="166"/>
      <c r="R36" s="64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63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64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63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64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4"/>
      <c r="B39" s="19"/>
      <c r="C39" s="19"/>
      <c r="D39" s="20"/>
      <c r="E39" s="170" t="s">
        <v>0</v>
      </c>
      <c r="F39" s="171"/>
      <c r="G39" s="171"/>
      <c r="H39" s="171"/>
      <c r="I39" s="172"/>
      <c r="J39" s="173">
        <f>SUM(J36:K38)</f>
        <v>1500</v>
      </c>
      <c r="K39" s="174"/>
      <c r="L39" s="173">
        <f>SUM(L36:M38)</f>
        <v>0</v>
      </c>
      <c r="M39" s="174"/>
      <c r="N39" s="173">
        <f>SUM(N36:O38)</f>
        <v>0</v>
      </c>
      <c r="O39" s="174"/>
      <c r="P39" s="173">
        <f>SUM(P36:Q38)</f>
        <v>0</v>
      </c>
      <c r="Q39" s="174"/>
      <c r="R39" s="23">
        <f>SUM(R36:R38)</f>
        <v>0</v>
      </c>
      <c r="S39" s="24" t="s">
        <v>20</v>
      </c>
      <c r="T39" s="19"/>
      <c r="U39" s="177"/>
      <c r="V39" s="178"/>
      <c r="W39" s="179"/>
    </row>
    <row r="40" spans="1:23" ht="14.55" customHeight="1" x14ac:dyDescent="0.3">
      <c r="A40" s="163" t="s">
        <v>35</v>
      </c>
      <c r="B40" s="5"/>
      <c r="C40" s="5"/>
      <c r="D40" s="4"/>
      <c r="E40" s="12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64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64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/>
      <c r="E42" s="12" t="s">
        <v>321</v>
      </c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64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64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64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64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64"/>
      <c r="S46" s="14" t="s">
        <v>20</v>
      </c>
      <c r="T46" s="42"/>
      <c r="U46" s="177"/>
      <c r="V46" s="178"/>
      <c r="W46" s="179"/>
    </row>
    <row r="47" spans="1:23" ht="14.55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64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64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64"/>
      <c r="B49" s="19"/>
      <c r="C49" s="19"/>
      <c r="D49" s="20"/>
      <c r="E49" s="170" t="s">
        <v>0</v>
      </c>
      <c r="F49" s="171"/>
      <c r="G49" s="171"/>
      <c r="H49" s="171"/>
      <c r="I49" s="172"/>
      <c r="J49" s="173">
        <f>SUM(J40:K48)</f>
        <v>0</v>
      </c>
      <c r="K49" s="174"/>
      <c r="L49" s="173">
        <f>SUM(L40:M48)</f>
        <v>0</v>
      </c>
      <c r="M49" s="174"/>
      <c r="N49" s="173">
        <f>SUM(N40:O48)</f>
        <v>0</v>
      </c>
      <c r="O49" s="174"/>
      <c r="P49" s="173">
        <f>SUM(P40:Q48)</f>
        <v>0</v>
      </c>
      <c r="Q49" s="174"/>
      <c r="R49" s="23">
        <f>SUM(R40:R48)</f>
        <v>0</v>
      </c>
      <c r="S49" s="24" t="s">
        <v>20</v>
      </c>
      <c r="T49" s="19"/>
      <c r="U49" s="177"/>
      <c r="V49" s="178"/>
      <c r="W49" s="179"/>
    </row>
    <row r="50" spans="1:23" ht="14.55" customHeight="1" x14ac:dyDescent="0.3">
      <c r="A50" s="27"/>
      <c r="B50" s="27"/>
      <c r="C50" s="27"/>
      <c r="D50" s="27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27"/>
      <c r="S50" s="27"/>
      <c r="T50" s="39"/>
      <c r="U50" s="39"/>
      <c r="V50" s="39"/>
      <c r="W50" s="39"/>
    </row>
    <row r="51" spans="1:23" x14ac:dyDescent="0.3">
      <c r="E51" s="170" t="s">
        <v>31</v>
      </c>
      <c r="F51" s="171"/>
      <c r="G51" s="171"/>
      <c r="H51" s="171"/>
      <c r="I51" s="172"/>
      <c r="J51" s="175" t="s">
        <v>7</v>
      </c>
      <c r="K51" s="176"/>
      <c r="L51" s="175" t="s">
        <v>8</v>
      </c>
      <c r="M51" s="176"/>
      <c r="N51" s="175" t="s">
        <v>9</v>
      </c>
      <c r="O51" s="176"/>
      <c r="P51" s="175" t="s">
        <v>16</v>
      </c>
      <c r="Q51" s="176"/>
    </row>
    <row r="52" spans="1:23" s="2" customFormat="1" x14ac:dyDescent="0.3">
      <c r="E52" s="15"/>
      <c r="F52" s="15"/>
      <c r="G52" s="15"/>
      <c r="H52" s="15"/>
      <c r="I52" s="15"/>
      <c r="J52" s="30">
        <f>J35+J39+J49</f>
        <v>1500</v>
      </c>
      <c r="K52" s="31" t="s">
        <v>17</v>
      </c>
      <c r="L52" s="30">
        <f>L35+L39+L49</f>
        <v>0</v>
      </c>
      <c r="M52" s="31" t="s">
        <v>17</v>
      </c>
      <c r="N52" s="30">
        <f>N35+N39+N49</f>
        <v>0</v>
      </c>
      <c r="O52" s="31" t="s">
        <v>17</v>
      </c>
      <c r="P52" s="30">
        <f>P35+P39+P49</f>
        <v>1800</v>
      </c>
      <c r="Q52" s="34" t="s">
        <v>17</v>
      </c>
    </row>
    <row r="53" spans="1:23" ht="24.45" customHeight="1" x14ac:dyDescent="0.3">
      <c r="E53" s="28"/>
      <c r="F53" s="28"/>
      <c r="G53" s="28"/>
      <c r="H53" s="28"/>
      <c r="I53" s="28"/>
      <c r="J53" s="167">
        <f>J52+L52+N52+P52</f>
        <v>3300</v>
      </c>
      <c r="K53" s="168"/>
      <c r="L53" s="168"/>
      <c r="M53" s="168"/>
      <c r="N53" s="168"/>
      <c r="O53" s="168"/>
      <c r="P53" s="168"/>
      <c r="Q53" s="169"/>
    </row>
    <row r="54" spans="1:23" ht="30" customHeight="1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</row>
    <row r="55" spans="1:23" s="37" customFormat="1" ht="19.95" customHeight="1" x14ac:dyDescent="0.4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6"/>
      <c r="Q55" s="214" t="s">
        <v>14</v>
      </c>
      <c r="R55" s="215"/>
      <c r="S55" s="216"/>
      <c r="T55" s="184">
        <f>T3</f>
        <v>45930</v>
      </c>
      <c r="U55" s="185"/>
      <c r="V55" s="185"/>
      <c r="W55" s="186"/>
    </row>
    <row r="56" spans="1:23" s="16" customFormat="1" ht="30" customHeight="1" x14ac:dyDescent="0.3">
      <c r="A56" s="187" t="s">
        <v>26</v>
      </c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9"/>
      <c r="Q56" s="189"/>
      <c r="R56" s="189"/>
      <c r="S56" s="189"/>
      <c r="T56" s="188"/>
      <c r="U56" s="188"/>
      <c r="V56" s="188"/>
      <c r="W56" s="190"/>
    </row>
    <row r="57" spans="1:23" s="26" customFormat="1" ht="13.8" x14ac:dyDescent="0.3">
      <c r="A57" s="191" t="s">
        <v>1</v>
      </c>
      <c r="B57" s="192" t="s">
        <v>2</v>
      </c>
      <c r="C57" s="192" t="s">
        <v>3</v>
      </c>
      <c r="D57" s="192" t="s">
        <v>4</v>
      </c>
      <c r="E57" s="193" t="s">
        <v>5</v>
      </c>
      <c r="F57" s="197"/>
      <c r="G57" s="197"/>
      <c r="H57" s="197"/>
      <c r="I57" s="198"/>
      <c r="J57" s="193" t="s">
        <v>6</v>
      </c>
      <c r="K57" s="197"/>
      <c r="L57" s="197"/>
      <c r="M57" s="197"/>
      <c r="N57" s="197"/>
      <c r="O57" s="197"/>
      <c r="P57" s="197"/>
      <c r="Q57" s="198"/>
      <c r="R57" s="193" t="s">
        <v>10</v>
      </c>
      <c r="S57" s="198"/>
      <c r="T57" s="191" t="s">
        <v>11</v>
      </c>
      <c r="U57" s="191" t="s">
        <v>12</v>
      </c>
      <c r="V57" s="191"/>
      <c r="W57" s="191"/>
    </row>
    <row r="58" spans="1:23" s="26" customFormat="1" ht="13.8" x14ac:dyDescent="0.3">
      <c r="A58" s="191"/>
      <c r="B58" s="192"/>
      <c r="C58" s="192"/>
      <c r="D58" s="192"/>
      <c r="E58" s="194"/>
      <c r="F58" s="217"/>
      <c r="G58" s="217"/>
      <c r="H58" s="217"/>
      <c r="I58" s="199"/>
      <c r="J58" s="200" t="s">
        <v>7</v>
      </c>
      <c r="K58" s="201"/>
      <c r="L58" s="200" t="s">
        <v>8</v>
      </c>
      <c r="M58" s="201"/>
      <c r="N58" s="200" t="s">
        <v>9</v>
      </c>
      <c r="O58" s="201"/>
      <c r="P58" s="200" t="s">
        <v>16</v>
      </c>
      <c r="Q58" s="201"/>
      <c r="R58" s="194"/>
      <c r="S58" s="199"/>
      <c r="T58" s="191"/>
      <c r="U58" s="191"/>
      <c r="V58" s="191"/>
      <c r="W58" s="191"/>
    </row>
    <row r="59" spans="1:23" x14ac:dyDescent="0.3">
      <c r="A59" s="180" t="s">
        <v>13</v>
      </c>
      <c r="B59" s="5">
        <v>0.33333333333333331</v>
      </c>
      <c r="C59" s="5"/>
      <c r="D59" s="4" t="s">
        <v>79</v>
      </c>
      <c r="E59" s="211" t="s">
        <v>285</v>
      </c>
      <c r="F59" s="212"/>
      <c r="G59" s="212"/>
      <c r="H59" s="212"/>
      <c r="I59" s="213"/>
      <c r="J59" s="165"/>
      <c r="K59" s="166"/>
      <c r="L59" s="165"/>
      <c r="M59" s="166"/>
      <c r="N59" s="165">
        <v>1167</v>
      </c>
      <c r="O59" s="166"/>
      <c r="P59" s="165"/>
      <c r="Q59" s="166"/>
      <c r="R59" s="64"/>
      <c r="S59" s="6" t="s">
        <v>20</v>
      </c>
      <c r="T59" s="3"/>
      <c r="U59" s="202"/>
      <c r="V59" s="203"/>
      <c r="W59" s="204"/>
    </row>
    <row r="60" spans="1:23" x14ac:dyDescent="0.3">
      <c r="A60" s="163"/>
      <c r="B60" s="5"/>
      <c r="C60" s="5"/>
      <c r="D60" s="4">
        <v>100925</v>
      </c>
      <c r="E60" s="211" t="s">
        <v>322</v>
      </c>
      <c r="F60" s="212"/>
      <c r="G60" s="212"/>
      <c r="H60" s="212"/>
      <c r="I60" s="213"/>
      <c r="J60" s="165"/>
      <c r="K60" s="166"/>
      <c r="L60" s="165"/>
      <c r="M60" s="166"/>
      <c r="N60" s="165">
        <v>1606</v>
      </c>
      <c r="O60" s="166"/>
      <c r="P60" s="165"/>
      <c r="Q60" s="166"/>
      <c r="R60" s="64"/>
      <c r="S60" s="6" t="s">
        <v>20</v>
      </c>
      <c r="T60" s="3"/>
      <c r="U60" s="205"/>
      <c r="V60" s="206"/>
      <c r="W60" s="207"/>
    </row>
    <row r="61" spans="1:23" x14ac:dyDescent="0.3">
      <c r="A61" s="163"/>
      <c r="B61" s="5"/>
      <c r="C61" s="5"/>
      <c r="D61" s="4">
        <v>100925</v>
      </c>
      <c r="E61" s="211" t="s">
        <v>323</v>
      </c>
      <c r="F61" s="212"/>
      <c r="G61" s="212"/>
      <c r="H61" s="212"/>
      <c r="I61" s="213"/>
      <c r="J61" s="165"/>
      <c r="K61" s="166"/>
      <c r="L61" s="165"/>
      <c r="M61" s="166"/>
      <c r="N61" s="165">
        <v>650</v>
      </c>
      <c r="O61" s="166"/>
      <c r="P61" s="165"/>
      <c r="Q61" s="166"/>
      <c r="R61" s="64"/>
      <c r="S61" s="6" t="s">
        <v>20</v>
      </c>
      <c r="T61" s="3"/>
      <c r="U61" s="205"/>
      <c r="V61" s="206"/>
      <c r="W61" s="207"/>
    </row>
    <row r="62" spans="1:23" x14ac:dyDescent="0.3">
      <c r="A62" s="163"/>
      <c r="B62" s="5"/>
      <c r="C62" s="5">
        <v>0.70833333333333337</v>
      </c>
      <c r="D62" s="4">
        <v>250070</v>
      </c>
      <c r="E62" s="211" t="s">
        <v>318</v>
      </c>
      <c r="F62" s="212"/>
      <c r="G62" s="212"/>
      <c r="H62" s="212"/>
      <c r="I62" s="213"/>
      <c r="J62" s="165">
        <v>560</v>
      </c>
      <c r="K62" s="166"/>
      <c r="L62" s="165"/>
      <c r="M62" s="166"/>
      <c r="N62" s="165"/>
      <c r="O62" s="166"/>
      <c r="P62" s="165"/>
      <c r="Q62" s="166"/>
      <c r="R62" s="64"/>
      <c r="S62" s="6" t="s">
        <v>20</v>
      </c>
      <c r="T62" s="3"/>
      <c r="U62" s="205"/>
      <c r="V62" s="206"/>
      <c r="W62" s="207"/>
    </row>
    <row r="63" spans="1:23" x14ac:dyDescent="0.3">
      <c r="A63" s="163"/>
      <c r="B63" s="5"/>
      <c r="C63" s="5"/>
      <c r="D63" s="4"/>
      <c r="E63" s="211"/>
      <c r="F63" s="212"/>
      <c r="G63" s="212"/>
      <c r="H63" s="212"/>
      <c r="I63" s="213"/>
      <c r="J63" s="165"/>
      <c r="K63" s="166"/>
      <c r="L63" s="165"/>
      <c r="M63" s="166"/>
      <c r="N63" s="165"/>
      <c r="O63" s="166"/>
      <c r="P63" s="165"/>
      <c r="Q63" s="166"/>
      <c r="R63" s="64"/>
      <c r="S63" s="6" t="s">
        <v>20</v>
      </c>
      <c r="T63" s="3"/>
      <c r="U63" s="205"/>
      <c r="V63" s="206"/>
      <c r="W63" s="207"/>
    </row>
    <row r="64" spans="1:23" x14ac:dyDescent="0.3">
      <c r="A64" s="163"/>
      <c r="B64" s="5"/>
      <c r="C64" s="5"/>
      <c r="D64" s="4"/>
      <c r="E64" s="211"/>
      <c r="F64" s="212"/>
      <c r="G64" s="212"/>
      <c r="H64" s="212"/>
      <c r="I64" s="213"/>
      <c r="J64" s="165"/>
      <c r="K64" s="166"/>
      <c r="L64" s="165"/>
      <c r="M64" s="166"/>
      <c r="N64" s="165"/>
      <c r="O64" s="166"/>
      <c r="P64" s="165"/>
      <c r="Q64" s="166"/>
      <c r="R64" s="64"/>
      <c r="S64" s="6" t="s">
        <v>20</v>
      </c>
      <c r="T64" s="3"/>
      <c r="U64" s="205"/>
      <c r="V64" s="206"/>
      <c r="W64" s="207"/>
    </row>
    <row r="65" spans="1:23" x14ac:dyDescent="0.3">
      <c r="A65" s="163"/>
      <c r="B65" s="5"/>
      <c r="C65" s="5"/>
      <c r="D65" s="4"/>
      <c r="E65" s="211"/>
      <c r="F65" s="212"/>
      <c r="G65" s="212"/>
      <c r="H65" s="212"/>
      <c r="I65" s="213"/>
      <c r="J65" s="165"/>
      <c r="K65" s="166"/>
      <c r="L65" s="165"/>
      <c r="M65" s="166"/>
      <c r="N65" s="165"/>
      <c r="O65" s="166"/>
      <c r="P65" s="165"/>
      <c r="Q65" s="166"/>
      <c r="R65" s="64"/>
      <c r="S65" s="6" t="s">
        <v>20</v>
      </c>
      <c r="T65" s="3"/>
      <c r="U65" s="205"/>
      <c r="V65" s="206"/>
      <c r="W65" s="207"/>
    </row>
    <row r="66" spans="1:23" x14ac:dyDescent="0.3">
      <c r="A66" s="164"/>
      <c r="B66" s="19"/>
      <c r="C66" s="19"/>
      <c r="D66" s="20"/>
      <c r="E66" s="170" t="s">
        <v>0</v>
      </c>
      <c r="F66" s="171"/>
      <c r="G66" s="171"/>
      <c r="H66" s="171"/>
      <c r="I66" s="172"/>
      <c r="J66" s="173">
        <f>SUM(J59:J65)</f>
        <v>560</v>
      </c>
      <c r="K66" s="174"/>
      <c r="L66" s="173">
        <f>SUM(L59:L65)</f>
        <v>0</v>
      </c>
      <c r="M66" s="174"/>
      <c r="N66" s="173">
        <f>SUM(N59:N65)</f>
        <v>3423</v>
      </c>
      <c r="O66" s="174"/>
      <c r="P66" s="173">
        <f>SUM(P59:P65)</f>
        <v>0</v>
      </c>
      <c r="Q66" s="174"/>
      <c r="R66" s="23">
        <f>SUM(R59:R65)</f>
        <v>0</v>
      </c>
      <c r="S66" s="24" t="s">
        <v>20</v>
      </c>
      <c r="T66" s="19"/>
      <c r="U66" s="208"/>
      <c r="V66" s="209"/>
      <c r="W66" s="210"/>
    </row>
    <row r="67" spans="1:23" x14ac:dyDescent="0.3">
      <c r="A67" s="180" t="s">
        <v>15</v>
      </c>
      <c r="B67" s="5"/>
      <c r="C67" s="5"/>
      <c r="D67" s="4"/>
      <c r="E67" s="211"/>
      <c r="F67" s="212"/>
      <c r="G67" s="212"/>
      <c r="H67" s="212"/>
      <c r="I67" s="213"/>
      <c r="J67" s="165"/>
      <c r="K67" s="166"/>
      <c r="L67" s="165"/>
      <c r="M67" s="166"/>
      <c r="N67" s="165"/>
      <c r="O67" s="166"/>
      <c r="P67" s="165"/>
      <c r="Q67" s="166"/>
      <c r="R67" s="64"/>
      <c r="S67" s="6" t="s">
        <v>20</v>
      </c>
      <c r="T67" s="3"/>
      <c r="U67" s="202"/>
      <c r="V67" s="203"/>
      <c r="W67" s="204"/>
    </row>
    <row r="68" spans="1:23" x14ac:dyDescent="0.3">
      <c r="A68" s="163"/>
      <c r="B68" s="5"/>
      <c r="C68" s="5"/>
      <c r="D68" s="4"/>
      <c r="E68" s="211"/>
      <c r="F68" s="212"/>
      <c r="G68" s="212"/>
      <c r="H68" s="212"/>
      <c r="I68" s="213"/>
      <c r="J68" s="165"/>
      <c r="K68" s="166"/>
      <c r="L68" s="165"/>
      <c r="M68" s="166"/>
      <c r="N68" s="165"/>
      <c r="O68" s="166"/>
      <c r="P68" s="165"/>
      <c r="Q68" s="166"/>
      <c r="R68" s="64"/>
      <c r="S68" s="6" t="s">
        <v>20</v>
      </c>
      <c r="T68" s="3"/>
      <c r="U68" s="205"/>
      <c r="V68" s="206"/>
      <c r="W68" s="207"/>
    </row>
    <row r="69" spans="1:23" x14ac:dyDescent="0.3">
      <c r="A69" s="163"/>
      <c r="B69" s="5"/>
      <c r="C69" s="5"/>
      <c r="D69" s="4"/>
      <c r="E69" s="211"/>
      <c r="F69" s="212"/>
      <c r="G69" s="212"/>
      <c r="H69" s="212"/>
      <c r="I69" s="213"/>
      <c r="J69" s="165"/>
      <c r="K69" s="166"/>
      <c r="L69" s="165"/>
      <c r="M69" s="166"/>
      <c r="N69" s="165"/>
      <c r="O69" s="166"/>
      <c r="P69" s="165"/>
      <c r="Q69" s="166"/>
      <c r="R69" s="64"/>
      <c r="S69" s="6" t="s">
        <v>20</v>
      </c>
      <c r="T69" s="3"/>
      <c r="U69" s="205"/>
      <c r="V69" s="206"/>
      <c r="W69" s="207"/>
    </row>
    <row r="70" spans="1:23" x14ac:dyDescent="0.3">
      <c r="A70" s="164"/>
      <c r="B70" s="19"/>
      <c r="C70" s="19"/>
      <c r="D70" s="20"/>
      <c r="E70" s="170" t="s">
        <v>0</v>
      </c>
      <c r="F70" s="171"/>
      <c r="G70" s="171"/>
      <c r="H70" s="171"/>
      <c r="I70" s="172"/>
      <c r="J70" s="173">
        <f>SUM(J67:J69)</f>
        <v>0</v>
      </c>
      <c r="K70" s="174"/>
      <c r="L70" s="173">
        <f>SUM(L67:L69)</f>
        <v>0</v>
      </c>
      <c r="M70" s="174"/>
      <c r="N70" s="173">
        <f>SUM(N67:N69)</f>
        <v>0</v>
      </c>
      <c r="O70" s="174"/>
      <c r="P70" s="173">
        <f>SUM(P62:P69)</f>
        <v>0</v>
      </c>
      <c r="Q70" s="174"/>
      <c r="R70" s="23">
        <f>SUM(R67:R69)</f>
        <v>0</v>
      </c>
      <c r="S70" s="24" t="s">
        <v>20</v>
      </c>
      <c r="T70" s="7"/>
      <c r="U70" s="208"/>
      <c r="V70" s="209"/>
      <c r="W70" s="210"/>
    </row>
    <row r="71" spans="1:23" x14ac:dyDescent="0.3">
      <c r="A71" s="180" t="s">
        <v>37</v>
      </c>
      <c r="B71" s="5"/>
      <c r="C71" s="5"/>
      <c r="D71" s="4"/>
      <c r="E71" s="211"/>
      <c r="F71" s="212"/>
      <c r="G71" s="212"/>
      <c r="H71" s="212"/>
      <c r="I71" s="213"/>
      <c r="J71" s="165"/>
      <c r="K71" s="166"/>
      <c r="L71" s="165"/>
      <c r="M71" s="166"/>
      <c r="N71" s="165"/>
      <c r="O71" s="166"/>
      <c r="P71" s="165"/>
      <c r="Q71" s="166"/>
      <c r="R71" s="64"/>
      <c r="S71" s="6" t="s">
        <v>20</v>
      </c>
      <c r="T71" s="3"/>
      <c r="U71" s="202"/>
      <c r="V71" s="203"/>
      <c r="W71" s="204"/>
    </row>
    <row r="72" spans="1:23" x14ac:dyDescent="0.3">
      <c r="A72" s="163"/>
      <c r="B72" s="5"/>
      <c r="C72" s="5"/>
      <c r="D72" s="4"/>
      <c r="E72" s="211"/>
      <c r="F72" s="212"/>
      <c r="G72" s="212"/>
      <c r="H72" s="212"/>
      <c r="I72" s="213"/>
      <c r="J72" s="165"/>
      <c r="K72" s="166"/>
      <c r="L72" s="165"/>
      <c r="M72" s="166"/>
      <c r="N72" s="165"/>
      <c r="O72" s="166"/>
      <c r="P72" s="165"/>
      <c r="Q72" s="166"/>
      <c r="R72" s="64"/>
      <c r="S72" s="6" t="s">
        <v>20</v>
      </c>
      <c r="T72" s="3"/>
      <c r="U72" s="205"/>
      <c r="V72" s="206"/>
      <c r="W72" s="207"/>
    </row>
    <row r="73" spans="1:23" x14ac:dyDescent="0.3">
      <c r="A73" s="163"/>
      <c r="B73" s="5"/>
      <c r="C73" s="5"/>
      <c r="D73" s="4"/>
      <c r="E73" s="211"/>
      <c r="F73" s="212"/>
      <c r="G73" s="212"/>
      <c r="H73" s="212"/>
      <c r="I73" s="213"/>
      <c r="J73" s="165"/>
      <c r="K73" s="166"/>
      <c r="L73" s="165"/>
      <c r="M73" s="166"/>
      <c r="N73" s="165"/>
      <c r="O73" s="166"/>
      <c r="P73" s="165"/>
      <c r="Q73" s="166"/>
      <c r="R73" s="64"/>
      <c r="S73" s="6" t="s">
        <v>20</v>
      </c>
      <c r="T73" s="3"/>
      <c r="U73" s="205"/>
      <c r="V73" s="206"/>
      <c r="W73" s="207"/>
    </row>
    <row r="74" spans="1:23" x14ac:dyDescent="0.3">
      <c r="A74" s="163"/>
      <c r="B74" s="5"/>
      <c r="C74" s="5"/>
      <c r="D74" s="4"/>
      <c r="E74" s="211"/>
      <c r="F74" s="212"/>
      <c r="G74" s="212"/>
      <c r="H74" s="212"/>
      <c r="I74" s="213"/>
      <c r="J74" s="165"/>
      <c r="K74" s="166"/>
      <c r="L74" s="165"/>
      <c r="M74" s="166"/>
      <c r="N74" s="165"/>
      <c r="O74" s="166"/>
      <c r="P74" s="165"/>
      <c r="Q74" s="166"/>
      <c r="R74" s="64"/>
      <c r="S74" s="6" t="s">
        <v>20</v>
      </c>
      <c r="T74" s="3"/>
      <c r="U74" s="205"/>
      <c r="V74" s="206"/>
      <c r="W74" s="207"/>
    </row>
    <row r="75" spans="1:23" x14ac:dyDescent="0.3">
      <c r="A75" s="163"/>
      <c r="B75" s="5"/>
      <c r="C75" s="5"/>
      <c r="D75" s="4"/>
      <c r="E75" s="211"/>
      <c r="F75" s="212"/>
      <c r="G75" s="212"/>
      <c r="H75" s="212"/>
      <c r="I75" s="213"/>
      <c r="J75" s="165"/>
      <c r="K75" s="166"/>
      <c r="L75" s="165"/>
      <c r="M75" s="166"/>
      <c r="N75" s="165"/>
      <c r="O75" s="166"/>
      <c r="P75" s="165"/>
      <c r="Q75" s="166"/>
      <c r="R75" s="64"/>
      <c r="S75" s="6" t="s">
        <v>20</v>
      </c>
      <c r="T75" s="3"/>
      <c r="U75" s="205"/>
      <c r="V75" s="206"/>
      <c r="W75" s="207"/>
    </row>
    <row r="76" spans="1:23" x14ac:dyDescent="0.3">
      <c r="A76" s="163"/>
      <c r="B76" s="5"/>
      <c r="C76" s="5"/>
      <c r="D76" s="4"/>
      <c r="E76" s="211"/>
      <c r="F76" s="212"/>
      <c r="G76" s="212"/>
      <c r="H76" s="212"/>
      <c r="I76" s="213"/>
      <c r="J76" s="165"/>
      <c r="K76" s="166"/>
      <c r="L76" s="165"/>
      <c r="M76" s="166"/>
      <c r="N76" s="165"/>
      <c r="O76" s="166"/>
      <c r="P76" s="165"/>
      <c r="Q76" s="166"/>
      <c r="R76" s="64"/>
      <c r="S76" s="6" t="s">
        <v>20</v>
      </c>
      <c r="T76" s="3"/>
      <c r="U76" s="205"/>
      <c r="V76" s="206"/>
      <c r="W76" s="207"/>
    </row>
    <row r="77" spans="1:23" x14ac:dyDescent="0.3">
      <c r="A77" s="163"/>
      <c r="B77" s="5"/>
      <c r="C77" s="5"/>
      <c r="D77" s="4"/>
      <c r="E77" s="211"/>
      <c r="F77" s="212"/>
      <c r="G77" s="212"/>
      <c r="H77" s="212"/>
      <c r="I77" s="213"/>
      <c r="J77" s="165"/>
      <c r="K77" s="166"/>
      <c r="L77" s="165"/>
      <c r="M77" s="166"/>
      <c r="N77" s="165"/>
      <c r="O77" s="166"/>
      <c r="P77" s="165"/>
      <c r="Q77" s="166"/>
      <c r="R77" s="64"/>
      <c r="S77" s="6" t="s">
        <v>20</v>
      </c>
      <c r="T77" s="3"/>
      <c r="U77" s="205"/>
      <c r="V77" s="206"/>
      <c r="W77" s="207"/>
    </row>
    <row r="78" spans="1:23" x14ac:dyDescent="0.3">
      <c r="A78" s="164"/>
      <c r="B78" s="19"/>
      <c r="C78" s="19"/>
      <c r="D78" s="20"/>
      <c r="E78" s="170" t="s">
        <v>0</v>
      </c>
      <c r="F78" s="171"/>
      <c r="G78" s="171"/>
      <c r="H78" s="171"/>
      <c r="I78" s="172"/>
      <c r="J78" s="173">
        <f>SUM(J71:J77)</f>
        <v>0</v>
      </c>
      <c r="K78" s="174"/>
      <c r="L78" s="173">
        <f>SUM(L71:L77)</f>
        <v>0</v>
      </c>
      <c r="M78" s="174"/>
      <c r="N78" s="173">
        <f>SUM(N71:N77)</f>
        <v>0</v>
      </c>
      <c r="O78" s="174"/>
      <c r="P78" s="173">
        <f>SUM(P71:P77)</f>
        <v>0</v>
      </c>
      <c r="Q78" s="174"/>
      <c r="R78" s="23">
        <f>SUM(R71:R77)</f>
        <v>0</v>
      </c>
      <c r="S78" s="24" t="s">
        <v>20</v>
      </c>
      <c r="T78" s="19"/>
      <c r="U78" s="208"/>
      <c r="V78" s="209"/>
      <c r="W78" s="210"/>
    </row>
    <row r="79" spans="1:23" x14ac:dyDescent="0.3">
      <c r="A79" s="180" t="s">
        <v>36</v>
      </c>
      <c r="B79" s="5"/>
      <c r="C79" s="5"/>
      <c r="D79" s="4"/>
      <c r="E79" s="211"/>
      <c r="F79" s="212"/>
      <c r="G79" s="212"/>
      <c r="H79" s="212"/>
      <c r="I79" s="213"/>
      <c r="J79" s="165"/>
      <c r="K79" s="166"/>
      <c r="L79" s="165"/>
      <c r="M79" s="166"/>
      <c r="N79" s="165"/>
      <c r="O79" s="166"/>
      <c r="P79" s="165"/>
      <c r="Q79" s="166"/>
      <c r="R79" s="64"/>
      <c r="S79" s="6" t="s">
        <v>20</v>
      </c>
      <c r="T79" s="3"/>
      <c r="U79" s="202"/>
      <c r="V79" s="203"/>
      <c r="W79" s="204"/>
    </row>
    <row r="80" spans="1:23" x14ac:dyDescent="0.3">
      <c r="A80" s="163"/>
      <c r="B80" s="5"/>
      <c r="C80" s="5"/>
      <c r="D80" s="4"/>
      <c r="E80" s="211"/>
      <c r="F80" s="212"/>
      <c r="G80" s="212"/>
      <c r="H80" s="212"/>
      <c r="I80" s="213"/>
      <c r="J80" s="165"/>
      <c r="K80" s="166"/>
      <c r="L80" s="165"/>
      <c r="M80" s="166"/>
      <c r="N80" s="165"/>
      <c r="O80" s="166"/>
      <c r="P80" s="165"/>
      <c r="Q80" s="166"/>
      <c r="R80" s="64"/>
      <c r="S80" s="6" t="s">
        <v>20</v>
      </c>
      <c r="T80" s="3"/>
      <c r="U80" s="205"/>
      <c r="V80" s="206"/>
      <c r="W80" s="207"/>
    </row>
    <row r="81" spans="1:23" x14ac:dyDescent="0.3">
      <c r="A81" s="163"/>
      <c r="B81" s="5"/>
      <c r="C81" s="5"/>
      <c r="D81" s="4"/>
      <c r="E81" s="211"/>
      <c r="F81" s="212"/>
      <c r="G81" s="212"/>
      <c r="H81" s="212"/>
      <c r="I81" s="213"/>
      <c r="J81" s="165"/>
      <c r="K81" s="166"/>
      <c r="L81" s="165"/>
      <c r="M81" s="166"/>
      <c r="N81" s="165"/>
      <c r="O81" s="166"/>
      <c r="P81" s="165"/>
      <c r="Q81" s="166"/>
      <c r="R81" s="64"/>
      <c r="S81" s="6" t="s">
        <v>20</v>
      </c>
      <c r="T81" s="3"/>
      <c r="U81" s="205"/>
      <c r="V81" s="206"/>
      <c r="W81" s="207"/>
    </row>
    <row r="82" spans="1:23" x14ac:dyDescent="0.3">
      <c r="A82" s="164"/>
      <c r="B82" s="19"/>
      <c r="C82" s="19"/>
      <c r="D82" s="20"/>
      <c r="E82" s="170" t="s">
        <v>0</v>
      </c>
      <c r="F82" s="171"/>
      <c r="G82" s="171"/>
      <c r="H82" s="171"/>
      <c r="I82" s="172"/>
      <c r="J82" s="173">
        <f>SUM(J79:J81)</f>
        <v>0</v>
      </c>
      <c r="K82" s="174"/>
      <c r="L82" s="173">
        <f>SUM(L79:L81)</f>
        <v>0</v>
      </c>
      <c r="M82" s="174"/>
      <c r="N82" s="173">
        <f>SUM(N79:N81)</f>
        <v>0</v>
      </c>
      <c r="O82" s="174"/>
      <c r="P82" s="173">
        <f>SUM(P79:P81)</f>
        <v>0</v>
      </c>
      <c r="Q82" s="174"/>
      <c r="R82" s="23">
        <f>SUM(R79:R81)</f>
        <v>0</v>
      </c>
      <c r="S82" s="24" t="s">
        <v>20</v>
      </c>
      <c r="T82" s="19"/>
      <c r="U82" s="208"/>
      <c r="V82" s="209"/>
      <c r="W82" s="210"/>
    </row>
    <row r="83" spans="1:23" x14ac:dyDescent="0.3">
      <c r="E83" s="28"/>
      <c r="F83" s="28"/>
      <c r="G83" s="28"/>
      <c r="H83" s="28"/>
      <c r="I83" s="28"/>
      <c r="J83" s="29"/>
      <c r="K83" s="29"/>
      <c r="L83" s="29"/>
      <c r="M83" s="29"/>
      <c r="N83" s="29"/>
      <c r="O83" s="29"/>
      <c r="P83" s="29"/>
      <c r="Q83" s="29"/>
    </row>
    <row r="84" spans="1:23" x14ac:dyDescent="0.3">
      <c r="E84" s="170" t="s">
        <v>28</v>
      </c>
      <c r="F84" s="171"/>
      <c r="G84" s="171"/>
      <c r="H84" s="171"/>
      <c r="I84" s="172"/>
      <c r="J84" s="175" t="s">
        <v>7</v>
      </c>
      <c r="K84" s="176"/>
      <c r="L84" s="175" t="s">
        <v>8</v>
      </c>
      <c r="M84" s="176"/>
      <c r="N84" s="175" t="s">
        <v>9</v>
      </c>
      <c r="O84" s="176"/>
      <c r="P84" s="175" t="s">
        <v>16</v>
      </c>
      <c r="Q84" s="176"/>
    </row>
    <row r="85" spans="1:23" s="2" customFormat="1" x14ac:dyDescent="0.3">
      <c r="E85" s="15"/>
      <c r="F85" s="15"/>
      <c r="G85" s="15"/>
      <c r="H85" s="15"/>
      <c r="I85" s="15"/>
      <c r="J85" s="30">
        <f>J66+J70</f>
        <v>560</v>
      </c>
      <c r="K85" s="31" t="s">
        <v>17</v>
      </c>
      <c r="L85" s="32">
        <f>L66+L70</f>
        <v>0</v>
      </c>
      <c r="M85" s="31" t="s">
        <v>17</v>
      </c>
      <c r="N85" s="32">
        <f>N66+N70</f>
        <v>3423</v>
      </c>
      <c r="O85" s="31" t="s">
        <v>17</v>
      </c>
      <c r="P85" s="33">
        <f>P78+P82</f>
        <v>0</v>
      </c>
      <c r="Q85" s="34" t="s">
        <v>17</v>
      </c>
    </row>
    <row r="86" spans="1:23" s="8" customFormat="1" ht="24.45" customHeight="1" x14ac:dyDescent="0.3">
      <c r="A86"/>
      <c r="B86"/>
      <c r="C86"/>
      <c r="E86" s="28"/>
      <c r="F86" s="28"/>
      <c r="G86" s="28"/>
      <c r="H86" s="28"/>
      <c r="I86" s="28"/>
      <c r="J86" s="167">
        <f>J85+L85+N85+P85</f>
        <v>3983</v>
      </c>
      <c r="K86" s="168"/>
      <c r="L86" s="168"/>
      <c r="M86" s="168"/>
      <c r="N86" s="168"/>
      <c r="O86" s="168"/>
      <c r="P86" s="168"/>
      <c r="Q86" s="169"/>
      <c r="S86"/>
      <c r="T86"/>
      <c r="U86"/>
      <c r="V86"/>
      <c r="W86"/>
    </row>
  </sheetData>
  <mergeCells count="346">
    <mergeCell ref="E84:I84"/>
    <mergeCell ref="J84:K84"/>
    <mergeCell ref="L84:M84"/>
    <mergeCell ref="N84:O84"/>
    <mergeCell ref="P84:Q84"/>
    <mergeCell ref="J86:Q86"/>
    <mergeCell ref="N81:O81"/>
    <mergeCell ref="P81:Q81"/>
    <mergeCell ref="E82:I82"/>
    <mergeCell ref="J82:K82"/>
    <mergeCell ref="L82:M82"/>
    <mergeCell ref="N82:O82"/>
    <mergeCell ref="P82:Q82"/>
    <mergeCell ref="U79:W82"/>
    <mergeCell ref="E80:I80"/>
    <mergeCell ref="J80:K80"/>
    <mergeCell ref="L80:M80"/>
    <mergeCell ref="N80:O80"/>
    <mergeCell ref="P80:Q80"/>
    <mergeCell ref="E81:I81"/>
    <mergeCell ref="J81:K81"/>
    <mergeCell ref="L81:M81"/>
    <mergeCell ref="E78:I78"/>
    <mergeCell ref="J78:K78"/>
    <mergeCell ref="L78:M78"/>
    <mergeCell ref="N78:O78"/>
    <mergeCell ref="P78:Q78"/>
    <mergeCell ref="A79:A82"/>
    <mergeCell ref="E79:I79"/>
    <mergeCell ref="J79:K79"/>
    <mergeCell ref="L79:M79"/>
    <mergeCell ref="N79:O79"/>
    <mergeCell ref="A71:A78"/>
    <mergeCell ref="J74:K74"/>
    <mergeCell ref="L74:M74"/>
    <mergeCell ref="P79:Q79"/>
    <mergeCell ref="E76:I76"/>
    <mergeCell ref="J76:K76"/>
    <mergeCell ref="L76:M76"/>
    <mergeCell ref="N76:O76"/>
    <mergeCell ref="P76:Q76"/>
    <mergeCell ref="E77:I77"/>
    <mergeCell ref="J77:K77"/>
    <mergeCell ref="L77:M77"/>
    <mergeCell ref="N77:O77"/>
    <mergeCell ref="P77:Q77"/>
    <mergeCell ref="N74:O74"/>
    <mergeCell ref="P74:Q74"/>
    <mergeCell ref="E75:I75"/>
    <mergeCell ref="J75:K75"/>
    <mergeCell ref="L75:M75"/>
    <mergeCell ref="N75:O75"/>
    <mergeCell ref="P75:Q75"/>
    <mergeCell ref="U71:W78"/>
    <mergeCell ref="E72:I72"/>
    <mergeCell ref="J72:K72"/>
    <mergeCell ref="L72:M72"/>
    <mergeCell ref="N72:O72"/>
    <mergeCell ref="P72:Q72"/>
    <mergeCell ref="E73:I73"/>
    <mergeCell ref="J73:K73"/>
    <mergeCell ref="L73:M73"/>
    <mergeCell ref="N73:O73"/>
    <mergeCell ref="E71:I71"/>
    <mergeCell ref="J71:K71"/>
    <mergeCell ref="L71:M71"/>
    <mergeCell ref="N71:O71"/>
    <mergeCell ref="P71:Q71"/>
    <mergeCell ref="P73:Q73"/>
    <mergeCell ref="E74:I74"/>
    <mergeCell ref="U67:W70"/>
    <mergeCell ref="E68:I68"/>
    <mergeCell ref="J68:K68"/>
    <mergeCell ref="L68:M68"/>
    <mergeCell ref="N68:O68"/>
    <mergeCell ref="P68:Q68"/>
    <mergeCell ref="E69:I69"/>
    <mergeCell ref="J69:K69"/>
    <mergeCell ref="L69:M69"/>
    <mergeCell ref="P69:Q69"/>
    <mergeCell ref="E70:I70"/>
    <mergeCell ref="J70:K70"/>
    <mergeCell ref="L70:M70"/>
    <mergeCell ref="N70:O70"/>
    <mergeCell ref="P70:Q70"/>
    <mergeCell ref="P67:Q67"/>
    <mergeCell ref="A67:A70"/>
    <mergeCell ref="E67:I67"/>
    <mergeCell ref="J67:K67"/>
    <mergeCell ref="L67:M67"/>
    <mergeCell ref="N67:O67"/>
    <mergeCell ref="A59:A66"/>
    <mergeCell ref="J62:K62"/>
    <mergeCell ref="L62:M62"/>
    <mergeCell ref="N69:O69"/>
    <mergeCell ref="N62:O62"/>
    <mergeCell ref="P62:Q62"/>
    <mergeCell ref="E63:I63"/>
    <mergeCell ref="J63:K63"/>
    <mergeCell ref="L63:M63"/>
    <mergeCell ref="N63:O63"/>
    <mergeCell ref="P63:Q63"/>
    <mergeCell ref="E66:I66"/>
    <mergeCell ref="J66:K66"/>
    <mergeCell ref="L66:M66"/>
    <mergeCell ref="N66:O66"/>
    <mergeCell ref="P66:Q66"/>
    <mergeCell ref="E64:I64"/>
    <mergeCell ref="J64:K64"/>
    <mergeCell ref="L64:M64"/>
    <mergeCell ref="U59:W66"/>
    <mergeCell ref="E60:I60"/>
    <mergeCell ref="J60:K60"/>
    <mergeCell ref="L60:M60"/>
    <mergeCell ref="N60:O60"/>
    <mergeCell ref="P60:Q60"/>
    <mergeCell ref="E61:I61"/>
    <mergeCell ref="J61:K61"/>
    <mergeCell ref="L61:M61"/>
    <mergeCell ref="N61:O61"/>
    <mergeCell ref="E59:I59"/>
    <mergeCell ref="J59:K59"/>
    <mergeCell ref="L59:M59"/>
    <mergeCell ref="N59:O59"/>
    <mergeCell ref="P59:Q59"/>
    <mergeCell ref="P61:Q61"/>
    <mergeCell ref="E62:I62"/>
    <mergeCell ref="N64:O64"/>
    <mergeCell ref="P64:Q64"/>
    <mergeCell ref="E65:I65"/>
    <mergeCell ref="J65:K65"/>
    <mergeCell ref="L65:M65"/>
    <mergeCell ref="N65:O65"/>
    <mergeCell ref="P65:Q65"/>
    <mergeCell ref="E51:I51"/>
    <mergeCell ref="J51:K51"/>
    <mergeCell ref="L51:M51"/>
    <mergeCell ref="N51:O51"/>
    <mergeCell ref="P51:Q51"/>
    <mergeCell ref="R57:S58"/>
    <mergeCell ref="T57:T58"/>
    <mergeCell ref="U57:W58"/>
    <mergeCell ref="J58:K58"/>
    <mergeCell ref="L58:M58"/>
    <mergeCell ref="N58:O58"/>
    <mergeCell ref="P58:Q58"/>
    <mergeCell ref="J53:Q53"/>
    <mergeCell ref="Q55:S55"/>
    <mergeCell ref="T55:W55"/>
    <mergeCell ref="A56:W56"/>
    <mergeCell ref="A57:A58"/>
    <mergeCell ref="B57:B58"/>
    <mergeCell ref="C57:C58"/>
    <mergeCell ref="D57:D58"/>
    <mergeCell ref="E57:I58"/>
    <mergeCell ref="J57:Q57"/>
    <mergeCell ref="U40:W49"/>
    <mergeCell ref="J41:K41"/>
    <mergeCell ref="L41:M41"/>
    <mergeCell ref="N41:O41"/>
    <mergeCell ref="P41:Q41"/>
    <mergeCell ref="J42:K42"/>
    <mergeCell ref="L42:M42"/>
    <mergeCell ref="N42:O42"/>
    <mergeCell ref="P42:Q42"/>
    <mergeCell ref="J43:K43"/>
    <mergeCell ref="J47:K47"/>
    <mergeCell ref="L47:M47"/>
    <mergeCell ref="N47:O47"/>
    <mergeCell ref="P47:Q47"/>
    <mergeCell ref="J48:K48"/>
    <mergeCell ref="L48:M48"/>
    <mergeCell ref="N48:O48"/>
    <mergeCell ref="P48:Q48"/>
    <mergeCell ref="J45:K45"/>
    <mergeCell ref="L45:M45"/>
    <mergeCell ref="N45:O45"/>
    <mergeCell ref="P45:Q45"/>
    <mergeCell ref="J46:K46"/>
    <mergeCell ref="L46:M46"/>
    <mergeCell ref="A40:A49"/>
    <mergeCell ref="J40:K40"/>
    <mergeCell ref="L40:M40"/>
    <mergeCell ref="N40:O40"/>
    <mergeCell ref="P40:Q40"/>
    <mergeCell ref="L43:M43"/>
    <mergeCell ref="N43:O43"/>
    <mergeCell ref="P43:Q43"/>
    <mergeCell ref="J44:K44"/>
    <mergeCell ref="L44:M44"/>
    <mergeCell ref="N44:O44"/>
    <mergeCell ref="P44:Q44"/>
    <mergeCell ref="N46:O46"/>
    <mergeCell ref="P46:Q46"/>
    <mergeCell ref="E49:I49"/>
    <mergeCell ref="J49:K49"/>
    <mergeCell ref="L49:M49"/>
    <mergeCell ref="N49:O49"/>
    <mergeCell ref="P49:Q49"/>
    <mergeCell ref="U36:W39"/>
    <mergeCell ref="J37:K37"/>
    <mergeCell ref="L37:M37"/>
    <mergeCell ref="N37:O37"/>
    <mergeCell ref="P37:Q37"/>
    <mergeCell ref="E39:I39"/>
    <mergeCell ref="J39:K39"/>
    <mergeCell ref="L39:M39"/>
    <mergeCell ref="N39:O39"/>
    <mergeCell ref="P39:Q39"/>
    <mergeCell ref="A36:A39"/>
    <mergeCell ref="J36:K36"/>
    <mergeCell ref="L36:M36"/>
    <mergeCell ref="N36:O36"/>
    <mergeCell ref="P36:Q36"/>
    <mergeCell ref="J38:K38"/>
    <mergeCell ref="L38:M38"/>
    <mergeCell ref="N38:O38"/>
    <mergeCell ref="P38:Q38"/>
    <mergeCell ref="U31:W35"/>
    <mergeCell ref="J32:K32"/>
    <mergeCell ref="L32:M32"/>
    <mergeCell ref="N32:O32"/>
    <mergeCell ref="P32:Q32"/>
    <mergeCell ref="J33:K33"/>
    <mergeCell ref="L33:M33"/>
    <mergeCell ref="N33:O33"/>
    <mergeCell ref="P33:Q33"/>
    <mergeCell ref="J35:K35"/>
    <mergeCell ref="L35:M35"/>
    <mergeCell ref="N35:O35"/>
    <mergeCell ref="P35:Q35"/>
    <mergeCell ref="A31:A35"/>
    <mergeCell ref="J31:K31"/>
    <mergeCell ref="L31:M31"/>
    <mergeCell ref="N31:O31"/>
    <mergeCell ref="P31:Q31"/>
    <mergeCell ref="G29:G30"/>
    <mergeCell ref="H29:H30"/>
    <mergeCell ref="I29:I30"/>
    <mergeCell ref="J29:Q29"/>
    <mergeCell ref="J34:K34"/>
    <mergeCell ref="L34:M34"/>
    <mergeCell ref="N34:O34"/>
    <mergeCell ref="P34:Q34"/>
    <mergeCell ref="E35:I35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W97"/>
  <sheetViews>
    <sheetView zoomScale="85" zoomScaleNormal="85" workbookViewId="0">
      <selection activeCell="J24" sqref="J24:Q24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1.10937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45917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358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250034</v>
      </c>
      <c r="E7" s="12" t="s">
        <v>132</v>
      </c>
      <c r="F7" s="17">
        <v>277</v>
      </c>
      <c r="G7" s="17">
        <v>304</v>
      </c>
      <c r="H7" s="18">
        <v>0.7</v>
      </c>
      <c r="I7" s="17">
        <v>33000</v>
      </c>
      <c r="J7" s="165">
        <v>180</v>
      </c>
      <c r="K7" s="166"/>
      <c r="L7" s="165"/>
      <c r="M7" s="166"/>
      <c r="N7" s="165"/>
      <c r="O7" s="166"/>
      <c r="P7" s="165"/>
      <c r="Q7" s="166"/>
      <c r="R7" s="69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>
        <v>250034</v>
      </c>
      <c r="E8" s="12" t="s">
        <v>359</v>
      </c>
      <c r="F8" s="17">
        <v>237</v>
      </c>
      <c r="G8" s="17">
        <v>304</v>
      </c>
      <c r="H8" s="18">
        <v>0.7</v>
      </c>
      <c r="I8" s="17">
        <v>33000</v>
      </c>
      <c r="J8" s="165">
        <v>882</v>
      </c>
      <c r="K8" s="166"/>
      <c r="L8" s="165"/>
      <c r="M8" s="166"/>
      <c r="N8" s="165"/>
      <c r="O8" s="166"/>
      <c r="P8" s="165"/>
      <c r="Q8" s="166"/>
      <c r="R8" s="69">
        <v>45</v>
      </c>
      <c r="S8" s="14" t="s">
        <v>20</v>
      </c>
      <c r="T8" s="42" t="s">
        <v>360</v>
      </c>
      <c r="U8" s="205"/>
      <c r="V8" s="206"/>
      <c r="W8" s="207"/>
    </row>
    <row r="9" spans="1:23" x14ac:dyDescent="0.3">
      <c r="A9" s="181"/>
      <c r="B9" s="5"/>
      <c r="C9" s="5"/>
      <c r="D9" s="4" t="s">
        <v>102</v>
      </c>
      <c r="E9" s="12" t="s">
        <v>361</v>
      </c>
      <c r="F9" s="17">
        <v>197</v>
      </c>
      <c r="G9" s="17">
        <v>304</v>
      </c>
      <c r="H9" s="18">
        <v>0.7</v>
      </c>
      <c r="I9" s="17">
        <v>33000</v>
      </c>
      <c r="J9" s="165">
        <v>147</v>
      </c>
      <c r="K9" s="166"/>
      <c r="L9" s="165"/>
      <c r="M9" s="166"/>
      <c r="N9" s="165"/>
      <c r="O9" s="166"/>
      <c r="P9" s="165"/>
      <c r="Q9" s="166"/>
      <c r="R9" s="69">
        <v>10</v>
      </c>
      <c r="S9" s="14" t="s">
        <v>20</v>
      </c>
      <c r="T9" s="42" t="s">
        <v>296</v>
      </c>
      <c r="U9" s="205"/>
      <c r="V9" s="206"/>
      <c r="W9" s="207"/>
    </row>
    <row r="10" spans="1:23" x14ac:dyDescent="0.3">
      <c r="A10" s="181"/>
      <c r="B10" s="5"/>
      <c r="C10" s="5"/>
      <c r="D10" s="4">
        <v>250034</v>
      </c>
      <c r="E10" s="12" t="s">
        <v>362</v>
      </c>
      <c r="F10" s="17">
        <v>213</v>
      </c>
      <c r="G10" s="17">
        <v>304</v>
      </c>
      <c r="H10" s="18">
        <v>0.7</v>
      </c>
      <c r="I10" s="17">
        <v>33000</v>
      </c>
      <c r="J10" s="165">
        <v>728</v>
      </c>
      <c r="K10" s="166"/>
      <c r="L10" s="165"/>
      <c r="M10" s="166"/>
      <c r="N10" s="165"/>
      <c r="O10" s="166"/>
      <c r="P10" s="165"/>
      <c r="Q10" s="166"/>
      <c r="R10" s="69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363</v>
      </c>
      <c r="F11" s="17">
        <v>147</v>
      </c>
      <c r="G11" s="17">
        <v>304</v>
      </c>
      <c r="H11" s="18">
        <v>0.7</v>
      </c>
      <c r="I11" s="17">
        <v>33000</v>
      </c>
      <c r="J11" s="165">
        <v>104</v>
      </c>
      <c r="K11" s="166"/>
      <c r="L11" s="165"/>
      <c r="M11" s="166"/>
      <c r="N11" s="165"/>
      <c r="O11" s="166"/>
      <c r="P11" s="165"/>
      <c r="Q11" s="166"/>
      <c r="R11" s="69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>
        <v>250077</v>
      </c>
      <c r="E12" s="12" t="s">
        <v>364</v>
      </c>
      <c r="F12" s="17">
        <v>520</v>
      </c>
      <c r="G12" s="17">
        <v>430</v>
      </c>
      <c r="H12" s="18">
        <v>0.5</v>
      </c>
      <c r="I12" s="17">
        <v>35000</v>
      </c>
      <c r="J12" s="165">
        <v>1422</v>
      </c>
      <c r="K12" s="166"/>
      <c r="L12" s="165"/>
      <c r="M12" s="166"/>
      <c r="N12" s="165"/>
      <c r="O12" s="166"/>
      <c r="P12" s="165"/>
      <c r="Q12" s="166"/>
      <c r="R12" s="69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365</v>
      </c>
      <c r="F13" s="17">
        <v>200</v>
      </c>
      <c r="G13" s="17">
        <v>430</v>
      </c>
      <c r="H13" s="18">
        <v>0.5</v>
      </c>
      <c r="I13" s="17">
        <v>35000</v>
      </c>
      <c r="J13" s="165">
        <v>474</v>
      </c>
      <c r="K13" s="166"/>
      <c r="L13" s="165"/>
      <c r="M13" s="166"/>
      <c r="N13" s="165"/>
      <c r="O13" s="166"/>
      <c r="P13" s="165"/>
      <c r="Q13" s="166"/>
      <c r="R13" s="69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 t="s">
        <v>102</v>
      </c>
      <c r="E14" s="12" t="s">
        <v>366</v>
      </c>
      <c r="F14" s="17">
        <v>277</v>
      </c>
      <c r="G14" s="17">
        <v>430</v>
      </c>
      <c r="H14" s="18">
        <v>0.5</v>
      </c>
      <c r="I14" s="17">
        <v>35000</v>
      </c>
      <c r="J14" s="165"/>
      <c r="K14" s="166"/>
      <c r="L14" s="165"/>
      <c r="M14" s="166"/>
      <c r="N14" s="165"/>
      <c r="O14" s="166"/>
      <c r="P14" s="165">
        <v>312</v>
      </c>
      <c r="Q14" s="166"/>
      <c r="R14" s="69">
        <v>30</v>
      </c>
      <c r="S14" s="14" t="s">
        <v>20</v>
      </c>
      <c r="T14" s="42" t="s">
        <v>360</v>
      </c>
      <c r="U14" s="205"/>
      <c r="V14" s="206"/>
      <c r="W14" s="207"/>
    </row>
    <row r="15" spans="1:23" x14ac:dyDescent="0.3">
      <c r="A15" s="181"/>
      <c r="B15" s="5"/>
      <c r="C15" s="5"/>
      <c r="D15" s="4" t="s">
        <v>102</v>
      </c>
      <c r="E15" s="12" t="s">
        <v>367</v>
      </c>
      <c r="F15" s="17">
        <v>237</v>
      </c>
      <c r="G15" s="17">
        <v>430</v>
      </c>
      <c r="H15" s="18">
        <v>0.5</v>
      </c>
      <c r="I15" s="17">
        <v>35000</v>
      </c>
      <c r="J15" s="165">
        <v>78</v>
      </c>
      <c r="K15" s="166"/>
      <c r="L15" s="165"/>
      <c r="M15" s="166"/>
      <c r="N15" s="165"/>
      <c r="O15" s="166"/>
      <c r="P15" s="165"/>
      <c r="Q15" s="166"/>
      <c r="R15" s="69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>
        <v>250077</v>
      </c>
      <c r="E16" s="12" t="s">
        <v>368</v>
      </c>
      <c r="F16" s="17">
        <v>267</v>
      </c>
      <c r="G16" s="17">
        <v>430</v>
      </c>
      <c r="H16" s="18">
        <v>0.5</v>
      </c>
      <c r="I16" s="17">
        <v>35000</v>
      </c>
      <c r="J16" s="165">
        <v>1440</v>
      </c>
      <c r="K16" s="166"/>
      <c r="L16" s="165"/>
      <c r="M16" s="166"/>
      <c r="N16" s="165"/>
      <c r="O16" s="166"/>
      <c r="P16" s="165"/>
      <c r="Q16" s="166"/>
      <c r="R16" s="69">
        <v>45</v>
      </c>
      <c r="S16" s="14" t="s">
        <v>20</v>
      </c>
      <c r="T16" s="42" t="s">
        <v>360</v>
      </c>
      <c r="U16" s="205"/>
      <c r="V16" s="206"/>
      <c r="W16" s="207"/>
    </row>
    <row r="17" spans="1:23" x14ac:dyDescent="0.3">
      <c r="A17" s="181"/>
      <c r="B17" s="5"/>
      <c r="C17" s="5">
        <v>0.70833333333333337</v>
      </c>
      <c r="D17" s="4">
        <v>290925</v>
      </c>
      <c r="E17" s="12" t="s">
        <v>324</v>
      </c>
      <c r="F17" s="17">
        <v>330</v>
      </c>
      <c r="G17" s="17">
        <v>304</v>
      </c>
      <c r="H17" s="18">
        <v>0.8</v>
      </c>
      <c r="I17" s="17">
        <v>30000</v>
      </c>
      <c r="J17" s="165">
        <v>100</v>
      </c>
      <c r="K17" s="166"/>
      <c r="L17" s="165"/>
      <c r="M17" s="166"/>
      <c r="N17" s="165"/>
      <c r="O17" s="166"/>
      <c r="P17" s="165"/>
      <c r="Q17" s="166"/>
      <c r="R17" s="69">
        <v>10</v>
      </c>
      <c r="S17" s="14" t="s">
        <v>20</v>
      </c>
      <c r="T17" s="42" t="s">
        <v>296</v>
      </c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69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69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69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5555</v>
      </c>
      <c r="K21" s="22" t="s">
        <v>17</v>
      </c>
      <c r="L21" s="21">
        <f>SUM(L7:M20)</f>
        <v>0</v>
      </c>
      <c r="M21" s="22" t="s">
        <v>17</v>
      </c>
      <c r="N21" s="21">
        <f>SUM(N7:O20)</f>
        <v>0</v>
      </c>
      <c r="O21" s="22" t="s">
        <v>17</v>
      </c>
      <c r="P21" s="21">
        <f>SUM(P7:Q20)</f>
        <v>312</v>
      </c>
      <c r="Q21" s="22" t="s">
        <v>17</v>
      </c>
      <c r="R21" s="23">
        <f>SUM(R7:R20)</f>
        <v>140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5555</v>
      </c>
      <c r="K24" s="31" t="s">
        <v>17</v>
      </c>
      <c r="L24" s="32">
        <f>L21</f>
        <v>0</v>
      </c>
      <c r="M24" s="31" t="s">
        <v>17</v>
      </c>
      <c r="N24" s="32">
        <f>N21</f>
        <v>0</v>
      </c>
      <c r="O24" s="31" t="s">
        <v>17</v>
      </c>
      <c r="P24" s="33">
        <f>P21</f>
        <v>312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5867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45917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>
        <v>0.70833333333333337</v>
      </c>
      <c r="D31" s="4">
        <v>180925</v>
      </c>
      <c r="E31" s="12" t="s">
        <v>369</v>
      </c>
      <c r="F31" s="40">
        <v>430</v>
      </c>
      <c r="G31" s="41">
        <v>0.6</v>
      </c>
      <c r="H31" s="40">
        <v>365</v>
      </c>
      <c r="I31" s="12">
        <v>5</v>
      </c>
      <c r="J31" s="165"/>
      <c r="K31" s="166"/>
      <c r="L31" s="165"/>
      <c r="M31" s="166"/>
      <c r="N31" s="165"/>
      <c r="O31" s="166"/>
      <c r="P31" s="165">
        <v>300</v>
      </c>
      <c r="Q31" s="166"/>
      <c r="R31" s="69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/>
      <c r="D32" s="4"/>
      <c r="E32" s="13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69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69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1"/>
      <c r="B34" s="5"/>
      <c r="C34" s="5"/>
      <c r="D34" s="4"/>
      <c r="E34" s="13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69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81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69"/>
      <c r="S35" s="14" t="s">
        <v>20</v>
      </c>
      <c r="T35" s="42"/>
      <c r="U35" s="177"/>
      <c r="V35" s="178"/>
      <c r="W35" s="179"/>
    </row>
    <row r="36" spans="1:23" ht="14.55" customHeight="1" x14ac:dyDescent="0.3">
      <c r="A36" s="181"/>
      <c r="B36" s="5"/>
      <c r="C36" s="5"/>
      <c r="D36" s="4"/>
      <c r="E36" s="13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69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81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69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81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69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81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69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82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SUM(J31:K39)</f>
        <v>0</v>
      </c>
      <c r="K40" s="174"/>
      <c r="L40" s="173">
        <f>SUM(L31:M39)</f>
        <v>0</v>
      </c>
      <c r="M40" s="174"/>
      <c r="N40" s="173">
        <f>SUM(N31:O39)</f>
        <v>0</v>
      </c>
      <c r="O40" s="174"/>
      <c r="P40" s="173">
        <f>SUM(P31:Q39)</f>
        <v>300</v>
      </c>
      <c r="Q40" s="174"/>
      <c r="R40" s="23">
        <f>SUM(R31:R39)</f>
        <v>0</v>
      </c>
      <c r="S40" s="24" t="s">
        <v>20</v>
      </c>
      <c r="T40" s="19"/>
      <c r="U40" s="177"/>
      <c r="V40" s="178"/>
      <c r="W40" s="179"/>
    </row>
    <row r="41" spans="1:23" ht="14.55" customHeight="1" x14ac:dyDescent="0.3">
      <c r="A41" s="163" t="s">
        <v>34</v>
      </c>
      <c r="B41" s="5">
        <v>0.33333333333333331</v>
      </c>
      <c r="C41" s="5"/>
      <c r="D41" s="4">
        <v>250072</v>
      </c>
      <c r="E41" s="12" t="s">
        <v>351</v>
      </c>
      <c r="F41" s="40">
        <v>304</v>
      </c>
      <c r="G41" s="41">
        <v>0.7</v>
      </c>
      <c r="H41" s="40">
        <v>427</v>
      </c>
      <c r="I41" s="12">
        <v>3</v>
      </c>
      <c r="J41" s="165">
        <v>1800</v>
      </c>
      <c r="K41" s="166"/>
      <c r="L41" s="165"/>
      <c r="M41" s="166"/>
      <c r="N41" s="165"/>
      <c r="O41" s="166"/>
      <c r="P41" s="165"/>
      <c r="Q41" s="166"/>
      <c r="R41" s="69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>
        <v>250073</v>
      </c>
      <c r="E42" s="12" t="s">
        <v>370</v>
      </c>
      <c r="F42" s="40">
        <v>304</v>
      </c>
      <c r="G42" s="41">
        <v>0.7</v>
      </c>
      <c r="H42" s="40">
        <v>342</v>
      </c>
      <c r="I42" s="12">
        <v>5</v>
      </c>
      <c r="J42" s="165">
        <v>1500</v>
      </c>
      <c r="K42" s="166"/>
      <c r="L42" s="165"/>
      <c r="M42" s="166"/>
      <c r="N42" s="165"/>
      <c r="O42" s="166"/>
      <c r="P42" s="165"/>
      <c r="Q42" s="166"/>
      <c r="R42" s="69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3"/>
      <c r="B43" s="5"/>
      <c r="C43" s="5">
        <v>0.70833333333333337</v>
      </c>
      <c r="D43" s="4">
        <v>180925</v>
      </c>
      <c r="E43" s="12" t="s">
        <v>371</v>
      </c>
      <c r="F43" s="40">
        <v>430</v>
      </c>
      <c r="G43" s="41">
        <v>0.5</v>
      </c>
      <c r="H43" s="40">
        <v>323</v>
      </c>
      <c r="I43" s="12"/>
      <c r="J43" s="165">
        <v>350</v>
      </c>
      <c r="K43" s="166"/>
      <c r="L43" s="165"/>
      <c r="M43" s="166"/>
      <c r="N43" s="165"/>
      <c r="O43" s="166"/>
      <c r="P43" s="165"/>
      <c r="Q43" s="166"/>
      <c r="R43" s="69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69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69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69"/>
      <c r="S46" s="14" t="s">
        <v>20</v>
      </c>
      <c r="T46" s="42"/>
      <c r="U46" s="177"/>
      <c r="V46" s="178"/>
      <c r="W46" s="179"/>
    </row>
    <row r="47" spans="1:23" ht="14.55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69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69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63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69"/>
      <c r="S49" s="14" t="s">
        <v>20</v>
      </c>
      <c r="T49" s="42"/>
      <c r="U49" s="177"/>
      <c r="V49" s="178"/>
      <c r="W49" s="179"/>
    </row>
    <row r="50" spans="1:23" ht="14.55" customHeight="1" x14ac:dyDescent="0.3">
      <c r="A50" s="164"/>
      <c r="B50" s="19"/>
      <c r="C50" s="19"/>
      <c r="D50" s="20"/>
      <c r="E50" s="170" t="s">
        <v>0</v>
      </c>
      <c r="F50" s="171"/>
      <c r="G50" s="171"/>
      <c r="H50" s="171"/>
      <c r="I50" s="172"/>
      <c r="J50" s="173">
        <f>SUM(J41:K49)</f>
        <v>3650</v>
      </c>
      <c r="K50" s="174"/>
      <c r="L50" s="173">
        <f>SUM(L41:M49)</f>
        <v>0</v>
      </c>
      <c r="M50" s="174"/>
      <c r="N50" s="173">
        <f>SUM(N41:O49)</f>
        <v>0</v>
      </c>
      <c r="O50" s="174"/>
      <c r="P50" s="173">
        <f>SUM(P41:Q49)</f>
        <v>0</v>
      </c>
      <c r="Q50" s="174"/>
      <c r="R50" s="23">
        <f>SUM(R41:R49)</f>
        <v>0</v>
      </c>
      <c r="S50" s="24" t="s">
        <v>20</v>
      </c>
      <c r="T50" s="19"/>
      <c r="U50" s="177"/>
      <c r="V50" s="178"/>
      <c r="W50" s="179"/>
    </row>
    <row r="51" spans="1:23" ht="14.55" customHeight="1" x14ac:dyDescent="0.3">
      <c r="A51" s="163" t="s">
        <v>35</v>
      </c>
      <c r="B51" s="5"/>
      <c r="C51" s="5"/>
      <c r="D51" s="4"/>
      <c r="E51" s="12"/>
      <c r="F51" s="40"/>
      <c r="G51" s="41"/>
      <c r="H51" s="40"/>
      <c r="I51" s="12"/>
      <c r="J51" s="165"/>
      <c r="K51" s="166"/>
      <c r="L51" s="165"/>
      <c r="M51" s="166"/>
      <c r="N51" s="165"/>
      <c r="O51" s="166"/>
      <c r="P51" s="165"/>
      <c r="Q51" s="166"/>
      <c r="R51" s="69"/>
      <c r="S51" s="14" t="s">
        <v>20</v>
      </c>
      <c r="T51" s="42"/>
      <c r="U51" s="177"/>
      <c r="V51" s="178"/>
      <c r="W51" s="179"/>
    </row>
    <row r="52" spans="1:23" ht="14.55" customHeight="1" x14ac:dyDescent="0.3">
      <c r="A52" s="163"/>
      <c r="B52" s="5"/>
      <c r="C52" s="5"/>
      <c r="D52" s="4"/>
      <c r="E52" s="12" t="s">
        <v>321</v>
      </c>
      <c r="F52" s="40"/>
      <c r="G52" s="41"/>
      <c r="H52" s="40"/>
      <c r="I52" s="12"/>
      <c r="J52" s="165"/>
      <c r="K52" s="166"/>
      <c r="L52" s="165"/>
      <c r="M52" s="166"/>
      <c r="N52" s="165"/>
      <c r="O52" s="166"/>
      <c r="P52" s="165"/>
      <c r="Q52" s="166"/>
      <c r="R52" s="69"/>
      <c r="S52" s="14" t="s">
        <v>20</v>
      </c>
      <c r="T52" s="42"/>
      <c r="U52" s="177"/>
      <c r="V52" s="178"/>
      <c r="W52" s="179"/>
    </row>
    <row r="53" spans="1:23" ht="14.55" customHeight="1" x14ac:dyDescent="0.3">
      <c r="A53" s="163"/>
      <c r="B53" s="5"/>
      <c r="C53" s="5"/>
      <c r="D53" s="4"/>
      <c r="E53" s="12"/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69"/>
      <c r="S53" s="14" t="s">
        <v>20</v>
      </c>
      <c r="T53" s="42"/>
      <c r="U53" s="177"/>
      <c r="V53" s="178"/>
      <c r="W53" s="179"/>
    </row>
    <row r="54" spans="1:23" ht="14.55" customHeight="1" x14ac:dyDescent="0.3">
      <c r="A54" s="163"/>
      <c r="B54" s="5"/>
      <c r="C54" s="5"/>
      <c r="D54" s="4"/>
      <c r="E54" s="12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69"/>
      <c r="S54" s="14" t="s">
        <v>20</v>
      </c>
      <c r="T54" s="42"/>
      <c r="U54" s="177"/>
      <c r="V54" s="178"/>
      <c r="W54" s="179"/>
    </row>
    <row r="55" spans="1:23" ht="14.55" customHeight="1" x14ac:dyDescent="0.3">
      <c r="A55" s="163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69"/>
      <c r="S55" s="14" t="s">
        <v>20</v>
      </c>
      <c r="T55" s="42"/>
      <c r="U55" s="177"/>
      <c r="V55" s="178"/>
      <c r="W55" s="179"/>
    </row>
    <row r="56" spans="1:23" ht="14.55" customHeight="1" x14ac:dyDescent="0.3">
      <c r="A56" s="163"/>
      <c r="B56" s="5"/>
      <c r="C56" s="5"/>
      <c r="D56" s="4"/>
      <c r="E56" s="12"/>
      <c r="F56" s="40"/>
      <c r="G56" s="41"/>
      <c r="H56" s="40"/>
      <c r="I56" s="12"/>
      <c r="J56" s="165"/>
      <c r="K56" s="166"/>
      <c r="L56" s="165"/>
      <c r="M56" s="166"/>
      <c r="N56" s="165"/>
      <c r="O56" s="166"/>
      <c r="P56" s="165"/>
      <c r="Q56" s="166"/>
      <c r="R56" s="69"/>
      <c r="S56" s="14" t="s">
        <v>20</v>
      </c>
      <c r="T56" s="42"/>
      <c r="U56" s="177"/>
      <c r="V56" s="178"/>
      <c r="W56" s="179"/>
    </row>
    <row r="57" spans="1:23" ht="14.55" customHeight="1" x14ac:dyDescent="0.3">
      <c r="A57" s="163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69"/>
      <c r="S57" s="14" t="s">
        <v>20</v>
      </c>
      <c r="T57" s="42"/>
      <c r="U57" s="177"/>
      <c r="V57" s="178"/>
      <c r="W57" s="179"/>
    </row>
    <row r="58" spans="1:23" ht="14.55" customHeight="1" x14ac:dyDescent="0.3">
      <c r="A58" s="163"/>
      <c r="B58" s="5"/>
      <c r="C58" s="5"/>
      <c r="D58" s="4"/>
      <c r="E58" s="12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69"/>
      <c r="S58" s="14" t="s">
        <v>20</v>
      </c>
      <c r="T58" s="42"/>
      <c r="U58" s="177"/>
      <c r="V58" s="178"/>
      <c r="W58" s="179"/>
    </row>
    <row r="59" spans="1:23" ht="14.55" customHeight="1" x14ac:dyDescent="0.3">
      <c r="A59" s="163"/>
      <c r="B59" s="5"/>
      <c r="C59" s="5"/>
      <c r="D59" s="4"/>
      <c r="E59" s="12"/>
      <c r="F59" s="40"/>
      <c r="G59" s="41"/>
      <c r="H59" s="40"/>
      <c r="I59" s="12"/>
      <c r="J59" s="165"/>
      <c r="K59" s="166"/>
      <c r="L59" s="165"/>
      <c r="M59" s="166"/>
      <c r="N59" s="165"/>
      <c r="O59" s="166"/>
      <c r="P59" s="165"/>
      <c r="Q59" s="166"/>
      <c r="R59" s="69"/>
      <c r="S59" s="14" t="s">
        <v>20</v>
      </c>
      <c r="T59" s="42"/>
      <c r="U59" s="177"/>
      <c r="V59" s="178"/>
      <c r="W59" s="179"/>
    </row>
    <row r="60" spans="1:23" ht="14.55" customHeight="1" x14ac:dyDescent="0.3">
      <c r="A60" s="164"/>
      <c r="B60" s="19"/>
      <c r="C60" s="19"/>
      <c r="D60" s="20"/>
      <c r="E60" s="170" t="s">
        <v>0</v>
      </c>
      <c r="F60" s="171"/>
      <c r="G60" s="171"/>
      <c r="H60" s="171"/>
      <c r="I60" s="172"/>
      <c r="J60" s="173">
        <f>SUM(J51:K59)</f>
        <v>0</v>
      </c>
      <c r="K60" s="174"/>
      <c r="L60" s="173">
        <f>SUM(L51:M59)</f>
        <v>0</v>
      </c>
      <c r="M60" s="174"/>
      <c r="N60" s="173">
        <f>SUM(N51:O59)</f>
        <v>0</v>
      </c>
      <c r="O60" s="174"/>
      <c r="P60" s="173">
        <f>SUM(P51:Q59)</f>
        <v>0</v>
      </c>
      <c r="Q60" s="174"/>
      <c r="R60" s="23">
        <f>SUM(R51:R59)</f>
        <v>0</v>
      </c>
      <c r="S60" s="24" t="s">
        <v>20</v>
      </c>
      <c r="T60" s="19"/>
      <c r="U60" s="177"/>
      <c r="V60" s="178"/>
      <c r="W60" s="179"/>
    </row>
    <row r="61" spans="1:23" ht="14.55" customHeight="1" x14ac:dyDescent="0.3">
      <c r="A61" s="27"/>
      <c r="B61" s="27"/>
      <c r="C61" s="27"/>
      <c r="D61" s="27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27"/>
      <c r="S61" s="27"/>
      <c r="T61" s="39"/>
      <c r="U61" s="39"/>
      <c r="V61" s="39"/>
      <c r="W61" s="39"/>
    </row>
    <row r="62" spans="1:23" x14ac:dyDescent="0.3">
      <c r="E62" s="170" t="s">
        <v>31</v>
      </c>
      <c r="F62" s="171"/>
      <c r="G62" s="171"/>
      <c r="H62" s="171"/>
      <c r="I62" s="172"/>
      <c r="J62" s="175" t="s">
        <v>7</v>
      </c>
      <c r="K62" s="176"/>
      <c r="L62" s="175" t="s">
        <v>8</v>
      </c>
      <c r="M62" s="176"/>
      <c r="N62" s="175" t="s">
        <v>9</v>
      </c>
      <c r="O62" s="176"/>
      <c r="P62" s="175" t="s">
        <v>16</v>
      </c>
      <c r="Q62" s="176"/>
    </row>
    <row r="63" spans="1:23" s="2" customFormat="1" x14ac:dyDescent="0.3">
      <c r="E63" s="15"/>
      <c r="F63" s="15"/>
      <c r="G63" s="15"/>
      <c r="H63" s="15"/>
      <c r="I63" s="15"/>
      <c r="J63" s="30">
        <f>J40+J50+J60</f>
        <v>3650</v>
      </c>
      <c r="K63" s="31" t="s">
        <v>17</v>
      </c>
      <c r="L63" s="30">
        <f>L40+L50+L60</f>
        <v>0</v>
      </c>
      <c r="M63" s="31" t="s">
        <v>17</v>
      </c>
      <c r="N63" s="30">
        <f>N40+N50+N60</f>
        <v>0</v>
      </c>
      <c r="O63" s="31" t="s">
        <v>17</v>
      </c>
      <c r="P63" s="30">
        <f>P40+P50+P60</f>
        <v>300</v>
      </c>
      <c r="Q63" s="34" t="s">
        <v>17</v>
      </c>
    </row>
    <row r="64" spans="1:23" ht="24.45" customHeight="1" x14ac:dyDescent="0.3">
      <c r="E64" s="28"/>
      <c r="F64" s="28"/>
      <c r="G64" s="28"/>
      <c r="H64" s="28"/>
      <c r="I64" s="28"/>
      <c r="J64" s="167">
        <f>J63+L63+N63+P63</f>
        <v>3950</v>
      </c>
      <c r="K64" s="168"/>
      <c r="L64" s="168"/>
      <c r="M64" s="168"/>
      <c r="N64" s="168"/>
      <c r="O64" s="168"/>
      <c r="P64" s="168"/>
      <c r="Q64" s="169"/>
    </row>
    <row r="65" spans="1:23" ht="30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 spans="1:23" s="37" customFormat="1" ht="19.95" customHeight="1" x14ac:dyDescent="0.4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214" t="s">
        <v>14</v>
      </c>
      <c r="R66" s="215"/>
      <c r="S66" s="216"/>
      <c r="T66" s="184">
        <f>T3</f>
        <v>45917</v>
      </c>
      <c r="U66" s="185"/>
      <c r="V66" s="185"/>
      <c r="W66" s="186"/>
    </row>
    <row r="67" spans="1:23" s="16" customFormat="1" ht="30" customHeight="1" x14ac:dyDescent="0.3">
      <c r="A67" s="187" t="s">
        <v>26</v>
      </c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9"/>
      <c r="Q67" s="189"/>
      <c r="R67" s="189"/>
      <c r="S67" s="189"/>
      <c r="T67" s="188"/>
      <c r="U67" s="188"/>
      <c r="V67" s="188"/>
      <c r="W67" s="190"/>
    </row>
    <row r="68" spans="1:23" s="26" customFormat="1" ht="13.8" x14ac:dyDescent="0.3">
      <c r="A68" s="191" t="s">
        <v>1</v>
      </c>
      <c r="B68" s="192" t="s">
        <v>2</v>
      </c>
      <c r="C68" s="192" t="s">
        <v>3</v>
      </c>
      <c r="D68" s="192" t="s">
        <v>4</v>
      </c>
      <c r="E68" s="193" t="s">
        <v>5</v>
      </c>
      <c r="F68" s="197"/>
      <c r="G68" s="197"/>
      <c r="H68" s="197"/>
      <c r="I68" s="198"/>
      <c r="J68" s="193" t="s">
        <v>6</v>
      </c>
      <c r="K68" s="197"/>
      <c r="L68" s="197"/>
      <c r="M68" s="197"/>
      <c r="N68" s="197"/>
      <c r="O68" s="197"/>
      <c r="P68" s="197"/>
      <c r="Q68" s="198"/>
      <c r="R68" s="193" t="s">
        <v>10</v>
      </c>
      <c r="S68" s="198"/>
      <c r="T68" s="191" t="s">
        <v>11</v>
      </c>
      <c r="U68" s="191" t="s">
        <v>12</v>
      </c>
      <c r="V68" s="191"/>
      <c r="W68" s="191"/>
    </row>
    <row r="69" spans="1:23" s="26" customFormat="1" ht="13.8" x14ac:dyDescent="0.3">
      <c r="A69" s="191"/>
      <c r="B69" s="192"/>
      <c r="C69" s="192"/>
      <c r="D69" s="192"/>
      <c r="E69" s="194"/>
      <c r="F69" s="217"/>
      <c r="G69" s="217"/>
      <c r="H69" s="217"/>
      <c r="I69" s="199"/>
      <c r="J69" s="200" t="s">
        <v>7</v>
      </c>
      <c r="K69" s="201"/>
      <c r="L69" s="200" t="s">
        <v>8</v>
      </c>
      <c r="M69" s="201"/>
      <c r="N69" s="200" t="s">
        <v>9</v>
      </c>
      <c r="O69" s="201"/>
      <c r="P69" s="200" t="s">
        <v>16</v>
      </c>
      <c r="Q69" s="201"/>
      <c r="R69" s="194"/>
      <c r="S69" s="199"/>
      <c r="T69" s="191"/>
      <c r="U69" s="191"/>
      <c r="V69" s="191"/>
      <c r="W69" s="191"/>
    </row>
    <row r="70" spans="1:23" x14ac:dyDescent="0.3">
      <c r="A70" s="180" t="s">
        <v>13</v>
      </c>
      <c r="B70" s="5">
        <v>0.33333333333333331</v>
      </c>
      <c r="C70" s="5"/>
      <c r="D70" s="71">
        <v>250070</v>
      </c>
      <c r="E70" s="211" t="s">
        <v>309</v>
      </c>
      <c r="F70" s="212"/>
      <c r="G70" s="212"/>
      <c r="H70" s="212"/>
      <c r="I70" s="213"/>
      <c r="J70" s="165">
        <v>2440</v>
      </c>
      <c r="K70" s="166"/>
      <c r="L70" s="165"/>
      <c r="M70" s="166"/>
      <c r="N70" s="165"/>
      <c r="O70" s="166"/>
      <c r="P70" s="165"/>
      <c r="Q70" s="166"/>
      <c r="R70" s="69"/>
      <c r="S70" s="6" t="s">
        <v>20</v>
      </c>
      <c r="T70" s="3"/>
      <c r="U70" s="202"/>
      <c r="V70" s="203"/>
      <c r="W70" s="204"/>
    </row>
    <row r="71" spans="1:23" x14ac:dyDescent="0.3">
      <c r="A71" s="163"/>
      <c r="B71" s="5"/>
      <c r="C71" s="5"/>
      <c r="D71" s="4" t="s">
        <v>248</v>
      </c>
      <c r="E71" s="211" t="s">
        <v>372</v>
      </c>
      <c r="F71" s="212"/>
      <c r="G71" s="212"/>
      <c r="H71" s="212"/>
      <c r="I71" s="213"/>
      <c r="J71" s="165"/>
      <c r="K71" s="166"/>
      <c r="L71" s="165"/>
      <c r="M71" s="166"/>
      <c r="N71" s="165">
        <v>96</v>
      </c>
      <c r="O71" s="166"/>
      <c r="P71" s="165"/>
      <c r="Q71" s="166"/>
      <c r="R71" s="69"/>
      <c r="S71" s="6" t="s">
        <v>20</v>
      </c>
      <c r="T71" s="3"/>
      <c r="U71" s="205"/>
      <c r="V71" s="206"/>
      <c r="W71" s="207"/>
    </row>
    <row r="72" spans="1:23" x14ac:dyDescent="0.3">
      <c r="A72" s="163"/>
      <c r="B72" s="5"/>
      <c r="C72" s="5">
        <v>0.70833333333333337</v>
      </c>
      <c r="D72" s="71">
        <v>250070</v>
      </c>
      <c r="E72" s="211" t="s">
        <v>373</v>
      </c>
      <c r="F72" s="212"/>
      <c r="G72" s="212"/>
      <c r="H72" s="212"/>
      <c r="I72" s="213"/>
      <c r="J72" s="165">
        <v>1390</v>
      </c>
      <c r="K72" s="166"/>
      <c r="L72" s="165"/>
      <c r="M72" s="166"/>
      <c r="N72" s="165"/>
      <c r="O72" s="166"/>
      <c r="P72" s="165"/>
      <c r="Q72" s="166"/>
      <c r="R72" s="69"/>
      <c r="S72" s="6" t="s">
        <v>20</v>
      </c>
      <c r="T72" s="3"/>
      <c r="U72" s="205"/>
      <c r="V72" s="206"/>
      <c r="W72" s="207"/>
    </row>
    <row r="73" spans="1:23" x14ac:dyDescent="0.3">
      <c r="A73" s="163"/>
      <c r="B73" s="5"/>
      <c r="C73" s="5"/>
      <c r="D73" s="4"/>
      <c r="E73" s="211"/>
      <c r="F73" s="212"/>
      <c r="G73" s="212"/>
      <c r="H73" s="212"/>
      <c r="I73" s="213"/>
      <c r="J73" s="165"/>
      <c r="K73" s="166"/>
      <c r="L73" s="165"/>
      <c r="M73" s="166"/>
      <c r="N73" s="165"/>
      <c r="O73" s="166"/>
      <c r="P73" s="165"/>
      <c r="Q73" s="166"/>
      <c r="R73" s="69"/>
      <c r="S73" s="6" t="s">
        <v>20</v>
      </c>
      <c r="T73" s="3"/>
      <c r="U73" s="205"/>
      <c r="V73" s="206"/>
      <c r="W73" s="207"/>
    </row>
    <row r="74" spans="1:23" x14ac:dyDescent="0.3">
      <c r="A74" s="163"/>
      <c r="B74" s="5"/>
      <c r="C74" s="5"/>
      <c r="D74" s="4"/>
      <c r="E74" s="211"/>
      <c r="F74" s="212"/>
      <c r="G74" s="212"/>
      <c r="H74" s="212"/>
      <c r="I74" s="213"/>
      <c r="J74" s="165"/>
      <c r="K74" s="166"/>
      <c r="L74" s="165"/>
      <c r="M74" s="166"/>
      <c r="N74" s="165"/>
      <c r="O74" s="166"/>
      <c r="P74" s="165"/>
      <c r="Q74" s="166"/>
      <c r="R74" s="69"/>
      <c r="S74" s="6" t="s">
        <v>20</v>
      </c>
      <c r="T74" s="3"/>
      <c r="U74" s="205"/>
      <c r="V74" s="206"/>
      <c r="W74" s="207"/>
    </row>
    <row r="75" spans="1:23" x14ac:dyDescent="0.3">
      <c r="A75" s="163"/>
      <c r="B75" s="5"/>
      <c r="C75" s="5"/>
      <c r="D75" s="4"/>
      <c r="E75" s="211"/>
      <c r="F75" s="212"/>
      <c r="G75" s="212"/>
      <c r="H75" s="212"/>
      <c r="I75" s="213"/>
      <c r="J75" s="165"/>
      <c r="K75" s="166"/>
      <c r="L75" s="165"/>
      <c r="M75" s="166"/>
      <c r="N75" s="165"/>
      <c r="O75" s="166"/>
      <c r="P75" s="165"/>
      <c r="Q75" s="166"/>
      <c r="R75" s="69"/>
      <c r="S75" s="6" t="s">
        <v>20</v>
      </c>
      <c r="T75" s="3"/>
      <c r="U75" s="205"/>
      <c r="V75" s="206"/>
      <c r="W75" s="207"/>
    </row>
    <row r="76" spans="1:23" x14ac:dyDescent="0.3">
      <c r="A76" s="163"/>
      <c r="B76" s="5"/>
      <c r="C76" s="5"/>
      <c r="D76" s="4"/>
      <c r="E76" s="211"/>
      <c r="F76" s="212"/>
      <c r="G76" s="212"/>
      <c r="H76" s="212"/>
      <c r="I76" s="213"/>
      <c r="J76" s="165"/>
      <c r="K76" s="166"/>
      <c r="L76" s="165"/>
      <c r="M76" s="166"/>
      <c r="N76" s="165"/>
      <c r="O76" s="166"/>
      <c r="P76" s="165"/>
      <c r="Q76" s="166"/>
      <c r="R76" s="69"/>
      <c r="S76" s="6" t="s">
        <v>20</v>
      </c>
      <c r="T76" s="3"/>
      <c r="U76" s="205"/>
      <c r="V76" s="206"/>
      <c r="W76" s="207"/>
    </row>
    <row r="77" spans="1:23" x14ac:dyDescent="0.3">
      <c r="A77" s="164"/>
      <c r="B77" s="19"/>
      <c r="C77" s="19"/>
      <c r="D77" s="20"/>
      <c r="E77" s="170" t="s">
        <v>0</v>
      </c>
      <c r="F77" s="171"/>
      <c r="G77" s="171"/>
      <c r="H77" s="171"/>
      <c r="I77" s="172"/>
      <c r="J77" s="173">
        <f>SUM(J70:J76)</f>
        <v>3830</v>
      </c>
      <c r="K77" s="174"/>
      <c r="L77" s="173">
        <f>SUM(L70:L76)</f>
        <v>0</v>
      </c>
      <c r="M77" s="174"/>
      <c r="N77" s="173">
        <f>SUM(N70:N76)</f>
        <v>96</v>
      </c>
      <c r="O77" s="174"/>
      <c r="P77" s="173">
        <f>SUM(P70:P76)</f>
        <v>0</v>
      </c>
      <c r="Q77" s="174"/>
      <c r="R77" s="23">
        <f>SUM(R70:R76)</f>
        <v>0</v>
      </c>
      <c r="S77" s="24" t="s">
        <v>20</v>
      </c>
      <c r="T77" s="19"/>
      <c r="U77" s="208"/>
      <c r="V77" s="209"/>
      <c r="W77" s="210"/>
    </row>
    <row r="78" spans="1:23" x14ac:dyDescent="0.3">
      <c r="A78" s="180" t="s">
        <v>15</v>
      </c>
      <c r="B78" s="5"/>
      <c r="C78" s="5"/>
      <c r="D78" s="4"/>
      <c r="E78" s="211"/>
      <c r="F78" s="212"/>
      <c r="G78" s="212"/>
      <c r="H78" s="212"/>
      <c r="I78" s="213"/>
      <c r="J78" s="165"/>
      <c r="K78" s="166"/>
      <c r="L78" s="165"/>
      <c r="M78" s="166"/>
      <c r="N78" s="165"/>
      <c r="O78" s="166"/>
      <c r="P78" s="165"/>
      <c r="Q78" s="166"/>
      <c r="R78" s="69"/>
      <c r="S78" s="6" t="s">
        <v>20</v>
      </c>
      <c r="T78" s="3"/>
      <c r="U78" s="202"/>
      <c r="V78" s="203"/>
      <c r="W78" s="204"/>
    </row>
    <row r="79" spans="1:23" x14ac:dyDescent="0.3">
      <c r="A79" s="163"/>
      <c r="B79" s="5"/>
      <c r="C79" s="5"/>
      <c r="D79" s="4"/>
      <c r="E79" s="211"/>
      <c r="F79" s="212"/>
      <c r="G79" s="212"/>
      <c r="H79" s="212"/>
      <c r="I79" s="213"/>
      <c r="J79" s="165"/>
      <c r="K79" s="166"/>
      <c r="L79" s="165"/>
      <c r="M79" s="166"/>
      <c r="N79" s="165"/>
      <c r="O79" s="166"/>
      <c r="P79" s="165"/>
      <c r="Q79" s="166"/>
      <c r="R79" s="69"/>
      <c r="S79" s="6" t="s">
        <v>20</v>
      </c>
      <c r="T79" s="3"/>
      <c r="U79" s="205"/>
      <c r="V79" s="206"/>
      <c r="W79" s="207"/>
    </row>
    <row r="80" spans="1:23" x14ac:dyDescent="0.3">
      <c r="A80" s="163"/>
      <c r="B80" s="5"/>
      <c r="C80" s="5"/>
      <c r="D80" s="4"/>
      <c r="E80" s="211"/>
      <c r="F80" s="212"/>
      <c r="G80" s="212"/>
      <c r="H80" s="212"/>
      <c r="I80" s="213"/>
      <c r="J80" s="165"/>
      <c r="K80" s="166"/>
      <c r="L80" s="165"/>
      <c r="M80" s="166"/>
      <c r="N80" s="165"/>
      <c r="O80" s="166"/>
      <c r="P80" s="165"/>
      <c r="Q80" s="166"/>
      <c r="R80" s="69"/>
      <c r="S80" s="6" t="s">
        <v>20</v>
      </c>
      <c r="T80" s="3"/>
      <c r="U80" s="205"/>
      <c r="V80" s="206"/>
      <c r="W80" s="207"/>
    </row>
    <row r="81" spans="1:23" x14ac:dyDescent="0.3">
      <c r="A81" s="164"/>
      <c r="B81" s="19"/>
      <c r="C81" s="19"/>
      <c r="D81" s="20"/>
      <c r="E81" s="170" t="s">
        <v>0</v>
      </c>
      <c r="F81" s="171"/>
      <c r="G81" s="171"/>
      <c r="H81" s="171"/>
      <c r="I81" s="172"/>
      <c r="J81" s="173">
        <f>SUM(J78:J80)</f>
        <v>0</v>
      </c>
      <c r="K81" s="174"/>
      <c r="L81" s="173">
        <f>SUM(L78:L80)</f>
        <v>0</v>
      </c>
      <c r="M81" s="174"/>
      <c r="N81" s="173">
        <f>SUM(N78:N80)</f>
        <v>0</v>
      </c>
      <c r="O81" s="174"/>
      <c r="P81" s="173">
        <f>SUM(P73:P80)</f>
        <v>0</v>
      </c>
      <c r="Q81" s="174"/>
      <c r="R81" s="23">
        <f>SUM(R78:R80)</f>
        <v>0</v>
      </c>
      <c r="S81" s="24" t="s">
        <v>20</v>
      </c>
      <c r="T81" s="7"/>
      <c r="U81" s="208"/>
      <c r="V81" s="209"/>
      <c r="W81" s="210"/>
    </row>
    <row r="82" spans="1:23" x14ac:dyDescent="0.3">
      <c r="A82" s="180" t="s">
        <v>37</v>
      </c>
      <c r="B82" s="5"/>
      <c r="C82" s="5"/>
      <c r="D82" s="4"/>
      <c r="E82" s="211"/>
      <c r="F82" s="212"/>
      <c r="G82" s="212"/>
      <c r="H82" s="212"/>
      <c r="I82" s="213"/>
      <c r="J82" s="165"/>
      <c r="K82" s="166"/>
      <c r="L82" s="165"/>
      <c r="M82" s="166"/>
      <c r="N82" s="165"/>
      <c r="O82" s="166"/>
      <c r="P82" s="165"/>
      <c r="Q82" s="166"/>
      <c r="R82" s="69"/>
      <c r="S82" s="6" t="s">
        <v>20</v>
      </c>
      <c r="T82" s="3"/>
      <c r="U82" s="202"/>
      <c r="V82" s="203"/>
      <c r="W82" s="204"/>
    </row>
    <row r="83" spans="1:23" x14ac:dyDescent="0.3">
      <c r="A83" s="163"/>
      <c r="B83" s="5"/>
      <c r="C83" s="5"/>
      <c r="D83" s="4"/>
      <c r="E83" s="211"/>
      <c r="F83" s="212"/>
      <c r="G83" s="212"/>
      <c r="H83" s="212"/>
      <c r="I83" s="213"/>
      <c r="J83" s="165"/>
      <c r="K83" s="166"/>
      <c r="L83" s="165"/>
      <c r="M83" s="166"/>
      <c r="N83" s="165"/>
      <c r="O83" s="166"/>
      <c r="P83" s="165"/>
      <c r="Q83" s="166"/>
      <c r="R83" s="69"/>
      <c r="S83" s="6" t="s">
        <v>20</v>
      </c>
      <c r="T83" s="3"/>
      <c r="U83" s="205"/>
      <c r="V83" s="206"/>
      <c r="W83" s="207"/>
    </row>
    <row r="84" spans="1:23" x14ac:dyDescent="0.3">
      <c r="A84" s="163"/>
      <c r="B84" s="5"/>
      <c r="C84" s="5"/>
      <c r="D84" s="4"/>
      <c r="E84" s="211"/>
      <c r="F84" s="212"/>
      <c r="G84" s="212"/>
      <c r="H84" s="212"/>
      <c r="I84" s="213"/>
      <c r="J84" s="165"/>
      <c r="K84" s="166"/>
      <c r="L84" s="165"/>
      <c r="M84" s="166"/>
      <c r="N84" s="165"/>
      <c r="O84" s="166"/>
      <c r="P84" s="165"/>
      <c r="Q84" s="166"/>
      <c r="R84" s="69"/>
      <c r="S84" s="6" t="s">
        <v>20</v>
      </c>
      <c r="T84" s="3"/>
      <c r="U84" s="205"/>
      <c r="V84" s="206"/>
      <c r="W84" s="207"/>
    </row>
    <row r="85" spans="1:23" x14ac:dyDescent="0.3">
      <c r="A85" s="163"/>
      <c r="B85" s="5"/>
      <c r="C85" s="5"/>
      <c r="D85" s="4"/>
      <c r="E85" s="211"/>
      <c r="F85" s="212"/>
      <c r="G85" s="212"/>
      <c r="H85" s="212"/>
      <c r="I85" s="213"/>
      <c r="J85" s="165"/>
      <c r="K85" s="166"/>
      <c r="L85" s="165"/>
      <c r="M85" s="166"/>
      <c r="N85" s="165"/>
      <c r="O85" s="166"/>
      <c r="P85" s="165"/>
      <c r="Q85" s="166"/>
      <c r="R85" s="69"/>
      <c r="S85" s="6" t="s">
        <v>20</v>
      </c>
      <c r="T85" s="3"/>
      <c r="U85" s="205"/>
      <c r="V85" s="206"/>
      <c r="W85" s="207"/>
    </row>
    <row r="86" spans="1:23" x14ac:dyDescent="0.3">
      <c r="A86" s="163"/>
      <c r="B86" s="5"/>
      <c r="C86" s="5"/>
      <c r="D86" s="4"/>
      <c r="E86" s="211"/>
      <c r="F86" s="212"/>
      <c r="G86" s="212"/>
      <c r="H86" s="212"/>
      <c r="I86" s="213"/>
      <c r="J86" s="165"/>
      <c r="K86" s="166"/>
      <c r="L86" s="165"/>
      <c r="M86" s="166"/>
      <c r="N86" s="165"/>
      <c r="O86" s="166"/>
      <c r="P86" s="165"/>
      <c r="Q86" s="166"/>
      <c r="R86" s="69"/>
      <c r="S86" s="6" t="s">
        <v>20</v>
      </c>
      <c r="T86" s="3"/>
      <c r="U86" s="205"/>
      <c r="V86" s="206"/>
      <c r="W86" s="207"/>
    </row>
    <row r="87" spans="1:23" x14ac:dyDescent="0.3">
      <c r="A87" s="163"/>
      <c r="B87" s="5"/>
      <c r="C87" s="5"/>
      <c r="D87" s="4"/>
      <c r="E87" s="211"/>
      <c r="F87" s="212"/>
      <c r="G87" s="212"/>
      <c r="H87" s="212"/>
      <c r="I87" s="213"/>
      <c r="J87" s="165"/>
      <c r="K87" s="166"/>
      <c r="L87" s="165"/>
      <c r="M87" s="166"/>
      <c r="N87" s="165"/>
      <c r="O87" s="166"/>
      <c r="P87" s="165"/>
      <c r="Q87" s="166"/>
      <c r="R87" s="69"/>
      <c r="S87" s="6" t="s">
        <v>20</v>
      </c>
      <c r="T87" s="3"/>
      <c r="U87" s="205"/>
      <c r="V87" s="206"/>
      <c r="W87" s="207"/>
    </row>
    <row r="88" spans="1:23" x14ac:dyDescent="0.3">
      <c r="A88" s="163"/>
      <c r="B88" s="5"/>
      <c r="C88" s="5"/>
      <c r="D88" s="4"/>
      <c r="E88" s="211"/>
      <c r="F88" s="212"/>
      <c r="G88" s="212"/>
      <c r="H88" s="212"/>
      <c r="I88" s="213"/>
      <c r="J88" s="165"/>
      <c r="K88" s="166"/>
      <c r="L88" s="165"/>
      <c r="M88" s="166"/>
      <c r="N88" s="165"/>
      <c r="O88" s="166"/>
      <c r="P88" s="165"/>
      <c r="Q88" s="166"/>
      <c r="R88" s="69"/>
      <c r="S88" s="6" t="s">
        <v>20</v>
      </c>
      <c r="T88" s="3"/>
      <c r="U88" s="205"/>
      <c r="V88" s="206"/>
      <c r="W88" s="207"/>
    </row>
    <row r="89" spans="1:23" x14ac:dyDescent="0.3">
      <c r="A89" s="164"/>
      <c r="B89" s="19"/>
      <c r="C89" s="19"/>
      <c r="D89" s="20"/>
      <c r="E89" s="170" t="s">
        <v>0</v>
      </c>
      <c r="F89" s="171"/>
      <c r="G89" s="171"/>
      <c r="H89" s="171"/>
      <c r="I89" s="172"/>
      <c r="J89" s="173">
        <f>SUM(J82:J88)</f>
        <v>0</v>
      </c>
      <c r="K89" s="174"/>
      <c r="L89" s="173">
        <f>SUM(L82:L88)</f>
        <v>0</v>
      </c>
      <c r="M89" s="174"/>
      <c r="N89" s="173">
        <f>SUM(N82:N88)</f>
        <v>0</v>
      </c>
      <c r="O89" s="174"/>
      <c r="P89" s="173">
        <f>SUM(P82:P88)</f>
        <v>0</v>
      </c>
      <c r="Q89" s="174"/>
      <c r="R89" s="23">
        <f>SUM(R82:R88)</f>
        <v>0</v>
      </c>
      <c r="S89" s="24" t="s">
        <v>20</v>
      </c>
      <c r="T89" s="19"/>
      <c r="U89" s="208"/>
      <c r="V89" s="209"/>
      <c r="W89" s="210"/>
    </row>
    <row r="90" spans="1:23" x14ac:dyDescent="0.3">
      <c r="A90" s="180" t="s">
        <v>36</v>
      </c>
      <c r="B90" s="5"/>
      <c r="C90" s="5"/>
      <c r="D90" s="4"/>
      <c r="E90" s="211"/>
      <c r="F90" s="212"/>
      <c r="G90" s="212"/>
      <c r="H90" s="212"/>
      <c r="I90" s="213"/>
      <c r="J90" s="165"/>
      <c r="K90" s="166"/>
      <c r="L90" s="165"/>
      <c r="M90" s="166"/>
      <c r="N90" s="165"/>
      <c r="O90" s="166"/>
      <c r="P90" s="165"/>
      <c r="Q90" s="166"/>
      <c r="R90" s="69"/>
      <c r="S90" s="6" t="s">
        <v>20</v>
      </c>
      <c r="T90" s="3"/>
      <c r="U90" s="202"/>
      <c r="V90" s="203"/>
      <c r="W90" s="204"/>
    </row>
    <row r="91" spans="1:23" x14ac:dyDescent="0.3">
      <c r="A91" s="163"/>
      <c r="B91" s="5"/>
      <c r="C91" s="5"/>
      <c r="D91" s="4"/>
      <c r="E91" s="211"/>
      <c r="F91" s="212"/>
      <c r="G91" s="212"/>
      <c r="H91" s="212"/>
      <c r="I91" s="213"/>
      <c r="J91" s="165"/>
      <c r="K91" s="166"/>
      <c r="L91" s="165"/>
      <c r="M91" s="166"/>
      <c r="N91" s="165"/>
      <c r="O91" s="166"/>
      <c r="P91" s="165"/>
      <c r="Q91" s="166"/>
      <c r="R91" s="69"/>
      <c r="S91" s="6" t="s">
        <v>20</v>
      </c>
      <c r="T91" s="3"/>
      <c r="U91" s="205"/>
      <c r="V91" s="206"/>
      <c r="W91" s="207"/>
    </row>
    <row r="92" spans="1:23" x14ac:dyDescent="0.3">
      <c r="A92" s="163"/>
      <c r="B92" s="5"/>
      <c r="C92" s="5"/>
      <c r="D92" s="4"/>
      <c r="E92" s="211"/>
      <c r="F92" s="212"/>
      <c r="G92" s="212"/>
      <c r="H92" s="212"/>
      <c r="I92" s="213"/>
      <c r="J92" s="165"/>
      <c r="K92" s="166"/>
      <c r="L92" s="165"/>
      <c r="M92" s="166"/>
      <c r="N92" s="165"/>
      <c r="O92" s="166"/>
      <c r="P92" s="165"/>
      <c r="Q92" s="166"/>
      <c r="R92" s="69"/>
      <c r="S92" s="6" t="s">
        <v>20</v>
      </c>
      <c r="T92" s="3"/>
      <c r="U92" s="205"/>
      <c r="V92" s="206"/>
      <c r="W92" s="207"/>
    </row>
    <row r="93" spans="1:23" x14ac:dyDescent="0.3">
      <c r="A93" s="164"/>
      <c r="B93" s="19"/>
      <c r="C93" s="19"/>
      <c r="D93" s="20"/>
      <c r="E93" s="170" t="s">
        <v>0</v>
      </c>
      <c r="F93" s="171"/>
      <c r="G93" s="171"/>
      <c r="H93" s="171"/>
      <c r="I93" s="172"/>
      <c r="J93" s="173">
        <f>SUM(J90:J92)</f>
        <v>0</v>
      </c>
      <c r="K93" s="174"/>
      <c r="L93" s="173">
        <f>SUM(L90:L92)</f>
        <v>0</v>
      </c>
      <c r="M93" s="174"/>
      <c r="N93" s="173">
        <f>SUM(N90:N92)</f>
        <v>0</v>
      </c>
      <c r="O93" s="174"/>
      <c r="P93" s="173">
        <f>SUM(P90:P92)</f>
        <v>0</v>
      </c>
      <c r="Q93" s="174"/>
      <c r="R93" s="23">
        <f>SUM(R90:R92)</f>
        <v>0</v>
      </c>
      <c r="S93" s="24" t="s">
        <v>20</v>
      </c>
      <c r="T93" s="19"/>
      <c r="U93" s="208"/>
      <c r="V93" s="209"/>
      <c r="W93" s="210"/>
    </row>
    <row r="94" spans="1:23" x14ac:dyDescent="0.3">
      <c r="E94" s="28"/>
      <c r="F94" s="28"/>
      <c r="G94" s="28"/>
      <c r="H94" s="28"/>
      <c r="I94" s="28"/>
      <c r="J94" s="29"/>
      <c r="K94" s="29"/>
      <c r="L94" s="29"/>
      <c r="M94" s="29"/>
      <c r="N94" s="29"/>
      <c r="O94" s="29"/>
      <c r="P94" s="29"/>
      <c r="Q94" s="29"/>
    </row>
    <row r="95" spans="1:23" x14ac:dyDescent="0.3">
      <c r="E95" s="170" t="s">
        <v>28</v>
      </c>
      <c r="F95" s="171"/>
      <c r="G95" s="171"/>
      <c r="H95" s="171"/>
      <c r="I95" s="172"/>
      <c r="J95" s="175" t="s">
        <v>7</v>
      </c>
      <c r="K95" s="176"/>
      <c r="L95" s="175" t="s">
        <v>8</v>
      </c>
      <c r="M95" s="176"/>
      <c r="N95" s="175" t="s">
        <v>9</v>
      </c>
      <c r="O95" s="176"/>
      <c r="P95" s="175" t="s">
        <v>16</v>
      </c>
      <c r="Q95" s="176"/>
    </row>
    <row r="96" spans="1:23" s="2" customFormat="1" x14ac:dyDescent="0.3">
      <c r="E96" s="15"/>
      <c r="F96" s="15"/>
      <c r="G96" s="15"/>
      <c r="H96" s="15"/>
      <c r="I96" s="15"/>
      <c r="J96" s="30">
        <f>J77+J81</f>
        <v>3830</v>
      </c>
      <c r="K96" s="31" t="s">
        <v>17</v>
      </c>
      <c r="L96" s="32">
        <f>L77+L81</f>
        <v>0</v>
      </c>
      <c r="M96" s="31" t="s">
        <v>17</v>
      </c>
      <c r="N96" s="32">
        <f>N77+N81</f>
        <v>96</v>
      </c>
      <c r="O96" s="31" t="s">
        <v>17</v>
      </c>
      <c r="P96" s="33">
        <f>P89+P93</f>
        <v>0</v>
      </c>
      <c r="Q96" s="34" t="s">
        <v>17</v>
      </c>
    </row>
    <row r="97" spans="5:17" ht="24.45" customHeight="1" x14ac:dyDescent="0.3">
      <c r="E97" s="28"/>
      <c r="F97" s="28"/>
      <c r="G97" s="28"/>
      <c r="H97" s="28"/>
      <c r="I97" s="28"/>
      <c r="J97" s="167">
        <f>J96+L96+N96+P96</f>
        <v>3926</v>
      </c>
      <c r="K97" s="168"/>
      <c r="L97" s="168"/>
      <c r="M97" s="168"/>
      <c r="N97" s="168"/>
      <c r="O97" s="168"/>
      <c r="P97" s="168"/>
      <c r="Q97" s="169"/>
    </row>
  </sheetData>
  <mergeCells count="390">
    <mergeCell ref="E95:I95"/>
    <mergeCell ref="J95:K95"/>
    <mergeCell ref="L95:M95"/>
    <mergeCell ref="N95:O95"/>
    <mergeCell ref="P95:Q95"/>
    <mergeCell ref="J97:Q97"/>
    <mergeCell ref="N92:O92"/>
    <mergeCell ref="P92:Q92"/>
    <mergeCell ref="E93:I93"/>
    <mergeCell ref="J93:K93"/>
    <mergeCell ref="L93:M93"/>
    <mergeCell ref="N93:O93"/>
    <mergeCell ref="P93:Q93"/>
    <mergeCell ref="U90:W93"/>
    <mergeCell ref="E91:I91"/>
    <mergeCell ref="J91:K91"/>
    <mergeCell ref="L91:M91"/>
    <mergeCell ref="N91:O91"/>
    <mergeCell ref="P91:Q91"/>
    <mergeCell ref="E92:I92"/>
    <mergeCell ref="J92:K92"/>
    <mergeCell ref="L92:M92"/>
    <mergeCell ref="E89:I89"/>
    <mergeCell ref="J89:K89"/>
    <mergeCell ref="L89:M89"/>
    <mergeCell ref="N89:O89"/>
    <mergeCell ref="P89:Q89"/>
    <mergeCell ref="A90:A93"/>
    <mergeCell ref="E90:I90"/>
    <mergeCell ref="J90:K90"/>
    <mergeCell ref="L90:M90"/>
    <mergeCell ref="N90:O90"/>
    <mergeCell ref="A82:A89"/>
    <mergeCell ref="J85:K85"/>
    <mergeCell ref="L85:M85"/>
    <mergeCell ref="P90:Q90"/>
    <mergeCell ref="E87:I87"/>
    <mergeCell ref="J87:K87"/>
    <mergeCell ref="L87:M87"/>
    <mergeCell ref="N87:O87"/>
    <mergeCell ref="P87:Q87"/>
    <mergeCell ref="E88:I88"/>
    <mergeCell ref="J88:K88"/>
    <mergeCell ref="L88:M88"/>
    <mergeCell ref="N88:O88"/>
    <mergeCell ref="P88:Q88"/>
    <mergeCell ref="N85:O85"/>
    <mergeCell ref="P85:Q85"/>
    <mergeCell ref="E86:I86"/>
    <mergeCell ref="J86:K86"/>
    <mergeCell ref="L86:M86"/>
    <mergeCell ref="N86:O86"/>
    <mergeCell ref="P86:Q86"/>
    <mergeCell ref="U82:W89"/>
    <mergeCell ref="E83:I83"/>
    <mergeCell ref="J83:K83"/>
    <mergeCell ref="L83:M83"/>
    <mergeCell ref="N83:O83"/>
    <mergeCell ref="P83:Q83"/>
    <mergeCell ref="E84:I84"/>
    <mergeCell ref="J84:K84"/>
    <mergeCell ref="L84:M84"/>
    <mergeCell ref="N84:O84"/>
    <mergeCell ref="E82:I82"/>
    <mergeCell ref="J82:K82"/>
    <mergeCell ref="L82:M82"/>
    <mergeCell ref="N82:O82"/>
    <mergeCell ref="P82:Q82"/>
    <mergeCell ref="P84:Q84"/>
    <mergeCell ref="E85:I85"/>
    <mergeCell ref="U78:W81"/>
    <mergeCell ref="E79:I79"/>
    <mergeCell ref="J79:K79"/>
    <mergeCell ref="L79:M79"/>
    <mergeCell ref="N79:O79"/>
    <mergeCell ref="P79:Q79"/>
    <mergeCell ref="E80:I80"/>
    <mergeCell ref="J80:K80"/>
    <mergeCell ref="L80:M80"/>
    <mergeCell ref="P80:Q80"/>
    <mergeCell ref="E81:I81"/>
    <mergeCell ref="J81:K81"/>
    <mergeCell ref="L81:M81"/>
    <mergeCell ref="N81:O81"/>
    <mergeCell ref="P81:Q81"/>
    <mergeCell ref="P78:Q78"/>
    <mergeCell ref="A78:A81"/>
    <mergeCell ref="E78:I78"/>
    <mergeCell ref="J78:K78"/>
    <mergeCell ref="L78:M78"/>
    <mergeCell ref="N78:O78"/>
    <mergeCell ref="A70:A77"/>
    <mergeCell ref="J73:K73"/>
    <mergeCell ref="L73:M73"/>
    <mergeCell ref="N80:O80"/>
    <mergeCell ref="N73:O73"/>
    <mergeCell ref="P73:Q73"/>
    <mergeCell ref="E74:I74"/>
    <mergeCell ref="J74:K74"/>
    <mergeCell ref="L74:M74"/>
    <mergeCell ref="N74:O74"/>
    <mergeCell ref="P74:Q74"/>
    <mergeCell ref="E77:I77"/>
    <mergeCell ref="J77:K77"/>
    <mergeCell ref="L77:M77"/>
    <mergeCell ref="N77:O77"/>
    <mergeCell ref="P77:Q77"/>
    <mergeCell ref="E75:I75"/>
    <mergeCell ref="J75:K75"/>
    <mergeCell ref="L75:M75"/>
    <mergeCell ref="U70:W77"/>
    <mergeCell ref="E71:I71"/>
    <mergeCell ref="J71:K71"/>
    <mergeCell ref="L71:M71"/>
    <mergeCell ref="N71:O71"/>
    <mergeCell ref="P71:Q71"/>
    <mergeCell ref="E72:I72"/>
    <mergeCell ref="J72:K72"/>
    <mergeCell ref="L72:M72"/>
    <mergeCell ref="N72:O72"/>
    <mergeCell ref="E70:I70"/>
    <mergeCell ref="J70:K70"/>
    <mergeCell ref="L70:M70"/>
    <mergeCell ref="N70:O70"/>
    <mergeCell ref="P70:Q70"/>
    <mergeCell ref="P72:Q72"/>
    <mergeCell ref="E73:I73"/>
    <mergeCell ref="N75:O75"/>
    <mergeCell ref="P75:Q75"/>
    <mergeCell ref="E76:I76"/>
    <mergeCell ref="J76:K76"/>
    <mergeCell ref="L76:M76"/>
    <mergeCell ref="N76:O76"/>
    <mergeCell ref="P76:Q76"/>
    <mergeCell ref="E62:I62"/>
    <mergeCell ref="J62:K62"/>
    <mergeCell ref="L62:M62"/>
    <mergeCell ref="N62:O62"/>
    <mergeCell ref="P62:Q62"/>
    <mergeCell ref="R68:S69"/>
    <mergeCell ref="T68:T69"/>
    <mergeCell ref="U68:W69"/>
    <mergeCell ref="J69:K69"/>
    <mergeCell ref="L69:M69"/>
    <mergeCell ref="N69:O69"/>
    <mergeCell ref="P69:Q69"/>
    <mergeCell ref="J64:Q64"/>
    <mergeCell ref="Q66:S66"/>
    <mergeCell ref="T66:W66"/>
    <mergeCell ref="A67:W67"/>
    <mergeCell ref="A68:A69"/>
    <mergeCell ref="B68:B69"/>
    <mergeCell ref="C68:C69"/>
    <mergeCell ref="D68:D69"/>
    <mergeCell ref="E68:I69"/>
    <mergeCell ref="J68:Q68"/>
    <mergeCell ref="U51:W60"/>
    <mergeCell ref="J52:K52"/>
    <mergeCell ref="L52:M52"/>
    <mergeCell ref="N52:O52"/>
    <mergeCell ref="P52:Q52"/>
    <mergeCell ref="J53:K53"/>
    <mergeCell ref="L53:M53"/>
    <mergeCell ref="N53:O53"/>
    <mergeCell ref="P53:Q53"/>
    <mergeCell ref="J54:K54"/>
    <mergeCell ref="J58:K58"/>
    <mergeCell ref="L58:M58"/>
    <mergeCell ref="N58:O58"/>
    <mergeCell ref="P58:Q58"/>
    <mergeCell ref="J59:K59"/>
    <mergeCell ref="L59:M59"/>
    <mergeCell ref="N59:O59"/>
    <mergeCell ref="P59:Q59"/>
    <mergeCell ref="J56:K56"/>
    <mergeCell ref="L56:M56"/>
    <mergeCell ref="N56:O56"/>
    <mergeCell ref="P56:Q56"/>
    <mergeCell ref="J57:K57"/>
    <mergeCell ref="L57:M57"/>
    <mergeCell ref="A51:A60"/>
    <mergeCell ref="J51:K51"/>
    <mergeCell ref="L51:M51"/>
    <mergeCell ref="N51:O51"/>
    <mergeCell ref="P51:Q51"/>
    <mergeCell ref="L54:M54"/>
    <mergeCell ref="N54:O54"/>
    <mergeCell ref="P54:Q54"/>
    <mergeCell ref="J55:K55"/>
    <mergeCell ref="L55:M55"/>
    <mergeCell ref="N55:O55"/>
    <mergeCell ref="P55:Q55"/>
    <mergeCell ref="N57:O57"/>
    <mergeCell ref="P57:Q57"/>
    <mergeCell ref="E60:I60"/>
    <mergeCell ref="J60:K60"/>
    <mergeCell ref="L60:M60"/>
    <mergeCell ref="N60:O60"/>
    <mergeCell ref="P60:Q60"/>
    <mergeCell ref="U41:W50"/>
    <mergeCell ref="J42:K42"/>
    <mergeCell ref="L42:M42"/>
    <mergeCell ref="N42:O42"/>
    <mergeCell ref="P42:Q42"/>
    <mergeCell ref="J43:K43"/>
    <mergeCell ref="L43:M43"/>
    <mergeCell ref="N43:O43"/>
    <mergeCell ref="P43:Q43"/>
    <mergeCell ref="J44:K44"/>
    <mergeCell ref="J48:K48"/>
    <mergeCell ref="L48:M48"/>
    <mergeCell ref="N48:O48"/>
    <mergeCell ref="P48:Q48"/>
    <mergeCell ref="J49:K49"/>
    <mergeCell ref="L49:M49"/>
    <mergeCell ref="N49:O49"/>
    <mergeCell ref="P49:Q49"/>
    <mergeCell ref="J46:K46"/>
    <mergeCell ref="L46:M46"/>
    <mergeCell ref="N46:O46"/>
    <mergeCell ref="P46:Q46"/>
    <mergeCell ref="J47:K47"/>
    <mergeCell ref="L47:M47"/>
    <mergeCell ref="A41:A50"/>
    <mergeCell ref="J41:K41"/>
    <mergeCell ref="L41:M41"/>
    <mergeCell ref="N41:O41"/>
    <mergeCell ref="P41:Q41"/>
    <mergeCell ref="L44:M44"/>
    <mergeCell ref="N44:O44"/>
    <mergeCell ref="P44:Q44"/>
    <mergeCell ref="J45:K45"/>
    <mergeCell ref="L45:M45"/>
    <mergeCell ref="N45:O45"/>
    <mergeCell ref="P45:Q45"/>
    <mergeCell ref="N47:O47"/>
    <mergeCell ref="P47:Q47"/>
    <mergeCell ref="E50:I50"/>
    <mergeCell ref="J50:K50"/>
    <mergeCell ref="L50:M50"/>
    <mergeCell ref="N50:O50"/>
    <mergeCell ref="P50:Q50"/>
    <mergeCell ref="U31:W40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J38:K38"/>
    <mergeCell ref="L38:M38"/>
    <mergeCell ref="N38:O38"/>
    <mergeCell ref="P38:Q38"/>
    <mergeCell ref="J39:K39"/>
    <mergeCell ref="L39:M39"/>
    <mergeCell ref="N39:O39"/>
    <mergeCell ref="P39:Q39"/>
    <mergeCell ref="J36:K36"/>
    <mergeCell ref="L36:M36"/>
    <mergeCell ref="N36:O36"/>
    <mergeCell ref="P36:Q36"/>
    <mergeCell ref="J37:K37"/>
    <mergeCell ref="L37:M37"/>
    <mergeCell ref="A31:A40"/>
    <mergeCell ref="J31:K31"/>
    <mergeCell ref="L31:M31"/>
    <mergeCell ref="N31:O31"/>
    <mergeCell ref="P31:Q31"/>
    <mergeCell ref="G29:G30"/>
    <mergeCell ref="H29:H30"/>
    <mergeCell ref="I29:I30"/>
    <mergeCell ref="J29:Q29"/>
    <mergeCell ref="L34:M34"/>
    <mergeCell ref="N34:O34"/>
    <mergeCell ref="P34:Q34"/>
    <mergeCell ref="J35:K35"/>
    <mergeCell ref="L35:M35"/>
    <mergeCell ref="N35:O35"/>
    <mergeCell ref="P35:Q35"/>
    <mergeCell ref="N37:O37"/>
    <mergeCell ref="P37:Q37"/>
    <mergeCell ref="E40:I40"/>
    <mergeCell ref="J40:K40"/>
    <mergeCell ref="L40:M40"/>
    <mergeCell ref="N40:O40"/>
    <mergeCell ref="P40:Q4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W82"/>
  <sheetViews>
    <sheetView zoomScale="85" zoomScaleNormal="85" workbookViewId="0">
      <selection activeCell="A21" sqref="A21:W21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4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45932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328</v>
      </c>
      <c r="B7" s="5">
        <v>0.33333333333333331</v>
      </c>
      <c r="C7" s="5"/>
      <c r="D7" s="4">
        <v>290925</v>
      </c>
      <c r="E7" s="12" t="s">
        <v>324</v>
      </c>
      <c r="F7" s="17">
        <v>330</v>
      </c>
      <c r="G7" s="17">
        <v>304</v>
      </c>
      <c r="H7" s="18">
        <v>0.8</v>
      </c>
      <c r="I7" s="17">
        <v>30000</v>
      </c>
      <c r="J7" s="165"/>
      <c r="K7" s="166"/>
      <c r="L7" s="165"/>
      <c r="M7" s="166"/>
      <c r="N7" s="165">
        <v>2980</v>
      </c>
      <c r="O7" s="166"/>
      <c r="P7" s="165"/>
      <c r="Q7" s="166"/>
      <c r="R7" s="65">
        <v>45</v>
      </c>
      <c r="S7" s="14" t="s">
        <v>20</v>
      </c>
      <c r="T7" s="42" t="s">
        <v>110</v>
      </c>
      <c r="U7" s="202"/>
      <c r="V7" s="203"/>
      <c r="W7" s="204"/>
    </row>
    <row r="8" spans="1:23" x14ac:dyDescent="0.3">
      <c r="A8" s="181"/>
      <c r="B8" s="5"/>
      <c r="C8" s="5"/>
      <c r="D8" s="4">
        <v>290925</v>
      </c>
      <c r="E8" s="12" t="s">
        <v>325</v>
      </c>
      <c r="F8" s="17">
        <v>369</v>
      </c>
      <c r="G8" s="17">
        <v>304</v>
      </c>
      <c r="H8" s="18">
        <v>0.9</v>
      </c>
      <c r="I8" s="17">
        <v>26000</v>
      </c>
      <c r="J8" s="165"/>
      <c r="K8" s="166"/>
      <c r="L8" s="165"/>
      <c r="M8" s="166"/>
      <c r="N8" s="165">
        <v>2160</v>
      </c>
      <c r="O8" s="166"/>
      <c r="P8" s="165"/>
      <c r="Q8" s="166"/>
      <c r="R8" s="65">
        <v>30</v>
      </c>
      <c r="S8" s="14" t="s">
        <v>20</v>
      </c>
      <c r="T8" s="42" t="s">
        <v>327</v>
      </c>
      <c r="U8" s="205"/>
      <c r="V8" s="206"/>
      <c r="W8" s="207"/>
    </row>
    <row r="9" spans="1:23" x14ac:dyDescent="0.3">
      <c r="A9" s="181"/>
      <c r="B9" s="5"/>
      <c r="C9" s="5"/>
      <c r="D9" s="4" t="s">
        <v>102</v>
      </c>
      <c r="E9" s="12" t="s">
        <v>326</v>
      </c>
      <c r="F9" s="17">
        <v>265</v>
      </c>
      <c r="G9" s="17">
        <v>304</v>
      </c>
      <c r="H9" s="18">
        <v>0.9</v>
      </c>
      <c r="I9" s="17">
        <v>26000</v>
      </c>
      <c r="J9" s="165"/>
      <c r="K9" s="166"/>
      <c r="L9" s="165"/>
      <c r="M9" s="166"/>
      <c r="N9" s="165">
        <v>720</v>
      </c>
      <c r="O9" s="166"/>
      <c r="P9" s="165"/>
      <c r="Q9" s="166"/>
      <c r="R9" s="65">
        <v>10</v>
      </c>
      <c r="S9" s="14" t="s">
        <v>20</v>
      </c>
      <c r="T9" s="42" t="s">
        <v>111</v>
      </c>
      <c r="U9" s="205"/>
      <c r="V9" s="206"/>
      <c r="W9" s="207"/>
    </row>
    <row r="10" spans="1:23" x14ac:dyDescent="0.3">
      <c r="A10" s="181"/>
      <c r="B10" s="5"/>
      <c r="C10" s="5"/>
      <c r="D10" s="4"/>
      <c r="E10" s="12"/>
      <c r="F10" s="17"/>
      <c r="G10" s="17"/>
      <c r="H10" s="18"/>
      <c r="I10" s="17"/>
      <c r="J10" s="165"/>
      <c r="K10" s="166"/>
      <c r="L10" s="165"/>
      <c r="M10" s="166"/>
      <c r="N10" s="165"/>
      <c r="O10" s="166"/>
      <c r="P10" s="165"/>
      <c r="Q10" s="166"/>
      <c r="R10" s="65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/>
      <c r="E11" s="12"/>
      <c r="F11" s="17"/>
      <c r="G11" s="17"/>
      <c r="H11" s="18"/>
      <c r="I11" s="17"/>
      <c r="J11" s="165"/>
      <c r="K11" s="166"/>
      <c r="L11" s="165"/>
      <c r="M11" s="166"/>
      <c r="N11" s="165"/>
      <c r="O11" s="166"/>
      <c r="P11" s="165"/>
      <c r="Q11" s="166"/>
      <c r="R11" s="65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/>
      <c r="E12" s="12"/>
      <c r="F12" s="17"/>
      <c r="G12" s="17"/>
      <c r="H12" s="18"/>
      <c r="I12" s="17"/>
      <c r="J12" s="165"/>
      <c r="K12" s="166"/>
      <c r="L12" s="165"/>
      <c r="M12" s="166"/>
      <c r="N12" s="165"/>
      <c r="O12" s="166"/>
      <c r="P12" s="165"/>
      <c r="Q12" s="166"/>
      <c r="R12" s="65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/>
      <c r="E13" s="12"/>
      <c r="F13" s="17"/>
      <c r="G13" s="17"/>
      <c r="H13" s="18"/>
      <c r="I13" s="17"/>
      <c r="J13" s="165"/>
      <c r="K13" s="166"/>
      <c r="L13" s="165"/>
      <c r="M13" s="166"/>
      <c r="N13" s="165"/>
      <c r="O13" s="166"/>
      <c r="P13" s="165"/>
      <c r="Q13" s="166"/>
      <c r="R13" s="65"/>
      <c r="S13" s="14" t="s">
        <v>20</v>
      </c>
      <c r="T13" s="42"/>
      <c r="U13" s="205"/>
      <c r="V13" s="206"/>
      <c r="W13" s="207"/>
    </row>
    <row r="14" spans="1:23" x14ac:dyDescent="0.3">
      <c r="A14" s="182"/>
      <c r="B14" s="170" t="s">
        <v>0</v>
      </c>
      <c r="C14" s="171"/>
      <c r="D14" s="171"/>
      <c r="E14" s="171"/>
      <c r="F14" s="171"/>
      <c r="G14" s="171"/>
      <c r="H14" s="171"/>
      <c r="I14" s="172"/>
      <c r="J14" s="21">
        <f>SUM(J7:K13)</f>
        <v>0</v>
      </c>
      <c r="K14" s="22" t="s">
        <v>17</v>
      </c>
      <c r="L14" s="21">
        <f>SUM(L7:M13)</f>
        <v>0</v>
      </c>
      <c r="M14" s="22" t="s">
        <v>17</v>
      </c>
      <c r="N14" s="21">
        <f>SUM(N7:O13)</f>
        <v>5860</v>
      </c>
      <c r="O14" s="22" t="s">
        <v>17</v>
      </c>
      <c r="P14" s="21">
        <f>SUM(P7:Q13)</f>
        <v>0</v>
      </c>
      <c r="Q14" s="22" t="s">
        <v>17</v>
      </c>
      <c r="R14" s="23">
        <f>SUM(R7:R13)</f>
        <v>85</v>
      </c>
      <c r="S14" s="24" t="s">
        <v>20</v>
      </c>
      <c r="T14" s="19"/>
      <c r="U14" s="208"/>
      <c r="V14" s="209"/>
      <c r="W14" s="210"/>
    </row>
    <row r="15" spans="1:23" ht="14.55" customHeight="1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1:23" ht="14.55" customHeight="1" x14ac:dyDescent="0.3">
      <c r="A16" s="27"/>
      <c r="B16" s="27"/>
      <c r="C16" s="27"/>
      <c r="D16" s="27"/>
      <c r="E16" s="170" t="s">
        <v>27</v>
      </c>
      <c r="F16" s="171"/>
      <c r="G16" s="171"/>
      <c r="H16" s="171"/>
      <c r="I16" s="172"/>
      <c r="J16" s="175" t="s">
        <v>7</v>
      </c>
      <c r="K16" s="176"/>
      <c r="L16" s="175" t="s">
        <v>8</v>
      </c>
      <c r="M16" s="176"/>
      <c r="N16" s="175" t="s">
        <v>9</v>
      </c>
      <c r="O16" s="176"/>
      <c r="P16" s="175" t="s">
        <v>117</v>
      </c>
      <c r="Q16" s="176"/>
      <c r="R16" s="27"/>
      <c r="S16" s="27"/>
    </row>
    <row r="17" spans="1:23" ht="14.55" customHeight="1" x14ac:dyDescent="0.3">
      <c r="A17" s="27"/>
      <c r="B17" s="27"/>
      <c r="C17" s="27"/>
      <c r="D17" s="27"/>
      <c r="E17" s="15"/>
      <c r="F17" s="15"/>
      <c r="G17" s="15"/>
      <c r="H17" s="15"/>
      <c r="I17" s="15"/>
      <c r="J17" s="30">
        <f>J14</f>
        <v>0</v>
      </c>
      <c r="K17" s="31" t="s">
        <v>17</v>
      </c>
      <c r="L17" s="32">
        <f>L14</f>
        <v>0</v>
      </c>
      <c r="M17" s="31" t="s">
        <v>17</v>
      </c>
      <c r="N17" s="32">
        <f>N14</f>
        <v>5860</v>
      </c>
      <c r="O17" s="31" t="s">
        <v>17</v>
      </c>
      <c r="P17" s="33">
        <f>P14</f>
        <v>0</v>
      </c>
      <c r="Q17" s="34" t="s">
        <v>17</v>
      </c>
      <c r="R17" s="27"/>
      <c r="S17" s="27"/>
    </row>
    <row r="18" spans="1:23" ht="30" customHeight="1" x14ac:dyDescent="0.3">
      <c r="A18" s="27"/>
      <c r="B18" s="27"/>
      <c r="C18" s="27"/>
      <c r="D18" s="27"/>
      <c r="E18" s="28"/>
      <c r="F18" s="28"/>
      <c r="G18" s="28"/>
      <c r="H18" s="28"/>
      <c r="I18" s="28"/>
      <c r="J18" s="167">
        <f>J17+L17+N17+P17</f>
        <v>5860</v>
      </c>
      <c r="K18" s="168"/>
      <c r="L18" s="168"/>
      <c r="M18" s="168"/>
      <c r="N18" s="168"/>
      <c r="O18" s="168"/>
      <c r="P18" s="168"/>
      <c r="Q18" s="169"/>
      <c r="R18" s="27"/>
      <c r="S18" s="27"/>
    </row>
    <row r="19" spans="1:23" ht="30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1:23" s="37" customFormat="1" ht="19.95" customHeight="1" x14ac:dyDescent="0.4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183" t="s">
        <v>14</v>
      </c>
      <c r="R20" s="183"/>
      <c r="S20" s="183"/>
      <c r="T20" s="184">
        <f>T3</f>
        <v>45932</v>
      </c>
      <c r="U20" s="185"/>
      <c r="V20" s="185"/>
      <c r="W20" s="186"/>
    </row>
    <row r="21" spans="1:23" s="16" customFormat="1" ht="30" customHeight="1" x14ac:dyDescent="0.3">
      <c r="A21" s="187" t="s">
        <v>29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9"/>
      <c r="Q21" s="189"/>
      <c r="R21" s="189"/>
      <c r="S21" s="189"/>
      <c r="T21" s="188"/>
      <c r="U21" s="188"/>
      <c r="V21" s="188"/>
      <c r="W21" s="190"/>
    </row>
    <row r="22" spans="1:23" s="26" customFormat="1" ht="13.8" x14ac:dyDescent="0.3">
      <c r="A22" s="191" t="s">
        <v>1</v>
      </c>
      <c r="B22" s="192" t="s">
        <v>2</v>
      </c>
      <c r="C22" s="192" t="s">
        <v>3</v>
      </c>
      <c r="D22" s="192" t="s">
        <v>4</v>
      </c>
      <c r="E22" s="193" t="s">
        <v>5</v>
      </c>
      <c r="F22" s="195" t="s">
        <v>21</v>
      </c>
      <c r="G22" s="195" t="s">
        <v>22</v>
      </c>
      <c r="H22" s="195" t="s">
        <v>33</v>
      </c>
      <c r="I22" s="195" t="s">
        <v>30</v>
      </c>
      <c r="J22" s="193" t="s">
        <v>6</v>
      </c>
      <c r="K22" s="197"/>
      <c r="L22" s="197"/>
      <c r="M22" s="197"/>
      <c r="N22" s="197"/>
      <c r="O22" s="197"/>
      <c r="P22" s="197"/>
      <c r="Q22" s="198"/>
      <c r="R22" s="193" t="s">
        <v>10</v>
      </c>
      <c r="S22" s="198"/>
      <c r="T22" s="191" t="s">
        <v>11</v>
      </c>
      <c r="U22" s="191" t="s">
        <v>12</v>
      </c>
      <c r="V22" s="191"/>
      <c r="W22" s="191"/>
    </row>
    <row r="23" spans="1:23" s="26" customFormat="1" ht="13.8" x14ac:dyDescent="0.3">
      <c r="A23" s="191"/>
      <c r="B23" s="192"/>
      <c r="C23" s="192"/>
      <c r="D23" s="192"/>
      <c r="E23" s="194"/>
      <c r="F23" s="196"/>
      <c r="G23" s="196"/>
      <c r="H23" s="196"/>
      <c r="I23" s="196"/>
      <c r="J23" s="200" t="s">
        <v>7</v>
      </c>
      <c r="K23" s="201"/>
      <c r="L23" s="200" t="s">
        <v>8</v>
      </c>
      <c r="M23" s="201"/>
      <c r="N23" s="200" t="s">
        <v>9</v>
      </c>
      <c r="O23" s="201"/>
      <c r="P23" s="200" t="s">
        <v>117</v>
      </c>
      <c r="Q23" s="201"/>
      <c r="R23" s="194"/>
      <c r="S23" s="199"/>
      <c r="T23" s="191"/>
      <c r="U23" s="191"/>
      <c r="V23" s="191"/>
      <c r="W23" s="191"/>
    </row>
    <row r="24" spans="1:23" ht="14.55" customHeight="1" x14ac:dyDescent="0.3">
      <c r="A24" s="180" t="s">
        <v>32</v>
      </c>
      <c r="B24" s="5">
        <v>0.33333333333333331</v>
      </c>
      <c r="C24" s="5"/>
      <c r="D24" s="4">
        <v>250070</v>
      </c>
      <c r="E24" s="12" t="s">
        <v>329</v>
      </c>
      <c r="F24" s="40">
        <v>304</v>
      </c>
      <c r="G24" s="41">
        <v>0.7</v>
      </c>
      <c r="H24" s="40">
        <v>35</v>
      </c>
      <c r="I24" s="12">
        <v>5</v>
      </c>
      <c r="J24" s="165">
        <v>1500</v>
      </c>
      <c r="K24" s="166"/>
      <c r="L24" s="165"/>
      <c r="M24" s="166"/>
      <c r="N24" s="165"/>
      <c r="O24" s="166"/>
      <c r="P24" s="165"/>
      <c r="Q24" s="166"/>
      <c r="R24" s="65"/>
      <c r="S24" s="14" t="s">
        <v>20</v>
      </c>
      <c r="T24" s="42"/>
      <c r="U24" s="177"/>
      <c r="V24" s="178"/>
      <c r="W24" s="179"/>
    </row>
    <row r="25" spans="1:23" ht="14.55" customHeight="1" x14ac:dyDescent="0.3">
      <c r="A25" s="181"/>
      <c r="B25" s="5"/>
      <c r="C25" s="5">
        <v>0.70833333333333337</v>
      </c>
      <c r="D25" s="4">
        <v>250077</v>
      </c>
      <c r="E25" s="13" t="s">
        <v>330</v>
      </c>
      <c r="F25" s="40">
        <v>430</v>
      </c>
      <c r="G25" s="41">
        <v>0.5</v>
      </c>
      <c r="H25" s="40">
        <v>52</v>
      </c>
      <c r="I25" s="12">
        <v>7</v>
      </c>
      <c r="J25" s="165">
        <v>200</v>
      </c>
      <c r="K25" s="166"/>
      <c r="L25" s="165"/>
      <c r="M25" s="166"/>
      <c r="N25" s="165"/>
      <c r="O25" s="166"/>
      <c r="P25" s="165"/>
      <c r="Q25" s="166"/>
      <c r="R25" s="65"/>
      <c r="S25" s="14" t="s">
        <v>20</v>
      </c>
      <c r="T25" s="42"/>
      <c r="U25" s="177"/>
      <c r="V25" s="178"/>
      <c r="W25" s="179"/>
    </row>
    <row r="26" spans="1:23" ht="14.55" customHeight="1" x14ac:dyDescent="0.3">
      <c r="A26" s="181"/>
      <c r="B26" s="5"/>
      <c r="C26" s="5"/>
      <c r="D26" s="4"/>
      <c r="E26" s="12"/>
      <c r="F26" s="40"/>
      <c r="G26" s="41"/>
      <c r="H26" s="40"/>
      <c r="I26" s="12"/>
      <c r="J26" s="165"/>
      <c r="K26" s="166"/>
      <c r="L26" s="165"/>
      <c r="M26" s="166"/>
      <c r="N26" s="165"/>
      <c r="O26" s="166"/>
      <c r="P26" s="165"/>
      <c r="Q26" s="166"/>
      <c r="R26" s="65"/>
      <c r="S26" s="14" t="s">
        <v>20</v>
      </c>
      <c r="T26" s="42"/>
      <c r="U26" s="177"/>
      <c r="V26" s="178"/>
      <c r="W26" s="179"/>
    </row>
    <row r="27" spans="1:23" ht="14.55" customHeight="1" x14ac:dyDescent="0.3">
      <c r="A27" s="181"/>
      <c r="B27" s="5"/>
      <c r="C27" s="5"/>
      <c r="D27" s="4"/>
      <c r="E27" s="12"/>
      <c r="F27" s="40"/>
      <c r="G27" s="41"/>
      <c r="H27" s="40"/>
      <c r="I27" s="12"/>
      <c r="J27" s="165"/>
      <c r="K27" s="166"/>
      <c r="L27" s="165"/>
      <c r="M27" s="166"/>
      <c r="N27" s="165"/>
      <c r="O27" s="166"/>
      <c r="P27" s="165"/>
      <c r="Q27" s="166"/>
      <c r="R27" s="65"/>
      <c r="S27" s="14" t="s">
        <v>20</v>
      </c>
      <c r="T27" s="42"/>
      <c r="U27" s="177"/>
      <c r="V27" s="178"/>
      <c r="W27" s="179"/>
    </row>
    <row r="28" spans="1:23" ht="14.55" customHeight="1" x14ac:dyDescent="0.3">
      <c r="A28" s="182"/>
      <c r="B28" s="19"/>
      <c r="C28" s="19"/>
      <c r="D28" s="20"/>
      <c r="E28" s="170" t="s">
        <v>0</v>
      </c>
      <c r="F28" s="171"/>
      <c r="G28" s="171"/>
      <c r="H28" s="171"/>
      <c r="I28" s="172"/>
      <c r="J28" s="173">
        <f>SUM(J24:K27)</f>
        <v>1700</v>
      </c>
      <c r="K28" s="174"/>
      <c r="L28" s="173">
        <f>SUM(L24:M27)</f>
        <v>0</v>
      </c>
      <c r="M28" s="174"/>
      <c r="N28" s="173">
        <f>SUM(N24:O27)</f>
        <v>0</v>
      </c>
      <c r="O28" s="174"/>
      <c r="P28" s="173">
        <f>SUM(P24:Q27)</f>
        <v>0</v>
      </c>
      <c r="Q28" s="174"/>
      <c r="R28" s="23">
        <f>SUM(R24:R27)</f>
        <v>0</v>
      </c>
      <c r="S28" s="24" t="s">
        <v>20</v>
      </c>
      <c r="T28" s="19"/>
      <c r="U28" s="177"/>
      <c r="V28" s="178"/>
      <c r="W28" s="179"/>
    </row>
    <row r="29" spans="1:23" ht="14.55" customHeight="1" x14ac:dyDescent="0.3">
      <c r="A29" s="163" t="s">
        <v>34</v>
      </c>
      <c r="B29" s="5">
        <v>0.33333333333333331</v>
      </c>
      <c r="C29" s="5"/>
      <c r="D29" s="4">
        <v>180925</v>
      </c>
      <c r="E29" s="12" t="s">
        <v>331</v>
      </c>
      <c r="F29" s="40">
        <v>430</v>
      </c>
      <c r="G29" s="41">
        <v>0.5</v>
      </c>
      <c r="H29" s="40">
        <v>323</v>
      </c>
      <c r="I29" s="12">
        <v>2</v>
      </c>
      <c r="J29" s="165">
        <v>650</v>
      </c>
      <c r="K29" s="166"/>
      <c r="L29" s="165"/>
      <c r="M29" s="166"/>
      <c r="N29" s="165"/>
      <c r="O29" s="166"/>
      <c r="P29" s="165"/>
      <c r="Q29" s="166"/>
      <c r="R29" s="65"/>
      <c r="S29" s="14" t="s">
        <v>20</v>
      </c>
      <c r="T29" s="42"/>
      <c r="U29" s="177"/>
      <c r="V29" s="178"/>
      <c r="W29" s="179"/>
    </row>
    <row r="30" spans="1:23" ht="14.55" customHeight="1" x14ac:dyDescent="0.3">
      <c r="A30" s="163"/>
      <c r="B30" s="5"/>
      <c r="C30" s="5"/>
      <c r="D30" s="4">
        <v>250070</v>
      </c>
      <c r="E30" s="12" t="s">
        <v>332</v>
      </c>
      <c r="F30" s="40">
        <v>304</v>
      </c>
      <c r="G30" s="41">
        <v>0.7</v>
      </c>
      <c r="H30" s="40">
        <v>427</v>
      </c>
      <c r="I30" s="12">
        <v>3</v>
      </c>
      <c r="J30" s="165">
        <v>1200</v>
      </c>
      <c r="K30" s="166"/>
      <c r="L30" s="165"/>
      <c r="M30" s="166"/>
      <c r="N30" s="165"/>
      <c r="O30" s="166"/>
      <c r="P30" s="165"/>
      <c r="Q30" s="166"/>
      <c r="R30" s="65"/>
      <c r="S30" s="14" t="s">
        <v>20</v>
      </c>
      <c r="T30" s="42"/>
      <c r="U30" s="177"/>
      <c r="V30" s="178"/>
      <c r="W30" s="179"/>
    </row>
    <row r="31" spans="1:23" ht="14.55" customHeight="1" x14ac:dyDescent="0.3">
      <c r="A31" s="163"/>
      <c r="B31" s="5"/>
      <c r="C31" s="5">
        <v>0.70833333333333337</v>
      </c>
      <c r="D31" s="4">
        <v>250070</v>
      </c>
      <c r="E31" s="12" t="s">
        <v>333</v>
      </c>
      <c r="F31" s="40">
        <v>304</v>
      </c>
      <c r="G31" s="41">
        <v>0.7</v>
      </c>
      <c r="H31" s="40">
        <v>315</v>
      </c>
      <c r="I31" s="12">
        <v>5</v>
      </c>
      <c r="J31" s="165">
        <v>350</v>
      </c>
      <c r="K31" s="166"/>
      <c r="L31" s="165"/>
      <c r="M31" s="166"/>
      <c r="N31" s="165"/>
      <c r="O31" s="166"/>
      <c r="P31" s="165"/>
      <c r="Q31" s="166"/>
      <c r="R31" s="65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63"/>
      <c r="B32" s="5"/>
      <c r="C32" s="5"/>
      <c r="D32" s="4"/>
      <c r="E32" s="12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65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63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65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63"/>
      <c r="B34" s="5"/>
      <c r="C34" s="5"/>
      <c r="D34" s="4"/>
      <c r="E34" s="12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65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63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65"/>
      <c r="S35" s="14" t="s">
        <v>20</v>
      </c>
      <c r="T35" s="42"/>
      <c r="U35" s="177"/>
      <c r="V35" s="178"/>
      <c r="W35" s="179"/>
    </row>
    <row r="36" spans="1:23" ht="14.55" customHeight="1" x14ac:dyDescent="0.3">
      <c r="A36" s="163"/>
      <c r="B36" s="5"/>
      <c r="C36" s="5"/>
      <c r="D36" s="4"/>
      <c r="E36" s="12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65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63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65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64"/>
      <c r="B38" s="19"/>
      <c r="C38" s="19"/>
      <c r="D38" s="20"/>
      <c r="E38" s="170" t="s">
        <v>0</v>
      </c>
      <c r="F38" s="171"/>
      <c r="G38" s="171"/>
      <c r="H38" s="171"/>
      <c r="I38" s="172"/>
      <c r="J38" s="173">
        <f>SUM(J29:K37)</f>
        <v>2200</v>
      </c>
      <c r="K38" s="174"/>
      <c r="L38" s="173">
        <f>SUM(L29:M37)</f>
        <v>0</v>
      </c>
      <c r="M38" s="174"/>
      <c r="N38" s="173">
        <f>SUM(N29:O37)</f>
        <v>0</v>
      </c>
      <c r="O38" s="174"/>
      <c r="P38" s="173">
        <f>SUM(P29:Q37)</f>
        <v>0</v>
      </c>
      <c r="Q38" s="174"/>
      <c r="R38" s="23">
        <f>SUM(R29:R37)</f>
        <v>0</v>
      </c>
      <c r="S38" s="24" t="s">
        <v>20</v>
      </c>
      <c r="T38" s="19"/>
      <c r="U38" s="177"/>
      <c r="V38" s="178"/>
      <c r="W38" s="179"/>
    </row>
    <row r="39" spans="1:23" ht="14.55" customHeight="1" x14ac:dyDescent="0.3">
      <c r="A39" s="163" t="s">
        <v>35</v>
      </c>
      <c r="B39" s="5"/>
      <c r="C39" s="5"/>
      <c r="D39" s="4"/>
      <c r="E39" s="12" t="s">
        <v>334</v>
      </c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65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63"/>
      <c r="B40" s="5"/>
      <c r="C40" s="5"/>
      <c r="D40" s="4"/>
      <c r="E40" s="12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65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65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65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65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65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65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65"/>
      <c r="S46" s="14" t="s">
        <v>20</v>
      </c>
      <c r="T46" s="42"/>
      <c r="U46" s="177"/>
      <c r="V46" s="178"/>
      <c r="W46" s="179"/>
    </row>
    <row r="47" spans="1:23" ht="14.55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65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4"/>
      <c r="B48" s="19"/>
      <c r="C48" s="19"/>
      <c r="D48" s="20"/>
      <c r="E48" s="170" t="s">
        <v>0</v>
      </c>
      <c r="F48" s="171"/>
      <c r="G48" s="171"/>
      <c r="H48" s="171"/>
      <c r="I48" s="172"/>
      <c r="J48" s="173">
        <f>SUM(J39:K47)</f>
        <v>0</v>
      </c>
      <c r="K48" s="174"/>
      <c r="L48" s="173">
        <f>SUM(L39:M47)</f>
        <v>0</v>
      </c>
      <c r="M48" s="174"/>
      <c r="N48" s="173">
        <f>SUM(N39:O47)</f>
        <v>0</v>
      </c>
      <c r="O48" s="174"/>
      <c r="P48" s="173">
        <f>SUM(P39:Q47)</f>
        <v>0</v>
      </c>
      <c r="Q48" s="174"/>
      <c r="R48" s="23">
        <f>SUM(R39:R47)</f>
        <v>0</v>
      </c>
      <c r="S48" s="24" t="s">
        <v>20</v>
      </c>
      <c r="T48" s="19"/>
      <c r="U48" s="177"/>
      <c r="V48" s="178"/>
      <c r="W48" s="179"/>
    </row>
    <row r="49" spans="1:23" ht="14.55" customHeight="1" x14ac:dyDescent="0.3">
      <c r="A49" s="27"/>
      <c r="B49" s="27"/>
      <c r="C49" s="27"/>
      <c r="D49" s="27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27"/>
      <c r="S49" s="27"/>
      <c r="T49" s="39"/>
      <c r="U49" s="39"/>
      <c r="V49" s="39"/>
      <c r="W49" s="39"/>
    </row>
    <row r="50" spans="1:23" x14ac:dyDescent="0.3">
      <c r="E50" s="170" t="s">
        <v>31</v>
      </c>
      <c r="F50" s="171"/>
      <c r="G50" s="171"/>
      <c r="H50" s="171"/>
      <c r="I50" s="172"/>
      <c r="J50" s="175" t="s">
        <v>7</v>
      </c>
      <c r="K50" s="176"/>
      <c r="L50" s="175" t="s">
        <v>8</v>
      </c>
      <c r="M50" s="176"/>
      <c r="N50" s="175" t="s">
        <v>9</v>
      </c>
      <c r="O50" s="176"/>
      <c r="P50" s="175" t="s">
        <v>16</v>
      </c>
      <c r="Q50" s="176"/>
    </row>
    <row r="51" spans="1:23" s="2" customFormat="1" x14ac:dyDescent="0.3">
      <c r="E51" s="15"/>
      <c r="F51" s="15"/>
      <c r="G51" s="15"/>
      <c r="H51" s="15"/>
      <c r="I51" s="15"/>
      <c r="J51" s="30">
        <f>J28+J38+J48</f>
        <v>3900</v>
      </c>
      <c r="K51" s="31" t="s">
        <v>17</v>
      </c>
      <c r="L51" s="30">
        <f>L28+L38+L48</f>
        <v>0</v>
      </c>
      <c r="M51" s="31" t="s">
        <v>17</v>
      </c>
      <c r="N51" s="30">
        <f>N28+N38+N48</f>
        <v>0</v>
      </c>
      <c r="O51" s="31" t="s">
        <v>17</v>
      </c>
      <c r="P51" s="30">
        <f>P28+P38+P48</f>
        <v>0</v>
      </c>
      <c r="Q51" s="34" t="s">
        <v>17</v>
      </c>
    </row>
    <row r="52" spans="1:23" ht="24.45" customHeight="1" x14ac:dyDescent="0.3">
      <c r="E52" s="28"/>
      <c r="F52" s="28"/>
      <c r="G52" s="28"/>
      <c r="H52" s="28"/>
      <c r="I52" s="28"/>
      <c r="J52" s="167">
        <f>J51+L51+N51+P51</f>
        <v>3900</v>
      </c>
      <c r="K52" s="168"/>
      <c r="L52" s="168"/>
      <c r="M52" s="168"/>
      <c r="N52" s="168"/>
      <c r="O52" s="168"/>
      <c r="P52" s="168"/>
      <c r="Q52" s="169"/>
    </row>
    <row r="53" spans="1:23" ht="30" customHeight="1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</row>
    <row r="54" spans="1:23" s="37" customFormat="1" ht="19.95" customHeight="1" x14ac:dyDescent="0.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6"/>
      <c r="Q54" s="214" t="s">
        <v>14</v>
      </c>
      <c r="R54" s="215"/>
      <c r="S54" s="216"/>
      <c r="T54" s="184">
        <f>T3</f>
        <v>45932</v>
      </c>
      <c r="U54" s="185"/>
      <c r="V54" s="185"/>
      <c r="W54" s="186"/>
    </row>
    <row r="55" spans="1:23" s="16" customFormat="1" ht="30" customHeight="1" x14ac:dyDescent="0.3">
      <c r="A55" s="187" t="s">
        <v>26</v>
      </c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9"/>
      <c r="Q55" s="189"/>
      <c r="R55" s="189"/>
      <c r="S55" s="189"/>
      <c r="T55" s="188"/>
      <c r="U55" s="188"/>
      <c r="V55" s="188"/>
      <c r="W55" s="190"/>
    </row>
    <row r="56" spans="1:23" s="26" customFormat="1" ht="13.8" x14ac:dyDescent="0.3">
      <c r="A56" s="191" t="s">
        <v>1</v>
      </c>
      <c r="B56" s="192" t="s">
        <v>2</v>
      </c>
      <c r="C56" s="192" t="s">
        <v>3</v>
      </c>
      <c r="D56" s="192" t="s">
        <v>4</v>
      </c>
      <c r="E56" s="193" t="s">
        <v>5</v>
      </c>
      <c r="F56" s="197"/>
      <c r="G56" s="197"/>
      <c r="H56" s="197"/>
      <c r="I56" s="198"/>
      <c r="J56" s="193" t="s">
        <v>6</v>
      </c>
      <c r="K56" s="197"/>
      <c r="L56" s="197"/>
      <c r="M56" s="197"/>
      <c r="N56" s="197"/>
      <c r="O56" s="197"/>
      <c r="P56" s="197"/>
      <c r="Q56" s="198"/>
      <c r="R56" s="193" t="s">
        <v>10</v>
      </c>
      <c r="S56" s="198"/>
      <c r="T56" s="191" t="s">
        <v>11</v>
      </c>
      <c r="U56" s="191" t="s">
        <v>12</v>
      </c>
      <c r="V56" s="191"/>
      <c r="W56" s="191"/>
    </row>
    <row r="57" spans="1:23" s="26" customFormat="1" ht="13.8" x14ac:dyDescent="0.3">
      <c r="A57" s="191"/>
      <c r="B57" s="192"/>
      <c r="C57" s="192"/>
      <c r="D57" s="192"/>
      <c r="E57" s="194"/>
      <c r="F57" s="217"/>
      <c r="G57" s="217"/>
      <c r="H57" s="217"/>
      <c r="I57" s="199"/>
      <c r="J57" s="200" t="s">
        <v>7</v>
      </c>
      <c r="K57" s="201"/>
      <c r="L57" s="200" t="s">
        <v>8</v>
      </c>
      <c r="M57" s="201"/>
      <c r="N57" s="200" t="s">
        <v>9</v>
      </c>
      <c r="O57" s="201"/>
      <c r="P57" s="200" t="s">
        <v>16</v>
      </c>
      <c r="Q57" s="201"/>
      <c r="R57" s="194"/>
      <c r="S57" s="199"/>
      <c r="T57" s="191"/>
      <c r="U57" s="191"/>
      <c r="V57" s="191"/>
      <c r="W57" s="191"/>
    </row>
    <row r="58" spans="1:23" x14ac:dyDescent="0.3">
      <c r="A58" s="180" t="s">
        <v>13</v>
      </c>
      <c r="B58" s="5">
        <v>0.33333333333333331</v>
      </c>
      <c r="C58" s="5"/>
      <c r="D58" s="4">
        <v>250070</v>
      </c>
      <c r="E58" s="211" t="s">
        <v>332</v>
      </c>
      <c r="F58" s="212"/>
      <c r="G58" s="212"/>
      <c r="H58" s="212"/>
      <c r="I58" s="213"/>
      <c r="J58" s="165">
        <v>565</v>
      </c>
      <c r="K58" s="166"/>
      <c r="L58" s="165"/>
      <c r="M58" s="166"/>
      <c r="N58" s="165"/>
      <c r="O58" s="166"/>
      <c r="P58" s="165"/>
      <c r="Q58" s="166"/>
      <c r="R58" s="65"/>
      <c r="S58" s="6" t="s">
        <v>20</v>
      </c>
      <c r="T58" s="3"/>
      <c r="U58" s="202"/>
      <c r="V58" s="203"/>
      <c r="W58" s="204"/>
    </row>
    <row r="59" spans="1:23" x14ac:dyDescent="0.3">
      <c r="A59" s="163"/>
      <c r="B59" s="5"/>
      <c r="C59" s="5"/>
      <c r="D59" s="4" t="s">
        <v>79</v>
      </c>
      <c r="E59" s="211" t="s">
        <v>335</v>
      </c>
      <c r="F59" s="212"/>
      <c r="G59" s="212"/>
      <c r="H59" s="212"/>
      <c r="I59" s="213"/>
      <c r="J59" s="165"/>
      <c r="K59" s="166"/>
      <c r="L59" s="165"/>
      <c r="M59" s="166"/>
      <c r="N59" s="165">
        <v>1319</v>
      </c>
      <c r="O59" s="166"/>
      <c r="P59" s="165"/>
      <c r="Q59" s="166"/>
      <c r="R59" s="65"/>
      <c r="S59" s="6" t="s">
        <v>20</v>
      </c>
      <c r="T59" s="3"/>
      <c r="U59" s="205"/>
      <c r="V59" s="206"/>
      <c r="W59" s="207"/>
    </row>
    <row r="60" spans="1:23" x14ac:dyDescent="0.3">
      <c r="A60" s="163"/>
      <c r="B60" s="5"/>
      <c r="C60" s="5">
        <v>0.70833333333333337</v>
      </c>
      <c r="D60" s="4">
        <v>250070</v>
      </c>
      <c r="E60" s="211" t="s">
        <v>329</v>
      </c>
      <c r="F60" s="212"/>
      <c r="G60" s="212"/>
      <c r="H60" s="212"/>
      <c r="I60" s="213"/>
      <c r="J60" s="165">
        <v>2500</v>
      </c>
      <c r="K60" s="166"/>
      <c r="L60" s="165"/>
      <c r="M60" s="166"/>
      <c r="N60" s="165"/>
      <c r="O60" s="166"/>
      <c r="P60" s="165"/>
      <c r="Q60" s="166"/>
      <c r="R60" s="65"/>
      <c r="S60" s="6" t="s">
        <v>20</v>
      </c>
      <c r="T60" s="3"/>
      <c r="U60" s="205"/>
      <c r="V60" s="206"/>
      <c r="W60" s="207"/>
    </row>
    <row r="61" spans="1:23" x14ac:dyDescent="0.3">
      <c r="A61" s="163"/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65"/>
      <c r="S61" s="6" t="s">
        <v>20</v>
      </c>
      <c r="T61" s="3"/>
      <c r="U61" s="205"/>
      <c r="V61" s="206"/>
      <c r="W61" s="207"/>
    </row>
    <row r="62" spans="1:23" x14ac:dyDescent="0.3">
      <c r="A62" s="164"/>
      <c r="B62" s="19"/>
      <c r="C62" s="19"/>
      <c r="D62" s="20"/>
      <c r="E62" s="170" t="s">
        <v>0</v>
      </c>
      <c r="F62" s="171"/>
      <c r="G62" s="171"/>
      <c r="H62" s="171"/>
      <c r="I62" s="172"/>
      <c r="J62" s="173">
        <f>SUM(J58:J61)</f>
        <v>3065</v>
      </c>
      <c r="K62" s="174"/>
      <c r="L62" s="173">
        <f>SUM(L58:L61)</f>
        <v>0</v>
      </c>
      <c r="M62" s="174"/>
      <c r="N62" s="173">
        <f>SUM(N58:N61)</f>
        <v>1319</v>
      </c>
      <c r="O62" s="174"/>
      <c r="P62" s="173">
        <f>SUM(P58:P61)</f>
        <v>0</v>
      </c>
      <c r="Q62" s="174"/>
      <c r="R62" s="23">
        <f>SUM(R58:R61)</f>
        <v>0</v>
      </c>
      <c r="S62" s="24" t="s">
        <v>20</v>
      </c>
      <c r="T62" s="19"/>
      <c r="U62" s="208"/>
      <c r="V62" s="209"/>
      <c r="W62" s="210"/>
    </row>
    <row r="63" spans="1:23" x14ac:dyDescent="0.3">
      <c r="A63" s="180" t="s">
        <v>15</v>
      </c>
      <c r="B63" s="5"/>
      <c r="C63" s="5"/>
      <c r="D63" s="4"/>
      <c r="E63" s="211"/>
      <c r="F63" s="212"/>
      <c r="G63" s="212"/>
      <c r="H63" s="212"/>
      <c r="I63" s="213"/>
      <c r="J63" s="165"/>
      <c r="K63" s="166"/>
      <c r="L63" s="165"/>
      <c r="M63" s="166"/>
      <c r="N63" s="165"/>
      <c r="O63" s="166"/>
      <c r="P63" s="165"/>
      <c r="Q63" s="166"/>
      <c r="R63" s="65"/>
      <c r="S63" s="6" t="s">
        <v>20</v>
      </c>
      <c r="T63" s="3"/>
      <c r="U63" s="202"/>
      <c r="V63" s="203"/>
      <c r="W63" s="204"/>
    </row>
    <row r="64" spans="1:23" x14ac:dyDescent="0.3">
      <c r="A64" s="163"/>
      <c r="B64" s="5"/>
      <c r="C64" s="5"/>
      <c r="D64" s="4"/>
      <c r="E64" s="211"/>
      <c r="F64" s="212"/>
      <c r="G64" s="212"/>
      <c r="H64" s="212"/>
      <c r="I64" s="213"/>
      <c r="J64" s="165"/>
      <c r="K64" s="166"/>
      <c r="L64" s="165"/>
      <c r="M64" s="166"/>
      <c r="N64" s="165"/>
      <c r="O64" s="166"/>
      <c r="P64" s="165"/>
      <c r="Q64" s="166"/>
      <c r="R64" s="65"/>
      <c r="S64" s="6" t="s">
        <v>20</v>
      </c>
      <c r="T64" s="3"/>
      <c r="U64" s="205"/>
      <c r="V64" s="206"/>
      <c r="W64" s="207"/>
    </row>
    <row r="65" spans="1:23" x14ac:dyDescent="0.3">
      <c r="A65" s="163"/>
      <c r="B65" s="5"/>
      <c r="C65" s="5"/>
      <c r="D65" s="4"/>
      <c r="E65" s="211"/>
      <c r="F65" s="212"/>
      <c r="G65" s="212"/>
      <c r="H65" s="212"/>
      <c r="I65" s="213"/>
      <c r="J65" s="165"/>
      <c r="K65" s="166"/>
      <c r="L65" s="165"/>
      <c r="M65" s="166"/>
      <c r="N65" s="165"/>
      <c r="O65" s="166"/>
      <c r="P65" s="165"/>
      <c r="Q65" s="166"/>
      <c r="R65" s="65"/>
      <c r="S65" s="6" t="s">
        <v>20</v>
      </c>
      <c r="T65" s="3"/>
      <c r="U65" s="205"/>
      <c r="V65" s="206"/>
      <c r="W65" s="207"/>
    </row>
    <row r="66" spans="1:23" x14ac:dyDescent="0.3">
      <c r="A66" s="164"/>
      <c r="B66" s="19"/>
      <c r="C66" s="19"/>
      <c r="D66" s="20"/>
      <c r="E66" s="170" t="s">
        <v>0</v>
      </c>
      <c r="F66" s="171"/>
      <c r="G66" s="171"/>
      <c r="H66" s="171"/>
      <c r="I66" s="172"/>
      <c r="J66" s="173">
        <f>SUM(J63:J65)</f>
        <v>0</v>
      </c>
      <c r="K66" s="174"/>
      <c r="L66" s="173">
        <f>SUM(L63:L65)</f>
        <v>0</v>
      </c>
      <c r="M66" s="174"/>
      <c r="N66" s="173">
        <f>SUM(N63:N65)</f>
        <v>0</v>
      </c>
      <c r="O66" s="174"/>
      <c r="P66" s="173">
        <f>SUM(P61:P65)</f>
        <v>0</v>
      </c>
      <c r="Q66" s="174"/>
      <c r="R66" s="23">
        <f>SUM(R63:R65)</f>
        <v>0</v>
      </c>
      <c r="S66" s="24" t="s">
        <v>20</v>
      </c>
      <c r="T66" s="7"/>
      <c r="U66" s="208"/>
      <c r="V66" s="209"/>
      <c r="W66" s="210"/>
    </row>
    <row r="67" spans="1:23" x14ac:dyDescent="0.3">
      <c r="A67" s="180" t="s">
        <v>37</v>
      </c>
      <c r="B67" s="5">
        <v>0.33333333333333331</v>
      </c>
      <c r="C67" s="5"/>
      <c r="D67" s="4"/>
      <c r="E67" s="211" t="s">
        <v>267</v>
      </c>
      <c r="F67" s="212"/>
      <c r="G67" s="212"/>
      <c r="H67" s="212"/>
      <c r="I67" s="213"/>
      <c r="J67" s="165"/>
      <c r="K67" s="166"/>
      <c r="L67" s="165"/>
      <c r="M67" s="166"/>
      <c r="N67" s="165"/>
      <c r="O67" s="166"/>
      <c r="P67" s="165">
        <v>920</v>
      </c>
      <c r="Q67" s="166"/>
      <c r="R67" s="65"/>
      <c r="S67" s="6" t="s">
        <v>20</v>
      </c>
      <c r="T67" s="3"/>
      <c r="U67" s="202"/>
      <c r="V67" s="203"/>
      <c r="W67" s="204"/>
    </row>
    <row r="68" spans="1:23" x14ac:dyDescent="0.3">
      <c r="A68" s="163"/>
      <c r="B68" s="5"/>
      <c r="C68" s="5"/>
      <c r="D68" s="4"/>
      <c r="E68" s="211" t="s">
        <v>336</v>
      </c>
      <c r="F68" s="212"/>
      <c r="G68" s="212"/>
      <c r="H68" s="212"/>
      <c r="I68" s="213"/>
      <c r="J68" s="165"/>
      <c r="K68" s="166"/>
      <c r="L68" s="165"/>
      <c r="M68" s="166"/>
      <c r="N68" s="165"/>
      <c r="O68" s="166"/>
      <c r="P68" s="165">
        <v>720</v>
      </c>
      <c r="Q68" s="166"/>
      <c r="R68" s="65"/>
      <c r="S68" s="6" t="s">
        <v>20</v>
      </c>
      <c r="T68" s="3"/>
      <c r="U68" s="205"/>
      <c r="V68" s="206"/>
      <c r="W68" s="207"/>
    </row>
    <row r="69" spans="1:23" x14ac:dyDescent="0.3">
      <c r="A69" s="163"/>
      <c r="B69" s="5"/>
      <c r="C69" s="5"/>
      <c r="D69" s="4"/>
      <c r="E69" s="211" t="s">
        <v>264</v>
      </c>
      <c r="F69" s="212"/>
      <c r="G69" s="212"/>
      <c r="H69" s="212"/>
      <c r="I69" s="213"/>
      <c r="J69" s="165"/>
      <c r="K69" s="166"/>
      <c r="L69" s="165"/>
      <c r="M69" s="166"/>
      <c r="N69" s="165"/>
      <c r="O69" s="166"/>
      <c r="P69" s="165">
        <v>720</v>
      </c>
      <c r="Q69" s="166"/>
      <c r="R69" s="65"/>
      <c r="S69" s="6" t="s">
        <v>20</v>
      </c>
      <c r="T69" s="3"/>
      <c r="U69" s="205"/>
      <c r="V69" s="206"/>
      <c r="W69" s="207"/>
    </row>
    <row r="70" spans="1:23" x14ac:dyDescent="0.3">
      <c r="A70" s="163"/>
      <c r="B70" s="5"/>
      <c r="C70" s="5"/>
      <c r="D70" s="4"/>
      <c r="E70" s="211" t="s">
        <v>337</v>
      </c>
      <c r="F70" s="212"/>
      <c r="G70" s="212"/>
      <c r="H70" s="212"/>
      <c r="I70" s="213"/>
      <c r="J70" s="165"/>
      <c r="K70" s="166"/>
      <c r="L70" s="165"/>
      <c r="M70" s="166"/>
      <c r="N70" s="165"/>
      <c r="O70" s="166"/>
      <c r="P70" s="165">
        <v>1026</v>
      </c>
      <c r="Q70" s="166"/>
      <c r="R70" s="65"/>
      <c r="S70" s="6" t="s">
        <v>20</v>
      </c>
      <c r="T70" s="3"/>
      <c r="U70" s="205"/>
      <c r="V70" s="206"/>
      <c r="W70" s="207"/>
    </row>
    <row r="71" spans="1:23" x14ac:dyDescent="0.3">
      <c r="A71" s="163"/>
      <c r="B71" s="5"/>
      <c r="C71" s="5"/>
      <c r="D71" s="4"/>
      <c r="E71" s="211" t="s">
        <v>338</v>
      </c>
      <c r="F71" s="212"/>
      <c r="G71" s="212"/>
      <c r="H71" s="212"/>
      <c r="I71" s="213"/>
      <c r="J71" s="165"/>
      <c r="K71" s="166"/>
      <c r="L71" s="165"/>
      <c r="M71" s="166"/>
      <c r="N71" s="165"/>
      <c r="O71" s="166"/>
      <c r="P71" s="165">
        <v>650</v>
      </c>
      <c r="Q71" s="166"/>
      <c r="R71" s="65"/>
      <c r="S71" s="6" t="s">
        <v>20</v>
      </c>
      <c r="T71" s="3"/>
      <c r="U71" s="205"/>
      <c r="V71" s="206"/>
      <c r="W71" s="207"/>
    </row>
    <row r="72" spans="1:23" x14ac:dyDescent="0.3">
      <c r="A72" s="163"/>
      <c r="B72" s="5"/>
      <c r="C72" s="5"/>
      <c r="D72" s="4"/>
      <c r="E72" s="211"/>
      <c r="F72" s="212"/>
      <c r="G72" s="212"/>
      <c r="H72" s="212"/>
      <c r="I72" s="213"/>
      <c r="J72" s="165"/>
      <c r="K72" s="166"/>
      <c r="L72" s="165"/>
      <c r="M72" s="166"/>
      <c r="N72" s="165"/>
      <c r="O72" s="166"/>
      <c r="P72" s="165"/>
      <c r="Q72" s="166"/>
      <c r="R72" s="65"/>
      <c r="S72" s="6" t="s">
        <v>20</v>
      </c>
      <c r="T72" s="3"/>
      <c r="U72" s="205"/>
      <c r="V72" s="206"/>
      <c r="W72" s="207"/>
    </row>
    <row r="73" spans="1:23" x14ac:dyDescent="0.3">
      <c r="A73" s="163"/>
      <c r="B73" s="5"/>
      <c r="C73" s="5"/>
      <c r="D73" s="4"/>
      <c r="E73" s="211"/>
      <c r="F73" s="212"/>
      <c r="G73" s="212"/>
      <c r="H73" s="212"/>
      <c r="I73" s="213"/>
      <c r="J73" s="165"/>
      <c r="K73" s="166"/>
      <c r="L73" s="165"/>
      <c r="M73" s="166"/>
      <c r="N73" s="165"/>
      <c r="O73" s="166"/>
      <c r="P73" s="165"/>
      <c r="Q73" s="166"/>
      <c r="R73" s="65"/>
      <c r="S73" s="6" t="s">
        <v>20</v>
      </c>
      <c r="T73" s="3"/>
      <c r="U73" s="205"/>
      <c r="V73" s="206"/>
      <c r="W73" s="207"/>
    </row>
    <row r="74" spans="1:23" x14ac:dyDescent="0.3">
      <c r="A74" s="164"/>
      <c r="B74" s="19"/>
      <c r="C74" s="19"/>
      <c r="D74" s="20"/>
      <c r="E74" s="170" t="s">
        <v>0</v>
      </c>
      <c r="F74" s="171"/>
      <c r="G74" s="171"/>
      <c r="H74" s="171"/>
      <c r="I74" s="172"/>
      <c r="J74" s="173">
        <f>SUM(J67:J73)</f>
        <v>0</v>
      </c>
      <c r="K74" s="174"/>
      <c r="L74" s="173">
        <f>SUM(L67:L73)</f>
        <v>0</v>
      </c>
      <c r="M74" s="174"/>
      <c r="N74" s="173">
        <f>SUM(N67:N73)</f>
        <v>0</v>
      </c>
      <c r="O74" s="174"/>
      <c r="P74" s="173">
        <f>SUM(P67:P73)</f>
        <v>4036</v>
      </c>
      <c r="Q74" s="174"/>
      <c r="R74" s="23">
        <f>SUM(R67:R73)</f>
        <v>0</v>
      </c>
      <c r="S74" s="24" t="s">
        <v>20</v>
      </c>
      <c r="T74" s="19"/>
      <c r="U74" s="208"/>
      <c r="V74" s="209"/>
      <c r="W74" s="210"/>
    </row>
    <row r="75" spans="1:23" x14ac:dyDescent="0.3">
      <c r="A75" s="180" t="s">
        <v>36</v>
      </c>
      <c r="B75" s="5"/>
      <c r="C75" s="5"/>
      <c r="D75" s="4"/>
      <c r="E75" s="211"/>
      <c r="F75" s="212"/>
      <c r="G75" s="212"/>
      <c r="H75" s="212"/>
      <c r="I75" s="213"/>
      <c r="J75" s="165"/>
      <c r="K75" s="166"/>
      <c r="L75" s="165"/>
      <c r="M75" s="166"/>
      <c r="N75" s="165"/>
      <c r="O75" s="166"/>
      <c r="P75" s="165"/>
      <c r="Q75" s="166"/>
      <c r="R75" s="65"/>
      <c r="S75" s="6" t="s">
        <v>20</v>
      </c>
      <c r="T75" s="3"/>
      <c r="U75" s="202"/>
      <c r="V75" s="203"/>
      <c r="W75" s="204"/>
    </row>
    <row r="76" spans="1:23" x14ac:dyDescent="0.3">
      <c r="A76" s="163"/>
      <c r="B76" s="5"/>
      <c r="C76" s="5"/>
      <c r="D76" s="4"/>
      <c r="E76" s="211"/>
      <c r="F76" s="212"/>
      <c r="G76" s="212"/>
      <c r="H76" s="212"/>
      <c r="I76" s="213"/>
      <c r="J76" s="165"/>
      <c r="K76" s="166"/>
      <c r="L76" s="165"/>
      <c r="M76" s="166"/>
      <c r="N76" s="165"/>
      <c r="O76" s="166"/>
      <c r="P76" s="165"/>
      <c r="Q76" s="166"/>
      <c r="R76" s="65"/>
      <c r="S76" s="6" t="s">
        <v>20</v>
      </c>
      <c r="T76" s="3"/>
      <c r="U76" s="205"/>
      <c r="V76" s="206"/>
      <c r="W76" s="207"/>
    </row>
    <row r="77" spans="1:23" x14ac:dyDescent="0.3">
      <c r="A77" s="163"/>
      <c r="B77" s="5"/>
      <c r="C77" s="5"/>
      <c r="D77" s="4"/>
      <c r="E77" s="211"/>
      <c r="F77" s="212"/>
      <c r="G77" s="212"/>
      <c r="H77" s="212"/>
      <c r="I77" s="213"/>
      <c r="J77" s="165"/>
      <c r="K77" s="166"/>
      <c r="L77" s="165"/>
      <c r="M77" s="166"/>
      <c r="N77" s="165"/>
      <c r="O77" s="166"/>
      <c r="P77" s="165"/>
      <c r="Q77" s="166"/>
      <c r="R77" s="65"/>
      <c r="S77" s="6" t="s">
        <v>20</v>
      </c>
      <c r="T77" s="3"/>
      <c r="U77" s="205"/>
      <c r="V77" s="206"/>
      <c r="W77" s="207"/>
    </row>
    <row r="78" spans="1:23" x14ac:dyDescent="0.3">
      <c r="A78" s="164"/>
      <c r="B78" s="19"/>
      <c r="C78" s="19"/>
      <c r="D78" s="20"/>
      <c r="E78" s="170" t="s">
        <v>0</v>
      </c>
      <c r="F78" s="171"/>
      <c r="G78" s="171"/>
      <c r="H78" s="171"/>
      <c r="I78" s="172"/>
      <c r="J78" s="173">
        <f>SUM(J75:J77)</f>
        <v>0</v>
      </c>
      <c r="K78" s="174"/>
      <c r="L78" s="173">
        <f>SUM(L75:L77)</f>
        <v>0</v>
      </c>
      <c r="M78" s="174"/>
      <c r="N78" s="173">
        <f>SUM(N75:N77)</f>
        <v>0</v>
      </c>
      <c r="O78" s="174"/>
      <c r="P78" s="173">
        <f>SUM(P75:P77)</f>
        <v>0</v>
      </c>
      <c r="Q78" s="174"/>
      <c r="R78" s="23">
        <f>SUM(R75:R77)</f>
        <v>0</v>
      </c>
      <c r="S78" s="24" t="s">
        <v>20</v>
      </c>
      <c r="T78" s="19"/>
      <c r="U78" s="208"/>
      <c r="V78" s="209"/>
      <c r="W78" s="210"/>
    </row>
    <row r="79" spans="1:23" x14ac:dyDescent="0.3">
      <c r="E79" s="28"/>
      <c r="F79" s="28"/>
      <c r="G79" s="28"/>
      <c r="H79" s="28"/>
      <c r="I79" s="28"/>
      <c r="J79" s="29"/>
      <c r="K79" s="29"/>
      <c r="L79" s="29"/>
      <c r="M79" s="29"/>
      <c r="N79" s="29"/>
      <c r="O79" s="29"/>
      <c r="P79" s="29"/>
      <c r="Q79" s="29"/>
    </row>
    <row r="80" spans="1:23" x14ac:dyDescent="0.3">
      <c r="E80" s="170" t="s">
        <v>28</v>
      </c>
      <c r="F80" s="171"/>
      <c r="G80" s="171"/>
      <c r="H80" s="171"/>
      <c r="I80" s="172"/>
      <c r="J80" s="175" t="s">
        <v>7</v>
      </c>
      <c r="K80" s="176"/>
      <c r="L80" s="175" t="s">
        <v>8</v>
      </c>
      <c r="M80" s="176"/>
      <c r="N80" s="175" t="s">
        <v>9</v>
      </c>
      <c r="O80" s="176"/>
      <c r="P80" s="175" t="s">
        <v>16</v>
      </c>
      <c r="Q80" s="176"/>
    </row>
    <row r="81" spans="1:23" s="2" customFormat="1" x14ac:dyDescent="0.3">
      <c r="E81" s="15"/>
      <c r="F81" s="15"/>
      <c r="G81" s="15"/>
      <c r="H81" s="15"/>
      <c r="I81" s="15"/>
      <c r="J81" s="30">
        <f>J62+J66</f>
        <v>3065</v>
      </c>
      <c r="K81" s="31" t="s">
        <v>17</v>
      </c>
      <c r="L81" s="32">
        <f>L62+L66</f>
        <v>0</v>
      </c>
      <c r="M81" s="31" t="s">
        <v>17</v>
      </c>
      <c r="N81" s="32">
        <f>N62+N66</f>
        <v>1319</v>
      </c>
      <c r="O81" s="31" t="s">
        <v>17</v>
      </c>
      <c r="P81" s="33">
        <f>P74+P78</f>
        <v>4036</v>
      </c>
      <c r="Q81" s="34" t="s">
        <v>17</v>
      </c>
    </row>
    <row r="82" spans="1:23" s="8" customFormat="1" ht="24.45" customHeight="1" x14ac:dyDescent="0.3">
      <c r="A82"/>
      <c r="B82"/>
      <c r="C82"/>
      <c r="E82" s="28"/>
      <c r="F82" s="28"/>
      <c r="G82" s="28"/>
      <c r="H82" s="28"/>
      <c r="I82" s="28"/>
      <c r="J82" s="167">
        <f>J81+L81+N81+P81</f>
        <v>8420</v>
      </c>
      <c r="K82" s="168"/>
      <c r="L82" s="168"/>
      <c r="M82" s="168"/>
      <c r="N82" s="168"/>
      <c r="O82" s="168"/>
      <c r="P82" s="168"/>
      <c r="Q82" s="169"/>
      <c r="S82"/>
      <c r="T82"/>
      <c r="U82"/>
      <c r="V82"/>
      <c r="W82"/>
    </row>
  </sheetData>
  <mergeCells count="327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A7:A14"/>
    <mergeCell ref="J7:K7"/>
    <mergeCell ref="L7:M7"/>
    <mergeCell ref="N7:O7"/>
    <mergeCell ref="P7:Q7"/>
    <mergeCell ref="U7:W14"/>
    <mergeCell ref="J8:K8"/>
    <mergeCell ref="L8:M8"/>
    <mergeCell ref="N8:O8"/>
    <mergeCell ref="P8:Q8"/>
    <mergeCell ref="J11:K11"/>
    <mergeCell ref="L11:M11"/>
    <mergeCell ref="N11:O11"/>
    <mergeCell ref="P11:Q11"/>
    <mergeCell ref="J9:K9"/>
    <mergeCell ref="L9:M9"/>
    <mergeCell ref="N9:O9"/>
    <mergeCell ref="P9:Q9"/>
    <mergeCell ref="J10:K10"/>
    <mergeCell ref="L10:M10"/>
    <mergeCell ref="N10:O10"/>
    <mergeCell ref="P10:Q10"/>
    <mergeCell ref="B14:I14"/>
    <mergeCell ref="E16:I16"/>
    <mergeCell ref="J16:K16"/>
    <mergeCell ref="L16:M16"/>
    <mergeCell ref="N16:O16"/>
    <mergeCell ref="P16:Q16"/>
    <mergeCell ref="J12:K12"/>
    <mergeCell ref="L12:M12"/>
    <mergeCell ref="N12:O12"/>
    <mergeCell ref="P12:Q12"/>
    <mergeCell ref="J13:K13"/>
    <mergeCell ref="L13:M13"/>
    <mergeCell ref="N13:O13"/>
    <mergeCell ref="P13:Q13"/>
    <mergeCell ref="J18:Q18"/>
    <mergeCell ref="Q20:S20"/>
    <mergeCell ref="T20:W20"/>
    <mergeCell ref="A21:W21"/>
    <mergeCell ref="A22:A23"/>
    <mergeCell ref="B22:B23"/>
    <mergeCell ref="C22:C23"/>
    <mergeCell ref="D22:D23"/>
    <mergeCell ref="E22:E23"/>
    <mergeCell ref="F22:F23"/>
    <mergeCell ref="U22:W23"/>
    <mergeCell ref="J23:K23"/>
    <mergeCell ref="L23:M23"/>
    <mergeCell ref="N23:O23"/>
    <mergeCell ref="P23:Q23"/>
    <mergeCell ref="R22:S23"/>
    <mergeCell ref="T22:T23"/>
    <mergeCell ref="A24:A28"/>
    <mergeCell ref="J24:K24"/>
    <mergeCell ref="L24:M24"/>
    <mergeCell ref="N24:O24"/>
    <mergeCell ref="P24:Q24"/>
    <mergeCell ref="G22:G23"/>
    <mergeCell ref="H22:H23"/>
    <mergeCell ref="I22:I23"/>
    <mergeCell ref="J22:Q22"/>
    <mergeCell ref="J27:K27"/>
    <mergeCell ref="L27:M27"/>
    <mergeCell ref="N27:O27"/>
    <mergeCell ref="P27:Q27"/>
    <mergeCell ref="E28:I28"/>
    <mergeCell ref="U24:W28"/>
    <mergeCell ref="J25:K25"/>
    <mergeCell ref="L25:M25"/>
    <mergeCell ref="N25:O25"/>
    <mergeCell ref="P25:Q25"/>
    <mergeCell ref="J26:K26"/>
    <mergeCell ref="L26:M26"/>
    <mergeCell ref="N26:O26"/>
    <mergeCell ref="P26:Q26"/>
    <mergeCell ref="J28:K28"/>
    <mergeCell ref="L28:M28"/>
    <mergeCell ref="N28:O28"/>
    <mergeCell ref="P28:Q28"/>
    <mergeCell ref="A29:A38"/>
    <mergeCell ref="J29:K29"/>
    <mergeCell ref="L29:M29"/>
    <mergeCell ref="N29:O29"/>
    <mergeCell ref="P29:Q29"/>
    <mergeCell ref="L32:M32"/>
    <mergeCell ref="N32:O32"/>
    <mergeCell ref="P32:Q32"/>
    <mergeCell ref="J33:K33"/>
    <mergeCell ref="L33:M33"/>
    <mergeCell ref="N33:O33"/>
    <mergeCell ref="P33:Q33"/>
    <mergeCell ref="N35:O35"/>
    <mergeCell ref="P35:Q35"/>
    <mergeCell ref="E38:I38"/>
    <mergeCell ref="J38:K38"/>
    <mergeCell ref="L38:M38"/>
    <mergeCell ref="N38:O38"/>
    <mergeCell ref="P38:Q38"/>
    <mergeCell ref="U29:W38"/>
    <mergeCell ref="J30:K30"/>
    <mergeCell ref="L30:M30"/>
    <mergeCell ref="N30:O30"/>
    <mergeCell ref="P30:Q30"/>
    <mergeCell ref="J31:K31"/>
    <mergeCell ref="L31:M31"/>
    <mergeCell ref="N31:O31"/>
    <mergeCell ref="P31:Q31"/>
    <mergeCell ref="J32:K32"/>
    <mergeCell ref="J36:K36"/>
    <mergeCell ref="L36:M36"/>
    <mergeCell ref="N36:O36"/>
    <mergeCell ref="P36:Q36"/>
    <mergeCell ref="J37:K37"/>
    <mergeCell ref="L37:M37"/>
    <mergeCell ref="N37:O37"/>
    <mergeCell ref="P37:Q37"/>
    <mergeCell ref="J34:K34"/>
    <mergeCell ref="L34:M34"/>
    <mergeCell ref="N34:O34"/>
    <mergeCell ref="P34:Q34"/>
    <mergeCell ref="J35:K35"/>
    <mergeCell ref="L35:M35"/>
    <mergeCell ref="A39:A48"/>
    <mergeCell ref="J39:K39"/>
    <mergeCell ref="L39:M39"/>
    <mergeCell ref="N39:O39"/>
    <mergeCell ref="P39:Q39"/>
    <mergeCell ref="L42:M42"/>
    <mergeCell ref="N42:O42"/>
    <mergeCell ref="P42:Q42"/>
    <mergeCell ref="J43:K43"/>
    <mergeCell ref="L43:M43"/>
    <mergeCell ref="N43:O43"/>
    <mergeCell ref="P43:Q43"/>
    <mergeCell ref="N45:O45"/>
    <mergeCell ref="P45:Q45"/>
    <mergeCell ref="E48:I48"/>
    <mergeCell ref="J48:K48"/>
    <mergeCell ref="L48:M48"/>
    <mergeCell ref="N48:O48"/>
    <mergeCell ref="P48:Q48"/>
    <mergeCell ref="U39:W48"/>
    <mergeCell ref="J40:K40"/>
    <mergeCell ref="L40:M40"/>
    <mergeCell ref="N40:O40"/>
    <mergeCell ref="P40:Q40"/>
    <mergeCell ref="J41:K41"/>
    <mergeCell ref="L41:M41"/>
    <mergeCell ref="N41:O41"/>
    <mergeCell ref="P41:Q41"/>
    <mergeCell ref="J42:K42"/>
    <mergeCell ref="J46:K46"/>
    <mergeCell ref="L46:M46"/>
    <mergeCell ref="N46:O46"/>
    <mergeCell ref="P46:Q46"/>
    <mergeCell ref="J47:K47"/>
    <mergeCell ref="L47:M47"/>
    <mergeCell ref="N47:O47"/>
    <mergeCell ref="P47:Q47"/>
    <mergeCell ref="J44:K44"/>
    <mergeCell ref="L44:M44"/>
    <mergeCell ref="N44:O44"/>
    <mergeCell ref="P44:Q44"/>
    <mergeCell ref="J45:K45"/>
    <mergeCell ref="L45:M45"/>
    <mergeCell ref="E50:I50"/>
    <mergeCell ref="J50:K50"/>
    <mergeCell ref="L50:M50"/>
    <mergeCell ref="N50:O50"/>
    <mergeCell ref="P50:Q50"/>
    <mergeCell ref="R56:S57"/>
    <mergeCell ref="T56:T57"/>
    <mergeCell ref="U56:W57"/>
    <mergeCell ref="J57:K57"/>
    <mergeCell ref="L57:M57"/>
    <mergeCell ref="N57:O57"/>
    <mergeCell ref="P57:Q57"/>
    <mergeCell ref="J52:Q52"/>
    <mergeCell ref="Q54:S54"/>
    <mergeCell ref="T54:W54"/>
    <mergeCell ref="A55:W55"/>
    <mergeCell ref="A56:A57"/>
    <mergeCell ref="B56:B57"/>
    <mergeCell ref="C56:C57"/>
    <mergeCell ref="D56:D57"/>
    <mergeCell ref="E56:I57"/>
    <mergeCell ref="J56:Q56"/>
    <mergeCell ref="U58:W62"/>
    <mergeCell ref="E59:I59"/>
    <mergeCell ref="J59:K59"/>
    <mergeCell ref="L59:M59"/>
    <mergeCell ref="N59:O59"/>
    <mergeCell ref="P59:Q59"/>
    <mergeCell ref="E60:I60"/>
    <mergeCell ref="J60:K60"/>
    <mergeCell ref="L60:M60"/>
    <mergeCell ref="N60:O60"/>
    <mergeCell ref="E58:I58"/>
    <mergeCell ref="J58:K58"/>
    <mergeCell ref="L58:M58"/>
    <mergeCell ref="N58:O58"/>
    <mergeCell ref="P58:Q58"/>
    <mergeCell ref="P60:Q60"/>
    <mergeCell ref="E62:I62"/>
    <mergeCell ref="J62:K62"/>
    <mergeCell ref="L62:M62"/>
    <mergeCell ref="N62:O62"/>
    <mergeCell ref="P62:Q62"/>
    <mergeCell ref="A63:A66"/>
    <mergeCell ref="E63:I63"/>
    <mergeCell ref="J63:K63"/>
    <mergeCell ref="L63:M63"/>
    <mergeCell ref="N63:O63"/>
    <mergeCell ref="A58:A62"/>
    <mergeCell ref="N65:O65"/>
    <mergeCell ref="P65:Q65"/>
    <mergeCell ref="E66:I66"/>
    <mergeCell ref="J66:K66"/>
    <mergeCell ref="L66:M66"/>
    <mergeCell ref="N66:O66"/>
    <mergeCell ref="P66:Q66"/>
    <mergeCell ref="P63:Q63"/>
    <mergeCell ref="E61:I61"/>
    <mergeCell ref="J61:K61"/>
    <mergeCell ref="L61:M61"/>
    <mergeCell ref="N61:O61"/>
    <mergeCell ref="P61:Q61"/>
    <mergeCell ref="U63:W66"/>
    <mergeCell ref="E64:I64"/>
    <mergeCell ref="J64:K64"/>
    <mergeCell ref="L64:M64"/>
    <mergeCell ref="N64:O64"/>
    <mergeCell ref="P64:Q64"/>
    <mergeCell ref="E65:I65"/>
    <mergeCell ref="J65:K65"/>
    <mergeCell ref="L65:M65"/>
    <mergeCell ref="N70:O70"/>
    <mergeCell ref="P70:Q70"/>
    <mergeCell ref="E71:I71"/>
    <mergeCell ref="J71:K71"/>
    <mergeCell ref="L71:M71"/>
    <mergeCell ref="N71:O71"/>
    <mergeCell ref="P71:Q71"/>
    <mergeCell ref="U67:W74"/>
    <mergeCell ref="E68:I68"/>
    <mergeCell ref="J68:K68"/>
    <mergeCell ref="L68:M68"/>
    <mergeCell ref="N68:O68"/>
    <mergeCell ref="P68:Q68"/>
    <mergeCell ref="E69:I69"/>
    <mergeCell ref="J69:K69"/>
    <mergeCell ref="L69:M69"/>
    <mergeCell ref="N69:O69"/>
    <mergeCell ref="E67:I67"/>
    <mergeCell ref="J67:K67"/>
    <mergeCell ref="L67:M67"/>
    <mergeCell ref="N67:O67"/>
    <mergeCell ref="P67:Q67"/>
    <mergeCell ref="P69:Q69"/>
    <mergeCell ref="E70:I70"/>
    <mergeCell ref="E74:I74"/>
    <mergeCell ref="J74:K74"/>
    <mergeCell ref="L74:M74"/>
    <mergeCell ref="N74:O74"/>
    <mergeCell ref="P74:Q74"/>
    <mergeCell ref="A75:A78"/>
    <mergeCell ref="E75:I75"/>
    <mergeCell ref="J75:K75"/>
    <mergeCell ref="L75:M75"/>
    <mergeCell ref="N75:O75"/>
    <mergeCell ref="A67:A74"/>
    <mergeCell ref="J70:K70"/>
    <mergeCell ref="L70:M70"/>
    <mergeCell ref="P75:Q75"/>
    <mergeCell ref="E72:I72"/>
    <mergeCell ref="J72:K72"/>
    <mergeCell ref="L72:M72"/>
    <mergeCell ref="N72:O72"/>
    <mergeCell ref="P72:Q72"/>
    <mergeCell ref="E73:I73"/>
    <mergeCell ref="J73:K73"/>
    <mergeCell ref="L73:M73"/>
    <mergeCell ref="N73:O73"/>
    <mergeCell ref="P73:Q73"/>
    <mergeCell ref="U75:W78"/>
    <mergeCell ref="E76:I76"/>
    <mergeCell ref="J76:K76"/>
    <mergeCell ref="L76:M76"/>
    <mergeCell ref="N76:O76"/>
    <mergeCell ref="P76:Q76"/>
    <mergeCell ref="E77:I77"/>
    <mergeCell ref="J77:K77"/>
    <mergeCell ref="L77:M77"/>
    <mergeCell ref="E80:I80"/>
    <mergeCell ref="J80:K80"/>
    <mergeCell ref="L80:M80"/>
    <mergeCell ref="N80:O80"/>
    <mergeCell ref="P80:Q80"/>
    <mergeCell ref="J82:Q82"/>
    <mergeCell ref="N77:O77"/>
    <mergeCell ref="P77:Q77"/>
    <mergeCell ref="E78:I78"/>
    <mergeCell ref="J78:K78"/>
    <mergeCell ref="L78:M78"/>
    <mergeCell ref="N78:O78"/>
    <mergeCell ref="P78:Q78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W79"/>
  <sheetViews>
    <sheetView zoomScale="85" zoomScaleNormal="85" workbookViewId="0">
      <selection activeCell="J18" sqref="J18:Q18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2.2187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45933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290925</v>
      </c>
      <c r="E7" s="12" t="s">
        <v>325</v>
      </c>
      <c r="F7" s="17">
        <v>369</v>
      </c>
      <c r="G7" s="17">
        <v>304</v>
      </c>
      <c r="H7" s="18">
        <v>0.9</v>
      </c>
      <c r="I7" s="17">
        <v>27000</v>
      </c>
      <c r="J7" s="165"/>
      <c r="K7" s="166"/>
      <c r="L7" s="165"/>
      <c r="M7" s="166"/>
      <c r="N7" s="165">
        <v>1500</v>
      </c>
      <c r="O7" s="166"/>
      <c r="P7" s="165"/>
      <c r="Q7" s="166"/>
      <c r="R7" s="66">
        <v>45</v>
      </c>
      <c r="S7" s="14" t="s">
        <v>20</v>
      </c>
      <c r="T7" s="42" t="s">
        <v>110</v>
      </c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339</v>
      </c>
      <c r="F8" s="17">
        <v>265</v>
      </c>
      <c r="G8" s="17">
        <v>304</v>
      </c>
      <c r="H8" s="18">
        <v>0.9</v>
      </c>
      <c r="I8" s="17">
        <v>27000</v>
      </c>
      <c r="J8" s="165"/>
      <c r="K8" s="166"/>
      <c r="L8" s="165"/>
      <c r="M8" s="166"/>
      <c r="N8" s="165">
        <v>500</v>
      </c>
      <c r="O8" s="166"/>
      <c r="P8" s="165"/>
      <c r="Q8" s="166"/>
      <c r="R8" s="66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290925</v>
      </c>
      <c r="E9" s="12" t="s">
        <v>340</v>
      </c>
      <c r="F9" s="17">
        <v>290</v>
      </c>
      <c r="G9" s="17">
        <v>304</v>
      </c>
      <c r="H9" s="18">
        <v>0.9</v>
      </c>
      <c r="I9" s="17">
        <v>27000</v>
      </c>
      <c r="J9" s="165"/>
      <c r="K9" s="166"/>
      <c r="L9" s="165"/>
      <c r="M9" s="166"/>
      <c r="N9" s="165">
        <v>464</v>
      </c>
      <c r="O9" s="166"/>
      <c r="P9" s="165"/>
      <c r="Q9" s="166"/>
      <c r="R9" s="66">
        <v>45</v>
      </c>
      <c r="S9" s="14" t="s">
        <v>20</v>
      </c>
      <c r="T9" s="42" t="s">
        <v>110</v>
      </c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291</v>
      </c>
      <c r="F10" s="17">
        <v>200</v>
      </c>
      <c r="G10" s="17">
        <v>304</v>
      </c>
      <c r="H10" s="18">
        <v>0.9</v>
      </c>
      <c r="I10" s="17">
        <v>27000</v>
      </c>
      <c r="J10" s="165"/>
      <c r="K10" s="166"/>
      <c r="L10" s="165"/>
      <c r="M10" s="166"/>
      <c r="N10" s="165">
        <v>116</v>
      </c>
      <c r="O10" s="166"/>
      <c r="P10" s="165"/>
      <c r="Q10" s="166"/>
      <c r="R10" s="66">
        <v>45</v>
      </c>
      <c r="S10" s="14" t="s">
        <v>20</v>
      </c>
      <c r="T10" s="42" t="s">
        <v>110</v>
      </c>
      <c r="U10" s="205"/>
      <c r="V10" s="206"/>
      <c r="W10" s="207"/>
    </row>
    <row r="11" spans="1:23" x14ac:dyDescent="0.3">
      <c r="A11" s="181"/>
      <c r="B11" s="5"/>
      <c r="C11" s="5"/>
      <c r="D11" s="4">
        <v>290925</v>
      </c>
      <c r="E11" s="12" t="s">
        <v>341</v>
      </c>
      <c r="F11" s="17">
        <v>290</v>
      </c>
      <c r="G11" s="17">
        <v>304</v>
      </c>
      <c r="H11" s="18">
        <v>0.9</v>
      </c>
      <c r="I11" s="17">
        <v>27000</v>
      </c>
      <c r="J11" s="165"/>
      <c r="K11" s="166"/>
      <c r="L11" s="165"/>
      <c r="M11" s="166"/>
      <c r="N11" s="165">
        <v>3000</v>
      </c>
      <c r="O11" s="166"/>
      <c r="P11" s="165"/>
      <c r="Q11" s="166"/>
      <c r="R11" s="66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>
        <v>0.70833333333333337</v>
      </c>
      <c r="D12" s="4" t="s">
        <v>102</v>
      </c>
      <c r="E12" s="12" t="s">
        <v>153</v>
      </c>
      <c r="F12" s="17">
        <v>226</v>
      </c>
      <c r="G12" s="17">
        <v>304</v>
      </c>
      <c r="H12" s="18">
        <v>0.9</v>
      </c>
      <c r="I12" s="17">
        <v>27000</v>
      </c>
      <c r="J12" s="165"/>
      <c r="K12" s="166"/>
      <c r="L12" s="165"/>
      <c r="M12" s="166"/>
      <c r="N12" s="165">
        <v>600</v>
      </c>
      <c r="O12" s="166"/>
      <c r="P12" s="165"/>
      <c r="Q12" s="166"/>
      <c r="R12" s="66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/>
      <c r="E13" s="12"/>
      <c r="F13" s="17"/>
      <c r="G13" s="17"/>
      <c r="H13" s="18"/>
      <c r="I13" s="17"/>
      <c r="J13" s="165"/>
      <c r="K13" s="166"/>
      <c r="L13" s="165"/>
      <c r="M13" s="166"/>
      <c r="N13" s="165"/>
      <c r="O13" s="166"/>
      <c r="P13" s="165"/>
      <c r="Q13" s="166"/>
      <c r="R13" s="66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/>
      <c r="E14" s="12"/>
      <c r="F14" s="17"/>
      <c r="G14" s="17"/>
      <c r="H14" s="18"/>
      <c r="I14" s="17"/>
      <c r="J14" s="165"/>
      <c r="K14" s="166"/>
      <c r="L14" s="165"/>
      <c r="M14" s="166"/>
      <c r="N14" s="165"/>
      <c r="O14" s="166"/>
      <c r="P14" s="165"/>
      <c r="Q14" s="166"/>
      <c r="R14" s="66"/>
      <c r="S14" s="14" t="s">
        <v>20</v>
      </c>
      <c r="T14" s="42"/>
      <c r="U14" s="205"/>
      <c r="V14" s="206"/>
      <c r="W14" s="207"/>
    </row>
    <row r="15" spans="1:23" x14ac:dyDescent="0.3">
      <c r="A15" s="182"/>
      <c r="B15" s="170" t="s">
        <v>0</v>
      </c>
      <c r="C15" s="171"/>
      <c r="D15" s="171"/>
      <c r="E15" s="171"/>
      <c r="F15" s="171"/>
      <c r="G15" s="171"/>
      <c r="H15" s="171"/>
      <c r="I15" s="172"/>
      <c r="J15" s="21">
        <f>SUM(J7:K14)</f>
        <v>0</v>
      </c>
      <c r="K15" s="22" t="s">
        <v>17</v>
      </c>
      <c r="L15" s="21">
        <f>SUM(L7:M14)</f>
        <v>0</v>
      </c>
      <c r="M15" s="22" t="s">
        <v>17</v>
      </c>
      <c r="N15" s="21">
        <f>SUM(N7:O14)</f>
        <v>6180</v>
      </c>
      <c r="O15" s="22" t="s">
        <v>17</v>
      </c>
      <c r="P15" s="21">
        <f>SUM(P7:Q14)</f>
        <v>0</v>
      </c>
      <c r="Q15" s="22" t="s">
        <v>17</v>
      </c>
      <c r="R15" s="23">
        <f>SUM(R7:R14)</f>
        <v>135</v>
      </c>
      <c r="S15" s="24" t="s">
        <v>20</v>
      </c>
      <c r="T15" s="19"/>
      <c r="U15" s="208"/>
      <c r="V15" s="209"/>
      <c r="W15" s="210"/>
    </row>
    <row r="16" spans="1:23" ht="14.5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1:23" ht="14.55" customHeight="1" x14ac:dyDescent="0.3">
      <c r="A17" s="27"/>
      <c r="B17" s="27"/>
      <c r="C17" s="27"/>
      <c r="D17" s="27"/>
      <c r="E17" s="170" t="s">
        <v>27</v>
      </c>
      <c r="F17" s="171"/>
      <c r="G17" s="171"/>
      <c r="H17" s="171"/>
      <c r="I17" s="172"/>
      <c r="J17" s="175" t="s">
        <v>7</v>
      </c>
      <c r="K17" s="176"/>
      <c r="L17" s="175" t="s">
        <v>8</v>
      </c>
      <c r="M17" s="176"/>
      <c r="N17" s="175" t="s">
        <v>9</v>
      </c>
      <c r="O17" s="176"/>
      <c r="P17" s="175" t="s">
        <v>117</v>
      </c>
      <c r="Q17" s="176"/>
      <c r="R17" s="27"/>
      <c r="S17" s="27"/>
    </row>
    <row r="18" spans="1:23" ht="14.55" customHeight="1" x14ac:dyDescent="0.3">
      <c r="A18" s="27"/>
      <c r="B18" s="27"/>
      <c r="C18" s="27"/>
      <c r="D18" s="27"/>
      <c r="E18" s="15"/>
      <c r="F18" s="15"/>
      <c r="G18" s="15"/>
      <c r="H18" s="15"/>
      <c r="I18" s="15"/>
      <c r="J18" s="30">
        <f>J15</f>
        <v>0</v>
      </c>
      <c r="K18" s="31" t="s">
        <v>17</v>
      </c>
      <c r="L18" s="32">
        <f>L15</f>
        <v>0</v>
      </c>
      <c r="M18" s="31" t="s">
        <v>17</v>
      </c>
      <c r="N18" s="32">
        <f>N15</f>
        <v>6180</v>
      </c>
      <c r="O18" s="31" t="s">
        <v>17</v>
      </c>
      <c r="P18" s="33">
        <f>P15</f>
        <v>0</v>
      </c>
      <c r="Q18" s="34" t="s">
        <v>17</v>
      </c>
      <c r="R18" s="27"/>
      <c r="S18" s="27"/>
    </row>
    <row r="19" spans="1:23" ht="30" customHeight="1" x14ac:dyDescent="0.3">
      <c r="A19" s="27"/>
      <c r="B19" s="27"/>
      <c r="C19" s="27"/>
      <c r="D19" s="27"/>
      <c r="E19" s="28"/>
      <c r="F19" s="28"/>
      <c r="G19" s="28"/>
      <c r="H19" s="28"/>
      <c r="I19" s="28"/>
      <c r="J19" s="167">
        <f>J18+L18+N18+P18</f>
        <v>6180</v>
      </c>
      <c r="K19" s="168"/>
      <c r="L19" s="168"/>
      <c r="M19" s="168"/>
      <c r="N19" s="168"/>
      <c r="O19" s="168"/>
      <c r="P19" s="168"/>
      <c r="Q19" s="169"/>
      <c r="R19" s="27"/>
      <c r="S19" s="27"/>
    </row>
    <row r="20" spans="1:23" ht="30" customHeight="1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spans="1:23" s="37" customFormat="1" ht="19.95" customHeight="1" x14ac:dyDescent="0.4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183" t="s">
        <v>14</v>
      </c>
      <c r="R21" s="183"/>
      <c r="S21" s="183"/>
      <c r="T21" s="184">
        <f>T3</f>
        <v>45933</v>
      </c>
      <c r="U21" s="185"/>
      <c r="V21" s="185"/>
      <c r="W21" s="186"/>
    </row>
    <row r="22" spans="1:23" s="16" customFormat="1" ht="30" customHeight="1" x14ac:dyDescent="0.3">
      <c r="A22" s="187" t="s">
        <v>29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9"/>
      <c r="Q22" s="189"/>
      <c r="R22" s="189"/>
      <c r="S22" s="189"/>
      <c r="T22" s="188"/>
      <c r="U22" s="188"/>
      <c r="V22" s="188"/>
      <c r="W22" s="190"/>
    </row>
    <row r="23" spans="1:23" s="26" customFormat="1" ht="13.8" x14ac:dyDescent="0.3">
      <c r="A23" s="191" t="s">
        <v>1</v>
      </c>
      <c r="B23" s="192" t="s">
        <v>2</v>
      </c>
      <c r="C23" s="192" t="s">
        <v>3</v>
      </c>
      <c r="D23" s="192" t="s">
        <v>4</v>
      </c>
      <c r="E23" s="193" t="s">
        <v>5</v>
      </c>
      <c r="F23" s="195" t="s">
        <v>21</v>
      </c>
      <c r="G23" s="195" t="s">
        <v>22</v>
      </c>
      <c r="H23" s="195" t="s">
        <v>33</v>
      </c>
      <c r="I23" s="195" t="s">
        <v>30</v>
      </c>
      <c r="J23" s="193" t="s">
        <v>6</v>
      </c>
      <c r="K23" s="197"/>
      <c r="L23" s="197"/>
      <c r="M23" s="197"/>
      <c r="N23" s="197"/>
      <c r="O23" s="197"/>
      <c r="P23" s="197"/>
      <c r="Q23" s="198"/>
      <c r="R23" s="193" t="s">
        <v>10</v>
      </c>
      <c r="S23" s="198"/>
      <c r="T23" s="191" t="s">
        <v>11</v>
      </c>
      <c r="U23" s="191" t="s">
        <v>12</v>
      </c>
      <c r="V23" s="191"/>
      <c r="W23" s="191"/>
    </row>
    <row r="24" spans="1:23" s="26" customFormat="1" ht="13.8" x14ac:dyDescent="0.3">
      <c r="A24" s="191"/>
      <c r="B24" s="192"/>
      <c r="C24" s="192"/>
      <c r="D24" s="192"/>
      <c r="E24" s="194"/>
      <c r="F24" s="196"/>
      <c r="G24" s="196"/>
      <c r="H24" s="196"/>
      <c r="I24" s="196"/>
      <c r="J24" s="200" t="s">
        <v>7</v>
      </c>
      <c r="K24" s="201"/>
      <c r="L24" s="200" t="s">
        <v>8</v>
      </c>
      <c r="M24" s="201"/>
      <c r="N24" s="200" t="s">
        <v>9</v>
      </c>
      <c r="O24" s="201"/>
      <c r="P24" s="200" t="s">
        <v>117</v>
      </c>
      <c r="Q24" s="201"/>
      <c r="R24" s="194"/>
      <c r="S24" s="199"/>
      <c r="T24" s="191"/>
      <c r="U24" s="191"/>
      <c r="V24" s="191"/>
      <c r="W24" s="191"/>
    </row>
    <row r="25" spans="1:23" ht="14.55" customHeight="1" x14ac:dyDescent="0.3">
      <c r="A25" s="180" t="s">
        <v>32</v>
      </c>
      <c r="B25" s="5">
        <v>0.33333333333333331</v>
      </c>
      <c r="C25" s="5"/>
      <c r="D25" s="4">
        <v>250077</v>
      </c>
      <c r="E25" s="12" t="s">
        <v>342</v>
      </c>
      <c r="F25" s="40">
        <v>430</v>
      </c>
      <c r="G25" s="41">
        <v>0.5</v>
      </c>
      <c r="H25" s="40">
        <v>52</v>
      </c>
      <c r="I25" s="12">
        <v>7</v>
      </c>
      <c r="J25" s="165">
        <v>1200</v>
      </c>
      <c r="K25" s="166"/>
      <c r="L25" s="165"/>
      <c r="M25" s="166"/>
      <c r="N25" s="165"/>
      <c r="O25" s="166"/>
      <c r="P25" s="165"/>
      <c r="Q25" s="166"/>
      <c r="R25" s="66">
        <v>30</v>
      </c>
      <c r="S25" s="14" t="s">
        <v>20</v>
      </c>
      <c r="T25" s="42" t="s">
        <v>126</v>
      </c>
      <c r="U25" s="177"/>
      <c r="V25" s="178"/>
      <c r="W25" s="179"/>
    </row>
    <row r="26" spans="1:23" ht="14.55" customHeight="1" x14ac:dyDescent="0.3">
      <c r="A26" s="181"/>
      <c r="B26" s="5"/>
      <c r="C26" s="5"/>
      <c r="D26" s="4">
        <v>180925</v>
      </c>
      <c r="E26" s="13" t="s">
        <v>343</v>
      </c>
      <c r="F26" s="40">
        <v>430</v>
      </c>
      <c r="G26" s="41">
        <v>0.5</v>
      </c>
      <c r="H26" s="40">
        <v>385</v>
      </c>
      <c r="I26" s="12">
        <v>6</v>
      </c>
      <c r="J26" s="165">
        <v>1000</v>
      </c>
      <c r="K26" s="166"/>
      <c r="L26" s="165"/>
      <c r="M26" s="166"/>
      <c r="N26" s="165"/>
      <c r="O26" s="166"/>
      <c r="P26" s="165"/>
      <c r="Q26" s="166"/>
      <c r="R26" s="66"/>
      <c r="S26" s="14" t="s">
        <v>20</v>
      </c>
      <c r="T26" s="42"/>
      <c r="U26" s="177"/>
      <c r="V26" s="178"/>
      <c r="W26" s="179"/>
    </row>
    <row r="27" spans="1:23" ht="14.55" customHeight="1" x14ac:dyDescent="0.3">
      <c r="A27" s="181"/>
      <c r="B27" s="5"/>
      <c r="C27" s="5">
        <v>0.70833333333333337</v>
      </c>
      <c r="D27" s="4">
        <v>180925</v>
      </c>
      <c r="E27" s="13" t="s">
        <v>344</v>
      </c>
      <c r="F27" s="40">
        <v>430</v>
      </c>
      <c r="G27" s="41">
        <v>0.5</v>
      </c>
      <c r="H27" s="40">
        <v>340</v>
      </c>
      <c r="I27" s="12">
        <v>6</v>
      </c>
      <c r="J27" s="165">
        <v>600</v>
      </c>
      <c r="K27" s="166"/>
      <c r="L27" s="165"/>
      <c r="M27" s="166"/>
      <c r="N27" s="165"/>
      <c r="O27" s="166"/>
      <c r="P27" s="165"/>
      <c r="Q27" s="166"/>
      <c r="R27" s="66"/>
      <c r="S27" s="14" t="s">
        <v>20</v>
      </c>
      <c r="T27" s="42"/>
      <c r="U27" s="177"/>
      <c r="V27" s="178"/>
      <c r="W27" s="179"/>
    </row>
    <row r="28" spans="1:23" ht="14.55" customHeight="1" x14ac:dyDescent="0.3">
      <c r="A28" s="181"/>
      <c r="B28" s="5"/>
      <c r="C28" s="5"/>
      <c r="D28" s="4"/>
      <c r="E28" s="12"/>
      <c r="F28" s="40"/>
      <c r="G28" s="41"/>
      <c r="H28" s="40"/>
      <c r="I28" s="12"/>
      <c r="J28" s="165"/>
      <c r="K28" s="166"/>
      <c r="L28" s="165"/>
      <c r="M28" s="166"/>
      <c r="N28" s="165"/>
      <c r="O28" s="166"/>
      <c r="P28" s="165"/>
      <c r="Q28" s="166"/>
      <c r="R28" s="66"/>
      <c r="S28" s="14" t="s">
        <v>20</v>
      </c>
      <c r="T28" s="42"/>
      <c r="U28" s="177"/>
      <c r="V28" s="178"/>
      <c r="W28" s="179"/>
    </row>
    <row r="29" spans="1:23" ht="14.55" customHeight="1" x14ac:dyDescent="0.3">
      <c r="A29" s="181"/>
      <c r="B29" s="5"/>
      <c r="C29" s="5"/>
      <c r="D29" s="4"/>
      <c r="E29" s="12"/>
      <c r="F29" s="40"/>
      <c r="G29" s="41"/>
      <c r="H29" s="40"/>
      <c r="I29" s="12"/>
      <c r="J29" s="165"/>
      <c r="K29" s="166"/>
      <c r="L29" s="165"/>
      <c r="M29" s="166"/>
      <c r="N29" s="165"/>
      <c r="O29" s="166"/>
      <c r="P29" s="165"/>
      <c r="Q29" s="166"/>
      <c r="R29" s="66"/>
      <c r="S29" s="14" t="s">
        <v>20</v>
      </c>
      <c r="T29" s="42"/>
      <c r="U29" s="177"/>
      <c r="V29" s="178"/>
      <c r="W29" s="179"/>
    </row>
    <row r="30" spans="1:23" ht="14.55" customHeight="1" x14ac:dyDescent="0.3">
      <c r="A30" s="182"/>
      <c r="B30" s="19"/>
      <c r="C30" s="19"/>
      <c r="D30" s="20"/>
      <c r="E30" s="170" t="s">
        <v>0</v>
      </c>
      <c r="F30" s="171"/>
      <c r="G30" s="171"/>
      <c r="H30" s="171"/>
      <c r="I30" s="172"/>
      <c r="J30" s="173">
        <f>SUM(J25:K29)</f>
        <v>2800</v>
      </c>
      <c r="K30" s="174"/>
      <c r="L30" s="173">
        <f>SUM(L25:M29)</f>
        <v>0</v>
      </c>
      <c r="M30" s="174"/>
      <c r="N30" s="173">
        <f>SUM(N25:O29)</f>
        <v>0</v>
      </c>
      <c r="O30" s="174"/>
      <c r="P30" s="173">
        <f>SUM(P25:Q29)</f>
        <v>0</v>
      </c>
      <c r="Q30" s="174"/>
      <c r="R30" s="23">
        <f>SUM(R25:R29)</f>
        <v>30</v>
      </c>
      <c r="S30" s="24" t="s">
        <v>20</v>
      </c>
      <c r="T30" s="19"/>
      <c r="U30" s="177"/>
      <c r="V30" s="178"/>
      <c r="W30" s="179"/>
    </row>
    <row r="31" spans="1:23" ht="14.55" customHeight="1" x14ac:dyDescent="0.3">
      <c r="A31" s="163" t="s">
        <v>34</v>
      </c>
      <c r="B31" s="5">
        <v>0.33333333333333331</v>
      </c>
      <c r="C31" s="5">
        <v>0.70833333333333337</v>
      </c>
      <c r="D31" s="4">
        <v>250070</v>
      </c>
      <c r="E31" s="12" t="s">
        <v>345</v>
      </c>
      <c r="F31" s="40">
        <v>304</v>
      </c>
      <c r="G31" s="41">
        <v>0.7</v>
      </c>
      <c r="H31" s="40">
        <v>315</v>
      </c>
      <c r="I31" s="12">
        <v>5</v>
      </c>
      <c r="J31" s="165">
        <v>2000</v>
      </c>
      <c r="K31" s="166"/>
      <c r="L31" s="165"/>
      <c r="M31" s="166"/>
      <c r="N31" s="165"/>
      <c r="O31" s="166"/>
      <c r="P31" s="165"/>
      <c r="Q31" s="166"/>
      <c r="R31" s="66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63"/>
      <c r="B32" s="5"/>
      <c r="C32" s="5"/>
      <c r="D32" s="4"/>
      <c r="E32" s="12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66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63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66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63"/>
      <c r="B34" s="5"/>
      <c r="C34" s="5"/>
      <c r="D34" s="4"/>
      <c r="E34" s="12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66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64"/>
      <c r="B35" s="19"/>
      <c r="C35" s="19"/>
      <c r="D35" s="20"/>
      <c r="E35" s="170" t="s">
        <v>0</v>
      </c>
      <c r="F35" s="171"/>
      <c r="G35" s="171"/>
      <c r="H35" s="171"/>
      <c r="I35" s="172"/>
      <c r="J35" s="173">
        <f>SUM(J31:K34)</f>
        <v>2000</v>
      </c>
      <c r="K35" s="174"/>
      <c r="L35" s="173">
        <f>SUM(L31:M34)</f>
        <v>0</v>
      </c>
      <c r="M35" s="174"/>
      <c r="N35" s="173">
        <f>SUM(N31:O34)</f>
        <v>0</v>
      </c>
      <c r="O35" s="174"/>
      <c r="P35" s="173">
        <f>SUM(P31:Q34)</f>
        <v>0</v>
      </c>
      <c r="Q35" s="174"/>
      <c r="R35" s="23">
        <f>SUM(R31:R34)</f>
        <v>0</v>
      </c>
      <c r="S35" s="24" t="s">
        <v>20</v>
      </c>
      <c r="T35" s="19"/>
      <c r="U35" s="177"/>
      <c r="V35" s="178"/>
      <c r="W35" s="179"/>
    </row>
    <row r="36" spans="1:23" ht="14.55" customHeight="1" x14ac:dyDescent="0.3">
      <c r="A36" s="163" t="s">
        <v>35</v>
      </c>
      <c r="B36" s="5">
        <v>0.33333333333333331</v>
      </c>
      <c r="C36" s="5"/>
      <c r="D36" s="67">
        <v>160925</v>
      </c>
      <c r="E36" s="12" t="s">
        <v>346</v>
      </c>
      <c r="F36" s="40">
        <v>304</v>
      </c>
      <c r="G36" s="41">
        <v>0.9</v>
      </c>
      <c r="H36" s="40">
        <v>332</v>
      </c>
      <c r="I36" s="12"/>
      <c r="J36" s="165"/>
      <c r="K36" s="166"/>
      <c r="L36" s="165"/>
      <c r="M36" s="166"/>
      <c r="N36" s="165">
        <v>1130</v>
      </c>
      <c r="O36" s="166"/>
      <c r="P36" s="165"/>
      <c r="Q36" s="166"/>
      <c r="R36" s="66">
        <v>40</v>
      </c>
      <c r="S36" s="14" t="s">
        <v>20</v>
      </c>
      <c r="T36" s="42" t="s">
        <v>348</v>
      </c>
      <c r="U36" s="177"/>
      <c r="V36" s="178"/>
      <c r="W36" s="179"/>
    </row>
    <row r="37" spans="1:23" ht="14.55" customHeight="1" x14ac:dyDescent="0.3">
      <c r="A37" s="163"/>
      <c r="B37" s="5"/>
      <c r="C37" s="5">
        <v>0.70833333333333337</v>
      </c>
      <c r="D37" s="4">
        <v>290925</v>
      </c>
      <c r="E37" s="12" t="s">
        <v>347</v>
      </c>
      <c r="F37" s="40">
        <v>304</v>
      </c>
      <c r="G37" s="41">
        <v>0.9</v>
      </c>
      <c r="H37" s="40">
        <v>369</v>
      </c>
      <c r="I37" s="12"/>
      <c r="J37" s="165"/>
      <c r="K37" s="166"/>
      <c r="L37" s="165"/>
      <c r="M37" s="166"/>
      <c r="N37" s="165">
        <v>200</v>
      </c>
      <c r="O37" s="166"/>
      <c r="P37" s="165"/>
      <c r="Q37" s="166"/>
      <c r="R37" s="66">
        <v>40</v>
      </c>
      <c r="S37" s="14" t="s">
        <v>20</v>
      </c>
      <c r="T37" s="42" t="s">
        <v>348</v>
      </c>
      <c r="U37" s="177"/>
      <c r="V37" s="178"/>
      <c r="W37" s="179"/>
    </row>
    <row r="38" spans="1:23" ht="14.55" customHeight="1" x14ac:dyDescent="0.3">
      <c r="A38" s="163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66">
        <v>40</v>
      </c>
      <c r="S38" s="14" t="s">
        <v>20</v>
      </c>
      <c r="T38" s="42" t="s">
        <v>348</v>
      </c>
      <c r="U38" s="177"/>
      <c r="V38" s="178"/>
      <c r="W38" s="179"/>
    </row>
    <row r="39" spans="1:23" ht="14.55" customHeight="1" x14ac:dyDescent="0.3">
      <c r="A39" s="163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66">
        <v>20</v>
      </c>
      <c r="S39" s="14" t="s">
        <v>20</v>
      </c>
      <c r="T39" s="42" t="s">
        <v>349</v>
      </c>
      <c r="U39" s="177"/>
      <c r="V39" s="178"/>
      <c r="W39" s="179"/>
    </row>
    <row r="40" spans="1:23" ht="14.55" customHeight="1" x14ac:dyDescent="0.3">
      <c r="A40" s="163"/>
      <c r="B40" s="5"/>
      <c r="C40" s="5"/>
      <c r="D40" s="4"/>
      <c r="E40" s="12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66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66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66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66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4"/>
      <c r="B44" s="19"/>
      <c r="C44" s="19"/>
      <c r="D44" s="20"/>
      <c r="E44" s="170" t="s">
        <v>0</v>
      </c>
      <c r="F44" s="171"/>
      <c r="G44" s="171"/>
      <c r="H44" s="171"/>
      <c r="I44" s="172"/>
      <c r="J44" s="173">
        <f>SUM(J36:K43)</f>
        <v>0</v>
      </c>
      <c r="K44" s="174"/>
      <c r="L44" s="173">
        <f>SUM(L36:M43)</f>
        <v>0</v>
      </c>
      <c r="M44" s="174"/>
      <c r="N44" s="173">
        <f>SUM(N36:O43)</f>
        <v>1330</v>
      </c>
      <c r="O44" s="174"/>
      <c r="P44" s="173">
        <f>SUM(P36:Q43)</f>
        <v>0</v>
      </c>
      <c r="Q44" s="174"/>
      <c r="R44" s="23">
        <f>SUM(R36:R43)</f>
        <v>140</v>
      </c>
      <c r="S44" s="24" t="s">
        <v>20</v>
      </c>
      <c r="T44" s="19"/>
      <c r="U44" s="177"/>
      <c r="V44" s="178"/>
      <c r="W44" s="179"/>
    </row>
    <row r="45" spans="1:23" ht="14.55" customHeight="1" x14ac:dyDescent="0.3">
      <c r="A45" s="27"/>
      <c r="B45" s="27"/>
      <c r="C45" s="27"/>
      <c r="D45" s="27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27"/>
      <c r="S45" s="27"/>
      <c r="T45" s="39"/>
      <c r="U45" s="39"/>
      <c r="V45" s="39"/>
      <c r="W45" s="39"/>
    </row>
    <row r="46" spans="1:23" x14ac:dyDescent="0.3">
      <c r="E46" s="170" t="s">
        <v>31</v>
      </c>
      <c r="F46" s="171"/>
      <c r="G46" s="171"/>
      <c r="H46" s="171"/>
      <c r="I46" s="172"/>
      <c r="J46" s="175" t="s">
        <v>7</v>
      </c>
      <c r="K46" s="176"/>
      <c r="L46" s="175" t="s">
        <v>8</v>
      </c>
      <c r="M46" s="176"/>
      <c r="N46" s="175" t="s">
        <v>9</v>
      </c>
      <c r="O46" s="176"/>
      <c r="P46" s="175" t="s">
        <v>16</v>
      </c>
      <c r="Q46" s="176"/>
    </row>
    <row r="47" spans="1:23" s="2" customFormat="1" x14ac:dyDescent="0.3">
      <c r="E47" s="15"/>
      <c r="F47" s="15"/>
      <c r="G47" s="15"/>
      <c r="H47" s="15"/>
      <c r="I47" s="15"/>
      <c r="J47" s="30">
        <f>J30+J35+J44</f>
        <v>4800</v>
      </c>
      <c r="K47" s="31" t="s">
        <v>17</v>
      </c>
      <c r="L47" s="30">
        <f>L30+L35+L44</f>
        <v>0</v>
      </c>
      <c r="M47" s="31" t="s">
        <v>17</v>
      </c>
      <c r="N47" s="30">
        <f>N30+N35+N44</f>
        <v>1330</v>
      </c>
      <c r="O47" s="31" t="s">
        <v>17</v>
      </c>
      <c r="P47" s="30">
        <f>P30+P35+P44</f>
        <v>0</v>
      </c>
      <c r="Q47" s="34" t="s">
        <v>17</v>
      </c>
    </row>
    <row r="48" spans="1:23" ht="24.45" customHeight="1" x14ac:dyDescent="0.3">
      <c r="E48" s="28"/>
      <c r="F48" s="28"/>
      <c r="G48" s="28"/>
      <c r="H48" s="28"/>
      <c r="I48" s="28"/>
      <c r="J48" s="167">
        <f>J47+L47+N47+P47</f>
        <v>6130</v>
      </c>
      <c r="K48" s="168"/>
      <c r="L48" s="168"/>
      <c r="M48" s="168"/>
      <c r="N48" s="168"/>
      <c r="O48" s="168"/>
      <c r="P48" s="168"/>
      <c r="Q48" s="169"/>
    </row>
    <row r="49" spans="1:23" ht="30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spans="1:23" s="37" customFormat="1" ht="19.95" customHeight="1" x14ac:dyDescent="0.4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214" t="s">
        <v>14</v>
      </c>
      <c r="R50" s="215"/>
      <c r="S50" s="216"/>
      <c r="T50" s="184">
        <f>T3</f>
        <v>45933</v>
      </c>
      <c r="U50" s="185"/>
      <c r="V50" s="185"/>
      <c r="W50" s="186"/>
    </row>
    <row r="51" spans="1:23" s="16" customFormat="1" ht="30" customHeight="1" x14ac:dyDescent="0.3">
      <c r="A51" s="187" t="s">
        <v>26</v>
      </c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9"/>
      <c r="Q51" s="189"/>
      <c r="R51" s="189"/>
      <c r="S51" s="189"/>
      <c r="T51" s="188"/>
      <c r="U51" s="188"/>
      <c r="V51" s="188"/>
      <c r="W51" s="190"/>
    </row>
    <row r="52" spans="1:23" s="26" customFormat="1" ht="13.8" x14ac:dyDescent="0.3">
      <c r="A52" s="191" t="s">
        <v>1</v>
      </c>
      <c r="B52" s="192" t="s">
        <v>2</v>
      </c>
      <c r="C52" s="192" t="s">
        <v>3</v>
      </c>
      <c r="D52" s="192" t="s">
        <v>4</v>
      </c>
      <c r="E52" s="193" t="s">
        <v>5</v>
      </c>
      <c r="F52" s="197"/>
      <c r="G52" s="197"/>
      <c r="H52" s="197"/>
      <c r="I52" s="198"/>
      <c r="J52" s="193" t="s">
        <v>6</v>
      </c>
      <c r="K52" s="197"/>
      <c r="L52" s="197"/>
      <c r="M52" s="197"/>
      <c r="N52" s="197"/>
      <c r="O52" s="197"/>
      <c r="P52" s="197"/>
      <c r="Q52" s="198"/>
      <c r="R52" s="193" t="s">
        <v>10</v>
      </c>
      <c r="S52" s="198"/>
      <c r="T52" s="191" t="s">
        <v>11</v>
      </c>
      <c r="U52" s="191" t="s">
        <v>12</v>
      </c>
      <c r="V52" s="191"/>
      <c r="W52" s="191"/>
    </row>
    <row r="53" spans="1:23" s="26" customFormat="1" ht="13.8" x14ac:dyDescent="0.3">
      <c r="A53" s="191"/>
      <c r="B53" s="192"/>
      <c r="C53" s="192"/>
      <c r="D53" s="192"/>
      <c r="E53" s="194"/>
      <c r="F53" s="217"/>
      <c r="G53" s="217"/>
      <c r="H53" s="217"/>
      <c r="I53" s="199"/>
      <c r="J53" s="200" t="s">
        <v>7</v>
      </c>
      <c r="K53" s="201"/>
      <c r="L53" s="200" t="s">
        <v>8</v>
      </c>
      <c r="M53" s="201"/>
      <c r="N53" s="200" t="s">
        <v>9</v>
      </c>
      <c r="O53" s="201"/>
      <c r="P53" s="200" t="s">
        <v>16</v>
      </c>
      <c r="Q53" s="201"/>
      <c r="R53" s="194"/>
      <c r="S53" s="199"/>
      <c r="T53" s="191"/>
      <c r="U53" s="191"/>
      <c r="V53" s="191"/>
      <c r="W53" s="191"/>
    </row>
    <row r="54" spans="1:23" x14ac:dyDescent="0.3">
      <c r="A54" s="180" t="s">
        <v>13</v>
      </c>
      <c r="B54" s="5">
        <v>0.33333333333333331</v>
      </c>
      <c r="C54" s="5"/>
      <c r="D54" s="4">
        <v>250070</v>
      </c>
      <c r="E54" s="211" t="s">
        <v>350</v>
      </c>
      <c r="F54" s="212"/>
      <c r="G54" s="212"/>
      <c r="H54" s="212"/>
      <c r="I54" s="213"/>
      <c r="J54" s="165">
        <v>527</v>
      </c>
      <c r="K54" s="166"/>
      <c r="L54" s="165"/>
      <c r="M54" s="166"/>
      <c r="N54" s="165"/>
      <c r="O54" s="166"/>
      <c r="P54" s="165"/>
      <c r="Q54" s="166"/>
      <c r="R54" s="66"/>
      <c r="S54" s="6" t="s">
        <v>20</v>
      </c>
      <c r="T54" s="3"/>
      <c r="U54" s="202"/>
      <c r="V54" s="203"/>
      <c r="W54" s="204"/>
    </row>
    <row r="55" spans="1:23" x14ac:dyDescent="0.3">
      <c r="A55" s="163"/>
      <c r="B55" s="5"/>
      <c r="C55" s="5"/>
      <c r="D55" s="4">
        <v>250070</v>
      </c>
      <c r="E55" s="211" t="s">
        <v>351</v>
      </c>
      <c r="F55" s="212"/>
      <c r="G55" s="212"/>
      <c r="H55" s="212"/>
      <c r="I55" s="213"/>
      <c r="J55" s="165">
        <v>1070</v>
      </c>
      <c r="K55" s="166"/>
      <c r="L55" s="165"/>
      <c r="M55" s="166"/>
      <c r="N55" s="165"/>
      <c r="O55" s="166"/>
      <c r="P55" s="165"/>
      <c r="Q55" s="166"/>
      <c r="R55" s="66"/>
      <c r="S55" s="6" t="s">
        <v>20</v>
      </c>
      <c r="T55" s="3"/>
      <c r="U55" s="205"/>
      <c r="V55" s="206"/>
      <c r="W55" s="207"/>
    </row>
    <row r="56" spans="1:23" x14ac:dyDescent="0.3">
      <c r="A56" s="163"/>
      <c r="B56" s="5"/>
      <c r="C56" s="5"/>
      <c r="D56" s="4">
        <v>250070</v>
      </c>
      <c r="E56" s="211" t="s">
        <v>345</v>
      </c>
      <c r="F56" s="212"/>
      <c r="G56" s="212"/>
      <c r="H56" s="212"/>
      <c r="I56" s="213"/>
      <c r="J56" s="165">
        <v>1503</v>
      </c>
      <c r="K56" s="166"/>
      <c r="L56" s="165"/>
      <c r="M56" s="166"/>
      <c r="N56" s="165"/>
      <c r="O56" s="166"/>
      <c r="P56" s="165"/>
      <c r="Q56" s="166"/>
      <c r="R56" s="66"/>
      <c r="S56" s="6" t="s">
        <v>20</v>
      </c>
      <c r="T56" s="3"/>
      <c r="U56" s="205"/>
      <c r="V56" s="206"/>
      <c r="W56" s="207"/>
    </row>
    <row r="57" spans="1:23" x14ac:dyDescent="0.3">
      <c r="A57" s="163"/>
      <c r="B57" s="5"/>
      <c r="C57" s="5">
        <v>0.70833333333333337</v>
      </c>
      <c r="D57" s="4">
        <v>250077</v>
      </c>
      <c r="E57" s="211" t="s">
        <v>330</v>
      </c>
      <c r="F57" s="212"/>
      <c r="G57" s="212"/>
      <c r="H57" s="212"/>
      <c r="I57" s="213"/>
      <c r="J57" s="165">
        <v>660</v>
      </c>
      <c r="K57" s="166"/>
      <c r="L57" s="165"/>
      <c r="M57" s="166"/>
      <c r="N57" s="165"/>
      <c r="O57" s="166"/>
      <c r="P57" s="165"/>
      <c r="Q57" s="166"/>
      <c r="R57" s="66"/>
      <c r="S57" s="6" t="s">
        <v>20</v>
      </c>
      <c r="T57" s="3"/>
      <c r="U57" s="205"/>
      <c r="V57" s="206"/>
      <c r="W57" s="207"/>
    </row>
    <row r="58" spans="1:23" x14ac:dyDescent="0.3">
      <c r="A58" s="163"/>
      <c r="B58" s="5"/>
      <c r="C58" s="5"/>
      <c r="D58" s="4"/>
      <c r="E58" s="211"/>
      <c r="F58" s="212"/>
      <c r="G58" s="212"/>
      <c r="H58" s="212"/>
      <c r="I58" s="213"/>
      <c r="J58" s="165"/>
      <c r="K58" s="166"/>
      <c r="L58" s="165"/>
      <c r="M58" s="166"/>
      <c r="N58" s="165"/>
      <c r="O58" s="166"/>
      <c r="P58" s="165"/>
      <c r="Q58" s="166"/>
      <c r="R58" s="66"/>
      <c r="S58" s="6" t="s">
        <v>20</v>
      </c>
      <c r="T58" s="3"/>
      <c r="U58" s="205"/>
      <c r="V58" s="206"/>
      <c r="W58" s="207"/>
    </row>
    <row r="59" spans="1:23" x14ac:dyDescent="0.3">
      <c r="A59" s="164"/>
      <c r="B59" s="19"/>
      <c r="C59" s="19"/>
      <c r="D59" s="20"/>
      <c r="E59" s="170" t="s">
        <v>0</v>
      </c>
      <c r="F59" s="171"/>
      <c r="G59" s="171"/>
      <c r="H59" s="171"/>
      <c r="I59" s="172"/>
      <c r="J59" s="173">
        <f>SUM(J54:J58)</f>
        <v>3760</v>
      </c>
      <c r="K59" s="174"/>
      <c r="L59" s="173">
        <f>SUM(L54:L58)</f>
        <v>0</v>
      </c>
      <c r="M59" s="174"/>
      <c r="N59" s="173">
        <f>SUM(N54:N58)</f>
        <v>0</v>
      </c>
      <c r="O59" s="174"/>
      <c r="P59" s="173">
        <f>SUM(P54:P58)</f>
        <v>0</v>
      </c>
      <c r="Q59" s="174"/>
      <c r="R59" s="23">
        <f>SUM(R54:R58)</f>
        <v>0</v>
      </c>
      <c r="S59" s="24" t="s">
        <v>20</v>
      </c>
      <c r="T59" s="19"/>
      <c r="U59" s="208"/>
      <c r="V59" s="209"/>
      <c r="W59" s="210"/>
    </row>
    <row r="60" spans="1:23" x14ac:dyDescent="0.3">
      <c r="A60" s="180" t="s">
        <v>15</v>
      </c>
      <c r="B60" s="5"/>
      <c r="C60" s="5"/>
      <c r="D60" s="4"/>
      <c r="E60" s="211"/>
      <c r="F60" s="212"/>
      <c r="G60" s="212"/>
      <c r="H60" s="212"/>
      <c r="I60" s="213"/>
      <c r="J60" s="165"/>
      <c r="K60" s="166"/>
      <c r="L60" s="165"/>
      <c r="M60" s="166"/>
      <c r="N60" s="165"/>
      <c r="O60" s="166"/>
      <c r="P60" s="165"/>
      <c r="Q60" s="166"/>
      <c r="R60" s="66"/>
      <c r="S60" s="6" t="s">
        <v>20</v>
      </c>
      <c r="T60" s="3"/>
      <c r="U60" s="202"/>
      <c r="V60" s="203"/>
      <c r="W60" s="204"/>
    </row>
    <row r="61" spans="1:23" x14ac:dyDescent="0.3">
      <c r="A61" s="163"/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66"/>
      <c r="S61" s="6" t="s">
        <v>20</v>
      </c>
      <c r="T61" s="3"/>
      <c r="U61" s="205"/>
      <c r="V61" s="206"/>
      <c r="W61" s="207"/>
    </row>
    <row r="62" spans="1:23" x14ac:dyDescent="0.3">
      <c r="A62" s="163"/>
      <c r="B62" s="5"/>
      <c r="C62" s="5"/>
      <c r="D62" s="4"/>
      <c r="E62" s="211"/>
      <c r="F62" s="212"/>
      <c r="G62" s="212"/>
      <c r="H62" s="212"/>
      <c r="I62" s="213"/>
      <c r="J62" s="165"/>
      <c r="K62" s="166"/>
      <c r="L62" s="165"/>
      <c r="M62" s="166"/>
      <c r="N62" s="165"/>
      <c r="O62" s="166"/>
      <c r="P62" s="165"/>
      <c r="Q62" s="166"/>
      <c r="R62" s="66"/>
      <c r="S62" s="6" t="s">
        <v>20</v>
      </c>
      <c r="T62" s="3"/>
      <c r="U62" s="205"/>
      <c r="V62" s="206"/>
      <c r="W62" s="207"/>
    </row>
    <row r="63" spans="1:23" x14ac:dyDescent="0.3">
      <c r="A63" s="164"/>
      <c r="B63" s="19"/>
      <c r="C63" s="19"/>
      <c r="D63" s="20"/>
      <c r="E63" s="170" t="s">
        <v>0</v>
      </c>
      <c r="F63" s="171"/>
      <c r="G63" s="171"/>
      <c r="H63" s="171"/>
      <c r="I63" s="172"/>
      <c r="J63" s="173">
        <f>SUM(J60:J62)</f>
        <v>0</v>
      </c>
      <c r="K63" s="174"/>
      <c r="L63" s="173">
        <f>SUM(L60:L62)</f>
        <v>0</v>
      </c>
      <c r="M63" s="174"/>
      <c r="N63" s="173">
        <f>SUM(N60:N62)</f>
        <v>0</v>
      </c>
      <c r="O63" s="174"/>
      <c r="P63" s="173">
        <f>SUM(P57:P62)</f>
        <v>0</v>
      </c>
      <c r="Q63" s="174"/>
      <c r="R63" s="23">
        <f>SUM(R60:R62)</f>
        <v>0</v>
      </c>
      <c r="S63" s="24" t="s">
        <v>20</v>
      </c>
      <c r="T63" s="7"/>
      <c r="U63" s="208"/>
      <c r="V63" s="209"/>
      <c r="W63" s="210"/>
    </row>
    <row r="64" spans="1:23" x14ac:dyDescent="0.3">
      <c r="A64" s="180" t="s">
        <v>37</v>
      </c>
      <c r="B64" s="5">
        <v>0.33333333333333331</v>
      </c>
      <c r="C64" s="5"/>
      <c r="D64" s="4"/>
      <c r="E64" s="211" t="s">
        <v>338</v>
      </c>
      <c r="F64" s="212"/>
      <c r="G64" s="212"/>
      <c r="H64" s="212"/>
      <c r="I64" s="213"/>
      <c r="J64" s="165"/>
      <c r="K64" s="166"/>
      <c r="L64" s="165"/>
      <c r="M64" s="166"/>
      <c r="N64" s="165"/>
      <c r="O64" s="166"/>
      <c r="P64" s="165">
        <v>375</v>
      </c>
      <c r="Q64" s="166"/>
      <c r="R64" s="66"/>
      <c r="S64" s="6" t="s">
        <v>20</v>
      </c>
      <c r="T64" s="3"/>
      <c r="U64" s="202" t="s">
        <v>357</v>
      </c>
      <c r="V64" s="203"/>
      <c r="W64" s="204"/>
    </row>
    <row r="65" spans="1:23" x14ac:dyDescent="0.3">
      <c r="A65" s="163"/>
      <c r="B65" s="5"/>
      <c r="C65" s="5"/>
      <c r="D65" s="4"/>
      <c r="E65" s="211" t="s">
        <v>352</v>
      </c>
      <c r="F65" s="212"/>
      <c r="G65" s="212"/>
      <c r="H65" s="212"/>
      <c r="I65" s="213"/>
      <c r="J65" s="165"/>
      <c r="K65" s="166"/>
      <c r="L65" s="165"/>
      <c r="M65" s="166"/>
      <c r="N65" s="165"/>
      <c r="O65" s="166"/>
      <c r="P65" s="165">
        <v>1056</v>
      </c>
      <c r="Q65" s="166"/>
      <c r="R65" s="66"/>
      <c r="S65" s="6" t="s">
        <v>20</v>
      </c>
      <c r="T65" s="3"/>
      <c r="U65" s="205"/>
      <c r="V65" s="206"/>
      <c r="W65" s="207"/>
    </row>
    <row r="66" spans="1:23" x14ac:dyDescent="0.3">
      <c r="A66" s="163"/>
      <c r="B66" s="5"/>
      <c r="C66" s="5"/>
      <c r="D66" s="4"/>
      <c r="E66" s="211" t="s">
        <v>353</v>
      </c>
      <c r="F66" s="212"/>
      <c r="G66" s="212"/>
      <c r="H66" s="212"/>
      <c r="I66" s="213"/>
      <c r="J66" s="165"/>
      <c r="K66" s="166"/>
      <c r="L66" s="165"/>
      <c r="M66" s="166"/>
      <c r="N66" s="165"/>
      <c r="O66" s="166"/>
      <c r="P66" s="165">
        <v>565</v>
      </c>
      <c r="Q66" s="166"/>
      <c r="R66" s="66"/>
      <c r="S66" s="6" t="s">
        <v>20</v>
      </c>
      <c r="T66" s="3"/>
      <c r="U66" s="205"/>
      <c r="V66" s="206"/>
      <c r="W66" s="207"/>
    </row>
    <row r="67" spans="1:23" x14ac:dyDescent="0.3">
      <c r="A67" s="163"/>
      <c r="B67" s="5"/>
      <c r="C67" s="5"/>
      <c r="D67" s="4"/>
      <c r="E67" s="211" t="s">
        <v>354</v>
      </c>
      <c r="F67" s="212"/>
      <c r="G67" s="212"/>
      <c r="H67" s="212"/>
      <c r="I67" s="213"/>
      <c r="J67" s="165"/>
      <c r="K67" s="166"/>
      <c r="L67" s="165"/>
      <c r="M67" s="166"/>
      <c r="N67" s="165"/>
      <c r="O67" s="166"/>
      <c r="P67" s="165">
        <v>565</v>
      </c>
      <c r="Q67" s="166"/>
      <c r="R67" s="66"/>
      <c r="S67" s="6" t="s">
        <v>20</v>
      </c>
      <c r="T67" s="3"/>
      <c r="U67" s="205"/>
      <c r="V67" s="206"/>
      <c r="W67" s="207"/>
    </row>
    <row r="68" spans="1:23" x14ac:dyDescent="0.3">
      <c r="A68" s="163"/>
      <c r="B68" s="5"/>
      <c r="C68" s="5"/>
      <c r="D68" s="4"/>
      <c r="E68" s="211" t="s">
        <v>355</v>
      </c>
      <c r="F68" s="212"/>
      <c r="G68" s="212"/>
      <c r="H68" s="212"/>
      <c r="I68" s="213"/>
      <c r="J68" s="165"/>
      <c r="K68" s="166"/>
      <c r="L68" s="165"/>
      <c r="M68" s="166"/>
      <c r="N68" s="165"/>
      <c r="O68" s="166"/>
      <c r="P68" s="165">
        <v>566</v>
      </c>
      <c r="Q68" s="166"/>
      <c r="R68" s="66"/>
      <c r="S68" s="6" t="s">
        <v>20</v>
      </c>
      <c r="T68" s="3"/>
      <c r="U68" s="205"/>
      <c r="V68" s="206"/>
      <c r="W68" s="207"/>
    </row>
    <row r="69" spans="1:23" x14ac:dyDescent="0.3">
      <c r="A69" s="163"/>
      <c r="B69" s="5"/>
      <c r="C69" s="5"/>
      <c r="D69" s="68">
        <v>0.70833333333333337</v>
      </c>
      <c r="E69" s="211" t="s">
        <v>356</v>
      </c>
      <c r="F69" s="212"/>
      <c r="G69" s="212"/>
      <c r="H69" s="212"/>
      <c r="I69" s="213"/>
      <c r="J69" s="165"/>
      <c r="K69" s="166"/>
      <c r="L69" s="165"/>
      <c r="M69" s="166"/>
      <c r="N69" s="165"/>
      <c r="O69" s="166"/>
      <c r="P69" s="165">
        <v>165</v>
      </c>
      <c r="Q69" s="166"/>
      <c r="R69" s="66"/>
      <c r="S69" s="6" t="s">
        <v>20</v>
      </c>
      <c r="T69" s="3"/>
      <c r="U69" s="205"/>
      <c r="V69" s="206"/>
      <c r="W69" s="207"/>
    </row>
    <row r="70" spans="1:23" x14ac:dyDescent="0.3">
      <c r="A70" s="163"/>
      <c r="B70" s="5"/>
      <c r="C70" s="5"/>
      <c r="D70" s="4"/>
      <c r="E70" s="211"/>
      <c r="F70" s="212"/>
      <c r="G70" s="212"/>
      <c r="H70" s="212"/>
      <c r="I70" s="213"/>
      <c r="J70" s="165"/>
      <c r="K70" s="166"/>
      <c r="L70" s="165"/>
      <c r="M70" s="166"/>
      <c r="N70" s="165"/>
      <c r="O70" s="166"/>
      <c r="P70" s="165"/>
      <c r="Q70" s="166"/>
      <c r="R70" s="66"/>
      <c r="S70" s="6" t="s">
        <v>20</v>
      </c>
      <c r="T70" s="3"/>
      <c r="U70" s="205"/>
      <c r="V70" s="206"/>
      <c r="W70" s="207"/>
    </row>
    <row r="71" spans="1:23" x14ac:dyDescent="0.3">
      <c r="A71" s="164"/>
      <c r="B71" s="19"/>
      <c r="C71" s="19"/>
      <c r="D71" s="20"/>
      <c r="E71" s="170" t="s">
        <v>0</v>
      </c>
      <c r="F71" s="171"/>
      <c r="G71" s="171"/>
      <c r="H71" s="171"/>
      <c r="I71" s="172"/>
      <c r="J71" s="173">
        <f>SUM(J64:J70)</f>
        <v>0</v>
      </c>
      <c r="K71" s="174"/>
      <c r="L71" s="173">
        <f>SUM(L64:L70)</f>
        <v>0</v>
      </c>
      <c r="M71" s="174"/>
      <c r="N71" s="173">
        <f>SUM(N64:N70)</f>
        <v>0</v>
      </c>
      <c r="O71" s="174"/>
      <c r="P71" s="173">
        <f>SUM(P64:P70)</f>
        <v>3292</v>
      </c>
      <c r="Q71" s="174"/>
      <c r="R71" s="23">
        <f>SUM(R64:R70)</f>
        <v>0</v>
      </c>
      <c r="S71" s="24" t="s">
        <v>20</v>
      </c>
      <c r="T71" s="19"/>
      <c r="U71" s="208"/>
      <c r="V71" s="209"/>
      <c r="W71" s="210"/>
    </row>
    <row r="72" spans="1:23" x14ac:dyDescent="0.3">
      <c r="A72" s="180" t="s">
        <v>36</v>
      </c>
      <c r="B72" s="5"/>
      <c r="C72" s="5"/>
      <c r="D72" s="4"/>
      <c r="E72" s="211"/>
      <c r="F72" s="212"/>
      <c r="G72" s="212"/>
      <c r="H72" s="212"/>
      <c r="I72" s="213"/>
      <c r="J72" s="165"/>
      <c r="K72" s="166"/>
      <c r="L72" s="165"/>
      <c r="M72" s="166"/>
      <c r="N72" s="165"/>
      <c r="O72" s="166"/>
      <c r="P72" s="165"/>
      <c r="Q72" s="166"/>
      <c r="R72" s="66"/>
      <c r="S72" s="6" t="s">
        <v>20</v>
      </c>
      <c r="T72" s="3"/>
      <c r="U72" s="202"/>
      <c r="V72" s="203"/>
      <c r="W72" s="204"/>
    </row>
    <row r="73" spans="1:23" x14ac:dyDescent="0.3">
      <c r="A73" s="163"/>
      <c r="B73" s="5"/>
      <c r="C73" s="5"/>
      <c r="D73" s="4"/>
      <c r="E73" s="211"/>
      <c r="F73" s="212"/>
      <c r="G73" s="212"/>
      <c r="H73" s="212"/>
      <c r="I73" s="213"/>
      <c r="J73" s="165"/>
      <c r="K73" s="166"/>
      <c r="L73" s="165"/>
      <c r="M73" s="166"/>
      <c r="N73" s="165"/>
      <c r="O73" s="166"/>
      <c r="P73" s="165"/>
      <c r="Q73" s="166"/>
      <c r="R73" s="66"/>
      <c r="S73" s="6" t="s">
        <v>20</v>
      </c>
      <c r="T73" s="3"/>
      <c r="U73" s="205"/>
      <c r="V73" s="206"/>
      <c r="W73" s="207"/>
    </row>
    <row r="74" spans="1:23" x14ac:dyDescent="0.3">
      <c r="A74" s="163"/>
      <c r="B74" s="5"/>
      <c r="C74" s="5"/>
      <c r="D74" s="4"/>
      <c r="E74" s="211"/>
      <c r="F74" s="212"/>
      <c r="G74" s="212"/>
      <c r="H74" s="212"/>
      <c r="I74" s="213"/>
      <c r="J74" s="165"/>
      <c r="K74" s="166"/>
      <c r="L74" s="165"/>
      <c r="M74" s="166"/>
      <c r="N74" s="165"/>
      <c r="O74" s="166"/>
      <c r="P74" s="165"/>
      <c r="Q74" s="166"/>
      <c r="R74" s="66"/>
      <c r="S74" s="6" t="s">
        <v>20</v>
      </c>
      <c r="T74" s="3"/>
      <c r="U74" s="205"/>
      <c r="V74" s="206"/>
      <c r="W74" s="207"/>
    </row>
    <row r="75" spans="1:23" x14ac:dyDescent="0.3">
      <c r="A75" s="164"/>
      <c r="B75" s="19"/>
      <c r="C75" s="19"/>
      <c r="D75" s="20"/>
      <c r="E75" s="170" t="s">
        <v>0</v>
      </c>
      <c r="F75" s="171"/>
      <c r="G75" s="171"/>
      <c r="H75" s="171"/>
      <c r="I75" s="172"/>
      <c r="J75" s="173">
        <f>SUM(J72:J74)</f>
        <v>0</v>
      </c>
      <c r="K75" s="174"/>
      <c r="L75" s="173">
        <f>SUM(L72:L74)</f>
        <v>0</v>
      </c>
      <c r="M75" s="174"/>
      <c r="N75" s="173">
        <f>SUM(N72:N74)</f>
        <v>0</v>
      </c>
      <c r="O75" s="174"/>
      <c r="P75" s="173">
        <f>SUM(P72:P74)</f>
        <v>0</v>
      </c>
      <c r="Q75" s="174"/>
      <c r="R75" s="23">
        <f>SUM(R72:R74)</f>
        <v>0</v>
      </c>
      <c r="S75" s="24" t="s">
        <v>20</v>
      </c>
      <c r="T75" s="19"/>
      <c r="U75" s="208"/>
      <c r="V75" s="209"/>
      <c r="W75" s="210"/>
    </row>
    <row r="76" spans="1:23" x14ac:dyDescent="0.3">
      <c r="E76" s="28"/>
      <c r="F76" s="28"/>
      <c r="G76" s="28"/>
      <c r="H76" s="28"/>
      <c r="I76" s="28"/>
      <c r="J76" s="29"/>
      <c r="K76" s="29"/>
      <c r="L76" s="29"/>
      <c r="M76" s="29"/>
      <c r="N76" s="29"/>
      <c r="O76" s="29"/>
      <c r="P76" s="29"/>
      <c r="Q76" s="29"/>
    </row>
    <row r="77" spans="1:23" x14ac:dyDescent="0.3">
      <c r="E77" s="170" t="s">
        <v>28</v>
      </c>
      <c r="F77" s="171"/>
      <c r="G77" s="171"/>
      <c r="H77" s="171"/>
      <c r="I77" s="172"/>
      <c r="J77" s="175" t="s">
        <v>7</v>
      </c>
      <c r="K77" s="176"/>
      <c r="L77" s="175" t="s">
        <v>8</v>
      </c>
      <c r="M77" s="176"/>
      <c r="N77" s="175" t="s">
        <v>9</v>
      </c>
      <c r="O77" s="176"/>
      <c r="P77" s="175" t="s">
        <v>16</v>
      </c>
      <c r="Q77" s="176"/>
    </row>
    <row r="78" spans="1:23" s="2" customFormat="1" x14ac:dyDescent="0.3">
      <c r="E78" s="15"/>
      <c r="F78" s="15"/>
      <c r="G78" s="15"/>
      <c r="H78" s="15"/>
      <c r="I78" s="15"/>
      <c r="J78" s="30">
        <f>J59+J63</f>
        <v>3760</v>
      </c>
      <c r="K78" s="31" t="s">
        <v>17</v>
      </c>
      <c r="L78" s="32">
        <f>L59+L63</f>
        <v>0</v>
      </c>
      <c r="M78" s="31" t="s">
        <v>17</v>
      </c>
      <c r="N78" s="32">
        <f>N59+N63</f>
        <v>0</v>
      </c>
      <c r="O78" s="31" t="s">
        <v>17</v>
      </c>
      <c r="P78" s="33">
        <f>P71+P75</f>
        <v>3292</v>
      </c>
      <c r="Q78" s="34" t="s">
        <v>17</v>
      </c>
    </row>
    <row r="79" spans="1:23" s="8" customFormat="1" ht="24.45" customHeight="1" x14ac:dyDescent="0.3">
      <c r="A79"/>
      <c r="B79"/>
      <c r="C79"/>
      <c r="E79" s="28"/>
      <c r="F79" s="28"/>
      <c r="G79" s="28"/>
      <c r="H79" s="28"/>
      <c r="I79" s="28"/>
      <c r="J79" s="167">
        <f>J78+L78+N78+P78</f>
        <v>7052</v>
      </c>
      <c r="K79" s="168"/>
      <c r="L79" s="168"/>
      <c r="M79" s="168"/>
      <c r="N79" s="168"/>
      <c r="O79" s="168"/>
      <c r="P79" s="168"/>
      <c r="Q79" s="169"/>
      <c r="S79"/>
      <c r="T79"/>
      <c r="U79"/>
      <c r="V79"/>
      <c r="W79"/>
    </row>
  </sheetData>
  <mergeCells count="316">
    <mergeCell ref="E77:I77"/>
    <mergeCell ref="J77:K77"/>
    <mergeCell ref="L77:M77"/>
    <mergeCell ref="N77:O77"/>
    <mergeCell ref="P77:Q77"/>
    <mergeCell ref="J79:Q79"/>
    <mergeCell ref="N74:O74"/>
    <mergeCell ref="P74:Q74"/>
    <mergeCell ref="E75:I75"/>
    <mergeCell ref="J75:K75"/>
    <mergeCell ref="L75:M75"/>
    <mergeCell ref="N75:O75"/>
    <mergeCell ref="P75:Q75"/>
    <mergeCell ref="U72:W75"/>
    <mergeCell ref="E73:I73"/>
    <mergeCell ref="J73:K73"/>
    <mergeCell ref="L73:M73"/>
    <mergeCell ref="N73:O73"/>
    <mergeCell ref="P73:Q73"/>
    <mergeCell ref="E74:I74"/>
    <mergeCell ref="J74:K74"/>
    <mergeCell ref="L74:M74"/>
    <mergeCell ref="E71:I71"/>
    <mergeCell ref="J71:K71"/>
    <mergeCell ref="L71:M71"/>
    <mergeCell ref="N71:O71"/>
    <mergeCell ref="P71:Q71"/>
    <mergeCell ref="A72:A75"/>
    <mergeCell ref="E72:I72"/>
    <mergeCell ref="J72:K72"/>
    <mergeCell ref="L72:M72"/>
    <mergeCell ref="N72:O72"/>
    <mergeCell ref="A64:A71"/>
    <mergeCell ref="J67:K67"/>
    <mergeCell ref="L67:M67"/>
    <mergeCell ref="P72:Q72"/>
    <mergeCell ref="E69:I69"/>
    <mergeCell ref="J69:K69"/>
    <mergeCell ref="L69:M69"/>
    <mergeCell ref="N69:O69"/>
    <mergeCell ref="P69:Q69"/>
    <mergeCell ref="E70:I70"/>
    <mergeCell ref="J70:K70"/>
    <mergeCell ref="L70:M70"/>
    <mergeCell ref="N70:O70"/>
    <mergeCell ref="P70:Q70"/>
    <mergeCell ref="N67:O67"/>
    <mergeCell ref="P67:Q67"/>
    <mergeCell ref="E68:I68"/>
    <mergeCell ref="J68:K68"/>
    <mergeCell ref="L68:M68"/>
    <mergeCell ref="N68:O68"/>
    <mergeCell ref="P68:Q68"/>
    <mergeCell ref="U64:W71"/>
    <mergeCell ref="E65:I65"/>
    <mergeCell ref="J65:K65"/>
    <mergeCell ref="L65:M65"/>
    <mergeCell ref="N65:O65"/>
    <mergeCell ref="P65:Q65"/>
    <mergeCell ref="E66:I66"/>
    <mergeCell ref="J66:K66"/>
    <mergeCell ref="L66:M66"/>
    <mergeCell ref="N66:O66"/>
    <mergeCell ref="E64:I64"/>
    <mergeCell ref="J64:K64"/>
    <mergeCell ref="L64:M64"/>
    <mergeCell ref="N64:O64"/>
    <mergeCell ref="P64:Q64"/>
    <mergeCell ref="P66:Q66"/>
    <mergeCell ref="E67:I67"/>
    <mergeCell ref="U60:W63"/>
    <mergeCell ref="E61:I61"/>
    <mergeCell ref="J61:K61"/>
    <mergeCell ref="L61:M61"/>
    <mergeCell ref="N61:O61"/>
    <mergeCell ref="P61:Q61"/>
    <mergeCell ref="E62:I62"/>
    <mergeCell ref="J62:K62"/>
    <mergeCell ref="L62:M62"/>
    <mergeCell ref="P62:Q62"/>
    <mergeCell ref="E63:I63"/>
    <mergeCell ref="J63:K63"/>
    <mergeCell ref="L63:M63"/>
    <mergeCell ref="N63:O63"/>
    <mergeCell ref="P63:Q63"/>
    <mergeCell ref="P60:Q60"/>
    <mergeCell ref="L58:M58"/>
    <mergeCell ref="N58:O58"/>
    <mergeCell ref="P58:Q58"/>
    <mergeCell ref="A60:A63"/>
    <mergeCell ref="E60:I60"/>
    <mergeCell ref="J60:K60"/>
    <mergeCell ref="L60:M60"/>
    <mergeCell ref="N60:O60"/>
    <mergeCell ref="A54:A59"/>
    <mergeCell ref="J57:K57"/>
    <mergeCell ref="L57:M57"/>
    <mergeCell ref="N62:O62"/>
    <mergeCell ref="N57:O57"/>
    <mergeCell ref="P57:Q57"/>
    <mergeCell ref="U54:W59"/>
    <mergeCell ref="E55:I55"/>
    <mergeCell ref="J55:K55"/>
    <mergeCell ref="L55:M55"/>
    <mergeCell ref="N55:O55"/>
    <mergeCell ref="P55:Q55"/>
    <mergeCell ref="E56:I56"/>
    <mergeCell ref="J56:K56"/>
    <mergeCell ref="L56:M56"/>
    <mergeCell ref="N56:O56"/>
    <mergeCell ref="E54:I54"/>
    <mergeCell ref="J54:K54"/>
    <mergeCell ref="L54:M54"/>
    <mergeCell ref="N54:O54"/>
    <mergeCell ref="P54:Q54"/>
    <mergeCell ref="P56:Q56"/>
    <mergeCell ref="E57:I57"/>
    <mergeCell ref="E59:I59"/>
    <mergeCell ref="J59:K59"/>
    <mergeCell ref="L59:M59"/>
    <mergeCell ref="N59:O59"/>
    <mergeCell ref="P59:Q59"/>
    <mergeCell ref="E58:I58"/>
    <mergeCell ref="J58:K58"/>
    <mergeCell ref="E46:I46"/>
    <mergeCell ref="J46:K46"/>
    <mergeCell ref="L46:M46"/>
    <mergeCell ref="N46:O46"/>
    <mergeCell ref="P46:Q46"/>
    <mergeCell ref="R52:S53"/>
    <mergeCell ref="T52:T53"/>
    <mergeCell ref="U52:W53"/>
    <mergeCell ref="J53:K53"/>
    <mergeCell ref="L53:M53"/>
    <mergeCell ref="N53:O53"/>
    <mergeCell ref="P53:Q53"/>
    <mergeCell ref="J48:Q48"/>
    <mergeCell ref="Q50:S50"/>
    <mergeCell ref="T50:W50"/>
    <mergeCell ref="A51:W51"/>
    <mergeCell ref="A52:A53"/>
    <mergeCell ref="B52:B53"/>
    <mergeCell ref="C52:C53"/>
    <mergeCell ref="D52:D53"/>
    <mergeCell ref="E52:I53"/>
    <mergeCell ref="J52:Q52"/>
    <mergeCell ref="U36:W44"/>
    <mergeCell ref="J37:K37"/>
    <mergeCell ref="L37:M37"/>
    <mergeCell ref="N37:O37"/>
    <mergeCell ref="P37:Q37"/>
    <mergeCell ref="J38:K38"/>
    <mergeCell ref="L38:M38"/>
    <mergeCell ref="N38:O38"/>
    <mergeCell ref="P38:Q38"/>
    <mergeCell ref="J39:K39"/>
    <mergeCell ref="J42:K42"/>
    <mergeCell ref="L42:M42"/>
    <mergeCell ref="N42:O42"/>
    <mergeCell ref="P42:Q42"/>
    <mergeCell ref="J43:K43"/>
    <mergeCell ref="L43:M43"/>
    <mergeCell ref="N43:O43"/>
    <mergeCell ref="P43:Q43"/>
    <mergeCell ref="J41:K41"/>
    <mergeCell ref="L41:M41"/>
    <mergeCell ref="N41:O41"/>
    <mergeCell ref="P41:Q41"/>
    <mergeCell ref="J44:K44"/>
    <mergeCell ref="L44:M44"/>
    <mergeCell ref="A36:A44"/>
    <mergeCell ref="J36:K36"/>
    <mergeCell ref="L36:M36"/>
    <mergeCell ref="N36:O36"/>
    <mergeCell ref="P36:Q36"/>
    <mergeCell ref="L39:M39"/>
    <mergeCell ref="N39:O39"/>
    <mergeCell ref="P39:Q39"/>
    <mergeCell ref="J40:K40"/>
    <mergeCell ref="L40:M40"/>
    <mergeCell ref="N40:O40"/>
    <mergeCell ref="P40:Q40"/>
    <mergeCell ref="E44:I44"/>
    <mergeCell ref="N44:O44"/>
    <mergeCell ref="P44:Q44"/>
    <mergeCell ref="U31:W35"/>
    <mergeCell ref="J32:K32"/>
    <mergeCell ref="L32:M32"/>
    <mergeCell ref="N32:O32"/>
    <mergeCell ref="P32:Q32"/>
    <mergeCell ref="E35:I35"/>
    <mergeCell ref="J35:K35"/>
    <mergeCell ref="L35:M35"/>
    <mergeCell ref="N35:O35"/>
    <mergeCell ref="P35:Q35"/>
    <mergeCell ref="A31:A35"/>
    <mergeCell ref="J31:K31"/>
    <mergeCell ref="L31:M31"/>
    <mergeCell ref="N31:O31"/>
    <mergeCell ref="P31:Q31"/>
    <mergeCell ref="J33:K33"/>
    <mergeCell ref="L33:M33"/>
    <mergeCell ref="N33:O33"/>
    <mergeCell ref="P33:Q33"/>
    <mergeCell ref="J34:K34"/>
    <mergeCell ref="L34:M34"/>
    <mergeCell ref="N34:O34"/>
    <mergeCell ref="P34:Q34"/>
    <mergeCell ref="U25:W30"/>
    <mergeCell ref="J26:K26"/>
    <mergeCell ref="L26:M26"/>
    <mergeCell ref="N26:O26"/>
    <mergeCell ref="P26:Q26"/>
    <mergeCell ref="J27:K27"/>
    <mergeCell ref="L27:M27"/>
    <mergeCell ref="N27:O27"/>
    <mergeCell ref="P27:Q27"/>
    <mergeCell ref="J30:K30"/>
    <mergeCell ref="L30:M30"/>
    <mergeCell ref="N30:O30"/>
    <mergeCell ref="P30:Q30"/>
    <mergeCell ref="A25:A30"/>
    <mergeCell ref="J25:K25"/>
    <mergeCell ref="L25:M25"/>
    <mergeCell ref="N25:O25"/>
    <mergeCell ref="P25:Q25"/>
    <mergeCell ref="G23:G24"/>
    <mergeCell ref="H23:H24"/>
    <mergeCell ref="I23:I24"/>
    <mergeCell ref="J23:Q23"/>
    <mergeCell ref="J28:K28"/>
    <mergeCell ref="L28:M28"/>
    <mergeCell ref="N28:O28"/>
    <mergeCell ref="P28:Q28"/>
    <mergeCell ref="J29:K29"/>
    <mergeCell ref="L29:M29"/>
    <mergeCell ref="N29:O29"/>
    <mergeCell ref="P29:Q29"/>
    <mergeCell ref="E30:I30"/>
    <mergeCell ref="J19:Q19"/>
    <mergeCell ref="Q21:S21"/>
    <mergeCell ref="T21:W21"/>
    <mergeCell ref="A22:W22"/>
    <mergeCell ref="A23:A24"/>
    <mergeCell ref="B23:B24"/>
    <mergeCell ref="C23:C24"/>
    <mergeCell ref="D23:D24"/>
    <mergeCell ref="E23:E24"/>
    <mergeCell ref="F23:F24"/>
    <mergeCell ref="U23:W24"/>
    <mergeCell ref="J24:K24"/>
    <mergeCell ref="L24:M24"/>
    <mergeCell ref="N24:O24"/>
    <mergeCell ref="P24:Q24"/>
    <mergeCell ref="R23:S24"/>
    <mergeCell ref="T23:T24"/>
    <mergeCell ref="N10:O10"/>
    <mergeCell ref="P10:Q10"/>
    <mergeCell ref="B15:I15"/>
    <mergeCell ref="E17:I17"/>
    <mergeCell ref="J17:K17"/>
    <mergeCell ref="L17:M17"/>
    <mergeCell ref="N17:O17"/>
    <mergeCell ref="P17:Q17"/>
    <mergeCell ref="J13:K13"/>
    <mergeCell ref="L13:M13"/>
    <mergeCell ref="N13:O13"/>
    <mergeCell ref="P13:Q13"/>
    <mergeCell ref="J14:K14"/>
    <mergeCell ref="L14:M14"/>
    <mergeCell ref="N14:O14"/>
    <mergeCell ref="P14:Q14"/>
    <mergeCell ref="A7:A15"/>
    <mergeCell ref="J7:K7"/>
    <mergeCell ref="L7:M7"/>
    <mergeCell ref="N7:O7"/>
    <mergeCell ref="P7:Q7"/>
    <mergeCell ref="U7:W15"/>
    <mergeCell ref="J8:K8"/>
    <mergeCell ref="L8:M8"/>
    <mergeCell ref="N8:O8"/>
    <mergeCell ref="P8:Q8"/>
    <mergeCell ref="J11:K11"/>
    <mergeCell ref="L11:M11"/>
    <mergeCell ref="N11:O11"/>
    <mergeCell ref="P11:Q11"/>
    <mergeCell ref="J12:K12"/>
    <mergeCell ref="L12:M12"/>
    <mergeCell ref="N12:O12"/>
    <mergeCell ref="P12:Q12"/>
    <mergeCell ref="J9:K9"/>
    <mergeCell ref="L9:M9"/>
    <mergeCell ref="N9:O9"/>
    <mergeCell ref="P9:Q9"/>
    <mergeCell ref="J10:K10"/>
    <mergeCell ref="L10:M10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W77"/>
  <sheetViews>
    <sheetView topLeftCell="A4" zoomScale="85" zoomScaleNormal="85" workbookViewId="0">
      <selection activeCell="J24" sqref="J24:Q24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4.10937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45934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21025</v>
      </c>
      <c r="E7" s="12" t="s">
        <v>374</v>
      </c>
      <c r="F7" s="17">
        <v>234</v>
      </c>
      <c r="G7" s="17">
        <v>304</v>
      </c>
      <c r="H7" s="18">
        <v>0.6</v>
      </c>
      <c r="I7" s="17">
        <v>31000</v>
      </c>
      <c r="J7" s="165">
        <v>1029</v>
      </c>
      <c r="K7" s="166"/>
      <c r="L7" s="165"/>
      <c r="M7" s="166"/>
      <c r="N7" s="165"/>
      <c r="O7" s="166"/>
      <c r="P7" s="165"/>
      <c r="Q7" s="166"/>
      <c r="R7" s="70">
        <v>10</v>
      </c>
      <c r="S7" s="14" t="s">
        <v>20</v>
      </c>
      <c r="T7" s="42" t="s">
        <v>111</v>
      </c>
      <c r="U7" s="202" t="s">
        <v>382</v>
      </c>
      <c r="V7" s="203"/>
      <c r="W7" s="204"/>
    </row>
    <row r="8" spans="1:23" x14ac:dyDescent="0.3">
      <c r="A8" s="181"/>
      <c r="B8" s="5"/>
      <c r="C8" s="5"/>
      <c r="D8" s="4">
        <v>21025</v>
      </c>
      <c r="E8" s="12" t="s">
        <v>375</v>
      </c>
      <c r="F8" s="17">
        <v>257</v>
      </c>
      <c r="G8" s="17">
        <v>304</v>
      </c>
      <c r="H8" s="18">
        <v>0.6</v>
      </c>
      <c r="I8" s="17">
        <v>28000</v>
      </c>
      <c r="J8" s="165">
        <v>1050</v>
      </c>
      <c r="K8" s="166"/>
      <c r="L8" s="165"/>
      <c r="M8" s="166"/>
      <c r="N8" s="165"/>
      <c r="O8" s="166"/>
      <c r="P8" s="165"/>
      <c r="Q8" s="166"/>
      <c r="R8" s="70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 t="s">
        <v>102</v>
      </c>
      <c r="E9" s="12" t="s">
        <v>376</v>
      </c>
      <c r="F9" s="17">
        <v>147</v>
      </c>
      <c r="G9" s="17">
        <v>304</v>
      </c>
      <c r="H9" s="18">
        <v>0.6</v>
      </c>
      <c r="I9" s="17">
        <v>26000</v>
      </c>
      <c r="J9" s="165"/>
      <c r="K9" s="166"/>
      <c r="L9" s="165"/>
      <c r="M9" s="166"/>
      <c r="N9" s="165">
        <v>175</v>
      </c>
      <c r="O9" s="166"/>
      <c r="P9" s="165"/>
      <c r="Q9" s="166"/>
      <c r="R9" s="70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>
        <v>21025</v>
      </c>
      <c r="E10" s="12" t="s">
        <v>377</v>
      </c>
      <c r="F10" s="17">
        <v>277</v>
      </c>
      <c r="G10" s="17">
        <v>304</v>
      </c>
      <c r="H10" s="18">
        <v>0.6</v>
      </c>
      <c r="I10" s="17">
        <v>26000</v>
      </c>
      <c r="J10" s="165">
        <v>1044</v>
      </c>
      <c r="K10" s="166"/>
      <c r="L10" s="165"/>
      <c r="M10" s="166"/>
      <c r="N10" s="165"/>
      <c r="O10" s="166"/>
      <c r="P10" s="165"/>
      <c r="Q10" s="166"/>
      <c r="R10" s="70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>
        <v>21025</v>
      </c>
      <c r="E11" s="12" t="s">
        <v>378</v>
      </c>
      <c r="F11" s="17">
        <v>226</v>
      </c>
      <c r="G11" s="17">
        <v>304</v>
      </c>
      <c r="H11" s="18">
        <v>0.6</v>
      </c>
      <c r="I11" s="17">
        <v>26000</v>
      </c>
      <c r="J11" s="165">
        <v>560</v>
      </c>
      <c r="K11" s="166"/>
      <c r="L11" s="165"/>
      <c r="M11" s="166"/>
      <c r="N11" s="165"/>
      <c r="O11" s="166"/>
      <c r="P11" s="165"/>
      <c r="Q11" s="166"/>
      <c r="R11" s="70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380</v>
      </c>
      <c r="F12" s="17">
        <v>100</v>
      </c>
      <c r="G12" s="17">
        <v>304</v>
      </c>
      <c r="H12" s="18">
        <v>0.6</v>
      </c>
      <c r="I12" s="17">
        <v>26000</v>
      </c>
      <c r="J12" s="165"/>
      <c r="K12" s="166"/>
      <c r="L12" s="165"/>
      <c r="M12" s="166"/>
      <c r="N12" s="165">
        <v>80</v>
      </c>
      <c r="O12" s="166"/>
      <c r="P12" s="165"/>
      <c r="Q12" s="166"/>
      <c r="R12" s="70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>
        <v>21025</v>
      </c>
      <c r="E13" s="12" t="s">
        <v>379</v>
      </c>
      <c r="F13" s="17">
        <v>300</v>
      </c>
      <c r="G13" s="17">
        <v>304</v>
      </c>
      <c r="H13" s="18">
        <v>0.6</v>
      </c>
      <c r="I13" s="17">
        <v>26000</v>
      </c>
      <c r="J13" s="165">
        <v>510</v>
      </c>
      <c r="K13" s="166"/>
      <c r="L13" s="165"/>
      <c r="M13" s="166"/>
      <c r="N13" s="165"/>
      <c r="O13" s="166"/>
      <c r="P13" s="165"/>
      <c r="Q13" s="166"/>
      <c r="R13" s="70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>
        <v>0.5</v>
      </c>
      <c r="D14" s="4" t="s">
        <v>102</v>
      </c>
      <c r="E14" s="12" t="s">
        <v>381</v>
      </c>
      <c r="F14" s="17">
        <v>180</v>
      </c>
      <c r="G14" s="17">
        <v>304</v>
      </c>
      <c r="H14" s="18">
        <v>0.6</v>
      </c>
      <c r="I14" s="17">
        <v>26000</v>
      </c>
      <c r="J14" s="165"/>
      <c r="K14" s="166"/>
      <c r="L14" s="165"/>
      <c r="M14" s="166"/>
      <c r="N14" s="165">
        <v>102</v>
      </c>
      <c r="O14" s="166"/>
      <c r="P14" s="165"/>
      <c r="Q14" s="166"/>
      <c r="R14" s="70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/>
      <c r="E15" s="12"/>
      <c r="F15" s="17"/>
      <c r="G15" s="17"/>
      <c r="H15" s="18"/>
      <c r="I15" s="17"/>
      <c r="J15" s="165"/>
      <c r="K15" s="166"/>
      <c r="L15" s="165"/>
      <c r="M15" s="166"/>
      <c r="N15" s="165"/>
      <c r="O15" s="166"/>
      <c r="P15" s="165"/>
      <c r="Q15" s="166"/>
      <c r="R15" s="70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70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70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70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70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70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4193</v>
      </c>
      <c r="K21" s="22" t="s">
        <v>17</v>
      </c>
      <c r="L21" s="21">
        <f>SUM(L7:M20)</f>
        <v>0</v>
      </c>
      <c r="M21" s="22" t="s">
        <v>17</v>
      </c>
      <c r="N21" s="21">
        <f>SUM(N7:O20)</f>
        <v>357</v>
      </c>
      <c r="O21" s="22" t="s">
        <v>17</v>
      </c>
      <c r="P21" s="21">
        <f>SUM(P7:Q20)</f>
        <v>0</v>
      </c>
      <c r="Q21" s="22" t="s">
        <v>17</v>
      </c>
      <c r="R21" s="23">
        <f>SUM(R7:R20)</f>
        <v>10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4193</v>
      </c>
      <c r="K24" s="31" t="s">
        <v>17</v>
      </c>
      <c r="L24" s="32">
        <f>L21</f>
        <v>0</v>
      </c>
      <c r="M24" s="31" t="s">
        <v>17</v>
      </c>
      <c r="N24" s="32">
        <f>N21</f>
        <v>357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4550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45934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/>
      <c r="D31" s="4">
        <v>180925</v>
      </c>
      <c r="E31" s="12" t="s">
        <v>383</v>
      </c>
      <c r="F31" s="40">
        <v>430</v>
      </c>
      <c r="G31" s="41">
        <v>0.5</v>
      </c>
      <c r="H31" s="40">
        <v>340</v>
      </c>
      <c r="I31" s="12">
        <v>6</v>
      </c>
      <c r="J31" s="165">
        <v>773</v>
      </c>
      <c r="K31" s="166"/>
      <c r="L31" s="165"/>
      <c r="M31" s="166"/>
      <c r="N31" s="165"/>
      <c r="O31" s="166"/>
      <c r="P31" s="165"/>
      <c r="Q31" s="166"/>
      <c r="R31" s="70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/>
      <c r="D32" s="4">
        <v>250070</v>
      </c>
      <c r="E32" s="13" t="s">
        <v>345</v>
      </c>
      <c r="F32" s="40">
        <v>304</v>
      </c>
      <c r="G32" s="41">
        <v>0.7</v>
      </c>
      <c r="H32" s="40">
        <v>315</v>
      </c>
      <c r="I32" s="12">
        <v>5</v>
      </c>
      <c r="J32" s="165">
        <v>660</v>
      </c>
      <c r="K32" s="166"/>
      <c r="L32" s="165"/>
      <c r="M32" s="166"/>
      <c r="N32" s="165"/>
      <c r="O32" s="166"/>
      <c r="P32" s="165"/>
      <c r="Q32" s="166"/>
      <c r="R32" s="70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>
        <v>0.58333333333333337</v>
      </c>
      <c r="D33" s="4">
        <v>160925</v>
      </c>
      <c r="E33" s="12" t="s">
        <v>385</v>
      </c>
      <c r="F33" s="40">
        <v>304</v>
      </c>
      <c r="G33" s="41">
        <v>0.7</v>
      </c>
      <c r="H33" s="40">
        <v>319</v>
      </c>
      <c r="I33" s="12">
        <v>5</v>
      </c>
      <c r="J33" s="165">
        <v>212</v>
      </c>
      <c r="K33" s="166"/>
      <c r="L33" s="165"/>
      <c r="M33" s="166"/>
      <c r="N33" s="165"/>
      <c r="O33" s="166"/>
      <c r="P33" s="165"/>
      <c r="Q33" s="166"/>
      <c r="R33" s="70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1"/>
      <c r="B34" s="5"/>
      <c r="C34" s="5"/>
      <c r="D34" s="4"/>
      <c r="E34" s="13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70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81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70"/>
      <c r="S35" s="14" t="s">
        <v>20</v>
      </c>
      <c r="T35" s="42"/>
      <c r="U35" s="177"/>
      <c r="V35" s="178"/>
      <c r="W35" s="179"/>
    </row>
    <row r="36" spans="1:23" ht="14.55" customHeight="1" x14ac:dyDescent="0.3">
      <c r="A36" s="182"/>
      <c r="B36" s="19"/>
      <c r="C36" s="19"/>
      <c r="D36" s="20"/>
      <c r="E36" s="170" t="s">
        <v>0</v>
      </c>
      <c r="F36" s="171"/>
      <c r="G36" s="171"/>
      <c r="H36" s="171"/>
      <c r="I36" s="172"/>
      <c r="J36" s="173">
        <f>SUM(J31:K35)</f>
        <v>1645</v>
      </c>
      <c r="K36" s="174"/>
      <c r="L36" s="173">
        <f>SUM(L31:M35)</f>
        <v>0</v>
      </c>
      <c r="M36" s="174"/>
      <c r="N36" s="173">
        <f>SUM(N31:O35)</f>
        <v>0</v>
      </c>
      <c r="O36" s="174"/>
      <c r="P36" s="173">
        <f>SUM(P31:Q35)</f>
        <v>0</v>
      </c>
      <c r="Q36" s="174"/>
      <c r="R36" s="23">
        <f>SUM(R31:R35)</f>
        <v>0</v>
      </c>
      <c r="S36" s="24" t="s">
        <v>20</v>
      </c>
      <c r="T36" s="19"/>
      <c r="U36" s="177"/>
      <c r="V36" s="178"/>
      <c r="W36" s="179"/>
    </row>
    <row r="37" spans="1:23" ht="14.55" customHeight="1" x14ac:dyDescent="0.3">
      <c r="A37" s="163" t="s">
        <v>34</v>
      </c>
      <c r="B37" s="5">
        <v>0.33333333333333331</v>
      </c>
      <c r="C37" s="5"/>
      <c r="D37" s="4">
        <v>160925</v>
      </c>
      <c r="E37" s="13" t="s">
        <v>386</v>
      </c>
      <c r="F37" s="40">
        <v>304</v>
      </c>
      <c r="G37" s="41">
        <v>0.7</v>
      </c>
      <c r="H37" s="40">
        <v>342</v>
      </c>
      <c r="I37" s="12">
        <v>3</v>
      </c>
      <c r="J37" s="165">
        <v>1100</v>
      </c>
      <c r="K37" s="166"/>
      <c r="L37" s="165"/>
      <c r="M37" s="166"/>
      <c r="N37" s="165"/>
      <c r="O37" s="166"/>
      <c r="P37" s="165"/>
      <c r="Q37" s="166"/>
      <c r="R37" s="70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63"/>
      <c r="B38" s="5"/>
      <c r="C38" s="5">
        <v>0.58333333333333337</v>
      </c>
      <c r="D38" s="4">
        <v>250077</v>
      </c>
      <c r="E38" s="12" t="s">
        <v>387</v>
      </c>
      <c r="F38" s="40">
        <v>430</v>
      </c>
      <c r="G38" s="41">
        <v>0.5</v>
      </c>
      <c r="H38" s="40">
        <v>457</v>
      </c>
      <c r="I38" s="12">
        <v>1</v>
      </c>
      <c r="J38" s="165">
        <v>155</v>
      </c>
      <c r="K38" s="166"/>
      <c r="L38" s="165"/>
      <c r="M38" s="166"/>
      <c r="N38" s="165"/>
      <c r="O38" s="166"/>
      <c r="P38" s="165"/>
      <c r="Q38" s="166"/>
      <c r="R38" s="70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3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70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64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SUM(J37:K39)</f>
        <v>1255</v>
      </c>
      <c r="K40" s="174"/>
      <c r="L40" s="173">
        <f>SUM(L37:M39)</f>
        <v>0</v>
      </c>
      <c r="M40" s="174"/>
      <c r="N40" s="173">
        <f>SUM(N37:O39)</f>
        <v>0</v>
      </c>
      <c r="O40" s="174"/>
      <c r="P40" s="173">
        <f>SUM(P37:Q39)</f>
        <v>0</v>
      </c>
      <c r="Q40" s="174"/>
      <c r="R40" s="23">
        <f>SUM(R37:R39)</f>
        <v>0</v>
      </c>
      <c r="S40" s="24" t="s">
        <v>20</v>
      </c>
      <c r="T40" s="19"/>
      <c r="U40" s="177"/>
      <c r="V40" s="178"/>
      <c r="W40" s="179"/>
    </row>
    <row r="41" spans="1:23" ht="14.55" customHeight="1" x14ac:dyDescent="0.3">
      <c r="A41" s="163" t="s">
        <v>35</v>
      </c>
      <c r="B41" s="5">
        <v>0.33333333333333331</v>
      </c>
      <c r="C41" s="5">
        <v>0.58333333333333337</v>
      </c>
      <c r="D41" s="4">
        <v>290925</v>
      </c>
      <c r="E41" s="12" t="s">
        <v>325</v>
      </c>
      <c r="F41" s="40">
        <v>304</v>
      </c>
      <c r="G41" s="41">
        <v>0.9</v>
      </c>
      <c r="H41" s="40">
        <v>369</v>
      </c>
      <c r="I41" s="12"/>
      <c r="J41" s="165"/>
      <c r="K41" s="166"/>
      <c r="L41" s="165"/>
      <c r="M41" s="166"/>
      <c r="N41" s="165">
        <v>850</v>
      </c>
      <c r="O41" s="166"/>
      <c r="P41" s="165"/>
      <c r="Q41" s="166"/>
      <c r="R41" s="70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70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70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70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70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4"/>
      <c r="B46" s="19"/>
      <c r="C46" s="19"/>
      <c r="D46" s="20"/>
      <c r="E46" s="170" t="s">
        <v>0</v>
      </c>
      <c r="F46" s="171"/>
      <c r="G46" s="171"/>
      <c r="H46" s="171"/>
      <c r="I46" s="172"/>
      <c r="J46" s="173">
        <f>SUM(J41:K45)</f>
        <v>0</v>
      </c>
      <c r="K46" s="174"/>
      <c r="L46" s="173">
        <f>SUM(L41:M45)</f>
        <v>0</v>
      </c>
      <c r="M46" s="174"/>
      <c r="N46" s="173">
        <f>SUM(N41:O45)</f>
        <v>850</v>
      </c>
      <c r="O46" s="174"/>
      <c r="P46" s="173">
        <f>SUM(P41:Q45)</f>
        <v>0</v>
      </c>
      <c r="Q46" s="174"/>
      <c r="R46" s="23">
        <f>SUM(R41:R45)</f>
        <v>0</v>
      </c>
      <c r="S46" s="24" t="s">
        <v>20</v>
      </c>
      <c r="T46" s="19"/>
      <c r="U46" s="177"/>
      <c r="V46" s="178"/>
      <c r="W46" s="179"/>
    </row>
    <row r="47" spans="1:23" ht="14.55" customHeight="1" x14ac:dyDescent="0.3">
      <c r="A47" s="27"/>
      <c r="B47" s="27"/>
      <c r="C47" s="27"/>
      <c r="D47" s="27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27"/>
      <c r="S47" s="27"/>
      <c r="T47" s="39"/>
      <c r="U47" s="39"/>
      <c r="V47" s="39"/>
      <c r="W47" s="39"/>
    </row>
    <row r="48" spans="1:23" x14ac:dyDescent="0.3">
      <c r="E48" s="170" t="s">
        <v>31</v>
      </c>
      <c r="F48" s="171"/>
      <c r="G48" s="171"/>
      <c r="H48" s="171"/>
      <c r="I48" s="172"/>
      <c r="J48" s="175" t="s">
        <v>7</v>
      </c>
      <c r="K48" s="176"/>
      <c r="L48" s="175" t="s">
        <v>8</v>
      </c>
      <c r="M48" s="176"/>
      <c r="N48" s="175" t="s">
        <v>9</v>
      </c>
      <c r="O48" s="176"/>
      <c r="P48" s="175" t="s">
        <v>16</v>
      </c>
      <c r="Q48" s="176"/>
    </row>
    <row r="49" spans="1:23" s="2" customFormat="1" x14ac:dyDescent="0.3">
      <c r="E49" s="15"/>
      <c r="F49" s="15"/>
      <c r="G49" s="15"/>
      <c r="H49" s="15"/>
      <c r="I49" s="15"/>
      <c r="J49" s="30">
        <f>J36+J40+J46</f>
        <v>2900</v>
      </c>
      <c r="K49" s="31" t="s">
        <v>17</v>
      </c>
      <c r="L49" s="30">
        <f>L36+L40+L46</f>
        <v>0</v>
      </c>
      <c r="M49" s="31" t="s">
        <v>17</v>
      </c>
      <c r="N49" s="30">
        <f>N36+N40+N46</f>
        <v>850</v>
      </c>
      <c r="O49" s="31" t="s">
        <v>17</v>
      </c>
      <c r="P49" s="30">
        <f>P36+P40+P46</f>
        <v>0</v>
      </c>
      <c r="Q49" s="34" t="s">
        <v>17</v>
      </c>
    </row>
    <row r="50" spans="1:23" ht="24.45" customHeight="1" x14ac:dyDescent="0.3">
      <c r="E50" s="28"/>
      <c r="F50" s="28"/>
      <c r="G50" s="28"/>
      <c r="H50" s="28"/>
      <c r="I50" s="28"/>
      <c r="J50" s="167">
        <f>J49+L49+N49+P49</f>
        <v>3750</v>
      </c>
      <c r="K50" s="168"/>
      <c r="L50" s="168"/>
      <c r="M50" s="168"/>
      <c r="N50" s="168"/>
      <c r="O50" s="168"/>
      <c r="P50" s="168"/>
      <c r="Q50" s="169"/>
    </row>
    <row r="51" spans="1:23" ht="30" customHeight="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 spans="1:23" s="37" customFormat="1" ht="19.95" customHeight="1" x14ac:dyDescent="0.4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214" t="s">
        <v>14</v>
      </c>
      <c r="R52" s="215"/>
      <c r="S52" s="216"/>
      <c r="T52" s="184">
        <f>T3</f>
        <v>45934</v>
      </c>
      <c r="U52" s="185"/>
      <c r="V52" s="185"/>
      <c r="W52" s="186"/>
    </row>
    <row r="53" spans="1:23" s="16" customFormat="1" ht="30" customHeight="1" x14ac:dyDescent="0.3">
      <c r="A53" s="187" t="s">
        <v>26</v>
      </c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9"/>
      <c r="Q53" s="189"/>
      <c r="R53" s="189"/>
      <c r="S53" s="189"/>
      <c r="T53" s="188"/>
      <c r="U53" s="188"/>
      <c r="V53" s="188"/>
      <c r="W53" s="190"/>
    </row>
    <row r="54" spans="1:23" s="26" customFormat="1" ht="13.8" x14ac:dyDescent="0.3">
      <c r="A54" s="191" t="s">
        <v>1</v>
      </c>
      <c r="B54" s="192" t="s">
        <v>2</v>
      </c>
      <c r="C54" s="192" t="s">
        <v>3</v>
      </c>
      <c r="D54" s="192" t="s">
        <v>4</v>
      </c>
      <c r="E54" s="193" t="s">
        <v>5</v>
      </c>
      <c r="F54" s="197"/>
      <c r="G54" s="197"/>
      <c r="H54" s="197"/>
      <c r="I54" s="198"/>
      <c r="J54" s="193" t="s">
        <v>6</v>
      </c>
      <c r="K54" s="197"/>
      <c r="L54" s="197"/>
      <c r="M54" s="197"/>
      <c r="N54" s="197"/>
      <c r="O54" s="197"/>
      <c r="P54" s="197"/>
      <c r="Q54" s="198"/>
      <c r="R54" s="193" t="s">
        <v>10</v>
      </c>
      <c r="S54" s="198"/>
      <c r="T54" s="191" t="s">
        <v>11</v>
      </c>
      <c r="U54" s="191" t="s">
        <v>12</v>
      </c>
      <c r="V54" s="191"/>
      <c r="W54" s="191"/>
    </row>
    <row r="55" spans="1:23" s="26" customFormat="1" ht="13.8" x14ac:dyDescent="0.3">
      <c r="A55" s="191"/>
      <c r="B55" s="192"/>
      <c r="C55" s="192"/>
      <c r="D55" s="192"/>
      <c r="E55" s="194"/>
      <c r="F55" s="217"/>
      <c r="G55" s="217"/>
      <c r="H55" s="217"/>
      <c r="I55" s="199"/>
      <c r="J55" s="200" t="s">
        <v>7</v>
      </c>
      <c r="K55" s="201"/>
      <c r="L55" s="200" t="s">
        <v>8</v>
      </c>
      <c r="M55" s="201"/>
      <c r="N55" s="200" t="s">
        <v>9</v>
      </c>
      <c r="O55" s="201"/>
      <c r="P55" s="200" t="s">
        <v>16</v>
      </c>
      <c r="Q55" s="201"/>
      <c r="R55" s="194"/>
      <c r="S55" s="199"/>
      <c r="T55" s="191"/>
      <c r="U55" s="191"/>
      <c r="V55" s="191"/>
      <c r="W55" s="191"/>
    </row>
    <row r="56" spans="1:23" x14ac:dyDescent="0.3">
      <c r="A56" s="180" t="s">
        <v>13</v>
      </c>
      <c r="B56" s="5"/>
      <c r="C56" s="5"/>
      <c r="D56" s="4"/>
      <c r="E56" s="211" t="s">
        <v>299</v>
      </c>
      <c r="F56" s="212"/>
      <c r="G56" s="212"/>
      <c r="H56" s="212"/>
      <c r="I56" s="213"/>
      <c r="J56" s="165"/>
      <c r="K56" s="166"/>
      <c r="L56" s="165"/>
      <c r="M56" s="166"/>
      <c r="N56" s="165"/>
      <c r="O56" s="166"/>
      <c r="P56" s="165"/>
      <c r="Q56" s="166"/>
      <c r="R56" s="70"/>
      <c r="S56" s="6" t="s">
        <v>20</v>
      </c>
      <c r="T56" s="3"/>
      <c r="U56" s="202"/>
      <c r="V56" s="203"/>
      <c r="W56" s="204"/>
    </row>
    <row r="57" spans="1:23" x14ac:dyDescent="0.3">
      <c r="A57" s="163"/>
      <c r="B57" s="5"/>
      <c r="C57" s="5"/>
      <c r="D57" s="4"/>
      <c r="E57" s="211"/>
      <c r="F57" s="212"/>
      <c r="G57" s="212"/>
      <c r="H57" s="212"/>
      <c r="I57" s="213"/>
      <c r="J57" s="165"/>
      <c r="K57" s="166"/>
      <c r="L57" s="165"/>
      <c r="M57" s="166"/>
      <c r="N57" s="165"/>
      <c r="O57" s="166"/>
      <c r="P57" s="165"/>
      <c r="Q57" s="166"/>
      <c r="R57" s="70"/>
      <c r="S57" s="6" t="s">
        <v>20</v>
      </c>
      <c r="T57" s="3"/>
      <c r="U57" s="205"/>
      <c r="V57" s="206"/>
      <c r="W57" s="207"/>
    </row>
    <row r="58" spans="1:23" x14ac:dyDescent="0.3">
      <c r="A58" s="163"/>
      <c r="B58" s="5"/>
      <c r="C58" s="5"/>
      <c r="D58" s="4"/>
      <c r="E58" s="211"/>
      <c r="F58" s="212"/>
      <c r="G58" s="212"/>
      <c r="H58" s="212"/>
      <c r="I58" s="213"/>
      <c r="J58" s="165"/>
      <c r="K58" s="166"/>
      <c r="L58" s="165"/>
      <c r="M58" s="166"/>
      <c r="N58" s="165"/>
      <c r="O58" s="166"/>
      <c r="P58" s="165"/>
      <c r="Q58" s="166"/>
      <c r="R58" s="70"/>
      <c r="S58" s="6" t="s">
        <v>20</v>
      </c>
      <c r="T58" s="3"/>
      <c r="U58" s="205"/>
      <c r="V58" s="206"/>
      <c r="W58" s="207"/>
    </row>
    <row r="59" spans="1:23" x14ac:dyDescent="0.3">
      <c r="A59" s="163"/>
      <c r="B59" s="5"/>
      <c r="C59" s="5"/>
      <c r="D59" s="4"/>
      <c r="E59" s="211"/>
      <c r="F59" s="212"/>
      <c r="G59" s="212"/>
      <c r="H59" s="212"/>
      <c r="I59" s="213"/>
      <c r="J59" s="165"/>
      <c r="K59" s="166"/>
      <c r="L59" s="165"/>
      <c r="M59" s="166"/>
      <c r="N59" s="165"/>
      <c r="O59" s="166"/>
      <c r="P59" s="165"/>
      <c r="Q59" s="166"/>
      <c r="R59" s="70"/>
      <c r="S59" s="6" t="s">
        <v>20</v>
      </c>
      <c r="T59" s="3"/>
      <c r="U59" s="205"/>
      <c r="V59" s="206"/>
      <c r="W59" s="207"/>
    </row>
    <row r="60" spans="1:23" x14ac:dyDescent="0.3">
      <c r="A60" s="164"/>
      <c r="B60" s="19"/>
      <c r="C60" s="19"/>
      <c r="D60" s="20"/>
      <c r="E60" s="170" t="s">
        <v>0</v>
      </c>
      <c r="F60" s="171"/>
      <c r="G60" s="171"/>
      <c r="H60" s="171"/>
      <c r="I60" s="172"/>
      <c r="J60" s="173">
        <f>SUM(J56:J59)</f>
        <v>0</v>
      </c>
      <c r="K60" s="174"/>
      <c r="L60" s="173">
        <f>SUM(L56:L59)</f>
        <v>0</v>
      </c>
      <c r="M60" s="174"/>
      <c r="N60" s="173">
        <f>SUM(N56:N59)</f>
        <v>0</v>
      </c>
      <c r="O60" s="174"/>
      <c r="P60" s="173">
        <f>SUM(P56:P59)</f>
        <v>0</v>
      </c>
      <c r="Q60" s="174"/>
      <c r="R60" s="23">
        <f>SUM(R56:R59)</f>
        <v>0</v>
      </c>
      <c r="S60" s="24" t="s">
        <v>20</v>
      </c>
      <c r="T60" s="19"/>
      <c r="U60" s="208"/>
      <c r="V60" s="209"/>
      <c r="W60" s="210"/>
    </row>
    <row r="61" spans="1:23" x14ac:dyDescent="0.3">
      <c r="A61" s="180" t="s">
        <v>15</v>
      </c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70"/>
      <c r="S61" s="6" t="s">
        <v>20</v>
      </c>
      <c r="T61" s="3"/>
      <c r="U61" s="202"/>
      <c r="V61" s="203"/>
      <c r="W61" s="204"/>
    </row>
    <row r="62" spans="1:23" x14ac:dyDescent="0.3">
      <c r="A62" s="163"/>
      <c r="B62" s="5"/>
      <c r="C62" s="5"/>
      <c r="D62" s="4"/>
      <c r="E62" s="211"/>
      <c r="F62" s="212"/>
      <c r="G62" s="212"/>
      <c r="H62" s="212"/>
      <c r="I62" s="213"/>
      <c r="J62" s="165"/>
      <c r="K62" s="166"/>
      <c r="L62" s="165"/>
      <c r="M62" s="166"/>
      <c r="N62" s="165"/>
      <c r="O62" s="166"/>
      <c r="P62" s="165"/>
      <c r="Q62" s="166"/>
      <c r="R62" s="70"/>
      <c r="S62" s="6" t="s">
        <v>20</v>
      </c>
      <c r="T62" s="3"/>
      <c r="U62" s="205"/>
      <c r="V62" s="206"/>
      <c r="W62" s="207"/>
    </row>
    <row r="63" spans="1:23" x14ac:dyDescent="0.3">
      <c r="A63" s="163"/>
      <c r="B63" s="5"/>
      <c r="C63" s="5"/>
      <c r="D63" s="4"/>
      <c r="E63" s="211"/>
      <c r="F63" s="212"/>
      <c r="G63" s="212"/>
      <c r="H63" s="212"/>
      <c r="I63" s="213"/>
      <c r="J63" s="165"/>
      <c r="K63" s="166"/>
      <c r="L63" s="165"/>
      <c r="M63" s="166"/>
      <c r="N63" s="165"/>
      <c r="O63" s="166"/>
      <c r="P63" s="165"/>
      <c r="Q63" s="166"/>
      <c r="R63" s="70"/>
      <c r="S63" s="6" t="s">
        <v>20</v>
      </c>
      <c r="T63" s="3"/>
      <c r="U63" s="205"/>
      <c r="V63" s="206"/>
      <c r="W63" s="207"/>
    </row>
    <row r="64" spans="1:23" x14ac:dyDescent="0.3">
      <c r="A64" s="164"/>
      <c r="B64" s="19"/>
      <c r="C64" s="19"/>
      <c r="D64" s="20"/>
      <c r="E64" s="170" t="s">
        <v>0</v>
      </c>
      <c r="F64" s="171"/>
      <c r="G64" s="171"/>
      <c r="H64" s="171"/>
      <c r="I64" s="172"/>
      <c r="J64" s="173">
        <f>SUM(J61:J63)</f>
        <v>0</v>
      </c>
      <c r="K64" s="174"/>
      <c r="L64" s="173">
        <f>SUM(L61:L63)</f>
        <v>0</v>
      </c>
      <c r="M64" s="174"/>
      <c r="N64" s="173">
        <f>SUM(N61:N63)</f>
        <v>0</v>
      </c>
      <c r="O64" s="174"/>
      <c r="P64" s="173">
        <f>SUM(P58:P63)</f>
        <v>0</v>
      </c>
      <c r="Q64" s="174"/>
      <c r="R64" s="23">
        <f>SUM(R61:R63)</f>
        <v>0</v>
      </c>
      <c r="S64" s="24" t="s">
        <v>20</v>
      </c>
      <c r="T64" s="7"/>
      <c r="U64" s="208"/>
      <c r="V64" s="209"/>
      <c r="W64" s="210"/>
    </row>
    <row r="65" spans="1:23" x14ac:dyDescent="0.3">
      <c r="A65" s="180" t="s">
        <v>37</v>
      </c>
      <c r="B65" s="5">
        <v>0.33333333333333331</v>
      </c>
      <c r="C65" s="5"/>
      <c r="D65" s="4"/>
      <c r="E65" s="211" t="s">
        <v>356</v>
      </c>
      <c r="F65" s="212"/>
      <c r="G65" s="212"/>
      <c r="H65" s="212"/>
      <c r="I65" s="213"/>
      <c r="J65" s="165"/>
      <c r="K65" s="166"/>
      <c r="L65" s="165"/>
      <c r="M65" s="166"/>
      <c r="N65" s="165"/>
      <c r="O65" s="166"/>
      <c r="P65" s="165">
        <v>404</v>
      </c>
      <c r="Q65" s="166"/>
      <c r="R65" s="70"/>
      <c r="S65" s="6" t="s">
        <v>20</v>
      </c>
      <c r="T65" s="3"/>
      <c r="U65" s="202"/>
      <c r="V65" s="203"/>
      <c r="W65" s="204"/>
    </row>
    <row r="66" spans="1:23" x14ac:dyDescent="0.3">
      <c r="A66" s="163"/>
      <c r="B66" s="5"/>
      <c r="C66" s="5">
        <v>0.58333333333333337</v>
      </c>
      <c r="D66" s="4"/>
      <c r="E66" s="211" t="s">
        <v>384</v>
      </c>
      <c r="F66" s="212"/>
      <c r="G66" s="212"/>
      <c r="H66" s="212"/>
      <c r="I66" s="213"/>
      <c r="J66" s="165"/>
      <c r="K66" s="166"/>
      <c r="L66" s="165"/>
      <c r="M66" s="166"/>
      <c r="N66" s="165"/>
      <c r="O66" s="166"/>
      <c r="P66" s="165">
        <v>527</v>
      </c>
      <c r="Q66" s="166"/>
      <c r="R66" s="70"/>
      <c r="S66" s="6" t="s">
        <v>20</v>
      </c>
      <c r="T66" s="3"/>
      <c r="U66" s="205"/>
      <c r="V66" s="206"/>
      <c r="W66" s="207"/>
    </row>
    <row r="67" spans="1:23" x14ac:dyDescent="0.3">
      <c r="A67" s="163"/>
      <c r="B67" s="5"/>
      <c r="C67" s="5"/>
      <c r="D67" s="4"/>
      <c r="E67" s="211"/>
      <c r="F67" s="212"/>
      <c r="G67" s="212"/>
      <c r="H67" s="212"/>
      <c r="I67" s="213"/>
      <c r="J67" s="165"/>
      <c r="K67" s="166"/>
      <c r="L67" s="165"/>
      <c r="M67" s="166"/>
      <c r="N67" s="165"/>
      <c r="O67" s="166"/>
      <c r="P67" s="165"/>
      <c r="Q67" s="166"/>
      <c r="R67" s="70"/>
      <c r="S67" s="6" t="s">
        <v>20</v>
      </c>
      <c r="T67" s="3"/>
      <c r="U67" s="205"/>
      <c r="V67" s="206"/>
      <c r="W67" s="207"/>
    </row>
    <row r="68" spans="1:23" x14ac:dyDescent="0.3">
      <c r="A68" s="163"/>
      <c r="B68" s="5"/>
      <c r="C68" s="5"/>
      <c r="D68" s="4"/>
      <c r="E68" s="211"/>
      <c r="F68" s="212"/>
      <c r="G68" s="212"/>
      <c r="H68" s="212"/>
      <c r="I68" s="213"/>
      <c r="J68" s="165"/>
      <c r="K68" s="166"/>
      <c r="L68" s="165"/>
      <c r="M68" s="166"/>
      <c r="N68" s="165"/>
      <c r="O68" s="166"/>
      <c r="P68" s="165"/>
      <c r="Q68" s="166"/>
      <c r="R68" s="70"/>
      <c r="S68" s="6" t="s">
        <v>20</v>
      </c>
      <c r="T68" s="3"/>
      <c r="U68" s="205"/>
      <c r="V68" s="206"/>
      <c r="W68" s="207"/>
    </row>
    <row r="69" spans="1:23" x14ac:dyDescent="0.3">
      <c r="A69" s="164"/>
      <c r="B69" s="19"/>
      <c r="C69" s="19"/>
      <c r="D69" s="20"/>
      <c r="E69" s="170" t="s">
        <v>0</v>
      </c>
      <c r="F69" s="171"/>
      <c r="G69" s="171"/>
      <c r="H69" s="171"/>
      <c r="I69" s="172"/>
      <c r="J69" s="173">
        <f>SUM(J65:J68)</f>
        <v>0</v>
      </c>
      <c r="K69" s="174"/>
      <c r="L69" s="173">
        <f>SUM(L65:L68)</f>
        <v>0</v>
      </c>
      <c r="M69" s="174"/>
      <c r="N69" s="173">
        <f>SUM(N65:N68)</f>
        <v>0</v>
      </c>
      <c r="O69" s="174"/>
      <c r="P69" s="173">
        <f>SUM(P65:P68)</f>
        <v>931</v>
      </c>
      <c r="Q69" s="174"/>
      <c r="R69" s="23">
        <f>SUM(R65:R68)</f>
        <v>0</v>
      </c>
      <c r="S69" s="24" t="s">
        <v>20</v>
      </c>
      <c r="T69" s="19"/>
      <c r="U69" s="208"/>
      <c r="V69" s="209"/>
      <c r="W69" s="210"/>
    </row>
    <row r="70" spans="1:23" x14ac:dyDescent="0.3">
      <c r="A70" s="180" t="s">
        <v>36</v>
      </c>
      <c r="B70" s="5"/>
      <c r="C70" s="5"/>
      <c r="D70" s="4"/>
      <c r="E70" s="211"/>
      <c r="F70" s="212"/>
      <c r="G70" s="212"/>
      <c r="H70" s="212"/>
      <c r="I70" s="213"/>
      <c r="J70" s="165"/>
      <c r="K70" s="166"/>
      <c r="L70" s="165"/>
      <c r="M70" s="166"/>
      <c r="N70" s="165"/>
      <c r="O70" s="166"/>
      <c r="P70" s="165"/>
      <c r="Q70" s="166"/>
      <c r="R70" s="70"/>
      <c r="S70" s="6" t="s">
        <v>20</v>
      </c>
      <c r="T70" s="3"/>
      <c r="U70" s="202"/>
      <c r="V70" s="203"/>
      <c r="W70" s="204"/>
    </row>
    <row r="71" spans="1:23" x14ac:dyDescent="0.3">
      <c r="A71" s="163"/>
      <c r="B71" s="5"/>
      <c r="C71" s="5"/>
      <c r="D71" s="4"/>
      <c r="E71" s="211"/>
      <c r="F71" s="212"/>
      <c r="G71" s="212"/>
      <c r="H71" s="212"/>
      <c r="I71" s="213"/>
      <c r="J71" s="165"/>
      <c r="K71" s="166"/>
      <c r="L71" s="165"/>
      <c r="M71" s="166"/>
      <c r="N71" s="165"/>
      <c r="O71" s="166"/>
      <c r="P71" s="165"/>
      <c r="Q71" s="166"/>
      <c r="R71" s="70"/>
      <c r="S71" s="6" t="s">
        <v>20</v>
      </c>
      <c r="T71" s="3"/>
      <c r="U71" s="205"/>
      <c r="V71" s="206"/>
      <c r="W71" s="207"/>
    </row>
    <row r="72" spans="1:23" x14ac:dyDescent="0.3">
      <c r="A72" s="163"/>
      <c r="B72" s="5"/>
      <c r="C72" s="5"/>
      <c r="D72" s="4"/>
      <c r="E72" s="211"/>
      <c r="F72" s="212"/>
      <c r="G72" s="212"/>
      <c r="H72" s="212"/>
      <c r="I72" s="213"/>
      <c r="J72" s="165"/>
      <c r="K72" s="166"/>
      <c r="L72" s="165"/>
      <c r="M72" s="166"/>
      <c r="N72" s="165"/>
      <c r="O72" s="166"/>
      <c r="P72" s="165"/>
      <c r="Q72" s="166"/>
      <c r="R72" s="70"/>
      <c r="S72" s="6" t="s">
        <v>20</v>
      </c>
      <c r="T72" s="3"/>
      <c r="U72" s="205"/>
      <c r="V72" s="206"/>
      <c r="W72" s="207"/>
    </row>
    <row r="73" spans="1:23" x14ac:dyDescent="0.3">
      <c r="A73" s="164"/>
      <c r="B73" s="19"/>
      <c r="C73" s="19"/>
      <c r="D73" s="20"/>
      <c r="E73" s="170" t="s">
        <v>0</v>
      </c>
      <c r="F73" s="171"/>
      <c r="G73" s="171"/>
      <c r="H73" s="171"/>
      <c r="I73" s="172"/>
      <c r="J73" s="173">
        <f>SUM(J70:J72)</f>
        <v>0</v>
      </c>
      <c r="K73" s="174"/>
      <c r="L73" s="173">
        <f>SUM(L70:L72)</f>
        <v>0</v>
      </c>
      <c r="M73" s="174"/>
      <c r="N73" s="173">
        <f>SUM(N70:N72)</f>
        <v>0</v>
      </c>
      <c r="O73" s="174"/>
      <c r="P73" s="173">
        <f>SUM(P70:P72)</f>
        <v>0</v>
      </c>
      <c r="Q73" s="174"/>
      <c r="R73" s="23">
        <f>SUM(R70:R72)</f>
        <v>0</v>
      </c>
      <c r="S73" s="24" t="s">
        <v>20</v>
      </c>
      <c r="T73" s="19"/>
      <c r="U73" s="208"/>
      <c r="V73" s="209"/>
      <c r="W73" s="210"/>
    </row>
    <row r="74" spans="1:23" x14ac:dyDescent="0.3">
      <c r="E74" s="28"/>
      <c r="F74" s="28"/>
      <c r="G74" s="28"/>
      <c r="H74" s="28"/>
      <c r="I74" s="28"/>
      <c r="J74" s="29"/>
      <c r="K74" s="29"/>
      <c r="L74" s="29"/>
      <c r="M74" s="29"/>
      <c r="N74" s="29"/>
      <c r="O74" s="29"/>
      <c r="P74" s="29"/>
      <c r="Q74" s="29"/>
    </row>
    <row r="75" spans="1:23" x14ac:dyDescent="0.3">
      <c r="E75" s="170" t="s">
        <v>28</v>
      </c>
      <c r="F75" s="171"/>
      <c r="G75" s="171"/>
      <c r="H75" s="171"/>
      <c r="I75" s="172"/>
      <c r="J75" s="175" t="s">
        <v>7</v>
      </c>
      <c r="K75" s="176"/>
      <c r="L75" s="175" t="s">
        <v>8</v>
      </c>
      <c r="M75" s="176"/>
      <c r="N75" s="175" t="s">
        <v>9</v>
      </c>
      <c r="O75" s="176"/>
      <c r="P75" s="175" t="s">
        <v>16</v>
      </c>
      <c r="Q75" s="176"/>
    </row>
    <row r="76" spans="1:23" s="2" customFormat="1" x14ac:dyDescent="0.3">
      <c r="E76" s="15"/>
      <c r="F76" s="15"/>
      <c r="G76" s="15"/>
      <c r="H76" s="15"/>
      <c r="I76" s="15"/>
      <c r="J76" s="30">
        <f>J60+J64</f>
        <v>0</v>
      </c>
      <c r="K76" s="31" t="s">
        <v>17</v>
      </c>
      <c r="L76" s="32">
        <f>L60+L64</f>
        <v>0</v>
      </c>
      <c r="M76" s="31" t="s">
        <v>17</v>
      </c>
      <c r="N76" s="32">
        <f>N60+N64</f>
        <v>0</v>
      </c>
      <c r="O76" s="31" t="s">
        <v>17</v>
      </c>
      <c r="P76" s="33">
        <f>P69+P73</f>
        <v>931</v>
      </c>
      <c r="Q76" s="34" t="s">
        <v>17</v>
      </c>
    </row>
    <row r="77" spans="1:23" s="8" customFormat="1" ht="24.45" customHeight="1" x14ac:dyDescent="0.3">
      <c r="A77"/>
      <c r="B77"/>
      <c r="C77"/>
      <c r="E77" s="28"/>
      <c r="F77" s="28"/>
      <c r="G77" s="28"/>
      <c r="H77" s="28"/>
      <c r="I77" s="28"/>
      <c r="J77" s="167">
        <f>J76+L76+N76+P76</f>
        <v>931</v>
      </c>
      <c r="K77" s="168"/>
      <c r="L77" s="168"/>
      <c r="M77" s="168"/>
      <c r="N77" s="168"/>
      <c r="O77" s="168"/>
      <c r="P77" s="168"/>
      <c r="Q77" s="169"/>
      <c r="S77"/>
      <c r="T77"/>
      <c r="U77"/>
      <c r="V77"/>
      <c r="W77"/>
    </row>
  </sheetData>
  <mergeCells count="304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A31:A36"/>
    <mergeCell ref="J31:K31"/>
    <mergeCell ref="L31:M31"/>
    <mergeCell ref="N31:O31"/>
    <mergeCell ref="P31:Q31"/>
    <mergeCell ref="G29:G30"/>
    <mergeCell ref="H29:H30"/>
    <mergeCell ref="I29:I30"/>
    <mergeCell ref="J29:Q29"/>
    <mergeCell ref="J35:K35"/>
    <mergeCell ref="L35:M35"/>
    <mergeCell ref="N35:O35"/>
    <mergeCell ref="P35:Q35"/>
    <mergeCell ref="L34:M34"/>
    <mergeCell ref="N34:O34"/>
    <mergeCell ref="P34:Q34"/>
    <mergeCell ref="E36:I36"/>
    <mergeCell ref="U31:W36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J36:K36"/>
    <mergeCell ref="L36:M36"/>
    <mergeCell ref="N36:O36"/>
    <mergeCell ref="P36:Q36"/>
    <mergeCell ref="A37:A40"/>
    <mergeCell ref="J37:K37"/>
    <mergeCell ref="L37:M37"/>
    <mergeCell ref="N37:O37"/>
    <mergeCell ref="P37:Q37"/>
    <mergeCell ref="J39:K39"/>
    <mergeCell ref="L39:M39"/>
    <mergeCell ref="N39:O39"/>
    <mergeCell ref="P39:Q39"/>
    <mergeCell ref="U37:W40"/>
    <mergeCell ref="J38:K38"/>
    <mergeCell ref="L38:M38"/>
    <mergeCell ref="N38:O38"/>
    <mergeCell ref="P38:Q38"/>
    <mergeCell ref="E40:I40"/>
    <mergeCell ref="J40:K40"/>
    <mergeCell ref="L40:M40"/>
    <mergeCell ref="N40:O40"/>
    <mergeCell ref="P40:Q40"/>
    <mergeCell ref="A41:A46"/>
    <mergeCell ref="J41:K41"/>
    <mergeCell ref="L41:M41"/>
    <mergeCell ref="N41:O41"/>
    <mergeCell ref="P41:Q41"/>
    <mergeCell ref="J44:K44"/>
    <mergeCell ref="L44:M44"/>
    <mergeCell ref="N44:O44"/>
    <mergeCell ref="P44:Q44"/>
    <mergeCell ref="J45:K45"/>
    <mergeCell ref="L45:M45"/>
    <mergeCell ref="N45:O45"/>
    <mergeCell ref="P45:Q45"/>
    <mergeCell ref="E46:I46"/>
    <mergeCell ref="U41:W46"/>
    <mergeCell ref="J42:K42"/>
    <mergeCell ref="L42:M42"/>
    <mergeCell ref="N42:O42"/>
    <mergeCell ref="P42:Q42"/>
    <mergeCell ref="J43:K43"/>
    <mergeCell ref="L43:M43"/>
    <mergeCell ref="N43:O43"/>
    <mergeCell ref="P43:Q43"/>
    <mergeCell ref="J46:K46"/>
    <mergeCell ref="L46:M46"/>
    <mergeCell ref="N46:O46"/>
    <mergeCell ref="P46:Q46"/>
    <mergeCell ref="E48:I48"/>
    <mergeCell ref="J48:K48"/>
    <mergeCell ref="L48:M48"/>
    <mergeCell ref="N48:O48"/>
    <mergeCell ref="P48:Q48"/>
    <mergeCell ref="R54:S55"/>
    <mergeCell ref="T54:T55"/>
    <mergeCell ref="U54:W55"/>
    <mergeCell ref="J55:K55"/>
    <mergeCell ref="L55:M55"/>
    <mergeCell ref="N55:O55"/>
    <mergeCell ref="P55:Q55"/>
    <mergeCell ref="J50:Q50"/>
    <mergeCell ref="Q52:S52"/>
    <mergeCell ref="T52:W52"/>
    <mergeCell ref="A53:W53"/>
    <mergeCell ref="A54:A55"/>
    <mergeCell ref="B54:B55"/>
    <mergeCell ref="C54:C55"/>
    <mergeCell ref="D54:D55"/>
    <mergeCell ref="E54:I55"/>
    <mergeCell ref="J54:Q54"/>
    <mergeCell ref="U56:W60"/>
    <mergeCell ref="E57:I57"/>
    <mergeCell ref="J57:K57"/>
    <mergeCell ref="L57:M57"/>
    <mergeCell ref="N57:O57"/>
    <mergeCell ref="P57:Q57"/>
    <mergeCell ref="A56:A60"/>
    <mergeCell ref="E56:I56"/>
    <mergeCell ref="J56:K56"/>
    <mergeCell ref="L56:M56"/>
    <mergeCell ref="N56:O56"/>
    <mergeCell ref="P56:Q56"/>
    <mergeCell ref="E58:I58"/>
    <mergeCell ref="J58:K58"/>
    <mergeCell ref="L58:M58"/>
    <mergeCell ref="N58:O58"/>
    <mergeCell ref="P58:Q58"/>
    <mergeCell ref="E59:I59"/>
    <mergeCell ref="J59:K59"/>
    <mergeCell ref="L59:M59"/>
    <mergeCell ref="N59:O59"/>
    <mergeCell ref="P59:Q59"/>
    <mergeCell ref="E60:I60"/>
    <mergeCell ref="J60:K60"/>
    <mergeCell ref="L60:M60"/>
    <mergeCell ref="N60:O60"/>
    <mergeCell ref="P60:Q60"/>
    <mergeCell ref="A61:A64"/>
    <mergeCell ref="E61:I61"/>
    <mergeCell ref="J61:K61"/>
    <mergeCell ref="L61:M61"/>
    <mergeCell ref="N61:O61"/>
    <mergeCell ref="N63:O63"/>
    <mergeCell ref="P63:Q63"/>
    <mergeCell ref="E64:I64"/>
    <mergeCell ref="J64:K64"/>
    <mergeCell ref="L64:M64"/>
    <mergeCell ref="N64:O64"/>
    <mergeCell ref="P64:Q64"/>
    <mergeCell ref="P61:Q61"/>
    <mergeCell ref="U61:W64"/>
    <mergeCell ref="E62:I62"/>
    <mergeCell ref="J62:K62"/>
    <mergeCell ref="L62:M62"/>
    <mergeCell ref="N62:O62"/>
    <mergeCell ref="P62:Q62"/>
    <mergeCell ref="E63:I63"/>
    <mergeCell ref="J63:K63"/>
    <mergeCell ref="L63:M63"/>
    <mergeCell ref="U65:W69"/>
    <mergeCell ref="E66:I66"/>
    <mergeCell ref="J66:K66"/>
    <mergeCell ref="L66:M66"/>
    <mergeCell ref="N66:O66"/>
    <mergeCell ref="P66:Q66"/>
    <mergeCell ref="A65:A69"/>
    <mergeCell ref="E65:I65"/>
    <mergeCell ref="J65:K65"/>
    <mergeCell ref="L65:M65"/>
    <mergeCell ref="N65:O65"/>
    <mergeCell ref="P65:Q65"/>
    <mergeCell ref="E67:I67"/>
    <mergeCell ref="J67:K67"/>
    <mergeCell ref="L67:M67"/>
    <mergeCell ref="N67:O67"/>
    <mergeCell ref="P67:Q67"/>
    <mergeCell ref="E68:I68"/>
    <mergeCell ref="J68:K68"/>
    <mergeCell ref="L68:M68"/>
    <mergeCell ref="N68:O68"/>
    <mergeCell ref="P68:Q68"/>
    <mergeCell ref="E69:I69"/>
    <mergeCell ref="J69:K69"/>
    <mergeCell ref="L69:M69"/>
    <mergeCell ref="N69:O69"/>
    <mergeCell ref="P69:Q69"/>
    <mergeCell ref="A70:A73"/>
    <mergeCell ref="E70:I70"/>
    <mergeCell ref="J70:K70"/>
    <mergeCell ref="L70:M70"/>
    <mergeCell ref="N70:O70"/>
    <mergeCell ref="P70:Q70"/>
    <mergeCell ref="U70:W73"/>
    <mergeCell ref="E71:I71"/>
    <mergeCell ref="J71:K71"/>
    <mergeCell ref="L71:M71"/>
    <mergeCell ref="N71:O71"/>
    <mergeCell ref="P71:Q71"/>
    <mergeCell ref="E72:I72"/>
    <mergeCell ref="J72:K72"/>
    <mergeCell ref="L72:M72"/>
    <mergeCell ref="E75:I75"/>
    <mergeCell ref="J75:K75"/>
    <mergeCell ref="L75:M75"/>
    <mergeCell ref="N75:O75"/>
    <mergeCell ref="P75:Q75"/>
    <mergeCell ref="J77:Q77"/>
    <mergeCell ref="N72:O72"/>
    <mergeCell ref="P72:Q72"/>
    <mergeCell ref="E73:I73"/>
    <mergeCell ref="J73:K73"/>
    <mergeCell ref="L73:M73"/>
    <mergeCell ref="N73:O73"/>
    <mergeCell ref="P73:Q73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W79"/>
  <sheetViews>
    <sheetView topLeftCell="A49" zoomScale="85" zoomScaleNormal="85" workbookViewId="0">
      <selection activeCell="J21" sqref="J21:Q21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2.10937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45937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230925</v>
      </c>
      <c r="E7" s="12" t="s">
        <v>418</v>
      </c>
      <c r="F7" s="17">
        <v>425</v>
      </c>
      <c r="G7" s="17">
        <v>430</v>
      </c>
      <c r="H7" s="18">
        <v>0.8</v>
      </c>
      <c r="I7" s="17">
        <v>25500</v>
      </c>
      <c r="J7" s="165"/>
      <c r="K7" s="166"/>
      <c r="L7" s="165"/>
      <c r="M7" s="166"/>
      <c r="N7" s="165">
        <v>2184</v>
      </c>
      <c r="O7" s="166"/>
      <c r="P7" s="165"/>
      <c r="Q7" s="166"/>
      <c r="R7" s="73">
        <v>30</v>
      </c>
      <c r="S7" s="14" t="s">
        <v>20</v>
      </c>
      <c r="T7" s="42" t="s">
        <v>110</v>
      </c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401</v>
      </c>
      <c r="F8" s="17">
        <v>160</v>
      </c>
      <c r="G8" s="17">
        <v>430</v>
      </c>
      <c r="H8" s="18">
        <v>0.8</v>
      </c>
      <c r="I8" s="17">
        <v>25500</v>
      </c>
      <c r="J8" s="165"/>
      <c r="K8" s="166"/>
      <c r="L8" s="165"/>
      <c r="M8" s="166"/>
      <c r="N8" s="165">
        <v>728</v>
      </c>
      <c r="O8" s="166"/>
      <c r="P8" s="165"/>
      <c r="Q8" s="166"/>
      <c r="R8" s="73">
        <v>10</v>
      </c>
      <c r="S8" s="14" t="s">
        <v>20</v>
      </c>
      <c r="T8" s="42" t="s">
        <v>111</v>
      </c>
      <c r="U8" s="205"/>
      <c r="V8" s="206"/>
      <c r="W8" s="207"/>
    </row>
    <row r="9" spans="1:23" x14ac:dyDescent="0.3">
      <c r="A9" s="181"/>
      <c r="B9" s="5"/>
      <c r="C9" s="5"/>
      <c r="D9" s="4">
        <v>230925</v>
      </c>
      <c r="E9" s="12" t="s">
        <v>418</v>
      </c>
      <c r="F9" s="17">
        <v>425</v>
      </c>
      <c r="G9" s="17">
        <v>430</v>
      </c>
      <c r="H9" s="18">
        <v>0.8</v>
      </c>
      <c r="I9" s="17">
        <v>25500</v>
      </c>
      <c r="J9" s="165"/>
      <c r="K9" s="166"/>
      <c r="L9" s="165"/>
      <c r="M9" s="166"/>
      <c r="N9" s="165">
        <v>1692</v>
      </c>
      <c r="O9" s="166"/>
      <c r="P9" s="165"/>
      <c r="Q9" s="166"/>
      <c r="R9" s="73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401</v>
      </c>
      <c r="F10" s="17">
        <v>180</v>
      </c>
      <c r="G10" s="17">
        <v>430</v>
      </c>
      <c r="H10" s="18">
        <v>0.8</v>
      </c>
      <c r="I10" s="17">
        <v>25500</v>
      </c>
      <c r="J10" s="165"/>
      <c r="K10" s="166"/>
      <c r="L10" s="165"/>
      <c r="M10" s="166"/>
      <c r="N10" s="165">
        <v>564</v>
      </c>
      <c r="O10" s="166"/>
      <c r="P10" s="165"/>
      <c r="Q10" s="166"/>
      <c r="R10" s="73">
        <v>30</v>
      </c>
      <c r="S10" s="14" t="s">
        <v>20</v>
      </c>
      <c r="T10" s="42" t="s">
        <v>110</v>
      </c>
      <c r="U10" s="205"/>
      <c r="V10" s="206"/>
      <c r="W10" s="207"/>
    </row>
    <row r="11" spans="1:23" x14ac:dyDescent="0.3">
      <c r="A11" s="181"/>
      <c r="B11" s="5"/>
      <c r="C11" s="5"/>
      <c r="D11" s="4">
        <v>230925</v>
      </c>
      <c r="E11" s="12" t="s">
        <v>418</v>
      </c>
      <c r="F11" s="17">
        <v>425</v>
      </c>
      <c r="G11" s="17">
        <v>430</v>
      </c>
      <c r="H11" s="18">
        <v>0.8</v>
      </c>
      <c r="I11" s="17">
        <v>25500</v>
      </c>
      <c r="J11" s="165"/>
      <c r="K11" s="166"/>
      <c r="L11" s="165"/>
      <c r="M11" s="166"/>
      <c r="N11" s="165">
        <v>324</v>
      </c>
      <c r="O11" s="166"/>
      <c r="P11" s="165"/>
      <c r="Q11" s="166"/>
      <c r="R11" s="73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401</v>
      </c>
      <c r="F12" s="17">
        <v>180</v>
      </c>
      <c r="G12" s="17">
        <v>430</v>
      </c>
      <c r="H12" s="18">
        <v>0.8</v>
      </c>
      <c r="I12" s="17">
        <v>25500</v>
      </c>
      <c r="J12" s="165"/>
      <c r="K12" s="166"/>
      <c r="L12" s="165"/>
      <c r="M12" s="166"/>
      <c r="N12" s="165">
        <v>108</v>
      </c>
      <c r="O12" s="166"/>
      <c r="P12" s="165"/>
      <c r="Q12" s="166"/>
      <c r="R12" s="73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>
        <v>230925</v>
      </c>
      <c r="E13" s="12" t="s">
        <v>410</v>
      </c>
      <c r="F13" s="17">
        <v>360</v>
      </c>
      <c r="G13" s="17">
        <v>430</v>
      </c>
      <c r="H13" s="18">
        <v>0.8</v>
      </c>
      <c r="I13" s="17">
        <v>25500</v>
      </c>
      <c r="J13" s="165"/>
      <c r="K13" s="166"/>
      <c r="L13" s="165"/>
      <c r="M13" s="166"/>
      <c r="N13" s="165">
        <v>600</v>
      </c>
      <c r="O13" s="166"/>
      <c r="P13" s="165"/>
      <c r="Q13" s="166"/>
      <c r="R13" s="73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>
        <v>0.70833333333333337</v>
      </c>
      <c r="D14" s="4" t="s">
        <v>102</v>
      </c>
      <c r="E14" s="12" t="s">
        <v>402</v>
      </c>
      <c r="F14" s="17">
        <v>295</v>
      </c>
      <c r="G14" s="17">
        <v>430</v>
      </c>
      <c r="H14" s="18">
        <v>0.8</v>
      </c>
      <c r="I14" s="17">
        <v>25500</v>
      </c>
      <c r="J14" s="165"/>
      <c r="K14" s="166"/>
      <c r="L14" s="165"/>
      <c r="M14" s="166"/>
      <c r="N14" s="165">
        <v>200</v>
      </c>
      <c r="O14" s="166"/>
      <c r="P14" s="165"/>
      <c r="Q14" s="166"/>
      <c r="R14" s="73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/>
      <c r="E15" s="12"/>
      <c r="F15" s="17"/>
      <c r="G15" s="17"/>
      <c r="H15" s="18"/>
      <c r="I15" s="17"/>
      <c r="J15" s="165"/>
      <c r="K15" s="166"/>
      <c r="L15" s="165"/>
      <c r="M15" s="166"/>
      <c r="N15" s="165"/>
      <c r="O15" s="166"/>
      <c r="P15" s="165"/>
      <c r="Q15" s="166"/>
      <c r="R15" s="73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73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73"/>
      <c r="S17" s="14" t="s">
        <v>20</v>
      </c>
      <c r="T17" s="42"/>
      <c r="U17" s="205"/>
      <c r="V17" s="206"/>
      <c r="W17" s="207"/>
    </row>
    <row r="18" spans="1:23" x14ac:dyDescent="0.3">
      <c r="A18" s="182"/>
      <c r="B18" s="170" t="s">
        <v>0</v>
      </c>
      <c r="C18" s="171"/>
      <c r="D18" s="171"/>
      <c r="E18" s="171"/>
      <c r="F18" s="171"/>
      <c r="G18" s="171"/>
      <c r="H18" s="171"/>
      <c r="I18" s="172"/>
      <c r="J18" s="21">
        <f>SUM(J7:K17)</f>
        <v>0</v>
      </c>
      <c r="K18" s="22" t="s">
        <v>17</v>
      </c>
      <c r="L18" s="21">
        <f>SUM(L7:M17)</f>
        <v>0</v>
      </c>
      <c r="M18" s="22" t="s">
        <v>17</v>
      </c>
      <c r="N18" s="21">
        <f>SUM(N7:O17)</f>
        <v>6400</v>
      </c>
      <c r="O18" s="22" t="s">
        <v>17</v>
      </c>
      <c r="P18" s="21">
        <f>SUM(P7:Q17)</f>
        <v>0</v>
      </c>
      <c r="Q18" s="22" t="s">
        <v>17</v>
      </c>
      <c r="R18" s="23">
        <f>SUM(R7:R17)</f>
        <v>70</v>
      </c>
      <c r="S18" s="24" t="s">
        <v>20</v>
      </c>
      <c r="T18" s="19"/>
      <c r="U18" s="208"/>
      <c r="V18" s="209"/>
      <c r="W18" s="210"/>
    </row>
    <row r="19" spans="1:23" ht="14.55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1:23" ht="14.55" customHeight="1" x14ac:dyDescent="0.3">
      <c r="A20" s="27"/>
      <c r="B20" s="27"/>
      <c r="C20" s="27"/>
      <c r="D20" s="27"/>
      <c r="E20" s="170" t="s">
        <v>27</v>
      </c>
      <c r="F20" s="171"/>
      <c r="G20" s="171"/>
      <c r="H20" s="171"/>
      <c r="I20" s="172"/>
      <c r="J20" s="175" t="s">
        <v>7</v>
      </c>
      <c r="K20" s="176"/>
      <c r="L20" s="175" t="s">
        <v>8</v>
      </c>
      <c r="M20" s="176"/>
      <c r="N20" s="175" t="s">
        <v>9</v>
      </c>
      <c r="O20" s="176"/>
      <c r="P20" s="175" t="s">
        <v>117</v>
      </c>
      <c r="Q20" s="176"/>
      <c r="R20" s="27"/>
      <c r="S20" s="27"/>
    </row>
    <row r="21" spans="1:23" ht="14.55" customHeight="1" x14ac:dyDescent="0.3">
      <c r="A21" s="27"/>
      <c r="B21" s="27"/>
      <c r="C21" s="27"/>
      <c r="D21" s="27"/>
      <c r="E21" s="15"/>
      <c r="F21" s="15"/>
      <c r="G21" s="15"/>
      <c r="H21" s="15"/>
      <c r="I21" s="15"/>
      <c r="J21" s="30">
        <f>J18</f>
        <v>0</v>
      </c>
      <c r="K21" s="31" t="s">
        <v>17</v>
      </c>
      <c r="L21" s="32">
        <f>L18</f>
        <v>0</v>
      </c>
      <c r="M21" s="31" t="s">
        <v>17</v>
      </c>
      <c r="N21" s="32">
        <f>N18</f>
        <v>6400</v>
      </c>
      <c r="O21" s="31" t="s">
        <v>17</v>
      </c>
      <c r="P21" s="33">
        <f>P18</f>
        <v>0</v>
      </c>
      <c r="Q21" s="34" t="s">
        <v>17</v>
      </c>
      <c r="R21" s="27"/>
      <c r="S21" s="27"/>
    </row>
    <row r="22" spans="1:23" ht="30" customHeight="1" x14ac:dyDescent="0.3">
      <c r="A22" s="27"/>
      <c r="B22" s="27"/>
      <c r="C22" s="27"/>
      <c r="D22" s="27"/>
      <c r="E22" s="28"/>
      <c r="F22" s="28"/>
      <c r="G22" s="28"/>
      <c r="H22" s="28"/>
      <c r="I22" s="28"/>
      <c r="J22" s="167">
        <f>J21+L21+N21+P21</f>
        <v>6400</v>
      </c>
      <c r="K22" s="168"/>
      <c r="L22" s="168"/>
      <c r="M22" s="168"/>
      <c r="N22" s="168"/>
      <c r="O22" s="168"/>
      <c r="P22" s="168"/>
      <c r="Q22" s="169"/>
      <c r="R22" s="27"/>
      <c r="S22" s="27"/>
    </row>
    <row r="23" spans="1:23" ht="30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 spans="1:23" s="37" customFormat="1" ht="19.95" customHeight="1" x14ac:dyDescent="0.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  <c r="Q24" s="183" t="s">
        <v>14</v>
      </c>
      <c r="R24" s="183"/>
      <c r="S24" s="183"/>
      <c r="T24" s="184">
        <f>T3</f>
        <v>45937</v>
      </c>
      <c r="U24" s="185"/>
      <c r="V24" s="185"/>
      <c r="W24" s="186"/>
    </row>
    <row r="25" spans="1:23" s="16" customFormat="1" ht="30" customHeight="1" x14ac:dyDescent="0.3">
      <c r="A25" s="187" t="s">
        <v>29</v>
      </c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9"/>
      <c r="Q25" s="189"/>
      <c r="R25" s="189"/>
      <c r="S25" s="189"/>
      <c r="T25" s="188"/>
      <c r="U25" s="188"/>
      <c r="V25" s="188"/>
      <c r="W25" s="190"/>
    </row>
    <row r="26" spans="1:23" s="26" customFormat="1" ht="13.8" x14ac:dyDescent="0.3">
      <c r="A26" s="191" t="s">
        <v>1</v>
      </c>
      <c r="B26" s="192" t="s">
        <v>2</v>
      </c>
      <c r="C26" s="192" t="s">
        <v>3</v>
      </c>
      <c r="D26" s="192" t="s">
        <v>4</v>
      </c>
      <c r="E26" s="193" t="s">
        <v>5</v>
      </c>
      <c r="F26" s="195" t="s">
        <v>21</v>
      </c>
      <c r="G26" s="195" t="s">
        <v>22</v>
      </c>
      <c r="H26" s="195" t="s">
        <v>33</v>
      </c>
      <c r="I26" s="195" t="s">
        <v>30</v>
      </c>
      <c r="J26" s="193" t="s">
        <v>6</v>
      </c>
      <c r="K26" s="197"/>
      <c r="L26" s="197"/>
      <c r="M26" s="197"/>
      <c r="N26" s="197"/>
      <c r="O26" s="197"/>
      <c r="P26" s="197"/>
      <c r="Q26" s="198"/>
      <c r="R26" s="193" t="s">
        <v>10</v>
      </c>
      <c r="S26" s="198"/>
      <c r="T26" s="191" t="s">
        <v>11</v>
      </c>
      <c r="U26" s="191" t="s">
        <v>12</v>
      </c>
      <c r="V26" s="191"/>
      <c r="W26" s="191"/>
    </row>
    <row r="27" spans="1:23" s="26" customFormat="1" ht="13.8" x14ac:dyDescent="0.3">
      <c r="A27" s="191"/>
      <c r="B27" s="192"/>
      <c r="C27" s="192"/>
      <c r="D27" s="192"/>
      <c r="E27" s="194"/>
      <c r="F27" s="196"/>
      <c r="G27" s="196"/>
      <c r="H27" s="196"/>
      <c r="I27" s="196"/>
      <c r="J27" s="200" t="s">
        <v>7</v>
      </c>
      <c r="K27" s="201"/>
      <c r="L27" s="200" t="s">
        <v>8</v>
      </c>
      <c r="M27" s="201"/>
      <c r="N27" s="200" t="s">
        <v>9</v>
      </c>
      <c r="O27" s="201"/>
      <c r="P27" s="200" t="s">
        <v>117</v>
      </c>
      <c r="Q27" s="201"/>
      <c r="R27" s="194"/>
      <c r="S27" s="199"/>
      <c r="T27" s="191"/>
      <c r="U27" s="191"/>
      <c r="V27" s="191"/>
      <c r="W27" s="191"/>
    </row>
    <row r="28" spans="1:23" ht="14.55" customHeight="1" x14ac:dyDescent="0.3">
      <c r="A28" s="180" t="s">
        <v>32</v>
      </c>
      <c r="B28" s="5">
        <v>0.33333333333333331</v>
      </c>
      <c r="C28" s="5"/>
      <c r="D28" s="4">
        <v>250077</v>
      </c>
      <c r="E28" s="12" t="s">
        <v>403</v>
      </c>
      <c r="F28" s="40">
        <v>430</v>
      </c>
      <c r="G28" s="41">
        <v>0.5</v>
      </c>
      <c r="H28" s="40">
        <v>345</v>
      </c>
      <c r="I28" s="12">
        <v>3</v>
      </c>
      <c r="J28" s="165">
        <v>1400</v>
      </c>
      <c r="K28" s="166"/>
      <c r="L28" s="165"/>
      <c r="M28" s="166"/>
      <c r="N28" s="165"/>
      <c r="O28" s="166"/>
      <c r="P28" s="165"/>
      <c r="Q28" s="166"/>
      <c r="R28" s="73"/>
      <c r="S28" s="14" t="s">
        <v>20</v>
      </c>
      <c r="T28" s="42"/>
      <c r="U28" s="177"/>
      <c r="V28" s="178"/>
      <c r="W28" s="179"/>
    </row>
    <row r="29" spans="1:23" ht="14.55" customHeight="1" x14ac:dyDescent="0.3">
      <c r="A29" s="181"/>
      <c r="B29" s="5"/>
      <c r="C29" s="5"/>
      <c r="D29" s="4">
        <v>180925</v>
      </c>
      <c r="E29" s="13" t="s">
        <v>404</v>
      </c>
      <c r="F29" s="40">
        <v>304</v>
      </c>
      <c r="G29" s="41">
        <v>0.7</v>
      </c>
      <c r="H29" s="40">
        <v>467</v>
      </c>
      <c r="I29" s="12">
        <v>7</v>
      </c>
      <c r="J29" s="165">
        <v>450</v>
      </c>
      <c r="K29" s="166"/>
      <c r="L29" s="165"/>
      <c r="M29" s="166"/>
      <c r="N29" s="165"/>
      <c r="O29" s="166"/>
      <c r="P29" s="165"/>
      <c r="Q29" s="166"/>
      <c r="R29" s="73"/>
      <c r="S29" s="14" t="s">
        <v>20</v>
      </c>
      <c r="T29" s="42"/>
      <c r="U29" s="177"/>
      <c r="V29" s="178"/>
      <c r="W29" s="179"/>
    </row>
    <row r="30" spans="1:23" ht="14.55" customHeight="1" x14ac:dyDescent="0.3">
      <c r="A30" s="181"/>
      <c r="B30" s="5"/>
      <c r="C30" s="5">
        <v>0.70833333333333337</v>
      </c>
      <c r="D30" s="4">
        <v>180925</v>
      </c>
      <c r="E30" s="12" t="s">
        <v>405</v>
      </c>
      <c r="F30" s="40">
        <v>304</v>
      </c>
      <c r="G30" s="41">
        <v>0.7</v>
      </c>
      <c r="H30" s="40">
        <v>433</v>
      </c>
      <c r="I30" s="12">
        <v>5</v>
      </c>
      <c r="J30" s="165">
        <v>1600</v>
      </c>
      <c r="K30" s="166"/>
      <c r="L30" s="165"/>
      <c r="M30" s="166"/>
      <c r="N30" s="165"/>
      <c r="O30" s="166"/>
      <c r="P30" s="165"/>
      <c r="Q30" s="166"/>
      <c r="R30" s="73"/>
      <c r="S30" s="14" t="s">
        <v>20</v>
      </c>
      <c r="T30" s="42"/>
      <c r="U30" s="177"/>
      <c r="V30" s="178"/>
      <c r="W30" s="179"/>
    </row>
    <row r="31" spans="1:23" ht="14.55" customHeight="1" x14ac:dyDescent="0.3">
      <c r="A31" s="181"/>
      <c r="B31" s="5"/>
      <c r="C31" s="5"/>
      <c r="D31" s="4"/>
      <c r="E31" s="13"/>
      <c r="F31" s="40"/>
      <c r="G31" s="41"/>
      <c r="H31" s="40"/>
      <c r="I31" s="12"/>
      <c r="J31" s="165"/>
      <c r="K31" s="166"/>
      <c r="L31" s="165"/>
      <c r="M31" s="166"/>
      <c r="N31" s="165"/>
      <c r="O31" s="166"/>
      <c r="P31" s="165"/>
      <c r="Q31" s="166"/>
      <c r="R31" s="73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/>
      <c r="D32" s="4"/>
      <c r="E32" s="12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73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2"/>
      <c r="B33" s="19"/>
      <c r="C33" s="19"/>
      <c r="D33" s="20"/>
      <c r="E33" s="170" t="s">
        <v>0</v>
      </c>
      <c r="F33" s="171"/>
      <c r="G33" s="171"/>
      <c r="H33" s="171"/>
      <c r="I33" s="172"/>
      <c r="J33" s="173">
        <f>SUM(J28:K32)</f>
        <v>3450</v>
      </c>
      <c r="K33" s="174"/>
      <c r="L33" s="173">
        <f>SUM(L28:M32)</f>
        <v>0</v>
      </c>
      <c r="M33" s="174"/>
      <c r="N33" s="173">
        <f>SUM(N28:O32)</f>
        <v>0</v>
      </c>
      <c r="O33" s="174"/>
      <c r="P33" s="173">
        <f>SUM(P28:Q32)</f>
        <v>0</v>
      </c>
      <c r="Q33" s="174"/>
      <c r="R33" s="23">
        <f>SUM(R28:R32)</f>
        <v>0</v>
      </c>
      <c r="S33" s="24" t="s">
        <v>20</v>
      </c>
      <c r="T33" s="19"/>
      <c r="U33" s="177"/>
      <c r="V33" s="178"/>
      <c r="W33" s="179"/>
    </row>
    <row r="34" spans="1:23" ht="14.55" customHeight="1" x14ac:dyDescent="0.3">
      <c r="A34" s="163" t="s">
        <v>34</v>
      </c>
      <c r="B34" s="5"/>
      <c r="C34" s="5"/>
      <c r="D34" s="4"/>
      <c r="E34" s="12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73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63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73"/>
      <c r="S35" s="14" t="s">
        <v>20</v>
      </c>
      <c r="T35" s="42"/>
      <c r="U35" s="177"/>
      <c r="V35" s="178"/>
      <c r="W35" s="179"/>
    </row>
    <row r="36" spans="1:23" ht="14.55" customHeight="1" x14ac:dyDescent="0.3">
      <c r="A36" s="163"/>
      <c r="B36" s="5"/>
      <c r="C36" s="5"/>
      <c r="D36" s="4"/>
      <c r="E36" s="12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73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64"/>
      <c r="B37" s="19"/>
      <c r="C37" s="19"/>
      <c r="D37" s="20"/>
      <c r="E37" s="170" t="s">
        <v>0</v>
      </c>
      <c r="F37" s="171"/>
      <c r="G37" s="171"/>
      <c r="H37" s="171"/>
      <c r="I37" s="172"/>
      <c r="J37" s="173">
        <f>SUM(J34:K36)</f>
        <v>0</v>
      </c>
      <c r="K37" s="174"/>
      <c r="L37" s="173">
        <f>SUM(L34:M36)</f>
        <v>0</v>
      </c>
      <c r="M37" s="174"/>
      <c r="N37" s="173">
        <f>SUM(N34:O36)</f>
        <v>0</v>
      </c>
      <c r="O37" s="174"/>
      <c r="P37" s="173">
        <f>SUM(P34:Q36)</f>
        <v>0</v>
      </c>
      <c r="Q37" s="174"/>
      <c r="R37" s="23">
        <f>SUM(R34:R36)</f>
        <v>0</v>
      </c>
      <c r="S37" s="24" t="s">
        <v>20</v>
      </c>
      <c r="T37" s="19"/>
      <c r="U37" s="177"/>
      <c r="V37" s="178"/>
      <c r="W37" s="179"/>
    </row>
    <row r="38" spans="1:23" ht="14.55" customHeight="1" x14ac:dyDescent="0.3">
      <c r="A38" s="163" t="s">
        <v>35</v>
      </c>
      <c r="B38" s="5">
        <v>0.33333333333333331</v>
      </c>
      <c r="C38" s="5"/>
      <c r="D38" s="4">
        <v>250057</v>
      </c>
      <c r="E38" s="12" t="s">
        <v>406</v>
      </c>
      <c r="F38" s="40">
        <v>304</v>
      </c>
      <c r="G38" s="41">
        <v>0.7</v>
      </c>
      <c r="H38" s="40">
        <v>307</v>
      </c>
      <c r="I38" s="12"/>
      <c r="J38" s="165"/>
      <c r="K38" s="166"/>
      <c r="L38" s="165"/>
      <c r="M38" s="166"/>
      <c r="N38" s="165">
        <v>500</v>
      </c>
      <c r="O38" s="166"/>
      <c r="P38" s="165"/>
      <c r="Q38" s="166"/>
      <c r="R38" s="73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3"/>
      <c r="B39" s="5"/>
      <c r="C39" s="5">
        <v>0.70833333333333337</v>
      </c>
      <c r="D39" s="4">
        <v>290925</v>
      </c>
      <c r="E39" s="12" t="s">
        <v>347</v>
      </c>
      <c r="F39" s="40">
        <v>304</v>
      </c>
      <c r="G39" s="41">
        <v>0.9</v>
      </c>
      <c r="H39" s="40">
        <v>369</v>
      </c>
      <c r="I39" s="12"/>
      <c r="J39" s="165"/>
      <c r="K39" s="166"/>
      <c r="L39" s="165"/>
      <c r="M39" s="166"/>
      <c r="N39" s="165">
        <v>1300</v>
      </c>
      <c r="O39" s="166"/>
      <c r="P39" s="165"/>
      <c r="Q39" s="166"/>
      <c r="R39" s="73">
        <v>40</v>
      </c>
      <c r="S39" s="14" t="s">
        <v>20</v>
      </c>
      <c r="T39" s="42" t="s">
        <v>93</v>
      </c>
      <c r="U39" s="177"/>
      <c r="V39" s="178"/>
      <c r="W39" s="179"/>
    </row>
    <row r="40" spans="1:23" ht="14.55" customHeight="1" x14ac:dyDescent="0.3">
      <c r="A40" s="163"/>
      <c r="B40" s="5"/>
      <c r="C40" s="5"/>
      <c r="D40" s="4"/>
      <c r="E40" s="12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73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73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4"/>
      <c r="B42" s="19"/>
      <c r="C42" s="19"/>
      <c r="D42" s="20"/>
      <c r="E42" s="170" t="s">
        <v>0</v>
      </c>
      <c r="F42" s="171"/>
      <c r="G42" s="171"/>
      <c r="H42" s="171"/>
      <c r="I42" s="172"/>
      <c r="J42" s="173">
        <f>SUM(J38:K41)</f>
        <v>0</v>
      </c>
      <c r="K42" s="174"/>
      <c r="L42" s="173">
        <f>SUM(L38:M41)</f>
        <v>0</v>
      </c>
      <c r="M42" s="174"/>
      <c r="N42" s="173">
        <f>SUM(N38:O41)</f>
        <v>1800</v>
      </c>
      <c r="O42" s="174"/>
      <c r="P42" s="173">
        <f>SUM(P38:Q41)</f>
        <v>0</v>
      </c>
      <c r="Q42" s="174"/>
      <c r="R42" s="23">
        <f>SUM(R38:R41)</f>
        <v>40</v>
      </c>
      <c r="S42" s="24" t="s">
        <v>20</v>
      </c>
      <c r="T42" s="19"/>
      <c r="U42" s="177"/>
      <c r="V42" s="178"/>
      <c r="W42" s="179"/>
    </row>
    <row r="43" spans="1:23" ht="14.55" customHeight="1" x14ac:dyDescent="0.3">
      <c r="A43" s="27"/>
      <c r="B43" s="27"/>
      <c r="C43" s="27"/>
      <c r="D43" s="27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27"/>
      <c r="S43" s="27"/>
      <c r="T43" s="39"/>
      <c r="U43" s="39"/>
      <c r="V43" s="39"/>
      <c r="W43" s="39"/>
    </row>
    <row r="44" spans="1:23" x14ac:dyDescent="0.3">
      <c r="E44" s="170" t="s">
        <v>31</v>
      </c>
      <c r="F44" s="171"/>
      <c r="G44" s="171"/>
      <c r="H44" s="171"/>
      <c r="I44" s="172"/>
      <c r="J44" s="175" t="s">
        <v>7</v>
      </c>
      <c r="K44" s="176"/>
      <c r="L44" s="175" t="s">
        <v>8</v>
      </c>
      <c r="M44" s="176"/>
      <c r="N44" s="175" t="s">
        <v>9</v>
      </c>
      <c r="O44" s="176"/>
      <c r="P44" s="175" t="s">
        <v>117</v>
      </c>
      <c r="Q44" s="176"/>
    </row>
    <row r="45" spans="1:23" s="2" customFormat="1" x14ac:dyDescent="0.3">
      <c r="E45" s="15"/>
      <c r="F45" s="15"/>
      <c r="G45" s="15"/>
      <c r="H45" s="15"/>
      <c r="I45" s="15"/>
      <c r="J45" s="30">
        <f>J33+J37+J42</f>
        <v>3450</v>
      </c>
      <c r="K45" s="31" t="s">
        <v>17</v>
      </c>
      <c r="L45" s="30">
        <f>L33+L37+L42</f>
        <v>0</v>
      </c>
      <c r="M45" s="31" t="s">
        <v>17</v>
      </c>
      <c r="N45" s="30">
        <f>N33+N37+N42</f>
        <v>1800</v>
      </c>
      <c r="O45" s="31" t="s">
        <v>17</v>
      </c>
      <c r="P45" s="30">
        <f>P33+P37+P42</f>
        <v>0</v>
      </c>
      <c r="Q45" s="34" t="s">
        <v>17</v>
      </c>
    </row>
    <row r="46" spans="1:23" ht="24.45" customHeight="1" x14ac:dyDescent="0.3">
      <c r="E46" s="28"/>
      <c r="F46" s="28"/>
      <c r="G46" s="28"/>
      <c r="H46" s="28"/>
      <c r="I46" s="28"/>
      <c r="J46" s="167">
        <f>J45+L45+N45+P45</f>
        <v>5250</v>
      </c>
      <c r="K46" s="168"/>
      <c r="L46" s="168"/>
      <c r="M46" s="168"/>
      <c r="N46" s="168"/>
      <c r="O46" s="168"/>
      <c r="P46" s="168"/>
      <c r="Q46" s="169"/>
    </row>
    <row r="47" spans="1:23" ht="30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spans="1:23" s="37" customFormat="1" ht="19.95" customHeight="1" x14ac:dyDescent="0.4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214" t="s">
        <v>14</v>
      </c>
      <c r="R48" s="215"/>
      <c r="S48" s="216"/>
      <c r="T48" s="184">
        <f>T3</f>
        <v>45937</v>
      </c>
      <c r="U48" s="185"/>
      <c r="V48" s="185"/>
      <c r="W48" s="186"/>
    </row>
    <row r="49" spans="1:23" s="16" customFormat="1" ht="30" customHeight="1" x14ac:dyDescent="0.3">
      <c r="A49" s="187" t="s">
        <v>26</v>
      </c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9"/>
      <c r="Q49" s="189"/>
      <c r="R49" s="189"/>
      <c r="S49" s="189"/>
      <c r="T49" s="188"/>
      <c r="U49" s="188"/>
      <c r="V49" s="188"/>
      <c r="W49" s="190"/>
    </row>
    <row r="50" spans="1:23" s="26" customFormat="1" ht="13.8" x14ac:dyDescent="0.3">
      <c r="A50" s="191" t="s">
        <v>1</v>
      </c>
      <c r="B50" s="192" t="s">
        <v>2</v>
      </c>
      <c r="C50" s="192" t="s">
        <v>3</v>
      </c>
      <c r="D50" s="192" t="s">
        <v>4</v>
      </c>
      <c r="E50" s="193" t="s">
        <v>5</v>
      </c>
      <c r="F50" s="197"/>
      <c r="G50" s="197"/>
      <c r="H50" s="197"/>
      <c r="I50" s="198"/>
      <c r="J50" s="193" t="s">
        <v>6</v>
      </c>
      <c r="K50" s="197"/>
      <c r="L50" s="197"/>
      <c r="M50" s="197"/>
      <c r="N50" s="197"/>
      <c r="O50" s="197"/>
      <c r="P50" s="197"/>
      <c r="Q50" s="198"/>
      <c r="R50" s="193" t="s">
        <v>10</v>
      </c>
      <c r="S50" s="198"/>
      <c r="T50" s="191" t="s">
        <v>11</v>
      </c>
      <c r="U50" s="191" t="s">
        <v>12</v>
      </c>
      <c r="V50" s="191"/>
      <c r="W50" s="191"/>
    </row>
    <row r="51" spans="1:23" s="26" customFormat="1" ht="13.8" x14ac:dyDescent="0.3">
      <c r="A51" s="191"/>
      <c r="B51" s="192"/>
      <c r="C51" s="192"/>
      <c r="D51" s="192"/>
      <c r="E51" s="194"/>
      <c r="F51" s="217"/>
      <c r="G51" s="217"/>
      <c r="H51" s="217"/>
      <c r="I51" s="199"/>
      <c r="J51" s="200" t="s">
        <v>7</v>
      </c>
      <c r="K51" s="201"/>
      <c r="L51" s="200" t="s">
        <v>8</v>
      </c>
      <c r="M51" s="201"/>
      <c r="N51" s="200" t="s">
        <v>9</v>
      </c>
      <c r="O51" s="201"/>
      <c r="P51" s="200" t="s">
        <v>16</v>
      </c>
      <c r="Q51" s="201"/>
      <c r="R51" s="194"/>
      <c r="S51" s="199"/>
      <c r="T51" s="191"/>
      <c r="U51" s="191"/>
      <c r="V51" s="191"/>
      <c r="W51" s="191"/>
    </row>
    <row r="52" spans="1:23" x14ac:dyDescent="0.3">
      <c r="A52" s="180" t="s">
        <v>13</v>
      </c>
      <c r="B52" s="5">
        <v>0.33333333333333331</v>
      </c>
      <c r="C52" s="5"/>
      <c r="D52" s="4">
        <v>160925</v>
      </c>
      <c r="E52" s="211" t="s">
        <v>407</v>
      </c>
      <c r="F52" s="212"/>
      <c r="G52" s="212"/>
      <c r="H52" s="212"/>
      <c r="I52" s="213"/>
      <c r="J52" s="165"/>
      <c r="K52" s="166"/>
      <c r="L52" s="165"/>
      <c r="M52" s="166"/>
      <c r="N52" s="165">
        <v>622</v>
      </c>
      <c r="O52" s="166"/>
      <c r="P52" s="165"/>
      <c r="Q52" s="166"/>
      <c r="R52" s="73"/>
      <c r="S52" s="6" t="s">
        <v>20</v>
      </c>
      <c r="T52" s="3"/>
      <c r="U52" s="202"/>
      <c r="V52" s="203"/>
      <c r="W52" s="204"/>
    </row>
    <row r="53" spans="1:23" x14ac:dyDescent="0.3">
      <c r="A53" s="163"/>
      <c r="B53" s="5"/>
      <c r="C53" s="5"/>
      <c r="D53" s="4">
        <v>160925</v>
      </c>
      <c r="E53" s="211" t="s">
        <v>408</v>
      </c>
      <c r="F53" s="212"/>
      <c r="G53" s="212"/>
      <c r="H53" s="212"/>
      <c r="I53" s="213"/>
      <c r="J53" s="165">
        <v>1105</v>
      </c>
      <c r="K53" s="166"/>
      <c r="L53" s="165"/>
      <c r="M53" s="166"/>
      <c r="N53" s="165"/>
      <c r="O53" s="166"/>
      <c r="P53" s="165"/>
      <c r="Q53" s="166"/>
      <c r="R53" s="73"/>
      <c r="S53" s="6" t="s">
        <v>20</v>
      </c>
      <c r="T53" s="3"/>
      <c r="U53" s="205"/>
      <c r="V53" s="206"/>
      <c r="W53" s="207"/>
    </row>
    <row r="54" spans="1:23" x14ac:dyDescent="0.3">
      <c r="A54" s="163"/>
      <c r="B54" s="5"/>
      <c r="C54" s="5"/>
      <c r="D54" s="4">
        <v>180925</v>
      </c>
      <c r="E54" s="211" t="s">
        <v>409</v>
      </c>
      <c r="F54" s="212"/>
      <c r="G54" s="212"/>
      <c r="H54" s="212"/>
      <c r="I54" s="213"/>
      <c r="J54" s="165">
        <v>2108</v>
      </c>
      <c r="K54" s="166"/>
      <c r="L54" s="165"/>
      <c r="M54" s="166"/>
      <c r="N54" s="165"/>
      <c r="O54" s="166"/>
      <c r="P54" s="165"/>
      <c r="Q54" s="166"/>
      <c r="R54" s="73"/>
      <c r="S54" s="6" t="s">
        <v>20</v>
      </c>
      <c r="T54" s="3"/>
      <c r="U54" s="205"/>
      <c r="V54" s="206"/>
      <c r="W54" s="207"/>
    </row>
    <row r="55" spans="1:23" x14ac:dyDescent="0.3">
      <c r="A55" s="163"/>
      <c r="B55" s="5"/>
      <c r="C55" s="5">
        <v>0.70833333333333337</v>
      </c>
      <c r="D55" s="4">
        <v>290925</v>
      </c>
      <c r="E55" s="211" t="s">
        <v>347</v>
      </c>
      <c r="F55" s="212"/>
      <c r="G55" s="212"/>
      <c r="H55" s="212"/>
      <c r="I55" s="213"/>
      <c r="J55" s="165">
        <v>411</v>
      </c>
      <c r="K55" s="166"/>
      <c r="L55" s="165"/>
      <c r="M55" s="166"/>
      <c r="N55" s="165"/>
      <c r="O55" s="166"/>
      <c r="P55" s="165"/>
      <c r="Q55" s="166"/>
      <c r="R55" s="73"/>
      <c r="S55" s="6" t="s">
        <v>20</v>
      </c>
      <c r="T55" s="3"/>
      <c r="U55" s="205"/>
      <c r="V55" s="206"/>
      <c r="W55" s="207"/>
    </row>
    <row r="56" spans="1:23" x14ac:dyDescent="0.3">
      <c r="A56" s="163"/>
      <c r="B56" s="5"/>
      <c r="C56" s="5"/>
      <c r="D56" s="4"/>
      <c r="E56" s="211"/>
      <c r="F56" s="212"/>
      <c r="G56" s="212"/>
      <c r="H56" s="212"/>
      <c r="I56" s="213"/>
      <c r="J56" s="165"/>
      <c r="K56" s="166"/>
      <c r="L56" s="165"/>
      <c r="M56" s="166"/>
      <c r="N56" s="165"/>
      <c r="O56" s="166"/>
      <c r="P56" s="165"/>
      <c r="Q56" s="166"/>
      <c r="R56" s="73"/>
      <c r="S56" s="6" t="s">
        <v>20</v>
      </c>
      <c r="T56" s="3"/>
      <c r="U56" s="205"/>
      <c r="V56" s="206"/>
      <c r="W56" s="207"/>
    </row>
    <row r="57" spans="1:23" x14ac:dyDescent="0.3">
      <c r="A57" s="163"/>
      <c r="B57" s="5"/>
      <c r="C57" s="5"/>
      <c r="D57" s="4"/>
      <c r="E57" s="211"/>
      <c r="F57" s="212"/>
      <c r="G57" s="212"/>
      <c r="H57" s="212"/>
      <c r="I57" s="213"/>
      <c r="J57" s="165"/>
      <c r="K57" s="166"/>
      <c r="L57" s="165"/>
      <c r="M57" s="166"/>
      <c r="N57" s="165"/>
      <c r="O57" s="166"/>
      <c r="P57" s="165"/>
      <c r="Q57" s="166"/>
      <c r="R57" s="73"/>
      <c r="S57" s="6" t="s">
        <v>20</v>
      </c>
      <c r="T57" s="3"/>
      <c r="U57" s="205"/>
      <c r="V57" s="206"/>
      <c r="W57" s="207"/>
    </row>
    <row r="58" spans="1:23" x14ac:dyDescent="0.3">
      <c r="A58" s="163"/>
      <c r="B58" s="5"/>
      <c r="C58" s="5"/>
      <c r="D58" s="4"/>
      <c r="E58" s="211"/>
      <c r="F58" s="212"/>
      <c r="G58" s="212"/>
      <c r="H58" s="212"/>
      <c r="I58" s="213"/>
      <c r="J58" s="165"/>
      <c r="K58" s="166"/>
      <c r="L58" s="165"/>
      <c r="M58" s="166"/>
      <c r="N58" s="165"/>
      <c r="O58" s="166"/>
      <c r="P58" s="165"/>
      <c r="Q58" s="166"/>
      <c r="R58" s="73"/>
      <c r="S58" s="6" t="s">
        <v>20</v>
      </c>
      <c r="T58" s="3"/>
      <c r="U58" s="205"/>
      <c r="V58" s="206"/>
      <c r="W58" s="207"/>
    </row>
    <row r="59" spans="1:23" x14ac:dyDescent="0.3">
      <c r="A59" s="164"/>
      <c r="B59" s="19"/>
      <c r="C59" s="19"/>
      <c r="D59" s="20"/>
      <c r="E59" s="170" t="s">
        <v>0</v>
      </c>
      <c r="F59" s="171"/>
      <c r="G59" s="171"/>
      <c r="H59" s="171"/>
      <c r="I59" s="172"/>
      <c r="J59" s="173">
        <f>SUM(J52:J58)</f>
        <v>3624</v>
      </c>
      <c r="K59" s="174"/>
      <c r="L59" s="173">
        <f>SUM(L52:L58)</f>
        <v>0</v>
      </c>
      <c r="M59" s="174"/>
      <c r="N59" s="173">
        <f>SUM(N52:N58)</f>
        <v>622</v>
      </c>
      <c r="O59" s="174"/>
      <c r="P59" s="173">
        <f>SUM(P52:P58)</f>
        <v>0</v>
      </c>
      <c r="Q59" s="174"/>
      <c r="R59" s="23">
        <f>SUM(R52:R58)</f>
        <v>0</v>
      </c>
      <c r="S59" s="24" t="s">
        <v>20</v>
      </c>
      <c r="T59" s="19"/>
      <c r="U59" s="208"/>
      <c r="V59" s="209"/>
      <c r="W59" s="210"/>
    </row>
    <row r="60" spans="1:23" x14ac:dyDescent="0.3">
      <c r="A60" s="180" t="s">
        <v>15</v>
      </c>
      <c r="B60" s="5"/>
      <c r="C60" s="5"/>
      <c r="D60" s="4"/>
      <c r="E60" s="211"/>
      <c r="F60" s="212"/>
      <c r="G60" s="212"/>
      <c r="H60" s="212"/>
      <c r="I60" s="213"/>
      <c r="J60" s="165"/>
      <c r="K60" s="166"/>
      <c r="L60" s="165"/>
      <c r="M60" s="166"/>
      <c r="N60" s="165"/>
      <c r="O60" s="166"/>
      <c r="P60" s="165"/>
      <c r="Q60" s="166"/>
      <c r="R60" s="73"/>
      <c r="S60" s="6" t="s">
        <v>20</v>
      </c>
      <c r="T60" s="3"/>
      <c r="U60" s="202"/>
      <c r="V60" s="203"/>
      <c r="W60" s="204"/>
    </row>
    <row r="61" spans="1:23" x14ac:dyDescent="0.3">
      <c r="A61" s="163"/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73"/>
      <c r="S61" s="6" t="s">
        <v>20</v>
      </c>
      <c r="T61" s="3"/>
      <c r="U61" s="205"/>
      <c r="V61" s="206"/>
      <c r="W61" s="207"/>
    </row>
    <row r="62" spans="1:23" x14ac:dyDescent="0.3">
      <c r="A62" s="163"/>
      <c r="B62" s="5"/>
      <c r="C62" s="5"/>
      <c r="D62" s="4"/>
      <c r="E62" s="211"/>
      <c r="F62" s="212"/>
      <c r="G62" s="212"/>
      <c r="H62" s="212"/>
      <c r="I62" s="213"/>
      <c r="J62" s="165"/>
      <c r="K62" s="166"/>
      <c r="L62" s="165"/>
      <c r="M62" s="166"/>
      <c r="N62" s="165"/>
      <c r="O62" s="166"/>
      <c r="P62" s="165"/>
      <c r="Q62" s="166"/>
      <c r="R62" s="73"/>
      <c r="S62" s="6" t="s">
        <v>20</v>
      </c>
      <c r="T62" s="3"/>
      <c r="U62" s="205"/>
      <c r="V62" s="206"/>
      <c r="W62" s="207"/>
    </row>
    <row r="63" spans="1:23" x14ac:dyDescent="0.3">
      <c r="A63" s="164"/>
      <c r="B63" s="19"/>
      <c r="C63" s="19"/>
      <c r="D63" s="20"/>
      <c r="E63" s="170" t="s">
        <v>0</v>
      </c>
      <c r="F63" s="171"/>
      <c r="G63" s="171"/>
      <c r="H63" s="171"/>
      <c r="I63" s="172"/>
      <c r="J63" s="173">
        <f>SUM(J60:J62)</f>
        <v>0</v>
      </c>
      <c r="K63" s="174"/>
      <c r="L63" s="173">
        <f>SUM(L60:L62)</f>
        <v>0</v>
      </c>
      <c r="M63" s="174"/>
      <c r="N63" s="173">
        <f>SUM(N60:N62)</f>
        <v>0</v>
      </c>
      <c r="O63" s="174"/>
      <c r="P63" s="173">
        <f>SUM(P55:P62)</f>
        <v>0</v>
      </c>
      <c r="Q63" s="174"/>
      <c r="R63" s="23">
        <f>SUM(R60:R62)</f>
        <v>0</v>
      </c>
      <c r="S63" s="24" t="s">
        <v>20</v>
      </c>
      <c r="T63" s="7"/>
      <c r="U63" s="208"/>
      <c r="V63" s="209"/>
      <c r="W63" s="210"/>
    </row>
    <row r="64" spans="1:23" x14ac:dyDescent="0.3">
      <c r="A64" s="180" t="s">
        <v>37</v>
      </c>
      <c r="B64" s="5"/>
      <c r="C64" s="5"/>
      <c r="D64" s="4"/>
      <c r="E64" s="211"/>
      <c r="F64" s="212"/>
      <c r="G64" s="212"/>
      <c r="H64" s="212"/>
      <c r="I64" s="213"/>
      <c r="J64" s="165"/>
      <c r="K64" s="166"/>
      <c r="L64" s="165"/>
      <c r="M64" s="166"/>
      <c r="N64" s="165"/>
      <c r="O64" s="166"/>
      <c r="P64" s="165"/>
      <c r="Q64" s="166"/>
      <c r="R64" s="73"/>
      <c r="S64" s="6" t="s">
        <v>20</v>
      </c>
      <c r="T64" s="3"/>
      <c r="U64" s="202"/>
      <c r="V64" s="203"/>
      <c r="W64" s="204"/>
    </row>
    <row r="65" spans="1:23" x14ac:dyDescent="0.3">
      <c r="A65" s="163"/>
      <c r="B65" s="5"/>
      <c r="C65" s="5"/>
      <c r="D65" s="4"/>
      <c r="E65" s="211"/>
      <c r="F65" s="212"/>
      <c r="G65" s="212"/>
      <c r="H65" s="212"/>
      <c r="I65" s="213"/>
      <c r="J65" s="165"/>
      <c r="K65" s="166"/>
      <c r="L65" s="165"/>
      <c r="M65" s="166"/>
      <c r="N65" s="165"/>
      <c r="O65" s="166"/>
      <c r="P65" s="165"/>
      <c r="Q65" s="166"/>
      <c r="R65" s="73"/>
      <c r="S65" s="6" t="s">
        <v>20</v>
      </c>
      <c r="T65" s="3"/>
      <c r="U65" s="205"/>
      <c r="V65" s="206"/>
      <c r="W65" s="207"/>
    </row>
    <row r="66" spans="1:23" x14ac:dyDescent="0.3">
      <c r="A66" s="163"/>
      <c r="B66" s="5"/>
      <c r="C66" s="5"/>
      <c r="D66" s="4"/>
      <c r="E66" s="211"/>
      <c r="F66" s="212"/>
      <c r="G66" s="212"/>
      <c r="H66" s="212"/>
      <c r="I66" s="213"/>
      <c r="J66" s="165"/>
      <c r="K66" s="166"/>
      <c r="L66" s="165"/>
      <c r="M66" s="166"/>
      <c r="N66" s="165"/>
      <c r="O66" s="166"/>
      <c r="P66" s="165"/>
      <c r="Q66" s="166"/>
      <c r="R66" s="73"/>
      <c r="S66" s="6" t="s">
        <v>20</v>
      </c>
      <c r="T66" s="3"/>
      <c r="U66" s="205"/>
      <c r="V66" s="206"/>
      <c r="W66" s="207"/>
    </row>
    <row r="67" spans="1:23" x14ac:dyDescent="0.3">
      <c r="A67" s="163"/>
      <c r="B67" s="5"/>
      <c r="C67" s="5"/>
      <c r="D67" s="4"/>
      <c r="E67" s="211"/>
      <c r="F67" s="212"/>
      <c r="G67" s="212"/>
      <c r="H67" s="212"/>
      <c r="I67" s="213"/>
      <c r="J67" s="165"/>
      <c r="K67" s="166"/>
      <c r="L67" s="165"/>
      <c r="M67" s="166"/>
      <c r="N67" s="165"/>
      <c r="O67" s="166"/>
      <c r="P67" s="165"/>
      <c r="Q67" s="166"/>
      <c r="R67" s="73"/>
      <c r="S67" s="6" t="s">
        <v>20</v>
      </c>
      <c r="T67" s="3"/>
      <c r="U67" s="205"/>
      <c r="V67" s="206"/>
      <c r="W67" s="207"/>
    </row>
    <row r="68" spans="1:23" x14ac:dyDescent="0.3">
      <c r="A68" s="163"/>
      <c r="B68" s="5"/>
      <c r="C68" s="5"/>
      <c r="D68" s="4"/>
      <c r="E68" s="211"/>
      <c r="F68" s="212"/>
      <c r="G68" s="212"/>
      <c r="H68" s="212"/>
      <c r="I68" s="213"/>
      <c r="J68" s="165"/>
      <c r="K68" s="166"/>
      <c r="L68" s="165"/>
      <c r="M68" s="166"/>
      <c r="N68" s="165"/>
      <c r="O68" s="166"/>
      <c r="P68" s="165"/>
      <c r="Q68" s="166"/>
      <c r="R68" s="73"/>
      <c r="S68" s="6" t="s">
        <v>20</v>
      </c>
      <c r="T68" s="3"/>
      <c r="U68" s="205"/>
      <c r="V68" s="206"/>
      <c r="W68" s="207"/>
    </row>
    <row r="69" spans="1:23" x14ac:dyDescent="0.3">
      <c r="A69" s="163"/>
      <c r="B69" s="5"/>
      <c r="C69" s="5"/>
      <c r="D69" s="4"/>
      <c r="E69" s="211"/>
      <c r="F69" s="212"/>
      <c r="G69" s="212"/>
      <c r="H69" s="212"/>
      <c r="I69" s="213"/>
      <c r="J69" s="165"/>
      <c r="K69" s="166"/>
      <c r="L69" s="165"/>
      <c r="M69" s="166"/>
      <c r="N69" s="165"/>
      <c r="O69" s="166"/>
      <c r="P69" s="165"/>
      <c r="Q69" s="166"/>
      <c r="R69" s="73"/>
      <c r="S69" s="6" t="s">
        <v>20</v>
      </c>
      <c r="T69" s="3"/>
      <c r="U69" s="205"/>
      <c r="V69" s="206"/>
      <c r="W69" s="207"/>
    </row>
    <row r="70" spans="1:23" x14ac:dyDescent="0.3">
      <c r="A70" s="163"/>
      <c r="B70" s="5"/>
      <c r="C70" s="5"/>
      <c r="D70" s="4"/>
      <c r="E70" s="211"/>
      <c r="F70" s="212"/>
      <c r="G70" s="212"/>
      <c r="H70" s="212"/>
      <c r="I70" s="213"/>
      <c r="J70" s="165"/>
      <c r="K70" s="166"/>
      <c r="L70" s="165"/>
      <c r="M70" s="166"/>
      <c r="N70" s="165"/>
      <c r="O70" s="166"/>
      <c r="P70" s="165"/>
      <c r="Q70" s="166"/>
      <c r="R70" s="73"/>
      <c r="S70" s="6" t="s">
        <v>20</v>
      </c>
      <c r="T70" s="3"/>
      <c r="U70" s="205"/>
      <c r="V70" s="206"/>
      <c r="W70" s="207"/>
    </row>
    <row r="71" spans="1:23" x14ac:dyDescent="0.3">
      <c r="A71" s="164"/>
      <c r="B71" s="19"/>
      <c r="C71" s="19"/>
      <c r="D71" s="20"/>
      <c r="E71" s="170" t="s">
        <v>0</v>
      </c>
      <c r="F71" s="171"/>
      <c r="G71" s="171"/>
      <c r="H71" s="171"/>
      <c r="I71" s="172"/>
      <c r="J71" s="173">
        <f>SUM(J64:J70)</f>
        <v>0</v>
      </c>
      <c r="K71" s="174"/>
      <c r="L71" s="173">
        <f>SUM(L64:L70)</f>
        <v>0</v>
      </c>
      <c r="M71" s="174"/>
      <c r="N71" s="173">
        <f>SUM(N64:N70)</f>
        <v>0</v>
      </c>
      <c r="O71" s="174"/>
      <c r="P71" s="173">
        <f>SUM(P64:P70)</f>
        <v>0</v>
      </c>
      <c r="Q71" s="174"/>
      <c r="R71" s="23">
        <f>SUM(R64:R70)</f>
        <v>0</v>
      </c>
      <c r="S71" s="24" t="s">
        <v>20</v>
      </c>
      <c r="T71" s="19"/>
      <c r="U71" s="208"/>
      <c r="V71" s="209"/>
      <c r="W71" s="210"/>
    </row>
    <row r="72" spans="1:23" x14ac:dyDescent="0.3">
      <c r="A72" s="180" t="s">
        <v>36</v>
      </c>
      <c r="B72" s="5"/>
      <c r="C72" s="5"/>
      <c r="D72" s="4"/>
      <c r="E72" s="211"/>
      <c r="F72" s="212"/>
      <c r="G72" s="212"/>
      <c r="H72" s="212"/>
      <c r="I72" s="213"/>
      <c r="J72" s="165"/>
      <c r="K72" s="166"/>
      <c r="L72" s="165"/>
      <c r="M72" s="166"/>
      <c r="N72" s="165"/>
      <c r="O72" s="166"/>
      <c r="P72" s="165"/>
      <c r="Q72" s="166"/>
      <c r="R72" s="73"/>
      <c r="S72" s="6" t="s">
        <v>20</v>
      </c>
      <c r="T72" s="3"/>
      <c r="U72" s="202"/>
      <c r="V72" s="203"/>
      <c r="W72" s="204"/>
    </row>
    <row r="73" spans="1:23" x14ac:dyDescent="0.3">
      <c r="A73" s="163"/>
      <c r="B73" s="5"/>
      <c r="C73" s="5"/>
      <c r="D73" s="4"/>
      <c r="E73" s="211"/>
      <c r="F73" s="212"/>
      <c r="G73" s="212"/>
      <c r="H73" s="212"/>
      <c r="I73" s="213"/>
      <c r="J73" s="165"/>
      <c r="K73" s="166"/>
      <c r="L73" s="165"/>
      <c r="M73" s="166"/>
      <c r="N73" s="165"/>
      <c r="O73" s="166"/>
      <c r="P73" s="165"/>
      <c r="Q73" s="166"/>
      <c r="R73" s="73"/>
      <c r="S73" s="6" t="s">
        <v>20</v>
      </c>
      <c r="T73" s="3"/>
      <c r="U73" s="205"/>
      <c r="V73" s="206"/>
      <c r="W73" s="207"/>
    </row>
    <row r="74" spans="1:23" x14ac:dyDescent="0.3">
      <c r="A74" s="163"/>
      <c r="B74" s="5"/>
      <c r="C74" s="5"/>
      <c r="D74" s="4"/>
      <c r="E74" s="211"/>
      <c r="F74" s="212"/>
      <c r="G74" s="212"/>
      <c r="H74" s="212"/>
      <c r="I74" s="213"/>
      <c r="J74" s="165"/>
      <c r="K74" s="166"/>
      <c r="L74" s="165"/>
      <c r="M74" s="166"/>
      <c r="N74" s="165"/>
      <c r="O74" s="166"/>
      <c r="P74" s="165"/>
      <c r="Q74" s="166"/>
      <c r="R74" s="73"/>
      <c r="S74" s="6" t="s">
        <v>20</v>
      </c>
      <c r="T74" s="3"/>
      <c r="U74" s="205"/>
      <c r="V74" s="206"/>
      <c r="W74" s="207"/>
    </row>
    <row r="75" spans="1:23" x14ac:dyDescent="0.3">
      <c r="A75" s="164"/>
      <c r="B75" s="19"/>
      <c r="C75" s="19"/>
      <c r="D75" s="20"/>
      <c r="E75" s="170" t="s">
        <v>0</v>
      </c>
      <c r="F75" s="171"/>
      <c r="G75" s="171"/>
      <c r="H75" s="171"/>
      <c r="I75" s="172"/>
      <c r="J75" s="173">
        <f>SUM(J72:J74)</f>
        <v>0</v>
      </c>
      <c r="K75" s="174"/>
      <c r="L75" s="173">
        <f>SUM(L72:L74)</f>
        <v>0</v>
      </c>
      <c r="M75" s="174"/>
      <c r="N75" s="173">
        <f>SUM(N72:N74)</f>
        <v>0</v>
      </c>
      <c r="O75" s="174"/>
      <c r="P75" s="173">
        <f>SUM(P72:P74)</f>
        <v>0</v>
      </c>
      <c r="Q75" s="174"/>
      <c r="R75" s="23">
        <f>SUM(R72:R74)</f>
        <v>0</v>
      </c>
      <c r="S75" s="24" t="s">
        <v>20</v>
      </c>
      <c r="T75" s="19"/>
      <c r="U75" s="208"/>
      <c r="V75" s="209"/>
      <c r="W75" s="210"/>
    </row>
    <row r="76" spans="1:23" x14ac:dyDescent="0.3">
      <c r="E76" s="28"/>
      <c r="F76" s="28"/>
      <c r="G76" s="28"/>
      <c r="H76" s="28"/>
      <c r="I76" s="28"/>
      <c r="J76" s="29"/>
      <c r="K76" s="29"/>
      <c r="L76" s="29"/>
      <c r="M76" s="29"/>
      <c r="N76" s="29"/>
      <c r="O76" s="29"/>
      <c r="P76" s="29"/>
      <c r="Q76" s="29"/>
    </row>
    <row r="77" spans="1:23" x14ac:dyDescent="0.3">
      <c r="E77" s="170" t="s">
        <v>28</v>
      </c>
      <c r="F77" s="171"/>
      <c r="G77" s="171"/>
      <c r="H77" s="171"/>
      <c r="I77" s="172"/>
      <c r="J77" s="175" t="s">
        <v>7</v>
      </c>
      <c r="K77" s="176"/>
      <c r="L77" s="175" t="s">
        <v>8</v>
      </c>
      <c r="M77" s="176"/>
      <c r="N77" s="175" t="s">
        <v>9</v>
      </c>
      <c r="O77" s="176"/>
      <c r="P77" s="175" t="s">
        <v>16</v>
      </c>
      <c r="Q77" s="176"/>
    </row>
    <row r="78" spans="1:23" s="2" customFormat="1" x14ac:dyDescent="0.3">
      <c r="E78" s="15"/>
      <c r="F78" s="15"/>
      <c r="G78" s="15"/>
      <c r="H78" s="15"/>
      <c r="I78" s="15"/>
      <c r="J78" s="30">
        <f>J59+J63</f>
        <v>3624</v>
      </c>
      <c r="K78" s="31" t="s">
        <v>17</v>
      </c>
      <c r="L78" s="32">
        <f>L59+L63</f>
        <v>0</v>
      </c>
      <c r="M78" s="31" t="s">
        <v>17</v>
      </c>
      <c r="N78" s="32">
        <f>N59+N63</f>
        <v>622</v>
      </c>
      <c r="O78" s="31" t="s">
        <v>17</v>
      </c>
      <c r="P78" s="33">
        <f>P71+P75</f>
        <v>0</v>
      </c>
      <c r="Q78" s="34" t="s">
        <v>17</v>
      </c>
    </row>
    <row r="79" spans="1:23" s="8" customFormat="1" ht="24.45" customHeight="1" x14ac:dyDescent="0.3">
      <c r="A79"/>
      <c r="B79"/>
      <c r="C79"/>
      <c r="E79" s="28"/>
      <c r="F79" s="28"/>
      <c r="G79" s="28"/>
      <c r="H79" s="28"/>
      <c r="I79" s="28"/>
      <c r="J79" s="167">
        <f>J78+L78+N78+P78</f>
        <v>4246</v>
      </c>
      <c r="K79" s="168"/>
      <c r="L79" s="168"/>
      <c r="M79" s="168"/>
      <c r="N79" s="168"/>
      <c r="O79" s="168"/>
      <c r="P79" s="168"/>
      <c r="Q79" s="169"/>
      <c r="S79"/>
      <c r="T79"/>
      <c r="U79"/>
      <c r="V79"/>
      <c r="W79"/>
    </row>
  </sheetData>
  <mergeCells count="318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A7:A18"/>
    <mergeCell ref="J7:K7"/>
    <mergeCell ref="L7:M7"/>
    <mergeCell ref="N7:O7"/>
    <mergeCell ref="P7:Q7"/>
    <mergeCell ref="U7:W18"/>
    <mergeCell ref="J8:K8"/>
    <mergeCell ref="L8:M8"/>
    <mergeCell ref="N8:O8"/>
    <mergeCell ref="P8:Q8"/>
    <mergeCell ref="J11:K11"/>
    <mergeCell ref="L11:M11"/>
    <mergeCell ref="N11:O11"/>
    <mergeCell ref="P11:Q11"/>
    <mergeCell ref="J12:K12"/>
    <mergeCell ref="L12:M12"/>
    <mergeCell ref="N12:O12"/>
    <mergeCell ref="P12:Q12"/>
    <mergeCell ref="J9:K9"/>
    <mergeCell ref="L9:M9"/>
    <mergeCell ref="N9:O9"/>
    <mergeCell ref="P9:Q9"/>
    <mergeCell ref="J10:K10"/>
    <mergeCell ref="L10:M10"/>
    <mergeCell ref="N10:O10"/>
    <mergeCell ref="P10:Q10"/>
    <mergeCell ref="J15:K15"/>
    <mergeCell ref="L15:M15"/>
    <mergeCell ref="N15:O15"/>
    <mergeCell ref="P15:Q15"/>
    <mergeCell ref="J13:K13"/>
    <mergeCell ref="L13:M13"/>
    <mergeCell ref="N13:O13"/>
    <mergeCell ref="P13:Q13"/>
    <mergeCell ref="J14:K14"/>
    <mergeCell ref="L14:M14"/>
    <mergeCell ref="N14:O14"/>
    <mergeCell ref="P14:Q14"/>
    <mergeCell ref="B18:I18"/>
    <mergeCell ref="E20:I20"/>
    <mergeCell ref="J20:K20"/>
    <mergeCell ref="L20:M20"/>
    <mergeCell ref="N20:O20"/>
    <mergeCell ref="P20:Q20"/>
    <mergeCell ref="J16:K16"/>
    <mergeCell ref="L16:M16"/>
    <mergeCell ref="N16:O16"/>
    <mergeCell ref="P16:Q16"/>
    <mergeCell ref="J17:K17"/>
    <mergeCell ref="L17:M17"/>
    <mergeCell ref="N17:O17"/>
    <mergeCell ref="P17:Q17"/>
    <mergeCell ref="J22:Q22"/>
    <mergeCell ref="Q24:S24"/>
    <mergeCell ref="T24:W24"/>
    <mergeCell ref="A25:W25"/>
    <mergeCell ref="A26:A27"/>
    <mergeCell ref="B26:B27"/>
    <mergeCell ref="C26:C27"/>
    <mergeCell ref="D26:D27"/>
    <mergeCell ref="E26:E27"/>
    <mergeCell ref="F26:F27"/>
    <mergeCell ref="U26:W27"/>
    <mergeCell ref="J27:K27"/>
    <mergeCell ref="L27:M27"/>
    <mergeCell ref="N27:O27"/>
    <mergeCell ref="P27:Q27"/>
    <mergeCell ref="R26:S27"/>
    <mergeCell ref="T26:T27"/>
    <mergeCell ref="A28:A33"/>
    <mergeCell ref="J28:K28"/>
    <mergeCell ref="L28:M28"/>
    <mergeCell ref="N28:O28"/>
    <mergeCell ref="P28:Q28"/>
    <mergeCell ref="G26:G27"/>
    <mergeCell ref="H26:H27"/>
    <mergeCell ref="I26:I27"/>
    <mergeCell ref="J26:Q26"/>
    <mergeCell ref="J32:K32"/>
    <mergeCell ref="L32:M32"/>
    <mergeCell ref="N32:O32"/>
    <mergeCell ref="P32:Q32"/>
    <mergeCell ref="L31:M31"/>
    <mergeCell ref="N31:O31"/>
    <mergeCell ref="P31:Q31"/>
    <mergeCell ref="E33:I33"/>
    <mergeCell ref="U28:W33"/>
    <mergeCell ref="J29:K29"/>
    <mergeCell ref="L29:M29"/>
    <mergeCell ref="N29:O29"/>
    <mergeCell ref="P29:Q29"/>
    <mergeCell ref="J30:K30"/>
    <mergeCell ref="L30:M30"/>
    <mergeCell ref="N30:O30"/>
    <mergeCell ref="P30:Q30"/>
    <mergeCell ref="J31:K31"/>
    <mergeCell ref="J33:K33"/>
    <mergeCell ref="L33:M33"/>
    <mergeCell ref="N33:O33"/>
    <mergeCell ref="P33:Q33"/>
    <mergeCell ref="A34:A37"/>
    <mergeCell ref="J34:K34"/>
    <mergeCell ref="L34:M34"/>
    <mergeCell ref="N34:O34"/>
    <mergeCell ref="P34:Q34"/>
    <mergeCell ref="J35:K35"/>
    <mergeCell ref="L35:M35"/>
    <mergeCell ref="N35:O35"/>
    <mergeCell ref="P35:Q35"/>
    <mergeCell ref="J36:K36"/>
    <mergeCell ref="L36:M36"/>
    <mergeCell ref="N36:O36"/>
    <mergeCell ref="P36:Q36"/>
    <mergeCell ref="U34:W37"/>
    <mergeCell ref="E37:I37"/>
    <mergeCell ref="J37:K37"/>
    <mergeCell ref="L37:M37"/>
    <mergeCell ref="N37:O37"/>
    <mergeCell ref="P37:Q37"/>
    <mergeCell ref="A38:A42"/>
    <mergeCell ref="J38:K38"/>
    <mergeCell ref="L38:M38"/>
    <mergeCell ref="N38:O38"/>
    <mergeCell ref="P38:Q38"/>
    <mergeCell ref="J41:K41"/>
    <mergeCell ref="L41:M41"/>
    <mergeCell ref="N41:O41"/>
    <mergeCell ref="P41:Q41"/>
    <mergeCell ref="U38:W42"/>
    <mergeCell ref="J39:K39"/>
    <mergeCell ref="L39:M39"/>
    <mergeCell ref="N39:O39"/>
    <mergeCell ref="P39:Q39"/>
    <mergeCell ref="J40:K40"/>
    <mergeCell ref="L40:M40"/>
    <mergeCell ref="N40:O40"/>
    <mergeCell ref="P40:Q40"/>
    <mergeCell ref="E42:I42"/>
    <mergeCell ref="J42:K42"/>
    <mergeCell ref="L42:M42"/>
    <mergeCell ref="N42:O42"/>
    <mergeCell ref="P42:Q42"/>
    <mergeCell ref="E44:I44"/>
    <mergeCell ref="J44:K44"/>
    <mergeCell ref="L44:M44"/>
    <mergeCell ref="N44:O44"/>
    <mergeCell ref="P44:Q44"/>
    <mergeCell ref="R50:S51"/>
    <mergeCell ref="T50:T51"/>
    <mergeCell ref="U50:W51"/>
    <mergeCell ref="J51:K51"/>
    <mergeCell ref="L51:M51"/>
    <mergeCell ref="N51:O51"/>
    <mergeCell ref="P51:Q51"/>
    <mergeCell ref="J46:Q46"/>
    <mergeCell ref="Q48:S48"/>
    <mergeCell ref="T48:W48"/>
    <mergeCell ref="A49:W49"/>
    <mergeCell ref="A50:A51"/>
    <mergeCell ref="B50:B51"/>
    <mergeCell ref="C50:C51"/>
    <mergeCell ref="D50:D51"/>
    <mergeCell ref="E50:I51"/>
    <mergeCell ref="J50:Q50"/>
    <mergeCell ref="U52:W59"/>
    <mergeCell ref="E53:I53"/>
    <mergeCell ref="J53:K53"/>
    <mergeCell ref="L53:M53"/>
    <mergeCell ref="N53:O53"/>
    <mergeCell ref="P53:Q53"/>
    <mergeCell ref="E54:I54"/>
    <mergeCell ref="J54:K54"/>
    <mergeCell ref="L54:M54"/>
    <mergeCell ref="N54:O54"/>
    <mergeCell ref="E52:I52"/>
    <mergeCell ref="J52:K52"/>
    <mergeCell ref="L52:M52"/>
    <mergeCell ref="N52:O52"/>
    <mergeCell ref="P52:Q52"/>
    <mergeCell ref="P54:Q54"/>
    <mergeCell ref="E55:I55"/>
    <mergeCell ref="N57:O57"/>
    <mergeCell ref="P57:Q57"/>
    <mergeCell ref="E58:I58"/>
    <mergeCell ref="J58:K58"/>
    <mergeCell ref="L58:M58"/>
    <mergeCell ref="N58:O58"/>
    <mergeCell ref="P58:Q58"/>
    <mergeCell ref="P55:Q55"/>
    <mergeCell ref="E56:I56"/>
    <mergeCell ref="J56:K56"/>
    <mergeCell ref="L56:M56"/>
    <mergeCell ref="N56:O56"/>
    <mergeCell ref="P56:Q56"/>
    <mergeCell ref="E59:I59"/>
    <mergeCell ref="J59:K59"/>
    <mergeCell ref="L59:M59"/>
    <mergeCell ref="N59:O59"/>
    <mergeCell ref="P59:Q59"/>
    <mergeCell ref="E57:I57"/>
    <mergeCell ref="J57:K57"/>
    <mergeCell ref="L57:M57"/>
    <mergeCell ref="A60:A63"/>
    <mergeCell ref="E60:I60"/>
    <mergeCell ref="J60:K60"/>
    <mergeCell ref="L60:M60"/>
    <mergeCell ref="N60:O60"/>
    <mergeCell ref="A52:A59"/>
    <mergeCell ref="J55:K55"/>
    <mergeCell ref="L55:M55"/>
    <mergeCell ref="N62:O62"/>
    <mergeCell ref="N55:O55"/>
    <mergeCell ref="U60:W63"/>
    <mergeCell ref="E61:I61"/>
    <mergeCell ref="J61:K61"/>
    <mergeCell ref="L61:M61"/>
    <mergeCell ref="N61:O61"/>
    <mergeCell ref="P61:Q61"/>
    <mergeCell ref="E62:I62"/>
    <mergeCell ref="J62:K62"/>
    <mergeCell ref="L62:M62"/>
    <mergeCell ref="P62:Q62"/>
    <mergeCell ref="E63:I63"/>
    <mergeCell ref="J63:K63"/>
    <mergeCell ref="L63:M63"/>
    <mergeCell ref="N63:O63"/>
    <mergeCell ref="P63:Q63"/>
    <mergeCell ref="P60:Q60"/>
    <mergeCell ref="N67:O67"/>
    <mergeCell ref="P67:Q67"/>
    <mergeCell ref="E68:I68"/>
    <mergeCell ref="J68:K68"/>
    <mergeCell ref="L68:M68"/>
    <mergeCell ref="N68:O68"/>
    <mergeCell ref="P68:Q68"/>
    <mergeCell ref="U64:W71"/>
    <mergeCell ref="E65:I65"/>
    <mergeCell ref="J65:K65"/>
    <mergeCell ref="L65:M65"/>
    <mergeCell ref="N65:O65"/>
    <mergeCell ref="P65:Q65"/>
    <mergeCell ref="E66:I66"/>
    <mergeCell ref="J66:K66"/>
    <mergeCell ref="L66:M66"/>
    <mergeCell ref="N66:O66"/>
    <mergeCell ref="E64:I64"/>
    <mergeCell ref="J64:K64"/>
    <mergeCell ref="L64:M64"/>
    <mergeCell ref="N64:O64"/>
    <mergeCell ref="P64:Q64"/>
    <mergeCell ref="P66:Q66"/>
    <mergeCell ref="E67:I67"/>
    <mergeCell ref="E71:I71"/>
    <mergeCell ref="J71:K71"/>
    <mergeCell ref="L71:M71"/>
    <mergeCell ref="N71:O71"/>
    <mergeCell ref="P71:Q71"/>
    <mergeCell ref="A72:A75"/>
    <mergeCell ref="E72:I72"/>
    <mergeCell ref="J72:K72"/>
    <mergeCell ref="L72:M72"/>
    <mergeCell ref="N72:O72"/>
    <mergeCell ref="A64:A71"/>
    <mergeCell ref="J67:K67"/>
    <mergeCell ref="L67:M67"/>
    <mergeCell ref="P72:Q72"/>
    <mergeCell ref="E69:I69"/>
    <mergeCell ref="J69:K69"/>
    <mergeCell ref="L69:M69"/>
    <mergeCell ref="N69:O69"/>
    <mergeCell ref="P69:Q69"/>
    <mergeCell ref="E70:I70"/>
    <mergeCell ref="J70:K70"/>
    <mergeCell ref="L70:M70"/>
    <mergeCell ref="N70:O70"/>
    <mergeCell ref="P70:Q70"/>
    <mergeCell ref="U72:W75"/>
    <mergeCell ref="E73:I73"/>
    <mergeCell ref="J73:K73"/>
    <mergeCell ref="L73:M73"/>
    <mergeCell ref="N73:O73"/>
    <mergeCell ref="P73:Q73"/>
    <mergeCell ref="E74:I74"/>
    <mergeCell ref="J74:K74"/>
    <mergeCell ref="L74:M74"/>
    <mergeCell ref="E77:I77"/>
    <mergeCell ref="J77:K77"/>
    <mergeCell ref="L77:M77"/>
    <mergeCell ref="N77:O77"/>
    <mergeCell ref="P77:Q77"/>
    <mergeCell ref="J79:Q79"/>
    <mergeCell ref="N74:O74"/>
    <mergeCell ref="P74:Q74"/>
    <mergeCell ref="E75:I75"/>
    <mergeCell ref="J75:K75"/>
    <mergeCell ref="L75:M75"/>
    <mergeCell ref="N75:O75"/>
    <mergeCell ref="P75:Q75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W76"/>
  <sheetViews>
    <sheetView topLeftCell="A31" zoomScale="85" zoomScaleNormal="85" workbookViewId="0">
      <selection activeCell="V44" sqref="V44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28.3320312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45938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230925</v>
      </c>
      <c r="E7" s="12" t="s">
        <v>410</v>
      </c>
      <c r="F7" s="17">
        <v>360</v>
      </c>
      <c r="G7" s="17">
        <v>430</v>
      </c>
      <c r="H7" s="18">
        <v>0.8</v>
      </c>
      <c r="I7" s="17">
        <v>28500</v>
      </c>
      <c r="J7" s="165"/>
      <c r="K7" s="166"/>
      <c r="L7" s="165"/>
      <c r="M7" s="166"/>
      <c r="N7" s="165">
        <v>1584</v>
      </c>
      <c r="O7" s="166"/>
      <c r="P7" s="165"/>
      <c r="Q7" s="166"/>
      <c r="R7" s="74">
        <v>30</v>
      </c>
      <c r="S7" s="14" t="s">
        <v>20</v>
      </c>
      <c r="T7" s="42" t="s">
        <v>110</v>
      </c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402</v>
      </c>
      <c r="F8" s="17">
        <v>295</v>
      </c>
      <c r="G8" s="17">
        <v>430</v>
      </c>
      <c r="H8" s="18">
        <v>0.8</v>
      </c>
      <c r="I8" s="17">
        <v>28500</v>
      </c>
      <c r="J8" s="165"/>
      <c r="K8" s="166"/>
      <c r="L8" s="165"/>
      <c r="M8" s="166"/>
      <c r="N8" s="165"/>
      <c r="O8" s="166"/>
      <c r="P8" s="165">
        <v>528</v>
      </c>
      <c r="Q8" s="166"/>
      <c r="R8" s="74">
        <v>10</v>
      </c>
      <c r="S8" s="14" t="s">
        <v>20</v>
      </c>
      <c r="T8" s="42" t="s">
        <v>111</v>
      </c>
      <c r="U8" s="205"/>
      <c r="V8" s="206"/>
      <c r="W8" s="207"/>
    </row>
    <row r="9" spans="1:23" x14ac:dyDescent="0.3">
      <c r="A9" s="181"/>
      <c r="B9" s="5"/>
      <c r="C9" s="5"/>
      <c r="D9" s="4">
        <v>230925</v>
      </c>
      <c r="E9" s="12" t="s">
        <v>410</v>
      </c>
      <c r="F9" s="17">
        <v>360</v>
      </c>
      <c r="G9" s="17">
        <v>430</v>
      </c>
      <c r="H9" s="18">
        <v>0.8</v>
      </c>
      <c r="I9" s="17">
        <v>30000</v>
      </c>
      <c r="J9" s="165"/>
      <c r="K9" s="166"/>
      <c r="L9" s="165"/>
      <c r="M9" s="166"/>
      <c r="N9" s="165">
        <v>3939</v>
      </c>
      <c r="O9" s="166"/>
      <c r="P9" s="165"/>
      <c r="Q9" s="166"/>
      <c r="R9" s="74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>
        <v>0.70833333333333337</v>
      </c>
      <c r="D10" s="4" t="s">
        <v>102</v>
      </c>
      <c r="E10" s="12" t="s">
        <v>402</v>
      </c>
      <c r="F10" s="17">
        <v>295</v>
      </c>
      <c r="G10" s="17">
        <v>430</v>
      </c>
      <c r="H10" s="18">
        <v>0.8</v>
      </c>
      <c r="I10" s="17">
        <v>30000</v>
      </c>
      <c r="J10" s="165"/>
      <c r="K10" s="166"/>
      <c r="L10" s="165"/>
      <c r="M10" s="166"/>
      <c r="N10" s="165"/>
      <c r="O10" s="166"/>
      <c r="P10" s="165">
        <v>1312</v>
      </c>
      <c r="Q10" s="166"/>
      <c r="R10" s="74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/>
      <c r="E11" s="12"/>
      <c r="F11" s="17"/>
      <c r="G11" s="17"/>
      <c r="H11" s="18"/>
      <c r="I11" s="17"/>
      <c r="J11" s="165"/>
      <c r="K11" s="166"/>
      <c r="L11" s="165"/>
      <c r="M11" s="166"/>
      <c r="N11" s="165"/>
      <c r="O11" s="166"/>
      <c r="P11" s="165"/>
      <c r="Q11" s="166"/>
      <c r="R11" s="74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/>
      <c r="E12" s="12"/>
      <c r="F12" s="17"/>
      <c r="G12" s="17"/>
      <c r="H12" s="18"/>
      <c r="I12" s="17"/>
      <c r="J12" s="165"/>
      <c r="K12" s="166"/>
      <c r="L12" s="165"/>
      <c r="M12" s="166"/>
      <c r="N12" s="165"/>
      <c r="O12" s="166"/>
      <c r="P12" s="165"/>
      <c r="Q12" s="166"/>
      <c r="R12" s="74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/>
      <c r="E13" s="12"/>
      <c r="F13" s="17"/>
      <c r="G13" s="17"/>
      <c r="H13" s="18"/>
      <c r="I13" s="17"/>
      <c r="J13" s="165"/>
      <c r="K13" s="166"/>
      <c r="L13" s="165"/>
      <c r="M13" s="166"/>
      <c r="N13" s="165"/>
      <c r="O13" s="166"/>
      <c r="P13" s="165"/>
      <c r="Q13" s="166"/>
      <c r="R13" s="74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/>
      <c r="E14" s="12"/>
      <c r="F14" s="17"/>
      <c r="G14" s="17"/>
      <c r="H14" s="18"/>
      <c r="I14" s="17"/>
      <c r="J14" s="165"/>
      <c r="K14" s="166"/>
      <c r="L14" s="165"/>
      <c r="M14" s="166"/>
      <c r="N14" s="165"/>
      <c r="O14" s="166"/>
      <c r="P14" s="165"/>
      <c r="Q14" s="166"/>
      <c r="R14" s="74"/>
      <c r="S14" s="14" t="s">
        <v>20</v>
      </c>
      <c r="T14" s="42"/>
      <c r="U14" s="205"/>
      <c r="V14" s="206"/>
      <c r="W14" s="207"/>
    </row>
    <row r="15" spans="1:23" x14ac:dyDescent="0.3">
      <c r="A15" s="182"/>
      <c r="B15" s="170" t="s">
        <v>0</v>
      </c>
      <c r="C15" s="171"/>
      <c r="D15" s="171"/>
      <c r="E15" s="171"/>
      <c r="F15" s="171"/>
      <c r="G15" s="171"/>
      <c r="H15" s="171"/>
      <c r="I15" s="172"/>
      <c r="J15" s="21">
        <f>SUM(J7:K14)</f>
        <v>0</v>
      </c>
      <c r="K15" s="22" t="s">
        <v>17</v>
      </c>
      <c r="L15" s="21">
        <f>SUM(L7:M14)</f>
        <v>0</v>
      </c>
      <c r="M15" s="22" t="s">
        <v>17</v>
      </c>
      <c r="N15" s="21">
        <f>SUM(N7:O14)</f>
        <v>5523</v>
      </c>
      <c r="O15" s="22" t="s">
        <v>17</v>
      </c>
      <c r="P15" s="21">
        <f>SUM(P7:Q14)</f>
        <v>1840</v>
      </c>
      <c r="Q15" s="22" t="s">
        <v>17</v>
      </c>
      <c r="R15" s="23">
        <f>SUM(R7:R14)</f>
        <v>40</v>
      </c>
      <c r="S15" s="24" t="s">
        <v>20</v>
      </c>
      <c r="T15" s="19"/>
      <c r="U15" s="208"/>
      <c r="V15" s="209"/>
      <c r="W15" s="210"/>
    </row>
    <row r="16" spans="1:23" ht="14.5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1:23" ht="14.55" customHeight="1" x14ac:dyDescent="0.3">
      <c r="A17" s="27"/>
      <c r="B17" s="27"/>
      <c r="C17" s="27"/>
      <c r="D17" s="27"/>
      <c r="E17" s="170" t="s">
        <v>27</v>
      </c>
      <c r="F17" s="171"/>
      <c r="G17" s="171"/>
      <c r="H17" s="171"/>
      <c r="I17" s="172"/>
      <c r="J17" s="175" t="s">
        <v>7</v>
      </c>
      <c r="K17" s="176"/>
      <c r="L17" s="175" t="s">
        <v>8</v>
      </c>
      <c r="M17" s="176"/>
      <c r="N17" s="175" t="s">
        <v>9</v>
      </c>
      <c r="O17" s="176"/>
      <c r="P17" s="175" t="s">
        <v>117</v>
      </c>
      <c r="Q17" s="176"/>
      <c r="R17" s="27"/>
      <c r="S17" s="27"/>
    </row>
    <row r="18" spans="1:23" ht="14.55" customHeight="1" x14ac:dyDescent="0.3">
      <c r="A18" s="27"/>
      <c r="B18" s="27"/>
      <c r="C18" s="27"/>
      <c r="D18" s="27"/>
      <c r="E18" s="15"/>
      <c r="F18" s="15"/>
      <c r="G18" s="15"/>
      <c r="H18" s="15"/>
      <c r="I18" s="15"/>
      <c r="J18" s="30">
        <f>J15</f>
        <v>0</v>
      </c>
      <c r="K18" s="31" t="s">
        <v>17</v>
      </c>
      <c r="L18" s="32">
        <f>L15</f>
        <v>0</v>
      </c>
      <c r="M18" s="31" t="s">
        <v>17</v>
      </c>
      <c r="N18" s="32">
        <f>N15</f>
        <v>5523</v>
      </c>
      <c r="O18" s="31" t="s">
        <v>17</v>
      </c>
      <c r="P18" s="33">
        <f>P15</f>
        <v>1840</v>
      </c>
      <c r="Q18" s="34" t="s">
        <v>17</v>
      </c>
      <c r="R18" s="27"/>
      <c r="S18" s="27"/>
    </row>
    <row r="19" spans="1:23" ht="30" customHeight="1" x14ac:dyDescent="0.3">
      <c r="A19" s="27"/>
      <c r="B19" s="27"/>
      <c r="C19" s="27"/>
      <c r="D19" s="27"/>
      <c r="E19" s="28"/>
      <c r="F19" s="28"/>
      <c r="G19" s="28"/>
      <c r="H19" s="28"/>
      <c r="I19" s="28"/>
      <c r="J19" s="167">
        <f>J18+L18+N18+P18</f>
        <v>7363</v>
      </c>
      <c r="K19" s="168"/>
      <c r="L19" s="168"/>
      <c r="M19" s="168"/>
      <c r="N19" s="168"/>
      <c r="O19" s="168"/>
      <c r="P19" s="168"/>
      <c r="Q19" s="169"/>
      <c r="R19" s="27"/>
      <c r="S19" s="27"/>
    </row>
    <row r="20" spans="1:23" ht="30" customHeight="1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spans="1:23" s="37" customFormat="1" ht="19.95" customHeight="1" x14ac:dyDescent="0.4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183" t="s">
        <v>14</v>
      </c>
      <c r="R21" s="183"/>
      <c r="S21" s="183"/>
      <c r="T21" s="184">
        <f>T3</f>
        <v>45938</v>
      </c>
      <c r="U21" s="185"/>
      <c r="V21" s="185"/>
      <c r="W21" s="186"/>
    </row>
    <row r="22" spans="1:23" s="16" customFormat="1" ht="30" customHeight="1" x14ac:dyDescent="0.3">
      <c r="A22" s="187" t="s">
        <v>29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9"/>
      <c r="Q22" s="189"/>
      <c r="R22" s="189"/>
      <c r="S22" s="189"/>
      <c r="T22" s="188"/>
      <c r="U22" s="188"/>
      <c r="V22" s="188"/>
      <c r="W22" s="190"/>
    </row>
    <row r="23" spans="1:23" s="26" customFormat="1" ht="13.8" x14ac:dyDescent="0.3">
      <c r="A23" s="191" t="s">
        <v>1</v>
      </c>
      <c r="B23" s="192" t="s">
        <v>2</v>
      </c>
      <c r="C23" s="192" t="s">
        <v>3</v>
      </c>
      <c r="D23" s="192" t="s">
        <v>4</v>
      </c>
      <c r="E23" s="193" t="s">
        <v>5</v>
      </c>
      <c r="F23" s="195" t="s">
        <v>21</v>
      </c>
      <c r="G23" s="195" t="s">
        <v>22</v>
      </c>
      <c r="H23" s="195" t="s">
        <v>33</v>
      </c>
      <c r="I23" s="195" t="s">
        <v>30</v>
      </c>
      <c r="J23" s="193" t="s">
        <v>6</v>
      </c>
      <c r="K23" s="197"/>
      <c r="L23" s="197"/>
      <c r="M23" s="197"/>
      <c r="N23" s="197"/>
      <c r="O23" s="197"/>
      <c r="P23" s="197"/>
      <c r="Q23" s="198"/>
      <c r="R23" s="193" t="s">
        <v>10</v>
      </c>
      <c r="S23" s="198"/>
      <c r="T23" s="191" t="s">
        <v>11</v>
      </c>
      <c r="U23" s="191" t="s">
        <v>12</v>
      </c>
      <c r="V23" s="191"/>
      <c r="W23" s="191"/>
    </row>
    <row r="24" spans="1:23" s="26" customFormat="1" ht="13.8" x14ac:dyDescent="0.3">
      <c r="A24" s="191"/>
      <c r="B24" s="192"/>
      <c r="C24" s="192"/>
      <c r="D24" s="192"/>
      <c r="E24" s="194"/>
      <c r="F24" s="196"/>
      <c r="G24" s="196"/>
      <c r="H24" s="196"/>
      <c r="I24" s="196"/>
      <c r="J24" s="200" t="s">
        <v>7</v>
      </c>
      <c r="K24" s="201"/>
      <c r="L24" s="200" t="s">
        <v>8</v>
      </c>
      <c r="M24" s="201"/>
      <c r="N24" s="200" t="s">
        <v>9</v>
      </c>
      <c r="O24" s="201"/>
      <c r="P24" s="200" t="s">
        <v>117</v>
      </c>
      <c r="Q24" s="201"/>
      <c r="R24" s="194"/>
      <c r="S24" s="199"/>
      <c r="T24" s="191"/>
      <c r="U24" s="191"/>
      <c r="V24" s="191"/>
      <c r="W24" s="191"/>
    </row>
    <row r="25" spans="1:23" ht="14.55" customHeight="1" x14ac:dyDescent="0.3">
      <c r="A25" s="180" t="s">
        <v>32</v>
      </c>
      <c r="B25" s="5">
        <v>0.33333333333333331</v>
      </c>
      <c r="C25" s="5"/>
      <c r="D25" s="4">
        <v>250077</v>
      </c>
      <c r="E25" s="12" t="s">
        <v>403</v>
      </c>
      <c r="F25" s="40">
        <v>430</v>
      </c>
      <c r="G25" s="41">
        <v>0.5</v>
      </c>
      <c r="H25" s="40">
        <v>345</v>
      </c>
      <c r="I25" s="12">
        <v>3</v>
      </c>
      <c r="J25" s="165">
        <v>1430</v>
      </c>
      <c r="K25" s="166"/>
      <c r="L25" s="165"/>
      <c r="M25" s="166"/>
      <c r="N25" s="165"/>
      <c r="O25" s="166"/>
      <c r="P25" s="165"/>
      <c r="Q25" s="166"/>
      <c r="R25" s="74"/>
      <c r="S25" s="14" t="s">
        <v>20</v>
      </c>
      <c r="T25" s="42"/>
      <c r="U25" s="177"/>
      <c r="V25" s="178"/>
      <c r="W25" s="179"/>
    </row>
    <row r="26" spans="1:23" ht="14.55" customHeight="1" x14ac:dyDescent="0.3">
      <c r="A26" s="181"/>
      <c r="B26" s="5"/>
      <c r="C26" s="5"/>
      <c r="D26" s="67">
        <v>250052</v>
      </c>
      <c r="E26" s="13" t="s">
        <v>413</v>
      </c>
      <c r="F26" s="40">
        <v>304</v>
      </c>
      <c r="G26" s="41">
        <v>0.7</v>
      </c>
      <c r="H26" s="40" t="s">
        <v>411</v>
      </c>
      <c r="I26" s="12">
        <v>3</v>
      </c>
      <c r="J26" s="165">
        <v>50</v>
      </c>
      <c r="K26" s="166"/>
      <c r="L26" s="165"/>
      <c r="M26" s="166"/>
      <c r="N26" s="165"/>
      <c r="O26" s="166"/>
      <c r="P26" s="165"/>
      <c r="Q26" s="166"/>
      <c r="R26" s="74"/>
      <c r="S26" s="14" t="s">
        <v>20</v>
      </c>
      <c r="T26" s="42"/>
      <c r="U26" s="177"/>
      <c r="V26" s="178"/>
      <c r="W26" s="179"/>
    </row>
    <row r="27" spans="1:23" ht="14.55" customHeight="1" x14ac:dyDescent="0.3">
      <c r="A27" s="181"/>
      <c r="B27" s="5"/>
      <c r="C27" s="5">
        <v>0.70833333333333337</v>
      </c>
      <c r="D27" s="4">
        <v>180925</v>
      </c>
      <c r="E27" s="12" t="s">
        <v>412</v>
      </c>
      <c r="F27" s="40">
        <v>304</v>
      </c>
      <c r="G27" s="41">
        <v>0.7</v>
      </c>
      <c r="H27" s="40">
        <v>467</v>
      </c>
      <c r="I27" s="12">
        <v>7</v>
      </c>
      <c r="J27" s="165">
        <v>1250</v>
      </c>
      <c r="K27" s="166"/>
      <c r="L27" s="165"/>
      <c r="M27" s="166"/>
      <c r="N27" s="165"/>
      <c r="O27" s="166"/>
      <c r="P27" s="165"/>
      <c r="Q27" s="166"/>
      <c r="R27" s="74"/>
      <c r="S27" s="14" t="s">
        <v>20</v>
      </c>
      <c r="T27" s="42"/>
      <c r="U27" s="177"/>
      <c r="V27" s="178"/>
      <c r="W27" s="179"/>
    </row>
    <row r="28" spans="1:23" ht="14.55" customHeight="1" x14ac:dyDescent="0.3">
      <c r="A28" s="181"/>
      <c r="B28" s="5"/>
      <c r="C28" s="5"/>
      <c r="D28" s="4"/>
      <c r="E28" s="12"/>
      <c r="F28" s="40"/>
      <c r="G28" s="41"/>
      <c r="H28" s="40"/>
      <c r="I28" s="12"/>
      <c r="J28" s="165"/>
      <c r="K28" s="166"/>
      <c r="L28" s="165"/>
      <c r="M28" s="166"/>
      <c r="N28" s="165"/>
      <c r="O28" s="166"/>
      <c r="P28" s="165"/>
      <c r="Q28" s="166"/>
      <c r="R28" s="74"/>
      <c r="S28" s="14" t="s">
        <v>20</v>
      </c>
      <c r="T28" s="42"/>
      <c r="U28" s="177"/>
      <c r="V28" s="178"/>
      <c r="W28" s="179"/>
    </row>
    <row r="29" spans="1:23" ht="14.55" customHeight="1" x14ac:dyDescent="0.3">
      <c r="A29" s="181"/>
      <c r="B29" s="5"/>
      <c r="C29" s="5"/>
      <c r="D29" s="4"/>
      <c r="E29" s="12"/>
      <c r="F29" s="40"/>
      <c r="G29" s="41"/>
      <c r="H29" s="40"/>
      <c r="I29" s="12"/>
      <c r="J29" s="165"/>
      <c r="K29" s="166"/>
      <c r="L29" s="165"/>
      <c r="M29" s="166"/>
      <c r="N29" s="165"/>
      <c r="O29" s="166"/>
      <c r="P29" s="165"/>
      <c r="Q29" s="166"/>
      <c r="R29" s="74"/>
      <c r="S29" s="14" t="s">
        <v>20</v>
      </c>
      <c r="T29" s="42"/>
      <c r="U29" s="177"/>
      <c r="V29" s="178"/>
      <c r="W29" s="179"/>
    </row>
    <row r="30" spans="1:23" ht="14.55" customHeight="1" x14ac:dyDescent="0.3">
      <c r="A30" s="182"/>
      <c r="B30" s="19"/>
      <c r="C30" s="19"/>
      <c r="D30" s="20"/>
      <c r="E30" s="170" t="s">
        <v>0</v>
      </c>
      <c r="F30" s="171"/>
      <c r="G30" s="171"/>
      <c r="H30" s="171"/>
      <c r="I30" s="172"/>
      <c r="J30" s="173">
        <f>SUM(J25:K29)</f>
        <v>2730</v>
      </c>
      <c r="K30" s="174"/>
      <c r="L30" s="173">
        <f>SUM(L25:M29)</f>
        <v>0</v>
      </c>
      <c r="M30" s="174"/>
      <c r="N30" s="173">
        <f>SUM(N25:O29)</f>
        <v>0</v>
      </c>
      <c r="O30" s="174"/>
      <c r="P30" s="173">
        <f>SUM(P25:Q29)</f>
        <v>0</v>
      </c>
      <c r="Q30" s="174"/>
      <c r="R30" s="23">
        <f>SUM(R25:R29)</f>
        <v>0</v>
      </c>
      <c r="S30" s="24" t="s">
        <v>20</v>
      </c>
      <c r="T30" s="19"/>
      <c r="U30" s="177"/>
      <c r="V30" s="178"/>
      <c r="W30" s="179"/>
    </row>
    <row r="31" spans="1:23" ht="14.55" customHeight="1" x14ac:dyDescent="0.3">
      <c r="A31" s="163" t="s">
        <v>34</v>
      </c>
      <c r="B31" s="5">
        <v>0.33333333333333331</v>
      </c>
      <c r="C31" s="5"/>
      <c r="D31" s="4">
        <v>160925</v>
      </c>
      <c r="E31" s="12" t="s">
        <v>414</v>
      </c>
      <c r="F31" s="40">
        <v>304</v>
      </c>
      <c r="G31" s="41">
        <v>0.7</v>
      </c>
      <c r="H31" s="40">
        <v>362</v>
      </c>
      <c r="I31" s="12">
        <v>5</v>
      </c>
      <c r="J31" s="165">
        <v>450</v>
      </c>
      <c r="K31" s="166"/>
      <c r="L31" s="165"/>
      <c r="M31" s="166"/>
      <c r="N31" s="165"/>
      <c r="O31" s="166"/>
      <c r="P31" s="165"/>
      <c r="Q31" s="166"/>
      <c r="R31" s="74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63"/>
      <c r="B32" s="5"/>
      <c r="C32" s="5">
        <v>0.70833333333333337</v>
      </c>
      <c r="D32" s="4">
        <v>160925</v>
      </c>
      <c r="E32" s="12" t="s">
        <v>397</v>
      </c>
      <c r="F32" s="40">
        <v>304</v>
      </c>
      <c r="G32" s="41">
        <v>0.7</v>
      </c>
      <c r="H32" s="40">
        <v>433</v>
      </c>
      <c r="I32" s="12">
        <v>5</v>
      </c>
      <c r="J32" s="165">
        <v>1150</v>
      </c>
      <c r="K32" s="166"/>
      <c r="L32" s="165"/>
      <c r="M32" s="166"/>
      <c r="N32" s="165"/>
      <c r="O32" s="166"/>
      <c r="P32" s="165"/>
      <c r="Q32" s="166"/>
      <c r="R32" s="74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63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74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63"/>
      <c r="B34" s="5"/>
      <c r="C34" s="5"/>
      <c r="D34" s="4"/>
      <c r="E34" s="12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74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63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74"/>
      <c r="S35" s="14" t="s">
        <v>20</v>
      </c>
      <c r="T35" s="42"/>
      <c r="U35" s="177"/>
      <c r="V35" s="178"/>
      <c r="W35" s="179"/>
    </row>
    <row r="36" spans="1:23" ht="14.55" customHeight="1" x14ac:dyDescent="0.3">
      <c r="A36" s="164"/>
      <c r="B36" s="19"/>
      <c r="C36" s="19"/>
      <c r="D36" s="20"/>
      <c r="E36" s="170" t="s">
        <v>0</v>
      </c>
      <c r="F36" s="171"/>
      <c r="G36" s="171"/>
      <c r="H36" s="171"/>
      <c r="I36" s="172"/>
      <c r="J36" s="173">
        <f>SUM(J31:K35)</f>
        <v>1600</v>
      </c>
      <c r="K36" s="174"/>
      <c r="L36" s="173">
        <f>SUM(L31:M35)</f>
        <v>0</v>
      </c>
      <c r="M36" s="174"/>
      <c r="N36" s="173">
        <f>SUM(N31:O35)</f>
        <v>0</v>
      </c>
      <c r="O36" s="174"/>
      <c r="P36" s="173">
        <f>SUM(P31:Q35)</f>
        <v>0</v>
      </c>
      <c r="Q36" s="174"/>
      <c r="R36" s="23">
        <f>SUM(R31:R35)</f>
        <v>0</v>
      </c>
      <c r="S36" s="24" t="s">
        <v>20</v>
      </c>
      <c r="T36" s="19"/>
      <c r="U36" s="177"/>
      <c r="V36" s="178"/>
      <c r="W36" s="179"/>
    </row>
    <row r="37" spans="1:23" ht="14.55" customHeight="1" x14ac:dyDescent="0.3">
      <c r="A37" s="163" t="s">
        <v>35</v>
      </c>
      <c r="B37" s="5">
        <v>0.33333333333333331</v>
      </c>
      <c r="C37" s="5"/>
      <c r="D37" s="67">
        <v>250061</v>
      </c>
      <c r="E37" s="12" t="s">
        <v>415</v>
      </c>
      <c r="F37" s="40">
        <v>304</v>
      </c>
      <c r="G37" s="41">
        <v>0.7</v>
      </c>
      <c r="H37" s="40">
        <v>265</v>
      </c>
      <c r="I37" s="12"/>
      <c r="J37" s="165"/>
      <c r="K37" s="166"/>
      <c r="L37" s="165"/>
      <c r="M37" s="166"/>
      <c r="N37" s="165">
        <v>600</v>
      </c>
      <c r="O37" s="166"/>
      <c r="P37" s="165"/>
      <c r="Q37" s="166"/>
      <c r="R37" s="74">
        <v>60</v>
      </c>
      <c r="S37" s="14" t="s">
        <v>20</v>
      </c>
      <c r="T37" s="42" t="s">
        <v>93</v>
      </c>
      <c r="U37" s="177"/>
      <c r="V37" s="178"/>
      <c r="W37" s="179"/>
    </row>
    <row r="38" spans="1:23" ht="14.55" customHeight="1" x14ac:dyDescent="0.3">
      <c r="A38" s="163"/>
      <c r="B38" s="5"/>
      <c r="C38" s="5">
        <v>0.70833333333333337</v>
      </c>
      <c r="D38" s="4">
        <v>290925</v>
      </c>
      <c r="E38" s="12" t="s">
        <v>416</v>
      </c>
      <c r="F38" s="40">
        <v>304</v>
      </c>
      <c r="G38" s="41">
        <v>0.8</v>
      </c>
      <c r="H38" s="40">
        <v>33</v>
      </c>
      <c r="I38" s="12"/>
      <c r="J38" s="165"/>
      <c r="K38" s="166"/>
      <c r="L38" s="165"/>
      <c r="M38" s="166"/>
      <c r="N38" s="165">
        <v>1000</v>
      </c>
      <c r="O38" s="166"/>
      <c r="P38" s="165"/>
      <c r="Q38" s="166"/>
      <c r="R38" s="74">
        <v>60</v>
      </c>
      <c r="S38" s="14" t="s">
        <v>20</v>
      </c>
      <c r="T38" s="42" t="s">
        <v>93</v>
      </c>
      <c r="U38" s="177"/>
      <c r="V38" s="178"/>
      <c r="W38" s="179"/>
    </row>
    <row r="39" spans="1:23" ht="14.55" customHeight="1" x14ac:dyDescent="0.3">
      <c r="A39" s="163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74">
        <v>60</v>
      </c>
      <c r="S39" s="14" t="s">
        <v>20</v>
      </c>
      <c r="T39" s="42" t="s">
        <v>93</v>
      </c>
      <c r="U39" s="177"/>
      <c r="V39" s="178"/>
      <c r="W39" s="179"/>
    </row>
    <row r="40" spans="1:23" ht="14.55" customHeight="1" x14ac:dyDescent="0.3">
      <c r="A40" s="163"/>
      <c r="B40" s="5"/>
      <c r="C40" s="5"/>
      <c r="D40" s="4"/>
      <c r="E40" s="12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74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74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4"/>
      <c r="B42" s="19"/>
      <c r="C42" s="19"/>
      <c r="D42" s="20"/>
      <c r="E42" s="170" t="s">
        <v>0</v>
      </c>
      <c r="F42" s="171"/>
      <c r="G42" s="171"/>
      <c r="H42" s="171"/>
      <c r="I42" s="172"/>
      <c r="J42" s="173">
        <f>SUM(J37:K41)</f>
        <v>0</v>
      </c>
      <c r="K42" s="174"/>
      <c r="L42" s="173">
        <f>SUM(L37:M41)</f>
        <v>0</v>
      </c>
      <c r="M42" s="174"/>
      <c r="N42" s="173">
        <f>SUM(N37:O41)</f>
        <v>1600</v>
      </c>
      <c r="O42" s="174"/>
      <c r="P42" s="173">
        <f>SUM(P37:Q41)</f>
        <v>0</v>
      </c>
      <c r="Q42" s="174"/>
      <c r="R42" s="23">
        <f>SUM(R37:R41)</f>
        <v>180</v>
      </c>
      <c r="S42" s="24" t="s">
        <v>20</v>
      </c>
      <c r="T42" s="19"/>
      <c r="U42" s="177"/>
      <c r="V42" s="178"/>
      <c r="W42" s="179"/>
    </row>
    <row r="43" spans="1:23" ht="14.55" customHeight="1" x14ac:dyDescent="0.3">
      <c r="A43" s="27"/>
      <c r="B43" s="27"/>
      <c r="C43" s="27"/>
      <c r="D43" s="27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27"/>
      <c r="S43" s="27"/>
      <c r="T43" s="39"/>
      <c r="U43" s="39"/>
      <c r="V43" s="39"/>
      <c r="W43" s="39"/>
    </row>
    <row r="44" spans="1:23" x14ac:dyDescent="0.3">
      <c r="E44" s="170" t="s">
        <v>31</v>
      </c>
      <c r="F44" s="171"/>
      <c r="G44" s="171"/>
      <c r="H44" s="171"/>
      <c r="I44" s="172"/>
      <c r="J44" s="175" t="s">
        <v>7</v>
      </c>
      <c r="K44" s="176"/>
      <c r="L44" s="175" t="s">
        <v>8</v>
      </c>
      <c r="M44" s="176"/>
      <c r="N44" s="175" t="s">
        <v>9</v>
      </c>
      <c r="O44" s="176"/>
      <c r="P44" s="175" t="s">
        <v>117</v>
      </c>
      <c r="Q44" s="176"/>
    </row>
    <row r="45" spans="1:23" s="2" customFormat="1" x14ac:dyDescent="0.3">
      <c r="E45" s="15"/>
      <c r="F45" s="15"/>
      <c r="G45" s="15"/>
      <c r="H45" s="15"/>
      <c r="I45" s="15"/>
      <c r="J45" s="30">
        <f>J30+J36+J42</f>
        <v>4330</v>
      </c>
      <c r="K45" s="31" t="s">
        <v>17</v>
      </c>
      <c r="L45" s="30">
        <f>L30+L36+L42</f>
        <v>0</v>
      </c>
      <c r="M45" s="31" t="s">
        <v>17</v>
      </c>
      <c r="N45" s="30">
        <f>N30+N36+N42</f>
        <v>1600</v>
      </c>
      <c r="O45" s="31" t="s">
        <v>17</v>
      </c>
      <c r="P45" s="30">
        <f>P30+P36+P42</f>
        <v>0</v>
      </c>
      <c r="Q45" s="34" t="s">
        <v>17</v>
      </c>
    </row>
    <row r="46" spans="1:23" ht="24.45" customHeight="1" x14ac:dyDescent="0.3">
      <c r="E46" s="28"/>
      <c r="F46" s="28"/>
      <c r="G46" s="28"/>
      <c r="H46" s="28"/>
      <c r="I46" s="28"/>
      <c r="J46" s="167">
        <f>J45+L45+N45+P45</f>
        <v>5930</v>
      </c>
      <c r="K46" s="168"/>
      <c r="L46" s="168"/>
      <c r="M46" s="168"/>
      <c r="N46" s="168"/>
      <c r="O46" s="168"/>
      <c r="P46" s="168"/>
      <c r="Q46" s="169"/>
    </row>
    <row r="47" spans="1:23" ht="30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spans="1:23" s="37" customFormat="1" ht="19.95" customHeight="1" x14ac:dyDescent="0.4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214" t="s">
        <v>14</v>
      </c>
      <c r="R48" s="215"/>
      <c r="S48" s="216"/>
      <c r="T48" s="184">
        <f>T3</f>
        <v>45938</v>
      </c>
      <c r="U48" s="185"/>
      <c r="V48" s="185"/>
      <c r="W48" s="186"/>
    </row>
    <row r="49" spans="1:23" s="16" customFormat="1" ht="30" customHeight="1" x14ac:dyDescent="0.3">
      <c r="A49" s="187" t="s">
        <v>26</v>
      </c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9"/>
      <c r="Q49" s="189"/>
      <c r="R49" s="189"/>
      <c r="S49" s="189"/>
      <c r="T49" s="188"/>
      <c r="U49" s="188"/>
      <c r="V49" s="188"/>
      <c r="W49" s="190"/>
    </row>
    <row r="50" spans="1:23" s="26" customFormat="1" ht="13.8" x14ac:dyDescent="0.3">
      <c r="A50" s="191" t="s">
        <v>1</v>
      </c>
      <c r="B50" s="192" t="s">
        <v>2</v>
      </c>
      <c r="C50" s="192" t="s">
        <v>3</v>
      </c>
      <c r="D50" s="192" t="s">
        <v>4</v>
      </c>
      <c r="E50" s="193" t="s">
        <v>5</v>
      </c>
      <c r="F50" s="197"/>
      <c r="G50" s="197"/>
      <c r="H50" s="197"/>
      <c r="I50" s="198"/>
      <c r="J50" s="193" t="s">
        <v>6</v>
      </c>
      <c r="K50" s="197"/>
      <c r="L50" s="197"/>
      <c r="M50" s="197"/>
      <c r="N50" s="197"/>
      <c r="O50" s="197"/>
      <c r="P50" s="197"/>
      <c r="Q50" s="198"/>
      <c r="R50" s="193" t="s">
        <v>10</v>
      </c>
      <c r="S50" s="198"/>
      <c r="T50" s="191" t="s">
        <v>11</v>
      </c>
      <c r="U50" s="191" t="s">
        <v>12</v>
      </c>
      <c r="V50" s="191"/>
      <c r="W50" s="191"/>
    </row>
    <row r="51" spans="1:23" s="26" customFormat="1" ht="13.8" x14ac:dyDescent="0.3">
      <c r="A51" s="191"/>
      <c r="B51" s="192"/>
      <c r="C51" s="192"/>
      <c r="D51" s="192"/>
      <c r="E51" s="194"/>
      <c r="F51" s="217"/>
      <c r="G51" s="217"/>
      <c r="H51" s="217"/>
      <c r="I51" s="199"/>
      <c r="J51" s="200" t="s">
        <v>7</v>
      </c>
      <c r="K51" s="201"/>
      <c r="L51" s="200" t="s">
        <v>8</v>
      </c>
      <c r="M51" s="201"/>
      <c r="N51" s="200" t="s">
        <v>9</v>
      </c>
      <c r="O51" s="201"/>
      <c r="P51" s="200" t="s">
        <v>16</v>
      </c>
      <c r="Q51" s="201"/>
      <c r="R51" s="194"/>
      <c r="S51" s="199"/>
      <c r="T51" s="191"/>
      <c r="U51" s="191"/>
      <c r="V51" s="191"/>
      <c r="W51" s="191"/>
    </row>
    <row r="52" spans="1:23" x14ac:dyDescent="0.3">
      <c r="A52" s="180" t="s">
        <v>13</v>
      </c>
      <c r="B52" s="5">
        <v>0.33333333333333331</v>
      </c>
      <c r="C52" s="5"/>
      <c r="D52" s="4">
        <v>290925</v>
      </c>
      <c r="E52" s="211" t="s">
        <v>347</v>
      </c>
      <c r="F52" s="212"/>
      <c r="G52" s="212"/>
      <c r="H52" s="212"/>
      <c r="I52" s="213"/>
      <c r="J52" s="165"/>
      <c r="K52" s="166"/>
      <c r="L52" s="165"/>
      <c r="M52" s="166"/>
      <c r="N52" s="165">
        <v>3696</v>
      </c>
      <c r="O52" s="166"/>
      <c r="P52" s="165"/>
      <c r="Q52" s="166"/>
      <c r="R52" s="74">
        <v>30</v>
      </c>
      <c r="S52" s="6" t="s">
        <v>20</v>
      </c>
      <c r="T52" s="3" t="s">
        <v>93</v>
      </c>
      <c r="U52" s="202"/>
      <c r="V52" s="203"/>
      <c r="W52" s="204"/>
    </row>
    <row r="53" spans="1:23" x14ac:dyDescent="0.3">
      <c r="A53" s="163"/>
      <c r="B53" s="5"/>
      <c r="C53" s="5">
        <v>0.70833333333333337</v>
      </c>
      <c r="D53" s="4">
        <v>250077</v>
      </c>
      <c r="E53" s="211" t="s">
        <v>417</v>
      </c>
      <c r="F53" s="212"/>
      <c r="G53" s="212"/>
      <c r="H53" s="212"/>
      <c r="I53" s="213"/>
      <c r="J53" s="165">
        <v>1119</v>
      </c>
      <c r="K53" s="166"/>
      <c r="L53" s="165"/>
      <c r="M53" s="166"/>
      <c r="N53" s="165"/>
      <c r="O53" s="166"/>
      <c r="P53" s="165"/>
      <c r="Q53" s="166"/>
      <c r="R53" s="74"/>
      <c r="S53" s="6" t="s">
        <v>20</v>
      </c>
      <c r="T53" s="3"/>
      <c r="U53" s="205"/>
      <c r="V53" s="206"/>
      <c r="W53" s="207"/>
    </row>
    <row r="54" spans="1:23" x14ac:dyDescent="0.3">
      <c r="A54" s="163"/>
      <c r="B54" s="5"/>
      <c r="C54" s="5"/>
      <c r="D54" s="4"/>
      <c r="E54" s="211"/>
      <c r="F54" s="212"/>
      <c r="G54" s="212"/>
      <c r="H54" s="212"/>
      <c r="I54" s="213"/>
      <c r="J54" s="165"/>
      <c r="K54" s="166"/>
      <c r="L54" s="165"/>
      <c r="M54" s="166"/>
      <c r="N54" s="165"/>
      <c r="O54" s="166"/>
      <c r="P54" s="165"/>
      <c r="Q54" s="166"/>
      <c r="R54" s="74"/>
      <c r="S54" s="6" t="s">
        <v>20</v>
      </c>
      <c r="T54" s="3"/>
      <c r="U54" s="205"/>
      <c r="V54" s="206"/>
      <c r="W54" s="207"/>
    </row>
    <row r="55" spans="1:23" x14ac:dyDescent="0.3">
      <c r="A55" s="163"/>
      <c r="B55" s="5"/>
      <c r="C55" s="5"/>
      <c r="D55" s="4"/>
      <c r="E55" s="211"/>
      <c r="F55" s="212"/>
      <c r="G55" s="212"/>
      <c r="H55" s="212"/>
      <c r="I55" s="213"/>
      <c r="J55" s="165"/>
      <c r="K55" s="166"/>
      <c r="L55" s="165"/>
      <c r="M55" s="166"/>
      <c r="N55" s="165"/>
      <c r="O55" s="166"/>
      <c r="P55" s="165"/>
      <c r="Q55" s="166"/>
      <c r="R55" s="74"/>
      <c r="S55" s="6" t="s">
        <v>20</v>
      </c>
      <c r="T55" s="3"/>
      <c r="U55" s="205"/>
      <c r="V55" s="206"/>
      <c r="W55" s="207"/>
    </row>
    <row r="56" spans="1:23" x14ac:dyDescent="0.3">
      <c r="A56" s="164"/>
      <c r="B56" s="19"/>
      <c r="C56" s="19"/>
      <c r="D56" s="20"/>
      <c r="E56" s="170" t="s">
        <v>0</v>
      </c>
      <c r="F56" s="171"/>
      <c r="G56" s="171"/>
      <c r="H56" s="171"/>
      <c r="I56" s="172"/>
      <c r="J56" s="173">
        <f>SUM(J52:J55)</f>
        <v>1119</v>
      </c>
      <c r="K56" s="174"/>
      <c r="L56" s="173">
        <f>SUM(L52:L55)</f>
        <v>0</v>
      </c>
      <c r="M56" s="174"/>
      <c r="N56" s="173">
        <f>SUM(N52:N55)</f>
        <v>3696</v>
      </c>
      <c r="O56" s="174"/>
      <c r="P56" s="173">
        <f>SUM(P52:P55)</f>
        <v>0</v>
      </c>
      <c r="Q56" s="174"/>
      <c r="R56" s="23">
        <f>SUM(R52:R55)</f>
        <v>30</v>
      </c>
      <c r="S56" s="24" t="s">
        <v>20</v>
      </c>
      <c r="T56" s="19"/>
      <c r="U56" s="208"/>
      <c r="V56" s="209"/>
      <c r="W56" s="210"/>
    </row>
    <row r="57" spans="1:23" x14ac:dyDescent="0.3">
      <c r="A57" s="180" t="s">
        <v>15</v>
      </c>
      <c r="B57" s="5"/>
      <c r="C57" s="5"/>
      <c r="D57" s="4"/>
      <c r="E57" s="211"/>
      <c r="F57" s="212"/>
      <c r="G57" s="212"/>
      <c r="H57" s="212"/>
      <c r="I57" s="213"/>
      <c r="J57" s="165"/>
      <c r="K57" s="166"/>
      <c r="L57" s="165"/>
      <c r="M57" s="166"/>
      <c r="N57" s="165"/>
      <c r="O57" s="166"/>
      <c r="P57" s="165"/>
      <c r="Q57" s="166"/>
      <c r="R57" s="74"/>
      <c r="S57" s="6" t="s">
        <v>20</v>
      </c>
      <c r="T57" s="3"/>
      <c r="U57" s="202"/>
      <c r="V57" s="203"/>
      <c r="W57" s="204"/>
    </row>
    <row r="58" spans="1:23" x14ac:dyDescent="0.3">
      <c r="A58" s="163"/>
      <c r="B58" s="5"/>
      <c r="C58" s="5"/>
      <c r="D58" s="4"/>
      <c r="E58" s="211"/>
      <c r="F58" s="212"/>
      <c r="G58" s="212"/>
      <c r="H58" s="212"/>
      <c r="I58" s="213"/>
      <c r="J58" s="165"/>
      <c r="K58" s="166"/>
      <c r="L58" s="165"/>
      <c r="M58" s="166"/>
      <c r="N58" s="165"/>
      <c r="O58" s="166"/>
      <c r="P58" s="165"/>
      <c r="Q58" s="166"/>
      <c r="R58" s="74"/>
      <c r="S58" s="6" t="s">
        <v>20</v>
      </c>
      <c r="T58" s="3"/>
      <c r="U58" s="205"/>
      <c r="V58" s="206"/>
      <c r="W58" s="207"/>
    </row>
    <row r="59" spans="1:23" x14ac:dyDescent="0.3">
      <c r="A59" s="163"/>
      <c r="B59" s="5"/>
      <c r="C59" s="5"/>
      <c r="D59" s="4"/>
      <c r="E59" s="211"/>
      <c r="F59" s="212"/>
      <c r="G59" s="212"/>
      <c r="H59" s="212"/>
      <c r="I59" s="213"/>
      <c r="J59" s="165"/>
      <c r="K59" s="166"/>
      <c r="L59" s="165"/>
      <c r="M59" s="166"/>
      <c r="N59" s="165"/>
      <c r="O59" s="166"/>
      <c r="P59" s="165"/>
      <c r="Q59" s="166"/>
      <c r="R59" s="74"/>
      <c r="S59" s="6" t="s">
        <v>20</v>
      </c>
      <c r="T59" s="3"/>
      <c r="U59" s="205"/>
      <c r="V59" s="206"/>
      <c r="W59" s="207"/>
    </row>
    <row r="60" spans="1:23" x14ac:dyDescent="0.3">
      <c r="A60" s="164"/>
      <c r="B60" s="19"/>
      <c r="C60" s="19"/>
      <c r="D60" s="20"/>
      <c r="E60" s="170" t="s">
        <v>0</v>
      </c>
      <c r="F60" s="171"/>
      <c r="G60" s="171"/>
      <c r="H60" s="171"/>
      <c r="I60" s="172"/>
      <c r="J60" s="173">
        <f>SUM(J57:J59)</f>
        <v>0</v>
      </c>
      <c r="K60" s="174"/>
      <c r="L60" s="173">
        <f>SUM(L57:L59)</f>
        <v>0</v>
      </c>
      <c r="M60" s="174"/>
      <c r="N60" s="173">
        <f>SUM(N57:N59)</f>
        <v>0</v>
      </c>
      <c r="O60" s="174"/>
      <c r="P60" s="173">
        <f>SUM(P54:P59)</f>
        <v>0</v>
      </c>
      <c r="Q60" s="174"/>
      <c r="R60" s="23">
        <f>SUM(R57:R59)</f>
        <v>0</v>
      </c>
      <c r="S60" s="24" t="s">
        <v>20</v>
      </c>
      <c r="T60" s="7"/>
      <c r="U60" s="208"/>
      <c r="V60" s="209"/>
      <c r="W60" s="210"/>
    </row>
    <row r="61" spans="1:23" x14ac:dyDescent="0.3">
      <c r="A61" s="180" t="s">
        <v>37</v>
      </c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74"/>
      <c r="S61" s="6" t="s">
        <v>20</v>
      </c>
      <c r="T61" s="3"/>
      <c r="U61" s="202"/>
      <c r="V61" s="203"/>
      <c r="W61" s="204"/>
    </row>
    <row r="62" spans="1:23" x14ac:dyDescent="0.3">
      <c r="A62" s="163"/>
      <c r="B62" s="5"/>
      <c r="C62" s="5"/>
      <c r="D62" s="4"/>
      <c r="E62" s="211"/>
      <c r="F62" s="212"/>
      <c r="G62" s="212"/>
      <c r="H62" s="212"/>
      <c r="I62" s="213"/>
      <c r="J62" s="165"/>
      <c r="K62" s="166"/>
      <c r="L62" s="165"/>
      <c r="M62" s="166"/>
      <c r="N62" s="165"/>
      <c r="O62" s="166"/>
      <c r="P62" s="165"/>
      <c r="Q62" s="166"/>
      <c r="R62" s="74"/>
      <c r="S62" s="6" t="s">
        <v>20</v>
      </c>
      <c r="T62" s="3"/>
      <c r="U62" s="205"/>
      <c r="V62" s="206"/>
      <c r="W62" s="207"/>
    </row>
    <row r="63" spans="1:23" x14ac:dyDescent="0.3">
      <c r="A63" s="163"/>
      <c r="B63" s="5"/>
      <c r="C63" s="5"/>
      <c r="D63" s="4"/>
      <c r="E63" s="211"/>
      <c r="F63" s="212"/>
      <c r="G63" s="212"/>
      <c r="H63" s="212"/>
      <c r="I63" s="213"/>
      <c r="J63" s="165"/>
      <c r="K63" s="166"/>
      <c r="L63" s="165"/>
      <c r="M63" s="166"/>
      <c r="N63" s="165"/>
      <c r="O63" s="166"/>
      <c r="P63" s="165"/>
      <c r="Q63" s="166"/>
      <c r="R63" s="74"/>
      <c r="S63" s="6" t="s">
        <v>20</v>
      </c>
      <c r="T63" s="3"/>
      <c r="U63" s="205"/>
      <c r="V63" s="206"/>
      <c r="W63" s="207"/>
    </row>
    <row r="64" spans="1:23" x14ac:dyDescent="0.3">
      <c r="A64" s="163"/>
      <c r="B64" s="5"/>
      <c r="C64" s="5"/>
      <c r="D64" s="4"/>
      <c r="E64" s="211"/>
      <c r="F64" s="212"/>
      <c r="G64" s="212"/>
      <c r="H64" s="212"/>
      <c r="I64" s="213"/>
      <c r="J64" s="165"/>
      <c r="K64" s="166"/>
      <c r="L64" s="165"/>
      <c r="M64" s="166"/>
      <c r="N64" s="165"/>
      <c r="O64" s="166"/>
      <c r="P64" s="165"/>
      <c r="Q64" s="166"/>
      <c r="R64" s="74"/>
      <c r="S64" s="6" t="s">
        <v>20</v>
      </c>
      <c r="T64" s="3"/>
      <c r="U64" s="205"/>
      <c r="V64" s="206"/>
      <c r="W64" s="207"/>
    </row>
    <row r="65" spans="1:23" x14ac:dyDescent="0.3">
      <c r="A65" s="163"/>
      <c r="B65" s="5"/>
      <c r="C65" s="5"/>
      <c r="D65" s="4"/>
      <c r="E65" s="211"/>
      <c r="F65" s="212"/>
      <c r="G65" s="212"/>
      <c r="H65" s="212"/>
      <c r="I65" s="213"/>
      <c r="J65" s="165"/>
      <c r="K65" s="166"/>
      <c r="L65" s="165"/>
      <c r="M65" s="166"/>
      <c r="N65" s="165"/>
      <c r="O65" s="166"/>
      <c r="P65" s="165"/>
      <c r="Q65" s="166"/>
      <c r="R65" s="74"/>
      <c r="S65" s="6" t="s">
        <v>20</v>
      </c>
      <c r="T65" s="3"/>
      <c r="U65" s="205"/>
      <c r="V65" s="206"/>
      <c r="W65" s="207"/>
    </row>
    <row r="66" spans="1:23" x14ac:dyDescent="0.3">
      <c r="A66" s="163"/>
      <c r="B66" s="5"/>
      <c r="C66" s="5"/>
      <c r="D66" s="4"/>
      <c r="E66" s="211"/>
      <c r="F66" s="212"/>
      <c r="G66" s="212"/>
      <c r="H66" s="212"/>
      <c r="I66" s="213"/>
      <c r="J66" s="165"/>
      <c r="K66" s="166"/>
      <c r="L66" s="165"/>
      <c r="M66" s="166"/>
      <c r="N66" s="165"/>
      <c r="O66" s="166"/>
      <c r="P66" s="165"/>
      <c r="Q66" s="166"/>
      <c r="R66" s="74"/>
      <c r="S66" s="6" t="s">
        <v>20</v>
      </c>
      <c r="T66" s="3"/>
      <c r="U66" s="205"/>
      <c r="V66" s="206"/>
      <c r="W66" s="207"/>
    </row>
    <row r="67" spans="1:23" x14ac:dyDescent="0.3">
      <c r="A67" s="163"/>
      <c r="B67" s="5"/>
      <c r="C67" s="5"/>
      <c r="D67" s="4"/>
      <c r="E67" s="211"/>
      <c r="F67" s="212"/>
      <c r="G67" s="212"/>
      <c r="H67" s="212"/>
      <c r="I67" s="213"/>
      <c r="J67" s="165"/>
      <c r="K67" s="166"/>
      <c r="L67" s="165"/>
      <c r="M67" s="166"/>
      <c r="N67" s="165"/>
      <c r="O67" s="166"/>
      <c r="P67" s="165"/>
      <c r="Q67" s="166"/>
      <c r="R67" s="74"/>
      <c r="S67" s="6" t="s">
        <v>20</v>
      </c>
      <c r="T67" s="3"/>
      <c r="U67" s="205"/>
      <c r="V67" s="206"/>
      <c r="W67" s="207"/>
    </row>
    <row r="68" spans="1:23" x14ac:dyDescent="0.3">
      <c r="A68" s="164"/>
      <c r="B68" s="19"/>
      <c r="C68" s="19"/>
      <c r="D68" s="20"/>
      <c r="E68" s="170" t="s">
        <v>0</v>
      </c>
      <c r="F68" s="171"/>
      <c r="G68" s="171"/>
      <c r="H68" s="171"/>
      <c r="I68" s="172"/>
      <c r="J68" s="173">
        <f>SUM(J61:J67)</f>
        <v>0</v>
      </c>
      <c r="K68" s="174"/>
      <c r="L68" s="173">
        <f>SUM(L61:L67)</f>
        <v>0</v>
      </c>
      <c r="M68" s="174"/>
      <c r="N68" s="173">
        <f>SUM(N61:N67)</f>
        <v>0</v>
      </c>
      <c r="O68" s="174"/>
      <c r="P68" s="173">
        <f>SUM(P61:P67)</f>
        <v>0</v>
      </c>
      <c r="Q68" s="174"/>
      <c r="R68" s="23">
        <f>SUM(R61:R67)</f>
        <v>0</v>
      </c>
      <c r="S68" s="24" t="s">
        <v>20</v>
      </c>
      <c r="T68" s="19"/>
      <c r="U68" s="208"/>
      <c r="V68" s="209"/>
      <c r="W68" s="210"/>
    </row>
    <row r="69" spans="1:23" x14ac:dyDescent="0.3">
      <c r="A69" s="180" t="s">
        <v>36</v>
      </c>
      <c r="B69" s="5"/>
      <c r="C69" s="5"/>
      <c r="D69" s="4"/>
      <c r="E69" s="211"/>
      <c r="F69" s="212"/>
      <c r="G69" s="212"/>
      <c r="H69" s="212"/>
      <c r="I69" s="213"/>
      <c r="J69" s="165"/>
      <c r="K69" s="166"/>
      <c r="L69" s="165"/>
      <c r="M69" s="166"/>
      <c r="N69" s="165"/>
      <c r="O69" s="166"/>
      <c r="P69" s="165"/>
      <c r="Q69" s="166"/>
      <c r="R69" s="74"/>
      <c r="S69" s="6" t="s">
        <v>20</v>
      </c>
      <c r="T69" s="3"/>
      <c r="U69" s="202"/>
      <c r="V69" s="203"/>
      <c r="W69" s="204"/>
    </row>
    <row r="70" spans="1:23" x14ac:dyDescent="0.3">
      <c r="A70" s="163"/>
      <c r="B70" s="5"/>
      <c r="C70" s="5"/>
      <c r="D70" s="4"/>
      <c r="E70" s="211"/>
      <c r="F70" s="212"/>
      <c r="G70" s="212"/>
      <c r="H70" s="212"/>
      <c r="I70" s="213"/>
      <c r="J70" s="165"/>
      <c r="K70" s="166"/>
      <c r="L70" s="165"/>
      <c r="M70" s="166"/>
      <c r="N70" s="165"/>
      <c r="O70" s="166"/>
      <c r="P70" s="165"/>
      <c r="Q70" s="166"/>
      <c r="R70" s="74"/>
      <c r="S70" s="6" t="s">
        <v>20</v>
      </c>
      <c r="T70" s="3"/>
      <c r="U70" s="205"/>
      <c r="V70" s="206"/>
      <c r="W70" s="207"/>
    </row>
    <row r="71" spans="1:23" x14ac:dyDescent="0.3">
      <c r="A71" s="163"/>
      <c r="B71" s="5"/>
      <c r="C71" s="5"/>
      <c r="D71" s="4"/>
      <c r="E71" s="211"/>
      <c r="F71" s="212"/>
      <c r="G71" s="212"/>
      <c r="H71" s="212"/>
      <c r="I71" s="213"/>
      <c r="J71" s="165"/>
      <c r="K71" s="166"/>
      <c r="L71" s="165"/>
      <c r="M71" s="166"/>
      <c r="N71" s="165"/>
      <c r="O71" s="166"/>
      <c r="P71" s="165"/>
      <c r="Q71" s="166"/>
      <c r="R71" s="74"/>
      <c r="S71" s="6" t="s">
        <v>20</v>
      </c>
      <c r="T71" s="3"/>
      <c r="U71" s="205"/>
      <c r="V71" s="206"/>
      <c r="W71" s="207"/>
    </row>
    <row r="72" spans="1:23" x14ac:dyDescent="0.3">
      <c r="A72" s="164"/>
      <c r="B72" s="19"/>
      <c r="C72" s="19"/>
      <c r="D72" s="20"/>
      <c r="E72" s="170" t="s">
        <v>0</v>
      </c>
      <c r="F72" s="171"/>
      <c r="G72" s="171"/>
      <c r="H72" s="171"/>
      <c r="I72" s="172"/>
      <c r="J72" s="173">
        <f>SUM(J69:J71)</f>
        <v>0</v>
      </c>
      <c r="K72" s="174"/>
      <c r="L72" s="173">
        <f>SUM(L69:L71)</f>
        <v>0</v>
      </c>
      <c r="M72" s="174"/>
      <c r="N72" s="173">
        <f>SUM(N69:N71)</f>
        <v>0</v>
      </c>
      <c r="O72" s="174"/>
      <c r="P72" s="173">
        <f>SUM(P69:P71)</f>
        <v>0</v>
      </c>
      <c r="Q72" s="174"/>
      <c r="R72" s="23">
        <f>SUM(R69:R71)</f>
        <v>0</v>
      </c>
      <c r="S72" s="24" t="s">
        <v>20</v>
      </c>
      <c r="T72" s="19"/>
      <c r="U72" s="208"/>
      <c r="V72" s="209"/>
      <c r="W72" s="210"/>
    </row>
    <row r="73" spans="1:23" x14ac:dyDescent="0.3">
      <c r="E73" s="28"/>
      <c r="F73" s="28"/>
      <c r="G73" s="28"/>
      <c r="H73" s="28"/>
      <c r="I73" s="28"/>
      <c r="J73" s="29"/>
      <c r="K73" s="29"/>
      <c r="L73" s="29"/>
      <c r="M73" s="29"/>
      <c r="N73" s="29"/>
      <c r="O73" s="29"/>
      <c r="P73" s="29"/>
      <c r="Q73" s="29"/>
    </row>
    <row r="74" spans="1:23" x14ac:dyDescent="0.3">
      <c r="E74" s="170" t="s">
        <v>28</v>
      </c>
      <c r="F74" s="171"/>
      <c r="G74" s="171"/>
      <c r="H74" s="171"/>
      <c r="I74" s="172"/>
      <c r="J74" s="175" t="s">
        <v>7</v>
      </c>
      <c r="K74" s="176"/>
      <c r="L74" s="175" t="s">
        <v>8</v>
      </c>
      <c r="M74" s="176"/>
      <c r="N74" s="175" t="s">
        <v>9</v>
      </c>
      <c r="O74" s="176"/>
      <c r="P74" s="175" t="s">
        <v>16</v>
      </c>
      <c r="Q74" s="176"/>
    </row>
    <row r="75" spans="1:23" s="2" customFormat="1" x14ac:dyDescent="0.3">
      <c r="E75" s="15"/>
      <c r="F75" s="15"/>
      <c r="G75" s="15"/>
      <c r="H75" s="15"/>
      <c r="I75" s="15"/>
      <c r="J75" s="30">
        <f>J56+J60</f>
        <v>1119</v>
      </c>
      <c r="K75" s="31" t="s">
        <v>17</v>
      </c>
      <c r="L75" s="32">
        <f>L56+L60</f>
        <v>0</v>
      </c>
      <c r="M75" s="31" t="s">
        <v>17</v>
      </c>
      <c r="N75" s="32">
        <f>N56+N60</f>
        <v>3696</v>
      </c>
      <c r="O75" s="31" t="s">
        <v>17</v>
      </c>
      <c r="P75" s="33">
        <f>P68+P72</f>
        <v>0</v>
      </c>
      <c r="Q75" s="34" t="s">
        <v>17</v>
      </c>
    </row>
    <row r="76" spans="1:23" s="8" customFormat="1" ht="24.45" customHeight="1" x14ac:dyDescent="0.3">
      <c r="A76"/>
      <c r="B76"/>
      <c r="C76"/>
      <c r="E76" s="28"/>
      <c r="F76" s="28"/>
      <c r="G76" s="28"/>
      <c r="H76" s="28"/>
      <c r="I76" s="28"/>
      <c r="J76" s="167">
        <f>J75+L75+N75+P75</f>
        <v>4815</v>
      </c>
      <c r="K76" s="168"/>
      <c r="L76" s="168"/>
      <c r="M76" s="168"/>
      <c r="N76" s="168"/>
      <c r="O76" s="168"/>
      <c r="P76" s="168"/>
      <c r="Q76" s="169"/>
      <c r="S76"/>
      <c r="T76"/>
      <c r="U76"/>
      <c r="V76"/>
      <c r="W76"/>
    </row>
  </sheetData>
  <mergeCells count="303">
    <mergeCell ref="E74:I74"/>
    <mergeCell ref="J74:K74"/>
    <mergeCell ref="L74:M74"/>
    <mergeCell ref="N74:O74"/>
    <mergeCell ref="P74:Q74"/>
    <mergeCell ref="J76:Q76"/>
    <mergeCell ref="N71:O71"/>
    <mergeCell ref="P71:Q71"/>
    <mergeCell ref="E72:I72"/>
    <mergeCell ref="J72:K72"/>
    <mergeCell ref="L72:M72"/>
    <mergeCell ref="N72:O72"/>
    <mergeCell ref="P72:Q72"/>
    <mergeCell ref="U69:W72"/>
    <mergeCell ref="E70:I70"/>
    <mergeCell ref="J70:K70"/>
    <mergeCell ref="L70:M70"/>
    <mergeCell ref="N70:O70"/>
    <mergeCell ref="P70:Q70"/>
    <mergeCell ref="E71:I71"/>
    <mergeCell ref="J71:K71"/>
    <mergeCell ref="L71:M71"/>
    <mergeCell ref="E68:I68"/>
    <mergeCell ref="J68:K68"/>
    <mergeCell ref="L68:M68"/>
    <mergeCell ref="N68:O68"/>
    <mergeCell ref="P68:Q68"/>
    <mergeCell ref="A69:A72"/>
    <mergeCell ref="E69:I69"/>
    <mergeCell ref="J69:K69"/>
    <mergeCell ref="L69:M69"/>
    <mergeCell ref="N69:O69"/>
    <mergeCell ref="A61:A68"/>
    <mergeCell ref="J64:K64"/>
    <mergeCell ref="L64:M64"/>
    <mergeCell ref="P69:Q69"/>
    <mergeCell ref="E66:I66"/>
    <mergeCell ref="J66:K66"/>
    <mergeCell ref="L66:M66"/>
    <mergeCell ref="N66:O66"/>
    <mergeCell ref="P66:Q66"/>
    <mergeCell ref="E67:I67"/>
    <mergeCell ref="J67:K67"/>
    <mergeCell ref="L67:M67"/>
    <mergeCell ref="N67:O67"/>
    <mergeCell ref="P67:Q67"/>
    <mergeCell ref="N64:O64"/>
    <mergeCell ref="P64:Q64"/>
    <mergeCell ref="E65:I65"/>
    <mergeCell ref="J65:K65"/>
    <mergeCell ref="L65:M65"/>
    <mergeCell ref="N65:O65"/>
    <mergeCell ref="P65:Q65"/>
    <mergeCell ref="U61:W68"/>
    <mergeCell ref="E62:I62"/>
    <mergeCell ref="J62:K62"/>
    <mergeCell ref="L62:M62"/>
    <mergeCell ref="N62:O62"/>
    <mergeCell ref="P62:Q62"/>
    <mergeCell ref="E63:I63"/>
    <mergeCell ref="J63:K63"/>
    <mergeCell ref="L63:M63"/>
    <mergeCell ref="N63:O63"/>
    <mergeCell ref="E61:I61"/>
    <mergeCell ref="J61:K61"/>
    <mergeCell ref="L61:M61"/>
    <mergeCell ref="N61:O61"/>
    <mergeCell ref="P61:Q61"/>
    <mergeCell ref="P63:Q63"/>
    <mergeCell ref="E64:I64"/>
    <mergeCell ref="U57:W60"/>
    <mergeCell ref="E58:I58"/>
    <mergeCell ref="J58:K58"/>
    <mergeCell ref="L58:M58"/>
    <mergeCell ref="N58:O58"/>
    <mergeCell ref="P58:Q58"/>
    <mergeCell ref="E59:I59"/>
    <mergeCell ref="J59:K59"/>
    <mergeCell ref="L59:M59"/>
    <mergeCell ref="L56:M56"/>
    <mergeCell ref="N56:O56"/>
    <mergeCell ref="P56:Q56"/>
    <mergeCell ref="A57:A60"/>
    <mergeCell ref="E57:I57"/>
    <mergeCell ref="J57:K57"/>
    <mergeCell ref="L57:M57"/>
    <mergeCell ref="N57:O57"/>
    <mergeCell ref="N59:O59"/>
    <mergeCell ref="P59:Q59"/>
    <mergeCell ref="E60:I60"/>
    <mergeCell ref="J60:K60"/>
    <mergeCell ref="L60:M60"/>
    <mergeCell ref="N60:O60"/>
    <mergeCell ref="P60:Q60"/>
    <mergeCell ref="P57:Q57"/>
    <mergeCell ref="U52:W56"/>
    <mergeCell ref="E53:I53"/>
    <mergeCell ref="J53:K53"/>
    <mergeCell ref="L53:M53"/>
    <mergeCell ref="N53:O53"/>
    <mergeCell ref="P53:Q53"/>
    <mergeCell ref="A52:A56"/>
    <mergeCell ref="E52:I52"/>
    <mergeCell ref="J52:K52"/>
    <mergeCell ref="L52:M52"/>
    <mergeCell ref="N52:O52"/>
    <mergeCell ref="P52:Q52"/>
    <mergeCell ref="E54:I54"/>
    <mergeCell ref="J54:K54"/>
    <mergeCell ref="L54:M54"/>
    <mergeCell ref="N54:O54"/>
    <mergeCell ref="P54:Q54"/>
    <mergeCell ref="E55:I55"/>
    <mergeCell ref="J55:K55"/>
    <mergeCell ref="L55:M55"/>
    <mergeCell ref="N55:O55"/>
    <mergeCell ref="P55:Q55"/>
    <mergeCell ref="E56:I56"/>
    <mergeCell ref="J56:K56"/>
    <mergeCell ref="E44:I44"/>
    <mergeCell ref="J44:K44"/>
    <mergeCell ref="L44:M44"/>
    <mergeCell ref="N44:O44"/>
    <mergeCell ref="P44:Q44"/>
    <mergeCell ref="R50:S51"/>
    <mergeCell ref="T50:T51"/>
    <mergeCell ref="U50:W51"/>
    <mergeCell ref="J51:K51"/>
    <mergeCell ref="L51:M51"/>
    <mergeCell ref="N51:O51"/>
    <mergeCell ref="P51:Q51"/>
    <mergeCell ref="J46:Q46"/>
    <mergeCell ref="Q48:S48"/>
    <mergeCell ref="T48:W48"/>
    <mergeCell ref="A49:W49"/>
    <mergeCell ref="A50:A51"/>
    <mergeCell ref="B50:B51"/>
    <mergeCell ref="C50:C51"/>
    <mergeCell ref="D50:D51"/>
    <mergeCell ref="E50:I51"/>
    <mergeCell ref="J50:Q50"/>
    <mergeCell ref="U37:W42"/>
    <mergeCell ref="J38:K38"/>
    <mergeCell ref="L38:M38"/>
    <mergeCell ref="N38:O38"/>
    <mergeCell ref="P38:Q38"/>
    <mergeCell ref="J39:K39"/>
    <mergeCell ref="L39:M39"/>
    <mergeCell ref="N39:O39"/>
    <mergeCell ref="P39:Q39"/>
    <mergeCell ref="J40:K40"/>
    <mergeCell ref="J42:K42"/>
    <mergeCell ref="L42:M42"/>
    <mergeCell ref="N42:O42"/>
    <mergeCell ref="P42:Q42"/>
    <mergeCell ref="A37:A42"/>
    <mergeCell ref="J37:K37"/>
    <mergeCell ref="L37:M37"/>
    <mergeCell ref="N37:O37"/>
    <mergeCell ref="P37:Q37"/>
    <mergeCell ref="J41:K41"/>
    <mergeCell ref="L41:M41"/>
    <mergeCell ref="N41:O41"/>
    <mergeCell ref="P41:Q41"/>
    <mergeCell ref="L40:M40"/>
    <mergeCell ref="N40:O40"/>
    <mergeCell ref="P40:Q40"/>
    <mergeCell ref="E42:I42"/>
    <mergeCell ref="U31:W36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J36:K36"/>
    <mergeCell ref="L36:M36"/>
    <mergeCell ref="N36:O36"/>
    <mergeCell ref="P36:Q36"/>
    <mergeCell ref="A31:A36"/>
    <mergeCell ref="J31:K31"/>
    <mergeCell ref="L31:M31"/>
    <mergeCell ref="N31:O31"/>
    <mergeCell ref="P31:Q31"/>
    <mergeCell ref="J35:K35"/>
    <mergeCell ref="L35:M35"/>
    <mergeCell ref="N35:O35"/>
    <mergeCell ref="P35:Q35"/>
    <mergeCell ref="L34:M34"/>
    <mergeCell ref="N34:O34"/>
    <mergeCell ref="P34:Q34"/>
    <mergeCell ref="E36:I36"/>
    <mergeCell ref="U25:W30"/>
    <mergeCell ref="J26:K26"/>
    <mergeCell ref="L26:M26"/>
    <mergeCell ref="N26:O26"/>
    <mergeCell ref="P26:Q26"/>
    <mergeCell ref="J27:K27"/>
    <mergeCell ref="L27:M27"/>
    <mergeCell ref="N27:O27"/>
    <mergeCell ref="P27:Q27"/>
    <mergeCell ref="J30:K30"/>
    <mergeCell ref="L30:M30"/>
    <mergeCell ref="N30:O30"/>
    <mergeCell ref="P30:Q30"/>
    <mergeCell ref="A25:A30"/>
    <mergeCell ref="J25:K25"/>
    <mergeCell ref="L25:M25"/>
    <mergeCell ref="N25:O25"/>
    <mergeCell ref="P25:Q25"/>
    <mergeCell ref="G23:G24"/>
    <mergeCell ref="H23:H24"/>
    <mergeCell ref="I23:I24"/>
    <mergeCell ref="J23:Q23"/>
    <mergeCell ref="J29:K29"/>
    <mergeCell ref="L29:M29"/>
    <mergeCell ref="N29:O29"/>
    <mergeCell ref="P29:Q29"/>
    <mergeCell ref="J28:K28"/>
    <mergeCell ref="L28:M28"/>
    <mergeCell ref="N28:O28"/>
    <mergeCell ref="P28:Q28"/>
    <mergeCell ref="E30:I30"/>
    <mergeCell ref="J19:Q19"/>
    <mergeCell ref="Q21:S21"/>
    <mergeCell ref="T21:W21"/>
    <mergeCell ref="A22:W22"/>
    <mergeCell ref="A23:A24"/>
    <mergeCell ref="B23:B24"/>
    <mergeCell ref="C23:C24"/>
    <mergeCell ref="D23:D24"/>
    <mergeCell ref="E23:E24"/>
    <mergeCell ref="F23:F24"/>
    <mergeCell ref="U23:W24"/>
    <mergeCell ref="J24:K24"/>
    <mergeCell ref="L24:M24"/>
    <mergeCell ref="N24:O24"/>
    <mergeCell ref="P24:Q24"/>
    <mergeCell ref="R23:S24"/>
    <mergeCell ref="T23:T24"/>
    <mergeCell ref="N10:O10"/>
    <mergeCell ref="P10:Q10"/>
    <mergeCell ref="B15:I15"/>
    <mergeCell ref="E17:I17"/>
    <mergeCell ref="J17:K17"/>
    <mergeCell ref="L17:M17"/>
    <mergeCell ref="N17:O17"/>
    <mergeCell ref="P17:Q17"/>
    <mergeCell ref="J13:K13"/>
    <mergeCell ref="L13:M13"/>
    <mergeCell ref="N13:O13"/>
    <mergeCell ref="P13:Q13"/>
    <mergeCell ref="J14:K14"/>
    <mergeCell ref="L14:M14"/>
    <mergeCell ref="N14:O14"/>
    <mergeCell ref="P14:Q14"/>
    <mergeCell ref="A7:A15"/>
    <mergeCell ref="J7:K7"/>
    <mergeCell ref="L7:M7"/>
    <mergeCell ref="N7:O7"/>
    <mergeCell ref="P7:Q7"/>
    <mergeCell ref="U7:W15"/>
    <mergeCell ref="J8:K8"/>
    <mergeCell ref="L8:M8"/>
    <mergeCell ref="N8:O8"/>
    <mergeCell ref="P8:Q8"/>
    <mergeCell ref="J11:K11"/>
    <mergeCell ref="L11:M11"/>
    <mergeCell ref="N11:O11"/>
    <mergeCell ref="P11:Q11"/>
    <mergeCell ref="J12:K12"/>
    <mergeCell ref="L12:M12"/>
    <mergeCell ref="N12:O12"/>
    <mergeCell ref="P12:Q12"/>
    <mergeCell ref="J9:K9"/>
    <mergeCell ref="L9:M9"/>
    <mergeCell ref="N9:O9"/>
    <mergeCell ref="P9:Q9"/>
    <mergeCell ref="J10:K10"/>
    <mergeCell ref="L10:M10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51"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W73"/>
  <sheetViews>
    <sheetView zoomScale="85" zoomScaleNormal="85" workbookViewId="0">
      <selection activeCell="D44" sqref="D44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4.33203125" bestFit="1" customWidth="1"/>
    <col min="6" max="6" width="5.6640625" customWidth="1"/>
    <col min="7" max="8" width="6.6640625" customWidth="1"/>
    <col min="9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80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45939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230925</v>
      </c>
      <c r="E7" s="12" t="s">
        <v>410</v>
      </c>
      <c r="F7" s="17">
        <v>360</v>
      </c>
      <c r="G7" s="17">
        <v>430</v>
      </c>
      <c r="H7" s="18">
        <v>0.8</v>
      </c>
      <c r="I7" s="17">
        <v>30000</v>
      </c>
      <c r="J7" s="165"/>
      <c r="K7" s="166"/>
      <c r="L7" s="165"/>
      <c r="M7" s="166"/>
      <c r="N7" s="165">
        <v>840</v>
      </c>
      <c r="O7" s="166"/>
      <c r="P7" s="165"/>
      <c r="Q7" s="166"/>
      <c r="R7" s="75">
        <v>45</v>
      </c>
      <c r="S7" s="14" t="s">
        <v>20</v>
      </c>
      <c r="T7" s="42" t="s">
        <v>112</v>
      </c>
      <c r="U7" s="202" t="s">
        <v>428</v>
      </c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402</v>
      </c>
      <c r="F8" s="17">
        <v>295</v>
      </c>
      <c r="G8" s="17">
        <v>430</v>
      </c>
      <c r="H8" s="18">
        <v>0.8</v>
      </c>
      <c r="I8" s="17">
        <v>30000</v>
      </c>
      <c r="J8" s="165"/>
      <c r="K8" s="166"/>
      <c r="L8" s="165"/>
      <c r="M8" s="166"/>
      <c r="N8" s="165">
        <v>280</v>
      </c>
      <c r="O8" s="166"/>
      <c r="P8" s="165"/>
      <c r="Q8" s="166"/>
      <c r="R8" s="75">
        <v>10</v>
      </c>
      <c r="S8" s="14" t="s">
        <v>20</v>
      </c>
      <c r="T8" s="42" t="s">
        <v>111</v>
      </c>
      <c r="U8" s="205"/>
      <c r="V8" s="206"/>
      <c r="W8" s="207"/>
    </row>
    <row r="9" spans="1:23" x14ac:dyDescent="0.3">
      <c r="A9" s="181"/>
      <c r="B9" s="5"/>
      <c r="C9" s="5"/>
      <c r="D9" s="4"/>
      <c r="E9" s="12" t="s">
        <v>419</v>
      </c>
      <c r="F9" s="17">
        <v>185</v>
      </c>
      <c r="G9" s="17">
        <v>304</v>
      </c>
      <c r="H9" s="18">
        <v>0.8</v>
      </c>
      <c r="I9" s="17">
        <v>24000</v>
      </c>
      <c r="J9" s="165"/>
      <c r="K9" s="166"/>
      <c r="L9" s="165"/>
      <c r="M9" s="166"/>
      <c r="N9" s="165">
        <v>1575</v>
      </c>
      <c r="O9" s="166"/>
      <c r="P9" s="165"/>
      <c r="Q9" s="166"/>
      <c r="R9" s="75">
        <v>45</v>
      </c>
      <c r="S9" s="14" t="s">
        <v>20</v>
      </c>
      <c r="T9" s="42" t="s">
        <v>112</v>
      </c>
      <c r="U9" s="205"/>
      <c r="V9" s="206"/>
      <c r="W9" s="207"/>
    </row>
    <row r="10" spans="1:23" x14ac:dyDescent="0.3">
      <c r="A10" s="181"/>
      <c r="B10" s="5"/>
      <c r="C10" s="5"/>
      <c r="D10" s="4"/>
      <c r="E10" s="12" t="s">
        <v>420</v>
      </c>
      <c r="F10" s="17">
        <v>290</v>
      </c>
      <c r="G10" s="17">
        <v>304</v>
      </c>
      <c r="H10" s="18">
        <v>0.6</v>
      </c>
      <c r="I10" s="17">
        <v>30000</v>
      </c>
      <c r="J10" s="165">
        <v>540</v>
      </c>
      <c r="K10" s="166"/>
      <c r="L10" s="165"/>
      <c r="M10" s="166"/>
      <c r="N10" s="165"/>
      <c r="O10" s="166"/>
      <c r="P10" s="165"/>
      <c r="Q10" s="166"/>
      <c r="R10" s="75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421</v>
      </c>
      <c r="F11" s="17">
        <v>220</v>
      </c>
      <c r="G11" s="17">
        <v>304</v>
      </c>
      <c r="H11" s="18">
        <v>0.6</v>
      </c>
      <c r="I11" s="17">
        <v>30000</v>
      </c>
      <c r="J11" s="165">
        <v>108</v>
      </c>
      <c r="K11" s="166"/>
      <c r="L11" s="165"/>
      <c r="M11" s="166"/>
      <c r="N11" s="165"/>
      <c r="O11" s="166"/>
      <c r="P11" s="165"/>
      <c r="Q11" s="166"/>
      <c r="R11" s="75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/>
      <c r="E12" s="12" t="s">
        <v>425</v>
      </c>
      <c r="F12" s="17">
        <v>255</v>
      </c>
      <c r="G12" s="17">
        <v>304</v>
      </c>
      <c r="H12" s="18">
        <v>0.6</v>
      </c>
      <c r="I12" s="17">
        <v>30000</v>
      </c>
      <c r="J12" s="165">
        <v>324</v>
      </c>
      <c r="K12" s="166"/>
      <c r="L12" s="165"/>
      <c r="M12" s="166"/>
      <c r="N12" s="165"/>
      <c r="O12" s="166"/>
      <c r="P12" s="165"/>
      <c r="Q12" s="166"/>
      <c r="R12" s="75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423</v>
      </c>
      <c r="E13" s="12" t="s">
        <v>424</v>
      </c>
      <c r="F13" s="17">
        <v>147</v>
      </c>
      <c r="G13" s="17">
        <v>304</v>
      </c>
      <c r="H13" s="18">
        <v>0.6</v>
      </c>
      <c r="I13" s="17">
        <v>30000</v>
      </c>
      <c r="J13" s="165">
        <v>54</v>
      </c>
      <c r="K13" s="166"/>
      <c r="L13" s="165"/>
      <c r="M13" s="166"/>
      <c r="N13" s="165"/>
      <c r="O13" s="166"/>
      <c r="P13" s="165"/>
      <c r="Q13" s="166"/>
      <c r="R13" s="75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/>
      <c r="E14" s="12" t="s">
        <v>422</v>
      </c>
      <c r="F14" s="17">
        <v>263</v>
      </c>
      <c r="G14" s="17">
        <v>304</v>
      </c>
      <c r="H14" s="18">
        <v>0.6</v>
      </c>
      <c r="I14" s="17">
        <v>30000</v>
      </c>
      <c r="J14" s="165">
        <v>792</v>
      </c>
      <c r="K14" s="166"/>
      <c r="L14" s="165"/>
      <c r="M14" s="166"/>
      <c r="N14" s="165"/>
      <c r="O14" s="166"/>
      <c r="P14" s="165"/>
      <c r="Q14" s="166"/>
      <c r="R14" s="75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/>
      <c r="E15" s="12" t="s">
        <v>314</v>
      </c>
      <c r="F15" s="17">
        <v>245</v>
      </c>
      <c r="G15" s="17">
        <v>304</v>
      </c>
      <c r="H15" s="18">
        <v>0.6</v>
      </c>
      <c r="I15" s="17">
        <v>30000</v>
      </c>
      <c r="J15" s="165">
        <v>798</v>
      </c>
      <c r="K15" s="166"/>
      <c r="L15" s="165"/>
      <c r="M15" s="166"/>
      <c r="N15" s="165"/>
      <c r="O15" s="166"/>
      <c r="P15" s="165"/>
      <c r="Q15" s="166"/>
      <c r="R15" s="75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 t="s">
        <v>102</v>
      </c>
      <c r="E16" s="12" t="s">
        <v>426</v>
      </c>
      <c r="F16" s="17">
        <v>180</v>
      </c>
      <c r="G16" s="17">
        <v>304</v>
      </c>
      <c r="H16" s="18">
        <v>0.6</v>
      </c>
      <c r="I16" s="17">
        <v>30000</v>
      </c>
      <c r="J16" s="165">
        <v>133</v>
      </c>
      <c r="K16" s="166"/>
      <c r="L16" s="165"/>
      <c r="M16" s="166"/>
      <c r="N16" s="165"/>
      <c r="O16" s="166"/>
      <c r="P16" s="165"/>
      <c r="Q16" s="166"/>
      <c r="R16" s="75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/>
      <c r="E17" s="12" t="s">
        <v>359</v>
      </c>
      <c r="F17" s="17">
        <v>213</v>
      </c>
      <c r="G17" s="17">
        <v>304</v>
      </c>
      <c r="H17" s="18">
        <v>0.6</v>
      </c>
      <c r="I17" s="17">
        <v>30000</v>
      </c>
      <c r="J17" s="165">
        <v>560</v>
      </c>
      <c r="K17" s="166"/>
      <c r="L17" s="165"/>
      <c r="M17" s="166"/>
      <c r="N17" s="165"/>
      <c r="O17" s="166"/>
      <c r="P17" s="165"/>
      <c r="Q17" s="166"/>
      <c r="R17" s="75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 t="s">
        <v>102</v>
      </c>
      <c r="E18" s="12" t="s">
        <v>427</v>
      </c>
      <c r="F18" s="17">
        <v>147</v>
      </c>
      <c r="G18" s="17">
        <v>304</v>
      </c>
      <c r="H18" s="18">
        <v>0.6</v>
      </c>
      <c r="I18" s="17">
        <v>30000</v>
      </c>
      <c r="J18" s="165">
        <v>80</v>
      </c>
      <c r="K18" s="166"/>
      <c r="L18" s="165"/>
      <c r="M18" s="166"/>
      <c r="N18" s="165"/>
      <c r="O18" s="166"/>
      <c r="P18" s="165"/>
      <c r="Q18" s="166"/>
      <c r="R18" s="75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>
        <v>0.70833333333333337</v>
      </c>
      <c r="D19" s="4" t="s">
        <v>102</v>
      </c>
      <c r="E19" s="78" t="s">
        <v>132</v>
      </c>
      <c r="F19" s="17">
        <v>277</v>
      </c>
      <c r="G19" s="17">
        <v>304</v>
      </c>
      <c r="H19" s="18">
        <v>0.6</v>
      </c>
      <c r="I19" s="17">
        <v>30000</v>
      </c>
      <c r="J19" s="165">
        <v>504</v>
      </c>
      <c r="K19" s="166"/>
      <c r="L19" s="165"/>
      <c r="M19" s="166"/>
      <c r="N19" s="165"/>
      <c r="O19" s="166"/>
      <c r="P19" s="165"/>
      <c r="Q19" s="166"/>
      <c r="R19" s="75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75"/>
      <c r="S20" s="14" t="s">
        <v>20</v>
      </c>
      <c r="T20" s="42"/>
      <c r="U20" s="205"/>
      <c r="V20" s="206"/>
      <c r="W20" s="207"/>
    </row>
    <row r="21" spans="1:23" x14ac:dyDescent="0.3">
      <c r="A21" s="181"/>
      <c r="B21" s="5"/>
      <c r="C21" s="5"/>
      <c r="D21" s="4"/>
      <c r="E21" s="12"/>
      <c r="F21" s="17"/>
      <c r="G21" s="17"/>
      <c r="H21" s="18"/>
      <c r="I21" s="17"/>
      <c r="J21" s="165"/>
      <c r="K21" s="166"/>
      <c r="L21" s="165"/>
      <c r="M21" s="166"/>
      <c r="N21" s="165"/>
      <c r="O21" s="166"/>
      <c r="P21" s="165"/>
      <c r="Q21" s="166"/>
      <c r="R21" s="75"/>
      <c r="S21" s="14" t="s">
        <v>20</v>
      </c>
      <c r="T21" s="42"/>
      <c r="U21" s="205"/>
      <c r="V21" s="206"/>
      <c r="W21" s="207"/>
    </row>
    <row r="22" spans="1:23" x14ac:dyDescent="0.3">
      <c r="A22" s="182"/>
      <c r="B22" s="170" t="s">
        <v>0</v>
      </c>
      <c r="C22" s="171"/>
      <c r="D22" s="171"/>
      <c r="E22" s="171"/>
      <c r="F22" s="171"/>
      <c r="G22" s="171"/>
      <c r="H22" s="171"/>
      <c r="I22" s="172"/>
      <c r="J22" s="21">
        <f>SUM(J7:K21)</f>
        <v>3893</v>
      </c>
      <c r="K22" s="22" t="s">
        <v>17</v>
      </c>
      <c r="L22" s="21">
        <f>SUM(L7:M21)</f>
        <v>0</v>
      </c>
      <c r="M22" s="22" t="s">
        <v>17</v>
      </c>
      <c r="N22" s="21">
        <f>SUM(N7:O21)</f>
        <v>2695</v>
      </c>
      <c r="O22" s="22" t="s">
        <v>17</v>
      </c>
      <c r="P22" s="21">
        <f>SUM(P7:Q21)</f>
        <v>0</v>
      </c>
      <c r="Q22" s="22" t="s">
        <v>17</v>
      </c>
      <c r="R22" s="23">
        <f>SUM(R7:R21)</f>
        <v>100</v>
      </c>
      <c r="S22" s="24" t="s">
        <v>20</v>
      </c>
      <c r="T22" s="19"/>
      <c r="U22" s="208"/>
      <c r="V22" s="209"/>
      <c r="W22" s="210"/>
    </row>
    <row r="23" spans="1:23" ht="14.55" customHeight="1" x14ac:dyDescent="0.3">
      <c r="A23" s="27"/>
      <c r="B23" s="27"/>
      <c r="C23" s="27"/>
      <c r="D23" s="27"/>
      <c r="E23" s="27"/>
      <c r="F23" s="27"/>
      <c r="G23" s="27"/>
      <c r="H23" s="27"/>
      <c r="I23" s="11"/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 spans="1:23" ht="14.55" customHeight="1" x14ac:dyDescent="0.3">
      <c r="A24" s="27"/>
      <c r="B24" s="27"/>
      <c r="C24" s="27"/>
      <c r="D24" s="27"/>
      <c r="E24" s="170" t="s">
        <v>27</v>
      </c>
      <c r="F24" s="171"/>
      <c r="G24" s="171"/>
      <c r="H24" s="171"/>
      <c r="I24" s="172"/>
      <c r="J24" s="175" t="s">
        <v>7</v>
      </c>
      <c r="K24" s="176"/>
      <c r="L24" s="175" t="s">
        <v>8</v>
      </c>
      <c r="M24" s="176"/>
      <c r="N24" s="175" t="s">
        <v>9</v>
      </c>
      <c r="O24" s="176"/>
      <c r="P24" s="175" t="s">
        <v>117</v>
      </c>
      <c r="Q24" s="176"/>
      <c r="R24" s="27"/>
      <c r="S24" s="27"/>
    </row>
    <row r="25" spans="1:23" ht="14.55" customHeight="1" x14ac:dyDescent="0.3">
      <c r="A25" s="27"/>
      <c r="B25" s="27"/>
      <c r="C25" s="27"/>
      <c r="D25" s="27"/>
      <c r="E25" s="15"/>
      <c r="F25" s="15"/>
      <c r="G25" s="15"/>
      <c r="H25" s="15"/>
      <c r="I25" s="15"/>
      <c r="J25" s="30">
        <f>J22</f>
        <v>3893</v>
      </c>
      <c r="K25" s="31" t="s">
        <v>17</v>
      </c>
      <c r="L25" s="32">
        <f>L22</f>
        <v>0</v>
      </c>
      <c r="M25" s="31" t="s">
        <v>17</v>
      </c>
      <c r="N25" s="32">
        <f>N22</f>
        <v>2695</v>
      </c>
      <c r="O25" s="31" t="s">
        <v>17</v>
      </c>
      <c r="P25" s="33">
        <f>P22</f>
        <v>0</v>
      </c>
      <c r="Q25" s="34" t="s">
        <v>17</v>
      </c>
      <c r="R25" s="27"/>
      <c r="S25" s="27"/>
    </row>
    <row r="26" spans="1:23" ht="30" customHeight="1" x14ac:dyDescent="0.3">
      <c r="A26" s="27"/>
      <c r="B26" s="27"/>
      <c r="C26" s="27"/>
      <c r="D26" s="27"/>
      <c r="E26" s="28"/>
      <c r="F26" s="28"/>
      <c r="G26" s="28"/>
      <c r="H26" s="28"/>
      <c r="I26" s="29"/>
      <c r="J26" s="167">
        <f>J25+L25+N25+P25</f>
        <v>6588</v>
      </c>
      <c r="K26" s="168"/>
      <c r="L26" s="168"/>
      <c r="M26" s="168"/>
      <c r="N26" s="168"/>
      <c r="O26" s="168"/>
      <c r="P26" s="168"/>
      <c r="Q26" s="169"/>
      <c r="R26" s="27"/>
      <c r="S26" s="27"/>
    </row>
    <row r="27" spans="1:23" ht="30" customHeight="1" x14ac:dyDescent="0.3">
      <c r="A27" s="27"/>
      <c r="B27" s="27"/>
      <c r="C27" s="27"/>
      <c r="D27" s="27"/>
      <c r="E27" s="27"/>
      <c r="F27" s="27"/>
      <c r="G27" s="27"/>
      <c r="H27" s="27"/>
      <c r="I27" s="11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spans="1:23" s="37" customFormat="1" ht="19.95" customHeight="1" x14ac:dyDescent="0.4">
      <c r="A28" s="35"/>
      <c r="B28" s="35"/>
      <c r="C28" s="35"/>
      <c r="D28" s="35"/>
      <c r="E28" s="35"/>
      <c r="F28" s="35"/>
      <c r="G28" s="35"/>
      <c r="H28" s="35"/>
      <c r="I28" s="80"/>
      <c r="J28" s="35"/>
      <c r="K28" s="35"/>
      <c r="L28" s="35"/>
      <c r="M28" s="35"/>
      <c r="N28" s="35"/>
      <c r="O28" s="35"/>
      <c r="P28" s="36"/>
      <c r="Q28" s="183" t="s">
        <v>14</v>
      </c>
      <c r="R28" s="183"/>
      <c r="S28" s="183"/>
      <c r="T28" s="184">
        <f>T3</f>
        <v>45939</v>
      </c>
      <c r="U28" s="185"/>
      <c r="V28" s="185"/>
      <c r="W28" s="186"/>
    </row>
    <row r="29" spans="1:23" s="16" customFormat="1" ht="30" customHeight="1" x14ac:dyDescent="0.3">
      <c r="A29" s="187" t="s">
        <v>29</v>
      </c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9"/>
      <c r="Q29" s="189"/>
      <c r="R29" s="189"/>
      <c r="S29" s="189"/>
      <c r="T29" s="188"/>
      <c r="U29" s="188"/>
      <c r="V29" s="188"/>
      <c r="W29" s="190"/>
    </row>
    <row r="30" spans="1:23" s="26" customFormat="1" ht="13.8" x14ac:dyDescent="0.3">
      <c r="A30" s="191" t="s">
        <v>1</v>
      </c>
      <c r="B30" s="192" t="s">
        <v>2</v>
      </c>
      <c r="C30" s="192" t="s">
        <v>3</v>
      </c>
      <c r="D30" s="192" t="s">
        <v>4</v>
      </c>
      <c r="E30" s="193" t="s">
        <v>5</v>
      </c>
      <c r="F30" s="195" t="s">
        <v>21</v>
      </c>
      <c r="G30" s="195" t="s">
        <v>22</v>
      </c>
      <c r="H30" s="195" t="s">
        <v>33</v>
      </c>
      <c r="I30" s="195" t="s">
        <v>30</v>
      </c>
      <c r="J30" s="193" t="s">
        <v>6</v>
      </c>
      <c r="K30" s="197"/>
      <c r="L30" s="197"/>
      <c r="M30" s="197"/>
      <c r="N30" s="197"/>
      <c r="O30" s="197"/>
      <c r="P30" s="197"/>
      <c r="Q30" s="198"/>
      <c r="R30" s="193" t="s">
        <v>10</v>
      </c>
      <c r="S30" s="198"/>
      <c r="T30" s="191" t="s">
        <v>11</v>
      </c>
      <c r="U30" s="191" t="s">
        <v>12</v>
      </c>
      <c r="V30" s="191"/>
      <c r="W30" s="191"/>
    </row>
    <row r="31" spans="1:23" s="26" customFormat="1" ht="13.8" x14ac:dyDescent="0.3">
      <c r="A31" s="191"/>
      <c r="B31" s="192"/>
      <c r="C31" s="192"/>
      <c r="D31" s="192"/>
      <c r="E31" s="194"/>
      <c r="F31" s="196"/>
      <c r="G31" s="196"/>
      <c r="H31" s="196"/>
      <c r="I31" s="196"/>
      <c r="J31" s="200" t="s">
        <v>7</v>
      </c>
      <c r="K31" s="201"/>
      <c r="L31" s="200" t="s">
        <v>8</v>
      </c>
      <c r="M31" s="201"/>
      <c r="N31" s="200" t="s">
        <v>9</v>
      </c>
      <c r="O31" s="201"/>
      <c r="P31" s="200" t="s">
        <v>117</v>
      </c>
      <c r="Q31" s="201"/>
      <c r="R31" s="194"/>
      <c r="S31" s="199"/>
      <c r="T31" s="191"/>
      <c r="U31" s="191"/>
      <c r="V31" s="191"/>
      <c r="W31" s="191"/>
    </row>
    <row r="32" spans="1:23" ht="14.55" customHeight="1" x14ac:dyDescent="0.3">
      <c r="A32" s="180" t="s">
        <v>32</v>
      </c>
      <c r="B32" s="5">
        <v>0.33333333333333331</v>
      </c>
      <c r="C32" s="5"/>
      <c r="D32" s="4">
        <v>160925</v>
      </c>
      <c r="E32" s="12" t="s">
        <v>429</v>
      </c>
      <c r="F32" s="40">
        <v>304</v>
      </c>
      <c r="G32" s="41">
        <v>0.7</v>
      </c>
      <c r="H32" s="40">
        <v>362</v>
      </c>
      <c r="I32" s="4">
        <v>5</v>
      </c>
      <c r="J32" s="165">
        <v>655</v>
      </c>
      <c r="K32" s="166"/>
      <c r="L32" s="165"/>
      <c r="M32" s="166"/>
      <c r="N32" s="165"/>
      <c r="O32" s="166"/>
      <c r="P32" s="165"/>
      <c r="Q32" s="166"/>
      <c r="R32" s="75">
        <v>45</v>
      </c>
      <c r="S32" s="14" t="s">
        <v>20</v>
      </c>
      <c r="T32" s="42" t="s">
        <v>433</v>
      </c>
      <c r="U32" s="247" t="s">
        <v>434</v>
      </c>
      <c r="V32" s="248"/>
      <c r="W32" s="249"/>
    </row>
    <row r="33" spans="1:23" ht="14.55" customHeight="1" x14ac:dyDescent="0.3">
      <c r="A33" s="181"/>
      <c r="B33" s="5"/>
      <c r="C33" s="5"/>
      <c r="D33" s="4">
        <v>250057</v>
      </c>
      <c r="E33" s="12" t="s">
        <v>432</v>
      </c>
      <c r="F33" s="40">
        <v>304</v>
      </c>
      <c r="G33" s="41">
        <v>0.7</v>
      </c>
      <c r="H33" s="40">
        <v>388</v>
      </c>
      <c r="I33" s="4">
        <v>5</v>
      </c>
      <c r="J33" s="165">
        <v>400</v>
      </c>
      <c r="K33" s="166"/>
      <c r="L33" s="165"/>
      <c r="M33" s="166"/>
      <c r="N33" s="165"/>
      <c r="O33" s="166"/>
      <c r="P33" s="165"/>
      <c r="Q33" s="166"/>
      <c r="R33" s="75"/>
      <c r="S33" s="14" t="s">
        <v>20</v>
      </c>
      <c r="T33" s="42"/>
      <c r="U33" s="247"/>
      <c r="V33" s="248"/>
      <c r="W33" s="249"/>
    </row>
    <row r="34" spans="1:23" ht="14.55" customHeight="1" x14ac:dyDescent="0.3">
      <c r="A34" s="181"/>
      <c r="B34" s="5"/>
      <c r="C34" s="5"/>
      <c r="D34" s="4">
        <v>250061</v>
      </c>
      <c r="E34" s="12" t="s">
        <v>432</v>
      </c>
      <c r="F34" s="40">
        <v>304</v>
      </c>
      <c r="G34" s="41">
        <v>0.7</v>
      </c>
      <c r="H34" s="40">
        <v>388</v>
      </c>
      <c r="I34" s="4">
        <v>5</v>
      </c>
      <c r="J34" s="165">
        <v>495</v>
      </c>
      <c r="K34" s="166"/>
      <c r="L34" s="165"/>
      <c r="M34" s="166"/>
      <c r="N34" s="165"/>
      <c r="O34" s="166"/>
      <c r="P34" s="165"/>
      <c r="Q34" s="166"/>
      <c r="R34" s="75"/>
      <c r="S34" s="14" t="s">
        <v>20</v>
      </c>
      <c r="T34" s="42"/>
      <c r="U34" s="247"/>
      <c r="V34" s="248"/>
      <c r="W34" s="249"/>
    </row>
    <row r="35" spans="1:23" ht="14.55" customHeight="1" x14ac:dyDescent="0.3">
      <c r="A35" s="181"/>
      <c r="B35" s="5"/>
      <c r="C35" s="5"/>
      <c r="D35" s="4"/>
      <c r="E35" s="12"/>
      <c r="F35" s="40"/>
      <c r="G35" s="41"/>
      <c r="H35" s="40"/>
      <c r="I35" s="4"/>
      <c r="J35" s="165"/>
      <c r="K35" s="166"/>
      <c r="L35" s="165"/>
      <c r="M35" s="166"/>
      <c r="N35" s="165"/>
      <c r="O35" s="166"/>
      <c r="P35" s="165"/>
      <c r="Q35" s="166"/>
      <c r="R35" s="75"/>
      <c r="S35" s="14" t="s">
        <v>20</v>
      </c>
      <c r="T35" s="42"/>
      <c r="U35" s="247"/>
      <c r="V35" s="248"/>
      <c r="W35" s="249"/>
    </row>
    <row r="36" spans="1:23" ht="14.55" customHeight="1" x14ac:dyDescent="0.3">
      <c r="A36" s="182"/>
      <c r="B36" s="19"/>
      <c r="C36" s="19"/>
      <c r="D36" s="20"/>
      <c r="E36" s="170" t="s">
        <v>0</v>
      </c>
      <c r="F36" s="171"/>
      <c r="G36" s="171"/>
      <c r="H36" s="171"/>
      <c r="I36" s="172"/>
      <c r="J36" s="173">
        <f>SUM(J32:K35)</f>
        <v>1550</v>
      </c>
      <c r="K36" s="174"/>
      <c r="L36" s="173">
        <f>SUM(L32:M35)</f>
        <v>0</v>
      </c>
      <c r="M36" s="174"/>
      <c r="N36" s="173">
        <f>SUM(N32:O35)</f>
        <v>0</v>
      </c>
      <c r="O36" s="174"/>
      <c r="P36" s="173">
        <f>SUM(P32:Q35)</f>
        <v>0</v>
      </c>
      <c r="Q36" s="174"/>
      <c r="R36" s="23">
        <f>SUM(R32:R35)</f>
        <v>45</v>
      </c>
      <c r="S36" s="24" t="s">
        <v>20</v>
      </c>
      <c r="T36" s="19"/>
      <c r="U36" s="247"/>
      <c r="V36" s="248"/>
      <c r="W36" s="249"/>
    </row>
    <row r="37" spans="1:23" ht="14.55" customHeight="1" x14ac:dyDescent="0.3">
      <c r="A37" s="163" t="s">
        <v>34</v>
      </c>
      <c r="B37" s="5">
        <v>0.33333333333333331</v>
      </c>
      <c r="C37" s="5"/>
      <c r="D37" s="4">
        <v>180925</v>
      </c>
      <c r="E37" s="12" t="s">
        <v>430</v>
      </c>
      <c r="F37" s="40">
        <v>304</v>
      </c>
      <c r="G37" s="41">
        <v>0.7</v>
      </c>
      <c r="H37" s="40">
        <v>467</v>
      </c>
      <c r="I37" s="4">
        <v>7</v>
      </c>
      <c r="J37" s="165">
        <v>460</v>
      </c>
      <c r="K37" s="166"/>
      <c r="L37" s="165"/>
      <c r="M37" s="166"/>
      <c r="N37" s="165"/>
      <c r="O37" s="166"/>
      <c r="P37" s="165"/>
      <c r="Q37" s="166"/>
      <c r="R37" s="75">
        <v>45</v>
      </c>
      <c r="S37" s="14" t="s">
        <v>20</v>
      </c>
      <c r="T37" s="42" t="s">
        <v>433</v>
      </c>
      <c r="U37" s="247" t="s">
        <v>434</v>
      </c>
      <c r="V37" s="248"/>
      <c r="W37" s="249"/>
    </row>
    <row r="38" spans="1:23" ht="14.55" customHeight="1" x14ac:dyDescent="0.3">
      <c r="A38" s="163"/>
      <c r="B38" s="5"/>
      <c r="C38" s="5"/>
      <c r="D38" s="4">
        <v>180925</v>
      </c>
      <c r="E38" s="12" t="s">
        <v>431</v>
      </c>
      <c r="F38" s="40">
        <v>304</v>
      </c>
      <c r="G38" s="41">
        <v>0.7</v>
      </c>
      <c r="H38" s="40">
        <v>388</v>
      </c>
      <c r="I38" s="4">
        <v>7</v>
      </c>
      <c r="J38" s="165">
        <v>825</v>
      </c>
      <c r="K38" s="166"/>
      <c r="L38" s="165"/>
      <c r="M38" s="166"/>
      <c r="N38" s="165"/>
      <c r="O38" s="166"/>
      <c r="P38" s="165"/>
      <c r="Q38" s="166"/>
      <c r="R38" s="75">
        <v>25</v>
      </c>
      <c r="S38" s="14" t="s">
        <v>20</v>
      </c>
      <c r="T38" s="42" t="s">
        <v>126</v>
      </c>
      <c r="U38" s="247"/>
      <c r="V38" s="248"/>
      <c r="W38" s="249"/>
    </row>
    <row r="39" spans="1:23" ht="14.55" customHeight="1" x14ac:dyDescent="0.3">
      <c r="A39" s="163"/>
      <c r="B39" s="5"/>
      <c r="C39" s="5"/>
      <c r="D39" s="4">
        <v>250052</v>
      </c>
      <c r="E39" s="12" t="s">
        <v>435</v>
      </c>
      <c r="F39" s="40">
        <v>304</v>
      </c>
      <c r="G39" s="41">
        <v>0.7</v>
      </c>
      <c r="H39" s="40">
        <v>355</v>
      </c>
      <c r="I39" s="4">
        <v>3</v>
      </c>
      <c r="J39" s="165">
        <v>790</v>
      </c>
      <c r="K39" s="166"/>
      <c r="L39" s="165"/>
      <c r="M39" s="166"/>
      <c r="N39" s="165"/>
      <c r="O39" s="166"/>
      <c r="P39" s="165"/>
      <c r="Q39" s="166"/>
      <c r="R39" s="75"/>
      <c r="S39" s="14" t="s">
        <v>20</v>
      </c>
      <c r="T39" s="42"/>
      <c r="U39" s="247"/>
      <c r="V39" s="248"/>
      <c r="W39" s="249"/>
    </row>
    <row r="40" spans="1:23" ht="14.55" customHeight="1" x14ac:dyDescent="0.3">
      <c r="A40" s="163"/>
      <c r="B40" s="5"/>
      <c r="C40" s="5"/>
      <c r="D40" s="4">
        <v>250055</v>
      </c>
      <c r="E40" s="12" t="s">
        <v>435</v>
      </c>
      <c r="F40" s="40">
        <v>304</v>
      </c>
      <c r="G40" s="41">
        <v>0.7</v>
      </c>
      <c r="H40" s="40">
        <v>355</v>
      </c>
      <c r="I40" s="4">
        <v>3</v>
      </c>
      <c r="J40" s="165">
        <v>820</v>
      </c>
      <c r="K40" s="166"/>
      <c r="L40" s="165"/>
      <c r="M40" s="166"/>
      <c r="N40" s="165"/>
      <c r="O40" s="166"/>
      <c r="P40" s="165"/>
      <c r="Q40" s="166"/>
      <c r="R40" s="75"/>
      <c r="S40" s="14" t="s">
        <v>20</v>
      </c>
      <c r="T40" s="42"/>
      <c r="U40" s="247"/>
      <c r="V40" s="248"/>
      <c r="W40" s="249"/>
    </row>
    <row r="41" spans="1:23" ht="14.55" customHeight="1" x14ac:dyDescent="0.3">
      <c r="A41" s="163"/>
      <c r="B41" s="5"/>
      <c r="C41" s="5">
        <v>0.70833333333333337</v>
      </c>
      <c r="D41" s="4">
        <v>250057</v>
      </c>
      <c r="E41" s="12" t="s">
        <v>435</v>
      </c>
      <c r="F41" s="40">
        <v>304</v>
      </c>
      <c r="G41" s="41">
        <v>0.7</v>
      </c>
      <c r="H41" s="40">
        <v>355</v>
      </c>
      <c r="I41" s="4">
        <v>3</v>
      </c>
      <c r="J41" s="165">
        <v>40</v>
      </c>
      <c r="K41" s="166"/>
      <c r="L41" s="165"/>
      <c r="M41" s="166"/>
      <c r="N41" s="165"/>
      <c r="O41" s="166"/>
      <c r="P41" s="165"/>
      <c r="Q41" s="166"/>
      <c r="R41" s="75"/>
      <c r="S41" s="14" t="s">
        <v>20</v>
      </c>
      <c r="T41" s="42"/>
      <c r="U41" s="247"/>
      <c r="V41" s="248"/>
      <c r="W41" s="249"/>
    </row>
    <row r="42" spans="1:23" ht="14.55" customHeight="1" x14ac:dyDescent="0.3">
      <c r="A42" s="163"/>
      <c r="B42" s="5"/>
      <c r="C42" s="5"/>
      <c r="D42" s="4"/>
      <c r="E42" s="12"/>
      <c r="F42" s="40"/>
      <c r="G42" s="41"/>
      <c r="H42" s="40"/>
      <c r="I42" s="4"/>
      <c r="J42" s="165"/>
      <c r="K42" s="166"/>
      <c r="L42" s="165"/>
      <c r="M42" s="166"/>
      <c r="N42" s="165"/>
      <c r="O42" s="166"/>
      <c r="P42" s="165"/>
      <c r="Q42" s="166"/>
      <c r="R42" s="75"/>
      <c r="S42" s="14" t="s">
        <v>20</v>
      </c>
      <c r="T42" s="42"/>
      <c r="U42" s="247"/>
      <c r="V42" s="248"/>
      <c r="W42" s="249"/>
    </row>
    <row r="43" spans="1:23" ht="14.55" customHeight="1" x14ac:dyDescent="0.3">
      <c r="A43" s="164"/>
      <c r="B43" s="19"/>
      <c r="C43" s="19"/>
      <c r="D43" s="20"/>
      <c r="E43" s="170" t="s">
        <v>0</v>
      </c>
      <c r="F43" s="171"/>
      <c r="G43" s="171"/>
      <c r="H43" s="171"/>
      <c r="I43" s="172"/>
      <c r="J43" s="173">
        <f>SUM(J37:K42)</f>
        <v>2935</v>
      </c>
      <c r="K43" s="174"/>
      <c r="L43" s="173">
        <f>SUM(L37:M42)</f>
        <v>0</v>
      </c>
      <c r="M43" s="174"/>
      <c r="N43" s="173">
        <f>SUM(N37:O42)</f>
        <v>0</v>
      </c>
      <c r="O43" s="174"/>
      <c r="P43" s="173">
        <f>SUM(P37:Q42)</f>
        <v>0</v>
      </c>
      <c r="Q43" s="174"/>
      <c r="R43" s="23">
        <f>SUM(R37:R42)</f>
        <v>70</v>
      </c>
      <c r="S43" s="24" t="s">
        <v>20</v>
      </c>
      <c r="T43" s="19"/>
      <c r="U43" s="247"/>
      <c r="V43" s="248"/>
      <c r="W43" s="249"/>
    </row>
    <row r="44" spans="1:23" ht="14.55" customHeight="1" x14ac:dyDescent="0.3">
      <c r="A44" s="163" t="s">
        <v>35</v>
      </c>
      <c r="B44" s="5">
        <v>0.33333333333333331</v>
      </c>
      <c r="C44" s="5">
        <v>0.70833333333333337</v>
      </c>
      <c r="D44" s="4">
        <v>290925</v>
      </c>
      <c r="E44" s="12" t="s">
        <v>416</v>
      </c>
      <c r="F44" s="40">
        <v>304</v>
      </c>
      <c r="G44" s="41">
        <v>0.8</v>
      </c>
      <c r="H44" s="40">
        <v>33</v>
      </c>
      <c r="I44" s="4"/>
      <c r="J44" s="165"/>
      <c r="K44" s="166"/>
      <c r="L44" s="165"/>
      <c r="M44" s="166"/>
      <c r="N44" s="165">
        <v>1760</v>
      </c>
      <c r="O44" s="166"/>
      <c r="P44" s="165"/>
      <c r="Q44" s="166"/>
      <c r="R44" s="75">
        <v>30</v>
      </c>
      <c r="S44" s="14" t="s">
        <v>20</v>
      </c>
      <c r="T44" s="42" t="s">
        <v>254</v>
      </c>
      <c r="U44" s="177"/>
      <c r="V44" s="178"/>
      <c r="W44" s="179"/>
    </row>
    <row r="45" spans="1:23" ht="14.55" customHeight="1" x14ac:dyDescent="0.3">
      <c r="A45" s="163"/>
      <c r="B45" s="5"/>
      <c r="C45" s="5"/>
      <c r="D45" s="4"/>
      <c r="E45" s="12"/>
      <c r="F45" s="40"/>
      <c r="G45" s="41"/>
      <c r="H45" s="40"/>
      <c r="I45" s="4"/>
      <c r="J45" s="165"/>
      <c r="K45" s="166"/>
      <c r="L45" s="165"/>
      <c r="M45" s="166"/>
      <c r="N45" s="165"/>
      <c r="O45" s="166"/>
      <c r="P45" s="165"/>
      <c r="Q45" s="166"/>
      <c r="R45" s="75">
        <v>25</v>
      </c>
      <c r="S45" s="14" t="s">
        <v>20</v>
      </c>
      <c r="T45" s="42" t="s">
        <v>126</v>
      </c>
      <c r="U45" s="177"/>
      <c r="V45" s="178"/>
      <c r="W45" s="179"/>
    </row>
    <row r="46" spans="1:23" ht="14.55" customHeight="1" x14ac:dyDescent="0.3">
      <c r="A46" s="163"/>
      <c r="B46" s="5"/>
      <c r="C46" s="5"/>
      <c r="D46" s="4"/>
      <c r="E46" s="12"/>
      <c r="F46" s="40"/>
      <c r="G46" s="41"/>
      <c r="H46" s="40"/>
      <c r="I46" s="4"/>
      <c r="J46" s="165"/>
      <c r="K46" s="166"/>
      <c r="L46" s="165"/>
      <c r="M46" s="166"/>
      <c r="N46" s="165"/>
      <c r="O46" s="166"/>
      <c r="P46" s="165"/>
      <c r="Q46" s="166"/>
      <c r="R46" s="75"/>
      <c r="S46" s="14" t="s">
        <v>20</v>
      </c>
      <c r="T46" s="42"/>
      <c r="U46" s="177"/>
      <c r="V46" s="178"/>
      <c r="W46" s="179"/>
    </row>
    <row r="47" spans="1:23" ht="14.55" customHeight="1" x14ac:dyDescent="0.3">
      <c r="A47" s="163"/>
      <c r="B47" s="5"/>
      <c r="C47" s="5"/>
      <c r="D47" s="4"/>
      <c r="E47" s="12"/>
      <c r="F47" s="40"/>
      <c r="G47" s="41"/>
      <c r="H47" s="40"/>
      <c r="I47" s="4"/>
      <c r="J47" s="165"/>
      <c r="K47" s="166"/>
      <c r="L47" s="165"/>
      <c r="M47" s="166"/>
      <c r="N47" s="165"/>
      <c r="O47" s="166"/>
      <c r="P47" s="165"/>
      <c r="Q47" s="166"/>
      <c r="R47" s="75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4"/>
      <c r="J48" s="165"/>
      <c r="K48" s="166"/>
      <c r="L48" s="165"/>
      <c r="M48" s="166"/>
      <c r="N48" s="165"/>
      <c r="O48" s="166"/>
      <c r="P48" s="165"/>
      <c r="Q48" s="166"/>
      <c r="R48" s="75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64"/>
      <c r="B49" s="19"/>
      <c r="C49" s="19"/>
      <c r="D49" s="20"/>
      <c r="E49" s="170" t="s">
        <v>0</v>
      </c>
      <c r="F49" s="171"/>
      <c r="G49" s="171"/>
      <c r="H49" s="171"/>
      <c r="I49" s="172"/>
      <c r="J49" s="173">
        <f>SUM(J44:K48)</f>
        <v>0</v>
      </c>
      <c r="K49" s="174"/>
      <c r="L49" s="173">
        <f>SUM(L44:M48)</f>
        <v>0</v>
      </c>
      <c r="M49" s="174"/>
      <c r="N49" s="173">
        <f>SUM(N44:O48)</f>
        <v>1760</v>
      </c>
      <c r="O49" s="174"/>
      <c r="P49" s="173">
        <f>SUM(P44:Q48)</f>
        <v>0</v>
      </c>
      <c r="Q49" s="174"/>
      <c r="R49" s="23">
        <f>SUM(R44:R48)</f>
        <v>55</v>
      </c>
      <c r="S49" s="24" t="s">
        <v>20</v>
      </c>
      <c r="T49" s="19"/>
      <c r="U49" s="177"/>
      <c r="V49" s="178"/>
      <c r="W49" s="179"/>
    </row>
    <row r="50" spans="1:23" ht="14.55" customHeight="1" x14ac:dyDescent="0.3">
      <c r="A50" s="27"/>
      <c r="B50" s="27"/>
      <c r="C50" s="27"/>
      <c r="D50" s="27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27"/>
      <c r="S50" s="27"/>
      <c r="T50" s="39"/>
      <c r="U50" s="39"/>
      <c r="V50" s="39"/>
      <c r="W50" s="39"/>
    </row>
    <row r="51" spans="1:23" x14ac:dyDescent="0.3">
      <c r="E51" s="170" t="s">
        <v>31</v>
      </c>
      <c r="F51" s="171"/>
      <c r="G51" s="171"/>
      <c r="H51" s="171"/>
      <c r="I51" s="172"/>
      <c r="J51" s="175" t="s">
        <v>7</v>
      </c>
      <c r="K51" s="176"/>
      <c r="L51" s="175" t="s">
        <v>8</v>
      </c>
      <c r="M51" s="176"/>
      <c r="N51" s="175" t="s">
        <v>9</v>
      </c>
      <c r="O51" s="176"/>
      <c r="P51" s="175" t="s">
        <v>117</v>
      </c>
      <c r="Q51" s="176"/>
    </row>
    <row r="52" spans="1:23" s="2" customFormat="1" x14ac:dyDescent="0.3">
      <c r="E52" s="15"/>
      <c r="F52" s="15"/>
      <c r="G52" s="15"/>
      <c r="H52" s="15"/>
      <c r="I52" s="15"/>
      <c r="J52" s="30">
        <f>J36+J43+J49</f>
        <v>4485</v>
      </c>
      <c r="K52" s="31" t="s">
        <v>17</v>
      </c>
      <c r="L52" s="30">
        <f>L36+L43+L49</f>
        <v>0</v>
      </c>
      <c r="M52" s="31" t="s">
        <v>17</v>
      </c>
      <c r="N52" s="30">
        <f>N36+N43+N49</f>
        <v>1760</v>
      </c>
      <c r="O52" s="31" t="s">
        <v>17</v>
      </c>
      <c r="P52" s="30">
        <f>P36+P43+P49</f>
        <v>0</v>
      </c>
      <c r="Q52" s="34" t="s">
        <v>17</v>
      </c>
    </row>
    <row r="53" spans="1:23" ht="24.45" customHeight="1" x14ac:dyDescent="0.3">
      <c r="E53" s="28"/>
      <c r="F53" s="28"/>
      <c r="G53" s="28"/>
      <c r="H53" s="28"/>
      <c r="I53" s="29"/>
      <c r="J53" s="167">
        <f>J52+L52+N52+P52</f>
        <v>6245</v>
      </c>
      <c r="K53" s="168"/>
      <c r="L53" s="168"/>
      <c r="M53" s="168"/>
      <c r="N53" s="168"/>
      <c r="O53" s="168"/>
      <c r="P53" s="168"/>
      <c r="Q53" s="169"/>
    </row>
    <row r="54" spans="1:23" ht="30" customHeight="1" x14ac:dyDescent="0.3">
      <c r="A54" s="27"/>
      <c r="B54" s="27"/>
      <c r="C54" s="27"/>
      <c r="D54" s="27"/>
      <c r="E54" s="27"/>
      <c r="F54" s="27"/>
      <c r="G54" s="27"/>
      <c r="H54" s="27"/>
      <c r="I54" s="11"/>
      <c r="J54" s="27"/>
      <c r="K54" s="27"/>
      <c r="L54" s="27"/>
      <c r="M54" s="27"/>
      <c r="N54" s="27"/>
      <c r="O54" s="27"/>
      <c r="P54" s="27"/>
      <c r="Q54" s="27"/>
      <c r="R54" s="27"/>
      <c r="S54" s="27"/>
    </row>
    <row r="55" spans="1:23" s="37" customFormat="1" ht="19.95" customHeight="1" x14ac:dyDescent="0.4">
      <c r="A55" s="35"/>
      <c r="B55" s="35"/>
      <c r="C55" s="35"/>
      <c r="D55" s="35"/>
      <c r="E55" s="35"/>
      <c r="F55" s="35"/>
      <c r="G55" s="35"/>
      <c r="H55" s="35"/>
      <c r="I55" s="80"/>
      <c r="J55" s="35"/>
      <c r="K55" s="35"/>
      <c r="L55" s="35"/>
      <c r="M55" s="35"/>
      <c r="N55" s="35"/>
      <c r="O55" s="35"/>
      <c r="P55" s="36"/>
      <c r="Q55" s="214" t="s">
        <v>14</v>
      </c>
      <c r="R55" s="215"/>
      <c r="S55" s="216"/>
      <c r="T55" s="184">
        <f>T3</f>
        <v>45939</v>
      </c>
      <c r="U55" s="185"/>
      <c r="V55" s="185"/>
      <c r="W55" s="186"/>
    </row>
    <row r="56" spans="1:23" s="16" customFormat="1" ht="30" customHeight="1" x14ac:dyDescent="0.3">
      <c r="A56" s="187" t="s">
        <v>26</v>
      </c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9"/>
      <c r="Q56" s="189"/>
      <c r="R56" s="189"/>
      <c r="S56" s="189"/>
      <c r="T56" s="188"/>
      <c r="U56" s="188"/>
      <c r="V56" s="188"/>
      <c r="W56" s="190"/>
    </row>
    <row r="57" spans="1:23" s="26" customFormat="1" ht="13.8" x14ac:dyDescent="0.3">
      <c r="A57" s="191" t="s">
        <v>1</v>
      </c>
      <c r="B57" s="192" t="s">
        <v>2</v>
      </c>
      <c r="C57" s="192" t="s">
        <v>3</v>
      </c>
      <c r="D57" s="192" t="s">
        <v>4</v>
      </c>
      <c r="E57" s="193" t="s">
        <v>5</v>
      </c>
      <c r="F57" s="197"/>
      <c r="G57" s="197"/>
      <c r="H57" s="197"/>
      <c r="I57" s="198"/>
      <c r="J57" s="193" t="s">
        <v>6</v>
      </c>
      <c r="K57" s="197"/>
      <c r="L57" s="197"/>
      <c r="M57" s="197"/>
      <c r="N57" s="197"/>
      <c r="O57" s="197"/>
      <c r="P57" s="197"/>
      <c r="Q57" s="198"/>
      <c r="R57" s="193" t="s">
        <v>10</v>
      </c>
      <c r="S57" s="198"/>
      <c r="T57" s="191" t="s">
        <v>11</v>
      </c>
      <c r="U57" s="191" t="s">
        <v>12</v>
      </c>
      <c r="V57" s="191"/>
      <c r="W57" s="191"/>
    </row>
    <row r="58" spans="1:23" s="26" customFormat="1" ht="13.8" x14ac:dyDescent="0.3">
      <c r="A58" s="191"/>
      <c r="B58" s="192"/>
      <c r="C58" s="192"/>
      <c r="D58" s="192"/>
      <c r="E58" s="194"/>
      <c r="F58" s="217"/>
      <c r="G58" s="217"/>
      <c r="H58" s="217"/>
      <c r="I58" s="199"/>
      <c r="J58" s="200" t="s">
        <v>7</v>
      </c>
      <c r="K58" s="201"/>
      <c r="L58" s="200" t="s">
        <v>8</v>
      </c>
      <c r="M58" s="201"/>
      <c r="N58" s="200" t="s">
        <v>9</v>
      </c>
      <c r="O58" s="201"/>
      <c r="P58" s="200" t="s">
        <v>117</v>
      </c>
      <c r="Q58" s="201"/>
      <c r="R58" s="194"/>
      <c r="S58" s="199"/>
      <c r="T58" s="191"/>
      <c r="U58" s="191"/>
      <c r="V58" s="191"/>
      <c r="W58" s="191"/>
    </row>
    <row r="59" spans="1:23" x14ac:dyDescent="0.3">
      <c r="A59" s="180" t="s">
        <v>13</v>
      </c>
      <c r="B59" s="5">
        <v>0.33333333333333331</v>
      </c>
      <c r="C59" s="5"/>
      <c r="D59" s="4">
        <v>250077</v>
      </c>
      <c r="E59" s="211" t="s">
        <v>436</v>
      </c>
      <c r="F59" s="212"/>
      <c r="G59" s="212"/>
      <c r="H59" s="212"/>
      <c r="I59" s="213"/>
      <c r="J59" s="165">
        <v>311</v>
      </c>
      <c r="K59" s="166"/>
      <c r="L59" s="165"/>
      <c r="M59" s="166"/>
      <c r="N59" s="165"/>
      <c r="O59" s="166"/>
      <c r="P59" s="165"/>
      <c r="Q59" s="166"/>
      <c r="R59" s="75">
        <v>45</v>
      </c>
      <c r="S59" s="6" t="s">
        <v>20</v>
      </c>
      <c r="T59" s="3"/>
      <c r="U59" s="202" t="s">
        <v>441</v>
      </c>
      <c r="V59" s="203"/>
      <c r="W59" s="204"/>
    </row>
    <row r="60" spans="1:23" x14ac:dyDescent="0.3">
      <c r="A60" s="163"/>
      <c r="B60" s="5"/>
      <c r="C60" s="5"/>
      <c r="D60" s="4">
        <v>250048</v>
      </c>
      <c r="E60" s="211" t="s">
        <v>437</v>
      </c>
      <c r="F60" s="212"/>
      <c r="G60" s="212"/>
      <c r="H60" s="212"/>
      <c r="I60" s="213"/>
      <c r="J60" s="165"/>
      <c r="K60" s="166"/>
      <c r="L60" s="165">
        <v>123</v>
      </c>
      <c r="M60" s="166"/>
      <c r="N60" s="165"/>
      <c r="O60" s="166"/>
      <c r="P60" s="165"/>
      <c r="Q60" s="166"/>
      <c r="R60" s="75">
        <v>45</v>
      </c>
      <c r="S60" s="6" t="s">
        <v>20</v>
      </c>
      <c r="T60" s="3"/>
      <c r="U60" s="205"/>
      <c r="V60" s="206"/>
      <c r="W60" s="207"/>
    </row>
    <row r="61" spans="1:23" x14ac:dyDescent="0.3">
      <c r="A61" s="163"/>
      <c r="B61" s="5"/>
      <c r="C61" s="5"/>
      <c r="D61" s="4">
        <v>160925</v>
      </c>
      <c r="E61" s="211" t="s">
        <v>439</v>
      </c>
      <c r="F61" s="212"/>
      <c r="G61" s="212"/>
      <c r="H61" s="212"/>
      <c r="I61" s="213"/>
      <c r="J61" s="165">
        <v>1107</v>
      </c>
      <c r="K61" s="166"/>
      <c r="L61" s="165"/>
      <c r="M61" s="166"/>
      <c r="N61" s="165"/>
      <c r="O61" s="166"/>
      <c r="P61" s="165"/>
      <c r="Q61" s="166"/>
      <c r="R61" s="75">
        <v>20</v>
      </c>
      <c r="S61" s="6" t="s">
        <v>20</v>
      </c>
      <c r="T61" s="3"/>
      <c r="U61" s="205"/>
      <c r="V61" s="206"/>
      <c r="W61" s="207"/>
    </row>
    <row r="62" spans="1:23" x14ac:dyDescent="0.3">
      <c r="A62" s="163"/>
      <c r="B62" s="5"/>
      <c r="C62" s="5"/>
      <c r="D62" s="4">
        <v>160925</v>
      </c>
      <c r="E62" s="211" t="s">
        <v>438</v>
      </c>
      <c r="F62" s="212"/>
      <c r="G62" s="212"/>
      <c r="H62" s="212"/>
      <c r="I62" s="213"/>
      <c r="J62" s="165">
        <v>1030</v>
      </c>
      <c r="K62" s="166"/>
      <c r="L62" s="165"/>
      <c r="M62" s="166"/>
      <c r="N62" s="165"/>
      <c r="O62" s="166"/>
      <c r="P62" s="165"/>
      <c r="Q62" s="166"/>
      <c r="R62" s="76"/>
      <c r="S62" s="6" t="s">
        <v>20</v>
      </c>
      <c r="T62" s="3"/>
      <c r="U62" s="205"/>
      <c r="V62" s="206"/>
      <c r="W62" s="207"/>
    </row>
    <row r="63" spans="1:23" x14ac:dyDescent="0.3">
      <c r="A63" s="163"/>
      <c r="B63" s="5"/>
      <c r="C63" s="5">
        <v>0.70833333333333337</v>
      </c>
      <c r="D63" s="4">
        <v>160925</v>
      </c>
      <c r="E63" s="211" t="s">
        <v>440</v>
      </c>
      <c r="F63" s="212"/>
      <c r="G63" s="212"/>
      <c r="H63" s="212"/>
      <c r="I63" s="213"/>
      <c r="J63" s="165">
        <v>1103</v>
      </c>
      <c r="K63" s="166"/>
      <c r="L63" s="165"/>
      <c r="M63" s="166"/>
      <c r="N63" s="165"/>
      <c r="O63" s="166"/>
      <c r="P63" s="165"/>
      <c r="Q63" s="166"/>
      <c r="R63" s="76"/>
      <c r="S63" s="6" t="s">
        <v>20</v>
      </c>
      <c r="T63" s="3"/>
      <c r="U63" s="205"/>
      <c r="V63" s="206"/>
      <c r="W63" s="207"/>
    </row>
    <row r="64" spans="1:23" x14ac:dyDescent="0.3">
      <c r="A64" s="163"/>
      <c r="B64" s="5"/>
      <c r="C64" s="5"/>
      <c r="D64" s="4"/>
      <c r="E64" s="211"/>
      <c r="F64" s="212"/>
      <c r="G64" s="212"/>
      <c r="H64" s="212"/>
      <c r="I64" s="213"/>
      <c r="J64" s="165"/>
      <c r="K64" s="166"/>
      <c r="L64" s="165"/>
      <c r="M64" s="166"/>
      <c r="N64" s="165"/>
      <c r="O64" s="166"/>
      <c r="P64" s="165"/>
      <c r="Q64" s="166"/>
      <c r="R64" s="75"/>
      <c r="S64" s="6" t="s">
        <v>20</v>
      </c>
      <c r="T64" s="3"/>
      <c r="U64" s="205"/>
      <c r="V64" s="206"/>
      <c r="W64" s="207"/>
    </row>
    <row r="65" spans="1:23" x14ac:dyDescent="0.3">
      <c r="A65" s="164"/>
      <c r="B65" s="19"/>
      <c r="C65" s="19"/>
      <c r="D65" s="20"/>
      <c r="E65" s="170" t="s">
        <v>0</v>
      </c>
      <c r="F65" s="171"/>
      <c r="G65" s="171"/>
      <c r="H65" s="171"/>
      <c r="I65" s="172"/>
      <c r="J65" s="173">
        <f>SUM(J59:J64)</f>
        <v>3551</v>
      </c>
      <c r="K65" s="174"/>
      <c r="L65" s="173">
        <f>SUM(L59:L64)</f>
        <v>123</v>
      </c>
      <c r="M65" s="174"/>
      <c r="N65" s="173">
        <f>SUM(N59:N64)</f>
        <v>0</v>
      </c>
      <c r="O65" s="174"/>
      <c r="P65" s="173">
        <f>SUM(P59:P64)</f>
        <v>0</v>
      </c>
      <c r="Q65" s="174"/>
      <c r="R65" s="23">
        <f>SUM(R59:R64)</f>
        <v>110</v>
      </c>
      <c r="S65" s="24" t="s">
        <v>20</v>
      </c>
      <c r="T65" s="19"/>
      <c r="U65" s="208"/>
      <c r="V65" s="209"/>
      <c r="W65" s="210"/>
    </row>
    <row r="66" spans="1:23" x14ac:dyDescent="0.3">
      <c r="A66" s="180" t="s">
        <v>15</v>
      </c>
      <c r="B66" s="5"/>
      <c r="C66" s="5"/>
      <c r="D66" s="4"/>
      <c r="E66" s="211"/>
      <c r="F66" s="212"/>
      <c r="G66" s="212"/>
      <c r="H66" s="212"/>
      <c r="I66" s="213"/>
      <c r="J66" s="165"/>
      <c r="K66" s="166"/>
      <c r="L66" s="165"/>
      <c r="M66" s="166"/>
      <c r="N66" s="165"/>
      <c r="O66" s="166"/>
      <c r="P66" s="165"/>
      <c r="Q66" s="166"/>
      <c r="R66" s="75"/>
      <c r="S66" s="6" t="s">
        <v>20</v>
      </c>
      <c r="T66" s="3"/>
      <c r="U66" s="202"/>
      <c r="V66" s="203"/>
      <c r="W66" s="204"/>
    </row>
    <row r="67" spans="1:23" x14ac:dyDescent="0.3">
      <c r="A67" s="163"/>
      <c r="B67" s="5"/>
      <c r="C67" s="5"/>
      <c r="D67" s="4"/>
      <c r="E67" s="211"/>
      <c r="F67" s="212"/>
      <c r="G67" s="212"/>
      <c r="H67" s="212"/>
      <c r="I67" s="213"/>
      <c r="J67" s="165"/>
      <c r="K67" s="166"/>
      <c r="L67" s="165"/>
      <c r="M67" s="166"/>
      <c r="N67" s="165"/>
      <c r="O67" s="166"/>
      <c r="P67" s="165"/>
      <c r="Q67" s="166"/>
      <c r="R67" s="75"/>
      <c r="S67" s="6" t="s">
        <v>20</v>
      </c>
      <c r="T67" s="3"/>
      <c r="U67" s="205"/>
      <c r="V67" s="206"/>
      <c r="W67" s="207"/>
    </row>
    <row r="68" spans="1:23" x14ac:dyDescent="0.3">
      <c r="A68" s="163"/>
      <c r="B68" s="5"/>
      <c r="C68" s="5"/>
      <c r="D68" s="4"/>
      <c r="E68" s="211"/>
      <c r="F68" s="212"/>
      <c r="G68" s="212"/>
      <c r="H68" s="212"/>
      <c r="I68" s="213"/>
      <c r="J68" s="165"/>
      <c r="K68" s="166"/>
      <c r="L68" s="165"/>
      <c r="M68" s="166"/>
      <c r="N68" s="165"/>
      <c r="O68" s="166"/>
      <c r="P68" s="165"/>
      <c r="Q68" s="166"/>
      <c r="R68" s="75"/>
      <c r="S68" s="6" t="s">
        <v>20</v>
      </c>
      <c r="T68" s="3"/>
      <c r="U68" s="205"/>
      <c r="V68" s="206"/>
      <c r="W68" s="207"/>
    </row>
    <row r="69" spans="1:23" x14ac:dyDescent="0.3">
      <c r="A69" s="164"/>
      <c r="B69" s="19"/>
      <c r="C69" s="19"/>
      <c r="D69" s="20"/>
      <c r="E69" s="170" t="s">
        <v>0</v>
      </c>
      <c r="F69" s="171"/>
      <c r="G69" s="171"/>
      <c r="H69" s="171"/>
      <c r="I69" s="172"/>
      <c r="J69" s="173">
        <f>SUM(J66:J68)</f>
        <v>0</v>
      </c>
      <c r="K69" s="174"/>
      <c r="L69" s="173">
        <f>SUM(L66:L68)</f>
        <v>0</v>
      </c>
      <c r="M69" s="174"/>
      <c r="N69" s="173">
        <f>SUM(N66:N68)</f>
        <v>0</v>
      </c>
      <c r="O69" s="174"/>
      <c r="P69" s="173">
        <f>SUM(P61:P68)</f>
        <v>0</v>
      </c>
      <c r="Q69" s="174"/>
      <c r="R69" s="23">
        <f>SUM(R66:R68)</f>
        <v>0</v>
      </c>
      <c r="S69" s="24" t="s">
        <v>20</v>
      </c>
      <c r="T69" s="7"/>
      <c r="U69" s="208"/>
      <c r="V69" s="209"/>
      <c r="W69" s="210"/>
    </row>
    <row r="70" spans="1:23" x14ac:dyDescent="0.3">
      <c r="E70" s="28"/>
      <c r="F70" s="28"/>
      <c r="G70" s="28"/>
      <c r="H70" s="28"/>
      <c r="I70" s="29"/>
      <c r="J70" s="29"/>
      <c r="K70" s="29"/>
      <c r="L70" s="29"/>
      <c r="M70" s="29"/>
      <c r="N70" s="29"/>
      <c r="O70" s="29"/>
      <c r="P70" s="29"/>
      <c r="Q70" s="29"/>
    </row>
    <row r="71" spans="1:23" x14ac:dyDescent="0.3">
      <c r="E71" s="170" t="s">
        <v>28</v>
      </c>
      <c r="F71" s="171"/>
      <c r="G71" s="171"/>
      <c r="H71" s="171"/>
      <c r="I71" s="172"/>
      <c r="J71" s="175" t="s">
        <v>7</v>
      </c>
      <c r="K71" s="176"/>
      <c r="L71" s="175" t="s">
        <v>8</v>
      </c>
      <c r="M71" s="176"/>
      <c r="N71" s="175" t="s">
        <v>9</v>
      </c>
      <c r="O71" s="176"/>
      <c r="P71" s="175" t="s">
        <v>117</v>
      </c>
      <c r="Q71" s="176"/>
    </row>
    <row r="72" spans="1:23" s="2" customFormat="1" x14ac:dyDescent="0.3">
      <c r="E72" s="15"/>
      <c r="F72" s="15"/>
      <c r="G72" s="15"/>
      <c r="H72" s="15"/>
      <c r="I72" s="15"/>
      <c r="J72" s="30">
        <f>J65+J69</f>
        <v>3551</v>
      </c>
      <c r="K72" s="31" t="s">
        <v>17</v>
      </c>
      <c r="L72" s="32">
        <f>L65+L69</f>
        <v>123</v>
      </c>
      <c r="M72" s="31" t="s">
        <v>17</v>
      </c>
      <c r="N72" s="32">
        <f>N65+N69</f>
        <v>0</v>
      </c>
      <c r="O72" s="31" t="s">
        <v>17</v>
      </c>
      <c r="P72" s="32">
        <f>P65+P69</f>
        <v>0</v>
      </c>
      <c r="Q72" s="34" t="s">
        <v>17</v>
      </c>
    </row>
    <row r="73" spans="1:23" s="8" customFormat="1" ht="24.45" customHeight="1" x14ac:dyDescent="0.3">
      <c r="A73"/>
      <c r="B73"/>
      <c r="C73"/>
      <c r="E73" s="28"/>
      <c r="F73" s="28"/>
      <c r="G73" s="28"/>
      <c r="H73" s="28"/>
      <c r="I73" s="29"/>
      <c r="J73" s="167">
        <f>J72+L72+N72+P72</f>
        <v>3674</v>
      </c>
      <c r="K73" s="168"/>
      <c r="L73" s="168"/>
      <c r="M73" s="168"/>
      <c r="N73" s="168"/>
      <c r="O73" s="168"/>
      <c r="P73" s="168"/>
      <c r="Q73" s="169"/>
      <c r="S73"/>
      <c r="T73"/>
      <c r="U73"/>
      <c r="V73"/>
      <c r="W73"/>
    </row>
  </sheetData>
  <mergeCells count="277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P9:Q9"/>
    <mergeCell ref="J10:K10"/>
    <mergeCell ref="L10:M10"/>
    <mergeCell ref="N10:O10"/>
    <mergeCell ref="P10:Q10"/>
    <mergeCell ref="A7:A22"/>
    <mergeCell ref="J7:K7"/>
    <mergeCell ref="L7:M7"/>
    <mergeCell ref="N7:O7"/>
    <mergeCell ref="P7:Q7"/>
    <mergeCell ref="J8:K8"/>
    <mergeCell ref="L8:M8"/>
    <mergeCell ref="N8:O8"/>
    <mergeCell ref="P8:Q8"/>
    <mergeCell ref="N21:O21"/>
    <mergeCell ref="P21:Q21"/>
    <mergeCell ref="J18:K18"/>
    <mergeCell ref="L18:M18"/>
    <mergeCell ref="N18:O18"/>
    <mergeCell ref="P18:Q18"/>
    <mergeCell ref="J19:K19"/>
    <mergeCell ref="J17:K17"/>
    <mergeCell ref="L17:M17"/>
    <mergeCell ref="N17:O17"/>
    <mergeCell ref="T28:W28"/>
    <mergeCell ref="A29:W29"/>
    <mergeCell ref="A30:A31"/>
    <mergeCell ref="B30:B31"/>
    <mergeCell ref="C30:C31"/>
    <mergeCell ref="D30:D31"/>
    <mergeCell ref="E30:E31"/>
    <mergeCell ref="F30:F31"/>
    <mergeCell ref="B22:I22"/>
    <mergeCell ref="E24:I24"/>
    <mergeCell ref="J24:K24"/>
    <mergeCell ref="L24:M24"/>
    <mergeCell ref="N24:O24"/>
    <mergeCell ref="P24:Q24"/>
    <mergeCell ref="U7:W22"/>
    <mergeCell ref="U30:W31"/>
    <mergeCell ref="J31:K31"/>
    <mergeCell ref="L31:M31"/>
    <mergeCell ref="N31:O31"/>
    <mergeCell ref="P31:Q31"/>
    <mergeCell ref="R30:S31"/>
    <mergeCell ref="J9:K9"/>
    <mergeCell ref="L9:M9"/>
    <mergeCell ref="N9:O9"/>
    <mergeCell ref="A32:A36"/>
    <mergeCell ref="J32:K32"/>
    <mergeCell ref="L32:M32"/>
    <mergeCell ref="N32:O32"/>
    <mergeCell ref="P32:Q32"/>
    <mergeCell ref="G30:G31"/>
    <mergeCell ref="H30:H31"/>
    <mergeCell ref="I30:I31"/>
    <mergeCell ref="J30:Q30"/>
    <mergeCell ref="E36:I36"/>
    <mergeCell ref="T30:T31"/>
    <mergeCell ref="U32:W36"/>
    <mergeCell ref="J33:K33"/>
    <mergeCell ref="L33:M33"/>
    <mergeCell ref="N33:O33"/>
    <mergeCell ref="P33:Q33"/>
    <mergeCell ref="J34:K34"/>
    <mergeCell ref="L34:M34"/>
    <mergeCell ref="N34:O34"/>
    <mergeCell ref="P34:Q34"/>
    <mergeCell ref="J36:K36"/>
    <mergeCell ref="L36:M36"/>
    <mergeCell ref="N36:O36"/>
    <mergeCell ref="P36:Q36"/>
    <mergeCell ref="A37:A43"/>
    <mergeCell ref="J37:K37"/>
    <mergeCell ref="L37:M37"/>
    <mergeCell ref="N37:O37"/>
    <mergeCell ref="P37:Q37"/>
    <mergeCell ref="J42:K42"/>
    <mergeCell ref="L42:M42"/>
    <mergeCell ref="N42:O42"/>
    <mergeCell ref="P42:Q42"/>
    <mergeCell ref="E43:I43"/>
    <mergeCell ref="U37:W43"/>
    <mergeCell ref="J38:K38"/>
    <mergeCell ref="L38:M38"/>
    <mergeCell ref="N38:O38"/>
    <mergeCell ref="P38:Q38"/>
    <mergeCell ref="J41:K41"/>
    <mergeCell ref="L41:M41"/>
    <mergeCell ref="N41:O41"/>
    <mergeCell ref="P41:Q41"/>
    <mergeCell ref="J43:K43"/>
    <mergeCell ref="L43:M43"/>
    <mergeCell ref="N43:O43"/>
    <mergeCell ref="P43:Q43"/>
    <mergeCell ref="J40:K40"/>
    <mergeCell ref="L40:M40"/>
    <mergeCell ref="N40:O40"/>
    <mergeCell ref="P40:Q40"/>
    <mergeCell ref="J39:K39"/>
    <mergeCell ref="L39:M39"/>
    <mergeCell ref="N39:O39"/>
    <mergeCell ref="P39:Q39"/>
    <mergeCell ref="A44:A49"/>
    <mergeCell ref="J44:K44"/>
    <mergeCell ref="L44:M44"/>
    <mergeCell ref="N44:O44"/>
    <mergeCell ref="P44:Q44"/>
    <mergeCell ref="L47:M47"/>
    <mergeCell ref="N47:O47"/>
    <mergeCell ref="P47:Q47"/>
    <mergeCell ref="J48:K48"/>
    <mergeCell ref="L48:M48"/>
    <mergeCell ref="N48:O48"/>
    <mergeCell ref="P48:Q48"/>
    <mergeCell ref="E49:I49"/>
    <mergeCell ref="U44:W49"/>
    <mergeCell ref="J45:K45"/>
    <mergeCell ref="L45:M45"/>
    <mergeCell ref="N45:O45"/>
    <mergeCell ref="P45:Q45"/>
    <mergeCell ref="J46:K46"/>
    <mergeCell ref="L46:M46"/>
    <mergeCell ref="N46:O46"/>
    <mergeCell ref="P46:Q46"/>
    <mergeCell ref="J47:K47"/>
    <mergeCell ref="J49:K49"/>
    <mergeCell ref="L49:M49"/>
    <mergeCell ref="N49:O49"/>
    <mergeCell ref="P49:Q49"/>
    <mergeCell ref="E51:I51"/>
    <mergeCell ref="J51:K51"/>
    <mergeCell ref="L51:M51"/>
    <mergeCell ref="N51:O51"/>
    <mergeCell ref="P51:Q51"/>
    <mergeCell ref="R57:S58"/>
    <mergeCell ref="T57:T58"/>
    <mergeCell ref="U57:W58"/>
    <mergeCell ref="J58:K58"/>
    <mergeCell ref="L58:M58"/>
    <mergeCell ref="N58:O58"/>
    <mergeCell ref="P58:Q58"/>
    <mergeCell ref="J53:Q53"/>
    <mergeCell ref="Q55:S55"/>
    <mergeCell ref="T55:W55"/>
    <mergeCell ref="A56:W56"/>
    <mergeCell ref="A57:A58"/>
    <mergeCell ref="B57:B58"/>
    <mergeCell ref="C57:C58"/>
    <mergeCell ref="D57:D58"/>
    <mergeCell ref="E57:I58"/>
    <mergeCell ref="J57:Q57"/>
    <mergeCell ref="A59:A65"/>
    <mergeCell ref="E59:I59"/>
    <mergeCell ref="J59:K59"/>
    <mergeCell ref="L59:M59"/>
    <mergeCell ref="N59:O59"/>
    <mergeCell ref="P59:Q59"/>
    <mergeCell ref="P61:Q61"/>
    <mergeCell ref="E64:I64"/>
    <mergeCell ref="J64:K64"/>
    <mergeCell ref="L64:M64"/>
    <mergeCell ref="E62:I62"/>
    <mergeCell ref="J62:K62"/>
    <mergeCell ref="L62:M62"/>
    <mergeCell ref="N62:O62"/>
    <mergeCell ref="P62:Q62"/>
    <mergeCell ref="E63:I63"/>
    <mergeCell ref="J63:K63"/>
    <mergeCell ref="L63:M63"/>
    <mergeCell ref="N63:O63"/>
    <mergeCell ref="P63:Q63"/>
    <mergeCell ref="N64:O64"/>
    <mergeCell ref="P64:Q64"/>
    <mergeCell ref="E65:I65"/>
    <mergeCell ref="J65:K65"/>
    <mergeCell ref="L65:M65"/>
    <mergeCell ref="N65:O65"/>
    <mergeCell ref="P65:Q65"/>
    <mergeCell ref="U59:W65"/>
    <mergeCell ref="E60:I60"/>
    <mergeCell ref="J60:K60"/>
    <mergeCell ref="L60:M60"/>
    <mergeCell ref="N60:O60"/>
    <mergeCell ref="P60:Q60"/>
    <mergeCell ref="E61:I61"/>
    <mergeCell ref="J61:K61"/>
    <mergeCell ref="L61:M61"/>
    <mergeCell ref="N61:O61"/>
    <mergeCell ref="U66:W69"/>
    <mergeCell ref="E67:I67"/>
    <mergeCell ref="J67:K67"/>
    <mergeCell ref="L67:M67"/>
    <mergeCell ref="N67:O67"/>
    <mergeCell ref="P67:Q67"/>
    <mergeCell ref="E68:I68"/>
    <mergeCell ref="J68:K68"/>
    <mergeCell ref="L68:M68"/>
    <mergeCell ref="N68:O68"/>
    <mergeCell ref="E66:I66"/>
    <mergeCell ref="J66:K66"/>
    <mergeCell ref="L66:M66"/>
    <mergeCell ref="N66:O66"/>
    <mergeCell ref="P66:Q66"/>
    <mergeCell ref="P68:Q68"/>
    <mergeCell ref="E69:I69"/>
    <mergeCell ref="J69:K69"/>
    <mergeCell ref="L69:M69"/>
    <mergeCell ref="N69:O69"/>
    <mergeCell ref="P69:Q69"/>
    <mergeCell ref="A66:A69"/>
    <mergeCell ref="J73:Q73"/>
    <mergeCell ref="J11:K11"/>
    <mergeCell ref="L11:M11"/>
    <mergeCell ref="N11:O11"/>
    <mergeCell ref="P11:Q11"/>
    <mergeCell ref="J12:K12"/>
    <mergeCell ref="L12:M12"/>
    <mergeCell ref="N12:O12"/>
    <mergeCell ref="P12:Q12"/>
    <mergeCell ref="E71:I71"/>
    <mergeCell ref="J71:K71"/>
    <mergeCell ref="L71:M71"/>
    <mergeCell ref="N71:O71"/>
    <mergeCell ref="P71:Q71"/>
    <mergeCell ref="J15:K15"/>
    <mergeCell ref="L15:M15"/>
    <mergeCell ref="N15:O15"/>
    <mergeCell ref="P15:Q15"/>
    <mergeCell ref="J16:K16"/>
    <mergeCell ref="L16:M16"/>
    <mergeCell ref="N16:O16"/>
    <mergeCell ref="P16:Q16"/>
    <mergeCell ref="J13:K13"/>
    <mergeCell ref="L13:M13"/>
    <mergeCell ref="N13:O13"/>
    <mergeCell ref="P13:Q13"/>
    <mergeCell ref="J14:K14"/>
    <mergeCell ref="L14:M14"/>
    <mergeCell ref="N14:O14"/>
    <mergeCell ref="P14:Q14"/>
    <mergeCell ref="P17:Q17"/>
    <mergeCell ref="J35:K35"/>
    <mergeCell ref="L35:M35"/>
    <mergeCell ref="N35:O35"/>
    <mergeCell ref="P35:Q35"/>
    <mergeCell ref="J26:Q26"/>
    <mergeCell ref="Q28:S28"/>
    <mergeCell ref="J20:K20"/>
    <mergeCell ref="L20:M20"/>
    <mergeCell ref="N20:O20"/>
    <mergeCell ref="L19:M19"/>
    <mergeCell ref="N19:O19"/>
    <mergeCell ref="P19:Q19"/>
    <mergeCell ref="P20:Q20"/>
    <mergeCell ref="J21:K21"/>
    <mergeCell ref="L21:M21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W79"/>
  <sheetViews>
    <sheetView topLeftCell="A4" zoomScale="85" zoomScaleNormal="85" workbookViewId="0">
      <selection activeCell="J24" sqref="J24:Q24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4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45936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21025</v>
      </c>
      <c r="E7" s="12" t="s">
        <v>388</v>
      </c>
      <c r="F7" s="17">
        <v>320</v>
      </c>
      <c r="G7" s="17">
        <v>304</v>
      </c>
      <c r="H7" s="18">
        <v>0.6</v>
      </c>
      <c r="I7" s="17">
        <v>31500</v>
      </c>
      <c r="J7" s="165">
        <v>1025</v>
      </c>
      <c r="K7" s="166"/>
      <c r="L7" s="165"/>
      <c r="M7" s="166"/>
      <c r="N7" s="165"/>
      <c r="O7" s="166"/>
      <c r="P7" s="165"/>
      <c r="Q7" s="166"/>
      <c r="R7" s="72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389</v>
      </c>
      <c r="F8" s="17" t="s">
        <v>313</v>
      </c>
      <c r="G8" s="17">
        <v>304</v>
      </c>
      <c r="H8" s="18">
        <v>0.6</v>
      </c>
      <c r="I8" s="17">
        <v>31500</v>
      </c>
      <c r="J8" s="165"/>
      <c r="K8" s="166"/>
      <c r="L8" s="165"/>
      <c r="M8" s="166"/>
      <c r="N8" s="165">
        <v>205</v>
      </c>
      <c r="O8" s="166"/>
      <c r="P8" s="165"/>
      <c r="Q8" s="166"/>
      <c r="R8" s="72">
        <v>30</v>
      </c>
      <c r="S8" s="14" t="s">
        <v>20</v>
      </c>
      <c r="T8" s="42" t="s">
        <v>110</v>
      </c>
      <c r="U8" s="205"/>
      <c r="V8" s="206"/>
      <c r="W8" s="207"/>
    </row>
    <row r="9" spans="1:23" x14ac:dyDescent="0.3">
      <c r="A9" s="181"/>
      <c r="B9" s="5"/>
      <c r="C9" s="5"/>
      <c r="D9" s="4">
        <v>21025</v>
      </c>
      <c r="E9" s="12" t="s">
        <v>390</v>
      </c>
      <c r="F9" s="17">
        <v>35</v>
      </c>
      <c r="G9" s="17">
        <v>304</v>
      </c>
      <c r="H9" s="18">
        <v>0.6</v>
      </c>
      <c r="I9" s="17">
        <v>31500</v>
      </c>
      <c r="J9" s="165">
        <v>1040</v>
      </c>
      <c r="K9" s="166"/>
      <c r="L9" s="165"/>
      <c r="M9" s="166"/>
      <c r="N9" s="165"/>
      <c r="O9" s="166"/>
      <c r="P9" s="165"/>
      <c r="Q9" s="166"/>
      <c r="R9" s="72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391</v>
      </c>
      <c r="F10" s="17">
        <v>277</v>
      </c>
      <c r="G10" s="17">
        <v>304</v>
      </c>
      <c r="H10" s="18">
        <v>0.6</v>
      </c>
      <c r="I10" s="17">
        <v>31500</v>
      </c>
      <c r="J10" s="165">
        <v>260</v>
      </c>
      <c r="K10" s="166"/>
      <c r="L10" s="165"/>
      <c r="M10" s="166"/>
      <c r="N10" s="165"/>
      <c r="O10" s="166"/>
      <c r="P10" s="165"/>
      <c r="Q10" s="166"/>
      <c r="R10" s="72">
        <v>10</v>
      </c>
      <c r="S10" s="14" t="s">
        <v>20</v>
      </c>
      <c r="T10" s="42" t="s">
        <v>111</v>
      </c>
      <c r="U10" s="205"/>
      <c r="V10" s="206"/>
      <c r="W10" s="207"/>
    </row>
    <row r="11" spans="1:23" x14ac:dyDescent="0.3">
      <c r="A11" s="181"/>
      <c r="B11" s="5"/>
      <c r="C11" s="5"/>
      <c r="D11" s="4">
        <v>21025</v>
      </c>
      <c r="E11" s="12" t="s">
        <v>392</v>
      </c>
      <c r="F11" s="17">
        <v>370</v>
      </c>
      <c r="G11" s="17">
        <v>304</v>
      </c>
      <c r="H11" s="18">
        <v>0.6</v>
      </c>
      <c r="I11" s="17">
        <v>31500</v>
      </c>
      <c r="J11" s="165">
        <v>528</v>
      </c>
      <c r="K11" s="166"/>
      <c r="L11" s="165"/>
      <c r="M11" s="166"/>
      <c r="N11" s="165"/>
      <c r="O11" s="166"/>
      <c r="P11" s="165"/>
      <c r="Q11" s="166"/>
      <c r="R11" s="72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393</v>
      </c>
      <c r="F12" s="17">
        <v>220</v>
      </c>
      <c r="G12" s="17">
        <v>304</v>
      </c>
      <c r="H12" s="18">
        <v>0.6</v>
      </c>
      <c r="I12" s="17">
        <v>31500</v>
      </c>
      <c r="J12" s="165">
        <v>132</v>
      </c>
      <c r="K12" s="166"/>
      <c r="L12" s="165"/>
      <c r="M12" s="166"/>
      <c r="N12" s="165"/>
      <c r="O12" s="166"/>
      <c r="P12" s="165"/>
      <c r="Q12" s="166"/>
      <c r="R12" s="72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393</v>
      </c>
      <c r="F13" s="17">
        <v>220</v>
      </c>
      <c r="G13" s="17">
        <v>304</v>
      </c>
      <c r="H13" s="18">
        <v>0.6</v>
      </c>
      <c r="I13" s="17">
        <v>31500</v>
      </c>
      <c r="J13" s="165">
        <v>168</v>
      </c>
      <c r="K13" s="166"/>
      <c r="L13" s="165"/>
      <c r="M13" s="166"/>
      <c r="N13" s="165"/>
      <c r="O13" s="166"/>
      <c r="P13" s="165"/>
      <c r="Q13" s="166"/>
      <c r="R13" s="72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230925</v>
      </c>
      <c r="E14" s="12" t="s">
        <v>394</v>
      </c>
      <c r="F14" s="17">
        <v>425</v>
      </c>
      <c r="G14" s="17">
        <v>430</v>
      </c>
      <c r="H14" s="18">
        <v>0.8</v>
      </c>
      <c r="I14" s="17">
        <v>27000</v>
      </c>
      <c r="J14" s="165">
        <v>756</v>
      </c>
      <c r="K14" s="166"/>
      <c r="L14" s="165"/>
      <c r="M14" s="166"/>
      <c r="N14" s="165"/>
      <c r="O14" s="166"/>
      <c r="P14" s="165"/>
      <c r="Q14" s="166"/>
      <c r="R14" s="72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 t="s">
        <v>102</v>
      </c>
      <c r="E15" s="12" t="s">
        <v>395</v>
      </c>
      <c r="F15" s="17">
        <v>180</v>
      </c>
      <c r="G15" s="17">
        <v>430</v>
      </c>
      <c r="H15" s="18">
        <v>0.8</v>
      </c>
      <c r="I15" s="17">
        <v>27000</v>
      </c>
      <c r="J15" s="165">
        <v>252</v>
      </c>
      <c r="K15" s="166"/>
      <c r="L15" s="165"/>
      <c r="M15" s="166"/>
      <c r="N15" s="165"/>
      <c r="O15" s="166"/>
      <c r="P15" s="165"/>
      <c r="Q15" s="166"/>
      <c r="R15" s="72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 t="s">
        <v>102</v>
      </c>
      <c r="E16" s="12" t="s">
        <v>395</v>
      </c>
      <c r="F16" s="17">
        <v>160</v>
      </c>
      <c r="G16" s="17">
        <v>430</v>
      </c>
      <c r="H16" s="18">
        <v>0.8</v>
      </c>
      <c r="I16" s="17">
        <v>27000</v>
      </c>
      <c r="J16" s="165">
        <v>1164</v>
      </c>
      <c r="K16" s="166"/>
      <c r="L16" s="165"/>
      <c r="M16" s="166"/>
      <c r="N16" s="165"/>
      <c r="O16" s="166"/>
      <c r="P16" s="165"/>
      <c r="Q16" s="166"/>
      <c r="R16" s="72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>
        <v>0.70833333333333337</v>
      </c>
      <c r="D17" s="4">
        <v>230925</v>
      </c>
      <c r="E17" s="12" t="s">
        <v>394</v>
      </c>
      <c r="F17" s="17">
        <v>425</v>
      </c>
      <c r="G17" s="17">
        <v>430</v>
      </c>
      <c r="H17" s="18">
        <v>0.8</v>
      </c>
      <c r="I17" s="17">
        <v>27000</v>
      </c>
      <c r="J17" s="165">
        <v>382</v>
      </c>
      <c r="K17" s="166"/>
      <c r="L17" s="165"/>
      <c r="M17" s="166"/>
      <c r="N17" s="165"/>
      <c r="O17" s="166"/>
      <c r="P17" s="165"/>
      <c r="Q17" s="166"/>
      <c r="R17" s="72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72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72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72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5707</v>
      </c>
      <c r="K21" s="22" t="s">
        <v>17</v>
      </c>
      <c r="L21" s="21">
        <f>SUM(L7:M20)</f>
        <v>0</v>
      </c>
      <c r="M21" s="22" t="s">
        <v>17</v>
      </c>
      <c r="N21" s="21">
        <f>SUM(N7:O20)</f>
        <v>205</v>
      </c>
      <c r="O21" s="22" t="s">
        <v>17</v>
      </c>
      <c r="P21" s="21">
        <f>SUM(P7:Q20)</f>
        <v>0</v>
      </c>
      <c r="Q21" s="22" t="s">
        <v>17</v>
      </c>
      <c r="R21" s="23">
        <f>SUM(R7:R20)</f>
        <v>40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5707</v>
      </c>
      <c r="K24" s="31" t="s">
        <v>17</v>
      </c>
      <c r="L24" s="32">
        <f>L21</f>
        <v>0</v>
      </c>
      <c r="M24" s="31" t="s">
        <v>17</v>
      </c>
      <c r="N24" s="32">
        <f>N21</f>
        <v>205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5912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45936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/>
      <c r="D31" s="4">
        <v>250077</v>
      </c>
      <c r="E31" s="12" t="s">
        <v>387</v>
      </c>
      <c r="F31" s="40">
        <v>430</v>
      </c>
      <c r="G31" s="41">
        <v>0.5</v>
      </c>
      <c r="H31" s="40">
        <v>457</v>
      </c>
      <c r="I31" s="4">
        <v>7</v>
      </c>
      <c r="J31" s="165">
        <v>1150</v>
      </c>
      <c r="K31" s="166"/>
      <c r="L31" s="165"/>
      <c r="M31" s="166"/>
      <c r="N31" s="165"/>
      <c r="O31" s="166"/>
      <c r="P31" s="165"/>
      <c r="Q31" s="166"/>
      <c r="R31" s="72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/>
      <c r="D32" s="4">
        <v>160925</v>
      </c>
      <c r="E32" s="12" t="s">
        <v>396</v>
      </c>
      <c r="F32" s="40">
        <v>304</v>
      </c>
      <c r="G32" s="41">
        <v>0.7</v>
      </c>
      <c r="H32" s="40">
        <v>319</v>
      </c>
      <c r="I32" s="4">
        <v>5</v>
      </c>
      <c r="J32" s="165">
        <v>900</v>
      </c>
      <c r="K32" s="166"/>
      <c r="L32" s="165"/>
      <c r="M32" s="166"/>
      <c r="N32" s="165"/>
      <c r="O32" s="166"/>
      <c r="P32" s="165"/>
      <c r="Q32" s="166"/>
      <c r="R32" s="72">
        <v>30</v>
      </c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>
        <v>0.70833333333333337</v>
      </c>
      <c r="D33" s="4">
        <v>160925</v>
      </c>
      <c r="E33" s="12" t="s">
        <v>397</v>
      </c>
      <c r="F33" s="40">
        <v>304</v>
      </c>
      <c r="G33" s="41">
        <v>0.7</v>
      </c>
      <c r="H33" s="40">
        <v>433</v>
      </c>
      <c r="I33" s="4">
        <v>5</v>
      </c>
      <c r="J33" s="165">
        <v>500</v>
      </c>
      <c r="K33" s="166"/>
      <c r="L33" s="165"/>
      <c r="M33" s="166"/>
      <c r="N33" s="165"/>
      <c r="O33" s="166"/>
      <c r="P33" s="165"/>
      <c r="Q33" s="166"/>
      <c r="R33" s="72">
        <v>30</v>
      </c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1"/>
      <c r="B34" s="5"/>
      <c r="C34" s="5"/>
      <c r="D34" s="4"/>
      <c r="E34" s="12"/>
      <c r="F34" s="40"/>
      <c r="G34" s="41"/>
      <c r="H34" s="40"/>
      <c r="I34" s="4"/>
      <c r="J34" s="165"/>
      <c r="K34" s="166"/>
      <c r="L34" s="165"/>
      <c r="M34" s="166"/>
      <c r="N34" s="165"/>
      <c r="O34" s="166"/>
      <c r="P34" s="165"/>
      <c r="Q34" s="166"/>
      <c r="R34" s="72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82"/>
      <c r="B35" s="19"/>
      <c r="C35" s="19"/>
      <c r="D35" s="20"/>
      <c r="E35" s="170" t="s">
        <v>0</v>
      </c>
      <c r="F35" s="171"/>
      <c r="G35" s="171"/>
      <c r="H35" s="171"/>
      <c r="I35" s="172"/>
      <c r="J35" s="173">
        <f>SUM(J31:K34)</f>
        <v>2550</v>
      </c>
      <c r="K35" s="174"/>
      <c r="L35" s="173">
        <f>SUM(L31:M34)</f>
        <v>0</v>
      </c>
      <c r="M35" s="174"/>
      <c r="N35" s="173">
        <f>SUM(N31:O34)</f>
        <v>0</v>
      </c>
      <c r="O35" s="174"/>
      <c r="P35" s="173">
        <f>SUM(P31:Q34)</f>
        <v>0</v>
      </c>
      <c r="Q35" s="174"/>
      <c r="R35" s="23">
        <f>SUM(R31:R34)</f>
        <v>60</v>
      </c>
      <c r="S35" s="24" t="s">
        <v>20</v>
      </c>
      <c r="T35" s="19"/>
      <c r="U35" s="177"/>
      <c r="V35" s="178"/>
      <c r="W35" s="179"/>
    </row>
    <row r="36" spans="1:23" ht="14.55" customHeight="1" x14ac:dyDescent="0.3">
      <c r="A36" s="163" t="s">
        <v>34</v>
      </c>
      <c r="B36" s="5">
        <v>0.33333333333333331</v>
      </c>
      <c r="C36" s="5"/>
      <c r="D36" s="4">
        <v>180925</v>
      </c>
      <c r="E36" s="12" t="s">
        <v>398</v>
      </c>
      <c r="F36" s="40">
        <v>304</v>
      </c>
      <c r="G36" s="41">
        <v>0.7</v>
      </c>
      <c r="H36" s="40">
        <v>342</v>
      </c>
      <c r="I36" s="4">
        <v>3</v>
      </c>
      <c r="J36" s="165">
        <v>2100</v>
      </c>
      <c r="K36" s="166"/>
      <c r="L36" s="165"/>
      <c r="M36" s="166"/>
      <c r="N36" s="165"/>
      <c r="O36" s="166"/>
      <c r="P36" s="165"/>
      <c r="Q36" s="166"/>
      <c r="R36" s="72">
        <v>30</v>
      </c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63"/>
      <c r="B37" s="5"/>
      <c r="C37" s="5">
        <v>0.70833333333333337</v>
      </c>
      <c r="D37" s="4">
        <v>180925</v>
      </c>
      <c r="E37" s="13" t="s">
        <v>331</v>
      </c>
      <c r="F37" s="40">
        <v>430</v>
      </c>
      <c r="G37" s="41">
        <v>0.6</v>
      </c>
      <c r="H37" s="40">
        <v>323</v>
      </c>
      <c r="I37" s="4">
        <v>2</v>
      </c>
      <c r="J37" s="165"/>
      <c r="K37" s="166"/>
      <c r="L37" s="165"/>
      <c r="M37" s="166"/>
      <c r="N37" s="165"/>
      <c r="O37" s="166"/>
      <c r="P37" s="165">
        <v>450</v>
      </c>
      <c r="Q37" s="166"/>
      <c r="R37" s="72"/>
      <c r="S37" s="14" t="s">
        <v>20</v>
      </c>
      <c r="T37" s="42"/>
      <c r="U37" s="177"/>
      <c r="V37" s="178"/>
      <c r="W37" s="179"/>
    </row>
    <row r="38" spans="1:23" ht="14.55" hidden="1" customHeight="1" x14ac:dyDescent="0.3">
      <c r="A38" s="163"/>
      <c r="B38" s="5"/>
      <c r="C38" s="5"/>
      <c r="D38" s="4"/>
      <c r="E38" s="12"/>
      <c r="F38" s="40"/>
      <c r="G38" s="41"/>
      <c r="H38" s="40"/>
      <c r="I38" s="4"/>
      <c r="J38" s="165"/>
      <c r="K38" s="166"/>
      <c r="L38" s="165"/>
      <c r="M38" s="166"/>
      <c r="N38" s="165"/>
      <c r="O38" s="166"/>
      <c r="P38" s="165"/>
      <c r="Q38" s="166"/>
      <c r="R38" s="72"/>
      <c r="S38" s="14" t="s">
        <v>20</v>
      </c>
      <c r="T38" s="42"/>
      <c r="U38" s="177"/>
      <c r="V38" s="178"/>
      <c r="W38" s="179"/>
    </row>
    <row r="39" spans="1:23" ht="14.55" hidden="1" customHeight="1" x14ac:dyDescent="0.3">
      <c r="A39" s="163"/>
      <c r="B39" s="5"/>
      <c r="C39" s="5"/>
      <c r="D39" s="4"/>
      <c r="E39" s="12"/>
      <c r="F39" s="40"/>
      <c r="G39" s="41"/>
      <c r="H39" s="40"/>
      <c r="I39" s="4"/>
      <c r="J39" s="165"/>
      <c r="K39" s="166"/>
      <c r="L39" s="165"/>
      <c r="M39" s="166"/>
      <c r="N39" s="165"/>
      <c r="O39" s="166"/>
      <c r="P39" s="165"/>
      <c r="Q39" s="166"/>
      <c r="R39" s="72"/>
      <c r="S39" s="14" t="s">
        <v>20</v>
      </c>
      <c r="T39" s="42"/>
      <c r="U39" s="177"/>
      <c r="V39" s="178"/>
      <c r="W39" s="179"/>
    </row>
    <row r="40" spans="1:23" ht="14.55" hidden="1" customHeight="1" x14ac:dyDescent="0.3">
      <c r="A40" s="163"/>
      <c r="B40" s="5"/>
      <c r="C40" s="5"/>
      <c r="D40" s="4"/>
      <c r="E40" s="12"/>
      <c r="F40" s="40"/>
      <c r="G40" s="41"/>
      <c r="H40" s="40"/>
      <c r="I40" s="4"/>
      <c r="J40" s="165"/>
      <c r="K40" s="166"/>
      <c r="L40" s="165"/>
      <c r="M40" s="166"/>
      <c r="N40" s="165"/>
      <c r="O40" s="166"/>
      <c r="P40" s="165"/>
      <c r="Q40" s="166"/>
      <c r="R40" s="72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4"/>
      <c r="J41" s="165"/>
      <c r="K41" s="166"/>
      <c r="L41" s="165"/>
      <c r="M41" s="166"/>
      <c r="N41" s="165"/>
      <c r="O41" s="166"/>
      <c r="P41" s="165"/>
      <c r="Q41" s="166"/>
      <c r="R41" s="72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4"/>
      <c r="B42" s="19"/>
      <c r="C42" s="19"/>
      <c r="D42" s="20"/>
      <c r="E42" s="170" t="s">
        <v>0</v>
      </c>
      <c r="F42" s="171"/>
      <c r="G42" s="171"/>
      <c r="H42" s="171"/>
      <c r="I42" s="172"/>
      <c r="J42" s="173">
        <f>SUM(J36:K41)</f>
        <v>2100</v>
      </c>
      <c r="K42" s="174"/>
      <c r="L42" s="173">
        <f>SUM(L36:M41)</f>
        <v>0</v>
      </c>
      <c r="M42" s="174"/>
      <c r="N42" s="173">
        <f>SUM(N36:O41)</f>
        <v>0</v>
      </c>
      <c r="O42" s="174"/>
      <c r="P42" s="173">
        <f>SUM(P36:Q41)</f>
        <v>450</v>
      </c>
      <c r="Q42" s="174"/>
      <c r="R42" s="23">
        <f>SUM(R36:R41)</f>
        <v>30</v>
      </c>
      <c r="S42" s="24" t="s">
        <v>20</v>
      </c>
      <c r="T42" s="19"/>
      <c r="U42" s="177"/>
      <c r="V42" s="178"/>
      <c r="W42" s="179"/>
    </row>
    <row r="43" spans="1:23" ht="14.55" customHeight="1" x14ac:dyDescent="0.3">
      <c r="A43" s="163" t="s">
        <v>35</v>
      </c>
      <c r="B43" s="5">
        <v>0.33333333333333331</v>
      </c>
      <c r="C43" s="5">
        <v>0.70833333333333337</v>
      </c>
      <c r="D43" s="4">
        <v>290925</v>
      </c>
      <c r="E43" s="12" t="s">
        <v>325</v>
      </c>
      <c r="F43" s="40">
        <v>304</v>
      </c>
      <c r="G43" s="41">
        <v>0.9</v>
      </c>
      <c r="H43" s="40">
        <v>369</v>
      </c>
      <c r="I43" s="12"/>
      <c r="J43" s="165"/>
      <c r="K43" s="166"/>
      <c r="L43" s="165"/>
      <c r="M43" s="166"/>
      <c r="N43" s="165">
        <v>1800</v>
      </c>
      <c r="O43" s="166"/>
      <c r="P43" s="165"/>
      <c r="Q43" s="166"/>
      <c r="R43" s="72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72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3"/>
      <c r="B45" s="5"/>
      <c r="C45" s="5"/>
      <c r="D45" s="4"/>
      <c r="E45" s="13"/>
      <c r="F45" s="40"/>
      <c r="G45" s="41"/>
      <c r="H45" s="40"/>
      <c r="I45" s="4"/>
      <c r="J45" s="165"/>
      <c r="K45" s="166"/>
      <c r="L45" s="165"/>
      <c r="M45" s="166"/>
      <c r="N45" s="165"/>
      <c r="O45" s="166"/>
      <c r="P45" s="165"/>
      <c r="Q45" s="166"/>
      <c r="R45" s="72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72"/>
      <c r="S46" s="14" t="s">
        <v>20</v>
      </c>
      <c r="T46" s="42"/>
      <c r="U46" s="177"/>
      <c r="V46" s="178"/>
      <c r="W46" s="179"/>
    </row>
    <row r="47" spans="1:23" ht="14.55" customHeight="1" x14ac:dyDescent="0.3">
      <c r="A47" s="164"/>
      <c r="B47" s="19"/>
      <c r="C47" s="19"/>
      <c r="D47" s="20"/>
      <c r="E47" s="170" t="s">
        <v>0</v>
      </c>
      <c r="F47" s="171"/>
      <c r="G47" s="171"/>
      <c r="H47" s="171"/>
      <c r="I47" s="172"/>
      <c r="J47" s="173">
        <f>SUM(J43:K46)</f>
        <v>0</v>
      </c>
      <c r="K47" s="174"/>
      <c r="L47" s="173">
        <f>SUM(L43:M46)</f>
        <v>0</v>
      </c>
      <c r="M47" s="174"/>
      <c r="N47" s="173">
        <f>SUM(N43:O46)</f>
        <v>1800</v>
      </c>
      <c r="O47" s="174"/>
      <c r="P47" s="173">
        <f>SUM(P43:Q46)</f>
        <v>0</v>
      </c>
      <c r="Q47" s="174"/>
      <c r="R47" s="23">
        <f>SUM(R43:R46)</f>
        <v>0</v>
      </c>
      <c r="S47" s="24" t="s">
        <v>20</v>
      </c>
      <c r="T47" s="19"/>
      <c r="U47" s="177"/>
      <c r="V47" s="178"/>
      <c r="W47" s="179"/>
    </row>
    <row r="48" spans="1:23" ht="14.55" customHeight="1" x14ac:dyDescent="0.3">
      <c r="A48" s="27"/>
      <c r="B48" s="27"/>
      <c r="C48" s="27"/>
      <c r="D48" s="27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27"/>
      <c r="S48" s="27"/>
      <c r="T48" s="39"/>
      <c r="U48" s="39"/>
      <c r="V48" s="39"/>
      <c r="W48" s="39"/>
    </row>
    <row r="49" spans="1:23" x14ac:dyDescent="0.3">
      <c r="E49" s="170" t="s">
        <v>31</v>
      </c>
      <c r="F49" s="171"/>
      <c r="G49" s="171"/>
      <c r="H49" s="171"/>
      <c r="I49" s="172"/>
      <c r="J49" s="175" t="s">
        <v>7</v>
      </c>
      <c r="K49" s="176"/>
      <c r="L49" s="175" t="s">
        <v>8</v>
      </c>
      <c r="M49" s="176"/>
      <c r="N49" s="175" t="s">
        <v>9</v>
      </c>
      <c r="O49" s="176"/>
      <c r="P49" s="175" t="s">
        <v>16</v>
      </c>
      <c r="Q49" s="176"/>
    </row>
    <row r="50" spans="1:23" s="2" customFormat="1" x14ac:dyDescent="0.3">
      <c r="E50" s="15"/>
      <c r="F50" s="15"/>
      <c r="G50" s="15"/>
      <c r="H50" s="15"/>
      <c r="I50" s="15"/>
      <c r="J50" s="30">
        <f>J35+J42+J47</f>
        <v>4650</v>
      </c>
      <c r="K50" s="31" t="s">
        <v>17</v>
      </c>
      <c r="L50" s="30">
        <f>L35+L42+L47</f>
        <v>0</v>
      </c>
      <c r="M50" s="31" t="s">
        <v>17</v>
      </c>
      <c r="N50" s="30">
        <f>N35+N42+N47</f>
        <v>1800</v>
      </c>
      <c r="O50" s="31" t="s">
        <v>17</v>
      </c>
      <c r="P50" s="30">
        <f>P35+P42+P47</f>
        <v>450</v>
      </c>
      <c r="Q50" s="34" t="s">
        <v>17</v>
      </c>
    </row>
    <row r="51" spans="1:23" ht="24.45" customHeight="1" x14ac:dyDescent="0.3">
      <c r="E51" s="28"/>
      <c r="F51" s="28"/>
      <c r="G51" s="28"/>
      <c r="H51" s="28"/>
      <c r="I51" s="28"/>
      <c r="J51" s="167">
        <f>J50+L50+N50+P50</f>
        <v>6900</v>
      </c>
      <c r="K51" s="168"/>
      <c r="L51" s="168"/>
      <c r="M51" s="168"/>
      <c r="N51" s="168"/>
      <c r="O51" s="168"/>
      <c r="P51" s="168"/>
      <c r="Q51" s="169"/>
    </row>
    <row r="52" spans="1:23" ht="30" customHeight="1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 spans="1:23" s="37" customFormat="1" ht="19.95" customHeight="1" x14ac:dyDescent="0.4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214" t="s">
        <v>14</v>
      </c>
      <c r="R53" s="215"/>
      <c r="S53" s="216"/>
      <c r="T53" s="184">
        <f>T3</f>
        <v>45936</v>
      </c>
      <c r="U53" s="185"/>
      <c r="V53" s="185"/>
      <c r="W53" s="186"/>
    </row>
    <row r="54" spans="1:23" s="16" customFormat="1" ht="30" customHeight="1" x14ac:dyDescent="0.3">
      <c r="A54" s="187" t="s">
        <v>26</v>
      </c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9"/>
      <c r="Q54" s="189"/>
      <c r="R54" s="189"/>
      <c r="S54" s="189"/>
      <c r="T54" s="188"/>
      <c r="U54" s="188"/>
      <c r="V54" s="188"/>
      <c r="W54" s="190"/>
    </row>
    <row r="55" spans="1:23" s="26" customFormat="1" ht="13.8" x14ac:dyDescent="0.3">
      <c r="A55" s="191" t="s">
        <v>1</v>
      </c>
      <c r="B55" s="192" t="s">
        <v>2</v>
      </c>
      <c r="C55" s="192" t="s">
        <v>3</v>
      </c>
      <c r="D55" s="192" t="s">
        <v>4</v>
      </c>
      <c r="E55" s="193" t="s">
        <v>5</v>
      </c>
      <c r="F55" s="197"/>
      <c r="G55" s="197"/>
      <c r="H55" s="197"/>
      <c r="I55" s="198"/>
      <c r="J55" s="193" t="s">
        <v>6</v>
      </c>
      <c r="K55" s="197"/>
      <c r="L55" s="197"/>
      <c r="M55" s="197"/>
      <c r="N55" s="197"/>
      <c r="O55" s="197"/>
      <c r="P55" s="197"/>
      <c r="Q55" s="198"/>
      <c r="R55" s="193" t="s">
        <v>10</v>
      </c>
      <c r="S55" s="198"/>
      <c r="T55" s="191" t="s">
        <v>11</v>
      </c>
      <c r="U55" s="191" t="s">
        <v>12</v>
      </c>
      <c r="V55" s="191"/>
      <c r="W55" s="191"/>
    </row>
    <row r="56" spans="1:23" s="26" customFormat="1" ht="13.8" x14ac:dyDescent="0.3">
      <c r="A56" s="191"/>
      <c r="B56" s="192"/>
      <c r="C56" s="192"/>
      <c r="D56" s="192"/>
      <c r="E56" s="194"/>
      <c r="F56" s="217"/>
      <c r="G56" s="217"/>
      <c r="H56" s="217"/>
      <c r="I56" s="199"/>
      <c r="J56" s="200" t="s">
        <v>7</v>
      </c>
      <c r="K56" s="201"/>
      <c r="L56" s="200" t="s">
        <v>8</v>
      </c>
      <c r="M56" s="201"/>
      <c r="N56" s="200" t="s">
        <v>9</v>
      </c>
      <c r="O56" s="201"/>
      <c r="P56" s="200" t="s">
        <v>16</v>
      </c>
      <c r="Q56" s="201"/>
      <c r="R56" s="194"/>
      <c r="S56" s="199"/>
      <c r="T56" s="191"/>
      <c r="U56" s="191"/>
      <c r="V56" s="191"/>
      <c r="W56" s="191"/>
    </row>
    <row r="57" spans="1:23" x14ac:dyDescent="0.3">
      <c r="A57" s="180" t="s">
        <v>13</v>
      </c>
      <c r="B57" s="5">
        <v>0.33333333333333331</v>
      </c>
      <c r="C57" s="5"/>
      <c r="D57" s="4">
        <v>250077</v>
      </c>
      <c r="E57" s="211" t="s">
        <v>387</v>
      </c>
      <c r="F57" s="212"/>
      <c r="G57" s="212"/>
      <c r="H57" s="212"/>
      <c r="I57" s="213"/>
      <c r="J57" s="165">
        <v>748</v>
      </c>
      <c r="K57" s="166"/>
      <c r="L57" s="165"/>
      <c r="M57" s="166"/>
      <c r="N57" s="165"/>
      <c r="O57" s="166"/>
      <c r="P57" s="165"/>
      <c r="Q57" s="166"/>
      <c r="R57" s="72"/>
      <c r="S57" s="6" t="s">
        <v>20</v>
      </c>
      <c r="T57" s="3"/>
      <c r="U57" s="202"/>
      <c r="V57" s="203"/>
      <c r="W57" s="204"/>
    </row>
    <row r="58" spans="1:23" x14ac:dyDescent="0.3">
      <c r="A58" s="163"/>
      <c r="B58" s="5"/>
      <c r="C58" s="5"/>
      <c r="D58" s="4">
        <v>250070</v>
      </c>
      <c r="E58" s="211" t="s">
        <v>345</v>
      </c>
      <c r="F58" s="212"/>
      <c r="G58" s="212"/>
      <c r="H58" s="212"/>
      <c r="I58" s="213"/>
      <c r="J58" s="165">
        <v>1502</v>
      </c>
      <c r="K58" s="166"/>
      <c r="L58" s="165"/>
      <c r="M58" s="166"/>
      <c r="N58" s="165"/>
      <c r="O58" s="166"/>
      <c r="P58" s="165"/>
      <c r="Q58" s="166"/>
      <c r="R58" s="72">
        <v>45</v>
      </c>
      <c r="S58" s="6" t="s">
        <v>20</v>
      </c>
      <c r="T58" s="3"/>
      <c r="U58" s="205"/>
      <c r="V58" s="206"/>
      <c r="W58" s="207"/>
    </row>
    <row r="59" spans="1:23" x14ac:dyDescent="0.3">
      <c r="A59" s="163"/>
      <c r="B59" s="5"/>
      <c r="C59" s="5"/>
      <c r="D59" s="4">
        <v>160925</v>
      </c>
      <c r="E59" s="211" t="s">
        <v>399</v>
      </c>
      <c r="F59" s="212"/>
      <c r="G59" s="212"/>
      <c r="H59" s="212"/>
      <c r="I59" s="213"/>
      <c r="J59" s="165">
        <v>1107</v>
      </c>
      <c r="K59" s="166"/>
      <c r="L59" s="165"/>
      <c r="M59" s="166"/>
      <c r="N59" s="165"/>
      <c r="O59" s="166"/>
      <c r="P59" s="165"/>
      <c r="Q59" s="166"/>
      <c r="R59" s="72">
        <v>45</v>
      </c>
      <c r="S59" s="6" t="s">
        <v>20</v>
      </c>
      <c r="T59" s="3"/>
      <c r="U59" s="205"/>
      <c r="V59" s="206"/>
      <c r="W59" s="207"/>
    </row>
    <row r="60" spans="1:23" x14ac:dyDescent="0.3">
      <c r="A60" s="163"/>
      <c r="B60" s="5"/>
      <c r="C60" s="5">
        <v>0.70833333333333337</v>
      </c>
      <c r="D60" s="4">
        <v>160925</v>
      </c>
      <c r="E60" s="211" t="s">
        <v>400</v>
      </c>
      <c r="F60" s="212"/>
      <c r="G60" s="212"/>
      <c r="H60" s="212"/>
      <c r="I60" s="213"/>
      <c r="J60" s="165">
        <v>523</v>
      </c>
      <c r="K60" s="166"/>
      <c r="L60" s="165"/>
      <c r="M60" s="166"/>
      <c r="N60" s="165"/>
      <c r="O60" s="166"/>
      <c r="P60" s="165"/>
      <c r="Q60" s="166"/>
      <c r="R60" s="72">
        <v>45</v>
      </c>
      <c r="S60" s="6" t="s">
        <v>20</v>
      </c>
      <c r="T60" s="3"/>
      <c r="U60" s="205"/>
      <c r="V60" s="206"/>
      <c r="W60" s="207"/>
    </row>
    <row r="61" spans="1:23" x14ac:dyDescent="0.3">
      <c r="A61" s="163"/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72"/>
      <c r="S61" s="6" t="s">
        <v>20</v>
      </c>
      <c r="T61" s="3"/>
      <c r="U61" s="205"/>
      <c r="V61" s="206"/>
      <c r="W61" s="207"/>
    </row>
    <row r="62" spans="1:23" x14ac:dyDescent="0.3">
      <c r="A62" s="164"/>
      <c r="B62" s="19"/>
      <c r="C62" s="19"/>
      <c r="D62" s="20"/>
      <c r="E62" s="170" t="s">
        <v>0</v>
      </c>
      <c r="F62" s="171"/>
      <c r="G62" s="171"/>
      <c r="H62" s="171"/>
      <c r="I62" s="172"/>
      <c r="J62" s="173">
        <f>SUM(J57:J61)</f>
        <v>3880</v>
      </c>
      <c r="K62" s="174"/>
      <c r="L62" s="173">
        <f>SUM(L57:L61)</f>
        <v>0</v>
      </c>
      <c r="M62" s="174"/>
      <c r="N62" s="173">
        <f>SUM(N57:N61)</f>
        <v>0</v>
      </c>
      <c r="O62" s="174"/>
      <c r="P62" s="173">
        <f>SUM(P57:P61)</f>
        <v>0</v>
      </c>
      <c r="Q62" s="174"/>
      <c r="R62" s="23">
        <f>SUM(R57:R61)</f>
        <v>135</v>
      </c>
      <c r="S62" s="24" t="s">
        <v>20</v>
      </c>
      <c r="T62" s="19"/>
      <c r="U62" s="208"/>
      <c r="V62" s="209"/>
      <c r="W62" s="210"/>
    </row>
    <row r="63" spans="1:23" x14ac:dyDescent="0.3">
      <c r="A63" s="180" t="s">
        <v>15</v>
      </c>
      <c r="B63" s="5"/>
      <c r="C63" s="5"/>
      <c r="D63" s="4"/>
      <c r="E63" s="211"/>
      <c r="F63" s="212"/>
      <c r="G63" s="212"/>
      <c r="H63" s="212"/>
      <c r="I63" s="213"/>
      <c r="J63" s="165"/>
      <c r="K63" s="166"/>
      <c r="L63" s="165"/>
      <c r="M63" s="166"/>
      <c r="N63" s="165"/>
      <c r="O63" s="166"/>
      <c r="P63" s="165"/>
      <c r="Q63" s="166"/>
      <c r="R63" s="72"/>
      <c r="S63" s="6" t="s">
        <v>20</v>
      </c>
      <c r="T63" s="3"/>
      <c r="U63" s="202"/>
      <c r="V63" s="203"/>
      <c r="W63" s="204"/>
    </row>
    <row r="64" spans="1:23" x14ac:dyDescent="0.3">
      <c r="A64" s="163"/>
      <c r="B64" s="5"/>
      <c r="C64" s="5"/>
      <c r="D64" s="4"/>
      <c r="E64" s="211"/>
      <c r="F64" s="212"/>
      <c r="G64" s="212"/>
      <c r="H64" s="212"/>
      <c r="I64" s="213"/>
      <c r="J64" s="165"/>
      <c r="K64" s="166"/>
      <c r="L64" s="165"/>
      <c r="M64" s="166"/>
      <c r="N64" s="165"/>
      <c r="O64" s="166"/>
      <c r="P64" s="165"/>
      <c r="Q64" s="166"/>
      <c r="R64" s="72"/>
      <c r="S64" s="6" t="s">
        <v>20</v>
      </c>
      <c r="T64" s="3"/>
      <c r="U64" s="205"/>
      <c r="V64" s="206"/>
      <c r="W64" s="207"/>
    </row>
    <row r="65" spans="1:23" x14ac:dyDescent="0.3">
      <c r="A65" s="163"/>
      <c r="B65" s="5"/>
      <c r="C65" s="5"/>
      <c r="D65" s="4"/>
      <c r="E65" s="211"/>
      <c r="F65" s="212"/>
      <c r="G65" s="212"/>
      <c r="H65" s="212"/>
      <c r="I65" s="213"/>
      <c r="J65" s="165"/>
      <c r="K65" s="166"/>
      <c r="L65" s="165"/>
      <c r="M65" s="166"/>
      <c r="N65" s="165"/>
      <c r="O65" s="166"/>
      <c r="P65" s="165"/>
      <c r="Q65" s="166"/>
      <c r="R65" s="72"/>
      <c r="S65" s="6" t="s">
        <v>20</v>
      </c>
      <c r="T65" s="3"/>
      <c r="U65" s="205"/>
      <c r="V65" s="206"/>
      <c r="W65" s="207"/>
    </row>
    <row r="66" spans="1:23" x14ac:dyDescent="0.3">
      <c r="A66" s="164"/>
      <c r="B66" s="19"/>
      <c r="C66" s="19"/>
      <c r="D66" s="20"/>
      <c r="E66" s="170" t="s">
        <v>0</v>
      </c>
      <c r="F66" s="171"/>
      <c r="G66" s="171"/>
      <c r="H66" s="171"/>
      <c r="I66" s="172"/>
      <c r="J66" s="173">
        <f>SUM(J63:J65)</f>
        <v>0</v>
      </c>
      <c r="K66" s="174"/>
      <c r="L66" s="173">
        <f>SUM(L63:L65)</f>
        <v>0</v>
      </c>
      <c r="M66" s="174"/>
      <c r="N66" s="173">
        <f>SUM(N63:N65)</f>
        <v>0</v>
      </c>
      <c r="O66" s="174"/>
      <c r="P66" s="173">
        <f>SUM(P60:P65)</f>
        <v>0</v>
      </c>
      <c r="Q66" s="174"/>
      <c r="R66" s="23">
        <f>SUM(R63:R65)</f>
        <v>0</v>
      </c>
      <c r="S66" s="24" t="s">
        <v>20</v>
      </c>
      <c r="T66" s="7"/>
      <c r="U66" s="208"/>
      <c r="V66" s="209"/>
      <c r="W66" s="210"/>
    </row>
    <row r="67" spans="1:23" x14ac:dyDescent="0.3">
      <c r="A67" s="180" t="s">
        <v>37</v>
      </c>
      <c r="B67" s="5"/>
      <c r="C67" s="5"/>
      <c r="D67" s="4"/>
      <c r="E67" s="211"/>
      <c r="F67" s="212"/>
      <c r="G67" s="212"/>
      <c r="H67" s="212"/>
      <c r="I67" s="213"/>
      <c r="J67" s="165"/>
      <c r="K67" s="166"/>
      <c r="L67" s="165"/>
      <c r="M67" s="166"/>
      <c r="N67" s="165"/>
      <c r="O67" s="166"/>
      <c r="P67" s="165"/>
      <c r="Q67" s="166"/>
      <c r="R67" s="72"/>
      <c r="S67" s="6" t="s">
        <v>20</v>
      </c>
      <c r="T67" s="3"/>
      <c r="U67" s="202"/>
      <c r="V67" s="203"/>
      <c r="W67" s="204"/>
    </row>
    <row r="68" spans="1:23" x14ac:dyDescent="0.3">
      <c r="A68" s="163"/>
      <c r="B68" s="5"/>
      <c r="C68" s="5"/>
      <c r="D68" s="4"/>
      <c r="E68" s="211"/>
      <c r="F68" s="212"/>
      <c r="G68" s="212"/>
      <c r="H68" s="212"/>
      <c r="I68" s="213"/>
      <c r="J68" s="165"/>
      <c r="K68" s="166"/>
      <c r="L68" s="165"/>
      <c r="M68" s="166"/>
      <c r="N68" s="165"/>
      <c r="O68" s="166"/>
      <c r="P68" s="165"/>
      <c r="Q68" s="166"/>
      <c r="R68" s="72"/>
      <c r="S68" s="6" t="s">
        <v>20</v>
      </c>
      <c r="T68" s="3"/>
      <c r="U68" s="205"/>
      <c r="V68" s="206"/>
      <c r="W68" s="207"/>
    </row>
    <row r="69" spans="1:23" x14ac:dyDescent="0.3">
      <c r="A69" s="163"/>
      <c r="B69" s="5"/>
      <c r="C69" s="5"/>
      <c r="D69" s="4"/>
      <c r="E69" s="211"/>
      <c r="F69" s="212"/>
      <c r="G69" s="212"/>
      <c r="H69" s="212"/>
      <c r="I69" s="213"/>
      <c r="J69" s="165"/>
      <c r="K69" s="166"/>
      <c r="L69" s="165"/>
      <c r="M69" s="166"/>
      <c r="N69" s="165"/>
      <c r="O69" s="166"/>
      <c r="P69" s="165"/>
      <c r="Q69" s="166"/>
      <c r="R69" s="72"/>
      <c r="S69" s="6" t="s">
        <v>20</v>
      </c>
      <c r="T69" s="3"/>
      <c r="U69" s="205"/>
      <c r="V69" s="206"/>
      <c r="W69" s="207"/>
    </row>
    <row r="70" spans="1:23" x14ac:dyDescent="0.3">
      <c r="A70" s="163"/>
      <c r="B70" s="5"/>
      <c r="C70" s="5"/>
      <c r="D70" s="4"/>
      <c r="E70" s="211"/>
      <c r="F70" s="212"/>
      <c r="G70" s="212"/>
      <c r="H70" s="212"/>
      <c r="I70" s="213"/>
      <c r="J70" s="165"/>
      <c r="K70" s="166"/>
      <c r="L70" s="165"/>
      <c r="M70" s="166"/>
      <c r="N70" s="165"/>
      <c r="O70" s="166"/>
      <c r="P70" s="165"/>
      <c r="Q70" s="166"/>
      <c r="R70" s="72"/>
      <c r="S70" s="6" t="s">
        <v>20</v>
      </c>
      <c r="T70" s="3"/>
      <c r="U70" s="205"/>
      <c r="V70" s="206"/>
      <c r="W70" s="207"/>
    </row>
    <row r="71" spans="1:23" x14ac:dyDescent="0.3">
      <c r="A71" s="164"/>
      <c r="B71" s="19"/>
      <c r="C71" s="19"/>
      <c r="D71" s="20"/>
      <c r="E71" s="170" t="s">
        <v>0</v>
      </c>
      <c r="F71" s="171"/>
      <c r="G71" s="171"/>
      <c r="H71" s="171"/>
      <c r="I71" s="172"/>
      <c r="J71" s="173">
        <f>SUM(J67:J70)</f>
        <v>0</v>
      </c>
      <c r="K71" s="174"/>
      <c r="L71" s="173">
        <f>SUM(L67:L70)</f>
        <v>0</v>
      </c>
      <c r="M71" s="174"/>
      <c r="N71" s="173">
        <f>SUM(N67:N70)</f>
        <v>0</v>
      </c>
      <c r="O71" s="174"/>
      <c r="P71" s="173">
        <f>SUM(P67:P70)</f>
        <v>0</v>
      </c>
      <c r="Q71" s="174"/>
      <c r="R71" s="23">
        <f>SUM(R67:R70)</f>
        <v>0</v>
      </c>
      <c r="S71" s="24" t="s">
        <v>20</v>
      </c>
      <c r="T71" s="19"/>
      <c r="U71" s="208"/>
      <c r="V71" s="209"/>
      <c r="W71" s="210"/>
    </row>
    <row r="72" spans="1:23" x14ac:dyDescent="0.3">
      <c r="A72" s="180" t="s">
        <v>36</v>
      </c>
      <c r="B72" s="5"/>
      <c r="C72" s="5"/>
      <c r="D72" s="4"/>
      <c r="E72" s="211"/>
      <c r="F72" s="212"/>
      <c r="G72" s="212"/>
      <c r="H72" s="212"/>
      <c r="I72" s="213"/>
      <c r="J72" s="165"/>
      <c r="K72" s="166"/>
      <c r="L72" s="165"/>
      <c r="M72" s="166"/>
      <c r="N72" s="165"/>
      <c r="O72" s="166"/>
      <c r="P72" s="165"/>
      <c r="Q72" s="166"/>
      <c r="R72" s="72"/>
      <c r="S72" s="6" t="s">
        <v>20</v>
      </c>
      <c r="T72" s="3"/>
      <c r="U72" s="202"/>
      <c r="V72" s="203"/>
      <c r="W72" s="204"/>
    </row>
    <row r="73" spans="1:23" x14ac:dyDescent="0.3">
      <c r="A73" s="163"/>
      <c r="B73" s="5"/>
      <c r="C73" s="5"/>
      <c r="D73" s="4"/>
      <c r="E73" s="211"/>
      <c r="F73" s="212"/>
      <c r="G73" s="212"/>
      <c r="H73" s="212"/>
      <c r="I73" s="213"/>
      <c r="J73" s="165"/>
      <c r="K73" s="166"/>
      <c r="L73" s="165"/>
      <c r="M73" s="166"/>
      <c r="N73" s="165"/>
      <c r="O73" s="166"/>
      <c r="P73" s="165"/>
      <c r="Q73" s="166"/>
      <c r="R73" s="72"/>
      <c r="S73" s="6" t="s">
        <v>20</v>
      </c>
      <c r="T73" s="3"/>
      <c r="U73" s="205"/>
      <c r="V73" s="206"/>
      <c r="W73" s="207"/>
    </row>
    <row r="74" spans="1:23" x14ac:dyDescent="0.3">
      <c r="A74" s="163"/>
      <c r="B74" s="5"/>
      <c r="C74" s="5"/>
      <c r="D74" s="4"/>
      <c r="E74" s="211"/>
      <c r="F74" s="212"/>
      <c r="G74" s="212"/>
      <c r="H74" s="212"/>
      <c r="I74" s="213"/>
      <c r="J74" s="165"/>
      <c r="K74" s="166"/>
      <c r="L74" s="165"/>
      <c r="M74" s="166"/>
      <c r="N74" s="165"/>
      <c r="O74" s="166"/>
      <c r="P74" s="165"/>
      <c r="Q74" s="166"/>
      <c r="R74" s="72"/>
      <c r="S74" s="6" t="s">
        <v>20</v>
      </c>
      <c r="T74" s="3"/>
      <c r="U74" s="205"/>
      <c r="V74" s="206"/>
      <c r="W74" s="207"/>
    </row>
    <row r="75" spans="1:23" x14ac:dyDescent="0.3">
      <c r="A75" s="164"/>
      <c r="B75" s="19"/>
      <c r="C75" s="19"/>
      <c r="D75" s="20"/>
      <c r="E75" s="170" t="s">
        <v>0</v>
      </c>
      <c r="F75" s="171"/>
      <c r="G75" s="171"/>
      <c r="H75" s="171"/>
      <c r="I75" s="172"/>
      <c r="J75" s="173">
        <f>SUM(J72:J74)</f>
        <v>0</v>
      </c>
      <c r="K75" s="174"/>
      <c r="L75" s="173">
        <f>SUM(L72:L74)</f>
        <v>0</v>
      </c>
      <c r="M75" s="174"/>
      <c r="N75" s="173">
        <f>SUM(N72:N74)</f>
        <v>0</v>
      </c>
      <c r="O75" s="174"/>
      <c r="P75" s="173">
        <f>SUM(P72:P74)</f>
        <v>0</v>
      </c>
      <c r="Q75" s="174"/>
      <c r="R75" s="23">
        <f>SUM(R72:R74)</f>
        <v>0</v>
      </c>
      <c r="S75" s="24" t="s">
        <v>20</v>
      </c>
      <c r="T75" s="19"/>
      <c r="U75" s="208"/>
      <c r="V75" s="209"/>
      <c r="W75" s="210"/>
    </row>
    <row r="76" spans="1:23" x14ac:dyDescent="0.3">
      <c r="E76" s="28"/>
      <c r="F76" s="28"/>
      <c r="G76" s="28"/>
      <c r="H76" s="28"/>
      <c r="I76" s="28"/>
      <c r="J76" s="29"/>
      <c r="K76" s="29"/>
      <c r="L76" s="29"/>
      <c r="M76" s="29"/>
      <c r="N76" s="29"/>
      <c r="O76" s="29"/>
      <c r="P76" s="29"/>
      <c r="Q76" s="29"/>
    </row>
    <row r="77" spans="1:23" x14ac:dyDescent="0.3">
      <c r="E77" s="170" t="s">
        <v>28</v>
      </c>
      <c r="F77" s="171"/>
      <c r="G77" s="171"/>
      <c r="H77" s="171"/>
      <c r="I77" s="172"/>
      <c r="J77" s="175" t="s">
        <v>7</v>
      </c>
      <c r="K77" s="176"/>
      <c r="L77" s="175" t="s">
        <v>8</v>
      </c>
      <c r="M77" s="176"/>
      <c r="N77" s="175" t="s">
        <v>9</v>
      </c>
      <c r="O77" s="176"/>
      <c r="P77" s="175" t="s">
        <v>16</v>
      </c>
      <c r="Q77" s="176"/>
    </row>
    <row r="78" spans="1:23" s="2" customFormat="1" x14ac:dyDescent="0.3">
      <c r="E78" s="15"/>
      <c r="F78" s="15"/>
      <c r="G78" s="15"/>
      <c r="H78" s="15"/>
      <c r="I78" s="15"/>
      <c r="J78" s="30">
        <f>J62+J66</f>
        <v>3880</v>
      </c>
      <c r="K78" s="31" t="s">
        <v>17</v>
      </c>
      <c r="L78" s="32">
        <f>L62+L66</f>
        <v>0</v>
      </c>
      <c r="M78" s="31" t="s">
        <v>17</v>
      </c>
      <c r="N78" s="32">
        <f>N62+N66</f>
        <v>0</v>
      </c>
      <c r="O78" s="31" t="s">
        <v>17</v>
      </c>
      <c r="P78" s="33">
        <f>P71+P75</f>
        <v>0</v>
      </c>
      <c r="Q78" s="34" t="s">
        <v>17</v>
      </c>
    </row>
    <row r="79" spans="1:23" s="8" customFormat="1" ht="24.45" customHeight="1" x14ac:dyDescent="0.3">
      <c r="A79"/>
      <c r="B79"/>
      <c r="C79"/>
      <c r="E79" s="28"/>
      <c r="F79" s="28"/>
      <c r="G79" s="28"/>
      <c r="H79" s="28"/>
      <c r="I79" s="28"/>
      <c r="J79" s="167">
        <f>J78+L78+N78+P78</f>
        <v>3880</v>
      </c>
      <c r="K79" s="168"/>
      <c r="L79" s="168"/>
      <c r="M79" s="168"/>
      <c r="N79" s="168"/>
      <c r="O79" s="168"/>
      <c r="P79" s="168"/>
      <c r="Q79" s="169"/>
      <c r="S79"/>
      <c r="T79"/>
      <c r="U79"/>
      <c r="V79"/>
      <c r="W79"/>
    </row>
  </sheetData>
  <mergeCells count="313">
    <mergeCell ref="E77:I77"/>
    <mergeCell ref="J77:K77"/>
    <mergeCell ref="L77:M77"/>
    <mergeCell ref="N77:O77"/>
    <mergeCell ref="P77:Q77"/>
    <mergeCell ref="J79:Q79"/>
    <mergeCell ref="N74:O74"/>
    <mergeCell ref="P74:Q74"/>
    <mergeCell ref="E75:I75"/>
    <mergeCell ref="J75:K75"/>
    <mergeCell ref="L75:M75"/>
    <mergeCell ref="N75:O75"/>
    <mergeCell ref="P75:Q75"/>
    <mergeCell ref="U72:W75"/>
    <mergeCell ref="E73:I73"/>
    <mergeCell ref="J73:K73"/>
    <mergeCell ref="L73:M73"/>
    <mergeCell ref="N73:O73"/>
    <mergeCell ref="P73:Q73"/>
    <mergeCell ref="E74:I74"/>
    <mergeCell ref="J74:K74"/>
    <mergeCell ref="L74:M74"/>
    <mergeCell ref="L71:M71"/>
    <mergeCell ref="N71:O71"/>
    <mergeCell ref="P71:Q71"/>
    <mergeCell ref="A72:A75"/>
    <mergeCell ref="E72:I72"/>
    <mergeCell ref="J72:K72"/>
    <mergeCell ref="L72:M72"/>
    <mergeCell ref="N72:O72"/>
    <mergeCell ref="P72:Q72"/>
    <mergeCell ref="U67:W71"/>
    <mergeCell ref="E68:I68"/>
    <mergeCell ref="J68:K68"/>
    <mergeCell ref="L68:M68"/>
    <mergeCell ref="N68:O68"/>
    <mergeCell ref="P68:Q68"/>
    <mergeCell ref="A67:A71"/>
    <mergeCell ref="E67:I67"/>
    <mergeCell ref="J67:K67"/>
    <mergeCell ref="L67:M67"/>
    <mergeCell ref="N67:O67"/>
    <mergeCell ref="P67:Q67"/>
    <mergeCell ref="E69:I69"/>
    <mergeCell ref="J69:K69"/>
    <mergeCell ref="L69:M69"/>
    <mergeCell ref="N69:O69"/>
    <mergeCell ref="P69:Q69"/>
    <mergeCell ref="E70:I70"/>
    <mergeCell ref="J70:K70"/>
    <mergeCell ref="L70:M70"/>
    <mergeCell ref="N70:O70"/>
    <mergeCell ref="P70:Q70"/>
    <mergeCell ref="E71:I71"/>
    <mergeCell ref="J71:K71"/>
    <mergeCell ref="U63:W66"/>
    <mergeCell ref="E64:I64"/>
    <mergeCell ref="J64:K64"/>
    <mergeCell ref="L64:M64"/>
    <mergeCell ref="N64:O64"/>
    <mergeCell ref="P64:Q64"/>
    <mergeCell ref="E65:I65"/>
    <mergeCell ref="J65:K65"/>
    <mergeCell ref="L65:M65"/>
    <mergeCell ref="P65:Q65"/>
    <mergeCell ref="E66:I66"/>
    <mergeCell ref="J66:K66"/>
    <mergeCell ref="L66:M66"/>
    <mergeCell ref="N66:O66"/>
    <mergeCell ref="P66:Q66"/>
    <mergeCell ref="P63:Q63"/>
    <mergeCell ref="L61:M61"/>
    <mergeCell ref="N61:O61"/>
    <mergeCell ref="P61:Q61"/>
    <mergeCell ref="A63:A66"/>
    <mergeCell ref="E63:I63"/>
    <mergeCell ref="J63:K63"/>
    <mergeCell ref="L63:M63"/>
    <mergeCell ref="N63:O63"/>
    <mergeCell ref="A57:A62"/>
    <mergeCell ref="J60:K60"/>
    <mergeCell ref="L60:M60"/>
    <mergeCell ref="N65:O65"/>
    <mergeCell ref="N60:O60"/>
    <mergeCell ref="P60:Q60"/>
    <mergeCell ref="U57:W62"/>
    <mergeCell ref="E58:I58"/>
    <mergeCell ref="J58:K58"/>
    <mergeCell ref="L58:M58"/>
    <mergeCell ref="N58:O58"/>
    <mergeCell ref="P58:Q58"/>
    <mergeCell ref="E59:I59"/>
    <mergeCell ref="J59:K59"/>
    <mergeCell ref="L59:M59"/>
    <mergeCell ref="N59:O59"/>
    <mergeCell ref="E57:I57"/>
    <mergeCell ref="J57:K57"/>
    <mergeCell ref="L57:M57"/>
    <mergeCell ref="N57:O57"/>
    <mergeCell ref="P57:Q57"/>
    <mergeCell ref="P59:Q59"/>
    <mergeCell ref="E60:I60"/>
    <mergeCell ref="E62:I62"/>
    <mergeCell ref="J62:K62"/>
    <mergeCell ref="L62:M62"/>
    <mergeCell ref="N62:O62"/>
    <mergeCell ref="P62:Q62"/>
    <mergeCell ref="E61:I61"/>
    <mergeCell ref="J61:K61"/>
    <mergeCell ref="E49:I49"/>
    <mergeCell ref="J49:K49"/>
    <mergeCell ref="L49:M49"/>
    <mergeCell ref="N49:O49"/>
    <mergeCell ref="P49:Q49"/>
    <mergeCell ref="R55:S56"/>
    <mergeCell ref="T55:T56"/>
    <mergeCell ref="U55:W56"/>
    <mergeCell ref="J56:K56"/>
    <mergeCell ref="L56:M56"/>
    <mergeCell ref="N56:O56"/>
    <mergeCell ref="P56:Q56"/>
    <mergeCell ref="J51:Q51"/>
    <mergeCell ref="Q53:S53"/>
    <mergeCell ref="T53:W53"/>
    <mergeCell ref="A54:W54"/>
    <mergeCell ref="A55:A56"/>
    <mergeCell ref="B55:B56"/>
    <mergeCell ref="C55:C56"/>
    <mergeCell ref="D55:D56"/>
    <mergeCell ref="E55:I56"/>
    <mergeCell ref="J55:Q55"/>
    <mergeCell ref="U43:W47"/>
    <mergeCell ref="J44:K44"/>
    <mergeCell ref="L44:M44"/>
    <mergeCell ref="N44:O44"/>
    <mergeCell ref="P44:Q44"/>
    <mergeCell ref="J45:K45"/>
    <mergeCell ref="L45:M45"/>
    <mergeCell ref="N45:O45"/>
    <mergeCell ref="P45:Q45"/>
    <mergeCell ref="J47:K47"/>
    <mergeCell ref="L47:M47"/>
    <mergeCell ref="N47:O47"/>
    <mergeCell ref="P47:Q47"/>
    <mergeCell ref="E42:I42"/>
    <mergeCell ref="J42:K42"/>
    <mergeCell ref="L42:M42"/>
    <mergeCell ref="N42:O42"/>
    <mergeCell ref="P42:Q42"/>
    <mergeCell ref="A43:A47"/>
    <mergeCell ref="J43:K43"/>
    <mergeCell ref="L43:M43"/>
    <mergeCell ref="N43:O43"/>
    <mergeCell ref="P43:Q43"/>
    <mergeCell ref="J46:K46"/>
    <mergeCell ref="L46:M46"/>
    <mergeCell ref="N46:O46"/>
    <mergeCell ref="P46:Q46"/>
    <mergeCell ref="E47:I47"/>
    <mergeCell ref="A36:A42"/>
    <mergeCell ref="J36:K36"/>
    <mergeCell ref="L36:M36"/>
    <mergeCell ref="N36:O36"/>
    <mergeCell ref="P36:Q36"/>
    <mergeCell ref="U36:W42"/>
    <mergeCell ref="J37:K37"/>
    <mergeCell ref="L37:M37"/>
    <mergeCell ref="N37:O37"/>
    <mergeCell ref="P37:Q37"/>
    <mergeCell ref="J38:K38"/>
    <mergeCell ref="L38:M38"/>
    <mergeCell ref="N38:O38"/>
    <mergeCell ref="P38:Q38"/>
    <mergeCell ref="J39:K39"/>
    <mergeCell ref="J40:K40"/>
    <mergeCell ref="L40:M40"/>
    <mergeCell ref="N40:O40"/>
    <mergeCell ref="P40:Q40"/>
    <mergeCell ref="J41:K41"/>
    <mergeCell ref="L41:M41"/>
    <mergeCell ref="N41:O41"/>
    <mergeCell ref="P41:Q41"/>
    <mergeCell ref="L39:M39"/>
    <mergeCell ref="N39:O39"/>
    <mergeCell ref="P39:Q39"/>
    <mergeCell ref="U31:W35"/>
    <mergeCell ref="J32:K32"/>
    <mergeCell ref="L32:M32"/>
    <mergeCell ref="N32:O32"/>
    <mergeCell ref="P32:Q32"/>
    <mergeCell ref="E35:I35"/>
    <mergeCell ref="J35:K35"/>
    <mergeCell ref="L35:M35"/>
    <mergeCell ref="N35:O35"/>
    <mergeCell ref="P35:Q35"/>
    <mergeCell ref="A31:A35"/>
    <mergeCell ref="J31:K31"/>
    <mergeCell ref="L31:M31"/>
    <mergeCell ref="N31:O31"/>
    <mergeCell ref="P31:Q31"/>
    <mergeCell ref="G29:G30"/>
    <mergeCell ref="H29:H30"/>
    <mergeCell ref="I29:I30"/>
    <mergeCell ref="J29:Q29"/>
    <mergeCell ref="J33:K33"/>
    <mergeCell ref="L33:M33"/>
    <mergeCell ref="N33:O33"/>
    <mergeCell ref="P33:Q33"/>
    <mergeCell ref="J34:K34"/>
    <mergeCell ref="L34:M34"/>
    <mergeCell ref="N34:O34"/>
    <mergeCell ref="P34:Q34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W72"/>
  <sheetViews>
    <sheetView topLeftCell="A37" zoomScale="85" zoomScaleNormal="85" workbookViewId="0">
      <selection activeCell="D59" sqref="D59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1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45940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 t="s">
        <v>102</v>
      </c>
      <c r="E7" s="12" t="s">
        <v>422</v>
      </c>
      <c r="F7" s="17">
        <v>263</v>
      </c>
      <c r="G7" s="17">
        <v>304</v>
      </c>
      <c r="H7" s="18">
        <v>0.6</v>
      </c>
      <c r="I7" s="17">
        <v>24000</v>
      </c>
      <c r="J7" s="165">
        <v>1008</v>
      </c>
      <c r="K7" s="166"/>
      <c r="L7" s="165"/>
      <c r="M7" s="166"/>
      <c r="N7" s="165"/>
      <c r="O7" s="166"/>
      <c r="P7" s="165"/>
      <c r="Q7" s="166"/>
      <c r="R7" s="76">
        <v>30</v>
      </c>
      <c r="S7" s="14" t="s">
        <v>20</v>
      </c>
      <c r="T7" s="42" t="s">
        <v>110</v>
      </c>
      <c r="U7" s="202" t="s">
        <v>449</v>
      </c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314</v>
      </c>
      <c r="F8" s="17">
        <v>245</v>
      </c>
      <c r="G8" s="17">
        <v>304</v>
      </c>
      <c r="H8" s="18">
        <v>0.6</v>
      </c>
      <c r="I8" s="17">
        <v>33000</v>
      </c>
      <c r="J8" s="165">
        <v>1008</v>
      </c>
      <c r="K8" s="166"/>
      <c r="L8" s="165"/>
      <c r="M8" s="166"/>
      <c r="N8" s="165"/>
      <c r="O8" s="166"/>
      <c r="P8" s="165"/>
      <c r="Q8" s="166"/>
      <c r="R8" s="76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 t="s">
        <v>102</v>
      </c>
      <c r="E9" s="12" t="s">
        <v>445</v>
      </c>
      <c r="F9" s="17">
        <v>180</v>
      </c>
      <c r="G9" s="17">
        <v>304</v>
      </c>
      <c r="H9" s="18">
        <v>0.6</v>
      </c>
      <c r="I9" s="17">
        <v>33000</v>
      </c>
      <c r="J9" s="165">
        <v>168</v>
      </c>
      <c r="K9" s="166"/>
      <c r="L9" s="165"/>
      <c r="M9" s="166"/>
      <c r="N9" s="165"/>
      <c r="O9" s="166"/>
      <c r="P9" s="165"/>
      <c r="Q9" s="166"/>
      <c r="R9" s="76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359</v>
      </c>
      <c r="F10" s="17">
        <v>237</v>
      </c>
      <c r="G10" s="17">
        <v>304</v>
      </c>
      <c r="H10" s="18">
        <v>0.6</v>
      </c>
      <c r="I10" s="17">
        <v>33000</v>
      </c>
      <c r="J10" s="165">
        <v>1008</v>
      </c>
      <c r="K10" s="166"/>
      <c r="L10" s="165"/>
      <c r="M10" s="166"/>
      <c r="N10" s="165"/>
      <c r="O10" s="166"/>
      <c r="P10" s="165"/>
      <c r="Q10" s="166"/>
      <c r="R10" s="76">
        <v>60</v>
      </c>
      <c r="S10" s="14" t="s">
        <v>20</v>
      </c>
      <c r="T10" s="42" t="s">
        <v>448</v>
      </c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446</v>
      </c>
      <c r="F11" s="17">
        <v>200</v>
      </c>
      <c r="G11" s="17">
        <v>304</v>
      </c>
      <c r="H11" s="18">
        <v>0.6</v>
      </c>
      <c r="I11" s="17">
        <v>33000</v>
      </c>
      <c r="J11" s="165">
        <v>168</v>
      </c>
      <c r="K11" s="166"/>
      <c r="L11" s="165"/>
      <c r="M11" s="166"/>
      <c r="N11" s="165"/>
      <c r="O11" s="166"/>
      <c r="P11" s="165"/>
      <c r="Q11" s="166"/>
      <c r="R11" s="76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362</v>
      </c>
      <c r="F12" s="17">
        <v>213</v>
      </c>
      <c r="G12" s="17">
        <v>304</v>
      </c>
      <c r="H12" s="18">
        <v>0.6</v>
      </c>
      <c r="I12" s="17">
        <v>33000</v>
      </c>
      <c r="J12" s="165">
        <v>616</v>
      </c>
      <c r="K12" s="166"/>
      <c r="L12" s="165"/>
      <c r="M12" s="166"/>
      <c r="N12" s="165"/>
      <c r="O12" s="166"/>
      <c r="P12" s="165"/>
      <c r="Q12" s="166"/>
      <c r="R12" s="76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363</v>
      </c>
      <c r="F13" s="17">
        <v>147</v>
      </c>
      <c r="G13" s="17">
        <v>304</v>
      </c>
      <c r="H13" s="18">
        <v>0.6</v>
      </c>
      <c r="I13" s="17">
        <v>33000</v>
      </c>
      <c r="J13" s="165"/>
      <c r="K13" s="166"/>
      <c r="L13" s="165"/>
      <c r="M13" s="166"/>
      <c r="N13" s="165">
        <v>88</v>
      </c>
      <c r="O13" s="166"/>
      <c r="P13" s="165"/>
      <c r="Q13" s="166"/>
      <c r="R13" s="76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250057</v>
      </c>
      <c r="E14" s="12" t="s">
        <v>221</v>
      </c>
      <c r="F14" s="17">
        <v>25</v>
      </c>
      <c r="G14" s="17">
        <v>304</v>
      </c>
      <c r="H14" s="18">
        <v>0.6</v>
      </c>
      <c r="I14" s="17">
        <v>33000</v>
      </c>
      <c r="J14" s="165">
        <v>264</v>
      </c>
      <c r="K14" s="166"/>
      <c r="L14" s="165"/>
      <c r="M14" s="166"/>
      <c r="N14" s="165"/>
      <c r="O14" s="166"/>
      <c r="P14" s="165"/>
      <c r="Q14" s="166"/>
      <c r="R14" s="76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 t="s">
        <v>102</v>
      </c>
      <c r="E15" s="12" t="s">
        <v>447</v>
      </c>
      <c r="F15" s="17">
        <v>376</v>
      </c>
      <c r="G15" s="17">
        <v>304</v>
      </c>
      <c r="H15" s="18">
        <v>0.6</v>
      </c>
      <c r="I15" s="17">
        <v>33000</v>
      </c>
      <c r="J15" s="165">
        <v>88</v>
      </c>
      <c r="K15" s="166"/>
      <c r="L15" s="165"/>
      <c r="M15" s="166"/>
      <c r="N15" s="165"/>
      <c r="O15" s="166"/>
      <c r="P15" s="165"/>
      <c r="Q15" s="166"/>
      <c r="R15" s="76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>
        <v>21025</v>
      </c>
      <c r="E16" s="12" t="s">
        <v>392</v>
      </c>
      <c r="F16" s="17">
        <v>370</v>
      </c>
      <c r="G16" s="17">
        <v>304</v>
      </c>
      <c r="H16" s="18">
        <v>0.6</v>
      </c>
      <c r="I16" s="17">
        <v>33000</v>
      </c>
      <c r="J16" s="165">
        <v>496</v>
      </c>
      <c r="K16" s="166"/>
      <c r="L16" s="165"/>
      <c r="M16" s="166"/>
      <c r="N16" s="165"/>
      <c r="O16" s="166"/>
      <c r="P16" s="165"/>
      <c r="Q16" s="166"/>
      <c r="R16" s="76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 t="s">
        <v>102</v>
      </c>
      <c r="E17" s="12" t="s">
        <v>189</v>
      </c>
      <c r="F17" s="17">
        <v>220</v>
      </c>
      <c r="G17" s="17">
        <v>304</v>
      </c>
      <c r="H17" s="18">
        <v>0.6</v>
      </c>
      <c r="I17" s="17">
        <v>33000</v>
      </c>
      <c r="J17" s="165">
        <v>124</v>
      </c>
      <c r="K17" s="166"/>
      <c r="L17" s="165"/>
      <c r="M17" s="166"/>
      <c r="N17" s="165"/>
      <c r="O17" s="166"/>
      <c r="P17" s="165"/>
      <c r="Q17" s="166"/>
      <c r="R17" s="76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>
        <v>250080</v>
      </c>
      <c r="E18" s="12" t="s">
        <v>364</v>
      </c>
      <c r="F18" s="17">
        <v>510</v>
      </c>
      <c r="G18" s="17">
        <v>304</v>
      </c>
      <c r="H18" s="18">
        <v>0.6</v>
      </c>
      <c r="I18" s="17">
        <v>33000</v>
      </c>
      <c r="J18" s="165">
        <v>513</v>
      </c>
      <c r="K18" s="166"/>
      <c r="L18" s="165"/>
      <c r="M18" s="166"/>
      <c r="N18" s="165"/>
      <c r="O18" s="166"/>
      <c r="P18" s="165"/>
      <c r="Q18" s="166"/>
      <c r="R18" s="76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 t="s">
        <v>102</v>
      </c>
      <c r="E19" s="12" t="s">
        <v>446</v>
      </c>
      <c r="F19" s="17">
        <v>200</v>
      </c>
      <c r="G19" s="17">
        <v>304</v>
      </c>
      <c r="H19" s="18">
        <v>0.6</v>
      </c>
      <c r="I19" s="17">
        <v>33000</v>
      </c>
      <c r="J19" s="165">
        <v>171</v>
      </c>
      <c r="K19" s="166"/>
      <c r="L19" s="165"/>
      <c r="M19" s="166"/>
      <c r="N19" s="165"/>
      <c r="O19" s="166"/>
      <c r="P19" s="165"/>
      <c r="Q19" s="166"/>
      <c r="R19" s="76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>
        <v>0.70833333333333337</v>
      </c>
      <c r="D20" s="4">
        <v>250080</v>
      </c>
      <c r="E20" s="12" t="s">
        <v>221</v>
      </c>
      <c r="F20" s="17">
        <v>402</v>
      </c>
      <c r="G20" s="17">
        <v>304</v>
      </c>
      <c r="H20" s="18">
        <v>0.6</v>
      </c>
      <c r="I20" s="17">
        <v>33000</v>
      </c>
      <c r="J20" s="165">
        <v>512</v>
      </c>
      <c r="K20" s="166"/>
      <c r="L20" s="165"/>
      <c r="M20" s="166"/>
      <c r="N20" s="165"/>
      <c r="O20" s="166"/>
      <c r="P20" s="165"/>
      <c r="Q20" s="166"/>
      <c r="R20" s="76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6144</v>
      </c>
      <c r="K21" s="22" t="s">
        <v>17</v>
      </c>
      <c r="L21" s="21">
        <f>SUM(L7:M20)</f>
        <v>0</v>
      </c>
      <c r="M21" s="22" t="s">
        <v>17</v>
      </c>
      <c r="N21" s="21">
        <f>SUM(N7:O20)</f>
        <v>88</v>
      </c>
      <c r="O21" s="22" t="s">
        <v>17</v>
      </c>
      <c r="P21" s="21">
        <f>SUM(P7:Q20)</f>
        <v>0</v>
      </c>
      <c r="Q21" s="22" t="s">
        <v>17</v>
      </c>
      <c r="R21" s="23">
        <f>SUM(R7:R20)</f>
        <v>90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6144</v>
      </c>
      <c r="K24" s="31" t="s">
        <v>17</v>
      </c>
      <c r="L24" s="32">
        <f>L21</f>
        <v>0</v>
      </c>
      <c r="M24" s="31" t="s">
        <v>17</v>
      </c>
      <c r="N24" s="32">
        <f>N21</f>
        <v>88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6232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45940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/>
      <c r="D31" s="101">
        <v>250052</v>
      </c>
      <c r="E31" s="12" t="s">
        <v>454</v>
      </c>
      <c r="F31" s="40">
        <v>304</v>
      </c>
      <c r="G31" s="41">
        <v>0.7</v>
      </c>
      <c r="H31" s="40">
        <v>435</v>
      </c>
      <c r="I31" s="12">
        <v>5</v>
      </c>
      <c r="J31" s="165">
        <v>805</v>
      </c>
      <c r="K31" s="166"/>
      <c r="L31" s="165"/>
      <c r="M31" s="166"/>
      <c r="N31" s="165"/>
      <c r="O31" s="166"/>
      <c r="P31" s="165"/>
      <c r="Q31" s="166"/>
      <c r="R31" s="76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>
        <v>0.70833333333333337</v>
      </c>
      <c r="D32" s="101">
        <v>25005</v>
      </c>
      <c r="E32" s="12" t="s">
        <v>454</v>
      </c>
      <c r="F32" s="40">
        <v>304</v>
      </c>
      <c r="G32" s="41">
        <v>0.7</v>
      </c>
      <c r="H32" s="40">
        <v>435</v>
      </c>
      <c r="I32" s="12">
        <v>5</v>
      </c>
      <c r="J32" s="165">
        <v>625</v>
      </c>
      <c r="K32" s="166"/>
      <c r="L32" s="165"/>
      <c r="M32" s="166"/>
      <c r="N32" s="165"/>
      <c r="O32" s="166"/>
      <c r="P32" s="165"/>
      <c r="Q32" s="166"/>
      <c r="R32" s="76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76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1"/>
      <c r="B34" s="5"/>
      <c r="C34" s="5"/>
      <c r="D34" s="4"/>
      <c r="E34" s="12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76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82"/>
      <c r="B35" s="19"/>
      <c r="C35" s="19"/>
      <c r="D35" s="20"/>
      <c r="E35" s="170" t="s">
        <v>0</v>
      </c>
      <c r="F35" s="171"/>
      <c r="G35" s="171"/>
      <c r="H35" s="171"/>
      <c r="I35" s="172"/>
      <c r="J35" s="173">
        <f>SUM(J31:K34)</f>
        <v>1430</v>
      </c>
      <c r="K35" s="174"/>
      <c r="L35" s="173">
        <f>SUM(L31:M34)</f>
        <v>0</v>
      </c>
      <c r="M35" s="174"/>
      <c r="N35" s="173">
        <f>SUM(N31:O34)</f>
        <v>0</v>
      </c>
      <c r="O35" s="174"/>
      <c r="P35" s="173">
        <f>SUM(P31:Q34)</f>
        <v>0</v>
      </c>
      <c r="Q35" s="174"/>
      <c r="R35" s="23">
        <f>SUM(R31:R34)</f>
        <v>0</v>
      </c>
      <c r="S35" s="24" t="s">
        <v>20</v>
      </c>
      <c r="T35" s="19"/>
      <c r="U35" s="177"/>
      <c r="V35" s="178"/>
      <c r="W35" s="179"/>
    </row>
    <row r="36" spans="1:23" ht="14.55" customHeight="1" x14ac:dyDescent="0.3">
      <c r="A36" s="163" t="s">
        <v>34</v>
      </c>
      <c r="B36" s="5">
        <v>0.33333333333333331</v>
      </c>
      <c r="C36" s="5"/>
      <c r="D36" s="101">
        <v>250057</v>
      </c>
      <c r="E36" s="12" t="s">
        <v>435</v>
      </c>
      <c r="F36" s="40">
        <v>304</v>
      </c>
      <c r="G36" s="41">
        <v>0.7</v>
      </c>
      <c r="H36" s="40">
        <v>355</v>
      </c>
      <c r="I36" s="12">
        <v>3</v>
      </c>
      <c r="J36" s="165">
        <v>410</v>
      </c>
      <c r="K36" s="166"/>
      <c r="L36" s="165"/>
      <c r="M36" s="166"/>
      <c r="N36" s="165"/>
      <c r="O36" s="166"/>
      <c r="P36" s="165"/>
      <c r="Q36" s="166"/>
      <c r="R36" s="76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63"/>
      <c r="B37" s="5"/>
      <c r="C37" s="5"/>
      <c r="D37" s="101">
        <v>250061</v>
      </c>
      <c r="E37" s="12" t="s">
        <v>435</v>
      </c>
      <c r="F37" s="40">
        <v>304</v>
      </c>
      <c r="G37" s="41">
        <v>0.7</v>
      </c>
      <c r="H37" s="40">
        <v>355</v>
      </c>
      <c r="I37" s="12">
        <v>3</v>
      </c>
      <c r="J37" s="165">
        <v>590</v>
      </c>
      <c r="K37" s="166"/>
      <c r="L37" s="165"/>
      <c r="M37" s="166"/>
      <c r="N37" s="165"/>
      <c r="O37" s="166"/>
      <c r="P37" s="165"/>
      <c r="Q37" s="166"/>
      <c r="R37" s="76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63"/>
      <c r="B38" s="5"/>
      <c r="C38" s="5"/>
      <c r="D38" s="101">
        <v>180925</v>
      </c>
      <c r="E38" s="12" t="s">
        <v>453</v>
      </c>
      <c r="F38" s="40">
        <v>304</v>
      </c>
      <c r="G38" s="41">
        <v>0.7</v>
      </c>
      <c r="H38" s="40">
        <v>388</v>
      </c>
      <c r="I38" s="12">
        <v>7</v>
      </c>
      <c r="J38" s="165">
        <v>1300</v>
      </c>
      <c r="K38" s="166"/>
      <c r="L38" s="165"/>
      <c r="M38" s="166"/>
      <c r="N38" s="165"/>
      <c r="O38" s="166"/>
      <c r="P38" s="165"/>
      <c r="Q38" s="166"/>
      <c r="R38" s="76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3"/>
      <c r="B39" s="5"/>
      <c r="C39" s="5">
        <v>0.70833333333333337</v>
      </c>
      <c r="D39" s="4">
        <v>250052</v>
      </c>
      <c r="E39" s="12" t="s">
        <v>455</v>
      </c>
      <c r="F39" s="40">
        <v>304</v>
      </c>
      <c r="G39" s="41">
        <v>0.7</v>
      </c>
      <c r="H39" s="40">
        <v>385</v>
      </c>
      <c r="I39" s="12">
        <v>3</v>
      </c>
      <c r="J39" s="165">
        <v>60</v>
      </c>
      <c r="K39" s="166"/>
      <c r="L39" s="165"/>
      <c r="M39" s="166"/>
      <c r="N39" s="165"/>
      <c r="O39" s="166"/>
      <c r="P39" s="165"/>
      <c r="Q39" s="166"/>
      <c r="R39" s="76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63"/>
      <c r="B40" s="5"/>
      <c r="C40" s="5"/>
      <c r="D40" s="4"/>
      <c r="E40" s="12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76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4"/>
      <c r="B41" s="19"/>
      <c r="C41" s="19"/>
      <c r="D41" s="20"/>
      <c r="E41" s="170" t="s">
        <v>0</v>
      </c>
      <c r="F41" s="171"/>
      <c r="G41" s="171"/>
      <c r="H41" s="171"/>
      <c r="I41" s="172"/>
      <c r="J41" s="173">
        <f>SUM(J36:K40)</f>
        <v>2360</v>
      </c>
      <c r="K41" s="174"/>
      <c r="L41" s="173">
        <f>SUM(L36:M40)</f>
        <v>0</v>
      </c>
      <c r="M41" s="174"/>
      <c r="N41" s="173">
        <f>SUM(N36:O40)</f>
        <v>0</v>
      </c>
      <c r="O41" s="174"/>
      <c r="P41" s="173">
        <f>SUM(P36:Q40)</f>
        <v>0</v>
      </c>
      <c r="Q41" s="174"/>
      <c r="R41" s="23">
        <f>SUM(R36:R40)</f>
        <v>0</v>
      </c>
      <c r="S41" s="24" t="s">
        <v>20</v>
      </c>
      <c r="T41" s="19"/>
      <c r="U41" s="177"/>
      <c r="V41" s="178"/>
      <c r="W41" s="179"/>
    </row>
    <row r="42" spans="1:23" ht="14.55" customHeight="1" x14ac:dyDescent="0.3">
      <c r="A42" s="163" t="s">
        <v>35</v>
      </c>
      <c r="B42" s="5">
        <v>0.33333333333333331</v>
      </c>
      <c r="C42" s="5"/>
      <c r="D42" s="4">
        <v>290925</v>
      </c>
      <c r="E42" s="12" t="s">
        <v>416</v>
      </c>
      <c r="F42" s="40">
        <v>304</v>
      </c>
      <c r="G42" s="41">
        <v>0.8</v>
      </c>
      <c r="H42" s="40">
        <v>330</v>
      </c>
      <c r="I42" s="12"/>
      <c r="J42" s="165">
        <v>350</v>
      </c>
      <c r="K42" s="166"/>
      <c r="L42" s="165"/>
      <c r="M42" s="166"/>
      <c r="N42" s="165"/>
      <c r="O42" s="166"/>
      <c r="P42" s="165"/>
      <c r="Q42" s="166"/>
      <c r="R42" s="76">
        <v>120</v>
      </c>
      <c r="S42" s="14" t="s">
        <v>20</v>
      </c>
      <c r="T42" s="42" t="s">
        <v>93</v>
      </c>
      <c r="U42" s="177"/>
      <c r="V42" s="178"/>
      <c r="W42" s="179"/>
    </row>
    <row r="43" spans="1:23" ht="14.55" customHeight="1" x14ac:dyDescent="0.3">
      <c r="A43" s="163"/>
      <c r="B43" s="5"/>
      <c r="C43" s="5"/>
      <c r="D43" s="4">
        <v>230925</v>
      </c>
      <c r="E43" s="12" t="s">
        <v>456</v>
      </c>
      <c r="F43" s="40">
        <v>430</v>
      </c>
      <c r="G43" s="41">
        <v>0.8</v>
      </c>
      <c r="H43" s="40">
        <v>425</v>
      </c>
      <c r="I43" s="12"/>
      <c r="J43" s="165">
        <v>400</v>
      </c>
      <c r="K43" s="166"/>
      <c r="L43" s="165"/>
      <c r="M43" s="166"/>
      <c r="N43" s="165"/>
      <c r="O43" s="166"/>
      <c r="P43" s="165"/>
      <c r="Q43" s="166"/>
      <c r="R43" s="76">
        <v>120</v>
      </c>
      <c r="S43" s="14" t="s">
        <v>20</v>
      </c>
      <c r="T43" s="42" t="s">
        <v>457</v>
      </c>
      <c r="U43" s="177"/>
      <c r="V43" s="178"/>
      <c r="W43" s="17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76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76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76"/>
      <c r="S46" s="14" t="s">
        <v>20</v>
      </c>
      <c r="T46" s="42"/>
      <c r="U46" s="177"/>
      <c r="V46" s="178"/>
      <c r="W46" s="179"/>
    </row>
    <row r="47" spans="1:23" ht="14.55" customHeight="1" x14ac:dyDescent="0.3">
      <c r="A47" s="164"/>
      <c r="B47" s="19"/>
      <c r="C47" s="19"/>
      <c r="D47" s="20"/>
      <c r="E47" s="170" t="s">
        <v>0</v>
      </c>
      <c r="F47" s="171"/>
      <c r="G47" s="171"/>
      <c r="H47" s="171"/>
      <c r="I47" s="172"/>
      <c r="J47" s="173">
        <f>SUM(J42:K46)</f>
        <v>750</v>
      </c>
      <c r="K47" s="174"/>
      <c r="L47" s="173">
        <f>SUM(L42:M46)</f>
        <v>0</v>
      </c>
      <c r="M47" s="174"/>
      <c r="N47" s="173">
        <f>SUM(N42:O46)</f>
        <v>0</v>
      </c>
      <c r="O47" s="174"/>
      <c r="P47" s="173">
        <f>SUM(P42:Q46)</f>
        <v>0</v>
      </c>
      <c r="Q47" s="174"/>
      <c r="R47" s="23">
        <f>SUM(R42:R46)</f>
        <v>240</v>
      </c>
      <c r="S47" s="24" t="s">
        <v>20</v>
      </c>
      <c r="T47" s="19"/>
      <c r="U47" s="177"/>
      <c r="V47" s="178"/>
      <c r="W47" s="179"/>
    </row>
    <row r="48" spans="1:23" ht="14.55" customHeight="1" x14ac:dyDescent="0.3">
      <c r="A48" s="27"/>
      <c r="B48" s="27"/>
      <c r="C48" s="27"/>
      <c r="D48" s="27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27"/>
      <c r="S48" s="27"/>
      <c r="T48" s="39"/>
      <c r="U48" s="39"/>
      <c r="V48" s="39"/>
      <c r="W48" s="39"/>
    </row>
    <row r="49" spans="1:23" x14ac:dyDescent="0.3">
      <c r="E49" s="170" t="s">
        <v>31</v>
      </c>
      <c r="F49" s="171"/>
      <c r="G49" s="171"/>
      <c r="H49" s="171"/>
      <c r="I49" s="172"/>
      <c r="J49" s="175" t="s">
        <v>7</v>
      </c>
      <c r="K49" s="176"/>
      <c r="L49" s="175" t="s">
        <v>8</v>
      </c>
      <c r="M49" s="176"/>
      <c r="N49" s="175" t="s">
        <v>9</v>
      </c>
      <c r="O49" s="176"/>
      <c r="P49" s="175" t="s">
        <v>117</v>
      </c>
      <c r="Q49" s="176"/>
    </row>
    <row r="50" spans="1:23" s="2" customFormat="1" x14ac:dyDescent="0.3">
      <c r="E50" s="15"/>
      <c r="F50" s="15"/>
      <c r="G50" s="15"/>
      <c r="H50" s="15"/>
      <c r="I50" s="15"/>
      <c r="J50" s="30">
        <f>J35+J41+J47</f>
        <v>4540</v>
      </c>
      <c r="K50" s="31" t="s">
        <v>17</v>
      </c>
      <c r="L50" s="30">
        <f>L35+L41+L47</f>
        <v>0</v>
      </c>
      <c r="M50" s="31" t="s">
        <v>17</v>
      </c>
      <c r="N50" s="30">
        <f>N35+N41+N47</f>
        <v>0</v>
      </c>
      <c r="O50" s="31" t="s">
        <v>17</v>
      </c>
      <c r="P50" s="30">
        <f>P35+P41+P47</f>
        <v>0</v>
      </c>
      <c r="Q50" s="34" t="s">
        <v>17</v>
      </c>
    </row>
    <row r="51" spans="1:23" ht="24.45" customHeight="1" x14ac:dyDescent="0.3">
      <c r="E51" s="28"/>
      <c r="F51" s="28"/>
      <c r="G51" s="28"/>
      <c r="H51" s="28"/>
      <c r="I51" s="28"/>
      <c r="J51" s="167">
        <f>J50+L50+N50+P50</f>
        <v>4540</v>
      </c>
      <c r="K51" s="168"/>
      <c r="L51" s="168"/>
      <c r="M51" s="168"/>
      <c r="N51" s="168"/>
      <c r="O51" s="168"/>
      <c r="P51" s="168"/>
      <c r="Q51" s="169"/>
    </row>
    <row r="52" spans="1:23" ht="30" customHeight="1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 spans="1:23" s="37" customFormat="1" ht="19.95" customHeight="1" x14ac:dyDescent="0.4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214" t="s">
        <v>14</v>
      </c>
      <c r="R53" s="215"/>
      <c r="S53" s="216"/>
      <c r="T53" s="184">
        <f>T3</f>
        <v>45940</v>
      </c>
      <c r="U53" s="185"/>
      <c r="V53" s="185"/>
      <c r="W53" s="186"/>
    </row>
    <row r="54" spans="1:23" s="16" customFormat="1" ht="30" customHeight="1" x14ac:dyDescent="0.3">
      <c r="A54" s="187" t="s">
        <v>26</v>
      </c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9"/>
      <c r="Q54" s="189"/>
      <c r="R54" s="189"/>
      <c r="S54" s="189"/>
      <c r="T54" s="188"/>
      <c r="U54" s="188"/>
      <c r="V54" s="188"/>
      <c r="W54" s="190"/>
    </row>
    <row r="55" spans="1:23" s="26" customFormat="1" ht="13.8" x14ac:dyDescent="0.3">
      <c r="A55" s="191" t="s">
        <v>1</v>
      </c>
      <c r="B55" s="192" t="s">
        <v>2</v>
      </c>
      <c r="C55" s="192" t="s">
        <v>3</v>
      </c>
      <c r="D55" s="192" t="s">
        <v>4</v>
      </c>
      <c r="E55" s="193" t="s">
        <v>5</v>
      </c>
      <c r="F55" s="197"/>
      <c r="G55" s="197"/>
      <c r="H55" s="197"/>
      <c r="I55" s="198"/>
      <c r="J55" s="193" t="s">
        <v>6</v>
      </c>
      <c r="K55" s="197"/>
      <c r="L55" s="197"/>
      <c r="M55" s="197"/>
      <c r="N55" s="197"/>
      <c r="O55" s="197"/>
      <c r="P55" s="197"/>
      <c r="Q55" s="198"/>
      <c r="R55" s="193" t="s">
        <v>10</v>
      </c>
      <c r="S55" s="198"/>
      <c r="T55" s="191" t="s">
        <v>11</v>
      </c>
      <c r="U55" s="191" t="s">
        <v>12</v>
      </c>
      <c r="V55" s="191"/>
      <c r="W55" s="191"/>
    </row>
    <row r="56" spans="1:23" s="26" customFormat="1" ht="13.8" x14ac:dyDescent="0.3">
      <c r="A56" s="191"/>
      <c r="B56" s="192"/>
      <c r="C56" s="192"/>
      <c r="D56" s="192"/>
      <c r="E56" s="194"/>
      <c r="F56" s="217"/>
      <c r="G56" s="217"/>
      <c r="H56" s="217"/>
      <c r="I56" s="199"/>
      <c r="J56" s="200" t="s">
        <v>7</v>
      </c>
      <c r="K56" s="201"/>
      <c r="L56" s="200" t="s">
        <v>8</v>
      </c>
      <c r="M56" s="201"/>
      <c r="N56" s="200" t="s">
        <v>9</v>
      </c>
      <c r="O56" s="201"/>
      <c r="P56" s="200" t="s">
        <v>117</v>
      </c>
      <c r="Q56" s="201"/>
      <c r="R56" s="194"/>
      <c r="S56" s="199"/>
      <c r="T56" s="191"/>
      <c r="U56" s="191"/>
      <c r="V56" s="191"/>
      <c r="W56" s="191"/>
    </row>
    <row r="57" spans="1:23" x14ac:dyDescent="0.3">
      <c r="A57" s="180" t="s">
        <v>13</v>
      </c>
      <c r="B57" s="5">
        <v>0.33333333333333331</v>
      </c>
      <c r="C57" s="5"/>
      <c r="D57" s="4">
        <v>160925</v>
      </c>
      <c r="E57" s="211" t="s">
        <v>450</v>
      </c>
      <c r="F57" s="212"/>
      <c r="G57" s="212"/>
      <c r="H57" s="212"/>
      <c r="I57" s="213"/>
      <c r="J57" s="165">
        <v>1076</v>
      </c>
      <c r="K57" s="166"/>
      <c r="L57" s="165"/>
      <c r="M57" s="166"/>
      <c r="N57" s="165"/>
      <c r="O57" s="166"/>
      <c r="P57" s="165"/>
      <c r="Q57" s="166"/>
      <c r="R57" s="76"/>
      <c r="S57" s="6" t="s">
        <v>20</v>
      </c>
      <c r="T57" s="3"/>
      <c r="U57" s="202"/>
      <c r="V57" s="203"/>
      <c r="W57" s="204"/>
    </row>
    <row r="58" spans="1:23" x14ac:dyDescent="0.3">
      <c r="A58" s="163"/>
      <c r="B58" s="5"/>
      <c r="C58" s="5"/>
      <c r="D58" s="4">
        <v>160925</v>
      </c>
      <c r="E58" s="211" t="s">
        <v>451</v>
      </c>
      <c r="F58" s="212"/>
      <c r="G58" s="212"/>
      <c r="H58" s="212"/>
      <c r="I58" s="213"/>
      <c r="J58" s="165">
        <v>2113</v>
      </c>
      <c r="K58" s="166"/>
      <c r="L58" s="165"/>
      <c r="M58" s="166"/>
      <c r="N58" s="165"/>
      <c r="O58" s="166"/>
      <c r="P58" s="165"/>
      <c r="Q58" s="166"/>
      <c r="R58" s="76"/>
      <c r="S58" s="6" t="s">
        <v>20</v>
      </c>
      <c r="T58" s="3"/>
      <c r="U58" s="205"/>
      <c r="V58" s="206"/>
      <c r="W58" s="207"/>
    </row>
    <row r="59" spans="1:23" x14ac:dyDescent="0.3">
      <c r="A59" s="163"/>
      <c r="B59" s="5"/>
      <c r="C59" s="5">
        <v>0.70833333333333337</v>
      </c>
      <c r="D59" s="4">
        <v>160925</v>
      </c>
      <c r="E59" s="211" t="s">
        <v>452</v>
      </c>
      <c r="F59" s="212"/>
      <c r="G59" s="212"/>
      <c r="H59" s="212"/>
      <c r="I59" s="213"/>
      <c r="J59" s="165">
        <v>1000</v>
      </c>
      <c r="K59" s="166"/>
      <c r="L59" s="165"/>
      <c r="M59" s="166"/>
      <c r="N59" s="165"/>
      <c r="O59" s="166"/>
      <c r="P59" s="165"/>
      <c r="Q59" s="166"/>
      <c r="R59" s="76"/>
      <c r="S59" s="6" t="s">
        <v>20</v>
      </c>
      <c r="T59" s="3"/>
      <c r="U59" s="205"/>
      <c r="V59" s="206"/>
      <c r="W59" s="207"/>
    </row>
    <row r="60" spans="1:23" x14ac:dyDescent="0.3">
      <c r="A60" s="163"/>
      <c r="B60" s="5"/>
      <c r="C60" s="5"/>
      <c r="D60" s="4"/>
      <c r="E60" s="211"/>
      <c r="F60" s="212"/>
      <c r="G60" s="212"/>
      <c r="H60" s="212"/>
      <c r="I60" s="213"/>
      <c r="J60" s="165"/>
      <c r="K60" s="166"/>
      <c r="L60" s="165"/>
      <c r="M60" s="166"/>
      <c r="N60" s="165"/>
      <c r="O60" s="166"/>
      <c r="P60" s="165"/>
      <c r="Q60" s="166"/>
      <c r="R60" s="76"/>
      <c r="S60" s="6" t="s">
        <v>20</v>
      </c>
      <c r="T60" s="3"/>
      <c r="U60" s="205"/>
      <c r="V60" s="206"/>
      <c r="W60" s="207"/>
    </row>
    <row r="61" spans="1:23" x14ac:dyDescent="0.3">
      <c r="A61" s="163"/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76"/>
      <c r="S61" s="6" t="s">
        <v>20</v>
      </c>
      <c r="T61" s="3"/>
      <c r="U61" s="205"/>
      <c r="V61" s="206"/>
      <c r="W61" s="207"/>
    </row>
    <row r="62" spans="1:23" x14ac:dyDescent="0.3">
      <c r="A62" s="163"/>
      <c r="B62" s="5"/>
      <c r="C62" s="5"/>
      <c r="D62" s="4"/>
      <c r="E62" s="211"/>
      <c r="F62" s="212"/>
      <c r="G62" s="212"/>
      <c r="H62" s="212"/>
      <c r="I62" s="213"/>
      <c r="J62" s="165"/>
      <c r="K62" s="166"/>
      <c r="L62" s="165"/>
      <c r="M62" s="166"/>
      <c r="N62" s="165"/>
      <c r="O62" s="166"/>
      <c r="P62" s="165"/>
      <c r="Q62" s="166"/>
      <c r="R62" s="76"/>
      <c r="S62" s="6" t="s">
        <v>20</v>
      </c>
      <c r="T62" s="3"/>
      <c r="U62" s="205"/>
      <c r="V62" s="206"/>
      <c r="W62" s="207"/>
    </row>
    <row r="63" spans="1:23" x14ac:dyDescent="0.3">
      <c r="A63" s="163"/>
      <c r="B63" s="5"/>
      <c r="C63" s="5"/>
      <c r="D63" s="4"/>
      <c r="E63" s="211"/>
      <c r="F63" s="212"/>
      <c r="G63" s="212"/>
      <c r="H63" s="212"/>
      <c r="I63" s="213"/>
      <c r="J63" s="165"/>
      <c r="K63" s="166"/>
      <c r="L63" s="165"/>
      <c r="M63" s="166"/>
      <c r="N63" s="165"/>
      <c r="O63" s="166"/>
      <c r="P63" s="165"/>
      <c r="Q63" s="166"/>
      <c r="R63" s="76"/>
      <c r="S63" s="6" t="s">
        <v>20</v>
      </c>
      <c r="T63" s="3"/>
      <c r="U63" s="205"/>
      <c r="V63" s="206"/>
      <c r="W63" s="207"/>
    </row>
    <row r="64" spans="1:23" x14ac:dyDescent="0.3">
      <c r="A64" s="164"/>
      <c r="B64" s="19"/>
      <c r="C64" s="19"/>
      <c r="D64" s="20"/>
      <c r="E64" s="170" t="s">
        <v>0</v>
      </c>
      <c r="F64" s="171"/>
      <c r="G64" s="171"/>
      <c r="H64" s="171"/>
      <c r="I64" s="172"/>
      <c r="J64" s="173">
        <f>SUM(J57:J63)</f>
        <v>4189</v>
      </c>
      <c r="K64" s="174"/>
      <c r="L64" s="173">
        <f>SUM(L57:L63)</f>
        <v>0</v>
      </c>
      <c r="M64" s="174"/>
      <c r="N64" s="173">
        <f>SUM(N57:N63)</f>
        <v>0</v>
      </c>
      <c r="O64" s="174"/>
      <c r="P64" s="173">
        <f>SUM(P57:P63)</f>
        <v>0</v>
      </c>
      <c r="Q64" s="174"/>
      <c r="R64" s="23">
        <f>SUM(R57:R63)</f>
        <v>0</v>
      </c>
      <c r="S64" s="24" t="s">
        <v>20</v>
      </c>
      <c r="T64" s="19"/>
      <c r="U64" s="208"/>
      <c r="V64" s="209"/>
      <c r="W64" s="210"/>
    </row>
    <row r="65" spans="1:23" x14ac:dyDescent="0.3">
      <c r="A65" s="180" t="s">
        <v>15</v>
      </c>
      <c r="B65" s="5"/>
      <c r="C65" s="5"/>
      <c r="D65" s="4"/>
      <c r="E65" s="211"/>
      <c r="F65" s="212"/>
      <c r="G65" s="212"/>
      <c r="H65" s="212"/>
      <c r="I65" s="213"/>
      <c r="J65" s="165"/>
      <c r="K65" s="166"/>
      <c r="L65" s="165"/>
      <c r="M65" s="166"/>
      <c r="N65" s="165"/>
      <c r="O65" s="166"/>
      <c r="P65" s="165"/>
      <c r="Q65" s="166"/>
      <c r="R65" s="76"/>
      <c r="S65" s="6" t="s">
        <v>20</v>
      </c>
      <c r="T65" s="3"/>
      <c r="U65" s="202"/>
      <c r="V65" s="203"/>
      <c r="W65" s="204"/>
    </row>
    <row r="66" spans="1:23" x14ac:dyDescent="0.3">
      <c r="A66" s="163"/>
      <c r="B66" s="5"/>
      <c r="C66" s="5"/>
      <c r="D66" s="4"/>
      <c r="E66" s="211"/>
      <c r="F66" s="212"/>
      <c r="G66" s="212"/>
      <c r="H66" s="212"/>
      <c r="I66" s="213"/>
      <c r="J66" s="165"/>
      <c r="K66" s="166"/>
      <c r="L66" s="165"/>
      <c r="M66" s="166"/>
      <c r="N66" s="165"/>
      <c r="O66" s="166"/>
      <c r="P66" s="165"/>
      <c r="Q66" s="166"/>
      <c r="R66" s="76"/>
      <c r="S66" s="6" t="s">
        <v>20</v>
      </c>
      <c r="T66" s="3"/>
      <c r="U66" s="205"/>
      <c r="V66" s="206"/>
      <c r="W66" s="207"/>
    </row>
    <row r="67" spans="1:23" x14ac:dyDescent="0.3">
      <c r="A67" s="163"/>
      <c r="B67" s="5"/>
      <c r="C67" s="5"/>
      <c r="D67" s="4"/>
      <c r="E67" s="211"/>
      <c r="F67" s="212"/>
      <c r="G67" s="212"/>
      <c r="H67" s="212"/>
      <c r="I67" s="213"/>
      <c r="J67" s="165"/>
      <c r="K67" s="166"/>
      <c r="L67" s="165"/>
      <c r="M67" s="166"/>
      <c r="N67" s="165"/>
      <c r="O67" s="166"/>
      <c r="P67" s="165"/>
      <c r="Q67" s="166"/>
      <c r="R67" s="76"/>
      <c r="S67" s="6" t="s">
        <v>20</v>
      </c>
      <c r="T67" s="3"/>
      <c r="U67" s="205"/>
      <c r="V67" s="206"/>
      <c r="W67" s="207"/>
    </row>
    <row r="68" spans="1:23" x14ac:dyDescent="0.3">
      <c r="A68" s="164"/>
      <c r="B68" s="19"/>
      <c r="C68" s="19"/>
      <c r="D68" s="20"/>
      <c r="E68" s="170" t="s">
        <v>0</v>
      </c>
      <c r="F68" s="171"/>
      <c r="G68" s="171"/>
      <c r="H68" s="171"/>
      <c r="I68" s="172"/>
      <c r="J68" s="173">
        <f>SUM(J65:J67)</f>
        <v>0</v>
      </c>
      <c r="K68" s="174"/>
      <c r="L68" s="173">
        <f>SUM(L65:L67)</f>
        <v>0</v>
      </c>
      <c r="M68" s="174"/>
      <c r="N68" s="173">
        <f>SUM(N65:N67)</f>
        <v>0</v>
      </c>
      <c r="O68" s="174"/>
      <c r="P68" s="173">
        <f>SUM(P60:P67)</f>
        <v>0</v>
      </c>
      <c r="Q68" s="174"/>
      <c r="R68" s="23">
        <f>SUM(R65:R67)</f>
        <v>0</v>
      </c>
      <c r="S68" s="24" t="s">
        <v>20</v>
      </c>
      <c r="T68" s="7"/>
      <c r="U68" s="208"/>
      <c r="V68" s="209"/>
      <c r="W68" s="210"/>
    </row>
    <row r="69" spans="1:23" x14ac:dyDescent="0.3">
      <c r="E69" s="28"/>
      <c r="F69" s="28"/>
      <c r="G69" s="28"/>
      <c r="H69" s="28"/>
      <c r="I69" s="28"/>
      <c r="J69" s="29"/>
      <c r="K69" s="29"/>
      <c r="L69" s="29"/>
      <c r="M69" s="29"/>
      <c r="N69" s="29"/>
      <c r="O69" s="29"/>
      <c r="P69" s="29"/>
      <c r="Q69" s="29"/>
    </row>
    <row r="70" spans="1:23" x14ac:dyDescent="0.3">
      <c r="E70" s="170" t="s">
        <v>28</v>
      </c>
      <c r="F70" s="171"/>
      <c r="G70" s="171"/>
      <c r="H70" s="171"/>
      <c r="I70" s="172"/>
      <c r="J70" s="175" t="s">
        <v>7</v>
      </c>
      <c r="K70" s="176"/>
      <c r="L70" s="175" t="s">
        <v>8</v>
      </c>
      <c r="M70" s="176"/>
      <c r="N70" s="175" t="s">
        <v>9</v>
      </c>
      <c r="O70" s="176"/>
      <c r="P70" s="175" t="s">
        <v>117</v>
      </c>
      <c r="Q70" s="176"/>
    </row>
    <row r="71" spans="1:23" s="2" customFormat="1" x14ac:dyDescent="0.3">
      <c r="E71" s="15"/>
      <c r="F71" s="15"/>
      <c r="G71" s="15"/>
      <c r="H71" s="15"/>
      <c r="I71" s="15"/>
      <c r="J71" s="30">
        <f>J64+J68</f>
        <v>4189</v>
      </c>
      <c r="K71" s="31" t="s">
        <v>17</v>
      </c>
      <c r="L71" s="32">
        <f>L64+L68</f>
        <v>0</v>
      </c>
      <c r="M71" s="31" t="s">
        <v>17</v>
      </c>
      <c r="N71" s="32">
        <f>N64+N68</f>
        <v>0</v>
      </c>
      <c r="O71" s="31" t="s">
        <v>17</v>
      </c>
      <c r="P71" s="32">
        <f>P64+P68</f>
        <v>0</v>
      </c>
      <c r="Q71" s="34" t="s">
        <v>17</v>
      </c>
    </row>
    <row r="72" spans="1:23" ht="24.45" customHeight="1" x14ac:dyDescent="0.3">
      <c r="E72" s="28"/>
      <c r="F72" s="28"/>
      <c r="G72" s="28"/>
      <c r="H72" s="28"/>
      <c r="I72" s="28"/>
      <c r="J72" s="167">
        <f>J71+L71+N71+P71</f>
        <v>4189</v>
      </c>
      <c r="K72" s="168"/>
      <c r="L72" s="168"/>
      <c r="M72" s="168"/>
      <c r="N72" s="168"/>
      <c r="O72" s="168"/>
      <c r="P72" s="168"/>
      <c r="Q72" s="169"/>
    </row>
  </sheetData>
  <mergeCells count="274">
    <mergeCell ref="E70:I70"/>
    <mergeCell ref="J70:K70"/>
    <mergeCell ref="L70:M70"/>
    <mergeCell ref="N70:O70"/>
    <mergeCell ref="P70:Q70"/>
    <mergeCell ref="J72:Q72"/>
    <mergeCell ref="N67:O67"/>
    <mergeCell ref="P67:Q67"/>
    <mergeCell ref="E68:I68"/>
    <mergeCell ref="J68:K68"/>
    <mergeCell ref="L68:M68"/>
    <mergeCell ref="N68:O68"/>
    <mergeCell ref="P68:Q68"/>
    <mergeCell ref="U65:W68"/>
    <mergeCell ref="E66:I66"/>
    <mergeCell ref="J66:K66"/>
    <mergeCell ref="L66:M66"/>
    <mergeCell ref="N66:O66"/>
    <mergeCell ref="P66:Q66"/>
    <mergeCell ref="E67:I67"/>
    <mergeCell ref="J67:K67"/>
    <mergeCell ref="L67:M67"/>
    <mergeCell ref="E64:I64"/>
    <mergeCell ref="J64:K64"/>
    <mergeCell ref="L64:M64"/>
    <mergeCell ref="N64:O64"/>
    <mergeCell ref="P64:Q64"/>
    <mergeCell ref="A65:A68"/>
    <mergeCell ref="E65:I65"/>
    <mergeCell ref="J65:K65"/>
    <mergeCell ref="L65:M65"/>
    <mergeCell ref="N65:O65"/>
    <mergeCell ref="A57:A64"/>
    <mergeCell ref="J60:K60"/>
    <mergeCell ref="L60:M60"/>
    <mergeCell ref="P65:Q65"/>
    <mergeCell ref="E62:I62"/>
    <mergeCell ref="J62:K62"/>
    <mergeCell ref="L62:M62"/>
    <mergeCell ref="N62:O62"/>
    <mergeCell ref="P62:Q62"/>
    <mergeCell ref="E63:I63"/>
    <mergeCell ref="J63:K63"/>
    <mergeCell ref="L63:M63"/>
    <mergeCell ref="N63:O63"/>
    <mergeCell ref="P63:Q63"/>
    <mergeCell ref="N60:O60"/>
    <mergeCell ref="P60:Q60"/>
    <mergeCell ref="E61:I61"/>
    <mergeCell ref="J61:K61"/>
    <mergeCell ref="L61:M61"/>
    <mergeCell ref="N61:O61"/>
    <mergeCell ref="P61:Q61"/>
    <mergeCell ref="U57:W64"/>
    <mergeCell ref="E58:I58"/>
    <mergeCell ref="J58:K58"/>
    <mergeCell ref="L58:M58"/>
    <mergeCell ref="N58:O58"/>
    <mergeCell ref="P58:Q58"/>
    <mergeCell ref="E59:I59"/>
    <mergeCell ref="J59:K59"/>
    <mergeCell ref="L59:M59"/>
    <mergeCell ref="N59:O59"/>
    <mergeCell ref="E57:I57"/>
    <mergeCell ref="J57:K57"/>
    <mergeCell ref="L57:M57"/>
    <mergeCell ref="N57:O57"/>
    <mergeCell ref="P57:Q57"/>
    <mergeCell ref="P59:Q59"/>
    <mergeCell ref="E60:I60"/>
    <mergeCell ref="E49:I49"/>
    <mergeCell ref="J49:K49"/>
    <mergeCell ref="L49:M49"/>
    <mergeCell ref="N49:O49"/>
    <mergeCell ref="P49:Q49"/>
    <mergeCell ref="R55:S56"/>
    <mergeCell ref="T55:T56"/>
    <mergeCell ref="U55:W56"/>
    <mergeCell ref="J56:K56"/>
    <mergeCell ref="L56:M56"/>
    <mergeCell ref="N56:O56"/>
    <mergeCell ref="P56:Q56"/>
    <mergeCell ref="J51:Q51"/>
    <mergeCell ref="Q53:S53"/>
    <mergeCell ref="T53:W53"/>
    <mergeCell ref="A54:W54"/>
    <mergeCell ref="A55:A56"/>
    <mergeCell ref="B55:B56"/>
    <mergeCell ref="C55:C56"/>
    <mergeCell ref="D55:D56"/>
    <mergeCell ref="E55:I56"/>
    <mergeCell ref="J55:Q55"/>
    <mergeCell ref="U42:W47"/>
    <mergeCell ref="J43:K43"/>
    <mergeCell ref="L43:M43"/>
    <mergeCell ref="N43:O43"/>
    <mergeCell ref="P43:Q43"/>
    <mergeCell ref="J44:K44"/>
    <mergeCell ref="L44:M44"/>
    <mergeCell ref="N44:O44"/>
    <mergeCell ref="P44:Q44"/>
    <mergeCell ref="J45:K45"/>
    <mergeCell ref="J46:K46"/>
    <mergeCell ref="L46:M46"/>
    <mergeCell ref="N46:O46"/>
    <mergeCell ref="P46:Q46"/>
    <mergeCell ref="A42:A47"/>
    <mergeCell ref="J42:K42"/>
    <mergeCell ref="L42:M42"/>
    <mergeCell ref="N42:O42"/>
    <mergeCell ref="P42:Q42"/>
    <mergeCell ref="L45:M45"/>
    <mergeCell ref="N45:O45"/>
    <mergeCell ref="P45:Q45"/>
    <mergeCell ref="E47:I47"/>
    <mergeCell ref="J47:K47"/>
    <mergeCell ref="L47:M47"/>
    <mergeCell ref="N47:O47"/>
    <mergeCell ref="P47:Q47"/>
    <mergeCell ref="U36:W41"/>
    <mergeCell ref="J37:K37"/>
    <mergeCell ref="L37:M37"/>
    <mergeCell ref="N37:O37"/>
    <mergeCell ref="P37:Q37"/>
    <mergeCell ref="J38:K38"/>
    <mergeCell ref="L38:M38"/>
    <mergeCell ref="N38:O38"/>
    <mergeCell ref="P38:Q38"/>
    <mergeCell ref="J39:K39"/>
    <mergeCell ref="J40:K40"/>
    <mergeCell ref="L40:M40"/>
    <mergeCell ref="N40:O40"/>
    <mergeCell ref="P40:Q40"/>
    <mergeCell ref="A36:A41"/>
    <mergeCell ref="J36:K36"/>
    <mergeCell ref="L36:M36"/>
    <mergeCell ref="N36:O36"/>
    <mergeCell ref="P36:Q36"/>
    <mergeCell ref="L39:M39"/>
    <mergeCell ref="N39:O39"/>
    <mergeCell ref="P39:Q39"/>
    <mergeCell ref="E41:I41"/>
    <mergeCell ref="J41:K41"/>
    <mergeCell ref="L41:M41"/>
    <mergeCell ref="N41:O41"/>
    <mergeCell ref="P41:Q41"/>
    <mergeCell ref="U31:W35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L34:M34"/>
    <mergeCell ref="N34:O34"/>
    <mergeCell ref="P34:Q34"/>
    <mergeCell ref="A31:A35"/>
    <mergeCell ref="J31:K31"/>
    <mergeCell ref="L31:M31"/>
    <mergeCell ref="N31:O31"/>
    <mergeCell ref="P31:Q31"/>
    <mergeCell ref="G29:G30"/>
    <mergeCell ref="H29:H30"/>
    <mergeCell ref="I29:I30"/>
    <mergeCell ref="J29:Q29"/>
    <mergeCell ref="E35:I35"/>
    <mergeCell ref="J35:K35"/>
    <mergeCell ref="L35:M35"/>
    <mergeCell ref="N35:O35"/>
    <mergeCell ref="P35:Q35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W69"/>
  <sheetViews>
    <sheetView topLeftCell="A46" zoomScale="85" zoomScaleNormal="85" workbookViewId="0">
      <selection activeCell="D59" sqref="D59"/>
    </sheetView>
  </sheetViews>
  <sheetFormatPr defaultRowHeight="14.4" x14ac:dyDescent="0.3"/>
  <cols>
    <col min="1" max="1" width="12.6640625" customWidth="1"/>
    <col min="2" max="3" width="7.6640625" customWidth="1"/>
    <col min="4" max="4" width="9" style="8" bestFit="1" customWidth="1"/>
    <col min="5" max="5" width="31.44140625" bestFit="1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45941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250080</v>
      </c>
      <c r="E7" s="12" t="s">
        <v>458</v>
      </c>
      <c r="F7" s="17">
        <v>342</v>
      </c>
      <c r="G7" s="17">
        <v>304</v>
      </c>
      <c r="H7" s="18">
        <v>0.6</v>
      </c>
      <c r="I7" s="17">
        <v>35000</v>
      </c>
      <c r="J7" s="165">
        <v>520</v>
      </c>
      <c r="K7" s="166"/>
      <c r="L7" s="165"/>
      <c r="M7" s="166"/>
      <c r="N7" s="165"/>
      <c r="O7" s="166"/>
      <c r="P7" s="165"/>
      <c r="Q7" s="166"/>
      <c r="R7" s="79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459</v>
      </c>
      <c r="F8" s="17" t="s">
        <v>277</v>
      </c>
      <c r="G8" s="17">
        <v>304</v>
      </c>
      <c r="H8" s="18">
        <v>0.6</v>
      </c>
      <c r="I8" s="17">
        <v>35000</v>
      </c>
      <c r="J8" s="165">
        <v>130</v>
      </c>
      <c r="K8" s="166"/>
      <c r="L8" s="165"/>
      <c r="M8" s="166"/>
      <c r="N8" s="165"/>
      <c r="O8" s="166"/>
      <c r="P8" s="165"/>
      <c r="Q8" s="166"/>
      <c r="R8" s="79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250080</v>
      </c>
      <c r="E9" s="12" t="s">
        <v>460</v>
      </c>
      <c r="F9" s="17">
        <v>453</v>
      </c>
      <c r="G9" s="17">
        <v>304</v>
      </c>
      <c r="H9" s="18">
        <v>0.6</v>
      </c>
      <c r="I9" s="17">
        <v>35000</v>
      </c>
      <c r="J9" s="165">
        <v>1026</v>
      </c>
      <c r="K9" s="166"/>
      <c r="L9" s="165"/>
      <c r="M9" s="166"/>
      <c r="N9" s="165"/>
      <c r="O9" s="166"/>
      <c r="P9" s="165"/>
      <c r="Q9" s="166"/>
      <c r="R9" s="79">
        <v>45</v>
      </c>
      <c r="S9" s="14" t="s">
        <v>20</v>
      </c>
      <c r="T9" s="42" t="s">
        <v>110</v>
      </c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461</v>
      </c>
      <c r="F10" s="17">
        <v>323</v>
      </c>
      <c r="G10" s="17">
        <v>304</v>
      </c>
      <c r="H10" s="18">
        <v>0.6</v>
      </c>
      <c r="I10" s="17">
        <v>35000</v>
      </c>
      <c r="J10" s="165">
        <v>342</v>
      </c>
      <c r="K10" s="166"/>
      <c r="L10" s="165"/>
      <c r="M10" s="166"/>
      <c r="N10" s="165"/>
      <c r="O10" s="166"/>
      <c r="P10" s="165"/>
      <c r="Q10" s="166"/>
      <c r="R10" s="79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462</v>
      </c>
      <c r="F11" s="17">
        <v>100</v>
      </c>
      <c r="G11" s="17">
        <v>304</v>
      </c>
      <c r="H11" s="18">
        <v>0.6</v>
      </c>
      <c r="I11" s="17">
        <v>35000</v>
      </c>
      <c r="J11" s="165"/>
      <c r="K11" s="166"/>
      <c r="L11" s="165"/>
      <c r="M11" s="166"/>
      <c r="N11" s="165">
        <v>342</v>
      </c>
      <c r="O11" s="166"/>
      <c r="P11" s="165"/>
      <c r="Q11" s="166"/>
      <c r="R11" s="79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>
        <v>250080</v>
      </c>
      <c r="E12" s="12" t="s">
        <v>463</v>
      </c>
      <c r="F12" s="17">
        <v>505</v>
      </c>
      <c r="G12" s="17">
        <v>304</v>
      </c>
      <c r="H12" s="18">
        <v>0.6</v>
      </c>
      <c r="I12" s="17">
        <v>35000</v>
      </c>
      <c r="J12" s="165">
        <v>306</v>
      </c>
      <c r="K12" s="166"/>
      <c r="L12" s="165"/>
      <c r="M12" s="166"/>
      <c r="N12" s="165"/>
      <c r="O12" s="166"/>
      <c r="P12" s="165"/>
      <c r="Q12" s="166"/>
      <c r="R12" s="79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189</v>
      </c>
      <c r="F13" s="17">
        <v>220</v>
      </c>
      <c r="G13" s="17">
        <v>304</v>
      </c>
      <c r="H13" s="18">
        <v>0.6</v>
      </c>
      <c r="I13" s="17">
        <v>35000</v>
      </c>
      <c r="J13" s="165">
        <v>102</v>
      </c>
      <c r="K13" s="166"/>
      <c r="L13" s="165"/>
      <c r="M13" s="166"/>
      <c r="N13" s="165"/>
      <c r="O13" s="166"/>
      <c r="P13" s="165"/>
      <c r="Q13" s="166"/>
      <c r="R13" s="79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250080</v>
      </c>
      <c r="E14" s="12" t="s">
        <v>464</v>
      </c>
      <c r="F14" s="17">
        <v>435</v>
      </c>
      <c r="G14" s="17">
        <v>304</v>
      </c>
      <c r="H14" s="18">
        <v>0.6</v>
      </c>
      <c r="I14" s="17">
        <v>35000</v>
      </c>
      <c r="J14" s="165">
        <v>312</v>
      </c>
      <c r="K14" s="166"/>
      <c r="L14" s="165"/>
      <c r="M14" s="166"/>
      <c r="N14" s="165"/>
      <c r="O14" s="166"/>
      <c r="P14" s="165"/>
      <c r="Q14" s="166"/>
      <c r="R14" s="79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>
        <v>250080</v>
      </c>
      <c r="E15" s="12" t="s">
        <v>465</v>
      </c>
      <c r="F15" s="17">
        <v>355</v>
      </c>
      <c r="G15" s="17">
        <v>304</v>
      </c>
      <c r="H15" s="18">
        <v>0.6</v>
      </c>
      <c r="I15" s="17">
        <v>35000</v>
      </c>
      <c r="J15" s="165">
        <v>104</v>
      </c>
      <c r="K15" s="166"/>
      <c r="L15" s="165"/>
      <c r="M15" s="166"/>
      <c r="N15" s="165"/>
      <c r="O15" s="166"/>
      <c r="P15" s="165"/>
      <c r="Q15" s="166"/>
      <c r="R15" s="79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>
        <v>250080</v>
      </c>
      <c r="E16" s="12" t="s">
        <v>465</v>
      </c>
      <c r="F16" s="17">
        <v>355</v>
      </c>
      <c r="G16" s="17">
        <v>304</v>
      </c>
      <c r="H16" s="18">
        <v>0.6</v>
      </c>
      <c r="I16" s="17">
        <v>35000</v>
      </c>
      <c r="J16" s="165">
        <v>200</v>
      </c>
      <c r="K16" s="166"/>
      <c r="L16" s="165"/>
      <c r="M16" s="166"/>
      <c r="N16" s="165"/>
      <c r="O16" s="166"/>
      <c r="P16" s="165"/>
      <c r="Q16" s="166"/>
      <c r="R16" s="79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 t="s">
        <v>102</v>
      </c>
      <c r="E17" s="12" t="s">
        <v>422</v>
      </c>
      <c r="F17" s="17">
        <v>265</v>
      </c>
      <c r="G17" s="17">
        <v>304</v>
      </c>
      <c r="H17" s="18">
        <v>0.6</v>
      </c>
      <c r="I17" s="17">
        <v>35000</v>
      </c>
      <c r="J17" s="165">
        <v>50</v>
      </c>
      <c r="K17" s="166"/>
      <c r="L17" s="165"/>
      <c r="M17" s="166"/>
      <c r="N17" s="165"/>
      <c r="O17" s="166"/>
      <c r="P17" s="165"/>
      <c r="Q17" s="166"/>
      <c r="R17" s="79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>
        <v>250079</v>
      </c>
      <c r="E18" s="12" t="s">
        <v>159</v>
      </c>
      <c r="F18" s="17">
        <v>265</v>
      </c>
      <c r="G18" s="17">
        <v>304</v>
      </c>
      <c r="H18" s="18">
        <v>0.7</v>
      </c>
      <c r="I18" s="17">
        <v>33000</v>
      </c>
      <c r="J18" s="165"/>
      <c r="K18" s="166"/>
      <c r="L18" s="165"/>
      <c r="M18" s="166"/>
      <c r="N18" s="165">
        <v>450</v>
      </c>
      <c r="O18" s="166"/>
      <c r="P18" s="165"/>
      <c r="Q18" s="166"/>
      <c r="R18" s="79">
        <v>40</v>
      </c>
      <c r="S18" s="14" t="s">
        <v>20</v>
      </c>
      <c r="T18" s="42" t="s">
        <v>110</v>
      </c>
      <c r="U18" s="205"/>
      <c r="V18" s="206"/>
      <c r="W18" s="207"/>
    </row>
    <row r="19" spans="1:23" x14ac:dyDescent="0.3">
      <c r="A19" s="181"/>
      <c r="B19" s="5"/>
      <c r="C19" s="5"/>
      <c r="D19" s="4">
        <v>250078</v>
      </c>
      <c r="E19" s="12" t="s">
        <v>466</v>
      </c>
      <c r="F19" s="17">
        <v>582</v>
      </c>
      <c r="G19" s="17">
        <v>304</v>
      </c>
      <c r="H19" s="18">
        <v>0.7</v>
      </c>
      <c r="I19" s="17">
        <v>33000</v>
      </c>
      <c r="J19" s="165">
        <v>240</v>
      </c>
      <c r="K19" s="166"/>
      <c r="L19" s="165"/>
      <c r="M19" s="166"/>
      <c r="N19" s="165"/>
      <c r="O19" s="166"/>
      <c r="P19" s="165"/>
      <c r="Q19" s="166"/>
      <c r="R19" s="79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>
        <v>0.58333333333333337</v>
      </c>
      <c r="D20" s="4" t="s">
        <v>102</v>
      </c>
      <c r="E20" s="12" t="s">
        <v>132</v>
      </c>
      <c r="F20" s="17">
        <v>277</v>
      </c>
      <c r="G20" s="17">
        <v>304</v>
      </c>
      <c r="H20" s="18">
        <v>0.7</v>
      </c>
      <c r="I20" s="17">
        <v>33000</v>
      </c>
      <c r="J20" s="165">
        <v>120</v>
      </c>
      <c r="K20" s="166"/>
      <c r="L20" s="165"/>
      <c r="M20" s="166"/>
      <c r="N20" s="165"/>
      <c r="O20" s="166"/>
      <c r="P20" s="165"/>
      <c r="Q20" s="166"/>
      <c r="R20" s="79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3452</v>
      </c>
      <c r="K21" s="22" t="s">
        <v>17</v>
      </c>
      <c r="L21" s="21">
        <f>SUM(L7:M20)</f>
        <v>0</v>
      </c>
      <c r="M21" s="22" t="s">
        <v>17</v>
      </c>
      <c r="N21" s="21">
        <f>SUM(N7:O20)</f>
        <v>792</v>
      </c>
      <c r="O21" s="22" t="s">
        <v>17</v>
      </c>
      <c r="P21" s="21">
        <f>SUM(P7:Q20)</f>
        <v>0</v>
      </c>
      <c r="Q21" s="22" t="s">
        <v>17</v>
      </c>
      <c r="R21" s="23">
        <f>SUM(R7:R20)</f>
        <v>85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3452</v>
      </c>
      <c r="K24" s="31" t="s">
        <v>17</v>
      </c>
      <c r="L24" s="32">
        <f>L21</f>
        <v>0</v>
      </c>
      <c r="M24" s="31" t="s">
        <v>17</v>
      </c>
      <c r="N24" s="32">
        <f>N21</f>
        <v>792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4244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45941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/>
      <c r="D31" s="102">
        <v>250055</v>
      </c>
      <c r="E31" s="12" t="s">
        <v>464</v>
      </c>
      <c r="F31" s="40">
        <v>304</v>
      </c>
      <c r="G31" s="41">
        <v>0.7</v>
      </c>
      <c r="H31" s="40">
        <v>435</v>
      </c>
      <c r="I31" s="12">
        <v>5</v>
      </c>
      <c r="J31" s="165">
        <v>210</v>
      </c>
      <c r="K31" s="166"/>
      <c r="L31" s="165"/>
      <c r="M31" s="166"/>
      <c r="N31" s="165"/>
      <c r="O31" s="166"/>
      <c r="P31" s="165"/>
      <c r="Q31" s="166"/>
      <c r="R31" s="79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/>
      <c r="D32" s="102">
        <v>250057</v>
      </c>
      <c r="E32" s="12" t="s">
        <v>464</v>
      </c>
      <c r="F32" s="40">
        <v>304</v>
      </c>
      <c r="G32" s="41">
        <v>0.7</v>
      </c>
      <c r="H32" s="40">
        <v>435</v>
      </c>
      <c r="I32" s="12">
        <v>5</v>
      </c>
      <c r="J32" s="165">
        <v>415</v>
      </c>
      <c r="K32" s="166"/>
      <c r="L32" s="165"/>
      <c r="M32" s="166"/>
      <c r="N32" s="165"/>
      <c r="O32" s="166"/>
      <c r="P32" s="165"/>
      <c r="Q32" s="166"/>
      <c r="R32" s="79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>
        <v>0.58333333333333337</v>
      </c>
      <c r="D33" s="102">
        <v>250061</v>
      </c>
      <c r="E33" s="12" t="s">
        <v>464</v>
      </c>
      <c r="F33" s="40">
        <v>304</v>
      </c>
      <c r="G33" s="41">
        <v>0.7</v>
      </c>
      <c r="H33" s="40">
        <v>435</v>
      </c>
      <c r="I33" s="12">
        <v>5</v>
      </c>
      <c r="J33" s="165">
        <v>375</v>
      </c>
      <c r="K33" s="166"/>
      <c r="L33" s="165"/>
      <c r="M33" s="166"/>
      <c r="N33" s="165"/>
      <c r="O33" s="166"/>
      <c r="P33" s="165"/>
      <c r="Q33" s="166"/>
      <c r="R33" s="79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1"/>
      <c r="B34" s="5"/>
      <c r="C34" s="5"/>
      <c r="D34" s="4"/>
      <c r="E34" s="12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79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82"/>
      <c r="B35" s="19"/>
      <c r="C35" s="19"/>
      <c r="D35" s="20"/>
      <c r="E35" s="170" t="s">
        <v>0</v>
      </c>
      <c r="F35" s="171"/>
      <c r="G35" s="171"/>
      <c r="H35" s="171"/>
      <c r="I35" s="172"/>
      <c r="J35" s="173">
        <f>SUM(J31:K34)</f>
        <v>1000</v>
      </c>
      <c r="K35" s="174"/>
      <c r="L35" s="173">
        <f>SUM(L31:M34)</f>
        <v>0</v>
      </c>
      <c r="M35" s="174"/>
      <c r="N35" s="173">
        <f>SUM(N31:O34)</f>
        <v>0</v>
      </c>
      <c r="O35" s="174"/>
      <c r="P35" s="173">
        <f>SUM(P31:Q34)</f>
        <v>0</v>
      </c>
      <c r="Q35" s="174"/>
      <c r="R35" s="23">
        <f>SUM(R31:R34)</f>
        <v>0</v>
      </c>
      <c r="S35" s="24" t="s">
        <v>20</v>
      </c>
      <c r="T35" s="19"/>
      <c r="U35" s="177"/>
      <c r="V35" s="178"/>
      <c r="W35" s="179"/>
    </row>
    <row r="36" spans="1:23" ht="14.55" customHeight="1" x14ac:dyDescent="0.3">
      <c r="A36" s="163" t="s">
        <v>34</v>
      </c>
      <c r="B36" s="5">
        <v>0.33333333333333331</v>
      </c>
      <c r="C36" s="5"/>
      <c r="D36" s="102">
        <v>250055</v>
      </c>
      <c r="E36" s="12" t="s">
        <v>463</v>
      </c>
      <c r="F36" s="40">
        <v>304</v>
      </c>
      <c r="G36" s="41">
        <v>0.7</v>
      </c>
      <c r="H36" s="40">
        <v>505</v>
      </c>
      <c r="I36" s="12">
        <v>7</v>
      </c>
      <c r="J36" s="165">
        <v>450</v>
      </c>
      <c r="K36" s="166"/>
      <c r="L36" s="165"/>
      <c r="M36" s="166"/>
      <c r="N36" s="165"/>
      <c r="O36" s="166"/>
      <c r="P36" s="165"/>
      <c r="Q36" s="166"/>
      <c r="R36" s="79">
        <v>30</v>
      </c>
      <c r="S36" s="14" t="s">
        <v>20</v>
      </c>
      <c r="T36" s="42" t="s">
        <v>93</v>
      </c>
      <c r="U36" s="177"/>
      <c r="V36" s="178"/>
      <c r="W36" s="179"/>
    </row>
    <row r="37" spans="1:23" ht="14.55" customHeight="1" x14ac:dyDescent="0.3">
      <c r="A37" s="163"/>
      <c r="B37" s="5"/>
      <c r="C37" s="5"/>
      <c r="D37" s="102">
        <v>250052</v>
      </c>
      <c r="E37" s="12" t="s">
        <v>467</v>
      </c>
      <c r="F37" s="40">
        <v>304</v>
      </c>
      <c r="G37" s="41">
        <v>0.7</v>
      </c>
      <c r="H37" s="40">
        <v>385</v>
      </c>
      <c r="I37" s="12">
        <v>3</v>
      </c>
      <c r="J37" s="165">
        <v>205</v>
      </c>
      <c r="K37" s="166"/>
      <c r="L37" s="165"/>
      <c r="M37" s="166"/>
      <c r="N37" s="165"/>
      <c r="O37" s="166"/>
      <c r="P37" s="165"/>
      <c r="Q37" s="166"/>
      <c r="R37" s="79">
        <v>90</v>
      </c>
      <c r="S37" s="14" t="s">
        <v>20</v>
      </c>
      <c r="T37" s="42" t="s">
        <v>272</v>
      </c>
      <c r="U37" s="177"/>
      <c r="V37" s="178"/>
      <c r="W37" s="179"/>
    </row>
    <row r="38" spans="1:23" ht="14.55" customHeight="1" x14ac:dyDescent="0.3">
      <c r="A38" s="163"/>
      <c r="B38" s="5"/>
      <c r="C38" s="5">
        <v>0.58333333333333337</v>
      </c>
      <c r="D38" s="102">
        <v>250055</v>
      </c>
      <c r="E38" s="12" t="s">
        <v>467</v>
      </c>
      <c r="F38" s="40">
        <v>304</v>
      </c>
      <c r="G38" s="41">
        <v>0.7</v>
      </c>
      <c r="H38" s="40">
        <v>385</v>
      </c>
      <c r="I38" s="12">
        <v>3</v>
      </c>
      <c r="J38" s="165">
        <v>545</v>
      </c>
      <c r="K38" s="166"/>
      <c r="L38" s="165"/>
      <c r="M38" s="166"/>
      <c r="N38" s="165"/>
      <c r="O38" s="166"/>
      <c r="P38" s="165"/>
      <c r="Q38" s="166"/>
      <c r="R38" s="79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3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79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64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SUM(J36:K39)</f>
        <v>1200</v>
      </c>
      <c r="K40" s="174"/>
      <c r="L40" s="173">
        <f>SUM(L36:M39)</f>
        <v>0</v>
      </c>
      <c r="M40" s="174"/>
      <c r="N40" s="173">
        <f>SUM(N36:O39)</f>
        <v>0</v>
      </c>
      <c r="O40" s="174"/>
      <c r="P40" s="173">
        <f>SUM(P36:Q39)</f>
        <v>0</v>
      </c>
      <c r="Q40" s="174"/>
      <c r="R40" s="23">
        <f>SUM(R36:R39)</f>
        <v>120</v>
      </c>
      <c r="S40" s="24" t="s">
        <v>20</v>
      </c>
      <c r="T40" s="19"/>
      <c r="U40" s="177"/>
      <c r="V40" s="178"/>
      <c r="W40" s="179"/>
    </row>
    <row r="41" spans="1:23" ht="14.55" customHeight="1" x14ac:dyDescent="0.3">
      <c r="A41" s="163" t="s">
        <v>35</v>
      </c>
      <c r="B41" s="5">
        <v>0.33333333333333331</v>
      </c>
      <c r="C41" s="5">
        <v>0.58333333333333337</v>
      </c>
      <c r="D41" s="102">
        <v>230925</v>
      </c>
      <c r="E41" s="12" t="s">
        <v>456</v>
      </c>
      <c r="F41" s="40">
        <v>430</v>
      </c>
      <c r="G41" s="41">
        <v>0.8</v>
      </c>
      <c r="H41" s="40">
        <v>425</v>
      </c>
      <c r="I41" s="12"/>
      <c r="J41" s="165">
        <v>1000</v>
      </c>
      <c r="K41" s="166"/>
      <c r="L41" s="165"/>
      <c r="M41" s="166"/>
      <c r="N41" s="165"/>
      <c r="O41" s="166"/>
      <c r="P41" s="165"/>
      <c r="Q41" s="166"/>
      <c r="R41" s="79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79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79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4"/>
      <c r="B44" s="19"/>
      <c r="C44" s="19"/>
      <c r="D44" s="20"/>
      <c r="E44" s="170" t="s">
        <v>0</v>
      </c>
      <c r="F44" s="171"/>
      <c r="G44" s="171"/>
      <c r="H44" s="171"/>
      <c r="I44" s="172"/>
      <c r="J44" s="173">
        <f>SUM(J41:K43)</f>
        <v>1000</v>
      </c>
      <c r="K44" s="174"/>
      <c r="L44" s="173">
        <f>SUM(L41:M43)</f>
        <v>0</v>
      </c>
      <c r="M44" s="174"/>
      <c r="N44" s="173">
        <f>SUM(N41:O43)</f>
        <v>0</v>
      </c>
      <c r="O44" s="174"/>
      <c r="P44" s="173">
        <f>SUM(P41:Q43)</f>
        <v>0</v>
      </c>
      <c r="Q44" s="174"/>
      <c r="R44" s="23">
        <f>SUM(R41:R43)</f>
        <v>0</v>
      </c>
      <c r="S44" s="24" t="s">
        <v>20</v>
      </c>
      <c r="T44" s="19"/>
      <c r="U44" s="177"/>
      <c r="V44" s="178"/>
      <c r="W44" s="179"/>
    </row>
    <row r="45" spans="1:23" ht="14.55" customHeight="1" x14ac:dyDescent="0.3">
      <c r="A45" s="27"/>
      <c r="B45" s="27"/>
      <c r="C45" s="27"/>
      <c r="D45" s="27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27"/>
      <c r="S45" s="27"/>
      <c r="T45" s="39"/>
      <c r="U45" s="39"/>
      <c r="V45" s="39"/>
      <c r="W45" s="39"/>
    </row>
    <row r="46" spans="1:23" x14ac:dyDescent="0.3">
      <c r="E46" s="170" t="s">
        <v>31</v>
      </c>
      <c r="F46" s="171"/>
      <c r="G46" s="171"/>
      <c r="H46" s="171"/>
      <c r="I46" s="172"/>
      <c r="J46" s="175" t="s">
        <v>7</v>
      </c>
      <c r="K46" s="176"/>
      <c r="L46" s="175" t="s">
        <v>8</v>
      </c>
      <c r="M46" s="176"/>
      <c r="N46" s="175" t="s">
        <v>9</v>
      </c>
      <c r="O46" s="176"/>
      <c r="P46" s="175" t="s">
        <v>117</v>
      </c>
      <c r="Q46" s="176"/>
    </row>
    <row r="47" spans="1:23" s="2" customFormat="1" x14ac:dyDescent="0.3">
      <c r="E47" s="15"/>
      <c r="F47" s="15"/>
      <c r="G47" s="15"/>
      <c r="H47" s="15"/>
      <c r="I47" s="15"/>
      <c r="J47" s="30">
        <f>J35+J40+J44</f>
        <v>3200</v>
      </c>
      <c r="K47" s="31" t="s">
        <v>17</v>
      </c>
      <c r="L47" s="30">
        <f>L35+L40+L44</f>
        <v>0</v>
      </c>
      <c r="M47" s="31" t="s">
        <v>17</v>
      </c>
      <c r="N47" s="30">
        <f>N35+N40+N44</f>
        <v>0</v>
      </c>
      <c r="O47" s="31" t="s">
        <v>17</v>
      </c>
      <c r="P47" s="30">
        <f>P35+P40+P44</f>
        <v>0</v>
      </c>
      <c r="Q47" s="34" t="s">
        <v>17</v>
      </c>
    </row>
    <row r="48" spans="1:23" ht="24.45" customHeight="1" x14ac:dyDescent="0.3">
      <c r="E48" s="28"/>
      <c r="F48" s="28"/>
      <c r="G48" s="28"/>
      <c r="H48" s="28"/>
      <c r="I48" s="28"/>
      <c r="J48" s="167">
        <f>J47+L47+N47+P47</f>
        <v>3200</v>
      </c>
      <c r="K48" s="168"/>
      <c r="L48" s="168"/>
      <c r="M48" s="168"/>
      <c r="N48" s="168"/>
      <c r="O48" s="168"/>
      <c r="P48" s="168"/>
      <c r="Q48" s="169"/>
    </row>
    <row r="49" spans="1:23" ht="30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spans="1:23" s="37" customFormat="1" ht="19.95" customHeight="1" x14ac:dyDescent="0.4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214" t="s">
        <v>14</v>
      </c>
      <c r="R50" s="215"/>
      <c r="S50" s="216"/>
      <c r="T50" s="184">
        <f>T3</f>
        <v>45941</v>
      </c>
      <c r="U50" s="185"/>
      <c r="V50" s="185"/>
      <c r="W50" s="186"/>
    </row>
    <row r="51" spans="1:23" s="16" customFormat="1" ht="30" customHeight="1" x14ac:dyDescent="0.3">
      <c r="A51" s="187" t="s">
        <v>26</v>
      </c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9"/>
      <c r="Q51" s="189"/>
      <c r="R51" s="189"/>
      <c r="S51" s="189"/>
      <c r="T51" s="188"/>
      <c r="U51" s="188"/>
      <c r="V51" s="188"/>
      <c r="W51" s="190"/>
    </row>
    <row r="52" spans="1:23" s="26" customFormat="1" ht="13.8" x14ac:dyDescent="0.3">
      <c r="A52" s="191" t="s">
        <v>1</v>
      </c>
      <c r="B52" s="192" t="s">
        <v>2</v>
      </c>
      <c r="C52" s="192" t="s">
        <v>3</v>
      </c>
      <c r="D52" s="192" t="s">
        <v>4</v>
      </c>
      <c r="E52" s="193" t="s">
        <v>5</v>
      </c>
      <c r="F52" s="197"/>
      <c r="G52" s="197"/>
      <c r="H52" s="197"/>
      <c r="I52" s="198"/>
      <c r="J52" s="193" t="s">
        <v>6</v>
      </c>
      <c r="K52" s="197"/>
      <c r="L52" s="197"/>
      <c r="M52" s="197"/>
      <c r="N52" s="197"/>
      <c r="O52" s="197"/>
      <c r="P52" s="197"/>
      <c r="Q52" s="198"/>
      <c r="R52" s="193" t="s">
        <v>10</v>
      </c>
      <c r="S52" s="198"/>
      <c r="T52" s="191" t="s">
        <v>11</v>
      </c>
      <c r="U52" s="191" t="s">
        <v>12</v>
      </c>
      <c r="V52" s="191"/>
      <c r="W52" s="191"/>
    </row>
    <row r="53" spans="1:23" s="26" customFormat="1" ht="13.8" x14ac:dyDescent="0.3">
      <c r="A53" s="191"/>
      <c r="B53" s="192"/>
      <c r="C53" s="192"/>
      <c r="D53" s="192"/>
      <c r="E53" s="194"/>
      <c r="F53" s="217"/>
      <c r="G53" s="217"/>
      <c r="H53" s="217"/>
      <c r="I53" s="199"/>
      <c r="J53" s="200" t="s">
        <v>7</v>
      </c>
      <c r="K53" s="201"/>
      <c r="L53" s="200" t="s">
        <v>8</v>
      </c>
      <c r="M53" s="201"/>
      <c r="N53" s="200" t="s">
        <v>9</v>
      </c>
      <c r="O53" s="201"/>
      <c r="P53" s="200" t="s">
        <v>117</v>
      </c>
      <c r="Q53" s="201"/>
      <c r="R53" s="194"/>
      <c r="S53" s="199"/>
      <c r="T53" s="191"/>
      <c r="U53" s="191"/>
      <c r="V53" s="191"/>
      <c r="W53" s="191"/>
    </row>
    <row r="54" spans="1:23" x14ac:dyDescent="0.3">
      <c r="A54" s="180" t="s">
        <v>13</v>
      </c>
      <c r="B54" s="5"/>
      <c r="C54" s="5"/>
      <c r="D54" s="4">
        <v>160925</v>
      </c>
      <c r="E54" s="211" t="s">
        <v>453</v>
      </c>
      <c r="F54" s="212"/>
      <c r="G54" s="212"/>
      <c r="H54" s="212"/>
      <c r="I54" s="213"/>
      <c r="J54" s="165">
        <v>1109</v>
      </c>
      <c r="K54" s="166"/>
      <c r="L54" s="165"/>
      <c r="M54" s="166"/>
      <c r="N54" s="165"/>
      <c r="O54" s="166"/>
      <c r="P54" s="165"/>
      <c r="Q54" s="166"/>
      <c r="R54" s="79"/>
      <c r="S54" s="6" t="s">
        <v>20</v>
      </c>
      <c r="T54" s="3"/>
      <c r="U54" s="202"/>
      <c r="V54" s="203"/>
      <c r="W54" s="204"/>
    </row>
    <row r="55" spans="1:23" x14ac:dyDescent="0.3">
      <c r="A55" s="163"/>
      <c r="B55" s="5"/>
      <c r="C55" s="5"/>
      <c r="D55" s="4" t="s">
        <v>248</v>
      </c>
      <c r="E55" s="211" t="s">
        <v>468</v>
      </c>
      <c r="F55" s="212"/>
      <c r="G55" s="212"/>
      <c r="H55" s="212"/>
      <c r="I55" s="213"/>
      <c r="J55" s="165">
        <v>21</v>
      </c>
      <c r="K55" s="166"/>
      <c r="L55" s="165"/>
      <c r="M55" s="166"/>
      <c r="N55" s="165"/>
      <c r="O55" s="166"/>
      <c r="P55" s="165"/>
      <c r="Q55" s="166"/>
      <c r="R55" s="79"/>
      <c r="S55" s="6" t="s">
        <v>20</v>
      </c>
      <c r="T55" s="3"/>
      <c r="U55" s="205"/>
      <c r="V55" s="206"/>
      <c r="W55" s="207"/>
    </row>
    <row r="56" spans="1:23" x14ac:dyDescent="0.3">
      <c r="A56" s="163"/>
      <c r="B56" s="5"/>
      <c r="C56" s="5"/>
      <c r="D56" s="4" t="s">
        <v>248</v>
      </c>
      <c r="E56" s="211" t="s">
        <v>469</v>
      </c>
      <c r="F56" s="212"/>
      <c r="G56" s="212"/>
      <c r="H56" s="212"/>
      <c r="I56" s="213"/>
      <c r="J56" s="165">
        <v>13</v>
      </c>
      <c r="K56" s="166"/>
      <c r="L56" s="165"/>
      <c r="M56" s="166"/>
      <c r="N56" s="165"/>
      <c r="O56" s="166"/>
      <c r="P56" s="165"/>
      <c r="Q56" s="166"/>
      <c r="R56" s="79"/>
      <c r="S56" s="6" t="s">
        <v>20</v>
      </c>
      <c r="T56" s="3"/>
      <c r="U56" s="205"/>
      <c r="V56" s="206"/>
      <c r="W56" s="207"/>
    </row>
    <row r="57" spans="1:23" x14ac:dyDescent="0.3">
      <c r="A57" s="163"/>
      <c r="B57" s="5"/>
      <c r="C57" s="5"/>
      <c r="D57" s="4" t="s">
        <v>248</v>
      </c>
      <c r="E57" s="211" t="s">
        <v>470</v>
      </c>
      <c r="F57" s="212"/>
      <c r="G57" s="212"/>
      <c r="H57" s="212"/>
      <c r="I57" s="213"/>
      <c r="J57" s="165">
        <v>13</v>
      </c>
      <c r="K57" s="166"/>
      <c r="L57" s="165"/>
      <c r="M57" s="166"/>
      <c r="N57" s="165"/>
      <c r="O57" s="166"/>
      <c r="P57" s="165"/>
      <c r="Q57" s="166"/>
      <c r="R57" s="79"/>
      <c r="S57" s="6" t="s">
        <v>20</v>
      </c>
      <c r="T57" s="3"/>
      <c r="U57" s="205"/>
      <c r="V57" s="206"/>
      <c r="W57" s="207"/>
    </row>
    <row r="58" spans="1:23" x14ac:dyDescent="0.3">
      <c r="A58" s="163"/>
      <c r="B58" s="5"/>
      <c r="C58" s="5"/>
      <c r="D58" s="4" t="s">
        <v>248</v>
      </c>
      <c r="E58" s="211" t="s">
        <v>471</v>
      </c>
      <c r="F58" s="212"/>
      <c r="G58" s="212"/>
      <c r="H58" s="212"/>
      <c r="I58" s="213"/>
      <c r="J58" s="165">
        <v>7</v>
      </c>
      <c r="K58" s="166"/>
      <c r="L58" s="165"/>
      <c r="M58" s="166"/>
      <c r="N58" s="165"/>
      <c r="O58" s="166"/>
      <c r="P58" s="165"/>
      <c r="Q58" s="166"/>
      <c r="R58" s="79"/>
      <c r="S58" s="6" t="s">
        <v>20</v>
      </c>
      <c r="T58" s="3"/>
      <c r="U58" s="205"/>
      <c r="V58" s="206"/>
      <c r="W58" s="207"/>
    </row>
    <row r="59" spans="1:23" x14ac:dyDescent="0.3">
      <c r="A59" s="163"/>
      <c r="B59" s="5"/>
      <c r="C59" s="5"/>
      <c r="D59" s="102">
        <v>290925</v>
      </c>
      <c r="E59" s="211" t="s">
        <v>416</v>
      </c>
      <c r="F59" s="212"/>
      <c r="G59" s="212"/>
      <c r="H59" s="212"/>
      <c r="I59" s="213"/>
      <c r="J59" s="165"/>
      <c r="K59" s="166"/>
      <c r="L59" s="165"/>
      <c r="M59" s="166"/>
      <c r="N59" s="165">
        <v>313</v>
      </c>
      <c r="O59" s="166"/>
      <c r="P59" s="165"/>
      <c r="Q59" s="166"/>
      <c r="R59" s="79"/>
      <c r="S59" s="6" t="s">
        <v>20</v>
      </c>
      <c r="T59" s="3"/>
      <c r="U59" s="205"/>
      <c r="V59" s="206"/>
      <c r="W59" s="207"/>
    </row>
    <row r="60" spans="1:23" x14ac:dyDescent="0.3">
      <c r="A60" s="163"/>
      <c r="B60" s="5"/>
      <c r="C60" s="5"/>
      <c r="D60" s="4"/>
      <c r="E60" s="211"/>
      <c r="F60" s="212"/>
      <c r="G60" s="212"/>
      <c r="H60" s="212"/>
      <c r="I60" s="213"/>
      <c r="J60" s="165"/>
      <c r="K60" s="166"/>
      <c r="L60" s="165"/>
      <c r="M60" s="166"/>
      <c r="N60" s="165"/>
      <c r="O60" s="166"/>
      <c r="P60" s="165"/>
      <c r="Q60" s="166"/>
      <c r="R60" s="79"/>
      <c r="S60" s="6" t="s">
        <v>20</v>
      </c>
      <c r="T60" s="3"/>
      <c r="U60" s="205"/>
      <c r="V60" s="206"/>
      <c r="W60" s="207"/>
    </row>
    <row r="61" spans="1:23" x14ac:dyDescent="0.3">
      <c r="A61" s="164"/>
      <c r="B61" s="19"/>
      <c r="C61" s="19"/>
      <c r="D61" s="20"/>
      <c r="E61" s="170" t="s">
        <v>0</v>
      </c>
      <c r="F61" s="171"/>
      <c r="G61" s="171"/>
      <c r="H61" s="171"/>
      <c r="I61" s="172"/>
      <c r="J61" s="173">
        <f>SUM(J54:J60)</f>
        <v>1163</v>
      </c>
      <c r="K61" s="174"/>
      <c r="L61" s="173">
        <f>SUM(L54:L60)</f>
        <v>0</v>
      </c>
      <c r="M61" s="174"/>
      <c r="N61" s="173">
        <f>SUM(N54:N60)</f>
        <v>313</v>
      </c>
      <c r="O61" s="174"/>
      <c r="P61" s="173">
        <f>SUM(P54:P60)</f>
        <v>0</v>
      </c>
      <c r="Q61" s="174"/>
      <c r="R61" s="23">
        <f>SUM(R54:R60)</f>
        <v>0</v>
      </c>
      <c r="S61" s="24" t="s">
        <v>20</v>
      </c>
      <c r="T61" s="19"/>
      <c r="U61" s="208"/>
      <c r="V61" s="209"/>
      <c r="W61" s="210"/>
    </row>
    <row r="62" spans="1:23" x14ac:dyDescent="0.3">
      <c r="A62" s="180" t="s">
        <v>15</v>
      </c>
      <c r="B62" s="5"/>
      <c r="C62" s="5"/>
      <c r="D62" s="4"/>
      <c r="E62" s="211"/>
      <c r="F62" s="212"/>
      <c r="G62" s="212"/>
      <c r="H62" s="212"/>
      <c r="I62" s="213"/>
      <c r="J62" s="165"/>
      <c r="K62" s="166"/>
      <c r="L62" s="165"/>
      <c r="M62" s="166"/>
      <c r="N62" s="165"/>
      <c r="O62" s="166"/>
      <c r="P62" s="165"/>
      <c r="Q62" s="166"/>
      <c r="R62" s="79"/>
      <c r="S62" s="6" t="s">
        <v>20</v>
      </c>
      <c r="T62" s="3"/>
      <c r="U62" s="202"/>
      <c r="V62" s="203"/>
      <c r="W62" s="204"/>
    </row>
    <row r="63" spans="1:23" x14ac:dyDescent="0.3">
      <c r="A63" s="163"/>
      <c r="B63" s="5"/>
      <c r="C63" s="5"/>
      <c r="D63" s="4"/>
      <c r="E63" s="211"/>
      <c r="F63" s="212"/>
      <c r="G63" s="212"/>
      <c r="H63" s="212"/>
      <c r="I63" s="213"/>
      <c r="J63" s="165"/>
      <c r="K63" s="166"/>
      <c r="L63" s="165"/>
      <c r="M63" s="166"/>
      <c r="N63" s="165"/>
      <c r="O63" s="166"/>
      <c r="P63" s="165"/>
      <c r="Q63" s="166"/>
      <c r="R63" s="79"/>
      <c r="S63" s="6" t="s">
        <v>20</v>
      </c>
      <c r="T63" s="3"/>
      <c r="U63" s="205"/>
      <c r="V63" s="206"/>
      <c r="W63" s="207"/>
    </row>
    <row r="64" spans="1:23" x14ac:dyDescent="0.3">
      <c r="A64" s="163"/>
      <c r="B64" s="5"/>
      <c r="C64" s="5"/>
      <c r="D64" s="4"/>
      <c r="E64" s="211"/>
      <c r="F64" s="212"/>
      <c r="G64" s="212"/>
      <c r="H64" s="212"/>
      <c r="I64" s="213"/>
      <c r="J64" s="165"/>
      <c r="K64" s="166"/>
      <c r="L64" s="165"/>
      <c r="M64" s="166"/>
      <c r="N64" s="165"/>
      <c r="O64" s="166"/>
      <c r="P64" s="165"/>
      <c r="Q64" s="166"/>
      <c r="R64" s="79"/>
      <c r="S64" s="6" t="s">
        <v>20</v>
      </c>
      <c r="T64" s="3"/>
      <c r="U64" s="205"/>
      <c r="V64" s="206"/>
      <c r="W64" s="207"/>
    </row>
    <row r="65" spans="1:23" x14ac:dyDescent="0.3">
      <c r="A65" s="164"/>
      <c r="B65" s="19"/>
      <c r="C65" s="19"/>
      <c r="D65" s="20"/>
      <c r="E65" s="170" t="s">
        <v>0</v>
      </c>
      <c r="F65" s="171"/>
      <c r="G65" s="171"/>
      <c r="H65" s="171"/>
      <c r="I65" s="172"/>
      <c r="J65" s="173">
        <f>SUM(J62:J64)</f>
        <v>0</v>
      </c>
      <c r="K65" s="174"/>
      <c r="L65" s="173">
        <f>SUM(L62:L64)</f>
        <v>0</v>
      </c>
      <c r="M65" s="174"/>
      <c r="N65" s="173">
        <f>SUM(N62:N64)</f>
        <v>0</v>
      </c>
      <c r="O65" s="174"/>
      <c r="P65" s="173">
        <f>SUM(P57:P64)</f>
        <v>0</v>
      </c>
      <c r="Q65" s="174"/>
      <c r="R65" s="23">
        <f>SUM(R62:R64)</f>
        <v>0</v>
      </c>
      <c r="S65" s="24" t="s">
        <v>20</v>
      </c>
      <c r="T65" s="7"/>
      <c r="U65" s="208"/>
      <c r="V65" s="209"/>
      <c r="W65" s="210"/>
    </row>
    <row r="66" spans="1:23" x14ac:dyDescent="0.3">
      <c r="E66" s="28"/>
      <c r="F66" s="28"/>
      <c r="G66" s="28"/>
      <c r="H66" s="28"/>
      <c r="I66" s="28"/>
      <c r="J66" s="29"/>
      <c r="K66" s="29"/>
      <c r="L66" s="29"/>
      <c r="M66" s="29"/>
      <c r="N66" s="29"/>
      <c r="O66" s="29"/>
      <c r="P66" s="29"/>
      <c r="Q66" s="29"/>
    </row>
    <row r="67" spans="1:23" x14ac:dyDescent="0.3">
      <c r="E67" s="170" t="s">
        <v>28</v>
      </c>
      <c r="F67" s="171"/>
      <c r="G67" s="171"/>
      <c r="H67" s="171"/>
      <c r="I67" s="172"/>
      <c r="J67" s="175" t="s">
        <v>7</v>
      </c>
      <c r="K67" s="176"/>
      <c r="L67" s="175" t="s">
        <v>8</v>
      </c>
      <c r="M67" s="176"/>
      <c r="N67" s="175" t="s">
        <v>9</v>
      </c>
      <c r="O67" s="176"/>
      <c r="P67" s="175" t="s">
        <v>117</v>
      </c>
      <c r="Q67" s="176"/>
    </row>
    <row r="68" spans="1:23" s="2" customFormat="1" x14ac:dyDescent="0.3">
      <c r="E68" s="15"/>
      <c r="F68" s="15"/>
      <c r="G68" s="15"/>
      <c r="H68" s="15"/>
      <c r="I68" s="15"/>
      <c r="J68" s="30">
        <f>J61+J65</f>
        <v>1163</v>
      </c>
      <c r="K68" s="31" t="s">
        <v>17</v>
      </c>
      <c r="L68" s="32">
        <f>L61+L65</f>
        <v>0</v>
      </c>
      <c r="M68" s="31" t="s">
        <v>17</v>
      </c>
      <c r="N68" s="32">
        <f>N61+N65</f>
        <v>313</v>
      </c>
      <c r="O68" s="31" t="s">
        <v>17</v>
      </c>
      <c r="P68" s="32">
        <f>P61+P65</f>
        <v>0</v>
      </c>
      <c r="Q68" s="34" t="s">
        <v>17</v>
      </c>
    </row>
    <row r="69" spans="1:23" ht="24.45" customHeight="1" x14ac:dyDescent="0.3">
      <c r="E69" s="28"/>
      <c r="F69" s="28"/>
      <c r="G69" s="28"/>
      <c r="H69" s="28"/>
      <c r="I69" s="28"/>
      <c r="J69" s="167">
        <f>J68+L68+N68+P68</f>
        <v>1476</v>
      </c>
      <c r="K69" s="168"/>
      <c r="L69" s="168"/>
      <c r="M69" s="168"/>
      <c r="N69" s="168"/>
      <c r="O69" s="168"/>
      <c r="P69" s="168"/>
      <c r="Q69" s="169"/>
    </row>
  </sheetData>
  <mergeCells count="262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A31:A35"/>
    <mergeCell ref="J31:K31"/>
    <mergeCell ref="L31:M31"/>
    <mergeCell ref="N31:O31"/>
    <mergeCell ref="P31:Q31"/>
    <mergeCell ref="G29:G30"/>
    <mergeCell ref="H29:H30"/>
    <mergeCell ref="I29:I30"/>
    <mergeCell ref="J29:Q29"/>
    <mergeCell ref="E35:I35"/>
    <mergeCell ref="J35:K35"/>
    <mergeCell ref="L35:M35"/>
    <mergeCell ref="N35:O35"/>
    <mergeCell ref="P35:Q35"/>
    <mergeCell ref="U31:W35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L34:M34"/>
    <mergeCell ref="N34:O34"/>
    <mergeCell ref="P34:Q34"/>
    <mergeCell ref="A36:A40"/>
    <mergeCell ref="J36:K36"/>
    <mergeCell ref="L36:M36"/>
    <mergeCell ref="N36:O36"/>
    <mergeCell ref="P36:Q36"/>
    <mergeCell ref="E40:I40"/>
    <mergeCell ref="J40:K40"/>
    <mergeCell ref="L40:M40"/>
    <mergeCell ref="N40:O40"/>
    <mergeCell ref="P40:Q40"/>
    <mergeCell ref="U36:W40"/>
    <mergeCell ref="J37:K37"/>
    <mergeCell ref="L37:M37"/>
    <mergeCell ref="N37:O37"/>
    <mergeCell ref="P37:Q37"/>
    <mergeCell ref="J38:K38"/>
    <mergeCell ref="L38:M38"/>
    <mergeCell ref="N38:O38"/>
    <mergeCell ref="P38:Q38"/>
    <mergeCell ref="J39:K39"/>
    <mergeCell ref="L39:M39"/>
    <mergeCell ref="N39:O39"/>
    <mergeCell ref="P39:Q39"/>
    <mergeCell ref="A41:A44"/>
    <mergeCell ref="J41:K41"/>
    <mergeCell ref="L41:M41"/>
    <mergeCell ref="N41:O41"/>
    <mergeCell ref="P41:Q41"/>
    <mergeCell ref="E44:I44"/>
    <mergeCell ref="J44:K44"/>
    <mergeCell ref="L44:M44"/>
    <mergeCell ref="N44:O44"/>
    <mergeCell ref="P44:Q44"/>
    <mergeCell ref="U41:W44"/>
    <mergeCell ref="J42:K42"/>
    <mergeCell ref="L42:M42"/>
    <mergeCell ref="N42:O42"/>
    <mergeCell ref="P42:Q42"/>
    <mergeCell ref="J43:K43"/>
    <mergeCell ref="L43:M43"/>
    <mergeCell ref="N43:O43"/>
    <mergeCell ref="P43:Q43"/>
    <mergeCell ref="E46:I46"/>
    <mergeCell ref="J46:K46"/>
    <mergeCell ref="L46:M46"/>
    <mergeCell ref="N46:O46"/>
    <mergeCell ref="P46:Q46"/>
    <mergeCell ref="R52:S53"/>
    <mergeCell ref="T52:T53"/>
    <mergeCell ref="U52:W53"/>
    <mergeCell ref="J53:K53"/>
    <mergeCell ref="L53:M53"/>
    <mergeCell ref="N53:O53"/>
    <mergeCell ref="P53:Q53"/>
    <mergeCell ref="J48:Q48"/>
    <mergeCell ref="Q50:S50"/>
    <mergeCell ref="T50:W50"/>
    <mergeCell ref="A51:W51"/>
    <mergeCell ref="A52:A53"/>
    <mergeCell ref="B52:B53"/>
    <mergeCell ref="C52:C53"/>
    <mergeCell ref="D52:D53"/>
    <mergeCell ref="E52:I53"/>
    <mergeCell ref="J52:Q52"/>
    <mergeCell ref="N57:O57"/>
    <mergeCell ref="P57:Q57"/>
    <mergeCell ref="E58:I58"/>
    <mergeCell ref="J58:K58"/>
    <mergeCell ref="L58:M58"/>
    <mergeCell ref="N58:O58"/>
    <mergeCell ref="P58:Q58"/>
    <mergeCell ref="U54:W61"/>
    <mergeCell ref="E55:I55"/>
    <mergeCell ref="J55:K55"/>
    <mergeCell ref="L55:M55"/>
    <mergeCell ref="N55:O55"/>
    <mergeCell ref="P55:Q55"/>
    <mergeCell ref="E56:I56"/>
    <mergeCell ref="J56:K56"/>
    <mergeCell ref="L56:M56"/>
    <mergeCell ref="N56:O56"/>
    <mergeCell ref="E54:I54"/>
    <mergeCell ref="J54:K54"/>
    <mergeCell ref="L54:M54"/>
    <mergeCell ref="N54:O54"/>
    <mergeCell ref="P54:Q54"/>
    <mergeCell ref="P56:Q56"/>
    <mergeCell ref="E57:I57"/>
    <mergeCell ref="E61:I61"/>
    <mergeCell ref="J61:K61"/>
    <mergeCell ref="L61:M61"/>
    <mergeCell ref="N61:O61"/>
    <mergeCell ref="P61:Q61"/>
    <mergeCell ref="A62:A65"/>
    <mergeCell ref="E62:I62"/>
    <mergeCell ref="J62:K62"/>
    <mergeCell ref="L62:M62"/>
    <mergeCell ref="N62:O62"/>
    <mergeCell ref="A54:A61"/>
    <mergeCell ref="J57:K57"/>
    <mergeCell ref="L57:M57"/>
    <mergeCell ref="P62:Q62"/>
    <mergeCell ref="E59:I59"/>
    <mergeCell ref="J59:K59"/>
    <mergeCell ref="L59:M59"/>
    <mergeCell ref="N59:O59"/>
    <mergeCell ref="P59:Q59"/>
    <mergeCell ref="E60:I60"/>
    <mergeCell ref="J60:K60"/>
    <mergeCell ref="L60:M60"/>
    <mergeCell ref="N60:O60"/>
    <mergeCell ref="P60:Q60"/>
    <mergeCell ref="U62:W65"/>
    <mergeCell ref="E63:I63"/>
    <mergeCell ref="J63:K63"/>
    <mergeCell ref="L63:M63"/>
    <mergeCell ref="N63:O63"/>
    <mergeCell ref="P63:Q63"/>
    <mergeCell ref="E64:I64"/>
    <mergeCell ref="J64:K64"/>
    <mergeCell ref="L64:M64"/>
    <mergeCell ref="E67:I67"/>
    <mergeCell ref="J67:K67"/>
    <mergeCell ref="L67:M67"/>
    <mergeCell ref="N67:O67"/>
    <mergeCell ref="P67:Q67"/>
    <mergeCell ref="J69:Q69"/>
    <mergeCell ref="N64:O64"/>
    <mergeCell ref="P64:Q64"/>
    <mergeCell ref="E65:I65"/>
    <mergeCell ref="J65:K65"/>
    <mergeCell ref="L65:M65"/>
    <mergeCell ref="N65:O65"/>
    <mergeCell ref="P65:Q65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W77"/>
  <sheetViews>
    <sheetView topLeftCell="A52" zoomScale="85" zoomScaleNormal="85" workbookViewId="0">
      <selection activeCell="D67" sqref="D67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5.6640625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45943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250078</v>
      </c>
      <c r="E7" s="12" t="s">
        <v>466</v>
      </c>
      <c r="F7" s="17">
        <v>582</v>
      </c>
      <c r="G7" s="17">
        <v>304</v>
      </c>
      <c r="H7" s="18">
        <v>0.7</v>
      </c>
      <c r="I7" s="17">
        <v>33000</v>
      </c>
      <c r="J7" s="165">
        <v>534</v>
      </c>
      <c r="K7" s="166"/>
      <c r="L7" s="165"/>
      <c r="M7" s="166"/>
      <c r="N7" s="165"/>
      <c r="O7" s="166"/>
      <c r="P7" s="165"/>
      <c r="Q7" s="166"/>
      <c r="R7" s="103"/>
      <c r="S7" s="14" t="s">
        <v>20</v>
      </c>
      <c r="T7" s="42"/>
      <c r="U7" s="202" t="s">
        <v>479</v>
      </c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132</v>
      </c>
      <c r="F8" s="17">
        <v>277</v>
      </c>
      <c r="G8" s="17">
        <v>304</v>
      </c>
      <c r="H8" s="18">
        <v>0.7</v>
      </c>
      <c r="I8" s="17">
        <v>33000</v>
      </c>
      <c r="J8" s="165">
        <v>267</v>
      </c>
      <c r="K8" s="166"/>
      <c r="L8" s="165"/>
      <c r="M8" s="166"/>
      <c r="N8" s="165"/>
      <c r="O8" s="166"/>
      <c r="P8" s="165"/>
      <c r="Q8" s="166"/>
      <c r="R8" s="103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250078</v>
      </c>
      <c r="E9" s="12" t="s">
        <v>465</v>
      </c>
      <c r="F9" s="17">
        <v>355</v>
      </c>
      <c r="G9" s="17">
        <v>304</v>
      </c>
      <c r="H9" s="18">
        <v>0.7</v>
      </c>
      <c r="I9" s="17">
        <v>33000</v>
      </c>
      <c r="J9" s="165">
        <v>780</v>
      </c>
      <c r="K9" s="166"/>
      <c r="L9" s="165"/>
      <c r="M9" s="166"/>
      <c r="N9" s="165"/>
      <c r="O9" s="166"/>
      <c r="P9" s="165"/>
      <c r="Q9" s="166"/>
      <c r="R9" s="103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173</v>
      </c>
      <c r="F10" s="17">
        <v>293</v>
      </c>
      <c r="G10" s="17">
        <v>304</v>
      </c>
      <c r="H10" s="18">
        <v>0.7</v>
      </c>
      <c r="I10" s="17">
        <v>33000</v>
      </c>
      <c r="J10" s="165">
        <v>260</v>
      </c>
      <c r="K10" s="166"/>
      <c r="L10" s="165"/>
      <c r="M10" s="166"/>
      <c r="N10" s="165"/>
      <c r="O10" s="166"/>
      <c r="P10" s="165"/>
      <c r="Q10" s="166"/>
      <c r="R10" s="103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>
        <v>250078</v>
      </c>
      <c r="E11" s="12" t="s">
        <v>467</v>
      </c>
      <c r="F11" s="17">
        <v>385</v>
      </c>
      <c r="G11" s="17">
        <v>304</v>
      </c>
      <c r="H11" s="18">
        <v>0.7</v>
      </c>
      <c r="I11" s="17">
        <v>33000</v>
      </c>
      <c r="J11" s="165">
        <v>780</v>
      </c>
      <c r="K11" s="166"/>
      <c r="L11" s="165"/>
      <c r="M11" s="166"/>
      <c r="N11" s="165"/>
      <c r="O11" s="166"/>
      <c r="P11" s="165"/>
      <c r="Q11" s="166"/>
      <c r="R11" s="103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359</v>
      </c>
      <c r="F12" s="17">
        <v>237</v>
      </c>
      <c r="G12" s="17">
        <v>304</v>
      </c>
      <c r="H12" s="18">
        <v>0.7</v>
      </c>
      <c r="I12" s="17">
        <v>33000</v>
      </c>
      <c r="J12" s="165">
        <v>260</v>
      </c>
      <c r="K12" s="166"/>
      <c r="L12" s="165"/>
      <c r="M12" s="166"/>
      <c r="N12" s="165"/>
      <c r="O12" s="166"/>
      <c r="P12" s="165"/>
      <c r="Q12" s="166"/>
      <c r="R12" s="103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>
        <v>250078</v>
      </c>
      <c r="E13" s="12" t="s">
        <v>472</v>
      </c>
      <c r="F13" s="17">
        <v>323</v>
      </c>
      <c r="G13" s="17">
        <v>304</v>
      </c>
      <c r="H13" s="18">
        <v>0.7</v>
      </c>
      <c r="I13" s="17">
        <v>33000</v>
      </c>
      <c r="J13" s="165">
        <v>780</v>
      </c>
      <c r="K13" s="166"/>
      <c r="L13" s="165"/>
      <c r="M13" s="166"/>
      <c r="N13" s="165"/>
      <c r="O13" s="166"/>
      <c r="P13" s="165"/>
      <c r="Q13" s="166"/>
      <c r="R13" s="103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250061</v>
      </c>
      <c r="E14" s="12" t="s">
        <v>464</v>
      </c>
      <c r="F14" s="17">
        <v>435</v>
      </c>
      <c r="G14" s="17">
        <v>304</v>
      </c>
      <c r="H14" s="18">
        <v>0.7</v>
      </c>
      <c r="I14" s="17">
        <v>33000</v>
      </c>
      <c r="J14" s="165">
        <v>21</v>
      </c>
      <c r="K14" s="166"/>
      <c r="L14" s="165"/>
      <c r="M14" s="166"/>
      <c r="N14" s="165"/>
      <c r="O14" s="166"/>
      <c r="P14" s="165"/>
      <c r="Q14" s="166"/>
      <c r="R14" s="103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>
        <v>250078</v>
      </c>
      <c r="E15" s="12" t="s">
        <v>464</v>
      </c>
      <c r="F15" s="17">
        <v>435</v>
      </c>
      <c r="G15" s="17">
        <v>304</v>
      </c>
      <c r="H15" s="18">
        <v>0.7</v>
      </c>
      <c r="I15" s="17">
        <v>33000</v>
      </c>
      <c r="J15" s="165">
        <v>780</v>
      </c>
      <c r="K15" s="166"/>
      <c r="L15" s="165"/>
      <c r="M15" s="166"/>
      <c r="N15" s="165"/>
      <c r="O15" s="166"/>
      <c r="P15" s="165"/>
      <c r="Q15" s="166"/>
      <c r="R15" s="103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 t="s">
        <v>102</v>
      </c>
      <c r="E16" s="12" t="s">
        <v>473</v>
      </c>
      <c r="F16" s="17">
        <v>397</v>
      </c>
      <c r="G16" s="17">
        <v>304</v>
      </c>
      <c r="H16" s="18">
        <v>0.7</v>
      </c>
      <c r="I16" s="17">
        <v>33000</v>
      </c>
      <c r="J16" s="165">
        <v>60</v>
      </c>
      <c r="K16" s="166"/>
      <c r="L16" s="165"/>
      <c r="M16" s="166"/>
      <c r="N16" s="165"/>
      <c r="O16" s="166"/>
      <c r="P16" s="165"/>
      <c r="Q16" s="166"/>
      <c r="R16" s="103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 t="s">
        <v>102</v>
      </c>
      <c r="E17" s="12" t="s">
        <v>316</v>
      </c>
      <c r="F17" s="17">
        <v>213</v>
      </c>
      <c r="G17" s="17">
        <v>304</v>
      </c>
      <c r="H17" s="18">
        <v>0.7</v>
      </c>
      <c r="I17" s="17">
        <v>33000</v>
      </c>
      <c r="J17" s="165">
        <v>20</v>
      </c>
      <c r="K17" s="166"/>
      <c r="L17" s="165"/>
      <c r="M17" s="166"/>
      <c r="N17" s="165"/>
      <c r="O17" s="166"/>
      <c r="P17" s="165"/>
      <c r="Q17" s="166"/>
      <c r="R17" s="103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>
        <v>250079</v>
      </c>
      <c r="E18" s="12" t="s">
        <v>474</v>
      </c>
      <c r="F18" s="17">
        <v>324</v>
      </c>
      <c r="G18" s="17">
        <v>304</v>
      </c>
      <c r="H18" s="18">
        <v>0.7</v>
      </c>
      <c r="I18" s="17">
        <v>33000</v>
      </c>
      <c r="J18" s="165"/>
      <c r="K18" s="166"/>
      <c r="L18" s="165"/>
      <c r="M18" s="166"/>
      <c r="N18" s="165">
        <v>1020</v>
      </c>
      <c r="O18" s="166"/>
      <c r="P18" s="165"/>
      <c r="Q18" s="166"/>
      <c r="R18" s="103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 t="s">
        <v>102</v>
      </c>
      <c r="E19" s="12" t="s">
        <v>475</v>
      </c>
      <c r="F19" s="17">
        <v>125</v>
      </c>
      <c r="G19" s="17">
        <v>304</v>
      </c>
      <c r="H19" s="18">
        <v>0.7</v>
      </c>
      <c r="I19" s="17">
        <v>33000</v>
      </c>
      <c r="J19" s="165"/>
      <c r="K19" s="166"/>
      <c r="L19" s="165"/>
      <c r="M19" s="166"/>
      <c r="N19" s="165">
        <v>255</v>
      </c>
      <c r="O19" s="166"/>
      <c r="P19" s="165"/>
      <c r="Q19" s="166"/>
      <c r="R19" s="103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>
        <v>250079</v>
      </c>
      <c r="E20" s="12" t="s">
        <v>476</v>
      </c>
      <c r="F20" s="17">
        <v>315</v>
      </c>
      <c r="G20" s="17">
        <v>304</v>
      </c>
      <c r="H20" s="18">
        <v>0.7</v>
      </c>
      <c r="I20" s="17">
        <v>33000</v>
      </c>
      <c r="J20" s="165">
        <v>680</v>
      </c>
      <c r="K20" s="166"/>
      <c r="L20" s="165"/>
      <c r="M20" s="166"/>
      <c r="N20" s="165"/>
      <c r="O20" s="166"/>
      <c r="P20" s="165"/>
      <c r="Q20" s="166"/>
      <c r="R20" s="103"/>
      <c r="S20" s="14" t="s">
        <v>20</v>
      </c>
      <c r="T20" s="42"/>
      <c r="U20" s="205"/>
      <c r="V20" s="206"/>
      <c r="W20" s="207"/>
    </row>
    <row r="21" spans="1:23" x14ac:dyDescent="0.3">
      <c r="A21" s="181"/>
      <c r="B21" s="5"/>
      <c r="C21" s="5"/>
      <c r="D21" s="4" t="s">
        <v>102</v>
      </c>
      <c r="E21" s="12" t="s">
        <v>302</v>
      </c>
      <c r="F21" s="17">
        <v>132</v>
      </c>
      <c r="G21" s="17">
        <v>304</v>
      </c>
      <c r="H21" s="18">
        <v>0.7</v>
      </c>
      <c r="I21" s="17">
        <v>33000</v>
      </c>
      <c r="J21" s="165"/>
      <c r="K21" s="166"/>
      <c r="L21" s="165"/>
      <c r="M21" s="166"/>
      <c r="N21" s="165">
        <v>170</v>
      </c>
      <c r="O21" s="166"/>
      <c r="P21" s="165"/>
      <c r="Q21" s="166"/>
      <c r="R21" s="103"/>
      <c r="S21" s="14" t="s">
        <v>20</v>
      </c>
      <c r="T21" s="42"/>
      <c r="U21" s="205"/>
      <c r="V21" s="206"/>
      <c r="W21" s="207"/>
    </row>
    <row r="22" spans="1:23" x14ac:dyDescent="0.3">
      <c r="A22" s="181"/>
      <c r="B22" s="5"/>
      <c r="C22" s="5"/>
      <c r="D22" s="4">
        <v>250079</v>
      </c>
      <c r="E22" s="12" t="s">
        <v>477</v>
      </c>
      <c r="F22" s="17">
        <v>307</v>
      </c>
      <c r="G22" s="17">
        <v>304</v>
      </c>
      <c r="H22" s="18">
        <v>0.7</v>
      </c>
      <c r="I22" s="17">
        <v>33000</v>
      </c>
      <c r="J22" s="165"/>
      <c r="K22" s="166"/>
      <c r="L22" s="165"/>
      <c r="M22" s="166"/>
      <c r="N22" s="165">
        <v>1360</v>
      </c>
      <c r="O22" s="166"/>
      <c r="P22" s="165"/>
      <c r="Q22" s="166"/>
      <c r="R22" s="103"/>
      <c r="S22" s="14" t="s">
        <v>20</v>
      </c>
      <c r="T22" s="42"/>
      <c r="U22" s="205"/>
      <c r="V22" s="206"/>
      <c r="W22" s="207"/>
    </row>
    <row r="23" spans="1:23" x14ac:dyDescent="0.3">
      <c r="A23" s="181"/>
      <c r="B23" s="5"/>
      <c r="C23" s="5"/>
      <c r="D23" s="4" t="s">
        <v>102</v>
      </c>
      <c r="E23" s="12" t="s">
        <v>478</v>
      </c>
      <c r="F23" s="17">
        <v>160</v>
      </c>
      <c r="G23" s="17">
        <v>304</v>
      </c>
      <c r="H23" s="18">
        <v>0.7</v>
      </c>
      <c r="I23" s="17">
        <v>33000</v>
      </c>
      <c r="J23" s="165">
        <v>340</v>
      </c>
      <c r="K23" s="166"/>
      <c r="L23" s="165"/>
      <c r="M23" s="166"/>
      <c r="N23" s="165"/>
      <c r="O23" s="166"/>
      <c r="P23" s="165"/>
      <c r="Q23" s="166"/>
      <c r="R23" s="103"/>
      <c r="S23" s="14" t="s">
        <v>20</v>
      </c>
      <c r="T23" s="42"/>
      <c r="U23" s="205"/>
      <c r="V23" s="206"/>
      <c r="W23" s="207"/>
    </row>
    <row r="24" spans="1:23" x14ac:dyDescent="0.3">
      <c r="A24" s="181"/>
      <c r="B24" s="5"/>
      <c r="C24" s="5"/>
      <c r="D24" s="4">
        <v>250080</v>
      </c>
      <c r="E24" s="12" t="s">
        <v>477</v>
      </c>
      <c r="F24" s="17">
        <v>307</v>
      </c>
      <c r="G24" s="17">
        <v>304</v>
      </c>
      <c r="H24" s="18">
        <v>0.7</v>
      </c>
      <c r="I24" s="17">
        <v>33000</v>
      </c>
      <c r="J24" s="165"/>
      <c r="K24" s="166"/>
      <c r="L24" s="165"/>
      <c r="M24" s="166"/>
      <c r="N24" s="165">
        <v>400</v>
      </c>
      <c r="O24" s="166"/>
      <c r="P24" s="165"/>
      <c r="Q24" s="166"/>
      <c r="R24" s="103"/>
      <c r="S24" s="14" t="s">
        <v>20</v>
      </c>
      <c r="T24" s="42"/>
      <c r="U24" s="205"/>
      <c r="V24" s="206"/>
      <c r="W24" s="207"/>
    </row>
    <row r="25" spans="1:23" x14ac:dyDescent="0.3">
      <c r="A25" s="181"/>
      <c r="B25" s="5"/>
      <c r="C25" s="5">
        <v>0.70833333333333337</v>
      </c>
      <c r="D25" s="4" t="s">
        <v>102</v>
      </c>
      <c r="E25" s="12" t="s">
        <v>478</v>
      </c>
      <c r="F25" s="17">
        <v>160</v>
      </c>
      <c r="G25" s="17">
        <v>304</v>
      </c>
      <c r="H25" s="18">
        <v>0.7</v>
      </c>
      <c r="I25" s="17">
        <v>33000</v>
      </c>
      <c r="J25" s="165"/>
      <c r="K25" s="166"/>
      <c r="L25" s="165"/>
      <c r="M25" s="166"/>
      <c r="N25" s="165">
        <v>100</v>
      </c>
      <c r="O25" s="166"/>
      <c r="P25" s="165"/>
      <c r="Q25" s="166"/>
      <c r="R25" s="103"/>
      <c r="S25" s="14" t="s">
        <v>20</v>
      </c>
      <c r="T25" s="42"/>
      <c r="U25" s="205"/>
      <c r="V25" s="206"/>
      <c r="W25" s="207"/>
    </row>
    <row r="26" spans="1:23" x14ac:dyDescent="0.3">
      <c r="A26" s="181"/>
      <c r="B26" s="5"/>
      <c r="C26" s="5"/>
      <c r="D26" s="4"/>
      <c r="E26" s="12"/>
      <c r="F26" s="17"/>
      <c r="G26" s="17"/>
      <c r="H26" s="18"/>
      <c r="I26" s="17"/>
      <c r="J26" s="165"/>
      <c r="K26" s="166"/>
      <c r="L26" s="165"/>
      <c r="M26" s="166"/>
      <c r="N26" s="165"/>
      <c r="O26" s="166"/>
      <c r="P26" s="165"/>
      <c r="Q26" s="166"/>
      <c r="R26" s="103"/>
      <c r="S26" s="14" t="s">
        <v>20</v>
      </c>
      <c r="T26" s="42"/>
      <c r="U26" s="205"/>
      <c r="V26" s="206"/>
      <c r="W26" s="207"/>
    </row>
    <row r="27" spans="1:23" x14ac:dyDescent="0.3">
      <c r="A27" s="182"/>
      <c r="B27" s="170" t="s">
        <v>0</v>
      </c>
      <c r="C27" s="171"/>
      <c r="D27" s="171"/>
      <c r="E27" s="171"/>
      <c r="F27" s="171"/>
      <c r="G27" s="171"/>
      <c r="H27" s="171"/>
      <c r="I27" s="172"/>
      <c r="J27" s="21">
        <f>SUM(J7:K26)</f>
        <v>5562</v>
      </c>
      <c r="K27" s="22" t="s">
        <v>17</v>
      </c>
      <c r="L27" s="21">
        <f>SUM(L7:M26)</f>
        <v>0</v>
      </c>
      <c r="M27" s="22" t="s">
        <v>17</v>
      </c>
      <c r="N27" s="21">
        <f>SUM(N7:O26)</f>
        <v>3305</v>
      </c>
      <c r="O27" s="22" t="s">
        <v>17</v>
      </c>
      <c r="P27" s="21">
        <f>SUM(P7:Q26)</f>
        <v>0</v>
      </c>
      <c r="Q27" s="22" t="s">
        <v>17</v>
      </c>
      <c r="R27" s="23">
        <f>SUM(R7:R26)</f>
        <v>0</v>
      </c>
      <c r="S27" s="24" t="s">
        <v>20</v>
      </c>
      <c r="T27" s="19"/>
      <c r="U27" s="208"/>
      <c r="V27" s="209"/>
      <c r="W27" s="210"/>
    </row>
    <row r="28" spans="1:23" ht="14.55" customHeight="1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spans="1:23" ht="14.55" customHeight="1" x14ac:dyDescent="0.3">
      <c r="A29" s="27"/>
      <c r="B29" s="27"/>
      <c r="C29" s="27"/>
      <c r="D29" s="27"/>
      <c r="E29" s="170" t="s">
        <v>27</v>
      </c>
      <c r="F29" s="171"/>
      <c r="G29" s="171"/>
      <c r="H29" s="171"/>
      <c r="I29" s="172"/>
      <c r="J29" s="175" t="s">
        <v>7</v>
      </c>
      <c r="K29" s="176"/>
      <c r="L29" s="175" t="s">
        <v>8</v>
      </c>
      <c r="M29" s="176"/>
      <c r="N29" s="175" t="s">
        <v>9</v>
      </c>
      <c r="O29" s="176"/>
      <c r="P29" s="175" t="s">
        <v>117</v>
      </c>
      <c r="Q29" s="176"/>
      <c r="R29" s="27"/>
      <c r="S29" s="27"/>
    </row>
    <row r="30" spans="1:23" ht="14.55" customHeight="1" x14ac:dyDescent="0.3">
      <c r="A30" s="27"/>
      <c r="B30" s="27"/>
      <c r="C30" s="27"/>
      <c r="D30" s="27"/>
      <c r="E30" s="15"/>
      <c r="F30" s="15"/>
      <c r="G30" s="15"/>
      <c r="H30" s="15"/>
      <c r="I30" s="15"/>
      <c r="J30" s="30">
        <f>J27</f>
        <v>5562</v>
      </c>
      <c r="K30" s="31" t="s">
        <v>17</v>
      </c>
      <c r="L30" s="32">
        <f>L27</f>
        <v>0</v>
      </c>
      <c r="M30" s="31" t="s">
        <v>17</v>
      </c>
      <c r="N30" s="32">
        <f>N27</f>
        <v>3305</v>
      </c>
      <c r="O30" s="31" t="s">
        <v>17</v>
      </c>
      <c r="P30" s="33">
        <f>P27</f>
        <v>0</v>
      </c>
      <c r="Q30" s="34" t="s">
        <v>17</v>
      </c>
      <c r="R30" s="27"/>
      <c r="S30" s="27"/>
    </row>
    <row r="31" spans="1:23" ht="30" customHeight="1" x14ac:dyDescent="0.3">
      <c r="A31" s="27"/>
      <c r="B31" s="27"/>
      <c r="C31" s="27"/>
      <c r="D31" s="27"/>
      <c r="E31" s="28"/>
      <c r="F31" s="28"/>
      <c r="G31" s="28"/>
      <c r="H31" s="28"/>
      <c r="I31" s="28"/>
      <c r="J31" s="167">
        <f>J30+L30+N30+P30</f>
        <v>8867</v>
      </c>
      <c r="K31" s="168"/>
      <c r="L31" s="168"/>
      <c r="M31" s="168"/>
      <c r="N31" s="168"/>
      <c r="O31" s="168"/>
      <c r="P31" s="168"/>
      <c r="Q31" s="169"/>
      <c r="R31" s="27"/>
      <c r="S31" s="27"/>
    </row>
    <row r="32" spans="1:23" ht="30" customHeight="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spans="1:23" s="37" customFormat="1" ht="19.95" customHeight="1" x14ac:dyDescent="0.4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183" t="s">
        <v>14</v>
      </c>
      <c r="R33" s="183"/>
      <c r="S33" s="183"/>
      <c r="T33" s="184">
        <f>T3</f>
        <v>45943</v>
      </c>
      <c r="U33" s="185"/>
      <c r="V33" s="185"/>
      <c r="W33" s="186"/>
    </row>
    <row r="34" spans="1:23" s="16" customFormat="1" ht="30" customHeight="1" x14ac:dyDescent="0.3">
      <c r="A34" s="187" t="s">
        <v>29</v>
      </c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9"/>
      <c r="Q34" s="189"/>
      <c r="R34" s="189"/>
      <c r="S34" s="189"/>
      <c r="T34" s="188"/>
      <c r="U34" s="188"/>
      <c r="V34" s="188"/>
      <c r="W34" s="190"/>
    </row>
    <row r="35" spans="1:23" s="26" customFormat="1" ht="13.8" x14ac:dyDescent="0.3">
      <c r="A35" s="191" t="s">
        <v>1</v>
      </c>
      <c r="B35" s="192" t="s">
        <v>2</v>
      </c>
      <c r="C35" s="192" t="s">
        <v>3</v>
      </c>
      <c r="D35" s="192" t="s">
        <v>4</v>
      </c>
      <c r="E35" s="193" t="s">
        <v>5</v>
      </c>
      <c r="F35" s="195" t="s">
        <v>21</v>
      </c>
      <c r="G35" s="195" t="s">
        <v>22</v>
      </c>
      <c r="H35" s="195" t="s">
        <v>33</v>
      </c>
      <c r="I35" s="195" t="s">
        <v>30</v>
      </c>
      <c r="J35" s="193" t="s">
        <v>6</v>
      </c>
      <c r="K35" s="197"/>
      <c r="L35" s="197"/>
      <c r="M35" s="197"/>
      <c r="N35" s="197"/>
      <c r="O35" s="197"/>
      <c r="P35" s="197"/>
      <c r="Q35" s="198"/>
      <c r="R35" s="193" t="s">
        <v>10</v>
      </c>
      <c r="S35" s="198"/>
      <c r="T35" s="191" t="s">
        <v>11</v>
      </c>
      <c r="U35" s="191" t="s">
        <v>12</v>
      </c>
      <c r="V35" s="191"/>
      <c r="W35" s="191"/>
    </row>
    <row r="36" spans="1:23" s="26" customFormat="1" ht="13.8" x14ac:dyDescent="0.3">
      <c r="A36" s="191"/>
      <c r="B36" s="192"/>
      <c r="C36" s="192"/>
      <c r="D36" s="192"/>
      <c r="E36" s="194"/>
      <c r="F36" s="196"/>
      <c r="G36" s="196"/>
      <c r="H36" s="196"/>
      <c r="I36" s="196"/>
      <c r="J36" s="200" t="s">
        <v>7</v>
      </c>
      <c r="K36" s="201"/>
      <c r="L36" s="200" t="s">
        <v>8</v>
      </c>
      <c r="M36" s="201"/>
      <c r="N36" s="200" t="s">
        <v>9</v>
      </c>
      <c r="O36" s="201"/>
      <c r="P36" s="200" t="s">
        <v>117</v>
      </c>
      <c r="Q36" s="201"/>
      <c r="R36" s="194"/>
      <c r="S36" s="199"/>
      <c r="T36" s="191"/>
      <c r="U36" s="191"/>
      <c r="V36" s="191"/>
      <c r="W36" s="191"/>
    </row>
    <row r="37" spans="1:23" ht="14.55" customHeight="1" x14ac:dyDescent="0.3">
      <c r="A37" s="180" t="s">
        <v>32</v>
      </c>
      <c r="B37" s="5">
        <v>0.33333333333333331</v>
      </c>
      <c r="C37" s="5"/>
      <c r="D37" s="105">
        <v>250061</v>
      </c>
      <c r="E37" s="12" t="s">
        <v>480</v>
      </c>
      <c r="F37" s="40">
        <v>304</v>
      </c>
      <c r="G37" s="41">
        <v>0.7</v>
      </c>
      <c r="H37" s="40">
        <v>435</v>
      </c>
      <c r="I37" s="12">
        <v>5</v>
      </c>
      <c r="J37" s="165">
        <v>175</v>
      </c>
      <c r="K37" s="166"/>
      <c r="L37" s="165"/>
      <c r="M37" s="166"/>
      <c r="N37" s="165"/>
      <c r="O37" s="166"/>
      <c r="P37" s="165"/>
      <c r="Q37" s="166"/>
      <c r="R37" s="103">
        <v>30</v>
      </c>
      <c r="S37" s="14" t="s">
        <v>20</v>
      </c>
      <c r="T37" s="42" t="s">
        <v>93</v>
      </c>
      <c r="U37" s="177"/>
      <c r="V37" s="178"/>
      <c r="W37" s="179"/>
    </row>
    <row r="38" spans="1:23" ht="14.55" customHeight="1" x14ac:dyDescent="0.3">
      <c r="A38" s="181"/>
      <c r="B38" s="5"/>
      <c r="C38" s="5"/>
      <c r="D38" s="105">
        <v>250057</v>
      </c>
      <c r="E38" s="13" t="s">
        <v>481</v>
      </c>
      <c r="F38" s="40">
        <v>304</v>
      </c>
      <c r="G38" s="41">
        <v>0.6</v>
      </c>
      <c r="H38" s="40">
        <v>425</v>
      </c>
      <c r="I38" s="12">
        <v>6</v>
      </c>
      <c r="J38" s="165">
        <v>415</v>
      </c>
      <c r="K38" s="166"/>
      <c r="L38" s="165"/>
      <c r="M38" s="166"/>
      <c r="N38" s="165"/>
      <c r="O38" s="166"/>
      <c r="P38" s="165"/>
      <c r="Q38" s="166"/>
      <c r="R38" s="103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81"/>
      <c r="B39" s="5"/>
      <c r="C39" s="5">
        <v>0.70833333333333337</v>
      </c>
      <c r="D39" s="105">
        <v>250061</v>
      </c>
      <c r="E39" s="13" t="s">
        <v>481</v>
      </c>
      <c r="F39" s="40">
        <v>304</v>
      </c>
      <c r="G39" s="41">
        <v>0.6</v>
      </c>
      <c r="H39" s="40">
        <v>425</v>
      </c>
      <c r="I39" s="12">
        <v>6</v>
      </c>
      <c r="J39" s="165">
        <v>545</v>
      </c>
      <c r="K39" s="166"/>
      <c r="L39" s="165"/>
      <c r="M39" s="166"/>
      <c r="N39" s="165"/>
      <c r="O39" s="166"/>
      <c r="P39" s="165"/>
      <c r="Q39" s="166"/>
      <c r="R39" s="103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81"/>
      <c r="B40" s="5"/>
      <c r="C40" s="5"/>
      <c r="D40" s="4"/>
      <c r="E40" s="12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103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82"/>
      <c r="B41" s="19"/>
      <c r="C41" s="19"/>
      <c r="D41" s="20"/>
      <c r="E41" s="170" t="s">
        <v>0</v>
      </c>
      <c r="F41" s="171"/>
      <c r="G41" s="171"/>
      <c r="H41" s="171"/>
      <c r="I41" s="172"/>
      <c r="J41" s="173">
        <f>SUM(J37:K40)</f>
        <v>1135</v>
      </c>
      <c r="K41" s="174"/>
      <c r="L41" s="173">
        <f>SUM(L37:M40)</f>
        <v>0</v>
      </c>
      <c r="M41" s="174"/>
      <c r="N41" s="173">
        <f>SUM(N37:O40)</f>
        <v>0</v>
      </c>
      <c r="O41" s="174"/>
      <c r="P41" s="173">
        <f>SUM(P37:Q40)</f>
        <v>0</v>
      </c>
      <c r="Q41" s="174"/>
      <c r="R41" s="23">
        <f>SUM(R37:R40)</f>
        <v>30</v>
      </c>
      <c r="S41" s="24" t="s">
        <v>20</v>
      </c>
      <c r="T41" s="19"/>
      <c r="U41" s="177"/>
      <c r="V41" s="178"/>
      <c r="W41" s="179"/>
    </row>
    <row r="42" spans="1:23" ht="14.55" customHeight="1" x14ac:dyDescent="0.3">
      <c r="A42" s="163" t="s">
        <v>34</v>
      </c>
      <c r="B42" s="5">
        <v>0.33333333333333331</v>
      </c>
      <c r="C42" s="5"/>
      <c r="D42" s="105">
        <v>250055</v>
      </c>
      <c r="E42" s="12" t="s">
        <v>482</v>
      </c>
      <c r="F42" s="40">
        <v>304</v>
      </c>
      <c r="G42" s="41">
        <v>0.7</v>
      </c>
      <c r="H42" s="40">
        <v>385</v>
      </c>
      <c r="I42" s="12">
        <v>3</v>
      </c>
      <c r="J42" s="165">
        <v>320</v>
      </c>
      <c r="K42" s="166"/>
      <c r="L42" s="165"/>
      <c r="M42" s="166"/>
      <c r="N42" s="165"/>
      <c r="O42" s="166"/>
      <c r="P42" s="165"/>
      <c r="Q42" s="166"/>
      <c r="R42" s="103">
        <v>30</v>
      </c>
      <c r="S42" s="14" t="s">
        <v>20</v>
      </c>
      <c r="T42" s="42" t="s">
        <v>93</v>
      </c>
      <c r="U42" s="177"/>
      <c r="V42" s="178"/>
      <c r="W42" s="179"/>
    </row>
    <row r="43" spans="1:23" ht="14.55" customHeight="1" x14ac:dyDescent="0.3">
      <c r="A43" s="163"/>
      <c r="B43" s="5"/>
      <c r="C43" s="5"/>
      <c r="D43" s="105">
        <v>250052</v>
      </c>
      <c r="E43" s="12" t="s">
        <v>483</v>
      </c>
      <c r="F43" s="40">
        <v>304</v>
      </c>
      <c r="G43" s="41">
        <v>0.7</v>
      </c>
      <c r="H43" s="40">
        <v>323</v>
      </c>
      <c r="I43" s="12">
        <v>3</v>
      </c>
      <c r="J43" s="165">
        <v>805</v>
      </c>
      <c r="K43" s="166"/>
      <c r="L43" s="165"/>
      <c r="M43" s="166"/>
      <c r="N43" s="165"/>
      <c r="O43" s="166"/>
      <c r="P43" s="165"/>
      <c r="Q43" s="166"/>
      <c r="R43" s="103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3"/>
      <c r="B44" s="5"/>
      <c r="C44" s="5">
        <v>0.70833333333333337</v>
      </c>
      <c r="D44" s="105">
        <v>250055</v>
      </c>
      <c r="E44" s="12" t="s">
        <v>483</v>
      </c>
      <c r="F44" s="40">
        <v>304</v>
      </c>
      <c r="G44" s="41">
        <v>0.7</v>
      </c>
      <c r="H44" s="40">
        <v>323</v>
      </c>
      <c r="I44" s="12">
        <v>3</v>
      </c>
      <c r="J44" s="165">
        <v>695</v>
      </c>
      <c r="K44" s="166"/>
      <c r="L44" s="165"/>
      <c r="M44" s="166"/>
      <c r="N44" s="165"/>
      <c r="O44" s="166"/>
      <c r="P44" s="165"/>
      <c r="Q44" s="166"/>
      <c r="R44" s="103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103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4"/>
      <c r="B46" s="19"/>
      <c r="C46" s="19"/>
      <c r="D46" s="20"/>
      <c r="E46" s="170" t="s">
        <v>0</v>
      </c>
      <c r="F46" s="171"/>
      <c r="G46" s="171"/>
      <c r="H46" s="171"/>
      <c r="I46" s="172"/>
      <c r="J46" s="173">
        <f>SUM(J42:K45)</f>
        <v>1820</v>
      </c>
      <c r="K46" s="174"/>
      <c r="L46" s="173">
        <f>SUM(L42:M45)</f>
        <v>0</v>
      </c>
      <c r="M46" s="174"/>
      <c r="N46" s="173">
        <f>SUM(N42:O45)</f>
        <v>0</v>
      </c>
      <c r="O46" s="174"/>
      <c r="P46" s="173">
        <f>SUM(P42:Q45)</f>
        <v>0</v>
      </c>
      <c r="Q46" s="174"/>
      <c r="R46" s="23">
        <f>SUM(R42:R45)</f>
        <v>30</v>
      </c>
      <c r="S46" s="24" t="s">
        <v>20</v>
      </c>
      <c r="T46" s="19"/>
      <c r="U46" s="177"/>
      <c r="V46" s="178"/>
      <c r="W46" s="179"/>
    </row>
    <row r="47" spans="1:23" ht="14.55" customHeight="1" x14ac:dyDescent="0.3">
      <c r="A47" s="163" t="s">
        <v>35</v>
      </c>
      <c r="B47" s="5">
        <v>0.33333333333333331</v>
      </c>
      <c r="C47" s="5">
        <v>0.70833333333333337</v>
      </c>
      <c r="D47" s="102">
        <v>230925</v>
      </c>
      <c r="E47" s="12" t="s">
        <v>456</v>
      </c>
      <c r="F47" s="40">
        <v>430</v>
      </c>
      <c r="G47" s="41">
        <v>0.8</v>
      </c>
      <c r="H47" s="40">
        <v>425</v>
      </c>
      <c r="I47" s="12"/>
      <c r="J47" s="165"/>
      <c r="K47" s="166"/>
      <c r="L47" s="165"/>
      <c r="M47" s="166"/>
      <c r="N47" s="165">
        <v>1000</v>
      </c>
      <c r="O47" s="166"/>
      <c r="P47" s="165"/>
      <c r="Q47" s="166"/>
      <c r="R47" s="103">
        <v>120</v>
      </c>
      <c r="S47" s="14" t="s">
        <v>20</v>
      </c>
      <c r="T47" s="42" t="s">
        <v>216</v>
      </c>
      <c r="U47" s="177"/>
      <c r="V47" s="178"/>
      <c r="W47" s="17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103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63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103"/>
      <c r="S49" s="14" t="s">
        <v>20</v>
      </c>
      <c r="T49" s="42"/>
      <c r="U49" s="177"/>
      <c r="V49" s="178"/>
      <c r="W49" s="179"/>
    </row>
    <row r="50" spans="1:23" ht="14.55" customHeight="1" x14ac:dyDescent="0.3">
      <c r="A50" s="163"/>
      <c r="B50" s="5"/>
      <c r="C50" s="5"/>
      <c r="D50" s="4"/>
      <c r="E50" s="12"/>
      <c r="F50" s="40"/>
      <c r="G50" s="41"/>
      <c r="H50" s="40"/>
      <c r="I50" s="12"/>
      <c r="J50" s="165"/>
      <c r="K50" s="166"/>
      <c r="L50" s="165"/>
      <c r="M50" s="166"/>
      <c r="N50" s="165"/>
      <c r="O50" s="166"/>
      <c r="P50" s="165"/>
      <c r="Q50" s="166"/>
      <c r="R50" s="103"/>
      <c r="S50" s="14" t="s">
        <v>20</v>
      </c>
      <c r="T50" s="42"/>
      <c r="U50" s="177"/>
      <c r="V50" s="178"/>
      <c r="W50" s="179"/>
    </row>
    <row r="51" spans="1:23" ht="14.55" customHeight="1" x14ac:dyDescent="0.3">
      <c r="A51" s="163"/>
      <c r="B51" s="5"/>
      <c r="C51" s="5"/>
      <c r="D51" s="4"/>
      <c r="E51" s="12"/>
      <c r="F51" s="40"/>
      <c r="G51" s="41"/>
      <c r="H51" s="40"/>
      <c r="I51" s="12"/>
      <c r="J51" s="165"/>
      <c r="K51" s="166"/>
      <c r="L51" s="165"/>
      <c r="M51" s="166"/>
      <c r="N51" s="165"/>
      <c r="O51" s="166"/>
      <c r="P51" s="165"/>
      <c r="Q51" s="166"/>
      <c r="R51" s="103"/>
      <c r="S51" s="14" t="s">
        <v>20</v>
      </c>
      <c r="T51" s="42"/>
      <c r="U51" s="177"/>
      <c r="V51" s="178"/>
      <c r="W51" s="179"/>
    </row>
    <row r="52" spans="1:23" ht="14.55" customHeight="1" x14ac:dyDescent="0.3">
      <c r="A52" s="163"/>
      <c r="B52" s="5"/>
      <c r="C52" s="5"/>
      <c r="D52" s="4"/>
      <c r="E52" s="12"/>
      <c r="F52" s="40"/>
      <c r="G52" s="41"/>
      <c r="H52" s="40"/>
      <c r="I52" s="12"/>
      <c r="J52" s="165"/>
      <c r="K52" s="166"/>
      <c r="L52" s="165"/>
      <c r="M52" s="166"/>
      <c r="N52" s="165"/>
      <c r="O52" s="166"/>
      <c r="P52" s="165"/>
      <c r="Q52" s="166"/>
      <c r="R52" s="103"/>
      <c r="S52" s="14" t="s">
        <v>20</v>
      </c>
      <c r="T52" s="42"/>
      <c r="U52" s="177"/>
      <c r="V52" s="178"/>
      <c r="W52" s="179"/>
    </row>
    <row r="53" spans="1:23" ht="14.55" customHeight="1" x14ac:dyDescent="0.3">
      <c r="A53" s="163"/>
      <c r="B53" s="5"/>
      <c r="C53" s="5"/>
      <c r="D53" s="4"/>
      <c r="E53" s="12"/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103"/>
      <c r="S53" s="14" t="s">
        <v>20</v>
      </c>
      <c r="T53" s="42"/>
      <c r="U53" s="177"/>
      <c r="V53" s="178"/>
      <c r="W53" s="179"/>
    </row>
    <row r="54" spans="1:23" ht="14.55" customHeight="1" x14ac:dyDescent="0.3">
      <c r="A54" s="163"/>
      <c r="B54" s="5"/>
      <c r="C54" s="5"/>
      <c r="D54" s="4"/>
      <c r="E54" s="12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103"/>
      <c r="S54" s="14" t="s">
        <v>20</v>
      </c>
      <c r="T54" s="42"/>
      <c r="U54" s="177"/>
      <c r="V54" s="178"/>
      <c r="W54" s="179"/>
    </row>
    <row r="55" spans="1:23" ht="14.55" customHeight="1" x14ac:dyDescent="0.3">
      <c r="A55" s="163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103"/>
      <c r="S55" s="14" t="s">
        <v>20</v>
      </c>
      <c r="T55" s="42"/>
      <c r="U55" s="177"/>
      <c r="V55" s="178"/>
      <c r="W55" s="179"/>
    </row>
    <row r="56" spans="1:23" ht="14.55" customHeight="1" x14ac:dyDescent="0.3">
      <c r="A56" s="164"/>
      <c r="B56" s="19"/>
      <c r="C56" s="19"/>
      <c r="D56" s="20"/>
      <c r="E56" s="170" t="s">
        <v>0</v>
      </c>
      <c r="F56" s="171"/>
      <c r="G56" s="171"/>
      <c r="H56" s="171"/>
      <c r="I56" s="172"/>
      <c r="J56" s="173">
        <f>SUM(J47:K55)</f>
        <v>0</v>
      </c>
      <c r="K56" s="174"/>
      <c r="L56" s="173">
        <f>SUM(L47:M55)</f>
        <v>0</v>
      </c>
      <c r="M56" s="174"/>
      <c r="N56" s="173">
        <f>SUM(N47:O55)</f>
        <v>1000</v>
      </c>
      <c r="O56" s="174"/>
      <c r="P56" s="173">
        <f>SUM(P47:Q55)</f>
        <v>0</v>
      </c>
      <c r="Q56" s="174"/>
      <c r="R56" s="23">
        <f>SUM(R47:R55)</f>
        <v>120</v>
      </c>
      <c r="S56" s="24" t="s">
        <v>20</v>
      </c>
      <c r="T56" s="19"/>
      <c r="U56" s="177"/>
      <c r="V56" s="178"/>
      <c r="W56" s="179"/>
    </row>
    <row r="57" spans="1:23" ht="14.55" customHeight="1" x14ac:dyDescent="0.3">
      <c r="A57" s="27"/>
      <c r="B57" s="27"/>
      <c r="C57" s="27"/>
      <c r="D57" s="27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27"/>
      <c r="S57" s="27"/>
      <c r="T57" s="39"/>
      <c r="U57" s="39"/>
      <c r="V57" s="39"/>
      <c r="W57" s="39"/>
    </row>
    <row r="58" spans="1:23" x14ac:dyDescent="0.3">
      <c r="E58" s="170" t="s">
        <v>31</v>
      </c>
      <c r="F58" s="171"/>
      <c r="G58" s="171"/>
      <c r="H58" s="171"/>
      <c r="I58" s="172"/>
      <c r="J58" s="175" t="s">
        <v>7</v>
      </c>
      <c r="K58" s="176"/>
      <c r="L58" s="175" t="s">
        <v>8</v>
      </c>
      <c r="M58" s="176"/>
      <c r="N58" s="175" t="s">
        <v>9</v>
      </c>
      <c r="O58" s="176"/>
      <c r="P58" s="175" t="s">
        <v>117</v>
      </c>
      <c r="Q58" s="176"/>
    </row>
    <row r="59" spans="1:23" s="2" customFormat="1" x14ac:dyDescent="0.3">
      <c r="E59" s="15"/>
      <c r="F59" s="15"/>
      <c r="G59" s="15"/>
      <c r="H59" s="15"/>
      <c r="I59" s="15"/>
      <c r="J59" s="30">
        <f>J41+J46+J56</f>
        <v>2955</v>
      </c>
      <c r="K59" s="31" t="s">
        <v>17</v>
      </c>
      <c r="L59" s="30">
        <f>L41+L46+L56</f>
        <v>0</v>
      </c>
      <c r="M59" s="31" t="s">
        <v>17</v>
      </c>
      <c r="N59" s="30">
        <f>N41+N46+N56</f>
        <v>1000</v>
      </c>
      <c r="O59" s="31" t="s">
        <v>17</v>
      </c>
      <c r="P59" s="30">
        <f>P41+P46+P56</f>
        <v>0</v>
      </c>
      <c r="Q59" s="34" t="s">
        <v>17</v>
      </c>
    </row>
    <row r="60" spans="1:23" ht="24.45" customHeight="1" x14ac:dyDescent="0.3">
      <c r="E60" s="28"/>
      <c r="F60" s="28"/>
      <c r="G60" s="28"/>
      <c r="H60" s="28"/>
      <c r="I60" s="28"/>
      <c r="J60" s="167">
        <f>J59+L59+N59+P59</f>
        <v>3955</v>
      </c>
      <c r="K60" s="168"/>
      <c r="L60" s="168"/>
      <c r="M60" s="168"/>
      <c r="N60" s="168"/>
      <c r="O60" s="168"/>
      <c r="P60" s="168"/>
      <c r="Q60" s="169"/>
    </row>
    <row r="61" spans="1:23" ht="30" customHeight="1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 spans="1:23" s="37" customFormat="1" ht="19.95" customHeight="1" x14ac:dyDescent="0.4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214" t="s">
        <v>14</v>
      </c>
      <c r="R62" s="215"/>
      <c r="S62" s="216"/>
      <c r="T62" s="184">
        <f>T3</f>
        <v>45943</v>
      </c>
      <c r="U62" s="185"/>
      <c r="V62" s="185"/>
      <c r="W62" s="186"/>
    </row>
    <row r="63" spans="1:23" s="16" customFormat="1" ht="30" customHeight="1" x14ac:dyDescent="0.3">
      <c r="A63" s="187" t="s">
        <v>26</v>
      </c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9"/>
      <c r="Q63" s="189"/>
      <c r="R63" s="189"/>
      <c r="S63" s="189"/>
      <c r="T63" s="188"/>
      <c r="U63" s="188"/>
      <c r="V63" s="188"/>
      <c r="W63" s="190"/>
    </row>
    <row r="64" spans="1:23" s="26" customFormat="1" ht="13.8" x14ac:dyDescent="0.3">
      <c r="A64" s="191" t="s">
        <v>1</v>
      </c>
      <c r="B64" s="192" t="s">
        <v>2</v>
      </c>
      <c r="C64" s="192" t="s">
        <v>3</v>
      </c>
      <c r="D64" s="192" t="s">
        <v>4</v>
      </c>
      <c r="E64" s="193" t="s">
        <v>5</v>
      </c>
      <c r="F64" s="197"/>
      <c r="G64" s="197"/>
      <c r="H64" s="197"/>
      <c r="I64" s="198"/>
      <c r="J64" s="193" t="s">
        <v>6</v>
      </c>
      <c r="K64" s="197"/>
      <c r="L64" s="197"/>
      <c r="M64" s="197"/>
      <c r="N64" s="197"/>
      <c r="O64" s="197"/>
      <c r="P64" s="197"/>
      <c r="Q64" s="198"/>
      <c r="R64" s="193" t="s">
        <v>10</v>
      </c>
      <c r="S64" s="198"/>
      <c r="T64" s="191" t="s">
        <v>11</v>
      </c>
      <c r="U64" s="191" t="s">
        <v>12</v>
      </c>
      <c r="V64" s="191"/>
      <c r="W64" s="191"/>
    </row>
    <row r="65" spans="1:23" s="26" customFormat="1" ht="13.8" x14ac:dyDescent="0.3">
      <c r="A65" s="191"/>
      <c r="B65" s="192"/>
      <c r="C65" s="192"/>
      <c r="D65" s="192"/>
      <c r="E65" s="194"/>
      <c r="F65" s="217"/>
      <c r="G65" s="217"/>
      <c r="H65" s="217"/>
      <c r="I65" s="199"/>
      <c r="J65" s="200" t="s">
        <v>7</v>
      </c>
      <c r="K65" s="201"/>
      <c r="L65" s="200" t="s">
        <v>8</v>
      </c>
      <c r="M65" s="201"/>
      <c r="N65" s="200" t="s">
        <v>9</v>
      </c>
      <c r="O65" s="201"/>
      <c r="P65" s="200" t="s">
        <v>117</v>
      </c>
      <c r="Q65" s="201"/>
      <c r="R65" s="194"/>
      <c r="S65" s="199"/>
      <c r="T65" s="191"/>
      <c r="U65" s="191"/>
      <c r="V65" s="191"/>
      <c r="W65" s="191"/>
    </row>
    <row r="66" spans="1:23" x14ac:dyDescent="0.3">
      <c r="A66" s="180" t="s">
        <v>13</v>
      </c>
      <c r="B66" s="5">
        <v>0.33333333333333331</v>
      </c>
      <c r="C66" s="5"/>
      <c r="D66" s="102">
        <v>290925</v>
      </c>
      <c r="E66" s="211" t="s">
        <v>416</v>
      </c>
      <c r="F66" s="212"/>
      <c r="G66" s="212"/>
      <c r="H66" s="212"/>
      <c r="I66" s="213"/>
      <c r="J66" s="165"/>
      <c r="K66" s="166"/>
      <c r="L66" s="165"/>
      <c r="M66" s="166"/>
      <c r="N66" s="165">
        <v>2778</v>
      </c>
      <c r="O66" s="166"/>
      <c r="P66" s="165"/>
      <c r="Q66" s="166"/>
      <c r="R66" s="103">
        <v>40</v>
      </c>
      <c r="S66" s="6" t="s">
        <v>20</v>
      </c>
      <c r="T66" s="3" t="s">
        <v>93</v>
      </c>
      <c r="U66" s="202"/>
      <c r="V66" s="203"/>
      <c r="W66" s="204"/>
    </row>
    <row r="67" spans="1:23" x14ac:dyDescent="0.3">
      <c r="A67" s="163"/>
      <c r="B67" s="5"/>
      <c r="C67" s="5">
        <v>0.70833333333333337</v>
      </c>
      <c r="D67" s="105">
        <v>250055</v>
      </c>
      <c r="E67" s="211" t="s">
        <v>480</v>
      </c>
      <c r="F67" s="212"/>
      <c r="G67" s="212"/>
      <c r="H67" s="212"/>
      <c r="I67" s="213"/>
      <c r="J67" s="165">
        <v>1552</v>
      </c>
      <c r="K67" s="166"/>
      <c r="L67" s="165"/>
      <c r="M67" s="166"/>
      <c r="N67" s="165"/>
      <c r="O67" s="166"/>
      <c r="P67" s="165"/>
      <c r="Q67" s="166"/>
      <c r="R67" s="103"/>
      <c r="S67" s="6" t="s">
        <v>20</v>
      </c>
      <c r="T67" s="3"/>
      <c r="U67" s="205"/>
      <c r="V67" s="206"/>
      <c r="W67" s="207"/>
    </row>
    <row r="68" spans="1:23" x14ac:dyDescent="0.3">
      <c r="A68" s="163"/>
      <c r="B68" s="5"/>
      <c r="C68" s="5"/>
      <c r="D68" s="4"/>
      <c r="E68" s="211"/>
      <c r="F68" s="212"/>
      <c r="G68" s="212"/>
      <c r="H68" s="212"/>
      <c r="I68" s="213"/>
      <c r="J68" s="165"/>
      <c r="K68" s="166"/>
      <c r="L68" s="165"/>
      <c r="M68" s="166"/>
      <c r="N68" s="165"/>
      <c r="O68" s="166"/>
      <c r="P68" s="165"/>
      <c r="Q68" s="166"/>
      <c r="R68" s="103"/>
      <c r="S68" s="6" t="s">
        <v>20</v>
      </c>
      <c r="T68" s="3"/>
      <c r="U68" s="205"/>
      <c r="V68" s="206"/>
      <c r="W68" s="207"/>
    </row>
    <row r="69" spans="1:23" x14ac:dyDescent="0.3">
      <c r="A69" s="164"/>
      <c r="B69" s="19"/>
      <c r="C69" s="19"/>
      <c r="D69" s="20"/>
      <c r="E69" s="170" t="s">
        <v>0</v>
      </c>
      <c r="F69" s="171"/>
      <c r="G69" s="171"/>
      <c r="H69" s="171"/>
      <c r="I69" s="172"/>
      <c r="J69" s="173">
        <f>SUM(J66:J68)</f>
        <v>1552</v>
      </c>
      <c r="K69" s="174"/>
      <c r="L69" s="173">
        <f>SUM(L66:L68)</f>
        <v>0</v>
      </c>
      <c r="M69" s="174"/>
      <c r="N69" s="173">
        <f>SUM(N66:N68)</f>
        <v>2778</v>
      </c>
      <c r="O69" s="174"/>
      <c r="P69" s="173">
        <f>SUM(P66:P68)</f>
        <v>0</v>
      </c>
      <c r="Q69" s="174"/>
      <c r="R69" s="23">
        <f>SUM(R66:R68)</f>
        <v>40</v>
      </c>
      <c r="S69" s="24" t="s">
        <v>20</v>
      </c>
      <c r="T69" s="19"/>
      <c r="U69" s="208"/>
      <c r="V69" s="209"/>
      <c r="W69" s="210"/>
    </row>
    <row r="70" spans="1:23" x14ac:dyDescent="0.3">
      <c r="A70" s="180" t="s">
        <v>15</v>
      </c>
      <c r="B70" s="5"/>
      <c r="C70" s="5"/>
      <c r="D70" s="4"/>
      <c r="E70" s="211"/>
      <c r="F70" s="212"/>
      <c r="G70" s="212"/>
      <c r="H70" s="212"/>
      <c r="I70" s="213"/>
      <c r="J70" s="165"/>
      <c r="K70" s="166"/>
      <c r="L70" s="165"/>
      <c r="M70" s="166"/>
      <c r="N70" s="165"/>
      <c r="O70" s="166"/>
      <c r="P70" s="165"/>
      <c r="Q70" s="166"/>
      <c r="R70" s="103"/>
      <c r="S70" s="6" t="s">
        <v>20</v>
      </c>
      <c r="T70" s="3"/>
      <c r="U70" s="202"/>
      <c r="V70" s="203"/>
      <c r="W70" s="204"/>
    </row>
    <row r="71" spans="1:23" x14ac:dyDescent="0.3">
      <c r="A71" s="163"/>
      <c r="B71" s="5"/>
      <c r="C71" s="5"/>
      <c r="D71" s="4"/>
      <c r="E71" s="211"/>
      <c r="F71" s="212"/>
      <c r="G71" s="212"/>
      <c r="H71" s="212"/>
      <c r="I71" s="213"/>
      <c r="J71" s="165"/>
      <c r="K71" s="166"/>
      <c r="L71" s="165"/>
      <c r="M71" s="166"/>
      <c r="N71" s="165"/>
      <c r="O71" s="166"/>
      <c r="P71" s="165"/>
      <c r="Q71" s="166"/>
      <c r="R71" s="103"/>
      <c r="S71" s="6" t="s">
        <v>20</v>
      </c>
      <c r="T71" s="3"/>
      <c r="U71" s="205"/>
      <c r="V71" s="206"/>
      <c r="W71" s="207"/>
    </row>
    <row r="72" spans="1:23" x14ac:dyDescent="0.3">
      <c r="A72" s="163"/>
      <c r="B72" s="5"/>
      <c r="C72" s="5"/>
      <c r="D72" s="4"/>
      <c r="E72" s="211"/>
      <c r="F72" s="212"/>
      <c r="G72" s="212"/>
      <c r="H72" s="212"/>
      <c r="I72" s="213"/>
      <c r="J72" s="165"/>
      <c r="K72" s="166"/>
      <c r="L72" s="165"/>
      <c r="M72" s="166"/>
      <c r="N72" s="165"/>
      <c r="O72" s="166"/>
      <c r="P72" s="165"/>
      <c r="Q72" s="166"/>
      <c r="R72" s="103"/>
      <c r="S72" s="6" t="s">
        <v>20</v>
      </c>
      <c r="T72" s="3"/>
      <c r="U72" s="205"/>
      <c r="V72" s="206"/>
      <c r="W72" s="207"/>
    </row>
    <row r="73" spans="1:23" x14ac:dyDescent="0.3">
      <c r="A73" s="164"/>
      <c r="B73" s="19"/>
      <c r="C73" s="19"/>
      <c r="D73" s="20"/>
      <c r="E73" s="170" t="s">
        <v>0</v>
      </c>
      <c r="F73" s="171"/>
      <c r="G73" s="171"/>
      <c r="H73" s="171"/>
      <c r="I73" s="172"/>
      <c r="J73" s="173">
        <f>SUM(J70:J72)</f>
        <v>0</v>
      </c>
      <c r="K73" s="174"/>
      <c r="L73" s="173">
        <f>SUM(L70:L72)</f>
        <v>0</v>
      </c>
      <c r="M73" s="174"/>
      <c r="N73" s="173">
        <f>SUM(N70:N72)</f>
        <v>0</v>
      </c>
      <c r="O73" s="174"/>
      <c r="P73" s="173">
        <f>SUM(P68:P72)</f>
        <v>0</v>
      </c>
      <c r="Q73" s="174"/>
      <c r="R73" s="23">
        <f>SUM(R70:R72)</f>
        <v>0</v>
      </c>
      <c r="S73" s="24" t="s">
        <v>20</v>
      </c>
      <c r="T73" s="7"/>
      <c r="U73" s="208"/>
      <c r="V73" s="209"/>
      <c r="W73" s="210"/>
    </row>
    <row r="74" spans="1:23" x14ac:dyDescent="0.3">
      <c r="E74" s="28"/>
      <c r="F74" s="28"/>
      <c r="G74" s="28"/>
      <c r="H74" s="28"/>
      <c r="I74" s="28"/>
      <c r="J74" s="29"/>
      <c r="K74" s="29"/>
      <c r="L74" s="29"/>
      <c r="M74" s="29"/>
      <c r="N74" s="29"/>
      <c r="O74" s="29"/>
      <c r="P74" s="29"/>
      <c r="Q74" s="29"/>
    </row>
    <row r="75" spans="1:23" x14ac:dyDescent="0.3">
      <c r="E75" s="170" t="s">
        <v>28</v>
      </c>
      <c r="F75" s="171"/>
      <c r="G75" s="171"/>
      <c r="H75" s="171"/>
      <c r="I75" s="172"/>
      <c r="J75" s="175" t="s">
        <v>7</v>
      </c>
      <c r="K75" s="176"/>
      <c r="L75" s="175" t="s">
        <v>8</v>
      </c>
      <c r="M75" s="176"/>
      <c r="N75" s="175" t="s">
        <v>9</v>
      </c>
      <c r="O75" s="176"/>
      <c r="P75" s="175" t="s">
        <v>117</v>
      </c>
      <c r="Q75" s="176"/>
    </row>
    <row r="76" spans="1:23" s="2" customFormat="1" x14ac:dyDescent="0.3">
      <c r="E76" s="15"/>
      <c r="F76" s="15"/>
      <c r="G76" s="15"/>
      <c r="H76" s="15"/>
      <c r="I76" s="15"/>
      <c r="J76" s="30">
        <f>J69+J73</f>
        <v>1552</v>
      </c>
      <c r="K76" s="31" t="s">
        <v>17</v>
      </c>
      <c r="L76" s="32">
        <f>L69+L73</f>
        <v>0</v>
      </c>
      <c r="M76" s="31" t="s">
        <v>17</v>
      </c>
      <c r="N76" s="32">
        <f>N69+N73</f>
        <v>2778</v>
      </c>
      <c r="O76" s="31" t="s">
        <v>17</v>
      </c>
      <c r="P76" s="32">
        <f>P69+P73</f>
        <v>0</v>
      </c>
      <c r="Q76" s="34" t="s">
        <v>17</v>
      </c>
    </row>
    <row r="77" spans="1:23" ht="24.45" customHeight="1" x14ac:dyDescent="0.3">
      <c r="E77" s="28"/>
      <c r="F77" s="28"/>
      <c r="G77" s="28"/>
      <c r="H77" s="28"/>
      <c r="I77" s="28"/>
      <c r="J77" s="167">
        <f>J76+L76+N76+P76</f>
        <v>4330</v>
      </c>
      <c r="K77" s="168"/>
      <c r="L77" s="168"/>
      <c r="M77" s="168"/>
      <c r="N77" s="168"/>
      <c r="O77" s="168"/>
      <c r="P77" s="168"/>
      <c r="Q77" s="169"/>
    </row>
  </sheetData>
  <mergeCells count="290">
    <mergeCell ref="J23:K23"/>
    <mergeCell ref="L23:M23"/>
    <mergeCell ref="N23:O23"/>
    <mergeCell ref="P23:Q23"/>
    <mergeCell ref="J24:K24"/>
    <mergeCell ref="L24:M24"/>
    <mergeCell ref="N24:O24"/>
    <mergeCell ref="P24:Q24"/>
    <mergeCell ref="J21:K21"/>
    <mergeCell ref="L21:M21"/>
    <mergeCell ref="N21:O21"/>
    <mergeCell ref="P21:Q21"/>
    <mergeCell ref="J22:K22"/>
    <mergeCell ref="L22:M22"/>
    <mergeCell ref="N22:O22"/>
    <mergeCell ref="P22:Q22"/>
    <mergeCell ref="J19:K19"/>
    <mergeCell ref="L19:M19"/>
    <mergeCell ref="N19:O19"/>
    <mergeCell ref="P19:Q19"/>
    <mergeCell ref="J20:K20"/>
    <mergeCell ref="L20:M20"/>
    <mergeCell ref="N20:O20"/>
    <mergeCell ref="P20:Q20"/>
    <mergeCell ref="E75:I75"/>
    <mergeCell ref="J75:K75"/>
    <mergeCell ref="L75:M75"/>
    <mergeCell ref="N75:O75"/>
    <mergeCell ref="P75:Q75"/>
    <mergeCell ref="E69:I69"/>
    <mergeCell ref="J69:K69"/>
    <mergeCell ref="L69:M69"/>
    <mergeCell ref="N69:O69"/>
    <mergeCell ref="P69:Q69"/>
    <mergeCell ref="P68:Q68"/>
    <mergeCell ref="E56:I56"/>
    <mergeCell ref="J56:K56"/>
    <mergeCell ref="L56:M56"/>
    <mergeCell ref="N56:O56"/>
    <mergeCell ref="P56:Q56"/>
    <mergeCell ref="J77:Q77"/>
    <mergeCell ref="N72:O72"/>
    <mergeCell ref="P72:Q72"/>
    <mergeCell ref="E73:I73"/>
    <mergeCell ref="J73:K73"/>
    <mergeCell ref="L73:M73"/>
    <mergeCell ref="N73:O73"/>
    <mergeCell ref="P73:Q73"/>
    <mergeCell ref="P70:Q70"/>
    <mergeCell ref="U70:W73"/>
    <mergeCell ref="E71:I71"/>
    <mergeCell ref="J71:K71"/>
    <mergeCell ref="L71:M71"/>
    <mergeCell ref="N71:O71"/>
    <mergeCell ref="P71:Q71"/>
    <mergeCell ref="E72:I72"/>
    <mergeCell ref="J72:K72"/>
    <mergeCell ref="L72:M72"/>
    <mergeCell ref="A70:A73"/>
    <mergeCell ref="E70:I70"/>
    <mergeCell ref="J70:K70"/>
    <mergeCell ref="L70:M70"/>
    <mergeCell ref="N70:O70"/>
    <mergeCell ref="E68:I68"/>
    <mergeCell ref="J68:K68"/>
    <mergeCell ref="L68:M68"/>
    <mergeCell ref="N68:O68"/>
    <mergeCell ref="U66:W69"/>
    <mergeCell ref="E67:I67"/>
    <mergeCell ref="J67:K67"/>
    <mergeCell ref="L67:M67"/>
    <mergeCell ref="N67:O67"/>
    <mergeCell ref="P67:Q67"/>
    <mergeCell ref="A66:A69"/>
    <mergeCell ref="E66:I66"/>
    <mergeCell ref="J66:K66"/>
    <mergeCell ref="L66:M66"/>
    <mergeCell ref="N66:O66"/>
    <mergeCell ref="P66:Q66"/>
    <mergeCell ref="R64:S65"/>
    <mergeCell ref="T64:T65"/>
    <mergeCell ref="U64:W65"/>
    <mergeCell ref="J65:K65"/>
    <mergeCell ref="L65:M65"/>
    <mergeCell ref="N65:O65"/>
    <mergeCell ref="P65:Q65"/>
    <mergeCell ref="J60:Q60"/>
    <mergeCell ref="Q62:S62"/>
    <mergeCell ref="T62:W62"/>
    <mergeCell ref="A63:W63"/>
    <mergeCell ref="A64:A65"/>
    <mergeCell ref="B64:B65"/>
    <mergeCell ref="C64:C65"/>
    <mergeCell ref="D64:D65"/>
    <mergeCell ref="E64:I65"/>
    <mergeCell ref="J64:Q64"/>
    <mergeCell ref="N50:O50"/>
    <mergeCell ref="P50:Q50"/>
    <mergeCell ref="J51:K51"/>
    <mergeCell ref="L51:M51"/>
    <mergeCell ref="N51:O51"/>
    <mergeCell ref="P51:Q51"/>
    <mergeCell ref="E58:I58"/>
    <mergeCell ref="J58:K58"/>
    <mergeCell ref="L58:M58"/>
    <mergeCell ref="N58:O58"/>
    <mergeCell ref="P58:Q58"/>
    <mergeCell ref="J54:K54"/>
    <mergeCell ref="L54:M54"/>
    <mergeCell ref="N54:O54"/>
    <mergeCell ref="P54:Q54"/>
    <mergeCell ref="J55:K55"/>
    <mergeCell ref="L55:M55"/>
    <mergeCell ref="N55:O55"/>
    <mergeCell ref="P55:Q55"/>
    <mergeCell ref="A47:A56"/>
    <mergeCell ref="J47:K47"/>
    <mergeCell ref="L47:M47"/>
    <mergeCell ref="N47:O47"/>
    <mergeCell ref="P47:Q47"/>
    <mergeCell ref="U47:W56"/>
    <mergeCell ref="J48:K48"/>
    <mergeCell ref="L48:M48"/>
    <mergeCell ref="N48:O48"/>
    <mergeCell ref="P48:Q48"/>
    <mergeCell ref="J49:K49"/>
    <mergeCell ref="L49:M49"/>
    <mergeCell ref="N49:O49"/>
    <mergeCell ref="P49:Q49"/>
    <mergeCell ref="J50:K50"/>
    <mergeCell ref="J52:K52"/>
    <mergeCell ref="L52:M52"/>
    <mergeCell ref="N52:O52"/>
    <mergeCell ref="P52:Q52"/>
    <mergeCell ref="J53:K53"/>
    <mergeCell ref="L53:M53"/>
    <mergeCell ref="N53:O53"/>
    <mergeCell ref="P53:Q53"/>
    <mergeCell ref="L50:M50"/>
    <mergeCell ref="U42:W46"/>
    <mergeCell ref="J43:K43"/>
    <mergeCell ref="L43:M43"/>
    <mergeCell ref="N43:O43"/>
    <mergeCell ref="P43:Q43"/>
    <mergeCell ref="J44:K44"/>
    <mergeCell ref="L44:M44"/>
    <mergeCell ref="N44:O44"/>
    <mergeCell ref="P44:Q44"/>
    <mergeCell ref="J46:K46"/>
    <mergeCell ref="L46:M46"/>
    <mergeCell ref="N46:O46"/>
    <mergeCell ref="P46:Q46"/>
    <mergeCell ref="A42:A46"/>
    <mergeCell ref="J42:K42"/>
    <mergeCell ref="L42:M42"/>
    <mergeCell ref="N42:O42"/>
    <mergeCell ref="P42:Q42"/>
    <mergeCell ref="J45:K45"/>
    <mergeCell ref="L45:M45"/>
    <mergeCell ref="N45:O45"/>
    <mergeCell ref="P45:Q45"/>
    <mergeCell ref="E46:I46"/>
    <mergeCell ref="U37:W41"/>
    <mergeCell ref="J38:K38"/>
    <mergeCell ref="L38:M38"/>
    <mergeCell ref="N38:O38"/>
    <mergeCell ref="P38:Q38"/>
    <mergeCell ref="J39:K39"/>
    <mergeCell ref="L39:M39"/>
    <mergeCell ref="N39:O39"/>
    <mergeCell ref="P39:Q39"/>
    <mergeCell ref="J41:K41"/>
    <mergeCell ref="L41:M41"/>
    <mergeCell ref="N41:O41"/>
    <mergeCell ref="P41:Q41"/>
    <mergeCell ref="A37:A41"/>
    <mergeCell ref="J37:K37"/>
    <mergeCell ref="L37:M37"/>
    <mergeCell ref="N37:O37"/>
    <mergeCell ref="P37:Q37"/>
    <mergeCell ref="G35:G36"/>
    <mergeCell ref="H35:H36"/>
    <mergeCell ref="I35:I36"/>
    <mergeCell ref="J35:Q35"/>
    <mergeCell ref="J40:K40"/>
    <mergeCell ref="L40:M40"/>
    <mergeCell ref="N40:O40"/>
    <mergeCell ref="P40:Q40"/>
    <mergeCell ref="E41:I41"/>
    <mergeCell ref="J31:Q31"/>
    <mergeCell ref="Q33:S33"/>
    <mergeCell ref="T33:W33"/>
    <mergeCell ref="A34:W34"/>
    <mergeCell ref="A35:A36"/>
    <mergeCell ref="B35:B36"/>
    <mergeCell ref="C35:C36"/>
    <mergeCell ref="D35:D36"/>
    <mergeCell ref="E35:E36"/>
    <mergeCell ref="F35:F36"/>
    <mergeCell ref="U35:W36"/>
    <mergeCell ref="J36:K36"/>
    <mergeCell ref="L36:M36"/>
    <mergeCell ref="N36:O36"/>
    <mergeCell ref="P36:Q36"/>
    <mergeCell ref="R35:S36"/>
    <mergeCell ref="T35:T36"/>
    <mergeCell ref="B27:I27"/>
    <mergeCell ref="E29:I29"/>
    <mergeCell ref="J29:K29"/>
    <mergeCell ref="L29:M29"/>
    <mergeCell ref="N29:O29"/>
    <mergeCell ref="P29:Q29"/>
    <mergeCell ref="J25:K25"/>
    <mergeCell ref="L25:M25"/>
    <mergeCell ref="N25:O25"/>
    <mergeCell ref="P25:Q25"/>
    <mergeCell ref="J26:K26"/>
    <mergeCell ref="L26:M26"/>
    <mergeCell ref="N26:O26"/>
    <mergeCell ref="P26:Q26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7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7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W71"/>
  <sheetViews>
    <sheetView topLeftCell="A33" zoomScale="85" zoomScaleNormal="85" workbookViewId="0">
      <selection activeCell="D59" sqref="D59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5.6640625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6.21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45944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250080</v>
      </c>
      <c r="E7" s="12" t="s">
        <v>477</v>
      </c>
      <c r="F7" s="17">
        <v>307</v>
      </c>
      <c r="G7" s="17">
        <v>304</v>
      </c>
      <c r="H7" s="18">
        <v>0.7</v>
      </c>
      <c r="I7" s="17">
        <v>33000</v>
      </c>
      <c r="J7" s="165"/>
      <c r="K7" s="166"/>
      <c r="L7" s="165"/>
      <c r="M7" s="166"/>
      <c r="N7" s="165">
        <v>600</v>
      </c>
      <c r="O7" s="166"/>
      <c r="P7" s="165"/>
      <c r="Q7" s="166"/>
      <c r="R7" s="104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484</v>
      </c>
      <c r="F8" s="17">
        <v>160</v>
      </c>
      <c r="G8" s="17">
        <v>304</v>
      </c>
      <c r="H8" s="18">
        <v>0.7</v>
      </c>
      <c r="I8" s="17">
        <v>33000</v>
      </c>
      <c r="J8" s="165"/>
      <c r="K8" s="166"/>
      <c r="L8" s="165"/>
      <c r="M8" s="166"/>
      <c r="N8" s="165">
        <v>150</v>
      </c>
      <c r="O8" s="166"/>
      <c r="P8" s="165"/>
      <c r="Q8" s="166"/>
      <c r="R8" s="104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250079</v>
      </c>
      <c r="E9" s="12" t="s">
        <v>485</v>
      </c>
      <c r="F9" s="17">
        <v>265</v>
      </c>
      <c r="G9" s="17">
        <v>304</v>
      </c>
      <c r="H9" s="18">
        <v>0.7</v>
      </c>
      <c r="I9" s="17">
        <v>33000</v>
      </c>
      <c r="J9" s="165"/>
      <c r="K9" s="166"/>
      <c r="L9" s="165"/>
      <c r="M9" s="166"/>
      <c r="N9" s="165">
        <v>900</v>
      </c>
      <c r="O9" s="166"/>
      <c r="P9" s="165"/>
      <c r="Q9" s="166"/>
      <c r="R9" s="104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>
        <v>250080</v>
      </c>
      <c r="E10" s="12" t="s">
        <v>485</v>
      </c>
      <c r="F10" s="17">
        <v>265</v>
      </c>
      <c r="G10" s="17">
        <v>304</v>
      </c>
      <c r="H10" s="18">
        <v>0.7</v>
      </c>
      <c r="I10" s="17">
        <v>33000</v>
      </c>
      <c r="J10" s="165"/>
      <c r="K10" s="166"/>
      <c r="L10" s="165"/>
      <c r="M10" s="166"/>
      <c r="N10" s="165">
        <v>1140</v>
      </c>
      <c r="O10" s="166"/>
      <c r="P10" s="165"/>
      <c r="Q10" s="166"/>
      <c r="R10" s="104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>
        <v>131025</v>
      </c>
      <c r="E11" s="12" t="s">
        <v>486</v>
      </c>
      <c r="F11" s="17">
        <v>327</v>
      </c>
      <c r="G11" s="17">
        <v>304</v>
      </c>
      <c r="H11" s="18">
        <v>0.6</v>
      </c>
      <c r="I11" s="17">
        <v>35000</v>
      </c>
      <c r="J11" s="165"/>
      <c r="K11" s="166"/>
      <c r="L11" s="165"/>
      <c r="M11" s="166"/>
      <c r="N11" s="165"/>
      <c r="O11" s="166"/>
      <c r="P11" s="165">
        <v>2225</v>
      </c>
      <c r="Q11" s="166"/>
      <c r="R11" s="104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>
        <v>131025</v>
      </c>
      <c r="E12" s="12" t="s">
        <v>487</v>
      </c>
      <c r="F12" s="17">
        <v>216</v>
      </c>
      <c r="G12" s="17">
        <v>304</v>
      </c>
      <c r="H12" s="18">
        <v>0.6</v>
      </c>
      <c r="I12" s="17">
        <v>35000</v>
      </c>
      <c r="J12" s="165"/>
      <c r="K12" s="166"/>
      <c r="L12" s="165"/>
      <c r="M12" s="166"/>
      <c r="N12" s="165"/>
      <c r="O12" s="166"/>
      <c r="P12" s="165">
        <v>3024</v>
      </c>
      <c r="Q12" s="166"/>
      <c r="R12" s="104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488</v>
      </c>
      <c r="F13" s="17">
        <v>132</v>
      </c>
      <c r="G13" s="17">
        <v>304</v>
      </c>
      <c r="H13" s="18">
        <v>0.6</v>
      </c>
      <c r="I13" s="17">
        <v>35000</v>
      </c>
      <c r="J13" s="165"/>
      <c r="K13" s="166"/>
      <c r="L13" s="165"/>
      <c r="M13" s="166"/>
      <c r="N13" s="165">
        <v>432</v>
      </c>
      <c r="O13" s="166"/>
      <c r="P13" s="165"/>
      <c r="Q13" s="166"/>
      <c r="R13" s="104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 t="s">
        <v>102</v>
      </c>
      <c r="E14" s="12" t="s">
        <v>489</v>
      </c>
      <c r="F14" s="17">
        <v>283</v>
      </c>
      <c r="G14" s="17">
        <v>304</v>
      </c>
      <c r="H14" s="18">
        <v>0.6</v>
      </c>
      <c r="I14" s="17">
        <v>35000</v>
      </c>
      <c r="J14" s="165">
        <v>270</v>
      </c>
      <c r="K14" s="166"/>
      <c r="L14" s="165"/>
      <c r="M14" s="166"/>
      <c r="N14" s="165"/>
      <c r="O14" s="166"/>
      <c r="P14" s="165"/>
      <c r="Q14" s="166"/>
      <c r="R14" s="104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 t="s">
        <v>102</v>
      </c>
      <c r="E15" s="12" t="s">
        <v>490</v>
      </c>
      <c r="F15" s="17">
        <v>237</v>
      </c>
      <c r="G15" s="17">
        <v>304</v>
      </c>
      <c r="H15" s="18">
        <v>0.6</v>
      </c>
      <c r="I15" s="17">
        <v>35000</v>
      </c>
      <c r="J15" s="165">
        <v>54</v>
      </c>
      <c r="K15" s="166"/>
      <c r="L15" s="165"/>
      <c r="M15" s="166"/>
      <c r="N15" s="165"/>
      <c r="O15" s="166"/>
      <c r="P15" s="165"/>
      <c r="Q15" s="166"/>
      <c r="R15" s="104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>
        <v>131025</v>
      </c>
      <c r="E16" s="12" t="s">
        <v>491</v>
      </c>
      <c r="F16" s="17">
        <v>317</v>
      </c>
      <c r="G16" s="17">
        <v>304</v>
      </c>
      <c r="H16" s="18">
        <v>0.9</v>
      </c>
      <c r="I16" s="17">
        <v>30000</v>
      </c>
      <c r="J16" s="165"/>
      <c r="K16" s="166"/>
      <c r="L16" s="165"/>
      <c r="M16" s="166"/>
      <c r="N16" s="165"/>
      <c r="O16" s="166"/>
      <c r="P16" s="165">
        <v>400</v>
      </c>
      <c r="Q16" s="166"/>
      <c r="R16" s="104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 t="s">
        <v>102</v>
      </c>
      <c r="E17" s="12" t="s">
        <v>492</v>
      </c>
      <c r="F17" s="17">
        <v>132</v>
      </c>
      <c r="G17" s="17">
        <v>304</v>
      </c>
      <c r="H17" s="18">
        <v>0.9</v>
      </c>
      <c r="I17" s="17">
        <v>30000</v>
      </c>
      <c r="J17" s="165"/>
      <c r="K17" s="166"/>
      <c r="L17" s="165"/>
      <c r="M17" s="166"/>
      <c r="N17" s="165">
        <v>100</v>
      </c>
      <c r="O17" s="166"/>
      <c r="P17" s="165"/>
      <c r="Q17" s="166"/>
      <c r="R17" s="104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>
        <v>131025</v>
      </c>
      <c r="E18" s="12" t="s">
        <v>493</v>
      </c>
      <c r="F18" s="17">
        <v>425</v>
      </c>
      <c r="G18" s="17">
        <v>304</v>
      </c>
      <c r="H18" s="18">
        <v>0.9</v>
      </c>
      <c r="I18" s="17">
        <v>30000</v>
      </c>
      <c r="J18" s="165"/>
      <c r="K18" s="166"/>
      <c r="L18" s="165"/>
      <c r="M18" s="166"/>
      <c r="N18" s="165"/>
      <c r="O18" s="166"/>
      <c r="P18" s="165">
        <v>108</v>
      </c>
      <c r="Q18" s="166"/>
      <c r="R18" s="104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>
        <v>0.70833333333333337</v>
      </c>
      <c r="D19" s="4" t="s">
        <v>102</v>
      </c>
      <c r="E19" s="12" t="s">
        <v>494</v>
      </c>
      <c r="F19" s="17">
        <v>147</v>
      </c>
      <c r="G19" s="17">
        <v>304</v>
      </c>
      <c r="H19" s="18">
        <v>0.9</v>
      </c>
      <c r="I19" s="17">
        <v>30000</v>
      </c>
      <c r="J19" s="165">
        <v>36</v>
      </c>
      <c r="K19" s="166"/>
      <c r="L19" s="165"/>
      <c r="M19" s="166"/>
      <c r="N19" s="165"/>
      <c r="O19" s="166"/>
      <c r="P19" s="165"/>
      <c r="Q19" s="166"/>
      <c r="R19" s="104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104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360</v>
      </c>
      <c r="K21" s="22" t="s">
        <v>17</v>
      </c>
      <c r="L21" s="21">
        <f>SUM(L7:M20)</f>
        <v>0</v>
      </c>
      <c r="M21" s="22" t="s">
        <v>17</v>
      </c>
      <c r="N21" s="21">
        <f>SUM(N7:O20)</f>
        <v>3322</v>
      </c>
      <c r="O21" s="22" t="s">
        <v>17</v>
      </c>
      <c r="P21" s="21">
        <f>SUM(P7:Q20)</f>
        <v>5757</v>
      </c>
      <c r="Q21" s="22" t="s">
        <v>17</v>
      </c>
      <c r="R21" s="23">
        <f>SUM(R7:R20)</f>
        <v>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360</v>
      </c>
      <c r="K24" s="31" t="s">
        <v>17</v>
      </c>
      <c r="L24" s="32">
        <f>L21</f>
        <v>0</v>
      </c>
      <c r="M24" s="31" t="s">
        <v>17</v>
      </c>
      <c r="N24" s="32">
        <f>N21</f>
        <v>3322</v>
      </c>
      <c r="O24" s="31" t="s">
        <v>17</v>
      </c>
      <c r="P24" s="33">
        <f>P21</f>
        <v>5757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9439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45944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/>
      <c r="C31" s="5"/>
      <c r="D31" s="107"/>
      <c r="E31" s="12"/>
      <c r="F31" s="40"/>
      <c r="G31" s="41"/>
      <c r="H31" s="40"/>
      <c r="I31" s="12"/>
      <c r="J31" s="165"/>
      <c r="K31" s="166"/>
      <c r="L31" s="165"/>
      <c r="M31" s="166"/>
      <c r="N31" s="165"/>
      <c r="O31" s="166"/>
      <c r="P31" s="165"/>
      <c r="Q31" s="166"/>
      <c r="R31" s="104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/>
      <c r="D32" s="4"/>
      <c r="E32" s="12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104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104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2"/>
      <c r="B34" s="19"/>
      <c r="C34" s="19"/>
      <c r="D34" s="20"/>
      <c r="E34" s="170" t="s">
        <v>0</v>
      </c>
      <c r="F34" s="171"/>
      <c r="G34" s="171"/>
      <c r="H34" s="171"/>
      <c r="I34" s="172"/>
      <c r="J34" s="173">
        <f>SUM(J31:K33)</f>
        <v>0</v>
      </c>
      <c r="K34" s="174"/>
      <c r="L34" s="173">
        <f>SUM(L31:M33)</f>
        <v>0</v>
      </c>
      <c r="M34" s="174"/>
      <c r="N34" s="173">
        <f>SUM(N31:O33)</f>
        <v>0</v>
      </c>
      <c r="O34" s="174"/>
      <c r="P34" s="173">
        <f>SUM(P31:Q33)</f>
        <v>0</v>
      </c>
      <c r="Q34" s="174"/>
      <c r="R34" s="23">
        <f>SUM(R31:R33)</f>
        <v>0</v>
      </c>
      <c r="S34" s="24" t="s">
        <v>20</v>
      </c>
      <c r="T34" s="19"/>
      <c r="U34" s="177"/>
      <c r="V34" s="178"/>
      <c r="W34" s="179"/>
    </row>
    <row r="35" spans="1:23" ht="14.55" customHeight="1" x14ac:dyDescent="0.3">
      <c r="A35" s="163" t="s">
        <v>34</v>
      </c>
      <c r="B35" s="5">
        <v>0.33333333333333331</v>
      </c>
      <c r="C35" s="5"/>
      <c r="D35" s="107">
        <v>250055</v>
      </c>
      <c r="E35" s="12" t="s">
        <v>495</v>
      </c>
      <c r="F35" s="40">
        <v>304</v>
      </c>
      <c r="G35" s="41">
        <v>0.7</v>
      </c>
      <c r="H35" s="40">
        <v>323</v>
      </c>
      <c r="I35" s="12">
        <v>3</v>
      </c>
      <c r="J35" s="165">
        <v>135</v>
      </c>
      <c r="K35" s="166"/>
      <c r="L35" s="165"/>
      <c r="M35" s="166"/>
      <c r="N35" s="165"/>
      <c r="O35" s="166"/>
      <c r="P35" s="165"/>
      <c r="Q35" s="166"/>
      <c r="R35" s="104">
        <v>40</v>
      </c>
      <c r="S35" s="14" t="s">
        <v>20</v>
      </c>
      <c r="T35" s="42" t="s">
        <v>93</v>
      </c>
      <c r="U35" s="177"/>
      <c r="V35" s="178"/>
      <c r="W35" s="179"/>
    </row>
    <row r="36" spans="1:23" ht="14.55" customHeight="1" x14ac:dyDescent="0.3">
      <c r="A36" s="163"/>
      <c r="B36" s="5"/>
      <c r="C36" s="5"/>
      <c r="D36" s="107">
        <v>250057</v>
      </c>
      <c r="E36" s="12" t="s">
        <v>495</v>
      </c>
      <c r="F36" s="40">
        <v>304</v>
      </c>
      <c r="G36" s="41">
        <v>0.7</v>
      </c>
      <c r="H36" s="40">
        <v>323</v>
      </c>
      <c r="I36" s="12">
        <v>3</v>
      </c>
      <c r="J36" s="165">
        <v>410</v>
      </c>
      <c r="K36" s="166"/>
      <c r="L36" s="165"/>
      <c r="M36" s="166"/>
      <c r="N36" s="165"/>
      <c r="O36" s="166"/>
      <c r="P36" s="165"/>
      <c r="Q36" s="166"/>
      <c r="R36" s="104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63"/>
      <c r="B37" s="5"/>
      <c r="C37" s="5"/>
      <c r="D37" s="107">
        <v>250061</v>
      </c>
      <c r="E37" s="12" t="s">
        <v>495</v>
      </c>
      <c r="F37" s="40">
        <v>304</v>
      </c>
      <c r="G37" s="41">
        <v>0.7</v>
      </c>
      <c r="H37" s="40">
        <v>323</v>
      </c>
      <c r="I37" s="12">
        <v>3</v>
      </c>
      <c r="J37" s="165">
        <v>555</v>
      </c>
      <c r="K37" s="166"/>
      <c r="L37" s="165"/>
      <c r="M37" s="166"/>
      <c r="N37" s="165"/>
      <c r="O37" s="166"/>
      <c r="P37" s="165"/>
      <c r="Q37" s="166"/>
      <c r="R37" s="104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63"/>
      <c r="B38" s="5"/>
      <c r="C38" s="5"/>
      <c r="D38" s="107">
        <v>250057</v>
      </c>
      <c r="E38" s="13" t="s">
        <v>496</v>
      </c>
      <c r="F38" s="40">
        <v>304</v>
      </c>
      <c r="G38" s="41">
        <v>0.7</v>
      </c>
      <c r="H38" s="40">
        <v>293</v>
      </c>
      <c r="I38" s="12">
        <v>8</v>
      </c>
      <c r="J38" s="165">
        <v>420</v>
      </c>
      <c r="K38" s="166"/>
      <c r="L38" s="165"/>
      <c r="M38" s="166"/>
      <c r="N38" s="165"/>
      <c r="O38" s="166"/>
      <c r="P38" s="165"/>
      <c r="Q38" s="166"/>
      <c r="R38" s="104">
        <v>100</v>
      </c>
      <c r="S38" s="14" t="s">
        <v>20</v>
      </c>
      <c r="T38" s="42" t="s">
        <v>499</v>
      </c>
      <c r="U38" s="177"/>
      <c r="V38" s="178"/>
      <c r="W38" s="179"/>
    </row>
    <row r="39" spans="1:23" ht="14.55" customHeight="1" x14ac:dyDescent="0.3">
      <c r="A39" s="163"/>
      <c r="B39" s="5"/>
      <c r="C39" s="5"/>
      <c r="D39" s="107">
        <v>250061</v>
      </c>
      <c r="E39" s="12" t="s">
        <v>497</v>
      </c>
      <c r="F39" s="40">
        <v>304</v>
      </c>
      <c r="G39" s="41">
        <v>0.7</v>
      </c>
      <c r="H39" s="40">
        <v>505</v>
      </c>
      <c r="I39" s="12">
        <v>7</v>
      </c>
      <c r="J39" s="165">
        <v>190</v>
      </c>
      <c r="K39" s="166"/>
      <c r="L39" s="165"/>
      <c r="M39" s="166"/>
      <c r="N39" s="165"/>
      <c r="O39" s="166"/>
      <c r="P39" s="165"/>
      <c r="Q39" s="166"/>
      <c r="R39" s="104">
        <v>40</v>
      </c>
      <c r="S39" s="14" t="s">
        <v>20</v>
      </c>
      <c r="T39" s="42" t="s">
        <v>93</v>
      </c>
      <c r="U39" s="177"/>
      <c r="V39" s="178"/>
      <c r="W39" s="179"/>
    </row>
    <row r="40" spans="1:23" ht="14.55" customHeight="1" x14ac:dyDescent="0.3">
      <c r="A40" s="163"/>
      <c r="B40" s="5"/>
      <c r="C40" s="5">
        <v>0.70833333333333337</v>
      </c>
      <c r="D40" s="107">
        <v>250057</v>
      </c>
      <c r="E40" s="12" t="s">
        <v>498</v>
      </c>
      <c r="F40" s="40">
        <v>304</v>
      </c>
      <c r="G40" s="41">
        <v>0.7</v>
      </c>
      <c r="H40" s="40">
        <v>397</v>
      </c>
      <c r="I40" s="12">
        <v>7</v>
      </c>
      <c r="J40" s="165">
        <v>445</v>
      </c>
      <c r="K40" s="166"/>
      <c r="L40" s="165"/>
      <c r="M40" s="166"/>
      <c r="N40" s="165"/>
      <c r="O40" s="166"/>
      <c r="P40" s="165"/>
      <c r="Q40" s="166"/>
      <c r="R40" s="104">
        <v>40</v>
      </c>
      <c r="S40" s="14" t="s">
        <v>20</v>
      </c>
      <c r="T40" s="42" t="s">
        <v>93</v>
      </c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104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4"/>
      <c r="B42" s="19"/>
      <c r="C42" s="19"/>
      <c r="D42" s="20"/>
      <c r="E42" s="170" t="s">
        <v>0</v>
      </c>
      <c r="F42" s="171"/>
      <c r="G42" s="171"/>
      <c r="H42" s="171"/>
      <c r="I42" s="172"/>
      <c r="J42" s="173">
        <f>SUM(J35:K41)</f>
        <v>2155</v>
      </c>
      <c r="K42" s="174"/>
      <c r="L42" s="173">
        <f>SUM(L35:M41)</f>
        <v>0</v>
      </c>
      <c r="M42" s="174"/>
      <c r="N42" s="173">
        <f>SUM(N35:O41)</f>
        <v>0</v>
      </c>
      <c r="O42" s="174"/>
      <c r="P42" s="173">
        <f>SUM(P35:Q41)</f>
        <v>0</v>
      </c>
      <c r="Q42" s="174"/>
      <c r="R42" s="23">
        <f>SUM(R35:R41)</f>
        <v>220</v>
      </c>
      <c r="S42" s="24" t="s">
        <v>20</v>
      </c>
      <c r="T42" s="19"/>
      <c r="U42" s="177"/>
      <c r="V42" s="178"/>
      <c r="W42" s="179"/>
    </row>
    <row r="43" spans="1:23" ht="14.55" customHeight="1" x14ac:dyDescent="0.3">
      <c r="A43" s="163" t="s">
        <v>35</v>
      </c>
      <c r="B43" s="5">
        <v>0.33333333333333331</v>
      </c>
      <c r="C43" s="5">
        <v>0.70833333333333337</v>
      </c>
      <c r="D43" s="102">
        <v>230925</v>
      </c>
      <c r="E43" s="12" t="s">
        <v>456</v>
      </c>
      <c r="F43" s="40">
        <v>430</v>
      </c>
      <c r="G43" s="41">
        <v>0.8</v>
      </c>
      <c r="H43" s="40">
        <v>425</v>
      </c>
      <c r="I43" s="12"/>
      <c r="J43" s="165"/>
      <c r="K43" s="166"/>
      <c r="L43" s="165"/>
      <c r="M43" s="166"/>
      <c r="N43" s="165">
        <v>1600</v>
      </c>
      <c r="O43" s="166"/>
      <c r="P43" s="165"/>
      <c r="Q43" s="166"/>
      <c r="R43" s="104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104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104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4"/>
      <c r="B46" s="19"/>
      <c r="C46" s="19"/>
      <c r="D46" s="20"/>
      <c r="E46" s="170" t="s">
        <v>0</v>
      </c>
      <c r="F46" s="171"/>
      <c r="G46" s="171"/>
      <c r="H46" s="171"/>
      <c r="I46" s="172"/>
      <c r="J46" s="173">
        <f>SUM(J43:K45)</f>
        <v>0</v>
      </c>
      <c r="K46" s="174"/>
      <c r="L46" s="173">
        <f>SUM(L43:M45)</f>
        <v>0</v>
      </c>
      <c r="M46" s="174"/>
      <c r="N46" s="173">
        <f>SUM(N43:O45)</f>
        <v>1600</v>
      </c>
      <c r="O46" s="174"/>
      <c r="P46" s="173">
        <f>SUM(P43:Q45)</f>
        <v>0</v>
      </c>
      <c r="Q46" s="174"/>
      <c r="R46" s="23">
        <f>SUM(R43:R45)</f>
        <v>0</v>
      </c>
      <c r="S46" s="24" t="s">
        <v>20</v>
      </c>
      <c r="T46" s="19"/>
      <c r="U46" s="177"/>
      <c r="V46" s="178"/>
      <c r="W46" s="179"/>
    </row>
    <row r="47" spans="1:23" ht="14.55" customHeight="1" x14ac:dyDescent="0.3">
      <c r="A47" s="27"/>
      <c r="B47" s="27"/>
      <c r="C47" s="27"/>
      <c r="D47" s="27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27"/>
      <c r="S47" s="27"/>
      <c r="T47" s="39"/>
      <c r="U47" s="39"/>
      <c r="V47" s="39"/>
      <c r="W47" s="39"/>
    </row>
    <row r="48" spans="1:23" x14ac:dyDescent="0.3">
      <c r="E48" s="170" t="s">
        <v>31</v>
      </c>
      <c r="F48" s="171"/>
      <c r="G48" s="171"/>
      <c r="H48" s="171"/>
      <c r="I48" s="172"/>
      <c r="J48" s="175" t="s">
        <v>7</v>
      </c>
      <c r="K48" s="176"/>
      <c r="L48" s="175" t="s">
        <v>8</v>
      </c>
      <c r="M48" s="176"/>
      <c r="N48" s="175" t="s">
        <v>9</v>
      </c>
      <c r="O48" s="176"/>
      <c r="P48" s="175" t="s">
        <v>117</v>
      </c>
      <c r="Q48" s="176"/>
    </row>
    <row r="49" spans="1:23" s="2" customFormat="1" x14ac:dyDescent="0.3">
      <c r="E49" s="15"/>
      <c r="F49" s="15"/>
      <c r="G49" s="15"/>
      <c r="H49" s="15"/>
      <c r="I49" s="15"/>
      <c r="J49" s="30">
        <f>J34+J42+J46</f>
        <v>2155</v>
      </c>
      <c r="K49" s="31" t="s">
        <v>17</v>
      </c>
      <c r="L49" s="30">
        <f>L34+L42+L46</f>
        <v>0</v>
      </c>
      <c r="M49" s="31" t="s">
        <v>17</v>
      </c>
      <c r="N49" s="30">
        <f>N34+N42+N46</f>
        <v>1600</v>
      </c>
      <c r="O49" s="31" t="s">
        <v>17</v>
      </c>
      <c r="P49" s="30">
        <f>P34+P42+P46</f>
        <v>0</v>
      </c>
      <c r="Q49" s="34" t="s">
        <v>17</v>
      </c>
    </row>
    <row r="50" spans="1:23" ht="24.45" customHeight="1" x14ac:dyDescent="0.3">
      <c r="E50" s="28"/>
      <c r="F50" s="28"/>
      <c r="G50" s="28"/>
      <c r="H50" s="28"/>
      <c r="I50" s="28"/>
      <c r="J50" s="167">
        <f>J49+L49+N49+P49</f>
        <v>3755</v>
      </c>
      <c r="K50" s="168"/>
      <c r="L50" s="168"/>
      <c r="M50" s="168"/>
      <c r="N50" s="168"/>
      <c r="O50" s="168"/>
      <c r="P50" s="168"/>
      <c r="Q50" s="169"/>
    </row>
    <row r="51" spans="1:23" ht="30" customHeight="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 spans="1:23" s="37" customFormat="1" ht="19.95" customHeight="1" x14ac:dyDescent="0.4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214" t="s">
        <v>14</v>
      </c>
      <c r="R52" s="215"/>
      <c r="S52" s="216"/>
      <c r="T52" s="184">
        <f>T3</f>
        <v>45944</v>
      </c>
      <c r="U52" s="185"/>
      <c r="V52" s="185"/>
      <c r="W52" s="186"/>
    </row>
    <row r="53" spans="1:23" s="16" customFormat="1" ht="30" customHeight="1" x14ac:dyDescent="0.3">
      <c r="A53" s="187" t="s">
        <v>26</v>
      </c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9"/>
      <c r="Q53" s="189"/>
      <c r="R53" s="189"/>
      <c r="S53" s="189"/>
      <c r="T53" s="188"/>
      <c r="U53" s="188"/>
      <c r="V53" s="188"/>
      <c r="W53" s="190"/>
    </row>
    <row r="54" spans="1:23" s="26" customFormat="1" ht="13.8" x14ac:dyDescent="0.3">
      <c r="A54" s="191" t="s">
        <v>1</v>
      </c>
      <c r="B54" s="192" t="s">
        <v>2</v>
      </c>
      <c r="C54" s="192" t="s">
        <v>3</v>
      </c>
      <c r="D54" s="192" t="s">
        <v>4</v>
      </c>
      <c r="E54" s="193" t="s">
        <v>5</v>
      </c>
      <c r="F54" s="197"/>
      <c r="G54" s="197"/>
      <c r="H54" s="197"/>
      <c r="I54" s="198"/>
      <c r="J54" s="193" t="s">
        <v>6</v>
      </c>
      <c r="K54" s="197"/>
      <c r="L54" s="197"/>
      <c r="M54" s="197"/>
      <c r="N54" s="197"/>
      <c r="O54" s="197"/>
      <c r="P54" s="197"/>
      <c r="Q54" s="198"/>
      <c r="R54" s="193" t="s">
        <v>10</v>
      </c>
      <c r="S54" s="198"/>
      <c r="T54" s="191" t="s">
        <v>11</v>
      </c>
      <c r="U54" s="191" t="s">
        <v>12</v>
      </c>
      <c r="V54" s="191"/>
      <c r="W54" s="191"/>
    </row>
    <row r="55" spans="1:23" s="26" customFormat="1" ht="13.8" x14ac:dyDescent="0.3">
      <c r="A55" s="191"/>
      <c r="B55" s="192"/>
      <c r="C55" s="192"/>
      <c r="D55" s="192"/>
      <c r="E55" s="194"/>
      <c r="F55" s="217"/>
      <c r="G55" s="217"/>
      <c r="H55" s="217"/>
      <c r="I55" s="199"/>
      <c r="J55" s="200" t="s">
        <v>7</v>
      </c>
      <c r="K55" s="201"/>
      <c r="L55" s="200" t="s">
        <v>8</v>
      </c>
      <c r="M55" s="201"/>
      <c r="N55" s="200" t="s">
        <v>9</v>
      </c>
      <c r="O55" s="201"/>
      <c r="P55" s="200" t="s">
        <v>117</v>
      </c>
      <c r="Q55" s="201"/>
      <c r="R55" s="194"/>
      <c r="S55" s="199"/>
      <c r="T55" s="191"/>
      <c r="U55" s="191"/>
      <c r="V55" s="191"/>
      <c r="W55" s="191"/>
    </row>
    <row r="56" spans="1:23" x14ac:dyDescent="0.3">
      <c r="A56" s="180" t="s">
        <v>13</v>
      </c>
      <c r="B56" s="5">
        <v>0.33333333333333331</v>
      </c>
      <c r="C56" s="5"/>
      <c r="D56" s="105">
        <v>250055</v>
      </c>
      <c r="E56" s="211" t="s">
        <v>500</v>
      </c>
      <c r="F56" s="212"/>
      <c r="G56" s="212"/>
      <c r="H56" s="212"/>
      <c r="I56" s="213"/>
      <c r="J56" s="165">
        <v>1001</v>
      </c>
      <c r="K56" s="166"/>
      <c r="L56" s="165"/>
      <c r="M56" s="166"/>
      <c r="N56" s="165"/>
      <c r="O56" s="166"/>
      <c r="P56" s="165"/>
      <c r="Q56" s="166"/>
      <c r="R56" s="104"/>
      <c r="S56" s="6" t="s">
        <v>20</v>
      </c>
      <c r="T56" s="3"/>
      <c r="U56" s="202"/>
      <c r="V56" s="203"/>
      <c r="W56" s="204"/>
    </row>
    <row r="57" spans="1:23" x14ac:dyDescent="0.3">
      <c r="A57" s="163"/>
      <c r="B57" s="5"/>
      <c r="C57" s="5"/>
      <c r="D57" s="105">
        <v>250055</v>
      </c>
      <c r="E57" s="211" t="s">
        <v>501</v>
      </c>
      <c r="F57" s="212"/>
      <c r="G57" s="212"/>
      <c r="H57" s="212"/>
      <c r="I57" s="213"/>
      <c r="J57" s="165">
        <v>983</v>
      </c>
      <c r="K57" s="166"/>
      <c r="L57" s="165"/>
      <c r="M57" s="166"/>
      <c r="N57" s="165"/>
      <c r="O57" s="166"/>
      <c r="P57" s="165"/>
      <c r="Q57" s="166"/>
      <c r="R57" s="104"/>
      <c r="S57" s="6" t="s">
        <v>20</v>
      </c>
      <c r="T57" s="3"/>
      <c r="U57" s="205"/>
      <c r="V57" s="206"/>
      <c r="W57" s="207"/>
    </row>
    <row r="58" spans="1:23" x14ac:dyDescent="0.3">
      <c r="A58" s="163"/>
      <c r="B58" s="5"/>
      <c r="C58" s="5"/>
      <c r="D58" s="105">
        <v>250055</v>
      </c>
      <c r="E58" s="211" t="s">
        <v>502</v>
      </c>
      <c r="F58" s="212"/>
      <c r="G58" s="212"/>
      <c r="H58" s="212"/>
      <c r="I58" s="213"/>
      <c r="J58" s="165">
        <v>60</v>
      </c>
      <c r="K58" s="166"/>
      <c r="L58" s="165"/>
      <c r="M58" s="166"/>
      <c r="N58" s="165"/>
      <c r="O58" s="166"/>
      <c r="P58" s="165"/>
      <c r="Q58" s="166"/>
      <c r="R58" s="104"/>
      <c r="S58" s="6" t="s">
        <v>20</v>
      </c>
      <c r="T58" s="3"/>
      <c r="U58" s="205"/>
      <c r="V58" s="206"/>
      <c r="W58" s="207"/>
    </row>
    <row r="59" spans="1:23" x14ac:dyDescent="0.3">
      <c r="A59" s="163"/>
      <c r="B59" s="5"/>
      <c r="C59" s="5"/>
      <c r="D59" s="105">
        <v>250055</v>
      </c>
      <c r="E59" s="211" t="s">
        <v>503</v>
      </c>
      <c r="F59" s="212"/>
      <c r="G59" s="212"/>
      <c r="H59" s="212"/>
      <c r="I59" s="213"/>
      <c r="J59" s="165">
        <v>657</v>
      </c>
      <c r="K59" s="166"/>
      <c r="L59" s="165"/>
      <c r="M59" s="166"/>
      <c r="N59" s="165"/>
      <c r="O59" s="166"/>
      <c r="P59" s="165"/>
      <c r="Q59" s="166"/>
      <c r="R59" s="104"/>
      <c r="S59" s="6" t="s">
        <v>20</v>
      </c>
      <c r="T59" s="3"/>
      <c r="U59" s="205"/>
      <c r="V59" s="206"/>
      <c r="W59" s="207"/>
    </row>
    <row r="60" spans="1:23" x14ac:dyDescent="0.3">
      <c r="A60" s="163"/>
      <c r="B60" s="5"/>
      <c r="C60" s="5">
        <v>0.70833333333333337</v>
      </c>
      <c r="D60" s="102">
        <v>230925</v>
      </c>
      <c r="E60" s="211" t="s">
        <v>456</v>
      </c>
      <c r="F60" s="212"/>
      <c r="G60" s="212"/>
      <c r="H60" s="212"/>
      <c r="I60" s="213"/>
      <c r="J60" s="165"/>
      <c r="K60" s="166"/>
      <c r="L60" s="165"/>
      <c r="M60" s="166"/>
      <c r="N60" s="165">
        <v>1310</v>
      </c>
      <c r="O60" s="166"/>
      <c r="P60" s="165"/>
      <c r="Q60" s="166"/>
      <c r="R60" s="104"/>
      <c r="S60" s="6" t="s">
        <v>20</v>
      </c>
      <c r="T60" s="3"/>
      <c r="U60" s="205"/>
      <c r="V60" s="206"/>
      <c r="W60" s="207"/>
    </row>
    <row r="61" spans="1:23" x14ac:dyDescent="0.3">
      <c r="A61" s="163"/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104"/>
      <c r="S61" s="6" t="s">
        <v>20</v>
      </c>
      <c r="T61" s="3"/>
      <c r="U61" s="205"/>
      <c r="V61" s="206"/>
      <c r="W61" s="207"/>
    </row>
    <row r="62" spans="1:23" x14ac:dyDescent="0.3">
      <c r="A62" s="163"/>
      <c r="B62" s="5"/>
      <c r="C62" s="5"/>
      <c r="D62" s="4"/>
      <c r="E62" s="211"/>
      <c r="F62" s="212"/>
      <c r="G62" s="212"/>
      <c r="H62" s="212"/>
      <c r="I62" s="213"/>
      <c r="J62" s="165"/>
      <c r="K62" s="166"/>
      <c r="L62" s="165"/>
      <c r="M62" s="166"/>
      <c r="N62" s="165"/>
      <c r="O62" s="166"/>
      <c r="P62" s="165"/>
      <c r="Q62" s="166"/>
      <c r="R62" s="104"/>
      <c r="S62" s="6" t="s">
        <v>20</v>
      </c>
      <c r="T62" s="3"/>
      <c r="U62" s="205"/>
      <c r="V62" s="206"/>
      <c r="W62" s="207"/>
    </row>
    <row r="63" spans="1:23" x14ac:dyDescent="0.3">
      <c r="A63" s="164"/>
      <c r="B63" s="19"/>
      <c r="C63" s="19"/>
      <c r="D63" s="20"/>
      <c r="E63" s="170" t="s">
        <v>0</v>
      </c>
      <c r="F63" s="171"/>
      <c r="G63" s="171"/>
      <c r="H63" s="171"/>
      <c r="I63" s="172"/>
      <c r="J63" s="173">
        <f>SUM(J56:J62)</f>
        <v>2701</v>
      </c>
      <c r="K63" s="174"/>
      <c r="L63" s="173">
        <f>SUM(L56:L62)</f>
        <v>0</v>
      </c>
      <c r="M63" s="174"/>
      <c r="N63" s="173">
        <f>SUM(N56:N62)</f>
        <v>1310</v>
      </c>
      <c r="O63" s="174"/>
      <c r="P63" s="173">
        <f>SUM(P56:P62)</f>
        <v>0</v>
      </c>
      <c r="Q63" s="174"/>
      <c r="R63" s="23">
        <f>SUM(R56:R62)</f>
        <v>0</v>
      </c>
      <c r="S63" s="24" t="s">
        <v>20</v>
      </c>
      <c r="T63" s="19"/>
      <c r="U63" s="208"/>
      <c r="V63" s="209"/>
      <c r="W63" s="210"/>
    </row>
    <row r="64" spans="1:23" x14ac:dyDescent="0.3">
      <c r="A64" s="180" t="s">
        <v>15</v>
      </c>
      <c r="B64" s="5"/>
      <c r="C64" s="5"/>
      <c r="D64" s="4"/>
      <c r="E64" s="211"/>
      <c r="F64" s="212"/>
      <c r="G64" s="212"/>
      <c r="H64" s="212"/>
      <c r="I64" s="213"/>
      <c r="J64" s="165"/>
      <c r="K64" s="166"/>
      <c r="L64" s="165"/>
      <c r="M64" s="166"/>
      <c r="N64" s="165"/>
      <c r="O64" s="166"/>
      <c r="P64" s="165"/>
      <c r="Q64" s="166"/>
      <c r="R64" s="104"/>
      <c r="S64" s="6" t="s">
        <v>20</v>
      </c>
      <c r="T64" s="3"/>
      <c r="U64" s="202"/>
      <c r="V64" s="203"/>
      <c r="W64" s="204"/>
    </row>
    <row r="65" spans="1:23" x14ac:dyDescent="0.3">
      <c r="A65" s="163"/>
      <c r="B65" s="5"/>
      <c r="C65" s="5"/>
      <c r="D65" s="4"/>
      <c r="E65" s="211"/>
      <c r="F65" s="212"/>
      <c r="G65" s="212"/>
      <c r="H65" s="212"/>
      <c r="I65" s="213"/>
      <c r="J65" s="165"/>
      <c r="K65" s="166"/>
      <c r="L65" s="165"/>
      <c r="M65" s="166"/>
      <c r="N65" s="165"/>
      <c r="O65" s="166"/>
      <c r="P65" s="165"/>
      <c r="Q65" s="166"/>
      <c r="R65" s="104"/>
      <c r="S65" s="6" t="s">
        <v>20</v>
      </c>
      <c r="T65" s="3"/>
      <c r="U65" s="205"/>
      <c r="V65" s="206"/>
      <c r="W65" s="207"/>
    </row>
    <row r="66" spans="1:23" x14ac:dyDescent="0.3">
      <c r="A66" s="163"/>
      <c r="B66" s="5"/>
      <c r="C66" s="5"/>
      <c r="D66" s="4"/>
      <c r="E66" s="211"/>
      <c r="F66" s="212"/>
      <c r="G66" s="212"/>
      <c r="H66" s="212"/>
      <c r="I66" s="213"/>
      <c r="J66" s="165"/>
      <c r="K66" s="166"/>
      <c r="L66" s="165"/>
      <c r="M66" s="166"/>
      <c r="N66" s="165"/>
      <c r="O66" s="166"/>
      <c r="P66" s="165"/>
      <c r="Q66" s="166"/>
      <c r="R66" s="104"/>
      <c r="S66" s="6" t="s">
        <v>20</v>
      </c>
      <c r="T66" s="3"/>
      <c r="U66" s="205"/>
      <c r="V66" s="206"/>
      <c r="W66" s="207"/>
    </row>
    <row r="67" spans="1:23" x14ac:dyDescent="0.3">
      <c r="A67" s="164"/>
      <c r="B67" s="19"/>
      <c r="C67" s="19"/>
      <c r="D67" s="20"/>
      <c r="E67" s="170" t="s">
        <v>0</v>
      </c>
      <c r="F67" s="171"/>
      <c r="G67" s="171"/>
      <c r="H67" s="171"/>
      <c r="I67" s="172"/>
      <c r="J67" s="173">
        <f>SUM(J64:J66)</f>
        <v>0</v>
      </c>
      <c r="K67" s="174"/>
      <c r="L67" s="173">
        <f>SUM(L64:L66)</f>
        <v>0</v>
      </c>
      <c r="M67" s="174"/>
      <c r="N67" s="173">
        <f>SUM(N64:N66)</f>
        <v>0</v>
      </c>
      <c r="O67" s="174"/>
      <c r="P67" s="173">
        <f>SUM(P59:P66)</f>
        <v>0</v>
      </c>
      <c r="Q67" s="174"/>
      <c r="R67" s="23">
        <f>SUM(R64:R66)</f>
        <v>0</v>
      </c>
      <c r="S67" s="24" t="s">
        <v>20</v>
      </c>
      <c r="T67" s="7"/>
      <c r="U67" s="208"/>
      <c r="V67" s="209"/>
      <c r="W67" s="210"/>
    </row>
    <row r="68" spans="1:23" x14ac:dyDescent="0.3">
      <c r="E68" s="28"/>
      <c r="F68" s="28"/>
      <c r="G68" s="28"/>
      <c r="H68" s="28"/>
      <c r="I68" s="28"/>
      <c r="J68" s="29"/>
      <c r="K68" s="29"/>
      <c r="L68" s="29"/>
      <c r="M68" s="29"/>
      <c r="N68" s="29"/>
      <c r="O68" s="29"/>
      <c r="P68" s="29"/>
      <c r="Q68" s="29"/>
    </row>
    <row r="69" spans="1:23" x14ac:dyDescent="0.3">
      <c r="E69" s="170" t="s">
        <v>28</v>
      </c>
      <c r="F69" s="171"/>
      <c r="G69" s="171"/>
      <c r="H69" s="171"/>
      <c r="I69" s="172"/>
      <c r="J69" s="175" t="s">
        <v>7</v>
      </c>
      <c r="K69" s="176"/>
      <c r="L69" s="175" t="s">
        <v>8</v>
      </c>
      <c r="M69" s="176"/>
      <c r="N69" s="175" t="s">
        <v>9</v>
      </c>
      <c r="O69" s="176"/>
      <c r="P69" s="175" t="s">
        <v>117</v>
      </c>
      <c r="Q69" s="176"/>
    </row>
    <row r="70" spans="1:23" s="2" customFormat="1" x14ac:dyDescent="0.3">
      <c r="E70" s="15"/>
      <c r="F70" s="15"/>
      <c r="G70" s="15"/>
      <c r="H70" s="15"/>
      <c r="I70" s="15"/>
      <c r="J70" s="30">
        <f>J63+J67</f>
        <v>2701</v>
      </c>
      <c r="K70" s="31" t="s">
        <v>17</v>
      </c>
      <c r="L70" s="32">
        <f>L63+L67</f>
        <v>0</v>
      </c>
      <c r="M70" s="31" t="s">
        <v>17</v>
      </c>
      <c r="N70" s="32">
        <f>N63+N67</f>
        <v>1310</v>
      </c>
      <c r="O70" s="31" t="s">
        <v>17</v>
      </c>
      <c r="P70" s="32">
        <f>P63+P67</f>
        <v>0</v>
      </c>
      <c r="Q70" s="34" t="s">
        <v>17</v>
      </c>
    </row>
    <row r="71" spans="1:23" ht="24.45" customHeight="1" x14ac:dyDescent="0.3">
      <c r="E71" s="28"/>
      <c r="F71" s="28"/>
      <c r="G71" s="28"/>
      <c r="H71" s="28"/>
      <c r="I71" s="28"/>
      <c r="J71" s="167">
        <f>J70+L70+N70+P70</f>
        <v>4011</v>
      </c>
      <c r="K71" s="168"/>
      <c r="L71" s="168"/>
      <c r="M71" s="168"/>
      <c r="N71" s="168"/>
      <c r="O71" s="168"/>
      <c r="P71" s="168"/>
      <c r="Q71" s="169"/>
    </row>
  </sheetData>
  <mergeCells count="270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A31:A34"/>
    <mergeCell ref="J31:K31"/>
    <mergeCell ref="L31:M31"/>
    <mergeCell ref="N31:O31"/>
    <mergeCell ref="P31:Q31"/>
    <mergeCell ref="G29:G30"/>
    <mergeCell ref="H29:H30"/>
    <mergeCell ref="I29:I30"/>
    <mergeCell ref="J29:Q29"/>
    <mergeCell ref="J32:K32"/>
    <mergeCell ref="L32:M32"/>
    <mergeCell ref="N32:O32"/>
    <mergeCell ref="P32:Q32"/>
    <mergeCell ref="J33:K33"/>
    <mergeCell ref="L33:M33"/>
    <mergeCell ref="N33:O33"/>
    <mergeCell ref="P33:Q33"/>
    <mergeCell ref="U31:W34"/>
    <mergeCell ref="E34:I34"/>
    <mergeCell ref="J34:K34"/>
    <mergeCell ref="L34:M34"/>
    <mergeCell ref="N34:O34"/>
    <mergeCell ref="P34:Q34"/>
    <mergeCell ref="A35:A42"/>
    <mergeCell ref="J35:K35"/>
    <mergeCell ref="L35:M35"/>
    <mergeCell ref="N35:O35"/>
    <mergeCell ref="P35:Q35"/>
    <mergeCell ref="U35:W42"/>
    <mergeCell ref="J36:K36"/>
    <mergeCell ref="L36:M36"/>
    <mergeCell ref="N36:O36"/>
    <mergeCell ref="P36:Q36"/>
    <mergeCell ref="J37:K37"/>
    <mergeCell ref="L37:M37"/>
    <mergeCell ref="N37:O37"/>
    <mergeCell ref="P37:Q37"/>
    <mergeCell ref="J38:K38"/>
    <mergeCell ref="J40:K40"/>
    <mergeCell ref="L40:M40"/>
    <mergeCell ref="N40:O40"/>
    <mergeCell ref="P40:Q40"/>
    <mergeCell ref="J41:K41"/>
    <mergeCell ref="L41:M41"/>
    <mergeCell ref="N41:O41"/>
    <mergeCell ref="P41:Q41"/>
    <mergeCell ref="L38:M38"/>
    <mergeCell ref="N38:O38"/>
    <mergeCell ref="P38:Q38"/>
    <mergeCell ref="J39:K39"/>
    <mergeCell ref="L39:M39"/>
    <mergeCell ref="N39:O39"/>
    <mergeCell ref="P39:Q39"/>
    <mergeCell ref="E42:I42"/>
    <mergeCell ref="J42:K42"/>
    <mergeCell ref="L42:M42"/>
    <mergeCell ref="N42:O42"/>
    <mergeCell ref="P42:Q42"/>
    <mergeCell ref="A43:A46"/>
    <mergeCell ref="J43:K43"/>
    <mergeCell ref="L43:M43"/>
    <mergeCell ref="N43:O43"/>
    <mergeCell ref="P43:Q43"/>
    <mergeCell ref="J45:K45"/>
    <mergeCell ref="L45:M45"/>
    <mergeCell ref="N45:O45"/>
    <mergeCell ref="P45:Q45"/>
    <mergeCell ref="U43:W46"/>
    <mergeCell ref="J44:K44"/>
    <mergeCell ref="L44:M44"/>
    <mergeCell ref="N44:O44"/>
    <mergeCell ref="P44:Q44"/>
    <mergeCell ref="E46:I46"/>
    <mergeCell ref="J46:K46"/>
    <mergeCell ref="L46:M46"/>
    <mergeCell ref="N46:O46"/>
    <mergeCell ref="P46:Q46"/>
    <mergeCell ref="E48:I48"/>
    <mergeCell ref="J48:K48"/>
    <mergeCell ref="L48:M48"/>
    <mergeCell ref="N48:O48"/>
    <mergeCell ref="P48:Q48"/>
    <mergeCell ref="R54:S55"/>
    <mergeCell ref="T54:T55"/>
    <mergeCell ref="U54:W55"/>
    <mergeCell ref="J55:K55"/>
    <mergeCell ref="L55:M55"/>
    <mergeCell ref="N55:O55"/>
    <mergeCell ref="P55:Q55"/>
    <mergeCell ref="J50:Q50"/>
    <mergeCell ref="Q52:S52"/>
    <mergeCell ref="T52:W52"/>
    <mergeCell ref="A53:W53"/>
    <mergeCell ref="A54:A55"/>
    <mergeCell ref="B54:B55"/>
    <mergeCell ref="C54:C55"/>
    <mergeCell ref="D54:D55"/>
    <mergeCell ref="E54:I55"/>
    <mergeCell ref="J54:Q54"/>
    <mergeCell ref="N59:O59"/>
    <mergeCell ref="P59:Q59"/>
    <mergeCell ref="E60:I60"/>
    <mergeCell ref="J60:K60"/>
    <mergeCell ref="L60:M60"/>
    <mergeCell ref="N60:O60"/>
    <mergeCell ref="P60:Q60"/>
    <mergeCell ref="U56:W63"/>
    <mergeCell ref="E57:I57"/>
    <mergeCell ref="J57:K57"/>
    <mergeCell ref="L57:M57"/>
    <mergeCell ref="N57:O57"/>
    <mergeCell ref="P57:Q57"/>
    <mergeCell ref="E58:I58"/>
    <mergeCell ref="J58:K58"/>
    <mergeCell ref="L58:M58"/>
    <mergeCell ref="N58:O58"/>
    <mergeCell ref="E56:I56"/>
    <mergeCell ref="J56:K56"/>
    <mergeCell ref="L56:M56"/>
    <mergeCell ref="N56:O56"/>
    <mergeCell ref="P56:Q56"/>
    <mergeCell ref="P58:Q58"/>
    <mergeCell ref="E59:I59"/>
    <mergeCell ref="E63:I63"/>
    <mergeCell ref="J63:K63"/>
    <mergeCell ref="L63:M63"/>
    <mergeCell ref="N63:O63"/>
    <mergeCell ref="P63:Q63"/>
    <mergeCell ref="A64:A67"/>
    <mergeCell ref="E64:I64"/>
    <mergeCell ref="J64:K64"/>
    <mergeCell ref="L64:M64"/>
    <mergeCell ref="N64:O64"/>
    <mergeCell ref="A56:A63"/>
    <mergeCell ref="J59:K59"/>
    <mergeCell ref="L59:M59"/>
    <mergeCell ref="P64:Q64"/>
    <mergeCell ref="E61:I61"/>
    <mergeCell ref="J61:K61"/>
    <mergeCell ref="L61:M61"/>
    <mergeCell ref="N61:O61"/>
    <mergeCell ref="P61:Q61"/>
    <mergeCell ref="E62:I62"/>
    <mergeCell ref="J62:K62"/>
    <mergeCell ref="L62:M62"/>
    <mergeCell ref="N62:O62"/>
    <mergeCell ref="P62:Q62"/>
    <mergeCell ref="U64:W67"/>
    <mergeCell ref="E65:I65"/>
    <mergeCell ref="J65:K65"/>
    <mergeCell ref="L65:M65"/>
    <mergeCell ref="N65:O65"/>
    <mergeCell ref="P65:Q65"/>
    <mergeCell ref="E66:I66"/>
    <mergeCell ref="J66:K66"/>
    <mergeCell ref="L66:M66"/>
    <mergeCell ref="E69:I69"/>
    <mergeCell ref="J69:K69"/>
    <mergeCell ref="L69:M69"/>
    <mergeCell ref="N69:O69"/>
    <mergeCell ref="P69:Q69"/>
    <mergeCell ref="J71:Q71"/>
    <mergeCell ref="N66:O66"/>
    <mergeCell ref="P66:Q66"/>
    <mergeCell ref="E67:I67"/>
    <mergeCell ref="J67:K67"/>
    <mergeCell ref="L67:M67"/>
    <mergeCell ref="N67:O67"/>
    <mergeCell ref="P67:Q67"/>
  </mergeCells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W66"/>
  <sheetViews>
    <sheetView topLeftCell="A22" zoomScale="85" zoomScaleNormal="85" workbookViewId="0">
      <selection activeCell="D40" sqref="D40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5.6640625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45945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131025</v>
      </c>
      <c r="E7" s="12" t="s">
        <v>491</v>
      </c>
      <c r="F7" s="17">
        <v>317</v>
      </c>
      <c r="G7" s="17">
        <v>304</v>
      </c>
      <c r="H7" s="18">
        <v>0.9</v>
      </c>
      <c r="I7" s="17">
        <v>30000</v>
      </c>
      <c r="J7" s="165"/>
      <c r="K7" s="166"/>
      <c r="L7" s="165"/>
      <c r="M7" s="166"/>
      <c r="N7" s="165"/>
      <c r="O7" s="166"/>
      <c r="P7" s="165">
        <v>2260</v>
      </c>
      <c r="Q7" s="166"/>
      <c r="R7" s="106">
        <v>45</v>
      </c>
      <c r="S7" s="14" t="s">
        <v>20</v>
      </c>
      <c r="T7" s="42" t="s">
        <v>110</v>
      </c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305</v>
      </c>
      <c r="F8" s="17">
        <v>132</v>
      </c>
      <c r="G8" s="17">
        <v>304</v>
      </c>
      <c r="H8" s="18">
        <v>0.9</v>
      </c>
      <c r="I8" s="17">
        <v>30000</v>
      </c>
      <c r="J8" s="165"/>
      <c r="K8" s="166"/>
      <c r="L8" s="165"/>
      <c r="M8" s="166"/>
      <c r="N8" s="165">
        <v>565</v>
      </c>
      <c r="O8" s="166"/>
      <c r="P8" s="165"/>
      <c r="Q8" s="166"/>
      <c r="R8" s="106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150049</v>
      </c>
      <c r="E9" s="12" t="s">
        <v>504</v>
      </c>
      <c r="F9" s="17">
        <v>449</v>
      </c>
      <c r="G9" s="17">
        <v>304</v>
      </c>
      <c r="H9" s="18">
        <v>0.9</v>
      </c>
      <c r="I9" s="17">
        <v>30000</v>
      </c>
      <c r="J9" s="165"/>
      <c r="K9" s="166"/>
      <c r="L9" s="165">
        <v>468</v>
      </c>
      <c r="M9" s="166"/>
      <c r="N9" s="165"/>
      <c r="O9" s="166"/>
      <c r="P9" s="165">
        <v>234</v>
      </c>
      <c r="Q9" s="166"/>
      <c r="R9" s="106">
        <v>10</v>
      </c>
      <c r="S9" s="14" t="s">
        <v>20</v>
      </c>
      <c r="T9" s="42" t="s">
        <v>111</v>
      </c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505</v>
      </c>
      <c r="F10" s="17">
        <v>425</v>
      </c>
      <c r="G10" s="17">
        <v>304</v>
      </c>
      <c r="H10" s="18">
        <v>0.9</v>
      </c>
      <c r="I10" s="17">
        <v>30000</v>
      </c>
      <c r="J10" s="165"/>
      <c r="K10" s="166"/>
      <c r="L10" s="165"/>
      <c r="M10" s="166"/>
      <c r="N10" s="165"/>
      <c r="O10" s="166"/>
      <c r="P10" s="165"/>
      <c r="Q10" s="166"/>
      <c r="R10" s="106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506</v>
      </c>
      <c r="E11" s="12" t="s">
        <v>466</v>
      </c>
      <c r="F11" s="17">
        <v>582</v>
      </c>
      <c r="G11" s="17">
        <v>304</v>
      </c>
      <c r="H11" s="18">
        <v>0.7</v>
      </c>
      <c r="I11" s="17">
        <v>33000</v>
      </c>
      <c r="J11" s="165">
        <v>6</v>
      </c>
      <c r="K11" s="166"/>
      <c r="L11" s="165"/>
      <c r="M11" s="166"/>
      <c r="N11" s="165"/>
      <c r="O11" s="166"/>
      <c r="P11" s="165"/>
      <c r="Q11" s="166"/>
      <c r="R11" s="106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159</v>
      </c>
      <c r="F12" s="17">
        <v>265</v>
      </c>
      <c r="G12" s="17">
        <v>304</v>
      </c>
      <c r="H12" s="18">
        <v>0.7</v>
      </c>
      <c r="I12" s="17">
        <v>33000</v>
      </c>
      <c r="J12" s="165"/>
      <c r="K12" s="166"/>
      <c r="L12" s="165"/>
      <c r="M12" s="166"/>
      <c r="N12" s="165">
        <v>3</v>
      </c>
      <c r="O12" s="166"/>
      <c r="P12" s="165"/>
      <c r="Q12" s="166"/>
      <c r="R12" s="106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>
        <v>151025</v>
      </c>
      <c r="E13" s="12" t="s">
        <v>507</v>
      </c>
      <c r="F13" s="17">
        <v>319</v>
      </c>
      <c r="G13" s="17">
        <v>304</v>
      </c>
      <c r="H13" s="18">
        <v>0.7</v>
      </c>
      <c r="I13" s="17">
        <v>33000</v>
      </c>
      <c r="J13" s="165">
        <v>2020</v>
      </c>
      <c r="K13" s="166"/>
      <c r="L13" s="165"/>
      <c r="M13" s="166"/>
      <c r="N13" s="165"/>
      <c r="O13" s="166"/>
      <c r="P13" s="165"/>
      <c r="Q13" s="166"/>
      <c r="R13" s="106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 t="s">
        <v>102</v>
      </c>
      <c r="E14" s="12" t="s">
        <v>302</v>
      </c>
      <c r="F14" s="17">
        <v>132</v>
      </c>
      <c r="G14" s="17">
        <v>304</v>
      </c>
      <c r="H14" s="18">
        <v>0.7</v>
      </c>
      <c r="I14" s="17">
        <v>33000</v>
      </c>
      <c r="J14" s="165"/>
      <c r="K14" s="166"/>
      <c r="L14" s="165"/>
      <c r="M14" s="166"/>
      <c r="N14" s="165">
        <v>505</v>
      </c>
      <c r="O14" s="166"/>
      <c r="P14" s="165"/>
      <c r="Q14" s="166"/>
      <c r="R14" s="106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>
        <v>151025</v>
      </c>
      <c r="E15" s="12" t="s">
        <v>508</v>
      </c>
      <c r="F15" s="17">
        <v>433</v>
      </c>
      <c r="G15" s="17">
        <v>304</v>
      </c>
      <c r="H15" s="18">
        <v>0.7</v>
      </c>
      <c r="I15" s="17">
        <v>33000</v>
      </c>
      <c r="J15" s="165">
        <v>1020</v>
      </c>
      <c r="K15" s="166"/>
      <c r="L15" s="165"/>
      <c r="M15" s="166"/>
      <c r="N15" s="165"/>
      <c r="O15" s="166"/>
      <c r="P15" s="165"/>
      <c r="Q15" s="166"/>
      <c r="R15" s="106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>
        <v>151025</v>
      </c>
      <c r="E16" s="12" t="s">
        <v>509</v>
      </c>
      <c r="F16" s="17">
        <v>280</v>
      </c>
      <c r="G16" s="17">
        <v>304</v>
      </c>
      <c r="H16" s="18">
        <v>0.7</v>
      </c>
      <c r="I16" s="17">
        <v>33000</v>
      </c>
      <c r="J16" s="165">
        <v>1020</v>
      </c>
      <c r="K16" s="166"/>
      <c r="L16" s="165"/>
      <c r="M16" s="166"/>
      <c r="N16" s="165"/>
      <c r="O16" s="166"/>
      <c r="P16" s="165"/>
      <c r="Q16" s="166"/>
      <c r="R16" s="106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 t="s">
        <v>102</v>
      </c>
      <c r="E17" s="12" t="s">
        <v>359</v>
      </c>
      <c r="F17" s="17">
        <v>237</v>
      </c>
      <c r="G17" s="17">
        <v>304</v>
      </c>
      <c r="H17" s="18">
        <v>0.7</v>
      </c>
      <c r="I17" s="17">
        <v>33000</v>
      </c>
      <c r="J17" s="165">
        <v>340</v>
      </c>
      <c r="K17" s="166"/>
      <c r="L17" s="165"/>
      <c r="M17" s="166"/>
      <c r="N17" s="165"/>
      <c r="O17" s="166"/>
      <c r="P17" s="165"/>
      <c r="Q17" s="166"/>
      <c r="R17" s="106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>
        <v>0.70833333333333337</v>
      </c>
      <c r="D18" s="4" t="s">
        <v>102</v>
      </c>
      <c r="E18" s="12" t="s">
        <v>510</v>
      </c>
      <c r="F18" s="17">
        <v>105</v>
      </c>
      <c r="G18" s="17">
        <v>304</v>
      </c>
      <c r="H18" s="18">
        <v>0.7</v>
      </c>
      <c r="I18" s="17">
        <v>33000</v>
      </c>
      <c r="J18" s="165"/>
      <c r="K18" s="166"/>
      <c r="L18" s="165"/>
      <c r="M18" s="166"/>
      <c r="N18" s="165">
        <v>340</v>
      </c>
      <c r="O18" s="166"/>
      <c r="P18" s="165"/>
      <c r="Q18" s="166"/>
      <c r="R18" s="106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106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106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4406</v>
      </c>
      <c r="K21" s="22" t="s">
        <v>17</v>
      </c>
      <c r="L21" s="21">
        <f>SUM(L7:M20)</f>
        <v>468</v>
      </c>
      <c r="M21" s="22" t="s">
        <v>17</v>
      </c>
      <c r="N21" s="21">
        <f>SUM(N7:O20)</f>
        <v>1413</v>
      </c>
      <c r="O21" s="22" t="s">
        <v>17</v>
      </c>
      <c r="P21" s="21">
        <f>SUM(P7:Q20)</f>
        <v>2494</v>
      </c>
      <c r="Q21" s="22" t="s">
        <v>17</v>
      </c>
      <c r="R21" s="23">
        <f>SUM(R7:R20)</f>
        <v>55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4406</v>
      </c>
      <c r="K24" s="31" t="s">
        <v>17</v>
      </c>
      <c r="L24" s="32">
        <f>L21</f>
        <v>468</v>
      </c>
      <c r="M24" s="31" t="s">
        <v>17</v>
      </c>
      <c r="N24" s="32">
        <f>N21</f>
        <v>1413</v>
      </c>
      <c r="O24" s="31" t="s">
        <v>17</v>
      </c>
      <c r="P24" s="33">
        <f>P21</f>
        <v>2494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8781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45945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>
        <v>0.70833333333333337</v>
      </c>
      <c r="D31" s="4">
        <v>250052</v>
      </c>
      <c r="E31" s="12" t="s">
        <v>466</v>
      </c>
      <c r="F31" s="40">
        <v>304</v>
      </c>
      <c r="G31" s="41">
        <v>0.7</v>
      </c>
      <c r="H31" s="40">
        <v>615</v>
      </c>
      <c r="I31" s="12">
        <v>8</v>
      </c>
      <c r="J31" s="165">
        <v>250</v>
      </c>
      <c r="K31" s="166"/>
      <c r="L31" s="165"/>
      <c r="M31" s="166"/>
      <c r="N31" s="165"/>
      <c r="O31" s="166"/>
      <c r="P31" s="165"/>
      <c r="Q31" s="166"/>
      <c r="R31" s="106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/>
      <c r="D32" s="4"/>
      <c r="E32" s="12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106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2"/>
      <c r="B33" s="19"/>
      <c r="C33" s="19"/>
      <c r="D33" s="20"/>
      <c r="E33" s="170" t="s">
        <v>0</v>
      </c>
      <c r="F33" s="171"/>
      <c r="G33" s="171"/>
      <c r="H33" s="171"/>
      <c r="I33" s="172"/>
      <c r="J33" s="173">
        <f>SUM(J31:K32)</f>
        <v>250</v>
      </c>
      <c r="K33" s="174"/>
      <c r="L33" s="173">
        <f>SUM(L31:M32)</f>
        <v>0</v>
      </c>
      <c r="M33" s="174"/>
      <c r="N33" s="173">
        <f>SUM(N31:O32)</f>
        <v>0</v>
      </c>
      <c r="O33" s="174"/>
      <c r="P33" s="173">
        <f>SUM(P31:Q32)</f>
        <v>0</v>
      </c>
      <c r="Q33" s="174"/>
      <c r="R33" s="23">
        <f>SUM(R31:R32)</f>
        <v>0</v>
      </c>
      <c r="S33" s="24" t="s">
        <v>20</v>
      </c>
      <c r="T33" s="19"/>
      <c r="U33" s="177"/>
      <c r="V33" s="178"/>
      <c r="W33" s="179"/>
    </row>
    <row r="34" spans="1:23" ht="14.55" customHeight="1" x14ac:dyDescent="0.3">
      <c r="A34" s="163" t="s">
        <v>34</v>
      </c>
      <c r="B34" s="5">
        <v>0.33333333333333331</v>
      </c>
      <c r="C34" s="5"/>
      <c r="D34" s="4">
        <v>21025</v>
      </c>
      <c r="E34" s="13" t="s">
        <v>378</v>
      </c>
      <c r="F34" s="40">
        <v>304</v>
      </c>
      <c r="G34" s="41">
        <v>0.6</v>
      </c>
      <c r="H34" s="40">
        <v>227</v>
      </c>
      <c r="I34" s="12">
        <v>3</v>
      </c>
      <c r="J34" s="165">
        <v>500</v>
      </c>
      <c r="K34" s="166"/>
      <c r="L34" s="165"/>
      <c r="M34" s="166"/>
      <c r="N34" s="165"/>
      <c r="O34" s="166"/>
      <c r="P34" s="165"/>
      <c r="Q34" s="166"/>
      <c r="R34" s="106">
        <v>40</v>
      </c>
      <c r="S34" s="14" t="s">
        <v>20</v>
      </c>
      <c r="T34" s="42" t="s">
        <v>93</v>
      </c>
      <c r="U34" s="247"/>
      <c r="V34" s="248"/>
      <c r="W34" s="249"/>
    </row>
    <row r="35" spans="1:23" ht="14.55" customHeight="1" x14ac:dyDescent="0.3">
      <c r="A35" s="163"/>
      <c r="B35" s="5"/>
      <c r="C35" s="5"/>
      <c r="D35" s="4">
        <v>21025</v>
      </c>
      <c r="E35" s="12" t="s">
        <v>390</v>
      </c>
      <c r="F35" s="40">
        <v>304</v>
      </c>
      <c r="G35" s="41">
        <v>0.6</v>
      </c>
      <c r="H35" s="40">
        <v>349</v>
      </c>
      <c r="I35" s="12">
        <v>7</v>
      </c>
      <c r="J35" s="165">
        <v>1000</v>
      </c>
      <c r="K35" s="166"/>
      <c r="L35" s="165"/>
      <c r="M35" s="166"/>
      <c r="N35" s="165"/>
      <c r="O35" s="166"/>
      <c r="P35" s="165"/>
      <c r="Q35" s="166"/>
      <c r="R35" s="106"/>
      <c r="S35" s="14" t="s">
        <v>20</v>
      </c>
      <c r="T35" s="42"/>
      <c r="U35" s="247"/>
      <c r="V35" s="248"/>
      <c r="W35" s="249"/>
    </row>
    <row r="36" spans="1:23" ht="14.55" customHeight="1" x14ac:dyDescent="0.3">
      <c r="A36" s="163"/>
      <c r="B36" s="5"/>
      <c r="C36" s="5">
        <v>0.70833333333333337</v>
      </c>
      <c r="D36" s="4">
        <v>131025</v>
      </c>
      <c r="E36" s="12" t="s">
        <v>486</v>
      </c>
      <c r="F36" s="40">
        <v>304</v>
      </c>
      <c r="G36" s="41">
        <v>0.6</v>
      </c>
      <c r="H36" s="40">
        <v>327</v>
      </c>
      <c r="I36" s="12">
        <v>3</v>
      </c>
      <c r="J36" s="165">
        <v>550</v>
      </c>
      <c r="K36" s="166"/>
      <c r="L36" s="165"/>
      <c r="M36" s="166"/>
      <c r="N36" s="165"/>
      <c r="O36" s="166"/>
      <c r="P36" s="165"/>
      <c r="Q36" s="166"/>
      <c r="R36" s="106">
        <v>40</v>
      </c>
      <c r="S36" s="14" t="s">
        <v>20</v>
      </c>
      <c r="T36" s="42" t="s">
        <v>93</v>
      </c>
      <c r="U36" s="247"/>
      <c r="V36" s="248"/>
      <c r="W36" s="249"/>
    </row>
    <row r="37" spans="1:23" ht="14.55" customHeight="1" x14ac:dyDescent="0.3">
      <c r="A37" s="163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106"/>
      <c r="S37" s="14" t="s">
        <v>20</v>
      </c>
      <c r="T37" s="42"/>
      <c r="U37" s="247"/>
      <c r="V37" s="248"/>
      <c r="W37" s="249"/>
    </row>
    <row r="38" spans="1:23" ht="14.55" customHeight="1" x14ac:dyDescent="0.3">
      <c r="A38" s="163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106"/>
      <c r="S38" s="14" t="s">
        <v>20</v>
      </c>
      <c r="T38" s="42"/>
      <c r="U38" s="247"/>
      <c r="V38" s="248"/>
      <c r="W38" s="249"/>
    </row>
    <row r="39" spans="1:23" ht="14.55" customHeight="1" x14ac:dyDescent="0.3">
      <c r="A39" s="164"/>
      <c r="B39" s="19"/>
      <c r="C39" s="19"/>
      <c r="D39" s="20"/>
      <c r="E39" s="170" t="s">
        <v>0</v>
      </c>
      <c r="F39" s="171"/>
      <c r="G39" s="171"/>
      <c r="H39" s="171"/>
      <c r="I39" s="172"/>
      <c r="J39" s="173">
        <f>SUM(J34:K38)</f>
        <v>2050</v>
      </c>
      <c r="K39" s="174"/>
      <c r="L39" s="173">
        <f>SUM(L34:M38)</f>
        <v>0</v>
      </c>
      <c r="M39" s="174"/>
      <c r="N39" s="173">
        <f>SUM(N34:O38)</f>
        <v>0</v>
      </c>
      <c r="O39" s="174"/>
      <c r="P39" s="173">
        <f>SUM(P34:Q38)</f>
        <v>0</v>
      </c>
      <c r="Q39" s="174"/>
      <c r="R39" s="23">
        <f>SUM(R34:R38)</f>
        <v>80</v>
      </c>
      <c r="S39" s="24" t="s">
        <v>20</v>
      </c>
      <c r="T39" s="19"/>
      <c r="U39" s="247"/>
      <c r="V39" s="248"/>
      <c r="W39" s="249"/>
    </row>
    <row r="40" spans="1:23" ht="14.55" customHeight="1" x14ac:dyDescent="0.3">
      <c r="A40" s="163" t="s">
        <v>35</v>
      </c>
      <c r="B40" s="5">
        <v>0.33333333333333331</v>
      </c>
      <c r="C40" s="5">
        <v>0.70833333333333337</v>
      </c>
      <c r="D40" s="102">
        <v>230925</v>
      </c>
      <c r="E40" s="109" t="s">
        <v>456</v>
      </c>
      <c r="F40" s="40">
        <v>430</v>
      </c>
      <c r="G40" s="41">
        <v>0.8</v>
      </c>
      <c r="H40" s="40">
        <v>425</v>
      </c>
      <c r="I40" s="12"/>
      <c r="J40" s="165"/>
      <c r="K40" s="166"/>
      <c r="L40" s="165"/>
      <c r="M40" s="166"/>
      <c r="N40" s="165">
        <v>1950</v>
      </c>
      <c r="O40" s="166"/>
      <c r="P40" s="165"/>
      <c r="Q40" s="166"/>
      <c r="R40" s="106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106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106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106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4"/>
      <c r="B44" s="19"/>
      <c r="C44" s="19"/>
      <c r="D44" s="20"/>
      <c r="E44" s="170" t="s">
        <v>0</v>
      </c>
      <c r="F44" s="171"/>
      <c r="G44" s="171"/>
      <c r="H44" s="171"/>
      <c r="I44" s="172"/>
      <c r="J44" s="173">
        <f>SUM(J40:K43)</f>
        <v>0</v>
      </c>
      <c r="K44" s="174"/>
      <c r="L44" s="173">
        <f>SUM(L40:M43)</f>
        <v>0</v>
      </c>
      <c r="M44" s="174"/>
      <c r="N44" s="173">
        <f>SUM(N40:O43)</f>
        <v>1950</v>
      </c>
      <c r="O44" s="174"/>
      <c r="P44" s="173">
        <f>SUM(P40:Q43)</f>
        <v>0</v>
      </c>
      <c r="Q44" s="174"/>
      <c r="R44" s="23">
        <f>SUM(R40:R43)</f>
        <v>0</v>
      </c>
      <c r="S44" s="24" t="s">
        <v>20</v>
      </c>
      <c r="T44" s="19"/>
      <c r="U44" s="177"/>
      <c r="V44" s="178"/>
      <c r="W44" s="179"/>
    </row>
    <row r="45" spans="1:23" ht="14.55" customHeight="1" x14ac:dyDescent="0.3">
      <c r="A45" s="27"/>
      <c r="B45" s="27"/>
      <c r="C45" s="27"/>
      <c r="D45" s="27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27"/>
      <c r="S45" s="27"/>
      <c r="T45" s="39"/>
      <c r="U45" s="39"/>
      <c r="V45" s="39"/>
      <c r="W45" s="39"/>
    </row>
    <row r="46" spans="1:23" x14ac:dyDescent="0.3">
      <c r="E46" s="170" t="s">
        <v>31</v>
      </c>
      <c r="F46" s="171"/>
      <c r="G46" s="171"/>
      <c r="H46" s="171"/>
      <c r="I46" s="172"/>
      <c r="J46" s="175" t="s">
        <v>7</v>
      </c>
      <c r="K46" s="176"/>
      <c r="L46" s="175" t="s">
        <v>8</v>
      </c>
      <c r="M46" s="176"/>
      <c r="N46" s="175" t="s">
        <v>9</v>
      </c>
      <c r="O46" s="176"/>
      <c r="P46" s="175" t="s">
        <v>117</v>
      </c>
      <c r="Q46" s="176"/>
    </row>
    <row r="47" spans="1:23" s="2" customFormat="1" x14ac:dyDescent="0.3">
      <c r="E47" s="15"/>
      <c r="F47" s="15"/>
      <c r="G47" s="15"/>
      <c r="H47" s="15"/>
      <c r="I47" s="15"/>
      <c r="J47" s="30">
        <f>J33+J39+J44</f>
        <v>2300</v>
      </c>
      <c r="K47" s="31" t="s">
        <v>17</v>
      </c>
      <c r="L47" s="30">
        <f>L33+L39+L44</f>
        <v>0</v>
      </c>
      <c r="M47" s="31" t="s">
        <v>17</v>
      </c>
      <c r="N47" s="30">
        <f>N33+N39+N44</f>
        <v>1950</v>
      </c>
      <c r="O47" s="31" t="s">
        <v>17</v>
      </c>
      <c r="P47" s="30">
        <f>P33+P39+P44</f>
        <v>0</v>
      </c>
      <c r="Q47" s="34" t="s">
        <v>17</v>
      </c>
    </row>
    <row r="48" spans="1:23" ht="24.45" customHeight="1" x14ac:dyDescent="0.3">
      <c r="E48" s="28"/>
      <c r="F48" s="28"/>
      <c r="G48" s="28"/>
      <c r="H48" s="28"/>
      <c r="I48" s="28"/>
      <c r="J48" s="167">
        <f>J47+L47+N47+P47</f>
        <v>4250</v>
      </c>
      <c r="K48" s="168"/>
      <c r="L48" s="168"/>
      <c r="M48" s="168"/>
      <c r="N48" s="168"/>
      <c r="O48" s="168"/>
      <c r="P48" s="168"/>
      <c r="Q48" s="169"/>
    </row>
    <row r="49" spans="1:23" ht="30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spans="1:23" s="37" customFormat="1" ht="19.95" customHeight="1" x14ac:dyDescent="0.4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214" t="s">
        <v>14</v>
      </c>
      <c r="R50" s="215"/>
      <c r="S50" s="216"/>
      <c r="T50" s="184">
        <f>T3</f>
        <v>45945</v>
      </c>
      <c r="U50" s="185"/>
      <c r="V50" s="185"/>
      <c r="W50" s="186"/>
    </row>
    <row r="51" spans="1:23" s="16" customFormat="1" ht="30" customHeight="1" x14ac:dyDescent="0.3">
      <c r="A51" s="187" t="s">
        <v>26</v>
      </c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9"/>
      <c r="Q51" s="189"/>
      <c r="R51" s="189"/>
      <c r="S51" s="189"/>
      <c r="T51" s="188"/>
      <c r="U51" s="188"/>
      <c r="V51" s="188"/>
      <c r="W51" s="190"/>
    </row>
    <row r="52" spans="1:23" s="26" customFormat="1" ht="13.8" x14ac:dyDescent="0.3">
      <c r="A52" s="191" t="s">
        <v>1</v>
      </c>
      <c r="B52" s="192" t="s">
        <v>2</v>
      </c>
      <c r="C52" s="192" t="s">
        <v>3</v>
      </c>
      <c r="D52" s="192" t="s">
        <v>4</v>
      </c>
      <c r="E52" s="193" t="s">
        <v>5</v>
      </c>
      <c r="F52" s="197"/>
      <c r="G52" s="197"/>
      <c r="H52" s="197"/>
      <c r="I52" s="198"/>
      <c r="J52" s="193" t="s">
        <v>6</v>
      </c>
      <c r="K52" s="197"/>
      <c r="L52" s="197"/>
      <c r="M52" s="197"/>
      <c r="N52" s="197"/>
      <c r="O52" s="197"/>
      <c r="P52" s="197"/>
      <c r="Q52" s="198"/>
      <c r="R52" s="193" t="s">
        <v>10</v>
      </c>
      <c r="S52" s="198"/>
      <c r="T52" s="191" t="s">
        <v>11</v>
      </c>
      <c r="U52" s="191" t="s">
        <v>12</v>
      </c>
      <c r="V52" s="191"/>
      <c r="W52" s="191"/>
    </row>
    <row r="53" spans="1:23" s="26" customFormat="1" ht="13.8" x14ac:dyDescent="0.3">
      <c r="A53" s="191"/>
      <c r="B53" s="192"/>
      <c r="C53" s="192"/>
      <c r="D53" s="192"/>
      <c r="E53" s="194"/>
      <c r="F53" s="217"/>
      <c r="G53" s="217"/>
      <c r="H53" s="217"/>
      <c r="I53" s="199"/>
      <c r="J53" s="200" t="s">
        <v>7</v>
      </c>
      <c r="K53" s="201"/>
      <c r="L53" s="200" t="s">
        <v>8</v>
      </c>
      <c r="M53" s="201"/>
      <c r="N53" s="200" t="s">
        <v>9</v>
      </c>
      <c r="O53" s="201"/>
      <c r="P53" s="200" t="s">
        <v>117</v>
      </c>
      <c r="Q53" s="201"/>
      <c r="R53" s="194"/>
      <c r="S53" s="199"/>
      <c r="T53" s="191"/>
      <c r="U53" s="191"/>
      <c r="V53" s="191"/>
      <c r="W53" s="191"/>
    </row>
    <row r="54" spans="1:23" x14ac:dyDescent="0.3">
      <c r="A54" s="180" t="s">
        <v>13</v>
      </c>
      <c r="B54" s="5">
        <v>0.33333333333333331</v>
      </c>
      <c r="C54" s="5"/>
      <c r="D54" s="102">
        <v>230925</v>
      </c>
      <c r="E54" s="211" t="s">
        <v>456</v>
      </c>
      <c r="F54" s="212"/>
      <c r="G54" s="212"/>
      <c r="H54" s="212"/>
      <c r="I54" s="213"/>
      <c r="J54" s="165"/>
      <c r="K54" s="166"/>
      <c r="L54" s="165"/>
      <c r="M54" s="166"/>
      <c r="N54" s="165">
        <v>3632</v>
      </c>
      <c r="O54" s="166"/>
      <c r="P54" s="165"/>
      <c r="Q54" s="166"/>
      <c r="R54" s="106"/>
      <c r="S54" s="6" t="s">
        <v>20</v>
      </c>
      <c r="T54" s="3"/>
      <c r="U54" s="202"/>
      <c r="V54" s="203"/>
      <c r="W54" s="204"/>
    </row>
    <row r="55" spans="1:23" x14ac:dyDescent="0.3">
      <c r="A55" s="163"/>
      <c r="B55" s="5"/>
      <c r="C55" s="5"/>
      <c r="D55" s="4" t="s">
        <v>511</v>
      </c>
      <c r="E55" s="211" t="s">
        <v>512</v>
      </c>
      <c r="F55" s="212"/>
      <c r="G55" s="212"/>
      <c r="H55" s="212"/>
      <c r="I55" s="213"/>
      <c r="J55" s="165">
        <v>82</v>
      </c>
      <c r="K55" s="166"/>
      <c r="L55" s="165"/>
      <c r="M55" s="166"/>
      <c r="N55" s="165"/>
      <c r="O55" s="166"/>
      <c r="P55" s="165"/>
      <c r="Q55" s="166"/>
      <c r="R55" s="106">
        <v>45</v>
      </c>
      <c r="S55" s="6" t="s">
        <v>20</v>
      </c>
      <c r="T55" s="3" t="s">
        <v>93</v>
      </c>
      <c r="U55" s="205"/>
      <c r="V55" s="206"/>
      <c r="W55" s="207"/>
    </row>
    <row r="56" spans="1:23" x14ac:dyDescent="0.3">
      <c r="A56" s="163"/>
      <c r="B56" s="5"/>
      <c r="C56" s="5">
        <v>0.70833333333333337</v>
      </c>
      <c r="D56" s="4">
        <v>250055</v>
      </c>
      <c r="E56" s="211" t="s">
        <v>513</v>
      </c>
      <c r="F56" s="212"/>
      <c r="G56" s="212"/>
      <c r="H56" s="212"/>
      <c r="I56" s="213"/>
      <c r="J56" s="165">
        <v>445</v>
      </c>
      <c r="K56" s="166"/>
      <c r="L56" s="165"/>
      <c r="M56" s="166"/>
      <c r="N56" s="165"/>
      <c r="O56" s="166"/>
      <c r="P56" s="165"/>
      <c r="Q56" s="166"/>
      <c r="R56" s="106"/>
      <c r="S56" s="6" t="s">
        <v>20</v>
      </c>
      <c r="T56" s="3"/>
      <c r="U56" s="205"/>
      <c r="V56" s="206"/>
      <c r="W56" s="207"/>
    </row>
    <row r="57" spans="1:23" x14ac:dyDescent="0.3">
      <c r="A57" s="163"/>
      <c r="B57" s="5"/>
      <c r="C57" s="5"/>
      <c r="D57" s="4"/>
      <c r="E57" s="211"/>
      <c r="F57" s="212"/>
      <c r="G57" s="212"/>
      <c r="H57" s="212"/>
      <c r="I57" s="213"/>
      <c r="J57" s="165"/>
      <c r="K57" s="166"/>
      <c r="L57" s="165"/>
      <c r="M57" s="166"/>
      <c r="N57" s="165"/>
      <c r="O57" s="166"/>
      <c r="P57" s="165"/>
      <c r="Q57" s="166"/>
      <c r="R57" s="106"/>
      <c r="S57" s="6" t="s">
        <v>20</v>
      </c>
      <c r="T57" s="3"/>
      <c r="U57" s="205"/>
      <c r="V57" s="206"/>
      <c r="W57" s="207"/>
    </row>
    <row r="58" spans="1:23" x14ac:dyDescent="0.3">
      <c r="A58" s="164"/>
      <c r="B58" s="19"/>
      <c r="C58" s="19"/>
      <c r="D58" s="20"/>
      <c r="E58" s="170" t="s">
        <v>0</v>
      </c>
      <c r="F58" s="171"/>
      <c r="G58" s="171"/>
      <c r="H58" s="171"/>
      <c r="I58" s="172"/>
      <c r="J58" s="173">
        <f>SUM(J54:J57)</f>
        <v>527</v>
      </c>
      <c r="K58" s="174"/>
      <c r="L58" s="173">
        <f>SUM(L54:L57)</f>
        <v>0</v>
      </c>
      <c r="M58" s="174"/>
      <c r="N58" s="173">
        <f>SUM(N54:N57)</f>
        <v>3632</v>
      </c>
      <c r="O58" s="174"/>
      <c r="P58" s="173">
        <f>SUM(P54:P57)</f>
        <v>0</v>
      </c>
      <c r="Q58" s="174"/>
      <c r="R58" s="23">
        <f>SUM(R54:R57)</f>
        <v>45</v>
      </c>
      <c r="S58" s="24" t="s">
        <v>20</v>
      </c>
      <c r="T58" s="19"/>
      <c r="U58" s="208"/>
      <c r="V58" s="209"/>
      <c r="W58" s="210"/>
    </row>
    <row r="59" spans="1:23" x14ac:dyDescent="0.3">
      <c r="A59" s="180" t="s">
        <v>15</v>
      </c>
      <c r="B59" s="5"/>
      <c r="C59" s="5"/>
      <c r="D59" s="4"/>
      <c r="E59" s="211"/>
      <c r="F59" s="212"/>
      <c r="G59" s="212"/>
      <c r="H59" s="212"/>
      <c r="I59" s="213"/>
      <c r="J59" s="165"/>
      <c r="K59" s="166"/>
      <c r="L59" s="165"/>
      <c r="M59" s="166"/>
      <c r="N59" s="165"/>
      <c r="O59" s="166"/>
      <c r="P59" s="165"/>
      <c r="Q59" s="166"/>
      <c r="R59" s="106"/>
      <c r="S59" s="6" t="s">
        <v>20</v>
      </c>
      <c r="T59" s="3"/>
      <c r="U59" s="202"/>
      <c r="V59" s="203"/>
      <c r="W59" s="204"/>
    </row>
    <row r="60" spans="1:23" x14ac:dyDescent="0.3">
      <c r="A60" s="163"/>
      <c r="B60" s="5"/>
      <c r="C60" s="5"/>
      <c r="D60" s="4"/>
      <c r="E60" s="211"/>
      <c r="F60" s="212"/>
      <c r="G60" s="212"/>
      <c r="H60" s="212"/>
      <c r="I60" s="213"/>
      <c r="J60" s="165"/>
      <c r="K60" s="166"/>
      <c r="L60" s="165"/>
      <c r="M60" s="166"/>
      <c r="N60" s="165"/>
      <c r="O60" s="166"/>
      <c r="P60" s="165"/>
      <c r="Q60" s="166"/>
      <c r="R60" s="106"/>
      <c r="S60" s="6" t="s">
        <v>20</v>
      </c>
      <c r="T60" s="3"/>
      <c r="U60" s="205"/>
      <c r="V60" s="206"/>
      <c r="W60" s="207"/>
    </row>
    <row r="61" spans="1:23" x14ac:dyDescent="0.3">
      <c r="A61" s="163"/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106"/>
      <c r="S61" s="6" t="s">
        <v>20</v>
      </c>
      <c r="T61" s="3"/>
      <c r="U61" s="205"/>
      <c r="V61" s="206"/>
      <c r="W61" s="207"/>
    </row>
    <row r="62" spans="1:23" x14ac:dyDescent="0.3">
      <c r="A62" s="164"/>
      <c r="B62" s="19"/>
      <c r="C62" s="19"/>
      <c r="D62" s="20"/>
      <c r="E62" s="170" t="s">
        <v>0</v>
      </c>
      <c r="F62" s="171"/>
      <c r="G62" s="171"/>
      <c r="H62" s="171"/>
      <c r="I62" s="172"/>
      <c r="J62" s="173">
        <f>SUM(J59:J61)</f>
        <v>0</v>
      </c>
      <c r="K62" s="174"/>
      <c r="L62" s="173">
        <f>SUM(L59:L61)</f>
        <v>0</v>
      </c>
      <c r="M62" s="174"/>
      <c r="N62" s="173">
        <f>SUM(N59:N61)</f>
        <v>0</v>
      </c>
      <c r="O62" s="174"/>
      <c r="P62" s="173">
        <f>SUM(P57:P61)</f>
        <v>0</v>
      </c>
      <c r="Q62" s="174"/>
      <c r="R62" s="23">
        <f>SUM(R59:R61)</f>
        <v>0</v>
      </c>
      <c r="S62" s="24" t="s">
        <v>20</v>
      </c>
      <c r="T62" s="7"/>
      <c r="U62" s="208"/>
      <c r="V62" s="209"/>
      <c r="W62" s="210"/>
    </row>
    <row r="63" spans="1:23" x14ac:dyDescent="0.3">
      <c r="E63" s="28"/>
      <c r="F63" s="28"/>
      <c r="G63" s="28"/>
      <c r="H63" s="28"/>
      <c r="I63" s="28"/>
      <c r="J63" s="29"/>
      <c r="K63" s="29"/>
      <c r="L63" s="29"/>
      <c r="M63" s="29"/>
      <c r="N63" s="29"/>
      <c r="O63" s="29"/>
      <c r="P63" s="29"/>
      <c r="Q63" s="29"/>
    </row>
    <row r="64" spans="1:23" x14ac:dyDescent="0.3">
      <c r="E64" s="170" t="s">
        <v>28</v>
      </c>
      <c r="F64" s="171"/>
      <c r="G64" s="171"/>
      <c r="H64" s="171"/>
      <c r="I64" s="172"/>
      <c r="J64" s="175" t="s">
        <v>7</v>
      </c>
      <c r="K64" s="176"/>
      <c r="L64" s="175" t="s">
        <v>8</v>
      </c>
      <c r="M64" s="176"/>
      <c r="N64" s="175" t="s">
        <v>9</v>
      </c>
      <c r="O64" s="176"/>
      <c r="P64" s="175" t="s">
        <v>117</v>
      </c>
      <c r="Q64" s="176"/>
    </row>
    <row r="65" spans="5:17" s="2" customFormat="1" x14ac:dyDescent="0.3">
      <c r="E65" s="15"/>
      <c r="F65" s="15"/>
      <c r="G65" s="15"/>
      <c r="H65" s="15"/>
      <c r="I65" s="15"/>
      <c r="J65" s="30">
        <f>J58+J62</f>
        <v>527</v>
      </c>
      <c r="K65" s="31" t="s">
        <v>17</v>
      </c>
      <c r="L65" s="32">
        <f>L58+L62</f>
        <v>0</v>
      </c>
      <c r="M65" s="31" t="s">
        <v>17</v>
      </c>
      <c r="N65" s="32">
        <f>N58+N62</f>
        <v>3632</v>
      </c>
      <c r="O65" s="31" t="s">
        <v>17</v>
      </c>
      <c r="P65" s="32">
        <f>P58+P62</f>
        <v>0</v>
      </c>
      <c r="Q65" s="34" t="s">
        <v>17</v>
      </c>
    </row>
    <row r="66" spans="5:17" ht="24.45" customHeight="1" x14ac:dyDescent="0.3">
      <c r="E66" s="28"/>
      <c r="F66" s="28"/>
      <c r="G66" s="28"/>
      <c r="H66" s="28"/>
      <c r="I66" s="28"/>
      <c r="J66" s="167">
        <f>J65+L65+N65+P65</f>
        <v>4159</v>
      </c>
      <c r="K66" s="168"/>
      <c r="L66" s="168"/>
      <c r="M66" s="168"/>
      <c r="N66" s="168"/>
      <c r="O66" s="168"/>
      <c r="P66" s="168"/>
      <c r="Q66" s="169"/>
    </row>
  </sheetData>
  <mergeCells count="247">
    <mergeCell ref="E64:I64"/>
    <mergeCell ref="J64:K64"/>
    <mergeCell ref="L64:M64"/>
    <mergeCell ref="N64:O64"/>
    <mergeCell ref="P64:Q64"/>
    <mergeCell ref="J66:Q66"/>
    <mergeCell ref="N61:O61"/>
    <mergeCell ref="P61:Q61"/>
    <mergeCell ref="E62:I62"/>
    <mergeCell ref="J62:K62"/>
    <mergeCell ref="L62:M62"/>
    <mergeCell ref="N62:O62"/>
    <mergeCell ref="P62:Q62"/>
    <mergeCell ref="U59:W62"/>
    <mergeCell ref="E60:I60"/>
    <mergeCell ref="J60:K60"/>
    <mergeCell ref="L60:M60"/>
    <mergeCell ref="N60:O60"/>
    <mergeCell ref="P60:Q60"/>
    <mergeCell ref="E61:I61"/>
    <mergeCell ref="J61:K61"/>
    <mergeCell ref="L61:M61"/>
    <mergeCell ref="A59:A62"/>
    <mergeCell ref="E59:I59"/>
    <mergeCell ref="J59:K59"/>
    <mergeCell ref="L59:M59"/>
    <mergeCell ref="N59:O59"/>
    <mergeCell ref="A54:A58"/>
    <mergeCell ref="P59:Q59"/>
    <mergeCell ref="E57:I57"/>
    <mergeCell ref="J57:K57"/>
    <mergeCell ref="L57:M57"/>
    <mergeCell ref="N57:O57"/>
    <mergeCell ref="P57:Q57"/>
    <mergeCell ref="U54:W58"/>
    <mergeCell ref="E55:I55"/>
    <mergeCell ref="J55:K55"/>
    <mergeCell ref="L55:M55"/>
    <mergeCell ref="N55:O55"/>
    <mergeCell ref="P55:Q55"/>
    <mergeCell ref="E56:I56"/>
    <mergeCell ref="J56:K56"/>
    <mergeCell ref="L56:M56"/>
    <mergeCell ref="N56:O56"/>
    <mergeCell ref="E54:I54"/>
    <mergeCell ref="J54:K54"/>
    <mergeCell ref="L54:M54"/>
    <mergeCell ref="N54:O54"/>
    <mergeCell ref="P54:Q54"/>
    <mergeCell ref="P56:Q56"/>
    <mergeCell ref="E58:I58"/>
    <mergeCell ref="J58:K58"/>
    <mergeCell ref="L58:M58"/>
    <mergeCell ref="N58:O58"/>
    <mergeCell ref="P58:Q58"/>
    <mergeCell ref="E46:I46"/>
    <mergeCell ref="J46:K46"/>
    <mergeCell ref="L46:M46"/>
    <mergeCell ref="N46:O46"/>
    <mergeCell ref="P46:Q46"/>
    <mergeCell ref="R52:S53"/>
    <mergeCell ref="T52:T53"/>
    <mergeCell ref="U52:W53"/>
    <mergeCell ref="J53:K53"/>
    <mergeCell ref="L53:M53"/>
    <mergeCell ref="N53:O53"/>
    <mergeCell ref="P53:Q53"/>
    <mergeCell ref="J48:Q48"/>
    <mergeCell ref="Q50:S50"/>
    <mergeCell ref="T50:W50"/>
    <mergeCell ref="A51:W51"/>
    <mergeCell ref="A52:A53"/>
    <mergeCell ref="B52:B53"/>
    <mergeCell ref="C52:C53"/>
    <mergeCell ref="D52:D53"/>
    <mergeCell ref="E52:I53"/>
    <mergeCell ref="J52:Q52"/>
    <mergeCell ref="U40:W44"/>
    <mergeCell ref="J41:K41"/>
    <mergeCell ref="L41:M41"/>
    <mergeCell ref="N41:O41"/>
    <mergeCell ref="P41:Q41"/>
    <mergeCell ref="E44:I44"/>
    <mergeCell ref="J44:K44"/>
    <mergeCell ref="L44:M44"/>
    <mergeCell ref="N44:O44"/>
    <mergeCell ref="P44:Q44"/>
    <mergeCell ref="A40:A44"/>
    <mergeCell ref="J40:K40"/>
    <mergeCell ref="L40:M40"/>
    <mergeCell ref="N40:O40"/>
    <mergeCell ref="P40:Q40"/>
    <mergeCell ref="J42:K42"/>
    <mergeCell ref="L42:M42"/>
    <mergeCell ref="N42:O42"/>
    <mergeCell ref="P42:Q42"/>
    <mergeCell ref="J43:K43"/>
    <mergeCell ref="L43:M43"/>
    <mergeCell ref="N43:O43"/>
    <mergeCell ref="P43:Q43"/>
    <mergeCell ref="U34:W39"/>
    <mergeCell ref="J35:K35"/>
    <mergeCell ref="L35:M35"/>
    <mergeCell ref="N35:O35"/>
    <mergeCell ref="P35:Q35"/>
    <mergeCell ref="J36:K36"/>
    <mergeCell ref="L36:M36"/>
    <mergeCell ref="N36:O36"/>
    <mergeCell ref="P36:Q36"/>
    <mergeCell ref="J37:K37"/>
    <mergeCell ref="J39:K39"/>
    <mergeCell ref="L39:M39"/>
    <mergeCell ref="N39:O39"/>
    <mergeCell ref="P39:Q39"/>
    <mergeCell ref="E33:I33"/>
    <mergeCell ref="J33:K33"/>
    <mergeCell ref="L33:M33"/>
    <mergeCell ref="N33:O33"/>
    <mergeCell ref="P33:Q33"/>
    <mergeCell ref="A34:A39"/>
    <mergeCell ref="J34:K34"/>
    <mergeCell ref="L34:M34"/>
    <mergeCell ref="N34:O34"/>
    <mergeCell ref="P34:Q34"/>
    <mergeCell ref="A31:A33"/>
    <mergeCell ref="J38:K38"/>
    <mergeCell ref="L38:M38"/>
    <mergeCell ref="N38:O38"/>
    <mergeCell ref="P38:Q38"/>
    <mergeCell ref="L37:M37"/>
    <mergeCell ref="N37:O37"/>
    <mergeCell ref="P37:Q37"/>
    <mergeCell ref="E39:I39"/>
    <mergeCell ref="J32:K32"/>
    <mergeCell ref="L32:M32"/>
    <mergeCell ref="N32:O32"/>
    <mergeCell ref="P32:Q32"/>
    <mergeCell ref="U31:W33"/>
    <mergeCell ref="U29:W30"/>
    <mergeCell ref="J30:K30"/>
    <mergeCell ref="L30:M30"/>
    <mergeCell ref="N30:O30"/>
    <mergeCell ref="P30:Q30"/>
    <mergeCell ref="J31:K31"/>
    <mergeCell ref="L31:M31"/>
    <mergeCell ref="N31:O31"/>
    <mergeCell ref="P31:Q31"/>
    <mergeCell ref="G29:G30"/>
    <mergeCell ref="H29:H30"/>
    <mergeCell ref="I29:I30"/>
    <mergeCell ref="J29:Q29"/>
    <mergeCell ref="R29:S30"/>
    <mergeCell ref="T29:T3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W72"/>
  <sheetViews>
    <sheetView topLeftCell="A4" zoomScale="85" zoomScaleNormal="85" workbookViewId="0">
      <selection activeCell="D12" sqref="D12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8" bestFit="1" customWidth="1"/>
    <col min="5" max="5" width="35.6640625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45946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151025</v>
      </c>
      <c r="E7" s="12" t="s">
        <v>514</v>
      </c>
      <c r="F7" s="17">
        <v>388</v>
      </c>
      <c r="G7" s="17">
        <v>304</v>
      </c>
      <c r="H7" s="18">
        <v>0.7</v>
      </c>
      <c r="I7" s="17">
        <v>33000</v>
      </c>
      <c r="J7" s="165">
        <v>936</v>
      </c>
      <c r="K7" s="166"/>
      <c r="L7" s="165"/>
      <c r="M7" s="166"/>
      <c r="N7" s="165"/>
      <c r="O7" s="166"/>
      <c r="P7" s="165"/>
      <c r="Q7" s="166"/>
      <c r="R7" s="108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515</v>
      </c>
      <c r="F8" s="17">
        <v>220</v>
      </c>
      <c r="G8" s="17">
        <v>304</v>
      </c>
      <c r="H8" s="18">
        <v>0.7</v>
      </c>
      <c r="I8" s="17">
        <v>33000</v>
      </c>
      <c r="J8" s="165">
        <v>312</v>
      </c>
      <c r="K8" s="166"/>
      <c r="L8" s="165"/>
      <c r="M8" s="166"/>
      <c r="N8" s="165"/>
      <c r="O8" s="166"/>
      <c r="P8" s="165"/>
      <c r="Q8" s="166"/>
      <c r="R8" s="108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 t="s">
        <v>516</v>
      </c>
      <c r="E9" s="12" t="s">
        <v>517</v>
      </c>
      <c r="F9" s="17">
        <v>289</v>
      </c>
      <c r="G9" s="17">
        <v>304</v>
      </c>
      <c r="H9" s="18">
        <v>0.7</v>
      </c>
      <c r="I9" s="17">
        <v>33000</v>
      </c>
      <c r="J9" s="165">
        <v>1032</v>
      </c>
      <c r="K9" s="166"/>
      <c r="L9" s="165"/>
      <c r="M9" s="166"/>
      <c r="N9" s="165"/>
      <c r="O9" s="166"/>
      <c r="P9" s="165"/>
      <c r="Q9" s="166"/>
      <c r="R9" s="108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362</v>
      </c>
      <c r="F10" s="17">
        <v>213</v>
      </c>
      <c r="G10" s="17">
        <v>304</v>
      </c>
      <c r="H10" s="18">
        <v>0.7</v>
      </c>
      <c r="I10" s="17">
        <v>33000</v>
      </c>
      <c r="J10" s="165">
        <v>144</v>
      </c>
      <c r="K10" s="166"/>
      <c r="L10" s="165"/>
      <c r="M10" s="166"/>
      <c r="N10" s="165"/>
      <c r="O10" s="166"/>
      <c r="P10" s="165"/>
      <c r="Q10" s="166"/>
      <c r="R10" s="108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516</v>
      </c>
      <c r="E11" s="12" t="s">
        <v>518</v>
      </c>
      <c r="F11" s="17">
        <v>265</v>
      </c>
      <c r="G11" s="17">
        <v>304</v>
      </c>
      <c r="H11" s="18">
        <v>0.7</v>
      </c>
      <c r="I11" s="17">
        <v>33000</v>
      </c>
      <c r="J11" s="165">
        <v>1020</v>
      </c>
      <c r="K11" s="166"/>
      <c r="L11" s="165"/>
      <c r="M11" s="166"/>
      <c r="N11" s="165"/>
      <c r="O11" s="166"/>
      <c r="P11" s="165"/>
      <c r="Q11" s="166"/>
      <c r="R11" s="108">
        <v>45</v>
      </c>
      <c r="S11" s="14" t="s">
        <v>20</v>
      </c>
      <c r="T11" s="42" t="s">
        <v>93</v>
      </c>
      <c r="U11" s="205"/>
      <c r="V11" s="206"/>
      <c r="W11" s="207"/>
    </row>
    <row r="12" spans="1:23" x14ac:dyDescent="0.3">
      <c r="A12" s="181"/>
      <c r="B12" s="5"/>
      <c r="C12" s="5"/>
      <c r="D12" s="4">
        <v>131025</v>
      </c>
      <c r="E12" s="12" t="s">
        <v>493</v>
      </c>
      <c r="F12" s="17">
        <v>43</v>
      </c>
      <c r="G12" s="17">
        <v>304</v>
      </c>
      <c r="H12" s="18">
        <v>0.9</v>
      </c>
      <c r="I12" s="17">
        <v>30000</v>
      </c>
      <c r="J12" s="165"/>
      <c r="K12" s="166"/>
      <c r="L12" s="165"/>
      <c r="M12" s="166"/>
      <c r="N12" s="165"/>
      <c r="O12" s="166"/>
      <c r="P12" s="165">
        <v>2772</v>
      </c>
      <c r="Q12" s="166"/>
      <c r="R12" s="108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>
        <v>0.70833333333333337</v>
      </c>
      <c r="D13" s="4" t="s">
        <v>102</v>
      </c>
      <c r="E13" s="12" t="s">
        <v>493</v>
      </c>
      <c r="F13" s="17">
        <v>43</v>
      </c>
      <c r="G13" s="17">
        <v>304</v>
      </c>
      <c r="H13" s="18">
        <v>0.9</v>
      </c>
      <c r="I13" s="17">
        <v>30000</v>
      </c>
      <c r="J13" s="165"/>
      <c r="K13" s="166"/>
      <c r="L13" s="165"/>
      <c r="M13" s="166"/>
      <c r="N13" s="165"/>
      <c r="O13" s="166"/>
      <c r="P13" s="165">
        <v>120</v>
      </c>
      <c r="Q13" s="166"/>
      <c r="R13" s="108">
        <v>10</v>
      </c>
      <c r="S13" s="14" t="s">
        <v>20</v>
      </c>
      <c r="T13" s="42" t="s">
        <v>111</v>
      </c>
      <c r="U13" s="205"/>
      <c r="V13" s="206"/>
      <c r="W13" s="207"/>
    </row>
    <row r="14" spans="1:23" x14ac:dyDescent="0.3">
      <c r="A14" s="181"/>
      <c r="B14" s="5"/>
      <c r="C14" s="5"/>
      <c r="D14" s="4"/>
      <c r="E14" s="12"/>
      <c r="F14" s="17"/>
      <c r="G14" s="17"/>
      <c r="H14" s="18"/>
      <c r="I14" s="17"/>
      <c r="J14" s="165"/>
      <c r="K14" s="166"/>
      <c r="L14" s="165"/>
      <c r="M14" s="166"/>
      <c r="N14" s="165"/>
      <c r="O14" s="166"/>
      <c r="P14" s="165"/>
      <c r="Q14" s="166"/>
      <c r="R14" s="108"/>
      <c r="S14" s="14" t="s">
        <v>20</v>
      </c>
      <c r="T14" s="42"/>
      <c r="U14" s="205"/>
      <c r="V14" s="206"/>
      <c r="W14" s="207"/>
    </row>
    <row r="15" spans="1:23" x14ac:dyDescent="0.3">
      <c r="A15" s="182"/>
      <c r="B15" s="170" t="s">
        <v>0</v>
      </c>
      <c r="C15" s="171"/>
      <c r="D15" s="171"/>
      <c r="E15" s="171"/>
      <c r="F15" s="171"/>
      <c r="G15" s="171"/>
      <c r="H15" s="171"/>
      <c r="I15" s="172"/>
      <c r="J15" s="21">
        <f>SUM(J7:K14)</f>
        <v>3444</v>
      </c>
      <c r="K15" s="22" t="s">
        <v>17</v>
      </c>
      <c r="L15" s="21">
        <f>SUM(L7:M14)</f>
        <v>0</v>
      </c>
      <c r="M15" s="22" t="s">
        <v>17</v>
      </c>
      <c r="N15" s="21">
        <f>SUM(N7:O14)</f>
        <v>0</v>
      </c>
      <c r="O15" s="22" t="s">
        <v>17</v>
      </c>
      <c r="P15" s="21">
        <f>SUM(P7:Q14)</f>
        <v>2892</v>
      </c>
      <c r="Q15" s="22" t="s">
        <v>17</v>
      </c>
      <c r="R15" s="23">
        <f>SUM(R7:R14)</f>
        <v>55</v>
      </c>
      <c r="S15" s="24" t="s">
        <v>20</v>
      </c>
      <c r="T15" s="19"/>
      <c r="U15" s="208"/>
      <c r="V15" s="209"/>
      <c r="W15" s="210"/>
    </row>
    <row r="16" spans="1:23" ht="14.5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1:23" ht="14.55" customHeight="1" x14ac:dyDescent="0.3">
      <c r="A17" s="27"/>
      <c r="B17" s="27"/>
      <c r="C17" s="27"/>
      <c r="D17" s="27"/>
      <c r="E17" s="170" t="s">
        <v>27</v>
      </c>
      <c r="F17" s="171"/>
      <c r="G17" s="171"/>
      <c r="H17" s="171"/>
      <c r="I17" s="172"/>
      <c r="J17" s="175" t="s">
        <v>7</v>
      </c>
      <c r="K17" s="176"/>
      <c r="L17" s="175" t="s">
        <v>8</v>
      </c>
      <c r="M17" s="176"/>
      <c r="N17" s="175" t="s">
        <v>9</v>
      </c>
      <c r="O17" s="176"/>
      <c r="P17" s="175" t="s">
        <v>117</v>
      </c>
      <c r="Q17" s="176"/>
      <c r="R17" s="27"/>
      <c r="S17" s="27"/>
    </row>
    <row r="18" spans="1:23" ht="14.55" customHeight="1" x14ac:dyDescent="0.3">
      <c r="A18" s="27"/>
      <c r="B18" s="27"/>
      <c r="C18" s="27"/>
      <c r="D18" s="27"/>
      <c r="E18" s="15"/>
      <c r="F18" s="15"/>
      <c r="G18" s="15"/>
      <c r="H18" s="15"/>
      <c r="I18" s="15"/>
      <c r="J18" s="30">
        <f>J15</f>
        <v>3444</v>
      </c>
      <c r="K18" s="31" t="s">
        <v>17</v>
      </c>
      <c r="L18" s="32">
        <f>L15</f>
        <v>0</v>
      </c>
      <c r="M18" s="31" t="s">
        <v>17</v>
      </c>
      <c r="N18" s="32">
        <f>N15</f>
        <v>0</v>
      </c>
      <c r="O18" s="31" t="s">
        <v>17</v>
      </c>
      <c r="P18" s="33">
        <f>P15</f>
        <v>2892</v>
      </c>
      <c r="Q18" s="34" t="s">
        <v>17</v>
      </c>
      <c r="R18" s="27"/>
      <c r="S18" s="27"/>
    </row>
    <row r="19" spans="1:23" ht="30" customHeight="1" x14ac:dyDescent="0.3">
      <c r="A19" s="27"/>
      <c r="B19" s="27"/>
      <c r="C19" s="27"/>
      <c r="D19" s="27"/>
      <c r="E19" s="28"/>
      <c r="F19" s="28"/>
      <c r="G19" s="28"/>
      <c r="H19" s="28"/>
      <c r="I19" s="28"/>
      <c r="J19" s="167">
        <f>J18+L18+N18+P18</f>
        <v>6336</v>
      </c>
      <c r="K19" s="168"/>
      <c r="L19" s="168"/>
      <c r="M19" s="168"/>
      <c r="N19" s="168"/>
      <c r="O19" s="168"/>
      <c r="P19" s="168"/>
      <c r="Q19" s="169"/>
      <c r="R19" s="27"/>
      <c r="S19" s="27"/>
    </row>
    <row r="20" spans="1:23" ht="30" customHeight="1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spans="1:23" s="37" customFormat="1" ht="19.95" customHeight="1" x14ac:dyDescent="0.4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183" t="s">
        <v>14</v>
      </c>
      <c r="R21" s="183"/>
      <c r="S21" s="183"/>
      <c r="T21" s="184">
        <f>T3</f>
        <v>45946</v>
      </c>
      <c r="U21" s="185"/>
      <c r="V21" s="185"/>
      <c r="W21" s="186"/>
    </row>
    <row r="22" spans="1:23" s="16" customFormat="1" ht="30" customHeight="1" x14ac:dyDescent="0.3">
      <c r="A22" s="187" t="s">
        <v>29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9"/>
      <c r="Q22" s="189"/>
      <c r="R22" s="189"/>
      <c r="S22" s="189"/>
      <c r="T22" s="188"/>
      <c r="U22" s="188"/>
      <c r="V22" s="188"/>
      <c r="W22" s="190"/>
    </row>
    <row r="23" spans="1:23" s="26" customFormat="1" ht="13.8" x14ac:dyDescent="0.3">
      <c r="A23" s="191" t="s">
        <v>1</v>
      </c>
      <c r="B23" s="192" t="s">
        <v>2</v>
      </c>
      <c r="C23" s="192" t="s">
        <v>3</v>
      </c>
      <c r="D23" s="192" t="s">
        <v>4</v>
      </c>
      <c r="E23" s="193" t="s">
        <v>5</v>
      </c>
      <c r="F23" s="195" t="s">
        <v>21</v>
      </c>
      <c r="G23" s="195" t="s">
        <v>22</v>
      </c>
      <c r="H23" s="195" t="s">
        <v>33</v>
      </c>
      <c r="I23" s="195" t="s">
        <v>30</v>
      </c>
      <c r="J23" s="193" t="s">
        <v>6</v>
      </c>
      <c r="K23" s="197"/>
      <c r="L23" s="197"/>
      <c r="M23" s="197"/>
      <c r="N23" s="197"/>
      <c r="O23" s="197"/>
      <c r="P23" s="197"/>
      <c r="Q23" s="198"/>
      <c r="R23" s="193" t="s">
        <v>10</v>
      </c>
      <c r="S23" s="198"/>
      <c r="T23" s="191" t="s">
        <v>11</v>
      </c>
      <c r="U23" s="191" t="s">
        <v>12</v>
      </c>
      <c r="V23" s="191"/>
      <c r="W23" s="191"/>
    </row>
    <row r="24" spans="1:23" s="26" customFormat="1" ht="13.8" x14ac:dyDescent="0.3">
      <c r="A24" s="191"/>
      <c r="B24" s="192"/>
      <c r="C24" s="192"/>
      <c r="D24" s="192"/>
      <c r="E24" s="194"/>
      <c r="F24" s="196"/>
      <c r="G24" s="196"/>
      <c r="H24" s="196"/>
      <c r="I24" s="196"/>
      <c r="J24" s="200" t="s">
        <v>7</v>
      </c>
      <c r="K24" s="201"/>
      <c r="L24" s="200" t="s">
        <v>8</v>
      </c>
      <c r="M24" s="201"/>
      <c r="N24" s="200" t="s">
        <v>9</v>
      </c>
      <c r="O24" s="201"/>
      <c r="P24" s="200" t="s">
        <v>117</v>
      </c>
      <c r="Q24" s="201"/>
      <c r="R24" s="194"/>
      <c r="S24" s="199"/>
      <c r="T24" s="191"/>
      <c r="U24" s="191"/>
      <c r="V24" s="191"/>
      <c r="W24" s="191"/>
    </row>
    <row r="25" spans="1:23" ht="14.55" customHeight="1" x14ac:dyDescent="0.3">
      <c r="A25" s="180" t="s">
        <v>32</v>
      </c>
      <c r="B25" s="5">
        <v>0.33333333333333331</v>
      </c>
      <c r="C25" s="5">
        <v>0.70833333333333337</v>
      </c>
      <c r="D25" s="110">
        <v>160925</v>
      </c>
      <c r="E25" s="12" t="s">
        <v>519</v>
      </c>
      <c r="F25" s="40">
        <v>304</v>
      </c>
      <c r="G25" s="41">
        <v>0.9</v>
      </c>
      <c r="H25" s="40">
        <v>51</v>
      </c>
      <c r="I25" s="12">
        <v>5</v>
      </c>
      <c r="J25" s="165"/>
      <c r="K25" s="166"/>
      <c r="L25" s="165">
        <v>1120</v>
      </c>
      <c r="M25" s="166"/>
      <c r="N25" s="165"/>
      <c r="O25" s="166"/>
      <c r="P25" s="165"/>
      <c r="Q25" s="166"/>
      <c r="R25" s="108"/>
      <c r="S25" s="14" t="s">
        <v>20</v>
      </c>
      <c r="T25" s="42"/>
      <c r="U25" s="177"/>
      <c r="V25" s="178"/>
      <c r="W25" s="179"/>
    </row>
    <row r="26" spans="1:23" ht="14.55" customHeight="1" x14ac:dyDescent="0.3">
      <c r="A26" s="181"/>
      <c r="B26" s="5"/>
      <c r="C26" s="5"/>
      <c r="D26" s="4"/>
      <c r="E26" s="12"/>
      <c r="F26" s="40"/>
      <c r="G26" s="41"/>
      <c r="H26" s="40"/>
      <c r="I26" s="12"/>
      <c r="J26" s="165"/>
      <c r="K26" s="166"/>
      <c r="L26" s="165"/>
      <c r="M26" s="166"/>
      <c r="N26" s="165"/>
      <c r="O26" s="166"/>
      <c r="P26" s="165"/>
      <c r="Q26" s="166"/>
      <c r="R26" s="108"/>
      <c r="S26" s="14" t="s">
        <v>20</v>
      </c>
      <c r="T26" s="42"/>
      <c r="U26" s="177"/>
      <c r="V26" s="178"/>
      <c r="W26" s="179"/>
    </row>
    <row r="27" spans="1:23" ht="14.55" customHeight="1" x14ac:dyDescent="0.3">
      <c r="A27" s="182"/>
      <c r="B27" s="19"/>
      <c r="C27" s="19"/>
      <c r="D27" s="20"/>
      <c r="E27" s="170" t="s">
        <v>0</v>
      </c>
      <c r="F27" s="171"/>
      <c r="G27" s="171"/>
      <c r="H27" s="171"/>
      <c r="I27" s="172"/>
      <c r="J27" s="173">
        <f>SUM(J25:K26)</f>
        <v>0</v>
      </c>
      <c r="K27" s="174"/>
      <c r="L27" s="173">
        <f>SUM(L25:M26)</f>
        <v>1120</v>
      </c>
      <c r="M27" s="174"/>
      <c r="N27" s="173">
        <f>SUM(N25:O26)</f>
        <v>0</v>
      </c>
      <c r="O27" s="174"/>
      <c r="P27" s="173">
        <f>SUM(P25:Q26)</f>
        <v>0</v>
      </c>
      <c r="Q27" s="174"/>
      <c r="R27" s="23">
        <f>SUM(R25:R26)</f>
        <v>0</v>
      </c>
      <c r="S27" s="24" t="s">
        <v>20</v>
      </c>
      <c r="T27" s="19"/>
      <c r="U27" s="177"/>
      <c r="V27" s="178"/>
      <c r="W27" s="179"/>
    </row>
    <row r="28" spans="1:23" ht="14.55" customHeight="1" x14ac:dyDescent="0.3">
      <c r="A28" s="163" t="s">
        <v>34</v>
      </c>
      <c r="B28" s="5">
        <v>0.33333333333333331</v>
      </c>
      <c r="C28" s="5"/>
      <c r="D28" s="110">
        <v>131025</v>
      </c>
      <c r="E28" s="12" t="s">
        <v>486</v>
      </c>
      <c r="F28" s="40">
        <v>304</v>
      </c>
      <c r="G28" s="41">
        <v>0.6</v>
      </c>
      <c r="H28" s="40">
        <v>327</v>
      </c>
      <c r="I28" s="12">
        <v>7</v>
      </c>
      <c r="J28" s="165"/>
      <c r="K28" s="166"/>
      <c r="L28" s="165"/>
      <c r="M28" s="166"/>
      <c r="N28" s="165"/>
      <c r="O28" s="166"/>
      <c r="P28" s="165">
        <v>700</v>
      </c>
      <c r="Q28" s="166"/>
      <c r="R28" s="108"/>
      <c r="S28" s="14" t="s">
        <v>20</v>
      </c>
      <c r="T28" s="42"/>
      <c r="U28" s="177"/>
      <c r="V28" s="178"/>
      <c r="W28" s="179"/>
    </row>
    <row r="29" spans="1:23" ht="14.55" customHeight="1" x14ac:dyDescent="0.3">
      <c r="A29" s="163"/>
      <c r="B29" s="5"/>
      <c r="C29" s="5"/>
      <c r="D29" s="4" t="s">
        <v>248</v>
      </c>
      <c r="E29" s="12" t="s">
        <v>520</v>
      </c>
      <c r="F29" s="40">
        <v>304</v>
      </c>
      <c r="G29" s="41">
        <v>0.6</v>
      </c>
      <c r="H29" s="40"/>
      <c r="I29" s="12">
        <v>7</v>
      </c>
      <c r="J29" s="165">
        <v>10</v>
      </c>
      <c r="K29" s="166"/>
      <c r="L29" s="165"/>
      <c r="M29" s="166"/>
      <c r="N29" s="165"/>
      <c r="O29" s="166"/>
      <c r="P29" s="165"/>
      <c r="Q29" s="166"/>
      <c r="R29" s="108">
        <v>40</v>
      </c>
      <c r="S29" s="14" t="s">
        <v>20</v>
      </c>
      <c r="T29" s="42" t="s">
        <v>93</v>
      </c>
      <c r="U29" s="177"/>
      <c r="V29" s="178"/>
      <c r="W29" s="179"/>
    </row>
    <row r="30" spans="1:23" ht="14.55" customHeight="1" x14ac:dyDescent="0.3">
      <c r="A30" s="163"/>
      <c r="B30" s="5"/>
      <c r="C30" s="5"/>
      <c r="D30" s="4" t="s">
        <v>248</v>
      </c>
      <c r="E30" s="12" t="s">
        <v>521</v>
      </c>
      <c r="F30" s="40">
        <v>304</v>
      </c>
      <c r="G30" s="41">
        <v>0.6</v>
      </c>
      <c r="H30" s="40"/>
      <c r="I30" s="12">
        <v>7</v>
      </c>
      <c r="J30" s="165">
        <v>10</v>
      </c>
      <c r="K30" s="166"/>
      <c r="L30" s="165"/>
      <c r="M30" s="166"/>
      <c r="N30" s="165"/>
      <c r="O30" s="166"/>
      <c r="P30" s="165"/>
      <c r="Q30" s="166"/>
      <c r="R30" s="108">
        <v>40</v>
      </c>
      <c r="S30" s="14" t="s">
        <v>20</v>
      </c>
      <c r="T30" s="42" t="s">
        <v>93</v>
      </c>
      <c r="U30" s="177"/>
      <c r="V30" s="178"/>
      <c r="W30" s="179"/>
    </row>
    <row r="31" spans="1:23" ht="14.4" customHeight="1" x14ac:dyDescent="0.3">
      <c r="A31" s="163"/>
      <c r="B31" s="5"/>
      <c r="C31" s="5">
        <v>0.70833333333333337</v>
      </c>
      <c r="D31" s="4" t="s">
        <v>248</v>
      </c>
      <c r="E31" s="12" t="s">
        <v>522</v>
      </c>
      <c r="F31" s="40">
        <v>304</v>
      </c>
      <c r="G31" s="41">
        <v>0.6</v>
      </c>
      <c r="H31" s="40"/>
      <c r="I31" s="12">
        <v>7</v>
      </c>
      <c r="J31" s="165">
        <v>10</v>
      </c>
      <c r="K31" s="166"/>
      <c r="L31" s="165"/>
      <c r="M31" s="166"/>
      <c r="N31" s="165"/>
      <c r="O31" s="166"/>
      <c r="P31" s="165"/>
      <c r="Q31" s="166"/>
      <c r="R31" s="108">
        <v>40</v>
      </c>
      <c r="S31" s="14" t="s">
        <v>20</v>
      </c>
      <c r="T31" s="42" t="s">
        <v>93</v>
      </c>
      <c r="U31" s="177"/>
      <c r="V31" s="178"/>
      <c r="W31" s="179"/>
    </row>
    <row r="32" spans="1:23" ht="14.55" customHeight="1" x14ac:dyDescent="0.3">
      <c r="A32" s="163"/>
      <c r="B32" s="5"/>
      <c r="C32" s="5"/>
      <c r="D32" s="4"/>
      <c r="E32" s="12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108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64"/>
      <c r="B33" s="19"/>
      <c r="C33" s="19"/>
      <c r="D33" s="20"/>
      <c r="E33" s="170" t="s">
        <v>0</v>
      </c>
      <c r="F33" s="171"/>
      <c r="G33" s="171"/>
      <c r="H33" s="171"/>
      <c r="I33" s="172"/>
      <c r="J33" s="173">
        <f>SUM(J28:K32)</f>
        <v>30</v>
      </c>
      <c r="K33" s="174"/>
      <c r="L33" s="173">
        <f>SUM(L28:M32)</f>
        <v>0</v>
      </c>
      <c r="M33" s="174"/>
      <c r="N33" s="173">
        <f>SUM(N28:O32)</f>
        <v>0</v>
      </c>
      <c r="O33" s="174"/>
      <c r="P33" s="173">
        <f>SUM(P28:Q32)</f>
        <v>700</v>
      </c>
      <c r="Q33" s="174"/>
      <c r="R33" s="23">
        <f>SUM(R28:R32)</f>
        <v>120</v>
      </c>
      <c r="S33" s="24" t="s">
        <v>20</v>
      </c>
      <c r="T33" s="19"/>
      <c r="U33" s="177"/>
      <c r="V33" s="178"/>
      <c r="W33" s="179"/>
    </row>
    <row r="34" spans="1:23" ht="14.55" customHeight="1" x14ac:dyDescent="0.3">
      <c r="A34" s="163" t="s">
        <v>35</v>
      </c>
      <c r="B34" s="5">
        <v>0.33333333333333331</v>
      </c>
      <c r="C34" s="5"/>
      <c r="D34" s="110">
        <v>230925</v>
      </c>
      <c r="E34" s="12" t="s">
        <v>456</v>
      </c>
      <c r="F34" s="40">
        <v>430</v>
      </c>
      <c r="G34" s="41">
        <v>0.8</v>
      </c>
      <c r="H34" s="40">
        <v>425</v>
      </c>
      <c r="I34" s="12"/>
      <c r="J34" s="165"/>
      <c r="K34" s="166"/>
      <c r="L34" s="165"/>
      <c r="M34" s="166"/>
      <c r="N34" s="165">
        <v>150</v>
      </c>
      <c r="O34" s="166"/>
      <c r="P34" s="165"/>
      <c r="Q34" s="166"/>
      <c r="R34" s="108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63"/>
      <c r="B35" s="5"/>
      <c r="C35" s="5"/>
      <c r="D35" s="110">
        <v>131025</v>
      </c>
      <c r="E35" s="12" t="s">
        <v>523</v>
      </c>
      <c r="F35" s="40">
        <v>304</v>
      </c>
      <c r="G35" s="41">
        <v>0.9</v>
      </c>
      <c r="H35" s="40">
        <v>43</v>
      </c>
      <c r="I35" s="12"/>
      <c r="J35" s="165"/>
      <c r="K35" s="166"/>
      <c r="L35" s="165"/>
      <c r="M35" s="166"/>
      <c r="N35" s="165"/>
      <c r="O35" s="166"/>
      <c r="P35" s="165">
        <v>850</v>
      </c>
      <c r="Q35" s="166"/>
      <c r="R35" s="108">
        <v>120</v>
      </c>
      <c r="S35" s="14" t="s">
        <v>20</v>
      </c>
      <c r="T35" s="42" t="s">
        <v>524</v>
      </c>
      <c r="U35" s="177"/>
      <c r="V35" s="178"/>
      <c r="W35" s="179"/>
    </row>
    <row r="36" spans="1:23" ht="14.55" customHeight="1" x14ac:dyDescent="0.3">
      <c r="A36" s="163"/>
      <c r="B36" s="5"/>
      <c r="C36" s="5"/>
      <c r="D36" s="4"/>
      <c r="E36" s="12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108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63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108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63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108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3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108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63"/>
      <c r="B40" s="5"/>
      <c r="C40" s="5"/>
      <c r="D40" s="4"/>
      <c r="E40" s="12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108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108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108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4"/>
      <c r="B43" s="19"/>
      <c r="C43" s="19"/>
      <c r="D43" s="20"/>
      <c r="E43" s="170" t="s">
        <v>0</v>
      </c>
      <c r="F43" s="171"/>
      <c r="G43" s="171"/>
      <c r="H43" s="171"/>
      <c r="I43" s="172"/>
      <c r="J43" s="173">
        <f>SUM(J34:K42)</f>
        <v>0</v>
      </c>
      <c r="K43" s="174"/>
      <c r="L43" s="173">
        <f>SUM(L34:M42)</f>
        <v>0</v>
      </c>
      <c r="M43" s="174"/>
      <c r="N43" s="173">
        <f>SUM(N34:O42)</f>
        <v>150</v>
      </c>
      <c r="O43" s="174"/>
      <c r="P43" s="173">
        <f>SUM(P34:Q42)</f>
        <v>850</v>
      </c>
      <c r="Q43" s="174"/>
      <c r="R43" s="23">
        <f>SUM(R34:R42)</f>
        <v>120</v>
      </c>
      <c r="S43" s="24" t="s">
        <v>20</v>
      </c>
      <c r="T43" s="19"/>
      <c r="U43" s="177"/>
      <c r="V43" s="178"/>
      <c r="W43" s="179"/>
    </row>
    <row r="44" spans="1:23" ht="14.55" customHeight="1" x14ac:dyDescent="0.3">
      <c r="A44" s="27"/>
      <c r="B44" s="27"/>
      <c r="C44" s="27"/>
      <c r="D44" s="27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27"/>
      <c r="S44" s="27"/>
      <c r="T44" s="39"/>
      <c r="U44" s="39"/>
      <c r="V44" s="39"/>
      <c r="W44" s="39"/>
    </row>
    <row r="45" spans="1:23" x14ac:dyDescent="0.3">
      <c r="E45" s="170" t="s">
        <v>31</v>
      </c>
      <c r="F45" s="171"/>
      <c r="G45" s="171"/>
      <c r="H45" s="171"/>
      <c r="I45" s="172"/>
      <c r="J45" s="175" t="s">
        <v>7</v>
      </c>
      <c r="K45" s="176"/>
      <c r="L45" s="175" t="s">
        <v>8</v>
      </c>
      <c r="M45" s="176"/>
      <c r="N45" s="175" t="s">
        <v>9</v>
      </c>
      <c r="O45" s="176"/>
      <c r="P45" s="175" t="s">
        <v>117</v>
      </c>
      <c r="Q45" s="176"/>
    </row>
    <row r="46" spans="1:23" s="2" customFormat="1" x14ac:dyDescent="0.3">
      <c r="E46" s="15"/>
      <c r="F46" s="15"/>
      <c r="G46" s="15"/>
      <c r="H46" s="15"/>
      <c r="I46" s="15"/>
      <c r="J46" s="30">
        <f>J27+J33+J43</f>
        <v>30</v>
      </c>
      <c r="K46" s="31" t="s">
        <v>17</v>
      </c>
      <c r="L46" s="30">
        <f>L27+L33+L43</f>
        <v>1120</v>
      </c>
      <c r="M46" s="31" t="s">
        <v>17</v>
      </c>
      <c r="N46" s="30">
        <f>N27+N33+N43</f>
        <v>150</v>
      </c>
      <c r="O46" s="31" t="s">
        <v>17</v>
      </c>
      <c r="P46" s="30">
        <f>P27+P33+P43</f>
        <v>1550</v>
      </c>
      <c r="Q46" s="34" t="s">
        <v>17</v>
      </c>
    </row>
    <row r="47" spans="1:23" ht="24.45" customHeight="1" x14ac:dyDescent="0.3">
      <c r="E47" s="28"/>
      <c r="F47" s="28"/>
      <c r="G47" s="28"/>
      <c r="H47" s="28"/>
      <c r="I47" s="28"/>
      <c r="J47" s="167">
        <f>J46+L46+N46+P46</f>
        <v>2850</v>
      </c>
      <c r="K47" s="168"/>
      <c r="L47" s="168"/>
      <c r="M47" s="168"/>
      <c r="N47" s="168"/>
      <c r="O47" s="168"/>
      <c r="P47" s="168"/>
      <c r="Q47" s="169"/>
    </row>
    <row r="48" spans="1:23" ht="30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spans="1:23" s="37" customFormat="1" ht="19.95" customHeight="1" x14ac:dyDescent="0.4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214" t="s">
        <v>14</v>
      </c>
      <c r="R49" s="215"/>
      <c r="S49" s="216"/>
      <c r="T49" s="184">
        <f>T3</f>
        <v>45946</v>
      </c>
      <c r="U49" s="185"/>
      <c r="V49" s="185"/>
      <c r="W49" s="186"/>
    </row>
    <row r="50" spans="1:23" s="16" customFormat="1" ht="30" customHeight="1" x14ac:dyDescent="0.3">
      <c r="A50" s="187" t="s">
        <v>26</v>
      </c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9"/>
      <c r="Q50" s="189"/>
      <c r="R50" s="189"/>
      <c r="S50" s="189"/>
      <c r="T50" s="188"/>
      <c r="U50" s="188"/>
      <c r="V50" s="188"/>
      <c r="W50" s="190"/>
    </row>
    <row r="51" spans="1:23" s="26" customFormat="1" ht="13.8" x14ac:dyDescent="0.3">
      <c r="A51" s="191" t="s">
        <v>1</v>
      </c>
      <c r="B51" s="192" t="s">
        <v>2</v>
      </c>
      <c r="C51" s="192" t="s">
        <v>3</v>
      </c>
      <c r="D51" s="192" t="s">
        <v>4</v>
      </c>
      <c r="E51" s="193" t="s">
        <v>5</v>
      </c>
      <c r="F51" s="197"/>
      <c r="G51" s="197"/>
      <c r="H51" s="197"/>
      <c r="I51" s="198"/>
      <c r="J51" s="193" t="s">
        <v>6</v>
      </c>
      <c r="K51" s="197"/>
      <c r="L51" s="197"/>
      <c r="M51" s="197"/>
      <c r="N51" s="197"/>
      <c r="O51" s="197"/>
      <c r="P51" s="197"/>
      <c r="Q51" s="198"/>
      <c r="R51" s="193" t="s">
        <v>10</v>
      </c>
      <c r="S51" s="198"/>
      <c r="T51" s="191" t="s">
        <v>11</v>
      </c>
      <c r="U51" s="191" t="s">
        <v>12</v>
      </c>
      <c r="V51" s="191"/>
      <c r="W51" s="191"/>
    </row>
    <row r="52" spans="1:23" s="26" customFormat="1" ht="13.8" x14ac:dyDescent="0.3">
      <c r="A52" s="191"/>
      <c r="B52" s="192"/>
      <c r="C52" s="192"/>
      <c r="D52" s="192"/>
      <c r="E52" s="194"/>
      <c r="F52" s="217"/>
      <c r="G52" s="217"/>
      <c r="H52" s="217"/>
      <c r="I52" s="199"/>
      <c r="J52" s="200" t="s">
        <v>7</v>
      </c>
      <c r="K52" s="201"/>
      <c r="L52" s="200" t="s">
        <v>8</v>
      </c>
      <c r="M52" s="201"/>
      <c r="N52" s="200" t="s">
        <v>9</v>
      </c>
      <c r="O52" s="201"/>
      <c r="P52" s="200" t="s">
        <v>117</v>
      </c>
      <c r="Q52" s="201"/>
      <c r="R52" s="194"/>
      <c r="S52" s="199"/>
      <c r="T52" s="191"/>
      <c r="U52" s="191"/>
      <c r="V52" s="191"/>
      <c r="W52" s="191"/>
    </row>
    <row r="53" spans="1:23" x14ac:dyDescent="0.3">
      <c r="A53" s="180" t="s">
        <v>13</v>
      </c>
      <c r="B53" s="5">
        <v>0.33333333333333331</v>
      </c>
      <c r="C53" s="5"/>
      <c r="D53" s="4">
        <v>250061</v>
      </c>
      <c r="E53" s="211" t="s">
        <v>525</v>
      </c>
      <c r="F53" s="212"/>
      <c r="G53" s="212"/>
      <c r="H53" s="212"/>
      <c r="I53" s="213"/>
      <c r="J53" s="165">
        <v>80</v>
      </c>
      <c r="K53" s="166"/>
      <c r="L53" s="165"/>
      <c r="M53" s="166"/>
      <c r="N53" s="165"/>
      <c r="O53" s="166"/>
      <c r="P53" s="165"/>
      <c r="Q53" s="166"/>
      <c r="R53" s="108"/>
      <c r="S53" s="6" t="s">
        <v>20</v>
      </c>
      <c r="T53" s="3"/>
      <c r="U53" s="202"/>
      <c r="V53" s="203"/>
      <c r="W53" s="204"/>
    </row>
    <row r="54" spans="1:23" x14ac:dyDescent="0.3">
      <c r="A54" s="163"/>
      <c r="B54" s="5"/>
      <c r="C54" s="5"/>
      <c r="D54" s="4">
        <v>250057</v>
      </c>
      <c r="E54" s="211" t="s">
        <v>525</v>
      </c>
      <c r="F54" s="212"/>
      <c r="G54" s="212"/>
      <c r="H54" s="212"/>
      <c r="I54" s="213"/>
      <c r="J54" s="165">
        <v>395</v>
      </c>
      <c r="K54" s="166"/>
      <c r="L54" s="165"/>
      <c r="M54" s="166"/>
      <c r="N54" s="165"/>
      <c r="O54" s="166"/>
      <c r="P54" s="165"/>
      <c r="Q54" s="166"/>
      <c r="R54" s="108">
        <v>60</v>
      </c>
      <c r="S54" s="6" t="s">
        <v>20</v>
      </c>
      <c r="T54" s="3" t="s">
        <v>163</v>
      </c>
      <c r="U54" s="205"/>
      <c r="V54" s="206"/>
      <c r="W54" s="207"/>
    </row>
    <row r="55" spans="1:23" x14ac:dyDescent="0.3">
      <c r="A55" s="163"/>
      <c r="B55" s="5"/>
      <c r="C55" s="5"/>
      <c r="D55" s="4">
        <v>250055</v>
      </c>
      <c r="E55" s="211" t="s">
        <v>525</v>
      </c>
      <c r="F55" s="212"/>
      <c r="G55" s="212"/>
      <c r="H55" s="212"/>
      <c r="I55" s="213"/>
      <c r="J55" s="165">
        <v>832</v>
      </c>
      <c r="K55" s="166"/>
      <c r="L55" s="165"/>
      <c r="M55" s="166"/>
      <c r="N55" s="165"/>
      <c r="O55" s="166"/>
      <c r="P55" s="165"/>
      <c r="Q55" s="166"/>
      <c r="R55" s="108"/>
      <c r="S55" s="6" t="s">
        <v>20</v>
      </c>
      <c r="T55" s="3"/>
      <c r="U55" s="205"/>
      <c r="V55" s="206"/>
      <c r="W55" s="207"/>
    </row>
    <row r="56" spans="1:23" x14ac:dyDescent="0.3">
      <c r="A56" s="163"/>
      <c r="B56" s="5"/>
      <c r="C56" s="5"/>
      <c r="D56" s="4">
        <v>250061</v>
      </c>
      <c r="E56" s="211" t="s">
        <v>526</v>
      </c>
      <c r="F56" s="212"/>
      <c r="G56" s="212"/>
      <c r="H56" s="212"/>
      <c r="I56" s="213"/>
      <c r="J56" s="165">
        <v>20</v>
      </c>
      <c r="K56" s="166"/>
      <c r="L56" s="165"/>
      <c r="M56" s="166"/>
      <c r="N56" s="165"/>
      <c r="O56" s="166"/>
      <c r="P56" s="165"/>
      <c r="Q56" s="166"/>
      <c r="R56" s="108">
        <v>45</v>
      </c>
      <c r="S56" s="6" t="s">
        <v>20</v>
      </c>
      <c r="T56" s="3" t="s">
        <v>93</v>
      </c>
      <c r="U56" s="205"/>
      <c r="V56" s="206"/>
      <c r="W56" s="207"/>
    </row>
    <row r="57" spans="1:23" x14ac:dyDescent="0.3">
      <c r="A57" s="163"/>
      <c r="B57" s="5"/>
      <c r="C57" s="5"/>
      <c r="D57" s="4">
        <v>250057</v>
      </c>
      <c r="E57" s="211" t="s">
        <v>526</v>
      </c>
      <c r="F57" s="212"/>
      <c r="G57" s="212"/>
      <c r="H57" s="212"/>
      <c r="I57" s="213"/>
      <c r="J57" s="165">
        <v>20</v>
      </c>
      <c r="K57" s="166"/>
      <c r="L57" s="165"/>
      <c r="M57" s="166"/>
      <c r="N57" s="165"/>
      <c r="O57" s="166"/>
      <c r="P57" s="165"/>
      <c r="Q57" s="166"/>
      <c r="R57" s="108"/>
      <c r="S57" s="6" t="s">
        <v>20</v>
      </c>
      <c r="T57" s="3"/>
      <c r="U57" s="205"/>
      <c r="V57" s="206"/>
      <c r="W57" s="207"/>
    </row>
    <row r="58" spans="1:23" x14ac:dyDescent="0.3">
      <c r="A58" s="163"/>
      <c r="B58" s="5"/>
      <c r="C58" s="5"/>
      <c r="D58" s="4">
        <v>250055</v>
      </c>
      <c r="E58" s="211" t="s">
        <v>526</v>
      </c>
      <c r="F58" s="212"/>
      <c r="G58" s="212"/>
      <c r="H58" s="212"/>
      <c r="I58" s="213"/>
      <c r="J58" s="165">
        <v>22</v>
      </c>
      <c r="K58" s="166"/>
      <c r="L58" s="165"/>
      <c r="M58" s="166"/>
      <c r="N58" s="165"/>
      <c r="O58" s="166"/>
      <c r="P58" s="165"/>
      <c r="Q58" s="166"/>
      <c r="R58" s="108"/>
      <c r="S58" s="6" t="s">
        <v>20</v>
      </c>
      <c r="T58" s="3"/>
      <c r="U58" s="205"/>
      <c r="V58" s="206"/>
      <c r="W58" s="207"/>
    </row>
    <row r="59" spans="1:23" ht="15.6" x14ac:dyDescent="0.3">
      <c r="A59" s="163"/>
      <c r="B59" s="5"/>
      <c r="C59" s="5"/>
      <c r="D59" s="113">
        <v>250052</v>
      </c>
      <c r="E59" s="211" t="s">
        <v>526</v>
      </c>
      <c r="F59" s="212"/>
      <c r="G59" s="212"/>
      <c r="H59" s="212"/>
      <c r="I59" s="213"/>
      <c r="J59" s="165">
        <v>807</v>
      </c>
      <c r="K59" s="166"/>
      <c r="L59" s="165"/>
      <c r="M59" s="166"/>
      <c r="N59" s="165"/>
      <c r="O59" s="166"/>
      <c r="P59" s="165"/>
      <c r="Q59" s="166"/>
      <c r="R59" s="111"/>
      <c r="S59" s="6" t="s">
        <v>20</v>
      </c>
      <c r="T59" s="3"/>
      <c r="U59" s="205"/>
      <c r="V59" s="206"/>
      <c r="W59" s="207"/>
    </row>
    <row r="60" spans="1:23" ht="15.6" x14ac:dyDescent="0.3">
      <c r="A60" s="163"/>
      <c r="B60" s="5"/>
      <c r="C60" s="5"/>
      <c r="D60" s="113">
        <v>250055</v>
      </c>
      <c r="E60" s="211" t="s">
        <v>526</v>
      </c>
      <c r="F60" s="212"/>
      <c r="G60" s="212"/>
      <c r="H60" s="212"/>
      <c r="I60" s="213"/>
      <c r="J60" s="165">
        <v>815</v>
      </c>
      <c r="K60" s="166"/>
      <c r="L60" s="165"/>
      <c r="M60" s="166"/>
      <c r="N60" s="165"/>
      <c r="O60" s="166"/>
      <c r="P60" s="165"/>
      <c r="Q60" s="166"/>
      <c r="R60" s="111"/>
      <c r="S60" s="6" t="s">
        <v>20</v>
      </c>
      <c r="T60" s="3"/>
      <c r="U60" s="205"/>
      <c r="V60" s="206"/>
      <c r="W60" s="207"/>
    </row>
    <row r="61" spans="1:23" ht="15.6" x14ac:dyDescent="0.3">
      <c r="A61" s="163"/>
      <c r="B61" s="5"/>
      <c r="C61" s="5"/>
      <c r="D61" s="113">
        <v>250057</v>
      </c>
      <c r="E61" s="211" t="s">
        <v>526</v>
      </c>
      <c r="F61" s="212"/>
      <c r="G61" s="212"/>
      <c r="H61" s="212"/>
      <c r="I61" s="213"/>
      <c r="J61" s="165">
        <v>395</v>
      </c>
      <c r="K61" s="166"/>
      <c r="L61" s="165"/>
      <c r="M61" s="166"/>
      <c r="N61" s="165"/>
      <c r="O61" s="166"/>
      <c r="P61" s="165"/>
      <c r="Q61" s="166"/>
      <c r="R61" s="111"/>
      <c r="S61" s="6" t="s">
        <v>20</v>
      </c>
      <c r="T61" s="3"/>
      <c r="U61" s="205"/>
      <c r="V61" s="206"/>
      <c r="W61" s="207"/>
    </row>
    <row r="62" spans="1:23" ht="15.6" x14ac:dyDescent="0.3">
      <c r="A62" s="163"/>
      <c r="B62" s="5"/>
      <c r="C62" s="5">
        <v>0.70833333333333337</v>
      </c>
      <c r="D62" s="113">
        <v>250061</v>
      </c>
      <c r="E62" s="211" t="s">
        <v>526</v>
      </c>
      <c r="F62" s="212"/>
      <c r="G62" s="212"/>
      <c r="H62" s="212"/>
      <c r="I62" s="213"/>
      <c r="J62" s="165">
        <v>525</v>
      </c>
      <c r="K62" s="166"/>
      <c r="L62" s="165"/>
      <c r="M62" s="166"/>
      <c r="N62" s="165"/>
      <c r="O62" s="166"/>
      <c r="P62" s="165"/>
      <c r="Q62" s="166"/>
      <c r="R62" s="111"/>
      <c r="S62" s="6" t="s">
        <v>20</v>
      </c>
      <c r="T62" s="3"/>
      <c r="U62" s="205"/>
      <c r="V62" s="206"/>
      <c r="W62" s="207"/>
    </row>
    <row r="63" spans="1:23" x14ac:dyDescent="0.3">
      <c r="A63" s="163"/>
      <c r="B63" s="5"/>
      <c r="C63" s="5"/>
      <c r="D63" s="4"/>
      <c r="E63" s="211"/>
      <c r="F63" s="212"/>
      <c r="G63" s="212"/>
      <c r="H63" s="212"/>
      <c r="I63" s="213"/>
      <c r="J63" s="165"/>
      <c r="K63" s="166"/>
      <c r="L63" s="165"/>
      <c r="M63" s="166"/>
      <c r="N63" s="165"/>
      <c r="O63" s="166"/>
      <c r="P63" s="165"/>
      <c r="Q63" s="166"/>
      <c r="R63" s="108"/>
      <c r="S63" s="6" t="s">
        <v>20</v>
      </c>
      <c r="T63" s="3"/>
      <c r="U63" s="205"/>
      <c r="V63" s="206"/>
      <c r="W63" s="207"/>
    </row>
    <row r="64" spans="1:23" x14ac:dyDescent="0.3">
      <c r="A64" s="164"/>
      <c r="B64" s="19"/>
      <c r="C64" s="19"/>
      <c r="D64" s="20"/>
      <c r="E64" s="170" t="s">
        <v>0</v>
      </c>
      <c r="F64" s="171"/>
      <c r="G64" s="171"/>
      <c r="H64" s="171"/>
      <c r="I64" s="172"/>
      <c r="J64" s="173">
        <f>SUM(J53:J63)</f>
        <v>3911</v>
      </c>
      <c r="K64" s="174"/>
      <c r="L64" s="173">
        <f>SUM(L53:L63)</f>
        <v>0</v>
      </c>
      <c r="M64" s="174"/>
      <c r="N64" s="173">
        <f>SUM(N53:N63)</f>
        <v>0</v>
      </c>
      <c r="O64" s="174"/>
      <c r="P64" s="173">
        <f>SUM(P53:P63)</f>
        <v>0</v>
      </c>
      <c r="Q64" s="174"/>
      <c r="R64" s="23">
        <f>SUM(R53:R63)</f>
        <v>105</v>
      </c>
      <c r="S64" s="24" t="s">
        <v>20</v>
      </c>
      <c r="T64" s="19"/>
      <c r="U64" s="208"/>
      <c r="V64" s="209"/>
      <c r="W64" s="210"/>
    </row>
    <row r="65" spans="1:23" x14ac:dyDescent="0.3">
      <c r="A65" s="180" t="s">
        <v>15</v>
      </c>
      <c r="B65" s="5"/>
      <c r="C65" s="5"/>
      <c r="D65" s="4"/>
      <c r="E65" s="211"/>
      <c r="F65" s="212"/>
      <c r="G65" s="212"/>
      <c r="H65" s="212"/>
      <c r="I65" s="213"/>
      <c r="J65" s="165"/>
      <c r="K65" s="166"/>
      <c r="L65" s="165"/>
      <c r="M65" s="166"/>
      <c r="N65" s="165"/>
      <c r="O65" s="166"/>
      <c r="P65" s="165"/>
      <c r="Q65" s="166"/>
      <c r="R65" s="108"/>
      <c r="S65" s="6" t="s">
        <v>20</v>
      </c>
      <c r="T65" s="3"/>
      <c r="U65" s="202"/>
      <c r="V65" s="203"/>
      <c r="W65" s="204"/>
    </row>
    <row r="66" spans="1:23" x14ac:dyDescent="0.3">
      <c r="A66" s="163"/>
      <c r="B66" s="5"/>
      <c r="C66" s="5"/>
      <c r="D66" s="4"/>
      <c r="E66" s="211"/>
      <c r="F66" s="212"/>
      <c r="G66" s="212"/>
      <c r="H66" s="212"/>
      <c r="I66" s="213"/>
      <c r="J66" s="165"/>
      <c r="K66" s="166"/>
      <c r="L66" s="165"/>
      <c r="M66" s="166"/>
      <c r="N66" s="165"/>
      <c r="O66" s="166"/>
      <c r="P66" s="165"/>
      <c r="Q66" s="166"/>
      <c r="R66" s="108"/>
      <c r="S66" s="6" t="s">
        <v>20</v>
      </c>
      <c r="T66" s="3"/>
      <c r="U66" s="205"/>
      <c r="V66" s="206"/>
      <c r="W66" s="207"/>
    </row>
    <row r="67" spans="1:23" x14ac:dyDescent="0.3">
      <c r="A67" s="163"/>
      <c r="B67" s="5"/>
      <c r="C67" s="5"/>
      <c r="D67" s="4"/>
      <c r="E67" s="211"/>
      <c r="F67" s="212"/>
      <c r="G67" s="212"/>
      <c r="H67" s="212"/>
      <c r="I67" s="213"/>
      <c r="J67" s="165"/>
      <c r="K67" s="166"/>
      <c r="L67" s="165"/>
      <c r="M67" s="166"/>
      <c r="N67" s="165"/>
      <c r="O67" s="166"/>
      <c r="P67" s="165"/>
      <c r="Q67" s="166"/>
      <c r="R67" s="108"/>
      <c r="S67" s="6" t="s">
        <v>20</v>
      </c>
      <c r="T67" s="3"/>
      <c r="U67" s="205"/>
      <c r="V67" s="206"/>
      <c r="W67" s="207"/>
    </row>
    <row r="68" spans="1:23" x14ac:dyDescent="0.3">
      <c r="A68" s="164"/>
      <c r="B68" s="19"/>
      <c r="C68" s="19"/>
      <c r="D68" s="20"/>
      <c r="E68" s="170" t="s">
        <v>0</v>
      </c>
      <c r="F68" s="171"/>
      <c r="G68" s="171"/>
      <c r="H68" s="171"/>
      <c r="I68" s="172"/>
      <c r="J68" s="173">
        <f>SUM(J65:J67)</f>
        <v>0</v>
      </c>
      <c r="K68" s="174"/>
      <c r="L68" s="173">
        <f>SUM(L65:L67)</f>
        <v>0</v>
      </c>
      <c r="M68" s="174"/>
      <c r="N68" s="173">
        <f>SUM(N65:N67)</f>
        <v>0</v>
      </c>
      <c r="O68" s="174"/>
      <c r="P68" s="173">
        <f>SUM(P56:P67)</f>
        <v>0</v>
      </c>
      <c r="Q68" s="174"/>
      <c r="R68" s="23">
        <f>SUM(R65:R67)</f>
        <v>0</v>
      </c>
      <c r="S68" s="24" t="s">
        <v>20</v>
      </c>
      <c r="T68" s="7"/>
      <c r="U68" s="208"/>
      <c r="V68" s="209"/>
      <c r="W68" s="210"/>
    </row>
    <row r="69" spans="1:23" x14ac:dyDescent="0.3">
      <c r="E69" s="28"/>
      <c r="F69" s="28"/>
      <c r="G69" s="28"/>
      <c r="H69" s="28"/>
      <c r="I69" s="28"/>
      <c r="J69" s="29"/>
      <c r="K69" s="29"/>
      <c r="L69" s="29"/>
      <c r="M69" s="29"/>
      <c r="N69" s="29"/>
      <c r="O69" s="29"/>
      <c r="P69" s="29"/>
      <c r="Q69" s="29"/>
    </row>
    <row r="70" spans="1:23" x14ac:dyDescent="0.3">
      <c r="E70" s="170" t="s">
        <v>28</v>
      </c>
      <c r="F70" s="171"/>
      <c r="G70" s="171"/>
      <c r="H70" s="171"/>
      <c r="I70" s="172"/>
      <c r="J70" s="175" t="s">
        <v>7</v>
      </c>
      <c r="K70" s="176"/>
      <c r="L70" s="175" t="s">
        <v>8</v>
      </c>
      <c r="M70" s="176"/>
      <c r="N70" s="175" t="s">
        <v>9</v>
      </c>
      <c r="O70" s="176"/>
      <c r="P70" s="175" t="s">
        <v>117</v>
      </c>
      <c r="Q70" s="176"/>
    </row>
    <row r="71" spans="1:23" s="2" customFormat="1" x14ac:dyDescent="0.3">
      <c r="E71" s="15"/>
      <c r="F71" s="15"/>
      <c r="G71" s="15"/>
      <c r="H71" s="15"/>
      <c r="I71" s="15"/>
      <c r="J71" s="30">
        <f>J64+J68</f>
        <v>3911</v>
      </c>
      <c r="K71" s="31" t="s">
        <v>17</v>
      </c>
      <c r="L71" s="32">
        <f>L64+L68</f>
        <v>0</v>
      </c>
      <c r="M71" s="31" t="s">
        <v>17</v>
      </c>
      <c r="N71" s="32">
        <f>N64+N68</f>
        <v>0</v>
      </c>
      <c r="O71" s="31" t="s">
        <v>17</v>
      </c>
      <c r="P71" s="32">
        <f>P64+P68</f>
        <v>0</v>
      </c>
      <c r="Q71" s="34" t="s">
        <v>17</v>
      </c>
    </row>
    <row r="72" spans="1:23" ht="24.45" customHeight="1" x14ac:dyDescent="0.3">
      <c r="E72" s="28"/>
      <c r="F72" s="28"/>
      <c r="G72" s="28"/>
      <c r="H72" s="28"/>
      <c r="I72" s="28"/>
      <c r="J72" s="167">
        <f>J71+L71+N71+P71</f>
        <v>3911</v>
      </c>
      <c r="K72" s="168"/>
      <c r="L72" s="168"/>
      <c r="M72" s="168"/>
      <c r="N72" s="168"/>
      <c r="O72" s="168"/>
      <c r="P72" s="168"/>
      <c r="Q72" s="169"/>
    </row>
  </sheetData>
  <mergeCells count="278">
    <mergeCell ref="E59:I59"/>
    <mergeCell ref="J59:K59"/>
    <mergeCell ref="L59:M59"/>
    <mergeCell ref="N59:O59"/>
    <mergeCell ref="P59:Q59"/>
    <mergeCell ref="E60:I60"/>
    <mergeCell ref="E61:I61"/>
    <mergeCell ref="E62:I62"/>
    <mergeCell ref="J60:K60"/>
    <mergeCell ref="L60:M60"/>
    <mergeCell ref="N60:O60"/>
    <mergeCell ref="P60:Q60"/>
    <mergeCell ref="J61:K61"/>
    <mergeCell ref="L61:M61"/>
    <mergeCell ref="N61:O61"/>
    <mergeCell ref="P61:Q61"/>
    <mergeCell ref="J62:K62"/>
    <mergeCell ref="L62:M62"/>
    <mergeCell ref="N62:O62"/>
    <mergeCell ref="P62:Q62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A7:A15"/>
    <mergeCell ref="J7:K7"/>
    <mergeCell ref="L7:M7"/>
    <mergeCell ref="N7:O7"/>
    <mergeCell ref="P7:Q7"/>
    <mergeCell ref="U7:W15"/>
    <mergeCell ref="J8:K8"/>
    <mergeCell ref="L8:M8"/>
    <mergeCell ref="N8:O8"/>
    <mergeCell ref="P8:Q8"/>
    <mergeCell ref="J11:K11"/>
    <mergeCell ref="L11:M11"/>
    <mergeCell ref="N11:O11"/>
    <mergeCell ref="P11:Q11"/>
    <mergeCell ref="J12:K12"/>
    <mergeCell ref="L12:M12"/>
    <mergeCell ref="N12:O12"/>
    <mergeCell ref="P12:Q12"/>
    <mergeCell ref="J9:K9"/>
    <mergeCell ref="L9:M9"/>
    <mergeCell ref="N9:O9"/>
    <mergeCell ref="P9:Q9"/>
    <mergeCell ref="J10:K10"/>
    <mergeCell ref="L10:M10"/>
    <mergeCell ref="N10:O10"/>
    <mergeCell ref="P10:Q10"/>
    <mergeCell ref="B15:I15"/>
    <mergeCell ref="E17:I17"/>
    <mergeCell ref="J17:K17"/>
    <mergeCell ref="L17:M17"/>
    <mergeCell ref="N17:O17"/>
    <mergeCell ref="P17:Q17"/>
    <mergeCell ref="J13:K13"/>
    <mergeCell ref="L13:M13"/>
    <mergeCell ref="N13:O13"/>
    <mergeCell ref="P13:Q13"/>
    <mergeCell ref="J14:K14"/>
    <mergeCell ref="L14:M14"/>
    <mergeCell ref="N14:O14"/>
    <mergeCell ref="P14:Q14"/>
    <mergeCell ref="G23:G24"/>
    <mergeCell ref="H23:H24"/>
    <mergeCell ref="I23:I24"/>
    <mergeCell ref="J23:Q23"/>
    <mergeCell ref="R23:S24"/>
    <mergeCell ref="T23:T24"/>
    <mergeCell ref="J19:Q19"/>
    <mergeCell ref="Q21:S21"/>
    <mergeCell ref="T21:W21"/>
    <mergeCell ref="A22:W22"/>
    <mergeCell ref="A23:A24"/>
    <mergeCell ref="B23:B24"/>
    <mergeCell ref="C23:C24"/>
    <mergeCell ref="D23:D24"/>
    <mergeCell ref="E23:E24"/>
    <mergeCell ref="F23:F24"/>
    <mergeCell ref="U25:W27"/>
    <mergeCell ref="U23:W24"/>
    <mergeCell ref="J24:K24"/>
    <mergeCell ref="L24:M24"/>
    <mergeCell ref="N24:O24"/>
    <mergeCell ref="P24:Q24"/>
    <mergeCell ref="J25:K25"/>
    <mergeCell ref="L25:M25"/>
    <mergeCell ref="N25:O25"/>
    <mergeCell ref="P25:Q25"/>
    <mergeCell ref="E27:I27"/>
    <mergeCell ref="J27:K27"/>
    <mergeCell ref="L27:M27"/>
    <mergeCell ref="N27:O27"/>
    <mergeCell ref="P27:Q27"/>
    <mergeCell ref="A28:A33"/>
    <mergeCell ref="J28:K28"/>
    <mergeCell ref="L28:M28"/>
    <mergeCell ref="N28:O28"/>
    <mergeCell ref="P28:Q28"/>
    <mergeCell ref="A25:A27"/>
    <mergeCell ref="J32:K32"/>
    <mergeCell ref="L32:M32"/>
    <mergeCell ref="N32:O32"/>
    <mergeCell ref="P32:Q32"/>
    <mergeCell ref="L31:M31"/>
    <mergeCell ref="N31:O31"/>
    <mergeCell ref="P31:Q31"/>
    <mergeCell ref="E33:I33"/>
    <mergeCell ref="J26:K26"/>
    <mergeCell ref="L26:M26"/>
    <mergeCell ref="N26:O26"/>
    <mergeCell ref="P26:Q26"/>
    <mergeCell ref="U28:W33"/>
    <mergeCell ref="J29:K29"/>
    <mergeCell ref="L29:M29"/>
    <mergeCell ref="N29:O29"/>
    <mergeCell ref="P29:Q29"/>
    <mergeCell ref="J30:K30"/>
    <mergeCell ref="L30:M30"/>
    <mergeCell ref="N30:O30"/>
    <mergeCell ref="P30:Q30"/>
    <mergeCell ref="J31:K31"/>
    <mergeCell ref="J33:K33"/>
    <mergeCell ref="L33:M33"/>
    <mergeCell ref="N33:O33"/>
    <mergeCell ref="P33:Q33"/>
    <mergeCell ref="A34:A43"/>
    <mergeCell ref="J34:K34"/>
    <mergeCell ref="L34:M34"/>
    <mergeCell ref="N34:O34"/>
    <mergeCell ref="P34:Q34"/>
    <mergeCell ref="L37:M37"/>
    <mergeCell ref="N37:O37"/>
    <mergeCell ref="P37:Q37"/>
    <mergeCell ref="J38:K38"/>
    <mergeCell ref="L38:M38"/>
    <mergeCell ref="N38:O38"/>
    <mergeCell ref="P38:Q38"/>
    <mergeCell ref="N40:O40"/>
    <mergeCell ref="P40:Q40"/>
    <mergeCell ref="E43:I43"/>
    <mergeCell ref="J43:K43"/>
    <mergeCell ref="L43:M43"/>
    <mergeCell ref="N43:O43"/>
    <mergeCell ref="P43:Q43"/>
    <mergeCell ref="U34:W43"/>
    <mergeCell ref="J35:K35"/>
    <mergeCell ref="L35:M35"/>
    <mergeCell ref="N35:O35"/>
    <mergeCell ref="P35:Q35"/>
    <mergeCell ref="J36:K36"/>
    <mergeCell ref="L36:M36"/>
    <mergeCell ref="N36:O36"/>
    <mergeCell ref="P36:Q36"/>
    <mergeCell ref="J37:K37"/>
    <mergeCell ref="J41:K41"/>
    <mergeCell ref="L41:M41"/>
    <mergeCell ref="N41:O41"/>
    <mergeCell ref="P41:Q41"/>
    <mergeCell ref="J42:K42"/>
    <mergeCell ref="L42:M42"/>
    <mergeCell ref="N42:O42"/>
    <mergeCell ref="P42:Q42"/>
    <mergeCell ref="J39:K39"/>
    <mergeCell ref="L39:M39"/>
    <mergeCell ref="N39:O39"/>
    <mergeCell ref="P39:Q39"/>
    <mergeCell ref="J40:K40"/>
    <mergeCell ref="L40:M40"/>
    <mergeCell ref="E45:I45"/>
    <mergeCell ref="J45:K45"/>
    <mergeCell ref="L45:M45"/>
    <mergeCell ref="N45:O45"/>
    <mergeCell ref="P45:Q45"/>
    <mergeCell ref="R51:S52"/>
    <mergeCell ref="T51:T52"/>
    <mergeCell ref="U51:W52"/>
    <mergeCell ref="J52:K52"/>
    <mergeCell ref="L52:M52"/>
    <mergeCell ref="N52:O52"/>
    <mergeCell ref="P52:Q52"/>
    <mergeCell ref="J47:Q47"/>
    <mergeCell ref="Q49:S49"/>
    <mergeCell ref="T49:W49"/>
    <mergeCell ref="A50:W50"/>
    <mergeCell ref="A51:A52"/>
    <mergeCell ref="B51:B52"/>
    <mergeCell ref="C51:C52"/>
    <mergeCell ref="D51:D52"/>
    <mergeCell ref="E51:I52"/>
    <mergeCell ref="J51:Q51"/>
    <mergeCell ref="N56:O56"/>
    <mergeCell ref="P56:Q56"/>
    <mergeCell ref="E57:I57"/>
    <mergeCell ref="J57:K57"/>
    <mergeCell ref="L57:M57"/>
    <mergeCell ref="N57:O57"/>
    <mergeCell ref="P57:Q57"/>
    <mergeCell ref="U53:W64"/>
    <mergeCell ref="E54:I54"/>
    <mergeCell ref="J54:K54"/>
    <mergeCell ref="L54:M54"/>
    <mergeCell ref="N54:O54"/>
    <mergeCell ref="P54:Q54"/>
    <mergeCell ref="E55:I55"/>
    <mergeCell ref="J55:K55"/>
    <mergeCell ref="L55:M55"/>
    <mergeCell ref="N55:O55"/>
    <mergeCell ref="E53:I53"/>
    <mergeCell ref="J53:K53"/>
    <mergeCell ref="L53:M53"/>
    <mergeCell ref="N53:O53"/>
    <mergeCell ref="P53:Q53"/>
    <mergeCell ref="P55:Q55"/>
    <mergeCell ref="E56:I56"/>
    <mergeCell ref="E64:I64"/>
    <mergeCell ref="J64:K64"/>
    <mergeCell ref="L64:M64"/>
    <mergeCell ref="N64:O64"/>
    <mergeCell ref="P64:Q64"/>
    <mergeCell ref="A65:A68"/>
    <mergeCell ref="E65:I65"/>
    <mergeCell ref="J65:K65"/>
    <mergeCell ref="L65:M65"/>
    <mergeCell ref="N65:O65"/>
    <mergeCell ref="A53:A64"/>
    <mergeCell ref="J56:K56"/>
    <mergeCell ref="L56:M56"/>
    <mergeCell ref="P65:Q65"/>
    <mergeCell ref="E58:I58"/>
    <mergeCell ref="J58:K58"/>
    <mergeCell ref="L58:M58"/>
    <mergeCell ref="N58:O58"/>
    <mergeCell ref="P58:Q58"/>
    <mergeCell ref="E63:I63"/>
    <mergeCell ref="J63:K63"/>
    <mergeCell ref="L63:M63"/>
    <mergeCell ref="N63:O63"/>
    <mergeCell ref="P63:Q63"/>
    <mergeCell ref="U65:W68"/>
    <mergeCell ref="E66:I66"/>
    <mergeCell ref="J66:K66"/>
    <mergeCell ref="L66:M66"/>
    <mergeCell ref="N66:O66"/>
    <mergeCell ref="P66:Q66"/>
    <mergeCell ref="E67:I67"/>
    <mergeCell ref="J67:K67"/>
    <mergeCell ref="L67:M67"/>
    <mergeCell ref="E70:I70"/>
    <mergeCell ref="J70:K70"/>
    <mergeCell ref="L70:M70"/>
    <mergeCell ref="N70:O70"/>
    <mergeCell ref="P70:Q70"/>
    <mergeCell ref="J72:Q72"/>
    <mergeCell ref="N67:O67"/>
    <mergeCell ref="P67:Q67"/>
    <mergeCell ref="E68:I68"/>
    <mergeCell ref="J68:K68"/>
    <mergeCell ref="L68:M68"/>
    <mergeCell ref="N68:O68"/>
    <mergeCell ref="P68:Q68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W70"/>
  <sheetViews>
    <sheetView zoomScale="85" zoomScaleNormal="85" workbookViewId="0">
      <selection activeCell="L59" sqref="L59:M59"/>
    </sheetView>
  </sheetViews>
  <sheetFormatPr defaultRowHeight="14.4" x14ac:dyDescent="0.3"/>
  <cols>
    <col min="1" max="1" width="12.6640625" customWidth="1"/>
    <col min="2" max="3" width="7.6640625" customWidth="1"/>
    <col min="4" max="4" width="8.88671875" style="8" bestFit="1" customWidth="1"/>
    <col min="5" max="5" width="35.6640625" customWidth="1"/>
    <col min="6" max="6" width="5.6640625" customWidth="1"/>
    <col min="7" max="9" width="6.664062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45947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 t="s">
        <v>102</v>
      </c>
      <c r="E7" s="12" t="s">
        <v>523</v>
      </c>
      <c r="F7" s="17">
        <v>430</v>
      </c>
      <c r="G7" s="17">
        <v>304</v>
      </c>
      <c r="H7" s="18">
        <v>0.9</v>
      </c>
      <c r="I7" s="17">
        <v>30000</v>
      </c>
      <c r="J7" s="165"/>
      <c r="K7" s="166"/>
      <c r="L7" s="165"/>
      <c r="M7" s="166"/>
      <c r="N7" s="165"/>
      <c r="O7" s="166"/>
      <c r="P7" s="165">
        <v>528</v>
      </c>
      <c r="Q7" s="166"/>
      <c r="R7" s="112">
        <v>20</v>
      </c>
      <c r="S7" s="14" t="s">
        <v>20</v>
      </c>
      <c r="T7" s="42" t="s">
        <v>534</v>
      </c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527</v>
      </c>
      <c r="F8" s="17">
        <v>265</v>
      </c>
      <c r="G8" s="17">
        <v>304</v>
      </c>
      <c r="H8" s="18">
        <v>0.9</v>
      </c>
      <c r="I8" s="17"/>
      <c r="J8" s="165"/>
      <c r="K8" s="166"/>
      <c r="L8" s="165"/>
      <c r="M8" s="166"/>
      <c r="N8" s="165">
        <v>120</v>
      </c>
      <c r="O8" s="166"/>
      <c r="P8" s="165"/>
      <c r="Q8" s="166"/>
      <c r="R8" s="112">
        <v>30</v>
      </c>
      <c r="S8" s="14" t="s">
        <v>20</v>
      </c>
      <c r="T8" s="42" t="s">
        <v>110</v>
      </c>
      <c r="U8" s="205"/>
      <c r="V8" s="206"/>
      <c r="W8" s="207"/>
    </row>
    <row r="9" spans="1:23" x14ac:dyDescent="0.3">
      <c r="A9" s="181"/>
      <c r="B9" s="5"/>
      <c r="C9" s="5"/>
      <c r="D9" s="4" t="s">
        <v>528</v>
      </c>
      <c r="E9" s="12" t="s">
        <v>529</v>
      </c>
      <c r="F9" s="17">
        <v>350</v>
      </c>
      <c r="G9" s="17">
        <v>430</v>
      </c>
      <c r="H9" s="18">
        <v>0.5</v>
      </c>
      <c r="I9" s="17"/>
      <c r="J9" s="165"/>
      <c r="K9" s="166"/>
      <c r="L9" s="165"/>
      <c r="M9" s="166"/>
      <c r="N9" s="165"/>
      <c r="O9" s="166"/>
      <c r="P9" s="165">
        <v>705</v>
      </c>
      <c r="Q9" s="166"/>
      <c r="R9" s="112">
        <v>10</v>
      </c>
      <c r="S9" s="14" t="s">
        <v>20</v>
      </c>
      <c r="T9" s="42" t="s">
        <v>111</v>
      </c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530</v>
      </c>
      <c r="F10" s="17">
        <v>290</v>
      </c>
      <c r="G10" s="17">
        <v>430</v>
      </c>
      <c r="H10" s="18">
        <v>0.5</v>
      </c>
      <c r="I10" s="17"/>
      <c r="J10" s="165"/>
      <c r="K10" s="166"/>
      <c r="L10" s="165"/>
      <c r="M10" s="166"/>
      <c r="N10" s="165"/>
      <c r="O10" s="166"/>
      <c r="P10" s="165">
        <v>235</v>
      </c>
      <c r="Q10" s="166"/>
      <c r="R10" s="112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528</v>
      </c>
      <c r="E11" s="12" t="s">
        <v>531</v>
      </c>
      <c r="F11" s="17">
        <v>315</v>
      </c>
      <c r="G11" s="17">
        <v>430</v>
      </c>
      <c r="H11" s="18">
        <v>0.5</v>
      </c>
      <c r="I11" s="17"/>
      <c r="J11" s="165"/>
      <c r="K11" s="166"/>
      <c r="L11" s="165"/>
      <c r="M11" s="166"/>
      <c r="N11" s="165"/>
      <c r="O11" s="166"/>
      <c r="P11" s="165">
        <v>620</v>
      </c>
      <c r="Q11" s="166"/>
      <c r="R11" s="112">
        <v>45</v>
      </c>
      <c r="S11" s="14" t="s">
        <v>20</v>
      </c>
      <c r="T11" s="42" t="s">
        <v>110</v>
      </c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245</v>
      </c>
      <c r="F12" s="17">
        <v>140</v>
      </c>
      <c r="G12" s="17">
        <v>430</v>
      </c>
      <c r="H12" s="18">
        <v>0.5</v>
      </c>
      <c r="I12" s="17"/>
      <c r="J12" s="165">
        <v>155</v>
      </c>
      <c r="K12" s="166"/>
      <c r="L12" s="165"/>
      <c r="M12" s="166"/>
      <c r="N12" s="165"/>
      <c r="O12" s="166"/>
      <c r="P12" s="165"/>
      <c r="Q12" s="166"/>
      <c r="R12" s="112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528</v>
      </c>
      <c r="E13" s="12" t="s">
        <v>532</v>
      </c>
      <c r="F13" s="17">
        <v>475</v>
      </c>
      <c r="G13" s="17">
        <v>430</v>
      </c>
      <c r="H13" s="18">
        <v>0.5</v>
      </c>
      <c r="I13" s="17"/>
      <c r="J13" s="165"/>
      <c r="K13" s="166"/>
      <c r="L13" s="165"/>
      <c r="M13" s="166"/>
      <c r="N13" s="165"/>
      <c r="O13" s="166"/>
      <c r="P13" s="165">
        <v>1224</v>
      </c>
      <c r="Q13" s="166"/>
      <c r="R13" s="112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>
        <v>0.70833333333333337</v>
      </c>
      <c r="D14" s="4" t="s">
        <v>102</v>
      </c>
      <c r="E14" s="12" t="s">
        <v>533</v>
      </c>
      <c r="F14" s="17">
        <v>390</v>
      </c>
      <c r="G14" s="17">
        <v>430</v>
      </c>
      <c r="H14" s="18">
        <v>0.5</v>
      </c>
      <c r="I14" s="17"/>
      <c r="J14" s="165"/>
      <c r="K14" s="166"/>
      <c r="L14" s="165"/>
      <c r="M14" s="166"/>
      <c r="N14" s="165"/>
      <c r="O14" s="166"/>
      <c r="P14" s="165">
        <v>612</v>
      </c>
      <c r="Q14" s="166"/>
      <c r="R14" s="112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/>
      <c r="E15" s="12"/>
      <c r="F15" s="17"/>
      <c r="G15" s="17"/>
      <c r="H15" s="18"/>
      <c r="I15" s="17"/>
      <c r="J15" s="165"/>
      <c r="K15" s="166"/>
      <c r="L15" s="165"/>
      <c r="M15" s="166"/>
      <c r="N15" s="165"/>
      <c r="O15" s="166"/>
      <c r="P15" s="165"/>
      <c r="Q15" s="166"/>
      <c r="R15" s="112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112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112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112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112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112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155</v>
      </c>
      <c r="K21" s="22" t="s">
        <v>17</v>
      </c>
      <c r="L21" s="21">
        <f>SUM(L7:M20)</f>
        <v>0</v>
      </c>
      <c r="M21" s="22" t="s">
        <v>17</v>
      </c>
      <c r="N21" s="21">
        <f>SUM(N7:O20)</f>
        <v>120</v>
      </c>
      <c r="O21" s="22" t="s">
        <v>17</v>
      </c>
      <c r="P21" s="21">
        <f>SUM(P7:Q20)</f>
        <v>3924</v>
      </c>
      <c r="Q21" s="22" t="s">
        <v>17</v>
      </c>
      <c r="R21" s="23">
        <f>SUM(R7:R20)</f>
        <v>105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155</v>
      </c>
      <c r="K24" s="31" t="s">
        <v>17</v>
      </c>
      <c r="L24" s="32">
        <f>L21</f>
        <v>0</v>
      </c>
      <c r="M24" s="31" t="s">
        <v>17</v>
      </c>
      <c r="N24" s="32">
        <f>N21</f>
        <v>120</v>
      </c>
      <c r="O24" s="31" t="s">
        <v>17</v>
      </c>
      <c r="P24" s="33">
        <f>P21</f>
        <v>3924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4199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45947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/>
      <c r="D31" s="115">
        <v>250042</v>
      </c>
      <c r="E31" s="12" t="s">
        <v>519</v>
      </c>
      <c r="F31" s="40">
        <v>304</v>
      </c>
      <c r="G31" s="41">
        <v>0.9</v>
      </c>
      <c r="H31" s="40">
        <v>51</v>
      </c>
      <c r="I31" s="12"/>
      <c r="J31" s="165"/>
      <c r="K31" s="166"/>
      <c r="L31" s="165">
        <v>850</v>
      </c>
      <c r="M31" s="166"/>
      <c r="N31" s="165"/>
      <c r="O31" s="166"/>
      <c r="P31" s="165"/>
      <c r="Q31" s="166"/>
      <c r="R31" s="112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>
        <v>0.70833333333333337</v>
      </c>
      <c r="D32" s="115">
        <v>250042</v>
      </c>
      <c r="E32" s="13" t="s">
        <v>536</v>
      </c>
      <c r="F32" s="40">
        <v>304</v>
      </c>
      <c r="G32" s="41">
        <v>0.9</v>
      </c>
      <c r="H32" s="40">
        <v>543</v>
      </c>
      <c r="I32" s="12"/>
      <c r="J32" s="165"/>
      <c r="K32" s="166"/>
      <c r="L32" s="165">
        <v>20</v>
      </c>
      <c r="M32" s="166"/>
      <c r="N32" s="165"/>
      <c r="O32" s="166"/>
      <c r="P32" s="165"/>
      <c r="Q32" s="166"/>
      <c r="R32" s="112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112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2"/>
      <c r="B34" s="19"/>
      <c r="C34" s="19"/>
      <c r="D34" s="20"/>
      <c r="E34" s="170" t="s">
        <v>0</v>
      </c>
      <c r="F34" s="171"/>
      <c r="G34" s="171"/>
      <c r="H34" s="171"/>
      <c r="I34" s="172"/>
      <c r="J34" s="173">
        <f>SUM(J31:K33)</f>
        <v>0</v>
      </c>
      <c r="K34" s="174"/>
      <c r="L34" s="173">
        <f>SUM(L31:M33)</f>
        <v>870</v>
      </c>
      <c r="M34" s="174"/>
      <c r="N34" s="173">
        <f>SUM(N31:O33)</f>
        <v>0</v>
      </c>
      <c r="O34" s="174"/>
      <c r="P34" s="173">
        <f>SUM(P31:Q33)</f>
        <v>0</v>
      </c>
      <c r="Q34" s="174"/>
      <c r="R34" s="23">
        <f>SUM(R31:R33)</f>
        <v>0</v>
      </c>
      <c r="S34" s="24" t="s">
        <v>20</v>
      </c>
      <c r="T34" s="19"/>
      <c r="U34" s="177"/>
      <c r="V34" s="178"/>
      <c r="W34" s="179"/>
    </row>
    <row r="35" spans="1:23" ht="14.55" customHeight="1" x14ac:dyDescent="0.3">
      <c r="A35" s="163" t="s">
        <v>34</v>
      </c>
      <c r="B35" s="5">
        <v>0.33333333333333331</v>
      </c>
      <c r="C35" s="5"/>
      <c r="D35" s="115">
        <v>131025</v>
      </c>
      <c r="E35" s="12" t="s">
        <v>486</v>
      </c>
      <c r="F35" s="40">
        <v>304</v>
      </c>
      <c r="G35" s="41">
        <v>0.6</v>
      </c>
      <c r="H35" s="40">
        <v>327</v>
      </c>
      <c r="I35" s="12">
        <v>7</v>
      </c>
      <c r="J35" s="165"/>
      <c r="K35" s="166"/>
      <c r="L35" s="165"/>
      <c r="M35" s="166"/>
      <c r="N35" s="165"/>
      <c r="O35" s="166"/>
      <c r="P35" s="165">
        <v>850</v>
      </c>
      <c r="Q35" s="166"/>
      <c r="R35" s="112">
        <v>45</v>
      </c>
      <c r="S35" s="14" t="s">
        <v>20</v>
      </c>
      <c r="T35" s="42" t="s">
        <v>93</v>
      </c>
      <c r="U35" s="177"/>
      <c r="V35" s="178"/>
      <c r="W35" s="179"/>
    </row>
    <row r="36" spans="1:23" ht="14.55" customHeight="1" x14ac:dyDescent="0.3">
      <c r="A36" s="163"/>
      <c r="B36" s="5"/>
      <c r="C36" s="5">
        <v>0.70833333333333337</v>
      </c>
      <c r="D36" s="115">
        <v>20125</v>
      </c>
      <c r="E36" s="12" t="s">
        <v>535</v>
      </c>
      <c r="F36" s="40">
        <v>304</v>
      </c>
      <c r="G36" s="41">
        <v>0.6</v>
      </c>
      <c r="H36" s="40">
        <v>370</v>
      </c>
      <c r="I36" s="12">
        <v>7</v>
      </c>
      <c r="J36" s="165">
        <v>650</v>
      </c>
      <c r="K36" s="166"/>
      <c r="L36" s="165"/>
      <c r="M36" s="166"/>
      <c r="N36" s="165"/>
      <c r="O36" s="166"/>
      <c r="P36" s="165"/>
      <c r="Q36" s="166"/>
      <c r="R36" s="112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63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112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64"/>
      <c r="B38" s="19"/>
      <c r="C38" s="19"/>
      <c r="D38" s="20"/>
      <c r="E38" s="170" t="s">
        <v>0</v>
      </c>
      <c r="F38" s="171"/>
      <c r="G38" s="171"/>
      <c r="H38" s="171"/>
      <c r="I38" s="172"/>
      <c r="J38" s="173">
        <f>SUM(J35:K37)</f>
        <v>650</v>
      </c>
      <c r="K38" s="174"/>
      <c r="L38" s="173">
        <f>SUM(L35:M37)</f>
        <v>0</v>
      </c>
      <c r="M38" s="174"/>
      <c r="N38" s="173">
        <f>SUM(N35:O37)</f>
        <v>0</v>
      </c>
      <c r="O38" s="174"/>
      <c r="P38" s="173">
        <f>SUM(P35:Q37)</f>
        <v>850</v>
      </c>
      <c r="Q38" s="174"/>
      <c r="R38" s="23">
        <f>SUM(R35:R37)</f>
        <v>45</v>
      </c>
      <c r="S38" s="24" t="s">
        <v>20</v>
      </c>
      <c r="T38" s="19"/>
      <c r="U38" s="177"/>
      <c r="V38" s="178"/>
      <c r="W38" s="179"/>
    </row>
    <row r="39" spans="1:23" ht="14.55" customHeight="1" x14ac:dyDescent="0.3">
      <c r="A39" s="163" t="s">
        <v>35</v>
      </c>
      <c r="B39" s="5">
        <v>0.41666666666666669</v>
      </c>
      <c r="C39" s="5">
        <v>0.70833333333333337</v>
      </c>
      <c r="D39" s="110">
        <v>131025</v>
      </c>
      <c r="E39" s="12" t="s">
        <v>486</v>
      </c>
      <c r="F39" s="40">
        <v>304</v>
      </c>
      <c r="G39" s="41">
        <v>0.9</v>
      </c>
      <c r="H39" s="40">
        <v>43</v>
      </c>
      <c r="I39" s="12"/>
      <c r="J39" s="165"/>
      <c r="K39" s="166"/>
      <c r="L39" s="165"/>
      <c r="M39" s="166"/>
      <c r="N39" s="165"/>
      <c r="O39" s="166"/>
      <c r="P39" s="165">
        <v>1200</v>
      </c>
      <c r="Q39" s="166"/>
      <c r="R39" s="112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63"/>
      <c r="B40" s="5"/>
      <c r="C40" s="5"/>
      <c r="D40" s="4"/>
      <c r="E40" s="12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112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112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4"/>
      <c r="B42" s="19"/>
      <c r="C42" s="19"/>
      <c r="D42" s="20"/>
      <c r="E42" s="170" t="s">
        <v>0</v>
      </c>
      <c r="F42" s="171"/>
      <c r="G42" s="171"/>
      <c r="H42" s="171"/>
      <c r="I42" s="172"/>
      <c r="J42" s="173">
        <f>SUM(J39:K41)</f>
        <v>0</v>
      </c>
      <c r="K42" s="174"/>
      <c r="L42" s="173">
        <f>SUM(L39:M41)</f>
        <v>0</v>
      </c>
      <c r="M42" s="174"/>
      <c r="N42" s="173">
        <f>SUM(N39:O41)</f>
        <v>0</v>
      </c>
      <c r="O42" s="174"/>
      <c r="P42" s="173">
        <f>SUM(P39:Q41)</f>
        <v>1200</v>
      </c>
      <c r="Q42" s="174"/>
      <c r="R42" s="23">
        <f>SUM(R39:R41)</f>
        <v>0</v>
      </c>
      <c r="S42" s="24" t="s">
        <v>20</v>
      </c>
      <c r="T42" s="19"/>
      <c r="U42" s="177"/>
      <c r="V42" s="178"/>
      <c r="W42" s="179"/>
    </row>
    <row r="43" spans="1:23" ht="14.55" customHeight="1" x14ac:dyDescent="0.3">
      <c r="A43" s="27"/>
      <c r="B43" s="27"/>
      <c r="C43" s="27"/>
      <c r="D43" s="27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27"/>
      <c r="S43" s="27"/>
      <c r="T43" s="39"/>
      <c r="U43" s="39"/>
      <c r="V43" s="39"/>
      <c r="W43" s="39"/>
    </row>
    <row r="44" spans="1:23" x14ac:dyDescent="0.3">
      <c r="E44" s="170" t="s">
        <v>31</v>
      </c>
      <c r="F44" s="171"/>
      <c r="G44" s="171"/>
      <c r="H44" s="171"/>
      <c r="I44" s="172"/>
      <c r="J44" s="175" t="s">
        <v>7</v>
      </c>
      <c r="K44" s="176"/>
      <c r="L44" s="175" t="s">
        <v>8</v>
      </c>
      <c r="M44" s="176"/>
      <c r="N44" s="175" t="s">
        <v>9</v>
      </c>
      <c r="O44" s="176"/>
      <c r="P44" s="175" t="s">
        <v>117</v>
      </c>
      <c r="Q44" s="176"/>
    </row>
    <row r="45" spans="1:23" s="2" customFormat="1" x14ac:dyDescent="0.3">
      <c r="E45" s="15"/>
      <c r="F45" s="15"/>
      <c r="G45" s="15"/>
      <c r="H45" s="15"/>
      <c r="I45" s="15"/>
      <c r="J45" s="30">
        <f>J34+J38+J42</f>
        <v>650</v>
      </c>
      <c r="K45" s="31" t="s">
        <v>17</v>
      </c>
      <c r="L45" s="30">
        <f>L34+L38+L42</f>
        <v>870</v>
      </c>
      <c r="M45" s="31" t="s">
        <v>17</v>
      </c>
      <c r="N45" s="30">
        <f>N34+N38+N42</f>
        <v>0</v>
      </c>
      <c r="O45" s="31" t="s">
        <v>17</v>
      </c>
      <c r="P45" s="30">
        <f>P34+P38+P42</f>
        <v>2050</v>
      </c>
      <c r="Q45" s="34" t="s">
        <v>17</v>
      </c>
    </row>
    <row r="46" spans="1:23" ht="24.45" customHeight="1" x14ac:dyDescent="0.3">
      <c r="E46" s="28"/>
      <c r="F46" s="28"/>
      <c r="G46" s="28"/>
      <c r="H46" s="28"/>
      <c r="I46" s="28"/>
      <c r="J46" s="167">
        <f>J45+L45+N45+P45</f>
        <v>3570</v>
      </c>
      <c r="K46" s="168"/>
      <c r="L46" s="168"/>
      <c r="M46" s="168"/>
      <c r="N46" s="168"/>
      <c r="O46" s="168"/>
      <c r="P46" s="168"/>
      <c r="Q46" s="169"/>
    </row>
    <row r="47" spans="1:23" ht="30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spans="1:23" s="37" customFormat="1" ht="19.95" customHeight="1" x14ac:dyDescent="0.4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214" t="s">
        <v>14</v>
      </c>
      <c r="R48" s="215"/>
      <c r="S48" s="216"/>
      <c r="T48" s="184">
        <f>T3</f>
        <v>45947</v>
      </c>
      <c r="U48" s="185"/>
      <c r="V48" s="185"/>
      <c r="W48" s="186"/>
    </row>
    <row r="49" spans="1:23" s="16" customFormat="1" ht="30" customHeight="1" x14ac:dyDescent="0.3">
      <c r="A49" s="187" t="s">
        <v>26</v>
      </c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9"/>
      <c r="Q49" s="189"/>
      <c r="R49" s="189"/>
      <c r="S49" s="189"/>
      <c r="T49" s="188"/>
      <c r="U49" s="188"/>
      <c r="V49" s="188"/>
      <c r="W49" s="190"/>
    </row>
    <row r="50" spans="1:23" s="26" customFormat="1" ht="13.8" x14ac:dyDescent="0.3">
      <c r="A50" s="191" t="s">
        <v>1</v>
      </c>
      <c r="B50" s="192" t="s">
        <v>2</v>
      </c>
      <c r="C50" s="192" t="s">
        <v>3</v>
      </c>
      <c r="D50" s="192" t="s">
        <v>4</v>
      </c>
      <c r="E50" s="193" t="s">
        <v>5</v>
      </c>
      <c r="F50" s="197"/>
      <c r="G50" s="197"/>
      <c r="H50" s="197"/>
      <c r="I50" s="198"/>
      <c r="J50" s="193" t="s">
        <v>6</v>
      </c>
      <c r="K50" s="197"/>
      <c r="L50" s="197"/>
      <c r="M50" s="197"/>
      <c r="N50" s="197"/>
      <c r="O50" s="197"/>
      <c r="P50" s="197"/>
      <c r="Q50" s="198"/>
      <c r="R50" s="193" t="s">
        <v>10</v>
      </c>
      <c r="S50" s="198"/>
      <c r="T50" s="191" t="s">
        <v>11</v>
      </c>
      <c r="U50" s="191" t="s">
        <v>12</v>
      </c>
      <c r="V50" s="191"/>
      <c r="W50" s="191"/>
    </row>
    <row r="51" spans="1:23" s="26" customFormat="1" ht="13.8" x14ac:dyDescent="0.3">
      <c r="A51" s="191"/>
      <c r="B51" s="192"/>
      <c r="C51" s="192"/>
      <c r="D51" s="192"/>
      <c r="E51" s="194"/>
      <c r="F51" s="217"/>
      <c r="G51" s="217"/>
      <c r="H51" s="217"/>
      <c r="I51" s="199"/>
      <c r="J51" s="200" t="s">
        <v>7</v>
      </c>
      <c r="K51" s="201"/>
      <c r="L51" s="200" t="s">
        <v>8</v>
      </c>
      <c r="M51" s="201"/>
      <c r="N51" s="200" t="s">
        <v>9</v>
      </c>
      <c r="O51" s="201"/>
      <c r="P51" s="200" t="s">
        <v>117</v>
      </c>
      <c r="Q51" s="201"/>
      <c r="R51" s="194"/>
      <c r="S51" s="199"/>
      <c r="T51" s="191"/>
      <c r="U51" s="191"/>
      <c r="V51" s="191"/>
      <c r="W51" s="191"/>
    </row>
    <row r="52" spans="1:23" ht="15.6" x14ac:dyDescent="0.3">
      <c r="A52" s="180" t="s">
        <v>13</v>
      </c>
      <c r="B52" s="5">
        <v>0.33333333333333331</v>
      </c>
      <c r="C52" s="5"/>
      <c r="D52" s="117">
        <v>250052</v>
      </c>
      <c r="E52" s="211" t="s">
        <v>537</v>
      </c>
      <c r="F52" s="212"/>
      <c r="G52" s="212"/>
      <c r="H52" s="212"/>
      <c r="I52" s="213"/>
      <c r="J52" s="165">
        <v>128</v>
      </c>
      <c r="K52" s="166"/>
      <c r="L52" s="165"/>
      <c r="M52" s="166"/>
      <c r="N52" s="165"/>
      <c r="O52" s="166"/>
      <c r="P52" s="165"/>
      <c r="Q52" s="166"/>
      <c r="R52" s="112">
        <v>40</v>
      </c>
      <c r="S52" s="6" t="s">
        <v>20</v>
      </c>
      <c r="T52" s="3" t="s">
        <v>93</v>
      </c>
      <c r="U52" s="202"/>
      <c r="V52" s="203"/>
      <c r="W52" s="204"/>
    </row>
    <row r="53" spans="1:23" ht="15.6" x14ac:dyDescent="0.3">
      <c r="A53" s="163"/>
      <c r="B53" s="5"/>
      <c r="C53" s="5"/>
      <c r="D53" s="117">
        <v>250055</v>
      </c>
      <c r="E53" s="211" t="s">
        <v>537</v>
      </c>
      <c r="F53" s="212"/>
      <c r="G53" s="212"/>
      <c r="H53" s="212"/>
      <c r="I53" s="213"/>
      <c r="J53" s="165">
        <v>845</v>
      </c>
      <c r="K53" s="166"/>
      <c r="L53" s="165"/>
      <c r="M53" s="166"/>
      <c r="N53" s="165"/>
      <c r="O53" s="166"/>
      <c r="P53" s="165"/>
      <c r="Q53" s="166"/>
      <c r="R53" s="112">
        <v>40</v>
      </c>
      <c r="S53" s="6" t="s">
        <v>20</v>
      </c>
      <c r="T53" s="3" t="s">
        <v>93</v>
      </c>
      <c r="U53" s="205"/>
      <c r="V53" s="206"/>
      <c r="W53" s="207"/>
    </row>
    <row r="54" spans="1:23" x14ac:dyDescent="0.3">
      <c r="A54" s="163"/>
      <c r="B54" s="5"/>
      <c r="C54" s="5"/>
      <c r="D54" s="4" t="s">
        <v>248</v>
      </c>
      <c r="E54" s="211" t="s">
        <v>538</v>
      </c>
      <c r="F54" s="212"/>
      <c r="G54" s="212"/>
      <c r="H54" s="212"/>
      <c r="I54" s="213"/>
      <c r="J54" s="165">
        <v>11</v>
      </c>
      <c r="K54" s="166"/>
      <c r="L54" s="165"/>
      <c r="M54" s="166"/>
      <c r="N54" s="165"/>
      <c r="O54" s="166"/>
      <c r="P54" s="165"/>
      <c r="Q54" s="166"/>
      <c r="R54" s="112">
        <v>40</v>
      </c>
      <c r="S54" s="6" t="s">
        <v>20</v>
      </c>
      <c r="T54" s="3" t="s">
        <v>93</v>
      </c>
      <c r="U54" s="205"/>
      <c r="V54" s="206"/>
      <c r="W54" s="207"/>
    </row>
    <row r="55" spans="1:23" x14ac:dyDescent="0.3">
      <c r="A55" s="163"/>
      <c r="B55" s="5"/>
      <c r="C55" s="5"/>
      <c r="D55" s="4" t="s">
        <v>248</v>
      </c>
      <c r="E55" s="211" t="s">
        <v>539</v>
      </c>
      <c r="F55" s="212"/>
      <c r="G55" s="212"/>
      <c r="H55" s="212"/>
      <c r="I55" s="213"/>
      <c r="J55" s="165">
        <v>13</v>
      </c>
      <c r="K55" s="166"/>
      <c r="L55" s="165"/>
      <c r="M55" s="166"/>
      <c r="N55" s="165"/>
      <c r="O55" s="166"/>
      <c r="P55" s="165"/>
      <c r="Q55" s="166"/>
      <c r="R55" s="112">
        <v>40</v>
      </c>
      <c r="S55" s="6" t="s">
        <v>20</v>
      </c>
      <c r="T55" s="3" t="s">
        <v>93</v>
      </c>
      <c r="U55" s="205"/>
      <c r="V55" s="206"/>
      <c r="W55" s="207"/>
    </row>
    <row r="56" spans="1:23" x14ac:dyDescent="0.3">
      <c r="A56" s="163"/>
      <c r="B56" s="5"/>
      <c r="C56" s="5"/>
      <c r="D56" s="4" t="s">
        <v>248</v>
      </c>
      <c r="E56" s="211" t="s">
        <v>540</v>
      </c>
      <c r="F56" s="212"/>
      <c r="G56" s="212"/>
      <c r="H56" s="212"/>
      <c r="I56" s="213"/>
      <c r="J56" s="165">
        <v>13</v>
      </c>
      <c r="K56" s="166"/>
      <c r="L56" s="165"/>
      <c r="M56" s="166"/>
      <c r="N56" s="165"/>
      <c r="O56" s="166"/>
      <c r="P56" s="165"/>
      <c r="Q56" s="166"/>
      <c r="R56" s="112">
        <v>40</v>
      </c>
      <c r="S56" s="6" t="s">
        <v>20</v>
      </c>
      <c r="T56" s="3" t="s">
        <v>93</v>
      </c>
      <c r="U56" s="205"/>
      <c r="V56" s="206"/>
      <c r="W56" s="207"/>
    </row>
    <row r="57" spans="1:23" ht="15.6" x14ac:dyDescent="0.3">
      <c r="A57" s="163"/>
      <c r="B57" s="5"/>
      <c r="C57" s="5"/>
      <c r="D57" s="119">
        <v>250052</v>
      </c>
      <c r="E57" s="211" t="s">
        <v>537</v>
      </c>
      <c r="F57" s="212"/>
      <c r="G57" s="212"/>
      <c r="H57" s="212"/>
      <c r="I57" s="213"/>
      <c r="J57" s="165">
        <v>785</v>
      </c>
      <c r="K57" s="166"/>
      <c r="L57" s="165"/>
      <c r="M57" s="166"/>
      <c r="N57" s="165"/>
      <c r="O57" s="166"/>
      <c r="P57" s="165"/>
      <c r="Q57" s="166"/>
      <c r="R57" s="112"/>
      <c r="S57" s="6" t="s">
        <v>20</v>
      </c>
      <c r="T57" s="3"/>
      <c r="U57" s="205"/>
      <c r="V57" s="206"/>
      <c r="W57" s="207"/>
    </row>
    <row r="58" spans="1:23" s="116" customFormat="1" ht="15.6" x14ac:dyDescent="0.3">
      <c r="A58" s="163"/>
      <c r="B58" s="5"/>
      <c r="C58" s="5"/>
      <c r="D58" s="119">
        <v>250055</v>
      </c>
      <c r="E58" s="211" t="s">
        <v>537</v>
      </c>
      <c r="F58" s="212"/>
      <c r="G58" s="212"/>
      <c r="H58" s="212"/>
      <c r="I58" s="213"/>
      <c r="J58" s="165">
        <v>815</v>
      </c>
      <c r="K58" s="166"/>
      <c r="L58" s="165"/>
      <c r="M58" s="166"/>
      <c r="N58" s="165"/>
      <c r="O58" s="166"/>
      <c r="P58" s="165"/>
      <c r="Q58" s="166"/>
      <c r="R58" s="112"/>
      <c r="S58" s="6" t="s">
        <v>20</v>
      </c>
      <c r="T58" s="3"/>
      <c r="U58" s="205"/>
      <c r="V58" s="206"/>
      <c r="W58" s="207"/>
    </row>
    <row r="59" spans="1:23" s="118" customFormat="1" ht="15.6" x14ac:dyDescent="0.3">
      <c r="A59" s="163"/>
      <c r="B59" s="5"/>
      <c r="C59" s="5"/>
      <c r="D59" s="119">
        <v>250061</v>
      </c>
      <c r="E59" s="211" t="s">
        <v>537</v>
      </c>
      <c r="F59" s="212"/>
      <c r="G59" s="212"/>
      <c r="H59" s="212"/>
      <c r="I59" s="213"/>
      <c r="J59" s="165">
        <v>540</v>
      </c>
      <c r="K59" s="166"/>
      <c r="L59" s="165"/>
      <c r="M59" s="166"/>
      <c r="N59" s="165"/>
      <c r="O59" s="166"/>
      <c r="P59" s="165"/>
      <c r="Q59" s="166"/>
      <c r="R59" s="112"/>
      <c r="S59" s="6" t="s">
        <v>20</v>
      </c>
      <c r="T59" s="3"/>
      <c r="U59" s="205"/>
      <c r="V59" s="206"/>
      <c r="W59" s="207"/>
    </row>
    <row r="60" spans="1:23" s="116" customFormat="1" ht="15.6" x14ac:dyDescent="0.3">
      <c r="A60" s="163"/>
      <c r="B60" s="5"/>
      <c r="C60" s="5"/>
      <c r="D60" s="119">
        <v>250057</v>
      </c>
      <c r="E60" s="211" t="s">
        <v>537</v>
      </c>
      <c r="F60" s="212"/>
      <c r="G60" s="212"/>
      <c r="H60" s="212"/>
      <c r="I60" s="213"/>
      <c r="J60" s="165">
        <v>395</v>
      </c>
      <c r="K60" s="166"/>
      <c r="L60" s="165"/>
      <c r="M60" s="166"/>
      <c r="N60" s="165"/>
      <c r="O60" s="166"/>
      <c r="P60" s="165"/>
      <c r="Q60" s="166"/>
      <c r="R60" s="112"/>
      <c r="S60" s="6" t="s">
        <v>20</v>
      </c>
      <c r="T60" s="3"/>
      <c r="U60" s="205"/>
      <c r="V60" s="206"/>
      <c r="W60" s="207"/>
    </row>
    <row r="61" spans="1:23" ht="15.6" x14ac:dyDescent="0.3">
      <c r="A61" s="163"/>
      <c r="B61" s="5"/>
      <c r="C61" s="5">
        <v>0.70833333333333337</v>
      </c>
      <c r="D61" s="119">
        <v>250057</v>
      </c>
      <c r="E61" s="211" t="s">
        <v>541</v>
      </c>
      <c r="F61" s="212"/>
      <c r="G61" s="212"/>
      <c r="H61" s="212"/>
      <c r="I61" s="213"/>
      <c r="J61" s="165">
        <v>62</v>
      </c>
      <c r="K61" s="166"/>
      <c r="L61" s="165"/>
      <c r="M61" s="166"/>
      <c r="N61" s="165"/>
      <c r="O61" s="166"/>
      <c r="P61" s="165"/>
      <c r="Q61" s="166"/>
      <c r="R61" s="112"/>
      <c r="S61" s="6" t="s">
        <v>20</v>
      </c>
      <c r="T61" s="3"/>
      <c r="U61" s="205"/>
      <c r="V61" s="206"/>
      <c r="W61" s="207"/>
    </row>
    <row r="62" spans="1:23" x14ac:dyDescent="0.3">
      <c r="A62" s="164"/>
      <c r="B62" s="19"/>
      <c r="C62" s="19"/>
      <c r="D62" s="20"/>
      <c r="E62" s="170" t="s">
        <v>0</v>
      </c>
      <c r="F62" s="171"/>
      <c r="G62" s="171"/>
      <c r="H62" s="171"/>
      <c r="I62" s="172"/>
      <c r="J62" s="173">
        <f>SUM(J52:J61)</f>
        <v>3607</v>
      </c>
      <c r="K62" s="174"/>
      <c r="L62" s="173">
        <f>SUM(L52:L61)</f>
        <v>0</v>
      </c>
      <c r="M62" s="174"/>
      <c r="N62" s="173">
        <f>SUM(N52:N61)</f>
        <v>0</v>
      </c>
      <c r="O62" s="174"/>
      <c r="P62" s="173">
        <f>SUM(P52:P61)</f>
        <v>0</v>
      </c>
      <c r="Q62" s="174"/>
      <c r="R62" s="23">
        <f>SUM(R52:R61)</f>
        <v>200</v>
      </c>
      <c r="S62" s="24" t="s">
        <v>20</v>
      </c>
      <c r="T62" s="19"/>
      <c r="U62" s="208"/>
      <c r="V62" s="209"/>
      <c r="W62" s="210"/>
    </row>
    <row r="63" spans="1:23" x14ac:dyDescent="0.3">
      <c r="A63" s="180" t="s">
        <v>15</v>
      </c>
      <c r="B63" s="5"/>
      <c r="C63" s="5"/>
      <c r="D63" s="4"/>
      <c r="E63" s="211"/>
      <c r="F63" s="212"/>
      <c r="G63" s="212"/>
      <c r="H63" s="212"/>
      <c r="I63" s="213"/>
      <c r="J63" s="165"/>
      <c r="K63" s="166"/>
      <c r="L63" s="165"/>
      <c r="M63" s="166"/>
      <c r="N63" s="165"/>
      <c r="O63" s="166"/>
      <c r="P63" s="165"/>
      <c r="Q63" s="166"/>
      <c r="R63" s="112"/>
      <c r="S63" s="6" t="s">
        <v>20</v>
      </c>
      <c r="T63" s="3"/>
      <c r="U63" s="202"/>
      <c r="V63" s="203"/>
      <c r="W63" s="204"/>
    </row>
    <row r="64" spans="1:23" x14ac:dyDescent="0.3">
      <c r="A64" s="163"/>
      <c r="B64" s="5"/>
      <c r="C64" s="5"/>
      <c r="D64" s="4"/>
      <c r="E64" s="211"/>
      <c r="F64" s="212"/>
      <c r="G64" s="212"/>
      <c r="H64" s="212"/>
      <c r="I64" s="213"/>
      <c r="J64" s="165"/>
      <c r="K64" s="166"/>
      <c r="L64" s="165"/>
      <c r="M64" s="166"/>
      <c r="N64" s="165"/>
      <c r="O64" s="166"/>
      <c r="P64" s="165"/>
      <c r="Q64" s="166"/>
      <c r="R64" s="112"/>
      <c r="S64" s="6" t="s">
        <v>20</v>
      </c>
      <c r="T64" s="3"/>
      <c r="U64" s="205"/>
      <c r="V64" s="206"/>
      <c r="W64" s="207"/>
    </row>
    <row r="65" spans="1:23" x14ac:dyDescent="0.3">
      <c r="A65" s="163"/>
      <c r="B65" s="5"/>
      <c r="C65" s="5"/>
      <c r="D65" s="4"/>
      <c r="E65" s="211"/>
      <c r="F65" s="212"/>
      <c r="G65" s="212"/>
      <c r="H65" s="212"/>
      <c r="I65" s="213"/>
      <c r="J65" s="165"/>
      <c r="K65" s="166"/>
      <c r="L65" s="165"/>
      <c r="M65" s="166"/>
      <c r="N65" s="165"/>
      <c r="O65" s="166"/>
      <c r="P65" s="165"/>
      <c r="Q65" s="166"/>
      <c r="R65" s="112"/>
      <c r="S65" s="6" t="s">
        <v>20</v>
      </c>
      <c r="T65" s="3"/>
      <c r="U65" s="205"/>
      <c r="V65" s="206"/>
      <c r="W65" s="207"/>
    </row>
    <row r="66" spans="1:23" x14ac:dyDescent="0.3">
      <c r="A66" s="164"/>
      <c r="B66" s="19"/>
      <c r="C66" s="19"/>
      <c r="D66" s="20"/>
      <c r="E66" s="170" t="s">
        <v>0</v>
      </c>
      <c r="F66" s="171"/>
      <c r="G66" s="171"/>
      <c r="H66" s="171"/>
      <c r="I66" s="172"/>
      <c r="J66" s="173">
        <f>SUM(J63:J65)</f>
        <v>0</v>
      </c>
      <c r="K66" s="174"/>
      <c r="L66" s="173">
        <f>SUM(L63:L65)</f>
        <v>0</v>
      </c>
      <c r="M66" s="174"/>
      <c r="N66" s="173">
        <f>SUM(N63:N65)</f>
        <v>0</v>
      </c>
      <c r="O66" s="174"/>
      <c r="P66" s="173">
        <f>SUM(P55:P65)</f>
        <v>0</v>
      </c>
      <c r="Q66" s="174"/>
      <c r="R66" s="23">
        <f>SUM(R63:R65)</f>
        <v>0</v>
      </c>
      <c r="S66" s="24" t="s">
        <v>20</v>
      </c>
      <c r="T66" s="7"/>
      <c r="U66" s="208"/>
      <c r="V66" s="209"/>
      <c r="W66" s="210"/>
    </row>
    <row r="67" spans="1:23" x14ac:dyDescent="0.3">
      <c r="E67" s="28"/>
      <c r="F67" s="28"/>
      <c r="G67" s="28"/>
      <c r="H67" s="28"/>
      <c r="I67" s="28"/>
      <c r="J67" s="29"/>
      <c r="K67" s="29"/>
      <c r="L67" s="29"/>
      <c r="M67" s="29"/>
      <c r="N67" s="29"/>
      <c r="O67" s="29"/>
      <c r="P67" s="29"/>
      <c r="Q67" s="29"/>
    </row>
    <row r="68" spans="1:23" x14ac:dyDescent="0.3">
      <c r="E68" s="170" t="s">
        <v>28</v>
      </c>
      <c r="F68" s="171"/>
      <c r="G68" s="171"/>
      <c r="H68" s="171"/>
      <c r="I68" s="172"/>
      <c r="J68" s="175" t="s">
        <v>7</v>
      </c>
      <c r="K68" s="176"/>
      <c r="L68" s="175" t="s">
        <v>8</v>
      </c>
      <c r="M68" s="176"/>
      <c r="N68" s="175" t="s">
        <v>9</v>
      </c>
      <c r="O68" s="176"/>
      <c r="P68" s="175" t="s">
        <v>117</v>
      </c>
      <c r="Q68" s="176"/>
    </row>
    <row r="69" spans="1:23" s="2" customFormat="1" x14ac:dyDescent="0.3">
      <c r="E69" s="15"/>
      <c r="F69" s="15"/>
      <c r="G69" s="15"/>
      <c r="H69" s="15"/>
      <c r="I69" s="15"/>
      <c r="J69" s="30">
        <f>J62+J66</f>
        <v>3607</v>
      </c>
      <c r="K69" s="31" t="s">
        <v>17</v>
      </c>
      <c r="L69" s="32">
        <f>L62+L66</f>
        <v>0</v>
      </c>
      <c r="M69" s="31" t="s">
        <v>17</v>
      </c>
      <c r="N69" s="32">
        <f>N62+N66</f>
        <v>0</v>
      </c>
      <c r="O69" s="31" t="s">
        <v>17</v>
      </c>
      <c r="P69" s="32">
        <f>P62+P66</f>
        <v>0</v>
      </c>
      <c r="Q69" s="34" t="s">
        <v>17</v>
      </c>
    </row>
    <row r="70" spans="1:23" ht="24.45" customHeight="1" x14ac:dyDescent="0.3">
      <c r="E70" s="28"/>
      <c r="F70" s="28"/>
      <c r="G70" s="28"/>
      <c r="H70" s="28"/>
      <c r="I70" s="28"/>
      <c r="J70" s="167">
        <f>J69+L69+N69+P69</f>
        <v>3607</v>
      </c>
      <c r="K70" s="168"/>
      <c r="L70" s="168"/>
      <c r="M70" s="168"/>
      <c r="N70" s="168"/>
      <c r="O70" s="168"/>
      <c r="P70" s="168"/>
      <c r="Q70" s="169"/>
    </row>
  </sheetData>
  <mergeCells count="269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A31:A34"/>
    <mergeCell ref="J31:K31"/>
    <mergeCell ref="L31:M31"/>
    <mergeCell ref="N31:O31"/>
    <mergeCell ref="P31:Q31"/>
    <mergeCell ref="G29:G30"/>
    <mergeCell ref="H29:H30"/>
    <mergeCell ref="I29:I30"/>
    <mergeCell ref="J29:Q29"/>
    <mergeCell ref="J33:K33"/>
    <mergeCell ref="L33:M33"/>
    <mergeCell ref="N33:O33"/>
    <mergeCell ref="P33:Q33"/>
    <mergeCell ref="U31:W34"/>
    <mergeCell ref="J32:K32"/>
    <mergeCell ref="L32:M32"/>
    <mergeCell ref="N32:O32"/>
    <mergeCell ref="P32:Q32"/>
    <mergeCell ref="E34:I34"/>
    <mergeCell ref="J34:K34"/>
    <mergeCell ref="L34:M34"/>
    <mergeCell ref="N34:O34"/>
    <mergeCell ref="P34:Q34"/>
    <mergeCell ref="A35:A38"/>
    <mergeCell ref="J35:K35"/>
    <mergeCell ref="L35:M35"/>
    <mergeCell ref="N35:O35"/>
    <mergeCell ref="P35:Q35"/>
    <mergeCell ref="J37:K37"/>
    <mergeCell ref="L37:M37"/>
    <mergeCell ref="N37:O37"/>
    <mergeCell ref="P37:Q37"/>
    <mergeCell ref="U35:W38"/>
    <mergeCell ref="J36:K36"/>
    <mergeCell ref="L36:M36"/>
    <mergeCell ref="N36:O36"/>
    <mergeCell ref="P36:Q36"/>
    <mergeCell ref="E38:I38"/>
    <mergeCell ref="J38:K38"/>
    <mergeCell ref="L38:M38"/>
    <mergeCell ref="N38:O38"/>
    <mergeCell ref="P38:Q38"/>
    <mergeCell ref="A39:A42"/>
    <mergeCell ref="J39:K39"/>
    <mergeCell ref="L39:M39"/>
    <mergeCell ref="N39:O39"/>
    <mergeCell ref="P39:Q39"/>
    <mergeCell ref="J41:K41"/>
    <mergeCell ref="L41:M41"/>
    <mergeCell ref="N41:O41"/>
    <mergeCell ref="P41:Q41"/>
    <mergeCell ref="U39:W42"/>
    <mergeCell ref="J40:K40"/>
    <mergeCell ref="L40:M40"/>
    <mergeCell ref="N40:O40"/>
    <mergeCell ref="P40:Q40"/>
    <mergeCell ref="E42:I42"/>
    <mergeCell ref="J42:K42"/>
    <mergeCell ref="L42:M42"/>
    <mergeCell ref="N42:O42"/>
    <mergeCell ref="P42:Q42"/>
    <mergeCell ref="E44:I44"/>
    <mergeCell ref="J44:K44"/>
    <mergeCell ref="L44:M44"/>
    <mergeCell ref="N44:O44"/>
    <mergeCell ref="P44:Q44"/>
    <mergeCell ref="R50:S51"/>
    <mergeCell ref="T50:T51"/>
    <mergeCell ref="U50:W51"/>
    <mergeCell ref="J51:K51"/>
    <mergeCell ref="L51:M51"/>
    <mergeCell ref="N51:O51"/>
    <mergeCell ref="P51:Q51"/>
    <mergeCell ref="J46:Q46"/>
    <mergeCell ref="Q48:S48"/>
    <mergeCell ref="T48:W48"/>
    <mergeCell ref="A49:W49"/>
    <mergeCell ref="A50:A51"/>
    <mergeCell ref="B50:B51"/>
    <mergeCell ref="C50:C51"/>
    <mergeCell ref="D50:D51"/>
    <mergeCell ref="E50:I51"/>
    <mergeCell ref="J50:Q50"/>
    <mergeCell ref="N55:O55"/>
    <mergeCell ref="P55:Q55"/>
    <mergeCell ref="E56:I56"/>
    <mergeCell ref="J56:K56"/>
    <mergeCell ref="L56:M56"/>
    <mergeCell ref="N56:O56"/>
    <mergeCell ref="P56:Q56"/>
    <mergeCell ref="U52:W62"/>
    <mergeCell ref="E53:I53"/>
    <mergeCell ref="J53:K53"/>
    <mergeCell ref="L53:M53"/>
    <mergeCell ref="N53:O53"/>
    <mergeCell ref="P53:Q53"/>
    <mergeCell ref="E54:I54"/>
    <mergeCell ref="J54:K54"/>
    <mergeCell ref="L54:M54"/>
    <mergeCell ref="N54:O54"/>
    <mergeCell ref="N60:O60"/>
    <mergeCell ref="P60:Q60"/>
    <mergeCell ref="E58:I58"/>
    <mergeCell ref="E60:I60"/>
    <mergeCell ref="E59:I59"/>
    <mergeCell ref="J59:K59"/>
    <mergeCell ref="E52:I52"/>
    <mergeCell ref="P57:Q57"/>
    <mergeCell ref="E61:I61"/>
    <mergeCell ref="J61:K61"/>
    <mergeCell ref="L61:M61"/>
    <mergeCell ref="N61:O61"/>
    <mergeCell ref="P61:Q61"/>
    <mergeCell ref="J58:K58"/>
    <mergeCell ref="L58:M58"/>
    <mergeCell ref="N58:O58"/>
    <mergeCell ref="P58:Q58"/>
    <mergeCell ref="J60:K60"/>
    <mergeCell ref="L60:M60"/>
    <mergeCell ref="L59:M59"/>
    <mergeCell ref="N59:O59"/>
    <mergeCell ref="P59:Q59"/>
    <mergeCell ref="E62:I62"/>
    <mergeCell ref="J62:K62"/>
    <mergeCell ref="L62:M62"/>
    <mergeCell ref="N62:O62"/>
    <mergeCell ref="P62:Q62"/>
    <mergeCell ref="A63:A66"/>
    <mergeCell ref="E63:I63"/>
    <mergeCell ref="J63:K63"/>
    <mergeCell ref="L63:M63"/>
    <mergeCell ref="N63:O63"/>
    <mergeCell ref="A52:A62"/>
    <mergeCell ref="J52:K52"/>
    <mergeCell ref="L52:M52"/>
    <mergeCell ref="N52:O52"/>
    <mergeCell ref="P52:Q52"/>
    <mergeCell ref="P54:Q54"/>
    <mergeCell ref="E55:I55"/>
    <mergeCell ref="J55:K55"/>
    <mergeCell ref="L55:M55"/>
    <mergeCell ref="P63:Q63"/>
    <mergeCell ref="E57:I57"/>
    <mergeCell ref="J57:K57"/>
    <mergeCell ref="L57:M57"/>
    <mergeCell ref="N57:O57"/>
    <mergeCell ref="U63:W66"/>
    <mergeCell ref="E64:I64"/>
    <mergeCell ref="J64:K64"/>
    <mergeCell ref="L64:M64"/>
    <mergeCell ref="N64:O64"/>
    <mergeCell ref="P64:Q64"/>
    <mergeCell ref="E65:I65"/>
    <mergeCell ref="J65:K65"/>
    <mergeCell ref="L65:M65"/>
    <mergeCell ref="E68:I68"/>
    <mergeCell ref="J68:K68"/>
    <mergeCell ref="L68:M68"/>
    <mergeCell ref="N68:O68"/>
    <mergeCell ref="P68:Q68"/>
    <mergeCell ref="J70:Q70"/>
    <mergeCell ref="N65:O65"/>
    <mergeCell ref="P65:Q65"/>
    <mergeCell ref="E66:I66"/>
    <mergeCell ref="J66:K66"/>
    <mergeCell ref="L66:M66"/>
    <mergeCell ref="N66:O66"/>
    <mergeCell ref="P66:Q66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W54"/>
  <sheetViews>
    <sheetView topLeftCell="A4" zoomScale="85" zoomScaleNormal="85" workbookViewId="0">
      <selection activeCell="D10" sqref="D10"/>
    </sheetView>
  </sheetViews>
  <sheetFormatPr defaultColWidth="8.88671875" defaultRowHeight="14.4" x14ac:dyDescent="0.3"/>
  <cols>
    <col min="1" max="1" width="12.6640625" style="118" customWidth="1"/>
    <col min="2" max="3" width="7.6640625" style="118" customWidth="1"/>
    <col min="4" max="4" width="9.88671875" style="8" bestFit="1" customWidth="1"/>
    <col min="5" max="5" width="35.6640625" style="118" customWidth="1"/>
    <col min="6" max="6" width="5.6640625" style="118" customWidth="1"/>
    <col min="7" max="9" width="6.6640625" style="118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18" customWidth="1"/>
    <col min="20" max="20" width="21.5546875" style="118" bestFit="1" customWidth="1"/>
    <col min="21" max="23" width="7.6640625" style="118" customWidth="1"/>
    <col min="24" max="16384" width="8.88671875" style="118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45948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 t="s">
        <v>542</v>
      </c>
      <c r="E7" s="12" t="s">
        <v>547</v>
      </c>
      <c r="F7" s="17">
        <v>290</v>
      </c>
      <c r="G7" s="17">
        <v>430</v>
      </c>
      <c r="H7" s="18" t="s">
        <v>543</v>
      </c>
      <c r="I7" s="17">
        <v>35000</v>
      </c>
      <c r="J7" s="165"/>
      <c r="K7" s="166"/>
      <c r="L7" s="165"/>
      <c r="M7" s="166"/>
      <c r="N7" s="165"/>
      <c r="O7" s="166"/>
      <c r="P7" s="165">
        <v>1320</v>
      </c>
      <c r="Q7" s="166"/>
      <c r="R7" s="114">
        <v>45</v>
      </c>
      <c r="S7" s="14" t="s">
        <v>20</v>
      </c>
      <c r="T7" s="42" t="s">
        <v>110</v>
      </c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548</v>
      </c>
      <c r="F8" s="17">
        <v>220</v>
      </c>
      <c r="G8" s="17">
        <v>430</v>
      </c>
      <c r="H8" s="18" t="s">
        <v>543</v>
      </c>
      <c r="I8" s="17">
        <v>35000</v>
      </c>
      <c r="J8" s="165">
        <v>330</v>
      </c>
      <c r="K8" s="166"/>
      <c r="L8" s="165"/>
      <c r="M8" s="166"/>
      <c r="N8" s="165"/>
      <c r="O8" s="166"/>
      <c r="P8" s="165"/>
      <c r="Q8" s="166"/>
      <c r="R8" s="114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 t="s">
        <v>528</v>
      </c>
      <c r="E9" s="12" t="s">
        <v>546</v>
      </c>
      <c r="F9" s="17">
        <v>218</v>
      </c>
      <c r="G9" s="17">
        <v>430</v>
      </c>
      <c r="H9" s="18" t="s">
        <v>543</v>
      </c>
      <c r="I9" s="17">
        <v>35000</v>
      </c>
      <c r="J9" s="165"/>
      <c r="K9" s="166"/>
      <c r="L9" s="165"/>
      <c r="M9" s="166"/>
      <c r="N9" s="165"/>
      <c r="O9" s="166"/>
      <c r="P9" s="165">
        <v>1248</v>
      </c>
      <c r="Q9" s="166"/>
      <c r="R9" s="114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 t="s">
        <v>544</v>
      </c>
      <c r="D10" s="4">
        <v>230925</v>
      </c>
      <c r="E10" s="12" t="s">
        <v>545</v>
      </c>
      <c r="F10" s="17">
        <v>147</v>
      </c>
      <c r="G10" s="17">
        <v>430</v>
      </c>
      <c r="H10" s="18" t="s">
        <v>543</v>
      </c>
      <c r="I10" s="17">
        <v>27000</v>
      </c>
      <c r="J10" s="165"/>
      <c r="K10" s="166"/>
      <c r="L10" s="165"/>
      <c r="M10" s="166"/>
      <c r="N10" s="165">
        <v>1760</v>
      </c>
      <c r="O10" s="166"/>
      <c r="P10" s="165"/>
      <c r="Q10" s="166"/>
      <c r="R10" s="114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/>
      <c r="E11" s="12"/>
      <c r="F11" s="17"/>
      <c r="G11" s="17"/>
      <c r="H11" s="18"/>
      <c r="I11" s="17"/>
      <c r="J11" s="165"/>
      <c r="K11" s="166"/>
      <c r="L11" s="165"/>
      <c r="M11" s="166"/>
      <c r="N11" s="165"/>
      <c r="O11" s="166"/>
      <c r="P11" s="165"/>
      <c r="Q11" s="166"/>
      <c r="R11" s="114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/>
      <c r="E12" s="12"/>
      <c r="F12" s="17"/>
      <c r="G12" s="17"/>
      <c r="H12" s="18"/>
      <c r="I12" s="17"/>
      <c r="J12" s="165"/>
      <c r="K12" s="166"/>
      <c r="L12" s="165"/>
      <c r="M12" s="166"/>
      <c r="N12" s="165"/>
      <c r="O12" s="166"/>
      <c r="P12" s="165"/>
      <c r="Q12" s="166"/>
      <c r="R12" s="114"/>
      <c r="S12" s="14" t="s">
        <v>20</v>
      </c>
      <c r="T12" s="42"/>
      <c r="U12" s="205"/>
      <c r="V12" s="206"/>
      <c r="W12" s="207"/>
    </row>
    <row r="13" spans="1:23" x14ac:dyDescent="0.3">
      <c r="A13" s="182"/>
      <c r="B13" s="170" t="s">
        <v>0</v>
      </c>
      <c r="C13" s="171"/>
      <c r="D13" s="171"/>
      <c r="E13" s="171"/>
      <c r="F13" s="171"/>
      <c r="G13" s="171"/>
      <c r="H13" s="171"/>
      <c r="I13" s="172"/>
      <c r="J13" s="21">
        <f>SUM(J7:K12)</f>
        <v>330</v>
      </c>
      <c r="K13" s="22" t="s">
        <v>17</v>
      </c>
      <c r="L13" s="21">
        <f>SUM(L7:M12)</f>
        <v>0</v>
      </c>
      <c r="M13" s="22" t="s">
        <v>17</v>
      </c>
      <c r="N13" s="21">
        <f>SUM(N7:O12)</f>
        <v>1760</v>
      </c>
      <c r="O13" s="22" t="s">
        <v>17</v>
      </c>
      <c r="P13" s="21">
        <f>SUM(P7:Q12)</f>
        <v>2568</v>
      </c>
      <c r="Q13" s="22" t="s">
        <v>17</v>
      </c>
      <c r="R13" s="23">
        <f>SUM(R7:R12)</f>
        <v>45</v>
      </c>
      <c r="S13" s="24" t="s">
        <v>20</v>
      </c>
      <c r="T13" s="19"/>
      <c r="U13" s="208"/>
      <c r="V13" s="209"/>
      <c r="W13" s="210"/>
    </row>
    <row r="14" spans="1:23" ht="14.55" customHeight="1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spans="1:23" ht="14.55" customHeight="1" x14ac:dyDescent="0.3">
      <c r="A15" s="27"/>
      <c r="B15" s="27"/>
      <c r="C15" s="27"/>
      <c r="D15" s="27"/>
      <c r="E15" s="170" t="s">
        <v>27</v>
      </c>
      <c r="F15" s="171"/>
      <c r="G15" s="171"/>
      <c r="H15" s="171"/>
      <c r="I15" s="172"/>
      <c r="J15" s="175" t="s">
        <v>7</v>
      </c>
      <c r="K15" s="176"/>
      <c r="L15" s="175" t="s">
        <v>8</v>
      </c>
      <c r="M15" s="176"/>
      <c r="N15" s="175" t="s">
        <v>9</v>
      </c>
      <c r="O15" s="176"/>
      <c r="P15" s="175" t="s">
        <v>117</v>
      </c>
      <c r="Q15" s="176"/>
      <c r="R15" s="27"/>
      <c r="S15" s="27"/>
    </row>
    <row r="16" spans="1:23" ht="14.55" customHeight="1" x14ac:dyDescent="0.3">
      <c r="A16" s="27"/>
      <c r="B16" s="27"/>
      <c r="C16" s="27"/>
      <c r="D16" s="27"/>
      <c r="E16" s="15"/>
      <c r="F16" s="15"/>
      <c r="G16" s="15"/>
      <c r="H16" s="15"/>
      <c r="I16" s="15"/>
      <c r="J16" s="30">
        <f>J13</f>
        <v>330</v>
      </c>
      <c r="K16" s="31" t="s">
        <v>17</v>
      </c>
      <c r="L16" s="32">
        <f>L13</f>
        <v>0</v>
      </c>
      <c r="M16" s="31" t="s">
        <v>17</v>
      </c>
      <c r="N16" s="32">
        <f>N13</f>
        <v>1760</v>
      </c>
      <c r="O16" s="31" t="s">
        <v>17</v>
      </c>
      <c r="P16" s="33">
        <f>P13</f>
        <v>2568</v>
      </c>
      <c r="Q16" s="34" t="s">
        <v>17</v>
      </c>
      <c r="R16" s="27"/>
      <c r="S16" s="27"/>
    </row>
    <row r="17" spans="1:23" ht="30" customHeight="1" x14ac:dyDescent="0.3">
      <c r="A17" s="27"/>
      <c r="B17" s="27"/>
      <c r="C17" s="27"/>
      <c r="D17" s="27"/>
      <c r="E17" s="28"/>
      <c r="F17" s="28"/>
      <c r="G17" s="28"/>
      <c r="H17" s="28"/>
      <c r="I17" s="28"/>
      <c r="J17" s="167">
        <f>J16+L16+N16+P16</f>
        <v>4658</v>
      </c>
      <c r="K17" s="168"/>
      <c r="L17" s="168"/>
      <c r="M17" s="168"/>
      <c r="N17" s="168"/>
      <c r="O17" s="168"/>
      <c r="P17" s="168"/>
      <c r="Q17" s="169"/>
      <c r="R17" s="27"/>
      <c r="S17" s="27"/>
    </row>
    <row r="18" spans="1:23" ht="30" customHeight="1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 spans="1:23" s="37" customFormat="1" ht="19.95" customHeight="1" x14ac:dyDescent="0.4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183" t="s">
        <v>14</v>
      </c>
      <c r="R19" s="183"/>
      <c r="S19" s="183"/>
      <c r="T19" s="184">
        <f>T3</f>
        <v>45948</v>
      </c>
      <c r="U19" s="185"/>
      <c r="V19" s="185"/>
      <c r="W19" s="186"/>
    </row>
    <row r="20" spans="1:23" s="16" customFormat="1" ht="30" customHeight="1" x14ac:dyDescent="0.3">
      <c r="A20" s="187" t="s">
        <v>29</v>
      </c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9"/>
      <c r="Q20" s="189"/>
      <c r="R20" s="189"/>
      <c r="S20" s="189"/>
      <c r="T20" s="188"/>
      <c r="U20" s="188"/>
      <c r="V20" s="188"/>
      <c r="W20" s="190"/>
    </row>
    <row r="21" spans="1:23" s="26" customFormat="1" ht="13.8" x14ac:dyDescent="0.3">
      <c r="A21" s="191" t="s">
        <v>1</v>
      </c>
      <c r="B21" s="192" t="s">
        <v>2</v>
      </c>
      <c r="C21" s="192" t="s">
        <v>3</v>
      </c>
      <c r="D21" s="192" t="s">
        <v>4</v>
      </c>
      <c r="E21" s="193" t="s">
        <v>5</v>
      </c>
      <c r="F21" s="195" t="s">
        <v>21</v>
      </c>
      <c r="G21" s="195" t="s">
        <v>22</v>
      </c>
      <c r="H21" s="195" t="s">
        <v>33</v>
      </c>
      <c r="I21" s="195" t="s">
        <v>30</v>
      </c>
      <c r="J21" s="193" t="s">
        <v>6</v>
      </c>
      <c r="K21" s="197"/>
      <c r="L21" s="197"/>
      <c r="M21" s="197"/>
      <c r="N21" s="197"/>
      <c r="O21" s="197"/>
      <c r="P21" s="197"/>
      <c r="Q21" s="198"/>
      <c r="R21" s="193" t="s">
        <v>10</v>
      </c>
      <c r="S21" s="198"/>
      <c r="T21" s="191" t="s">
        <v>11</v>
      </c>
      <c r="U21" s="191" t="s">
        <v>12</v>
      </c>
      <c r="V21" s="191"/>
      <c r="W21" s="191"/>
    </row>
    <row r="22" spans="1:23" s="26" customFormat="1" ht="13.8" x14ac:dyDescent="0.3">
      <c r="A22" s="191"/>
      <c r="B22" s="192"/>
      <c r="C22" s="192"/>
      <c r="D22" s="192"/>
      <c r="E22" s="194"/>
      <c r="F22" s="196"/>
      <c r="G22" s="196"/>
      <c r="H22" s="196"/>
      <c r="I22" s="196"/>
      <c r="J22" s="200" t="s">
        <v>7</v>
      </c>
      <c r="K22" s="201"/>
      <c r="L22" s="200" t="s">
        <v>8</v>
      </c>
      <c r="M22" s="201"/>
      <c r="N22" s="200" t="s">
        <v>9</v>
      </c>
      <c r="O22" s="201"/>
      <c r="P22" s="200" t="s">
        <v>117</v>
      </c>
      <c r="Q22" s="201"/>
      <c r="R22" s="194"/>
      <c r="S22" s="199"/>
      <c r="T22" s="191"/>
      <c r="U22" s="191"/>
      <c r="V22" s="191"/>
      <c r="W22" s="191"/>
    </row>
    <row r="23" spans="1:23" ht="14.55" customHeight="1" x14ac:dyDescent="0.3">
      <c r="A23" s="180" t="s">
        <v>32</v>
      </c>
      <c r="B23" s="5">
        <v>0.33333333333333331</v>
      </c>
      <c r="C23" s="5">
        <v>0.58333333333333337</v>
      </c>
      <c r="D23" s="120">
        <v>250042</v>
      </c>
      <c r="E23" s="12" t="s">
        <v>550</v>
      </c>
      <c r="F23" s="40">
        <v>304</v>
      </c>
      <c r="G23" s="41">
        <v>0.9</v>
      </c>
      <c r="H23" s="40">
        <v>543</v>
      </c>
      <c r="I23" s="12">
        <v>5</v>
      </c>
      <c r="J23" s="165"/>
      <c r="K23" s="166"/>
      <c r="L23" s="165">
        <v>240</v>
      </c>
      <c r="M23" s="166"/>
      <c r="N23" s="165"/>
      <c r="O23" s="166"/>
      <c r="P23" s="165"/>
      <c r="Q23" s="166"/>
      <c r="R23" s="114">
        <v>60</v>
      </c>
      <c r="S23" s="14" t="s">
        <v>20</v>
      </c>
      <c r="T23" s="42" t="s">
        <v>553</v>
      </c>
      <c r="U23" s="177"/>
      <c r="V23" s="178"/>
      <c r="W23" s="179"/>
    </row>
    <row r="24" spans="1:23" ht="14.55" customHeight="1" x14ac:dyDescent="0.3">
      <c r="A24" s="181"/>
      <c r="B24" s="5"/>
      <c r="C24" s="5"/>
      <c r="D24" s="4"/>
      <c r="E24" s="13"/>
      <c r="F24" s="40"/>
      <c r="G24" s="41"/>
      <c r="H24" s="40"/>
      <c r="I24" s="12"/>
      <c r="J24" s="165"/>
      <c r="K24" s="166"/>
      <c r="L24" s="165"/>
      <c r="M24" s="166"/>
      <c r="N24" s="165"/>
      <c r="O24" s="166"/>
      <c r="P24" s="165"/>
      <c r="Q24" s="166"/>
      <c r="R24" s="114"/>
      <c r="S24" s="14" t="s">
        <v>20</v>
      </c>
      <c r="T24" s="42"/>
      <c r="U24" s="177"/>
      <c r="V24" s="178"/>
      <c r="W24" s="179"/>
    </row>
    <row r="25" spans="1:23" ht="14.55" customHeight="1" x14ac:dyDescent="0.3">
      <c r="A25" s="181"/>
      <c r="B25" s="5"/>
      <c r="C25" s="5"/>
      <c r="D25" s="4"/>
      <c r="E25" s="12"/>
      <c r="F25" s="40"/>
      <c r="G25" s="41"/>
      <c r="H25" s="40"/>
      <c r="I25" s="12"/>
      <c r="J25" s="165"/>
      <c r="K25" s="166"/>
      <c r="L25" s="165"/>
      <c r="M25" s="166"/>
      <c r="N25" s="165"/>
      <c r="O25" s="166"/>
      <c r="P25" s="165"/>
      <c r="Q25" s="166"/>
      <c r="R25" s="114"/>
      <c r="S25" s="14" t="s">
        <v>20</v>
      </c>
      <c r="T25" s="42"/>
      <c r="U25" s="177"/>
      <c r="V25" s="178"/>
      <c r="W25" s="179"/>
    </row>
    <row r="26" spans="1:23" ht="14.55" customHeight="1" x14ac:dyDescent="0.3">
      <c r="A26" s="182"/>
      <c r="B26" s="19"/>
      <c r="C26" s="19"/>
      <c r="D26" s="20"/>
      <c r="E26" s="170" t="s">
        <v>0</v>
      </c>
      <c r="F26" s="171"/>
      <c r="G26" s="171"/>
      <c r="H26" s="171"/>
      <c r="I26" s="172"/>
      <c r="J26" s="173">
        <f>SUM(J23:K25)</f>
        <v>0</v>
      </c>
      <c r="K26" s="174"/>
      <c r="L26" s="173">
        <f>SUM(L23:M25)</f>
        <v>240</v>
      </c>
      <c r="M26" s="174"/>
      <c r="N26" s="173">
        <f>SUM(N23:O25)</f>
        <v>0</v>
      </c>
      <c r="O26" s="174"/>
      <c r="P26" s="173">
        <f>SUM(P23:Q25)</f>
        <v>0</v>
      </c>
      <c r="Q26" s="174"/>
      <c r="R26" s="23">
        <f>SUM(R23:R25)</f>
        <v>60</v>
      </c>
      <c r="S26" s="24" t="s">
        <v>20</v>
      </c>
      <c r="T26" s="19"/>
      <c r="U26" s="177"/>
      <c r="V26" s="178"/>
      <c r="W26" s="179"/>
    </row>
    <row r="27" spans="1:23" ht="14.55" customHeight="1" x14ac:dyDescent="0.3">
      <c r="A27" s="163" t="s">
        <v>34</v>
      </c>
      <c r="B27" s="5">
        <v>0.33333333333333331</v>
      </c>
      <c r="C27" s="5"/>
      <c r="D27" s="120">
        <v>20125</v>
      </c>
      <c r="E27" s="12" t="s">
        <v>551</v>
      </c>
      <c r="F27" s="40">
        <v>304</v>
      </c>
      <c r="G27" s="41">
        <v>0.6</v>
      </c>
      <c r="H27" s="40">
        <v>370</v>
      </c>
      <c r="I27" s="12">
        <v>7</v>
      </c>
      <c r="J27" s="165">
        <v>350</v>
      </c>
      <c r="K27" s="166"/>
      <c r="L27" s="165"/>
      <c r="M27" s="166"/>
      <c r="N27" s="165"/>
      <c r="O27" s="166"/>
      <c r="P27" s="165"/>
      <c r="Q27" s="166"/>
      <c r="R27" s="114">
        <v>45</v>
      </c>
      <c r="S27" s="14" t="s">
        <v>20</v>
      </c>
      <c r="T27" s="42" t="s">
        <v>93</v>
      </c>
      <c r="U27" s="177"/>
      <c r="V27" s="178"/>
      <c r="W27" s="179"/>
    </row>
    <row r="28" spans="1:23" ht="14.55" customHeight="1" x14ac:dyDescent="0.3">
      <c r="A28" s="163"/>
      <c r="B28" s="5"/>
      <c r="C28" s="5">
        <v>0.58333333333333337</v>
      </c>
      <c r="D28" s="120">
        <v>20125</v>
      </c>
      <c r="E28" s="12" t="s">
        <v>552</v>
      </c>
      <c r="F28" s="40">
        <v>304</v>
      </c>
      <c r="G28" s="41">
        <v>0.6</v>
      </c>
      <c r="H28" s="40">
        <v>300</v>
      </c>
      <c r="I28" s="12">
        <v>7</v>
      </c>
      <c r="J28" s="165">
        <v>500</v>
      </c>
      <c r="K28" s="166"/>
      <c r="L28" s="165"/>
      <c r="M28" s="166"/>
      <c r="N28" s="165"/>
      <c r="O28" s="166"/>
      <c r="P28" s="165"/>
      <c r="Q28" s="166"/>
      <c r="R28" s="114">
        <v>80</v>
      </c>
      <c r="S28" s="14" t="s">
        <v>20</v>
      </c>
      <c r="T28" s="42" t="s">
        <v>272</v>
      </c>
      <c r="U28" s="177"/>
      <c r="V28" s="178"/>
      <c r="W28" s="179"/>
    </row>
    <row r="29" spans="1:23" ht="14.55" customHeight="1" x14ac:dyDescent="0.3">
      <c r="A29" s="163"/>
      <c r="B29" s="5"/>
      <c r="C29" s="5"/>
      <c r="D29" s="4"/>
      <c r="E29" s="12"/>
      <c r="F29" s="40"/>
      <c r="G29" s="41"/>
      <c r="H29" s="40"/>
      <c r="I29" s="12"/>
      <c r="J29" s="165"/>
      <c r="K29" s="166"/>
      <c r="L29" s="165"/>
      <c r="M29" s="166"/>
      <c r="N29" s="165"/>
      <c r="O29" s="166"/>
      <c r="P29" s="165"/>
      <c r="Q29" s="166"/>
      <c r="R29" s="114"/>
      <c r="S29" s="14" t="s">
        <v>20</v>
      </c>
      <c r="T29" s="42"/>
      <c r="U29" s="177"/>
      <c r="V29" s="178"/>
      <c r="W29" s="179"/>
    </row>
    <row r="30" spans="1:23" ht="14.55" customHeight="1" x14ac:dyDescent="0.3">
      <c r="A30" s="164"/>
      <c r="B30" s="19"/>
      <c r="C30" s="19"/>
      <c r="D30" s="20"/>
      <c r="E30" s="170" t="s">
        <v>0</v>
      </c>
      <c r="F30" s="171"/>
      <c r="G30" s="171"/>
      <c r="H30" s="171"/>
      <c r="I30" s="172"/>
      <c r="J30" s="173">
        <f>SUM(J27:K29)</f>
        <v>850</v>
      </c>
      <c r="K30" s="174"/>
      <c r="L30" s="173">
        <f>SUM(L27:M29)</f>
        <v>0</v>
      </c>
      <c r="M30" s="174"/>
      <c r="N30" s="173">
        <f>SUM(N27:O29)</f>
        <v>0</v>
      </c>
      <c r="O30" s="174"/>
      <c r="P30" s="173">
        <f>SUM(P27:Q29)</f>
        <v>0</v>
      </c>
      <c r="Q30" s="174"/>
      <c r="R30" s="23">
        <f>SUM(R27:R29)</f>
        <v>125</v>
      </c>
      <c r="S30" s="24" t="s">
        <v>20</v>
      </c>
      <c r="T30" s="19"/>
      <c r="U30" s="177"/>
      <c r="V30" s="178"/>
      <c r="W30" s="179"/>
    </row>
    <row r="31" spans="1:23" ht="14.55" customHeight="1" x14ac:dyDescent="0.3">
      <c r="A31" s="163" t="s">
        <v>35</v>
      </c>
      <c r="B31" s="5">
        <v>0.33333333333333331</v>
      </c>
      <c r="C31" s="5">
        <v>0.58333333333333337</v>
      </c>
      <c r="D31" s="4"/>
      <c r="E31" s="12" t="s">
        <v>549</v>
      </c>
      <c r="F31" s="40"/>
      <c r="G31" s="41"/>
      <c r="H31" s="40"/>
      <c r="I31" s="12"/>
      <c r="J31" s="165"/>
      <c r="K31" s="166"/>
      <c r="L31" s="165"/>
      <c r="M31" s="166"/>
      <c r="N31" s="165"/>
      <c r="O31" s="166"/>
      <c r="P31" s="165"/>
      <c r="Q31" s="166"/>
      <c r="R31" s="114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63"/>
      <c r="B32" s="5"/>
      <c r="C32" s="5"/>
      <c r="D32" s="4"/>
      <c r="E32" s="12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114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63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114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64"/>
      <c r="B34" s="19"/>
      <c r="C34" s="19"/>
      <c r="D34" s="20"/>
      <c r="E34" s="170" t="s">
        <v>0</v>
      </c>
      <c r="F34" s="171"/>
      <c r="G34" s="171"/>
      <c r="H34" s="171"/>
      <c r="I34" s="172"/>
      <c r="J34" s="173">
        <f>SUM(J31:K33)</f>
        <v>0</v>
      </c>
      <c r="K34" s="174"/>
      <c r="L34" s="173">
        <f>SUM(L31:M33)</f>
        <v>0</v>
      </c>
      <c r="M34" s="174"/>
      <c r="N34" s="173">
        <f>SUM(N31:O33)</f>
        <v>0</v>
      </c>
      <c r="O34" s="174"/>
      <c r="P34" s="173">
        <f>SUM(P31:Q33)</f>
        <v>0</v>
      </c>
      <c r="Q34" s="174"/>
      <c r="R34" s="23">
        <f>SUM(R31:R33)</f>
        <v>0</v>
      </c>
      <c r="S34" s="24" t="s">
        <v>20</v>
      </c>
      <c r="T34" s="19"/>
      <c r="U34" s="177"/>
      <c r="V34" s="178"/>
      <c r="W34" s="179"/>
    </row>
    <row r="35" spans="1:23" ht="14.55" customHeight="1" x14ac:dyDescent="0.3">
      <c r="A35" s="27"/>
      <c r="B35" s="27"/>
      <c r="C35" s="27"/>
      <c r="D35" s="27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27"/>
      <c r="S35" s="27"/>
      <c r="T35" s="39"/>
      <c r="U35" s="39"/>
      <c r="V35" s="39"/>
      <c r="W35" s="39"/>
    </row>
    <row r="36" spans="1:23" x14ac:dyDescent="0.3">
      <c r="E36" s="170" t="s">
        <v>31</v>
      </c>
      <c r="F36" s="171"/>
      <c r="G36" s="171"/>
      <c r="H36" s="171"/>
      <c r="I36" s="172"/>
      <c r="J36" s="175" t="s">
        <v>7</v>
      </c>
      <c r="K36" s="176"/>
      <c r="L36" s="175" t="s">
        <v>8</v>
      </c>
      <c r="M36" s="176"/>
      <c r="N36" s="175" t="s">
        <v>9</v>
      </c>
      <c r="O36" s="176"/>
      <c r="P36" s="175" t="s">
        <v>117</v>
      </c>
      <c r="Q36" s="176"/>
    </row>
    <row r="37" spans="1:23" s="2" customFormat="1" x14ac:dyDescent="0.3">
      <c r="E37" s="15"/>
      <c r="F37" s="15"/>
      <c r="G37" s="15"/>
      <c r="H37" s="15"/>
      <c r="I37" s="15"/>
      <c r="J37" s="30">
        <f>J26+J30+J34</f>
        <v>850</v>
      </c>
      <c r="K37" s="31" t="s">
        <v>17</v>
      </c>
      <c r="L37" s="30">
        <f>L26+L30+L34</f>
        <v>240</v>
      </c>
      <c r="M37" s="31" t="s">
        <v>17</v>
      </c>
      <c r="N37" s="30">
        <f>N26+N30+N34</f>
        <v>0</v>
      </c>
      <c r="O37" s="31" t="s">
        <v>17</v>
      </c>
      <c r="P37" s="30">
        <f>P26+P30+P34</f>
        <v>0</v>
      </c>
      <c r="Q37" s="34" t="s">
        <v>17</v>
      </c>
    </row>
    <row r="38" spans="1:23" ht="24.45" customHeight="1" x14ac:dyDescent="0.3">
      <c r="E38" s="28"/>
      <c r="F38" s="28"/>
      <c r="G38" s="28"/>
      <c r="H38" s="28"/>
      <c r="I38" s="28"/>
      <c r="J38" s="167">
        <f>J37+L37+N37+P37</f>
        <v>1090</v>
      </c>
      <c r="K38" s="168"/>
      <c r="L38" s="168"/>
      <c r="M38" s="168"/>
      <c r="N38" s="168"/>
      <c r="O38" s="168"/>
      <c r="P38" s="168"/>
      <c r="Q38" s="169"/>
    </row>
    <row r="39" spans="1:23" ht="30" customHeight="1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</row>
    <row r="40" spans="1:23" s="37" customFormat="1" ht="19.95" customHeight="1" x14ac:dyDescent="0.4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214" t="s">
        <v>14</v>
      </c>
      <c r="R40" s="215"/>
      <c r="S40" s="216"/>
      <c r="T40" s="184">
        <f>T3</f>
        <v>45948</v>
      </c>
      <c r="U40" s="185"/>
      <c r="V40" s="185"/>
      <c r="W40" s="186"/>
    </row>
    <row r="41" spans="1:23" s="16" customFormat="1" ht="30" customHeight="1" x14ac:dyDescent="0.3">
      <c r="A41" s="187" t="s">
        <v>26</v>
      </c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9"/>
      <c r="Q41" s="189"/>
      <c r="R41" s="189"/>
      <c r="S41" s="189"/>
      <c r="T41" s="188"/>
      <c r="U41" s="188"/>
      <c r="V41" s="188"/>
      <c r="W41" s="190"/>
    </row>
    <row r="42" spans="1:23" s="26" customFormat="1" ht="13.8" x14ac:dyDescent="0.3">
      <c r="A42" s="191" t="s">
        <v>1</v>
      </c>
      <c r="B42" s="192" t="s">
        <v>2</v>
      </c>
      <c r="C42" s="192" t="s">
        <v>3</v>
      </c>
      <c r="D42" s="192" t="s">
        <v>4</v>
      </c>
      <c r="E42" s="193" t="s">
        <v>5</v>
      </c>
      <c r="F42" s="197"/>
      <c r="G42" s="197"/>
      <c r="H42" s="197"/>
      <c r="I42" s="198"/>
      <c r="J42" s="193" t="s">
        <v>6</v>
      </c>
      <c r="K42" s="197"/>
      <c r="L42" s="197"/>
      <c r="M42" s="197"/>
      <c r="N42" s="197"/>
      <c r="O42" s="197"/>
      <c r="P42" s="197"/>
      <c r="Q42" s="198"/>
      <c r="R42" s="193" t="s">
        <v>10</v>
      </c>
      <c r="S42" s="198"/>
      <c r="T42" s="191" t="s">
        <v>11</v>
      </c>
      <c r="U42" s="191" t="s">
        <v>12</v>
      </c>
      <c r="V42" s="191"/>
      <c r="W42" s="191"/>
    </row>
    <row r="43" spans="1:23" s="26" customFormat="1" ht="13.8" x14ac:dyDescent="0.3">
      <c r="A43" s="191"/>
      <c r="B43" s="192"/>
      <c r="C43" s="192"/>
      <c r="D43" s="192"/>
      <c r="E43" s="194"/>
      <c r="F43" s="217"/>
      <c r="G43" s="217"/>
      <c r="H43" s="217"/>
      <c r="I43" s="199"/>
      <c r="J43" s="200" t="s">
        <v>7</v>
      </c>
      <c r="K43" s="201"/>
      <c r="L43" s="200" t="s">
        <v>8</v>
      </c>
      <c r="M43" s="201"/>
      <c r="N43" s="200" t="s">
        <v>9</v>
      </c>
      <c r="O43" s="201"/>
      <c r="P43" s="200" t="s">
        <v>117</v>
      </c>
      <c r="Q43" s="201"/>
      <c r="R43" s="194"/>
      <c r="S43" s="199"/>
      <c r="T43" s="191"/>
      <c r="U43" s="191"/>
      <c r="V43" s="191"/>
      <c r="W43" s="191"/>
    </row>
    <row r="44" spans="1:23" x14ac:dyDescent="0.3">
      <c r="A44" s="180" t="s">
        <v>13</v>
      </c>
      <c r="B44" s="5">
        <v>0.33333333333333331</v>
      </c>
      <c r="C44" s="5">
        <v>0.58333333333333337</v>
      </c>
      <c r="D44" s="4"/>
      <c r="E44" s="211" t="s">
        <v>299</v>
      </c>
      <c r="F44" s="212"/>
      <c r="G44" s="212"/>
      <c r="H44" s="212"/>
      <c r="I44" s="213"/>
      <c r="J44" s="165"/>
      <c r="K44" s="166"/>
      <c r="L44" s="165"/>
      <c r="M44" s="166"/>
      <c r="N44" s="165"/>
      <c r="O44" s="166"/>
      <c r="P44" s="165"/>
      <c r="Q44" s="166"/>
      <c r="R44" s="114"/>
      <c r="S44" s="6" t="s">
        <v>20</v>
      </c>
      <c r="T44" s="3"/>
      <c r="U44" s="202"/>
      <c r="V44" s="203"/>
      <c r="W44" s="204"/>
    </row>
    <row r="45" spans="1:23" x14ac:dyDescent="0.3">
      <c r="A45" s="163"/>
      <c r="B45" s="5"/>
      <c r="C45" s="5"/>
      <c r="D45" s="4"/>
      <c r="E45" s="211"/>
      <c r="F45" s="212"/>
      <c r="G45" s="212"/>
      <c r="H45" s="212"/>
      <c r="I45" s="213"/>
      <c r="J45" s="165"/>
      <c r="K45" s="166"/>
      <c r="L45" s="165"/>
      <c r="M45" s="166"/>
      <c r="N45" s="165"/>
      <c r="O45" s="166"/>
      <c r="P45" s="165"/>
      <c r="Q45" s="166"/>
      <c r="R45" s="114"/>
      <c r="S45" s="6" t="s">
        <v>20</v>
      </c>
      <c r="T45" s="3"/>
      <c r="U45" s="205"/>
      <c r="V45" s="206"/>
      <c r="W45" s="207"/>
    </row>
    <row r="46" spans="1:23" x14ac:dyDescent="0.3">
      <c r="A46" s="164"/>
      <c r="B46" s="19"/>
      <c r="C46" s="19"/>
      <c r="D46" s="20"/>
      <c r="E46" s="170" t="s">
        <v>0</v>
      </c>
      <c r="F46" s="171"/>
      <c r="G46" s="171"/>
      <c r="H46" s="171"/>
      <c r="I46" s="172"/>
      <c r="J46" s="173">
        <f>SUM(J44:J45)</f>
        <v>0</v>
      </c>
      <c r="K46" s="174"/>
      <c r="L46" s="173">
        <f>SUM(L44:L45)</f>
        <v>0</v>
      </c>
      <c r="M46" s="174"/>
      <c r="N46" s="173">
        <f>SUM(N44:N45)</f>
        <v>0</v>
      </c>
      <c r="O46" s="174"/>
      <c r="P46" s="173">
        <f>SUM(P44:P45)</f>
        <v>0</v>
      </c>
      <c r="Q46" s="174"/>
      <c r="R46" s="23">
        <f>SUM(R44:R45)</f>
        <v>0</v>
      </c>
      <c r="S46" s="24" t="s">
        <v>20</v>
      </c>
      <c r="T46" s="19"/>
      <c r="U46" s="208"/>
      <c r="V46" s="209"/>
      <c r="W46" s="210"/>
    </row>
    <row r="47" spans="1:23" x14ac:dyDescent="0.3">
      <c r="A47" s="180" t="s">
        <v>15</v>
      </c>
      <c r="B47" s="5"/>
      <c r="C47" s="5"/>
      <c r="D47" s="4"/>
      <c r="E47" s="211"/>
      <c r="F47" s="212"/>
      <c r="G47" s="212"/>
      <c r="H47" s="212"/>
      <c r="I47" s="213"/>
      <c r="J47" s="165"/>
      <c r="K47" s="166"/>
      <c r="L47" s="165"/>
      <c r="M47" s="166"/>
      <c r="N47" s="165"/>
      <c r="O47" s="166"/>
      <c r="P47" s="165"/>
      <c r="Q47" s="166"/>
      <c r="R47" s="114"/>
      <c r="S47" s="6" t="s">
        <v>20</v>
      </c>
      <c r="T47" s="3"/>
      <c r="U47" s="202"/>
      <c r="V47" s="203"/>
      <c r="W47" s="204"/>
    </row>
    <row r="48" spans="1:23" x14ac:dyDescent="0.3">
      <c r="A48" s="163"/>
      <c r="B48" s="5"/>
      <c r="C48" s="5"/>
      <c r="D48" s="4"/>
      <c r="E48" s="211"/>
      <c r="F48" s="212"/>
      <c r="G48" s="212"/>
      <c r="H48" s="212"/>
      <c r="I48" s="213"/>
      <c r="J48" s="165"/>
      <c r="K48" s="166"/>
      <c r="L48" s="165"/>
      <c r="M48" s="166"/>
      <c r="N48" s="165"/>
      <c r="O48" s="166"/>
      <c r="P48" s="165"/>
      <c r="Q48" s="166"/>
      <c r="R48" s="114"/>
      <c r="S48" s="6" t="s">
        <v>20</v>
      </c>
      <c r="T48" s="3"/>
      <c r="U48" s="205"/>
      <c r="V48" s="206"/>
      <c r="W48" s="207"/>
    </row>
    <row r="49" spans="1:23" x14ac:dyDescent="0.3">
      <c r="A49" s="163"/>
      <c r="B49" s="5"/>
      <c r="C49" s="5"/>
      <c r="D49" s="4"/>
      <c r="E49" s="211"/>
      <c r="F49" s="212"/>
      <c r="G49" s="212"/>
      <c r="H49" s="212"/>
      <c r="I49" s="213"/>
      <c r="J49" s="165"/>
      <c r="K49" s="166"/>
      <c r="L49" s="165"/>
      <c r="M49" s="166"/>
      <c r="N49" s="165"/>
      <c r="O49" s="166"/>
      <c r="P49" s="165"/>
      <c r="Q49" s="166"/>
      <c r="R49" s="114"/>
      <c r="S49" s="6" t="s">
        <v>20</v>
      </c>
      <c r="T49" s="3"/>
      <c r="U49" s="205"/>
      <c r="V49" s="206"/>
      <c r="W49" s="207"/>
    </row>
    <row r="50" spans="1:23" x14ac:dyDescent="0.3">
      <c r="A50" s="164"/>
      <c r="B50" s="19"/>
      <c r="C50" s="19"/>
      <c r="D50" s="20"/>
      <c r="E50" s="170" t="s">
        <v>0</v>
      </c>
      <c r="F50" s="171"/>
      <c r="G50" s="171"/>
      <c r="H50" s="171"/>
      <c r="I50" s="172"/>
      <c r="J50" s="173">
        <f>SUM(J47:J49)</f>
        <v>0</v>
      </c>
      <c r="K50" s="174"/>
      <c r="L50" s="173">
        <f>SUM(L47:L49)</f>
        <v>0</v>
      </c>
      <c r="M50" s="174"/>
      <c r="N50" s="173">
        <f>SUM(N47:N49)</f>
        <v>0</v>
      </c>
      <c r="O50" s="174"/>
      <c r="P50" s="173">
        <f>SUM(P45:P49)</f>
        <v>0</v>
      </c>
      <c r="Q50" s="174"/>
      <c r="R50" s="23">
        <f>SUM(R47:R49)</f>
        <v>0</v>
      </c>
      <c r="S50" s="24" t="s">
        <v>20</v>
      </c>
      <c r="T50" s="7"/>
      <c r="U50" s="208"/>
      <c r="V50" s="209"/>
      <c r="W50" s="210"/>
    </row>
    <row r="51" spans="1:23" x14ac:dyDescent="0.3">
      <c r="E51" s="28"/>
      <c r="F51" s="28"/>
      <c r="G51" s="28"/>
      <c r="H51" s="28"/>
      <c r="I51" s="28"/>
      <c r="J51" s="29"/>
      <c r="K51" s="29"/>
      <c r="L51" s="29"/>
      <c r="M51" s="29"/>
      <c r="N51" s="29"/>
      <c r="O51" s="29"/>
      <c r="P51" s="29"/>
      <c r="Q51" s="29"/>
    </row>
    <row r="52" spans="1:23" x14ac:dyDescent="0.3">
      <c r="E52" s="170" t="s">
        <v>28</v>
      </c>
      <c r="F52" s="171"/>
      <c r="G52" s="171"/>
      <c r="H52" s="171"/>
      <c r="I52" s="172"/>
      <c r="J52" s="175" t="s">
        <v>7</v>
      </c>
      <c r="K52" s="176"/>
      <c r="L52" s="175" t="s">
        <v>8</v>
      </c>
      <c r="M52" s="176"/>
      <c r="N52" s="175" t="s">
        <v>9</v>
      </c>
      <c r="O52" s="176"/>
      <c r="P52" s="175" t="s">
        <v>117</v>
      </c>
      <c r="Q52" s="176"/>
    </row>
    <row r="53" spans="1:23" s="2" customFormat="1" x14ac:dyDescent="0.3">
      <c r="E53" s="15"/>
      <c r="F53" s="15"/>
      <c r="G53" s="15"/>
      <c r="H53" s="15"/>
      <c r="I53" s="15"/>
      <c r="J53" s="30">
        <f>J46+J50</f>
        <v>0</v>
      </c>
      <c r="K53" s="31" t="s">
        <v>17</v>
      </c>
      <c r="L53" s="32">
        <f>L46+L50</f>
        <v>0</v>
      </c>
      <c r="M53" s="31" t="s">
        <v>17</v>
      </c>
      <c r="N53" s="32">
        <f>N46+N50</f>
        <v>0</v>
      </c>
      <c r="O53" s="31" t="s">
        <v>17</v>
      </c>
      <c r="P53" s="32">
        <f>P46+P50</f>
        <v>0</v>
      </c>
      <c r="Q53" s="34" t="s">
        <v>17</v>
      </c>
    </row>
    <row r="54" spans="1:23" ht="24.45" customHeight="1" x14ac:dyDescent="0.3">
      <c r="E54" s="28"/>
      <c r="F54" s="28"/>
      <c r="G54" s="28"/>
      <c r="H54" s="28"/>
      <c r="I54" s="28"/>
      <c r="J54" s="167">
        <f>J53+L53+N53+P53</f>
        <v>0</v>
      </c>
      <c r="K54" s="168"/>
      <c r="L54" s="168"/>
      <c r="M54" s="168"/>
      <c r="N54" s="168"/>
      <c r="O54" s="168"/>
      <c r="P54" s="168"/>
      <c r="Q54" s="169"/>
    </row>
  </sheetData>
  <mergeCells count="197">
    <mergeCell ref="E52:I52"/>
    <mergeCell ref="J52:K52"/>
    <mergeCell ref="L52:M52"/>
    <mergeCell ref="N52:O52"/>
    <mergeCell ref="P52:Q52"/>
    <mergeCell ref="J54:Q54"/>
    <mergeCell ref="N49:O49"/>
    <mergeCell ref="P49:Q49"/>
    <mergeCell ref="E50:I50"/>
    <mergeCell ref="J50:K50"/>
    <mergeCell ref="L50:M50"/>
    <mergeCell ref="N50:O50"/>
    <mergeCell ref="P50:Q50"/>
    <mergeCell ref="A47:A50"/>
    <mergeCell ref="E47:I47"/>
    <mergeCell ref="J47:K47"/>
    <mergeCell ref="L47:M47"/>
    <mergeCell ref="N47:O47"/>
    <mergeCell ref="P47:Q47"/>
    <mergeCell ref="U47:W50"/>
    <mergeCell ref="E48:I48"/>
    <mergeCell ref="J48:K48"/>
    <mergeCell ref="L48:M48"/>
    <mergeCell ref="N48:O48"/>
    <mergeCell ref="P48:Q48"/>
    <mergeCell ref="E49:I49"/>
    <mergeCell ref="J49:K49"/>
    <mergeCell ref="L49:M49"/>
    <mergeCell ref="E45:I45"/>
    <mergeCell ref="J45:K45"/>
    <mergeCell ref="L45:M45"/>
    <mergeCell ref="N45:O45"/>
    <mergeCell ref="P45:Q45"/>
    <mergeCell ref="U44:W46"/>
    <mergeCell ref="A44:A46"/>
    <mergeCell ref="E44:I44"/>
    <mergeCell ref="J44:K44"/>
    <mergeCell ref="L44:M44"/>
    <mergeCell ref="N44:O44"/>
    <mergeCell ref="P44:Q44"/>
    <mergeCell ref="E46:I46"/>
    <mergeCell ref="J46:K46"/>
    <mergeCell ref="L46:M46"/>
    <mergeCell ref="N46:O46"/>
    <mergeCell ref="P46:Q46"/>
    <mergeCell ref="E36:I36"/>
    <mergeCell ref="J36:K36"/>
    <mergeCell ref="L36:M36"/>
    <mergeCell ref="N36:O36"/>
    <mergeCell ref="P36:Q36"/>
    <mergeCell ref="R42:S43"/>
    <mergeCell ref="T42:T43"/>
    <mergeCell ref="U42:W43"/>
    <mergeCell ref="J43:K43"/>
    <mergeCell ref="L43:M43"/>
    <mergeCell ref="N43:O43"/>
    <mergeCell ref="P43:Q43"/>
    <mergeCell ref="J38:Q38"/>
    <mergeCell ref="Q40:S40"/>
    <mergeCell ref="T40:W40"/>
    <mergeCell ref="A41:W41"/>
    <mergeCell ref="A42:A43"/>
    <mergeCell ref="B42:B43"/>
    <mergeCell ref="C42:C43"/>
    <mergeCell ref="D42:D43"/>
    <mergeCell ref="E42:I43"/>
    <mergeCell ref="J42:Q42"/>
    <mergeCell ref="U31:W34"/>
    <mergeCell ref="J32:K32"/>
    <mergeCell ref="L32:M32"/>
    <mergeCell ref="N32:O32"/>
    <mergeCell ref="P32:Q32"/>
    <mergeCell ref="E34:I34"/>
    <mergeCell ref="J34:K34"/>
    <mergeCell ref="L34:M34"/>
    <mergeCell ref="N34:O34"/>
    <mergeCell ref="P34:Q34"/>
    <mergeCell ref="A31:A34"/>
    <mergeCell ref="J31:K31"/>
    <mergeCell ref="L31:M31"/>
    <mergeCell ref="N31:O31"/>
    <mergeCell ref="P31:Q31"/>
    <mergeCell ref="J33:K33"/>
    <mergeCell ref="L33:M33"/>
    <mergeCell ref="N33:O33"/>
    <mergeCell ref="P33:Q33"/>
    <mergeCell ref="U27:W30"/>
    <mergeCell ref="J28:K28"/>
    <mergeCell ref="L28:M28"/>
    <mergeCell ref="N28:O28"/>
    <mergeCell ref="P28:Q28"/>
    <mergeCell ref="E30:I30"/>
    <mergeCell ref="J30:K30"/>
    <mergeCell ref="L30:M30"/>
    <mergeCell ref="N30:O30"/>
    <mergeCell ref="P30:Q30"/>
    <mergeCell ref="A27:A30"/>
    <mergeCell ref="J27:K27"/>
    <mergeCell ref="L27:M27"/>
    <mergeCell ref="N27:O27"/>
    <mergeCell ref="P27:Q27"/>
    <mergeCell ref="J29:K29"/>
    <mergeCell ref="L29:M29"/>
    <mergeCell ref="N29:O29"/>
    <mergeCell ref="P29:Q29"/>
    <mergeCell ref="U23:W26"/>
    <mergeCell ref="J24:K24"/>
    <mergeCell ref="L24:M24"/>
    <mergeCell ref="N24:O24"/>
    <mergeCell ref="P24:Q24"/>
    <mergeCell ref="E26:I26"/>
    <mergeCell ref="J26:K26"/>
    <mergeCell ref="L26:M26"/>
    <mergeCell ref="N26:O26"/>
    <mergeCell ref="P26:Q26"/>
    <mergeCell ref="A23:A26"/>
    <mergeCell ref="J23:K23"/>
    <mergeCell ref="L23:M23"/>
    <mergeCell ref="N23:O23"/>
    <mergeCell ref="P23:Q23"/>
    <mergeCell ref="G21:G22"/>
    <mergeCell ref="H21:H22"/>
    <mergeCell ref="I21:I22"/>
    <mergeCell ref="J21:Q21"/>
    <mergeCell ref="J25:K25"/>
    <mergeCell ref="L25:M25"/>
    <mergeCell ref="N25:O25"/>
    <mergeCell ref="P25:Q25"/>
    <mergeCell ref="J17:Q17"/>
    <mergeCell ref="Q19:S19"/>
    <mergeCell ref="T19:W19"/>
    <mergeCell ref="A20:W20"/>
    <mergeCell ref="A21:A22"/>
    <mergeCell ref="B21:B22"/>
    <mergeCell ref="C21:C22"/>
    <mergeCell ref="D21:D22"/>
    <mergeCell ref="E21:E22"/>
    <mergeCell ref="F21:F22"/>
    <mergeCell ref="U21:W22"/>
    <mergeCell ref="J22:K22"/>
    <mergeCell ref="L22:M22"/>
    <mergeCell ref="N22:O22"/>
    <mergeCell ref="P22:Q22"/>
    <mergeCell ref="R21:S22"/>
    <mergeCell ref="T21:T22"/>
    <mergeCell ref="E15:I15"/>
    <mergeCell ref="J15:K15"/>
    <mergeCell ref="L15:M15"/>
    <mergeCell ref="N15:O15"/>
    <mergeCell ref="P15:Q15"/>
    <mergeCell ref="J12:K12"/>
    <mergeCell ref="L12:M12"/>
    <mergeCell ref="N12:O12"/>
    <mergeCell ref="P12:Q12"/>
    <mergeCell ref="A7:A13"/>
    <mergeCell ref="J7:K7"/>
    <mergeCell ref="L7:M7"/>
    <mergeCell ref="N7:O7"/>
    <mergeCell ref="P7:Q7"/>
    <mergeCell ref="U7:W13"/>
    <mergeCell ref="J8:K8"/>
    <mergeCell ref="L8:M8"/>
    <mergeCell ref="N8:O8"/>
    <mergeCell ref="P8:Q8"/>
    <mergeCell ref="J11:K11"/>
    <mergeCell ref="L11:M11"/>
    <mergeCell ref="N11:O11"/>
    <mergeCell ref="P11:Q11"/>
    <mergeCell ref="J9:K9"/>
    <mergeCell ref="L9:M9"/>
    <mergeCell ref="N9:O9"/>
    <mergeCell ref="P9:Q9"/>
    <mergeCell ref="J10:K10"/>
    <mergeCell ref="L10:M10"/>
    <mergeCell ref="N10:O10"/>
    <mergeCell ref="P10:Q10"/>
    <mergeCell ref="B13:I13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W69"/>
  <sheetViews>
    <sheetView topLeftCell="A28" zoomScale="85" zoomScaleNormal="85" workbookViewId="0">
      <selection activeCell="E14" sqref="E14"/>
    </sheetView>
  </sheetViews>
  <sheetFormatPr defaultColWidth="8.88671875" defaultRowHeight="14.4" x14ac:dyDescent="0.3"/>
  <cols>
    <col min="1" max="1" width="12.6640625" style="118" customWidth="1"/>
    <col min="2" max="3" width="7.6640625" style="118" customWidth="1"/>
    <col min="4" max="4" width="8.109375" style="8" bestFit="1" customWidth="1"/>
    <col min="5" max="5" width="35.6640625" style="118" customWidth="1"/>
    <col min="6" max="6" width="5.6640625" style="118" customWidth="1"/>
    <col min="7" max="9" width="6.6640625" style="118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18" customWidth="1"/>
    <col min="20" max="20" width="21.5546875" style="118" bestFit="1" customWidth="1"/>
    <col min="21" max="23" width="7.6640625" style="118" customWidth="1"/>
    <col min="24" max="16384" width="8.88671875" style="118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45950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230925</v>
      </c>
      <c r="E7" s="12" t="s">
        <v>545</v>
      </c>
      <c r="F7" s="17">
        <v>147</v>
      </c>
      <c r="G7" s="17">
        <v>430</v>
      </c>
      <c r="H7" s="18">
        <v>0.6</v>
      </c>
      <c r="I7" s="17">
        <v>30000</v>
      </c>
      <c r="J7" s="165"/>
      <c r="K7" s="166"/>
      <c r="L7" s="165"/>
      <c r="M7" s="166"/>
      <c r="N7" s="165">
        <v>2288</v>
      </c>
      <c r="O7" s="166"/>
      <c r="P7" s="165"/>
      <c r="Q7" s="166"/>
      <c r="R7" s="121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245</v>
      </c>
      <c r="F8" s="17">
        <v>187</v>
      </c>
      <c r="G8" s="17">
        <v>430</v>
      </c>
      <c r="H8" s="18">
        <v>0.6</v>
      </c>
      <c r="I8" s="17">
        <v>30000</v>
      </c>
      <c r="J8" s="165"/>
      <c r="K8" s="166"/>
      <c r="L8" s="165"/>
      <c r="M8" s="166"/>
      <c r="N8" s="165">
        <v>5022</v>
      </c>
      <c r="O8" s="166"/>
      <c r="P8" s="165"/>
      <c r="Q8" s="166"/>
      <c r="R8" s="121">
        <v>45</v>
      </c>
      <c r="S8" s="14" t="s">
        <v>20</v>
      </c>
      <c r="T8" s="42" t="s">
        <v>93</v>
      </c>
      <c r="U8" s="205"/>
      <c r="V8" s="206"/>
      <c r="W8" s="207"/>
    </row>
    <row r="9" spans="1:23" x14ac:dyDescent="0.3">
      <c r="A9" s="181"/>
      <c r="B9" s="5"/>
      <c r="C9" s="5"/>
      <c r="D9" s="4" t="s">
        <v>102</v>
      </c>
      <c r="E9" s="12" t="s">
        <v>545</v>
      </c>
      <c r="F9" s="17">
        <v>147</v>
      </c>
      <c r="G9" s="17">
        <v>430</v>
      </c>
      <c r="H9" s="18">
        <v>0.6</v>
      </c>
      <c r="I9" s="17">
        <v>30000</v>
      </c>
      <c r="J9" s="165"/>
      <c r="K9" s="166"/>
      <c r="L9" s="165"/>
      <c r="M9" s="166"/>
      <c r="N9" s="165">
        <v>837</v>
      </c>
      <c r="O9" s="166"/>
      <c r="P9" s="165"/>
      <c r="Q9" s="166"/>
      <c r="R9" s="121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245</v>
      </c>
      <c r="F10" s="17">
        <v>160</v>
      </c>
      <c r="G10" s="17">
        <v>430</v>
      </c>
      <c r="H10" s="18">
        <v>0.6</v>
      </c>
      <c r="I10" s="17">
        <v>30000</v>
      </c>
      <c r="J10" s="165"/>
      <c r="K10" s="166"/>
      <c r="L10" s="165"/>
      <c r="M10" s="166"/>
      <c r="N10" s="165">
        <v>4048</v>
      </c>
      <c r="O10" s="166"/>
      <c r="P10" s="165"/>
      <c r="Q10" s="166"/>
      <c r="R10" s="121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554</v>
      </c>
      <c r="F11" s="17">
        <v>402</v>
      </c>
      <c r="G11" s="17">
        <v>430</v>
      </c>
      <c r="H11" s="18">
        <v>0.6</v>
      </c>
      <c r="I11" s="17">
        <v>26000</v>
      </c>
      <c r="J11" s="165">
        <v>12</v>
      </c>
      <c r="K11" s="166"/>
      <c r="L11" s="165"/>
      <c r="M11" s="166"/>
      <c r="N11" s="165"/>
      <c r="O11" s="166"/>
      <c r="P11" s="165"/>
      <c r="Q11" s="166"/>
      <c r="R11" s="121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554</v>
      </c>
      <c r="F12" s="17">
        <v>365</v>
      </c>
      <c r="G12" s="17">
        <v>430</v>
      </c>
      <c r="H12" s="18">
        <v>0.6</v>
      </c>
      <c r="I12" s="17">
        <v>26000</v>
      </c>
      <c r="J12" s="165">
        <v>12</v>
      </c>
      <c r="K12" s="166"/>
      <c r="L12" s="165"/>
      <c r="M12" s="166"/>
      <c r="N12" s="165"/>
      <c r="O12" s="166"/>
      <c r="P12" s="165"/>
      <c r="Q12" s="166"/>
      <c r="R12" s="121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245</v>
      </c>
      <c r="F13" s="17">
        <v>220</v>
      </c>
      <c r="G13" s="17">
        <v>430</v>
      </c>
      <c r="H13" s="18">
        <v>0.6</v>
      </c>
      <c r="I13" s="17">
        <v>26000</v>
      </c>
      <c r="J13" s="165">
        <v>1920</v>
      </c>
      <c r="K13" s="166"/>
      <c r="L13" s="165"/>
      <c r="M13" s="166"/>
      <c r="N13" s="165"/>
      <c r="O13" s="166"/>
      <c r="P13" s="165"/>
      <c r="Q13" s="166"/>
      <c r="R13" s="121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>
        <v>0.70833333333333337</v>
      </c>
      <c r="D14" s="4" t="s">
        <v>102</v>
      </c>
      <c r="E14" s="12"/>
      <c r="F14" s="17"/>
      <c r="G14" s="17"/>
      <c r="H14" s="18"/>
      <c r="I14" s="17"/>
      <c r="J14" s="165"/>
      <c r="K14" s="166"/>
      <c r="L14" s="165"/>
      <c r="M14" s="166"/>
      <c r="N14" s="165"/>
      <c r="O14" s="166"/>
      <c r="P14" s="165"/>
      <c r="Q14" s="166"/>
      <c r="R14" s="121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/>
      <c r="E15" s="12"/>
      <c r="F15" s="17"/>
      <c r="G15" s="17"/>
      <c r="H15" s="18"/>
      <c r="I15" s="17"/>
      <c r="J15" s="165"/>
      <c r="K15" s="166"/>
      <c r="L15" s="165"/>
      <c r="M15" s="166"/>
      <c r="N15" s="165"/>
      <c r="O15" s="166"/>
      <c r="P15" s="165"/>
      <c r="Q15" s="166"/>
      <c r="R15" s="121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121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121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121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121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121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1944</v>
      </c>
      <c r="K21" s="22" t="s">
        <v>17</v>
      </c>
      <c r="L21" s="21">
        <f>SUM(L7:M20)</f>
        <v>0</v>
      </c>
      <c r="M21" s="22" t="s">
        <v>17</v>
      </c>
      <c r="N21" s="21">
        <f>SUM(N7:O20)</f>
        <v>12195</v>
      </c>
      <c r="O21" s="22" t="s">
        <v>17</v>
      </c>
      <c r="P21" s="21">
        <f>SUM(P7:Q20)</f>
        <v>0</v>
      </c>
      <c r="Q21" s="22" t="s">
        <v>17</v>
      </c>
      <c r="R21" s="23">
        <f>SUM(R7:R20)</f>
        <v>45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1944</v>
      </c>
      <c r="K24" s="31" t="s">
        <v>17</v>
      </c>
      <c r="L24" s="32">
        <f>L21</f>
        <v>0</v>
      </c>
      <c r="M24" s="31" t="s">
        <v>17</v>
      </c>
      <c r="N24" s="32">
        <f>N21</f>
        <v>12195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14139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45950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/>
      <c r="D31" s="122">
        <v>250049</v>
      </c>
      <c r="E31" s="12" t="s">
        <v>555</v>
      </c>
      <c r="F31" s="40">
        <v>304</v>
      </c>
      <c r="G31" s="41">
        <v>0.9</v>
      </c>
      <c r="H31" s="40">
        <v>543</v>
      </c>
      <c r="I31" s="12">
        <v>5</v>
      </c>
      <c r="J31" s="165"/>
      <c r="K31" s="166"/>
      <c r="L31" s="165">
        <v>466</v>
      </c>
      <c r="M31" s="166"/>
      <c r="N31" s="165"/>
      <c r="O31" s="166"/>
      <c r="P31" s="165"/>
      <c r="Q31" s="166"/>
      <c r="R31" s="121">
        <v>30</v>
      </c>
      <c r="S31" s="14" t="s">
        <v>20</v>
      </c>
      <c r="T31" s="42" t="s">
        <v>216</v>
      </c>
      <c r="U31" s="177"/>
      <c r="V31" s="178"/>
      <c r="W31" s="179"/>
    </row>
    <row r="32" spans="1:23" ht="14.55" customHeight="1" x14ac:dyDescent="0.3">
      <c r="A32" s="181"/>
      <c r="B32" s="5"/>
      <c r="C32" s="5">
        <v>0.70833333333333337</v>
      </c>
      <c r="D32" s="122">
        <v>250042</v>
      </c>
      <c r="E32" s="12" t="s">
        <v>555</v>
      </c>
      <c r="F32" s="40">
        <v>304</v>
      </c>
      <c r="G32" s="41">
        <v>0.9</v>
      </c>
      <c r="H32" s="40">
        <v>543</v>
      </c>
      <c r="I32" s="12">
        <v>5</v>
      </c>
      <c r="J32" s="165"/>
      <c r="K32" s="166"/>
      <c r="L32" s="165">
        <v>600</v>
      </c>
      <c r="M32" s="166"/>
      <c r="N32" s="165"/>
      <c r="O32" s="166"/>
      <c r="P32" s="165"/>
      <c r="Q32" s="166"/>
      <c r="R32" s="121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121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1"/>
      <c r="B34" s="5"/>
      <c r="C34" s="5"/>
      <c r="D34" s="4"/>
      <c r="E34" s="12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121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82"/>
      <c r="B35" s="19"/>
      <c r="C35" s="19"/>
      <c r="D35" s="20"/>
      <c r="E35" s="170" t="s">
        <v>0</v>
      </c>
      <c r="F35" s="171"/>
      <c r="G35" s="171"/>
      <c r="H35" s="171"/>
      <c r="I35" s="172"/>
      <c r="J35" s="173">
        <f>SUM(J31:K34)</f>
        <v>0</v>
      </c>
      <c r="K35" s="174"/>
      <c r="L35" s="173">
        <f>SUM(L31:M34)</f>
        <v>1066</v>
      </c>
      <c r="M35" s="174"/>
      <c r="N35" s="173">
        <f>SUM(N31:O34)</f>
        <v>0</v>
      </c>
      <c r="O35" s="174"/>
      <c r="P35" s="173">
        <f>SUM(P31:Q34)</f>
        <v>0</v>
      </c>
      <c r="Q35" s="174"/>
      <c r="R35" s="23">
        <f>SUM(R31:R34)</f>
        <v>30</v>
      </c>
      <c r="S35" s="24" t="s">
        <v>20</v>
      </c>
      <c r="T35" s="19"/>
      <c r="U35" s="177"/>
      <c r="V35" s="178"/>
      <c r="W35" s="179"/>
    </row>
    <row r="36" spans="1:23" ht="14.55" customHeight="1" x14ac:dyDescent="0.3">
      <c r="A36" s="163" t="s">
        <v>34</v>
      </c>
      <c r="B36" s="5">
        <v>0.33333333333333331</v>
      </c>
      <c r="C36" s="5"/>
      <c r="D36" s="122">
        <v>20125</v>
      </c>
      <c r="E36" s="12" t="s">
        <v>556</v>
      </c>
      <c r="F36" s="40">
        <v>304</v>
      </c>
      <c r="G36" s="41">
        <v>0.6</v>
      </c>
      <c r="H36" s="40">
        <v>277</v>
      </c>
      <c r="I36" s="12">
        <v>7</v>
      </c>
      <c r="J36" s="165">
        <v>1000</v>
      </c>
      <c r="K36" s="166"/>
      <c r="L36" s="165"/>
      <c r="M36" s="166"/>
      <c r="N36" s="165"/>
      <c r="O36" s="166"/>
      <c r="P36" s="165"/>
      <c r="Q36" s="166"/>
      <c r="R36" s="121">
        <v>60</v>
      </c>
      <c r="S36" s="14" t="s">
        <v>20</v>
      </c>
      <c r="T36" s="42" t="s">
        <v>163</v>
      </c>
      <c r="U36" s="177"/>
      <c r="V36" s="178"/>
      <c r="W36" s="179"/>
    </row>
    <row r="37" spans="1:23" ht="14.55" customHeight="1" x14ac:dyDescent="0.3">
      <c r="A37" s="163"/>
      <c r="B37" s="5"/>
      <c r="C37" s="5">
        <v>0.70833333333333337</v>
      </c>
      <c r="D37" s="122">
        <v>20125</v>
      </c>
      <c r="E37" s="12" t="s">
        <v>557</v>
      </c>
      <c r="F37" s="40">
        <v>304</v>
      </c>
      <c r="G37" s="41">
        <v>0.6</v>
      </c>
      <c r="H37" s="40">
        <v>234</v>
      </c>
      <c r="I37" s="12">
        <v>7</v>
      </c>
      <c r="J37" s="165">
        <v>850</v>
      </c>
      <c r="K37" s="166"/>
      <c r="L37" s="165"/>
      <c r="M37" s="166"/>
      <c r="N37" s="165"/>
      <c r="O37" s="166"/>
      <c r="P37" s="165"/>
      <c r="Q37" s="166"/>
      <c r="R37" s="121">
        <v>45</v>
      </c>
      <c r="S37" s="14" t="s">
        <v>20</v>
      </c>
      <c r="T37" s="42" t="s">
        <v>93</v>
      </c>
      <c r="U37" s="177"/>
      <c r="V37" s="178"/>
      <c r="W37" s="179"/>
    </row>
    <row r="38" spans="1:23" ht="14.55" customHeight="1" x14ac:dyDescent="0.3">
      <c r="A38" s="163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121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4"/>
      <c r="B39" s="19"/>
      <c r="C39" s="19"/>
      <c r="D39" s="20"/>
      <c r="E39" s="170" t="s">
        <v>0</v>
      </c>
      <c r="F39" s="171"/>
      <c r="G39" s="171"/>
      <c r="H39" s="171"/>
      <c r="I39" s="172"/>
      <c r="J39" s="173">
        <f>SUM(J36:K38)</f>
        <v>1850</v>
      </c>
      <c r="K39" s="174"/>
      <c r="L39" s="173">
        <f>SUM(L36:M38)</f>
        <v>0</v>
      </c>
      <c r="M39" s="174"/>
      <c r="N39" s="173">
        <f>SUM(N36:O38)</f>
        <v>0</v>
      </c>
      <c r="O39" s="174"/>
      <c r="P39" s="173">
        <f>SUM(P36:Q38)</f>
        <v>0</v>
      </c>
      <c r="Q39" s="174"/>
      <c r="R39" s="23">
        <f>SUM(R36:R38)</f>
        <v>105</v>
      </c>
      <c r="S39" s="24" t="s">
        <v>20</v>
      </c>
      <c r="T39" s="19"/>
      <c r="U39" s="177"/>
      <c r="V39" s="178"/>
      <c r="W39" s="179"/>
    </row>
    <row r="40" spans="1:23" ht="14.55" customHeight="1" x14ac:dyDescent="0.3">
      <c r="A40" s="163" t="s">
        <v>35</v>
      </c>
      <c r="B40" s="5">
        <v>0.33333333333333331</v>
      </c>
      <c r="C40" s="5"/>
      <c r="D40" s="4">
        <v>131025</v>
      </c>
      <c r="E40" s="12" t="s">
        <v>523</v>
      </c>
      <c r="F40" s="40">
        <v>304</v>
      </c>
      <c r="G40" s="41">
        <v>0.9</v>
      </c>
      <c r="H40" s="40">
        <v>43</v>
      </c>
      <c r="I40" s="12"/>
      <c r="J40" s="165"/>
      <c r="K40" s="166"/>
      <c r="L40" s="165"/>
      <c r="M40" s="166"/>
      <c r="N40" s="165"/>
      <c r="O40" s="166"/>
      <c r="P40" s="165">
        <v>1100</v>
      </c>
      <c r="Q40" s="166"/>
      <c r="R40" s="121"/>
      <c r="S40" s="14" t="s">
        <v>20</v>
      </c>
      <c r="T40" s="42"/>
      <c r="U40" s="247" t="s">
        <v>560</v>
      </c>
      <c r="V40" s="248"/>
      <c r="W40" s="249"/>
    </row>
    <row r="41" spans="1:23" ht="14.55" customHeight="1" x14ac:dyDescent="0.3">
      <c r="A41" s="163"/>
      <c r="B41" s="5"/>
      <c r="C41" s="5"/>
      <c r="D41" s="12" t="s">
        <v>248</v>
      </c>
      <c r="E41" s="12" t="s">
        <v>558</v>
      </c>
      <c r="F41" s="40" t="s">
        <v>250</v>
      </c>
      <c r="G41" s="41" t="s">
        <v>250</v>
      </c>
      <c r="H41" s="40" t="s">
        <v>250</v>
      </c>
      <c r="I41" s="12"/>
      <c r="J41" s="165"/>
      <c r="K41" s="166"/>
      <c r="L41" s="165"/>
      <c r="M41" s="166"/>
      <c r="N41" s="165">
        <v>50</v>
      </c>
      <c r="O41" s="166"/>
      <c r="P41" s="165"/>
      <c r="Q41" s="166"/>
      <c r="R41" s="121">
        <v>240</v>
      </c>
      <c r="S41" s="14" t="s">
        <v>20</v>
      </c>
      <c r="T41" s="42" t="s">
        <v>93</v>
      </c>
      <c r="U41" s="247"/>
      <c r="V41" s="248"/>
      <c r="W41" s="249"/>
    </row>
    <row r="42" spans="1:23" ht="14.55" customHeight="1" x14ac:dyDescent="0.3">
      <c r="A42" s="163"/>
      <c r="B42" s="5"/>
      <c r="C42" s="5">
        <v>0.70833333333333337</v>
      </c>
      <c r="D42" s="12" t="s">
        <v>248</v>
      </c>
      <c r="E42" s="12" t="s">
        <v>559</v>
      </c>
      <c r="F42" s="40" t="s">
        <v>250</v>
      </c>
      <c r="G42" s="41" t="s">
        <v>250</v>
      </c>
      <c r="H42" s="40" t="s">
        <v>250</v>
      </c>
      <c r="I42" s="12"/>
      <c r="J42" s="165"/>
      <c r="K42" s="166"/>
      <c r="L42" s="165"/>
      <c r="M42" s="166"/>
      <c r="N42" s="165">
        <v>50</v>
      </c>
      <c r="O42" s="166"/>
      <c r="P42" s="165"/>
      <c r="Q42" s="166"/>
      <c r="R42" s="121"/>
      <c r="S42" s="14" t="s">
        <v>20</v>
      </c>
      <c r="T42" s="42"/>
      <c r="U42" s="247"/>
      <c r="V42" s="248"/>
      <c r="W42" s="249"/>
    </row>
    <row r="43" spans="1:23" ht="14.55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121"/>
      <c r="S43" s="14" t="s">
        <v>20</v>
      </c>
      <c r="T43" s="42"/>
      <c r="U43" s="247"/>
      <c r="V43" s="248"/>
      <c r="W43" s="249"/>
    </row>
    <row r="44" spans="1:23" ht="14.55" customHeight="1" x14ac:dyDescent="0.3">
      <c r="A44" s="164"/>
      <c r="B44" s="19"/>
      <c r="C44" s="19"/>
      <c r="D44" s="20"/>
      <c r="E44" s="170" t="s">
        <v>0</v>
      </c>
      <c r="F44" s="171"/>
      <c r="G44" s="171"/>
      <c r="H44" s="171"/>
      <c r="I44" s="172"/>
      <c r="J44" s="173">
        <f>SUM(J40:K43)</f>
        <v>0</v>
      </c>
      <c r="K44" s="174"/>
      <c r="L44" s="173">
        <f>SUM(L40:M43)</f>
        <v>0</v>
      </c>
      <c r="M44" s="174"/>
      <c r="N44" s="173">
        <f>SUM(N40:O43)</f>
        <v>100</v>
      </c>
      <c r="O44" s="174"/>
      <c r="P44" s="173">
        <f>SUM(P40:Q43)</f>
        <v>1100</v>
      </c>
      <c r="Q44" s="174"/>
      <c r="R44" s="23">
        <f>SUM(R40:R43)</f>
        <v>240</v>
      </c>
      <c r="S44" s="24" t="s">
        <v>20</v>
      </c>
      <c r="T44" s="19"/>
      <c r="U44" s="247"/>
      <c r="V44" s="248"/>
      <c r="W44" s="249"/>
    </row>
    <row r="45" spans="1:23" ht="14.55" customHeight="1" x14ac:dyDescent="0.3">
      <c r="A45" s="27"/>
      <c r="B45" s="27"/>
      <c r="C45" s="27"/>
      <c r="D45" s="27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27"/>
      <c r="S45" s="27"/>
      <c r="T45" s="39"/>
      <c r="U45" s="39"/>
      <c r="V45" s="39"/>
      <c r="W45" s="39"/>
    </row>
    <row r="46" spans="1:23" x14ac:dyDescent="0.3">
      <c r="E46" s="170" t="s">
        <v>31</v>
      </c>
      <c r="F46" s="171"/>
      <c r="G46" s="171"/>
      <c r="H46" s="171"/>
      <c r="I46" s="172"/>
      <c r="J46" s="175" t="s">
        <v>7</v>
      </c>
      <c r="K46" s="176"/>
      <c r="L46" s="175" t="s">
        <v>8</v>
      </c>
      <c r="M46" s="176"/>
      <c r="N46" s="175" t="s">
        <v>9</v>
      </c>
      <c r="O46" s="176"/>
      <c r="P46" s="175" t="s">
        <v>117</v>
      </c>
      <c r="Q46" s="176"/>
    </row>
    <row r="47" spans="1:23" s="2" customFormat="1" x14ac:dyDescent="0.3">
      <c r="E47" s="15"/>
      <c r="F47" s="15"/>
      <c r="G47" s="15"/>
      <c r="H47" s="15"/>
      <c r="I47" s="15"/>
      <c r="J47" s="30">
        <f>J35+J39+J44</f>
        <v>1850</v>
      </c>
      <c r="K47" s="31" t="s">
        <v>17</v>
      </c>
      <c r="L47" s="30">
        <f>L35+L39+L44</f>
        <v>1066</v>
      </c>
      <c r="M47" s="31" t="s">
        <v>17</v>
      </c>
      <c r="N47" s="30">
        <f>N35+N39+N44</f>
        <v>100</v>
      </c>
      <c r="O47" s="31" t="s">
        <v>17</v>
      </c>
      <c r="P47" s="30">
        <f>P35+P39+P44</f>
        <v>1100</v>
      </c>
      <c r="Q47" s="34" t="s">
        <v>17</v>
      </c>
    </row>
    <row r="48" spans="1:23" ht="24.45" customHeight="1" x14ac:dyDescent="0.3">
      <c r="E48" s="28"/>
      <c r="F48" s="28"/>
      <c r="G48" s="28"/>
      <c r="H48" s="28"/>
      <c r="I48" s="28"/>
      <c r="J48" s="167">
        <f>J47+L47+N47+P47</f>
        <v>4116</v>
      </c>
      <c r="K48" s="168"/>
      <c r="L48" s="168"/>
      <c r="M48" s="168"/>
      <c r="N48" s="168"/>
      <c r="O48" s="168"/>
      <c r="P48" s="168"/>
      <c r="Q48" s="169"/>
    </row>
    <row r="49" spans="1:23" ht="30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spans="1:23" s="37" customFormat="1" ht="19.95" customHeight="1" x14ac:dyDescent="0.4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214" t="s">
        <v>14</v>
      </c>
      <c r="R50" s="215"/>
      <c r="S50" s="216"/>
      <c r="T50" s="184">
        <f>T3</f>
        <v>45950</v>
      </c>
      <c r="U50" s="185"/>
      <c r="V50" s="185"/>
      <c r="W50" s="186"/>
    </row>
    <row r="51" spans="1:23" s="16" customFormat="1" ht="30" customHeight="1" x14ac:dyDescent="0.3">
      <c r="A51" s="187" t="s">
        <v>26</v>
      </c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9"/>
      <c r="Q51" s="189"/>
      <c r="R51" s="189"/>
      <c r="S51" s="189"/>
      <c r="T51" s="188"/>
      <c r="U51" s="188"/>
      <c r="V51" s="188"/>
      <c r="W51" s="190"/>
    </row>
    <row r="52" spans="1:23" s="26" customFormat="1" ht="13.8" x14ac:dyDescent="0.3">
      <c r="A52" s="191" t="s">
        <v>1</v>
      </c>
      <c r="B52" s="192" t="s">
        <v>2</v>
      </c>
      <c r="C52" s="192" t="s">
        <v>3</v>
      </c>
      <c r="D52" s="192" t="s">
        <v>4</v>
      </c>
      <c r="E52" s="193" t="s">
        <v>5</v>
      </c>
      <c r="F52" s="197"/>
      <c r="G52" s="197"/>
      <c r="H52" s="197"/>
      <c r="I52" s="198"/>
      <c r="J52" s="193" t="s">
        <v>6</v>
      </c>
      <c r="K52" s="197"/>
      <c r="L52" s="197"/>
      <c r="M52" s="197"/>
      <c r="N52" s="197"/>
      <c r="O52" s="197"/>
      <c r="P52" s="197"/>
      <c r="Q52" s="198"/>
      <c r="R52" s="193" t="s">
        <v>10</v>
      </c>
      <c r="S52" s="198"/>
      <c r="T52" s="191" t="s">
        <v>11</v>
      </c>
      <c r="U52" s="191" t="s">
        <v>12</v>
      </c>
      <c r="V52" s="191"/>
      <c r="W52" s="191"/>
    </row>
    <row r="53" spans="1:23" s="26" customFormat="1" ht="13.8" x14ac:dyDescent="0.3">
      <c r="A53" s="191"/>
      <c r="B53" s="192"/>
      <c r="C53" s="192"/>
      <c r="D53" s="192"/>
      <c r="E53" s="194"/>
      <c r="F53" s="217"/>
      <c r="G53" s="217"/>
      <c r="H53" s="217"/>
      <c r="I53" s="199"/>
      <c r="J53" s="200" t="s">
        <v>7</v>
      </c>
      <c r="K53" s="201"/>
      <c r="L53" s="200" t="s">
        <v>8</v>
      </c>
      <c r="M53" s="201"/>
      <c r="N53" s="200" t="s">
        <v>9</v>
      </c>
      <c r="O53" s="201"/>
      <c r="P53" s="200" t="s">
        <v>117</v>
      </c>
      <c r="Q53" s="201"/>
      <c r="R53" s="194"/>
      <c r="S53" s="199"/>
      <c r="T53" s="191"/>
      <c r="U53" s="191"/>
      <c r="V53" s="191"/>
      <c r="W53" s="191"/>
    </row>
    <row r="54" spans="1:23" ht="15.6" x14ac:dyDescent="0.3">
      <c r="A54" s="180" t="s">
        <v>13</v>
      </c>
      <c r="B54" s="5">
        <v>0.33333333333333331</v>
      </c>
      <c r="C54" s="5"/>
      <c r="D54" s="123">
        <v>250057</v>
      </c>
      <c r="E54" s="211" t="s">
        <v>561</v>
      </c>
      <c r="F54" s="212"/>
      <c r="G54" s="212"/>
      <c r="H54" s="212"/>
      <c r="I54" s="213"/>
      <c r="J54" s="165">
        <v>437</v>
      </c>
      <c r="K54" s="166"/>
      <c r="L54" s="165"/>
      <c r="M54" s="166"/>
      <c r="N54" s="165"/>
      <c r="O54" s="166"/>
      <c r="P54" s="165"/>
      <c r="Q54" s="166"/>
      <c r="R54" s="121">
        <v>40</v>
      </c>
      <c r="S54" s="6" t="s">
        <v>20</v>
      </c>
      <c r="T54" s="3" t="s">
        <v>93</v>
      </c>
      <c r="U54" s="202"/>
      <c r="V54" s="203"/>
      <c r="W54" s="204"/>
    </row>
    <row r="55" spans="1:23" ht="15.6" x14ac:dyDescent="0.3">
      <c r="A55" s="163"/>
      <c r="B55" s="5"/>
      <c r="C55" s="5"/>
      <c r="D55" s="123">
        <v>250057</v>
      </c>
      <c r="E55" s="211" t="s">
        <v>562</v>
      </c>
      <c r="F55" s="212"/>
      <c r="G55" s="212"/>
      <c r="H55" s="212"/>
      <c r="I55" s="213"/>
      <c r="J55" s="165"/>
      <c r="K55" s="166"/>
      <c r="L55" s="165"/>
      <c r="M55" s="166"/>
      <c r="N55" s="165">
        <v>504</v>
      </c>
      <c r="O55" s="166"/>
      <c r="P55" s="165"/>
      <c r="Q55" s="166"/>
      <c r="R55" s="121">
        <v>40</v>
      </c>
      <c r="S55" s="6" t="s">
        <v>20</v>
      </c>
      <c r="T55" s="3" t="s">
        <v>93</v>
      </c>
      <c r="U55" s="205"/>
      <c r="V55" s="206"/>
      <c r="W55" s="207"/>
    </row>
    <row r="56" spans="1:23" ht="15.6" x14ac:dyDescent="0.3">
      <c r="A56" s="163"/>
      <c r="B56" s="5"/>
      <c r="C56" s="5"/>
      <c r="D56" s="123">
        <v>250061</v>
      </c>
      <c r="E56" s="211" t="s">
        <v>563</v>
      </c>
      <c r="F56" s="212"/>
      <c r="G56" s="212"/>
      <c r="H56" s="212"/>
      <c r="I56" s="213"/>
      <c r="J56" s="165"/>
      <c r="K56" s="166"/>
      <c r="L56" s="165"/>
      <c r="M56" s="166"/>
      <c r="N56" s="165">
        <v>622</v>
      </c>
      <c r="O56" s="166"/>
      <c r="P56" s="165"/>
      <c r="Q56" s="166"/>
      <c r="R56" s="121">
        <v>40</v>
      </c>
      <c r="S56" s="6" t="s">
        <v>20</v>
      </c>
      <c r="T56" s="3" t="s">
        <v>93</v>
      </c>
      <c r="U56" s="205"/>
      <c r="V56" s="206"/>
      <c r="W56" s="207"/>
    </row>
    <row r="57" spans="1:23" x14ac:dyDescent="0.3">
      <c r="A57" s="163"/>
      <c r="B57" s="5"/>
      <c r="C57" s="5"/>
      <c r="D57" s="102">
        <v>230925</v>
      </c>
      <c r="E57" s="211" t="s">
        <v>456</v>
      </c>
      <c r="F57" s="212"/>
      <c r="G57" s="212"/>
      <c r="H57" s="212"/>
      <c r="I57" s="213"/>
      <c r="J57" s="165"/>
      <c r="K57" s="166"/>
      <c r="L57" s="165"/>
      <c r="M57" s="166"/>
      <c r="N57" s="165">
        <v>1046</v>
      </c>
      <c r="O57" s="166"/>
      <c r="P57" s="165"/>
      <c r="Q57" s="166"/>
      <c r="R57" s="121">
        <v>40</v>
      </c>
      <c r="S57" s="6" t="s">
        <v>20</v>
      </c>
      <c r="T57" s="3" t="s">
        <v>93</v>
      </c>
      <c r="U57" s="205"/>
      <c r="V57" s="206"/>
      <c r="W57" s="207"/>
    </row>
    <row r="58" spans="1:23" ht="15.6" x14ac:dyDescent="0.3">
      <c r="A58" s="163"/>
      <c r="B58" s="5"/>
      <c r="C58" s="5">
        <v>0.70833333333333337</v>
      </c>
      <c r="D58" s="123">
        <v>250052</v>
      </c>
      <c r="E58" s="211" t="s">
        <v>564</v>
      </c>
      <c r="F58" s="212"/>
      <c r="G58" s="212"/>
      <c r="H58" s="212"/>
      <c r="I58" s="213"/>
      <c r="J58" s="165">
        <v>807</v>
      </c>
      <c r="K58" s="166"/>
      <c r="L58" s="165"/>
      <c r="M58" s="166"/>
      <c r="N58" s="165"/>
      <c r="O58" s="166"/>
      <c r="P58" s="165"/>
      <c r="Q58" s="166"/>
      <c r="R58" s="121">
        <v>40</v>
      </c>
      <c r="S58" s="6" t="s">
        <v>20</v>
      </c>
      <c r="T58" s="3" t="s">
        <v>565</v>
      </c>
      <c r="U58" s="205"/>
      <c r="V58" s="206"/>
      <c r="W58" s="207"/>
    </row>
    <row r="59" spans="1:23" x14ac:dyDescent="0.3">
      <c r="A59" s="163"/>
      <c r="B59" s="5"/>
      <c r="C59" s="5"/>
      <c r="D59" s="4"/>
      <c r="E59" s="211"/>
      <c r="F59" s="212"/>
      <c r="G59" s="212"/>
      <c r="H59" s="212"/>
      <c r="I59" s="213"/>
      <c r="J59" s="165"/>
      <c r="K59" s="166"/>
      <c r="L59" s="165"/>
      <c r="M59" s="166"/>
      <c r="N59" s="165"/>
      <c r="O59" s="166"/>
      <c r="P59" s="165"/>
      <c r="Q59" s="166"/>
      <c r="R59" s="121"/>
      <c r="S59" s="6" t="s">
        <v>20</v>
      </c>
      <c r="T59" s="3"/>
      <c r="U59" s="205"/>
      <c r="V59" s="206"/>
      <c r="W59" s="207"/>
    </row>
    <row r="60" spans="1:23" x14ac:dyDescent="0.3">
      <c r="A60" s="163"/>
      <c r="B60" s="5"/>
      <c r="C60" s="5"/>
      <c r="D60" s="4"/>
      <c r="E60" s="211"/>
      <c r="F60" s="212"/>
      <c r="G60" s="212"/>
      <c r="H60" s="212"/>
      <c r="I60" s="213"/>
      <c r="J60" s="165"/>
      <c r="K60" s="166"/>
      <c r="L60" s="165"/>
      <c r="M60" s="166"/>
      <c r="N60" s="165"/>
      <c r="O60" s="166"/>
      <c r="P60" s="165"/>
      <c r="Q60" s="166"/>
      <c r="R60" s="121"/>
      <c r="S60" s="6" t="s">
        <v>20</v>
      </c>
      <c r="T60" s="3"/>
      <c r="U60" s="205"/>
      <c r="V60" s="206"/>
      <c r="W60" s="207"/>
    </row>
    <row r="61" spans="1:23" x14ac:dyDescent="0.3">
      <c r="A61" s="164"/>
      <c r="B61" s="19"/>
      <c r="C61" s="19"/>
      <c r="D61" s="20"/>
      <c r="E61" s="170" t="s">
        <v>0</v>
      </c>
      <c r="F61" s="171"/>
      <c r="G61" s="171"/>
      <c r="H61" s="171"/>
      <c r="I61" s="172"/>
      <c r="J61" s="173">
        <f>SUM(J54:J60)</f>
        <v>1244</v>
      </c>
      <c r="K61" s="174"/>
      <c r="L61" s="173">
        <f>SUM(L54:L60)</f>
        <v>0</v>
      </c>
      <c r="M61" s="174"/>
      <c r="N61" s="173">
        <f>SUM(N54:N60)</f>
        <v>2172</v>
      </c>
      <c r="O61" s="174"/>
      <c r="P61" s="173">
        <f>SUM(P54:P60)</f>
        <v>0</v>
      </c>
      <c r="Q61" s="174"/>
      <c r="R61" s="23">
        <f>SUM(R54:R60)</f>
        <v>200</v>
      </c>
      <c r="S61" s="24" t="s">
        <v>20</v>
      </c>
      <c r="T61" s="19"/>
      <c r="U61" s="208"/>
      <c r="V61" s="209"/>
      <c r="W61" s="210"/>
    </row>
    <row r="62" spans="1:23" x14ac:dyDescent="0.3">
      <c r="A62" s="180" t="s">
        <v>15</v>
      </c>
      <c r="B62" s="5"/>
      <c r="C62" s="5"/>
      <c r="D62" s="4"/>
      <c r="E62" s="211"/>
      <c r="F62" s="212"/>
      <c r="G62" s="212"/>
      <c r="H62" s="212"/>
      <c r="I62" s="213"/>
      <c r="J62" s="165"/>
      <c r="K62" s="166"/>
      <c r="L62" s="165"/>
      <c r="M62" s="166"/>
      <c r="N62" s="165"/>
      <c r="O62" s="166"/>
      <c r="P62" s="165"/>
      <c r="Q62" s="166"/>
      <c r="R62" s="121"/>
      <c r="S62" s="6" t="s">
        <v>20</v>
      </c>
      <c r="T62" s="3"/>
      <c r="U62" s="202"/>
      <c r="V62" s="203"/>
      <c r="W62" s="204"/>
    </row>
    <row r="63" spans="1:23" x14ac:dyDescent="0.3">
      <c r="A63" s="163"/>
      <c r="B63" s="5"/>
      <c r="C63" s="5"/>
      <c r="D63" s="4"/>
      <c r="E63" s="211"/>
      <c r="F63" s="212"/>
      <c r="G63" s="212"/>
      <c r="H63" s="212"/>
      <c r="I63" s="213"/>
      <c r="J63" s="165"/>
      <c r="K63" s="166"/>
      <c r="L63" s="165"/>
      <c r="M63" s="166"/>
      <c r="N63" s="165"/>
      <c r="O63" s="166"/>
      <c r="P63" s="165"/>
      <c r="Q63" s="166"/>
      <c r="R63" s="121"/>
      <c r="S63" s="6" t="s">
        <v>20</v>
      </c>
      <c r="T63" s="3"/>
      <c r="U63" s="205"/>
      <c r="V63" s="206"/>
      <c r="W63" s="207"/>
    </row>
    <row r="64" spans="1:23" x14ac:dyDescent="0.3">
      <c r="A64" s="163"/>
      <c r="B64" s="5"/>
      <c r="C64" s="5"/>
      <c r="D64" s="4"/>
      <c r="E64" s="211"/>
      <c r="F64" s="212"/>
      <c r="G64" s="212"/>
      <c r="H64" s="212"/>
      <c r="I64" s="213"/>
      <c r="J64" s="165"/>
      <c r="K64" s="166"/>
      <c r="L64" s="165"/>
      <c r="M64" s="166"/>
      <c r="N64" s="165"/>
      <c r="O64" s="166"/>
      <c r="P64" s="165"/>
      <c r="Q64" s="166"/>
      <c r="R64" s="121"/>
      <c r="S64" s="6" t="s">
        <v>20</v>
      </c>
      <c r="T64" s="3"/>
      <c r="U64" s="205"/>
      <c r="V64" s="206"/>
      <c r="W64" s="207"/>
    </row>
    <row r="65" spans="1:23" x14ac:dyDescent="0.3">
      <c r="A65" s="164"/>
      <c r="B65" s="19"/>
      <c r="C65" s="19"/>
      <c r="D65" s="20"/>
      <c r="E65" s="170" t="s">
        <v>0</v>
      </c>
      <c r="F65" s="171"/>
      <c r="G65" s="171"/>
      <c r="H65" s="171"/>
      <c r="I65" s="172"/>
      <c r="J65" s="173">
        <f>SUM(J62:J64)</f>
        <v>0</v>
      </c>
      <c r="K65" s="174"/>
      <c r="L65" s="173">
        <f>SUM(L62:L64)</f>
        <v>0</v>
      </c>
      <c r="M65" s="174"/>
      <c r="N65" s="173">
        <f>SUM(N62:N64)</f>
        <v>0</v>
      </c>
      <c r="O65" s="174"/>
      <c r="P65" s="173">
        <f>SUM(P57:P64)</f>
        <v>0</v>
      </c>
      <c r="Q65" s="174"/>
      <c r="R65" s="23">
        <f>SUM(R62:R64)</f>
        <v>0</v>
      </c>
      <c r="S65" s="24" t="s">
        <v>20</v>
      </c>
      <c r="T65" s="7"/>
      <c r="U65" s="208"/>
      <c r="V65" s="209"/>
      <c r="W65" s="210"/>
    </row>
    <row r="66" spans="1:23" x14ac:dyDescent="0.3">
      <c r="E66" s="28"/>
      <c r="F66" s="28"/>
      <c r="G66" s="28"/>
      <c r="H66" s="28"/>
      <c r="I66" s="28"/>
      <c r="J66" s="29"/>
      <c r="K66" s="29"/>
      <c r="L66" s="29"/>
      <c r="M66" s="29"/>
      <c r="N66" s="29"/>
      <c r="O66" s="29"/>
      <c r="P66" s="29"/>
      <c r="Q66" s="29"/>
    </row>
    <row r="67" spans="1:23" x14ac:dyDescent="0.3">
      <c r="E67" s="170" t="s">
        <v>28</v>
      </c>
      <c r="F67" s="171"/>
      <c r="G67" s="171"/>
      <c r="H67" s="171"/>
      <c r="I67" s="172"/>
      <c r="J67" s="175" t="s">
        <v>7</v>
      </c>
      <c r="K67" s="176"/>
      <c r="L67" s="175" t="s">
        <v>8</v>
      </c>
      <c r="M67" s="176"/>
      <c r="N67" s="175" t="s">
        <v>9</v>
      </c>
      <c r="O67" s="176"/>
      <c r="P67" s="175" t="s">
        <v>117</v>
      </c>
      <c r="Q67" s="176"/>
    </row>
    <row r="68" spans="1:23" s="2" customFormat="1" x14ac:dyDescent="0.3">
      <c r="E68" s="15"/>
      <c r="F68" s="15"/>
      <c r="G68" s="15"/>
      <c r="H68" s="15"/>
      <c r="I68" s="15"/>
      <c r="J68" s="30">
        <f>J61+J65</f>
        <v>1244</v>
      </c>
      <c r="K68" s="31" t="s">
        <v>17</v>
      </c>
      <c r="L68" s="32">
        <f>L61+L65</f>
        <v>0</v>
      </c>
      <c r="M68" s="31" t="s">
        <v>17</v>
      </c>
      <c r="N68" s="32">
        <f>N61+N65</f>
        <v>2172</v>
      </c>
      <c r="O68" s="31" t="s">
        <v>17</v>
      </c>
      <c r="P68" s="32">
        <f>P61+P65</f>
        <v>0</v>
      </c>
      <c r="Q68" s="34" t="s">
        <v>17</v>
      </c>
    </row>
    <row r="69" spans="1:23" ht="24.45" customHeight="1" x14ac:dyDescent="0.3">
      <c r="E69" s="28"/>
      <c r="F69" s="28"/>
      <c r="G69" s="28"/>
      <c r="H69" s="28"/>
      <c r="I69" s="28"/>
      <c r="J69" s="167">
        <f>J68+L68+N68+P68</f>
        <v>3416</v>
      </c>
      <c r="K69" s="168"/>
      <c r="L69" s="168"/>
      <c r="M69" s="168"/>
      <c r="N69" s="168"/>
      <c r="O69" s="168"/>
      <c r="P69" s="168"/>
      <c r="Q69" s="169"/>
    </row>
  </sheetData>
  <mergeCells count="262">
    <mergeCell ref="E67:I67"/>
    <mergeCell ref="J67:K67"/>
    <mergeCell ref="L67:M67"/>
    <mergeCell ref="N67:O67"/>
    <mergeCell ref="P67:Q67"/>
    <mergeCell ref="J69:Q69"/>
    <mergeCell ref="N64:O64"/>
    <mergeCell ref="P64:Q64"/>
    <mergeCell ref="E65:I65"/>
    <mergeCell ref="J65:K65"/>
    <mergeCell ref="L65:M65"/>
    <mergeCell ref="N65:O65"/>
    <mergeCell ref="P65:Q65"/>
    <mergeCell ref="U62:W65"/>
    <mergeCell ref="E63:I63"/>
    <mergeCell ref="J63:K63"/>
    <mergeCell ref="L63:M63"/>
    <mergeCell ref="N63:O63"/>
    <mergeCell ref="P63:Q63"/>
    <mergeCell ref="E64:I64"/>
    <mergeCell ref="J64:K64"/>
    <mergeCell ref="L64:M64"/>
    <mergeCell ref="E61:I61"/>
    <mergeCell ref="J61:K61"/>
    <mergeCell ref="L61:M61"/>
    <mergeCell ref="N61:O61"/>
    <mergeCell ref="P61:Q61"/>
    <mergeCell ref="A62:A65"/>
    <mergeCell ref="E62:I62"/>
    <mergeCell ref="J62:K62"/>
    <mergeCell ref="L62:M62"/>
    <mergeCell ref="N62:O62"/>
    <mergeCell ref="A54:A61"/>
    <mergeCell ref="J57:K57"/>
    <mergeCell ref="L57:M57"/>
    <mergeCell ref="P62:Q62"/>
    <mergeCell ref="E59:I59"/>
    <mergeCell ref="J59:K59"/>
    <mergeCell ref="L59:M59"/>
    <mergeCell ref="N59:O59"/>
    <mergeCell ref="P59:Q59"/>
    <mergeCell ref="E60:I60"/>
    <mergeCell ref="J60:K60"/>
    <mergeCell ref="L60:M60"/>
    <mergeCell ref="N60:O60"/>
    <mergeCell ref="P60:Q60"/>
    <mergeCell ref="N57:O57"/>
    <mergeCell ref="P57:Q57"/>
    <mergeCell ref="E58:I58"/>
    <mergeCell ref="J58:K58"/>
    <mergeCell ref="L58:M58"/>
    <mergeCell ref="N58:O58"/>
    <mergeCell ref="P58:Q58"/>
    <mergeCell ref="U54:W61"/>
    <mergeCell ref="E55:I55"/>
    <mergeCell ref="J55:K55"/>
    <mergeCell ref="L55:M55"/>
    <mergeCell ref="N55:O55"/>
    <mergeCell ref="P55:Q55"/>
    <mergeCell ref="E56:I56"/>
    <mergeCell ref="J56:K56"/>
    <mergeCell ref="L56:M56"/>
    <mergeCell ref="N56:O56"/>
    <mergeCell ref="E54:I54"/>
    <mergeCell ref="J54:K54"/>
    <mergeCell ref="L54:M54"/>
    <mergeCell ref="N54:O54"/>
    <mergeCell ref="P54:Q54"/>
    <mergeCell ref="P56:Q56"/>
    <mergeCell ref="E57:I57"/>
    <mergeCell ref="E46:I46"/>
    <mergeCell ref="J46:K46"/>
    <mergeCell ref="L46:M46"/>
    <mergeCell ref="N46:O46"/>
    <mergeCell ref="P46:Q46"/>
    <mergeCell ref="R52:S53"/>
    <mergeCell ref="T52:T53"/>
    <mergeCell ref="U52:W53"/>
    <mergeCell ref="J53:K53"/>
    <mergeCell ref="L53:M53"/>
    <mergeCell ref="N53:O53"/>
    <mergeCell ref="P53:Q53"/>
    <mergeCell ref="J48:Q48"/>
    <mergeCell ref="Q50:S50"/>
    <mergeCell ref="T50:W50"/>
    <mergeCell ref="A51:W51"/>
    <mergeCell ref="A52:A53"/>
    <mergeCell ref="B52:B53"/>
    <mergeCell ref="C52:C53"/>
    <mergeCell ref="D52:D53"/>
    <mergeCell ref="E52:I53"/>
    <mergeCell ref="J52:Q52"/>
    <mergeCell ref="U40:W44"/>
    <mergeCell ref="J41:K41"/>
    <mergeCell ref="L41:M41"/>
    <mergeCell ref="N41:O41"/>
    <mergeCell ref="P41:Q41"/>
    <mergeCell ref="J42:K42"/>
    <mergeCell ref="L42:M42"/>
    <mergeCell ref="N42:O42"/>
    <mergeCell ref="P42:Q42"/>
    <mergeCell ref="J44:K44"/>
    <mergeCell ref="L44:M44"/>
    <mergeCell ref="N44:O44"/>
    <mergeCell ref="P44:Q44"/>
    <mergeCell ref="A40:A44"/>
    <mergeCell ref="J40:K40"/>
    <mergeCell ref="L40:M40"/>
    <mergeCell ref="N40:O40"/>
    <mergeCell ref="P40:Q40"/>
    <mergeCell ref="J43:K43"/>
    <mergeCell ref="L43:M43"/>
    <mergeCell ref="N43:O43"/>
    <mergeCell ref="P43:Q43"/>
    <mergeCell ref="E44:I44"/>
    <mergeCell ref="U36:W39"/>
    <mergeCell ref="J37:K37"/>
    <mergeCell ref="L37:M37"/>
    <mergeCell ref="N37:O37"/>
    <mergeCell ref="P37:Q37"/>
    <mergeCell ref="E39:I39"/>
    <mergeCell ref="J39:K39"/>
    <mergeCell ref="L39:M39"/>
    <mergeCell ref="N39:O39"/>
    <mergeCell ref="P39:Q39"/>
    <mergeCell ref="A36:A39"/>
    <mergeCell ref="J36:K36"/>
    <mergeCell ref="L36:M36"/>
    <mergeCell ref="N36:O36"/>
    <mergeCell ref="P36:Q36"/>
    <mergeCell ref="J38:K38"/>
    <mergeCell ref="L38:M38"/>
    <mergeCell ref="N38:O38"/>
    <mergeCell ref="P38:Q38"/>
    <mergeCell ref="U31:W35"/>
    <mergeCell ref="J32:K32"/>
    <mergeCell ref="L32:M32"/>
    <mergeCell ref="N32:O32"/>
    <mergeCell ref="P32:Q32"/>
    <mergeCell ref="E35:I35"/>
    <mergeCell ref="J35:K35"/>
    <mergeCell ref="L35:M35"/>
    <mergeCell ref="N35:O35"/>
    <mergeCell ref="P35:Q35"/>
    <mergeCell ref="A31:A35"/>
    <mergeCell ref="J31:K31"/>
    <mergeCell ref="L31:M31"/>
    <mergeCell ref="N31:O31"/>
    <mergeCell ref="P31:Q31"/>
    <mergeCell ref="G29:G30"/>
    <mergeCell ref="H29:H30"/>
    <mergeCell ref="I29:I30"/>
    <mergeCell ref="J29:Q29"/>
    <mergeCell ref="J33:K33"/>
    <mergeCell ref="L33:M33"/>
    <mergeCell ref="N33:O33"/>
    <mergeCell ref="P33:Q33"/>
    <mergeCell ref="J34:K34"/>
    <mergeCell ref="L34:M34"/>
    <mergeCell ref="N34:O34"/>
    <mergeCell ref="P34:Q34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W86"/>
  <sheetViews>
    <sheetView topLeftCell="A55" zoomScale="85" zoomScaleNormal="85" workbookViewId="0">
      <selection activeCell="A50" sqref="A50:W50"/>
    </sheetView>
  </sheetViews>
  <sheetFormatPr defaultColWidth="8.88671875" defaultRowHeight="14.4" x14ac:dyDescent="0.3"/>
  <cols>
    <col min="1" max="1" width="12.6640625" style="118" customWidth="1"/>
    <col min="2" max="3" width="7.6640625" style="118" customWidth="1"/>
    <col min="4" max="4" width="8.109375" style="8" bestFit="1" customWidth="1"/>
    <col min="5" max="5" width="35.6640625" style="118" customWidth="1"/>
    <col min="6" max="6" width="5.6640625" style="118" customWidth="1"/>
    <col min="7" max="9" width="6.6640625" style="118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18" customWidth="1"/>
    <col min="20" max="20" width="21.5546875" style="118" bestFit="1" customWidth="1"/>
    <col min="21" max="23" width="7.6640625" style="118" customWidth="1"/>
    <col min="24" max="16384" width="8.88671875" style="118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45951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 t="s">
        <v>102</v>
      </c>
      <c r="E7" s="12" t="s">
        <v>566</v>
      </c>
      <c r="F7" s="17">
        <v>220</v>
      </c>
      <c r="G7" s="17">
        <v>430</v>
      </c>
      <c r="H7" s="18">
        <v>0.5</v>
      </c>
      <c r="I7" s="17">
        <v>29000</v>
      </c>
      <c r="J7" s="165">
        <v>960</v>
      </c>
      <c r="K7" s="166"/>
      <c r="L7" s="165"/>
      <c r="M7" s="166"/>
      <c r="N7" s="165"/>
      <c r="O7" s="166"/>
      <c r="P7" s="165"/>
      <c r="Q7" s="166"/>
      <c r="R7" s="124">
        <v>10</v>
      </c>
      <c r="S7" s="14" t="s">
        <v>20</v>
      </c>
      <c r="T7" s="42" t="s">
        <v>111</v>
      </c>
      <c r="U7" s="202"/>
      <c r="V7" s="203"/>
      <c r="W7" s="204"/>
    </row>
    <row r="8" spans="1:23" x14ac:dyDescent="0.3">
      <c r="A8" s="181"/>
      <c r="B8" s="5"/>
      <c r="C8" s="5"/>
      <c r="D8" s="4" t="s">
        <v>248</v>
      </c>
      <c r="E8" s="12" t="s">
        <v>248</v>
      </c>
      <c r="F8" s="17">
        <v>525</v>
      </c>
      <c r="G8" s="17">
        <v>430</v>
      </c>
      <c r="H8" s="18">
        <v>0.5</v>
      </c>
      <c r="I8" s="17">
        <v>29000</v>
      </c>
      <c r="J8" s="165">
        <v>12</v>
      </c>
      <c r="K8" s="166"/>
      <c r="L8" s="165"/>
      <c r="M8" s="166"/>
      <c r="N8" s="165"/>
      <c r="O8" s="166"/>
      <c r="P8" s="165"/>
      <c r="Q8" s="166"/>
      <c r="R8" s="124">
        <v>10</v>
      </c>
      <c r="S8" s="14" t="s">
        <v>20</v>
      </c>
      <c r="T8" s="42" t="s">
        <v>570</v>
      </c>
      <c r="U8" s="205"/>
      <c r="V8" s="206"/>
      <c r="W8" s="207"/>
    </row>
    <row r="9" spans="1:23" x14ac:dyDescent="0.3">
      <c r="A9" s="181"/>
      <c r="B9" s="5"/>
      <c r="C9" s="5"/>
      <c r="D9" s="4" t="s">
        <v>248</v>
      </c>
      <c r="E9" s="12" t="s">
        <v>248</v>
      </c>
      <c r="F9" s="17">
        <v>342</v>
      </c>
      <c r="G9" s="17">
        <v>430</v>
      </c>
      <c r="H9" s="18">
        <v>0.5</v>
      </c>
      <c r="I9" s="17">
        <v>29000</v>
      </c>
      <c r="J9" s="165">
        <v>6</v>
      </c>
      <c r="K9" s="166"/>
      <c r="L9" s="165"/>
      <c r="M9" s="166"/>
      <c r="N9" s="165"/>
      <c r="O9" s="166"/>
      <c r="P9" s="165"/>
      <c r="Q9" s="166"/>
      <c r="R9" s="124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567</v>
      </c>
      <c r="F10" s="17">
        <v>220</v>
      </c>
      <c r="G10" s="17">
        <v>430</v>
      </c>
      <c r="H10" s="18">
        <v>0.5</v>
      </c>
      <c r="I10" s="17">
        <v>29000</v>
      </c>
      <c r="J10" s="165">
        <v>864</v>
      </c>
      <c r="K10" s="166"/>
      <c r="L10" s="165"/>
      <c r="M10" s="166"/>
      <c r="N10" s="165"/>
      <c r="O10" s="166"/>
      <c r="P10" s="165"/>
      <c r="Q10" s="166"/>
      <c r="R10" s="124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248</v>
      </c>
      <c r="E11" s="12" t="s">
        <v>248</v>
      </c>
      <c r="F11" s="17">
        <v>525</v>
      </c>
      <c r="G11" s="17">
        <v>430</v>
      </c>
      <c r="H11" s="18">
        <v>0.5</v>
      </c>
      <c r="I11" s="17">
        <v>29000</v>
      </c>
      <c r="J11" s="165">
        <v>36</v>
      </c>
      <c r="K11" s="166"/>
      <c r="L11" s="165"/>
      <c r="M11" s="166"/>
      <c r="N11" s="165"/>
      <c r="O11" s="166"/>
      <c r="P11" s="165"/>
      <c r="Q11" s="166"/>
      <c r="R11" s="124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248</v>
      </c>
      <c r="E12" s="12" t="s">
        <v>248</v>
      </c>
      <c r="F12" s="17">
        <v>342</v>
      </c>
      <c r="G12" s="17">
        <v>430</v>
      </c>
      <c r="H12" s="18">
        <v>0.5</v>
      </c>
      <c r="I12" s="17">
        <v>29000</v>
      </c>
      <c r="J12" s="165">
        <v>18</v>
      </c>
      <c r="K12" s="166"/>
      <c r="L12" s="165"/>
      <c r="M12" s="166"/>
      <c r="N12" s="165"/>
      <c r="O12" s="166"/>
      <c r="P12" s="165"/>
      <c r="Q12" s="166"/>
      <c r="R12" s="124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567</v>
      </c>
      <c r="F13" s="17">
        <v>220</v>
      </c>
      <c r="G13" s="17">
        <v>430</v>
      </c>
      <c r="H13" s="18">
        <v>0.5</v>
      </c>
      <c r="I13" s="17">
        <v>29000</v>
      </c>
      <c r="J13" s="165">
        <v>6672</v>
      </c>
      <c r="K13" s="166"/>
      <c r="L13" s="165"/>
      <c r="M13" s="166"/>
      <c r="N13" s="165"/>
      <c r="O13" s="166"/>
      <c r="P13" s="165"/>
      <c r="Q13" s="166"/>
      <c r="R13" s="124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 t="s">
        <v>102</v>
      </c>
      <c r="E14" s="12" t="s">
        <v>568</v>
      </c>
      <c r="F14" s="17">
        <v>200</v>
      </c>
      <c r="G14" s="17">
        <v>430</v>
      </c>
      <c r="H14" s="18">
        <v>0.5</v>
      </c>
      <c r="I14" s="17">
        <v>29000</v>
      </c>
      <c r="J14" s="165">
        <v>3840</v>
      </c>
      <c r="K14" s="166"/>
      <c r="L14" s="165"/>
      <c r="M14" s="166"/>
      <c r="N14" s="165"/>
      <c r="O14" s="166"/>
      <c r="P14" s="165"/>
      <c r="Q14" s="166"/>
      <c r="R14" s="124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>
        <v>0.70833333333333337</v>
      </c>
      <c r="D15" s="4" t="s">
        <v>102</v>
      </c>
      <c r="E15" s="12" t="s">
        <v>569</v>
      </c>
      <c r="F15" s="17" t="s">
        <v>313</v>
      </c>
      <c r="G15" s="17">
        <v>430</v>
      </c>
      <c r="H15" s="18">
        <v>0.5</v>
      </c>
      <c r="I15" s="17">
        <v>29000</v>
      </c>
      <c r="J15" s="165"/>
      <c r="K15" s="166"/>
      <c r="L15" s="165"/>
      <c r="M15" s="166"/>
      <c r="N15" s="165">
        <v>640</v>
      </c>
      <c r="O15" s="166"/>
      <c r="P15" s="165"/>
      <c r="Q15" s="166"/>
      <c r="R15" s="124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124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124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124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124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124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12408</v>
      </c>
      <c r="K21" s="22" t="s">
        <v>17</v>
      </c>
      <c r="L21" s="21">
        <f>SUM(L7:M20)</f>
        <v>0</v>
      </c>
      <c r="M21" s="22" t="s">
        <v>17</v>
      </c>
      <c r="N21" s="21">
        <f>SUM(N7:O20)</f>
        <v>640</v>
      </c>
      <c r="O21" s="22" t="s">
        <v>17</v>
      </c>
      <c r="P21" s="21">
        <f>SUM(P7:Q20)</f>
        <v>0</v>
      </c>
      <c r="Q21" s="22" t="s">
        <v>17</v>
      </c>
      <c r="R21" s="23">
        <f>SUM(R7:R20)</f>
        <v>20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12408</v>
      </c>
      <c r="K24" s="31" t="s">
        <v>17</v>
      </c>
      <c r="L24" s="32">
        <f>L21</f>
        <v>0</v>
      </c>
      <c r="M24" s="31" t="s">
        <v>17</v>
      </c>
      <c r="N24" s="32">
        <f>N21</f>
        <v>640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13048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45951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/>
      <c r="D31" s="126">
        <v>250079</v>
      </c>
      <c r="E31" s="12" t="s">
        <v>573</v>
      </c>
      <c r="F31" s="40">
        <v>304</v>
      </c>
      <c r="G31" s="41">
        <v>0.7</v>
      </c>
      <c r="H31" s="40">
        <v>315</v>
      </c>
      <c r="I31" s="12">
        <v>1</v>
      </c>
      <c r="J31" s="165">
        <v>964</v>
      </c>
      <c r="K31" s="166"/>
      <c r="L31" s="165"/>
      <c r="M31" s="166"/>
      <c r="N31" s="165"/>
      <c r="O31" s="166"/>
      <c r="P31" s="165"/>
      <c r="Q31" s="166"/>
      <c r="R31" s="124">
        <v>30</v>
      </c>
      <c r="S31" s="14" t="s">
        <v>20</v>
      </c>
      <c r="T31" s="42" t="s">
        <v>575</v>
      </c>
      <c r="U31" s="177"/>
      <c r="V31" s="178"/>
      <c r="W31" s="179"/>
    </row>
    <row r="32" spans="1:23" ht="14.55" customHeight="1" x14ac:dyDescent="0.3">
      <c r="A32" s="181"/>
      <c r="B32" s="5"/>
      <c r="C32" s="5">
        <v>0.70833333333333337</v>
      </c>
      <c r="D32" s="126">
        <v>250057</v>
      </c>
      <c r="E32" s="13" t="s">
        <v>574</v>
      </c>
      <c r="F32" s="40">
        <v>304</v>
      </c>
      <c r="G32" s="41">
        <v>0.7</v>
      </c>
      <c r="H32" s="40">
        <v>315</v>
      </c>
      <c r="I32" s="12">
        <v>1</v>
      </c>
      <c r="J32" s="165">
        <v>206</v>
      </c>
      <c r="K32" s="166"/>
      <c r="L32" s="165"/>
      <c r="M32" s="166"/>
      <c r="N32" s="165"/>
      <c r="O32" s="166"/>
      <c r="P32" s="165"/>
      <c r="Q32" s="166"/>
      <c r="R32" s="124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124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2"/>
      <c r="B34" s="19"/>
      <c r="C34" s="19"/>
      <c r="D34" s="20"/>
      <c r="E34" s="170" t="s">
        <v>0</v>
      </c>
      <c r="F34" s="171"/>
      <c r="G34" s="171"/>
      <c r="H34" s="171"/>
      <c r="I34" s="172"/>
      <c r="J34" s="173">
        <f>SUM(J31:K33)</f>
        <v>1170</v>
      </c>
      <c r="K34" s="174"/>
      <c r="L34" s="173">
        <f>SUM(L31:M33)</f>
        <v>0</v>
      </c>
      <c r="M34" s="174"/>
      <c r="N34" s="173">
        <f>SUM(N31:O33)</f>
        <v>0</v>
      </c>
      <c r="O34" s="174"/>
      <c r="P34" s="173">
        <f>SUM(P31:Q33)</f>
        <v>0</v>
      </c>
      <c r="Q34" s="174"/>
      <c r="R34" s="23">
        <f>SUM(R31:R33)</f>
        <v>30</v>
      </c>
      <c r="S34" s="24" t="s">
        <v>20</v>
      </c>
      <c r="T34" s="19"/>
      <c r="U34" s="177"/>
      <c r="V34" s="178"/>
      <c r="W34" s="179"/>
    </row>
    <row r="35" spans="1:23" ht="14.55" customHeight="1" x14ac:dyDescent="0.3">
      <c r="A35" s="163" t="s">
        <v>34</v>
      </c>
      <c r="B35" s="5">
        <v>0.33333333333333331</v>
      </c>
      <c r="C35" s="5"/>
      <c r="D35" s="4">
        <v>250080</v>
      </c>
      <c r="E35" s="12" t="s">
        <v>571</v>
      </c>
      <c r="F35" s="40">
        <v>304</v>
      </c>
      <c r="G35" s="41">
        <v>0.6</v>
      </c>
      <c r="H35" s="40">
        <v>455</v>
      </c>
      <c r="I35" s="12">
        <v>7</v>
      </c>
      <c r="J35" s="165">
        <v>150</v>
      </c>
      <c r="K35" s="166"/>
      <c r="L35" s="165"/>
      <c r="M35" s="166"/>
      <c r="N35" s="165"/>
      <c r="O35" s="166"/>
      <c r="P35" s="165"/>
      <c r="Q35" s="166"/>
      <c r="R35" s="124">
        <v>45</v>
      </c>
      <c r="S35" s="14" t="s">
        <v>20</v>
      </c>
      <c r="T35" s="42" t="s">
        <v>93</v>
      </c>
      <c r="U35" s="177"/>
      <c r="V35" s="178"/>
      <c r="W35" s="179"/>
    </row>
    <row r="36" spans="1:23" ht="14.55" customHeight="1" x14ac:dyDescent="0.3">
      <c r="A36" s="163"/>
      <c r="B36" s="5"/>
      <c r="C36" s="5"/>
      <c r="D36" s="4">
        <v>21025</v>
      </c>
      <c r="E36" s="12" t="s">
        <v>557</v>
      </c>
      <c r="F36" s="40">
        <v>304</v>
      </c>
      <c r="G36" s="41">
        <v>0.6</v>
      </c>
      <c r="H36" s="40">
        <v>234</v>
      </c>
      <c r="I36" s="12">
        <v>7</v>
      </c>
      <c r="J36" s="165">
        <v>200</v>
      </c>
      <c r="K36" s="166"/>
      <c r="L36" s="165"/>
      <c r="M36" s="166"/>
      <c r="N36" s="165"/>
      <c r="O36" s="166"/>
      <c r="P36" s="165"/>
      <c r="Q36" s="166"/>
      <c r="R36" s="124">
        <v>45</v>
      </c>
      <c r="S36" s="14" t="s">
        <v>20</v>
      </c>
      <c r="T36" s="42" t="s">
        <v>93</v>
      </c>
      <c r="U36" s="177"/>
      <c r="V36" s="178"/>
      <c r="W36" s="179"/>
    </row>
    <row r="37" spans="1:23" ht="14.55" customHeight="1" x14ac:dyDescent="0.3">
      <c r="A37" s="163"/>
      <c r="B37" s="5"/>
      <c r="C37" s="5">
        <v>0.70833333333333337</v>
      </c>
      <c r="D37" s="4">
        <v>21025</v>
      </c>
      <c r="E37" s="12" t="s">
        <v>572</v>
      </c>
      <c r="F37" s="40">
        <v>304</v>
      </c>
      <c r="G37" s="41">
        <v>0.6</v>
      </c>
      <c r="H37" s="40">
        <v>321</v>
      </c>
      <c r="I37" s="12">
        <v>7</v>
      </c>
      <c r="J37" s="165">
        <v>1000</v>
      </c>
      <c r="K37" s="166"/>
      <c r="L37" s="165"/>
      <c r="M37" s="166"/>
      <c r="N37" s="165"/>
      <c r="O37" s="166"/>
      <c r="P37" s="165"/>
      <c r="Q37" s="166"/>
      <c r="R37" s="124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63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124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4"/>
      <c r="B39" s="19"/>
      <c r="C39" s="19"/>
      <c r="D39" s="20"/>
      <c r="E39" s="170" t="s">
        <v>0</v>
      </c>
      <c r="F39" s="171"/>
      <c r="G39" s="171"/>
      <c r="H39" s="171"/>
      <c r="I39" s="172"/>
      <c r="J39" s="173">
        <f>SUM(J35:K38)</f>
        <v>1350</v>
      </c>
      <c r="K39" s="174"/>
      <c r="L39" s="173">
        <f>SUM(L35:M38)</f>
        <v>0</v>
      </c>
      <c r="M39" s="174"/>
      <c r="N39" s="173">
        <f>SUM(N35:O38)</f>
        <v>0</v>
      </c>
      <c r="O39" s="174"/>
      <c r="P39" s="173">
        <f>SUM(P35:Q38)</f>
        <v>0</v>
      </c>
      <c r="Q39" s="174"/>
      <c r="R39" s="23">
        <f>SUM(R35:R38)</f>
        <v>90</v>
      </c>
      <c r="S39" s="24" t="s">
        <v>20</v>
      </c>
      <c r="T39" s="19"/>
      <c r="U39" s="177"/>
      <c r="V39" s="178"/>
      <c r="W39" s="179"/>
    </row>
    <row r="40" spans="1:23" ht="14.55" customHeight="1" x14ac:dyDescent="0.3">
      <c r="A40" s="163" t="s">
        <v>35</v>
      </c>
      <c r="B40" s="5"/>
      <c r="C40" s="5"/>
      <c r="D40" s="4"/>
      <c r="E40" s="12" t="s">
        <v>576</v>
      </c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124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124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124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4"/>
      <c r="B43" s="19"/>
      <c r="C43" s="19"/>
      <c r="D43" s="20"/>
      <c r="E43" s="170" t="s">
        <v>0</v>
      </c>
      <c r="F43" s="171"/>
      <c r="G43" s="171"/>
      <c r="H43" s="171"/>
      <c r="I43" s="172"/>
      <c r="J43" s="173">
        <f>SUM(J40:K42)</f>
        <v>0</v>
      </c>
      <c r="K43" s="174"/>
      <c r="L43" s="173">
        <f>SUM(L40:M42)</f>
        <v>0</v>
      </c>
      <c r="M43" s="174"/>
      <c r="N43" s="173">
        <f>SUM(N40:O42)</f>
        <v>0</v>
      </c>
      <c r="O43" s="174"/>
      <c r="P43" s="173">
        <f>SUM(P40:Q42)</f>
        <v>0</v>
      </c>
      <c r="Q43" s="174"/>
      <c r="R43" s="23">
        <f>SUM(R40:R42)</f>
        <v>0</v>
      </c>
      <c r="S43" s="24" t="s">
        <v>20</v>
      </c>
      <c r="T43" s="19"/>
      <c r="U43" s="177"/>
      <c r="V43" s="178"/>
      <c r="W43" s="179"/>
    </row>
    <row r="44" spans="1:23" ht="14.55" customHeight="1" x14ac:dyDescent="0.3">
      <c r="A44" s="27"/>
      <c r="B44" s="27"/>
      <c r="C44" s="27"/>
      <c r="D44" s="27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27"/>
      <c r="S44" s="27"/>
      <c r="T44" s="39"/>
      <c r="U44" s="39"/>
      <c r="V44" s="39"/>
      <c r="W44" s="39"/>
    </row>
    <row r="45" spans="1:23" x14ac:dyDescent="0.3">
      <c r="E45" s="170" t="s">
        <v>31</v>
      </c>
      <c r="F45" s="171"/>
      <c r="G45" s="171"/>
      <c r="H45" s="171"/>
      <c r="I45" s="172"/>
      <c r="J45" s="175" t="s">
        <v>7</v>
      </c>
      <c r="K45" s="176"/>
      <c r="L45" s="175" t="s">
        <v>8</v>
      </c>
      <c r="M45" s="176"/>
      <c r="N45" s="175" t="s">
        <v>9</v>
      </c>
      <c r="O45" s="176"/>
      <c r="P45" s="175" t="s">
        <v>117</v>
      </c>
      <c r="Q45" s="176"/>
    </row>
    <row r="46" spans="1:23" s="2" customFormat="1" x14ac:dyDescent="0.3">
      <c r="E46" s="15"/>
      <c r="F46" s="15"/>
      <c r="G46" s="15"/>
      <c r="H46" s="15"/>
      <c r="I46" s="15"/>
      <c r="J46" s="30">
        <f>J34+J39+J43</f>
        <v>2520</v>
      </c>
      <c r="K46" s="31" t="s">
        <v>17</v>
      </c>
      <c r="L46" s="30">
        <f>L34+L39+L43</f>
        <v>0</v>
      </c>
      <c r="M46" s="31" t="s">
        <v>17</v>
      </c>
      <c r="N46" s="30">
        <f>N34+N39+N43</f>
        <v>0</v>
      </c>
      <c r="O46" s="31" t="s">
        <v>17</v>
      </c>
      <c r="P46" s="30">
        <f>P34+P39+P43</f>
        <v>0</v>
      </c>
      <c r="Q46" s="34" t="s">
        <v>17</v>
      </c>
    </row>
    <row r="47" spans="1:23" ht="24.45" customHeight="1" x14ac:dyDescent="0.3">
      <c r="E47" s="28"/>
      <c r="F47" s="28"/>
      <c r="G47" s="28"/>
      <c r="H47" s="28"/>
      <c r="I47" s="28"/>
      <c r="J47" s="167">
        <f>J46+L46+N46+P46</f>
        <v>2520</v>
      </c>
      <c r="K47" s="168"/>
      <c r="L47" s="168"/>
      <c r="M47" s="168"/>
      <c r="N47" s="168"/>
      <c r="O47" s="168"/>
      <c r="P47" s="168"/>
      <c r="Q47" s="169"/>
    </row>
    <row r="48" spans="1:23" ht="30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spans="1:23" s="37" customFormat="1" ht="19.95" customHeight="1" x14ac:dyDescent="0.4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214" t="s">
        <v>14</v>
      </c>
      <c r="R49" s="215"/>
      <c r="S49" s="216"/>
      <c r="T49" s="184">
        <f>T3</f>
        <v>45951</v>
      </c>
      <c r="U49" s="185"/>
      <c r="V49" s="185"/>
      <c r="W49" s="186"/>
    </row>
    <row r="50" spans="1:23" s="16" customFormat="1" ht="30" customHeight="1" x14ac:dyDescent="0.3">
      <c r="A50" s="187" t="s">
        <v>26</v>
      </c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9"/>
      <c r="Q50" s="189"/>
      <c r="R50" s="189"/>
      <c r="S50" s="189"/>
      <c r="T50" s="188"/>
      <c r="U50" s="188"/>
      <c r="V50" s="188"/>
      <c r="W50" s="190"/>
    </row>
    <row r="51" spans="1:23" s="26" customFormat="1" ht="13.8" x14ac:dyDescent="0.3">
      <c r="A51" s="191" t="s">
        <v>1</v>
      </c>
      <c r="B51" s="192" t="s">
        <v>2</v>
      </c>
      <c r="C51" s="192" t="s">
        <v>3</v>
      </c>
      <c r="D51" s="192" t="s">
        <v>4</v>
      </c>
      <c r="E51" s="193" t="s">
        <v>5</v>
      </c>
      <c r="F51" s="197"/>
      <c r="G51" s="197"/>
      <c r="H51" s="197"/>
      <c r="I51" s="198"/>
      <c r="J51" s="193" t="s">
        <v>6</v>
      </c>
      <c r="K51" s="197"/>
      <c r="L51" s="197"/>
      <c r="M51" s="197"/>
      <c r="N51" s="197"/>
      <c r="O51" s="197"/>
      <c r="P51" s="197"/>
      <c r="Q51" s="198"/>
      <c r="R51" s="193" t="s">
        <v>10</v>
      </c>
      <c r="S51" s="198"/>
      <c r="T51" s="191" t="s">
        <v>11</v>
      </c>
      <c r="U51" s="191" t="s">
        <v>12</v>
      </c>
      <c r="V51" s="191"/>
      <c r="W51" s="191"/>
    </row>
    <row r="52" spans="1:23" s="26" customFormat="1" ht="13.8" x14ac:dyDescent="0.3">
      <c r="A52" s="191"/>
      <c r="B52" s="192"/>
      <c r="C52" s="192"/>
      <c r="D52" s="192"/>
      <c r="E52" s="194"/>
      <c r="F52" s="217"/>
      <c r="G52" s="217"/>
      <c r="H52" s="217"/>
      <c r="I52" s="199"/>
      <c r="J52" s="200" t="s">
        <v>7</v>
      </c>
      <c r="K52" s="201"/>
      <c r="L52" s="200" t="s">
        <v>8</v>
      </c>
      <c r="M52" s="201"/>
      <c r="N52" s="200" t="s">
        <v>9</v>
      </c>
      <c r="O52" s="201"/>
      <c r="P52" s="200" t="s">
        <v>117</v>
      </c>
      <c r="Q52" s="201"/>
      <c r="R52" s="194"/>
      <c r="S52" s="199"/>
      <c r="T52" s="191"/>
      <c r="U52" s="191"/>
      <c r="V52" s="191"/>
      <c r="W52" s="191"/>
    </row>
    <row r="53" spans="1:23" x14ac:dyDescent="0.3">
      <c r="A53" s="180" t="s">
        <v>13</v>
      </c>
      <c r="B53" s="5">
        <v>0.33333333333333331</v>
      </c>
      <c r="C53" s="5"/>
      <c r="D53" s="4">
        <v>250057</v>
      </c>
      <c r="E53" s="211" t="s">
        <v>577</v>
      </c>
      <c r="F53" s="212"/>
      <c r="G53" s="212"/>
      <c r="H53" s="212"/>
      <c r="I53" s="213"/>
      <c r="J53" s="165">
        <v>448</v>
      </c>
      <c r="K53" s="166"/>
      <c r="L53" s="165"/>
      <c r="M53" s="166"/>
      <c r="N53" s="165"/>
      <c r="O53" s="166"/>
      <c r="P53" s="165"/>
      <c r="Q53" s="166"/>
      <c r="R53" s="124"/>
      <c r="S53" s="6" t="s">
        <v>20</v>
      </c>
      <c r="T53" s="3"/>
      <c r="U53" s="202"/>
      <c r="V53" s="203"/>
      <c r="W53" s="204"/>
    </row>
    <row r="54" spans="1:23" x14ac:dyDescent="0.3">
      <c r="A54" s="163"/>
      <c r="B54" s="5"/>
      <c r="C54" s="5"/>
      <c r="D54" s="4">
        <v>21025</v>
      </c>
      <c r="E54" s="211" t="s">
        <v>578</v>
      </c>
      <c r="F54" s="212"/>
      <c r="G54" s="212"/>
      <c r="H54" s="212"/>
      <c r="I54" s="213"/>
      <c r="J54" s="165">
        <v>1018</v>
      </c>
      <c r="K54" s="166"/>
      <c r="L54" s="165"/>
      <c r="M54" s="166"/>
      <c r="N54" s="165"/>
      <c r="O54" s="166"/>
      <c r="P54" s="165"/>
      <c r="Q54" s="166"/>
      <c r="R54" s="124">
        <v>30</v>
      </c>
      <c r="S54" s="6" t="s">
        <v>20</v>
      </c>
      <c r="T54" s="3" t="s">
        <v>93</v>
      </c>
      <c r="U54" s="205"/>
      <c r="V54" s="206"/>
      <c r="W54" s="207"/>
    </row>
    <row r="55" spans="1:23" x14ac:dyDescent="0.3">
      <c r="A55" s="163"/>
      <c r="B55" s="5"/>
      <c r="C55" s="5"/>
      <c r="D55" s="4">
        <v>21025</v>
      </c>
      <c r="E55" s="211" t="s">
        <v>535</v>
      </c>
      <c r="F55" s="212"/>
      <c r="G55" s="212"/>
      <c r="H55" s="212"/>
      <c r="I55" s="213"/>
      <c r="J55" s="165">
        <v>1020</v>
      </c>
      <c r="K55" s="166"/>
      <c r="L55" s="165"/>
      <c r="M55" s="166"/>
      <c r="N55" s="165"/>
      <c r="O55" s="166"/>
      <c r="P55" s="165"/>
      <c r="Q55" s="166"/>
      <c r="R55" s="124">
        <v>30</v>
      </c>
      <c r="S55" s="6" t="s">
        <v>20</v>
      </c>
      <c r="T55" s="3" t="s">
        <v>93</v>
      </c>
      <c r="U55" s="205"/>
      <c r="V55" s="206"/>
      <c r="W55" s="207"/>
    </row>
    <row r="56" spans="1:23" x14ac:dyDescent="0.3">
      <c r="A56" s="163"/>
      <c r="B56" s="5"/>
      <c r="C56" s="5"/>
      <c r="D56" s="4" t="s">
        <v>248</v>
      </c>
      <c r="E56" s="211" t="s">
        <v>248</v>
      </c>
      <c r="F56" s="212"/>
      <c r="G56" s="212"/>
      <c r="H56" s="212"/>
      <c r="I56" s="213"/>
      <c r="J56" s="165"/>
      <c r="K56" s="166"/>
      <c r="L56" s="165"/>
      <c r="M56" s="166"/>
      <c r="N56" s="165">
        <v>47</v>
      </c>
      <c r="O56" s="166"/>
      <c r="P56" s="165"/>
      <c r="Q56" s="166"/>
      <c r="R56" s="124">
        <v>30</v>
      </c>
      <c r="S56" s="6" t="s">
        <v>20</v>
      </c>
      <c r="T56" s="3" t="s">
        <v>93</v>
      </c>
      <c r="U56" s="205"/>
      <c r="V56" s="206"/>
      <c r="W56" s="207"/>
    </row>
    <row r="57" spans="1:23" x14ac:dyDescent="0.3">
      <c r="A57" s="163"/>
      <c r="B57" s="5"/>
      <c r="C57" s="5"/>
      <c r="D57" s="4" t="s">
        <v>248</v>
      </c>
      <c r="E57" s="211" t="s">
        <v>248</v>
      </c>
      <c r="F57" s="212"/>
      <c r="G57" s="212"/>
      <c r="H57" s="212"/>
      <c r="I57" s="213"/>
      <c r="J57" s="165"/>
      <c r="K57" s="166"/>
      <c r="L57" s="165"/>
      <c r="M57" s="166"/>
      <c r="N57" s="165">
        <v>46</v>
      </c>
      <c r="O57" s="166"/>
      <c r="P57" s="165"/>
      <c r="Q57" s="166"/>
      <c r="R57" s="124">
        <v>30</v>
      </c>
      <c r="S57" s="6" t="s">
        <v>20</v>
      </c>
      <c r="T57" s="3" t="s">
        <v>93</v>
      </c>
      <c r="U57" s="205"/>
      <c r="V57" s="206"/>
      <c r="W57" s="207"/>
    </row>
    <row r="58" spans="1:23" x14ac:dyDescent="0.3">
      <c r="A58" s="163"/>
      <c r="B58" s="5"/>
      <c r="C58" s="5">
        <v>0.70833333333333337</v>
      </c>
      <c r="D58" s="4">
        <v>250042</v>
      </c>
      <c r="E58" s="211" t="s">
        <v>519</v>
      </c>
      <c r="F58" s="212"/>
      <c r="G58" s="212"/>
      <c r="H58" s="212"/>
      <c r="I58" s="213"/>
      <c r="J58" s="165"/>
      <c r="K58" s="166"/>
      <c r="L58" s="165">
        <v>507</v>
      </c>
      <c r="M58" s="166"/>
      <c r="N58" s="165"/>
      <c r="O58" s="166"/>
      <c r="P58" s="165"/>
      <c r="Q58" s="166"/>
      <c r="R58" s="124">
        <v>30</v>
      </c>
      <c r="S58" s="6" t="s">
        <v>20</v>
      </c>
      <c r="T58" s="3" t="s">
        <v>93</v>
      </c>
      <c r="U58" s="205"/>
      <c r="V58" s="206"/>
      <c r="W58" s="207"/>
    </row>
    <row r="59" spans="1:23" x14ac:dyDescent="0.3">
      <c r="A59" s="163"/>
      <c r="B59" s="5"/>
      <c r="C59" s="5"/>
      <c r="D59" s="4"/>
      <c r="E59" s="211"/>
      <c r="F59" s="212"/>
      <c r="G59" s="212"/>
      <c r="H59" s="212"/>
      <c r="I59" s="213"/>
      <c r="J59" s="165"/>
      <c r="K59" s="166"/>
      <c r="L59" s="165"/>
      <c r="M59" s="166"/>
      <c r="N59" s="165"/>
      <c r="O59" s="166"/>
      <c r="P59" s="165"/>
      <c r="Q59" s="166"/>
      <c r="R59" s="124"/>
      <c r="S59" s="6" t="s">
        <v>20</v>
      </c>
      <c r="T59" s="3"/>
      <c r="U59" s="205"/>
      <c r="V59" s="206"/>
      <c r="W59" s="207"/>
    </row>
    <row r="60" spans="1:23" x14ac:dyDescent="0.3">
      <c r="A60" s="164"/>
      <c r="B60" s="19"/>
      <c r="C60" s="19"/>
      <c r="D60" s="20"/>
      <c r="E60" s="170" t="s">
        <v>0</v>
      </c>
      <c r="F60" s="171"/>
      <c r="G60" s="171"/>
      <c r="H60" s="171"/>
      <c r="I60" s="172"/>
      <c r="J60" s="173">
        <f>SUM(J53:J59)</f>
        <v>2486</v>
      </c>
      <c r="K60" s="174"/>
      <c r="L60" s="173">
        <f>SUM(L53:L59)</f>
        <v>507</v>
      </c>
      <c r="M60" s="174"/>
      <c r="N60" s="173">
        <f>SUM(N53:N59)</f>
        <v>93</v>
      </c>
      <c r="O60" s="174"/>
      <c r="P60" s="173">
        <f>SUM(P53:P59)</f>
        <v>0</v>
      </c>
      <c r="Q60" s="174"/>
      <c r="R60" s="23">
        <f>SUM(R53:R59)</f>
        <v>150</v>
      </c>
      <c r="S60" s="24" t="s">
        <v>20</v>
      </c>
      <c r="T60" s="19"/>
      <c r="U60" s="208"/>
      <c r="V60" s="209"/>
      <c r="W60" s="210"/>
    </row>
    <row r="61" spans="1:23" x14ac:dyDescent="0.3">
      <c r="A61" s="180" t="s">
        <v>15</v>
      </c>
      <c r="B61" s="5"/>
      <c r="C61" s="5"/>
      <c r="D61" s="4"/>
      <c r="E61" s="211"/>
      <c r="F61" s="212"/>
      <c r="G61" s="212"/>
      <c r="H61" s="212"/>
      <c r="I61" s="213"/>
      <c r="J61" s="165"/>
      <c r="K61" s="166"/>
      <c r="L61" s="165"/>
      <c r="M61" s="166"/>
      <c r="N61" s="165"/>
      <c r="O61" s="166"/>
      <c r="P61" s="165"/>
      <c r="Q61" s="166"/>
      <c r="R61" s="124"/>
      <c r="S61" s="6" t="s">
        <v>20</v>
      </c>
      <c r="T61" s="3"/>
      <c r="U61" s="202"/>
      <c r="V61" s="203"/>
      <c r="W61" s="204"/>
    </row>
    <row r="62" spans="1:23" x14ac:dyDescent="0.3">
      <c r="A62" s="163"/>
      <c r="B62" s="5"/>
      <c r="C62" s="5"/>
      <c r="D62" s="4"/>
      <c r="E62" s="211"/>
      <c r="F62" s="212"/>
      <c r="G62" s="212"/>
      <c r="H62" s="212"/>
      <c r="I62" s="213"/>
      <c r="J62" s="165"/>
      <c r="K62" s="166"/>
      <c r="L62" s="165"/>
      <c r="M62" s="166"/>
      <c r="N62" s="165"/>
      <c r="O62" s="166"/>
      <c r="P62" s="165"/>
      <c r="Q62" s="166"/>
      <c r="R62" s="124"/>
      <c r="S62" s="6" t="s">
        <v>20</v>
      </c>
      <c r="T62" s="3"/>
      <c r="U62" s="205"/>
      <c r="V62" s="206"/>
      <c r="W62" s="207"/>
    </row>
    <row r="63" spans="1:23" x14ac:dyDescent="0.3">
      <c r="A63" s="163"/>
      <c r="B63" s="5"/>
      <c r="C63" s="5"/>
      <c r="D63" s="4"/>
      <c r="E63" s="211"/>
      <c r="F63" s="212"/>
      <c r="G63" s="212"/>
      <c r="H63" s="212"/>
      <c r="I63" s="213"/>
      <c r="J63" s="165"/>
      <c r="K63" s="166"/>
      <c r="L63" s="165"/>
      <c r="M63" s="166"/>
      <c r="N63" s="165"/>
      <c r="O63" s="166"/>
      <c r="P63" s="165"/>
      <c r="Q63" s="166"/>
      <c r="R63" s="124"/>
      <c r="S63" s="6" t="s">
        <v>20</v>
      </c>
      <c r="T63" s="3"/>
      <c r="U63" s="205"/>
      <c r="V63" s="206"/>
      <c r="W63" s="207"/>
    </row>
    <row r="64" spans="1:23" x14ac:dyDescent="0.3">
      <c r="A64" s="164"/>
      <c r="B64" s="19"/>
      <c r="C64" s="19"/>
      <c r="D64" s="20"/>
      <c r="E64" s="170" t="s">
        <v>0</v>
      </c>
      <c r="F64" s="171"/>
      <c r="G64" s="171"/>
      <c r="H64" s="171"/>
      <c r="I64" s="172"/>
      <c r="J64" s="173">
        <f>SUM(J61:J63)</f>
        <v>0</v>
      </c>
      <c r="K64" s="174"/>
      <c r="L64" s="173">
        <f>SUM(L61:L63)</f>
        <v>0</v>
      </c>
      <c r="M64" s="174"/>
      <c r="N64" s="173">
        <f>SUM(N61:N63)</f>
        <v>0</v>
      </c>
      <c r="O64" s="174"/>
      <c r="P64" s="173">
        <f>SUM(P56:P63)</f>
        <v>0</v>
      </c>
      <c r="Q64" s="174"/>
      <c r="R64" s="23">
        <f>SUM(R61:R63)</f>
        <v>0</v>
      </c>
      <c r="S64" s="24" t="s">
        <v>20</v>
      </c>
      <c r="T64" s="7"/>
      <c r="U64" s="208"/>
      <c r="V64" s="209"/>
      <c r="W64" s="210"/>
    </row>
    <row r="65" spans="1:23" x14ac:dyDescent="0.3">
      <c r="E65" s="28"/>
      <c r="F65" s="28"/>
      <c r="G65" s="28"/>
      <c r="H65" s="28"/>
      <c r="I65" s="28"/>
      <c r="J65" s="29"/>
      <c r="K65" s="29"/>
      <c r="L65" s="29"/>
      <c r="M65" s="29"/>
      <c r="N65" s="29"/>
      <c r="O65" s="29"/>
      <c r="P65" s="29"/>
      <c r="Q65" s="29"/>
    </row>
    <row r="66" spans="1:23" x14ac:dyDescent="0.3">
      <c r="E66" s="170" t="s">
        <v>28</v>
      </c>
      <c r="F66" s="171"/>
      <c r="G66" s="171"/>
      <c r="H66" s="171"/>
      <c r="I66" s="172"/>
      <c r="J66" s="175" t="s">
        <v>7</v>
      </c>
      <c r="K66" s="176"/>
      <c r="L66" s="175" t="s">
        <v>8</v>
      </c>
      <c r="M66" s="176"/>
      <c r="N66" s="175" t="s">
        <v>9</v>
      </c>
      <c r="O66" s="176"/>
      <c r="P66" s="175" t="s">
        <v>117</v>
      </c>
      <c r="Q66" s="176"/>
    </row>
    <row r="67" spans="1:23" s="2" customFormat="1" x14ac:dyDescent="0.3">
      <c r="E67" s="15"/>
      <c r="F67" s="15"/>
      <c r="G67" s="15"/>
      <c r="H67" s="15"/>
      <c r="I67" s="15"/>
      <c r="J67" s="30">
        <f>J60+J64</f>
        <v>2486</v>
      </c>
      <c r="K67" s="31" t="s">
        <v>17</v>
      </c>
      <c r="L67" s="32">
        <f>L60+L64</f>
        <v>507</v>
      </c>
      <c r="M67" s="31" t="s">
        <v>17</v>
      </c>
      <c r="N67" s="32">
        <f>N60+N64</f>
        <v>93</v>
      </c>
      <c r="O67" s="31" t="s">
        <v>17</v>
      </c>
      <c r="P67" s="32">
        <f>P60+P64</f>
        <v>0</v>
      </c>
      <c r="Q67" s="34" t="s">
        <v>17</v>
      </c>
    </row>
    <row r="68" spans="1:23" ht="24.45" customHeight="1" x14ac:dyDescent="0.3">
      <c r="E68" s="28"/>
      <c r="F68" s="28"/>
      <c r="G68" s="28"/>
      <c r="H68" s="28"/>
      <c r="I68" s="28"/>
      <c r="J68" s="167">
        <f>J67+L67+N67+P67</f>
        <v>3086</v>
      </c>
      <c r="K68" s="168"/>
      <c r="L68" s="168"/>
      <c r="M68" s="168"/>
      <c r="N68" s="168"/>
      <c r="O68" s="168"/>
      <c r="P68" s="168"/>
      <c r="Q68" s="169"/>
    </row>
    <row r="69" spans="1:23" ht="30" customHeight="1" x14ac:dyDescent="0.3"/>
    <row r="70" spans="1:23" s="37" customFormat="1" ht="19.95" customHeight="1" x14ac:dyDescent="0.4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183" t="s">
        <v>14</v>
      </c>
      <c r="R70" s="183"/>
      <c r="S70" s="183"/>
      <c r="T70" s="184">
        <f>T3</f>
        <v>45951</v>
      </c>
      <c r="U70" s="185"/>
      <c r="V70" s="185"/>
      <c r="W70" s="186"/>
    </row>
    <row r="71" spans="1:23" s="16" customFormat="1" ht="30" customHeight="1" x14ac:dyDescent="0.3">
      <c r="A71" s="187" t="s">
        <v>579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9"/>
      <c r="Q71" s="189"/>
      <c r="R71" s="189"/>
      <c r="S71" s="189"/>
      <c r="T71" s="188"/>
      <c r="U71" s="188"/>
      <c r="V71" s="188"/>
      <c r="W71" s="190"/>
    </row>
    <row r="72" spans="1:23" s="26" customFormat="1" ht="13.8" x14ac:dyDescent="0.3">
      <c r="A72" s="191" t="s">
        <v>1</v>
      </c>
      <c r="B72" s="192" t="s">
        <v>2</v>
      </c>
      <c r="C72" s="192" t="s">
        <v>3</v>
      </c>
      <c r="D72" s="192" t="s">
        <v>4</v>
      </c>
      <c r="E72" s="193" t="s">
        <v>5</v>
      </c>
      <c r="F72" s="195" t="s">
        <v>21</v>
      </c>
      <c r="G72" s="195" t="s">
        <v>22</v>
      </c>
      <c r="H72" s="195" t="s">
        <v>33</v>
      </c>
      <c r="I72" s="195" t="s">
        <v>30</v>
      </c>
      <c r="J72" s="193" t="s">
        <v>6</v>
      </c>
      <c r="K72" s="197"/>
      <c r="L72" s="197"/>
      <c r="M72" s="197"/>
      <c r="N72" s="197"/>
      <c r="O72" s="197"/>
      <c r="P72" s="197"/>
      <c r="Q72" s="198"/>
      <c r="R72" s="193" t="s">
        <v>10</v>
      </c>
      <c r="S72" s="198"/>
      <c r="T72" s="191" t="s">
        <v>11</v>
      </c>
      <c r="U72" s="191" t="s">
        <v>12</v>
      </c>
      <c r="V72" s="191"/>
      <c r="W72" s="191"/>
    </row>
    <row r="73" spans="1:23" s="26" customFormat="1" ht="13.8" x14ac:dyDescent="0.3">
      <c r="A73" s="191"/>
      <c r="B73" s="192"/>
      <c r="C73" s="192"/>
      <c r="D73" s="192"/>
      <c r="E73" s="194"/>
      <c r="F73" s="196"/>
      <c r="G73" s="196"/>
      <c r="H73" s="196"/>
      <c r="I73" s="196"/>
      <c r="J73" s="200" t="s">
        <v>7</v>
      </c>
      <c r="K73" s="201"/>
      <c r="L73" s="200" t="s">
        <v>8</v>
      </c>
      <c r="M73" s="201"/>
      <c r="N73" s="200" t="s">
        <v>9</v>
      </c>
      <c r="O73" s="201"/>
      <c r="P73" s="200" t="s">
        <v>117</v>
      </c>
      <c r="Q73" s="201"/>
      <c r="R73" s="194"/>
      <c r="S73" s="199"/>
      <c r="T73" s="191"/>
      <c r="U73" s="191"/>
      <c r="V73" s="191"/>
      <c r="W73" s="191"/>
    </row>
    <row r="74" spans="1:23" ht="14.55" customHeight="1" x14ac:dyDescent="0.3">
      <c r="A74" s="180" t="s">
        <v>581</v>
      </c>
      <c r="B74" s="5"/>
      <c r="C74" s="5"/>
      <c r="D74" s="126"/>
      <c r="E74" s="12"/>
      <c r="F74" s="40"/>
      <c r="G74" s="41"/>
      <c r="H74" s="40"/>
      <c r="I74" s="12"/>
      <c r="J74" s="165"/>
      <c r="K74" s="166"/>
      <c r="L74" s="165"/>
      <c r="M74" s="166"/>
      <c r="N74" s="165"/>
      <c r="O74" s="166"/>
      <c r="P74" s="165"/>
      <c r="Q74" s="166"/>
      <c r="R74" s="125"/>
      <c r="S74" s="14" t="s">
        <v>20</v>
      </c>
      <c r="T74" s="42"/>
      <c r="U74" s="177"/>
      <c r="V74" s="178"/>
      <c r="W74" s="179"/>
    </row>
    <row r="75" spans="1:23" ht="14.55" customHeight="1" x14ac:dyDescent="0.3">
      <c r="A75" s="181"/>
      <c r="B75" s="5"/>
      <c r="C75" s="5"/>
      <c r="D75" s="126"/>
      <c r="E75" s="13"/>
      <c r="F75" s="40"/>
      <c r="G75" s="41"/>
      <c r="H75" s="40"/>
      <c r="I75" s="12"/>
      <c r="J75" s="165"/>
      <c r="K75" s="166"/>
      <c r="L75" s="165"/>
      <c r="M75" s="166"/>
      <c r="N75" s="165"/>
      <c r="O75" s="166"/>
      <c r="P75" s="165"/>
      <c r="Q75" s="166"/>
      <c r="R75" s="125"/>
      <c r="S75" s="14" t="s">
        <v>20</v>
      </c>
      <c r="T75" s="42"/>
      <c r="U75" s="177"/>
      <c r="V75" s="178"/>
      <c r="W75" s="179"/>
    </row>
    <row r="76" spans="1:23" ht="14.55" customHeight="1" x14ac:dyDescent="0.3">
      <c r="A76" s="181"/>
      <c r="B76" s="5"/>
      <c r="C76" s="5"/>
      <c r="D76" s="4"/>
      <c r="E76" s="12"/>
      <c r="F76" s="40"/>
      <c r="G76" s="41"/>
      <c r="H76" s="40"/>
      <c r="I76" s="12"/>
      <c r="J76" s="165"/>
      <c r="K76" s="166"/>
      <c r="L76" s="165"/>
      <c r="M76" s="166"/>
      <c r="N76" s="165"/>
      <c r="O76" s="166"/>
      <c r="P76" s="165"/>
      <c r="Q76" s="166"/>
      <c r="R76" s="125"/>
      <c r="S76" s="14" t="s">
        <v>20</v>
      </c>
      <c r="T76" s="42"/>
      <c r="U76" s="177"/>
      <c r="V76" s="178"/>
      <c r="W76" s="179"/>
    </row>
    <row r="77" spans="1:23" ht="14.55" customHeight="1" x14ac:dyDescent="0.3">
      <c r="A77" s="182"/>
      <c r="B77" s="19"/>
      <c r="C77" s="19"/>
      <c r="D77" s="20"/>
      <c r="E77" s="170" t="s">
        <v>0</v>
      </c>
      <c r="F77" s="171"/>
      <c r="G77" s="171"/>
      <c r="H77" s="171"/>
      <c r="I77" s="172"/>
      <c r="J77" s="173">
        <f>SUM(J74:K76)</f>
        <v>0</v>
      </c>
      <c r="K77" s="174"/>
      <c r="L77" s="173">
        <f>SUM(L74:M76)</f>
        <v>0</v>
      </c>
      <c r="M77" s="174"/>
      <c r="N77" s="173">
        <f>SUM(N74:O76)</f>
        <v>0</v>
      </c>
      <c r="O77" s="174"/>
      <c r="P77" s="173">
        <f>SUM(P74:Q76)</f>
        <v>0</v>
      </c>
      <c r="Q77" s="174"/>
      <c r="R77" s="23">
        <f>SUM(R74:R76)</f>
        <v>0</v>
      </c>
      <c r="S77" s="24" t="s">
        <v>20</v>
      </c>
      <c r="T77" s="19"/>
      <c r="U77" s="177"/>
      <c r="V77" s="178"/>
      <c r="W77" s="179"/>
    </row>
    <row r="78" spans="1:23" ht="14.55" customHeight="1" x14ac:dyDescent="0.3">
      <c r="A78" s="163" t="s">
        <v>580</v>
      </c>
      <c r="B78" s="5"/>
      <c r="C78" s="5"/>
      <c r="D78" s="4"/>
      <c r="E78" s="12"/>
      <c r="F78" s="40"/>
      <c r="G78" s="41"/>
      <c r="H78" s="40"/>
      <c r="I78" s="12"/>
      <c r="J78" s="165"/>
      <c r="K78" s="166"/>
      <c r="L78" s="165"/>
      <c r="M78" s="166"/>
      <c r="N78" s="165"/>
      <c r="O78" s="166"/>
      <c r="P78" s="165"/>
      <c r="Q78" s="166"/>
      <c r="R78" s="125"/>
      <c r="S78" s="14" t="s">
        <v>20</v>
      </c>
      <c r="T78" s="42"/>
      <c r="U78" s="177"/>
      <c r="V78" s="178"/>
      <c r="W78" s="179"/>
    </row>
    <row r="79" spans="1:23" ht="14.55" customHeight="1" x14ac:dyDescent="0.3">
      <c r="A79" s="163"/>
      <c r="B79" s="5"/>
      <c r="C79" s="5"/>
      <c r="D79" s="4"/>
      <c r="E79" s="12"/>
      <c r="F79" s="40"/>
      <c r="G79" s="41"/>
      <c r="H79" s="40"/>
      <c r="I79" s="12"/>
      <c r="J79" s="165"/>
      <c r="K79" s="166"/>
      <c r="L79" s="165"/>
      <c r="M79" s="166"/>
      <c r="N79" s="165"/>
      <c r="O79" s="166"/>
      <c r="P79" s="165"/>
      <c r="Q79" s="166"/>
      <c r="R79" s="125"/>
      <c r="S79" s="14" t="s">
        <v>20</v>
      </c>
      <c r="T79" s="42"/>
      <c r="U79" s="177"/>
      <c r="V79" s="178"/>
      <c r="W79" s="179"/>
    </row>
    <row r="80" spans="1:23" ht="14.55" customHeight="1" x14ac:dyDescent="0.3">
      <c r="A80" s="163"/>
      <c r="B80" s="5"/>
      <c r="C80" s="5"/>
      <c r="D80" s="4"/>
      <c r="E80" s="12"/>
      <c r="F80" s="40"/>
      <c r="G80" s="41"/>
      <c r="H80" s="40"/>
      <c r="I80" s="12"/>
      <c r="J80" s="165"/>
      <c r="K80" s="166"/>
      <c r="L80" s="165"/>
      <c r="M80" s="166"/>
      <c r="N80" s="165"/>
      <c r="O80" s="166"/>
      <c r="P80" s="165"/>
      <c r="Q80" s="166"/>
      <c r="R80" s="125"/>
      <c r="S80" s="14" t="s">
        <v>20</v>
      </c>
      <c r="T80" s="42"/>
      <c r="U80" s="177"/>
      <c r="V80" s="178"/>
      <c r="W80" s="179"/>
    </row>
    <row r="81" spans="1:23" ht="14.55" customHeight="1" x14ac:dyDescent="0.3">
      <c r="A81" s="163"/>
      <c r="B81" s="5"/>
      <c r="C81" s="5"/>
      <c r="D81" s="4"/>
      <c r="E81" s="12"/>
      <c r="F81" s="40"/>
      <c r="G81" s="41"/>
      <c r="H81" s="40"/>
      <c r="I81" s="12"/>
      <c r="J81" s="165"/>
      <c r="K81" s="166"/>
      <c r="L81" s="165"/>
      <c r="M81" s="166"/>
      <c r="N81" s="165"/>
      <c r="O81" s="166"/>
      <c r="P81" s="165"/>
      <c r="Q81" s="166"/>
      <c r="R81" s="125"/>
      <c r="S81" s="14" t="s">
        <v>20</v>
      </c>
      <c r="T81" s="42"/>
      <c r="U81" s="177"/>
      <c r="V81" s="178"/>
      <c r="W81" s="179"/>
    </row>
    <row r="82" spans="1:23" ht="14.55" customHeight="1" x14ac:dyDescent="0.3">
      <c r="A82" s="164"/>
      <c r="B82" s="19"/>
      <c r="C82" s="19"/>
      <c r="D82" s="20"/>
      <c r="E82" s="170" t="s">
        <v>0</v>
      </c>
      <c r="F82" s="171"/>
      <c r="G82" s="171"/>
      <c r="H82" s="171"/>
      <c r="I82" s="172"/>
      <c r="J82" s="173">
        <f>SUM(J78:K81)</f>
        <v>0</v>
      </c>
      <c r="K82" s="174"/>
      <c r="L82" s="173">
        <f>SUM(L78:M81)</f>
        <v>0</v>
      </c>
      <c r="M82" s="174"/>
      <c r="N82" s="173">
        <f>SUM(N78:O81)</f>
        <v>0</v>
      </c>
      <c r="O82" s="174"/>
      <c r="P82" s="173">
        <f>SUM(P78:Q81)</f>
        <v>0</v>
      </c>
      <c r="Q82" s="174"/>
      <c r="R82" s="23">
        <f>SUM(R78:R81)</f>
        <v>0</v>
      </c>
      <c r="S82" s="24" t="s">
        <v>20</v>
      </c>
      <c r="T82" s="19"/>
      <c r="U82" s="177"/>
      <c r="V82" s="178"/>
      <c r="W82" s="179"/>
    </row>
    <row r="83" spans="1:23" ht="14.55" customHeight="1" x14ac:dyDescent="0.3">
      <c r="A83" s="27"/>
      <c r="B83" s="27"/>
      <c r="C83" s="27"/>
      <c r="D83" s="27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27"/>
      <c r="S83" s="27"/>
      <c r="T83" s="39"/>
      <c r="U83" s="39"/>
      <c r="V83" s="39"/>
      <c r="W83" s="39"/>
    </row>
    <row r="84" spans="1:23" x14ac:dyDescent="0.3">
      <c r="E84" s="170" t="s">
        <v>582</v>
      </c>
      <c r="F84" s="171"/>
      <c r="G84" s="171"/>
      <c r="H84" s="171"/>
      <c r="I84" s="172"/>
      <c r="J84" s="175" t="s">
        <v>7</v>
      </c>
      <c r="K84" s="176"/>
      <c r="L84" s="175" t="s">
        <v>8</v>
      </c>
      <c r="M84" s="176"/>
      <c r="N84" s="175" t="s">
        <v>9</v>
      </c>
      <c r="O84" s="176"/>
      <c r="P84" s="175" t="s">
        <v>117</v>
      </c>
      <c r="Q84" s="176"/>
    </row>
    <row r="85" spans="1:23" s="2" customFormat="1" x14ac:dyDescent="0.3">
      <c r="E85" s="15"/>
      <c r="F85" s="15"/>
      <c r="G85" s="15"/>
      <c r="H85" s="15"/>
      <c r="I85" s="15"/>
      <c r="J85" s="30">
        <f>SUM(J82,J77)</f>
        <v>0</v>
      </c>
      <c r="K85" s="31" t="s">
        <v>17</v>
      </c>
      <c r="L85" s="30">
        <f>SUM(L82,L77)</f>
        <v>0</v>
      </c>
      <c r="M85" s="31" t="s">
        <v>17</v>
      </c>
      <c r="N85" s="30">
        <f>SUM(N82,N77)</f>
        <v>0</v>
      </c>
      <c r="O85" s="31" t="s">
        <v>17</v>
      </c>
      <c r="P85" s="30">
        <f>SUM(P82,P77)</f>
        <v>0</v>
      </c>
      <c r="Q85" s="34" t="s">
        <v>17</v>
      </c>
    </row>
    <row r="86" spans="1:23" ht="24.45" customHeight="1" x14ac:dyDescent="0.3">
      <c r="E86" s="28"/>
      <c r="F86" s="28"/>
      <c r="G86" s="28"/>
      <c r="H86" s="28"/>
      <c r="I86" s="28"/>
      <c r="J86" s="167">
        <f>J85+L85+N85+P85</f>
        <v>0</v>
      </c>
      <c r="K86" s="168"/>
      <c r="L86" s="168"/>
      <c r="M86" s="168"/>
      <c r="N86" s="168"/>
      <c r="O86" s="168"/>
      <c r="P86" s="168"/>
      <c r="Q86" s="169"/>
    </row>
  </sheetData>
  <mergeCells count="326">
    <mergeCell ref="E66:I66"/>
    <mergeCell ref="J66:K66"/>
    <mergeCell ref="L66:M66"/>
    <mergeCell ref="N66:O66"/>
    <mergeCell ref="P66:Q66"/>
    <mergeCell ref="J68:Q68"/>
    <mergeCell ref="N63:O63"/>
    <mergeCell ref="P63:Q63"/>
    <mergeCell ref="E64:I64"/>
    <mergeCell ref="J64:K64"/>
    <mergeCell ref="L64:M64"/>
    <mergeCell ref="N64:O64"/>
    <mergeCell ref="P64:Q64"/>
    <mergeCell ref="U61:W64"/>
    <mergeCell ref="E62:I62"/>
    <mergeCell ref="J62:K62"/>
    <mergeCell ref="L62:M62"/>
    <mergeCell ref="N62:O62"/>
    <mergeCell ref="P62:Q62"/>
    <mergeCell ref="E63:I63"/>
    <mergeCell ref="J63:K63"/>
    <mergeCell ref="L63:M63"/>
    <mergeCell ref="E60:I60"/>
    <mergeCell ref="J60:K60"/>
    <mergeCell ref="L60:M60"/>
    <mergeCell ref="N60:O60"/>
    <mergeCell ref="P60:Q60"/>
    <mergeCell ref="A61:A64"/>
    <mergeCell ref="E61:I61"/>
    <mergeCell ref="J61:K61"/>
    <mergeCell ref="L61:M61"/>
    <mergeCell ref="N61:O61"/>
    <mergeCell ref="A53:A60"/>
    <mergeCell ref="J56:K56"/>
    <mergeCell ref="L56:M56"/>
    <mergeCell ref="P61:Q61"/>
    <mergeCell ref="E58:I58"/>
    <mergeCell ref="J58:K58"/>
    <mergeCell ref="L58:M58"/>
    <mergeCell ref="N58:O58"/>
    <mergeCell ref="P58:Q58"/>
    <mergeCell ref="E59:I59"/>
    <mergeCell ref="J59:K59"/>
    <mergeCell ref="L59:M59"/>
    <mergeCell ref="N59:O59"/>
    <mergeCell ref="P59:Q59"/>
    <mergeCell ref="N56:O56"/>
    <mergeCell ref="P56:Q56"/>
    <mergeCell ref="E57:I57"/>
    <mergeCell ref="J57:K57"/>
    <mergeCell ref="L57:M57"/>
    <mergeCell ref="N57:O57"/>
    <mergeCell ref="P57:Q57"/>
    <mergeCell ref="U53:W60"/>
    <mergeCell ref="E54:I54"/>
    <mergeCell ref="J54:K54"/>
    <mergeCell ref="L54:M54"/>
    <mergeCell ref="N54:O54"/>
    <mergeCell ref="P54:Q54"/>
    <mergeCell ref="E55:I55"/>
    <mergeCell ref="J55:K55"/>
    <mergeCell ref="L55:M55"/>
    <mergeCell ref="N55:O55"/>
    <mergeCell ref="E53:I53"/>
    <mergeCell ref="J53:K53"/>
    <mergeCell ref="L53:M53"/>
    <mergeCell ref="N53:O53"/>
    <mergeCell ref="P53:Q53"/>
    <mergeCell ref="P55:Q55"/>
    <mergeCell ref="E56:I56"/>
    <mergeCell ref="E45:I45"/>
    <mergeCell ref="J45:K45"/>
    <mergeCell ref="L45:M45"/>
    <mergeCell ref="N45:O45"/>
    <mergeCell ref="P45:Q45"/>
    <mergeCell ref="R51:S52"/>
    <mergeCell ref="T51:T52"/>
    <mergeCell ref="U51:W52"/>
    <mergeCell ref="J52:K52"/>
    <mergeCell ref="L52:M52"/>
    <mergeCell ref="N52:O52"/>
    <mergeCell ref="P52:Q52"/>
    <mergeCell ref="J47:Q47"/>
    <mergeCell ref="Q49:S49"/>
    <mergeCell ref="T49:W49"/>
    <mergeCell ref="A50:W50"/>
    <mergeCell ref="A51:A52"/>
    <mergeCell ref="B51:B52"/>
    <mergeCell ref="C51:C52"/>
    <mergeCell ref="D51:D52"/>
    <mergeCell ref="E51:I52"/>
    <mergeCell ref="J51:Q51"/>
    <mergeCell ref="U40:W43"/>
    <mergeCell ref="J41:K41"/>
    <mergeCell ref="L41:M41"/>
    <mergeCell ref="N41:O41"/>
    <mergeCell ref="P41:Q41"/>
    <mergeCell ref="E43:I43"/>
    <mergeCell ref="J43:K43"/>
    <mergeCell ref="L43:M43"/>
    <mergeCell ref="N43:O43"/>
    <mergeCell ref="P43:Q43"/>
    <mergeCell ref="A40:A43"/>
    <mergeCell ref="J40:K40"/>
    <mergeCell ref="L40:M40"/>
    <mergeCell ref="N40:O40"/>
    <mergeCell ref="P40:Q40"/>
    <mergeCell ref="J42:K42"/>
    <mergeCell ref="L42:M42"/>
    <mergeCell ref="N42:O42"/>
    <mergeCell ref="P42:Q42"/>
    <mergeCell ref="U35:W39"/>
    <mergeCell ref="J36:K36"/>
    <mergeCell ref="L36:M36"/>
    <mergeCell ref="N36:O36"/>
    <mergeCell ref="P36:Q36"/>
    <mergeCell ref="J37:K37"/>
    <mergeCell ref="L37:M37"/>
    <mergeCell ref="N37:O37"/>
    <mergeCell ref="P37:Q37"/>
    <mergeCell ref="J39:K39"/>
    <mergeCell ref="L39:M39"/>
    <mergeCell ref="N39:O39"/>
    <mergeCell ref="P39:Q39"/>
    <mergeCell ref="A35:A39"/>
    <mergeCell ref="J35:K35"/>
    <mergeCell ref="L35:M35"/>
    <mergeCell ref="N35:O35"/>
    <mergeCell ref="P35:Q35"/>
    <mergeCell ref="J38:K38"/>
    <mergeCell ref="L38:M38"/>
    <mergeCell ref="N38:O38"/>
    <mergeCell ref="P38:Q38"/>
    <mergeCell ref="E39:I39"/>
    <mergeCell ref="U31:W34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L34:M34"/>
    <mergeCell ref="N34:O34"/>
    <mergeCell ref="P34:Q34"/>
    <mergeCell ref="A31:A34"/>
    <mergeCell ref="J31:K31"/>
    <mergeCell ref="L31:M31"/>
    <mergeCell ref="N31:O31"/>
    <mergeCell ref="P31:Q31"/>
    <mergeCell ref="G29:G30"/>
    <mergeCell ref="H29:H30"/>
    <mergeCell ref="I29:I30"/>
    <mergeCell ref="J29:Q29"/>
    <mergeCell ref="E34:I34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Q70:S70"/>
    <mergeCell ref="T70:W70"/>
    <mergeCell ref="A71:W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Q72"/>
    <mergeCell ref="R72:S73"/>
    <mergeCell ref="T72:T73"/>
    <mergeCell ref="U72:W73"/>
    <mergeCell ref="J73:K73"/>
    <mergeCell ref="L73:M73"/>
    <mergeCell ref="N73:O73"/>
    <mergeCell ref="P73:Q73"/>
    <mergeCell ref="A74:A77"/>
    <mergeCell ref="J74:K74"/>
    <mergeCell ref="L74:M74"/>
    <mergeCell ref="N74:O74"/>
    <mergeCell ref="P74:Q74"/>
    <mergeCell ref="U74:W77"/>
    <mergeCell ref="J75:K75"/>
    <mergeCell ref="L75:M75"/>
    <mergeCell ref="N75:O75"/>
    <mergeCell ref="P75:Q75"/>
    <mergeCell ref="J76:K76"/>
    <mergeCell ref="L76:M76"/>
    <mergeCell ref="N76:O76"/>
    <mergeCell ref="P76:Q76"/>
    <mergeCell ref="E77:I77"/>
    <mergeCell ref="J77:K77"/>
    <mergeCell ref="L77:M77"/>
    <mergeCell ref="N77:O77"/>
    <mergeCell ref="P77:Q77"/>
    <mergeCell ref="U78:W82"/>
    <mergeCell ref="J79:K79"/>
    <mergeCell ref="L79:M79"/>
    <mergeCell ref="N79:O79"/>
    <mergeCell ref="P79:Q79"/>
    <mergeCell ref="J80:K80"/>
    <mergeCell ref="L80:M80"/>
    <mergeCell ref="N80:O80"/>
    <mergeCell ref="P80:Q80"/>
    <mergeCell ref="J81:K81"/>
    <mergeCell ref="L81:M81"/>
    <mergeCell ref="N81:O81"/>
    <mergeCell ref="P81:Q81"/>
    <mergeCell ref="J82:K82"/>
    <mergeCell ref="L82:M82"/>
    <mergeCell ref="N82:O82"/>
    <mergeCell ref="P82:Q82"/>
    <mergeCell ref="E84:I84"/>
    <mergeCell ref="J84:K84"/>
    <mergeCell ref="L84:M84"/>
    <mergeCell ref="N84:O84"/>
    <mergeCell ref="P84:Q84"/>
    <mergeCell ref="J86:Q86"/>
    <mergeCell ref="A78:A82"/>
    <mergeCell ref="J78:K78"/>
    <mergeCell ref="L78:M78"/>
    <mergeCell ref="N78:O78"/>
    <mergeCell ref="P78:Q78"/>
    <mergeCell ref="E82:I82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W95"/>
  <sheetViews>
    <sheetView topLeftCell="A7" zoomScale="85" zoomScaleNormal="85" workbookViewId="0">
      <selection activeCell="J56" sqref="J56:Q56"/>
    </sheetView>
  </sheetViews>
  <sheetFormatPr defaultColWidth="8.88671875" defaultRowHeight="14.4" x14ac:dyDescent="0.3"/>
  <cols>
    <col min="1" max="1" width="12.6640625" style="118" customWidth="1"/>
    <col min="2" max="3" width="7.6640625" style="118" customWidth="1"/>
    <col min="4" max="4" width="8.109375" style="8" bestFit="1" customWidth="1"/>
    <col min="5" max="5" width="35.6640625" style="118" customWidth="1"/>
    <col min="6" max="6" width="5.6640625" style="118" customWidth="1"/>
    <col min="7" max="9" width="6.6640625" style="118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18" customWidth="1"/>
    <col min="20" max="20" width="21.5546875" style="118" bestFit="1" customWidth="1"/>
    <col min="21" max="23" width="7.6640625" style="118" customWidth="1"/>
    <col min="24" max="16384" width="8.88671875" style="118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45952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 t="s">
        <v>102</v>
      </c>
      <c r="E7" s="12" t="s">
        <v>245</v>
      </c>
      <c r="F7" s="17">
        <v>200</v>
      </c>
      <c r="G7" s="17">
        <v>430</v>
      </c>
      <c r="H7" s="18">
        <v>0.5</v>
      </c>
      <c r="I7" s="17">
        <v>29000</v>
      </c>
      <c r="J7" s="165">
        <v>6240</v>
      </c>
      <c r="K7" s="166"/>
      <c r="L7" s="165"/>
      <c r="M7" s="166"/>
      <c r="N7" s="165"/>
      <c r="O7" s="166"/>
      <c r="P7" s="165"/>
      <c r="Q7" s="166"/>
      <c r="R7" s="128">
        <v>45</v>
      </c>
      <c r="S7" s="14" t="s">
        <v>20</v>
      </c>
      <c r="T7" s="42" t="s">
        <v>110</v>
      </c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245</v>
      </c>
      <c r="F8" s="17" t="s">
        <v>313</v>
      </c>
      <c r="G8" s="17">
        <v>430</v>
      </c>
      <c r="H8" s="18">
        <v>0.5</v>
      </c>
      <c r="I8" s="17">
        <v>29000</v>
      </c>
      <c r="J8" s="165"/>
      <c r="K8" s="166"/>
      <c r="L8" s="165"/>
      <c r="M8" s="166"/>
      <c r="N8" s="165">
        <v>1040</v>
      </c>
      <c r="O8" s="166"/>
      <c r="P8" s="165"/>
      <c r="Q8" s="166"/>
      <c r="R8" s="128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 t="s">
        <v>102</v>
      </c>
      <c r="E9" s="12" t="s">
        <v>245</v>
      </c>
      <c r="F9" s="17" t="s">
        <v>277</v>
      </c>
      <c r="G9" s="17">
        <v>430</v>
      </c>
      <c r="H9" s="18">
        <v>0.5</v>
      </c>
      <c r="I9" s="17">
        <v>29000</v>
      </c>
      <c r="J9" s="165">
        <v>216</v>
      </c>
      <c r="K9" s="166"/>
      <c r="L9" s="165"/>
      <c r="M9" s="166"/>
      <c r="N9" s="165"/>
      <c r="O9" s="166"/>
      <c r="P9" s="165"/>
      <c r="Q9" s="166"/>
      <c r="R9" s="128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245</v>
      </c>
      <c r="F10" s="17">
        <v>160</v>
      </c>
      <c r="G10" s="17">
        <v>430</v>
      </c>
      <c r="H10" s="18">
        <v>0.5</v>
      </c>
      <c r="I10" s="17">
        <v>29000</v>
      </c>
      <c r="J10" s="165"/>
      <c r="K10" s="166"/>
      <c r="L10" s="165"/>
      <c r="M10" s="166"/>
      <c r="N10" s="165">
        <v>54</v>
      </c>
      <c r="O10" s="166"/>
      <c r="P10" s="165"/>
      <c r="Q10" s="166"/>
      <c r="R10" s="128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>
        <v>0.70833333333333337</v>
      </c>
      <c r="D11" s="4">
        <v>250082</v>
      </c>
      <c r="E11" s="12" t="s">
        <v>588</v>
      </c>
      <c r="F11" s="17">
        <v>653</v>
      </c>
      <c r="G11" s="17">
        <v>430</v>
      </c>
      <c r="H11" s="18">
        <v>0.6</v>
      </c>
      <c r="I11" s="17">
        <v>29000</v>
      </c>
      <c r="J11" s="165">
        <v>80</v>
      </c>
      <c r="K11" s="166"/>
      <c r="L11" s="165"/>
      <c r="M11" s="166"/>
      <c r="N11" s="165"/>
      <c r="O11" s="166"/>
      <c r="P11" s="165"/>
      <c r="Q11" s="166"/>
      <c r="R11" s="128">
        <v>45</v>
      </c>
      <c r="S11" s="14" t="s">
        <v>20</v>
      </c>
      <c r="T11" s="42" t="s">
        <v>110</v>
      </c>
      <c r="U11" s="205"/>
      <c r="V11" s="206"/>
      <c r="W11" s="207"/>
    </row>
    <row r="12" spans="1:23" x14ac:dyDescent="0.3">
      <c r="A12" s="181"/>
      <c r="B12" s="5"/>
      <c r="C12" s="5"/>
      <c r="D12" s="4"/>
      <c r="E12" s="12"/>
      <c r="F12" s="17"/>
      <c r="G12" s="17"/>
      <c r="H12" s="18"/>
      <c r="I12" s="17"/>
      <c r="J12" s="165"/>
      <c r="K12" s="166"/>
      <c r="L12" s="165"/>
      <c r="M12" s="166"/>
      <c r="N12" s="165"/>
      <c r="O12" s="166"/>
      <c r="P12" s="165"/>
      <c r="Q12" s="166"/>
      <c r="R12" s="128"/>
      <c r="S12" s="14" t="s">
        <v>20</v>
      </c>
      <c r="T12" s="42"/>
      <c r="U12" s="205"/>
      <c r="V12" s="206"/>
      <c r="W12" s="207"/>
    </row>
    <row r="13" spans="1:23" x14ac:dyDescent="0.3">
      <c r="A13" s="182"/>
      <c r="B13" s="170" t="s">
        <v>0</v>
      </c>
      <c r="C13" s="171"/>
      <c r="D13" s="171"/>
      <c r="E13" s="171"/>
      <c r="F13" s="171"/>
      <c r="G13" s="171"/>
      <c r="H13" s="171"/>
      <c r="I13" s="172"/>
      <c r="J13" s="21">
        <f>SUM(J7:K12)</f>
        <v>6536</v>
      </c>
      <c r="K13" s="22" t="s">
        <v>17</v>
      </c>
      <c r="L13" s="21">
        <f>SUM(L7:M12)</f>
        <v>0</v>
      </c>
      <c r="M13" s="22" t="s">
        <v>17</v>
      </c>
      <c r="N13" s="21">
        <f>SUM(N7:O12)</f>
        <v>1094</v>
      </c>
      <c r="O13" s="22" t="s">
        <v>17</v>
      </c>
      <c r="P13" s="21">
        <f>SUM(P7:Q12)</f>
        <v>0</v>
      </c>
      <c r="Q13" s="22" t="s">
        <v>17</v>
      </c>
      <c r="R13" s="23">
        <f>SUM(R7:R12)</f>
        <v>90</v>
      </c>
      <c r="S13" s="24" t="s">
        <v>20</v>
      </c>
      <c r="T13" s="19"/>
      <c r="U13" s="208"/>
      <c r="V13" s="209"/>
      <c r="W13" s="210"/>
    </row>
    <row r="14" spans="1:23" ht="14.55" customHeight="1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spans="1:23" ht="14.55" customHeight="1" x14ac:dyDescent="0.3">
      <c r="A15" s="27"/>
      <c r="B15" s="27"/>
      <c r="C15" s="27"/>
      <c r="D15" s="27"/>
      <c r="E15" s="170" t="s">
        <v>27</v>
      </c>
      <c r="F15" s="171"/>
      <c r="G15" s="171"/>
      <c r="H15" s="171"/>
      <c r="I15" s="172"/>
      <c r="J15" s="175" t="s">
        <v>7</v>
      </c>
      <c r="K15" s="176"/>
      <c r="L15" s="175" t="s">
        <v>8</v>
      </c>
      <c r="M15" s="176"/>
      <c r="N15" s="175" t="s">
        <v>9</v>
      </c>
      <c r="O15" s="176"/>
      <c r="P15" s="175" t="s">
        <v>117</v>
      </c>
      <c r="Q15" s="176"/>
      <c r="R15" s="27"/>
      <c r="S15" s="27"/>
    </row>
    <row r="16" spans="1:23" ht="14.55" customHeight="1" x14ac:dyDescent="0.3">
      <c r="A16" s="27"/>
      <c r="B16" s="27"/>
      <c r="C16" s="27"/>
      <c r="D16" s="27"/>
      <c r="E16" s="15"/>
      <c r="F16" s="15"/>
      <c r="G16" s="15"/>
      <c r="H16" s="15"/>
      <c r="I16" s="15"/>
      <c r="J16" s="30">
        <f>J13</f>
        <v>6536</v>
      </c>
      <c r="K16" s="31" t="s">
        <v>17</v>
      </c>
      <c r="L16" s="32">
        <f>L13</f>
        <v>0</v>
      </c>
      <c r="M16" s="31" t="s">
        <v>17</v>
      </c>
      <c r="N16" s="32">
        <f>N13</f>
        <v>1094</v>
      </c>
      <c r="O16" s="31" t="s">
        <v>17</v>
      </c>
      <c r="P16" s="33">
        <f>P13</f>
        <v>0</v>
      </c>
      <c r="Q16" s="34" t="s">
        <v>17</v>
      </c>
      <c r="R16" s="27"/>
      <c r="S16" s="27"/>
    </row>
    <row r="17" spans="1:23" ht="30" customHeight="1" x14ac:dyDescent="0.3">
      <c r="A17" s="27"/>
      <c r="B17" s="27"/>
      <c r="C17" s="27"/>
      <c r="D17" s="27"/>
      <c r="E17" s="28"/>
      <c r="F17" s="28"/>
      <c r="G17" s="28"/>
      <c r="H17" s="28"/>
      <c r="I17" s="28"/>
      <c r="J17" s="167">
        <f>J16+L16+N16+P16</f>
        <v>7630</v>
      </c>
      <c r="K17" s="168"/>
      <c r="L17" s="168"/>
      <c r="M17" s="168"/>
      <c r="N17" s="168"/>
      <c r="O17" s="168"/>
      <c r="P17" s="168"/>
      <c r="Q17" s="169"/>
      <c r="R17" s="27"/>
      <c r="S17" s="27"/>
    </row>
    <row r="18" spans="1:23" ht="14.55" customHeight="1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 spans="1:23" s="37" customFormat="1" ht="19.95" customHeight="1" x14ac:dyDescent="0.4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183" t="s">
        <v>14</v>
      </c>
      <c r="R19" s="183"/>
      <c r="S19" s="183"/>
      <c r="T19" s="184">
        <f>T3</f>
        <v>45952</v>
      </c>
      <c r="U19" s="185"/>
      <c r="V19" s="185"/>
      <c r="W19" s="186"/>
    </row>
    <row r="20" spans="1:23" s="16" customFormat="1" ht="30" customHeight="1" x14ac:dyDescent="0.3">
      <c r="A20" s="187" t="s">
        <v>29</v>
      </c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9"/>
      <c r="Q20" s="189"/>
      <c r="R20" s="189"/>
      <c r="S20" s="189"/>
      <c r="T20" s="188"/>
      <c r="U20" s="188"/>
      <c r="V20" s="188"/>
      <c r="W20" s="190"/>
    </row>
    <row r="21" spans="1:23" s="26" customFormat="1" ht="13.8" x14ac:dyDescent="0.3">
      <c r="A21" s="191" t="s">
        <v>1</v>
      </c>
      <c r="B21" s="192" t="s">
        <v>2</v>
      </c>
      <c r="C21" s="192" t="s">
        <v>3</v>
      </c>
      <c r="D21" s="192" t="s">
        <v>4</v>
      </c>
      <c r="E21" s="193" t="s">
        <v>5</v>
      </c>
      <c r="F21" s="195" t="s">
        <v>21</v>
      </c>
      <c r="G21" s="195" t="s">
        <v>22</v>
      </c>
      <c r="H21" s="195" t="s">
        <v>33</v>
      </c>
      <c r="I21" s="195" t="s">
        <v>30</v>
      </c>
      <c r="J21" s="193" t="s">
        <v>6</v>
      </c>
      <c r="K21" s="197"/>
      <c r="L21" s="197"/>
      <c r="M21" s="197"/>
      <c r="N21" s="197"/>
      <c r="O21" s="197"/>
      <c r="P21" s="197"/>
      <c r="Q21" s="198"/>
      <c r="R21" s="193" t="s">
        <v>10</v>
      </c>
      <c r="S21" s="198"/>
      <c r="T21" s="191" t="s">
        <v>11</v>
      </c>
      <c r="U21" s="191" t="s">
        <v>12</v>
      </c>
      <c r="V21" s="191"/>
      <c r="W21" s="191"/>
    </row>
    <row r="22" spans="1:23" s="26" customFormat="1" ht="13.8" x14ac:dyDescent="0.3">
      <c r="A22" s="191"/>
      <c r="B22" s="192"/>
      <c r="C22" s="192"/>
      <c r="D22" s="192"/>
      <c r="E22" s="194"/>
      <c r="F22" s="196"/>
      <c r="G22" s="196"/>
      <c r="H22" s="196"/>
      <c r="I22" s="196"/>
      <c r="J22" s="200" t="s">
        <v>7</v>
      </c>
      <c r="K22" s="201"/>
      <c r="L22" s="200" t="s">
        <v>8</v>
      </c>
      <c r="M22" s="201"/>
      <c r="N22" s="200" t="s">
        <v>9</v>
      </c>
      <c r="O22" s="201"/>
      <c r="P22" s="200" t="s">
        <v>117</v>
      </c>
      <c r="Q22" s="201"/>
      <c r="R22" s="194"/>
      <c r="S22" s="199"/>
      <c r="T22" s="191"/>
      <c r="U22" s="191"/>
      <c r="V22" s="191"/>
      <c r="W22" s="191"/>
    </row>
    <row r="23" spans="1:23" ht="14.55" customHeight="1" x14ac:dyDescent="0.3">
      <c r="A23" s="180" t="s">
        <v>32</v>
      </c>
      <c r="B23" s="5">
        <v>0.33333333333333331</v>
      </c>
      <c r="C23" s="5"/>
      <c r="D23" s="130">
        <v>250057</v>
      </c>
      <c r="E23" s="12" t="s">
        <v>574</v>
      </c>
      <c r="F23" s="40">
        <v>304</v>
      </c>
      <c r="G23" s="41">
        <v>0.7</v>
      </c>
      <c r="H23" s="40">
        <v>315</v>
      </c>
      <c r="I23" s="12">
        <v>2</v>
      </c>
      <c r="J23" s="165">
        <v>350</v>
      </c>
      <c r="K23" s="166"/>
      <c r="L23" s="165"/>
      <c r="M23" s="166"/>
      <c r="N23" s="165"/>
      <c r="O23" s="166"/>
      <c r="P23" s="165"/>
      <c r="Q23" s="166"/>
      <c r="R23" s="128"/>
      <c r="S23" s="14" t="s">
        <v>20</v>
      </c>
      <c r="T23" s="42"/>
      <c r="U23" s="177"/>
      <c r="V23" s="178"/>
      <c r="W23" s="179"/>
    </row>
    <row r="24" spans="1:23" ht="14.55" customHeight="1" x14ac:dyDescent="0.3">
      <c r="A24" s="181"/>
      <c r="B24" s="5"/>
      <c r="C24" s="5"/>
      <c r="D24" s="130">
        <v>250061</v>
      </c>
      <c r="E24" s="12" t="s">
        <v>574</v>
      </c>
      <c r="F24" s="40">
        <v>304</v>
      </c>
      <c r="G24" s="41">
        <v>0.7</v>
      </c>
      <c r="H24" s="40">
        <v>315</v>
      </c>
      <c r="I24" s="12">
        <v>2</v>
      </c>
      <c r="J24" s="165">
        <v>540</v>
      </c>
      <c r="K24" s="166"/>
      <c r="L24" s="165"/>
      <c r="M24" s="166"/>
      <c r="N24" s="165"/>
      <c r="O24" s="166"/>
      <c r="P24" s="165"/>
      <c r="Q24" s="166"/>
      <c r="R24" s="128"/>
      <c r="S24" s="14" t="s">
        <v>20</v>
      </c>
      <c r="T24" s="42"/>
      <c r="U24" s="177"/>
      <c r="V24" s="178"/>
      <c r="W24" s="179"/>
    </row>
    <row r="25" spans="1:23" ht="14.55" customHeight="1" x14ac:dyDescent="0.3">
      <c r="A25" s="181"/>
      <c r="B25" s="5"/>
      <c r="C25" s="5">
        <v>0.70833333333333337</v>
      </c>
      <c r="D25" s="130">
        <v>250079</v>
      </c>
      <c r="E25" s="12" t="s">
        <v>573</v>
      </c>
      <c r="F25" s="40">
        <v>304</v>
      </c>
      <c r="G25" s="41">
        <v>1</v>
      </c>
      <c r="H25" s="40">
        <v>315</v>
      </c>
      <c r="I25" s="12">
        <v>2</v>
      </c>
      <c r="J25" s="165">
        <v>82</v>
      </c>
      <c r="K25" s="166"/>
      <c r="L25" s="165"/>
      <c r="M25" s="166"/>
      <c r="N25" s="165"/>
      <c r="O25" s="166"/>
      <c r="P25" s="165"/>
      <c r="Q25" s="166"/>
      <c r="R25" s="128"/>
      <c r="S25" s="14" t="s">
        <v>20</v>
      </c>
      <c r="T25" s="42"/>
      <c r="U25" s="177"/>
      <c r="V25" s="178"/>
      <c r="W25" s="179"/>
    </row>
    <row r="26" spans="1:23" ht="14.55" customHeight="1" x14ac:dyDescent="0.3">
      <c r="A26" s="181"/>
      <c r="B26" s="5"/>
      <c r="C26" s="5"/>
      <c r="D26" s="4"/>
      <c r="E26" s="12"/>
      <c r="F26" s="40"/>
      <c r="G26" s="41"/>
      <c r="H26" s="40"/>
      <c r="I26" s="12"/>
      <c r="J26" s="165"/>
      <c r="K26" s="166"/>
      <c r="L26" s="165"/>
      <c r="M26" s="166"/>
      <c r="N26" s="165"/>
      <c r="O26" s="166"/>
      <c r="P26" s="165"/>
      <c r="Q26" s="166"/>
      <c r="R26" s="128"/>
      <c r="S26" s="14" t="s">
        <v>20</v>
      </c>
      <c r="T26" s="42"/>
      <c r="U26" s="177"/>
      <c r="V26" s="178"/>
      <c r="W26" s="179"/>
    </row>
    <row r="27" spans="1:23" ht="14.55" customHeight="1" x14ac:dyDescent="0.3">
      <c r="A27" s="182"/>
      <c r="B27" s="19"/>
      <c r="C27" s="19"/>
      <c r="D27" s="20"/>
      <c r="E27" s="170" t="s">
        <v>0</v>
      </c>
      <c r="F27" s="171"/>
      <c r="G27" s="171"/>
      <c r="H27" s="171"/>
      <c r="I27" s="172"/>
      <c r="J27" s="173">
        <f>SUM(J23:K26)</f>
        <v>972</v>
      </c>
      <c r="K27" s="174"/>
      <c r="L27" s="173">
        <f>SUM(L23:M26)</f>
        <v>0</v>
      </c>
      <c r="M27" s="174"/>
      <c r="N27" s="173">
        <f>SUM(N23:O26)</f>
        <v>0</v>
      </c>
      <c r="O27" s="174"/>
      <c r="P27" s="173">
        <f>SUM(P23:Q26)</f>
        <v>0</v>
      </c>
      <c r="Q27" s="174"/>
      <c r="R27" s="23">
        <f>SUM(R23:R26)</f>
        <v>0</v>
      </c>
      <c r="S27" s="24" t="s">
        <v>20</v>
      </c>
      <c r="T27" s="19"/>
      <c r="U27" s="177"/>
      <c r="V27" s="178"/>
      <c r="W27" s="179"/>
    </row>
    <row r="28" spans="1:23" ht="14.55" customHeight="1" x14ac:dyDescent="0.3">
      <c r="A28" s="163" t="s">
        <v>34</v>
      </c>
      <c r="B28" s="5">
        <v>0.33333333333333331</v>
      </c>
      <c r="C28" s="5"/>
      <c r="D28" s="4">
        <v>250080</v>
      </c>
      <c r="E28" s="12" t="s">
        <v>571</v>
      </c>
      <c r="F28" s="40">
        <v>304</v>
      </c>
      <c r="G28" s="41">
        <v>0.6</v>
      </c>
      <c r="H28" s="40">
        <v>455</v>
      </c>
      <c r="I28" s="12">
        <v>7</v>
      </c>
      <c r="J28" s="165">
        <v>350</v>
      </c>
      <c r="K28" s="166"/>
      <c r="L28" s="165"/>
      <c r="M28" s="166"/>
      <c r="N28" s="165"/>
      <c r="O28" s="166"/>
      <c r="P28" s="165"/>
      <c r="Q28" s="166"/>
      <c r="R28" s="128">
        <v>45</v>
      </c>
      <c r="S28" s="14" t="s">
        <v>20</v>
      </c>
      <c r="T28" s="42" t="s">
        <v>93</v>
      </c>
      <c r="U28" s="177"/>
      <c r="V28" s="178"/>
      <c r="W28" s="179"/>
    </row>
    <row r="29" spans="1:23" ht="14.55" customHeight="1" x14ac:dyDescent="0.3">
      <c r="A29" s="163"/>
      <c r="B29" s="5"/>
      <c r="C29" s="5"/>
      <c r="D29" s="4">
        <v>250080</v>
      </c>
      <c r="E29" s="12" t="s">
        <v>589</v>
      </c>
      <c r="F29" s="40">
        <v>304</v>
      </c>
      <c r="G29" s="41">
        <v>0.6</v>
      </c>
      <c r="H29" s="40">
        <v>505</v>
      </c>
      <c r="I29" s="12">
        <v>7</v>
      </c>
      <c r="J29" s="165">
        <v>300</v>
      </c>
      <c r="K29" s="166"/>
      <c r="L29" s="165"/>
      <c r="M29" s="166"/>
      <c r="N29" s="165"/>
      <c r="O29" s="166"/>
      <c r="P29" s="165"/>
      <c r="Q29" s="166"/>
      <c r="R29" s="128"/>
      <c r="S29" s="14" t="s">
        <v>20</v>
      </c>
      <c r="T29" s="42"/>
      <c r="U29" s="177"/>
      <c r="V29" s="178"/>
      <c r="W29" s="179"/>
    </row>
    <row r="30" spans="1:23" ht="14.55" customHeight="1" x14ac:dyDescent="0.3">
      <c r="A30" s="163"/>
      <c r="B30" s="5"/>
      <c r="C30" s="5"/>
      <c r="D30" s="4">
        <v>250080</v>
      </c>
      <c r="E30" s="12" t="s">
        <v>590</v>
      </c>
      <c r="F30" s="40">
        <v>304</v>
      </c>
      <c r="G30" s="41">
        <v>0.6</v>
      </c>
      <c r="H30" s="40">
        <v>520</v>
      </c>
      <c r="I30" s="12">
        <v>7</v>
      </c>
      <c r="J30" s="165">
        <v>350</v>
      </c>
      <c r="K30" s="166"/>
      <c r="L30" s="165"/>
      <c r="M30" s="166"/>
      <c r="N30" s="165"/>
      <c r="O30" s="166"/>
      <c r="P30" s="165"/>
      <c r="Q30" s="166"/>
      <c r="R30" s="128">
        <v>20</v>
      </c>
      <c r="S30" s="14" t="s">
        <v>20</v>
      </c>
      <c r="T30" s="42" t="s">
        <v>163</v>
      </c>
      <c r="U30" s="177"/>
      <c r="V30" s="178"/>
      <c r="W30" s="179"/>
    </row>
    <row r="31" spans="1:23" ht="14.55" customHeight="1" x14ac:dyDescent="0.3">
      <c r="A31" s="163"/>
      <c r="B31" s="5"/>
      <c r="C31" s="5">
        <v>0.70833333333333337</v>
      </c>
      <c r="D31" s="4">
        <v>250078</v>
      </c>
      <c r="E31" s="12" t="s">
        <v>591</v>
      </c>
      <c r="F31" s="40">
        <v>304</v>
      </c>
      <c r="G31" s="41">
        <v>0.7</v>
      </c>
      <c r="H31" s="40">
        <v>323</v>
      </c>
      <c r="I31" s="12">
        <v>3</v>
      </c>
      <c r="J31" s="165">
        <v>790</v>
      </c>
      <c r="K31" s="166"/>
      <c r="L31" s="165"/>
      <c r="M31" s="166"/>
      <c r="N31" s="165"/>
      <c r="O31" s="166"/>
      <c r="P31" s="165"/>
      <c r="Q31" s="166"/>
      <c r="R31" s="128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63"/>
      <c r="B32" s="5"/>
      <c r="C32" s="5"/>
      <c r="D32" s="4"/>
      <c r="E32" s="12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128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64"/>
      <c r="B33" s="19"/>
      <c r="C33" s="19"/>
      <c r="D33" s="20"/>
      <c r="E33" s="170" t="s">
        <v>0</v>
      </c>
      <c r="F33" s="171"/>
      <c r="G33" s="171"/>
      <c r="H33" s="171"/>
      <c r="I33" s="172"/>
      <c r="J33" s="173">
        <f>SUM(J28:K32)</f>
        <v>1790</v>
      </c>
      <c r="K33" s="174"/>
      <c r="L33" s="173">
        <f>SUM(L28:M32)</f>
        <v>0</v>
      </c>
      <c r="M33" s="174"/>
      <c r="N33" s="173">
        <f>SUM(N28:O32)</f>
        <v>0</v>
      </c>
      <c r="O33" s="174"/>
      <c r="P33" s="173">
        <f>SUM(P28:Q32)</f>
        <v>0</v>
      </c>
      <c r="Q33" s="174"/>
      <c r="R33" s="23">
        <f>SUM(R28:R32)</f>
        <v>65</v>
      </c>
      <c r="S33" s="24" t="s">
        <v>20</v>
      </c>
      <c r="T33" s="19"/>
      <c r="U33" s="177"/>
      <c r="V33" s="178"/>
      <c r="W33" s="179"/>
    </row>
    <row r="34" spans="1:23" ht="14.55" customHeight="1" x14ac:dyDescent="0.3">
      <c r="A34" s="163" t="s">
        <v>583</v>
      </c>
      <c r="B34" s="5"/>
      <c r="C34" s="5"/>
      <c r="D34" s="4"/>
      <c r="E34" s="12" t="s">
        <v>592</v>
      </c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128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63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128"/>
      <c r="S35" s="14" t="s">
        <v>20</v>
      </c>
      <c r="T35" s="42"/>
      <c r="U35" s="177"/>
      <c r="V35" s="178"/>
      <c r="W35" s="179"/>
    </row>
    <row r="36" spans="1:23" ht="14.55" customHeight="1" x14ac:dyDescent="0.3">
      <c r="A36" s="164"/>
      <c r="B36" s="19"/>
      <c r="C36" s="19"/>
      <c r="D36" s="20"/>
      <c r="E36" s="170" t="s">
        <v>0</v>
      </c>
      <c r="F36" s="171"/>
      <c r="G36" s="171"/>
      <c r="H36" s="171"/>
      <c r="I36" s="172"/>
      <c r="J36" s="173">
        <f>SUM(J34:K35)</f>
        <v>0</v>
      </c>
      <c r="K36" s="174"/>
      <c r="L36" s="173">
        <f>SUM(L34:M35)</f>
        <v>0</v>
      </c>
      <c r="M36" s="174"/>
      <c r="N36" s="173">
        <f>SUM(N34:O35)</f>
        <v>0</v>
      </c>
      <c r="O36" s="174"/>
      <c r="P36" s="173">
        <f>SUM(P34:Q35)</f>
        <v>0</v>
      </c>
      <c r="Q36" s="174"/>
      <c r="R36" s="23">
        <f>SUM(R34:R35)</f>
        <v>0</v>
      </c>
      <c r="S36" s="24" t="s">
        <v>20</v>
      </c>
      <c r="T36" s="19"/>
      <c r="U36" s="177"/>
      <c r="V36" s="178"/>
      <c r="W36" s="179"/>
    </row>
    <row r="37" spans="1:23" ht="14.55" customHeight="1" x14ac:dyDescent="0.3">
      <c r="A37" s="163" t="s">
        <v>35</v>
      </c>
      <c r="B37" s="5"/>
      <c r="C37" s="5"/>
      <c r="D37" s="4"/>
      <c r="E37" s="12" t="s">
        <v>321</v>
      </c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128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63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128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4"/>
      <c r="B39" s="19"/>
      <c r="C39" s="19"/>
      <c r="D39" s="20"/>
      <c r="E39" s="170" t="s">
        <v>0</v>
      </c>
      <c r="F39" s="171"/>
      <c r="G39" s="171"/>
      <c r="H39" s="171"/>
      <c r="I39" s="172"/>
      <c r="J39" s="173">
        <f>SUM(J37:K38)</f>
        <v>0</v>
      </c>
      <c r="K39" s="174"/>
      <c r="L39" s="173">
        <f>SUM(L37:M38)</f>
        <v>0</v>
      </c>
      <c r="M39" s="174"/>
      <c r="N39" s="173">
        <f>SUM(N37:O38)</f>
        <v>0</v>
      </c>
      <c r="O39" s="174"/>
      <c r="P39" s="173">
        <f>SUM(P37:Q38)</f>
        <v>0</v>
      </c>
      <c r="Q39" s="174"/>
      <c r="R39" s="23">
        <f>SUM(R37:R38)</f>
        <v>0</v>
      </c>
      <c r="S39" s="24" t="s">
        <v>20</v>
      </c>
      <c r="T39" s="19"/>
      <c r="U39" s="177"/>
      <c r="V39" s="178"/>
      <c r="W39" s="179"/>
    </row>
    <row r="40" spans="1:23" ht="14.55" customHeight="1" x14ac:dyDescent="0.3">
      <c r="A40" s="27"/>
      <c r="B40" s="27"/>
      <c r="C40" s="27"/>
      <c r="D40" s="27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27"/>
      <c r="S40" s="27"/>
      <c r="T40" s="39"/>
      <c r="U40" s="39"/>
      <c r="V40" s="39"/>
      <c r="W40" s="39"/>
    </row>
    <row r="41" spans="1:23" x14ac:dyDescent="0.3">
      <c r="E41" s="170" t="s">
        <v>31</v>
      </c>
      <c r="F41" s="171"/>
      <c r="G41" s="171"/>
      <c r="H41" s="171"/>
      <c r="I41" s="172"/>
      <c r="J41" s="175" t="s">
        <v>7</v>
      </c>
      <c r="K41" s="176"/>
      <c r="L41" s="175" t="s">
        <v>8</v>
      </c>
      <c r="M41" s="176"/>
      <c r="N41" s="175" t="s">
        <v>9</v>
      </c>
      <c r="O41" s="176"/>
      <c r="P41" s="175" t="s">
        <v>117</v>
      </c>
      <c r="Q41" s="176"/>
    </row>
    <row r="42" spans="1:23" s="2" customFormat="1" x14ac:dyDescent="0.3">
      <c r="E42" s="15"/>
      <c r="F42" s="15"/>
      <c r="G42" s="15"/>
      <c r="H42" s="15"/>
      <c r="I42" s="15"/>
      <c r="J42" s="30">
        <f>J27+J33+J36+J39</f>
        <v>2762</v>
      </c>
      <c r="K42" s="31" t="s">
        <v>17</v>
      </c>
      <c r="L42" s="30">
        <f>L27+L33+L36+L39</f>
        <v>0</v>
      </c>
      <c r="M42" s="31" t="s">
        <v>17</v>
      </c>
      <c r="N42" s="30">
        <f>N27+N33+N36+N39</f>
        <v>0</v>
      </c>
      <c r="O42" s="31" t="s">
        <v>17</v>
      </c>
      <c r="P42" s="30">
        <f>P27+P33+P36+P39</f>
        <v>0</v>
      </c>
      <c r="Q42" s="34" t="s">
        <v>17</v>
      </c>
    </row>
    <row r="43" spans="1:23" ht="24.45" customHeight="1" x14ac:dyDescent="0.3">
      <c r="E43" s="28"/>
      <c r="F43" s="28"/>
      <c r="G43" s="28"/>
      <c r="H43" s="28"/>
      <c r="I43" s="28"/>
      <c r="J43" s="167">
        <f>J42+L42+N42+P42</f>
        <v>2762</v>
      </c>
      <c r="K43" s="168"/>
      <c r="L43" s="168"/>
      <c r="M43" s="168"/>
      <c r="N43" s="168"/>
      <c r="O43" s="168"/>
      <c r="P43" s="168"/>
      <c r="Q43" s="169"/>
    </row>
    <row r="44" spans="1:23" ht="14.55" customHeight="1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</row>
    <row r="45" spans="1:23" s="37" customFormat="1" ht="19.95" customHeight="1" x14ac:dyDescent="0.4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6"/>
      <c r="Q45" s="183" t="s">
        <v>14</v>
      </c>
      <c r="R45" s="183"/>
      <c r="S45" s="183"/>
      <c r="T45" s="184">
        <f>T3</f>
        <v>45952</v>
      </c>
      <c r="U45" s="185"/>
      <c r="V45" s="185"/>
      <c r="W45" s="186"/>
    </row>
    <row r="46" spans="1:23" s="16" customFormat="1" ht="30" customHeight="1" x14ac:dyDescent="0.3">
      <c r="A46" s="187" t="s">
        <v>586</v>
      </c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9"/>
      <c r="Q46" s="189"/>
      <c r="R46" s="189"/>
      <c r="S46" s="189"/>
      <c r="T46" s="188"/>
      <c r="U46" s="188"/>
      <c r="V46" s="188"/>
      <c r="W46" s="190"/>
    </row>
    <row r="47" spans="1:23" s="26" customFormat="1" ht="13.8" x14ac:dyDescent="0.3">
      <c r="A47" s="191" t="s">
        <v>1</v>
      </c>
      <c r="B47" s="192" t="s">
        <v>2</v>
      </c>
      <c r="C47" s="192" t="s">
        <v>3</v>
      </c>
      <c r="D47" s="192" t="s">
        <v>4</v>
      </c>
      <c r="E47" s="193" t="s">
        <v>5</v>
      </c>
      <c r="F47" s="195" t="s">
        <v>21</v>
      </c>
      <c r="G47" s="195" t="s">
        <v>22</v>
      </c>
      <c r="H47" s="195" t="s">
        <v>33</v>
      </c>
      <c r="I47" s="195" t="s">
        <v>30</v>
      </c>
      <c r="J47" s="193" t="s">
        <v>6</v>
      </c>
      <c r="K47" s="197"/>
      <c r="L47" s="197"/>
      <c r="M47" s="197"/>
      <c r="N47" s="197"/>
      <c r="O47" s="197"/>
      <c r="P47" s="197"/>
      <c r="Q47" s="198"/>
      <c r="R47" s="193" t="s">
        <v>10</v>
      </c>
      <c r="S47" s="198"/>
      <c r="T47" s="191" t="s">
        <v>11</v>
      </c>
      <c r="U47" s="191" t="s">
        <v>12</v>
      </c>
      <c r="V47" s="191"/>
      <c r="W47" s="191"/>
    </row>
    <row r="48" spans="1:23" s="26" customFormat="1" ht="13.8" x14ac:dyDescent="0.3">
      <c r="A48" s="191"/>
      <c r="B48" s="192"/>
      <c r="C48" s="192"/>
      <c r="D48" s="192"/>
      <c r="E48" s="194"/>
      <c r="F48" s="196"/>
      <c r="G48" s="196"/>
      <c r="H48" s="196"/>
      <c r="I48" s="196"/>
      <c r="J48" s="200" t="s">
        <v>7</v>
      </c>
      <c r="K48" s="201"/>
      <c r="L48" s="200" t="s">
        <v>8</v>
      </c>
      <c r="M48" s="201"/>
      <c r="N48" s="200" t="s">
        <v>9</v>
      </c>
      <c r="O48" s="201"/>
      <c r="P48" s="200" t="s">
        <v>117</v>
      </c>
      <c r="Q48" s="201"/>
      <c r="R48" s="194"/>
      <c r="S48" s="199"/>
      <c r="T48" s="191"/>
      <c r="U48" s="191"/>
      <c r="V48" s="191"/>
      <c r="W48" s="191"/>
    </row>
    <row r="49" spans="1:23" ht="14.55" customHeight="1" x14ac:dyDescent="0.3">
      <c r="A49" s="180" t="s">
        <v>584</v>
      </c>
      <c r="B49" s="5">
        <v>0.33333333333333331</v>
      </c>
      <c r="C49" s="5">
        <v>0.70833333333333337</v>
      </c>
      <c r="D49" s="102">
        <v>230925</v>
      </c>
      <c r="E49" s="12" t="s">
        <v>593</v>
      </c>
      <c r="F49" s="40">
        <v>430</v>
      </c>
      <c r="G49" s="41">
        <v>0.6</v>
      </c>
      <c r="H49" s="40">
        <v>147</v>
      </c>
      <c r="I49" s="12"/>
      <c r="J49" s="165"/>
      <c r="K49" s="166"/>
      <c r="L49" s="165"/>
      <c r="M49" s="166"/>
      <c r="N49" s="165">
        <v>2550</v>
      </c>
      <c r="O49" s="166"/>
      <c r="P49" s="165"/>
      <c r="Q49" s="166"/>
      <c r="R49" s="128">
        <v>30</v>
      </c>
      <c r="S49" s="14" t="s">
        <v>20</v>
      </c>
      <c r="T49" s="42" t="s">
        <v>594</v>
      </c>
      <c r="U49" s="177"/>
      <c r="V49" s="178"/>
      <c r="W49" s="179"/>
    </row>
    <row r="50" spans="1:23" ht="14.55" customHeight="1" x14ac:dyDescent="0.3">
      <c r="A50" s="181"/>
      <c r="B50" s="5"/>
      <c r="C50" s="5"/>
      <c r="D50" s="4"/>
      <c r="E50" s="13"/>
      <c r="F50" s="40"/>
      <c r="G50" s="41"/>
      <c r="H50" s="40"/>
      <c r="I50" s="12"/>
      <c r="J50" s="165"/>
      <c r="K50" s="166"/>
      <c r="L50" s="165"/>
      <c r="M50" s="166"/>
      <c r="N50" s="165"/>
      <c r="O50" s="166"/>
      <c r="P50" s="165"/>
      <c r="Q50" s="166"/>
      <c r="R50" s="128"/>
      <c r="S50" s="14" t="s">
        <v>20</v>
      </c>
      <c r="T50" s="42"/>
      <c r="U50" s="177"/>
      <c r="V50" s="178"/>
      <c r="W50" s="179"/>
    </row>
    <row r="51" spans="1:23" ht="14.55" customHeight="1" x14ac:dyDescent="0.3">
      <c r="A51" s="181"/>
      <c r="B51" s="5"/>
      <c r="C51" s="5"/>
      <c r="D51" s="4"/>
      <c r="E51" s="12"/>
      <c r="F51" s="40"/>
      <c r="G51" s="41"/>
      <c r="H51" s="40"/>
      <c r="I51" s="12"/>
      <c r="J51" s="165"/>
      <c r="K51" s="166"/>
      <c r="L51" s="165"/>
      <c r="M51" s="166"/>
      <c r="N51" s="165"/>
      <c r="O51" s="166"/>
      <c r="P51" s="165"/>
      <c r="Q51" s="166"/>
      <c r="R51" s="128"/>
      <c r="S51" s="14" t="s">
        <v>20</v>
      </c>
      <c r="T51" s="42"/>
      <c r="U51" s="177"/>
      <c r="V51" s="178"/>
      <c r="W51" s="179"/>
    </row>
    <row r="52" spans="1:23" ht="14.55" customHeight="1" x14ac:dyDescent="0.3">
      <c r="A52" s="182"/>
      <c r="B52" s="19"/>
      <c r="C52" s="19"/>
      <c r="D52" s="20"/>
      <c r="E52" s="170" t="s">
        <v>0</v>
      </c>
      <c r="F52" s="171"/>
      <c r="G52" s="171"/>
      <c r="H52" s="171"/>
      <c r="I52" s="172"/>
      <c r="J52" s="173">
        <f>SUM(J49:K51)</f>
        <v>0</v>
      </c>
      <c r="K52" s="174"/>
      <c r="L52" s="173">
        <f>SUM(L49:M51)</f>
        <v>0</v>
      </c>
      <c r="M52" s="174"/>
      <c r="N52" s="173">
        <f>SUM(N49:O51)</f>
        <v>2550</v>
      </c>
      <c r="O52" s="174"/>
      <c r="P52" s="173">
        <f>SUM(P49:Q51)</f>
        <v>0</v>
      </c>
      <c r="Q52" s="174"/>
      <c r="R52" s="23">
        <f>SUM(R49:R51)</f>
        <v>30</v>
      </c>
      <c r="S52" s="24" t="s">
        <v>20</v>
      </c>
      <c r="T52" s="19"/>
      <c r="U52" s="177"/>
      <c r="V52" s="178"/>
      <c r="W52" s="179"/>
    </row>
    <row r="53" spans="1:23" x14ac:dyDescent="0.3">
      <c r="E53" s="28"/>
      <c r="F53" s="28"/>
      <c r="G53" s="28"/>
      <c r="H53" s="28"/>
      <c r="I53" s="28"/>
      <c r="J53" s="29"/>
      <c r="K53" s="29"/>
      <c r="L53" s="29"/>
      <c r="M53" s="29"/>
      <c r="N53" s="29"/>
      <c r="O53" s="29"/>
      <c r="P53" s="29"/>
      <c r="Q53" s="29"/>
    </row>
    <row r="54" spans="1:23" x14ac:dyDescent="0.3">
      <c r="E54" s="170" t="s">
        <v>587</v>
      </c>
      <c r="F54" s="171"/>
      <c r="G54" s="171"/>
      <c r="H54" s="171"/>
      <c r="I54" s="172"/>
      <c r="J54" s="175" t="s">
        <v>7</v>
      </c>
      <c r="K54" s="176"/>
      <c r="L54" s="175" t="s">
        <v>8</v>
      </c>
      <c r="M54" s="176"/>
      <c r="N54" s="175" t="s">
        <v>9</v>
      </c>
      <c r="O54" s="176"/>
      <c r="P54" s="175" t="s">
        <v>117</v>
      </c>
      <c r="Q54" s="176"/>
    </row>
    <row r="55" spans="1:23" s="2" customFormat="1" x14ac:dyDescent="0.3">
      <c r="E55" s="15"/>
      <c r="F55" s="15"/>
      <c r="G55" s="15"/>
      <c r="H55" s="15"/>
      <c r="I55" s="15"/>
      <c r="J55" s="30">
        <f>J52</f>
        <v>0</v>
      </c>
      <c r="K55" s="31" t="s">
        <v>17</v>
      </c>
      <c r="L55" s="32">
        <f>L52</f>
        <v>0</v>
      </c>
      <c r="M55" s="31" t="s">
        <v>17</v>
      </c>
      <c r="N55" s="32">
        <f>N52</f>
        <v>2550</v>
      </c>
      <c r="O55" s="31" t="s">
        <v>17</v>
      </c>
      <c r="P55" s="32">
        <f>P52</f>
        <v>0</v>
      </c>
      <c r="Q55" s="34" t="s">
        <v>17</v>
      </c>
    </row>
    <row r="56" spans="1:23" ht="24.45" customHeight="1" x14ac:dyDescent="0.3">
      <c r="E56" s="28"/>
      <c r="F56" s="28"/>
      <c r="G56" s="28"/>
      <c r="H56" s="28"/>
      <c r="I56" s="28"/>
      <c r="J56" s="167">
        <f>J55+L55+N55+P55</f>
        <v>2550</v>
      </c>
      <c r="K56" s="168"/>
      <c r="L56" s="168"/>
      <c r="M56" s="168"/>
      <c r="N56" s="168"/>
      <c r="O56" s="168"/>
      <c r="P56" s="168"/>
      <c r="Q56" s="169"/>
    </row>
    <row r="57" spans="1:23" ht="14.55" customHeight="1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</row>
    <row r="58" spans="1:23" s="37" customFormat="1" ht="19.95" customHeight="1" x14ac:dyDescent="0.4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214" t="s">
        <v>14</v>
      </c>
      <c r="R58" s="215"/>
      <c r="S58" s="216"/>
      <c r="T58" s="184">
        <f>T3</f>
        <v>45952</v>
      </c>
      <c r="U58" s="185"/>
      <c r="V58" s="185"/>
      <c r="W58" s="186"/>
    </row>
    <row r="59" spans="1:23" s="16" customFormat="1" ht="30" customHeight="1" x14ac:dyDescent="0.3">
      <c r="A59" s="187" t="s">
        <v>26</v>
      </c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9"/>
      <c r="Q59" s="189"/>
      <c r="R59" s="189"/>
      <c r="S59" s="189"/>
      <c r="T59" s="188"/>
      <c r="U59" s="188"/>
      <c r="V59" s="188"/>
      <c r="W59" s="190"/>
    </row>
    <row r="60" spans="1:23" s="26" customFormat="1" ht="13.8" x14ac:dyDescent="0.3">
      <c r="A60" s="191" t="s">
        <v>1</v>
      </c>
      <c r="B60" s="192" t="s">
        <v>2</v>
      </c>
      <c r="C60" s="192" t="s">
        <v>3</v>
      </c>
      <c r="D60" s="192" t="s">
        <v>4</v>
      </c>
      <c r="E60" s="193" t="s">
        <v>5</v>
      </c>
      <c r="F60" s="197"/>
      <c r="G60" s="197"/>
      <c r="H60" s="197"/>
      <c r="I60" s="198"/>
      <c r="J60" s="193" t="s">
        <v>6</v>
      </c>
      <c r="K60" s="197"/>
      <c r="L60" s="197"/>
      <c r="M60" s="197"/>
      <c r="N60" s="197"/>
      <c r="O60" s="197"/>
      <c r="P60" s="197"/>
      <c r="Q60" s="198"/>
      <c r="R60" s="193" t="s">
        <v>10</v>
      </c>
      <c r="S60" s="198"/>
      <c r="T60" s="191" t="s">
        <v>11</v>
      </c>
      <c r="U60" s="191" t="s">
        <v>12</v>
      </c>
      <c r="V60" s="191"/>
      <c r="W60" s="191"/>
    </row>
    <row r="61" spans="1:23" s="26" customFormat="1" ht="13.8" x14ac:dyDescent="0.3">
      <c r="A61" s="191"/>
      <c r="B61" s="192"/>
      <c r="C61" s="192"/>
      <c r="D61" s="192"/>
      <c r="E61" s="194"/>
      <c r="F61" s="217"/>
      <c r="G61" s="217"/>
      <c r="H61" s="217"/>
      <c r="I61" s="199"/>
      <c r="J61" s="200" t="s">
        <v>7</v>
      </c>
      <c r="K61" s="201"/>
      <c r="L61" s="200" t="s">
        <v>8</v>
      </c>
      <c r="M61" s="201"/>
      <c r="N61" s="200" t="s">
        <v>9</v>
      </c>
      <c r="O61" s="201"/>
      <c r="P61" s="200" t="s">
        <v>117</v>
      </c>
      <c r="Q61" s="201"/>
      <c r="R61" s="194"/>
      <c r="S61" s="199"/>
      <c r="T61" s="191"/>
      <c r="U61" s="191"/>
      <c r="V61" s="191"/>
      <c r="W61" s="191"/>
    </row>
    <row r="62" spans="1:23" x14ac:dyDescent="0.3">
      <c r="A62" s="180" t="s">
        <v>13</v>
      </c>
      <c r="B62" s="5">
        <v>0.33333333333333331</v>
      </c>
      <c r="C62" s="5"/>
      <c r="D62" s="129">
        <v>160925</v>
      </c>
      <c r="E62" s="211" t="s">
        <v>519</v>
      </c>
      <c r="F62" s="212"/>
      <c r="G62" s="212"/>
      <c r="H62" s="212"/>
      <c r="I62" s="213"/>
      <c r="J62" s="165">
        <v>573</v>
      </c>
      <c r="K62" s="166"/>
      <c r="L62" s="165"/>
      <c r="M62" s="166"/>
      <c r="N62" s="165"/>
      <c r="O62" s="166"/>
      <c r="P62" s="165"/>
      <c r="Q62" s="166"/>
      <c r="R62" s="128"/>
      <c r="S62" s="6" t="s">
        <v>20</v>
      </c>
      <c r="T62" s="3"/>
      <c r="U62" s="202"/>
      <c r="V62" s="203"/>
      <c r="W62" s="204"/>
    </row>
    <row r="63" spans="1:23" x14ac:dyDescent="0.3">
      <c r="A63" s="163"/>
      <c r="B63" s="5"/>
      <c r="C63" s="5"/>
      <c r="D63" s="129">
        <v>250049</v>
      </c>
      <c r="E63" s="211" t="s">
        <v>595</v>
      </c>
      <c r="F63" s="212"/>
      <c r="G63" s="212"/>
      <c r="H63" s="212"/>
      <c r="I63" s="213"/>
      <c r="J63" s="165">
        <v>468</v>
      </c>
      <c r="K63" s="166"/>
      <c r="L63" s="165"/>
      <c r="M63" s="166"/>
      <c r="N63" s="165"/>
      <c r="O63" s="166"/>
      <c r="P63" s="165"/>
      <c r="Q63" s="166"/>
      <c r="R63" s="128"/>
      <c r="S63" s="6" t="s">
        <v>20</v>
      </c>
      <c r="T63" s="3"/>
      <c r="U63" s="205"/>
      <c r="V63" s="206"/>
      <c r="W63" s="207"/>
    </row>
    <row r="64" spans="1:23" x14ac:dyDescent="0.3">
      <c r="A64" s="163"/>
      <c r="B64" s="5"/>
      <c r="C64" s="5"/>
      <c r="D64" s="129">
        <v>250042</v>
      </c>
      <c r="E64" s="211" t="s">
        <v>519</v>
      </c>
      <c r="F64" s="212"/>
      <c r="G64" s="212"/>
      <c r="H64" s="212"/>
      <c r="I64" s="213"/>
      <c r="J64" s="165">
        <v>775</v>
      </c>
      <c r="K64" s="166"/>
      <c r="L64" s="165"/>
      <c r="M64" s="166"/>
      <c r="N64" s="165"/>
      <c r="O64" s="166"/>
      <c r="P64" s="165"/>
      <c r="Q64" s="166"/>
      <c r="R64" s="128"/>
      <c r="S64" s="6" t="s">
        <v>20</v>
      </c>
      <c r="T64" s="3"/>
      <c r="U64" s="205"/>
      <c r="V64" s="206"/>
      <c r="W64" s="207"/>
    </row>
    <row r="65" spans="1:23" x14ac:dyDescent="0.3">
      <c r="A65" s="163"/>
      <c r="B65" s="5"/>
      <c r="C65" s="5"/>
      <c r="D65" s="129">
        <v>250042</v>
      </c>
      <c r="E65" s="211" t="s">
        <v>536</v>
      </c>
      <c r="F65" s="212"/>
      <c r="G65" s="212"/>
      <c r="H65" s="212"/>
      <c r="I65" s="213"/>
      <c r="J65" s="165">
        <v>811</v>
      </c>
      <c r="K65" s="166"/>
      <c r="L65" s="165"/>
      <c r="M65" s="166"/>
      <c r="N65" s="165"/>
      <c r="O65" s="166"/>
      <c r="P65" s="165"/>
      <c r="Q65" s="166"/>
      <c r="R65" s="128"/>
      <c r="S65" s="6" t="s">
        <v>20</v>
      </c>
      <c r="T65" s="3"/>
      <c r="U65" s="205"/>
      <c r="V65" s="206"/>
      <c r="W65" s="207"/>
    </row>
    <row r="66" spans="1:23" x14ac:dyDescent="0.3">
      <c r="A66" s="163"/>
      <c r="B66" s="5"/>
      <c r="C66" s="5"/>
      <c r="D66" s="129">
        <v>21025</v>
      </c>
      <c r="E66" s="211" t="s">
        <v>572</v>
      </c>
      <c r="F66" s="212"/>
      <c r="G66" s="212"/>
      <c r="H66" s="212"/>
      <c r="I66" s="213"/>
      <c r="J66" s="165">
        <v>1025</v>
      </c>
      <c r="K66" s="166"/>
      <c r="L66" s="165"/>
      <c r="M66" s="166"/>
      <c r="N66" s="165"/>
      <c r="O66" s="166"/>
      <c r="P66" s="165"/>
      <c r="Q66" s="166"/>
      <c r="R66" s="128"/>
      <c r="S66" s="6" t="s">
        <v>20</v>
      </c>
      <c r="T66" s="3"/>
      <c r="U66" s="205"/>
      <c r="V66" s="206"/>
      <c r="W66" s="207"/>
    </row>
    <row r="67" spans="1:23" x14ac:dyDescent="0.3">
      <c r="A67" s="163"/>
      <c r="B67" s="5"/>
      <c r="C67" s="5">
        <v>0.70833333333333337</v>
      </c>
      <c r="D67" s="129">
        <v>21025</v>
      </c>
      <c r="E67" s="211" t="s">
        <v>596</v>
      </c>
      <c r="F67" s="212"/>
      <c r="G67" s="212"/>
      <c r="H67" s="212"/>
      <c r="I67" s="213"/>
      <c r="J67" s="165">
        <v>217</v>
      </c>
      <c r="K67" s="166"/>
      <c r="L67" s="165"/>
      <c r="M67" s="166"/>
      <c r="N67" s="165"/>
      <c r="O67" s="166"/>
      <c r="P67" s="165"/>
      <c r="Q67" s="166"/>
      <c r="R67" s="128"/>
      <c r="S67" s="6" t="s">
        <v>20</v>
      </c>
      <c r="T67" s="3"/>
      <c r="U67" s="205"/>
      <c r="V67" s="206"/>
      <c r="W67" s="207"/>
    </row>
    <row r="68" spans="1:23" x14ac:dyDescent="0.3">
      <c r="A68" s="163"/>
      <c r="B68" s="5"/>
      <c r="C68" s="5"/>
      <c r="D68" s="4"/>
      <c r="E68" s="211"/>
      <c r="F68" s="212"/>
      <c r="G68" s="212"/>
      <c r="H68" s="212"/>
      <c r="I68" s="213"/>
      <c r="J68" s="165"/>
      <c r="K68" s="166"/>
      <c r="L68" s="165"/>
      <c r="M68" s="166"/>
      <c r="N68" s="165"/>
      <c r="O68" s="166"/>
      <c r="P68" s="165"/>
      <c r="Q68" s="166"/>
      <c r="R68" s="128"/>
      <c r="S68" s="6" t="s">
        <v>20</v>
      </c>
      <c r="T68" s="3"/>
      <c r="U68" s="205"/>
      <c r="V68" s="206"/>
      <c r="W68" s="207"/>
    </row>
    <row r="69" spans="1:23" x14ac:dyDescent="0.3">
      <c r="A69" s="164"/>
      <c r="B69" s="19"/>
      <c r="C69" s="19"/>
      <c r="D69" s="20"/>
      <c r="E69" s="170" t="s">
        <v>0</v>
      </c>
      <c r="F69" s="171"/>
      <c r="G69" s="171"/>
      <c r="H69" s="171"/>
      <c r="I69" s="172"/>
      <c r="J69" s="173">
        <f>SUM(J62:J68)</f>
        <v>3869</v>
      </c>
      <c r="K69" s="174"/>
      <c r="L69" s="173">
        <f>SUM(L62:L68)</f>
        <v>0</v>
      </c>
      <c r="M69" s="174"/>
      <c r="N69" s="173">
        <f>SUM(N62:N68)</f>
        <v>0</v>
      </c>
      <c r="O69" s="174"/>
      <c r="P69" s="173">
        <f>SUM(P62:P68)</f>
        <v>0</v>
      </c>
      <c r="Q69" s="174"/>
      <c r="R69" s="23">
        <f>SUM(R62:R68)</f>
        <v>0</v>
      </c>
      <c r="S69" s="24" t="s">
        <v>20</v>
      </c>
      <c r="T69" s="19"/>
      <c r="U69" s="208"/>
      <c r="V69" s="209"/>
      <c r="W69" s="210"/>
    </row>
    <row r="70" spans="1:23" x14ac:dyDescent="0.3">
      <c r="A70" s="180" t="s">
        <v>15</v>
      </c>
      <c r="B70" s="5"/>
      <c r="C70" s="5"/>
      <c r="D70" s="4"/>
      <c r="E70" s="211"/>
      <c r="F70" s="212"/>
      <c r="G70" s="212"/>
      <c r="H70" s="212"/>
      <c r="I70" s="213"/>
      <c r="J70" s="165"/>
      <c r="K70" s="166"/>
      <c r="L70" s="165"/>
      <c r="M70" s="166"/>
      <c r="N70" s="165"/>
      <c r="O70" s="166"/>
      <c r="P70" s="165"/>
      <c r="Q70" s="166"/>
      <c r="R70" s="128"/>
      <c r="S70" s="6" t="s">
        <v>20</v>
      </c>
      <c r="T70" s="3"/>
      <c r="U70" s="202"/>
      <c r="V70" s="203"/>
      <c r="W70" s="204"/>
    </row>
    <row r="71" spans="1:23" x14ac:dyDescent="0.3">
      <c r="A71" s="163"/>
      <c r="B71" s="5"/>
      <c r="C71" s="5"/>
      <c r="D71" s="4"/>
      <c r="E71" s="211"/>
      <c r="F71" s="212"/>
      <c r="G71" s="212"/>
      <c r="H71" s="212"/>
      <c r="I71" s="213"/>
      <c r="J71" s="165"/>
      <c r="K71" s="166"/>
      <c r="L71" s="165"/>
      <c r="M71" s="166"/>
      <c r="N71" s="165"/>
      <c r="O71" s="166"/>
      <c r="P71" s="165"/>
      <c r="Q71" s="166"/>
      <c r="R71" s="128"/>
      <c r="S71" s="6" t="s">
        <v>20</v>
      </c>
      <c r="T71" s="3"/>
      <c r="U71" s="205"/>
      <c r="V71" s="206"/>
      <c r="W71" s="207"/>
    </row>
    <row r="72" spans="1:23" x14ac:dyDescent="0.3">
      <c r="A72" s="163"/>
      <c r="B72" s="5"/>
      <c r="C72" s="5"/>
      <c r="D72" s="4"/>
      <c r="E72" s="211"/>
      <c r="F72" s="212"/>
      <c r="G72" s="212"/>
      <c r="H72" s="212"/>
      <c r="I72" s="213"/>
      <c r="J72" s="165"/>
      <c r="K72" s="166"/>
      <c r="L72" s="165"/>
      <c r="M72" s="166"/>
      <c r="N72" s="165"/>
      <c r="O72" s="166"/>
      <c r="P72" s="165"/>
      <c r="Q72" s="166"/>
      <c r="R72" s="128"/>
      <c r="S72" s="6" t="s">
        <v>20</v>
      </c>
      <c r="T72" s="3"/>
      <c r="U72" s="205"/>
      <c r="V72" s="206"/>
      <c r="W72" s="207"/>
    </row>
    <row r="73" spans="1:23" x14ac:dyDescent="0.3">
      <c r="A73" s="164"/>
      <c r="B73" s="19"/>
      <c r="C73" s="19"/>
      <c r="D73" s="20"/>
      <c r="E73" s="170" t="s">
        <v>0</v>
      </c>
      <c r="F73" s="171"/>
      <c r="G73" s="171"/>
      <c r="H73" s="171"/>
      <c r="I73" s="172"/>
      <c r="J73" s="173">
        <f>SUM(J70:J72)</f>
        <v>0</v>
      </c>
      <c r="K73" s="174"/>
      <c r="L73" s="173">
        <f>SUM(L70:L72)</f>
        <v>0</v>
      </c>
      <c r="M73" s="174"/>
      <c r="N73" s="173">
        <f>SUM(N70:N72)</f>
        <v>0</v>
      </c>
      <c r="O73" s="174"/>
      <c r="P73" s="173">
        <f>SUM(P65:P72)</f>
        <v>0</v>
      </c>
      <c r="Q73" s="174"/>
      <c r="R73" s="23">
        <f>SUM(R70:R72)</f>
        <v>0</v>
      </c>
      <c r="S73" s="24" t="s">
        <v>20</v>
      </c>
      <c r="T73" s="7"/>
      <c r="U73" s="208"/>
      <c r="V73" s="209"/>
      <c r="W73" s="210"/>
    </row>
    <row r="74" spans="1:23" x14ac:dyDescent="0.3">
      <c r="E74" s="28"/>
      <c r="F74" s="28"/>
      <c r="G74" s="28"/>
      <c r="H74" s="28"/>
      <c r="I74" s="28"/>
      <c r="J74" s="29"/>
      <c r="K74" s="29"/>
      <c r="L74" s="29"/>
      <c r="M74" s="29"/>
      <c r="N74" s="29"/>
      <c r="O74" s="29"/>
      <c r="P74" s="29"/>
      <c r="Q74" s="29"/>
    </row>
    <row r="75" spans="1:23" x14ac:dyDescent="0.3">
      <c r="E75" s="170" t="s">
        <v>28</v>
      </c>
      <c r="F75" s="171"/>
      <c r="G75" s="171"/>
      <c r="H75" s="171"/>
      <c r="I75" s="172"/>
      <c r="J75" s="175" t="s">
        <v>7</v>
      </c>
      <c r="K75" s="176"/>
      <c r="L75" s="175" t="s">
        <v>8</v>
      </c>
      <c r="M75" s="176"/>
      <c r="N75" s="175" t="s">
        <v>9</v>
      </c>
      <c r="O75" s="176"/>
      <c r="P75" s="175" t="s">
        <v>117</v>
      </c>
      <c r="Q75" s="176"/>
    </row>
    <row r="76" spans="1:23" s="2" customFormat="1" x14ac:dyDescent="0.3">
      <c r="E76" s="15"/>
      <c r="F76" s="15"/>
      <c r="G76" s="15"/>
      <c r="H76" s="15"/>
      <c r="I76" s="15"/>
      <c r="J76" s="30">
        <f>J69+J73</f>
        <v>3869</v>
      </c>
      <c r="K76" s="31" t="s">
        <v>17</v>
      </c>
      <c r="L76" s="32">
        <f>L69+L73</f>
        <v>0</v>
      </c>
      <c r="M76" s="31" t="s">
        <v>17</v>
      </c>
      <c r="N76" s="32">
        <f>N69+N73</f>
        <v>0</v>
      </c>
      <c r="O76" s="31" t="s">
        <v>17</v>
      </c>
      <c r="P76" s="32">
        <f>P69+P73</f>
        <v>0</v>
      </c>
      <c r="Q76" s="34" t="s">
        <v>17</v>
      </c>
    </row>
    <row r="77" spans="1:23" ht="24.45" customHeight="1" x14ac:dyDescent="0.3">
      <c r="E77" s="28"/>
      <c r="F77" s="28"/>
      <c r="G77" s="28"/>
      <c r="H77" s="28"/>
      <c r="I77" s="28"/>
      <c r="J77" s="167">
        <f>J76+L76+N76+P76</f>
        <v>3869</v>
      </c>
      <c r="K77" s="168"/>
      <c r="L77" s="168"/>
      <c r="M77" s="168"/>
      <c r="N77" s="168"/>
      <c r="O77" s="168"/>
      <c r="P77" s="168"/>
      <c r="Q77" s="169"/>
    </row>
    <row r="78" spans="1:23" ht="14.55" customHeight="1" x14ac:dyDescent="0.3"/>
    <row r="79" spans="1:23" s="37" customFormat="1" ht="19.95" customHeight="1" x14ac:dyDescent="0.4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6"/>
      <c r="Q79" s="183" t="s">
        <v>14</v>
      </c>
      <c r="R79" s="183"/>
      <c r="S79" s="183"/>
      <c r="T79" s="184">
        <f>T3</f>
        <v>45952</v>
      </c>
      <c r="U79" s="185"/>
      <c r="V79" s="185"/>
      <c r="W79" s="186"/>
    </row>
    <row r="80" spans="1:23" s="16" customFormat="1" ht="30" customHeight="1" x14ac:dyDescent="0.3">
      <c r="A80" s="187" t="s">
        <v>579</v>
      </c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9"/>
      <c r="Q80" s="189"/>
      <c r="R80" s="189"/>
      <c r="S80" s="189"/>
      <c r="T80" s="188"/>
      <c r="U80" s="188"/>
      <c r="V80" s="188"/>
      <c r="W80" s="190"/>
    </row>
    <row r="81" spans="1:23" s="26" customFormat="1" ht="13.8" x14ac:dyDescent="0.3">
      <c r="A81" s="191" t="s">
        <v>1</v>
      </c>
      <c r="B81" s="192" t="s">
        <v>2</v>
      </c>
      <c r="C81" s="192" t="s">
        <v>3</v>
      </c>
      <c r="D81" s="192" t="s">
        <v>4</v>
      </c>
      <c r="E81" s="193" t="s">
        <v>5</v>
      </c>
      <c r="F81" s="195" t="s">
        <v>21</v>
      </c>
      <c r="G81" s="195" t="s">
        <v>22</v>
      </c>
      <c r="H81" s="195" t="s">
        <v>33</v>
      </c>
      <c r="I81" s="195" t="s">
        <v>30</v>
      </c>
      <c r="J81" s="193" t="s">
        <v>6</v>
      </c>
      <c r="K81" s="197"/>
      <c r="L81" s="197"/>
      <c r="M81" s="197"/>
      <c r="N81" s="197"/>
      <c r="O81" s="197"/>
      <c r="P81" s="197"/>
      <c r="Q81" s="198"/>
      <c r="R81" s="193" t="s">
        <v>10</v>
      </c>
      <c r="S81" s="198"/>
      <c r="T81" s="191" t="s">
        <v>11</v>
      </c>
      <c r="U81" s="191" t="s">
        <v>12</v>
      </c>
      <c r="V81" s="191"/>
      <c r="W81" s="191"/>
    </row>
    <row r="82" spans="1:23" s="26" customFormat="1" ht="13.8" x14ac:dyDescent="0.3">
      <c r="A82" s="191"/>
      <c r="B82" s="192"/>
      <c r="C82" s="192"/>
      <c r="D82" s="192"/>
      <c r="E82" s="194"/>
      <c r="F82" s="196"/>
      <c r="G82" s="196"/>
      <c r="H82" s="196"/>
      <c r="I82" s="196"/>
      <c r="J82" s="200" t="s">
        <v>7</v>
      </c>
      <c r="K82" s="201"/>
      <c r="L82" s="200" t="s">
        <v>8</v>
      </c>
      <c r="M82" s="201"/>
      <c r="N82" s="200" t="s">
        <v>9</v>
      </c>
      <c r="O82" s="201"/>
      <c r="P82" s="200" t="s">
        <v>117</v>
      </c>
      <c r="Q82" s="201"/>
      <c r="R82" s="194"/>
      <c r="S82" s="199"/>
      <c r="T82" s="191"/>
      <c r="U82" s="191"/>
      <c r="V82" s="191"/>
      <c r="W82" s="191"/>
    </row>
    <row r="83" spans="1:23" ht="14.55" customHeight="1" x14ac:dyDescent="0.3">
      <c r="A83" s="180" t="s">
        <v>581</v>
      </c>
      <c r="B83" s="5">
        <v>0.33333333333333331</v>
      </c>
      <c r="C83" s="5"/>
      <c r="D83" s="126"/>
      <c r="E83" s="12" t="s">
        <v>245</v>
      </c>
      <c r="F83" s="40"/>
      <c r="G83" s="41"/>
      <c r="H83" s="40"/>
      <c r="I83" s="12"/>
      <c r="J83" s="165">
        <v>2000</v>
      </c>
      <c r="K83" s="166"/>
      <c r="L83" s="165"/>
      <c r="M83" s="166"/>
      <c r="N83" s="165"/>
      <c r="O83" s="166"/>
      <c r="P83" s="165"/>
      <c r="Q83" s="166"/>
      <c r="R83" s="128">
        <v>60</v>
      </c>
      <c r="S83" s="14" t="s">
        <v>20</v>
      </c>
      <c r="T83" s="42" t="s">
        <v>216</v>
      </c>
      <c r="U83" s="177" t="s">
        <v>597</v>
      </c>
      <c r="V83" s="178"/>
      <c r="W83" s="179"/>
    </row>
    <row r="84" spans="1:23" ht="14.55" customHeight="1" x14ac:dyDescent="0.3">
      <c r="A84" s="181"/>
      <c r="B84" s="5"/>
      <c r="C84" s="5"/>
      <c r="D84" s="126"/>
      <c r="E84" s="13"/>
      <c r="F84" s="40"/>
      <c r="G84" s="41"/>
      <c r="H84" s="40"/>
      <c r="I84" s="12"/>
      <c r="J84" s="165"/>
      <c r="K84" s="166"/>
      <c r="L84" s="165"/>
      <c r="M84" s="166"/>
      <c r="N84" s="165"/>
      <c r="O84" s="166"/>
      <c r="P84" s="165"/>
      <c r="Q84" s="166"/>
      <c r="R84" s="128"/>
      <c r="S84" s="14" t="s">
        <v>20</v>
      </c>
      <c r="T84" s="42"/>
      <c r="U84" s="177"/>
      <c r="V84" s="178"/>
      <c r="W84" s="179"/>
    </row>
    <row r="85" spans="1:23" ht="14.55" customHeight="1" x14ac:dyDescent="0.3">
      <c r="A85" s="181"/>
      <c r="B85" s="5"/>
      <c r="C85" s="5"/>
      <c r="D85" s="4"/>
      <c r="E85" s="12"/>
      <c r="F85" s="40"/>
      <c r="G85" s="41"/>
      <c r="H85" s="40"/>
      <c r="I85" s="12"/>
      <c r="J85" s="165"/>
      <c r="K85" s="166"/>
      <c r="L85" s="165"/>
      <c r="M85" s="166"/>
      <c r="N85" s="165"/>
      <c r="O85" s="166"/>
      <c r="P85" s="165"/>
      <c r="Q85" s="166"/>
      <c r="R85" s="128"/>
      <c r="S85" s="14" t="s">
        <v>20</v>
      </c>
      <c r="T85" s="42"/>
      <c r="U85" s="177"/>
      <c r="V85" s="178"/>
      <c r="W85" s="179"/>
    </row>
    <row r="86" spans="1:23" ht="14.55" customHeight="1" x14ac:dyDescent="0.3">
      <c r="A86" s="182"/>
      <c r="B86" s="19"/>
      <c r="C86" s="19"/>
      <c r="D86" s="20"/>
      <c r="E86" s="170" t="s">
        <v>0</v>
      </c>
      <c r="F86" s="171"/>
      <c r="G86" s="171"/>
      <c r="H86" s="171"/>
      <c r="I86" s="172"/>
      <c r="J86" s="173">
        <f>SUM(J83:K85)</f>
        <v>2000</v>
      </c>
      <c r="K86" s="174"/>
      <c r="L86" s="173">
        <f>SUM(L83:M85)</f>
        <v>0</v>
      </c>
      <c r="M86" s="174"/>
      <c r="N86" s="173">
        <f>SUM(N83:O85)</f>
        <v>0</v>
      </c>
      <c r="O86" s="174"/>
      <c r="P86" s="173">
        <f>SUM(P83:Q85)</f>
        <v>0</v>
      </c>
      <c r="Q86" s="174"/>
      <c r="R86" s="23">
        <f>SUM(R83:R85)</f>
        <v>60</v>
      </c>
      <c r="S86" s="24" t="s">
        <v>20</v>
      </c>
      <c r="T86" s="19"/>
      <c r="U86" s="177"/>
      <c r="V86" s="178"/>
      <c r="W86" s="179"/>
    </row>
    <row r="87" spans="1:23" ht="14.55" customHeight="1" x14ac:dyDescent="0.3">
      <c r="A87" s="163" t="s">
        <v>580</v>
      </c>
      <c r="B87" s="5"/>
      <c r="C87" s="5"/>
      <c r="D87" s="4"/>
      <c r="E87" s="12"/>
      <c r="F87" s="40"/>
      <c r="G87" s="41"/>
      <c r="H87" s="40"/>
      <c r="I87" s="12"/>
      <c r="J87" s="165"/>
      <c r="K87" s="166"/>
      <c r="L87" s="165"/>
      <c r="M87" s="166"/>
      <c r="N87" s="165"/>
      <c r="O87" s="166"/>
      <c r="P87" s="165"/>
      <c r="Q87" s="166"/>
      <c r="R87" s="128"/>
      <c r="S87" s="14" t="s">
        <v>20</v>
      </c>
      <c r="T87" s="42"/>
      <c r="U87" s="177"/>
      <c r="V87" s="178"/>
      <c r="W87" s="179"/>
    </row>
    <row r="88" spans="1:23" ht="14.55" customHeight="1" x14ac:dyDescent="0.3">
      <c r="A88" s="163"/>
      <c r="B88" s="5"/>
      <c r="C88" s="5"/>
      <c r="D88" s="4"/>
      <c r="E88" s="12"/>
      <c r="F88" s="40"/>
      <c r="G88" s="41"/>
      <c r="H88" s="40"/>
      <c r="I88" s="12"/>
      <c r="J88" s="165"/>
      <c r="K88" s="166"/>
      <c r="L88" s="165"/>
      <c r="M88" s="166"/>
      <c r="N88" s="165"/>
      <c r="O88" s="166"/>
      <c r="P88" s="165"/>
      <c r="Q88" s="166"/>
      <c r="R88" s="128"/>
      <c r="S88" s="14" t="s">
        <v>20</v>
      </c>
      <c r="T88" s="42"/>
      <c r="U88" s="177"/>
      <c r="V88" s="178"/>
      <c r="W88" s="179"/>
    </row>
    <row r="89" spans="1:23" ht="14.55" customHeight="1" x14ac:dyDescent="0.3">
      <c r="A89" s="163"/>
      <c r="B89" s="5"/>
      <c r="C89" s="5"/>
      <c r="D89" s="4"/>
      <c r="E89" s="12"/>
      <c r="F89" s="40"/>
      <c r="G89" s="41"/>
      <c r="H89" s="40"/>
      <c r="I89" s="12"/>
      <c r="J89" s="165"/>
      <c r="K89" s="166"/>
      <c r="L89" s="165"/>
      <c r="M89" s="166"/>
      <c r="N89" s="165"/>
      <c r="O89" s="166"/>
      <c r="P89" s="165"/>
      <c r="Q89" s="166"/>
      <c r="R89" s="128"/>
      <c r="S89" s="14" t="s">
        <v>20</v>
      </c>
      <c r="T89" s="42"/>
      <c r="U89" s="177"/>
      <c r="V89" s="178"/>
      <c r="W89" s="179"/>
    </row>
    <row r="90" spans="1:23" ht="14.55" customHeight="1" x14ac:dyDescent="0.3">
      <c r="A90" s="163"/>
      <c r="B90" s="5"/>
      <c r="C90" s="5"/>
      <c r="D90" s="4"/>
      <c r="E90" s="12"/>
      <c r="F90" s="40"/>
      <c r="G90" s="41"/>
      <c r="H90" s="40"/>
      <c r="I90" s="12"/>
      <c r="J90" s="165"/>
      <c r="K90" s="166"/>
      <c r="L90" s="165"/>
      <c r="M90" s="166"/>
      <c r="N90" s="165"/>
      <c r="O90" s="166"/>
      <c r="P90" s="165"/>
      <c r="Q90" s="166"/>
      <c r="R90" s="128"/>
      <c r="S90" s="14" t="s">
        <v>20</v>
      </c>
      <c r="T90" s="42"/>
      <c r="U90" s="177"/>
      <c r="V90" s="178"/>
      <c r="W90" s="179"/>
    </row>
    <row r="91" spans="1:23" ht="14.55" customHeight="1" x14ac:dyDescent="0.3">
      <c r="A91" s="164"/>
      <c r="B91" s="19"/>
      <c r="C91" s="19"/>
      <c r="D91" s="20"/>
      <c r="E91" s="170" t="s">
        <v>0</v>
      </c>
      <c r="F91" s="171"/>
      <c r="G91" s="171"/>
      <c r="H91" s="171"/>
      <c r="I91" s="172"/>
      <c r="J91" s="173">
        <f>SUM(J87:K90)</f>
        <v>0</v>
      </c>
      <c r="K91" s="174"/>
      <c r="L91" s="173">
        <f>SUM(L87:M90)</f>
        <v>0</v>
      </c>
      <c r="M91" s="174"/>
      <c r="N91" s="173">
        <f>SUM(N87:O90)</f>
        <v>0</v>
      </c>
      <c r="O91" s="174"/>
      <c r="P91" s="173">
        <f>SUM(P87:Q90)</f>
        <v>0</v>
      </c>
      <c r="Q91" s="174"/>
      <c r="R91" s="23">
        <f>SUM(R87:R90)</f>
        <v>0</v>
      </c>
      <c r="S91" s="24" t="s">
        <v>20</v>
      </c>
      <c r="T91" s="19"/>
      <c r="U91" s="177"/>
      <c r="V91" s="178"/>
      <c r="W91" s="179"/>
    </row>
    <row r="92" spans="1:23" ht="14.55" customHeight="1" x14ac:dyDescent="0.3">
      <c r="A92" s="27"/>
      <c r="B92" s="27"/>
      <c r="C92" s="27"/>
      <c r="D92" s="27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27"/>
      <c r="S92" s="27"/>
      <c r="T92" s="39"/>
      <c r="U92" s="39"/>
      <c r="V92" s="39"/>
      <c r="W92" s="39"/>
    </row>
    <row r="93" spans="1:23" x14ac:dyDescent="0.3">
      <c r="E93" s="170" t="s">
        <v>585</v>
      </c>
      <c r="F93" s="171"/>
      <c r="G93" s="171"/>
      <c r="H93" s="171"/>
      <c r="I93" s="172"/>
      <c r="J93" s="175" t="s">
        <v>7</v>
      </c>
      <c r="K93" s="176"/>
      <c r="L93" s="175" t="s">
        <v>8</v>
      </c>
      <c r="M93" s="176"/>
      <c r="N93" s="175" t="s">
        <v>9</v>
      </c>
      <c r="O93" s="176"/>
      <c r="P93" s="175" t="s">
        <v>117</v>
      </c>
      <c r="Q93" s="176"/>
    </row>
    <row r="94" spans="1:23" s="2" customFormat="1" x14ac:dyDescent="0.3">
      <c r="E94" s="15"/>
      <c r="F94" s="15"/>
      <c r="G94" s="15"/>
      <c r="H94" s="15"/>
      <c r="I94" s="15"/>
      <c r="J94" s="30">
        <f>SUM(J91,J86)</f>
        <v>2000</v>
      </c>
      <c r="K94" s="31" t="s">
        <v>17</v>
      </c>
      <c r="L94" s="30">
        <f>SUM(L91,L86)</f>
        <v>0</v>
      </c>
      <c r="M94" s="31" t="s">
        <v>17</v>
      </c>
      <c r="N94" s="30">
        <f>SUM(N91,N86)</f>
        <v>0</v>
      </c>
      <c r="O94" s="31" t="s">
        <v>17</v>
      </c>
      <c r="P94" s="30">
        <f>SUM(P91,P86)</f>
        <v>0</v>
      </c>
      <c r="Q94" s="34" t="s">
        <v>17</v>
      </c>
    </row>
    <row r="95" spans="1:23" ht="24.45" customHeight="1" x14ac:dyDescent="0.3">
      <c r="E95" s="28"/>
      <c r="F95" s="28"/>
      <c r="G95" s="28"/>
      <c r="H95" s="28"/>
      <c r="I95" s="28"/>
      <c r="J95" s="167">
        <f>J94+L94+N94+P94</f>
        <v>2000</v>
      </c>
      <c r="K95" s="168"/>
      <c r="L95" s="168"/>
      <c r="M95" s="168"/>
      <c r="N95" s="168"/>
      <c r="O95" s="168"/>
      <c r="P95" s="168"/>
      <c r="Q95" s="169"/>
    </row>
  </sheetData>
  <mergeCells count="358">
    <mergeCell ref="A87:A91"/>
    <mergeCell ref="J87:K87"/>
    <mergeCell ref="L87:M87"/>
    <mergeCell ref="N87:O87"/>
    <mergeCell ref="P87:Q87"/>
    <mergeCell ref="J95:Q95"/>
    <mergeCell ref="E91:I91"/>
    <mergeCell ref="J91:K91"/>
    <mergeCell ref="L91:M91"/>
    <mergeCell ref="N91:O91"/>
    <mergeCell ref="P91:Q91"/>
    <mergeCell ref="E93:I93"/>
    <mergeCell ref="J93:K93"/>
    <mergeCell ref="L93:M93"/>
    <mergeCell ref="N93:O93"/>
    <mergeCell ref="P93:Q93"/>
    <mergeCell ref="U87:W91"/>
    <mergeCell ref="J88:K88"/>
    <mergeCell ref="L88:M88"/>
    <mergeCell ref="N88:O88"/>
    <mergeCell ref="P88:Q88"/>
    <mergeCell ref="J85:K85"/>
    <mergeCell ref="L85:M85"/>
    <mergeCell ref="N85:O85"/>
    <mergeCell ref="P85:Q85"/>
    <mergeCell ref="U83:W86"/>
    <mergeCell ref="J89:K89"/>
    <mergeCell ref="L89:M89"/>
    <mergeCell ref="N89:O89"/>
    <mergeCell ref="P89:Q89"/>
    <mergeCell ref="J90:K90"/>
    <mergeCell ref="L90:M90"/>
    <mergeCell ref="N90:O90"/>
    <mergeCell ref="P90:Q90"/>
    <mergeCell ref="E86:I86"/>
    <mergeCell ref="J86:K86"/>
    <mergeCell ref="L86:M86"/>
    <mergeCell ref="N86:O86"/>
    <mergeCell ref="P86:Q86"/>
    <mergeCell ref="A83:A86"/>
    <mergeCell ref="J83:K83"/>
    <mergeCell ref="L83:M83"/>
    <mergeCell ref="N83:O83"/>
    <mergeCell ref="P83:Q83"/>
    <mergeCell ref="J84:K84"/>
    <mergeCell ref="L84:M84"/>
    <mergeCell ref="N84:O84"/>
    <mergeCell ref="P84:Q84"/>
    <mergeCell ref="Q79:S79"/>
    <mergeCell ref="T79:W79"/>
    <mergeCell ref="A80:W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Q81"/>
    <mergeCell ref="R81:S82"/>
    <mergeCell ref="T81:T82"/>
    <mergeCell ref="U81:W82"/>
    <mergeCell ref="J82:K82"/>
    <mergeCell ref="L82:M82"/>
    <mergeCell ref="N82:O82"/>
    <mergeCell ref="P82:Q82"/>
    <mergeCell ref="E75:I75"/>
    <mergeCell ref="J75:K75"/>
    <mergeCell ref="L75:M75"/>
    <mergeCell ref="N75:O75"/>
    <mergeCell ref="P75:Q75"/>
    <mergeCell ref="J77:Q77"/>
    <mergeCell ref="N72:O72"/>
    <mergeCell ref="P72:Q72"/>
    <mergeCell ref="E73:I73"/>
    <mergeCell ref="J73:K73"/>
    <mergeCell ref="L73:M73"/>
    <mergeCell ref="N73:O73"/>
    <mergeCell ref="P73:Q73"/>
    <mergeCell ref="U70:W73"/>
    <mergeCell ref="E71:I71"/>
    <mergeCell ref="J71:K71"/>
    <mergeCell ref="L71:M71"/>
    <mergeCell ref="N71:O71"/>
    <mergeCell ref="P71:Q71"/>
    <mergeCell ref="E72:I72"/>
    <mergeCell ref="J72:K72"/>
    <mergeCell ref="L72:M72"/>
    <mergeCell ref="E69:I69"/>
    <mergeCell ref="J69:K69"/>
    <mergeCell ref="L69:M69"/>
    <mergeCell ref="N69:O69"/>
    <mergeCell ref="P69:Q69"/>
    <mergeCell ref="A70:A73"/>
    <mergeCell ref="E70:I70"/>
    <mergeCell ref="J70:K70"/>
    <mergeCell ref="L70:M70"/>
    <mergeCell ref="N70:O70"/>
    <mergeCell ref="A62:A69"/>
    <mergeCell ref="J65:K65"/>
    <mergeCell ref="L65:M65"/>
    <mergeCell ref="P70:Q70"/>
    <mergeCell ref="E67:I67"/>
    <mergeCell ref="J67:K67"/>
    <mergeCell ref="L67:M67"/>
    <mergeCell ref="N67:O67"/>
    <mergeCell ref="P67:Q67"/>
    <mergeCell ref="E68:I68"/>
    <mergeCell ref="J68:K68"/>
    <mergeCell ref="L68:M68"/>
    <mergeCell ref="N68:O68"/>
    <mergeCell ref="P68:Q68"/>
    <mergeCell ref="N65:O65"/>
    <mergeCell ref="P65:Q65"/>
    <mergeCell ref="E66:I66"/>
    <mergeCell ref="J66:K66"/>
    <mergeCell ref="L66:M66"/>
    <mergeCell ref="N66:O66"/>
    <mergeCell ref="P66:Q66"/>
    <mergeCell ref="U62:W69"/>
    <mergeCell ref="E63:I63"/>
    <mergeCell ref="J63:K63"/>
    <mergeCell ref="L63:M63"/>
    <mergeCell ref="N63:O63"/>
    <mergeCell ref="P63:Q63"/>
    <mergeCell ref="E64:I64"/>
    <mergeCell ref="J64:K64"/>
    <mergeCell ref="L64:M64"/>
    <mergeCell ref="N64:O64"/>
    <mergeCell ref="E62:I62"/>
    <mergeCell ref="J62:K62"/>
    <mergeCell ref="L62:M62"/>
    <mergeCell ref="N62:O62"/>
    <mergeCell ref="P62:Q62"/>
    <mergeCell ref="P64:Q64"/>
    <mergeCell ref="E65:I65"/>
    <mergeCell ref="E54:I54"/>
    <mergeCell ref="J54:K54"/>
    <mergeCell ref="L54:M54"/>
    <mergeCell ref="N54:O54"/>
    <mergeCell ref="P54:Q54"/>
    <mergeCell ref="R60:S61"/>
    <mergeCell ref="T60:T61"/>
    <mergeCell ref="U60:W61"/>
    <mergeCell ref="J61:K61"/>
    <mergeCell ref="L61:M61"/>
    <mergeCell ref="N61:O61"/>
    <mergeCell ref="P61:Q61"/>
    <mergeCell ref="J56:Q56"/>
    <mergeCell ref="Q58:S58"/>
    <mergeCell ref="T58:W58"/>
    <mergeCell ref="A59:W59"/>
    <mergeCell ref="A60:A61"/>
    <mergeCell ref="B60:B61"/>
    <mergeCell ref="C60:C61"/>
    <mergeCell ref="D60:D61"/>
    <mergeCell ref="E60:I61"/>
    <mergeCell ref="J60:Q60"/>
    <mergeCell ref="U49:W52"/>
    <mergeCell ref="J50:K50"/>
    <mergeCell ref="L50:M50"/>
    <mergeCell ref="N50:O50"/>
    <mergeCell ref="P50:Q50"/>
    <mergeCell ref="J51:K51"/>
    <mergeCell ref="L51:M51"/>
    <mergeCell ref="N51:O51"/>
    <mergeCell ref="P51:Q51"/>
    <mergeCell ref="J52:K52"/>
    <mergeCell ref="L52:M52"/>
    <mergeCell ref="N52:O52"/>
    <mergeCell ref="P52:Q52"/>
    <mergeCell ref="A49:A52"/>
    <mergeCell ref="J49:K49"/>
    <mergeCell ref="L49:M49"/>
    <mergeCell ref="N49:O49"/>
    <mergeCell ref="P49:Q49"/>
    <mergeCell ref="G47:G48"/>
    <mergeCell ref="H47:H48"/>
    <mergeCell ref="I47:I48"/>
    <mergeCell ref="J47:Q47"/>
    <mergeCell ref="E52:I52"/>
    <mergeCell ref="A47:A48"/>
    <mergeCell ref="B47:B48"/>
    <mergeCell ref="C47:C48"/>
    <mergeCell ref="D47:D48"/>
    <mergeCell ref="E47:E48"/>
    <mergeCell ref="F47:F48"/>
    <mergeCell ref="U47:W48"/>
    <mergeCell ref="J48:K48"/>
    <mergeCell ref="L48:M48"/>
    <mergeCell ref="N48:O48"/>
    <mergeCell ref="P48:Q48"/>
    <mergeCell ref="R47:S48"/>
    <mergeCell ref="T47:T48"/>
    <mergeCell ref="E41:I41"/>
    <mergeCell ref="J41:K41"/>
    <mergeCell ref="L41:M41"/>
    <mergeCell ref="N41:O41"/>
    <mergeCell ref="P41:Q41"/>
    <mergeCell ref="J43:Q43"/>
    <mergeCell ref="Q45:S45"/>
    <mergeCell ref="T45:W45"/>
    <mergeCell ref="A46:W46"/>
    <mergeCell ref="A37:A39"/>
    <mergeCell ref="J37:K37"/>
    <mergeCell ref="L37:M37"/>
    <mergeCell ref="N37:O37"/>
    <mergeCell ref="P37:Q37"/>
    <mergeCell ref="U37:W39"/>
    <mergeCell ref="J38:K38"/>
    <mergeCell ref="L38:M38"/>
    <mergeCell ref="N38:O38"/>
    <mergeCell ref="P38:Q38"/>
    <mergeCell ref="E39:I39"/>
    <mergeCell ref="J39:K39"/>
    <mergeCell ref="L39:M39"/>
    <mergeCell ref="N39:O39"/>
    <mergeCell ref="P39:Q39"/>
    <mergeCell ref="L33:M33"/>
    <mergeCell ref="N33:O33"/>
    <mergeCell ref="P33:Q33"/>
    <mergeCell ref="A34:A36"/>
    <mergeCell ref="J34:K34"/>
    <mergeCell ref="L34:M34"/>
    <mergeCell ref="N34:O34"/>
    <mergeCell ref="P34:Q34"/>
    <mergeCell ref="U34:W36"/>
    <mergeCell ref="J35:K35"/>
    <mergeCell ref="L35:M35"/>
    <mergeCell ref="N35:O35"/>
    <mergeCell ref="P35:Q35"/>
    <mergeCell ref="E36:I36"/>
    <mergeCell ref="J36:K36"/>
    <mergeCell ref="L36:M36"/>
    <mergeCell ref="N36:O36"/>
    <mergeCell ref="P36:Q36"/>
    <mergeCell ref="A28:A33"/>
    <mergeCell ref="J28:K28"/>
    <mergeCell ref="L28:M28"/>
    <mergeCell ref="N28:O28"/>
    <mergeCell ref="P28:Q28"/>
    <mergeCell ref="L31:M31"/>
    <mergeCell ref="N29:O29"/>
    <mergeCell ref="P29:Q29"/>
    <mergeCell ref="J30:K30"/>
    <mergeCell ref="L30:M30"/>
    <mergeCell ref="N30:O30"/>
    <mergeCell ref="P30:Q30"/>
    <mergeCell ref="J31:K31"/>
    <mergeCell ref="J32:K32"/>
    <mergeCell ref="L32:M32"/>
    <mergeCell ref="N32:O32"/>
    <mergeCell ref="P32:Q32"/>
    <mergeCell ref="E33:I33"/>
    <mergeCell ref="J33:K33"/>
    <mergeCell ref="U23:W27"/>
    <mergeCell ref="J24:K24"/>
    <mergeCell ref="L24:M24"/>
    <mergeCell ref="N24:O24"/>
    <mergeCell ref="P24:Q24"/>
    <mergeCell ref="J25:K25"/>
    <mergeCell ref="L25:M25"/>
    <mergeCell ref="N25:O25"/>
    <mergeCell ref="P25:Q25"/>
    <mergeCell ref="J26:K26"/>
    <mergeCell ref="L26:M26"/>
    <mergeCell ref="N26:O26"/>
    <mergeCell ref="P26:Q26"/>
    <mergeCell ref="J27:K27"/>
    <mergeCell ref="L27:M27"/>
    <mergeCell ref="N27:O27"/>
    <mergeCell ref="P27:Q27"/>
    <mergeCell ref="N31:O31"/>
    <mergeCell ref="P31:Q31"/>
    <mergeCell ref="U28:W33"/>
    <mergeCell ref="J29:K29"/>
    <mergeCell ref="L29:M29"/>
    <mergeCell ref="A23:A27"/>
    <mergeCell ref="J23:K23"/>
    <mergeCell ref="L23:M23"/>
    <mergeCell ref="N23:O23"/>
    <mergeCell ref="P23:Q23"/>
    <mergeCell ref="G21:G22"/>
    <mergeCell ref="H21:H22"/>
    <mergeCell ref="I21:I22"/>
    <mergeCell ref="J21:Q21"/>
    <mergeCell ref="E27:I27"/>
    <mergeCell ref="J17:Q17"/>
    <mergeCell ref="Q19:S19"/>
    <mergeCell ref="T19:W19"/>
    <mergeCell ref="A20:W20"/>
    <mergeCell ref="A21:A22"/>
    <mergeCell ref="B21:B22"/>
    <mergeCell ref="C21:C22"/>
    <mergeCell ref="D21:D22"/>
    <mergeCell ref="E21:E22"/>
    <mergeCell ref="F21:F22"/>
    <mergeCell ref="U21:W22"/>
    <mergeCell ref="J22:K22"/>
    <mergeCell ref="L22:M22"/>
    <mergeCell ref="N22:O22"/>
    <mergeCell ref="P22:Q22"/>
    <mergeCell ref="R21:S22"/>
    <mergeCell ref="T21:T22"/>
    <mergeCell ref="E15:I15"/>
    <mergeCell ref="J15:K15"/>
    <mergeCell ref="L15:M15"/>
    <mergeCell ref="N15:O15"/>
    <mergeCell ref="P15:Q15"/>
    <mergeCell ref="J12:K12"/>
    <mergeCell ref="L12:M12"/>
    <mergeCell ref="N12:O12"/>
    <mergeCell ref="P12:Q12"/>
    <mergeCell ref="A7:A13"/>
    <mergeCell ref="J7:K7"/>
    <mergeCell ref="L7:M7"/>
    <mergeCell ref="N7:O7"/>
    <mergeCell ref="P7:Q7"/>
    <mergeCell ref="U7:W13"/>
    <mergeCell ref="J8:K8"/>
    <mergeCell ref="L8:M8"/>
    <mergeCell ref="N8:O8"/>
    <mergeCell ref="P8:Q8"/>
    <mergeCell ref="J11:K11"/>
    <mergeCell ref="L11:M11"/>
    <mergeCell ref="N11:O11"/>
    <mergeCell ref="P11:Q11"/>
    <mergeCell ref="J9:K9"/>
    <mergeCell ref="L9:M9"/>
    <mergeCell ref="N9:O9"/>
    <mergeCell ref="P9:Q9"/>
    <mergeCell ref="J10:K10"/>
    <mergeCell ref="L10:M10"/>
    <mergeCell ref="N10:O10"/>
    <mergeCell ref="P10:Q10"/>
    <mergeCell ref="B13:I13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W110"/>
  <sheetViews>
    <sheetView topLeftCell="A40" zoomScale="85" zoomScaleNormal="85" workbookViewId="0">
      <selection activeCell="E46" sqref="E46"/>
    </sheetView>
  </sheetViews>
  <sheetFormatPr defaultColWidth="8.88671875" defaultRowHeight="14.4" x14ac:dyDescent="0.3"/>
  <cols>
    <col min="1" max="1" width="12.6640625" style="118" customWidth="1"/>
    <col min="2" max="3" width="7.6640625" style="118" customWidth="1"/>
    <col min="4" max="4" width="8.109375" style="8" bestFit="1" customWidth="1"/>
    <col min="5" max="5" width="37.33203125" style="118" bestFit="1" customWidth="1"/>
    <col min="6" max="6" width="5.6640625" style="118" customWidth="1"/>
    <col min="7" max="9" width="6.6640625" style="118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18" customWidth="1"/>
    <col min="20" max="20" width="21.5546875" style="118" bestFit="1" customWidth="1"/>
    <col min="21" max="23" width="7.6640625" style="118" customWidth="1"/>
    <col min="24" max="16384" width="8.88671875" style="118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45947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250082</v>
      </c>
      <c r="E7" s="12" t="s">
        <v>598</v>
      </c>
      <c r="F7" s="17">
        <v>582</v>
      </c>
      <c r="G7" s="17">
        <v>430</v>
      </c>
      <c r="H7" s="18">
        <v>0.6</v>
      </c>
      <c r="I7" s="17">
        <v>35000</v>
      </c>
      <c r="J7" s="165">
        <v>872</v>
      </c>
      <c r="K7" s="166"/>
      <c r="L7" s="165"/>
      <c r="M7" s="166"/>
      <c r="N7" s="165"/>
      <c r="O7" s="166"/>
      <c r="P7" s="165"/>
      <c r="Q7" s="166"/>
      <c r="R7" s="131">
        <v>30</v>
      </c>
      <c r="S7" s="14" t="s">
        <v>20</v>
      </c>
      <c r="T7" s="42" t="s">
        <v>110</v>
      </c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599</v>
      </c>
      <c r="F8" s="17">
        <v>295</v>
      </c>
      <c r="G8" s="17">
        <v>430</v>
      </c>
      <c r="H8" s="18">
        <v>0.6</v>
      </c>
      <c r="I8" s="17">
        <v>35000</v>
      </c>
      <c r="J8" s="165"/>
      <c r="K8" s="166"/>
      <c r="L8" s="165"/>
      <c r="M8" s="166"/>
      <c r="N8" s="165"/>
      <c r="O8" s="166"/>
      <c r="P8" s="165">
        <v>436</v>
      </c>
      <c r="Q8" s="166"/>
      <c r="R8" s="131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 t="s">
        <v>102</v>
      </c>
      <c r="E9" s="12" t="s">
        <v>459</v>
      </c>
      <c r="F9" s="17" t="s">
        <v>277</v>
      </c>
      <c r="G9" s="17">
        <v>430</v>
      </c>
      <c r="H9" s="18">
        <v>0.6</v>
      </c>
      <c r="I9" s="17">
        <v>35000</v>
      </c>
      <c r="J9" s="165">
        <v>72</v>
      </c>
      <c r="K9" s="166"/>
      <c r="L9" s="165"/>
      <c r="M9" s="166"/>
      <c r="N9" s="165"/>
      <c r="O9" s="166"/>
      <c r="P9" s="165"/>
      <c r="Q9" s="166"/>
      <c r="R9" s="131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600</v>
      </c>
      <c r="F10" s="17">
        <v>160</v>
      </c>
      <c r="G10" s="17">
        <v>430</v>
      </c>
      <c r="H10" s="18">
        <v>0.6</v>
      </c>
      <c r="I10" s="17">
        <v>35000</v>
      </c>
      <c r="J10" s="165"/>
      <c r="K10" s="166"/>
      <c r="L10" s="165"/>
      <c r="M10" s="166"/>
      <c r="N10" s="165">
        <v>18</v>
      </c>
      <c r="O10" s="166"/>
      <c r="P10" s="165"/>
      <c r="Q10" s="166"/>
      <c r="R10" s="131">
        <v>45</v>
      </c>
      <c r="S10" s="14" t="s">
        <v>20</v>
      </c>
      <c r="T10" s="42" t="s">
        <v>607</v>
      </c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459</v>
      </c>
      <c r="F11" s="17" t="s">
        <v>277</v>
      </c>
      <c r="G11" s="17">
        <v>430</v>
      </c>
      <c r="H11" s="18">
        <v>0.6</v>
      </c>
      <c r="I11" s="17">
        <v>30000</v>
      </c>
      <c r="J11" s="165">
        <v>96</v>
      </c>
      <c r="K11" s="166"/>
      <c r="L11" s="165"/>
      <c r="M11" s="166"/>
      <c r="N11" s="165"/>
      <c r="O11" s="166"/>
      <c r="P11" s="165"/>
      <c r="Q11" s="166"/>
      <c r="R11" s="131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600</v>
      </c>
      <c r="F12" s="17">
        <v>160</v>
      </c>
      <c r="G12" s="17">
        <v>430</v>
      </c>
      <c r="H12" s="18">
        <v>0.6</v>
      </c>
      <c r="I12" s="17">
        <v>30000</v>
      </c>
      <c r="J12" s="165"/>
      <c r="K12" s="166"/>
      <c r="L12" s="165"/>
      <c r="M12" s="166"/>
      <c r="N12" s="165">
        <v>24</v>
      </c>
      <c r="O12" s="166"/>
      <c r="P12" s="165"/>
      <c r="Q12" s="166"/>
      <c r="R12" s="131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>
        <v>250082</v>
      </c>
      <c r="E13" s="12" t="s">
        <v>598</v>
      </c>
      <c r="F13" s="17">
        <v>582</v>
      </c>
      <c r="G13" s="17">
        <v>430</v>
      </c>
      <c r="H13" s="18">
        <v>0.6</v>
      </c>
      <c r="I13" s="17">
        <v>35000</v>
      </c>
      <c r="J13" s="165">
        <v>144</v>
      </c>
      <c r="K13" s="166"/>
      <c r="L13" s="165"/>
      <c r="M13" s="166"/>
      <c r="N13" s="165"/>
      <c r="O13" s="166"/>
      <c r="P13" s="165"/>
      <c r="Q13" s="166"/>
      <c r="R13" s="131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 t="s">
        <v>102</v>
      </c>
      <c r="E14" s="12" t="s">
        <v>601</v>
      </c>
      <c r="F14" s="17">
        <v>466</v>
      </c>
      <c r="G14" s="17">
        <v>430</v>
      </c>
      <c r="H14" s="18">
        <v>0.6</v>
      </c>
      <c r="I14" s="17">
        <v>35000</v>
      </c>
      <c r="J14" s="165">
        <v>72</v>
      </c>
      <c r="K14" s="166"/>
      <c r="L14" s="165"/>
      <c r="M14" s="166"/>
      <c r="N14" s="165"/>
      <c r="O14" s="166"/>
      <c r="P14" s="165"/>
      <c r="Q14" s="166"/>
      <c r="R14" s="131">
        <v>10</v>
      </c>
      <c r="S14" s="14" t="s">
        <v>20</v>
      </c>
      <c r="T14" s="42" t="s">
        <v>111</v>
      </c>
      <c r="U14" s="205"/>
      <c r="V14" s="206"/>
      <c r="W14" s="207"/>
    </row>
    <row r="15" spans="1:23" x14ac:dyDescent="0.3">
      <c r="A15" s="181"/>
      <c r="B15" s="5"/>
      <c r="C15" s="5"/>
      <c r="D15" s="4">
        <v>250082</v>
      </c>
      <c r="E15" s="12" t="s">
        <v>602</v>
      </c>
      <c r="F15" s="17">
        <v>719</v>
      </c>
      <c r="G15" s="17">
        <v>430</v>
      </c>
      <c r="H15" s="18">
        <v>0.6</v>
      </c>
      <c r="I15" s="17">
        <v>35000</v>
      </c>
      <c r="J15" s="165">
        <v>1020</v>
      </c>
      <c r="K15" s="166"/>
      <c r="L15" s="165"/>
      <c r="M15" s="166"/>
      <c r="N15" s="165"/>
      <c r="O15" s="166"/>
      <c r="P15" s="165"/>
      <c r="Q15" s="166"/>
      <c r="R15" s="131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 t="s">
        <v>102</v>
      </c>
      <c r="E16" s="12" t="s">
        <v>603</v>
      </c>
      <c r="F16" s="17">
        <v>330</v>
      </c>
      <c r="G16" s="17">
        <v>430</v>
      </c>
      <c r="H16" s="18">
        <v>0.6</v>
      </c>
      <c r="I16" s="17">
        <v>35000</v>
      </c>
      <c r="J16" s="165">
        <v>510</v>
      </c>
      <c r="K16" s="166"/>
      <c r="L16" s="165"/>
      <c r="M16" s="166"/>
      <c r="N16" s="165"/>
      <c r="O16" s="166"/>
      <c r="P16" s="165"/>
      <c r="Q16" s="166"/>
      <c r="R16" s="131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 t="s">
        <v>102</v>
      </c>
      <c r="E17" s="12" t="s">
        <v>604</v>
      </c>
      <c r="F17" s="17">
        <v>147</v>
      </c>
      <c r="G17" s="17">
        <v>430</v>
      </c>
      <c r="H17" s="18">
        <v>0.6</v>
      </c>
      <c r="I17" s="17">
        <v>35000</v>
      </c>
      <c r="J17" s="165"/>
      <c r="K17" s="166"/>
      <c r="L17" s="165"/>
      <c r="M17" s="166"/>
      <c r="N17" s="165">
        <v>1020</v>
      </c>
      <c r="O17" s="166"/>
      <c r="P17" s="165"/>
      <c r="Q17" s="166"/>
      <c r="R17" s="131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>
        <v>250082</v>
      </c>
      <c r="E18" s="12" t="s">
        <v>605</v>
      </c>
      <c r="F18" s="17">
        <v>653</v>
      </c>
      <c r="G18" s="17">
        <v>430</v>
      </c>
      <c r="H18" s="18">
        <v>0.6</v>
      </c>
      <c r="I18" s="17">
        <v>35000</v>
      </c>
      <c r="J18" s="165">
        <v>52</v>
      </c>
      <c r="K18" s="166"/>
      <c r="L18" s="165"/>
      <c r="M18" s="166"/>
      <c r="N18" s="165"/>
      <c r="O18" s="166"/>
      <c r="P18" s="165"/>
      <c r="Q18" s="166"/>
      <c r="R18" s="131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 t="s">
        <v>102</v>
      </c>
      <c r="E19" s="12" t="s">
        <v>606</v>
      </c>
      <c r="F19" s="17">
        <v>415</v>
      </c>
      <c r="G19" s="17">
        <v>430</v>
      </c>
      <c r="H19" s="18">
        <v>0.6</v>
      </c>
      <c r="I19" s="17">
        <v>35000</v>
      </c>
      <c r="J19" s="165"/>
      <c r="K19" s="166"/>
      <c r="L19" s="165"/>
      <c r="M19" s="166"/>
      <c r="N19" s="165"/>
      <c r="O19" s="166"/>
      <c r="P19" s="165">
        <v>26</v>
      </c>
      <c r="Q19" s="166"/>
      <c r="R19" s="131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 t="s">
        <v>102</v>
      </c>
      <c r="E20" s="12" t="s">
        <v>426</v>
      </c>
      <c r="F20" s="17">
        <v>180</v>
      </c>
      <c r="G20" s="17">
        <v>430</v>
      </c>
      <c r="H20" s="18">
        <v>0.6</v>
      </c>
      <c r="I20" s="17">
        <v>35000</v>
      </c>
      <c r="J20" s="165"/>
      <c r="K20" s="166"/>
      <c r="L20" s="165"/>
      <c r="M20" s="166"/>
      <c r="N20" s="165">
        <v>26</v>
      </c>
      <c r="O20" s="166"/>
      <c r="P20" s="165"/>
      <c r="Q20" s="166"/>
      <c r="R20" s="131"/>
      <c r="S20" s="14" t="s">
        <v>20</v>
      </c>
      <c r="T20" s="42"/>
      <c r="U20" s="205"/>
      <c r="V20" s="206"/>
      <c r="W20" s="207"/>
    </row>
    <row r="21" spans="1:23" x14ac:dyDescent="0.3">
      <c r="A21" s="181"/>
      <c r="B21" s="5"/>
      <c r="C21" s="5">
        <v>0.70833333333333337</v>
      </c>
      <c r="D21" s="4" t="s">
        <v>102</v>
      </c>
      <c r="E21" s="12" t="s">
        <v>604</v>
      </c>
      <c r="F21" s="17">
        <v>147</v>
      </c>
      <c r="G21" s="17">
        <v>430</v>
      </c>
      <c r="H21" s="18">
        <v>0.6</v>
      </c>
      <c r="I21" s="17">
        <v>35000</v>
      </c>
      <c r="J21" s="165"/>
      <c r="K21" s="166"/>
      <c r="L21" s="165"/>
      <c r="M21" s="166"/>
      <c r="N21" s="165">
        <v>52</v>
      </c>
      <c r="O21" s="166"/>
      <c r="P21" s="165"/>
      <c r="Q21" s="166"/>
      <c r="R21" s="131"/>
      <c r="S21" s="14" t="s">
        <v>20</v>
      </c>
      <c r="T21" s="42"/>
      <c r="U21" s="205"/>
      <c r="V21" s="206"/>
      <c r="W21" s="207"/>
    </row>
    <row r="22" spans="1:23" x14ac:dyDescent="0.3">
      <c r="A22" s="181"/>
      <c r="B22" s="5"/>
      <c r="C22" s="5"/>
      <c r="D22" s="4"/>
      <c r="E22" s="12"/>
      <c r="F22" s="17"/>
      <c r="G22" s="17"/>
      <c r="H22" s="18"/>
      <c r="I22" s="17"/>
      <c r="J22" s="165"/>
      <c r="K22" s="166"/>
      <c r="L22" s="165"/>
      <c r="M22" s="166"/>
      <c r="N22" s="165"/>
      <c r="O22" s="166"/>
      <c r="P22" s="165"/>
      <c r="Q22" s="166"/>
      <c r="R22" s="131"/>
      <c r="S22" s="14" t="s">
        <v>20</v>
      </c>
      <c r="T22" s="42"/>
      <c r="U22" s="205"/>
      <c r="V22" s="206"/>
      <c r="W22" s="207"/>
    </row>
    <row r="23" spans="1:23" x14ac:dyDescent="0.3">
      <c r="A23" s="181"/>
      <c r="B23" s="5"/>
      <c r="C23" s="5"/>
      <c r="D23" s="4"/>
      <c r="E23" s="12"/>
      <c r="F23" s="17"/>
      <c r="G23" s="17"/>
      <c r="H23" s="18"/>
      <c r="I23" s="17"/>
      <c r="J23" s="165"/>
      <c r="K23" s="166"/>
      <c r="L23" s="165"/>
      <c r="M23" s="166"/>
      <c r="N23" s="165"/>
      <c r="O23" s="166"/>
      <c r="P23" s="165"/>
      <c r="Q23" s="166"/>
      <c r="R23" s="131"/>
      <c r="S23" s="14" t="s">
        <v>20</v>
      </c>
      <c r="T23" s="42"/>
      <c r="U23" s="205"/>
      <c r="V23" s="206"/>
      <c r="W23" s="207"/>
    </row>
    <row r="24" spans="1:23" x14ac:dyDescent="0.3">
      <c r="A24" s="181"/>
      <c r="B24" s="5"/>
      <c r="C24" s="5"/>
      <c r="D24" s="4"/>
      <c r="E24" s="12"/>
      <c r="F24" s="17"/>
      <c r="G24" s="17"/>
      <c r="H24" s="18"/>
      <c r="I24" s="17"/>
      <c r="J24" s="165"/>
      <c r="K24" s="166"/>
      <c r="L24" s="165"/>
      <c r="M24" s="166"/>
      <c r="N24" s="165"/>
      <c r="O24" s="166"/>
      <c r="P24" s="165"/>
      <c r="Q24" s="166"/>
      <c r="R24" s="131"/>
      <c r="S24" s="14" t="s">
        <v>20</v>
      </c>
      <c r="T24" s="42"/>
      <c r="U24" s="205"/>
      <c r="V24" s="206"/>
      <c r="W24" s="207"/>
    </row>
    <row r="25" spans="1:23" x14ac:dyDescent="0.3">
      <c r="A25" s="182"/>
      <c r="B25" s="170" t="s">
        <v>0</v>
      </c>
      <c r="C25" s="171"/>
      <c r="D25" s="171"/>
      <c r="E25" s="171"/>
      <c r="F25" s="171"/>
      <c r="G25" s="171"/>
      <c r="H25" s="171"/>
      <c r="I25" s="172"/>
      <c r="J25" s="21">
        <f>SUM(J7:K24)</f>
        <v>2838</v>
      </c>
      <c r="K25" s="22" t="s">
        <v>17</v>
      </c>
      <c r="L25" s="21">
        <f>SUM(L7:M24)</f>
        <v>0</v>
      </c>
      <c r="M25" s="22" t="s">
        <v>17</v>
      </c>
      <c r="N25" s="21">
        <f>SUM(N7:O24)</f>
        <v>1140</v>
      </c>
      <c r="O25" s="22" t="s">
        <v>17</v>
      </c>
      <c r="P25" s="21">
        <f>SUM(P7:Q24)</f>
        <v>462</v>
      </c>
      <c r="Q25" s="22" t="s">
        <v>17</v>
      </c>
      <c r="R25" s="23">
        <f>SUM(R7:R24)</f>
        <v>85</v>
      </c>
      <c r="S25" s="24" t="s">
        <v>20</v>
      </c>
      <c r="T25" s="19"/>
      <c r="U25" s="208"/>
      <c r="V25" s="209"/>
      <c r="W25" s="210"/>
    </row>
    <row r="26" spans="1:23" ht="14.5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ht="14.55" customHeight="1" x14ac:dyDescent="0.3">
      <c r="A27" s="27"/>
      <c r="B27" s="27"/>
      <c r="C27" s="27"/>
      <c r="D27" s="27"/>
      <c r="E27" s="170" t="s">
        <v>27</v>
      </c>
      <c r="F27" s="171"/>
      <c r="G27" s="171"/>
      <c r="H27" s="171"/>
      <c r="I27" s="172"/>
      <c r="J27" s="175" t="s">
        <v>7</v>
      </c>
      <c r="K27" s="176"/>
      <c r="L27" s="175" t="s">
        <v>8</v>
      </c>
      <c r="M27" s="176"/>
      <c r="N27" s="175" t="s">
        <v>9</v>
      </c>
      <c r="O27" s="176"/>
      <c r="P27" s="175" t="s">
        <v>117</v>
      </c>
      <c r="Q27" s="176"/>
      <c r="R27" s="27"/>
      <c r="S27" s="27"/>
    </row>
    <row r="28" spans="1:23" ht="14.55" customHeight="1" x14ac:dyDescent="0.3">
      <c r="A28" s="27"/>
      <c r="B28" s="27"/>
      <c r="C28" s="27"/>
      <c r="D28" s="27"/>
      <c r="E28" s="15"/>
      <c r="F28" s="15"/>
      <c r="G28" s="15"/>
      <c r="H28" s="15"/>
      <c r="I28" s="15"/>
      <c r="J28" s="30">
        <f>J25</f>
        <v>2838</v>
      </c>
      <c r="K28" s="31" t="s">
        <v>17</v>
      </c>
      <c r="L28" s="32">
        <f>L25</f>
        <v>0</v>
      </c>
      <c r="M28" s="31" t="s">
        <v>17</v>
      </c>
      <c r="N28" s="32">
        <f>N25</f>
        <v>1140</v>
      </c>
      <c r="O28" s="31" t="s">
        <v>17</v>
      </c>
      <c r="P28" s="33">
        <f>P25</f>
        <v>462</v>
      </c>
      <c r="Q28" s="34" t="s">
        <v>17</v>
      </c>
      <c r="R28" s="27"/>
      <c r="S28" s="27"/>
    </row>
    <row r="29" spans="1:23" ht="30" customHeight="1" x14ac:dyDescent="0.3">
      <c r="A29" s="27"/>
      <c r="B29" s="27"/>
      <c r="C29" s="27"/>
      <c r="D29" s="27"/>
      <c r="E29" s="28"/>
      <c r="F29" s="28"/>
      <c r="G29" s="28"/>
      <c r="H29" s="28"/>
      <c r="I29" s="28"/>
      <c r="J29" s="167">
        <f>J28+L28+N28+P28</f>
        <v>4440</v>
      </c>
      <c r="K29" s="168"/>
      <c r="L29" s="168"/>
      <c r="M29" s="168"/>
      <c r="N29" s="168"/>
      <c r="O29" s="168"/>
      <c r="P29" s="168"/>
      <c r="Q29" s="169"/>
      <c r="R29" s="27"/>
      <c r="S29" s="27"/>
    </row>
    <row r="30" spans="1:23" ht="14.55" customHeight="1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</row>
    <row r="31" spans="1:23" s="37" customFormat="1" ht="19.95" customHeight="1" x14ac:dyDescent="0.4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183" t="s">
        <v>14</v>
      </c>
      <c r="R31" s="183"/>
      <c r="S31" s="183"/>
      <c r="T31" s="184">
        <f>T3</f>
        <v>45947</v>
      </c>
      <c r="U31" s="185"/>
      <c r="V31" s="185"/>
      <c r="W31" s="186"/>
    </row>
    <row r="32" spans="1:23" s="16" customFormat="1" ht="30" customHeight="1" x14ac:dyDescent="0.3">
      <c r="A32" s="187" t="s">
        <v>29</v>
      </c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9"/>
      <c r="Q32" s="189"/>
      <c r="R32" s="189"/>
      <c r="S32" s="189"/>
      <c r="T32" s="188"/>
      <c r="U32" s="188"/>
      <c r="V32" s="188"/>
      <c r="W32" s="190"/>
    </row>
    <row r="33" spans="1:23" s="26" customFormat="1" ht="13.8" x14ac:dyDescent="0.3">
      <c r="A33" s="191" t="s">
        <v>1</v>
      </c>
      <c r="B33" s="192" t="s">
        <v>2</v>
      </c>
      <c r="C33" s="192" t="s">
        <v>3</v>
      </c>
      <c r="D33" s="192" t="s">
        <v>4</v>
      </c>
      <c r="E33" s="193" t="s">
        <v>5</v>
      </c>
      <c r="F33" s="195" t="s">
        <v>21</v>
      </c>
      <c r="G33" s="195" t="s">
        <v>22</v>
      </c>
      <c r="H33" s="195" t="s">
        <v>33</v>
      </c>
      <c r="I33" s="195" t="s">
        <v>30</v>
      </c>
      <c r="J33" s="193" t="s">
        <v>6</v>
      </c>
      <c r="K33" s="197"/>
      <c r="L33" s="197"/>
      <c r="M33" s="197"/>
      <c r="N33" s="197"/>
      <c r="O33" s="197"/>
      <c r="P33" s="197"/>
      <c r="Q33" s="198"/>
      <c r="R33" s="193" t="s">
        <v>10</v>
      </c>
      <c r="S33" s="198"/>
      <c r="T33" s="191" t="s">
        <v>11</v>
      </c>
      <c r="U33" s="191" t="s">
        <v>12</v>
      </c>
      <c r="V33" s="191"/>
      <c r="W33" s="191"/>
    </row>
    <row r="34" spans="1:23" s="26" customFormat="1" ht="13.8" x14ac:dyDescent="0.3">
      <c r="A34" s="191"/>
      <c r="B34" s="192"/>
      <c r="C34" s="192"/>
      <c r="D34" s="192"/>
      <c r="E34" s="194"/>
      <c r="F34" s="196"/>
      <c r="G34" s="196"/>
      <c r="H34" s="196"/>
      <c r="I34" s="196"/>
      <c r="J34" s="200" t="s">
        <v>7</v>
      </c>
      <c r="K34" s="201"/>
      <c r="L34" s="200" t="s">
        <v>8</v>
      </c>
      <c r="M34" s="201"/>
      <c r="N34" s="200" t="s">
        <v>9</v>
      </c>
      <c r="O34" s="201"/>
      <c r="P34" s="200" t="s">
        <v>117</v>
      </c>
      <c r="Q34" s="201"/>
      <c r="R34" s="194"/>
      <c r="S34" s="199"/>
      <c r="T34" s="191"/>
      <c r="U34" s="191"/>
      <c r="V34" s="191"/>
      <c r="W34" s="191"/>
    </row>
    <row r="35" spans="1:23" ht="14.55" customHeight="1" x14ac:dyDescent="0.3">
      <c r="A35" s="180" t="s">
        <v>32</v>
      </c>
      <c r="B35" s="5">
        <v>0.33333333333333331</v>
      </c>
      <c r="C35" s="5">
        <v>0.70833333333333337</v>
      </c>
      <c r="D35" s="133">
        <v>250042</v>
      </c>
      <c r="E35" s="12" t="s">
        <v>610</v>
      </c>
      <c r="F35" s="40">
        <v>304</v>
      </c>
      <c r="G35" s="41">
        <v>0.9</v>
      </c>
      <c r="H35" s="40">
        <v>560</v>
      </c>
      <c r="I35" s="12">
        <v>6</v>
      </c>
      <c r="J35" s="165"/>
      <c r="K35" s="166"/>
      <c r="L35" s="165">
        <v>750</v>
      </c>
      <c r="M35" s="166"/>
      <c r="N35" s="165"/>
      <c r="O35" s="166"/>
      <c r="P35" s="165"/>
      <c r="Q35" s="166"/>
      <c r="R35" s="131">
        <v>80</v>
      </c>
      <c r="S35" s="14" t="s">
        <v>20</v>
      </c>
      <c r="T35" s="42" t="s">
        <v>613</v>
      </c>
      <c r="U35" s="177"/>
      <c r="V35" s="178"/>
      <c r="W35" s="179"/>
    </row>
    <row r="36" spans="1:23" ht="14.55" customHeight="1" x14ac:dyDescent="0.3">
      <c r="A36" s="181"/>
      <c r="B36" s="5"/>
      <c r="C36" s="5"/>
      <c r="D36" s="4"/>
      <c r="E36" s="13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131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82"/>
      <c r="B37" s="19"/>
      <c r="C37" s="19"/>
      <c r="D37" s="20"/>
      <c r="E37" s="170" t="s">
        <v>0</v>
      </c>
      <c r="F37" s="171"/>
      <c r="G37" s="171"/>
      <c r="H37" s="171"/>
      <c r="I37" s="172"/>
      <c r="J37" s="173">
        <f>SUM(J35:K36)</f>
        <v>0</v>
      </c>
      <c r="K37" s="174"/>
      <c r="L37" s="173">
        <f>SUM(L35:M36)</f>
        <v>750</v>
      </c>
      <c r="M37" s="174"/>
      <c r="N37" s="173">
        <f>SUM(N35:O36)</f>
        <v>0</v>
      </c>
      <c r="O37" s="174"/>
      <c r="P37" s="173">
        <f>SUM(P35:Q36)</f>
        <v>0</v>
      </c>
      <c r="Q37" s="174"/>
      <c r="R37" s="23">
        <f>SUM(R35:R36)</f>
        <v>80</v>
      </c>
      <c r="S37" s="24" t="s">
        <v>20</v>
      </c>
      <c r="T37" s="19"/>
      <c r="U37" s="177"/>
      <c r="V37" s="178"/>
      <c r="W37" s="179"/>
    </row>
    <row r="38" spans="1:23" ht="14.55" customHeight="1" x14ac:dyDescent="0.3">
      <c r="A38" s="163" t="s">
        <v>34</v>
      </c>
      <c r="B38" s="5">
        <v>0.33333333333333331</v>
      </c>
      <c r="C38" s="5"/>
      <c r="D38" s="133">
        <v>250080</v>
      </c>
      <c r="E38" s="12" t="s">
        <v>590</v>
      </c>
      <c r="F38" s="40">
        <v>304</v>
      </c>
      <c r="G38" s="41">
        <v>0.6</v>
      </c>
      <c r="H38" s="40">
        <v>520</v>
      </c>
      <c r="I38" s="12">
        <v>7</v>
      </c>
      <c r="J38" s="165">
        <v>150</v>
      </c>
      <c r="K38" s="166"/>
      <c r="L38" s="165"/>
      <c r="M38" s="166"/>
      <c r="N38" s="165"/>
      <c r="O38" s="166"/>
      <c r="P38" s="165"/>
      <c r="Q38" s="166"/>
      <c r="R38" s="131">
        <v>40</v>
      </c>
      <c r="S38" s="14" t="s">
        <v>20</v>
      </c>
      <c r="T38" s="42" t="s">
        <v>93</v>
      </c>
      <c r="U38" s="177"/>
      <c r="V38" s="178"/>
      <c r="W38" s="179"/>
    </row>
    <row r="39" spans="1:23" ht="14.55" customHeight="1" x14ac:dyDescent="0.3">
      <c r="A39" s="163"/>
      <c r="B39" s="5"/>
      <c r="C39" s="5"/>
      <c r="D39" s="133">
        <v>250080</v>
      </c>
      <c r="E39" s="12" t="s">
        <v>608</v>
      </c>
      <c r="F39" s="40">
        <v>304</v>
      </c>
      <c r="G39" s="41">
        <v>0.6</v>
      </c>
      <c r="H39" s="40">
        <v>457</v>
      </c>
      <c r="I39" s="12">
        <v>7</v>
      </c>
      <c r="J39" s="165">
        <v>500</v>
      </c>
      <c r="K39" s="166"/>
      <c r="L39" s="165"/>
      <c r="M39" s="166"/>
      <c r="N39" s="165"/>
      <c r="O39" s="166"/>
      <c r="P39" s="165"/>
      <c r="Q39" s="166"/>
      <c r="R39" s="131">
        <v>40</v>
      </c>
      <c r="S39" s="14" t="s">
        <v>20</v>
      </c>
      <c r="T39" s="42" t="s">
        <v>93</v>
      </c>
      <c r="U39" s="177"/>
      <c r="V39" s="178"/>
      <c r="W39" s="179"/>
    </row>
    <row r="40" spans="1:23" ht="14.55" customHeight="1" x14ac:dyDescent="0.3">
      <c r="A40" s="163"/>
      <c r="B40" s="5"/>
      <c r="C40" s="5"/>
      <c r="D40" s="133">
        <v>250080</v>
      </c>
      <c r="E40" s="12" t="s">
        <v>609</v>
      </c>
      <c r="F40" s="40">
        <v>304</v>
      </c>
      <c r="G40" s="41">
        <v>0.6</v>
      </c>
      <c r="H40" s="40">
        <v>405</v>
      </c>
      <c r="I40" s="12">
        <v>7</v>
      </c>
      <c r="J40" s="165">
        <v>500</v>
      </c>
      <c r="K40" s="166"/>
      <c r="L40" s="165"/>
      <c r="M40" s="166"/>
      <c r="N40" s="165"/>
      <c r="O40" s="166"/>
      <c r="P40" s="165"/>
      <c r="Q40" s="166"/>
      <c r="R40" s="131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133">
        <v>250078</v>
      </c>
      <c r="E41" s="12" t="s">
        <v>611</v>
      </c>
      <c r="F41" s="40">
        <v>304</v>
      </c>
      <c r="G41" s="41">
        <v>0.7</v>
      </c>
      <c r="H41" s="40">
        <v>355</v>
      </c>
      <c r="I41" s="12">
        <v>3</v>
      </c>
      <c r="J41" s="165">
        <v>795</v>
      </c>
      <c r="K41" s="166"/>
      <c r="L41" s="165"/>
      <c r="M41" s="166"/>
      <c r="N41" s="165"/>
      <c r="O41" s="166"/>
      <c r="P41" s="165"/>
      <c r="Q41" s="166"/>
      <c r="R41" s="131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133">
        <v>250080</v>
      </c>
      <c r="E42" s="12" t="s">
        <v>413</v>
      </c>
      <c r="F42" s="40">
        <v>304</v>
      </c>
      <c r="G42" s="41">
        <v>0.6</v>
      </c>
      <c r="H42" s="40">
        <v>355</v>
      </c>
      <c r="I42" s="12">
        <v>3</v>
      </c>
      <c r="J42" s="165">
        <v>305</v>
      </c>
      <c r="K42" s="166"/>
      <c r="L42" s="165"/>
      <c r="M42" s="166"/>
      <c r="N42" s="165"/>
      <c r="O42" s="166"/>
      <c r="P42" s="165"/>
      <c r="Q42" s="166"/>
      <c r="R42" s="131">
        <v>30</v>
      </c>
      <c r="S42" s="14" t="s">
        <v>20</v>
      </c>
      <c r="T42" s="42" t="s">
        <v>93</v>
      </c>
      <c r="U42" s="177"/>
      <c r="V42" s="178"/>
      <c r="W42" s="179"/>
    </row>
    <row r="43" spans="1:23" ht="14.55" customHeight="1" x14ac:dyDescent="0.3">
      <c r="A43" s="163"/>
      <c r="B43" s="5"/>
      <c r="C43" s="5">
        <v>0.70833333333333337</v>
      </c>
      <c r="D43" s="133">
        <v>250080</v>
      </c>
      <c r="E43" s="12" t="s">
        <v>612</v>
      </c>
      <c r="F43" s="40">
        <v>304</v>
      </c>
      <c r="G43" s="41">
        <v>0.6</v>
      </c>
      <c r="H43" s="40">
        <v>370</v>
      </c>
      <c r="I43" s="12">
        <v>3</v>
      </c>
      <c r="J43" s="165">
        <v>100</v>
      </c>
      <c r="K43" s="166"/>
      <c r="L43" s="165"/>
      <c r="M43" s="166"/>
      <c r="N43" s="165"/>
      <c r="O43" s="166"/>
      <c r="P43" s="165"/>
      <c r="Q43" s="166"/>
      <c r="R43" s="131">
        <v>10</v>
      </c>
      <c r="S43" s="14" t="s">
        <v>20</v>
      </c>
      <c r="T43" s="42" t="s">
        <v>614</v>
      </c>
      <c r="U43" s="177"/>
      <c r="V43" s="178"/>
      <c r="W43" s="17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131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4"/>
      <c r="B45" s="19"/>
      <c r="C45" s="19"/>
      <c r="D45" s="20"/>
      <c r="E45" s="170" t="s">
        <v>0</v>
      </c>
      <c r="F45" s="171"/>
      <c r="G45" s="171"/>
      <c r="H45" s="171"/>
      <c r="I45" s="172"/>
      <c r="J45" s="173">
        <f>SUM(J38:K44)</f>
        <v>2350</v>
      </c>
      <c r="K45" s="174"/>
      <c r="L45" s="173">
        <f>SUM(L38:M44)</f>
        <v>0</v>
      </c>
      <c r="M45" s="174"/>
      <c r="N45" s="173">
        <f>SUM(N38:O44)</f>
        <v>0</v>
      </c>
      <c r="O45" s="174"/>
      <c r="P45" s="173">
        <f>SUM(P38:Q44)</f>
        <v>0</v>
      </c>
      <c r="Q45" s="174"/>
      <c r="R45" s="23">
        <f>SUM(R38:R44)</f>
        <v>120</v>
      </c>
      <c r="S45" s="24" t="s">
        <v>20</v>
      </c>
      <c r="T45" s="19"/>
      <c r="U45" s="177"/>
      <c r="V45" s="178"/>
      <c r="W45" s="179"/>
    </row>
    <row r="46" spans="1:23" ht="14.55" customHeight="1" x14ac:dyDescent="0.3">
      <c r="A46" s="163" t="s">
        <v>583</v>
      </c>
      <c r="B46" s="5">
        <v>0.33333333333333331</v>
      </c>
      <c r="C46" s="5">
        <v>0.70833333333333337</v>
      </c>
      <c r="D46" s="4">
        <v>230925</v>
      </c>
      <c r="E46" s="12" t="s">
        <v>615</v>
      </c>
      <c r="F46" s="40">
        <v>430</v>
      </c>
      <c r="G46" s="41">
        <v>0.8</v>
      </c>
      <c r="H46" s="40">
        <v>425</v>
      </c>
      <c r="I46" s="12"/>
      <c r="J46" s="165"/>
      <c r="K46" s="166"/>
      <c r="L46" s="165"/>
      <c r="M46" s="166"/>
      <c r="N46" s="165">
        <v>1800</v>
      </c>
      <c r="O46" s="166"/>
      <c r="P46" s="165"/>
      <c r="Q46" s="166"/>
      <c r="R46" s="131">
        <v>30</v>
      </c>
      <c r="S46" s="14" t="s">
        <v>20</v>
      </c>
      <c r="T46" s="42" t="s">
        <v>163</v>
      </c>
      <c r="U46" s="177"/>
      <c r="V46" s="178"/>
      <c r="W46" s="179"/>
    </row>
    <row r="47" spans="1:23" ht="14.55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131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131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64"/>
      <c r="B49" s="19"/>
      <c r="C49" s="19"/>
      <c r="D49" s="20"/>
      <c r="E49" s="170" t="s">
        <v>0</v>
      </c>
      <c r="F49" s="171"/>
      <c r="G49" s="171"/>
      <c r="H49" s="171"/>
      <c r="I49" s="172"/>
      <c r="J49" s="173">
        <f>SUM(J46:K48)</f>
        <v>0</v>
      </c>
      <c r="K49" s="174"/>
      <c r="L49" s="173">
        <f>SUM(L46:M48)</f>
        <v>0</v>
      </c>
      <c r="M49" s="174"/>
      <c r="N49" s="173">
        <f>SUM(N46:O48)</f>
        <v>1800</v>
      </c>
      <c r="O49" s="174"/>
      <c r="P49" s="173">
        <f>SUM(P46:Q48)</f>
        <v>0</v>
      </c>
      <c r="Q49" s="174"/>
      <c r="R49" s="23">
        <f>SUM(R46:R48)</f>
        <v>30</v>
      </c>
      <c r="S49" s="24" t="s">
        <v>20</v>
      </c>
      <c r="T49" s="19"/>
      <c r="U49" s="177"/>
      <c r="V49" s="178"/>
      <c r="W49" s="179"/>
    </row>
    <row r="50" spans="1:23" ht="14.55" customHeight="1" x14ac:dyDescent="0.3">
      <c r="A50" s="163" t="s">
        <v>35</v>
      </c>
      <c r="B50" s="5"/>
      <c r="C50" s="5"/>
      <c r="D50" s="4"/>
      <c r="E50" s="12"/>
      <c r="F50" s="40"/>
      <c r="G50" s="41"/>
      <c r="H50" s="40"/>
      <c r="I50" s="12"/>
      <c r="J50" s="165"/>
      <c r="K50" s="166"/>
      <c r="L50" s="165"/>
      <c r="M50" s="166"/>
      <c r="N50" s="165"/>
      <c r="O50" s="166"/>
      <c r="P50" s="165"/>
      <c r="Q50" s="166"/>
      <c r="R50" s="131"/>
      <c r="S50" s="14" t="s">
        <v>20</v>
      </c>
      <c r="T50" s="42"/>
      <c r="U50" s="177"/>
      <c r="V50" s="178"/>
      <c r="W50" s="179"/>
    </row>
    <row r="51" spans="1:23" ht="14.55" customHeight="1" x14ac:dyDescent="0.3">
      <c r="A51" s="163"/>
      <c r="B51" s="5"/>
      <c r="C51" s="5"/>
      <c r="D51" s="4"/>
      <c r="E51" s="12"/>
      <c r="F51" s="40"/>
      <c r="G51" s="41"/>
      <c r="H51" s="40"/>
      <c r="I51" s="12"/>
      <c r="J51" s="165"/>
      <c r="K51" s="166"/>
      <c r="L51" s="165"/>
      <c r="M51" s="166"/>
      <c r="N51" s="165"/>
      <c r="O51" s="166"/>
      <c r="P51" s="165"/>
      <c r="Q51" s="166"/>
      <c r="R51" s="131"/>
      <c r="S51" s="14" t="s">
        <v>20</v>
      </c>
      <c r="T51" s="42"/>
      <c r="U51" s="177"/>
      <c r="V51" s="178"/>
      <c r="W51" s="179"/>
    </row>
    <row r="52" spans="1:23" ht="14.55" customHeight="1" x14ac:dyDescent="0.3">
      <c r="A52" s="163"/>
      <c r="B52" s="5"/>
      <c r="C52" s="5"/>
      <c r="D52" s="4"/>
      <c r="E52" s="12"/>
      <c r="F52" s="40"/>
      <c r="G52" s="41"/>
      <c r="H52" s="40"/>
      <c r="I52" s="12"/>
      <c r="J52" s="165"/>
      <c r="K52" s="166"/>
      <c r="L52" s="165"/>
      <c r="M52" s="166"/>
      <c r="N52" s="165"/>
      <c r="O52" s="166"/>
      <c r="P52" s="165"/>
      <c r="Q52" s="166"/>
      <c r="R52" s="131"/>
      <c r="S52" s="14" t="s">
        <v>20</v>
      </c>
      <c r="T52" s="42"/>
      <c r="U52" s="177"/>
      <c r="V52" s="178"/>
      <c r="W52" s="179"/>
    </row>
    <row r="53" spans="1:23" ht="14.55" customHeight="1" x14ac:dyDescent="0.3">
      <c r="A53" s="164"/>
      <c r="B53" s="19"/>
      <c r="C53" s="19"/>
      <c r="D53" s="20"/>
      <c r="E53" s="170" t="s">
        <v>0</v>
      </c>
      <c r="F53" s="171"/>
      <c r="G53" s="171"/>
      <c r="H53" s="171"/>
      <c r="I53" s="172"/>
      <c r="J53" s="173">
        <f>SUM(J50:K52)</f>
        <v>0</v>
      </c>
      <c r="K53" s="174"/>
      <c r="L53" s="173">
        <f>SUM(L50:M52)</f>
        <v>0</v>
      </c>
      <c r="M53" s="174"/>
      <c r="N53" s="173">
        <f>SUM(N50:O52)</f>
        <v>0</v>
      </c>
      <c r="O53" s="174"/>
      <c r="P53" s="173">
        <f>SUM(P50:Q52)</f>
        <v>0</v>
      </c>
      <c r="Q53" s="174"/>
      <c r="R53" s="23">
        <f>SUM(R50:R52)</f>
        <v>0</v>
      </c>
      <c r="S53" s="24" t="s">
        <v>20</v>
      </c>
      <c r="T53" s="19"/>
      <c r="U53" s="177"/>
      <c r="V53" s="178"/>
      <c r="W53" s="179"/>
    </row>
    <row r="54" spans="1:23" ht="14.55" customHeight="1" x14ac:dyDescent="0.3">
      <c r="A54" s="27"/>
      <c r="B54" s="27"/>
      <c r="C54" s="27"/>
      <c r="D54" s="27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27"/>
      <c r="S54" s="27"/>
      <c r="T54" s="39"/>
      <c r="U54" s="39"/>
      <c r="V54" s="39"/>
      <c r="W54" s="39"/>
    </row>
    <row r="55" spans="1:23" x14ac:dyDescent="0.3">
      <c r="E55" s="170" t="s">
        <v>31</v>
      </c>
      <c r="F55" s="171"/>
      <c r="G55" s="171"/>
      <c r="H55" s="171"/>
      <c r="I55" s="172"/>
      <c r="J55" s="175" t="s">
        <v>7</v>
      </c>
      <c r="K55" s="176"/>
      <c r="L55" s="175" t="s">
        <v>8</v>
      </c>
      <c r="M55" s="176"/>
      <c r="N55" s="175" t="s">
        <v>9</v>
      </c>
      <c r="O55" s="176"/>
      <c r="P55" s="175" t="s">
        <v>117</v>
      </c>
      <c r="Q55" s="176"/>
    </row>
    <row r="56" spans="1:23" s="2" customFormat="1" x14ac:dyDescent="0.3">
      <c r="E56" s="15"/>
      <c r="F56" s="15"/>
      <c r="G56" s="15"/>
      <c r="H56" s="15"/>
      <c r="I56" s="15"/>
      <c r="J56" s="30">
        <f>J37+J45+J49+J53</f>
        <v>2350</v>
      </c>
      <c r="K56" s="31" t="s">
        <v>17</v>
      </c>
      <c r="L56" s="30">
        <f>L37+L45+L49+L53</f>
        <v>750</v>
      </c>
      <c r="M56" s="31" t="s">
        <v>17</v>
      </c>
      <c r="N56" s="30">
        <f>N37+N45+N49+N53</f>
        <v>1800</v>
      </c>
      <c r="O56" s="31" t="s">
        <v>17</v>
      </c>
      <c r="P56" s="30">
        <f>P37+P45+P49+P53</f>
        <v>0</v>
      </c>
      <c r="Q56" s="34" t="s">
        <v>17</v>
      </c>
    </row>
    <row r="57" spans="1:23" ht="24.45" customHeight="1" x14ac:dyDescent="0.3">
      <c r="E57" s="28"/>
      <c r="F57" s="28"/>
      <c r="G57" s="28"/>
      <c r="H57" s="28"/>
      <c r="I57" s="28"/>
      <c r="J57" s="167">
        <f>J56+L56+N56+P56</f>
        <v>4900</v>
      </c>
      <c r="K57" s="168"/>
      <c r="L57" s="168"/>
      <c r="M57" s="168"/>
      <c r="N57" s="168"/>
      <c r="O57" s="168"/>
      <c r="P57" s="168"/>
      <c r="Q57" s="169"/>
    </row>
    <row r="58" spans="1:23" ht="14.55" customHeight="1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 spans="1:23" s="37" customFormat="1" ht="19.95" customHeight="1" x14ac:dyDescent="0.4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183" t="s">
        <v>14</v>
      </c>
      <c r="R59" s="183"/>
      <c r="S59" s="183"/>
      <c r="T59" s="184">
        <f>T3</f>
        <v>45947</v>
      </c>
      <c r="U59" s="185"/>
      <c r="V59" s="185"/>
      <c r="W59" s="186"/>
    </row>
    <row r="60" spans="1:23" s="16" customFormat="1" ht="30" customHeight="1" x14ac:dyDescent="0.3">
      <c r="A60" s="187" t="s">
        <v>586</v>
      </c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9"/>
      <c r="Q60" s="189"/>
      <c r="R60" s="189"/>
      <c r="S60" s="189"/>
      <c r="T60" s="188"/>
      <c r="U60" s="188"/>
      <c r="V60" s="188"/>
      <c r="W60" s="190"/>
    </row>
    <row r="61" spans="1:23" s="26" customFormat="1" ht="13.8" x14ac:dyDescent="0.3">
      <c r="A61" s="191" t="s">
        <v>1</v>
      </c>
      <c r="B61" s="192" t="s">
        <v>2</v>
      </c>
      <c r="C61" s="192" t="s">
        <v>3</v>
      </c>
      <c r="D61" s="192" t="s">
        <v>4</v>
      </c>
      <c r="E61" s="193" t="s">
        <v>5</v>
      </c>
      <c r="F61" s="195" t="s">
        <v>21</v>
      </c>
      <c r="G61" s="195" t="s">
        <v>22</v>
      </c>
      <c r="H61" s="195" t="s">
        <v>33</v>
      </c>
      <c r="I61" s="195" t="s">
        <v>30</v>
      </c>
      <c r="J61" s="193" t="s">
        <v>6</v>
      </c>
      <c r="K61" s="197"/>
      <c r="L61" s="197"/>
      <c r="M61" s="197"/>
      <c r="N61" s="197"/>
      <c r="O61" s="197"/>
      <c r="P61" s="197"/>
      <c r="Q61" s="198"/>
      <c r="R61" s="193" t="s">
        <v>10</v>
      </c>
      <c r="S61" s="198"/>
      <c r="T61" s="191" t="s">
        <v>11</v>
      </c>
      <c r="U61" s="191" t="s">
        <v>12</v>
      </c>
      <c r="V61" s="191"/>
      <c r="W61" s="191"/>
    </row>
    <row r="62" spans="1:23" s="26" customFormat="1" ht="13.8" x14ac:dyDescent="0.3">
      <c r="A62" s="191"/>
      <c r="B62" s="192"/>
      <c r="C62" s="192"/>
      <c r="D62" s="192"/>
      <c r="E62" s="194"/>
      <c r="F62" s="196"/>
      <c r="G62" s="196"/>
      <c r="H62" s="196"/>
      <c r="I62" s="196"/>
      <c r="J62" s="200" t="s">
        <v>7</v>
      </c>
      <c r="K62" s="201"/>
      <c r="L62" s="200" t="s">
        <v>8</v>
      </c>
      <c r="M62" s="201"/>
      <c r="N62" s="200" t="s">
        <v>9</v>
      </c>
      <c r="O62" s="201"/>
      <c r="P62" s="200" t="s">
        <v>117</v>
      </c>
      <c r="Q62" s="201"/>
      <c r="R62" s="194"/>
      <c r="S62" s="199"/>
      <c r="T62" s="191"/>
      <c r="U62" s="191"/>
      <c r="V62" s="191"/>
      <c r="W62" s="191"/>
    </row>
    <row r="63" spans="1:23" ht="14.55" customHeight="1" x14ac:dyDescent="0.3">
      <c r="A63" s="180" t="s">
        <v>584</v>
      </c>
      <c r="B63" s="5">
        <v>0.33333333333333331</v>
      </c>
      <c r="C63" s="5"/>
      <c r="D63" s="134">
        <v>230925</v>
      </c>
      <c r="E63" s="12" t="s">
        <v>545</v>
      </c>
      <c r="F63" s="40">
        <v>430</v>
      </c>
      <c r="G63" s="41">
        <v>0.6</v>
      </c>
      <c r="H63" s="40">
        <v>147</v>
      </c>
      <c r="I63" s="12"/>
      <c r="J63" s="165"/>
      <c r="K63" s="166"/>
      <c r="L63" s="165"/>
      <c r="M63" s="166"/>
      <c r="N63" s="165">
        <v>450</v>
      </c>
      <c r="O63" s="166"/>
      <c r="P63" s="165"/>
      <c r="Q63" s="166"/>
      <c r="R63" s="131">
        <v>40</v>
      </c>
      <c r="S63" s="14" t="s">
        <v>20</v>
      </c>
      <c r="T63" s="42" t="s">
        <v>93</v>
      </c>
      <c r="U63" s="177"/>
      <c r="V63" s="178"/>
      <c r="W63" s="179"/>
    </row>
    <row r="64" spans="1:23" ht="14.55" customHeight="1" x14ac:dyDescent="0.3">
      <c r="A64" s="181"/>
      <c r="B64" s="5"/>
      <c r="C64" s="5"/>
      <c r="D64" s="134">
        <v>250080</v>
      </c>
      <c r="E64" s="13" t="s">
        <v>616</v>
      </c>
      <c r="F64" s="40">
        <v>304</v>
      </c>
      <c r="G64" s="41">
        <v>0.6</v>
      </c>
      <c r="H64" s="40"/>
      <c r="I64" s="12"/>
      <c r="J64" s="165"/>
      <c r="K64" s="166"/>
      <c r="L64" s="165"/>
      <c r="M64" s="166"/>
      <c r="N64" s="165">
        <v>1250</v>
      </c>
      <c r="O64" s="166"/>
      <c r="P64" s="165"/>
      <c r="Q64" s="166"/>
      <c r="R64" s="131"/>
      <c r="S64" s="14" t="s">
        <v>20</v>
      </c>
      <c r="T64" s="42"/>
      <c r="U64" s="177"/>
      <c r="V64" s="178"/>
      <c r="W64" s="179"/>
    </row>
    <row r="65" spans="1:23" ht="14.55" customHeight="1" x14ac:dyDescent="0.3">
      <c r="A65" s="181"/>
      <c r="B65" s="5"/>
      <c r="C65" s="5">
        <v>0.70833333333333337</v>
      </c>
      <c r="D65" s="134">
        <v>250061</v>
      </c>
      <c r="E65" s="13" t="s">
        <v>616</v>
      </c>
      <c r="F65" s="40">
        <v>304</v>
      </c>
      <c r="G65" s="41">
        <v>0.6</v>
      </c>
      <c r="H65" s="40"/>
      <c r="I65" s="12"/>
      <c r="J65" s="165"/>
      <c r="K65" s="166"/>
      <c r="L65" s="165"/>
      <c r="M65" s="166"/>
      <c r="N65" s="165">
        <v>550</v>
      </c>
      <c r="O65" s="166"/>
      <c r="P65" s="165"/>
      <c r="Q65" s="166"/>
      <c r="R65" s="131"/>
      <c r="S65" s="14" t="s">
        <v>20</v>
      </c>
      <c r="T65" s="42"/>
      <c r="U65" s="177"/>
      <c r="V65" s="178"/>
      <c r="W65" s="179"/>
    </row>
    <row r="66" spans="1:23" ht="14.55" customHeight="1" x14ac:dyDescent="0.3">
      <c r="A66" s="181"/>
      <c r="B66" s="5"/>
      <c r="C66" s="5"/>
      <c r="D66" s="4"/>
      <c r="E66" s="12"/>
      <c r="F66" s="40"/>
      <c r="G66" s="41"/>
      <c r="H66" s="40"/>
      <c r="I66" s="12"/>
      <c r="J66" s="165"/>
      <c r="K66" s="166"/>
      <c r="L66" s="165"/>
      <c r="M66" s="166"/>
      <c r="N66" s="165"/>
      <c r="O66" s="166"/>
      <c r="P66" s="165"/>
      <c r="Q66" s="166"/>
      <c r="R66" s="131"/>
      <c r="S66" s="14" t="s">
        <v>20</v>
      </c>
      <c r="T66" s="42"/>
      <c r="U66" s="177"/>
      <c r="V66" s="178"/>
      <c r="W66" s="179"/>
    </row>
    <row r="67" spans="1:23" ht="14.55" customHeight="1" x14ac:dyDescent="0.3">
      <c r="A67" s="182"/>
      <c r="B67" s="19"/>
      <c r="C67" s="19"/>
      <c r="D67" s="20"/>
      <c r="E67" s="170" t="s">
        <v>0</v>
      </c>
      <c r="F67" s="171"/>
      <c r="G67" s="171"/>
      <c r="H67" s="171"/>
      <c r="I67" s="172"/>
      <c r="J67" s="173">
        <f>SUM(J63:K66)</f>
        <v>0</v>
      </c>
      <c r="K67" s="174"/>
      <c r="L67" s="173">
        <f>SUM(L63:M66)</f>
        <v>0</v>
      </c>
      <c r="M67" s="174"/>
      <c r="N67" s="173">
        <f>SUM(N63:O66)</f>
        <v>2250</v>
      </c>
      <c r="O67" s="174"/>
      <c r="P67" s="173">
        <f>SUM(P63:Q66)</f>
        <v>0</v>
      </c>
      <c r="Q67" s="174"/>
      <c r="R67" s="23">
        <f>SUM(R63:R66)</f>
        <v>40</v>
      </c>
      <c r="S67" s="24" t="s">
        <v>20</v>
      </c>
      <c r="T67" s="19"/>
      <c r="U67" s="177"/>
      <c r="V67" s="178"/>
      <c r="W67" s="179"/>
    </row>
    <row r="68" spans="1:23" x14ac:dyDescent="0.3">
      <c r="E68" s="28"/>
      <c r="F68" s="28"/>
      <c r="G68" s="28"/>
      <c r="H68" s="28"/>
      <c r="I68" s="28"/>
      <c r="J68" s="29"/>
      <c r="K68" s="29"/>
      <c r="L68" s="29"/>
      <c r="M68" s="29"/>
      <c r="N68" s="29"/>
      <c r="O68" s="29"/>
      <c r="P68" s="29"/>
      <c r="Q68" s="29"/>
    </row>
    <row r="69" spans="1:23" x14ac:dyDescent="0.3">
      <c r="E69" s="170" t="s">
        <v>587</v>
      </c>
      <c r="F69" s="171"/>
      <c r="G69" s="171"/>
      <c r="H69" s="171"/>
      <c r="I69" s="172"/>
      <c r="J69" s="175" t="s">
        <v>7</v>
      </c>
      <c r="K69" s="176"/>
      <c r="L69" s="175" t="s">
        <v>8</v>
      </c>
      <c r="M69" s="176"/>
      <c r="N69" s="175" t="s">
        <v>9</v>
      </c>
      <c r="O69" s="176"/>
      <c r="P69" s="175" t="s">
        <v>117</v>
      </c>
      <c r="Q69" s="176"/>
    </row>
    <row r="70" spans="1:23" s="2" customFormat="1" x14ac:dyDescent="0.3">
      <c r="E70" s="15"/>
      <c r="F70" s="15"/>
      <c r="G70" s="15"/>
      <c r="H70" s="15"/>
      <c r="I70" s="15"/>
      <c r="J70" s="30">
        <f>J67</f>
        <v>0</v>
      </c>
      <c r="K70" s="31" t="s">
        <v>17</v>
      </c>
      <c r="L70" s="32">
        <f>L67</f>
        <v>0</v>
      </c>
      <c r="M70" s="31" t="s">
        <v>17</v>
      </c>
      <c r="N70" s="32">
        <f>N67</f>
        <v>2250</v>
      </c>
      <c r="O70" s="31" t="s">
        <v>17</v>
      </c>
      <c r="P70" s="32">
        <f>P67</f>
        <v>0</v>
      </c>
      <c r="Q70" s="34" t="s">
        <v>17</v>
      </c>
    </row>
    <row r="71" spans="1:23" ht="24.45" customHeight="1" x14ac:dyDescent="0.3">
      <c r="E71" s="28"/>
      <c r="F71" s="28"/>
      <c r="G71" s="28"/>
      <c r="H71" s="28"/>
      <c r="I71" s="28"/>
      <c r="J71" s="167">
        <f>J70+L70+N70+P70</f>
        <v>2250</v>
      </c>
      <c r="K71" s="168"/>
      <c r="L71" s="168"/>
      <c r="M71" s="168"/>
      <c r="N71" s="168"/>
      <c r="O71" s="168"/>
      <c r="P71" s="168"/>
      <c r="Q71" s="169"/>
    </row>
    <row r="72" spans="1:23" ht="14.55" customHeight="1" x14ac:dyDescent="0.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</row>
    <row r="73" spans="1:23" s="37" customFormat="1" ht="19.95" customHeight="1" x14ac:dyDescent="0.4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214" t="s">
        <v>14</v>
      </c>
      <c r="R73" s="215"/>
      <c r="S73" s="216"/>
      <c r="T73" s="184">
        <f>T3</f>
        <v>45947</v>
      </c>
      <c r="U73" s="185"/>
      <c r="V73" s="185"/>
      <c r="W73" s="186"/>
    </row>
    <row r="74" spans="1:23" s="16" customFormat="1" ht="30" customHeight="1" x14ac:dyDescent="0.3">
      <c r="A74" s="187" t="s">
        <v>26</v>
      </c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9"/>
      <c r="Q74" s="189"/>
      <c r="R74" s="189"/>
      <c r="S74" s="189"/>
      <c r="T74" s="188"/>
      <c r="U74" s="188"/>
      <c r="V74" s="188"/>
      <c r="W74" s="190"/>
    </row>
    <row r="75" spans="1:23" s="26" customFormat="1" ht="13.8" x14ac:dyDescent="0.3">
      <c r="A75" s="191" t="s">
        <v>1</v>
      </c>
      <c r="B75" s="192" t="s">
        <v>2</v>
      </c>
      <c r="C75" s="192" t="s">
        <v>3</v>
      </c>
      <c r="D75" s="192" t="s">
        <v>4</v>
      </c>
      <c r="E75" s="193" t="s">
        <v>5</v>
      </c>
      <c r="F75" s="197"/>
      <c r="G75" s="197"/>
      <c r="H75" s="197"/>
      <c r="I75" s="198"/>
      <c r="J75" s="193" t="s">
        <v>6</v>
      </c>
      <c r="K75" s="197"/>
      <c r="L75" s="197"/>
      <c r="M75" s="197"/>
      <c r="N75" s="197"/>
      <c r="O75" s="197"/>
      <c r="P75" s="197"/>
      <c r="Q75" s="198"/>
      <c r="R75" s="193" t="s">
        <v>10</v>
      </c>
      <c r="S75" s="198"/>
      <c r="T75" s="191" t="s">
        <v>11</v>
      </c>
      <c r="U75" s="191" t="s">
        <v>12</v>
      </c>
      <c r="V75" s="191"/>
      <c r="W75" s="191"/>
    </row>
    <row r="76" spans="1:23" s="26" customFormat="1" ht="13.8" x14ac:dyDescent="0.3">
      <c r="A76" s="191"/>
      <c r="B76" s="192"/>
      <c r="C76" s="192"/>
      <c r="D76" s="192"/>
      <c r="E76" s="194"/>
      <c r="F76" s="217"/>
      <c r="G76" s="217"/>
      <c r="H76" s="217"/>
      <c r="I76" s="199"/>
      <c r="J76" s="200" t="s">
        <v>7</v>
      </c>
      <c r="K76" s="201"/>
      <c r="L76" s="200" t="s">
        <v>8</v>
      </c>
      <c r="M76" s="201"/>
      <c r="N76" s="200" t="s">
        <v>9</v>
      </c>
      <c r="O76" s="201"/>
      <c r="P76" s="200" t="s">
        <v>117</v>
      </c>
      <c r="Q76" s="201"/>
      <c r="R76" s="194"/>
      <c r="S76" s="199"/>
      <c r="T76" s="191"/>
      <c r="U76" s="191"/>
      <c r="V76" s="191"/>
      <c r="W76" s="191"/>
    </row>
    <row r="77" spans="1:23" x14ac:dyDescent="0.3">
      <c r="A77" s="180" t="s">
        <v>13</v>
      </c>
      <c r="B77" s="5">
        <v>0.33333333333333331</v>
      </c>
      <c r="C77" s="5"/>
      <c r="D77" s="133">
        <v>21025</v>
      </c>
      <c r="E77" s="211" t="s">
        <v>556</v>
      </c>
      <c r="F77" s="212"/>
      <c r="G77" s="212"/>
      <c r="H77" s="212"/>
      <c r="I77" s="213"/>
      <c r="J77" s="165">
        <v>288</v>
      </c>
      <c r="K77" s="166"/>
      <c r="L77" s="165"/>
      <c r="M77" s="166"/>
      <c r="N77" s="165"/>
      <c r="O77" s="166"/>
      <c r="P77" s="165"/>
      <c r="Q77" s="166"/>
      <c r="R77" s="131"/>
      <c r="S77" s="6" t="s">
        <v>20</v>
      </c>
      <c r="T77" s="3"/>
      <c r="U77" s="202"/>
      <c r="V77" s="203"/>
      <c r="W77" s="204"/>
    </row>
    <row r="78" spans="1:23" x14ac:dyDescent="0.3">
      <c r="A78" s="163"/>
      <c r="B78" s="5"/>
      <c r="C78" s="5"/>
      <c r="D78" s="133">
        <v>21025</v>
      </c>
      <c r="E78" s="211" t="s">
        <v>557</v>
      </c>
      <c r="F78" s="212"/>
      <c r="G78" s="212"/>
      <c r="H78" s="212"/>
      <c r="I78" s="213"/>
      <c r="J78" s="165">
        <v>1030</v>
      </c>
      <c r="K78" s="166"/>
      <c r="L78" s="165"/>
      <c r="M78" s="166"/>
      <c r="N78" s="165"/>
      <c r="O78" s="166"/>
      <c r="P78" s="165"/>
      <c r="Q78" s="166"/>
      <c r="R78" s="131"/>
      <c r="S78" s="6" t="s">
        <v>20</v>
      </c>
      <c r="T78" s="3"/>
      <c r="U78" s="205"/>
      <c r="V78" s="206"/>
      <c r="W78" s="207"/>
    </row>
    <row r="79" spans="1:23" x14ac:dyDescent="0.3">
      <c r="A79" s="163"/>
      <c r="B79" s="5"/>
      <c r="C79" s="5"/>
      <c r="D79" s="133">
        <v>21025</v>
      </c>
      <c r="E79" s="211" t="s">
        <v>617</v>
      </c>
      <c r="F79" s="212"/>
      <c r="G79" s="212"/>
      <c r="H79" s="212"/>
      <c r="I79" s="213"/>
      <c r="J79" s="165">
        <v>513</v>
      </c>
      <c r="K79" s="166"/>
      <c r="L79" s="165"/>
      <c r="M79" s="166"/>
      <c r="N79" s="165"/>
      <c r="O79" s="166"/>
      <c r="P79" s="165"/>
      <c r="Q79" s="166"/>
      <c r="R79" s="131"/>
      <c r="S79" s="6" t="s">
        <v>20</v>
      </c>
      <c r="T79" s="3"/>
      <c r="U79" s="205"/>
      <c r="V79" s="206"/>
      <c r="W79" s="207"/>
    </row>
    <row r="80" spans="1:23" x14ac:dyDescent="0.3">
      <c r="A80" s="163"/>
      <c r="B80" s="5"/>
      <c r="C80" s="5"/>
      <c r="D80" s="133">
        <v>250078</v>
      </c>
      <c r="E80" s="211" t="s">
        <v>618</v>
      </c>
      <c r="F80" s="212"/>
      <c r="G80" s="212"/>
      <c r="H80" s="212"/>
      <c r="I80" s="213"/>
      <c r="J80" s="165">
        <v>773</v>
      </c>
      <c r="K80" s="166"/>
      <c r="L80" s="165"/>
      <c r="M80" s="166"/>
      <c r="N80" s="165"/>
      <c r="O80" s="166"/>
      <c r="P80" s="165"/>
      <c r="Q80" s="166"/>
      <c r="R80" s="131"/>
      <c r="S80" s="6" t="s">
        <v>20</v>
      </c>
      <c r="T80" s="3"/>
      <c r="U80" s="205"/>
      <c r="V80" s="206"/>
      <c r="W80" s="207"/>
    </row>
    <row r="81" spans="1:23" x14ac:dyDescent="0.3">
      <c r="A81" s="163"/>
      <c r="B81" s="5"/>
      <c r="C81" s="5"/>
      <c r="D81" s="133">
        <v>250080</v>
      </c>
      <c r="E81" s="211" t="s">
        <v>571</v>
      </c>
      <c r="F81" s="212"/>
      <c r="G81" s="212"/>
      <c r="H81" s="212"/>
      <c r="I81" s="213"/>
      <c r="J81" s="165">
        <v>508</v>
      </c>
      <c r="K81" s="166"/>
      <c r="L81" s="165"/>
      <c r="M81" s="166"/>
      <c r="N81" s="165"/>
      <c r="O81" s="166"/>
      <c r="P81" s="165"/>
      <c r="Q81" s="166"/>
      <c r="R81" s="131"/>
      <c r="S81" s="6" t="s">
        <v>20</v>
      </c>
      <c r="T81" s="3"/>
      <c r="U81" s="205"/>
      <c r="V81" s="206"/>
      <c r="W81" s="207"/>
    </row>
    <row r="82" spans="1:23" x14ac:dyDescent="0.3">
      <c r="A82" s="163"/>
      <c r="B82" s="5"/>
      <c r="C82" s="5">
        <v>0.70833333333333337</v>
      </c>
      <c r="D82" s="133">
        <v>250042</v>
      </c>
      <c r="E82" s="211" t="s">
        <v>610</v>
      </c>
      <c r="F82" s="212"/>
      <c r="G82" s="212"/>
      <c r="H82" s="212"/>
      <c r="I82" s="213"/>
      <c r="J82" s="165">
        <v>286</v>
      </c>
      <c r="K82" s="166"/>
      <c r="L82" s="165"/>
      <c r="M82" s="166"/>
      <c r="N82" s="165"/>
      <c r="O82" s="166"/>
      <c r="P82" s="165"/>
      <c r="Q82" s="166"/>
      <c r="R82" s="131"/>
      <c r="S82" s="6" t="s">
        <v>20</v>
      </c>
      <c r="T82" s="3"/>
      <c r="U82" s="205"/>
      <c r="V82" s="206"/>
      <c r="W82" s="207"/>
    </row>
    <row r="83" spans="1:23" x14ac:dyDescent="0.3">
      <c r="A83" s="163"/>
      <c r="B83" s="5"/>
      <c r="C83" s="5"/>
      <c r="D83" s="4"/>
      <c r="E83" s="211"/>
      <c r="F83" s="212"/>
      <c r="G83" s="212"/>
      <c r="H83" s="212"/>
      <c r="I83" s="213"/>
      <c r="J83" s="165"/>
      <c r="K83" s="166"/>
      <c r="L83" s="165"/>
      <c r="M83" s="166"/>
      <c r="N83" s="165"/>
      <c r="O83" s="166"/>
      <c r="P83" s="165"/>
      <c r="Q83" s="166"/>
      <c r="R83" s="131"/>
      <c r="S83" s="6" t="s">
        <v>20</v>
      </c>
      <c r="T83" s="3"/>
      <c r="U83" s="205"/>
      <c r="V83" s="206"/>
      <c r="W83" s="207"/>
    </row>
    <row r="84" spans="1:23" x14ac:dyDescent="0.3">
      <c r="A84" s="164"/>
      <c r="B84" s="19"/>
      <c r="C84" s="19"/>
      <c r="D84" s="20"/>
      <c r="E84" s="170" t="s">
        <v>0</v>
      </c>
      <c r="F84" s="171"/>
      <c r="G84" s="171"/>
      <c r="H84" s="171"/>
      <c r="I84" s="172"/>
      <c r="J84" s="173">
        <f>SUM(J77:J83)</f>
        <v>3398</v>
      </c>
      <c r="K84" s="174"/>
      <c r="L84" s="173">
        <f>SUM(L77:L83)</f>
        <v>0</v>
      </c>
      <c r="M84" s="174"/>
      <c r="N84" s="173">
        <f>SUM(N77:N83)</f>
        <v>0</v>
      </c>
      <c r="O84" s="174"/>
      <c r="P84" s="173">
        <f>SUM(P77:P83)</f>
        <v>0</v>
      </c>
      <c r="Q84" s="174"/>
      <c r="R84" s="23">
        <f>SUM(R77:R83)</f>
        <v>0</v>
      </c>
      <c r="S84" s="24" t="s">
        <v>20</v>
      </c>
      <c r="T84" s="19"/>
      <c r="U84" s="208"/>
      <c r="V84" s="209"/>
      <c r="W84" s="210"/>
    </row>
    <row r="85" spans="1:23" x14ac:dyDescent="0.3">
      <c r="A85" s="180" t="s">
        <v>15</v>
      </c>
      <c r="B85" s="5"/>
      <c r="C85" s="5"/>
      <c r="D85" s="4"/>
      <c r="E85" s="211"/>
      <c r="F85" s="212"/>
      <c r="G85" s="212"/>
      <c r="H85" s="212"/>
      <c r="I85" s="213"/>
      <c r="J85" s="165"/>
      <c r="K85" s="166"/>
      <c r="L85" s="165"/>
      <c r="M85" s="166"/>
      <c r="N85" s="165"/>
      <c r="O85" s="166"/>
      <c r="P85" s="165"/>
      <c r="Q85" s="166"/>
      <c r="R85" s="131"/>
      <c r="S85" s="6" t="s">
        <v>20</v>
      </c>
      <c r="T85" s="3"/>
      <c r="U85" s="202"/>
      <c r="V85" s="203"/>
      <c r="W85" s="204"/>
    </row>
    <row r="86" spans="1:23" x14ac:dyDescent="0.3">
      <c r="A86" s="163"/>
      <c r="B86" s="5"/>
      <c r="C86" s="5"/>
      <c r="D86" s="4"/>
      <c r="E86" s="211"/>
      <c r="F86" s="212"/>
      <c r="G86" s="212"/>
      <c r="H86" s="212"/>
      <c r="I86" s="213"/>
      <c r="J86" s="165"/>
      <c r="K86" s="166"/>
      <c r="L86" s="165"/>
      <c r="M86" s="166"/>
      <c r="N86" s="165"/>
      <c r="O86" s="166"/>
      <c r="P86" s="165"/>
      <c r="Q86" s="166"/>
      <c r="R86" s="131"/>
      <c r="S86" s="6" t="s">
        <v>20</v>
      </c>
      <c r="T86" s="3"/>
      <c r="U86" s="205"/>
      <c r="V86" s="206"/>
      <c r="W86" s="207"/>
    </row>
    <row r="87" spans="1:23" x14ac:dyDescent="0.3">
      <c r="A87" s="163"/>
      <c r="B87" s="5"/>
      <c r="C87" s="5"/>
      <c r="D87" s="4"/>
      <c r="E87" s="211"/>
      <c r="F87" s="212"/>
      <c r="G87" s="212"/>
      <c r="H87" s="212"/>
      <c r="I87" s="213"/>
      <c r="J87" s="165"/>
      <c r="K87" s="166"/>
      <c r="L87" s="165"/>
      <c r="M87" s="166"/>
      <c r="N87" s="165"/>
      <c r="O87" s="166"/>
      <c r="P87" s="165"/>
      <c r="Q87" s="166"/>
      <c r="R87" s="131"/>
      <c r="S87" s="6" t="s">
        <v>20</v>
      </c>
      <c r="T87" s="3"/>
      <c r="U87" s="205"/>
      <c r="V87" s="206"/>
      <c r="W87" s="207"/>
    </row>
    <row r="88" spans="1:23" x14ac:dyDescent="0.3">
      <c r="A88" s="164"/>
      <c r="B88" s="19"/>
      <c r="C88" s="19"/>
      <c r="D88" s="20"/>
      <c r="E88" s="170" t="s">
        <v>0</v>
      </c>
      <c r="F88" s="171"/>
      <c r="G88" s="171"/>
      <c r="H88" s="171"/>
      <c r="I88" s="172"/>
      <c r="J88" s="173">
        <f>SUM(J85:J87)</f>
        <v>0</v>
      </c>
      <c r="K88" s="174"/>
      <c r="L88" s="173">
        <f>SUM(L85:L87)</f>
        <v>0</v>
      </c>
      <c r="M88" s="174"/>
      <c r="N88" s="173">
        <f>SUM(N85:N87)</f>
        <v>0</v>
      </c>
      <c r="O88" s="174"/>
      <c r="P88" s="173">
        <f>SUM(P80:P87)</f>
        <v>0</v>
      </c>
      <c r="Q88" s="174"/>
      <c r="R88" s="23">
        <f>SUM(R85:R87)</f>
        <v>0</v>
      </c>
      <c r="S88" s="24" t="s">
        <v>20</v>
      </c>
      <c r="T88" s="7"/>
      <c r="U88" s="208"/>
      <c r="V88" s="209"/>
      <c r="W88" s="210"/>
    </row>
    <row r="89" spans="1:23" x14ac:dyDescent="0.3">
      <c r="E89" s="28"/>
      <c r="F89" s="28"/>
      <c r="G89" s="28"/>
      <c r="H89" s="28"/>
      <c r="I89" s="28"/>
      <c r="J89" s="29"/>
      <c r="K89" s="29"/>
      <c r="L89" s="29"/>
      <c r="M89" s="29"/>
      <c r="N89" s="29"/>
      <c r="O89" s="29"/>
      <c r="P89" s="29"/>
      <c r="Q89" s="29"/>
    </row>
    <row r="90" spans="1:23" x14ac:dyDescent="0.3">
      <c r="E90" s="170" t="s">
        <v>28</v>
      </c>
      <c r="F90" s="171"/>
      <c r="G90" s="171"/>
      <c r="H90" s="171"/>
      <c r="I90" s="172"/>
      <c r="J90" s="175" t="s">
        <v>7</v>
      </c>
      <c r="K90" s="176"/>
      <c r="L90" s="175" t="s">
        <v>8</v>
      </c>
      <c r="M90" s="176"/>
      <c r="N90" s="175" t="s">
        <v>9</v>
      </c>
      <c r="O90" s="176"/>
      <c r="P90" s="175" t="s">
        <v>117</v>
      </c>
      <c r="Q90" s="176"/>
    </row>
    <row r="91" spans="1:23" s="2" customFormat="1" x14ac:dyDescent="0.3">
      <c r="E91" s="15"/>
      <c r="F91" s="15"/>
      <c r="G91" s="15"/>
      <c r="H91" s="15"/>
      <c r="I91" s="15"/>
      <c r="J91" s="30">
        <f>J84+J88</f>
        <v>3398</v>
      </c>
      <c r="K91" s="31" t="s">
        <v>17</v>
      </c>
      <c r="L91" s="32">
        <f>L84+L88</f>
        <v>0</v>
      </c>
      <c r="M91" s="31" t="s">
        <v>17</v>
      </c>
      <c r="N91" s="32">
        <f>N84+N88</f>
        <v>0</v>
      </c>
      <c r="O91" s="31" t="s">
        <v>17</v>
      </c>
      <c r="P91" s="32">
        <f>P84+P88</f>
        <v>0</v>
      </c>
      <c r="Q91" s="34" t="s">
        <v>17</v>
      </c>
    </row>
    <row r="92" spans="1:23" ht="24.45" customHeight="1" x14ac:dyDescent="0.3">
      <c r="E92" s="28"/>
      <c r="F92" s="28"/>
      <c r="G92" s="28"/>
      <c r="H92" s="28"/>
      <c r="I92" s="28"/>
      <c r="J92" s="167">
        <f>J91+L91+N91+P91</f>
        <v>3398</v>
      </c>
      <c r="K92" s="168"/>
      <c r="L92" s="168"/>
      <c r="M92" s="168"/>
      <c r="N92" s="168"/>
      <c r="O92" s="168"/>
      <c r="P92" s="168"/>
      <c r="Q92" s="169"/>
    </row>
    <row r="93" spans="1:23" ht="14.55" customHeight="1" x14ac:dyDescent="0.3"/>
    <row r="94" spans="1:23" s="37" customFormat="1" ht="19.95" customHeight="1" x14ac:dyDescent="0.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6"/>
      <c r="Q94" s="183" t="s">
        <v>14</v>
      </c>
      <c r="R94" s="183"/>
      <c r="S94" s="183"/>
      <c r="T94" s="184">
        <f>T3</f>
        <v>45947</v>
      </c>
      <c r="U94" s="185"/>
      <c r="V94" s="185"/>
      <c r="W94" s="186"/>
    </row>
    <row r="95" spans="1:23" s="16" customFormat="1" ht="30" customHeight="1" x14ac:dyDescent="0.3">
      <c r="A95" s="187" t="s">
        <v>579</v>
      </c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9"/>
      <c r="Q95" s="189"/>
      <c r="R95" s="189"/>
      <c r="S95" s="189"/>
      <c r="T95" s="188"/>
      <c r="U95" s="188"/>
      <c r="V95" s="188"/>
      <c r="W95" s="190"/>
    </row>
    <row r="96" spans="1:23" s="26" customFormat="1" ht="13.8" x14ac:dyDescent="0.3">
      <c r="A96" s="191" t="s">
        <v>1</v>
      </c>
      <c r="B96" s="192" t="s">
        <v>2</v>
      </c>
      <c r="C96" s="192" t="s">
        <v>3</v>
      </c>
      <c r="D96" s="192" t="s">
        <v>4</v>
      </c>
      <c r="E96" s="193" t="s">
        <v>5</v>
      </c>
      <c r="F96" s="195" t="s">
        <v>21</v>
      </c>
      <c r="G96" s="195" t="s">
        <v>22</v>
      </c>
      <c r="H96" s="195" t="s">
        <v>33</v>
      </c>
      <c r="I96" s="195" t="s">
        <v>30</v>
      </c>
      <c r="J96" s="193" t="s">
        <v>6</v>
      </c>
      <c r="K96" s="197"/>
      <c r="L96" s="197"/>
      <c r="M96" s="197"/>
      <c r="N96" s="197"/>
      <c r="O96" s="197"/>
      <c r="P96" s="197"/>
      <c r="Q96" s="198"/>
      <c r="R96" s="193" t="s">
        <v>10</v>
      </c>
      <c r="S96" s="198"/>
      <c r="T96" s="191" t="s">
        <v>11</v>
      </c>
      <c r="U96" s="191" t="s">
        <v>12</v>
      </c>
      <c r="V96" s="191"/>
      <c r="W96" s="191"/>
    </row>
    <row r="97" spans="1:23" s="26" customFormat="1" ht="13.8" x14ac:dyDescent="0.3">
      <c r="A97" s="191"/>
      <c r="B97" s="192"/>
      <c r="C97" s="192"/>
      <c r="D97" s="192"/>
      <c r="E97" s="194"/>
      <c r="F97" s="196"/>
      <c r="G97" s="196"/>
      <c r="H97" s="196"/>
      <c r="I97" s="196"/>
      <c r="J97" s="200" t="s">
        <v>7</v>
      </c>
      <c r="K97" s="201"/>
      <c r="L97" s="200" t="s">
        <v>8</v>
      </c>
      <c r="M97" s="201"/>
      <c r="N97" s="200" t="s">
        <v>9</v>
      </c>
      <c r="O97" s="201"/>
      <c r="P97" s="200" t="s">
        <v>117</v>
      </c>
      <c r="Q97" s="201"/>
      <c r="R97" s="194"/>
      <c r="S97" s="199"/>
      <c r="T97" s="191"/>
      <c r="U97" s="191"/>
      <c r="V97" s="191"/>
      <c r="W97" s="191"/>
    </row>
    <row r="98" spans="1:23" ht="14.55" customHeight="1" x14ac:dyDescent="0.3">
      <c r="A98" s="180" t="s">
        <v>581</v>
      </c>
      <c r="B98" s="5">
        <v>0.33333333333333331</v>
      </c>
      <c r="C98" s="5">
        <v>0.70833333333333337</v>
      </c>
      <c r="D98" s="126"/>
      <c r="E98" s="12"/>
      <c r="F98" s="40"/>
      <c r="G98" s="41"/>
      <c r="H98" s="40"/>
      <c r="I98" s="12"/>
      <c r="J98" s="165">
        <v>1750</v>
      </c>
      <c r="K98" s="166"/>
      <c r="L98" s="165"/>
      <c r="M98" s="166"/>
      <c r="N98" s="165"/>
      <c r="O98" s="166"/>
      <c r="P98" s="165"/>
      <c r="Q98" s="166"/>
      <c r="R98" s="131"/>
      <c r="S98" s="14" t="s">
        <v>20</v>
      </c>
      <c r="T98" s="42"/>
      <c r="U98" s="177"/>
      <c r="V98" s="178"/>
      <c r="W98" s="179"/>
    </row>
    <row r="99" spans="1:23" ht="14.55" customHeight="1" x14ac:dyDescent="0.3">
      <c r="A99" s="181"/>
      <c r="B99" s="5"/>
      <c r="C99" s="5"/>
      <c r="D99" s="126"/>
      <c r="E99" s="13"/>
      <c r="F99" s="40"/>
      <c r="G99" s="41"/>
      <c r="H99" s="40"/>
      <c r="I99" s="12"/>
      <c r="J99" s="165"/>
      <c r="K99" s="166"/>
      <c r="L99" s="165"/>
      <c r="M99" s="166"/>
      <c r="N99" s="165"/>
      <c r="O99" s="166"/>
      <c r="P99" s="165"/>
      <c r="Q99" s="166"/>
      <c r="R99" s="131"/>
      <c r="S99" s="14" t="s">
        <v>20</v>
      </c>
      <c r="T99" s="42"/>
      <c r="U99" s="177"/>
      <c r="V99" s="178"/>
      <c r="W99" s="179"/>
    </row>
    <row r="100" spans="1:23" ht="14.55" customHeight="1" x14ac:dyDescent="0.3">
      <c r="A100" s="181"/>
      <c r="B100" s="5"/>
      <c r="C100" s="5"/>
      <c r="D100" s="4"/>
      <c r="E100" s="12"/>
      <c r="F100" s="40"/>
      <c r="G100" s="41"/>
      <c r="H100" s="40"/>
      <c r="I100" s="12"/>
      <c r="J100" s="165"/>
      <c r="K100" s="166"/>
      <c r="L100" s="165"/>
      <c r="M100" s="166"/>
      <c r="N100" s="165"/>
      <c r="O100" s="166"/>
      <c r="P100" s="165"/>
      <c r="Q100" s="166"/>
      <c r="R100" s="131"/>
      <c r="S100" s="14" t="s">
        <v>20</v>
      </c>
      <c r="T100" s="42"/>
      <c r="U100" s="177"/>
      <c r="V100" s="178"/>
      <c r="W100" s="179"/>
    </row>
    <row r="101" spans="1:23" ht="14.55" customHeight="1" x14ac:dyDescent="0.3">
      <c r="A101" s="182"/>
      <c r="B101" s="19"/>
      <c r="C101" s="19"/>
      <c r="D101" s="20"/>
      <c r="E101" s="170" t="s">
        <v>0</v>
      </c>
      <c r="F101" s="171"/>
      <c r="G101" s="171"/>
      <c r="H101" s="171"/>
      <c r="I101" s="172"/>
      <c r="J101" s="173">
        <f>SUM(J98:K100)</f>
        <v>1750</v>
      </c>
      <c r="K101" s="174"/>
      <c r="L101" s="173">
        <f>SUM(L98:M100)</f>
        <v>0</v>
      </c>
      <c r="M101" s="174"/>
      <c r="N101" s="173">
        <f>SUM(N98:O100)</f>
        <v>0</v>
      </c>
      <c r="O101" s="174"/>
      <c r="P101" s="173">
        <f>SUM(P98:Q100)</f>
        <v>0</v>
      </c>
      <c r="Q101" s="174"/>
      <c r="R101" s="23">
        <f>SUM(R98:R100)</f>
        <v>0</v>
      </c>
      <c r="S101" s="24" t="s">
        <v>20</v>
      </c>
      <c r="T101" s="19"/>
      <c r="U101" s="177"/>
      <c r="V101" s="178"/>
      <c r="W101" s="179"/>
    </row>
    <row r="102" spans="1:23" ht="14.55" customHeight="1" x14ac:dyDescent="0.3">
      <c r="A102" s="163" t="s">
        <v>580</v>
      </c>
      <c r="B102" s="5"/>
      <c r="C102" s="5"/>
      <c r="D102" s="4"/>
      <c r="E102" s="12"/>
      <c r="F102" s="40"/>
      <c r="G102" s="41"/>
      <c r="H102" s="40"/>
      <c r="I102" s="12"/>
      <c r="J102" s="165"/>
      <c r="K102" s="166"/>
      <c r="L102" s="165"/>
      <c r="M102" s="166"/>
      <c r="N102" s="165"/>
      <c r="O102" s="166"/>
      <c r="P102" s="165"/>
      <c r="Q102" s="166"/>
      <c r="R102" s="131"/>
      <c r="S102" s="14" t="s">
        <v>20</v>
      </c>
      <c r="T102" s="42"/>
      <c r="U102" s="177"/>
      <c r="V102" s="178"/>
      <c r="W102" s="179"/>
    </row>
    <row r="103" spans="1:23" ht="14.55" customHeight="1" x14ac:dyDescent="0.3">
      <c r="A103" s="163"/>
      <c r="B103" s="5"/>
      <c r="C103" s="5"/>
      <c r="D103" s="4"/>
      <c r="E103" s="12"/>
      <c r="F103" s="40"/>
      <c r="G103" s="41"/>
      <c r="H103" s="40"/>
      <c r="I103" s="12"/>
      <c r="J103" s="165"/>
      <c r="K103" s="166"/>
      <c r="L103" s="165"/>
      <c r="M103" s="166"/>
      <c r="N103" s="165"/>
      <c r="O103" s="166"/>
      <c r="P103" s="165"/>
      <c r="Q103" s="166"/>
      <c r="R103" s="131"/>
      <c r="S103" s="14" t="s">
        <v>20</v>
      </c>
      <c r="T103" s="42"/>
      <c r="U103" s="177"/>
      <c r="V103" s="178"/>
      <c r="W103" s="179"/>
    </row>
    <row r="104" spans="1:23" ht="14.55" customHeight="1" x14ac:dyDescent="0.3">
      <c r="A104" s="163"/>
      <c r="B104" s="5"/>
      <c r="C104" s="5"/>
      <c r="D104" s="4"/>
      <c r="E104" s="12"/>
      <c r="F104" s="40"/>
      <c r="G104" s="41"/>
      <c r="H104" s="40"/>
      <c r="I104" s="12"/>
      <c r="J104" s="165"/>
      <c r="K104" s="166"/>
      <c r="L104" s="165"/>
      <c r="M104" s="166"/>
      <c r="N104" s="165"/>
      <c r="O104" s="166"/>
      <c r="P104" s="165"/>
      <c r="Q104" s="166"/>
      <c r="R104" s="131"/>
      <c r="S104" s="14" t="s">
        <v>20</v>
      </c>
      <c r="T104" s="42"/>
      <c r="U104" s="177"/>
      <c r="V104" s="178"/>
      <c r="W104" s="179"/>
    </row>
    <row r="105" spans="1:23" ht="14.55" customHeight="1" x14ac:dyDescent="0.3">
      <c r="A105" s="163"/>
      <c r="B105" s="5"/>
      <c r="C105" s="5"/>
      <c r="D105" s="4"/>
      <c r="E105" s="12"/>
      <c r="F105" s="40"/>
      <c r="G105" s="41"/>
      <c r="H105" s="40"/>
      <c r="I105" s="12"/>
      <c r="J105" s="165"/>
      <c r="K105" s="166"/>
      <c r="L105" s="165"/>
      <c r="M105" s="166"/>
      <c r="N105" s="165"/>
      <c r="O105" s="166"/>
      <c r="P105" s="165"/>
      <c r="Q105" s="166"/>
      <c r="R105" s="131"/>
      <c r="S105" s="14" t="s">
        <v>20</v>
      </c>
      <c r="T105" s="42"/>
      <c r="U105" s="177"/>
      <c r="V105" s="178"/>
      <c r="W105" s="179"/>
    </row>
    <row r="106" spans="1:23" ht="14.55" customHeight="1" x14ac:dyDescent="0.3">
      <c r="A106" s="164"/>
      <c r="B106" s="19"/>
      <c r="C106" s="19"/>
      <c r="D106" s="20"/>
      <c r="E106" s="170" t="s">
        <v>0</v>
      </c>
      <c r="F106" s="171"/>
      <c r="G106" s="171"/>
      <c r="H106" s="171"/>
      <c r="I106" s="172"/>
      <c r="J106" s="173">
        <f>SUM(J102:K105)</f>
        <v>0</v>
      </c>
      <c r="K106" s="174"/>
      <c r="L106" s="173">
        <f>SUM(L102:M105)</f>
        <v>0</v>
      </c>
      <c r="M106" s="174"/>
      <c r="N106" s="173">
        <f>SUM(N102:O105)</f>
        <v>0</v>
      </c>
      <c r="O106" s="174"/>
      <c r="P106" s="173">
        <f>SUM(P102:Q105)</f>
        <v>0</v>
      </c>
      <c r="Q106" s="174"/>
      <c r="R106" s="23">
        <f>SUM(R102:R105)</f>
        <v>0</v>
      </c>
      <c r="S106" s="24" t="s">
        <v>20</v>
      </c>
      <c r="T106" s="19"/>
      <c r="U106" s="177"/>
      <c r="V106" s="178"/>
      <c r="W106" s="179"/>
    </row>
    <row r="107" spans="1:23" ht="14.55" customHeight="1" x14ac:dyDescent="0.3">
      <c r="A107" s="27"/>
      <c r="B107" s="27"/>
      <c r="C107" s="27"/>
      <c r="D107" s="27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27"/>
      <c r="S107" s="27"/>
      <c r="T107" s="39"/>
      <c r="U107" s="39"/>
      <c r="V107" s="39"/>
      <c r="W107" s="39"/>
    </row>
    <row r="108" spans="1:23" x14ac:dyDescent="0.3">
      <c r="E108" s="170" t="s">
        <v>585</v>
      </c>
      <c r="F108" s="171"/>
      <c r="G108" s="171"/>
      <c r="H108" s="171"/>
      <c r="I108" s="172"/>
      <c r="J108" s="175" t="s">
        <v>7</v>
      </c>
      <c r="K108" s="176"/>
      <c r="L108" s="175" t="s">
        <v>8</v>
      </c>
      <c r="M108" s="176"/>
      <c r="N108" s="175" t="s">
        <v>9</v>
      </c>
      <c r="O108" s="176"/>
      <c r="P108" s="175" t="s">
        <v>117</v>
      </c>
      <c r="Q108" s="176"/>
    </row>
    <row r="109" spans="1:23" s="2" customFormat="1" x14ac:dyDescent="0.3">
      <c r="E109" s="15"/>
      <c r="F109" s="15"/>
      <c r="G109" s="15"/>
      <c r="H109" s="15"/>
      <c r="I109" s="15"/>
      <c r="J109" s="30">
        <f>SUM(J106,J101)</f>
        <v>1750</v>
      </c>
      <c r="K109" s="31" t="s">
        <v>17</v>
      </c>
      <c r="L109" s="30">
        <f>SUM(L106,L101)</f>
        <v>0</v>
      </c>
      <c r="M109" s="31" t="s">
        <v>17</v>
      </c>
      <c r="N109" s="30">
        <f>SUM(N106,N101)</f>
        <v>0</v>
      </c>
      <c r="O109" s="31" t="s">
        <v>17</v>
      </c>
      <c r="P109" s="30">
        <f>SUM(P106,P101)</f>
        <v>0</v>
      </c>
      <c r="Q109" s="34" t="s">
        <v>17</v>
      </c>
    </row>
    <row r="110" spans="1:23" ht="24.45" customHeight="1" x14ac:dyDescent="0.3">
      <c r="E110" s="28"/>
      <c r="F110" s="28"/>
      <c r="G110" s="28"/>
      <c r="H110" s="28"/>
      <c r="I110" s="28"/>
      <c r="J110" s="167">
        <f>J109+L109+N109+P109</f>
        <v>1750</v>
      </c>
      <c r="K110" s="168"/>
      <c r="L110" s="168"/>
      <c r="M110" s="168"/>
      <c r="N110" s="168"/>
      <c r="O110" s="168"/>
      <c r="P110" s="168"/>
      <c r="Q110" s="169"/>
    </row>
  </sheetData>
  <mergeCells count="418">
    <mergeCell ref="J110:Q110"/>
    <mergeCell ref="J20:K20"/>
    <mergeCell ref="L20:M20"/>
    <mergeCell ref="N20:O20"/>
    <mergeCell ref="P20:Q20"/>
    <mergeCell ref="J21:K21"/>
    <mergeCell ref="L21:M21"/>
    <mergeCell ref="N21:O21"/>
    <mergeCell ref="P21:Q21"/>
    <mergeCell ref="J22:K22"/>
    <mergeCell ref="J104:K104"/>
    <mergeCell ref="L104:M104"/>
    <mergeCell ref="N104:O104"/>
    <mergeCell ref="P104:Q104"/>
    <mergeCell ref="J105:K105"/>
    <mergeCell ref="L105:M105"/>
    <mergeCell ref="N105:O105"/>
    <mergeCell ref="P105:Q105"/>
    <mergeCell ref="J100:K100"/>
    <mergeCell ref="N80:O80"/>
    <mergeCell ref="P80:Q80"/>
    <mergeCell ref="J57:Q57"/>
    <mergeCell ref="Q59:S59"/>
    <mergeCell ref="L84:M84"/>
    <mergeCell ref="E108:I108"/>
    <mergeCell ref="J108:K108"/>
    <mergeCell ref="L108:M108"/>
    <mergeCell ref="N108:O108"/>
    <mergeCell ref="P108:Q108"/>
    <mergeCell ref="P22:Q22"/>
    <mergeCell ref="J23:K23"/>
    <mergeCell ref="L23:M23"/>
    <mergeCell ref="N23:O23"/>
    <mergeCell ref="P23:Q23"/>
    <mergeCell ref="Q94:S94"/>
    <mergeCell ref="E90:I90"/>
    <mergeCell ref="J90:K90"/>
    <mergeCell ref="L90:M90"/>
    <mergeCell ref="N90:O90"/>
    <mergeCell ref="P90:Q90"/>
    <mergeCell ref="J92:Q92"/>
    <mergeCell ref="N87:O87"/>
    <mergeCell ref="P87:Q87"/>
    <mergeCell ref="E88:I88"/>
    <mergeCell ref="J88:K88"/>
    <mergeCell ref="L88:M88"/>
    <mergeCell ref="N88:O88"/>
    <mergeCell ref="P88:Q88"/>
    <mergeCell ref="U102:W106"/>
    <mergeCell ref="J103:K103"/>
    <mergeCell ref="L103:M103"/>
    <mergeCell ref="N103:O103"/>
    <mergeCell ref="P103:Q103"/>
    <mergeCell ref="E106:I106"/>
    <mergeCell ref="J106:K106"/>
    <mergeCell ref="L106:M106"/>
    <mergeCell ref="N106:O106"/>
    <mergeCell ref="P106:Q106"/>
    <mergeCell ref="A98:A101"/>
    <mergeCell ref="J98:K98"/>
    <mergeCell ref="L98:M98"/>
    <mergeCell ref="N98:O98"/>
    <mergeCell ref="P98:Q98"/>
    <mergeCell ref="A102:A106"/>
    <mergeCell ref="J102:K102"/>
    <mergeCell ref="L102:M102"/>
    <mergeCell ref="N102:O102"/>
    <mergeCell ref="P102:Q102"/>
    <mergeCell ref="U98:W101"/>
    <mergeCell ref="J99:K99"/>
    <mergeCell ref="L99:M99"/>
    <mergeCell ref="N99:O99"/>
    <mergeCell ref="P99:Q99"/>
    <mergeCell ref="H96:H97"/>
    <mergeCell ref="I96:I97"/>
    <mergeCell ref="J96:Q96"/>
    <mergeCell ref="R96:S97"/>
    <mergeCell ref="T96:T97"/>
    <mergeCell ref="U96:W97"/>
    <mergeCell ref="J97:K97"/>
    <mergeCell ref="L97:M97"/>
    <mergeCell ref="N97:O97"/>
    <mergeCell ref="P97:Q97"/>
    <mergeCell ref="L100:M100"/>
    <mergeCell ref="N100:O100"/>
    <mergeCell ref="P100:Q100"/>
    <mergeCell ref="E101:I101"/>
    <mergeCell ref="J101:K101"/>
    <mergeCell ref="L101:M101"/>
    <mergeCell ref="N101:O101"/>
    <mergeCell ref="P101:Q101"/>
    <mergeCell ref="T94:W94"/>
    <mergeCell ref="A95:W95"/>
    <mergeCell ref="A96:A97"/>
    <mergeCell ref="B96:B97"/>
    <mergeCell ref="C96:C97"/>
    <mergeCell ref="D96:D97"/>
    <mergeCell ref="E96:E97"/>
    <mergeCell ref="F96:F97"/>
    <mergeCell ref="G96:G97"/>
    <mergeCell ref="U85:W88"/>
    <mergeCell ref="E86:I86"/>
    <mergeCell ref="J86:K86"/>
    <mergeCell ref="L86:M86"/>
    <mergeCell ref="N86:O86"/>
    <mergeCell ref="P86:Q86"/>
    <mergeCell ref="E87:I87"/>
    <mergeCell ref="J87:K87"/>
    <mergeCell ref="L87:M87"/>
    <mergeCell ref="A85:A88"/>
    <mergeCell ref="E85:I85"/>
    <mergeCell ref="J85:K85"/>
    <mergeCell ref="L85:M85"/>
    <mergeCell ref="N85:O85"/>
    <mergeCell ref="A77:A84"/>
    <mergeCell ref="J80:K80"/>
    <mergeCell ref="L80:M80"/>
    <mergeCell ref="P85:Q85"/>
    <mergeCell ref="E82:I82"/>
    <mergeCell ref="J82:K82"/>
    <mergeCell ref="L82:M82"/>
    <mergeCell ref="N82:O82"/>
    <mergeCell ref="P82:Q82"/>
    <mergeCell ref="E83:I83"/>
    <mergeCell ref="J83:K83"/>
    <mergeCell ref="L83:M83"/>
    <mergeCell ref="N83:O83"/>
    <mergeCell ref="P83:Q83"/>
    <mergeCell ref="E81:I81"/>
    <mergeCell ref="J81:K81"/>
    <mergeCell ref="L81:M81"/>
    <mergeCell ref="N81:O81"/>
    <mergeCell ref="P81:Q81"/>
    <mergeCell ref="U77:W84"/>
    <mergeCell ref="E78:I78"/>
    <mergeCell ref="J78:K78"/>
    <mergeCell ref="L78:M78"/>
    <mergeCell ref="N78:O78"/>
    <mergeCell ref="P78:Q78"/>
    <mergeCell ref="E79:I79"/>
    <mergeCell ref="J79:K79"/>
    <mergeCell ref="L79:M79"/>
    <mergeCell ref="N79:O79"/>
    <mergeCell ref="E77:I77"/>
    <mergeCell ref="J77:K77"/>
    <mergeCell ref="L77:M77"/>
    <mergeCell ref="N77:O77"/>
    <mergeCell ref="P77:Q77"/>
    <mergeCell ref="P79:Q79"/>
    <mergeCell ref="E80:I80"/>
    <mergeCell ref="E84:I84"/>
    <mergeCell ref="J84:K84"/>
    <mergeCell ref="N84:O84"/>
    <mergeCell ref="P84:Q84"/>
    <mergeCell ref="E69:I69"/>
    <mergeCell ref="J69:K69"/>
    <mergeCell ref="L69:M69"/>
    <mergeCell ref="N69:O69"/>
    <mergeCell ref="P69:Q69"/>
    <mergeCell ref="R75:S76"/>
    <mergeCell ref="T75:T76"/>
    <mergeCell ref="U75:W76"/>
    <mergeCell ref="J76:K76"/>
    <mergeCell ref="L76:M76"/>
    <mergeCell ref="N76:O76"/>
    <mergeCell ref="P76:Q76"/>
    <mergeCell ref="J71:Q71"/>
    <mergeCell ref="Q73:S73"/>
    <mergeCell ref="T73:W73"/>
    <mergeCell ref="A74:W74"/>
    <mergeCell ref="A75:A76"/>
    <mergeCell ref="B75:B76"/>
    <mergeCell ref="C75:C76"/>
    <mergeCell ref="D75:D76"/>
    <mergeCell ref="E75:I76"/>
    <mergeCell ref="J75:Q75"/>
    <mergeCell ref="U63:W67"/>
    <mergeCell ref="J64:K64"/>
    <mergeCell ref="L64:M64"/>
    <mergeCell ref="N64:O64"/>
    <mergeCell ref="P64:Q64"/>
    <mergeCell ref="J65:K65"/>
    <mergeCell ref="L65:M65"/>
    <mergeCell ref="N65:O65"/>
    <mergeCell ref="P65:Q65"/>
    <mergeCell ref="J67:K67"/>
    <mergeCell ref="L67:M67"/>
    <mergeCell ref="N67:O67"/>
    <mergeCell ref="P67:Q67"/>
    <mergeCell ref="A63:A67"/>
    <mergeCell ref="J63:K63"/>
    <mergeCell ref="L63:M63"/>
    <mergeCell ref="N63:O63"/>
    <mergeCell ref="P63:Q63"/>
    <mergeCell ref="G61:G62"/>
    <mergeCell ref="H61:H62"/>
    <mergeCell ref="I61:I62"/>
    <mergeCell ref="J61:Q61"/>
    <mergeCell ref="J66:K66"/>
    <mergeCell ref="L66:M66"/>
    <mergeCell ref="N66:O66"/>
    <mergeCell ref="P66:Q66"/>
    <mergeCell ref="E67:I67"/>
    <mergeCell ref="T59:W59"/>
    <mergeCell ref="A60:W60"/>
    <mergeCell ref="A61:A62"/>
    <mergeCell ref="B61:B62"/>
    <mergeCell ref="C61:C62"/>
    <mergeCell ref="D61:D62"/>
    <mergeCell ref="E61:E62"/>
    <mergeCell ref="F61:F62"/>
    <mergeCell ref="U61:W62"/>
    <mergeCell ref="J62:K62"/>
    <mergeCell ref="L62:M62"/>
    <mergeCell ref="N62:O62"/>
    <mergeCell ref="P62:Q62"/>
    <mergeCell ref="R61:S62"/>
    <mergeCell ref="T61:T62"/>
    <mergeCell ref="U50:W53"/>
    <mergeCell ref="E53:I53"/>
    <mergeCell ref="J53:K53"/>
    <mergeCell ref="L53:M53"/>
    <mergeCell ref="N53:O53"/>
    <mergeCell ref="P53:Q53"/>
    <mergeCell ref="E55:I55"/>
    <mergeCell ref="J55:K55"/>
    <mergeCell ref="L55:M55"/>
    <mergeCell ref="N55:O55"/>
    <mergeCell ref="P55:Q55"/>
    <mergeCell ref="A50:A53"/>
    <mergeCell ref="J50:K50"/>
    <mergeCell ref="L50:M50"/>
    <mergeCell ref="N50:O50"/>
    <mergeCell ref="P50:Q50"/>
    <mergeCell ref="J51:K51"/>
    <mergeCell ref="L51:M51"/>
    <mergeCell ref="N51:O51"/>
    <mergeCell ref="P51:Q51"/>
    <mergeCell ref="J52:K52"/>
    <mergeCell ref="L52:M52"/>
    <mergeCell ref="N52:O52"/>
    <mergeCell ref="P52:Q52"/>
    <mergeCell ref="U46:W49"/>
    <mergeCell ref="J47:K47"/>
    <mergeCell ref="L47:M47"/>
    <mergeCell ref="N47:O47"/>
    <mergeCell ref="P47:Q47"/>
    <mergeCell ref="E49:I49"/>
    <mergeCell ref="J49:K49"/>
    <mergeCell ref="L49:M49"/>
    <mergeCell ref="N49:O49"/>
    <mergeCell ref="P49:Q49"/>
    <mergeCell ref="A46:A49"/>
    <mergeCell ref="J46:K46"/>
    <mergeCell ref="L46:M46"/>
    <mergeCell ref="N46:O46"/>
    <mergeCell ref="P46:Q46"/>
    <mergeCell ref="J48:K48"/>
    <mergeCell ref="L48:M48"/>
    <mergeCell ref="N48:O48"/>
    <mergeCell ref="P48:Q48"/>
    <mergeCell ref="U38:W45"/>
    <mergeCell ref="J39:K39"/>
    <mergeCell ref="L39:M39"/>
    <mergeCell ref="N39:O39"/>
    <mergeCell ref="P39:Q39"/>
    <mergeCell ref="J40:K40"/>
    <mergeCell ref="L40:M40"/>
    <mergeCell ref="N40:O40"/>
    <mergeCell ref="P40:Q40"/>
    <mergeCell ref="J41:K41"/>
    <mergeCell ref="J44:K44"/>
    <mergeCell ref="L44:M44"/>
    <mergeCell ref="N44:O44"/>
    <mergeCell ref="P44:Q44"/>
    <mergeCell ref="J43:K43"/>
    <mergeCell ref="L43:M43"/>
    <mergeCell ref="N43:O43"/>
    <mergeCell ref="P43:Q43"/>
    <mergeCell ref="L41:M41"/>
    <mergeCell ref="N41:O41"/>
    <mergeCell ref="P41:Q41"/>
    <mergeCell ref="J42:K42"/>
    <mergeCell ref="L42:M42"/>
    <mergeCell ref="N42:O42"/>
    <mergeCell ref="E37:I37"/>
    <mergeCell ref="J37:K37"/>
    <mergeCell ref="L37:M37"/>
    <mergeCell ref="N37:O37"/>
    <mergeCell ref="P37:Q37"/>
    <mergeCell ref="A38:A45"/>
    <mergeCell ref="J38:K38"/>
    <mergeCell ref="L38:M38"/>
    <mergeCell ref="N38:O38"/>
    <mergeCell ref="P38:Q38"/>
    <mergeCell ref="A35:A37"/>
    <mergeCell ref="P42:Q42"/>
    <mergeCell ref="E45:I45"/>
    <mergeCell ref="J45:K45"/>
    <mergeCell ref="L45:M45"/>
    <mergeCell ref="N45:O45"/>
    <mergeCell ref="P45:Q45"/>
    <mergeCell ref="U35:W37"/>
    <mergeCell ref="J36:K36"/>
    <mergeCell ref="L36:M36"/>
    <mergeCell ref="N36:O36"/>
    <mergeCell ref="P36:Q36"/>
    <mergeCell ref="U33:W34"/>
    <mergeCell ref="J34:K34"/>
    <mergeCell ref="L34:M34"/>
    <mergeCell ref="N34:O34"/>
    <mergeCell ref="P34:Q34"/>
    <mergeCell ref="J35:K35"/>
    <mergeCell ref="L35:M35"/>
    <mergeCell ref="N35:O35"/>
    <mergeCell ref="P35:Q35"/>
    <mergeCell ref="G33:G34"/>
    <mergeCell ref="H33:H34"/>
    <mergeCell ref="I33:I34"/>
    <mergeCell ref="J33:Q33"/>
    <mergeCell ref="R33:S34"/>
    <mergeCell ref="T33:T34"/>
    <mergeCell ref="J29:Q29"/>
    <mergeCell ref="Q31:S31"/>
    <mergeCell ref="T31:W31"/>
    <mergeCell ref="A32:W32"/>
    <mergeCell ref="A33:A34"/>
    <mergeCell ref="B33:B34"/>
    <mergeCell ref="C33:C34"/>
    <mergeCell ref="D33:D34"/>
    <mergeCell ref="E33:E34"/>
    <mergeCell ref="F33:F34"/>
    <mergeCell ref="B25:I25"/>
    <mergeCell ref="E27:I27"/>
    <mergeCell ref="J27:K27"/>
    <mergeCell ref="L27:M27"/>
    <mergeCell ref="N27:O27"/>
    <mergeCell ref="P27:Q27"/>
    <mergeCell ref="J19:K19"/>
    <mergeCell ref="L19:M19"/>
    <mergeCell ref="N19:O19"/>
    <mergeCell ref="P19:Q19"/>
    <mergeCell ref="J24:K24"/>
    <mergeCell ref="L24:M24"/>
    <mergeCell ref="N24:O24"/>
    <mergeCell ref="P24:Q24"/>
    <mergeCell ref="L22:M22"/>
    <mergeCell ref="N22:O22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5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5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6" orientation="portrait" horizontalDpi="1200" verticalDpi="12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W113"/>
  <sheetViews>
    <sheetView zoomScale="85" zoomScaleNormal="85" workbookViewId="0">
      <selection activeCell="D45" sqref="D45"/>
    </sheetView>
  </sheetViews>
  <sheetFormatPr defaultColWidth="8.88671875" defaultRowHeight="14.4" x14ac:dyDescent="0.3"/>
  <cols>
    <col min="1" max="1" width="12.6640625" style="118" customWidth="1"/>
    <col min="2" max="3" width="7.6640625" style="118" customWidth="1"/>
    <col min="4" max="4" width="8.109375" style="8" bestFit="1" customWidth="1"/>
    <col min="5" max="5" width="35.6640625" style="118" customWidth="1"/>
    <col min="6" max="6" width="5.6640625" style="118" customWidth="1"/>
    <col min="7" max="9" width="6.6640625" style="118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18" customWidth="1"/>
    <col min="20" max="20" width="21.5546875" style="118" bestFit="1" customWidth="1"/>
    <col min="21" max="23" width="7.6640625" style="118" customWidth="1"/>
    <col min="24" max="16384" width="8.88671875" style="118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45954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250082</v>
      </c>
      <c r="E7" s="12" t="s">
        <v>588</v>
      </c>
      <c r="F7" s="17">
        <v>653</v>
      </c>
      <c r="G7" s="17">
        <v>430</v>
      </c>
      <c r="H7" s="18">
        <v>0.6</v>
      </c>
      <c r="I7" s="17">
        <v>35000</v>
      </c>
      <c r="J7" s="165">
        <v>888</v>
      </c>
      <c r="K7" s="166"/>
      <c r="L7" s="165"/>
      <c r="M7" s="166"/>
      <c r="N7" s="165"/>
      <c r="O7" s="166"/>
      <c r="P7" s="165"/>
      <c r="Q7" s="166"/>
      <c r="R7" s="132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619</v>
      </c>
      <c r="F8" s="17">
        <v>415</v>
      </c>
      <c r="G8" s="17">
        <v>430</v>
      </c>
      <c r="H8" s="18">
        <v>0.6</v>
      </c>
      <c r="I8" s="17">
        <v>35000</v>
      </c>
      <c r="J8" s="165"/>
      <c r="K8" s="166"/>
      <c r="L8" s="165"/>
      <c r="M8" s="166"/>
      <c r="N8" s="165"/>
      <c r="O8" s="166"/>
      <c r="P8" s="165">
        <v>444</v>
      </c>
      <c r="Q8" s="166"/>
      <c r="R8" s="132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 t="s">
        <v>102</v>
      </c>
      <c r="E9" s="12" t="s">
        <v>604</v>
      </c>
      <c r="F9" s="17">
        <v>180</v>
      </c>
      <c r="G9" s="17">
        <v>430</v>
      </c>
      <c r="H9" s="18">
        <v>0.6</v>
      </c>
      <c r="I9" s="17">
        <v>35000</v>
      </c>
      <c r="J9" s="165"/>
      <c r="K9" s="166"/>
      <c r="L9" s="165"/>
      <c r="M9" s="166"/>
      <c r="N9" s="165">
        <v>444</v>
      </c>
      <c r="O9" s="166"/>
      <c r="P9" s="165"/>
      <c r="Q9" s="166"/>
      <c r="R9" s="132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604</v>
      </c>
      <c r="F10" s="17">
        <v>147</v>
      </c>
      <c r="G10" s="17">
        <v>430</v>
      </c>
      <c r="H10" s="18">
        <v>0.6</v>
      </c>
      <c r="I10" s="17">
        <v>35000</v>
      </c>
      <c r="J10" s="165"/>
      <c r="K10" s="166"/>
      <c r="L10" s="165"/>
      <c r="M10" s="166"/>
      <c r="N10" s="165">
        <v>888</v>
      </c>
      <c r="O10" s="166"/>
      <c r="P10" s="165"/>
      <c r="Q10" s="166"/>
      <c r="R10" s="132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>
        <v>250082</v>
      </c>
      <c r="E11" s="12" t="s">
        <v>601</v>
      </c>
      <c r="F11" s="17">
        <v>466</v>
      </c>
      <c r="G11" s="17">
        <v>430</v>
      </c>
      <c r="H11" s="18">
        <v>0.6</v>
      </c>
      <c r="I11" s="17">
        <v>35000</v>
      </c>
      <c r="J11" s="165">
        <v>990</v>
      </c>
      <c r="K11" s="166"/>
      <c r="L11" s="165"/>
      <c r="M11" s="166"/>
      <c r="N11" s="165"/>
      <c r="O11" s="166"/>
      <c r="P11" s="165"/>
      <c r="Q11" s="166"/>
      <c r="R11" s="132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620</v>
      </c>
      <c r="F12" s="17" t="s">
        <v>277</v>
      </c>
      <c r="G12" s="17">
        <v>430</v>
      </c>
      <c r="H12" s="18">
        <v>0.6</v>
      </c>
      <c r="I12" s="17">
        <v>35000</v>
      </c>
      <c r="J12" s="165">
        <v>330</v>
      </c>
      <c r="K12" s="166"/>
      <c r="L12" s="165"/>
      <c r="M12" s="166"/>
      <c r="N12" s="165"/>
      <c r="O12" s="166"/>
      <c r="P12" s="165"/>
      <c r="Q12" s="166"/>
      <c r="R12" s="132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621</v>
      </c>
      <c r="F13" s="17">
        <v>140</v>
      </c>
      <c r="G13" s="17">
        <v>430</v>
      </c>
      <c r="H13" s="18">
        <v>0.6</v>
      </c>
      <c r="I13" s="17">
        <v>35000</v>
      </c>
      <c r="J13" s="165"/>
      <c r="K13" s="166"/>
      <c r="L13" s="165"/>
      <c r="M13" s="166"/>
      <c r="N13" s="165">
        <v>330</v>
      </c>
      <c r="O13" s="166"/>
      <c r="P13" s="165"/>
      <c r="Q13" s="166"/>
      <c r="R13" s="132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250082</v>
      </c>
      <c r="E14" s="12" t="s">
        <v>622</v>
      </c>
      <c r="F14" s="17">
        <v>426</v>
      </c>
      <c r="G14" s="17">
        <v>430</v>
      </c>
      <c r="H14" s="18">
        <v>0.6</v>
      </c>
      <c r="I14" s="17">
        <v>35000</v>
      </c>
      <c r="J14" s="165">
        <v>1056</v>
      </c>
      <c r="K14" s="166"/>
      <c r="L14" s="165"/>
      <c r="M14" s="166"/>
      <c r="N14" s="165"/>
      <c r="O14" s="166"/>
      <c r="P14" s="165"/>
      <c r="Q14" s="166"/>
      <c r="R14" s="132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>
        <v>250082</v>
      </c>
      <c r="E15" s="12" t="s">
        <v>623</v>
      </c>
      <c r="F15" s="17">
        <v>388</v>
      </c>
      <c r="G15" s="17">
        <v>430</v>
      </c>
      <c r="H15" s="18">
        <v>0.6</v>
      </c>
      <c r="I15" s="17">
        <v>35000</v>
      </c>
      <c r="J15" s="165">
        <v>352</v>
      </c>
      <c r="K15" s="166"/>
      <c r="L15" s="165"/>
      <c r="M15" s="166"/>
      <c r="N15" s="165"/>
      <c r="O15" s="166"/>
      <c r="P15" s="165"/>
      <c r="Q15" s="166"/>
      <c r="R15" s="132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>
        <v>250082</v>
      </c>
      <c r="E16" s="12" t="s">
        <v>623</v>
      </c>
      <c r="F16" s="17">
        <v>388</v>
      </c>
      <c r="G16" s="17">
        <v>430</v>
      </c>
      <c r="H16" s="18">
        <v>0.6</v>
      </c>
      <c r="I16" s="17">
        <v>35000</v>
      </c>
      <c r="J16" s="165">
        <v>704</v>
      </c>
      <c r="K16" s="166"/>
      <c r="L16" s="165"/>
      <c r="M16" s="166"/>
      <c r="N16" s="165"/>
      <c r="O16" s="166"/>
      <c r="P16" s="165"/>
      <c r="Q16" s="166"/>
      <c r="R16" s="132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>
        <v>0.70833333333333337</v>
      </c>
      <c r="D17" s="4" t="s">
        <v>102</v>
      </c>
      <c r="E17" s="12" t="s">
        <v>624</v>
      </c>
      <c r="F17" s="17">
        <v>160</v>
      </c>
      <c r="G17" s="17">
        <v>430</v>
      </c>
      <c r="H17" s="18">
        <v>0.6</v>
      </c>
      <c r="I17" s="17">
        <v>35000</v>
      </c>
      <c r="J17" s="165"/>
      <c r="K17" s="166"/>
      <c r="L17" s="165"/>
      <c r="M17" s="166"/>
      <c r="N17" s="165">
        <v>176</v>
      </c>
      <c r="O17" s="166"/>
      <c r="P17" s="165"/>
      <c r="Q17" s="166"/>
      <c r="R17" s="132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132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132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132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4320</v>
      </c>
      <c r="K21" s="22" t="s">
        <v>17</v>
      </c>
      <c r="L21" s="21">
        <f>SUM(L7:M20)</f>
        <v>0</v>
      </c>
      <c r="M21" s="22" t="s">
        <v>17</v>
      </c>
      <c r="N21" s="21">
        <f>SUM(N7:O20)</f>
        <v>1838</v>
      </c>
      <c r="O21" s="22" t="s">
        <v>17</v>
      </c>
      <c r="P21" s="21">
        <f>SUM(P7:Q20)</f>
        <v>444</v>
      </c>
      <c r="Q21" s="22" t="s">
        <v>17</v>
      </c>
      <c r="R21" s="23">
        <f>SUM(R7:R20)</f>
        <v>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4320</v>
      </c>
      <c r="K24" s="31" t="s">
        <v>17</v>
      </c>
      <c r="L24" s="32">
        <f>L21</f>
        <v>0</v>
      </c>
      <c r="M24" s="31" t="s">
        <v>17</v>
      </c>
      <c r="N24" s="32">
        <f>N21</f>
        <v>1838</v>
      </c>
      <c r="O24" s="31" t="s">
        <v>17</v>
      </c>
      <c r="P24" s="33">
        <f>P21</f>
        <v>444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6602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14.5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45954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/>
      <c r="C31" s="5"/>
      <c r="D31" s="4"/>
      <c r="E31" s="12"/>
      <c r="F31" s="40"/>
      <c r="G31" s="41"/>
      <c r="H31" s="40"/>
      <c r="I31" s="12"/>
      <c r="J31" s="165"/>
      <c r="K31" s="166"/>
      <c r="L31" s="165"/>
      <c r="M31" s="166"/>
      <c r="N31" s="165"/>
      <c r="O31" s="166"/>
      <c r="P31" s="165"/>
      <c r="Q31" s="166"/>
      <c r="R31" s="132"/>
      <c r="S31" s="14" t="s">
        <v>20</v>
      </c>
      <c r="T31" s="42"/>
      <c r="U31" s="202" t="s">
        <v>625</v>
      </c>
      <c r="V31" s="203"/>
      <c r="W31" s="204"/>
    </row>
    <row r="32" spans="1:23" ht="14.55" customHeight="1" x14ac:dyDescent="0.3">
      <c r="A32" s="181"/>
      <c r="B32" s="5"/>
      <c r="C32" s="5"/>
      <c r="D32" s="4"/>
      <c r="E32" s="13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132"/>
      <c r="S32" s="14" t="s">
        <v>20</v>
      </c>
      <c r="T32" s="42"/>
      <c r="U32" s="205"/>
      <c r="V32" s="206"/>
      <c r="W32" s="207"/>
    </row>
    <row r="33" spans="1:23" ht="14.55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132"/>
      <c r="S33" s="14" t="s">
        <v>20</v>
      </c>
      <c r="T33" s="42"/>
      <c r="U33" s="205"/>
      <c r="V33" s="206"/>
      <c r="W33" s="207"/>
    </row>
    <row r="34" spans="1:23" ht="14.55" customHeight="1" x14ac:dyDescent="0.3">
      <c r="A34" s="181"/>
      <c r="B34" s="5"/>
      <c r="C34" s="5"/>
      <c r="D34" s="4"/>
      <c r="E34" s="13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132"/>
      <c r="S34" s="14" t="s">
        <v>20</v>
      </c>
      <c r="T34" s="42"/>
      <c r="U34" s="205"/>
      <c r="V34" s="206"/>
      <c r="W34" s="207"/>
    </row>
    <row r="35" spans="1:23" ht="14.55" customHeight="1" x14ac:dyDescent="0.3">
      <c r="A35" s="181"/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132"/>
      <c r="S35" s="14" t="s">
        <v>20</v>
      </c>
      <c r="T35" s="42"/>
      <c r="U35" s="205"/>
      <c r="V35" s="206"/>
      <c r="W35" s="207"/>
    </row>
    <row r="36" spans="1:23" ht="14.55" customHeight="1" x14ac:dyDescent="0.3">
      <c r="A36" s="181"/>
      <c r="B36" s="5"/>
      <c r="C36" s="5"/>
      <c r="D36" s="4"/>
      <c r="E36" s="13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132"/>
      <c r="S36" s="14" t="s">
        <v>20</v>
      </c>
      <c r="T36" s="42"/>
      <c r="U36" s="205"/>
      <c r="V36" s="206"/>
      <c r="W36" s="207"/>
    </row>
    <row r="37" spans="1:23" ht="14.55" customHeight="1" x14ac:dyDescent="0.3">
      <c r="A37" s="181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132"/>
      <c r="S37" s="14" t="s">
        <v>20</v>
      </c>
      <c r="T37" s="42"/>
      <c r="U37" s="205"/>
      <c r="V37" s="206"/>
      <c r="W37" s="207"/>
    </row>
    <row r="38" spans="1:23" ht="14.55" customHeight="1" x14ac:dyDescent="0.3">
      <c r="A38" s="181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132"/>
      <c r="S38" s="14" t="s">
        <v>20</v>
      </c>
      <c r="T38" s="42"/>
      <c r="U38" s="205"/>
      <c r="V38" s="206"/>
      <c r="W38" s="207"/>
    </row>
    <row r="39" spans="1:23" ht="14.55" customHeight="1" x14ac:dyDescent="0.3">
      <c r="A39" s="181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132"/>
      <c r="S39" s="14" t="s">
        <v>20</v>
      </c>
      <c r="T39" s="42"/>
      <c r="U39" s="205"/>
      <c r="V39" s="206"/>
      <c r="W39" s="207"/>
    </row>
    <row r="40" spans="1:23" ht="14.55" customHeight="1" x14ac:dyDescent="0.3">
      <c r="A40" s="182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SUM(J31:K39)</f>
        <v>0</v>
      </c>
      <c r="K40" s="174"/>
      <c r="L40" s="173">
        <f>SUM(L31:M39)</f>
        <v>0</v>
      </c>
      <c r="M40" s="174"/>
      <c r="N40" s="173">
        <f>SUM(N31:O39)</f>
        <v>0</v>
      </c>
      <c r="O40" s="174"/>
      <c r="P40" s="173">
        <f>SUM(P31:Q39)</f>
        <v>0</v>
      </c>
      <c r="Q40" s="174"/>
      <c r="R40" s="23">
        <f>SUM(R31:R39)</f>
        <v>0</v>
      </c>
      <c r="S40" s="24" t="s">
        <v>20</v>
      </c>
      <c r="T40" s="19"/>
      <c r="U40" s="208"/>
      <c r="V40" s="209"/>
      <c r="W40" s="210"/>
    </row>
    <row r="41" spans="1:23" ht="14.55" customHeight="1" x14ac:dyDescent="0.3">
      <c r="A41" s="163" t="s">
        <v>34</v>
      </c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132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132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132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4"/>
      <c r="B44" s="19"/>
      <c r="C44" s="19"/>
      <c r="D44" s="20"/>
      <c r="E44" s="170" t="s">
        <v>0</v>
      </c>
      <c r="F44" s="171"/>
      <c r="G44" s="171"/>
      <c r="H44" s="171"/>
      <c r="I44" s="172"/>
      <c r="J44" s="173">
        <f>SUM(J41:K43)</f>
        <v>0</v>
      </c>
      <c r="K44" s="174"/>
      <c r="L44" s="173">
        <f>SUM(L41:M43)</f>
        <v>0</v>
      </c>
      <c r="M44" s="174"/>
      <c r="N44" s="173">
        <f>SUM(N41:O43)</f>
        <v>0</v>
      </c>
      <c r="O44" s="174"/>
      <c r="P44" s="173">
        <f>SUM(P41:Q43)</f>
        <v>0</v>
      </c>
      <c r="Q44" s="174"/>
      <c r="R44" s="23">
        <f>SUM(R41:R43)</f>
        <v>0</v>
      </c>
      <c r="S44" s="24" t="s">
        <v>20</v>
      </c>
      <c r="T44" s="19"/>
      <c r="U44" s="177"/>
      <c r="V44" s="178"/>
      <c r="W44" s="179"/>
    </row>
    <row r="45" spans="1:23" ht="14.55" customHeight="1" x14ac:dyDescent="0.3">
      <c r="A45" s="163" t="s">
        <v>583</v>
      </c>
      <c r="B45" s="5">
        <v>0.33333333333333331</v>
      </c>
      <c r="C45" s="5"/>
      <c r="D45" s="4">
        <v>230925</v>
      </c>
      <c r="E45" s="12" t="s">
        <v>615</v>
      </c>
      <c r="F45" s="40">
        <v>430</v>
      </c>
      <c r="G45" s="41">
        <v>0.8</v>
      </c>
      <c r="H45" s="40">
        <v>425</v>
      </c>
      <c r="I45" s="12"/>
      <c r="J45" s="165"/>
      <c r="K45" s="166"/>
      <c r="L45" s="165"/>
      <c r="M45" s="166"/>
      <c r="N45" s="165">
        <v>1700</v>
      </c>
      <c r="O45" s="166"/>
      <c r="P45" s="165"/>
      <c r="Q45" s="166"/>
      <c r="R45" s="132">
        <v>40</v>
      </c>
      <c r="S45" s="14" t="s">
        <v>20</v>
      </c>
      <c r="T45" s="42" t="s">
        <v>626</v>
      </c>
      <c r="U45" s="247" t="s">
        <v>627</v>
      </c>
      <c r="V45" s="248"/>
      <c r="W45" s="249"/>
    </row>
    <row r="46" spans="1:23" ht="14.55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132"/>
      <c r="S46" s="14" t="s">
        <v>20</v>
      </c>
      <c r="T46" s="42"/>
      <c r="U46" s="247"/>
      <c r="V46" s="248"/>
      <c r="W46" s="249"/>
    </row>
    <row r="47" spans="1:23" ht="14.55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132"/>
      <c r="S47" s="14" t="s">
        <v>20</v>
      </c>
      <c r="T47" s="42"/>
      <c r="U47" s="247"/>
      <c r="V47" s="248"/>
      <c r="W47" s="24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132"/>
      <c r="S48" s="14" t="s">
        <v>20</v>
      </c>
      <c r="T48" s="42"/>
      <c r="U48" s="247"/>
      <c r="V48" s="248"/>
      <c r="W48" s="249"/>
    </row>
    <row r="49" spans="1:23" ht="14.55" customHeight="1" x14ac:dyDescent="0.3">
      <c r="A49" s="163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132"/>
      <c r="S49" s="14" t="s">
        <v>20</v>
      </c>
      <c r="T49" s="42"/>
      <c r="U49" s="247"/>
      <c r="V49" s="248"/>
      <c r="W49" s="249"/>
    </row>
    <row r="50" spans="1:23" ht="14.55" customHeight="1" x14ac:dyDescent="0.3">
      <c r="A50" s="164"/>
      <c r="B50" s="19"/>
      <c r="C50" s="19"/>
      <c r="D50" s="20"/>
      <c r="E50" s="170" t="s">
        <v>0</v>
      </c>
      <c r="F50" s="171"/>
      <c r="G50" s="171"/>
      <c r="H50" s="171"/>
      <c r="I50" s="172"/>
      <c r="J50" s="173">
        <f>SUM(J45:K49)</f>
        <v>0</v>
      </c>
      <c r="K50" s="174"/>
      <c r="L50" s="173">
        <f>SUM(L45:M49)</f>
        <v>0</v>
      </c>
      <c r="M50" s="174"/>
      <c r="N50" s="173">
        <f>SUM(N45:O49)</f>
        <v>1700</v>
      </c>
      <c r="O50" s="174"/>
      <c r="P50" s="173">
        <f>SUM(P45:Q49)</f>
        <v>0</v>
      </c>
      <c r="Q50" s="174"/>
      <c r="R50" s="23">
        <f>SUM(R45:R49)</f>
        <v>40</v>
      </c>
      <c r="S50" s="24" t="s">
        <v>20</v>
      </c>
      <c r="T50" s="19"/>
      <c r="U50" s="247"/>
      <c r="V50" s="248"/>
      <c r="W50" s="249"/>
    </row>
    <row r="51" spans="1:23" ht="14.55" customHeight="1" x14ac:dyDescent="0.3">
      <c r="A51" s="163" t="s">
        <v>35</v>
      </c>
      <c r="B51" s="5"/>
      <c r="C51" s="5"/>
      <c r="D51" s="4"/>
      <c r="E51" s="12"/>
      <c r="F51" s="40"/>
      <c r="G51" s="41"/>
      <c r="H51" s="40"/>
      <c r="I51" s="12"/>
      <c r="J51" s="165"/>
      <c r="K51" s="166"/>
      <c r="L51" s="165"/>
      <c r="M51" s="166"/>
      <c r="N51" s="165"/>
      <c r="O51" s="166"/>
      <c r="P51" s="165"/>
      <c r="Q51" s="166"/>
      <c r="R51" s="132"/>
      <c r="S51" s="14" t="s">
        <v>20</v>
      </c>
      <c r="T51" s="42"/>
      <c r="U51" s="177"/>
      <c r="V51" s="178"/>
      <c r="W51" s="179"/>
    </row>
    <row r="52" spans="1:23" ht="14.55" customHeight="1" x14ac:dyDescent="0.3">
      <c r="A52" s="163"/>
      <c r="B52" s="5"/>
      <c r="C52" s="5"/>
      <c r="D52" s="4"/>
      <c r="E52" s="12"/>
      <c r="F52" s="40"/>
      <c r="G52" s="41"/>
      <c r="H52" s="40"/>
      <c r="I52" s="12"/>
      <c r="J52" s="165"/>
      <c r="K52" s="166"/>
      <c r="L52" s="165"/>
      <c r="M52" s="166"/>
      <c r="N52" s="165"/>
      <c r="O52" s="166"/>
      <c r="P52" s="165"/>
      <c r="Q52" s="166"/>
      <c r="R52" s="132"/>
      <c r="S52" s="14" t="s">
        <v>20</v>
      </c>
      <c r="T52" s="42"/>
      <c r="U52" s="177"/>
      <c r="V52" s="178"/>
      <c r="W52" s="179"/>
    </row>
    <row r="53" spans="1:23" ht="14.55" customHeight="1" x14ac:dyDescent="0.3">
      <c r="A53" s="164"/>
      <c r="B53" s="19"/>
      <c r="C53" s="19"/>
      <c r="D53" s="20"/>
      <c r="E53" s="170" t="s">
        <v>0</v>
      </c>
      <c r="F53" s="171"/>
      <c r="G53" s="171"/>
      <c r="H53" s="171"/>
      <c r="I53" s="172"/>
      <c r="J53" s="173">
        <f>SUM(J51:K52)</f>
        <v>0</v>
      </c>
      <c r="K53" s="174"/>
      <c r="L53" s="173">
        <f>SUM(L51:M52)</f>
        <v>0</v>
      </c>
      <c r="M53" s="174"/>
      <c r="N53" s="173">
        <f>SUM(N51:O52)</f>
        <v>0</v>
      </c>
      <c r="O53" s="174"/>
      <c r="P53" s="173">
        <f>SUM(P51:Q52)</f>
        <v>0</v>
      </c>
      <c r="Q53" s="174"/>
      <c r="R53" s="23">
        <f>SUM(R51:R52)</f>
        <v>0</v>
      </c>
      <c r="S53" s="24" t="s">
        <v>20</v>
      </c>
      <c r="T53" s="19"/>
      <c r="U53" s="177"/>
      <c r="V53" s="178"/>
      <c r="W53" s="179"/>
    </row>
    <row r="54" spans="1:23" ht="14.55" customHeight="1" x14ac:dyDescent="0.3">
      <c r="A54" s="27"/>
      <c r="B54" s="27"/>
      <c r="C54" s="27"/>
      <c r="D54" s="27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27"/>
      <c r="S54" s="27"/>
      <c r="T54" s="39"/>
      <c r="U54" s="39"/>
      <c r="V54" s="39"/>
      <c r="W54" s="39"/>
    </row>
    <row r="55" spans="1:23" x14ac:dyDescent="0.3">
      <c r="E55" s="170" t="s">
        <v>31</v>
      </c>
      <c r="F55" s="171"/>
      <c r="G55" s="171"/>
      <c r="H55" s="171"/>
      <c r="I55" s="172"/>
      <c r="J55" s="175" t="s">
        <v>7</v>
      </c>
      <c r="K55" s="176"/>
      <c r="L55" s="175" t="s">
        <v>8</v>
      </c>
      <c r="M55" s="176"/>
      <c r="N55" s="175" t="s">
        <v>9</v>
      </c>
      <c r="O55" s="176"/>
      <c r="P55" s="175" t="s">
        <v>117</v>
      </c>
      <c r="Q55" s="176"/>
    </row>
    <row r="56" spans="1:23" s="2" customFormat="1" x14ac:dyDescent="0.3">
      <c r="E56" s="15"/>
      <c r="F56" s="15"/>
      <c r="G56" s="15"/>
      <c r="H56" s="15"/>
      <c r="I56" s="15"/>
      <c r="J56" s="30">
        <f>J40+J44+J50+J53</f>
        <v>0</v>
      </c>
      <c r="K56" s="31" t="s">
        <v>17</v>
      </c>
      <c r="L56" s="30">
        <f>L40+L44+L50+L53</f>
        <v>0</v>
      </c>
      <c r="M56" s="31" t="s">
        <v>17</v>
      </c>
      <c r="N56" s="30">
        <f>N40+N44+N50+N53</f>
        <v>1700</v>
      </c>
      <c r="O56" s="31" t="s">
        <v>17</v>
      </c>
      <c r="P56" s="30">
        <f>P40+P44+P50+P53</f>
        <v>0</v>
      </c>
      <c r="Q56" s="34" t="s">
        <v>17</v>
      </c>
    </row>
    <row r="57" spans="1:23" ht="24.45" customHeight="1" x14ac:dyDescent="0.3">
      <c r="E57" s="28"/>
      <c r="F57" s="28"/>
      <c r="G57" s="28"/>
      <c r="H57" s="28"/>
      <c r="I57" s="28"/>
      <c r="J57" s="167">
        <f>J56+L56+N56+P56</f>
        <v>1700</v>
      </c>
      <c r="K57" s="168"/>
      <c r="L57" s="168"/>
      <c r="M57" s="168"/>
      <c r="N57" s="168"/>
      <c r="O57" s="168"/>
      <c r="P57" s="168"/>
      <c r="Q57" s="169"/>
    </row>
    <row r="58" spans="1:23" ht="14.55" customHeight="1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 spans="1:23" s="37" customFormat="1" ht="19.95" customHeight="1" x14ac:dyDescent="0.4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183" t="s">
        <v>14</v>
      </c>
      <c r="R59" s="183"/>
      <c r="S59" s="183"/>
      <c r="T59" s="184">
        <f>T3</f>
        <v>45954</v>
      </c>
      <c r="U59" s="185"/>
      <c r="V59" s="185"/>
      <c r="W59" s="186"/>
    </row>
    <row r="60" spans="1:23" s="16" customFormat="1" ht="30" customHeight="1" x14ac:dyDescent="0.3">
      <c r="A60" s="187" t="s">
        <v>586</v>
      </c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9"/>
      <c r="Q60" s="189"/>
      <c r="R60" s="189"/>
      <c r="S60" s="189"/>
      <c r="T60" s="188"/>
      <c r="U60" s="188"/>
      <c r="V60" s="188"/>
      <c r="W60" s="190"/>
    </row>
    <row r="61" spans="1:23" s="26" customFormat="1" ht="13.8" x14ac:dyDescent="0.3">
      <c r="A61" s="191" t="s">
        <v>1</v>
      </c>
      <c r="B61" s="192" t="s">
        <v>2</v>
      </c>
      <c r="C61" s="192" t="s">
        <v>3</v>
      </c>
      <c r="D61" s="192" t="s">
        <v>4</v>
      </c>
      <c r="E61" s="193" t="s">
        <v>5</v>
      </c>
      <c r="F61" s="195" t="s">
        <v>21</v>
      </c>
      <c r="G61" s="195" t="s">
        <v>22</v>
      </c>
      <c r="H61" s="195" t="s">
        <v>33</v>
      </c>
      <c r="I61" s="195" t="s">
        <v>30</v>
      </c>
      <c r="J61" s="193" t="s">
        <v>6</v>
      </c>
      <c r="K61" s="197"/>
      <c r="L61" s="197"/>
      <c r="M61" s="197"/>
      <c r="N61" s="197"/>
      <c r="O61" s="197"/>
      <c r="P61" s="197"/>
      <c r="Q61" s="198"/>
      <c r="R61" s="193" t="s">
        <v>10</v>
      </c>
      <c r="S61" s="198"/>
      <c r="T61" s="191" t="s">
        <v>11</v>
      </c>
      <c r="U61" s="191" t="s">
        <v>12</v>
      </c>
      <c r="V61" s="191"/>
      <c r="W61" s="191"/>
    </row>
    <row r="62" spans="1:23" s="26" customFormat="1" ht="13.8" x14ac:dyDescent="0.3">
      <c r="A62" s="191"/>
      <c r="B62" s="192"/>
      <c r="C62" s="192"/>
      <c r="D62" s="192"/>
      <c r="E62" s="194"/>
      <c r="F62" s="196"/>
      <c r="G62" s="196"/>
      <c r="H62" s="196"/>
      <c r="I62" s="196"/>
      <c r="J62" s="200" t="s">
        <v>7</v>
      </c>
      <c r="K62" s="201"/>
      <c r="L62" s="200" t="s">
        <v>8</v>
      </c>
      <c r="M62" s="201"/>
      <c r="N62" s="200" t="s">
        <v>9</v>
      </c>
      <c r="O62" s="201"/>
      <c r="P62" s="200" t="s">
        <v>117</v>
      </c>
      <c r="Q62" s="201"/>
      <c r="R62" s="194"/>
      <c r="S62" s="199"/>
      <c r="T62" s="191"/>
      <c r="U62" s="191"/>
      <c r="V62" s="191"/>
      <c r="W62" s="191"/>
    </row>
    <row r="63" spans="1:23" ht="14.55" customHeight="1" x14ac:dyDescent="0.3">
      <c r="A63" s="180" t="s">
        <v>584</v>
      </c>
      <c r="B63" s="5"/>
      <c r="C63" s="5"/>
      <c r="D63" s="4"/>
      <c r="E63" s="12"/>
      <c r="F63" s="40"/>
      <c r="G63" s="41"/>
      <c r="H63" s="40"/>
      <c r="I63" s="12"/>
      <c r="J63" s="165"/>
      <c r="K63" s="166"/>
      <c r="L63" s="165"/>
      <c r="M63" s="166"/>
      <c r="N63" s="165"/>
      <c r="O63" s="166"/>
      <c r="P63" s="165"/>
      <c r="Q63" s="166"/>
      <c r="R63" s="132">
        <v>45</v>
      </c>
      <c r="S63" s="14" t="s">
        <v>20</v>
      </c>
      <c r="T63" s="42" t="s">
        <v>93</v>
      </c>
      <c r="U63" s="177" t="s">
        <v>630</v>
      </c>
      <c r="V63" s="178"/>
      <c r="W63" s="179"/>
    </row>
    <row r="64" spans="1:23" ht="14.55" customHeight="1" x14ac:dyDescent="0.3">
      <c r="A64" s="181"/>
      <c r="B64" s="5"/>
      <c r="C64" s="5"/>
      <c r="D64" s="4">
        <v>250079</v>
      </c>
      <c r="E64" s="13" t="s">
        <v>628</v>
      </c>
      <c r="F64" s="40">
        <v>304</v>
      </c>
      <c r="G64" s="41">
        <v>0.6</v>
      </c>
      <c r="H64" s="40"/>
      <c r="I64" s="12"/>
      <c r="J64" s="165"/>
      <c r="K64" s="166"/>
      <c r="L64" s="165"/>
      <c r="M64" s="166"/>
      <c r="N64" s="165">
        <v>1250</v>
      </c>
      <c r="O64" s="166"/>
      <c r="P64" s="165"/>
      <c r="Q64" s="166"/>
      <c r="R64" s="132"/>
      <c r="S64" s="14" t="s">
        <v>20</v>
      </c>
      <c r="T64" s="42"/>
      <c r="U64" s="177"/>
      <c r="V64" s="178"/>
      <c r="W64" s="179"/>
    </row>
    <row r="65" spans="1:23" ht="14.55" customHeight="1" x14ac:dyDescent="0.3">
      <c r="A65" s="181"/>
      <c r="B65" s="5"/>
      <c r="C65" s="5"/>
      <c r="D65" s="4">
        <v>250080</v>
      </c>
      <c r="E65" s="12" t="s">
        <v>629</v>
      </c>
      <c r="F65" s="40">
        <v>304</v>
      </c>
      <c r="G65" s="41">
        <v>0.6</v>
      </c>
      <c r="H65" s="40"/>
      <c r="I65" s="12"/>
      <c r="J65" s="165"/>
      <c r="K65" s="166"/>
      <c r="L65" s="165"/>
      <c r="M65" s="166"/>
      <c r="N65" s="165">
        <v>50</v>
      </c>
      <c r="O65" s="166"/>
      <c r="P65" s="165"/>
      <c r="Q65" s="166"/>
      <c r="R65" s="132"/>
      <c r="S65" s="14" t="s">
        <v>20</v>
      </c>
      <c r="T65" s="42"/>
      <c r="U65" s="177"/>
      <c r="V65" s="178"/>
      <c r="W65" s="179"/>
    </row>
    <row r="66" spans="1:23" ht="14.55" customHeight="1" x14ac:dyDescent="0.3">
      <c r="A66" s="181"/>
      <c r="B66" s="5"/>
      <c r="C66" s="5"/>
      <c r="D66" s="4"/>
      <c r="E66" s="13"/>
      <c r="F66" s="40"/>
      <c r="G66" s="41"/>
      <c r="H66" s="40"/>
      <c r="I66" s="12"/>
      <c r="J66" s="165"/>
      <c r="K66" s="166"/>
      <c r="L66" s="165"/>
      <c r="M66" s="166"/>
      <c r="N66" s="165"/>
      <c r="O66" s="166"/>
      <c r="P66" s="165"/>
      <c r="Q66" s="166"/>
      <c r="R66" s="132"/>
      <c r="S66" s="14" t="s">
        <v>20</v>
      </c>
      <c r="T66" s="42"/>
      <c r="U66" s="177"/>
      <c r="V66" s="178"/>
      <c r="W66" s="179"/>
    </row>
    <row r="67" spans="1:23" ht="14.55" customHeight="1" x14ac:dyDescent="0.3">
      <c r="A67" s="181"/>
      <c r="B67" s="5"/>
      <c r="C67" s="5"/>
      <c r="D67" s="4"/>
      <c r="E67" s="12"/>
      <c r="F67" s="40"/>
      <c r="G67" s="41"/>
      <c r="H67" s="40"/>
      <c r="I67" s="12"/>
      <c r="J67" s="165"/>
      <c r="K67" s="166"/>
      <c r="L67" s="165"/>
      <c r="M67" s="166"/>
      <c r="N67" s="165"/>
      <c r="O67" s="166"/>
      <c r="P67" s="165"/>
      <c r="Q67" s="166"/>
      <c r="R67" s="132"/>
      <c r="S67" s="14" t="s">
        <v>20</v>
      </c>
      <c r="T67" s="42"/>
      <c r="U67" s="177"/>
      <c r="V67" s="178"/>
      <c r="W67" s="179"/>
    </row>
    <row r="68" spans="1:23" ht="14.55" customHeight="1" x14ac:dyDescent="0.3">
      <c r="A68" s="182"/>
      <c r="B68" s="19"/>
      <c r="C68" s="19"/>
      <c r="D68" s="20"/>
      <c r="E68" s="170" t="s">
        <v>0</v>
      </c>
      <c r="F68" s="171"/>
      <c r="G68" s="171"/>
      <c r="H68" s="171"/>
      <c r="I68" s="172"/>
      <c r="J68" s="173">
        <f>SUM(J63:K67)</f>
        <v>0</v>
      </c>
      <c r="K68" s="174"/>
      <c r="L68" s="173">
        <f>SUM(L63:M67)</f>
        <v>0</v>
      </c>
      <c r="M68" s="174"/>
      <c r="N68" s="173">
        <f>SUM(N63:O67)</f>
        <v>1300</v>
      </c>
      <c r="O68" s="174"/>
      <c r="P68" s="173">
        <f>SUM(P63:Q67)</f>
        <v>0</v>
      </c>
      <c r="Q68" s="174"/>
      <c r="R68" s="23">
        <f>SUM(R63:R67)</f>
        <v>45</v>
      </c>
      <c r="S68" s="24" t="s">
        <v>20</v>
      </c>
      <c r="T68" s="19"/>
      <c r="U68" s="177"/>
      <c r="V68" s="178"/>
      <c r="W68" s="179"/>
    </row>
    <row r="69" spans="1:23" x14ac:dyDescent="0.3">
      <c r="E69" s="28"/>
      <c r="F69" s="28"/>
      <c r="G69" s="28"/>
      <c r="H69" s="28"/>
      <c r="I69" s="28"/>
      <c r="J69" s="29"/>
      <c r="K69" s="29"/>
      <c r="L69" s="29"/>
      <c r="M69" s="29"/>
      <c r="N69" s="29"/>
      <c r="O69" s="29"/>
      <c r="P69" s="29"/>
      <c r="Q69" s="29"/>
    </row>
    <row r="70" spans="1:23" x14ac:dyDescent="0.3">
      <c r="E70" s="170" t="s">
        <v>587</v>
      </c>
      <c r="F70" s="171"/>
      <c r="G70" s="171"/>
      <c r="H70" s="171"/>
      <c r="I70" s="172"/>
      <c r="J70" s="175" t="s">
        <v>7</v>
      </c>
      <c r="K70" s="176"/>
      <c r="L70" s="175" t="s">
        <v>8</v>
      </c>
      <c r="M70" s="176"/>
      <c r="N70" s="175" t="s">
        <v>9</v>
      </c>
      <c r="O70" s="176"/>
      <c r="P70" s="175" t="s">
        <v>117</v>
      </c>
      <c r="Q70" s="176"/>
    </row>
    <row r="71" spans="1:23" s="2" customFormat="1" x14ac:dyDescent="0.3">
      <c r="E71" s="15"/>
      <c r="F71" s="15"/>
      <c r="G71" s="15"/>
      <c r="H71" s="15"/>
      <c r="I71" s="15"/>
      <c r="J71" s="30">
        <f>J68</f>
        <v>0</v>
      </c>
      <c r="K71" s="31" t="s">
        <v>17</v>
      </c>
      <c r="L71" s="32">
        <f>L68</f>
        <v>0</v>
      </c>
      <c r="M71" s="31" t="s">
        <v>17</v>
      </c>
      <c r="N71" s="32">
        <f>N68</f>
        <v>1300</v>
      </c>
      <c r="O71" s="31" t="s">
        <v>17</v>
      </c>
      <c r="P71" s="32">
        <f>P68</f>
        <v>0</v>
      </c>
      <c r="Q71" s="34" t="s">
        <v>17</v>
      </c>
    </row>
    <row r="72" spans="1:23" ht="24.45" customHeight="1" x14ac:dyDescent="0.3">
      <c r="E72" s="28"/>
      <c r="F72" s="28"/>
      <c r="G72" s="28"/>
      <c r="H72" s="28"/>
      <c r="I72" s="28"/>
      <c r="J72" s="167">
        <f>J71+L71+N71+P71</f>
        <v>1300</v>
      </c>
      <c r="K72" s="168"/>
      <c r="L72" s="168"/>
      <c r="M72" s="168"/>
      <c r="N72" s="168"/>
      <c r="O72" s="168"/>
      <c r="P72" s="168"/>
      <c r="Q72" s="169"/>
    </row>
    <row r="73" spans="1:23" ht="14.55" customHeight="1" x14ac:dyDescent="0.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</row>
    <row r="74" spans="1:23" s="37" customFormat="1" ht="19.95" customHeight="1" x14ac:dyDescent="0.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214" t="s">
        <v>14</v>
      </c>
      <c r="R74" s="215"/>
      <c r="S74" s="216"/>
      <c r="T74" s="184">
        <f>T3</f>
        <v>45954</v>
      </c>
      <c r="U74" s="185"/>
      <c r="V74" s="185"/>
      <c r="W74" s="186"/>
    </row>
    <row r="75" spans="1:23" s="16" customFormat="1" ht="30" customHeight="1" x14ac:dyDescent="0.3">
      <c r="A75" s="187" t="s">
        <v>26</v>
      </c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9"/>
      <c r="Q75" s="189"/>
      <c r="R75" s="189"/>
      <c r="S75" s="189"/>
      <c r="T75" s="188"/>
      <c r="U75" s="188"/>
      <c r="V75" s="188"/>
      <c r="W75" s="190"/>
    </row>
    <row r="76" spans="1:23" s="26" customFormat="1" ht="13.8" x14ac:dyDescent="0.3">
      <c r="A76" s="191" t="s">
        <v>1</v>
      </c>
      <c r="B76" s="192" t="s">
        <v>2</v>
      </c>
      <c r="C76" s="192" t="s">
        <v>3</v>
      </c>
      <c r="D76" s="192" t="s">
        <v>4</v>
      </c>
      <c r="E76" s="193" t="s">
        <v>5</v>
      </c>
      <c r="F76" s="197"/>
      <c r="G76" s="197"/>
      <c r="H76" s="197"/>
      <c r="I76" s="198"/>
      <c r="J76" s="193" t="s">
        <v>6</v>
      </c>
      <c r="K76" s="197"/>
      <c r="L76" s="197"/>
      <c r="M76" s="197"/>
      <c r="N76" s="197"/>
      <c r="O76" s="197"/>
      <c r="P76" s="197"/>
      <c r="Q76" s="198"/>
      <c r="R76" s="193" t="s">
        <v>10</v>
      </c>
      <c r="S76" s="198"/>
      <c r="T76" s="191" t="s">
        <v>11</v>
      </c>
      <c r="U76" s="191" t="s">
        <v>12</v>
      </c>
      <c r="V76" s="191"/>
      <c r="W76" s="191"/>
    </row>
    <row r="77" spans="1:23" s="26" customFormat="1" ht="13.8" x14ac:dyDescent="0.3">
      <c r="A77" s="191"/>
      <c r="B77" s="192"/>
      <c r="C77" s="192"/>
      <c r="D77" s="192"/>
      <c r="E77" s="194"/>
      <c r="F77" s="217"/>
      <c r="G77" s="217"/>
      <c r="H77" s="217"/>
      <c r="I77" s="199"/>
      <c r="J77" s="200" t="s">
        <v>7</v>
      </c>
      <c r="K77" s="201"/>
      <c r="L77" s="200" t="s">
        <v>8</v>
      </c>
      <c r="M77" s="201"/>
      <c r="N77" s="200" t="s">
        <v>9</v>
      </c>
      <c r="O77" s="201"/>
      <c r="P77" s="200" t="s">
        <v>117</v>
      </c>
      <c r="Q77" s="201"/>
      <c r="R77" s="194"/>
      <c r="S77" s="199"/>
      <c r="T77" s="191"/>
      <c r="U77" s="191"/>
      <c r="V77" s="191"/>
      <c r="W77" s="191"/>
    </row>
    <row r="78" spans="1:23" ht="15.6" x14ac:dyDescent="0.3">
      <c r="A78" s="180" t="s">
        <v>13</v>
      </c>
      <c r="B78" s="5">
        <v>0.33333333333333331</v>
      </c>
      <c r="C78" s="5"/>
      <c r="D78" s="123">
        <v>250042</v>
      </c>
      <c r="E78" s="211" t="s">
        <v>610</v>
      </c>
      <c r="F78" s="212"/>
      <c r="G78" s="212"/>
      <c r="H78" s="212"/>
      <c r="I78" s="213"/>
      <c r="J78" s="165"/>
      <c r="K78" s="166"/>
      <c r="L78" s="165">
        <v>509</v>
      </c>
      <c r="M78" s="166"/>
      <c r="N78" s="165"/>
      <c r="O78" s="166"/>
      <c r="P78" s="165"/>
      <c r="Q78" s="166"/>
      <c r="R78" s="132">
        <v>40</v>
      </c>
      <c r="S78" s="6" t="s">
        <v>20</v>
      </c>
      <c r="T78" s="3" t="s">
        <v>93</v>
      </c>
      <c r="U78" s="202" t="s">
        <v>631</v>
      </c>
      <c r="V78" s="203"/>
      <c r="W78" s="204"/>
    </row>
    <row r="79" spans="1:23" ht="15.6" x14ac:dyDescent="0.3">
      <c r="A79" s="163"/>
      <c r="B79" s="5"/>
      <c r="C79" s="5"/>
      <c r="D79" s="123">
        <v>250080</v>
      </c>
      <c r="E79" s="211" t="s">
        <v>590</v>
      </c>
      <c r="F79" s="212"/>
      <c r="G79" s="212"/>
      <c r="H79" s="212"/>
      <c r="I79" s="213"/>
      <c r="J79" s="165">
        <v>513</v>
      </c>
      <c r="K79" s="166"/>
      <c r="L79" s="165"/>
      <c r="M79" s="166"/>
      <c r="N79" s="165"/>
      <c r="O79" s="166"/>
      <c r="P79" s="165"/>
      <c r="Q79" s="166"/>
      <c r="R79" s="132">
        <v>40</v>
      </c>
      <c r="S79" s="6" t="s">
        <v>20</v>
      </c>
      <c r="T79" s="3" t="s">
        <v>93</v>
      </c>
      <c r="U79" s="205"/>
      <c r="V79" s="206"/>
      <c r="W79" s="207"/>
    </row>
    <row r="80" spans="1:23" ht="15.6" x14ac:dyDescent="0.3">
      <c r="A80" s="163"/>
      <c r="B80" s="5"/>
      <c r="C80" s="5"/>
      <c r="D80" s="123">
        <v>250080</v>
      </c>
      <c r="E80" s="211" t="s">
        <v>497</v>
      </c>
      <c r="F80" s="212"/>
      <c r="G80" s="212"/>
      <c r="H80" s="212"/>
      <c r="I80" s="213"/>
      <c r="J80" s="165">
        <v>303</v>
      </c>
      <c r="K80" s="166"/>
      <c r="L80" s="165"/>
      <c r="M80" s="166"/>
      <c r="N80" s="165"/>
      <c r="O80" s="166"/>
      <c r="P80" s="165"/>
      <c r="Q80" s="166"/>
      <c r="R80" s="132">
        <v>40</v>
      </c>
      <c r="S80" s="6" t="s">
        <v>20</v>
      </c>
      <c r="T80" s="3" t="s">
        <v>93</v>
      </c>
      <c r="U80" s="205"/>
      <c r="V80" s="206"/>
      <c r="W80" s="207"/>
    </row>
    <row r="81" spans="1:23" ht="15.6" x14ac:dyDescent="0.3">
      <c r="A81" s="163"/>
      <c r="B81" s="5"/>
      <c r="C81" s="5"/>
      <c r="D81" s="123">
        <v>250080</v>
      </c>
      <c r="E81" s="211" t="s">
        <v>612</v>
      </c>
      <c r="F81" s="212"/>
      <c r="G81" s="212"/>
      <c r="H81" s="212"/>
      <c r="I81" s="213"/>
      <c r="J81" s="165">
        <v>504</v>
      </c>
      <c r="K81" s="166"/>
      <c r="L81" s="165"/>
      <c r="M81" s="166"/>
      <c r="N81" s="165"/>
      <c r="O81" s="166"/>
      <c r="P81" s="165"/>
      <c r="Q81" s="166"/>
      <c r="R81" s="132">
        <v>40</v>
      </c>
      <c r="S81" s="6" t="s">
        <v>20</v>
      </c>
      <c r="T81" s="3" t="s">
        <v>93</v>
      </c>
      <c r="U81" s="205"/>
      <c r="V81" s="206"/>
      <c r="W81" s="207"/>
    </row>
    <row r="82" spans="1:23" ht="15.6" x14ac:dyDescent="0.3">
      <c r="A82" s="163"/>
      <c r="B82" s="5"/>
      <c r="C82" s="5"/>
      <c r="D82" s="123">
        <v>250080</v>
      </c>
      <c r="E82" s="211" t="s">
        <v>413</v>
      </c>
      <c r="F82" s="212"/>
      <c r="G82" s="212"/>
      <c r="H82" s="212"/>
      <c r="I82" s="213"/>
      <c r="J82" s="165">
        <v>300</v>
      </c>
      <c r="K82" s="166"/>
      <c r="L82" s="165"/>
      <c r="M82" s="166"/>
      <c r="N82" s="165"/>
      <c r="O82" s="166"/>
      <c r="P82" s="165"/>
      <c r="Q82" s="166"/>
      <c r="R82" s="132">
        <v>40</v>
      </c>
      <c r="S82" s="6" t="s">
        <v>20</v>
      </c>
      <c r="T82" s="3" t="s">
        <v>93</v>
      </c>
      <c r="U82" s="205"/>
      <c r="V82" s="206"/>
      <c r="W82" s="207"/>
    </row>
    <row r="83" spans="1:23" s="135" customFormat="1" ht="15.6" x14ac:dyDescent="0.3">
      <c r="A83" s="163"/>
      <c r="B83" s="5"/>
      <c r="C83" s="5"/>
      <c r="D83" s="123">
        <v>250078</v>
      </c>
      <c r="E83" s="211" t="s">
        <v>611</v>
      </c>
      <c r="F83" s="212"/>
      <c r="G83" s="212"/>
      <c r="H83" s="212"/>
      <c r="I83" s="213"/>
      <c r="J83" s="165">
        <v>644</v>
      </c>
      <c r="K83" s="166"/>
      <c r="L83" s="165"/>
      <c r="M83" s="166"/>
      <c r="N83" s="165"/>
      <c r="O83" s="166"/>
      <c r="P83" s="165"/>
      <c r="Q83" s="166"/>
      <c r="R83" s="132">
        <v>40</v>
      </c>
      <c r="S83" s="6" t="s">
        <v>20</v>
      </c>
      <c r="T83" s="3" t="s">
        <v>93</v>
      </c>
      <c r="U83" s="205"/>
      <c r="V83" s="206"/>
      <c r="W83" s="207"/>
    </row>
    <row r="84" spans="1:23" s="135" customFormat="1" ht="15.6" x14ac:dyDescent="0.3">
      <c r="A84" s="163"/>
      <c r="B84" s="5"/>
      <c r="C84" s="5">
        <v>0.70833333333333337</v>
      </c>
      <c r="D84" s="123">
        <v>250057</v>
      </c>
      <c r="E84" s="211" t="s">
        <v>574</v>
      </c>
      <c r="F84" s="212"/>
      <c r="G84" s="212"/>
      <c r="H84" s="212"/>
      <c r="I84" s="213"/>
      <c r="J84" s="165">
        <v>53</v>
      </c>
      <c r="K84" s="166"/>
      <c r="L84" s="165"/>
      <c r="M84" s="166"/>
      <c r="N84" s="165"/>
      <c r="O84" s="166"/>
      <c r="P84" s="165"/>
      <c r="Q84" s="166"/>
      <c r="R84" s="132"/>
      <c r="S84" s="6" t="s">
        <v>20</v>
      </c>
      <c r="T84" s="3"/>
      <c r="U84" s="205"/>
      <c r="V84" s="206"/>
      <c r="W84" s="207"/>
    </row>
    <row r="85" spans="1:23" x14ac:dyDescent="0.3">
      <c r="A85" s="163"/>
      <c r="B85" s="5"/>
      <c r="C85" s="5"/>
      <c r="D85" s="4"/>
      <c r="E85" s="211"/>
      <c r="F85" s="212"/>
      <c r="G85" s="212"/>
      <c r="H85" s="212"/>
      <c r="I85" s="213"/>
      <c r="J85" s="165"/>
      <c r="K85" s="166"/>
      <c r="L85" s="165"/>
      <c r="M85" s="166"/>
      <c r="N85" s="165"/>
      <c r="O85" s="166"/>
      <c r="P85" s="165"/>
      <c r="Q85" s="166"/>
      <c r="R85" s="132"/>
      <c r="S85" s="6" t="s">
        <v>20</v>
      </c>
      <c r="T85" s="3"/>
      <c r="U85" s="205"/>
      <c r="V85" s="206"/>
      <c r="W85" s="207"/>
    </row>
    <row r="86" spans="1:23" x14ac:dyDescent="0.3">
      <c r="A86" s="163"/>
      <c r="B86" s="5"/>
      <c r="C86" s="5"/>
      <c r="D86" s="4"/>
      <c r="E86" s="211"/>
      <c r="F86" s="212"/>
      <c r="G86" s="212"/>
      <c r="H86" s="212"/>
      <c r="I86" s="213"/>
      <c r="J86" s="165"/>
      <c r="K86" s="166"/>
      <c r="L86" s="165"/>
      <c r="M86" s="166"/>
      <c r="N86" s="165"/>
      <c r="O86" s="166"/>
      <c r="P86" s="165"/>
      <c r="Q86" s="166"/>
      <c r="R86" s="132"/>
      <c r="S86" s="6" t="s">
        <v>20</v>
      </c>
      <c r="T86" s="3"/>
      <c r="U86" s="205"/>
      <c r="V86" s="206"/>
      <c r="W86" s="207"/>
    </row>
    <row r="87" spans="1:23" x14ac:dyDescent="0.3">
      <c r="A87" s="164"/>
      <c r="B87" s="19"/>
      <c r="C87" s="19"/>
      <c r="D87" s="20"/>
      <c r="E87" s="170" t="s">
        <v>0</v>
      </c>
      <c r="F87" s="171"/>
      <c r="G87" s="171"/>
      <c r="H87" s="171"/>
      <c r="I87" s="172"/>
      <c r="J87" s="173">
        <f>SUM(J78:J86)</f>
        <v>2317</v>
      </c>
      <c r="K87" s="174"/>
      <c r="L87" s="173">
        <f>SUM(L78:L86)</f>
        <v>509</v>
      </c>
      <c r="M87" s="174"/>
      <c r="N87" s="173">
        <f>SUM(N78:N86)</f>
        <v>0</v>
      </c>
      <c r="O87" s="174"/>
      <c r="P87" s="173">
        <f>SUM(P78:P86)</f>
        <v>0</v>
      </c>
      <c r="Q87" s="174"/>
      <c r="R87" s="23">
        <f>SUM(R78:R86)</f>
        <v>240</v>
      </c>
      <c r="S87" s="24" t="s">
        <v>20</v>
      </c>
      <c r="T87" s="19"/>
      <c r="U87" s="208"/>
      <c r="V87" s="209"/>
      <c r="W87" s="210"/>
    </row>
    <row r="88" spans="1:23" x14ac:dyDescent="0.3">
      <c r="A88" s="180" t="s">
        <v>15</v>
      </c>
      <c r="B88" s="5"/>
      <c r="C88" s="5"/>
      <c r="D88" s="4"/>
      <c r="E88" s="211"/>
      <c r="F88" s="212"/>
      <c r="G88" s="212"/>
      <c r="H88" s="212"/>
      <c r="I88" s="213"/>
      <c r="J88" s="165"/>
      <c r="K88" s="166"/>
      <c r="L88" s="165"/>
      <c r="M88" s="166"/>
      <c r="N88" s="165"/>
      <c r="O88" s="166"/>
      <c r="P88" s="165"/>
      <c r="Q88" s="166"/>
      <c r="R88" s="132"/>
      <c r="S88" s="6" t="s">
        <v>20</v>
      </c>
      <c r="T88" s="3"/>
      <c r="U88" s="202"/>
      <c r="V88" s="203"/>
      <c r="W88" s="204"/>
    </row>
    <row r="89" spans="1:23" x14ac:dyDescent="0.3">
      <c r="A89" s="163"/>
      <c r="B89" s="5"/>
      <c r="C89" s="5"/>
      <c r="D89" s="4"/>
      <c r="E89" s="211"/>
      <c r="F89" s="212"/>
      <c r="G89" s="212"/>
      <c r="H89" s="212"/>
      <c r="I89" s="213"/>
      <c r="J89" s="165"/>
      <c r="K89" s="166"/>
      <c r="L89" s="165"/>
      <c r="M89" s="166"/>
      <c r="N89" s="165"/>
      <c r="O89" s="166"/>
      <c r="P89" s="165"/>
      <c r="Q89" s="166"/>
      <c r="R89" s="132"/>
      <c r="S89" s="6" t="s">
        <v>20</v>
      </c>
      <c r="T89" s="3"/>
      <c r="U89" s="205"/>
      <c r="V89" s="206"/>
      <c r="W89" s="207"/>
    </row>
    <row r="90" spans="1:23" x14ac:dyDescent="0.3">
      <c r="A90" s="163"/>
      <c r="B90" s="5"/>
      <c r="C90" s="5"/>
      <c r="D90" s="4"/>
      <c r="E90" s="211"/>
      <c r="F90" s="212"/>
      <c r="G90" s="212"/>
      <c r="H90" s="212"/>
      <c r="I90" s="213"/>
      <c r="J90" s="165"/>
      <c r="K90" s="166"/>
      <c r="L90" s="165"/>
      <c r="M90" s="166"/>
      <c r="N90" s="165"/>
      <c r="O90" s="166"/>
      <c r="P90" s="165"/>
      <c r="Q90" s="166"/>
      <c r="R90" s="132"/>
      <c r="S90" s="6" t="s">
        <v>20</v>
      </c>
      <c r="T90" s="3"/>
      <c r="U90" s="205"/>
      <c r="V90" s="206"/>
      <c r="W90" s="207"/>
    </row>
    <row r="91" spans="1:23" x14ac:dyDescent="0.3">
      <c r="A91" s="164"/>
      <c r="B91" s="19"/>
      <c r="C91" s="19"/>
      <c r="D91" s="20"/>
      <c r="E91" s="170" t="s">
        <v>0</v>
      </c>
      <c r="F91" s="171"/>
      <c r="G91" s="171"/>
      <c r="H91" s="171"/>
      <c r="I91" s="172"/>
      <c r="J91" s="173">
        <f>SUM(J88:J90)</f>
        <v>0</v>
      </c>
      <c r="K91" s="174"/>
      <c r="L91" s="173">
        <f>SUM(L88:L90)</f>
        <v>0</v>
      </c>
      <c r="M91" s="174"/>
      <c r="N91" s="173">
        <f>SUM(N88:N90)</f>
        <v>0</v>
      </c>
      <c r="O91" s="174"/>
      <c r="P91" s="173">
        <f>SUM(P81:P90)</f>
        <v>0</v>
      </c>
      <c r="Q91" s="174"/>
      <c r="R91" s="23">
        <f>SUM(R88:R90)</f>
        <v>0</v>
      </c>
      <c r="S91" s="24" t="s">
        <v>20</v>
      </c>
      <c r="T91" s="7"/>
      <c r="U91" s="208"/>
      <c r="V91" s="209"/>
      <c r="W91" s="210"/>
    </row>
    <row r="92" spans="1:23" x14ac:dyDescent="0.3">
      <c r="E92" s="28"/>
      <c r="F92" s="28"/>
      <c r="G92" s="28"/>
      <c r="H92" s="28"/>
      <c r="I92" s="28"/>
      <c r="J92" s="29"/>
      <c r="K92" s="29"/>
      <c r="L92" s="29"/>
      <c r="M92" s="29"/>
      <c r="N92" s="29"/>
      <c r="O92" s="29"/>
      <c r="P92" s="29"/>
      <c r="Q92" s="29"/>
    </row>
    <row r="93" spans="1:23" x14ac:dyDescent="0.3">
      <c r="E93" s="170" t="s">
        <v>28</v>
      </c>
      <c r="F93" s="171"/>
      <c r="G93" s="171"/>
      <c r="H93" s="171"/>
      <c r="I93" s="172"/>
      <c r="J93" s="175" t="s">
        <v>7</v>
      </c>
      <c r="K93" s="176"/>
      <c r="L93" s="175" t="s">
        <v>8</v>
      </c>
      <c r="M93" s="176"/>
      <c r="N93" s="175" t="s">
        <v>9</v>
      </c>
      <c r="O93" s="176"/>
      <c r="P93" s="175" t="s">
        <v>117</v>
      </c>
      <c r="Q93" s="176"/>
    </row>
    <row r="94" spans="1:23" s="2" customFormat="1" x14ac:dyDescent="0.3">
      <c r="E94" s="15"/>
      <c r="F94" s="15"/>
      <c r="G94" s="15"/>
      <c r="H94" s="15"/>
      <c r="I94" s="15"/>
      <c r="J94" s="30">
        <f>J87+J91</f>
        <v>2317</v>
      </c>
      <c r="K94" s="31" t="s">
        <v>17</v>
      </c>
      <c r="L94" s="32">
        <f>L87+L91</f>
        <v>509</v>
      </c>
      <c r="M94" s="31" t="s">
        <v>17</v>
      </c>
      <c r="N94" s="32">
        <f>N87+N91</f>
        <v>0</v>
      </c>
      <c r="O94" s="31" t="s">
        <v>17</v>
      </c>
      <c r="P94" s="32">
        <f>P87+P91</f>
        <v>0</v>
      </c>
      <c r="Q94" s="34" t="s">
        <v>17</v>
      </c>
    </row>
    <row r="95" spans="1:23" ht="24.45" customHeight="1" x14ac:dyDescent="0.3">
      <c r="E95" s="28"/>
      <c r="F95" s="28"/>
      <c r="G95" s="28"/>
      <c r="H95" s="28"/>
      <c r="I95" s="28"/>
      <c r="J95" s="167">
        <f>J94+L94+N94+P94</f>
        <v>2826</v>
      </c>
      <c r="K95" s="168"/>
      <c r="L95" s="168"/>
      <c r="M95" s="168"/>
      <c r="N95" s="168"/>
      <c r="O95" s="168"/>
      <c r="P95" s="168"/>
      <c r="Q95" s="169"/>
    </row>
    <row r="96" spans="1:23" ht="14.55" customHeight="1" x14ac:dyDescent="0.3"/>
    <row r="97" spans="1:23" s="37" customFormat="1" ht="19.95" customHeight="1" x14ac:dyDescent="0.4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183" t="s">
        <v>14</v>
      </c>
      <c r="R97" s="183"/>
      <c r="S97" s="183"/>
      <c r="T97" s="184">
        <f>T3</f>
        <v>45954</v>
      </c>
      <c r="U97" s="185"/>
      <c r="V97" s="185"/>
      <c r="W97" s="186"/>
    </row>
    <row r="98" spans="1:23" s="16" customFormat="1" ht="30" customHeight="1" x14ac:dyDescent="0.3">
      <c r="A98" s="187" t="s">
        <v>579</v>
      </c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9"/>
      <c r="Q98" s="189"/>
      <c r="R98" s="189"/>
      <c r="S98" s="189"/>
      <c r="T98" s="188"/>
      <c r="U98" s="188"/>
      <c r="V98" s="188"/>
      <c r="W98" s="190"/>
    </row>
    <row r="99" spans="1:23" s="26" customFormat="1" ht="13.8" x14ac:dyDescent="0.3">
      <c r="A99" s="191" t="s">
        <v>1</v>
      </c>
      <c r="B99" s="192" t="s">
        <v>2</v>
      </c>
      <c r="C99" s="192" t="s">
        <v>3</v>
      </c>
      <c r="D99" s="192" t="s">
        <v>4</v>
      </c>
      <c r="E99" s="193" t="s">
        <v>5</v>
      </c>
      <c r="F99" s="195" t="s">
        <v>21</v>
      </c>
      <c r="G99" s="195" t="s">
        <v>22</v>
      </c>
      <c r="H99" s="195" t="s">
        <v>33</v>
      </c>
      <c r="I99" s="195" t="s">
        <v>30</v>
      </c>
      <c r="J99" s="193" t="s">
        <v>6</v>
      </c>
      <c r="K99" s="197"/>
      <c r="L99" s="197"/>
      <c r="M99" s="197"/>
      <c r="N99" s="197"/>
      <c r="O99" s="197"/>
      <c r="P99" s="197"/>
      <c r="Q99" s="198"/>
      <c r="R99" s="193" t="s">
        <v>10</v>
      </c>
      <c r="S99" s="198"/>
      <c r="T99" s="191" t="s">
        <v>11</v>
      </c>
      <c r="U99" s="191" t="s">
        <v>12</v>
      </c>
      <c r="V99" s="191"/>
      <c r="W99" s="191"/>
    </row>
    <row r="100" spans="1:23" s="26" customFormat="1" ht="13.8" x14ac:dyDescent="0.3">
      <c r="A100" s="191"/>
      <c r="B100" s="192"/>
      <c r="C100" s="192"/>
      <c r="D100" s="192"/>
      <c r="E100" s="194"/>
      <c r="F100" s="196"/>
      <c r="G100" s="196"/>
      <c r="H100" s="196"/>
      <c r="I100" s="196"/>
      <c r="J100" s="200" t="s">
        <v>7</v>
      </c>
      <c r="K100" s="201"/>
      <c r="L100" s="200" t="s">
        <v>8</v>
      </c>
      <c r="M100" s="201"/>
      <c r="N100" s="200" t="s">
        <v>9</v>
      </c>
      <c r="O100" s="201"/>
      <c r="P100" s="200" t="s">
        <v>117</v>
      </c>
      <c r="Q100" s="201"/>
      <c r="R100" s="194"/>
      <c r="S100" s="199"/>
      <c r="T100" s="191"/>
      <c r="U100" s="191"/>
      <c r="V100" s="191"/>
      <c r="W100" s="191"/>
    </row>
    <row r="101" spans="1:23" ht="14.55" customHeight="1" x14ac:dyDescent="0.3">
      <c r="A101" s="180" t="s">
        <v>581</v>
      </c>
      <c r="B101" s="5"/>
      <c r="C101" s="5"/>
      <c r="D101" s="126"/>
      <c r="E101" s="12" t="s">
        <v>245</v>
      </c>
      <c r="F101" s="40"/>
      <c r="G101" s="41"/>
      <c r="H101" s="40"/>
      <c r="I101" s="12"/>
      <c r="J101" s="165">
        <v>1023</v>
      </c>
      <c r="K101" s="166"/>
      <c r="L101" s="165"/>
      <c r="M101" s="166"/>
      <c r="N101" s="165"/>
      <c r="O101" s="166"/>
      <c r="P101" s="165"/>
      <c r="Q101" s="166"/>
      <c r="R101" s="132"/>
      <c r="S101" s="14" t="s">
        <v>20</v>
      </c>
      <c r="T101" s="42"/>
      <c r="U101" s="177"/>
      <c r="V101" s="178"/>
      <c r="W101" s="179"/>
    </row>
    <row r="102" spans="1:23" ht="14.55" customHeight="1" x14ac:dyDescent="0.3">
      <c r="A102" s="181"/>
      <c r="B102" s="5"/>
      <c r="C102" s="5"/>
      <c r="D102" s="126"/>
      <c r="E102" s="13"/>
      <c r="F102" s="40"/>
      <c r="G102" s="41"/>
      <c r="H102" s="40"/>
      <c r="I102" s="12"/>
      <c r="J102" s="165"/>
      <c r="K102" s="166"/>
      <c r="L102" s="165"/>
      <c r="M102" s="166"/>
      <c r="N102" s="165"/>
      <c r="O102" s="166"/>
      <c r="P102" s="165"/>
      <c r="Q102" s="166"/>
      <c r="R102" s="132"/>
      <c r="S102" s="14" t="s">
        <v>20</v>
      </c>
      <c r="T102" s="42"/>
      <c r="U102" s="177"/>
      <c r="V102" s="178"/>
      <c r="W102" s="179"/>
    </row>
    <row r="103" spans="1:23" ht="14.55" customHeight="1" x14ac:dyDescent="0.3">
      <c r="A103" s="181"/>
      <c r="B103" s="5"/>
      <c r="C103" s="5"/>
      <c r="D103" s="4"/>
      <c r="E103" s="12"/>
      <c r="F103" s="40"/>
      <c r="G103" s="41"/>
      <c r="H103" s="40"/>
      <c r="I103" s="12"/>
      <c r="J103" s="165"/>
      <c r="K103" s="166"/>
      <c r="L103" s="165"/>
      <c r="M103" s="166"/>
      <c r="N103" s="165"/>
      <c r="O103" s="166"/>
      <c r="P103" s="165"/>
      <c r="Q103" s="166"/>
      <c r="R103" s="132"/>
      <c r="S103" s="14" t="s">
        <v>20</v>
      </c>
      <c r="T103" s="42"/>
      <c r="U103" s="177"/>
      <c r="V103" s="178"/>
      <c r="W103" s="179"/>
    </row>
    <row r="104" spans="1:23" ht="14.55" customHeight="1" x14ac:dyDescent="0.3">
      <c r="A104" s="182"/>
      <c r="B104" s="19"/>
      <c r="C104" s="19"/>
      <c r="D104" s="20"/>
      <c r="E104" s="170" t="s">
        <v>0</v>
      </c>
      <c r="F104" s="171"/>
      <c r="G104" s="171"/>
      <c r="H104" s="171"/>
      <c r="I104" s="172"/>
      <c r="J104" s="173">
        <f>SUM(J101:K103)</f>
        <v>1023</v>
      </c>
      <c r="K104" s="174"/>
      <c r="L104" s="173">
        <f>SUM(L101:M103)</f>
        <v>0</v>
      </c>
      <c r="M104" s="174"/>
      <c r="N104" s="173">
        <f>SUM(N101:O103)</f>
        <v>0</v>
      </c>
      <c r="O104" s="174"/>
      <c r="P104" s="173">
        <f>SUM(P101:Q103)</f>
        <v>0</v>
      </c>
      <c r="Q104" s="174"/>
      <c r="R104" s="23">
        <f>SUM(R101:R103)</f>
        <v>0</v>
      </c>
      <c r="S104" s="24" t="s">
        <v>20</v>
      </c>
      <c r="T104" s="19"/>
      <c r="U104" s="177"/>
      <c r="V104" s="178"/>
      <c r="W104" s="179"/>
    </row>
    <row r="105" spans="1:23" ht="14.55" customHeight="1" x14ac:dyDescent="0.3">
      <c r="A105" s="163" t="s">
        <v>580</v>
      </c>
      <c r="B105" s="5"/>
      <c r="C105" s="5"/>
      <c r="D105" s="4"/>
      <c r="E105" s="12"/>
      <c r="F105" s="40"/>
      <c r="G105" s="41"/>
      <c r="H105" s="40"/>
      <c r="I105" s="12"/>
      <c r="J105" s="165"/>
      <c r="K105" s="166"/>
      <c r="L105" s="165"/>
      <c r="M105" s="166"/>
      <c r="N105" s="165"/>
      <c r="O105" s="166"/>
      <c r="P105" s="165"/>
      <c r="Q105" s="166"/>
      <c r="R105" s="132"/>
      <c r="S105" s="14" t="s">
        <v>20</v>
      </c>
      <c r="T105" s="42"/>
      <c r="U105" s="177"/>
      <c r="V105" s="178"/>
      <c r="W105" s="179"/>
    </row>
    <row r="106" spans="1:23" ht="14.55" customHeight="1" x14ac:dyDescent="0.3">
      <c r="A106" s="163"/>
      <c r="B106" s="5"/>
      <c r="C106" s="5"/>
      <c r="D106" s="4"/>
      <c r="E106" s="12"/>
      <c r="F106" s="40"/>
      <c r="G106" s="41"/>
      <c r="H106" s="40"/>
      <c r="I106" s="12"/>
      <c r="J106" s="165"/>
      <c r="K106" s="166"/>
      <c r="L106" s="165"/>
      <c r="M106" s="166"/>
      <c r="N106" s="165"/>
      <c r="O106" s="166"/>
      <c r="P106" s="165"/>
      <c r="Q106" s="166"/>
      <c r="R106" s="132"/>
      <c r="S106" s="14" t="s">
        <v>20</v>
      </c>
      <c r="T106" s="42"/>
      <c r="U106" s="177"/>
      <c r="V106" s="178"/>
      <c r="W106" s="179"/>
    </row>
    <row r="107" spans="1:23" ht="14.55" customHeight="1" x14ac:dyDescent="0.3">
      <c r="A107" s="163"/>
      <c r="B107" s="5"/>
      <c r="C107" s="5"/>
      <c r="D107" s="4"/>
      <c r="E107" s="12"/>
      <c r="F107" s="40"/>
      <c r="G107" s="41"/>
      <c r="H107" s="40"/>
      <c r="I107" s="12"/>
      <c r="J107" s="165"/>
      <c r="K107" s="166"/>
      <c r="L107" s="165"/>
      <c r="M107" s="166"/>
      <c r="N107" s="165"/>
      <c r="O107" s="166"/>
      <c r="P107" s="165"/>
      <c r="Q107" s="166"/>
      <c r="R107" s="132"/>
      <c r="S107" s="14" t="s">
        <v>20</v>
      </c>
      <c r="T107" s="42"/>
      <c r="U107" s="177"/>
      <c r="V107" s="178"/>
      <c r="W107" s="179"/>
    </row>
    <row r="108" spans="1:23" ht="14.55" customHeight="1" x14ac:dyDescent="0.3">
      <c r="A108" s="163"/>
      <c r="B108" s="5"/>
      <c r="C108" s="5"/>
      <c r="D108" s="4"/>
      <c r="E108" s="12"/>
      <c r="F108" s="40"/>
      <c r="G108" s="41"/>
      <c r="H108" s="40"/>
      <c r="I108" s="12"/>
      <c r="J108" s="165"/>
      <c r="K108" s="166"/>
      <c r="L108" s="165"/>
      <c r="M108" s="166"/>
      <c r="N108" s="165"/>
      <c r="O108" s="166"/>
      <c r="P108" s="165"/>
      <c r="Q108" s="166"/>
      <c r="R108" s="132"/>
      <c r="S108" s="14" t="s">
        <v>20</v>
      </c>
      <c r="T108" s="42"/>
      <c r="U108" s="177"/>
      <c r="V108" s="178"/>
      <c r="W108" s="179"/>
    </row>
    <row r="109" spans="1:23" ht="14.55" customHeight="1" x14ac:dyDescent="0.3">
      <c r="A109" s="164"/>
      <c r="B109" s="19"/>
      <c r="C109" s="19"/>
      <c r="D109" s="20"/>
      <c r="E109" s="170" t="s">
        <v>0</v>
      </c>
      <c r="F109" s="171"/>
      <c r="G109" s="171"/>
      <c r="H109" s="171"/>
      <c r="I109" s="172"/>
      <c r="J109" s="173">
        <f>SUM(J105:K108)</f>
        <v>0</v>
      </c>
      <c r="K109" s="174"/>
      <c r="L109" s="173">
        <f>SUM(L105:M108)</f>
        <v>0</v>
      </c>
      <c r="M109" s="174"/>
      <c r="N109" s="173">
        <f>SUM(N105:O108)</f>
        <v>0</v>
      </c>
      <c r="O109" s="174"/>
      <c r="P109" s="173">
        <f>SUM(P105:Q108)</f>
        <v>0</v>
      </c>
      <c r="Q109" s="174"/>
      <c r="R109" s="23">
        <f>SUM(R105:R108)</f>
        <v>0</v>
      </c>
      <c r="S109" s="24" t="s">
        <v>20</v>
      </c>
      <c r="T109" s="19"/>
      <c r="U109" s="177"/>
      <c r="V109" s="178"/>
      <c r="W109" s="179"/>
    </row>
    <row r="110" spans="1:23" ht="14.55" customHeight="1" x14ac:dyDescent="0.3">
      <c r="A110" s="27"/>
      <c r="B110" s="27"/>
      <c r="C110" s="27"/>
      <c r="D110" s="27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27"/>
      <c r="S110" s="27"/>
      <c r="T110" s="39"/>
      <c r="U110" s="39"/>
      <c r="V110" s="39"/>
      <c r="W110" s="39"/>
    </row>
    <row r="111" spans="1:23" x14ac:dyDescent="0.3">
      <c r="E111" s="170" t="s">
        <v>585</v>
      </c>
      <c r="F111" s="171"/>
      <c r="G111" s="171"/>
      <c r="H111" s="171"/>
      <c r="I111" s="172"/>
      <c r="J111" s="175" t="s">
        <v>7</v>
      </c>
      <c r="K111" s="176"/>
      <c r="L111" s="175" t="s">
        <v>8</v>
      </c>
      <c r="M111" s="176"/>
      <c r="N111" s="175" t="s">
        <v>9</v>
      </c>
      <c r="O111" s="176"/>
      <c r="P111" s="175" t="s">
        <v>117</v>
      </c>
      <c r="Q111" s="176"/>
    </row>
    <row r="112" spans="1:23" s="2" customFormat="1" x14ac:dyDescent="0.3">
      <c r="E112" s="15"/>
      <c r="F112" s="15"/>
      <c r="G112" s="15"/>
      <c r="H112" s="15"/>
      <c r="I112" s="15"/>
      <c r="J112" s="30">
        <f>SUM(J109,J104)</f>
        <v>1023</v>
      </c>
      <c r="K112" s="31" t="s">
        <v>17</v>
      </c>
      <c r="L112" s="30">
        <f>SUM(L109,L104)</f>
        <v>0</v>
      </c>
      <c r="M112" s="31" t="s">
        <v>17</v>
      </c>
      <c r="N112" s="30">
        <f>SUM(N109,N104)</f>
        <v>0</v>
      </c>
      <c r="O112" s="31" t="s">
        <v>17</v>
      </c>
      <c r="P112" s="30">
        <f>SUM(P109,P104)</f>
        <v>0</v>
      </c>
      <c r="Q112" s="34" t="s">
        <v>17</v>
      </c>
    </row>
    <row r="113" spans="5:17" ht="24.45" customHeight="1" x14ac:dyDescent="0.3">
      <c r="E113" s="28"/>
      <c r="F113" s="28"/>
      <c r="G113" s="28"/>
      <c r="H113" s="28"/>
      <c r="I113" s="28"/>
      <c r="J113" s="167">
        <f>J112+L112+N112+P112</f>
        <v>1023</v>
      </c>
      <c r="K113" s="168"/>
      <c r="L113" s="168"/>
      <c r="M113" s="168"/>
      <c r="N113" s="168"/>
      <c r="O113" s="168"/>
      <c r="P113" s="168"/>
      <c r="Q113" s="169"/>
    </row>
  </sheetData>
  <mergeCells count="432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A31:A40"/>
    <mergeCell ref="J31:K31"/>
    <mergeCell ref="L31:M31"/>
    <mergeCell ref="N31:O31"/>
    <mergeCell ref="P31:Q31"/>
    <mergeCell ref="G29:G30"/>
    <mergeCell ref="H29:H30"/>
    <mergeCell ref="I29:I30"/>
    <mergeCell ref="J29:Q29"/>
    <mergeCell ref="L34:M34"/>
    <mergeCell ref="N34:O34"/>
    <mergeCell ref="P34:Q34"/>
    <mergeCell ref="J35:K35"/>
    <mergeCell ref="L35:M35"/>
    <mergeCell ref="N35:O35"/>
    <mergeCell ref="P35:Q35"/>
    <mergeCell ref="N37:O37"/>
    <mergeCell ref="P37:Q37"/>
    <mergeCell ref="E40:I40"/>
    <mergeCell ref="J40:K40"/>
    <mergeCell ref="L40:M40"/>
    <mergeCell ref="N40:O40"/>
    <mergeCell ref="P40:Q40"/>
    <mergeCell ref="U31:W40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J38:K38"/>
    <mergeCell ref="L38:M38"/>
    <mergeCell ref="N38:O38"/>
    <mergeCell ref="P38:Q38"/>
    <mergeCell ref="J39:K39"/>
    <mergeCell ref="L39:M39"/>
    <mergeCell ref="N39:O39"/>
    <mergeCell ref="P39:Q39"/>
    <mergeCell ref="J36:K36"/>
    <mergeCell ref="L36:M36"/>
    <mergeCell ref="N36:O36"/>
    <mergeCell ref="P36:Q36"/>
    <mergeCell ref="J37:K37"/>
    <mergeCell ref="L37:M37"/>
    <mergeCell ref="P41:Q41"/>
    <mergeCell ref="J42:K42"/>
    <mergeCell ref="L42:M42"/>
    <mergeCell ref="N42:O42"/>
    <mergeCell ref="P42:Q42"/>
    <mergeCell ref="J43:K43"/>
    <mergeCell ref="L43:M43"/>
    <mergeCell ref="N43:O43"/>
    <mergeCell ref="P43:Q43"/>
    <mergeCell ref="U41:W44"/>
    <mergeCell ref="E44:I44"/>
    <mergeCell ref="J44:K44"/>
    <mergeCell ref="L44:M44"/>
    <mergeCell ref="N44:O44"/>
    <mergeCell ref="P44:Q44"/>
    <mergeCell ref="A45:A50"/>
    <mergeCell ref="J45:K45"/>
    <mergeCell ref="L45:M45"/>
    <mergeCell ref="N45:O45"/>
    <mergeCell ref="P45:Q45"/>
    <mergeCell ref="J47:K47"/>
    <mergeCell ref="L47:M47"/>
    <mergeCell ref="N47:O47"/>
    <mergeCell ref="P47:Q47"/>
    <mergeCell ref="U45:W50"/>
    <mergeCell ref="J46:K46"/>
    <mergeCell ref="L46:M46"/>
    <mergeCell ref="N46:O46"/>
    <mergeCell ref="P46:Q46"/>
    <mergeCell ref="A41:A44"/>
    <mergeCell ref="J41:K41"/>
    <mergeCell ref="L41:M41"/>
    <mergeCell ref="N41:O41"/>
    <mergeCell ref="A51:A53"/>
    <mergeCell ref="J51:K51"/>
    <mergeCell ref="L51:M51"/>
    <mergeCell ref="N51:O51"/>
    <mergeCell ref="P51:Q51"/>
    <mergeCell ref="J48:K48"/>
    <mergeCell ref="L48:M48"/>
    <mergeCell ref="N48:O48"/>
    <mergeCell ref="P48:Q48"/>
    <mergeCell ref="J49:K49"/>
    <mergeCell ref="L49:M49"/>
    <mergeCell ref="N49:O49"/>
    <mergeCell ref="P49:Q49"/>
    <mergeCell ref="J52:K52"/>
    <mergeCell ref="L52:M52"/>
    <mergeCell ref="N52:O52"/>
    <mergeCell ref="P52:Q52"/>
    <mergeCell ref="U51:W53"/>
    <mergeCell ref="E50:I50"/>
    <mergeCell ref="J50:K50"/>
    <mergeCell ref="L50:M50"/>
    <mergeCell ref="N50:O50"/>
    <mergeCell ref="P50:Q50"/>
    <mergeCell ref="E53:I53"/>
    <mergeCell ref="J53:K53"/>
    <mergeCell ref="L53:M53"/>
    <mergeCell ref="N53:O53"/>
    <mergeCell ref="P53:Q53"/>
    <mergeCell ref="U61:W62"/>
    <mergeCell ref="J62:K62"/>
    <mergeCell ref="L62:M62"/>
    <mergeCell ref="N62:O62"/>
    <mergeCell ref="P62:Q62"/>
    <mergeCell ref="R61:S62"/>
    <mergeCell ref="T61:T62"/>
    <mergeCell ref="E55:I55"/>
    <mergeCell ref="J55:K55"/>
    <mergeCell ref="L55:M55"/>
    <mergeCell ref="N55:O55"/>
    <mergeCell ref="P55:Q55"/>
    <mergeCell ref="J57:Q57"/>
    <mergeCell ref="Q59:S59"/>
    <mergeCell ref="T59:W59"/>
    <mergeCell ref="A60:W60"/>
    <mergeCell ref="A63:A68"/>
    <mergeCell ref="J63:K63"/>
    <mergeCell ref="L63:M63"/>
    <mergeCell ref="N63:O63"/>
    <mergeCell ref="P63:Q63"/>
    <mergeCell ref="G61:G62"/>
    <mergeCell ref="H61:H62"/>
    <mergeCell ref="I61:I62"/>
    <mergeCell ref="J61:Q61"/>
    <mergeCell ref="J67:K67"/>
    <mergeCell ref="L67:M67"/>
    <mergeCell ref="N67:O67"/>
    <mergeCell ref="P67:Q67"/>
    <mergeCell ref="L66:M66"/>
    <mergeCell ref="N66:O66"/>
    <mergeCell ref="P66:Q66"/>
    <mergeCell ref="E68:I68"/>
    <mergeCell ref="A61:A62"/>
    <mergeCell ref="B61:B62"/>
    <mergeCell ref="C61:C62"/>
    <mergeCell ref="D61:D62"/>
    <mergeCell ref="E61:E62"/>
    <mergeCell ref="F61:F62"/>
    <mergeCell ref="U63:W68"/>
    <mergeCell ref="J64:K64"/>
    <mergeCell ref="L64:M64"/>
    <mergeCell ref="N64:O64"/>
    <mergeCell ref="P64:Q64"/>
    <mergeCell ref="J65:K65"/>
    <mergeCell ref="L65:M65"/>
    <mergeCell ref="N65:O65"/>
    <mergeCell ref="P65:Q65"/>
    <mergeCell ref="J66:K66"/>
    <mergeCell ref="J68:K68"/>
    <mergeCell ref="L68:M68"/>
    <mergeCell ref="N68:O68"/>
    <mergeCell ref="P68:Q68"/>
    <mergeCell ref="E70:I70"/>
    <mergeCell ref="J70:K70"/>
    <mergeCell ref="L70:M70"/>
    <mergeCell ref="N70:O70"/>
    <mergeCell ref="P70:Q70"/>
    <mergeCell ref="R76:S77"/>
    <mergeCell ref="T76:T77"/>
    <mergeCell ref="U76:W77"/>
    <mergeCell ref="J77:K77"/>
    <mergeCell ref="L77:M77"/>
    <mergeCell ref="N77:O77"/>
    <mergeCell ref="P77:Q77"/>
    <mergeCell ref="J72:Q72"/>
    <mergeCell ref="Q74:S74"/>
    <mergeCell ref="T74:W74"/>
    <mergeCell ref="A75:W75"/>
    <mergeCell ref="A76:A77"/>
    <mergeCell ref="B76:B77"/>
    <mergeCell ref="C76:C77"/>
    <mergeCell ref="D76:D77"/>
    <mergeCell ref="E76:I77"/>
    <mergeCell ref="J76:Q76"/>
    <mergeCell ref="N81:O81"/>
    <mergeCell ref="P81:Q81"/>
    <mergeCell ref="E82:I82"/>
    <mergeCell ref="J82:K82"/>
    <mergeCell ref="L82:M82"/>
    <mergeCell ref="N82:O82"/>
    <mergeCell ref="P82:Q82"/>
    <mergeCell ref="U78:W87"/>
    <mergeCell ref="E79:I79"/>
    <mergeCell ref="J79:K79"/>
    <mergeCell ref="L79:M79"/>
    <mergeCell ref="N79:O79"/>
    <mergeCell ref="P79:Q79"/>
    <mergeCell ref="E80:I80"/>
    <mergeCell ref="J80:K80"/>
    <mergeCell ref="L80:M80"/>
    <mergeCell ref="N80:O80"/>
    <mergeCell ref="E78:I78"/>
    <mergeCell ref="J78:K78"/>
    <mergeCell ref="L78:M78"/>
    <mergeCell ref="N78:O78"/>
    <mergeCell ref="P78:Q78"/>
    <mergeCell ref="P80:Q80"/>
    <mergeCell ref="E81:I81"/>
    <mergeCell ref="E87:I87"/>
    <mergeCell ref="J87:K87"/>
    <mergeCell ref="L87:M87"/>
    <mergeCell ref="N87:O87"/>
    <mergeCell ref="P87:Q87"/>
    <mergeCell ref="A88:A91"/>
    <mergeCell ref="E88:I88"/>
    <mergeCell ref="J88:K88"/>
    <mergeCell ref="L88:M88"/>
    <mergeCell ref="N88:O88"/>
    <mergeCell ref="A78:A87"/>
    <mergeCell ref="J81:K81"/>
    <mergeCell ref="L81:M81"/>
    <mergeCell ref="P88:Q88"/>
    <mergeCell ref="E85:I85"/>
    <mergeCell ref="J85:K85"/>
    <mergeCell ref="L85:M85"/>
    <mergeCell ref="N85:O85"/>
    <mergeCell ref="P85:Q85"/>
    <mergeCell ref="E86:I86"/>
    <mergeCell ref="J86:K86"/>
    <mergeCell ref="L86:M86"/>
    <mergeCell ref="N86:O86"/>
    <mergeCell ref="P86:Q86"/>
    <mergeCell ref="U88:W91"/>
    <mergeCell ref="E89:I89"/>
    <mergeCell ref="J89:K89"/>
    <mergeCell ref="L89:M89"/>
    <mergeCell ref="N89:O89"/>
    <mergeCell ref="P89:Q89"/>
    <mergeCell ref="E90:I90"/>
    <mergeCell ref="J90:K90"/>
    <mergeCell ref="L90:M90"/>
    <mergeCell ref="N93:O93"/>
    <mergeCell ref="P93:Q93"/>
    <mergeCell ref="J95:Q95"/>
    <mergeCell ref="N90:O90"/>
    <mergeCell ref="P90:Q90"/>
    <mergeCell ref="E91:I91"/>
    <mergeCell ref="J91:K91"/>
    <mergeCell ref="L91:M91"/>
    <mergeCell ref="N91:O91"/>
    <mergeCell ref="P91:Q91"/>
    <mergeCell ref="T97:W97"/>
    <mergeCell ref="A98:W98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J99:Q99"/>
    <mergeCell ref="R99:S100"/>
    <mergeCell ref="T99:T100"/>
    <mergeCell ref="U99:W100"/>
    <mergeCell ref="J100:K100"/>
    <mergeCell ref="L100:M100"/>
    <mergeCell ref="N100:O100"/>
    <mergeCell ref="P100:Q100"/>
    <mergeCell ref="A101:A104"/>
    <mergeCell ref="J101:K101"/>
    <mergeCell ref="L101:M101"/>
    <mergeCell ref="N101:O101"/>
    <mergeCell ref="P101:Q101"/>
    <mergeCell ref="J102:K102"/>
    <mergeCell ref="L102:M102"/>
    <mergeCell ref="N102:O102"/>
    <mergeCell ref="P102:Q102"/>
    <mergeCell ref="U105:W109"/>
    <mergeCell ref="J106:K106"/>
    <mergeCell ref="L106:M106"/>
    <mergeCell ref="N106:O106"/>
    <mergeCell ref="P106:Q106"/>
    <mergeCell ref="J103:K103"/>
    <mergeCell ref="L103:M103"/>
    <mergeCell ref="N103:O103"/>
    <mergeCell ref="P103:Q103"/>
    <mergeCell ref="U101:W104"/>
    <mergeCell ref="P107:Q107"/>
    <mergeCell ref="J108:K108"/>
    <mergeCell ref="L108:M108"/>
    <mergeCell ref="N108:O108"/>
    <mergeCell ref="P108:Q108"/>
    <mergeCell ref="J104:K104"/>
    <mergeCell ref="L104:M104"/>
    <mergeCell ref="N104:O104"/>
    <mergeCell ref="P104:Q104"/>
    <mergeCell ref="J113:Q113"/>
    <mergeCell ref="E83:I83"/>
    <mergeCell ref="J83:K83"/>
    <mergeCell ref="L83:M83"/>
    <mergeCell ref="N83:O83"/>
    <mergeCell ref="P83:Q83"/>
    <mergeCell ref="E84:I84"/>
    <mergeCell ref="J84:K84"/>
    <mergeCell ref="L84:M84"/>
    <mergeCell ref="N84:O84"/>
    <mergeCell ref="P84:Q84"/>
    <mergeCell ref="E109:I109"/>
    <mergeCell ref="J109:K109"/>
    <mergeCell ref="L109:M109"/>
    <mergeCell ref="N109:O109"/>
    <mergeCell ref="P109:Q109"/>
    <mergeCell ref="E111:I111"/>
    <mergeCell ref="J111:K111"/>
    <mergeCell ref="L111:M111"/>
    <mergeCell ref="E104:I104"/>
    <mergeCell ref="Q97:S97"/>
    <mergeCell ref="E93:I93"/>
    <mergeCell ref="J93:K93"/>
    <mergeCell ref="L93:M93"/>
    <mergeCell ref="N111:O111"/>
    <mergeCell ref="P111:Q111"/>
    <mergeCell ref="J107:K107"/>
    <mergeCell ref="L107:M107"/>
    <mergeCell ref="N107:O107"/>
    <mergeCell ref="A105:A109"/>
    <mergeCell ref="J105:K105"/>
    <mergeCell ref="L105:M105"/>
    <mergeCell ref="N105:O105"/>
    <mergeCell ref="P105:Q105"/>
  </mergeCells>
  <pageMargins left="0.39370078740157483" right="0.19685039370078741" top="0.19685039370078741" bottom="0.19685039370078741" header="0.31496062992125984" footer="0.31496062992125984"/>
  <pageSetup paperSize="9" scale="45" orientation="portrait" horizontalDpi="1200" verticalDpi="12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W102"/>
  <sheetViews>
    <sheetView topLeftCell="A28" zoomScale="85" zoomScaleNormal="85" workbookViewId="0">
      <selection activeCell="D39" sqref="D39"/>
    </sheetView>
  </sheetViews>
  <sheetFormatPr defaultColWidth="8.88671875" defaultRowHeight="14.4" x14ac:dyDescent="0.3"/>
  <cols>
    <col min="1" max="1" width="12.6640625" style="135" customWidth="1"/>
    <col min="2" max="3" width="7.6640625" style="135" customWidth="1"/>
    <col min="4" max="4" width="8.88671875" style="8" bestFit="1" customWidth="1"/>
    <col min="5" max="5" width="35.6640625" style="135" customWidth="1"/>
    <col min="6" max="6" width="5.6640625" style="135" customWidth="1"/>
    <col min="7" max="9" width="6.6640625" style="13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35" customWidth="1"/>
    <col min="20" max="20" width="21.5546875" style="135" bestFit="1" customWidth="1"/>
    <col min="21" max="23" width="7.6640625" style="135" customWidth="1"/>
    <col min="24" max="16384" width="8.88671875" style="135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45947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 t="s">
        <v>102</v>
      </c>
      <c r="E7" s="12" t="s">
        <v>632</v>
      </c>
      <c r="F7" s="17">
        <v>430</v>
      </c>
      <c r="G7" s="17">
        <v>430</v>
      </c>
      <c r="H7" s="18">
        <v>0.6</v>
      </c>
      <c r="I7" s="17">
        <v>35000</v>
      </c>
      <c r="J7" s="165"/>
      <c r="K7" s="166"/>
      <c r="L7" s="165"/>
      <c r="M7" s="166"/>
      <c r="N7" s="165"/>
      <c r="O7" s="166"/>
      <c r="P7" s="165">
        <v>504</v>
      </c>
      <c r="Q7" s="166"/>
      <c r="R7" s="136">
        <v>30</v>
      </c>
      <c r="S7" s="14" t="s">
        <v>20</v>
      </c>
      <c r="T7" s="42" t="s">
        <v>110</v>
      </c>
      <c r="U7" s="202" t="s">
        <v>642</v>
      </c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633</v>
      </c>
      <c r="F8" s="17" t="s">
        <v>277</v>
      </c>
      <c r="G8" s="17">
        <v>430</v>
      </c>
      <c r="H8" s="18">
        <v>0.6</v>
      </c>
      <c r="I8" s="17">
        <v>35000</v>
      </c>
      <c r="J8" s="165">
        <v>168</v>
      </c>
      <c r="K8" s="166"/>
      <c r="L8" s="165"/>
      <c r="M8" s="166"/>
      <c r="N8" s="165"/>
      <c r="O8" s="166"/>
      <c r="P8" s="165"/>
      <c r="Q8" s="166"/>
      <c r="R8" s="136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 t="s">
        <v>102</v>
      </c>
      <c r="E9" s="12" t="s">
        <v>634</v>
      </c>
      <c r="F9" s="17">
        <v>147</v>
      </c>
      <c r="G9" s="17">
        <v>430</v>
      </c>
      <c r="H9" s="18">
        <v>0.6</v>
      </c>
      <c r="I9" s="17">
        <v>35000</v>
      </c>
      <c r="J9" s="165"/>
      <c r="K9" s="166"/>
      <c r="L9" s="165"/>
      <c r="M9" s="166"/>
      <c r="N9" s="165">
        <v>168</v>
      </c>
      <c r="O9" s="166"/>
      <c r="P9" s="165"/>
      <c r="Q9" s="166"/>
      <c r="R9" s="136">
        <v>10</v>
      </c>
      <c r="S9" s="14" t="s">
        <v>20</v>
      </c>
      <c r="T9" s="42" t="s">
        <v>111</v>
      </c>
      <c r="U9" s="205"/>
      <c r="V9" s="206"/>
      <c r="W9" s="207"/>
    </row>
    <row r="10" spans="1:23" x14ac:dyDescent="0.3">
      <c r="A10" s="181"/>
      <c r="B10" s="5"/>
      <c r="C10" s="5"/>
      <c r="D10" s="4">
        <v>250084</v>
      </c>
      <c r="E10" s="12" t="s">
        <v>359</v>
      </c>
      <c r="F10" s="17">
        <v>237</v>
      </c>
      <c r="G10" s="17">
        <v>304</v>
      </c>
      <c r="H10" s="18">
        <v>0.6</v>
      </c>
      <c r="I10" s="17">
        <v>35000</v>
      </c>
      <c r="J10" s="165">
        <v>385</v>
      </c>
      <c r="K10" s="166"/>
      <c r="L10" s="165"/>
      <c r="M10" s="166"/>
      <c r="N10" s="165"/>
      <c r="O10" s="166"/>
      <c r="P10" s="165"/>
      <c r="Q10" s="166"/>
      <c r="R10" s="136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635</v>
      </c>
      <c r="F11" s="17">
        <v>160</v>
      </c>
      <c r="G11" s="17">
        <v>304</v>
      </c>
      <c r="H11" s="18">
        <v>0.6</v>
      </c>
      <c r="I11" s="17">
        <v>35000</v>
      </c>
      <c r="J11" s="165"/>
      <c r="K11" s="166"/>
      <c r="L11" s="165"/>
      <c r="M11" s="166"/>
      <c r="N11" s="165">
        <v>77</v>
      </c>
      <c r="O11" s="166"/>
      <c r="P11" s="165"/>
      <c r="Q11" s="166"/>
      <c r="R11" s="136">
        <v>10</v>
      </c>
      <c r="S11" s="14" t="s">
        <v>20</v>
      </c>
      <c r="T11" s="42" t="s">
        <v>641</v>
      </c>
      <c r="U11" s="205"/>
      <c r="V11" s="206"/>
      <c r="W11" s="207"/>
    </row>
    <row r="12" spans="1:23" x14ac:dyDescent="0.3">
      <c r="A12" s="181"/>
      <c r="B12" s="5"/>
      <c r="C12" s="5"/>
      <c r="D12" s="4" t="s">
        <v>506</v>
      </c>
      <c r="E12" s="12" t="s">
        <v>636</v>
      </c>
      <c r="F12" s="17">
        <v>582</v>
      </c>
      <c r="G12" s="17">
        <v>304</v>
      </c>
      <c r="H12" s="18">
        <v>0.6</v>
      </c>
      <c r="I12" s="17">
        <v>35000</v>
      </c>
      <c r="J12" s="165">
        <v>6</v>
      </c>
      <c r="K12" s="166"/>
      <c r="L12" s="165"/>
      <c r="M12" s="166"/>
      <c r="N12" s="165"/>
      <c r="O12" s="166"/>
      <c r="P12" s="165"/>
      <c r="Q12" s="166"/>
      <c r="R12" s="136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245</v>
      </c>
      <c r="F13" s="17" t="s">
        <v>637</v>
      </c>
      <c r="G13" s="17">
        <v>304</v>
      </c>
      <c r="H13" s="18">
        <v>0.6</v>
      </c>
      <c r="I13" s="17">
        <v>35000</v>
      </c>
      <c r="J13" s="165">
        <v>3</v>
      </c>
      <c r="K13" s="166"/>
      <c r="L13" s="165"/>
      <c r="M13" s="166"/>
      <c r="N13" s="165"/>
      <c r="O13" s="166"/>
      <c r="P13" s="165"/>
      <c r="Q13" s="166"/>
      <c r="R13" s="136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250084</v>
      </c>
      <c r="E14" s="12" t="s">
        <v>638</v>
      </c>
      <c r="F14" s="17">
        <v>257</v>
      </c>
      <c r="G14" s="17">
        <v>304</v>
      </c>
      <c r="H14" s="18">
        <v>0.6</v>
      </c>
      <c r="I14" s="17">
        <v>35000</v>
      </c>
      <c r="J14" s="165">
        <v>735</v>
      </c>
      <c r="K14" s="166"/>
      <c r="L14" s="165"/>
      <c r="M14" s="166"/>
      <c r="N14" s="165"/>
      <c r="O14" s="166"/>
      <c r="P14" s="165"/>
      <c r="Q14" s="166"/>
      <c r="R14" s="136">
        <v>20</v>
      </c>
      <c r="S14" s="14" t="s">
        <v>20</v>
      </c>
      <c r="T14" s="42" t="s">
        <v>636</v>
      </c>
      <c r="U14" s="205"/>
      <c r="V14" s="206"/>
      <c r="W14" s="207"/>
    </row>
    <row r="15" spans="1:23" x14ac:dyDescent="0.3">
      <c r="A15" s="181"/>
      <c r="B15" s="5"/>
      <c r="C15" s="5"/>
      <c r="D15" s="4">
        <v>250049</v>
      </c>
      <c r="E15" s="12" t="s">
        <v>639</v>
      </c>
      <c r="F15" s="17">
        <v>390</v>
      </c>
      <c r="G15" s="17">
        <v>304</v>
      </c>
      <c r="H15" s="18">
        <v>0.6</v>
      </c>
      <c r="I15" s="17">
        <v>35000</v>
      </c>
      <c r="J15" s="165">
        <v>468</v>
      </c>
      <c r="K15" s="166"/>
      <c r="L15" s="165"/>
      <c r="M15" s="166"/>
      <c r="N15" s="165"/>
      <c r="O15" s="166"/>
      <c r="P15" s="165"/>
      <c r="Q15" s="166"/>
      <c r="R15" s="136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 t="s">
        <v>102</v>
      </c>
      <c r="E16" s="12" t="s">
        <v>640</v>
      </c>
      <c r="F16" s="17">
        <v>220</v>
      </c>
      <c r="G16" s="17">
        <v>304</v>
      </c>
      <c r="H16" s="18">
        <v>0.6</v>
      </c>
      <c r="I16" s="17">
        <v>35000</v>
      </c>
      <c r="J16" s="165">
        <v>156</v>
      </c>
      <c r="K16" s="166"/>
      <c r="L16" s="165"/>
      <c r="M16" s="166"/>
      <c r="N16" s="165"/>
      <c r="O16" s="166"/>
      <c r="P16" s="165"/>
      <c r="Q16" s="166"/>
      <c r="R16" s="136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 t="s">
        <v>506</v>
      </c>
      <c r="E17" s="12" t="s">
        <v>636</v>
      </c>
      <c r="F17" s="17">
        <v>582</v>
      </c>
      <c r="G17" s="17">
        <v>304</v>
      </c>
      <c r="H17" s="18">
        <v>0.6</v>
      </c>
      <c r="I17" s="17">
        <v>35000</v>
      </c>
      <c r="J17" s="165">
        <v>6</v>
      </c>
      <c r="K17" s="166"/>
      <c r="L17" s="165"/>
      <c r="M17" s="166"/>
      <c r="N17" s="165"/>
      <c r="O17" s="166"/>
      <c r="P17" s="165"/>
      <c r="Q17" s="166"/>
      <c r="R17" s="136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>
        <v>0.58333333333333337</v>
      </c>
      <c r="D18" s="4" t="s">
        <v>102</v>
      </c>
      <c r="E18" s="12" t="s">
        <v>245</v>
      </c>
      <c r="F18" s="17" t="s">
        <v>637</v>
      </c>
      <c r="G18" s="17">
        <v>304</v>
      </c>
      <c r="H18" s="18">
        <v>0.6</v>
      </c>
      <c r="I18" s="17">
        <v>35000</v>
      </c>
      <c r="J18" s="165">
        <v>3</v>
      </c>
      <c r="K18" s="166"/>
      <c r="L18" s="165"/>
      <c r="M18" s="166"/>
      <c r="N18" s="165"/>
      <c r="O18" s="166"/>
      <c r="P18" s="165"/>
      <c r="Q18" s="166"/>
      <c r="R18" s="136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136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136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1930</v>
      </c>
      <c r="K21" s="22" t="s">
        <v>17</v>
      </c>
      <c r="L21" s="21">
        <f>SUM(L7:M20)</f>
        <v>0</v>
      </c>
      <c r="M21" s="22" t="s">
        <v>17</v>
      </c>
      <c r="N21" s="21">
        <f>SUM(N7:O20)</f>
        <v>245</v>
      </c>
      <c r="O21" s="22" t="s">
        <v>17</v>
      </c>
      <c r="P21" s="21">
        <f>SUM(P7:Q20)</f>
        <v>504</v>
      </c>
      <c r="Q21" s="22" t="s">
        <v>17</v>
      </c>
      <c r="R21" s="23">
        <f>SUM(R7:R20)</f>
        <v>70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1930</v>
      </c>
      <c r="K24" s="31" t="s">
        <v>17</v>
      </c>
      <c r="L24" s="32">
        <f>L21</f>
        <v>0</v>
      </c>
      <c r="M24" s="31" t="s">
        <v>17</v>
      </c>
      <c r="N24" s="32">
        <f>N21</f>
        <v>245</v>
      </c>
      <c r="O24" s="31" t="s">
        <v>17</v>
      </c>
      <c r="P24" s="33">
        <f>P21</f>
        <v>504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2679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14.5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45947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>
        <v>0.58333333333333337</v>
      </c>
      <c r="D31" s="138" t="s">
        <v>528</v>
      </c>
      <c r="E31" s="12" t="s">
        <v>643</v>
      </c>
      <c r="F31" s="40">
        <v>430</v>
      </c>
      <c r="G31" s="41">
        <v>0.5</v>
      </c>
      <c r="H31" s="40">
        <v>475</v>
      </c>
      <c r="I31" s="12">
        <v>5</v>
      </c>
      <c r="J31" s="165"/>
      <c r="K31" s="166"/>
      <c r="L31" s="165"/>
      <c r="M31" s="166"/>
      <c r="N31" s="165"/>
      <c r="O31" s="166"/>
      <c r="P31" s="165">
        <v>1150</v>
      </c>
      <c r="Q31" s="166"/>
      <c r="R31" s="136"/>
      <c r="S31" s="14" t="s">
        <v>20</v>
      </c>
      <c r="T31" s="42"/>
      <c r="U31" s="177"/>
      <c r="V31" s="178"/>
      <c r="W31" s="179"/>
    </row>
    <row r="32" spans="1:23" ht="14.55" customHeight="1" x14ac:dyDescent="0.3">
      <c r="A32" s="181"/>
      <c r="B32" s="5"/>
      <c r="C32" s="5"/>
      <c r="D32" s="4"/>
      <c r="E32" s="13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136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/>
      <c r="D33" s="4"/>
      <c r="E33" s="12"/>
      <c r="F33" s="40"/>
      <c r="G33" s="41"/>
      <c r="H33" s="40"/>
      <c r="I33" s="12"/>
      <c r="J33" s="165"/>
      <c r="K33" s="166"/>
      <c r="L33" s="165"/>
      <c r="M33" s="166"/>
      <c r="N33" s="165"/>
      <c r="O33" s="166"/>
      <c r="P33" s="165"/>
      <c r="Q33" s="166"/>
      <c r="R33" s="136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2"/>
      <c r="B34" s="19"/>
      <c r="C34" s="19"/>
      <c r="D34" s="20"/>
      <c r="E34" s="170" t="s">
        <v>0</v>
      </c>
      <c r="F34" s="171"/>
      <c r="G34" s="171"/>
      <c r="H34" s="171"/>
      <c r="I34" s="172"/>
      <c r="J34" s="173">
        <f>SUM(J31:K33)</f>
        <v>0</v>
      </c>
      <c r="K34" s="174"/>
      <c r="L34" s="173">
        <f>SUM(L31:M33)</f>
        <v>0</v>
      </c>
      <c r="M34" s="174"/>
      <c r="N34" s="173">
        <f>SUM(N31:O33)</f>
        <v>0</v>
      </c>
      <c r="O34" s="174"/>
      <c r="P34" s="173">
        <f>SUM(P31:Q33)</f>
        <v>1150</v>
      </c>
      <c r="Q34" s="174"/>
      <c r="R34" s="23">
        <f>SUM(R31:R33)</f>
        <v>0</v>
      </c>
      <c r="S34" s="24" t="s">
        <v>20</v>
      </c>
      <c r="T34" s="19"/>
      <c r="U34" s="177"/>
      <c r="V34" s="178"/>
      <c r="W34" s="179"/>
    </row>
    <row r="35" spans="1:23" ht="14.55" customHeight="1" x14ac:dyDescent="0.3">
      <c r="A35" s="163" t="s">
        <v>34</v>
      </c>
      <c r="B35" s="5">
        <v>0.33333333333333331</v>
      </c>
      <c r="C35" s="5"/>
      <c r="D35" s="138">
        <v>250078</v>
      </c>
      <c r="E35" s="12" t="s">
        <v>644</v>
      </c>
      <c r="F35" s="40">
        <v>304</v>
      </c>
      <c r="G35" s="41">
        <v>0.7</v>
      </c>
      <c r="H35" s="40">
        <v>385</v>
      </c>
      <c r="I35" s="12">
        <v>7</v>
      </c>
      <c r="J35" s="165">
        <v>720</v>
      </c>
      <c r="K35" s="166"/>
      <c r="L35" s="165"/>
      <c r="M35" s="166"/>
      <c r="N35" s="165"/>
      <c r="O35" s="166"/>
      <c r="P35" s="165"/>
      <c r="Q35" s="166"/>
      <c r="R35" s="136">
        <v>40</v>
      </c>
      <c r="S35" s="14" t="s">
        <v>20</v>
      </c>
      <c r="T35" s="42" t="s">
        <v>93</v>
      </c>
      <c r="U35" s="177"/>
      <c r="V35" s="178"/>
      <c r="W35" s="179"/>
    </row>
    <row r="36" spans="1:23" ht="14.55" customHeight="1" x14ac:dyDescent="0.3">
      <c r="A36" s="163"/>
      <c r="B36" s="5"/>
      <c r="C36" s="5">
        <v>0.58333333333333337</v>
      </c>
      <c r="D36" s="138" t="s">
        <v>528</v>
      </c>
      <c r="E36" s="12" t="s">
        <v>645</v>
      </c>
      <c r="F36" s="40">
        <v>430</v>
      </c>
      <c r="G36" s="41">
        <v>0.5</v>
      </c>
      <c r="H36" s="40">
        <v>350</v>
      </c>
      <c r="I36" s="12">
        <v>3</v>
      </c>
      <c r="J36" s="165"/>
      <c r="K36" s="166"/>
      <c r="L36" s="165"/>
      <c r="M36" s="166"/>
      <c r="N36" s="165"/>
      <c r="O36" s="166"/>
      <c r="P36" s="165">
        <v>700</v>
      </c>
      <c r="Q36" s="166"/>
      <c r="R36" s="136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63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136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64"/>
      <c r="B38" s="19"/>
      <c r="C38" s="19"/>
      <c r="D38" s="20"/>
      <c r="E38" s="170" t="s">
        <v>0</v>
      </c>
      <c r="F38" s="171"/>
      <c r="G38" s="171"/>
      <c r="H38" s="171"/>
      <c r="I38" s="172"/>
      <c r="J38" s="173">
        <f>SUM(J35:K37)</f>
        <v>720</v>
      </c>
      <c r="K38" s="174"/>
      <c r="L38" s="173">
        <f>SUM(L35:M37)</f>
        <v>0</v>
      </c>
      <c r="M38" s="174"/>
      <c r="N38" s="173">
        <f>SUM(N35:O37)</f>
        <v>0</v>
      </c>
      <c r="O38" s="174"/>
      <c r="P38" s="173">
        <f>SUM(P35:Q37)</f>
        <v>700</v>
      </c>
      <c r="Q38" s="174"/>
      <c r="R38" s="23">
        <f>SUM(R35:R37)</f>
        <v>40</v>
      </c>
      <c r="S38" s="24" t="s">
        <v>20</v>
      </c>
      <c r="T38" s="19"/>
      <c r="U38" s="177"/>
      <c r="V38" s="178"/>
      <c r="W38" s="179"/>
    </row>
    <row r="39" spans="1:23" ht="14.55" customHeight="1" x14ac:dyDescent="0.3">
      <c r="A39" s="163" t="s">
        <v>583</v>
      </c>
      <c r="B39" s="5">
        <v>0.33333333333333331</v>
      </c>
      <c r="C39" s="5">
        <v>0.58333333333333337</v>
      </c>
      <c r="D39" s="4">
        <v>230925</v>
      </c>
      <c r="E39" s="12" t="s">
        <v>615</v>
      </c>
      <c r="F39" s="40">
        <v>430</v>
      </c>
      <c r="G39" s="41">
        <v>0.8</v>
      </c>
      <c r="H39" s="40">
        <v>360</v>
      </c>
      <c r="I39" s="12"/>
      <c r="J39" s="165"/>
      <c r="K39" s="166"/>
      <c r="L39" s="165"/>
      <c r="M39" s="166"/>
      <c r="N39" s="165">
        <v>1000</v>
      </c>
      <c r="O39" s="166"/>
      <c r="P39" s="165"/>
      <c r="Q39" s="166"/>
      <c r="R39" s="136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63"/>
      <c r="B40" s="5"/>
      <c r="C40" s="5"/>
      <c r="D40" s="4"/>
      <c r="E40" s="12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136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136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4"/>
      <c r="B42" s="19"/>
      <c r="C42" s="19"/>
      <c r="D42" s="20"/>
      <c r="E42" s="170" t="s">
        <v>0</v>
      </c>
      <c r="F42" s="171"/>
      <c r="G42" s="171"/>
      <c r="H42" s="171"/>
      <c r="I42" s="172"/>
      <c r="J42" s="173">
        <f>SUM(J39:K41)</f>
        <v>0</v>
      </c>
      <c r="K42" s="174"/>
      <c r="L42" s="173">
        <f>SUM(L39:M41)</f>
        <v>0</v>
      </c>
      <c r="M42" s="174"/>
      <c r="N42" s="173">
        <f>SUM(N39:O41)</f>
        <v>1000</v>
      </c>
      <c r="O42" s="174"/>
      <c r="P42" s="173">
        <f>SUM(P39:Q41)</f>
        <v>0</v>
      </c>
      <c r="Q42" s="174"/>
      <c r="R42" s="23">
        <f>SUM(R39:R41)</f>
        <v>0</v>
      </c>
      <c r="S42" s="24" t="s">
        <v>20</v>
      </c>
      <c r="T42" s="19"/>
      <c r="U42" s="177"/>
      <c r="V42" s="178"/>
      <c r="W42" s="179"/>
    </row>
    <row r="43" spans="1:23" ht="14.55" customHeight="1" x14ac:dyDescent="0.3">
      <c r="A43" s="163" t="s">
        <v>35</v>
      </c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136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136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136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4"/>
      <c r="B46" s="19"/>
      <c r="C46" s="19"/>
      <c r="D46" s="20"/>
      <c r="E46" s="170" t="s">
        <v>0</v>
      </c>
      <c r="F46" s="171"/>
      <c r="G46" s="171"/>
      <c r="H46" s="171"/>
      <c r="I46" s="172"/>
      <c r="J46" s="173">
        <f>SUM(J43:K45)</f>
        <v>0</v>
      </c>
      <c r="K46" s="174"/>
      <c r="L46" s="173">
        <f>SUM(L43:M45)</f>
        <v>0</v>
      </c>
      <c r="M46" s="174"/>
      <c r="N46" s="173">
        <f>SUM(N43:O45)</f>
        <v>0</v>
      </c>
      <c r="O46" s="174"/>
      <c r="P46" s="173">
        <f>SUM(P43:Q45)</f>
        <v>0</v>
      </c>
      <c r="Q46" s="174"/>
      <c r="R46" s="23">
        <f>SUM(R43:R45)</f>
        <v>0</v>
      </c>
      <c r="S46" s="24" t="s">
        <v>20</v>
      </c>
      <c r="T46" s="19"/>
      <c r="U46" s="177"/>
      <c r="V46" s="178"/>
      <c r="W46" s="179"/>
    </row>
    <row r="47" spans="1:23" ht="14.55" customHeight="1" x14ac:dyDescent="0.3">
      <c r="A47" s="27"/>
      <c r="B47" s="27"/>
      <c r="C47" s="27"/>
      <c r="D47" s="27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27"/>
      <c r="S47" s="27"/>
      <c r="T47" s="39"/>
      <c r="U47" s="39"/>
      <c r="V47" s="39"/>
      <c r="W47" s="39"/>
    </row>
    <row r="48" spans="1:23" x14ac:dyDescent="0.3">
      <c r="E48" s="170" t="s">
        <v>31</v>
      </c>
      <c r="F48" s="171"/>
      <c r="G48" s="171"/>
      <c r="H48" s="171"/>
      <c r="I48" s="172"/>
      <c r="J48" s="175" t="s">
        <v>7</v>
      </c>
      <c r="K48" s="176"/>
      <c r="L48" s="175" t="s">
        <v>8</v>
      </c>
      <c r="M48" s="176"/>
      <c r="N48" s="175" t="s">
        <v>9</v>
      </c>
      <c r="O48" s="176"/>
      <c r="P48" s="175" t="s">
        <v>117</v>
      </c>
      <c r="Q48" s="176"/>
    </row>
    <row r="49" spans="1:23" s="2" customFormat="1" x14ac:dyDescent="0.3">
      <c r="E49" s="15"/>
      <c r="F49" s="15"/>
      <c r="G49" s="15"/>
      <c r="H49" s="15"/>
      <c r="I49" s="15"/>
      <c r="J49" s="30">
        <f>J34+J38+J42+J46</f>
        <v>720</v>
      </c>
      <c r="K49" s="31" t="s">
        <v>17</v>
      </c>
      <c r="L49" s="30">
        <f>L34+L38+L42+L46</f>
        <v>0</v>
      </c>
      <c r="M49" s="31" t="s">
        <v>17</v>
      </c>
      <c r="N49" s="30">
        <f>N34+N38+N42+N46</f>
        <v>1000</v>
      </c>
      <c r="O49" s="31" t="s">
        <v>17</v>
      </c>
      <c r="P49" s="30">
        <f>P34+P38+P42+P46</f>
        <v>1850</v>
      </c>
      <c r="Q49" s="34" t="s">
        <v>17</v>
      </c>
    </row>
    <row r="50" spans="1:23" ht="24.45" customHeight="1" x14ac:dyDescent="0.3">
      <c r="E50" s="28"/>
      <c r="F50" s="28"/>
      <c r="G50" s="28"/>
      <c r="H50" s="28"/>
      <c r="I50" s="28"/>
      <c r="J50" s="167">
        <f>J49+L49+N49+P49</f>
        <v>3570</v>
      </c>
      <c r="K50" s="168"/>
      <c r="L50" s="168"/>
      <c r="M50" s="168"/>
      <c r="N50" s="168"/>
      <c r="O50" s="168"/>
      <c r="P50" s="168"/>
      <c r="Q50" s="169"/>
    </row>
    <row r="51" spans="1:23" ht="14.55" customHeight="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 spans="1:23" s="37" customFormat="1" ht="19.95" customHeight="1" x14ac:dyDescent="0.4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183" t="s">
        <v>14</v>
      </c>
      <c r="R52" s="183"/>
      <c r="S52" s="183"/>
      <c r="T52" s="184">
        <f>T3</f>
        <v>45947</v>
      </c>
      <c r="U52" s="185"/>
      <c r="V52" s="185"/>
      <c r="W52" s="186"/>
    </row>
    <row r="53" spans="1:23" s="16" customFormat="1" ht="30" customHeight="1" x14ac:dyDescent="0.3">
      <c r="A53" s="187" t="s">
        <v>586</v>
      </c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9"/>
      <c r="Q53" s="189"/>
      <c r="R53" s="189"/>
      <c r="S53" s="189"/>
      <c r="T53" s="188"/>
      <c r="U53" s="188"/>
      <c r="V53" s="188"/>
      <c r="W53" s="190"/>
    </row>
    <row r="54" spans="1:23" s="26" customFormat="1" ht="13.8" x14ac:dyDescent="0.3">
      <c r="A54" s="191" t="s">
        <v>1</v>
      </c>
      <c r="B54" s="192" t="s">
        <v>2</v>
      </c>
      <c r="C54" s="192" t="s">
        <v>3</v>
      </c>
      <c r="D54" s="192" t="s">
        <v>4</v>
      </c>
      <c r="E54" s="193" t="s">
        <v>5</v>
      </c>
      <c r="F54" s="195" t="s">
        <v>21</v>
      </c>
      <c r="G54" s="195" t="s">
        <v>22</v>
      </c>
      <c r="H54" s="195" t="s">
        <v>33</v>
      </c>
      <c r="I54" s="195" t="s">
        <v>30</v>
      </c>
      <c r="J54" s="193" t="s">
        <v>6</v>
      </c>
      <c r="K54" s="197"/>
      <c r="L54" s="197"/>
      <c r="M54" s="197"/>
      <c r="N54" s="197"/>
      <c r="O54" s="197"/>
      <c r="P54" s="197"/>
      <c r="Q54" s="198"/>
      <c r="R54" s="193" t="s">
        <v>10</v>
      </c>
      <c r="S54" s="198"/>
      <c r="T54" s="191" t="s">
        <v>11</v>
      </c>
      <c r="U54" s="191" t="s">
        <v>12</v>
      </c>
      <c r="V54" s="191"/>
      <c r="W54" s="191"/>
    </row>
    <row r="55" spans="1:23" s="26" customFormat="1" ht="13.8" x14ac:dyDescent="0.3">
      <c r="A55" s="191"/>
      <c r="B55" s="192"/>
      <c r="C55" s="192"/>
      <c r="D55" s="192"/>
      <c r="E55" s="194"/>
      <c r="F55" s="196"/>
      <c r="G55" s="196"/>
      <c r="H55" s="196"/>
      <c r="I55" s="196"/>
      <c r="J55" s="200" t="s">
        <v>7</v>
      </c>
      <c r="K55" s="201"/>
      <c r="L55" s="200" t="s">
        <v>8</v>
      </c>
      <c r="M55" s="201"/>
      <c r="N55" s="200" t="s">
        <v>9</v>
      </c>
      <c r="O55" s="201"/>
      <c r="P55" s="200" t="s">
        <v>117</v>
      </c>
      <c r="Q55" s="201"/>
      <c r="R55" s="194"/>
      <c r="S55" s="199"/>
      <c r="T55" s="191"/>
      <c r="U55" s="191"/>
      <c r="V55" s="191"/>
      <c r="W55" s="191"/>
    </row>
    <row r="56" spans="1:23" ht="14.55" customHeight="1" x14ac:dyDescent="0.3">
      <c r="A56" s="180" t="s">
        <v>584</v>
      </c>
      <c r="B56" s="5">
        <v>0.33333333333333331</v>
      </c>
      <c r="C56" s="5"/>
      <c r="D56" s="139">
        <v>250080</v>
      </c>
      <c r="E56" s="12" t="s">
        <v>646</v>
      </c>
      <c r="F56" s="40">
        <v>304</v>
      </c>
      <c r="G56" s="41">
        <v>0.6</v>
      </c>
      <c r="H56" s="40"/>
      <c r="I56" s="12"/>
      <c r="J56" s="165"/>
      <c r="K56" s="166"/>
      <c r="L56" s="165"/>
      <c r="M56" s="166"/>
      <c r="N56" s="165">
        <v>1000</v>
      </c>
      <c r="O56" s="166"/>
      <c r="P56" s="165"/>
      <c r="Q56" s="166"/>
      <c r="R56" s="136"/>
      <c r="S56" s="14" t="s">
        <v>20</v>
      </c>
      <c r="T56" s="42"/>
      <c r="U56" s="177"/>
      <c r="V56" s="178"/>
      <c r="W56" s="179"/>
    </row>
    <row r="57" spans="1:23" ht="14.55" customHeight="1" x14ac:dyDescent="0.3">
      <c r="A57" s="181"/>
      <c r="B57" s="5"/>
      <c r="C57" s="5">
        <v>0.58333333333333337</v>
      </c>
      <c r="D57" s="139">
        <v>250079</v>
      </c>
      <c r="E57" s="12" t="s">
        <v>647</v>
      </c>
      <c r="F57" s="40">
        <v>304</v>
      </c>
      <c r="G57" s="41">
        <v>0.6</v>
      </c>
      <c r="H57" s="40"/>
      <c r="I57" s="12"/>
      <c r="J57" s="165"/>
      <c r="K57" s="166"/>
      <c r="L57" s="165"/>
      <c r="M57" s="166"/>
      <c r="N57" s="165">
        <v>820</v>
      </c>
      <c r="O57" s="166"/>
      <c r="P57" s="165"/>
      <c r="Q57" s="166"/>
      <c r="R57" s="136"/>
      <c r="S57" s="14" t="s">
        <v>20</v>
      </c>
      <c r="T57" s="42"/>
      <c r="U57" s="177"/>
      <c r="V57" s="178"/>
      <c r="W57" s="179"/>
    </row>
    <row r="58" spans="1:23" ht="14.55" customHeight="1" x14ac:dyDescent="0.3">
      <c r="A58" s="181"/>
      <c r="B58" s="5"/>
      <c r="C58" s="5"/>
      <c r="D58" s="4"/>
      <c r="E58" s="12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136"/>
      <c r="S58" s="14" t="s">
        <v>20</v>
      </c>
      <c r="T58" s="42"/>
      <c r="U58" s="177"/>
      <c r="V58" s="178"/>
      <c r="W58" s="179"/>
    </row>
    <row r="59" spans="1:23" ht="14.55" customHeight="1" x14ac:dyDescent="0.3">
      <c r="A59" s="182"/>
      <c r="B59" s="19"/>
      <c r="C59" s="19"/>
      <c r="D59" s="20"/>
      <c r="E59" s="170" t="s">
        <v>0</v>
      </c>
      <c r="F59" s="171"/>
      <c r="G59" s="171"/>
      <c r="H59" s="171"/>
      <c r="I59" s="172"/>
      <c r="J59" s="173">
        <f>SUM(J56:K58)</f>
        <v>0</v>
      </c>
      <c r="K59" s="174"/>
      <c r="L59" s="173">
        <f>SUM(L56:M58)</f>
        <v>0</v>
      </c>
      <c r="M59" s="174"/>
      <c r="N59" s="173">
        <f>SUM(N56:O58)</f>
        <v>1820</v>
      </c>
      <c r="O59" s="174"/>
      <c r="P59" s="173">
        <f>SUM(P56:Q58)</f>
        <v>0</v>
      </c>
      <c r="Q59" s="174"/>
      <c r="R59" s="23">
        <f>SUM(R56:R58)</f>
        <v>0</v>
      </c>
      <c r="S59" s="24" t="s">
        <v>20</v>
      </c>
      <c r="T59" s="19"/>
      <c r="U59" s="177"/>
      <c r="V59" s="178"/>
      <c r="W59" s="179"/>
    </row>
    <row r="60" spans="1:23" x14ac:dyDescent="0.3">
      <c r="E60" s="28"/>
      <c r="F60" s="28"/>
      <c r="G60" s="28"/>
      <c r="H60" s="28"/>
      <c r="I60" s="28"/>
      <c r="J60" s="29"/>
      <c r="K60" s="29"/>
      <c r="L60" s="29"/>
      <c r="M60" s="29"/>
      <c r="N60" s="29"/>
      <c r="O60" s="29"/>
      <c r="P60" s="29"/>
      <c r="Q60" s="29"/>
    </row>
    <row r="61" spans="1:23" x14ac:dyDescent="0.3">
      <c r="E61" s="170" t="s">
        <v>587</v>
      </c>
      <c r="F61" s="171"/>
      <c r="G61" s="171"/>
      <c r="H61" s="171"/>
      <c r="I61" s="172"/>
      <c r="J61" s="175" t="s">
        <v>7</v>
      </c>
      <c r="K61" s="176"/>
      <c r="L61" s="175" t="s">
        <v>8</v>
      </c>
      <c r="M61" s="176"/>
      <c r="N61" s="175" t="s">
        <v>9</v>
      </c>
      <c r="O61" s="176"/>
      <c r="P61" s="175" t="s">
        <v>117</v>
      </c>
      <c r="Q61" s="176"/>
    </row>
    <row r="62" spans="1:23" s="2" customFormat="1" x14ac:dyDescent="0.3">
      <c r="E62" s="15"/>
      <c r="F62" s="15"/>
      <c r="G62" s="15"/>
      <c r="H62" s="15"/>
      <c r="I62" s="15"/>
      <c r="J62" s="30" t="e">
        <f>#REF!+J59</f>
        <v>#REF!</v>
      </c>
      <c r="K62" s="31" t="s">
        <v>17</v>
      </c>
      <c r="L62" s="32" t="e">
        <f>#REF!+L59</f>
        <v>#REF!</v>
      </c>
      <c r="M62" s="31" t="s">
        <v>17</v>
      </c>
      <c r="N62" s="32" t="e">
        <f>#REF!+N59</f>
        <v>#REF!</v>
      </c>
      <c r="O62" s="31" t="s">
        <v>17</v>
      </c>
      <c r="P62" s="32" t="e">
        <f>#REF!+P59</f>
        <v>#REF!</v>
      </c>
      <c r="Q62" s="34" t="s">
        <v>17</v>
      </c>
    </row>
    <row r="63" spans="1:23" ht="24.45" customHeight="1" x14ac:dyDescent="0.3">
      <c r="E63" s="28"/>
      <c r="F63" s="28"/>
      <c r="G63" s="28"/>
      <c r="H63" s="28"/>
      <c r="I63" s="28"/>
      <c r="J63" s="167" t="e">
        <f>J62+L62+N62+P62</f>
        <v>#REF!</v>
      </c>
      <c r="K63" s="168"/>
      <c r="L63" s="168"/>
      <c r="M63" s="168"/>
      <c r="N63" s="168"/>
      <c r="O63" s="168"/>
      <c r="P63" s="168"/>
      <c r="Q63" s="169"/>
    </row>
    <row r="64" spans="1:23" ht="14.55" customHeight="1" x14ac:dyDescent="0.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 spans="1:23" s="37" customFormat="1" ht="19.95" customHeight="1" x14ac:dyDescent="0.4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214" t="s">
        <v>14</v>
      </c>
      <c r="R65" s="215"/>
      <c r="S65" s="216"/>
      <c r="T65" s="184">
        <f>T3</f>
        <v>45947</v>
      </c>
      <c r="U65" s="185"/>
      <c r="V65" s="185"/>
      <c r="W65" s="186"/>
    </row>
    <row r="66" spans="1:23" s="16" customFormat="1" ht="30" customHeight="1" x14ac:dyDescent="0.3">
      <c r="A66" s="187" t="s">
        <v>26</v>
      </c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9"/>
      <c r="Q66" s="189"/>
      <c r="R66" s="189"/>
      <c r="S66" s="189"/>
      <c r="T66" s="188"/>
      <c r="U66" s="188"/>
      <c r="V66" s="188"/>
      <c r="W66" s="190"/>
    </row>
    <row r="67" spans="1:23" s="26" customFormat="1" ht="13.8" x14ac:dyDescent="0.3">
      <c r="A67" s="191" t="s">
        <v>1</v>
      </c>
      <c r="B67" s="192" t="s">
        <v>2</v>
      </c>
      <c r="C67" s="192" t="s">
        <v>3</v>
      </c>
      <c r="D67" s="192" t="s">
        <v>4</v>
      </c>
      <c r="E67" s="193" t="s">
        <v>5</v>
      </c>
      <c r="F67" s="197"/>
      <c r="G67" s="197"/>
      <c r="H67" s="197"/>
      <c r="I67" s="198"/>
      <c r="J67" s="193" t="s">
        <v>6</v>
      </c>
      <c r="K67" s="197"/>
      <c r="L67" s="197"/>
      <c r="M67" s="197"/>
      <c r="N67" s="197"/>
      <c r="O67" s="197"/>
      <c r="P67" s="197"/>
      <c r="Q67" s="198"/>
      <c r="R67" s="193" t="s">
        <v>10</v>
      </c>
      <c r="S67" s="198"/>
      <c r="T67" s="191" t="s">
        <v>11</v>
      </c>
      <c r="U67" s="191" t="s">
        <v>12</v>
      </c>
      <c r="V67" s="191"/>
      <c r="W67" s="191"/>
    </row>
    <row r="68" spans="1:23" s="26" customFormat="1" ht="13.8" x14ac:dyDescent="0.3">
      <c r="A68" s="191"/>
      <c r="B68" s="192"/>
      <c r="C68" s="192"/>
      <c r="D68" s="192"/>
      <c r="E68" s="194"/>
      <c r="F68" s="217"/>
      <c r="G68" s="217"/>
      <c r="H68" s="217"/>
      <c r="I68" s="199"/>
      <c r="J68" s="200" t="s">
        <v>7</v>
      </c>
      <c r="K68" s="201"/>
      <c r="L68" s="200" t="s">
        <v>8</v>
      </c>
      <c r="M68" s="201"/>
      <c r="N68" s="200" t="s">
        <v>9</v>
      </c>
      <c r="O68" s="201"/>
      <c r="P68" s="200" t="s">
        <v>117</v>
      </c>
      <c r="Q68" s="201"/>
      <c r="R68" s="194"/>
      <c r="S68" s="199"/>
      <c r="T68" s="191"/>
      <c r="U68" s="191"/>
      <c r="V68" s="191"/>
      <c r="W68" s="191"/>
    </row>
    <row r="69" spans="1:23" x14ac:dyDescent="0.3">
      <c r="A69" s="180" t="s">
        <v>13</v>
      </c>
      <c r="B69" s="5"/>
      <c r="C69" s="5"/>
      <c r="D69" s="4"/>
      <c r="E69" s="211" t="s">
        <v>648</v>
      </c>
      <c r="F69" s="212"/>
      <c r="G69" s="212"/>
      <c r="H69" s="212"/>
      <c r="I69" s="213"/>
      <c r="J69" s="165"/>
      <c r="K69" s="166"/>
      <c r="L69" s="165"/>
      <c r="M69" s="166"/>
      <c r="N69" s="165"/>
      <c r="O69" s="166"/>
      <c r="P69" s="165"/>
      <c r="Q69" s="166"/>
      <c r="R69" s="136"/>
      <c r="S69" s="6" t="s">
        <v>20</v>
      </c>
      <c r="T69" s="3"/>
      <c r="U69" s="202"/>
      <c r="V69" s="203"/>
      <c r="W69" s="204"/>
    </row>
    <row r="70" spans="1:23" x14ac:dyDescent="0.3">
      <c r="A70" s="163"/>
      <c r="B70" s="5"/>
      <c r="C70" s="5"/>
      <c r="D70" s="4"/>
      <c r="E70" s="211"/>
      <c r="F70" s="212"/>
      <c r="G70" s="212"/>
      <c r="H70" s="212"/>
      <c r="I70" s="213"/>
      <c r="J70" s="165"/>
      <c r="K70" s="166"/>
      <c r="L70" s="165"/>
      <c r="M70" s="166"/>
      <c r="N70" s="165"/>
      <c r="O70" s="166"/>
      <c r="P70" s="165"/>
      <c r="Q70" s="166"/>
      <c r="R70" s="136"/>
      <c r="S70" s="6" t="s">
        <v>20</v>
      </c>
      <c r="T70" s="3"/>
      <c r="U70" s="205"/>
      <c r="V70" s="206"/>
      <c r="W70" s="207"/>
    </row>
    <row r="71" spans="1:23" x14ac:dyDescent="0.3">
      <c r="A71" s="163"/>
      <c r="B71" s="5"/>
      <c r="C71" s="5"/>
      <c r="D71" s="4"/>
      <c r="E71" s="211"/>
      <c r="F71" s="212"/>
      <c r="G71" s="212"/>
      <c r="H71" s="212"/>
      <c r="I71" s="213"/>
      <c r="J71" s="165"/>
      <c r="K71" s="166"/>
      <c r="L71" s="165"/>
      <c r="M71" s="166"/>
      <c r="N71" s="165"/>
      <c r="O71" s="166"/>
      <c r="P71" s="165"/>
      <c r="Q71" s="166"/>
      <c r="R71" s="136"/>
      <c r="S71" s="6" t="s">
        <v>20</v>
      </c>
      <c r="T71" s="3"/>
      <c r="U71" s="205"/>
      <c r="V71" s="206"/>
      <c r="W71" s="207"/>
    </row>
    <row r="72" spans="1:23" x14ac:dyDescent="0.3">
      <c r="A72" s="163"/>
      <c r="B72" s="5"/>
      <c r="C72" s="5"/>
      <c r="D72" s="4"/>
      <c r="E72" s="211"/>
      <c r="F72" s="212"/>
      <c r="G72" s="212"/>
      <c r="H72" s="212"/>
      <c r="I72" s="213"/>
      <c r="J72" s="165"/>
      <c r="K72" s="166"/>
      <c r="L72" s="165"/>
      <c r="M72" s="166"/>
      <c r="N72" s="165"/>
      <c r="O72" s="166"/>
      <c r="P72" s="165"/>
      <c r="Q72" s="166"/>
      <c r="R72" s="136"/>
      <c r="S72" s="6" t="s">
        <v>20</v>
      </c>
      <c r="T72" s="3"/>
      <c r="U72" s="205"/>
      <c r="V72" s="206"/>
      <c r="W72" s="207"/>
    </row>
    <row r="73" spans="1:23" x14ac:dyDescent="0.3">
      <c r="A73" s="163"/>
      <c r="B73" s="5"/>
      <c r="C73" s="5"/>
      <c r="D73" s="4"/>
      <c r="E73" s="211"/>
      <c r="F73" s="212"/>
      <c r="G73" s="212"/>
      <c r="H73" s="212"/>
      <c r="I73" s="213"/>
      <c r="J73" s="165"/>
      <c r="K73" s="166"/>
      <c r="L73" s="165"/>
      <c r="M73" s="166"/>
      <c r="N73" s="165"/>
      <c r="O73" s="166"/>
      <c r="P73" s="165"/>
      <c r="Q73" s="166"/>
      <c r="R73" s="136"/>
      <c r="S73" s="6" t="s">
        <v>20</v>
      </c>
      <c r="T73" s="3"/>
      <c r="U73" s="205"/>
      <c r="V73" s="206"/>
      <c r="W73" s="207"/>
    </row>
    <row r="74" spans="1:23" x14ac:dyDescent="0.3">
      <c r="A74" s="163"/>
      <c r="B74" s="5"/>
      <c r="C74" s="5"/>
      <c r="D74" s="4"/>
      <c r="E74" s="211"/>
      <c r="F74" s="212"/>
      <c r="G74" s="212"/>
      <c r="H74" s="212"/>
      <c r="I74" s="213"/>
      <c r="J74" s="165"/>
      <c r="K74" s="166"/>
      <c r="L74" s="165"/>
      <c r="M74" s="166"/>
      <c r="N74" s="165"/>
      <c r="O74" s="166"/>
      <c r="P74" s="165"/>
      <c r="Q74" s="166"/>
      <c r="R74" s="136"/>
      <c r="S74" s="6" t="s">
        <v>20</v>
      </c>
      <c r="T74" s="3"/>
      <c r="U74" s="205"/>
      <c r="V74" s="206"/>
      <c r="W74" s="207"/>
    </row>
    <row r="75" spans="1:23" x14ac:dyDescent="0.3">
      <c r="A75" s="163"/>
      <c r="B75" s="5"/>
      <c r="C75" s="5"/>
      <c r="D75" s="4"/>
      <c r="E75" s="211"/>
      <c r="F75" s="212"/>
      <c r="G75" s="212"/>
      <c r="H75" s="212"/>
      <c r="I75" s="213"/>
      <c r="J75" s="165"/>
      <c r="K75" s="166"/>
      <c r="L75" s="165"/>
      <c r="M75" s="166"/>
      <c r="N75" s="165"/>
      <c r="O75" s="166"/>
      <c r="P75" s="165"/>
      <c r="Q75" s="166"/>
      <c r="R75" s="136"/>
      <c r="S75" s="6" t="s">
        <v>20</v>
      </c>
      <c r="T75" s="3"/>
      <c r="U75" s="205"/>
      <c r="V75" s="206"/>
      <c r="W75" s="207"/>
    </row>
    <row r="76" spans="1:23" x14ac:dyDescent="0.3">
      <c r="A76" s="164"/>
      <c r="B76" s="19"/>
      <c r="C76" s="19"/>
      <c r="D76" s="20"/>
      <c r="E76" s="170" t="s">
        <v>0</v>
      </c>
      <c r="F76" s="171"/>
      <c r="G76" s="171"/>
      <c r="H76" s="171"/>
      <c r="I76" s="172"/>
      <c r="J76" s="173">
        <f>SUM(J69:J75)</f>
        <v>0</v>
      </c>
      <c r="K76" s="174"/>
      <c r="L76" s="173">
        <f>SUM(L69:L75)</f>
        <v>0</v>
      </c>
      <c r="M76" s="174"/>
      <c r="N76" s="173">
        <f>SUM(N69:N75)</f>
        <v>0</v>
      </c>
      <c r="O76" s="174"/>
      <c r="P76" s="173">
        <f>SUM(P69:P75)</f>
        <v>0</v>
      </c>
      <c r="Q76" s="174"/>
      <c r="R76" s="23">
        <f>SUM(R69:R75)</f>
        <v>0</v>
      </c>
      <c r="S76" s="24" t="s">
        <v>20</v>
      </c>
      <c r="T76" s="19"/>
      <c r="U76" s="208"/>
      <c r="V76" s="209"/>
      <c r="W76" s="210"/>
    </row>
    <row r="77" spans="1:23" x14ac:dyDescent="0.3">
      <c r="A77" s="180" t="s">
        <v>15</v>
      </c>
      <c r="B77" s="5"/>
      <c r="C77" s="5"/>
      <c r="D77" s="4"/>
      <c r="E77" s="211"/>
      <c r="F77" s="212"/>
      <c r="G77" s="212"/>
      <c r="H77" s="212"/>
      <c r="I77" s="213"/>
      <c r="J77" s="165"/>
      <c r="K77" s="166"/>
      <c r="L77" s="165"/>
      <c r="M77" s="166"/>
      <c r="N77" s="165"/>
      <c r="O77" s="166"/>
      <c r="P77" s="165"/>
      <c r="Q77" s="166"/>
      <c r="R77" s="136"/>
      <c r="S77" s="6" t="s">
        <v>20</v>
      </c>
      <c r="T77" s="3"/>
      <c r="U77" s="202"/>
      <c r="V77" s="203"/>
      <c r="W77" s="204"/>
    </row>
    <row r="78" spans="1:23" x14ac:dyDescent="0.3">
      <c r="A78" s="163"/>
      <c r="B78" s="5"/>
      <c r="C78" s="5"/>
      <c r="D78" s="4"/>
      <c r="E78" s="211"/>
      <c r="F78" s="212"/>
      <c r="G78" s="212"/>
      <c r="H78" s="212"/>
      <c r="I78" s="213"/>
      <c r="J78" s="165"/>
      <c r="K78" s="166"/>
      <c r="L78" s="165"/>
      <c r="M78" s="166"/>
      <c r="N78" s="165"/>
      <c r="O78" s="166"/>
      <c r="P78" s="165"/>
      <c r="Q78" s="166"/>
      <c r="R78" s="136"/>
      <c r="S78" s="6" t="s">
        <v>20</v>
      </c>
      <c r="T78" s="3"/>
      <c r="U78" s="205"/>
      <c r="V78" s="206"/>
      <c r="W78" s="207"/>
    </row>
    <row r="79" spans="1:23" x14ac:dyDescent="0.3">
      <c r="A79" s="163"/>
      <c r="B79" s="5"/>
      <c r="C79" s="5"/>
      <c r="D79" s="4"/>
      <c r="E79" s="211"/>
      <c r="F79" s="212"/>
      <c r="G79" s="212"/>
      <c r="H79" s="212"/>
      <c r="I79" s="213"/>
      <c r="J79" s="165"/>
      <c r="K79" s="166"/>
      <c r="L79" s="165"/>
      <c r="M79" s="166"/>
      <c r="N79" s="165"/>
      <c r="O79" s="166"/>
      <c r="P79" s="165"/>
      <c r="Q79" s="166"/>
      <c r="R79" s="136"/>
      <c r="S79" s="6" t="s">
        <v>20</v>
      </c>
      <c r="T79" s="3"/>
      <c r="U79" s="205"/>
      <c r="V79" s="206"/>
      <c r="W79" s="207"/>
    </row>
    <row r="80" spans="1:23" x14ac:dyDescent="0.3">
      <c r="A80" s="164"/>
      <c r="B80" s="19"/>
      <c r="C80" s="19"/>
      <c r="D80" s="20"/>
      <c r="E80" s="170" t="s">
        <v>0</v>
      </c>
      <c r="F80" s="171"/>
      <c r="G80" s="171"/>
      <c r="H80" s="171"/>
      <c r="I80" s="172"/>
      <c r="J80" s="173">
        <f>SUM(J77:J79)</f>
        <v>0</v>
      </c>
      <c r="K80" s="174"/>
      <c r="L80" s="173">
        <f>SUM(L77:L79)</f>
        <v>0</v>
      </c>
      <c r="M80" s="174"/>
      <c r="N80" s="173">
        <f>SUM(N77:N79)</f>
        <v>0</v>
      </c>
      <c r="O80" s="174"/>
      <c r="P80" s="173">
        <f>SUM(P72:P79)</f>
        <v>0</v>
      </c>
      <c r="Q80" s="174"/>
      <c r="R80" s="23">
        <f>SUM(R77:R79)</f>
        <v>0</v>
      </c>
      <c r="S80" s="24" t="s">
        <v>20</v>
      </c>
      <c r="T80" s="7"/>
      <c r="U80" s="208"/>
      <c r="V80" s="209"/>
      <c r="W80" s="210"/>
    </row>
    <row r="81" spans="1:23" x14ac:dyDescent="0.3">
      <c r="E81" s="28"/>
      <c r="F81" s="28"/>
      <c r="G81" s="28"/>
      <c r="H81" s="28"/>
      <c r="I81" s="28"/>
      <c r="J81" s="29"/>
      <c r="K81" s="29"/>
      <c r="L81" s="29"/>
      <c r="M81" s="29"/>
      <c r="N81" s="29"/>
      <c r="O81" s="29"/>
      <c r="P81" s="29"/>
      <c r="Q81" s="29"/>
    </row>
    <row r="82" spans="1:23" x14ac:dyDescent="0.3">
      <c r="E82" s="170" t="s">
        <v>28</v>
      </c>
      <c r="F82" s="171"/>
      <c r="G82" s="171"/>
      <c r="H82" s="171"/>
      <c r="I82" s="172"/>
      <c r="J82" s="175" t="s">
        <v>7</v>
      </c>
      <c r="K82" s="176"/>
      <c r="L82" s="175" t="s">
        <v>8</v>
      </c>
      <c r="M82" s="176"/>
      <c r="N82" s="175" t="s">
        <v>9</v>
      </c>
      <c r="O82" s="176"/>
      <c r="P82" s="175" t="s">
        <v>117</v>
      </c>
      <c r="Q82" s="176"/>
    </row>
    <row r="83" spans="1:23" s="2" customFormat="1" x14ac:dyDescent="0.3">
      <c r="E83" s="15"/>
      <c r="F83" s="15"/>
      <c r="G83" s="15"/>
      <c r="H83" s="15"/>
      <c r="I83" s="15"/>
      <c r="J83" s="30">
        <f>J76+J80</f>
        <v>0</v>
      </c>
      <c r="K83" s="31" t="s">
        <v>17</v>
      </c>
      <c r="L83" s="32">
        <f>L76+L80</f>
        <v>0</v>
      </c>
      <c r="M83" s="31" t="s">
        <v>17</v>
      </c>
      <c r="N83" s="32">
        <f>N76+N80</f>
        <v>0</v>
      </c>
      <c r="O83" s="31" t="s">
        <v>17</v>
      </c>
      <c r="P83" s="32">
        <f>P76+P80</f>
        <v>0</v>
      </c>
      <c r="Q83" s="34" t="s">
        <v>17</v>
      </c>
    </row>
    <row r="84" spans="1:23" ht="24.45" customHeight="1" x14ac:dyDescent="0.3">
      <c r="E84" s="28"/>
      <c r="F84" s="28"/>
      <c r="G84" s="28"/>
      <c r="H84" s="28"/>
      <c r="I84" s="28"/>
      <c r="J84" s="167">
        <f>J83+L83+N83+P83</f>
        <v>0</v>
      </c>
      <c r="K84" s="168"/>
      <c r="L84" s="168"/>
      <c r="M84" s="168"/>
      <c r="N84" s="168"/>
      <c r="O84" s="168"/>
      <c r="P84" s="168"/>
      <c r="Q84" s="169"/>
    </row>
    <row r="85" spans="1:23" ht="14.55" customHeight="1" x14ac:dyDescent="0.3"/>
    <row r="86" spans="1:23" s="37" customFormat="1" ht="19.95" customHeight="1" x14ac:dyDescent="0.4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6"/>
      <c r="Q86" s="183" t="s">
        <v>14</v>
      </c>
      <c r="R86" s="183"/>
      <c r="S86" s="183"/>
      <c r="T86" s="184">
        <f>T3</f>
        <v>45947</v>
      </c>
      <c r="U86" s="185"/>
      <c r="V86" s="185"/>
      <c r="W86" s="186"/>
    </row>
    <row r="87" spans="1:23" s="16" customFormat="1" ht="30" customHeight="1" x14ac:dyDescent="0.3">
      <c r="A87" s="187" t="s">
        <v>579</v>
      </c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9"/>
      <c r="Q87" s="189"/>
      <c r="R87" s="189"/>
      <c r="S87" s="189"/>
      <c r="T87" s="188"/>
      <c r="U87" s="188"/>
      <c r="V87" s="188"/>
      <c r="W87" s="190"/>
    </row>
    <row r="88" spans="1:23" s="26" customFormat="1" ht="13.8" x14ac:dyDescent="0.3">
      <c r="A88" s="191" t="s">
        <v>1</v>
      </c>
      <c r="B88" s="192" t="s">
        <v>2</v>
      </c>
      <c r="C88" s="192" t="s">
        <v>3</v>
      </c>
      <c r="D88" s="192" t="s">
        <v>4</v>
      </c>
      <c r="E88" s="193" t="s">
        <v>5</v>
      </c>
      <c r="F88" s="195" t="s">
        <v>21</v>
      </c>
      <c r="G88" s="195" t="s">
        <v>22</v>
      </c>
      <c r="H88" s="195" t="s">
        <v>33</v>
      </c>
      <c r="I88" s="195" t="s">
        <v>30</v>
      </c>
      <c r="J88" s="193" t="s">
        <v>6</v>
      </c>
      <c r="K88" s="197"/>
      <c r="L88" s="197"/>
      <c r="M88" s="197"/>
      <c r="N88" s="197"/>
      <c r="O88" s="197"/>
      <c r="P88" s="197"/>
      <c r="Q88" s="198"/>
      <c r="R88" s="193" t="s">
        <v>10</v>
      </c>
      <c r="S88" s="198"/>
      <c r="T88" s="191" t="s">
        <v>11</v>
      </c>
      <c r="U88" s="191" t="s">
        <v>12</v>
      </c>
      <c r="V88" s="191"/>
      <c r="W88" s="191"/>
    </row>
    <row r="89" spans="1:23" s="26" customFormat="1" ht="13.8" x14ac:dyDescent="0.3">
      <c r="A89" s="191"/>
      <c r="B89" s="192"/>
      <c r="C89" s="192"/>
      <c r="D89" s="192"/>
      <c r="E89" s="194"/>
      <c r="F89" s="196"/>
      <c r="G89" s="196"/>
      <c r="H89" s="196"/>
      <c r="I89" s="196"/>
      <c r="J89" s="200" t="s">
        <v>7</v>
      </c>
      <c r="K89" s="201"/>
      <c r="L89" s="200" t="s">
        <v>8</v>
      </c>
      <c r="M89" s="201"/>
      <c r="N89" s="200" t="s">
        <v>9</v>
      </c>
      <c r="O89" s="201"/>
      <c r="P89" s="200" t="s">
        <v>117</v>
      </c>
      <c r="Q89" s="201"/>
      <c r="R89" s="194"/>
      <c r="S89" s="199"/>
      <c r="T89" s="191"/>
      <c r="U89" s="191"/>
      <c r="V89" s="191"/>
      <c r="W89" s="191"/>
    </row>
    <row r="90" spans="1:23" ht="14.55" customHeight="1" x14ac:dyDescent="0.3">
      <c r="A90" s="180" t="s">
        <v>581</v>
      </c>
      <c r="B90" s="5">
        <v>0.33333333333333331</v>
      </c>
      <c r="C90" s="5">
        <v>0.58333333333333337</v>
      </c>
      <c r="D90" s="126"/>
      <c r="E90" s="12"/>
      <c r="F90" s="40"/>
      <c r="G90" s="41"/>
      <c r="H90" s="40"/>
      <c r="I90" s="12"/>
      <c r="J90" s="165">
        <v>1500</v>
      </c>
      <c r="K90" s="166"/>
      <c r="L90" s="165"/>
      <c r="M90" s="166"/>
      <c r="N90" s="165"/>
      <c r="O90" s="166"/>
      <c r="P90" s="165"/>
      <c r="Q90" s="166"/>
      <c r="R90" s="136"/>
      <c r="S90" s="14" t="s">
        <v>20</v>
      </c>
      <c r="T90" s="42"/>
      <c r="U90" s="177"/>
      <c r="V90" s="178"/>
      <c r="W90" s="179"/>
    </row>
    <row r="91" spans="1:23" ht="14.55" customHeight="1" x14ac:dyDescent="0.3">
      <c r="A91" s="181"/>
      <c r="B91" s="5"/>
      <c r="C91" s="5"/>
      <c r="D91" s="126"/>
      <c r="E91" s="13"/>
      <c r="F91" s="40"/>
      <c r="G91" s="41"/>
      <c r="H91" s="40"/>
      <c r="I91" s="12"/>
      <c r="J91" s="165"/>
      <c r="K91" s="166"/>
      <c r="L91" s="165"/>
      <c r="M91" s="166"/>
      <c r="N91" s="165"/>
      <c r="O91" s="166"/>
      <c r="P91" s="165"/>
      <c r="Q91" s="166"/>
      <c r="R91" s="136"/>
      <c r="S91" s="14" t="s">
        <v>20</v>
      </c>
      <c r="T91" s="42"/>
      <c r="U91" s="177"/>
      <c r="V91" s="178"/>
      <c r="W91" s="179"/>
    </row>
    <row r="92" spans="1:23" ht="14.55" customHeight="1" x14ac:dyDescent="0.3">
      <c r="A92" s="181"/>
      <c r="B92" s="5"/>
      <c r="C92" s="5"/>
      <c r="D92" s="4"/>
      <c r="E92" s="12"/>
      <c r="F92" s="40"/>
      <c r="G92" s="41"/>
      <c r="H92" s="40"/>
      <c r="I92" s="12"/>
      <c r="J92" s="165"/>
      <c r="K92" s="166"/>
      <c r="L92" s="165"/>
      <c r="M92" s="166"/>
      <c r="N92" s="165"/>
      <c r="O92" s="166"/>
      <c r="P92" s="165"/>
      <c r="Q92" s="166"/>
      <c r="R92" s="136"/>
      <c r="S92" s="14" t="s">
        <v>20</v>
      </c>
      <c r="T92" s="42"/>
      <c r="U92" s="177"/>
      <c r="V92" s="178"/>
      <c r="W92" s="179"/>
    </row>
    <row r="93" spans="1:23" ht="14.55" customHeight="1" x14ac:dyDescent="0.3">
      <c r="A93" s="182"/>
      <c r="B93" s="19"/>
      <c r="C93" s="19"/>
      <c r="D93" s="20"/>
      <c r="E93" s="170" t="s">
        <v>0</v>
      </c>
      <c r="F93" s="171"/>
      <c r="G93" s="171"/>
      <c r="H93" s="171"/>
      <c r="I93" s="172"/>
      <c r="J93" s="173">
        <f>SUM(J90:K92)</f>
        <v>1500</v>
      </c>
      <c r="K93" s="174"/>
      <c r="L93" s="173">
        <f>SUM(L90:M92)</f>
        <v>0</v>
      </c>
      <c r="M93" s="174"/>
      <c r="N93" s="173">
        <f>SUM(N90:O92)</f>
        <v>0</v>
      </c>
      <c r="O93" s="174"/>
      <c r="P93" s="173">
        <f>SUM(P90:Q92)</f>
        <v>0</v>
      </c>
      <c r="Q93" s="174"/>
      <c r="R93" s="23">
        <f>SUM(R90:R92)</f>
        <v>0</v>
      </c>
      <c r="S93" s="24" t="s">
        <v>20</v>
      </c>
      <c r="T93" s="19"/>
      <c r="U93" s="177"/>
      <c r="V93" s="178"/>
      <c r="W93" s="179"/>
    </row>
    <row r="94" spans="1:23" ht="14.55" customHeight="1" x14ac:dyDescent="0.3">
      <c r="A94" s="163" t="s">
        <v>580</v>
      </c>
      <c r="B94" s="5"/>
      <c r="C94" s="5"/>
      <c r="D94" s="4"/>
      <c r="E94" s="12"/>
      <c r="F94" s="40"/>
      <c r="G94" s="41"/>
      <c r="H94" s="40"/>
      <c r="I94" s="12"/>
      <c r="J94" s="165"/>
      <c r="K94" s="166"/>
      <c r="L94" s="165"/>
      <c r="M94" s="166"/>
      <c r="N94" s="165"/>
      <c r="O94" s="166"/>
      <c r="P94" s="165"/>
      <c r="Q94" s="166"/>
      <c r="R94" s="136"/>
      <c r="S94" s="14" t="s">
        <v>20</v>
      </c>
      <c r="T94" s="42"/>
      <c r="U94" s="177"/>
      <c r="V94" s="178"/>
      <c r="W94" s="179"/>
    </row>
    <row r="95" spans="1:23" ht="14.55" customHeight="1" x14ac:dyDescent="0.3">
      <c r="A95" s="163"/>
      <c r="B95" s="5"/>
      <c r="C95" s="5"/>
      <c r="D95" s="4"/>
      <c r="E95" s="12"/>
      <c r="F95" s="40"/>
      <c r="G95" s="41"/>
      <c r="H95" s="40"/>
      <c r="I95" s="12"/>
      <c r="J95" s="165"/>
      <c r="K95" s="166"/>
      <c r="L95" s="165"/>
      <c r="M95" s="166"/>
      <c r="N95" s="165"/>
      <c r="O95" s="166"/>
      <c r="P95" s="165"/>
      <c r="Q95" s="166"/>
      <c r="R95" s="136"/>
      <c r="S95" s="14" t="s">
        <v>20</v>
      </c>
      <c r="T95" s="42"/>
      <c r="U95" s="177"/>
      <c r="V95" s="178"/>
      <c r="W95" s="179"/>
    </row>
    <row r="96" spans="1:23" ht="14.55" customHeight="1" x14ac:dyDescent="0.3">
      <c r="A96" s="163"/>
      <c r="B96" s="5"/>
      <c r="C96" s="5"/>
      <c r="D96" s="4"/>
      <c r="E96" s="12"/>
      <c r="F96" s="40"/>
      <c r="G96" s="41"/>
      <c r="H96" s="40"/>
      <c r="I96" s="12"/>
      <c r="J96" s="165"/>
      <c r="K96" s="166"/>
      <c r="L96" s="165"/>
      <c r="M96" s="166"/>
      <c r="N96" s="165"/>
      <c r="O96" s="166"/>
      <c r="P96" s="165"/>
      <c r="Q96" s="166"/>
      <c r="R96" s="136"/>
      <c r="S96" s="14" t="s">
        <v>20</v>
      </c>
      <c r="T96" s="42"/>
      <c r="U96" s="177"/>
      <c r="V96" s="178"/>
      <c r="W96" s="179"/>
    </row>
    <row r="97" spans="1:23" ht="14.55" customHeight="1" x14ac:dyDescent="0.3">
      <c r="A97" s="163"/>
      <c r="B97" s="5"/>
      <c r="C97" s="5"/>
      <c r="D97" s="4"/>
      <c r="E97" s="12"/>
      <c r="F97" s="40"/>
      <c r="G97" s="41"/>
      <c r="H97" s="40"/>
      <c r="I97" s="12"/>
      <c r="J97" s="165"/>
      <c r="K97" s="166"/>
      <c r="L97" s="165"/>
      <c r="M97" s="166"/>
      <c r="N97" s="165"/>
      <c r="O97" s="166"/>
      <c r="P97" s="165"/>
      <c r="Q97" s="166"/>
      <c r="R97" s="136"/>
      <c r="S97" s="14" t="s">
        <v>20</v>
      </c>
      <c r="T97" s="42"/>
      <c r="U97" s="177"/>
      <c r="V97" s="178"/>
      <c r="W97" s="179"/>
    </row>
    <row r="98" spans="1:23" ht="14.55" customHeight="1" x14ac:dyDescent="0.3">
      <c r="A98" s="164"/>
      <c r="B98" s="19"/>
      <c r="C98" s="19"/>
      <c r="D98" s="20"/>
      <c r="E98" s="170" t="s">
        <v>0</v>
      </c>
      <c r="F98" s="171"/>
      <c r="G98" s="171"/>
      <c r="H98" s="171"/>
      <c r="I98" s="172"/>
      <c r="J98" s="173">
        <f>SUM(J94:K97)</f>
        <v>0</v>
      </c>
      <c r="K98" s="174"/>
      <c r="L98" s="173">
        <f>SUM(L94:M97)</f>
        <v>0</v>
      </c>
      <c r="M98" s="174"/>
      <c r="N98" s="173">
        <f>SUM(N94:O97)</f>
        <v>0</v>
      </c>
      <c r="O98" s="174"/>
      <c r="P98" s="173">
        <f>SUM(P94:Q97)</f>
        <v>0</v>
      </c>
      <c r="Q98" s="174"/>
      <c r="R98" s="23">
        <f>SUM(R94:R97)</f>
        <v>0</v>
      </c>
      <c r="S98" s="24" t="s">
        <v>20</v>
      </c>
      <c r="T98" s="19"/>
      <c r="U98" s="177"/>
      <c r="V98" s="178"/>
      <c r="W98" s="179"/>
    </row>
    <row r="99" spans="1:23" ht="14.55" customHeight="1" x14ac:dyDescent="0.3">
      <c r="A99" s="27"/>
      <c r="B99" s="27"/>
      <c r="C99" s="27"/>
      <c r="D99" s="27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27"/>
      <c r="S99" s="27"/>
      <c r="T99" s="39"/>
      <c r="U99" s="39"/>
      <c r="V99" s="39"/>
      <c r="W99" s="39"/>
    </row>
    <row r="100" spans="1:23" x14ac:dyDescent="0.3">
      <c r="E100" s="170" t="s">
        <v>585</v>
      </c>
      <c r="F100" s="171"/>
      <c r="G100" s="171"/>
      <c r="H100" s="171"/>
      <c r="I100" s="172"/>
      <c r="J100" s="175" t="s">
        <v>7</v>
      </c>
      <c r="K100" s="176"/>
      <c r="L100" s="175" t="s">
        <v>8</v>
      </c>
      <c r="M100" s="176"/>
      <c r="N100" s="175" t="s">
        <v>9</v>
      </c>
      <c r="O100" s="176"/>
      <c r="P100" s="175" t="s">
        <v>117</v>
      </c>
      <c r="Q100" s="176"/>
    </row>
    <row r="101" spans="1:23" s="2" customFormat="1" x14ac:dyDescent="0.3">
      <c r="E101" s="15"/>
      <c r="F101" s="15"/>
      <c r="G101" s="15"/>
      <c r="H101" s="15"/>
      <c r="I101" s="15"/>
      <c r="J101" s="30">
        <f>SUM(J98,J93)</f>
        <v>1500</v>
      </c>
      <c r="K101" s="31" t="s">
        <v>17</v>
      </c>
      <c r="L101" s="30">
        <f>SUM(L98,L93)</f>
        <v>0</v>
      </c>
      <c r="M101" s="31" t="s">
        <v>17</v>
      </c>
      <c r="N101" s="30">
        <f>SUM(N98,N93)</f>
        <v>0</v>
      </c>
      <c r="O101" s="31" t="s">
        <v>17</v>
      </c>
      <c r="P101" s="30">
        <f>SUM(P98,P93)</f>
        <v>0</v>
      </c>
      <c r="Q101" s="34" t="s">
        <v>17</v>
      </c>
    </row>
    <row r="102" spans="1:23" ht="24.45" customHeight="1" x14ac:dyDescent="0.3">
      <c r="E102" s="28"/>
      <c r="F102" s="28"/>
      <c r="G102" s="28"/>
      <c r="H102" s="28"/>
      <c r="I102" s="28"/>
      <c r="J102" s="167">
        <f>J101+L101+N101+P101</f>
        <v>1500</v>
      </c>
      <c r="K102" s="168"/>
      <c r="L102" s="168"/>
      <c r="M102" s="168"/>
      <c r="N102" s="168"/>
      <c r="O102" s="168"/>
      <c r="P102" s="168"/>
      <c r="Q102" s="169"/>
    </row>
  </sheetData>
  <mergeCells count="386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A31:A34"/>
    <mergeCell ref="J31:K31"/>
    <mergeCell ref="L31:M31"/>
    <mergeCell ref="N31:O31"/>
    <mergeCell ref="P31:Q31"/>
    <mergeCell ref="G29:G30"/>
    <mergeCell ref="H29:H30"/>
    <mergeCell ref="I29:I30"/>
    <mergeCell ref="J29:Q29"/>
    <mergeCell ref="J33:K33"/>
    <mergeCell ref="L33:M33"/>
    <mergeCell ref="N33:O33"/>
    <mergeCell ref="P33:Q33"/>
    <mergeCell ref="U31:W34"/>
    <mergeCell ref="J32:K32"/>
    <mergeCell ref="L32:M32"/>
    <mergeCell ref="N32:O32"/>
    <mergeCell ref="P32:Q32"/>
    <mergeCell ref="E34:I34"/>
    <mergeCell ref="J34:K34"/>
    <mergeCell ref="L34:M34"/>
    <mergeCell ref="N34:O34"/>
    <mergeCell ref="P34:Q34"/>
    <mergeCell ref="A35:A38"/>
    <mergeCell ref="J35:K35"/>
    <mergeCell ref="L35:M35"/>
    <mergeCell ref="N35:O35"/>
    <mergeCell ref="P35:Q35"/>
    <mergeCell ref="U35:W38"/>
    <mergeCell ref="J36:K36"/>
    <mergeCell ref="L36:M36"/>
    <mergeCell ref="N36:O36"/>
    <mergeCell ref="P36:Q36"/>
    <mergeCell ref="J37:K37"/>
    <mergeCell ref="L37:M37"/>
    <mergeCell ref="N37:O37"/>
    <mergeCell ref="P37:Q37"/>
    <mergeCell ref="E38:I38"/>
    <mergeCell ref="J38:K38"/>
    <mergeCell ref="L38:M38"/>
    <mergeCell ref="N38:O38"/>
    <mergeCell ref="P38:Q38"/>
    <mergeCell ref="A39:A42"/>
    <mergeCell ref="J39:K39"/>
    <mergeCell ref="L39:M39"/>
    <mergeCell ref="N39:O39"/>
    <mergeCell ref="P39:Q39"/>
    <mergeCell ref="J41:K41"/>
    <mergeCell ref="L41:M41"/>
    <mergeCell ref="N41:O41"/>
    <mergeCell ref="P41:Q41"/>
    <mergeCell ref="U39:W42"/>
    <mergeCell ref="J40:K40"/>
    <mergeCell ref="L40:M40"/>
    <mergeCell ref="N40:O40"/>
    <mergeCell ref="P40:Q40"/>
    <mergeCell ref="E42:I42"/>
    <mergeCell ref="J42:K42"/>
    <mergeCell ref="L42:M42"/>
    <mergeCell ref="N42:O42"/>
    <mergeCell ref="P42:Q42"/>
    <mergeCell ref="A43:A46"/>
    <mergeCell ref="J43:K43"/>
    <mergeCell ref="L43:M43"/>
    <mergeCell ref="N43:O43"/>
    <mergeCell ref="P43:Q43"/>
    <mergeCell ref="J44:K44"/>
    <mergeCell ref="L44:M44"/>
    <mergeCell ref="N44:O44"/>
    <mergeCell ref="P44:Q44"/>
    <mergeCell ref="J45:K45"/>
    <mergeCell ref="L45:M45"/>
    <mergeCell ref="N45:O45"/>
    <mergeCell ref="P45:Q45"/>
    <mergeCell ref="U43:W46"/>
    <mergeCell ref="E46:I46"/>
    <mergeCell ref="J46:K46"/>
    <mergeCell ref="L46:M46"/>
    <mergeCell ref="N46:O46"/>
    <mergeCell ref="P46:Q46"/>
    <mergeCell ref="E48:I48"/>
    <mergeCell ref="J48:K48"/>
    <mergeCell ref="L48:M48"/>
    <mergeCell ref="N48:O48"/>
    <mergeCell ref="P48:Q48"/>
    <mergeCell ref="J50:Q50"/>
    <mergeCell ref="Q52:S52"/>
    <mergeCell ref="T52:W52"/>
    <mergeCell ref="A53:W53"/>
    <mergeCell ref="A54:A55"/>
    <mergeCell ref="B54:B55"/>
    <mergeCell ref="C54:C55"/>
    <mergeCell ref="D54:D55"/>
    <mergeCell ref="E54:E55"/>
    <mergeCell ref="F54:F55"/>
    <mergeCell ref="U54:W55"/>
    <mergeCell ref="J55:K55"/>
    <mergeCell ref="L55:M55"/>
    <mergeCell ref="N55:O55"/>
    <mergeCell ref="P55:Q55"/>
    <mergeCell ref="R54:S55"/>
    <mergeCell ref="T54:T55"/>
    <mergeCell ref="A56:A59"/>
    <mergeCell ref="J56:K56"/>
    <mergeCell ref="L56:M56"/>
    <mergeCell ref="N56:O56"/>
    <mergeCell ref="P56:Q56"/>
    <mergeCell ref="G54:G55"/>
    <mergeCell ref="H54:H55"/>
    <mergeCell ref="I54:I55"/>
    <mergeCell ref="J54:Q54"/>
    <mergeCell ref="J58:K58"/>
    <mergeCell ref="L58:M58"/>
    <mergeCell ref="N58:O58"/>
    <mergeCell ref="P58:Q58"/>
    <mergeCell ref="U56:W59"/>
    <mergeCell ref="J57:K57"/>
    <mergeCell ref="L57:M57"/>
    <mergeCell ref="N57:O57"/>
    <mergeCell ref="P57:Q57"/>
    <mergeCell ref="E59:I59"/>
    <mergeCell ref="J59:K59"/>
    <mergeCell ref="L59:M59"/>
    <mergeCell ref="N59:O59"/>
    <mergeCell ref="P59:Q59"/>
    <mergeCell ref="E61:I61"/>
    <mergeCell ref="J61:K61"/>
    <mergeCell ref="L61:M61"/>
    <mergeCell ref="N61:O61"/>
    <mergeCell ref="P61:Q61"/>
    <mergeCell ref="R67:S68"/>
    <mergeCell ref="T67:T68"/>
    <mergeCell ref="U67:W68"/>
    <mergeCell ref="J68:K68"/>
    <mergeCell ref="L68:M68"/>
    <mergeCell ref="N68:O68"/>
    <mergeCell ref="P68:Q68"/>
    <mergeCell ref="J63:Q63"/>
    <mergeCell ref="Q65:S65"/>
    <mergeCell ref="T65:W65"/>
    <mergeCell ref="A66:W66"/>
    <mergeCell ref="A67:A68"/>
    <mergeCell ref="B67:B68"/>
    <mergeCell ref="C67:C68"/>
    <mergeCell ref="D67:D68"/>
    <mergeCell ref="E67:I68"/>
    <mergeCell ref="J67:Q67"/>
    <mergeCell ref="N72:O72"/>
    <mergeCell ref="P72:Q72"/>
    <mergeCell ref="E73:I73"/>
    <mergeCell ref="J73:K73"/>
    <mergeCell ref="L73:M73"/>
    <mergeCell ref="N73:O73"/>
    <mergeCell ref="P73:Q73"/>
    <mergeCell ref="U69:W76"/>
    <mergeCell ref="E70:I70"/>
    <mergeCell ref="J70:K70"/>
    <mergeCell ref="L70:M70"/>
    <mergeCell ref="N70:O70"/>
    <mergeCell ref="P70:Q70"/>
    <mergeCell ref="E71:I71"/>
    <mergeCell ref="J71:K71"/>
    <mergeCell ref="L71:M71"/>
    <mergeCell ref="N71:O71"/>
    <mergeCell ref="E69:I69"/>
    <mergeCell ref="J69:K69"/>
    <mergeCell ref="L69:M69"/>
    <mergeCell ref="N69:O69"/>
    <mergeCell ref="P69:Q69"/>
    <mergeCell ref="P71:Q71"/>
    <mergeCell ref="E72:I72"/>
    <mergeCell ref="E76:I76"/>
    <mergeCell ref="J76:K76"/>
    <mergeCell ref="L76:M76"/>
    <mergeCell ref="N76:O76"/>
    <mergeCell ref="P76:Q76"/>
    <mergeCell ref="A77:A80"/>
    <mergeCell ref="E77:I77"/>
    <mergeCell ref="J77:K77"/>
    <mergeCell ref="L77:M77"/>
    <mergeCell ref="N77:O77"/>
    <mergeCell ref="A69:A76"/>
    <mergeCell ref="J72:K72"/>
    <mergeCell ref="L72:M72"/>
    <mergeCell ref="P77:Q77"/>
    <mergeCell ref="E74:I74"/>
    <mergeCell ref="J74:K74"/>
    <mergeCell ref="L74:M74"/>
    <mergeCell ref="N74:O74"/>
    <mergeCell ref="P74:Q74"/>
    <mergeCell ref="E75:I75"/>
    <mergeCell ref="J75:K75"/>
    <mergeCell ref="L75:M75"/>
    <mergeCell ref="N75:O75"/>
    <mergeCell ref="P75:Q75"/>
    <mergeCell ref="U77:W80"/>
    <mergeCell ref="E78:I78"/>
    <mergeCell ref="J78:K78"/>
    <mergeCell ref="L78:M78"/>
    <mergeCell ref="N78:O78"/>
    <mergeCell ref="P78:Q78"/>
    <mergeCell ref="E79:I79"/>
    <mergeCell ref="J79:K79"/>
    <mergeCell ref="L79:M79"/>
    <mergeCell ref="E82:I82"/>
    <mergeCell ref="J82:K82"/>
    <mergeCell ref="L82:M82"/>
    <mergeCell ref="N82:O82"/>
    <mergeCell ref="P82:Q82"/>
    <mergeCell ref="J84:Q84"/>
    <mergeCell ref="N79:O79"/>
    <mergeCell ref="P79:Q79"/>
    <mergeCell ref="E80:I80"/>
    <mergeCell ref="J80:K80"/>
    <mergeCell ref="L80:M80"/>
    <mergeCell ref="N80:O80"/>
    <mergeCell ref="P80:Q80"/>
    <mergeCell ref="Q86:S86"/>
    <mergeCell ref="T86:W86"/>
    <mergeCell ref="A87:W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Q88"/>
    <mergeCell ref="R88:S89"/>
    <mergeCell ref="T88:T89"/>
    <mergeCell ref="U88:W89"/>
    <mergeCell ref="J89:K89"/>
    <mergeCell ref="L89:M89"/>
    <mergeCell ref="N89:O89"/>
    <mergeCell ref="P89:Q89"/>
    <mergeCell ref="E93:I93"/>
    <mergeCell ref="J93:K93"/>
    <mergeCell ref="L93:M93"/>
    <mergeCell ref="N93:O93"/>
    <mergeCell ref="P93:Q93"/>
    <mergeCell ref="A90:A93"/>
    <mergeCell ref="J90:K90"/>
    <mergeCell ref="L90:M90"/>
    <mergeCell ref="N90:O90"/>
    <mergeCell ref="P90:Q90"/>
    <mergeCell ref="J91:K91"/>
    <mergeCell ref="L91:M91"/>
    <mergeCell ref="N91:O91"/>
    <mergeCell ref="P91:Q91"/>
    <mergeCell ref="U94:W98"/>
    <mergeCell ref="J95:K95"/>
    <mergeCell ref="L95:M95"/>
    <mergeCell ref="N95:O95"/>
    <mergeCell ref="P95:Q95"/>
    <mergeCell ref="J92:K92"/>
    <mergeCell ref="L92:M92"/>
    <mergeCell ref="N92:O92"/>
    <mergeCell ref="P92:Q92"/>
    <mergeCell ref="U90:W93"/>
    <mergeCell ref="J96:K96"/>
    <mergeCell ref="L96:M96"/>
    <mergeCell ref="N96:O96"/>
    <mergeCell ref="P96:Q96"/>
    <mergeCell ref="J97:K97"/>
    <mergeCell ref="L97:M97"/>
    <mergeCell ref="N97:O97"/>
    <mergeCell ref="P97:Q97"/>
    <mergeCell ref="A94:A98"/>
    <mergeCell ref="J94:K94"/>
    <mergeCell ref="L94:M94"/>
    <mergeCell ref="N94:O94"/>
    <mergeCell ref="P94:Q94"/>
    <mergeCell ref="J102:Q102"/>
    <mergeCell ref="E98:I98"/>
    <mergeCell ref="J98:K98"/>
    <mergeCell ref="L98:M98"/>
    <mergeCell ref="N98:O98"/>
    <mergeCell ref="P98:Q98"/>
    <mergeCell ref="E100:I100"/>
    <mergeCell ref="J100:K100"/>
    <mergeCell ref="L100:M100"/>
    <mergeCell ref="N100:O100"/>
    <mergeCell ref="P100:Q100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39"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W121"/>
  <sheetViews>
    <sheetView topLeftCell="A40" zoomScale="85" zoomScaleNormal="85" workbookViewId="0">
      <selection activeCell="F66" sqref="F66"/>
    </sheetView>
  </sheetViews>
  <sheetFormatPr defaultColWidth="8.88671875" defaultRowHeight="14.4" x14ac:dyDescent="0.3"/>
  <cols>
    <col min="1" max="1" width="12.6640625" style="135" customWidth="1"/>
    <col min="2" max="3" width="7.6640625" style="135" customWidth="1"/>
    <col min="4" max="4" width="8.88671875" style="8" bestFit="1" customWidth="1"/>
    <col min="5" max="5" width="35.6640625" style="135" customWidth="1"/>
    <col min="6" max="6" width="5.6640625" style="135" customWidth="1"/>
    <col min="7" max="9" width="6.6640625" style="13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35" customWidth="1"/>
    <col min="20" max="20" width="21.5546875" style="135" bestFit="1" customWidth="1"/>
    <col min="21" max="23" width="7.6640625" style="135" customWidth="1"/>
    <col min="24" max="16384" width="8.88671875" style="135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45957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250081</v>
      </c>
      <c r="E7" s="12" t="s">
        <v>649</v>
      </c>
      <c r="F7" s="17">
        <v>427</v>
      </c>
      <c r="G7" s="17">
        <v>304</v>
      </c>
      <c r="H7" s="18">
        <v>0.6</v>
      </c>
      <c r="I7" s="17">
        <v>35000</v>
      </c>
      <c r="J7" s="165">
        <v>252</v>
      </c>
      <c r="K7" s="166"/>
      <c r="L7" s="165"/>
      <c r="M7" s="166"/>
      <c r="N7" s="165"/>
      <c r="O7" s="166"/>
      <c r="P7" s="165"/>
      <c r="Q7" s="166"/>
      <c r="R7" s="137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650</v>
      </c>
      <c r="F8" s="17" t="s">
        <v>313</v>
      </c>
      <c r="G8" s="17">
        <v>304</v>
      </c>
      <c r="H8" s="18">
        <v>0.6</v>
      </c>
      <c r="I8" s="17">
        <v>35000</v>
      </c>
      <c r="J8" s="165"/>
      <c r="K8" s="166"/>
      <c r="L8" s="165"/>
      <c r="M8" s="166"/>
      <c r="N8" s="165">
        <v>84</v>
      </c>
      <c r="O8" s="166"/>
      <c r="P8" s="165"/>
      <c r="Q8" s="166"/>
      <c r="R8" s="137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250081</v>
      </c>
      <c r="E9" s="12" t="s">
        <v>651</v>
      </c>
      <c r="F9" s="17">
        <v>548</v>
      </c>
      <c r="G9" s="17">
        <v>304</v>
      </c>
      <c r="H9" s="18">
        <v>0.6</v>
      </c>
      <c r="I9" s="17">
        <v>35000</v>
      </c>
      <c r="J9" s="165">
        <v>402</v>
      </c>
      <c r="K9" s="166"/>
      <c r="L9" s="165"/>
      <c r="M9" s="166"/>
      <c r="N9" s="165"/>
      <c r="O9" s="166"/>
      <c r="P9" s="165"/>
      <c r="Q9" s="166"/>
      <c r="R9" s="137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520</v>
      </c>
      <c r="F10" s="17">
        <v>315</v>
      </c>
      <c r="G10" s="17">
        <v>304</v>
      </c>
      <c r="H10" s="18">
        <v>0.6</v>
      </c>
      <c r="I10" s="17">
        <v>35000</v>
      </c>
      <c r="J10" s="165">
        <v>201</v>
      </c>
      <c r="K10" s="166"/>
      <c r="L10" s="165"/>
      <c r="M10" s="166"/>
      <c r="N10" s="165"/>
      <c r="O10" s="166"/>
      <c r="P10" s="165"/>
      <c r="Q10" s="166"/>
      <c r="R10" s="137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652</v>
      </c>
      <c r="F11" s="17">
        <v>100</v>
      </c>
      <c r="G11" s="17">
        <v>304</v>
      </c>
      <c r="H11" s="18">
        <v>0.6</v>
      </c>
      <c r="I11" s="17">
        <v>35000</v>
      </c>
      <c r="J11" s="165"/>
      <c r="K11" s="166"/>
      <c r="L11" s="165"/>
      <c r="M11" s="166"/>
      <c r="N11" s="165">
        <v>402</v>
      </c>
      <c r="O11" s="166"/>
      <c r="P11" s="165"/>
      <c r="Q11" s="166"/>
      <c r="R11" s="137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>
        <v>250081</v>
      </c>
      <c r="E12" s="12" t="s">
        <v>653</v>
      </c>
      <c r="F12" s="17">
        <v>577</v>
      </c>
      <c r="G12" s="17">
        <v>304</v>
      </c>
      <c r="H12" s="18">
        <v>0.6</v>
      </c>
      <c r="I12" s="17">
        <v>35000</v>
      </c>
      <c r="J12" s="165">
        <v>600</v>
      </c>
      <c r="K12" s="166"/>
      <c r="L12" s="165"/>
      <c r="M12" s="166"/>
      <c r="N12" s="165"/>
      <c r="O12" s="166"/>
      <c r="P12" s="165"/>
      <c r="Q12" s="166"/>
      <c r="R12" s="137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654</v>
      </c>
      <c r="F13" s="17">
        <v>283</v>
      </c>
      <c r="G13" s="17">
        <v>304</v>
      </c>
      <c r="H13" s="18">
        <v>0.6</v>
      </c>
      <c r="I13" s="17">
        <v>35000</v>
      </c>
      <c r="J13" s="165">
        <v>300</v>
      </c>
      <c r="K13" s="166"/>
      <c r="L13" s="165"/>
      <c r="M13" s="166"/>
      <c r="N13" s="165"/>
      <c r="O13" s="166"/>
      <c r="P13" s="165"/>
      <c r="Q13" s="166"/>
      <c r="R13" s="137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250081</v>
      </c>
      <c r="E14" s="12" t="s">
        <v>655</v>
      </c>
      <c r="F14" s="17">
        <v>467</v>
      </c>
      <c r="G14" s="17">
        <v>304</v>
      </c>
      <c r="H14" s="18">
        <v>0.6</v>
      </c>
      <c r="I14" s="17">
        <v>35000</v>
      </c>
      <c r="J14" s="165">
        <v>504</v>
      </c>
      <c r="K14" s="166"/>
      <c r="L14" s="165"/>
      <c r="M14" s="166"/>
      <c r="N14" s="165"/>
      <c r="O14" s="166"/>
      <c r="P14" s="165"/>
      <c r="Q14" s="166"/>
      <c r="R14" s="137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 t="s">
        <v>102</v>
      </c>
      <c r="E15" s="12" t="s">
        <v>656</v>
      </c>
      <c r="F15" s="17">
        <v>415</v>
      </c>
      <c r="G15" s="17">
        <v>304</v>
      </c>
      <c r="H15" s="18">
        <v>0.6</v>
      </c>
      <c r="I15" s="17">
        <v>35000</v>
      </c>
      <c r="J15" s="165">
        <v>252</v>
      </c>
      <c r="K15" s="166"/>
      <c r="L15" s="165"/>
      <c r="M15" s="166"/>
      <c r="N15" s="165"/>
      <c r="O15" s="166"/>
      <c r="P15" s="165"/>
      <c r="Q15" s="166"/>
      <c r="R15" s="137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>
        <v>21025</v>
      </c>
      <c r="E16" s="12" t="s">
        <v>374</v>
      </c>
      <c r="F16" s="17">
        <v>240</v>
      </c>
      <c r="G16" s="17">
        <v>304</v>
      </c>
      <c r="H16" s="18">
        <v>0.6</v>
      </c>
      <c r="I16" s="17">
        <v>35000</v>
      </c>
      <c r="J16" s="165">
        <v>1015</v>
      </c>
      <c r="K16" s="166"/>
      <c r="L16" s="165"/>
      <c r="M16" s="166"/>
      <c r="N16" s="165"/>
      <c r="O16" s="166"/>
      <c r="P16" s="165"/>
      <c r="Q16" s="166"/>
      <c r="R16" s="137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 t="s">
        <v>102</v>
      </c>
      <c r="E17" s="12" t="s">
        <v>657</v>
      </c>
      <c r="F17" s="17">
        <v>160</v>
      </c>
      <c r="G17" s="17">
        <v>304</v>
      </c>
      <c r="H17" s="18">
        <v>0.6</v>
      </c>
      <c r="I17" s="17">
        <v>35000</v>
      </c>
      <c r="J17" s="165"/>
      <c r="K17" s="166"/>
      <c r="L17" s="165"/>
      <c r="M17" s="166"/>
      <c r="N17" s="165">
        <v>203</v>
      </c>
      <c r="O17" s="166"/>
      <c r="P17" s="165"/>
      <c r="Q17" s="166"/>
      <c r="R17" s="137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>
        <v>250084</v>
      </c>
      <c r="E18" s="12" t="s">
        <v>649</v>
      </c>
      <c r="F18" s="17">
        <v>427</v>
      </c>
      <c r="G18" s="17">
        <v>304</v>
      </c>
      <c r="H18" s="18">
        <v>0.7</v>
      </c>
      <c r="I18" s="17">
        <v>33000</v>
      </c>
      <c r="J18" s="165">
        <v>720</v>
      </c>
      <c r="K18" s="166"/>
      <c r="L18" s="165"/>
      <c r="M18" s="166"/>
      <c r="N18" s="165"/>
      <c r="O18" s="166"/>
      <c r="P18" s="165"/>
      <c r="Q18" s="166"/>
      <c r="R18" s="137">
        <v>45</v>
      </c>
      <c r="S18" s="14" t="s">
        <v>20</v>
      </c>
      <c r="T18" s="42" t="s">
        <v>110</v>
      </c>
      <c r="U18" s="205"/>
      <c r="V18" s="206"/>
      <c r="W18" s="207"/>
    </row>
    <row r="19" spans="1:23" x14ac:dyDescent="0.3">
      <c r="A19" s="181"/>
      <c r="B19" s="5"/>
      <c r="C19" s="5"/>
      <c r="D19" s="4" t="s">
        <v>102</v>
      </c>
      <c r="E19" s="12" t="s">
        <v>569</v>
      </c>
      <c r="F19" s="17" t="s">
        <v>313</v>
      </c>
      <c r="G19" s="17">
        <v>304</v>
      </c>
      <c r="H19" s="18">
        <v>0.7</v>
      </c>
      <c r="I19" s="17">
        <v>33000</v>
      </c>
      <c r="J19" s="165"/>
      <c r="K19" s="166"/>
      <c r="L19" s="165"/>
      <c r="M19" s="166"/>
      <c r="N19" s="165">
        <v>240</v>
      </c>
      <c r="O19" s="166"/>
      <c r="P19" s="165"/>
      <c r="Q19" s="166"/>
      <c r="R19" s="137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>
        <v>250084</v>
      </c>
      <c r="E20" s="12" t="s">
        <v>658</v>
      </c>
      <c r="F20" s="17">
        <v>610</v>
      </c>
      <c r="G20" s="17">
        <v>304</v>
      </c>
      <c r="H20" s="18">
        <v>0.7</v>
      </c>
      <c r="I20" s="17">
        <v>33000</v>
      </c>
      <c r="J20" s="165">
        <v>36</v>
      </c>
      <c r="K20" s="166"/>
      <c r="L20" s="165"/>
      <c r="M20" s="166"/>
      <c r="N20" s="165"/>
      <c r="O20" s="166"/>
      <c r="P20" s="165"/>
      <c r="Q20" s="166"/>
      <c r="R20" s="137"/>
      <c r="S20" s="14" t="s">
        <v>20</v>
      </c>
      <c r="T20" s="42"/>
      <c r="U20" s="205"/>
      <c r="V20" s="206"/>
      <c r="W20" s="207"/>
    </row>
    <row r="21" spans="1:23" x14ac:dyDescent="0.3">
      <c r="A21" s="181"/>
      <c r="B21" s="5"/>
      <c r="C21" s="5"/>
      <c r="D21" s="4" t="s">
        <v>102</v>
      </c>
      <c r="E21" s="12" t="s">
        <v>359</v>
      </c>
      <c r="F21" s="17">
        <v>237</v>
      </c>
      <c r="G21" s="17">
        <v>304</v>
      </c>
      <c r="H21" s="18">
        <v>0.7</v>
      </c>
      <c r="I21" s="17">
        <v>33000</v>
      </c>
      <c r="J21" s="165">
        <v>18</v>
      </c>
      <c r="K21" s="166"/>
      <c r="L21" s="165"/>
      <c r="M21" s="166"/>
      <c r="N21" s="165"/>
      <c r="O21" s="166"/>
      <c r="P21" s="165"/>
      <c r="Q21" s="166"/>
      <c r="R21" s="137"/>
      <c r="S21" s="14" t="s">
        <v>20</v>
      </c>
      <c r="T21" s="42"/>
      <c r="U21" s="205"/>
      <c r="V21" s="206"/>
      <c r="W21" s="207"/>
    </row>
    <row r="22" spans="1:23" x14ac:dyDescent="0.3">
      <c r="A22" s="181"/>
      <c r="B22" s="5"/>
      <c r="C22" s="5"/>
      <c r="D22" s="4">
        <v>250084</v>
      </c>
      <c r="E22" s="12" t="s">
        <v>659</v>
      </c>
      <c r="F22" s="17">
        <v>388</v>
      </c>
      <c r="G22" s="17">
        <v>304</v>
      </c>
      <c r="H22" s="18">
        <v>0.7</v>
      </c>
      <c r="I22" s="17">
        <v>33000</v>
      </c>
      <c r="J22" s="165">
        <v>756</v>
      </c>
      <c r="K22" s="166"/>
      <c r="L22" s="165"/>
      <c r="M22" s="166"/>
      <c r="N22" s="165"/>
      <c r="O22" s="166"/>
      <c r="P22" s="165"/>
      <c r="Q22" s="166"/>
      <c r="R22" s="137"/>
      <c r="S22" s="14" t="s">
        <v>20</v>
      </c>
      <c r="T22" s="42"/>
      <c r="U22" s="205"/>
      <c r="V22" s="206"/>
      <c r="W22" s="207"/>
    </row>
    <row r="23" spans="1:23" x14ac:dyDescent="0.3">
      <c r="A23" s="181"/>
      <c r="B23" s="5"/>
      <c r="C23" s="5">
        <v>0.70833333333333337</v>
      </c>
      <c r="D23" s="4" t="s">
        <v>102</v>
      </c>
      <c r="E23" s="12" t="s">
        <v>189</v>
      </c>
      <c r="F23" s="17">
        <v>220</v>
      </c>
      <c r="G23" s="17">
        <v>304</v>
      </c>
      <c r="H23" s="18">
        <v>0.7</v>
      </c>
      <c r="I23" s="17">
        <v>33000</v>
      </c>
      <c r="J23" s="165">
        <v>252</v>
      </c>
      <c r="K23" s="166"/>
      <c r="L23" s="165"/>
      <c r="M23" s="166"/>
      <c r="N23" s="165"/>
      <c r="O23" s="166"/>
      <c r="P23" s="165"/>
      <c r="Q23" s="166"/>
      <c r="R23" s="137"/>
      <c r="S23" s="14" t="s">
        <v>20</v>
      </c>
      <c r="T23" s="42"/>
      <c r="U23" s="205"/>
      <c r="V23" s="206"/>
      <c r="W23" s="207"/>
    </row>
    <row r="24" spans="1:23" x14ac:dyDescent="0.3">
      <c r="A24" s="181"/>
      <c r="B24" s="5"/>
      <c r="C24" s="5"/>
      <c r="D24" s="4"/>
      <c r="E24" s="12"/>
      <c r="F24" s="17"/>
      <c r="G24" s="17"/>
      <c r="H24" s="18"/>
      <c r="I24" s="17"/>
      <c r="J24" s="165"/>
      <c r="K24" s="166"/>
      <c r="L24" s="165"/>
      <c r="M24" s="166"/>
      <c r="N24" s="165"/>
      <c r="O24" s="166"/>
      <c r="P24" s="165"/>
      <c r="Q24" s="166"/>
      <c r="R24" s="137"/>
      <c r="S24" s="14" t="s">
        <v>20</v>
      </c>
      <c r="T24" s="42"/>
      <c r="U24" s="205"/>
      <c r="V24" s="206"/>
      <c r="W24" s="207"/>
    </row>
    <row r="25" spans="1:23" x14ac:dyDescent="0.3">
      <c r="A25" s="182"/>
      <c r="B25" s="170" t="s">
        <v>0</v>
      </c>
      <c r="C25" s="171"/>
      <c r="D25" s="171"/>
      <c r="E25" s="171"/>
      <c r="F25" s="171"/>
      <c r="G25" s="171"/>
      <c r="H25" s="171"/>
      <c r="I25" s="172"/>
      <c r="J25" s="21">
        <f>SUM(J7:K24)</f>
        <v>5308</v>
      </c>
      <c r="K25" s="22" t="s">
        <v>17</v>
      </c>
      <c r="L25" s="21">
        <f>SUM(L7:M24)</f>
        <v>0</v>
      </c>
      <c r="M25" s="22" t="s">
        <v>17</v>
      </c>
      <c r="N25" s="21">
        <f>SUM(N7:O24)</f>
        <v>929</v>
      </c>
      <c r="O25" s="22" t="s">
        <v>17</v>
      </c>
      <c r="P25" s="21">
        <f>SUM(P7:Q24)</f>
        <v>0</v>
      </c>
      <c r="Q25" s="22" t="s">
        <v>17</v>
      </c>
      <c r="R25" s="23">
        <f>SUM(R7:R24)</f>
        <v>45</v>
      </c>
      <c r="S25" s="24" t="s">
        <v>20</v>
      </c>
      <c r="T25" s="19"/>
      <c r="U25" s="208"/>
      <c r="V25" s="209"/>
      <c r="W25" s="210"/>
    </row>
    <row r="26" spans="1:23" ht="14.5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ht="14.55" customHeight="1" x14ac:dyDescent="0.3">
      <c r="A27" s="27"/>
      <c r="B27" s="27"/>
      <c r="C27" s="27"/>
      <c r="D27" s="27"/>
      <c r="E27" s="170" t="s">
        <v>27</v>
      </c>
      <c r="F27" s="171"/>
      <c r="G27" s="171"/>
      <c r="H27" s="171"/>
      <c r="I27" s="172"/>
      <c r="J27" s="175" t="s">
        <v>7</v>
      </c>
      <c r="K27" s="176"/>
      <c r="L27" s="175" t="s">
        <v>8</v>
      </c>
      <c r="M27" s="176"/>
      <c r="N27" s="175" t="s">
        <v>9</v>
      </c>
      <c r="O27" s="176"/>
      <c r="P27" s="175" t="s">
        <v>117</v>
      </c>
      <c r="Q27" s="176"/>
      <c r="R27" s="27"/>
      <c r="S27" s="27"/>
    </row>
    <row r="28" spans="1:23" ht="14.55" customHeight="1" x14ac:dyDescent="0.3">
      <c r="A28" s="27"/>
      <c r="B28" s="27"/>
      <c r="C28" s="27"/>
      <c r="D28" s="27"/>
      <c r="E28" s="15"/>
      <c r="F28" s="15"/>
      <c r="G28" s="15"/>
      <c r="H28" s="15"/>
      <c r="I28" s="15"/>
      <c r="J28" s="30">
        <f>J25</f>
        <v>5308</v>
      </c>
      <c r="K28" s="31" t="s">
        <v>17</v>
      </c>
      <c r="L28" s="32">
        <f>L25</f>
        <v>0</v>
      </c>
      <c r="M28" s="31" t="s">
        <v>17</v>
      </c>
      <c r="N28" s="32">
        <f>N25</f>
        <v>929</v>
      </c>
      <c r="O28" s="31" t="s">
        <v>17</v>
      </c>
      <c r="P28" s="33">
        <f>P25</f>
        <v>0</v>
      </c>
      <c r="Q28" s="34" t="s">
        <v>17</v>
      </c>
      <c r="R28" s="27"/>
      <c r="S28" s="27"/>
    </row>
    <row r="29" spans="1:23" ht="30" customHeight="1" x14ac:dyDescent="0.3">
      <c r="A29" s="27"/>
      <c r="B29" s="27"/>
      <c r="C29" s="27"/>
      <c r="D29" s="27"/>
      <c r="E29" s="28"/>
      <c r="F29" s="28"/>
      <c r="G29" s="28"/>
      <c r="H29" s="28"/>
      <c r="I29" s="28"/>
      <c r="J29" s="167">
        <f>J28+L28+N28+P28</f>
        <v>6237</v>
      </c>
      <c r="K29" s="168"/>
      <c r="L29" s="168"/>
      <c r="M29" s="168"/>
      <c r="N29" s="168"/>
      <c r="O29" s="168"/>
      <c r="P29" s="168"/>
      <c r="Q29" s="169"/>
      <c r="R29" s="27"/>
      <c r="S29" s="27"/>
    </row>
    <row r="30" spans="1:23" ht="14.55" customHeight="1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</row>
    <row r="31" spans="1:23" s="37" customFormat="1" ht="19.95" customHeight="1" x14ac:dyDescent="0.4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183" t="s">
        <v>14</v>
      </c>
      <c r="R31" s="183"/>
      <c r="S31" s="183"/>
      <c r="T31" s="184">
        <f>T3</f>
        <v>45957</v>
      </c>
      <c r="U31" s="185"/>
      <c r="V31" s="185"/>
      <c r="W31" s="186"/>
    </row>
    <row r="32" spans="1:23" s="16" customFormat="1" ht="30" customHeight="1" x14ac:dyDescent="0.3">
      <c r="A32" s="187" t="s">
        <v>29</v>
      </c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9"/>
      <c r="Q32" s="189"/>
      <c r="R32" s="189"/>
      <c r="S32" s="189"/>
      <c r="T32" s="188"/>
      <c r="U32" s="188"/>
      <c r="V32" s="188"/>
      <c r="W32" s="190"/>
    </row>
    <row r="33" spans="1:23" s="26" customFormat="1" ht="13.8" x14ac:dyDescent="0.3">
      <c r="A33" s="191" t="s">
        <v>1</v>
      </c>
      <c r="B33" s="192" t="s">
        <v>2</v>
      </c>
      <c r="C33" s="192" t="s">
        <v>3</v>
      </c>
      <c r="D33" s="192" t="s">
        <v>4</v>
      </c>
      <c r="E33" s="193" t="s">
        <v>5</v>
      </c>
      <c r="F33" s="195" t="s">
        <v>21</v>
      </c>
      <c r="G33" s="195" t="s">
        <v>22</v>
      </c>
      <c r="H33" s="195" t="s">
        <v>33</v>
      </c>
      <c r="I33" s="195" t="s">
        <v>30</v>
      </c>
      <c r="J33" s="193" t="s">
        <v>6</v>
      </c>
      <c r="K33" s="197"/>
      <c r="L33" s="197"/>
      <c r="M33" s="197"/>
      <c r="N33" s="197"/>
      <c r="O33" s="197"/>
      <c r="P33" s="197"/>
      <c r="Q33" s="198"/>
      <c r="R33" s="193" t="s">
        <v>10</v>
      </c>
      <c r="S33" s="198"/>
      <c r="T33" s="191" t="s">
        <v>11</v>
      </c>
      <c r="U33" s="191" t="s">
        <v>12</v>
      </c>
      <c r="V33" s="191"/>
      <c r="W33" s="191"/>
    </row>
    <row r="34" spans="1:23" s="26" customFormat="1" ht="13.8" x14ac:dyDescent="0.3">
      <c r="A34" s="191"/>
      <c r="B34" s="192"/>
      <c r="C34" s="192"/>
      <c r="D34" s="192"/>
      <c r="E34" s="194"/>
      <c r="F34" s="196"/>
      <c r="G34" s="196"/>
      <c r="H34" s="196"/>
      <c r="I34" s="196"/>
      <c r="J34" s="200" t="s">
        <v>7</v>
      </c>
      <c r="K34" s="201"/>
      <c r="L34" s="200" t="s">
        <v>8</v>
      </c>
      <c r="M34" s="201"/>
      <c r="N34" s="200" t="s">
        <v>9</v>
      </c>
      <c r="O34" s="201"/>
      <c r="P34" s="200" t="s">
        <v>117</v>
      </c>
      <c r="Q34" s="201"/>
      <c r="R34" s="194"/>
      <c r="S34" s="199"/>
      <c r="T34" s="191"/>
      <c r="U34" s="191"/>
      <c r="V34" s="191"/>
      <c r="W34" s="191"/>
    </row>
    <row r="35" spans="1:23" ht="14.55" customHeight="1" x14ac:dyDescent="0.3">
      <c r="A35" s="180" t="s">
        <v>32</v>
      </c>
      <c r="B35" s="5"/>
      <c r="C35" s="5"/>
      <c r="D35" s="4"/>
      <c r="E35" s="12"/>
      <c r="F35" s="40"/>
      <c r="G35" s="41"/>
      <c r="H35" s="40"/>
      <c r="I35" s="12"/>
      <c r="J35" s="165"/>
      <c r="K35" s="166"/>
      <c r="L35" s="165"/>
      <c r="M35" s="166"/>
      <c r="N35" s="165"/>
      <c r="O35" s="166"/>
      <c r="P35" s="165"/>
      <c r="Q35" s="166"/>
      <c r="R35" s="137"/>
      <c r="S35" s="14" t="s">
        <v>20</v>
      </c>
      <c r="T35" s="42"/>
      <c r="U35" s="177"/>
      <c r="V35" s="178"/>
      <c r="W35" s="179"/>
    </row>
    <row r="36" spans="1:23" ht="14.55" customHeight="1" x14ac:dyDescent="0.3">
      <c r="A36" s="181"/>
      <c r="B36" s="5"/>
      <c r="C36" s="5"/>
      <c r="D36" s="4"/>
      <c r="E36" s="13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137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81"/>
      <c r="B37" s="5"/>
      <c r="C37" s="5"/>
      <c r="D37" s="4"/>
      <c r="E37" s="12"/>
      <c r="F37" s="40"/>
      <c r="G37" s="41"/>
      <c r="H37" s="40"/>
      <c r="I37" s="12"/>
      <c r="J37" s="165"/>
      <c r="K37" s="166"/>
      <c r="L37" s="165"/>
      <c r="M37" s="166"/>
      <c r="N37" s="165"/>
      <c r="O37" s="166"/>
      <c r="P37" s="165"/>
      <c r="Q37" s="166"/>
      <c r="R37" s="137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81"/>
      <c r="B38" s="5"/>
      <c r="C38" s="5"/>
      <c r="D38" s="4"/>
      <c r="E38" s="13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137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81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137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81"/>
      <c r="B40" s="5"/>
      <c r="C40" s="5"/>
      <c r="D40" s="4"/>
      <c r="E40" s="13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137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81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137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81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137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81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137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82"/>
      <c r="B44" s="19"/>
      <c r="C44" s="19"/>
      <c r="D44" s="20"/>
      <c r="E44" s="170" t="s">
        <v>0</v>
      </c>
      <c r="F44" s="171"/>
      <c r="G44" s="171"/>
      <c r="H44" s="171"/>
      <c r="I44" s="172"/>
      <c r="J44" s="173">
        <f>SUM(J35:K43)</f>
        <v>0</v>
      </c>
      <c r="K44" s="174"/>
      <c r="L44" s="173">
        <f>SUM(L35:M43)</f>
        <v>0</v>
      </c>
      <c r="M44" s="174"/>
      <c r="N44" s="173">
        <f>SUM(N35:O43)</f>
        <v>0</v>
      </c>
      <c r="O44" s="174"/>
      <c r="P44" s="173">
        <f>SUM(P35:Q43)</f>
        <v>0</v>
      </c>
      <c r="Q44" s="174"/>
      <c r="R44" s="23">
        <f>SUM(R35:R43)</f>
        <v>0</v>
      </c>
      <c r="S44" s="24" t="s">
        <v>20</v>
      </c>
      <c r="T44" s="19"/>
      <c r="U44" s="177"/>
      <c r="V44" s="178"/>
      <c r="W44" s="179"/>
    </row>
    <row r="45" spans="1:23" ht="14.55" customHeight="1" x14ac:dyDescent="0.3">
      <c r="A45" s="163" t="s">
        <v>34</v>
      </c>
      <c r="B45" s="5">
        <v>0.33333333333333331</v>
      </c>
      <c r="C45" s="5"/>
      <c r="D45" s="140">
        <v>250049</v>
      </c>
      <c r="E45" s="12" t="s">
        <v>660</v>
      </c>
      <c r="F45" s="40">
        <v>304</v>
      </c>
      <c r="G45" s="41">
        <v>0.6</v>
      </c>
      <c r="H45" s="40">
        <v>425</v>
      </c>
      <c r="I45" s="12">
        <v>7</v>
      </c>
      <c r="J45" s="165">
        <v>500</v>
      </c>
      <c r="K45" s="166"/>
      <c r="L45" s="165"/>
      <c r="M45" s="166"/>
      <c r="N45" s="165"/>
      <c r="O45" s="166"/>
      <c r="P45" s="165"/>
      <c r="Q45" s="166"/>
      <c r="R45" s="137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3"/>
      <c r="B46" s="5"/>
      <c r="C46" s="5"/>
      <c r="D46" s="4">
        <v>151025</v>
      </c>
      <c r="E46" s="12" t="s">
        <v>661</v>
      </c>
      <c r="F46" s="40">
        <v>304</v>
      </c>
      <c r="G46" s="41">
        <v>0.7</v>
      </c>
      <c r="H46" s="40">
        <v>380</v>
      </c>
      <c r="I46" s="12">
        <v>7</v>
      </c>
      <c r="J46" s="165">
        <v>1000</v>
      </c>
      <c r="K46" s="166"/>
      <c r="L46" s="165"/>
      <c r="M46" s="166"/>
      <c r="N46" s="165"/>
      <c r="O46" s="166"/>
      <c r="P46" s="165"/>
      <c r="Q46" s="166"/>
      <c r="R46" s="137"/>
      <c r="S46" s="14" t="s">
        <v>20</v>
      </c>
      <c r="T46" s="42"/>
      <c r="U46" s="177"/>
      <c r="V46" s="178"/>
      <c r="W46" s="179"/>
    </row>
    <row r="47" spans="1:23" ht="14.55" customHeight="1" x14ac:dyDescent="0.3">
      <c r="A47" s="163"/>
      <c r="B47" s="5"/>
      <c r="C47" s="5"/>
      <c r="D47" s="4">
        <v>250078</v>
      </c>
      <c r="E47" s="12" t="s">
        <v>662</v>
      </c>
      <c r="F47" s="40">
        <v>304</v>
      </c>
      <c r="G47" s="41">
        <v>0.7</v>
      </c>
      <c r="H47" s="40">
        <v>582</v>
      </c>
      <c r="I47" s="12">
        <v>8</v>
      </c>
      <c r="J47" s="165">
        <v>790</v>
      </c>
      <c r="K47" s="166"/>
      <c r="L47" s="165"/>
      <c r="M47" s="166"/>
      <c r="N47" s="165"/>
      <c r="O47" s="166"/>
      <c r="P47" s="165"/>
      <c r="Q47" s="166"/>
      <c r="R47" s="137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3"/>
      <c r="B48" s="5"/>
      <c r="C48" s="5"/>
      <c r="D48" s="4" t="s">
        <v>528</v>
      </c>
      <c r="E48" s="12" t="s">
        <v>663</v>
      </c>
      <c r="F48" s="40">
        <v>430</v>
      </c>
      <c r="G48" s="41">
        <v>0.5</v>
      </c>
      <c r="H48" s="40">
        <v>350</v>
      </c>
      <c r="I48" s="12">
        <v>3</v>
      </c>
      <c r="J48" s="165">
        <v>480</v>
      </c>
      <c r="K48" s="166"/>
      <c r="L48" s="165"/>
      <c r="M48" s="166"/>
      <c r="N48" s="165"/>
      <c r="O48" s="166"/>
      <c r="P48" s="165"/>
      <c r="Q48" s="166"/>
      <c r="R48" s="137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63"/>
      <c r="B49" s="5"/>
      <c r="C49" s="5">
        <v>0.70833333333333337</v>
      </c>
      <c r="D49" s="4" t="s">
        <v>528</v>
      </c>
      <c r="E49" s="12" t="s">
        <v>664</v>
      </c>
      <c r="F49" s="40">
        <v>430</v>
      </c>
      <c r="G49" s="41">
        <v>0.5</v>
      </c>
      <c r="H49" s="40">
        <v>315</v>
      </c>
      <c r="I49" s="12">
        <v>3</v>
      </c>
      <c r="J49" s="165">
        <v>930</v>
      </c>
      <c r="K49" s="166"/>
      <c r="L49" s="165"/>
      <c r="M49" s="166"/>
      <c r="N49" s="165"/>
      <c r="O49" s="166"/>
      <c r="P49" s="165"/>
      <c r="Q49" s="166"/>
      <c r="R49" s="137"/>
      <c r="S49" s="14" t="s">
        <v>20</v>
      </c>
      <c r="T49" s="42"/>
      <c r="U49" s="177"/>
      <c r="V49" s="178"/>
      <c r="W49" s="179"/>
    </row>
    <row r="50" spans="1:23" ht="14.55" customHeight="1" x14ac:dyDescent="0.3">
      <c r="A50" s="163"/>
      <c r="B50" s="5"/>
      <c r="C50" s="5"/>
      <c r="D50" s="4"/>
      <c r="E50" s="12"/>
      <c r="F50" s="40"/>
      <c r="G50" s="41"/>
      <c r="H50" s="40"/>
      <c r="I50" s="12"/>
      <c r="J50" s="165"/>
      <c r="K50" s="166"/>
      <c r="L50" s="165"/>
      <c r="M50" s="166"/>
      <c r="N50" s="165"/>
      <c r="O50" s="166"/>
      <c r="P50" s="165"/>
      <c r="Q50" s="166"/>
      <c r="R50" s="137"/>
      <c r="S50" s="14" t="s">
        <v>20</v>
      </c>
      <c r="T50" s="42"/>
      <c r="U50" s="177"/>
      <c r="V50" s="178"/>
      <c r="W50" s="179"/>
    </row>
    <row r="51" spans="1:23" ht="14.55" customHeight="1" x14ac:dyDescent="0.3">
      <c r="A51" s="163"/>
      <c r="B51" s="5"/>
      <c r="C51" s="5"/>
      <c r="D51" s="4"/>
      <c r="E51" s="12"/>
      <c r="F51" s="40"/>
      <c r="G51" s="41"/>
      <c r="H51" s="40"/>
      <c r="I51" s="12"/>
      <c r="J51" s="165"/>
      <c r="K51" s="166"/>
      <c r="L51" s="165"/>
      <c r="M51" s="166"/>
      <c r="N51" s="165"/>
      <c r="O51" s="166"/>
      <c r="P51" s="165"/>
      <c r="Q51" s="166"/>
      <c r="R51" s="137"/>
      <c r="S51" s="14" t="s">
        <v>20</v>
      </c>
      <c r="T51" s="42"/>
      <c r="U51" s="177"/>
      <c r="V51" s="178"/>
      <c r="W51" s="179"/>
    </row>
    <row r="52" spans="1:23" ht="14.55" customHeight="1" x14ac:dyDescent="0.3">
      <c r="A52" s="163"/>
      <c r="B52" s="5"/>
      <c r="C52" s="5"/>
      <c r="D52" s="4"/>
      <c r="E52" s="12"/>
      <c r="F52" s="40"/>
      <c r="G52" s="41"/>
      <c r="H52" s="40"/>
      <c r="I52" s="12"/>
      <c r="J52" s="165"/>
      <c r="K52" s="166"/>
      <c r="L52" s="165"/>
      <c r="M52" s="166"/>
      <c r="N52" s="165"/>
      <c r="O52" s="166"/>
      <c r="P52" s="165"/>
      <c r="Q52" s="166"/>
      <c r="R52" s="137"/>
      <c r="S52" s="14" t="s">
        <v>20</v>
      </c>
      <c r="T52" s="42"/>
      <c r="U52" s="177"/>
      <c r="V52" s="178"/>
      <c r="W52" s="179"/>
    </row>
    <row r="53" spans="1:23" ht="14.55" customHeight="1" x14ac:dyDescent="0.3">
      <c r="A53" s="163"/>
      <c r="B53" s="5"/>
      <c r="C53" s="5"/>
      <c r="D53" s="4"/>
      <c r="E53" s="12"/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137"/>
      <c r="S53" s="14" t="s">
        <v>20</v>
      </c>
      <c r="T53" s="42"/>
      <c r="U53" s="177"/>
      <c r="V53" s="178"/>
      <c r="W53" s="179"/>
    </row>
    <row r="54" spans="1:23" ht="14.55" customHeight="1" x14ac:dyDescent="0.3">
      <c r="A54" s="164"/>
      <c r="B54" s="19"/>
      <c r="C54" s="19"/>
      <c r="D54" s="20"/>
      <c r="E54" s="170" t="s">
        <v>0</v>
      </c>
      <c r="F54" s="171"/>
      <c r="G54" s="171"/>
      <c r="H54" s="171"/>
      <c r="I54" s="172"/>
      <c r="J54" s="173">
        <f>SUM(J45:K53)</f>
        <v>3700</v>
      </c>
      <c r="K54" s="174"/>
      <c r="L54" s="173">
        <f>SUM(L45:M53)</f>
        <v>0</v>
      </c>
      <c r="M54" s="174"/>
      <c r="N54" s="173">
        <f>SUM(N45:O53)</f>
        <v>0</v>
      </c>
      <c r="O54" s="174"/>
      <c r="P54" s="173">
        <f>SUM(P45:Q53)</f>
        <v>0</v>
      </c>
      <c r="Q54" s="174"/>
      <c r="R54" s="23">
        <f>SUM(R45:R53)</f>
        <v>0</v>
      </c>
      <c r="S54" s="24" t="s">
        <v>20</v>
      </c>
      <c r="T54" s="19"/>
      <c r="U54" s="177"/>
      <c r="V54" s="178"/>
      <c r="W54" s="179"/>
    </row>
    <row r="55" spans="1:23" ht="14.55" customHeight="1" x14ac:dyDescent="0.3">
      <c r="A55" s="163" t="s">
        <v>583</v>
      </c>
      <c r="B55" s="5">
        <v>0.33333333333333331</v>
      </c>
      <c r="C55" s="5"/>
      <c r="D55" s="4">
        <v>230925</v>
      </c>
      <c r="E55" s="12" t="s">
        <v>615</v>
      </c>
      <c r="F55" s="40">
        <v>430</v>
      </c>
      <c r="G55" s="41">
        <v>0.8</v>
      </c>
      <c r="H55" s="40">
        <v>360</v>
      </c>
      <c r="I55" s="12"/>
      <c r="J55" s="165"/>
      <c r="K55" s="166"/>
      <c r="L55" s="165"/>
      <c r="M55" s="166"/>
      <c r="N55" s="165">
        <v>1100</v>
      </c>
      <c r="O55" s="166"/>
      <c r="P55" s="165"/>
      <c r="Q55" s="166"/>
      <c r="R55" s="137">
        <v>45</v>
      </c>
      <c r="S55" s="14" t="s">
        <v>20</v>
      </c>
      <c r="T55" s="42" t="s">
        <v>93</v>
      </c>
      <c r="U55" s="177"/>
      <c r="V55" s="178"/>
      <c r="W55" s="179"/>
    </row>
    <row r="56" spans="1:23" ht="14.55" customHeight="1" x14ac:dyDescent="0.3">
      <c r="A56" s="163"/>
      <c r="B56" s="5"/>
      <c r="C56" s="5">
        <v>0.70833333333333337</v>
      </c>
      <c r="D56" s="4">
        <v>250078</v>
      </c>
      <c r="E56" s="12" t="s">
        <v>668</v>
      </c>
      <c r="F56" s="40">
        <v>304</v>
      </c>
      <c r="G56" s="41">
        <v>0.7</v>
      </c>
      <c r="H56" s="40">
        <v>307</v>
      </c>
      <c r="I56" s="12"/>
      <c r="J56" s="165"/>
      <c r="K56" s="166"/>
      <c r="L56" s="165"/>
      <c r="M56" s="166"/>
      <c r="N56" s="165">
        <v>850</v>
      </c>
      <c r="O56" s="166"/>
      <c r="P56" s="165"/>
      <c r="Q56" s="166"/>
      <c r="R56" s="137"/>
      <c r="S56" s="14" t="s">
        <v>20</v>
      </c>
      <c r="T56" s="42"/>
      <c r="U56" s="177"/>
      <c r="V56" s="178"/>
      <c r="W56" s="179"/>
    </row>
    <row r="57" spans="1:23" ht="14.55" customHeight="1" x14ac:dyDescent="0.3">
      <c r="A57" s="163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137"/>
      <c r="S57" s="14" t="s">
        <v>20</v>
      </c>
      <c r="T57" s="42"/>
      <c r="U57" s="177"/>
      <c r="V57" s="178"/>
      <c r="W57" s="179"/>
    </row>
    <row r="58" spans="1:23" ht="14.55" customHeight="1" x14ac:dyDescent="0.3">
      <c r="A58" s="163"/>
      <c r="B58" s="5"/>
      <c r="C58" s="5"/>
      <c r="D58" s="4"/>
      <c r="E58" s="12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137"/>
      <c r="S58" s="14" t="s">
        <v>20</v>
      </c>
      <c r="T58" s="42"/>
      <c r="U58" s="177"/>
      <c r="V58" s="178"/>
      <c r="W58" s="179"/>
    </row>
    <row r="59" spans="1:23" ht="14.55" customHeight="1" x14ac:dyDescent="0.3">
      <c r="A59" s="164"/>
      <c r="B59" s="19"/>
      <c r="C59" s="19"/>
      <c r="D59" s="20"/>
      <c r="E59" s="170" t="s">
        <v>0</v>
      </c>
      <c r="F59" s="171"/>
      <c r="G59" s="171"/>
      <c r="H59" s="171"/>
      <c r="I59" s="172"/>
      <c r="J59" s="173">
        <f>SUM(J55:K58)</f>
        <v>0</v>
      </c>
      <c r="K59" s="174"/>
      <c r="L59" s="173">
        <f>SUM(L55:M58)</f>
        <v>0</v>
      </c>
      <c r="M59" s="174"/>
      <c r="N59" s="173">
        <f>SUM(N55:O58)</f>
        <v>1950</v>
      </c>
      <c r="O59" s="174"/>
      <c r="P59" s="173">
        <f>SUM(P55:Q58)</f>
        <v>0</v>
      </c>
      <c r="Q59" s="174"/>
      <c r="R59" s="23">
        <f>SUM(R55:R58)</f>
        <v>45</v>
      </c>
      <c r="S59" s="24" t="s">
        <v>20</v>
      </c>
      <c r="T59" s="19"/>
      <c r="U59" s="177"/>
      <c r="V59" s="178"/>
      <c r="W59" s="179"/>
    </row>
    <row r="60" spans="1:23" ht="14.55" customHeight="1" x14ac:dyDescent="0.3">
      <c r="A60" s="163" t="s">
        <v>35</v>
      </c>
      <c r="B60" s="5"/>
      <c r="C60" s="5"/>
      <c r="D60" s="4"/>
      <c r="E60" s="12"/>
      <c r="F60" s="40"/>
      <c r="G60" s="41"/>
      <c r="H60" s="40"/>
      <c r="I60" s="12"/>
      <c r="J60" s="165"/>
      <c r="K60" s="166"/>
      <c r="L60" s="165"/>
      <c r="M60" s="166"/>
      <c r="N60" s="165"/>
      <c r="O60" s="166"/>
      <c r="P60" s="165"/>
      <c r="Q60" s="166"/>
      <c r="R60" s="137"/>
      <c r="S60" s="14" t="s">
        <v>20</v>
      </c>
      <c r="T60" s="42"/>
      <c r="U60" s="177"/>
      <c r="V60" s="178"/>
      <c r="W60" s="179"/>
    </row>
    <row r="61" spans="1:23" ht="14.55" customHeight="1" x14ac:dyDescent="0.3">
      <c r="A61" s="163"/>
      <c r="B61" s="5"/>
      <c r="C61" s="5"/>
      <c r="D61" s="4"/>
      <c r="E61" s="12"/>
      <c r="F61" s="40"/>
      <c r="G61" s="41"/>
      <c r="H61" s="40"/>
      <c r="I61" s="12"/>
      <c r="J61" s="165"/>
      <c r="K61" s="166"/>
      <c r="L61" s="165"/>
      <c r="M61" s="166"/>
      <c r="N61" s="165"/>
      <c r="O61" s="166"/>
      <c r="P61" s="165"/>
      <c r="Q61" s="166"/>
      <c r="R61" s="137"/>
      <c r="S61" s="14" t="s">
        <v>20</v>
      </c>
      <c r="T61" s="42"/>
      <c r="U61" s="177"/>
      <c r="V61" s="178"/>
      <c r="W61" s="179"/>
    </row>
    <row r="62" spans="1:23" ht="14.55" customHeight="1" x14ac:dyDescent="0.3">
      <c r="A62" s="163"/>
      <c r="B62" s="5"/>
      <c r="C62" s="5"/>
      <c r="D62" s="4"/>
      <c r="E62" s="12"/>
      <c r="F62" s="40"/>
      <c r="G62" s="41"/>
      <c r="H62" s="40"/>
      <c r="I62" s="12"/>
      <c r="J62" s="165"/>
      <c r="K62" s="166"/>
      <c r="L62" s="165"/>
      <c r="M62" s="166"/>
      <c r="N62" s="165"/>
      <c r="O62" s="166"/>
      <c r="P62" s="165"/>
      <c r="Q62" s="166"/>
      <c r="R62" s="137"/>
      <c r="S62" s="14" t="s">
        <v>20</v>
      </c>
      <c r="T62" s="42"/>
      <c r="U62" s="177"/>
      <c r="V62" s="178"/>
      <c r="W62" s="179"/>
    </row>
    <row r="63" spans="1:23" ht="14.55" customHeight="1" x14ac:dyDescent="0.3">
      <c r="A63" s="163"/>
      <c r="B63" s="5"/>
      <c r="C63" s="5"/>
      <c r="D63" s="4"/>
      <c r="E63" s="12"/>
      <c r="F63" s="40"/>
      <c r="G63" s="41"/>
      <c r="H63" s="40"/>
      <c r="I63" s="12"/>
      <c r="J63" s="165"/>
      <c r="K63" s="166"/>
      <c r="L63" s="165"/>
      <c r="M63" s="166"/>
      <c r="N63" s="165"/>
      <c r="O63" s="166"/>
      <c r="P63" s="165"/>
      <c r="Q63" s="166"/>
      <c r="R63" s="137"/>
      <c r="S63" s="14" t="s">
        <v>20</v>
      </c>
      <c r="T63" s="42"/>
      <c r="U63" s="177"/>
      <c r="V63" s="178"/>
      <c r="W63" s="179"/>
    </row>
    <row r="64" spans="1:23" ht="14.55" customHeight="1" x14ac:dyDescent="0.3">
      <c r="A64" s="163"/>
      <c r="B64" s="5"/>
      <c r="C64" s="5"/>
      <c r="D64" s="4"/>
      <c r="E64" s="12"/>
      <c r="F64" s="40"/>
      <c r="G64" s="41"/>
      <c r="H64" s="40"/>
      <c r="I64" s="12"/>
      <c r="J64" s="165"/>
      <c r="K64" s="166"/>
      <c r="L64" s="165"/>
      <c r="M64" s="166"/>
      <c r="N64" s="165"/>
      <c r="O64" s="166"/>
      <c r="P64" s="165"/>
      <c r="Q64" s="166"/>
      <c r="R64" s="137"/>
      <c r="S64" s="14" t="s">
        <v>20</v>
      </c>
      <c r="T64" s="42"/>
      <c r="U64" s="177"/>
      <c r="V64" s="178"/>
      <c r="W64" s="179"/>
    </row>
    <row r="65" spans="1:23" ht="14.55" customHeight="1" x14ac:dyDescent="0.3">
      <c r="A65" s="163"/>
      <c r="B65" s="5"/>
      <c r="C65" s="5"/>
      <c r="D65" s="4"/>
      <c r="E65" s="12"/>
      <c r="F65" s="40"/>
      <c r="G65" s="41"/>
      <c r="H65" s="40"/>
      <c r="I65" s="12"/>
      <c r="J65" s="165"/>
      <c r="K65" s="166"/>
      <c r="L65" s="165"/>
      <c r="M65" s="166"/>
      <c r="N65" s="165"/>
      <c r="O65" s="166"/>
      <c r="P65" s="165"/>
      <c r="Q65" s="166"/>
      <c r="R65" s="137"/>
      <c r="S65" s="14" t="s">
        <v>20</v>
      </c>
      <c r="T65" s="42"/>
      <c r="U65" s="177"/>
      <c r="V65" s="178"/>
      <c r="W65" s="179"/>
    </row>
    <row r="66" spans="1:23" ht="14.55" customHeight="1" x14ac:dyDescent="0.3">
      <c r="A66" s="163"/>
      <c r="B66" s="5"/>
      <c r="C66" s="5"/>
      <c r="D66" s="4"/>
      <c r="E66" s="12"/>
      <c r="F66" s="40"/>
      <c r="G66" s="41"/>
      <c r="H66" s="40"/>
      <c r="I66" s="12"/>
      <c r="J66" s="165"/>
      <c r="K66" s="166"/>
      <c r="L66" s="165"/>
      <c r="M66" s="166"/>
      <c r="N66" s="165"/>
      <c r="O66" s="166"/>
      <c r="P66" s="165"/>
      <c r="Q66" s="166"/>
      <c r="R66" s="137"/>
      <c r="S66" s="14" t="s">
        <v>20</v>
      </c>
      <c r="T66" s="42"/>
      <c r="U66" s="177"/>
      <c r="V66" s="178"/>
      <c r="W66" s="179"/>
    </row>
    <row r="67" spans="1:23" ht="14.55" customHeight="1" x14ac:dyDescent="0.3">
      <c r="A67" s="163"/>
      <c r="B67" s="5"/>
      <c r="C67" s="5"/>
      <c r="D67" s="4"/>
      <c r="E67" s="12"/>
      <c r="F67" s="40"/>
      <c r="G67" s="41"/>
      <c r="H67" s="40"/>
      <c r="I67" s="12"/>
      <c r="J67" s="165"/>
      <c r="K67" s="166"/>
      <c r="L67" s="165"/>
      <c r="M67" s="166"/>
      <c r="N67" s="165"/>
      <c r="O67" s="166"/>
      <c r="P67" s="165"/>
      <c r="Q67" s="166"/>
      <c r="R67" s="137"/>
      <c r="S67" s="14" t="s">
        <v>20</v>
      </c>
      <c r="T67" s="42"/>
      <c r="U67" s="177"/>
      <c r="V67" s="178"/>
      <c r="W67" s="179"/>
    </row>
    <row r="68" spans="1:23" ht="14.55" customHeight="1" x14ac:dyDescent="0.3">
      <c r="A68" s="163"/>
      <c r="B68" s="5"/>
      <c r="C68" s="5"/>
      <c r="D68" s="4"/>
      <c r="E68" s="12"/>
      <c r="F68" s="40"/>
      <c r="G68" s="41"/>
      <c r="H68" s="40"/>
      <c r="I68" s="12"/>
      <c r="J68" s="165"/>
      <c r="K68" s="166"/>
      <c r="L68" s="165"/>
      <c r="M68" s="166"/>
      <c r="N68" s="165"/>
      <c r="O68" s="166"/>
      <c r="P68" s="165"/>
      <c r="Q68" s="166"/>
      <c r="R68" s="137"/>
      <c r="S68" s="14" t="s">
        <v>20</v>
      </c>
      <c r="T68" s="42"/>
      <c r="U68" s="177"/>
      <c r="V68" s="178"/>
      <c r="W68" s="179"/>
    </row>
    <row r="69" spans="1:23" ht="14.55" customHeight="1" x14ac:dyDescent="0.3">
      <c r="A69" s="164"/>
      <c r="B69" s="19"/>
      <c r="C69" s="19"/>
      <c r="D69" s="20"/>
      <c r="E69" s="170" t="s">
        <v>0</v>
      </c>
      <c r="F69" s="171"/>
      <c r="G69" s="171"/>
      <c r="H69" s="171"/>
      <c r="I69" s="172"/>
      <c r="J69" s="173">
        <f>SUM(J60:K68)</f>
        <v>0</v>
      </c>
      <c r="K69" s="174"/>
      <c r="L69" s="173">
        <f>SUM(L60:M68)</f>
        <v>0</v>
      </c>
      <c r="M69" s="174"/>
      <c r="N69" s="173">
        <f>SUM(N60:O68)</f>
        <v>0</v>
      </c>
      <c r="O69" s="174"/>
      <c r="P69" s="173">
        <f>SUM(P60:Q68)</f>
        <v>0</v>
      </c>
      <c r="Q69" s="174"/>
      <c r="R69" s="23">
        <f>SUM(R60:R68)</f>
        <v>0</v>
      </c>
      <c r="S69" s="24" t="s">
        <v>20</v>
      </c>
      <c r="T69" s="19"/>
      <c r="U69" s="177"/>
      <c r="V69" s="178"/>
      <c r="W69" s="179"/>
    </row>
    <row r="70" spans="1:23" ht="14.55" customHeight="1" x14ac:dyDescent="0.3">
      <c r="A70" s="27"/>
      <c r="B70" s="27"/>
      <c r="C70" s="27"/>
      <c r="D70" s="27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27"/>
      <c r="S70" s="27"/>
      <c r="T70" s="39"/>
      <c r="U70" s="39"/>
      <c r="V70" s="39"/>
      <c r="W70" s="39"/>
    </row>
    <row r="71" spans="1:23" x14ac:dyDescent="0.3">
      <c r="E71" s="170" t="s">
        <v>31</v>
      </c>
      <c r="F71" s="171"/>
      <c r="G71" s="171"/>
      <c r="H71" s="171"/>
      <c r="I71" s="172"/>
      <c r="J71" s="175" t="s">
        <v>7</v>
      </c>
      <c r="K71" s="176"/>
      <c r="L71" s="175" t="s">
        <v>8</v>
      </c>
      <c r="M71" s="176"/>
      <c r="N71" s="175" t="s">
        <v>9</v>
      </c>
      <c r="O71" s="176"/>
      <c r="P71" s="175" t="s">
        <v>117</v>
      </c>
      <c r="Q71" s="176"/>
    </row>
    <row r="72" spans="1:23" s="2" customFormat="1" x14ac:dyDescent="0.3">
      <c r="E72" s="15"/>
      <c r="F72" s="15"/>
      <c r="G72" s="15"/>
      <c r="H72" s="15"/>
      <c r="I72" s="15"/>
      <c r="J72" s="30">
        <f>J44+J54+J59+J69</f>
        <v>3700</v>
      </c>
      <c r="K72" s="31" t="s">
        <v>17</v>
      </c>
      <c r="L72" s="30">
        <f>L44+L54+L59+L69</f>
        <v>0</v>
      </c>
      <c r="M72" s="31" t="s">
        <v>17</v>
      </c>
      <c r="N72" s="30">
        <f>N44+N54+N59+N69</f>
        <v>1950</v>
      </c>
      <c r="O72" s="31" t="s">
        <v>17</v>
      </c>
      <c r="P72" s="30">
        <f>P44+P54+P59+P69</f>
        <v>0</v>
      </c>
      <c r="Q72" s="34" t="s">
        <v>17</v>
      </c>
    </row>
    <row r="73" spans="1:23" ht="24.45" customHeight="1" x14ac:dyDescent="0.3">
      <c r="E73" s="28"/>
      <c r="F73" s="28"/>
      <c r="G73" s="28"/>
      <c r="H73" s="28"/>
      <c r="I73" s="28"/>
      <c r="J73" s="167">
        <f>J72+L72+N72+P72</f>
        <v>5650</v>
      </c>
      <c r="K73" s="168"/>
      <c r="L73" s="168"/>
      <c r="M73" s="168"/>
      <c r="N73" s="168"/>
      <c r="O73" s="168"/>
      <c r="P73" s="168"/>
      <c r="Q73" s="169"/>
    </row>
    <row r="74" spans="1:23" ht="14.55" customHeight="1" x14ac:dyDescent="0.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</row>
    <row r="75" spans="1:23" s="37" customFormat="1" ht="19.95" customHeight="1" x14ac:dyDescent="0.4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183" t="s">
        <v>14</v>
      </c>
      <c r="R75" s="183"/>
      <c r="S75" s="183"/>
      <c r="T75" s="184">
        <f>T3</f>
        <v>45957</v>
      </c>
      <c r="U75" s="185"/>
      <c r="V75" s="185"/>
      <c r="W75" s="186"/>
    </row>
    <row r="76" spans="1:23" s="16" customFormat="1" ht="30" customHeight="1" x14ac:dyDescent="0.3">
      <c r="A76" s="187" t="s">
        <v>586</v>
      </c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9"/>
      <c r="Q76" s="189"/>
      <c r="R76" s="189"/>
      <c r="S76" s="189"/>
      <c r="T76" s="188"/>
      <c r="U76" s="188"/>
      <c r="V76" s="188"/>
      <c r="W76" s="190"/>
    </row>
    <row r="77" spans="1:23" s="26" customFormat="1" ht="13.8" x14ac:dyDescent="0.3">
      <c r="A77" s="191" t="s">
        <v>1</v>
      </c>
      <c r="B77" s="192" t="s">
        <v>2</v>
      </c>
      <c r="C77" s="192" t="s">
        <v>3</v>
      </c>
      <c r="D77" s="192" t="s">
        <v>4</v>
      </c>
      <c r="E77" s="193" t="s">
        <v>5</v>
      </c>
      <c r="F77" s="195" t="s">
        <v>21</v>
      </c>
      <c r="G77" s="195" t="s">
        <v>22</v>
      </c>
      <c r="H77" s="195" t="s">
        <v>33</v>
      </c>
      <c r="I77" s="195" t="s">
        <v>30</v>
      </c>
      <c r="J77" s="193" t="s">
        <v>6</v>
      </c>
      <c r="K77" s="197"/>
      <c r="L77" s="197"/>
      <c r="M77" s="197"/>
      <c r="N77" s="197"/>
      <c r="O77" s="197"/>
      <c r="P77" s="197"/>
      <c r="Q77" s="198"/>
      <c r="R77" s="193" t="s">
        <v>10</v>
      </c>
      <c r="S77" s="198"/>
      <c r="T77" s="191" t="s">
        <v>11</v>
      </c>
      <c r="U77" s="191" t="s">
        <v>12</v>
      </c>
      <c r="V77" s="191"/>
      <c r="W77" s="191"/>
    </row>
    <row r="78" spans="1:23" s="26" customFormat="1" ht="13.8" x14ac:dyDescent="0.3">
      <c r="A78" s="191"/>
      <c r="B78" s="192"/>
      <c r="C78" s="192"/>
      <c r="D78" s="192"/>
      <c r="E78" s="194"/>
      <c r="F78" s="196"/>
      <c r="G78" s="196"/>
      <c r="H78" s="196"/>
      <c r="I78" s="196"/>
      <c r="J78" s="200" t="s">
        <v>7</v>
      </c>
      <c r="K78" s="201"/>
      <c r="L78" s="200" t="s">
        <v>8</v>
      </c>
      <c r="M78" s="201"/>
      <c r="N78" s="200" t="s">
        <v>9</v>
      </c>
      <c r="O78" s="201"/>
      <c r="P78" s="200" t="s">
        <v>117</v>
      </c>
      <c r="Q78" s="201"/>
      <c r="R78" s="194"/>
      <c r="S78" s="199"/>
      <c r="T78" s="191"/>
      <c r="U78" s="191"/>
      <c r="V78" s="191"/>
      <c r="W78" s="191"/>
    </row>
    <row r="79" spans="1:23" ht="14.55" customHeight="1" x14ac:dyDescent="0.3">
      <c r="A79" s="180" t="s">
        <v>584</v>
      </c>
      <c r="B79" s="5">
        <v>0.33333333333333331</v>
      </c>
      <c r="C79" s="5"/>
      <c r="D79" s="139">
        <v>250080</v>
      </c>
      <c r="E79" s="12" t="s">
        <v>665</v>
      </c>
      <c r="F79" s="40">
        <v>304</v>
      </c>
      <c r="G79" s="41">
        <v>0.6</v>
      </c>
      <c r="H79" s="40"/>
      <c r="I79" s="12"/>
      <c r="J79" s="165"/>
      <c r="K79" s="166"/>
      <c r="L79" s="165"/>
      <c r="M79" s="166"/>
      <c r="N79" s="165">
        <v>870</v>
      </c>
      <c r="O79" s="166"/>
      <c r="P79" s="165"/>
      <c r="Q79" s="166"/>
      <c r="R79" s="137"/>
      <c r="S79" s="14" t="s">
        <v>20</v>
      </c>
      <c r="T79" s="42"/>
      <c r="U79" s="177"/>
      <c r="V79" s="178"/>
      <c r="W79" s="179"/>
    </row>
    <row r="80" spans="1:23" ht="14.55" customHeight="1" x14ac:dyDescent="0.3">
      <c r="A80" s="181"/>
      <c r="B80" s="5"/>
      <c r="C80" s="5">
        <v>0.70833333333333337</v>
      </c>
      <c r="D80" s="139">
        <v>250079</v>
      </c>
      <c r="E80" s="12" t="s">
        <v>665</v>
      </c>
      <c r="F80" s="40">
        <v>304</v>
      </c>
      <c r="G80" s="41">
        <v>0.6</v>
      </c>
      <c r="H80" s="40"/>
      <c r="I80" s="12"/>
      <c r="J80" s="165"/>
      <c r="K80" s="166"/>
      <c r="L80" s="165"/>
      <c r="M80" s="166"/>
      <c r="N80" s="165">
        <v>870</v>
      </c>
      <c r="O80" s="166"/>
      <c r="P80" s="165"/>
      <c r="Q80" s="166"/>
      <c r="R80" s="137"/>
      <c r="S80" s="14" t="s">
        <v>20</v>
      </c>
      <c r="T80" s="42"/>
      <c r="U80" s="177"/>
      <c r="V80" s="178"/>
      <c r="W80" s="179"/>
    </row>
    <row r="81" spans="1:23" ht="14.55" customHeight="1" x14ac:dyDescent="0.3">
      <c r="A81" s="181"/>
      <c r="B81" s="5"/>
      <c r="C81" s="5"/>
      <c r="D81" s="4"/>
      <c r="E81" s="12"/>
      <c r="F81" s="40"/>
      <c r="G81" s="41"/>
      <c r="H81" s="40"/>
      <c r="I81" s="12"/>
      <c r="J81" s="165"/>
      <c r="K81" s="166"/>
      <c r="L81" s="165"/>
      <c r="M81" s="166"/>
      <c r="N81" s="165"/>
      <c r="O81" s="166"/>
      <c r="P81" s="165"/>
      <c r="Q81" s="166"/>
      <c r="R81" s="137"/>
      <c r="S81" s="14" t="s">
        <v>20</v>
      </c>
      <c r="T81" s="42"/>
      <c r="U81" s="177"/>
      <c r="V81" s="178"/>
      <c r="W81" s="179"/>
    </row>
    <row r="82" spans="1:23" ht="14.55" customHeight="1" x14ac:dyDescent="0.3">
      <c r="A82" s="181"/>
      <c r="B82" s="5"/>
      <c r="C82" s="5"/>
      <c r="D82" s="4"/>
      <c r="E82" s="12"/>
      <c r="F82" s="40"/>
      <c r="G82" s="41"/>
      <c r="H82" s="40"/>
      <c r="I82" s="12"/>
      <c r="J82" s="165"/>
      <c r="K82" s="166"/>
      <c r="L82" s="165"/>
      <c r="M82" s="166"/>
      <c r="N82" s="165"/>
      <c r="O82" s="166"/>
      <c r="P82" s="165"/>
      <c r="Q82" s="166"/>
      <c r="R82" s="137"/>
      <c r="S82" s="14" t="s">
        <v>20</v>
      </c>
      <c r="T82" s="42"/>
      <c r="U82" s="177"/>
      <c r="V82" s="178"/>
      <c r="W82" s="179"/>
    </row>
    <row r="83" spans="1:23" ht="14.55" customHeight="1" x14ac:dyDescent="0.3">
      <c r="A83" s="182"/>
      <c r="B83" s="19"/>
      <c r="C83" s="19"/>
      <c r="D83" s="20"/>
      <c r="E83" s="170" t="s">
        <v>0</v>
      </c>
      <c r="F83" s="171"/>
      <c r="G83" s="171"/>
      <c r="H83" s="171"/>
      <c r="I83" s="172"/>
      <c r="J83" s="173">
        <f>SUM(J79:K82)</f>
        <v>0</v>
      </c>
      <c r="K83" s="174"/>
      <c r="L83" s="173">
        <f>SUM(L79:M82)</f>
        <v>0</v>
      </c>
      <c r="M83" s="174"/>
      <c r="N83" s="173">
        <f>SUM(N79:O82)</f>
        <v>1740</v>
      </c>
      <c r="O83" s="174"/>
      <c r="P83" s="173">
        <f>SUM(P79:Q82)</f>
        <v>0</v>
      </c>
      <c r="Q83" s="174"/>
      <c r="R83" s="23">
        <f>SUM(R79:R82)</f>
        <v>0</v>
      </c>
      <c r="S83" s="24" t="s">
        <v>20</v>
      </c>
      <c r="T83" s="19"/>
      <c r="U83" s="177"/>
      <c r="V83" s="178"/>
      <c r="W83" s="179"/>
    </row>
    <row r="84" spans="1:23" x14ac:dyDescent="0.3">
      <c r="E84" s="28"/>
      <c r="F84" s="28"/>
      <c r="G84" s="28"/>
      <c r="H84" s="28"/>
      <c r="I84" s="28"/>
      <c r="J84" s="29"/>
      <c r="K84" s="29"/>
      <c r="L84" s="29"/>
      <c r="M84" s="29"/>
      <c r="N84" s="29"/>
      <c r="O84" s="29"/>
      <c r="P84" s="29"/>
      <c r="Q84" s="29"/>
    </row>
    <row r="85" spans="1:23" x14ac:dyDescent="0.3">
      <c r="E85" s="170" t="s">
        <v>587</v>
      </c>
      <c r="F85" s="171"/>
      <c r="G85" s="171"/>
      <c r="H85" s="171"/>
      <c r="I85" s="172"/>
      <c r="J85" s="175" t="s">
        <v>7</v>
      </c>
      <c r="K85" s="176"/>
      <c r="L85" s="175" t="s">
        <v>8</v>
      </c>
      <c r="M85" s="176"/>
      <c r="N85" s="175" t="s">
        <v>9</v>
      </c>
      <c r="O85" s="176"/>
      <c r="P85" s="175" t="s">
        <v>117</v>
      </c>
      <c r="Q85" s="176"/>
    </row>
    <row r="86" spans="1:23" s="2" customFormat="1" x14ac:dyDescent="0.3">
      <c r="E86" s="15"/>
      <c r="F86" s="15"/>
      <c r="G86" s="15"/>
      <c r="H86" s="15"/>
      <c r="I86" s="15"/>
      <c r="J86" s="141">
        <f>J83</f>
        <v>0</v>
      </c>
      <c r="K86" s="31" t="s">
        <v>17</v>
      </c>
      <c r="L86" s="32">
        <f>L83</f>
        <v>0</v>
      </c>
      <c r="M86" s="31" t="s">
        <v>17</v>
      </c>
      <c r="N86" s="32">
        <f>N83</f>
        <v>1740</v>
      </c>
      <c r="O86" s="31" t="s">
        <v>17</v>
      </c>
      <c r="P86" s="32">
        <f>P83</f>
        <v>0</v>
      </c>
      <c r="Q86" s="34" t="s">
        <v>17</v>
      </c>
    </row>
    <row r="87" spans="1:23" ht="24.45" customHeight="1" x14ac:dyDescent="0.3">
      <c r="E87" s="28"/>
      <c r="F87" s="28"/>
      <c r="G87" s="28"/>
      <c r="H87" s="28"/>
      <c r="I87" s="28"/>
      <c r="J87" s="167">
        <f>J86+L86+N86+P86</f>
        <v>1740</v>
      </c>
      <c r="K87" s="168"/>
      <c r="L87" s="168"/>
      <c r="M87" s="168"/>
      <c r="N87" s="168"/>
      <c r="O87" s="168"/>
      <c r="P87" s="168"/>
      <c r="Q87" s="169"/>
    </row>
    <row r="88" spans="1:23" ht="14.55" customHeight="1" x14ac:dyDescent="0.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 spans="1:23" s="37" customFormat="1" ht="19.95" customHeight="1" x14ac:dyDescent="0.4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214" t="s">
        <v>14</v>
      </c>
      <c r="R89" s="215"/>
      <c r="S89" s="216"/>
      <c r="T89" s="184">
        <f>T3</f>
        <v>45957</v>
      </c>
      <c r="U89" s="185"/>
      <c r="V89" s="185"/>
      <c r="W89" s="186"/>
    </row>
    <row r="90" spans="1:23" s="16" customFormat="1" ht="30" customHeight="1" x14ac:dyDescent="0.3">
      <c r="A90" s="187" t="s">
        <v>26</v>
      </c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9"/>
      <c r="Q90" s="189"/>
      <c r="R90" s="189"/>
      <c r="S90" s="189"/>
      <c r="T90" s="188"/>
      <c r="U90" s="188"/>
      <c r="V90" s="188"/>
      <c r="W90" s="190"/>
    </row>
    <row r="91" spans="1:23" s="26" customFormat="1" ht="13.8" x14ac:dyDescent="0.3">
      <c r="A91" s="191" t="s">
        <v>1</v>
      </c>
      <c r="B91" s="192" t="s">
        <v>2</v>
      </c>
      <c r="C91" s="192" t="s">
        <v>3</v>
      </c>
      <c r="D91" s="192" t="s">
        <v>4</v>
      </c>
      <c r="E91" s="193" t="s">
        <v>5</v>
      </c>
      <c r="F91" s="197"/>
      <c r="G91" s="197"/>
      <c r="H91" s="197"/>
      <c r="I91" s="198"/>
      <c r="J91" s="193" t="s">
        <v>6</v>
      </c>
      <c r="K91" s="197"/>
      <c r="L91" s="197"/>
      <c r="M91" s="197"/>
      <c r="N91" s="197"/>
      <c r="O91" s="197"/>
      <c r="P91" s="197"/>
      <c r="Q91" s="198"/>
      <c r="R91" s="193" t="s">
        <v>10</v>
      </c>
      <c r="S91" s="198"/>
      <c r="T91" s="191" t="s">
        <v>11</v>
      </c>
      <c r="U91" s="191" t="s">
        <v>12</v>
      </c>
      <c r="V91" s="191"/>
      <c r="W91" s="191"/>
    </row>
    <row r="92" spans="1:23" s="26" customFormat="1" ht="13.8" x14ac:dyDescent="0.3">
      <c r="A92" s="191"/>
      <c r="B92" s="192"/>
      <c r="C92" s="192"/>
      <c r="D92" s="192"/>
      <c r="E92" s="194"/>
      <c r="F92" s="217"/>
      <c r="G92" s="217"/>
      <c r="H92" s="217"/>
      <c r="I92" s="199"/>
      <c r="J92" s="200" t="s">
        <v>7</v>
      </c>
      <c r="K92" s="201"/>
      <c r="L92" s="200" t="s">
        <v>8</v>
      </c>
      <c r="M92" s="201"/>
      <c r="N92" s="200" t="s">
        <v>9</v>
      </c>
      <c r="O92" s="201"/>
      <c r="P92" s="200" t="s">
        <v>117</v>
      </c>
      <c r="Q92" s="201"/>
      <c r="R92" s="194"/>
      <c r="S92" s="199"/>
      <c r="T92" s="191"/>
      <c r="U92" s="191"/>
      <c r="V92" s="191"/>
      <c r="W92" s="191"/>
    </row>
    <row r="93" spans="1:23" x14ac:dyDescent="0.3">
      <c r="A93" s="180" t="s">
        <v>13</v>
      </c>
      <c r="B93" s="5"/>
      <c r="C93" s="5"/>
      <c r="D93" s="4"/>
      <c r="E93" s="211" t="s">
        <v>321</v>
      </c>
      <c r="F93" s="212"/>
      <c r="G93" s="212"/>
      <c r="H93" s="212"/>
      <c r="I93" s="213"/>
      <c r="J93" s="165"/>
      <c r="K93" s="166"/>
      <c r="L93" s="165"/>
      <c r="M93" s="166"/>
      <c r="N93" s="165"/>
      <c r="O93" s="166"/>
      <c r="P93" s="165"/>
      <c r="Q93" s="166"/>
      <c r="R93" s="137"/>
      <c r="S93" s="6" t="s">
        <v>20</v>
      </c>
      <c r="T93" s="3"/>
      <c r="U93" s="202"/>
      <c r="V93" s="203"/>
      <c r="W93" s="204"/>
    </row>
    <row r="94" spans="1:23" x14ac:dyDescent="0.3">
      <c r="A94" s="163"/>
      <c r="B94" s="5"/>
      <c r="C94" s="5"/>
      <c r="D94" s="4"/>
      <c r="E94" s="211"/>
      <c r="F94" s="212"/>
      <c r="G94" s="212"/>
      <c r="H94" s="212"/>
      <c r="I94" s="213"/>
      <c r="J94" s="165"/>
      <c r="K94" s="166"/>
      <c r="L94" s="165"/>
      <c r="M94" s="166"/>
      <c r="N94" s="165"/>
      <c r="O94" s="166"/>
      <c r="P94" s="165"/>
      <c r="Q94" s="166"/>
      <c r="R94" s="137"/>
      <c r="S94" s="6" t="s">
        <v>20</v>
      </c>
      <c r="T94" s="3"/>
      <c r="U94" s="205"/>
      <c r="V94" s="206"/>
      <c r="W94" s="207"/>
    </row>
    <row r="95" spans="1:23" x14ac:dyDescent="0.3">
      <c r="A95" s="164"/>
      <c r="B95" s="19"/>
      <c r="C95" s="19"/>
      <c r="D95" s="20"/>
      <c r="E95" s="170" t="s">
        <v>0</v>
      </c>
      <c r="F95" s="171"/>
      <c r="G95" s="171"/>
      <c r="H95" s="171"/>
      <c r="I95" s="172"/>
      <c r="J95" s="173">
        <f>SUM(J93:J94)</f>
        <v>0</v>
      </c>
      <c r="K95" s="174"/>
      <c r="L95" s="173">
        <f>SUM(L93:L94)</f>
        <v>0</v>
      </c>
      <c r="M95" s="174"/>
      <c r="N95" s="173">
        <f>SUM(N93:N94)</f>
        <v>0</v>
      </c>
      <c r="O95" s="174"/>
      <c r="P95" s="173">
        <f>SUM(P93:P94)</f>
        <v>0</v>
      </c>
      <c r="Q95" s="174"/>
      <c r="R95" s="23">
        <f>SUM(R93:R94)</f>
        <v>0</v>
      </c>
      <c r="S95" s="24" t="s">
        <v>20</v>
      </c>
      <c r="T95" s="19"/>
      <c r="U95" s="208"/>
      <c r="V95" s="209"/>
      <c r="W95" s="210"/>
    </row>
    <row r="96" spans="1:23" x14ac:dyDescent="0.3">
      <c r="A96" s="180" t="s">
        <v>15</v>
      </c>
      <c r="B96" s="5"/>
      <c r="C96" s="5"/>
      <c r="D96" s="4"/>
      <c r="E96" s="211"/>
      <c r="F96" s="212"/>
      <c r="G96" s="212"/>
      <c r="H96" s="212"/>
      <c r="I96" s="213"/>
      <c r="J96" s="165"/>
      <c r="K96" s="166"/>
      <c r="L96" s="165"/>
      <c r="M96" s="166"/>
      <c r="N96" s="165"/>
      <c r="O96" s="166"/>
      <c r="P96" s="165"/>
      <c r="Q96" s="166"/>
      <c r="R96" s="137"/>
      <c r="S96" s="6" t="s">
        <v>20</v>
      </c>
      <c r="T96" s="3"/>
      <c r="U96" s="202"/>
      <c r="V96" s="203"/>
      <c r="W96" s="204"/>
    </row>
    <row r="97" spans="1:23" x14ac:dyDescent="0.3">
      <c r="A97" s="163"/>
      <c r="B97" s="5"/>
      <c r="C97" s="5"/>
      <c r="D97" s="4"/>
      <c r="E97" s="211"/>
      <c r="F97" s="212"/>
      <c r="G97" s="212"/>
      <c r="H97" s="212"/>
      <c r="I97" s="213"/>
      <c r="J97" s="165"/>
      <c r="K97" s="166"/>
      <c r="L97" s="165"/>
      <c r="M97" s="166"/>
      <c r="N97" s="165"/>
      <c r="O97" s="166"/>
      <c r="P97" s="165"/>
      <c r="Q97" s="166"/>
      <c r="R97" s="137"/>
      <c r="S97" s="6" t="s">
        <v>20</v>
      </c>
      <c r="T97" s="3"/>
      <c r="U97" s="205"/>
      <c r="V97" s="206"/>
      <c r="W97" s="207"/>
    </row>
    <row r="98" spans="1:23" x14ac:dyDescent="0.3">
      <c r="A98" s="163"/>
      <c r="B98" s="5"/>
      <c r="C98" s="5"/>
      <c r="D98" s="4"/>
      <c r="E98" s="211"/>
      <c r="F98" s="212"/>
      <c r="G98" s="212"/>
      <c r="H98" s="212"/>
      <c r="I98" s="213"/>
      <c r="J98" s="165"/>
      <c r="K98" s="166"/>
      <c r="L98" s="165"/>
      <c r="M98" s="166"/>
      <c r="N98" s="165"/>
      <c r="O98" s="166"/>
      <c r="P98" s="165"/>
      <c r="Q98" s="166"/>
      <c r="R98" s="137"/>
      <c r="S98" s="6" t="s">
        <v>20</v>
      </c>
      <c r="T98" s="3"/>
      <c r="U98" s="205"/>
      <c r="V98" s="206"/>
      <c r="W98" s="207"/>
    </row>
    <row r="99" spans="1:23" x14ac:dyDescent="0.3">
      <c r="A99" s="164"/>
      <c r="B99" s="19"/>
      <c r="C99" s="19"/>
      <c r="D99" s="20"/>
      <c r="E99" s="170" t="s">
        <v>0</v>
      </c>
      <c r="F99" s="171"/>
      <c r="G99" s="171"/>
      <c r="H99" s="171"/>
      <c r="I99" s="172"/>
      <c r="J99" s="173">
        <f>SUM(J96:J98)</f>
        <v>0</v>
      </c>
      <c r="K99" s="174"/>
      <c r="L99" s="173">
        <f>SUM(L96:L98)</f>
        <v>0</v>
      </c>
      <c r="M99" s="174"/>
      <c r="N99" s="173">
        <f>SUM(N96:N98)</f>
        <v>0</v>
      </c>
      <c r="O99" s="174"/>
      <c r="P99" s="173">
        <f>SUM(P94:P98)</f>
        <v>0</v>
      </c>
      <c r="Q99" s="174"/>
      <c r="R99" s="23">
        <f>SUM(R96:R98)</f>
        <v>0</v>
      </c>
      <c r="S99" s="24" t="s">
        <v>20</v>
      </c>
      <c r="T99" s="7"/>
      <c r="U99" s="208"/>
      <c r="V99" s="209"/>
      <c r="W99" s="210"/>
    </row>
    <row r="100" spans="1:23" x14ac:dyDescent="0.3">
      <c r="E100" s="28"/>
      <c r="F100" s="28"/>
      <c r="G100" s="28"/>
      <c r="H100" s="28"/>
      <c r="I100" s="28"/>
      <c r="J100" s="29"/>
      <c r="K100" s="29"/>
      <c r="L100" s="29"/>
      <c r="M100" s="29"/>
      <c r="N100" s="29"/>
      <c r="O100" s="29"/>
      <c r="P100" s="29"/>
      <c r="Q100" s="29"/>
    </row>
    <row r="101" spans="1:23" x14ac:dyDescent="0.3">
      <c r="E101" s="170" t="s">
        <v>28</v>
      </c>
      <c r="F101" s="171"/>
      <c r="G101" s="171"/>
      <c r="H101" s="171"/>
      <c r="I101" s="172"/>
      <c r="J101" s="175" t="s">
        <v>7</v>
      </c>
      <c r="K101" s="176"/>
      <c r="L101" s="175" t="s">
        <v>8</v>
      </c>
      <c r="M101" s="176"/>
      <c r="N101" s="175" t="s">
        <v>9</v>
      </c>
      <c r="O101" s="176"/>
      <c r="P101" s="175" t="s">
        <v>117</v>
      </c>
      <c r="Q101" s="176"/>
    </row>
    <row r="102" spans="1:23" s="2" customFormat="1" x14ac:dyDescent="0.3">
      <c r="E102" s="15"/>
      <c r="F102" s="15"/>
      <c r="G102" s="15"/>
      <c r="H102" s="15"/>
      <c r="I102" s="15"/>
      <c r="J102" s="30">
        <f>J95+J99</f>
        <v>0</v>
      </c>
      <c r="K102" s="31" t="s">
        <v>17</v>
      </c>
      <c r="L102" s="32">
        <f>L95+L99</f>
        <v>0</v>
      </c>
      <c r="M102" s="31" t="s">
        <v>17</v>
      </c>
      <c r="N102" s="32">
        <f>N95+N99</f>
        <v>0</v>
      </c>
      <c r="O102" s="31" t="s">
        <v>17</v>
      </c>
      <c r="P102" s="32">
        <f>P95+P99</f>
        <v>0</v>
      </c>
      <c r="Q102" s="34" t="s">
        <v>17</v>
      </c>
    </row>
    <row r="103" spans="1:23" ht="24.45" customHeight="1" x14ac:dyDescent="0.3">
      <c r="E103" s="28"/>
      <c r="F103" s="28"/>
      <c r="G103" s="28"/>
      <c r="H103" s="28"/>
      <c r="I103" s="28"/>
      <c r="J103" s="167">
        <f>J102+L102+N102+P102</f>
        <v>0</v>
      </c>
      <c r="K103" s="168"/>
      <c r="L103" s="168"/>
      <c r="M103" s="168"/>
      <c r="N103" s="168"/>
      <c r="O103" s="168"/>
      <c r="P103" s="168"/>
      <c r="Q103" s="169"/>
    </row>
    <row r="104" spans="1:23" ht="14.55" customHeight="1" x14ac:dyDescent="0.3"/>
    <row r="105" spans="1:23" s="37" customFormat="1" ht="19.95" customHeight="1" x14ac:dyDescent="0.4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6"/>
      <c r="Q105" s="183" t="s">
        <v>14</v>
      </c>
      <c r="R105" s="183"/>
      <c r="S105" s="183"/>
      <c r="T105" s="184">
        <f>T3</f>
        <v>45957</v>
      </c>
      <c r="U105" s="185"/>
      <c r="V105" s="185"/>
      <c r="W105" s="186"/>
    </row>
    <row r="106" spans="1:23" s="16" customFormat="1" ht="30" customHeight="1" x14ac:dyDescent="0.3">
      <c r="A106" s="187" t="s">
        <v>579</v>
      </c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189"/>
      <c r="Q106" s="189"/>
      <c r="R106" s="189"/>
      <c r="S106" s="189"/>
      <c r="T106" s="188"/>
      <c r="U106" s="188"/>
      <c r="V106" s="188"/>
      <c r="W106" s="190"/>
    </row>
    <row r="107" spans="1:23" s="26" customFormat="1" ht="13.8" x14ac:dyDescent="0.3">
      <c r="A107" s="191" t="s">
        <v>1</v>
      </c>
      <c r="B107" s="192" t="s">
        <v>2</v>
      </c>
      <c r="C107" s="192" t="s">
        <v>3</v>
      </c>
      <c r="D107" s="192" t="s">
        <v>4</v>
      </c>
      <c r="E107" s="193" t="s">
        <v>5</v>
      </c>
      <c r="F107" s="195" t="s">
        <v>21</v>
      </c>
      <c r="G107" s="195" t="s">
        <v>22</v>
      </c>
      <c r="H107" s="195" t="s">
        <v>33</v>
      </c>
      <c r="I107" s="195" t="s">
        <v>30</v>
      </c>
      <c r="J107" s="193" t="s">
        <v>6</v>
      </c>
      <c r="K107" s="197"/>
      <c r="L107" s="197"/>
      <c r="M107" s="197"/>
      <c r="N107" s="197"/>
      <c r="O107" s="197"/>
      <c r="P107" s="197"/>
      <c r="Q107" s="198"/>
      <c r="R107" s="193" t="s">
        <v>10</v>
      </c>
      <c r="S107" s="198"/>
      <c r="T107" s="191" t="s">
        <v>11</v>
      </c>
      <c r="U107" s="191" t="s">
        <v>12</v>
      </c>
      <c r="V107" s="191"/>
      <c r="W107" s="191"/>
    </row>
    <row r="108" spans="1:23" s="26" customFormat="1" ht="13.8" x14ac:dyDescent="0.3">
      <c r="A108" s="191"/>
      <c r="B108" s="192"/>
      <c r="C108" s="192"/>
      <c r="D108" s="192"/>
      <c r="E108" s="194"/>
      <c r="F108" s="196"/>
      <c r="G108" s="196"/>
      <c r="H108" s="196"/>
      <c r="I108" s="196"/>
      <c r="J108" s="200" t="s">
        <v>7</v>
      </c>
      <c r="K108" s="201"/>
      <c r="L108" s="200" t="s">
        <v>8</v>
      </c>
      <c r="M108" s="201"/>
      <c r="N108" s="200" t="s">
        <v>9</v>
      </c>
      <c r="O108" s="201"/>
      <c r="P108" s="200" t="s">
        <v>117</v>
      </c>
      <c r="Q108" s="201"/>
      <c r="R108" s="194"/>
      <c r="S108" s="199"/>
      <c r="T108" s="191"/>
      <c r="U108" s="191"/>
      <c r="V108" s="191"/>
      <c r="W108" s="191"/>
    </row>
    <row r="109" spans="1:23" ht="14.55" customHeight="1" x14ac:dyDescent="0.3">
      <c r="A109" s="180" t="s">
        <v>581</v>
      </c>
      <c r="B109" s="5"/>
      <c r="C109" s="5"/>
      <c r="D109" s="126"/>
      <c r="E109" s="12" t="s">
        <v>666</v>
      </c>
      <c r="F109" s="40"/>
      <c r="G109" s="41"/>
      <c r="H109" s="40"/>
      <c r="I109" s="12"/>
      <c r="J109" s="165"/>
      <c r="K109" s="166"/>
      <c r="L109" s="165"/>
      <c r="M109" s="166"/>
      <c r="N109" s="165"/>
      <c r="O109" s="166"/>
      <c r="P109" s="165"/>
      <c r="Q109" s="166"/>
      <c r="R109" s="137"/>
      <c r="S109" s="14" t="s">
        <v>20</v>
      </c>
      <c r="T109" s="42"/>
      <c r="U109" s="177"/>
      <c r="V109" s="178"/>
      <c r="W109" s="179"/>
    </row>
    <row r="110" spans="1:23" ht="14.55" customHeight="1" x14ac:dyDescent="0.3">
      <c r="A110" s="181"/>
      <c r="B110" s="5"/>
      <c r="C110" s="5"/>
      <c r="D110" s="126"/>
      <c r="E110" s="13" t="s">
        <v>667</v>
      </c>
      <c r="F110" s="40"/>
      <c r="G110" s="41"/>
      <c r="H110" s="40"/>
      <c r="I110" s="12"/>
      <c r="J110" s="165">
        <v>2000</v>
      </c>
      <c r="K110" s="166"/>
      <c r="L110" s="165"/>
      <c r="M110" s="166"/>
      <c r="N110" s="165"/>
      <c r="O110" s="166"/>
      <c r="P110" s="165"/>
      <c r="Q110" s="166"/>
      <c r="R110" s="137"/>
      <c r="S110" s="14" t="s">
        <v>20</v>
      </c>
      <c r="T110" s="42"/>
      <c r="U110" s="177"/>
      <c r="V110" s="178"/>
      <c r="W110" s="179"/>
    </row>
    <row r="111" spans="1:23" ht="14.55" customHeight="1" x14ac:dyDescent="0.3">
      <c r="A111" s="181"/>
      <c r="B111" s="5"/>
      <c r="C111" s="5"/>
      <c r="D111" s="4"/>
      <c r="E111" s="12"/>
      <c r="F111" s="40"/>
      <c r="G111" s="41"/>
      <c r="H111" s="40"/>
      <c r="I111" s="12"/>
      <c r="J111" s="165"/>
      <c r="K111" s="166"/>
      <c r="L111" s="165"/>
      <c r="M111" s="166"/>
      <c r="N111" s="165"/>
      <c r="O111" s="166"/>
      <c r="P111" s="165"/>
      <c r="Q111" s="166"/>
      <c r="R111" s="137"/>
      <c r="S111" s="14" t="s">
        <v>20</v>
      </c>
      <c r="T111" s="42"/>
      <c r="U111" s="177"/>
      <c r="V111" s="178"/>
      <c r="W111" s="179"/>
    </row>
    <row r="112" spans="1:23" ht="14.55" customHeight="1" x14ac:dyDescent="0.3">
      <c r="A112" s="182"/>
      <c r="B112" s="19"/>
      <c r="C112" s="19"/>
      <c r="D112" s="20"/>
      <c r="E112" s="170" t="s">
        <v>0</v>
      </c>
      <c r="F112" s="171"/>
      <c r="G112" s="171"/>
      <c r="H112" s="171"/>
      <c r="I112" s="172"/>
      <c r="J112" s="173">
        <f>SUM(J109:K111)</f>
        <v>2000</v>
      </c>
      <c r="K112" s="174"/>
      <c r="L112" s="173">
        <f>SUM(L109:M111)</f>
        <v>0</v>
      </c>
      <c r="M112" s="174"/>
      <c r="N112" s="173">
        <f>SUM(N109:O111)</f>
        <v>0</v>
      </c>
      <c r="O112" s="174"/>
      <c r="P112" s="173">
        <f>SUM(P109:Q111)</f>
        <v>0</v>
      </c>
      <c r="Q112" s="174"/>
      <c r="R112" s="23">
        <f>SUM(R109:R111)</f>
        <v>0</v>
      </c>
      <c r="S112" s="24" t="s">
        <v>20</v>
      </c>
      <c r="T112" s="19"/>
      <c r="U112" s="177"/>
      <c r="V112" s="178"/>
      <c r="W112" s="179"/>
    </row>
    <row r="113" spans="1:23" ht="14.55" customHeight="1" x14ac:dyDescent="0.3">
      <c r="A113" s="163" t="s">
        <v>580</v>
      </c>
      <c r="B113" s="5"/>
      <c r="C113" s="5"/>
      <c r="D113" s="4"/>
      <c r="E113" s="12"/>
      <c r="F113" s="40"/>
      <c r="G113" s="41"/>
      <c r="H113" s="40"/>
      <c r="I113" s="12"/>
      <c r="J113" s="165"/>
      <c r="K113" s="166"/>
      <c r="L113" s="165"/>
      <c r="M113" s="166"/>
      <c r="N113" s="165"/>
      <c r="O113" s="166"/>
      <c r="P113" s="165"/>
      <c r="Q113" s="166"/>
      <c r="R113" s="137"/>
      <c r="S113" s="14" t="s">
        <v>20</v>
      </c>
      <c r="T113" s="42"/>
      <c r="U113" s="177"/>
      <c r="V113" s="178"/>
      <c r="W113" s="179"/>
    </row>
    <row r="114" spans="1:23" ht="14.55" customHeight="1" x14ac:dyDescent="0.3">
      <c r="A114" s="163"/>
      <c r="B114" s="5"/>
      <c r="C114" s="5"/>
      <c r="D114" s="4"/>
      <c r="E114" s="12"/>
      <c r="F114" s="40"/>
      <c r="G114" s="41"/>
      <c r="H114" s="40"/>
      <c r="I114" s="12"/>
      <c r="J114" s="165"/>
      <c r="K114" s="166"/>
      <c r="L114" s="165"/>
      <c r="M114" s="166"/>
      <c r="N114" s="165"/>
      <c r="O114" s="166"/>
      <c r="P114" s="165"/>
      <c r="Q114" s="166"/>
      <c r="R114" s="137"/>
      <c r="S114" s="14" t="s">
        <v>20</v>
      </c>
      <c r="T114" s="42"/>
      <c r="U114" s="177"/>
      <c r="V114" s="178"/>
      <c r="W114" s="179"/>
    </row>
    <row r="115" spans="1:23" ht="14.55" customHeight="1" x14ac:dyDescent="0.3">
      <c r="A115" s="163"/>
      <c r="B115" s="5"/>
      <c r="C115" s="5"/>
      <c r="D115" s="4"/>
      <c r="E115" s="12"/>
      <c r="F115" s="40"/>
      <c r="G115" s="41"/>
      <c r="H115" s="40"/>
      <c r="I115" s="12"/>
      <c r="J115" s="165"/>
      <c r="K115" s="166"/>
      <c r="L115" s="165"/>
      <c r="M115" s="166"/>
      <c r="N115" s="165"/>
      <c r="O115" s="166"/>
      <c r="P115" s="165"/>
      <c r="Q115" s="166"/>
      <c r="R115" s="137"/>
      <c r="S115" s="14" t="s">
        <v>20</v>
      </c>
      <c r="T115" s="42"/>
      <c r="U115" s="177"/>
      <c r="V115" s="178"/>
      <c r="W115" s="179"/>
    </row>
    <row r="116" spans="1:23" ht="14.55" customHeight="1" x14ac:dyDescent="0.3">
      <c r="A116" s="163"/>
      <c r="B116" s="5"/>
      <c r="C116" s="5"/>
      <c r="D116" s="4"/>
      <c r="E116" s="12"/>
      <c r="F116" s="40"/>
      <c r="G116" s="41"/>
      <c r="H116" s="40"/>
      <c r="I116" s="12"/>
      <c r="J116" s="165"/>
      <c r="K116" s="166"/>
      <c r="L116" s="165"/>
      <c r="M116" s="166"/>
      <c r="N116" s="165"/>
      <c r="O116" s="166"/>
      <c r="P116" s="165"/>
      <c r="Q116" s="166"/>
      <c r="R116" s="137"/>
      <c r="S116" s="14" t="s">
        <v>20</v>
      </c>
      <c r="T116" s="42"/>
      <c r="U116" s="177"/>
      <c r="V116" s="178"/>
      <c r="W116" s="179"/>
    </row>
    <row r="117" spans="1:23" ht="14.55" customHeight="1" x14ac:dyDescent="0.3">
      <c r="A117" s="164"/>
      <c r="B117" s="19"/>
      <c r="C117" s="19"/>
      <c r="D117" s="20"/>
      <c r="E117" s="170" t="s">
        <v>0</v>
      </c>
      <c r="F117" s="171"/>
      <c r="G117" s="171"/>
      <c r="H117" s="171"/>
      <c r="I117" s="172"/>
      <c r="J117" s="173">
        <f>SUM(J113:K116)</f>
        <v>0</v>
      </c>
      <c r="K117" s="174"/>
      <c r="L117" s="173">
        <f>SUM(L113:M116)</f>
        <v>0</v>
      </c>
      <c r="M117" s="174"/>
      <c r="N117" s="173">
        <f>SUM(N113:O116)</f>
        <v>0</v>
      </c>
      <c r="O117" s="174"/>
      <c r="P117" s="173">
        <f>SUM(P113:Q116)</f>
        <v>0</v>
      </c>
      <c r="Q117" s="174"/>
      <c r="R117" s="23">
        <f>SUM(R113:R116)</f>
        <v>0</v>
      </c>
      <c r="S117" s="24" t="s">
        <v>20</v>
      </c>
      <c r="T117" s="19"/>
      <c r="U117" s="177"/>
      <c r="V117" s="178"/>
      <c r="W117" s="179"/>
    </row>
    <row r="118" spans="1:23" ht="14.55" customHeight="1" x14ac:dyDescent="0.3">
      <c r="A118" s="27"/>
      <c r="B118" s="27"/>
      <c r="C118" s="27"/>
      <c r="D118" s="27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27"/>
      <c r="S118" s="27"/>
      <c r="T118" s="39"/>
      <c r="U118" s="39"/>
      <c r="V118" s="39"/>
      <c r="W118" s="39"/>
    </row>
    <row r="119" spans="1:23" x14ac:dyDescent="0.3">
      <c r="E119" s="170" t="s">
        <v>585</v>
      </c>
      <c r="F119" s="171"/>
      <c r="G119" s="171"/>
      <c r="H119" s="171"/>
      <c r="I119" s="172"/>
      <c r="J119" s="175" t="s">
        <v>7</v>
      </c>
      <c r="K119" s="176"/>
      <c r="L119" s="175" t="s">
        <v>8</v>
      </c>
      <c r="M119" s="176"/>
      <c r="N119" s="175" t="s">
        <v>9</v>
      </c>
      <c r="O119" s="176"/>
      <c r="P119" s="175" t="s">
        <v>117</v>
      </c>
      <c r="Q119" s="176"/>
    </row>
    <row r="120" spans="1:23" s="2" customFormat="1" x14ac:dyDescent="0.3">
      <c r="E120" s="15"/>
      <c r="F120" s="15"/>
      <c r="G120" s="15"/>
      <c r="H120" s="15"/>
      <c r="I120" s="15"/>
      <c r="J120" s="30">
        <f>SUM(J117,J112)</f>
        <v>2000</v>
      </c>
      <c r="K120" s="31" t="s">
        <v>17</v>
      </c>
      <c r="L120" s="30">
        <f>SUM(L117,L112)</f>
        <v>0</v>
      </c>
      <c r="M120" s="31" t="s">
        <v>17</v>
      </c>
      <c r="N120" s="30">
        <f>SUM(N117,N112)</f>
        <v>0</v>
      </c>
      <c r="O120" s="31" t="s">
        <v>17</v>
      </c>
      <c r="P120" s="30">
        <f>SUM(P117,P112)</f>
        <v>0</v>
      </c>
      <c r="Q120" s="34" t="s">
        <v>17</v>
      </c>
    </row>
    <row r="121" spans="1:23" ht="24.45" customHeight="1" x14ac:dyDescent="0.3">
      <c r="E121" s="28"/>
      <c r="F121" s="28"/>
      <c r="G121" s="28"/>
      <c r="H121" s="28"/>
      <c r="I121" s="28"/>
      <c r="J121" s="167">
        <f>J120+L120+N120+P120</f>
        <v>2000</v>
      </c>
      <c r="K121" s="168"/>
      <c r="L121" s="168"/>
      <c r="M121" s="168"/>
      <c r="N121" s="168"/>
      <c r="O121" s="168"/>
      <c r="P121" s="168"/>
      <c r="Q121" s="169"/>
    </row>
  </sheetData>
  <mergeCells count="457">
    <mergeCell ref="J121:Q121"/>
    <mergeCell ref="J18:K18"/>
    <mergeCell ref="L18:M18"/>
    <mergeCell ref="N18:O18"/>
    <mergeCell ref="P18:Q18"/>
    <mergeCell ref="J19:K19"/>
    <mergeCell ref="L19:M19"/>
    <mergeCell ref="N19:O19"/>
    <mergeCell ref="P19:Q19"/>
    <mergeCell ref="J20:K20"/>
    <mergeCell ref="J115:K115"/>
    <mergeCell ref="L115:M115"/>
    <mergeCell ref="N115:O115"/>
    <mergeCell ref="P115:Q115"/>
    <mergeCell ref="J116:K116"/>
    <mergeCell ref="L116:M116"/>
    <mergeCell ref="N116:O116"/>
    <mergeCell ref="P116:Q116"/>
    <mergeCell ref="J111:K111"/>
    <mergeCell ref="J29:Q29"/>
    <mergeCell ref="Q31:S31"/>
    <mergeCell ref="E119:I119"/>
    <mergeCell ref="J119:K119"/>
    <mergeCell ref="L119:M119"/>
    <mergeCell ref="N119:O119"/>
    <mergeCell ref="P119:Q119"/>
    <mergeCell ref="P20:Q20"/>
    <mergeCell ref="J21:K21"/>
    <mergeCell ref="L21:M21"/>
    <mergeCell ref="N21:O21"/>
    <mergeCell ref="P21:Q21"/>
    <mergeCell ref="Q105:S105"/>
    <mergeCell ref="E101:I101"/>
    <mergeCell ref="J101:K101"/>
    <mergeCell ref="L101:M101"/>
    <mergeCell ref="N101:O101"/>
    <mergeCell ref="P101:Q101"/>
    <mergeCell ref="J103:Q103"/>
    <mergeCell ref="N98:O98"/>
    <mergeCell ref="P98:Q98"/>
    <mergeCell ref="E99:I99"/>
    <mergeCell ref="J99:K99"/>
    <mergeCell ref="L99:M99"/>
    <mergeCell ref="N99:O99"/>
    <mergeCell ref="P99:Q99"/>
    <mergeCell ref="U113:W117"/>
    <mergeCell ref="J114:K114"/>
    <mergeCell ref="L114:M114"/>
    <mergeCell ref="N114:O114"/>
    <mergeCell ref="P114:Q114"/>
    <mergeCell ref="E117:I117"/>
    <mergeCell ref="J117:K117"/>
    <mergeCell ref="L117:M117"/>
    <mergeCell ref="N117:O117"/>
    <mergeCell ref="P117:Q117"/>
    <mergeCell ref="A109:A112"/>
    <mergeCell ref="J109:K109"/>
    <mergeCell ref="L109:M109"/>
    <mergeCell ref="N109:O109"/>
    <mergeCell ref="P109:Q109"/>
    <mergeCell ref="A113:A117"/>
    <mergeCell ref="J113:K113"/>
    <mergeCell ref="L113:M113"/>
    <mergeCell ref="N113:O113"/>
    <mergeCell ref="P113:Q113"/>
    <mergeCell ref="U109:W112"/>
    <mergeCell ref="J110:K110"/>
    <mergeCell ref="L110:M110"/>
    <mergeCell ref="N110:O110"/>
    <mergeCell ref="P110:Q110"/>
    <mergeCell ref="H107:H108"/>
    <mergeCell ref="I107:I108"/>
    <mergeCell ref="J107:Q107"/>
    <mergeCell ref="R107:S108"/>
    <mergeCell ref="T107:T108"/>
    <mergeCell ref="U107:W108"/>
    <mergeCell ref="J108:K108"/>
    <mergeCell ref="L108:M108"/>
    <mergeCell ref="N108:O108"/>
    <mergeCell ref="P108:Q108"/>
    <mergeCell ref="L111:M111"/>
    <mergeCell ref="N111:O111"/>
    <mergeCell ref="P111:Q111"/>
    <mergeCell ref="E112:I112"/>
    <mergeCell ref="J112:K112"/>
    <mergeCell ref="L112:M112"/>
    <mergeCell ref="N112:O112"/>
    <mergeCell ref="P112:Q112"/>
    <mergeCell ref="T105:W105"/>
    <mergeCell ref="A106:W106"/>
    <mergeCell ref="A107:A108"/>
    <mergeCell ref="B107:B108"/>
    <mergeCell ref="C107:C108"/>
    <mergeCell ref="D107:D108"/>
    <mergeCell ref="E107:E108"/>
    <mergeCell ref="F107:F108"/>
    <mergeCell ref="G107:G108"/>
    <mergeCell ref="A96:A99"/>
    <mergeCell ref="E96:I96"/>
    <mergeCell ref="J96:K96"/>
    <mergeCell ref="L96:M96"/>
    <mergeCell ref="N96:O96"/>
    <mergeCell ref="P96:Q96"/>
    <mergeCell ref="U96:W99"/>
    <mergeCell ref="E97:I97"/>
    <mergeCell ref="J97:K97"/>
    <mergeCell ref="L97:M97"/>
    <mergeCell ref="N97:O97"/>
    <mergeCell ref="P97:Q97"/>
    <mergeCell ref="E98:I98"/>
    <mergeCell ref="J98:K98"/>
    <mergeCell ref="L98:M98"/>
    <mergeCell ref="E94:I94"/>
    <mergeCell ref="J94:K94"/>
    <mergeCell ref="L94:M94"/>
    <mergeCell ref="N94:O94"/>
    <mergeCell ref="P94:Q94"/>
    <mergeCell ref="U93:W95"/>
    <mergeCell ref="A93:A95"/>
    <mergeCell ref="E93:I93"/>
    <mergeCell ref="J93:K93"/>
    <mergeCell ref="L93:M93"/>
    <mergeCell ref="N93:O93"/>
    <mergeCell ref="P93:Q93"/>
    <mergeCell ref="E95:I95"/>
    <mergeCell ref="J95:K95"/>
    <mergeCell ref="L95:M95"/>
    <mergeCell ref="N95:O95"/>
    <mergeCell ref="P95:Q95"/>
    <mergeCell ref="E85:I85"/>
    <mergeCell ref="J85:K85"/>
    <mergeCell ref="L85:M85"/>
    <mergeCell ref="N85:O85"/>
    <mergeCell ref="P85:Q85"/>
    <mergeCell ref="R91:S92"/>
    <mergeCell ref="T91:T92"/>
    <mergeCell ref="U91:W92"/>
    <mergeCell ref="J92:K92"/>
    <mergeCell ref="L92:M92"/>
    <mergeCell ref="N92:O92"/>
    <mergeCell ref="P92:Q92"/>
    <mergeCell ref="J87:Q87"/>
    <mergeCell ref="Q89:S89"/>
    <mergeCell ref="T89:W89"/>
    <mergeCell ref="A90:W90"/>
    <mergeCell ref="A91:A92"/>
    <mergeCell ref="B91:B92"/>
    <mergeCell ref="C91:C92"/>
    <mergeCell ref="D91:D92"/>
    <mergeCell ref="E91:I92"/>
    <mergeCell ref="J91:Q91"/>
    <mergeCell ref="U79:W83"/>
    <mergeCell ref="J80:K80"/>
    <mergeCell ref="L80:M80"/>
    <mergeCell ref="N80:O80"/>
    <mergeCell ref="P80:Q80"/>
    <mergeCell ref="J81:K81"/>
    <mergeCell ref="L81:M81"/>
    <mergeCell ref="N81:O81"/>
    <mergeCell ref="P81:Q81"/>
    <mergeCell ref="J83:K83"/>
    <mergeCell ref="L83:M83"/>
    <mergeCell ref="N83:O83"/>
    <mergeCell ref="P83:Q83"/>
    <mergeCell ref="A79:A83"/>
    <mergeCell ref="J79:K79"/>
    <mergeCell ref="L79:M79"/>
    <mergeCell ref="N79:O79"/>
    <mergeCell ref="P79:Q79"/>
    <mergeCell ref="G77:G78"/>
    <mergeCell ref="H77:H78"/>
    <mergeCell ref="I77:I78"/>
    <mergeCell ref="J77:Q77"/>
    <mergeCell ref="J82:K82"/>
    <mergeCell ref="L82:M82"/>
    <mergeCell ref="N82:O82"/>
    <mergeCell ref="P82:Q82"/>
    <mergeCell ref="E83:I83"/>
    <mergeCell ref="A77:A78"/>
    <mergeCell ref="B77:B78"/>
    <mergeCell ref="C77:C78"/>
    <mergeCell ref="D77:D78"/>
    <mergeCell ref="E77:E78"/>
    <mergeCell ref="F77:F78"/>
    <mergeCell ref="U77:W78"/>
    <mergeCell ref="J78:K78"/>
    <mergeCell ref="L78:M78"/>
    <mergeCell ref="N78:O78"/>
    <mergeCell ref="P78:Q78"/>
    <mergeCell ref="R77:S78"/>
    <mergeCell ref="T77:T78"/>
    <mergeCell ref="E71:I71"/>
    <mergeCell ref="J71:K71"/>
    <mergeCell ref="L71:M71"/>
    <mergeCell ref="N71:O71"/>
    <mergeCell ref="P71:Q71"/>
    <mergeCell ref="J73:Q73"/>
    <mergeCell ref="Q75:S75"/>
    <mergeCell ref="T75:W75"/>
    <mergeCell ref="A76:W76"/>
    <mergeCell ref="U60:W69"/>
    <mergeCell ref="J61:K61"/>
    <mergeCell ref="L61:M61"/>
    <mergeCell ref="N61:O61"/>
    <mergeCell ref="P61:Q61"/>
    <mergeCell ref="J62:K62"/>
    <mergeCell ref="L62:M62"/>
    <mergeCell ref="N62:O62"/>
    <mergeCell ref="P62:Q62"/>
    <mergeCell ref="J63:K63"/>
    <mergeCell ref="J67:K67"/>
    <mergeCell ref="L67:M67"/>
    <mergeCell ref="N67:O67"/>
    <mergeCell ref="P67:Q67"/>
    <mergeCell ref="J68:K68"/>
    <mergeCell ref="L68:M68"/>
    <mergeCell ref="N68:O68"/>
    <mergeCell ref="P68:Q68"/>
    <mergeCell ref="J65:K65"/>
    <mergeCell ref="L65:M65"/>
    <mergeCell ref="N65:O65"/>
    <mergeCell ref="P65:Q65"/>
    <mergeCell ref="J66:K66"/>
    <mergeCell ref="L66:M66"/>
    <mergeCell ref="A60:A69"/>
    <mergeCell ref="J60:K60"/>
    <mergeCell ref="L60:M60"/>
    <mergeCell ref="N60:O60"/>
    <mergeCell ref="P60:Q60"/>
    <mergeCell ref="L63:M63"/>
    <mergeCell ref="N63:O63"/>
    <mergeCell ref="P63:Q63"/>
    <mergeCell ref="J64:K64"/>
    <mergeCell ref="L64:M64"/>
    <mergeCell ref="N64:O64"/>
    <mergeCell ref="P64:Q64"/>
    <mergeCell ref="N66:O66"/>
    <mergeCell ref="P66:Q66"/>
    <mergeCell ref="E69:I69"/>
    <mergeCell ref="J69:K69"/>
    <mergeCell ref="L69:M69"/>
    <mergeCell ref="N69:O69"/>
    <mergeCell ref="P69:Q69"/>
    <mergeCell ref="U55:W59"/>
    <mergeCell ref="J56:K56"/>
    <mergeCell ref="L56:M56"/>
    <mergeCell ref="N56:O56"/>
    <mergeCell ref="P56:Q56"/>
    <mergeCell ref="J57:K57"/>
    <mergeCell ref="L57:M57"/>
    <mergeCell ref="N57:O57"/>
    <mergeCell ref="P57:Q57"/>
    <mergeCell ref="J58:K58"/>
    <mergeCell ref="L58:M58"/>
    <mergeCell ref="N58:O58"/>
    <mergeCell ref="P58:Q58"/>
    <mergeCell ref="A55:A59"/>
    <mergeCell ref="J55:K55"/>
    <mergeCell ref="L55:M55"/>
    <mergeCell ref="N55:O55"/>
    <mergeCell ref="P55:Q55"/>
    <mergeCell ref="E59:I59"/>
    <mergeCell ref="J59:K59"/>
    <mergeCell ref="L59:M59"/>
    <mergeCell ref="N59:O59"/>
    <mergeCell ref="P59:Q59"/>
    <mergeCell ref="U45:W54"/>
    <mergeCell ref="J46:K46"/>
    <mergeCell ref="L46:M46"/>
    <mergeCell ref="N46:O46"/>
    <mergeCell ref="P46:Q46"/>
    <mergeCell ref="J47:K47"/>
    <mergeCell ref="L47:M47"/>
    <mergeCell ref="N47:O47"/>
    <mergeCell ref="P47:Q47"/>
    <mergeCell ref="J48:K48"/>
    <mergeCell ref="J52:K52"/>
    <mergeCell ref="L52:M52"/>
    <mergeCell ref="N52:O52"/>
    <mergeCell ref="P52:Q52"/>
    <mergeCell ref="J53:K53"/>
    <mergeCell ref="L53:M53"/>
    <mergeCell ref="N53:O53"/>
    <mergeCell ref="P53:Q53"/>
    <mergeCell ref="J50:K50"/>
    <mergeCell ref="L50:M50"/>
    <mergeCell ref="N50:O50"/>
    <mergeCell ref="P50:Q50"/>
    <mergeCell ref="J51:K51"/>
    <mergeCell ref="L51:M51"/>
    <mergeCell ref="A45:A54"/>
    <mergeCell ref="J45:K45"/>
    <mergeCell ref="L45:M45"/>
    <mergeCell ref="N45:O45"/>
    <mergeCell ref="P45:Q45"/>
    <mergeCell ref="L48:M48"/>
    <mergeCell ref="N48:O48"/>
    <mergeCell ref="P48:Q48"/>
    <mergeCell ref="J49:K49"/>
    <mergeCell ref="L49:M49"/>
    <mergeCell ref="N49:O49"/>
    <mergeCell ref="P49:Q49"/>
    <mergeCell ref="N51:O51"/>
    <mergeCell ref="P51:Q51"/>
    <mergeCell ref="E54:I54"/>
    <mergeCell ref="J54:K54"/>
    <mergeCell ref="L54:M54"/>
    <mergeCell ref="N54:O54"/>
    <mergeCell ref="P54:Q54"/>
    <mergeCell ref="U35:W44"/>
    <mergeCell ref="J36:K36"/>
    <mergeCell ref="L36:M36"/>
    <mergeCell ref="N36:O36"/>
    <mergeCell ref="P36:Q36"/>
    <mergeCell ref="J37:K37"/>
    <mergeCell ref="L37:M37"/>
    <mergeCell ref="N37:O37"/>
    <mergeCell ref="P37:Q37"/>
    <mergeCell ref="J38:K38"/>
    <mergeCell ref="J42:K42"/>
    <mergeCell ref="L42:M42"/>
    <mergeCell ref="N42:O42"/>
    <mergeCell ref="P42:Q42"/>
    <mergeCell ref="J43:K43"/>
    <mergeCell ref="L43:M43"/>
    <mergeCell ref="N43:O43"/>
    <mergeCell ref="P43:Q43"/>
    <mergeCell ref="J40:K40"/>
    <mergeCell ref="L40:M40"/>
    <mergeCell ref="N40:O40"/>
    <mergeCell ref="P40:Q40"/>
    <mergeCell ref="J41:K41"/>
    <mergeCell ref="L41:M41"/>
    <mergeCell ref="A35:A44"/>
    <mergeCell ref="J35:K35"/>
    <mergeCell ref="L35:M35"/>
    <mergeCell ref="N35:O35"/>
    <mergeCell ref="P35:Q35"/>
    <mergeCell ref="G33:G34"/>
    <mergeCell ref="H33:H34"/>
    <mergeCell ref="I33:I34"/>
    <mergeCell ref="J33:Q33"/>
    <mergeCell ref="L38:M38"/>
    <mergeCell ref="N38:O38"/>
    <mergeCell ref="P38:Q38"/>
    <mergeCell ref="J39:K39"/>
    <mergeCell ref="L39:M39"/>
    <mergeCell ref="N39:O39"/>
    <mergeCell ref="P39:Q39"/>
    <mergeCell ref="N41:O41"/>
    <mergeCell ref="P41:Q41"/>
    <mergeCell ref="E44:I44"/>
    <mergeCell ref="J44:K44"/>
    <mergeCell ref="L44:M44"/>
    <mergeCell ref="N44:O44"/>
    <mergeCell ref="P44:Q44"/>
    <mergeCell ref="T31:W31"/>
    <mergeCell ref="A32:W32"/>
    <mergeCell ref="A33:A34"/>
    <mergeCell ref="B33:B34"/>
    <mergeCell ref="C33:C34"/>
    <mergeCell ref="D33:D34"/>
    <mergeCell ref="E33:E34"/>
    <mergeCell ref="F33:F34"/>
    <mergeCell ref="U33:W34"/>
    <mergeCell ref="J34:K34"/>
    <mergeCell ref="L34:M34"/>
    <mergeCell ref="N34:O34"/>
    <mergeCell ref="P34:Q34"/>
    <mergeCell ref="R33:S34"/>
    <mergeCell ref="T33:T34"/>
    <mergeCell ref="B25:I25"/>
    <mergeCell ref="E27:I27"/>
    <mergeCell ref="J27:K27"/>
    <mergeCell ref="L27:M27"/>
    <mergeCell ref="N27:O27"/>
    <mergeCell ref="P27:Q27"/>
    <mergeCell ref="J23:K23"/>
    <mergeCell ref="L23:M23"/>
    <mergeCell ref="N23:O23"/>
    <mergeCell ref="P23:Q23"/>
    <mergeCell ref="J24:K24"/>
    <mergeCell ref="L24:M24"/>
    <mergeCell ref="N24:O24"/>
    <mergeCell ref="P24:Q24"/>
    <mergeCell ref="J17:K17"/>
    <mergeCell ref="L17:M17"/>
    <mergeCell ref="N17:O17"/>
    <mergeCell ref="P17:Q17"/>
    <mergeCell ref="J22:K22"/>
    <mergeCell ref="L22:M22"/>
    <mergeCell ref="N22:O22"/>
    <mergeCell ref="P22:Q22"/>
    <mergeCell ref="L20:M20"/>
    <mergeCell ref="N20:O20"/>
    <mergeCell ref="N10:O10"/>
    <mergeCell ref="P10:Q10"/>
    <mergeCell ref="J15:K15"/>
    <mergeCell ref="L15:M15"/>
    <mergeCell ref="N15:O15"/>
    <mergeCell ref="P15:Q15"/>
    <mergeCell ref="J16:K16"/>
    <mergeCell ref="L16:M16"/>
    <mergeCell ref="N16:O16"/>
    <mergeCell ref="P16:Q16"/>
    <mergeCell ref="J13:K13"/>
    <mergeCell ref="L13:M13"/>
    <mergeCell ref="N13:O13"/>
    <mergeCell ref="P13:Q13"/>
    <mergeCell ref="J14:K14"/>
    <mergeCell ref="L14:M14"/>
    <mergeCell ref="N14:O14"/>
    <mergeCell ref="P14:Q14"/>
    <mergeCell ref="A7:A25"/>
    <mergeCell ref="J7:K7"/>
    <mergeCell ref="L7:M7"/>
    <mergeCell ref="N7:O7"/>
    <mergeCell ref="P7:Q7"/>
    <mergeCell ref="U7:W25"/>
    <mergeCell ref="J8:K8"/>
    <mergeCell ref="L8:M8"/>
    <mergeCell ref="N8:O8"/>
    <mergeCell ref="P8:Q8"/>
    <mergeCell ref="J11:K11"/>
    <mergeCell ref="L11:M11"/>
    <mergeCell ref="N11:O11"/>
    <mergeCell ref="P11:Q11"/>
    <mergeCell ref="J12:K12"/>
    <mergeCell ref="L12:M12"/>
    <mergeCell ref="N12:O12"/>
    <mergeCell ref="P12:Q12"/>
    <mergeCell ref="J9:K9"/>
    <mergeCell ref="L9:M9"/>
    <mergeCell ref="N9:O9"/>
    <mergeCell ref="P9:Q9"/>
    <mergeCell ref="J10:K10"/>
    <mergeCell ref="L10:M10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39" orientation="portrait" horizontalDpi="1200" verticalDpi="12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W112"/>
  <sheetViews>
    <sheetView zoomScale="85" zoomScaleNormal="85" workbookViewId="0">
      <selection activeCell="R69" sqref="R69"/>
    </sheetView>
  </sheetViews>
  <sheetFormatPr defaultColWidth="8.88671875" defaultRowHeight="14.4" x14ac:dyDescent="0.3"/>
  <cols>
    <col min="1" max="1" width="12.6640625" style="135" customWidth="1"/>
    <col min="2" max="3" width="7.6640625" style="135" customWidth="1"/>
    <col min="4" max="4" width="8.109375" style="8" bestFit="1" customWidth="1"/>
    <col min="5" max="5" width="35.6640625" style="135" customWidth="1"/>
    <col min="6" max="6" width="5.6640625" style="135" customWidth="1"/>
    <col min="7" max="9" width="6.6640625" style="13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35" customWidth="1"/>
    <col min="20" max="20" width="21.5546875" style="135" bestFit="1" customWidth="1"/>
    <col min="21" max="23" width="7.6640625" style="135" customWidth="1"/>
    <col min="24" max="16384" width="8.88671875" style="135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45958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250084</v>
      </c>
      <c r="E7" s="12" t="s">
        <v>465</v>
      </c>
      <c r="F7" s="17">
        <v>350</v>
      </c>
      <c r="G7" s="17">
        <v>304</v>
      </c>
      <c r="H7" s="18">
        <v>0.7</v>
      </c>
      <c r="I7" s="17">
        <v>33000</v>
      </c>
      <c r="J7" s="165">
        <v>720</v>
      </c>
      <c r="K7" s="166"/>
      <c r="L7" s="165"/>
      <c r="M7" s="166"/>
      <c r="N7" s="165"/>
      <c r="O7" s="166"/>
      <c r="P7" s="165"/>
      <c r="Q7" s="166"/>
      <c r="R7" s="142"/>
      <c r="S7" s="14" t="s">
        <v>20</v>
      </c>
      <c r="T7" s="42"/>
      <c r="U7" s="202" t="s">
        <v>678</v>
      </c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669</v>
      </c>
      <c r="F8" s="17">
        <v>290</v>
      </c>
      <c r="G8" s="17">
        <v>304</v>
      </c>
      <c r="H8" s="18">
        <v>0.7</v>
      </c>
      <c r="I8" s="17">
        <v>33000</v>
      </c>
      <c r="J8" s="165">
        <v>240</v>
      </c>
      <c r="K8" s="166"/>
      <c r="L8" s="165"/>
      <c r="M8" s="166"/>
      <c r="N8" s="165"/>
      <c r="O8" s="166"/>
      <c r="P8" s="165"/>
      <c r="Q8" s="166"/>
      <c r="R8" s="142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250084</v>
      </c>
      <c r="E9" s="12" t="s">
        <v>467</v>
      </c>
      <c r="F9" s="17">
        <v>375</v>
      </c>
      <c r="G9" s="17">
        <v>304</v>
      </c>
      <c r="H9" s="18">
        <v>0.7</v>
      </c>
      <c r="I9" s="17">
        <v>33000</v>
      </c>
      <c r="J9" s="165">
        <v>252</v>
      </c>
      <c r="K9" s="166"/>
      <c r="L9" s="165"/>
      <c r="M9" s="166"/>
      <c r="N9" s="165"/>
      <c r="O9" s="166"/>
      <c r="P9" s="165"/>
      <c r="Q9" s="166"/>
      <c r="R9" s="142">
        <v>30</v>
      </c>
      <c r="S9" s="14" t="s">
        <v>20</v>
      </c>
      <c r="T9" s="42" t="s">
        <v>110</v>
      </c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359</v>
      </c>
      <c r="F10" s="17">
        <v>237</v>
      </c>
      <c r="G10" s="17">
        <v>304</v>
      </c>
      <c r="H10" s="18">
        <v>0.7</v>
      </c>
      <c r="I10" s="17">
        <v>33000</v>
      </c>
      <c r="J10" s="165">
        <v>84</v>
      </c>
      <c r="K10" s="166"/>
      <c r="L10" s="165"/>
      <c r="M10" s="166"/>
      <c r="N10" s="165"/>
      <c r="O10" s="166"/>
      <c r="P10" s="165"/>
      <c r="Q10" s="166"/>
      <c r="R10" s="142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>
        <v>250084</v>
      </c>
      <c r="E11" s="12" t="s">
        <v>472</v>
      </c>
      <c r="F11" s="17">
        <v>315</v>
      </c>
      <c r="G11" s="17">
        <v>304</v>
      </c>
      <c r="H11" s="18">
        <v>0.7</v>
      </c>
      <c r="I11" s="17">
        <v>33000</v>
      </c>
      <c r="J11" s="165">
        <v>460</v>
      </c>
      <c r="K11" s="166"/>
      <c r="L11" s="165"/>
      <c r="M11" s="166"/>
      <c r="N11" s="165"/>
      <c r="O11" s="166"/>
      <c r="P11" s="165"/>
      <c r="Q11" s="166"/>
      <c r="R11" s="142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134</v>
      </c>
      <c r="F12" s="17">
        <v>132</v>
      </c>
      <c r="G12" s="17">
        <v>304</v>
      </c>
      <c r="H12" s="18">
        <v>0.7</v>
      </c>
      <c r="I12" s="17">
        <v>33000</v>
      </c>
      <c r="J12" s="165"/>
      <c r="K12" s="166"/>
      <c r="L12" s="165"/>
      <c r="M12" s="166"/>
      <c r="N12" s="165">
        <v>115</v>
      </c>
      <c r="O12" s="166"/>
      <c r="P12" s="165"/>
      <c r="Q12" s="166"/>
      <c r="R12" s="142">
        <v>10</v>
      </c>
      <c r="S12" s="14" t="s">
        <v>20</v>
      </c>
      <c r="T12" s="42" t="s">
        <v>111</v>
      </c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670</v>
      </c>
      <c r="F13" s="17">
        <v>323</v>
      </c>
      <c r="G13" s="17">
        <v>304</v>
      </c>
      <c r="H13" s="18">
        <v>0.6</v>
      </c>
      <c r="I13" s="17">
        <v>35000</v>
      </c>
      <c r="J13" s="165">
        <v>250</v>
      </c>
      <c r="K13" s="166"/>
      <c r="L13" s="165"/>
      <c r="M13" s="166"/>
      <c r="N13" s="165"/>
      <c r="O13" s="166"/>
      <c r="P13" s="165"/>
      <c r="Q13" s="166"/>
      <c r="R13" s="142">
        <v>30</v>
      </c>
      <c r="S13" s="14" t="s">
        <v>20</v>
      </c>
      <c r="T13" s="42" t="s">
        <v>636</v>
      </c>
      <c r="U13" s="205"/>
      <c r="V13" s="206"/>
      <c r="W13" s="207"/>
    </row>
    <row r="14" spans="1:23" x14ac:dyDescent="0.3">
      <c r="A14" s="181"/>
      <c r="B14" s="5"/>
      <c r="C14" s="5"/>
      <c r="D14" s="4" t="s">
        <v>506</v>
      </c>
      <c r="E14" s="12" t="s">
        <v>311</v>
      </c>
      <c r="F14" s="17">
        <v>577</v>
      </c>
      <c r="G14" s="17">
        <v>304</v>
      </c>
      <c r="H14" s="18">
        <v>0.6</v>
      </c>
      <c r="I14" s="17">
        <v>35000</v>
      </c>
      <c r="J14" s="165">
        <v>12</v>
      </c>
      <c r="K14" s="166"/>
      <c r="L14" s="165"/>
      <c r="M14" s="166"/>
      <c r="N14" s="165"/>
      <c r="O14" s="166"/>
      <c r="P14" s="165"/>
      <c r="Q14" s="166"/>
      <c r="R14" s="142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 t="s">
        <v>671</v>
      </c>
      <c r="E15" s="12" t="s">
        <v>228</v>
      </c>
      <c r="F15" s="17">
        <v>510</v>
      </c>
      <c r="G15" s="17">
        <v>304</v>
      </c>
      <c r="H15" s="18">
        <v>0.6</v>
      </c>
      <c r="I15" s="17">
        <v>35000</v>
      </c>
      <c r="J15" s="165">
        <v>6</v>
      </c>
      <c r="K15" s="166"/>
      <c r="L15" s="165"/>
      <c r="M15" s="166"/>
      <c r="N15" s="165"/>
      <c r="O15" s="166"/>
      <c r="P15" s="165"/>
      <c r="Q15" s="166"/>
      <c r="R15" s="142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 t="s">
        <v>672</v>
      </c>
      <c r="E16" s="12" t="s">
        <v>204</v>
      </c>
      <c r="F16" s="17">
        <v>545</v>
      </c>
      <c r="G16" s="17">
        <v>304</v>
      </c>
      <c r="H16" s="18">
        <v>0.6</v>
      </c>
      <c r="I16" s="17">
        <v>35000</v>
      </c>
      <c r="J16" s="165">
        <v>558</v>
      </c>
      <c r="K16" s="166"/>
      <c r="L16" s="165"/>
      <c r="M16" s="166"/>
      <c r="N16" s="165"/>
      <c r="O16" s="166"/>
      <c r="P16" s="165"/>
      <c r="Q16" s="166"/>
      <c r="R16" s="142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 t="s">
        <v>102</v>
      </c>
      <c r="E17" s="12" t="s">
        <v>673</v>
      </c>
      <c r="F17" s="17">
        <v>283</v>
      </c>
      <c r="G17" s="17">
        <v>304</v>
      </c>
      <c r="H17" s="18">
        <v>0.6</v>
      </c>
      <c r="I17" s="17">
        <v>35000</v>
      </c>
      <c r="J17" s="165">
        <v>456</v>
      </c>
      <c r="K17" s="166"/>
      <c r="L17" s="165"/>
      <c r="M17" s="166"/>
      <c r="N17" s="165"/>
      <c r="O17" s="166"/>
      <c r="P17" s="165"/>
      <c r="Q17" s="166"/>
      <c r="R17" s="142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 t="s">
        <v>102</v>
      </c>
      <c r="E18" s="12" t="s">
        <v>674</v>
      </c>
      <c r="F18" s="17">
        <v>220</v>
      </c>
      <c r="G18" s="17">
        <v>304</v>
      </c>
      <c r="H18" s="18">
        <v>0.6</v>
      </c>
      <c r="I18" s="17">
        <v>35000</v>
      </c>
      <c r="J18" s="165">
        <v>114</v>
      </c>
      <c r="K18" s="166"/>
      <c r="L18" s="165"/>
      <c r="M18" s="166"/>
      <c r="N18" s="165"/>
      <c r="O18" s="166"/>
      <c r="P18" s="165"/>
      <c r="Q18" s="166"/>
      <c r="R18" s="142">
        <v>45</v>
      </c>
      <c r="S18" s="14" t="s">
        <v>20</v>
      </c>
      <c r="T18" s="42" t="s">
        <v>677</v>
      </c>
      <c r="U18" s="205"/>
      <c r="V18" s="206"/>
      <c r="W18" s="207"/>
    </row>
    <row r="19" spans="1:23" x14ac:dyDescent="0.3">
      <c r="A19" s="181"/>
      <c r="B19" s="5"/>
      <c r="C19" s="5"/>
      <c r="D19" s="4" t="s">
        <v>102</v>
      </c>
      <c r="E19" s="12" t="s">
        <v>675</v>
      </c>
      <c r="F19" s="17">
        <v>437</v>
      </c>
      <c r="G19" s="17">
        <v>304</v>
      </c>
      <c r="H19" s="18">
        <v>0.6</v>
      </c>
      <c r="I19" s="17">
        <v>35000</v>
      </c>
      <c r="J19" s="165">
        <v>300</v>
      </c>
      <c r="K19" s="166"/>
      <c r="L19" s="165"/>
      <c r="M19" s="166"/>
      <c r="N19" s="165"/>
      <c r="O19" s="166"/>
      <c r="P19" s="165"/>
      <c r="Q19" s="166"/>
      <c r="R19" s="142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 t="s">
        <v>506</v>
      </c>
      <c r="E20" s="12" t="s">
        <v>311</v>
      </c>
      <c r="F20" s="17">
        <v>577</v>
      </c>
      <c r="G20" s="17">
        <v>304</v>
      </c>
      <c r="H20" s="18">
        <v>0.6</v>
      </c>
      <c r="I20" s="17">
        <v>35000</v>
      </c>
      <c r="J20" s="165">
        <v>12</v>
      </c>
      <c r="K20" s="166"/>
      <c r="L20" s="165"/>
      <c r="M20" s="166"/>
      <c r="N20" s="165"/>
      <c r="O20" s="166"/>
      <c r="P20" s="165"/>
      <c r="Q20" s="166"/>
      <c r="R20" s="142"/>
      <c r="S20" s="14" t="s">
        <v>20</v>
      </c>
      <c r="T20" s="42"/>
      <c r="U20" s="205"/>
      <c r="V20" s="206"/>
      <c r="W20" s="207"/>
    </row>
    <row r="21" spans="1:23" x14ac:dyDescent="0.3">
      <c r="A21" s="181"/>
      <c r="B21" s="5"/>
      <c r="C21" s="5"/>
      <c r="D21" s="4" t="s">
        <v>102</v>
      </c>
      <c r="E21" s="12" t="s">
        <v>654</v>
      </c>
      <c r="F21" s="17">
        <v>283</v>
      </c>
      <c r="G21" s="17">
        <v>304</v>
      </c>
      <c r="H21" s="18">
        <v>0.6</v>
      </c>
      <c r="I21" s="17">
        <v>35000</v>
      </c>
      <c r="J21" s="165">
        <v>6</v>
      </c>
      <c r="K21" s="166"/>
      <c r="L21" s="165"/>
      <c r="M21" s="166"/>
      <c r="N21" s="165"/>
      <c r="O21" s="166"/>
      <c r="P21" s="165"/>
      <c r="Q21" s="166"/>
      <c r="R21" s="142">
        <v>30</v>
      </c>
      <c r="S21" s="14" t="s">
        <v>20</v>
      </c>
      <c r="T21" s="42" t="s">
        <v>636</v>
      </c>
      <c r="U21" s="205"/>
      <c r="V21" s="206"/>
      <c r="W21" s="207"/>
    </row>
    <row r="22" spans="1:23" x14ac:dyDescent="0.3">
      <c r="A22" s="181"/>
      <c r="B22" s="5"/>
      <c r="C22" s="5"/>
      <c r="D22" s="4" t="s">
        <v>102</v>
      </c>
      <c r="E22" s="12" t="s">
        <v>676</v>
      </c>
      <c r="F22" s="17">
        <v>437</v>
      </c>
      <c r="G22" s="17">
        <v>304</v>
      </c>
      <c r="H22" s="18">
        <v>0.6</v>
      </c>
      <c r="I22" s="17">
        <v>35000</v>
      </c>
      <c r="J22" s="165">
        <v>468</v>
      </c>
      <c r="K22" s="166"/>
      <c r="L22" s="165"/>
      <c r="M22" s="166"/>
      <c r="N22" s="165"/>
      <c r="O22" s="166"/>
      <c r="P22" s="165"/>
      <c r="Q22" s="166"/>
      <c r="R22" s="142"/>
      <c r="S22" s="14" t="s">
        <v>20</v>
      </c>
      <c r="T22" s="42"/>
      <c r="U22" s="205"/>
      <c r="V22" s="206"/>
      <c r="W22" s="207"/>
    </row>
    <row r="23" spans="1:23" x14ac:dyDescent="0.3">
      <c r="A23" s="181"/>
      <c r="B23" s="5"/>
      <c r="C23" s="5"/>
      <c r="D23" s="4" t="s">
        <v>102</v>
      </c>
      <c r="E23" s="12" t="s">
        <v>459</v>
      </c>
      <c r="F23" s="17" t="s">
        <v>277</v>
      </c>
      <c r="G23" s="17">
        <v>304</v>
      </c>
      <c r="H23" s="18">
        <v>0.6</v>
      </c>
      <c r="I23" s="17">
        <v>35000</v>
      </c>
      <c r="J23" s="165">
        <v>480</v>
      </c>
      <c r="K23" s="166"/>
      <c r="L23" s="165"/>
      <c r="M23" s="166"/>
      <c r="N23" s="165"/>
      <c r="O23" s="166"/>
      <c r="P23" s="165"/>
      <c r="Q23" s="166"/>
      <c r="R23" s="142"/>
      <c r="S23" s="14" t="s">
        <v>20</v>
      </c>
      <c r="T23" s="42"/>
      <c r="U23" s="205"/>
      <c r="V23" s="206"/>
      <c r="W23" s="207"/>
    </row>
    <row r="24" spans="1:23" x14ac:dyDescent="0.3">
      <c r="A24" s="181"/>
      <c r="B24" s="5"/>
      <c r="C24" s="5"/>
      <c r="D24" s="4" t="s">
        <v>102</v>
      </c>
      <c r="E24" s="12" t="s">
        <v>635</v>
      </c>
      <c r="F24" s="17">
        <v>160</v>
      </c>
      <c r="G24" s="17">
        <v>304</v>
      </c>
      <c r="H24" s="18">
        <v>0.6</v>
      </c>
      <c r="I24" s="17">
        <v>35000</v>
      </c>
      <c r="J24" s="165"/>
      <c r="K24" s="166"/>
      <c r="L24" s="165"/>
      <c r="M24" s="166"/>
      <c r="N24" s="165">
        <v>96</v>
      </c>
      <c r="O24" s="166"/>
      <c r="P24" s="165"/>
      <c r="Q24" s="166"/>
      <c r="R24" s="142">
        <v>45</v>
      </c>
      <c r="S24" s="14" t="s">
        <v>20</v>
      </c>
      <c r="T24" s="42" t="s">
        <v>677</v>
      </c>
      <c r="U24" s="205"/>
      <c r="V24" s="206"/>
      <c r="W24" s="207"/>
    </row>
    <row r="25" spans="1:23" x14ac:dyDescent="0.3">
      <c r="A25" s="181"/>
      <c r="B25" s="5"/>
      <c r="C25" s="5"/>
      <c r="D25" s="4" t="s">
        <v>506</v>
      </c>
      <c r="E25" s="12" t="s">
        <v>311</v>
      </c>
      <c r="F25" s="17">
        <v>577</v>
      </c>
      <c r="G25" s="17">
        <v>304</v>
      </c>
      <c r="H25" s="18">
        <v>0.6</v>
      </c>
      <c r="I25" s="17">
        <v>35000</v>
      </c>
      <c r="J25" s="165">
        <v>6</v>
      </c>
      <c r="K25" s="166"/>
      <c r="L25" s="165"/>
      <c r="M25" s="166"/>
      <c r="N25" s="165"/>
      <c r="O25" s="166"/>
      <c r="P25" s="165"/>
      <c r="Q25" s="166"/>
      <c r="R25" s="142"/>
      <c r="S25" s="14" t="s">
        <v>20</v>
      </c>
      <c r="T25" s="42"/>
      <c r="U25" s="205"/>
      <c r="V25" s="206"/>
      <c r="W25" s="207"/>
    </row>
    <row r="26" spans="1:23" x14ac:dyDescent="0.3">
      <c r="A26" s="181"/>
      <c r="B26" s="5"/>
      <c r="C26" s="5">
        <v>0.70833333333333337</v>
      </c>
      <c r="D26" s="4" t="s">
        <v>102</v>
      </c>
      <c r="E26" s="12" t="s">
        <v>228</v>
      </c>
      <c r="F26" s="17">
        <v>510</v>
      </c>
      <c r="G26" s="17">
        <v>304</v>
      </c>
      <c r="H26" s="18">
        <v>0.6</v>
      </c>
      <c r="I26" s="17">
        <v>35000</v>
      </c>
      <c r="J26" s="165">
        <v>3</v>
      </c>
      <c r="K26" s="166"/>
      <c r="L26" s="165"/>
      <c r="M26" s="166"/>
      <c r="N26" s="165"/>
      <c r="O26" s="166"/>
      <c r="P26" s="165"/>
      <c r="Q26" s="166"/>
      <c r="R26" s="142"/>
      <c r="S26" s="14" t="s">
        <v>20</v>
      </c>
      <c r="T26" s="42"/>
      <c r="U26" s="205"/>
      <c r="V26" s="206"/>
      <c r="W26" s="207"/>
    </row>
    <row r="27" spans="1:23" x14ac:dyDescent="0.3">
      <c r="A27" s="181"/>
      <c r="B27" s="5"/>
      <c r="C27" s="5"/>
      <c r="D27" s="4"/>
      <c r="E27" s="12"/>
      <c r="F27" s="17"/>
      <c r="G27" s="17"/>
      <c r="H27" s="18"/>
      <c r="I27" s="17"/>
      <c r="J27" s="165"/>
      <c r="K27" s="166"/>
      <c r="L27" s="165"/>
      <c r="M27" s="166"/>
      <c r="N27" s="165"/>
      <c r="O27" s="166"/>
      <c r="P27" s="165"/>
      <c r="Q27" s="166"/>
      <c r="R27" s="142"/>
      <c r="S27" s="14" t="s">
        <v>20</v>
      </c>
      <c r="T27" s="42"/>
      <c r="U27" s="205"/>
      <c r="V27" s="206"/>
      <c r="W27" s="207"/>
    </row>
    <row r="28" spans="1:23" x14ac:dyDescent="0.3">
      <c r="A28" s="181"/>
      <c r="B28" s="5"/>
      <c r="C28" s="5"/>
      <c r="D28" s="4"/>
      <c r="E28" s="12"/>
      <c r="F28" s="17"/>
      <c r="G28" s="17"/>
      <c r="H28" s="18"/>
      <c r="I28" s="17"/>
      <c r="J28" s="165"/>
      <c r="K28" s="166"/>
      <c r="L28" s="165"/>
      <c r="M28" s="166"/>
      <c r="N28" s="165"/>
      <c r="O28" s="166"/>
      <c r="P28" s="165"/>
      <c r="Q28" s="166"/>
      <c r="R28" s="142"/>
      <c r="S28" s="14" t="s">
        <v>20</v>
      </c>
      <c r="T28" s="42"/>
      <c r="U28" s="205"/>
      <c r="V28" s="206"/>
      <c r="W28" s="207"/>
    </row>
    <row r="29" spans="1:23" x14ac:dyDescent="0.3">
      <c r="A29" s="181"/>
      <c r="B29" s="5"/>
      <c r="C29" s="5"/>
      <c r="D29" s="4"/>
      <c r="E29" s="12"/>
      <c r="F29" s="17"/>
      <c r="G29" s="17"/>
      <c r="H29" s="18"/>
      <c r="I29" s="17"/>
      <c r="J29" s="165"/>
      <c r="K29" s="166"/>
      <c r="L29" s="165"/>
      <c r="M29" s="166"/>
      <c r="N29" s="165"/>
      <c r="O29" s="166"/>
      <c r="P29" s="165"/>
      <c r="Q29" s="166"/>
      <c r="R29" s="142"/>
      <c r="S29" s="14" t="s">
        <v>20</v>
      </c>
      <c r="T29" s="42"/>
      <c r="U29" s="205"/>
      <c r="V29" s="206"/>
      <c r="W29" s="207"/>
    </row>
    <row r="30" spans="1:23" x14ac:dyDescent="0.3">
      <c r="A30" s="182"/>
      <c r="B30" s="170" t="s">
        <v>0</v>
      </c>
      <c r="C30" s="171"/>
      <c r="D30" s="171"/>
      <c r="E30" s="171"/>
      <c r="F30" s="171"/>
      <c r="G30" s="171"/>
      <c r="H30" s="171"/>
      <c r="I30" s="172"/>
      <c r="J30" s="21">
        <f>SUM(J7:K29)</f>
        <v>4427</v>
      </c>
      <c r="K30" s="22" t="s">
        <v>17</v>
      </c>
      <c r="L30" s="21">
        <f>SUM(L7:M29)</f>
        <v>0</v>
      </c>
      <c r="M30" s="22" t="s">
        <v>17</v>
      </c>
      <c r="N30" s="21">
        <f>SUM(N7:O29)</f>
        <v>211</v>
      </c>
      <c r="O30" s="22" t="s">
        <v>17</v>
      </c>
      <c r="P30" s="21">
        <f>SUM(P7:Q29)</f>
        <v>0</v>
      </c>
      <c r="Q30" s="22" t="s">
        <v>17</v>
      </c>
      <c r="R30" s="23">
        <f>SUM(R7:R29)</f>
        <v>190</v>
      </c>
      <c r="S30" s="24" t="s">
        <v>20</v>
      </c>
      <c r="T30" s="19"/>
      <c r="U30" s="208"/>
      <c r="V30" s="209"/>
      <c r="W30" s="210"/>
    </row>
    <row r="31" spans="1:23" ht="14.5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</row>
    <row r="32" spans="1:23" ht="14.55" customHeight="1" x14ac:dyDescent="0.3">
      <c r="A32" s="27"/>
      <c r="B32" s="27"/>
      <c r="C32" s="27"/>
      <c r="D32" s="27"/>
      <c r="E32" s="170" t="s">
        <v>27</v>
      </c>
      <c r="F32" s="171"/>
      <c r="G32" s="171"/>
      <c r="H32" s="171"/>
      <c r="I32" s="172"/>
      <c r="J32" s="175" t="s">
        <v>7</v>
      </c>
      <c r="K32" s="176"/>
      <c r="L32" s="175" t="s">
        <v>8</v>
      </c>
      <c r="M32" s="176"/>
      <c r="N32" s="175" t="s">
        <v>9</v>
      </c>
      <c r="O32" s="176"/>
      <c r="P32" s="175" t="s">
        <v>117</v>
      </c>
      <c r="Q32" s="176"/>
      <c r="R32" s="27"/>
      <c r="S32" s="27"/>
    </row>
    <row r="33" spans="1:23" ht="14.55" customHeight="1" x14ac:dyDescent="0.3">
      <c r="A33" s="27"/>
      <c r="B33" s="27"/>
      <c r="C33" s="27"/>
      <c r="D33" s="27"/>
      <c r="E33" s="15"/>
      <c r="F33" s="15"/>
      <c r="G33" s="15"/>
      <c r="H33" s="15"/>
      <c r="I33" s="15"/>
      <c r="J33" s="30">
        <f>J30</f>
        <v>4427</v>
      </c>
      <c r="K33" s="31" t="s">
        <v>17</v>
      </c>
      <c r="L33" s="32">
        <f>L30</f>
        <v>0</v>
      </c>
      <c r="M33" s="31" t="s">
        <v>17</v>
      </c>
      <c r="N33" s="32">
        <f>N30</f>
        <v>211</v>
      </c>
      <c r="O33" s="31" t="s">
        <v>17</v>
      </c>
      <c r="P33" s="33">
        <f>P30</f>
        <v>0</v>
      </c>
      <c r="Q33" s="34" t="s">
        <v>17</v>
      </c>
      <c r="R33" s="27"/>
      <c r="S33" s="27"/>
    </row>
    <row r="34" spans="1:23" ht="30" customHeight="1" x14ac:dyDescent="0.3">
      <c r="A34" s="27"/>
      <c r="B34" s="27"/>
      <c r="C34" s="27"/>
      <c r="D34" s="27"/>
      <c r="E34" s="28"/>
      <c r="F34" s="28"/>
      <c r="G34" s="28"/>
      <c r="H34" s="28"/>
      <c r="I34" s="28"/>
      <c r="J34" s="167">
        <f>J33+L33+N33+P33</f>
        <v>4638</v>
      </c>
      <c r="K34" s="168"/>
      <c r="L34" s="168"/>
      <c r="M34" s="168"/>
      <c r="N34" s="168"/>
      <c r="O34" s="168"/>
      <c r="P34" s="168"/>
      <c r="Q34" s="169"/>
      <c r="R34" s="27"/>
      <c r="S34" s="27"/>
    </row>
    <row r="35" spans="1:23" ht="14.5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</row>
    <row r="36" spans="1:23" s="37" customFormat="1" ht="19.95" customHeight="1" x14ac:dyDescent="0.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6"/>
      <c r="Q36" s="183" t="s">
        <v>14</v>
      </c>
      <c r="R36" s="183"/>
      <c r="S36" s="183"/>
      <c r="T36" s="184">
        <f>T3</f>
        <v>45958</v>
      </c>
      <c r="U36" s="185"/>
      <c r="V36" s="185"/>
      <c r="W36" s="186"/>
    </row>
    <row r="37" spans="1:23" s="16" customFormat="1" ht="30" customHeight="1" x14ac:dyDescent="0.3">
      <c r="A37" s="187" t="s">
        <v>29</v>
      </c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9"/>
      <c r="Q37" s="189"/>
      <c r="R37" s="189"/>
      <c r="S37" s="189"/>
      <c r="T37" s="188"/>
      <c r="U37" s="188"/>
      <c r="V37" s="188"/>
      <c r="W37" s="190"/>
    </row>
    <row r="38" spans="1:23" s="26" customFormat="1" ht="13.8" x14ac:dyDescent="0.3">
      <c r="A38" s="191" t="s">
        <v>1</v>
      </c>
      <c r="B38" s="192" t="s">
        <v>2</v>
      </c>
      <c r="C38" s="192" t="s">
        <v>3</v>
      </c>
      <c r="D38" s="192" t="s">
        <v>4</v>
      </c>
      <c r="E38" s="193" t="s">
        <v>5</v>
      </c>
      <c r="F38" s="195" t="s">
        <v>21</v>
      </c>
      <c r="G38" s="195" t="s">
        <v>22</v>
      </c>
      <c r="H38" s="195" t="s">
        <v>33</v>
      </c>
      <c r="I38" s="195" t="s">
        <v>30</v>
      </c>
      <c r="J38" s="193" t="s">
        <v>6</v>
      </c>
      <c r="K38" s="197"/>
      <c r="L38" s="197"/>
      <c r="M38" s="197"/>
      <c r="N38" s="197"/>
      <c r="O38" s="197"/>
      <c r="P38" s="197"/>
      <c r="Q38" s="198"/>
      <c r="R38" s="193" t="s">
        <v>10</v>
      </c>
      <c r="S38" s="198"/>
      <c r="T38" s="191" t="s">
        <v>11</v>
      </c>
      <c r="U38" s="191" t="s">
        <v>12</v>
      </c>
      <c r="V38" s="191"/>
      <c r="W38" s="191"/>
    </row>
    <row r="39" spans="1:23" s="26" customFormat="1" ht="13.8" x14ac:dyDescent="0.3">
      <c r="A39" s="191"/>
      <c r="B39" s="192"/>
      <c r="C39" s="192"/>
      <c r="D39" s="192"/>
      <c r="E39" s="194"/>
      <c r="F39" s="196"/>
      <c r="G39" s="196"/>
      <c r="H39" s="196"/>
      <c r="I39" s="196"/>
      <c r="J39" s="200" t="s">
        <v>7</v>
      </c>
      <c r="K39" s="201"/>
      <c r="L39" s="200" t="s">
        <v>8</v>
      </c>
      <c r="M39" s="201"/>
      <c r="N39" s="200" t="s">
        <v>9</v>
      </c>
      <c r="O39" s="201"/>
      <c r="P39" s="200" t="s">
        <v>117</v>
      </c>
      <c r="Q39" s="201"/>
      <c r="R39" s="194"/>
      <c r="S39" s="199"/>
      <c r="T39" s="191"/>
      <c r="U39" s="191"/>
      <c r="V39" s="191"/>
      <c r="W39" s="191"/>
    </row>
    <row r="40" spans="1:23" ht="14.55" customHeight="1" x14ac:dyDescent="0.3">
      <c r="A40" s="180" t="s">
        <v>32</v>
      </c>
      <c r="B40" s="5">
        <v>0.33333333333333331</v>
      </c>
      <c r="C40" s="5">
        <v>0.70833333333333337</v>
      </c>
      <c r="D40" s="4">
        <v>250082</v>
      </c>
      <c r="E40" s="12" t="s">
        <v>679</v>
      </c>
      <c r="F40" s="40">
        <v>430</v>
      </c>
      <c r="G40" s="41">
        <v>0.6</v>
      </c>
      <c r="H40" s="40">
        <v>582</v>
      </c>
      <c r="I40" s="12">
        <v>8</v>
      </c>
      <c r="J40" s="165">
        <v>960</v>
      </c>
      <c r="K40" s="166"/>
      <c r="L40" s="165"/>
      <c r="M40" s="166"/>
      <c r="N40" s="165"/>
      <c r="O40" s="166"/>
      <c r="P40" s="165"/>
      <c r="Q40" s="166"/>
      <c r="R40" s="142">
        <v>40</v>
      </c>
      <c r="S40" s="14" t="s">
        <v>20</v>
      </c>
      <c r="T40" s="42" t="s">
        <v>682</v>
      </c>
      <c r="U40" s="177"/>
      <c r="V40" s="178"/>
      <c r="W40" s="179"/>
    </row>
    <row r="41" spans="1:23" ht="14.55" customHeight="1" x14ac:dyDescent="0.3">
      <c r="A41" s="181"/>
      <c r="B41" s="5"/>
      <c r="C41" s="5"/>
      <c r="D41" s="4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142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82"/>
      <c r="B42" s="19"/>
      <c r="C42" s="19"/>
      <c r="D42" s="20"/>
      <c r="E42" s="170" t="s">
        <v>0</v>
      </c>
      <c r="F42" s="171"/>
      <c r="G42" s="171"/>
      <c r="H42" s="171"/>
      <c r="I42" s="172"/>
      <c r="J42" s="173">
        <f>SUM(J40:K41)</f>
        <v>960</v>
      </c>
      <c r="K42" s="174"/>
      <c r="L42" s="173">
        <f>SUM(L40:M41)</f>
        <v>0</v>
      </c>
      <c r="M42" s="174"/>
      <c r="N42" s="173">
        <f>SUM(N40:O41)</f>
        <v>0</v>
      </c>
      <c r="O42" s="174"/>
      <c r="P42" s="173">
        <f>SUM(P40:Q41)</f>
        <v>0</v>
      </c>
      <c r="Q42" s="174"/>
      <c r="R42" s="23">
        <f>SUM(R40:R41)</f>
        <v>40</v>
      </c>
      <c r="S42" s="24" t="s">
        <v>20</v>
      </c>
      <c r="T42" s="19"/>
      <c r="U42" s="177"/>
      <c r="V42" s="178"/>
      <c r="W42" s="179"/>
    </row>
    <row r="43" spans="1:23" ht="14.55" customHeight="1" x14ac:dyDescent="0.3">
      <c r="A43" s="163" t="s">
        <v>34</v>
      </c>
      <c r="B43" s="5">
        <v>0.33333333333333331</v>
      </c>
      <c r="C43" s="5"/>
      <c r="D43" s="4">
        <v>250084</v>
      </c>
      <c r="E43" s="12" t="s">
        <v>680</v>
      </c>
      <c r="F43" s="40">
        <v>304</v>
      </c>
      <c r="G43" s="41">
        <v>0.7</v>
      </c>
      <c r="H43" s="40">
        <v>375</v>
      </c>
      <c r="I43" s="12">
        <v>7</v>
      </c>
      <c r="J43" s="165">
        <v>750</v>
      </c>
      <c r="K43" s="166"/>
      <c r="L43" s="165"/>
      <c r="M43" s="166"/>
      <c r="N43" s="165"/>
      <c r="O43" s="166"/>
      <c r="P43" s="165"/>
      <c r="Q43" s="166"/>
      <c r="R43" s="142">
        <v>40</v>
      </c>
      <c r="S43" s="14" t="s">
        <v>20</v>
      </c>
      <c r="T43" s="42" t="s">
        <v>93</v>
      </c>
      <c r="U43" s="177"/>
      <c r="V43" s="178"/>
      <c r="W43" s="179"/>
    </row>
    <row r="44" spans="1:23" ht="14.55" customHeight="1" x14ac:dyDescent="0.3">
      <c r="A44" s="163"/>
      <c r="B44" s="5"/>
      <c r="C44" s="5">
        <v>0.70833333333333337</v>
      </c>
      <c r="D44" s="4">
        <v>250084</v>
      </c>
      <c r="E44" s="12" t="s">
        <v>681</v>
      </c>
      <c r="F44" s="40">
        <v>304</v>
      </c>
      <c r="G44" s="41">
        <v>0.7</v>
      </c>
      <c r="H44" s="40">
        <v>427</v>
      </c>
      <c r="I44" s="12">
        <v>7</v>
      </c>
      <c r="J44" s="165">
        <v>720</v>
      </c>
      <c r="K44" s="166"/>
      <c r="L44" s="165"/>
      <c r="M44" s="166"/>
      <c r="N44" s="165"/>
      <c r="O44" s="166"/>
      <c r="P44" s="165"/>
      <c r="Q44" s="166"/>
      <c r="R44" s="142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3"/>
      <c r="B45" s="5"/>
      <c r="C45" s="5"/>
      <c r="D45" s="4"/>
      <c r="E45" s="12"/>
      <c r="F45" s="40"/>
      <c r="G45" s="41"/>
      <c r="H45" s="40"/>
      <c r="I45" s="12"/>
      <c r="J45" s="165"/>
      <c r="K45" s="166"/>
      <c r="L45" s="165"/>
      <c r="M45" s="166"/>
      <c r="N45" s="165"/>
      <c r="O45" s="166"/>
      <c r="P45" s="165"/>
      <c r="Q45" s="166"/>
      <c r="R45" s="142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4"/>
      <c r="B46" s="19"/>
      <c r="C46" s="19"/>
      <c r="D46" s="20"/>
      <c r="E46" s="170" t="s">
        <v>0</v>
      </c>
      <c r="F46" s="171"/>
      <c r="G46" s="171"/>
      <c r="H46" s="171"/>
      <c r="I46" s="172"/>
      <c r="J46" s="173">
        <f>SUM(J43:K45)</f>
        <v>1470</v>
      </c>
      <c r="K46" s="174"/>
      <c r="L46" s="173">
        <f>SUM(L43:M45)</f>
        <v>0</v>
      </c>
      <c r="M46" s="174"/>
      <c r="N46" s="173">
        <f>SUM(N43:O45)</f>
        <v>0</v>
      </c>
      <c r="O46" s="174"/>
      <c r="P46" s="173">
        <f>SUM(P43:Q45)</f>
        <v>0</v>
      </c>
      <c r="Q46" s="174"/>
      <c r="R46" s="23">
        <f>SUM(R43:R45)</f>
        <v>40</v>
      </c>
      <c r="S46" s="24" t="s">
        <v>20</v>
      </c>
      <c r="T46" s="19"/>
      <c r="U46" s="177"/>
      <c r="V46" s="178"/>
      <c r="W46" s="179"/>
    </row>
    <row r="47" spans="1:23" ht="14.55" customHeight="1" x14ac:dyDescent="0.3">
      <c r="A47" s="163" t="s">
        <v>583</v>
      </c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142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142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63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142"/>
      <c r="S49" s="14" t="s">
        <v>20</v>
      </c>
      <c r="T49" s="42"/>
      <c r="U49" s="177"/>
      <c r="V49" s="178"/>
      <c r="W49" s="179"/>
    </row>
    <row r="50" spans="1:23" ht="14.55" customHeight="1" x14ac:dyDescent="0.3">
      <c r="A50" s="163"/>
      <c r="B50" s="5"/>
      <c r="C50" s="5"/>
      <c r="D50" s="4"/>
      <c r="E50" s="12"/>
      <c r="F50" s="40"/>
      <c r="G50" s="41"/>
      <c r="H50" s="40"/>
      <c r="I50" s="12"/>
      <c r="J50" s="165"/>
      <c r="K50" s="166"/>
      <c r="L50" s="165"/>
      <c r="M50" s="166"/>
      <c r="N50" s="165"/>
      <c r="O50" s="166"/>
      <c r="P50" s="165"/>
      <c r="Q50" s="166"/>
      <c r="R50" s="142"/>
      <c r="S50" s="14" t="s">
        <v>20</v>
      </c>
      <c r="T50" s="42"/>
      <c r="U50" s="177"/>
      <c r="V50" s="178"/>
      <c r="W50" s="179"/>
    </row>
    <row r="51" spans="1:23" ht="14.55" customHeight="1" x14ac:dyDescent="0.3">
      <c r="A51" s="164"/>
      <c r="B51" s="19"/>
      <c r="C51" s="19"/>
      <c r="D51" s="20"/>
      <c r="E51" s="170" t="s">
        <v>0</v>
      </c>
      <c r="F51" s="171"/>
      <c r="G51" s="171"/>
      <c r="H51" s="171"/>
      <c r="I51" s="172"/>
      <c r="J51" s="173">
        <f>SUM(J47:K50)</f>
        <v>0</v>
      </c>
      <c r="K51" s="174"/>
      <c r="L51" s="173">
        <f>SUM(L47:M50)</f>
        <v>0</v>
      </c>
      <c r="M51" s="174"/>
      <c r="N51" s="173">
        <f>SUM(N47:O50)</f>
        <v>0</v>
      </c>
      <c r="O51" s="174"/>
      <c r="P51" s="173">
        <f>SUM(P47:Q50)</f>
        <v>0</v>
      </c>
      <c r="Q51" s="174"/>
      <c r="R51" s="23">
        <f>SUM(R47:R50)</f>
        <v>0</v>
      </c>
      <c r="S51" s="24" t="s">
        <v>20</v>
      </c>
      <c r="T51" s="19"/>
      <c r="U51" s="177"/>
      <c r="V51" s="178"/>
      <c r="W51" s="179"/>
    </row>
    <row r="52" spans="1:23" ht="14.55" customHeight="1" x14ac:dyDescent="0.3">
      <c r="A52" s="163" t="s">
        <v>35</v>
      </c>
      <c r="B52" s="5">
        <v>0.33333333333333331</v>
      </c>
      <c r="C52" s="5"/>
      <c r="D52" s="144">
        <v>250079</v>
      </c>
      <c r="E52" s="12" t="s">
        <v>683</v>
      </c>
      <c r="F52" s="40">
        <v>304</v>
      </c>
      <c r="G52" s="41">
        <v>0.7</v>
      </c>
      <c r="H52" s="40">
        <v>307</v>
      </c>
      <c r="I52" s="12"/>
      <c r="J52" s="165"/>
      <c r="K52" s="166"/>
      <c r="L52" s="165"/>
      <c r="M52" s="166"/>
      <c r="N52" s="165">
        <v>1600</v>
      </c>
      <c r="O52" s="166"/>
      <c r="P52" s="165"/>
      <c r="Q52" s="166"/>
      <c r="R52" s="142"/>
      <c r="S52" s="14" t="s">
        <v>20</v>
      </c>
      <c r="T52" s="42"/>
      <c r="U52" s="177"/>
      <c r="V52" s="178"/>
      <c r="W52" s="179"/>
    </row>
    <row r="53" spans="1:23" ht="14.55" customHeight="1" x14ac:dyDescent="0.3">
      <c r="A53" s="163"/>
      <c r="B53" s="5"/>
      <c r="C53" s="5">
        <v>0.70833333333333337</v>
      </c>
      <c r="D53" s="4">
        <v>250079</v>
      </c>
      <c r="E53" s="12" t="s">
        <v>684</v>
      </c>
      <c r="F53" s="40">
        <v>304</v>
      </c>
      <c r="G53" s="41">
        <v>0.7</v>
      </c>
      <c r="H53" s="40">
        <v>324</v>
      </c>
      <c r="I53" s="12"/>
      <c r="J53" s="165"/>
      <c r="K53" s="166"/>
      <c r="L53" s="165"/>
      <c r="M53" s="166"/>
      <c r="N53" s="165">
        <v>250</v>
      </c>
      <c r="O53" s="166"/>
      <c r="P53" s="165"/>
      <c r="Q53" s="166"/>
      <c r="R53" s="142"/>
      <c r="S53" s="14" t="s">
        <v>20</v>
      </c>
      <c r="T53" s="42"/>
      <c r="U53" s="177"/>
      <c r="V53" s="178"/>
      <c r="W53" s="179"/>
    </row>
    <row r="54" spans="1:23" ht="14.55" customHeight="1" x14ac:dyDescent="0.3">
      <c r="A54" s="163"/>
      <c r="B54" s="5"/>
      <c r="C54" s="5"/>
      <c r="D54" s="4"/>
      <c r="E54" s="12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142"/>
      <c r="S54" s="14" t="s">
        <v>20</v>
      </c>
      <c r="T54" s="42"/>
      <c r="U54" s="177"/>
      <c r="V54" s="178"/>
      <c r="W54" s="179"/>
    </row>
    <row r="55" spans="1:23" ht="14.55" customHeight="1" x14ac:dyDescent="0.3">
      <c r="A55" s="163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142"/>
      <c r="S55" s="14" t="s">
        <v>20</v>
      </c>
      <c r="T55" s="42"/>
      <c r="U55" s="177"/>
      <c r="V55" s="178"/>
      <c r="W55" s="179"/>
    </row>
    <row r="56" spans="1:23" ht="14.55" customHeight="1" x14ac:dyDescent="0.3">
      <c r="A56" s="164"/>
      <c r="B56" s="19"/>
      <c r="C56" s="19"/>
      <c r="D56" s="20"/>
      <c r="E56" s="170" t="s">
        <v>0</v>
      </c>
      <c r="F56" s="171"/>
      <c r="G56" s="171"/>
      <c r="H56" s="171"/>
      <c r="I56" s="172"/>
      <c r="J56" s="173">
        <f>SUM(J52:K55)</f>
        <v>0</v>
      </c>
      <c r="K56" s="174"/>
      <c r="L56" s="173">
        <f>SUM(L52:M55)</f>
        <v>0</v>
      </c>
      <c r="M56" s="174"/>
      <c r="N56" s="173">
        <f>SUM(N52:O55)</f>
        <v>1850</v>
      </c>
      <c r="O56" s="174"/>
      <c r="P56" s="173">
        <f>SUM(P52:Q55)</f>
        <v>0</v>
      </c>
      <c r="Q56" s="174"/>
      <c r="R56" s="23">
        <f>SUM(R52:R55)</f>
        <v>0</v>
      </c>
      <c r="S56" s="24" t="s">
        <v>20</v>
      </c>
      <c r="T56" s="19"/>
      <c r="U56" s="177"/>
      <c r="V56" s="178"/>
      <c r="W56" s="179"/>
    </row>
    <row r="57" spans="1:23" ht="14.55" customHeight="1" x14ac:dyDescent="0.3">
      <c r="A57" s="27"/>
      <c r="B57" s="27"/>
      <c r="C57" s="27"/>
      <c r="D57" s="27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27"/>
      <c r="S57" s="27"/>
      <c r="T57" s="39"/>
      <c r="U57" s="39"/>
      <c r="V57" s="39"/>
      <c r="W57" s="39"/>
    </row>
    <row r="58" spans="1:23" x14ac:dyDescent="0.3">
      <c r="E58" s="170" t="s">
        <v>31</v>
      </c>
      <c r="F58" s="171"/>
      <c r="G58" s="171"/>
      <c r="H58" s="171"/>
      <c r="I58" s="172"/>
      <c r="J58" s="175" t="s">
        <v>7</v>
      </c>
      <c r="K58" s="176"/>
      <c r="L58" s="175" t="s">
        <v>8</v>
      </c>
      <c r="M58" s="176"/>
      <c r="N58" s="175" t="s">
        <v>9</v>
      </c>
      <c r="O58" s="176"/>
      <c r="P58" s="175" t="s">
        <v>117</v>
      </c>
      <c r="Q58" s="176"/>
    </row>
    <row r="59" spans="1:23" s="2" customFormat="1" x14ac:dyDescent="0.3">
      <c r="E59" s="15"/>
      <c r="F59" s="15"/>
      <c r="G59" s="15"/>
      <c r="H59" s="15"/>
      <c r="I59" s="15"/>
      <c r="J59" s="30">
        <f>J42+J46+J51+J56</f>
        <v>2430</v>
      </c>
      <c r="K59" s="31" t="s">
        <v>17</v>
      </c>
      <c r="L59" s="30">
        <f>L42+L46+L51+L56</f>
        <v>0</v>
      </c>
      <c r="M59" s="31" t="s">
        <v>17</v>
      </c>
      <c r="N59" s="30">
        <f>N42+N46+N51+N56</f>
        <v>1850</v>
      </c>
      <c r="O59" s="31" t="s">
        <v>17</v>
      </c>
      <c r="P59" s="30">
        <f>P42+P46+P51+P56</f>
        <v>0</v>
      </c>
      <c r="Q59" s="34" t="s">
        <v>17</v>
      </c>
    </row>
    <row r="60" spans="1:23" ht="24.45" customHeight="1" x14ac:dyDescent="0.3">
      <c r="E60" s="28"/>
      <c r="F60" s="28"/>
      <c r="G60" s="28"/>
      <c r="H60" s="28"/>
      <c r="I60" s="28"/>
      <c r="J60" s="167">
        <f>J59+L59+N59+P59</f>
        <v>4280</v>
      </c>
      <c r="K60" s="168"/>
      <c r="L60" s="168"/>
      <c r="M60" s="168"/>
      <c r="N60" s="168"/>
      <c r="O60" s="168"/>
      <c r="P60" s="168"/>
      <c r="Q60" s="169"/>
    </row>
    <row r="61" spans="1:23" ht="14.55" customHeight="1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 spans="1:23" s="37" customFormat="1" ht="19.95" customHeight="1" x14ac:dyDescent="0.4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183" t="s">
        <v>14</v>
      </c>
      <c r="R62" s="183"/>
      <c r="S62" s="183"/>
      <c r="T62" s="184">
        <f>T3</f>
        <v>45958</v>
      </c>
      <c r="U62" s="185"/>
      <c r="V62" s="185"/>
      <c r="W62" s="186"/>
    </row>
    <row r="63" spans="1:23" s="16" customFormat="1" ht="30" customHeight="1" x14ac:dyDescent="0.3">
      <c r="A63" s="187" t="s">
        <v>586</v>
      </c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9"/>
      <c r="Q63" s="189"/>
      <c r="R63" s="189"/>
      <c r="S63" s="189"/>
      <c r="T63" s="188"/>
      <c r="U63" s="188"/>
      <c r="V63" s="188"/>
      <c r="W63" s="190"/>
    </row>
    <row r="64" spans="1:23" s="26" customFormat="1" ht="13.8" x14ac:dyDescent="0.3">
      <c r="A64" s="191" t="s">
        <v>1</v>
      </c>
      <c r="B64" s="192" t="s">
        <v>2</v>
      </c>
      <c r="C64" s="192" t="s">
        <v>3</v>
      </c>
      <c r="D64" s="192" t="s">
        <v>4</v>
      </c>
      <c r="E64" s="193" t="s">
        <v>5</v>
      </c>
      <c r="F64" s="195" t="s">
        <v>21</v>
      </c>
      <c r="G64" s="195" t="s">
        <v>22</v>
      </c>
      <c r="H64" s="195" t="s">
        <v>33</v>
      </c>
      <c r="I64" s="195" t="s">
        <v>30</v>
      </c>
      <c r="J64" s="193" t="s">
        <v>6</v>
      </c>
      <c r="K64" s="197"/>
      <c r="L64" s="197"/>
      <c r="M64" s="197"/>
      <c r="N64" s="197"/>
      <c r="O64" s="197"/>
      <c r="P64" s="197"/>
      <c r="Q64" s="198"/>
      <c r="R64" s="193" t="s">
        <v>10</v>
      </c>
      <c r="S64" s="198"/>
      <c r="T64" s="191" t="s">
        <v>11</v>
      </c>
      <c r="U64" s="191" t="s">
        <v>12</v>
      </c>
      <c r="V64" s="191"/>
      <c r="W64" s="191"/>
    </row>
    <row r="65" spans="1:23" s="26" customFormat="1" ht="13.8" x14ac:dyDescent="0.3">
      <c r="A65" s="191"/>
      <c r="B65" s="192"/>
      <c r="C65" s="192"/>
      <c r="D65" s="192"/>
      <c r="E65" s="194"/>
      <c r="F65" s="196"/>
      <c r="G65" s="196"/>
      <c r="H65" s="196"/>
      <c r="I65" s="196"/>
      <c r="J65" s="200" t="s">
        <v>7</v>
      </c>
      <c r="K65" s="201"/>
      <c r="L65" s="200" t="s">
        <v>8</v>
      </c>
      <c r="M65" s="201"/>
      <c r="N65" s="200" t="s">
        <v>9</v>
      </c>
      <c r="O65" s="201"/>
      <c r="P65" s="200" t="s">
        <v>117</v>
      </c>
      <c r="Q65" s="201"/>
      <c r="R65" s="194"/>
      <c r="S65" s="199"/>
      <c r="T65" s="191"/>
      <c r="U65" s="191"/>
      <c r="V65" s="191"/>
      <c r="W65" s="191"/>
    </row>
    <row r="66" spans="1:23" ht="14.55" customHeight="1" x14ac:dyDescent="0.3">
      <c r="A66" s="180" t="s">
        <v>584</v>
      </c>
      <c r="B66" s="5"/>
      <c r="C66" s="5"/>
      <c r="D66" s="4"/>
      <c r="E66" s="12" t="s">
        <v>685</v>
      </c>
      <c r="F66" s="40"/>
      <c r="G66" s="41"/>
      <c r="H66" s="40"/>
      <c r="I66" s="12"/>
      <c r="J66" s="165"/>
      <c r="K66" s="166"/>
      <c r="L66" s="165"/>
      <c r="M66" s="166"/>
      <c r="N66" s="165"/>
      <c r="O66" s="166"/>
      <c r="P66" s="165"/>
      <c r="Q66" s="166"/>
      <c r="R66" s="142"/>
      <c r="S66" s="14" t="s">
        <v>20</v>
      </c>
      <c r="T66" s="42"/>
      <c r="U66" s="177"/>
      <c r="V66" s="178"/>
      <c r="W66" s="179"/>
    </row>
    <row r="67" spans="1:23" ht="14.55" customHeight="1" x14ac:dyDescent="0.3">
      <c r="A67" s="181"/>
      <c r="B67" s="5"/>
      <c r="C67" s="5"/>
      <c r="D67" s="4"/>
      <c r="E67" s="13"/>
      <c r="F67" s="40"/>
      <c r="G67" s="41"/>
      <c r="H67" s="40"/>
      <c r="I67" s="12"/>
      <c r="J67" s="165"/>
      <c r="K67" s="166"/>
      <c r="L67" s="165"/>
      <c r="M67" s="166"/>
      <c r="N67" s="165"/>
      <c r="O67" s="166"/>
      <c r="P67" s="165"/>
      <c r="Q67" s="166"/>
      <c r="R67" s="142"/>
      <c r="S67" s="14" t="s">
        <v>20</v>
      </c>
      <c r="T67" s="42"/>
      <c r="U67" s="177"/>
      <c r="V67" s="178"/>
      <c r="W67" s="179"/>
    </row>
    <row r="68" spans="1:23" ht="14.55" customHeight="1" x14ac:dyDescent="0.3">
      <c r="A68" s="181"/>
      <c r="B68" s="5"/>
      <c r="C68" s="5"/>
      <c r="D68" s="4"/>
      <c r="E68" s="12"/>
      <c r="F68" s="40"/>
      <c r="G68" s="41"/>
      <c r="H68" s="40"/>
      <c r="I68" s="12"/>
      <c r="J68" s="165"/>
      <c r="K68" s="166"/>
      <c r="L68" s="165"/>
      <c r="M68" s="166"/>
      <c r="N68" s="165"/>
      <c r="O68" s="166"/>
      <c r="P68" s="165"/>
      <c r="Q68" s="166"/>
      <c r="R68" s="142"/>
      <c r="S68" s="14" t="s">
        <v>20</v>
      </c>
      <c r="T68" s="42"/>
      <c r="U68" s="177"/>
      <c r="V68" s="178"/>
      <c r="W68" s="179"/>
    </row>
    <row r="69" spans="1:23" ht="14.55" customHeight="1" x14ac:dyDescent="0.3">
      <c r="A69" s="182"/>
      <c r="B69" s="19"/>
      <c r="C69" s="19"/>
      <c r="D69" s="20"/>
      <c r="E69" s="170" t="s">
        <v>0</v>
      </c>
      <c r="F69" s="171"/>
      <c r="G69" s="171"/>
      <c r="H69" s="171"/>
      <c r="I69" s="172"/>
      <c r="J69" s="173">
        <f>SUM(J66:K68)</f>
        <v>0</v>
      </c>
      <c r="K69" s="174"/>
      <c r="L69" s="173">
        <f>SUM(L66:M68)</f>
        <v>0</v>
      </c>
      <c r="M69" s="174"/>
      <c r="N69" s="173">
        <f>SUM(N66:O68)</f>
        <v>0</v>
      </c>
      <c r="O69" s="174"/>
      <c r="P69" s="173">
        <f>SUM(P66:Q68)</f>
        <v>0</v>
      </c>
      <c r="Q69" s="174"/>
      <c r="R69" s="23">
        <f>SUM(R66:R68)</f>
        <v>0</v>
      </c>
      <c r="S69" s="24" t="s">
        <v>20</v>
      </c>
      <c r="T69" s="19"/>
      <c r="U69" s="177"/>
      <c r="V69" s="178"/>
      <c r="W69" s="179"/>
    </row>
    <row r="70" spans="1:23" x14ac:dyDescent="0.3">
      <c r="E70" s="28"/>
      <c r="F70" s="28"/>
      <c r="G70" s="28"/>
      <c r="H70" s="28"/>
      <c r="I70" s="28"/>
      <c r="J70" s="29"/>
      <c r="K70" s="29"/>
      <c r="L70" s="29"/>
      <c r="M70" s="29"/>
      <c r="N70" s="29"/>
      <c r="O70" s="29"/>
      <c r="P70" s="29"/>
      <c r="Q70" s="29"/>
    </row>
    <row r="71" spans="1:23" x14ac:dyDescent="0.3">
      <c r="E71" s="170" t="s">
        <v>587</v>
      </c>
      <c r="F71" s="171"/>
      <c r="G71" s="171"/>
      <c r="H71" s="171"/>
      <c r="I71" s="172"/>
      <c r="J71" s="175" t="s">
        <v>7</v>
      </c>
      <c r="K71" s="176"/>
      <c r="L71" s="175" t="s">
        <v>8</v>
      </c>
      <c r="M71" s="176"/>
      <c r="N71" s="175" t="s">
        <v>9</v>
      </c>
      <c r="O71" s="176"/>
      <c r="P71" s="175" t="s">
        <v>117</v>
      </c>
      <c r="Q71" s="176"/>
    </row>
    <row r="72" spans="1:23" s="2" customFormat="1" x14ac:dyDescent="0.3">
      <c r="E72" s="15"/>
      <c r="F72" s="15"/>
      <c r="G72" s="15"/>
      <c r="H72" s="15"/>
      <c r="I72" s="15"/>
      <c r="J72" s="30" t="e">
        <f>#REF!+J69</f>
        <v>#REF!</v>
      </c>
      <c r="K72" s="31" t="s">
        <v>17</v>
      </c>
      <c r="L72" s="32" t="e">
        <f>#REF!+L69</f>
        <v>#REF!</v>
      </c>
      <c r="M72" s="31" t="s">
        <v>17</v>
      </c>
      <c r="N72" s="32" t="e">
        <f>#REF!+N69</f>
        <v>#REF!</v>
      </c>
      <c r="O72" s="31" t="s">
        <v>17</v>
      </c>
      <c r="P72" s="32" t="e">
        <f>#REF!+P69</f>
        <v>#REF!</v>
      </c>
      <c r="Q72" s="34" t="s">
        <v>17</v>
      </c>
    </row>
    <row r="73" spans="1:23" ht="24.45" customHeight="1" x14ac:dyDescent="0.3">
      <c r="E73" s="28"/>
      <c r="F73" s="28"/>
      <c r="G73" s="28"/>
      <c r="H73" s="28"/>
      <c r="I73" s="28"/>
      <c r="J73" s="167" t="e">
        <f>J72+L72+N72+P72</f>
        <v>#REF!</v>
      </c>
      <c r="K73" s="168"/>
      <c r="L73" s="168"/>
      <c r="M73" s="168"/>
      <c r="N73" s="168"/>
      <c r="O73" s="168"/>
      <c r="P73" s="168"/>
      <c r="Q73" s="169"/>
    </row>
    <row r="74" spans="1:23" ht="14.55" customHeight="1" x14ac:dyDescent="0.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</row>
    <row r="75" spans="1:23" s="37" customFormat="1" ht="19.95" customHeight="1" x14ac:dyDescent="0.4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214" t="s">
        <v>14</v>
      </c>
      <c r="R75" s="215"/>
      <c r="S75" s="216"/>
      <c r="T75" s="184">
        <f>T3</f>
        <v>45958</v>
      </c>
      <c r="U75" s="185"/>
      <c r="V75" s="185"/>
      <c r="W75" s="186"/>
    </row>
    <row r="76" spans="1:23" s="16" customFormat="1" ht="30" customHeight="1" x14ac:dyDescent="0.3">
      <c r="A76" s="187" t="s">
        <v>26</v>
      </c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9"/>
      <c r="Q76" s="189"/>
      <c r="R76" s="189"/>
      <c r="S76" s="189"/>
      <c r="T76" s="188"/>
      <c r="U76" s="188"/>
      <c r="V76" s="188"/>
      <c r="W76" s="190"/>
    </row>
    <row r="77" spans="1:23" s="26" customFormat="1" ht="13.8" x14ac:dyDescent="0.3">
      <c r="A77" s="191" t="s">
        <v>1</v>
      </c>
      <c r="B77" s="192" t="s">
        <v>2</v>
      </c>
      <c r="C77" s="192" t="s">
        <v>3</v>
      </c>
      <c r="D77" s="192" t="s">
        <v>4</v>
      </c>
      <c r="E77" s="193" t="s">
        <v>5</v>
      </c>
      <c r="F77" s="197"/>
      <c r="G77" s="197"/>
      <c r="H77" s="197"/>
      <c r="I77" s="198"/>
      <c r="J77" s="193" t="s">
        <v>6</v>
      </c>
      <c r="K77" s="197"/>
      <c r="L77" s="197"/>
      <c r="M77" s="197"/>
      <c r="N77" s="197"/>
      <c r="O77" s="197"/>
      <c r="P77" s="197"/>
      <c r="Q77" s="198"/>
      <c r="R77" s="193" t="s">
        <v>10</v>
      </c>
      <c r="S77" s="198"/>
      <c r="T77" s="191" t="s">
        <v>11</v>
      </c>
      <c r="U77" s="191" t="s">
        <v>12</v>
      </c>
      <c r="V77" s="191"/>
      <c r="W77" s="191"/>
    </row>
    <row r="78" spans="1:23" s="26" customFormat="1" ht="13.8" x14ac:dyDescent="0.3">
      <c r="A78" s="191"/>
      <c r="B78" s="192"/>
      <c r="C78" s="192"/>
      <c r="D78" s="192"/>
      <c r="E78" s="194"/>
      <c r="F78" s="217"/>
      <c r="G78" s="217"/>
      <c r="H78" s="217"/>
      <c r="I78" s="199"/>
      <c r="J78" s="200" t="s">
        <v>7</v>
      </c>
      <c r="K78" s="201"/>
      <c r="L78" s="200" t="s">
        <v>8</v>
      </c>
      <c r="M78" s="201"/>
      <c r="N78" s="200" t="s">
        <v>9</v>
      </c>
      <c r="O78" s="201"/>
      <c r="P78" s="200" t="s">
        <v>117</v>
      </c>
      <c r="Q78" s="201"/>
      <c r="R78" s="194"/>
      <c r="S78" s="199"/>
      <c r="T78" s="191"/>
      <c r="U78" s="191"/>
      <c r="V78" s="191"/>
      <c r="W78" s="191"/>
    </row>
    <row r="79" spans="1:23" x14ac:dyDescent="0.3">
      <c r="A79" s="180" t="s">
        <v>13</v>
      </c>
      <c r="B79" s="5">
        <v>0.33333333333333331</v>
      </c>
      <c r="C79" s="5"/>
      <c r="D79" s="145">
        <v>250057</v>
      </c>
      <c r="E79" s="211" t="s">
        <v>574</v>
      </c>
      <c r="F79" s="212"/>
      <c r="G79" s="212"/>
      <c r="H79" s="212"/>
      <c r="I79" s="213"/>
      <c r="J79" s="165">
        <v>369</v>
      </c>
      <c r="K79" s="166"/>
      <c r="L79" s="165"/>
      <c r="M79" s="166"/>
      <c r="N79" s="165"/>
      <c r="O79" s="166"/>
      <c r="P79" s="165"/>
      <c r="Q79" s="166"/>
      <c r="R79" s="142">
        <v>60</v>
      </c>
      <c r="S79" s="6" t="s">
        <v>20</v>
      </c>
      <c r="T79" s="3" t="s">
        <v>216</v>
      </c>
      <c r="U79" s="202"/>
      <c r="V79" s="203"/>
      <c r="W79" s="204"/>
    </row>
    <row r="80" spans="1:23" x14ac:dyDescent="0.3">
      <c r="A80" s="163"/>
      <c r="B80" s="5"/>
      <c r="C80" s="5"/>
      <c r="D80" s="145">
        <v>250061</v>
      </c>
      <c r="E80" s="211" t="s">
        <v>574</v>
      </c>
      <c r="F80" s="212"/>
      <c r="G80" s="212"/>
      <c r="H80" s="212"/>
      <c r="I80" s="213"/>
      <c r="J80" s="165">
        <v>561</v>
      </c>
      <c r="K80" s="166"/>
      <c r="L80" s="165"/>
      <c r="M80" s="166"/>
      <c r="N80" s="165"/>
      <c r="O80" s="166"/>
      <c r="P80" s="165"/>
      <c r="Q80" s="166"/>
      <c r="R80" s="142"/>
      <c r="S80" s="6" t="s">
        <v>20</v>
      </c>
      <c r="T80" s="3"/>
      <c r="U80" s="205"/>
      <c r="V80" s="206"/>
      <c r="W80" s="207"/>
    </row>
    <row r="81" spans="1:23" x14ac:dyDescent="0.3">
      <c r="A81" s="163"/>
      <c r="B81" s="5"/>
      <c r="C81" s="5"/>
      <c r="D81" s="145">
        <v>250079</v>
      </c>
      <c r="E81" s="211" t="s">
        <v>686</v>
      </c>
      <c r="F81" s="212"/>
      <c r="G81" s="212"/>
      <c r="H81" s="212"/>
      <c r="I81" s="213"/>
      <c r="J81" s="165">
        <v>1025</v>
      </c>
      <c r="K81" s="166"/>
      <c r="L81" s="165"/>
      <c r="M81" s="166"/>
      <c r="N81" s="165"/>
      <c r="O81" s="166"/>
      <c r="P81" s="165"/>
      <c r="Q81" s="166"/>
      <c r="R81" s="142">
        <v>40</v>
      </c>
      <c r="S81" s="6" t="s">
        <v>20</v>
      </c>
      <c r="T81" s="3" t="s">
        <v>93</v>
      </c>
      <c r="U81" s="205"/>
      <c r="V81" s="206"/>
      <c r="W81" s="207"/>
    </row>
    <row r="82" spans="1:23" x14ac:dyDescent="0.3">
      <c r="A82" s="163"/>
      <c r="B82" s="5"/>
      <c r="C82" s="5"/>
      <c r="D82" s="145">
        <v>21025</v>
      </c>
      <c r="E82" s="211" t="s">
        <v>687</v>
      </c>
      <c r="F82" s="212"/>
      <c r="G82" s="212"/>
      <c r="H82" s="212"/>
      <c r="I82" s="213"/>
      <c r="J82" s="165">
        <v>1020</v>
      </c>
      <c r="K82" s="166"/>
      <c r="L82" s="165"/>
      <c r="M82" s="166"/>
      <c r="N82" s="165"/>
      <c r="O82" s="166"/>
      <c r="P82" s="165"/>
      <c r="Q82" s="166"/>
      <c r="R82" s="142"/>
      <c r="S82" s="6" t="s">
        <v>20</v>
      </c>
      <c r="T82" s="3"/>
      <c r="U82" s="205"/>
      <c r="V82" s="206"/>
      <c r="W82" s="207"/>
    </row>
    <row r="83" spans="1:23" x14ac:dyDescent="0.3">
      <c r="A83" s="163"/>
      <c r="B83" s="5"/>
      <c r="C83" s="5">
        <v>0.70833333333333337</v>
      </c>
      <c r="D83" s="146">
        <v>151025</v>
      </c>
      <c r="E83" s="211" t="s">
        <v>688</v>
      </c>
      <c r="F83" s="212"/>
      <c r="G83" s="212"/>
      <c r="H83" s="212"/>
      <c r="I83" s="213"/>
      <c r="J83" s="165">
        <v>711</v>
      </c>
      <c r="K83" s="166"/>
      <c r="L83" s="165"/>
      <c r="M83" s="166"/>
      <c r="N83" s="165"/>
      <c r="O83" s="166"/>
      <c r="P83" s="165"/>
      <c r="Q83" s="166"/>
      <c r="R83" s="142"/>
      <c r="S83" s="6" t="s">
        <v>20</v>
      </c>
      <c r="T83" s="3"/>
      <c r="U83" s="205"/>
      <c r="V83" s="206"/>
      <c r="W83" s="207"/>
    </row>
    <row r="84" spans="1:23" x14ac:dyDescent="0.3">
      <c r="A84" s="163"/>
      <c r="B84" s="5"/>
      <c r="C84" s="5"/>
      <c r="D84" s="4"/>
      <c r="E84" s="211"/>
      <c r="F84" s="212"/>
      <c r="G84" s="212"/>
      <c r="H84" s="212"/>
      <c r="I84" s="213"/>
      <c r="J84" s="165"/>
      <c r="K84" s="166"/>
      <c r="L84" s="165"/>
      <c r="M84" s="166"/>
      <c r="N84" s="165"/>
      <c r="O84" s="166"/>
      <c r="P84" s="165"/>
      <c r="Q84" s="166"/>
      <c r="R84" s="142"/>
      <c r="S84" s="6" t="s">
        <v>20</v>
      </c>
      <c r="T84" s="3"/>
      <c r="U84" s="205"/>
      <c r="V84" s="206"/>
      <c r="W84" s="207"/>
    </row>
    <row r="85" spans="1:23" x14ac:dyDescent="0.3">
      <c r="A85" s="163"/>
      <c r="B85" s="5"/>
      <c r="C85" s="5"/>
      <c r="D85" s="4"/>
      <c r="E85" s="211"/>
      <c r="F85" s="212"/>
      <c r="G85" s="212"/>
      <c r="H85" s="212"/>
      <c r="I85" s="213"/>
      <c r="J85" s="165"/>
      <c r="K85" s="166"/>
      <c r="L85" s="165"/>
      <c r="M85" s="166"/>
      <c r="N85" s="165"/>
      <c r="O85" s="166"/>
      <c r="P85" s="165"/>
      <c r="Q85" s="166"/>
      <c r="R85" s="142"/>
      <c r="S85" s="6" t="s">
        <v>20</v>
      </c>
      <c r="T85" s="3"/>
      <c r="U85" s="205"/>
      <c r="V85" s="206"/>
      <c r="W85" s="207"/>
    </row>
    <row r="86" spans="1:23" x14ac:dyDescent="0.3">
      <c r="A86" s="164"/>
      <c r="B86" s="19"/>
      <c r="C86" s="19"/>
      <c r="D86" s="20"/>
      <c r="E86" s="170" t="s">
        <v>0</v>
      </c>
      <c r="F86" s="171"/>
      <c r="G86" s="171"/>
      <c r="H86" s="171"/>
      <c r="I86" s="172"/>
      <c r="J86" s="173">
        <f>SUM(J79:J85)</f>
        <v>3686</v>
      </c>
      <c r="K86" s="174"/>
      <c r="L86" s="173">
        <f>SUM(L79:L85)</f>
        <v>0</v>
      </c>
      <c r="M86" s="174"/>
      <c r="N86" s="173">
        <f>SUM(N79:N85)</f>
        <v>0</v>
      </c>
      <c r="O86" s="174"/>
      <c r="P86" s="173">
        <f>SUM(P79:P85)</f>
        <v>0</v>
      </c>
      <c r="Q86" s="174"/>
      <c r="R86" s="23">
        <f>SUM(R79:R85)</f>
        <v>100</v>
      </c>
      <c r="S86" s="24" t="s">
        <v>20</v>
      </c>
      <c r="T86" s="19"/>
      <c r="U86" s="208"/>
      <c r="V86" s="209"/>
      <c r="W86" s="210"/>
    </row>
    <row r="87" spans="1:23" x14ac:dyDescent="0.3">
      <c r="A87" s="180" t="s">
        <v>15</v>
      </c>
      <c r="B87" s="5"/>
      <c r="C87" s="5"/>
      <c r="D87" s="4"/>
      <c r="E87" s="211"/>
      <c r="F87" s="212"/>
      <c r="G87" s="212"/>
      <c r="H87" s="212"/>
      <c r="I87" s="213"/>
      <c r="J87" s="165"/>
      <c r="K87" s="166"/>
      <c r="L87" s="165"/>
      <c r="M87" s="166"/>
      <c r="N87" s="165"/>
      <c r="O87" s="166"/>
      <c r="P87" s="165"/>
      <c r="Q87" s="166"/>
      <c r="R87" s="142"/>
      <c r="S87" s="6" t="s">
        <v>20</v>
      </c>
      <c r="T87" s="3"/>
      <c r="U87" s="202"/>
      <c r="V87" s="203"/>
      <c r="W87" s="204"/>
    </row>
    <row r="88" spans="1:23" x14ac:dyDescent="0.3">
      <c r="A88" s="163"/>
      <c r="B88" s="5"/>
      <c r="C88" s="5"/>
      <c r="D88" s="4"/>
      <c r="E88" s="211"/>
      <c r="F88" s="212"/>
      <c r="G88" s="212"/>
      <c r="H88" s="212"/>
      <c r="I88" s="213"/>
      <c r="J88" s="165"/>
      <c r="K88" s="166"/>
      <c r="L88" s="165"/>
      <c r="M88" s="166"/>
      <c r="N88" s="165"/>
      <c r="O88" s="166"/>
      <c r="P88" s="165"/>
      <c r="Q88" s="166"/>
      <c r="R88" s="142"/>
      <c r="S88" s="6" t="s">
        <v>20</v>
      </c>
      <c r="T88" s="3"/>
      <c r="U88" s="205"/>
      <c r="V88" s="206"/>
      <c r="W88" s="207"/>
    </row>
    <row r="89" spans="1:23" x14ac:dyDescent="0.3">
      <c r="A89" s="163"/>
      <c r="B89" s="5"/>
      <c r="C89" s="5"/>
      <c r="D89" s="4"/>
      <c r="E89" s="211"/>
      <c r="F89" s="212"/>
      <c r="G89" s="212"/>
      <c r="H89" s="212"/>
      <c r="I89" s="213"/>
      <c r="J89" s="165"/>
      <c r="K89" s="166"/>
      <c r="L89" s="165"/>
      <c r="M89" s="166"/>
      <c r="N89" s="165"/>
      <c r="O89" s="166"/>
      <c r="P89" s="165"/>
      <c r="Q89" s="166"/>
      <c r="R89" s="142"/>
      <c r="S89" s="6" t="s">
        <v>20</v>
      </c>
      <c r="T89" s="3"/>
      <c r="U89" s="205"/>
      <c r="V89" s="206"/>
      <c r="W89" s="207"/>
    </row>
    <row r="90" spans="1:23" x14ac:dyDescent="0.3">
      <c r="A90" s="164"/>
      <c r="B90" s="19"/>
      <c r="C90" s="19"/>
      <c r="D90" s="20"/>
      <c r="E90" s="170" t="s">
        <v>0</v>
      </c>
      <c r="F90" s="171"/>
      <c r="G90" s="171"/>
      <c r="H90" s="171"/>
      <c r="I90" s="172"/>
      <c r="J90" s="173">
        <f>SUM(J87:J89)</f>
        <v>0</v>
      </c>
      <c r="K90" s="174"/>
      <c r="L90" s="173">
        <f>SUM(L87:L89)</f>
        <v>0</v>
      </c>
      <c r="M90" s="174"/>
      <c r="N90" s="173">
        <f>SUM(N87:N89)</f>
        <v>0</v>
      </c>
      <c r="O90" s="174"/>
      <c r="P90" s="173">
        <f>SUM(P82:P89)</f>
        <v>0</v>
      </c>
      <c r="Q90" s="174"/>
      <c r="R90" s="23">
        <f>SUM(R87:R89)</f>
        <v>0</v>
      </c>
      <c r="S90" s="24" t="s">
        <v>20</v>
      </c>
      <c r="T90" s="7"/>
      <c r="U90" s="208"/>
      <c r="V90" s="209"/>
      <c r="W90" s="210"/>
    </row>
    <row r="91" spans="1:23" x14ac:dyDescent="0.3">
      <c r="E91" s="28"/>
      <c r="F91" s="28"/>
      <c r="G91" s="28"/>
      <c r="H91" s="28"/>
      <c r="I91" s="28"/>
      <c r="J91" s="29"/>
      <c r="K91" s="29"/>
      <c r="L91" s="29"/>
      <c r="M91" s="29"/>
      <c r="N91" s="29"/>
      <c r="O91" s="29"/>
      <c r="P91" s="29"/>
      <c r="Q91" s="29"/>
    </row>
    <row r="92" spans="1:23" x14ac:dyDescent="0.3">
      <c r="E92" s="170" t="s">
        <v>28</v>
      </c>
      <c r="F92" s="171"/>
      <c r="G92" s="171"/>
      <c r="H92" s="171"/>
      <c r="I92" s="172"/>
      <c r="J92" s="175" t="s">
        <v>7</v>
      </c>
      <c r="K92" s="176"/>
      <c r="L92" s="175" t="s">
        <v>8</v>
      </c>
      <c r="M92" s="176"/>
      <c r="N92" s="175" t="s">
        <v>9</v>
      </c>
      <c r="O92" s="176"/>
      <c r="P92" s="175" t="s">
        <v>117</v>
      </c>
      <c r="Q92" s="176"/>
    </row>
    <row r="93" spans="1:23" s="2" customFormat="1" x14ac:dyDescent="0.3">
      <c r="E93" s="15"/>
      <c r="F93" s="15"/>
      <c r="G93" s="15"/>
      <c r="H93" s="15"/>
      <c r="I93" s="15"/>
      <c r="J93" s="30">
        <f>J86+J90</f>
        <v>3686</v>
      </c>
      <c r="K93" s="31" t="s">
        <v>17</v>
      </c>
      <c r="L93" s="32">
        <f>L86+L90</f>
        <v>0</v>
      </c>
      <c r="M93" s="31" t="s">
        <v>17</v>
      </c>
      <c r="N93" s="32">
        <f>N86+N90</f>
        <v>0</v>
      </c>
      <c r="O93" s="31" t="s">
        <v>17</v>
      </c>
      <c r="P93" s="32">
        <f>P86+P90</f>
        <v>0</v>
      </c>
      <c r="Q93" s="34" t="s">
        <v>17</v>
      </c>
    </row>
    <row r="94" spans="1:23" ht="24.45" customHeight="1" x14ac:dyDescent="0.3">
      <c r="E94" s="28"/>
      <c r="F94" s="28"/>
      <c r="G94" s="28"/>
      <c r="H94" s="28"/>
      <c r="I94" s="28"/>
      <c r="J94" s="167">
        <f>J93+L93+N93+P93</f>
        <v>3686</v>
      </c>
      <c r="K94" s="168"/>
      <c r="L94" s="168"/>
      <c r="M94" s="168"/>
      <c r="N94" s="168"/>
      <c r="O94" s="168"/>
      <c r="P94" s="168"/>
      <c r="Q94" s="169"/>
    </row>
    <row r="95" spans="1:23" ht="14.55" customHeight="1" x14ac:dyDescent="0.3"/>
    <row r="96" spans="1:23" s="37" customFormat="1" ht="19.95" customHeight="1" x14ac:dyDescent="0.4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6"/>
      <c r="Q96" s="183" t="s">
        <v>14</v>
      </c>
      <c r="R96" s="183"/>
      <c r="S96" s="183"/>
      <c r="T96" s="184">
        <f>T3</f>
        <v>45958</v>
      </c>
      <c r="U96" s="185"/>
      <c r="V96" s="185"/>
      <c r="W96" s="186"/>
    </row>
    <row r="97" spans="1:23" s="16" customFormat="1" ht="30" customHeight="1" x14ac:dyDescent="0.3">
      <c r="A97" s="187" t="s">
        <v>579</v>
      </c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9"/>
      <c r="Q97" s="189"/>
      <c r="R97" s="189"/>
      <c r="S97" s="189"/>
      <c r="T97" s="188"/>
      <c r="U97" s="188"/>
      <c r="V97" s="188"/>
      <c r="W97" s="190"/>
    </row>
    <row r="98" spans="1:23" s="26" customFormat="1" ht="13.8" x14ac:dyDescent="0.3">
      <c r="A98" s="191" t="s">
        <v>1</v>
      </c>
      <c r="B98" s="192" t="s">
        <v>2</v>
      </c>
      <c r="C98" s="192" t="s">
        <v>3</v>
      </c>
      <c r="D98" s="192" t="s">
        <v>4</v>
      </c>
      <c r="E98" s="193" t="s">
        <v>5</v>
      </c>
      <c r="F98" s="195" t="s">
        <v>21</v>
      </c>
      <c r="G98" s="195" t="s">
        <v>22</v>
      </c>
      <c r="H98" s="195" t="s">
        <v>33</v>
      </c>
      <c r="I98" s="195" t="s">
        <v>30</v>
      </c>
      <c r="J98" s="193" t="s">
        <v>6</v>
      </c>
      <c r="K98" s="197"/>
      <c r="L98" s="197"/>
      <c r="M98" s="197"/>
      <c r="N98" s="197"/>
      <c r="O98" s="197"/>
      <c r="P98" s="197"/>
      <c r="Q98" s="198"/>
      <c r="R98" s="193" t="s">
        <v>10</v>
      </c>
      <c r="S98" s="198"/>
      <c r="T98" s="191" t="s">
        <v>11</v>
      </c>
      <c r="U98" s="191" t="s">
        <v>12</v>
      </c>
      <c r="V98" s="191"/>
      <c r="W98" s="191"/>
    </row>
    <row r="99" spans="1:23" s="26" customFormat="1" ht="13.8" x14ac:dyDescent="0.3">
      <c r="A99" s="191"/>
      <c r="B99" s="192"/>
      <c r="C99" s="192"/>
      <c r="D99" s="192"/>
      <c r="E99" s="194"/>
      <c r="F99" s="196"/>
      <c r="G99" s="196"/>
      <c r="H99" s="196"/>
      <c r="I99" s="196"/>
      <c r="J99" s="200" t="s">
        <v>7</v>
      </c>
      <c r="K99" s="201"/>
      <c r="L99" s="200" t="s">
        <v>8</v>
      </c>
      <c r="M99" s="201"/>
      <c r="N99" s="200" t="s">
        <v>9</v>
      </c>
      <c r="O99" s="201"/>
      <c r="P99" s="200" t="s">
        <v>117</v>
      </c>
      <c r="Q99" s="201"/>
      <c r="R99" s="194"/>
      <c r="S99" s="199"/>
      <c r="T99" s="191"/>
      <c r="U99" s="191"/>
      <c r="V99" s="191"/>
      <c r="W99" s="191"/>
    </row>
    <row r="100" spans="1:23" ht="14.55" customHeight="1" x14ac:dyDescent="0.3">
      <c r="A100" s="180" t="s">
        <v>581</v>
      </c>
      <c r="B100" s="5"/>
      <c r="C100" s="5"/>
      <c r="D100" s="126"/>
      <c r="E100" s="12" t="s">
        <v>245</v>
      </c>
      <c r="F100" s="40"/>
      <c r="G100" s="41"/>
      <c r="H100" s="40"/>
      <c r="I100" s="12"/>
      <c r="J100" s="165">
        <v>3000</v>
      </c>
      <c r="K100" s="166"/>
      <c r="L100" s="165"/>
      <c r="M100" s="166"/>
      <c r="N100" s="165"/>
      <c r="O100" s="166"/>
      <c r="P100" s="165"/>
      <c r="Q100" s="166"/>
      <c r="R100" s="142"/>
      <c r="S100" s="14" t="s">
        <v>20</v>
      </c>
      <c r="T100" s="42"/>
      <c r="U100" s="177"/>
      <c r="V100" s="178"/>
      <c r="W100" s="179"/>
    </row>
    <row r="101" spans="1:23" ht="14.55" customHeight="1" x14ac:dyDescent="0.3">
      <c r="A101" s="181"/>
      <c r="B101" s="5"/>
      <c r="C101" s="5"/>
      <c r="D101" s="126"/>
      <c r="E101" s="13"/>
      <c r="F101" s="40"/>
      <c r="G101" s="41"/>
      <c r="H101" s="40"/>
      <c r="I101" s="12"/>
      <c r="J101" s="165"/>
      <c r="K101" s="166"/>
      <c r="L101" s="165"/>
      <c r="M101" s="166"/>
      <c r="N101" s="165"/>
      <c r="O101" s="166"/>
      <c r="P101" s="165"/>
      <c r="Q101" s="166"/>
      <c r="R101" s="142"/>
      <c r="S101" s="14" t="s">
        <v>20</v>
      </c>
      <c r="T101" s="42"/>
      <c r="U101" s="177"/>
      <c r="V101" s="178"/>
      <c r="W101" s="179"/>
    </row>
    <row r="102" spans="1:23" ht="14.55" customHeight="1" x14ac:dyDescent="0.3">
      <c r="A102" s="181"/>
      <c r="B102" s="5"/>
      <c r="C102" s="5"/>
      <c r="D102" s="4"/>
      <c r="E102" s="12"/>
      <c r="F102" s="40"/>
      <c r="G102" s="41"/>
      <c r="H102" s="40"/>
      <c r="I102" s="12"/>
      <c r="J102" s="165"/>
      <c r="K102" s="166"/>
      <c r="L102" s="165"/>
      <c r="M102" s="166"/>
      <c r="N102" s="165"/>
      <c r="O102" s="166"/>
      <c r="P102" s="165"/>
      <c r="Q102" s="166"/>
      <c r="R102" s="142"/>
      <c r="S102" s="14" t="s">
        <v>20</v>
      </c>
      <c r="T102" s="42"/>
      <c r="U102" s="177"/>
      <c r="V102" s="178"/>
      <c r="W102" s="179"/>
    </row>
    <row r="103" spans="1:23" ht="14.55" customHeight="1" x14ac:dyDescent="0.3">
      <c r="A103" s="182"/>
      <c r="B103" s="19"/>
      <c r="C103" s="19"/>
      <c r="D103" s="20"/>
      <c r="E103" s="170" t="s">
        <v>0</v>
      </c>
      <c r="F103" s="171"/>
      <c r="G103" s="171"/>
      <c r="H103" s="171"/>
      <c r="I103" s="172"/>
      <c r="J103" s="173">
        <f>SUM(J100:K102)</f>
        <v>3000</v>
      </c>
      <c r="K103" s="174"/>
      <c r="L103" s="173">
        <f>SUM(L100:M102)</f>
        <v>0</v>
      </c>
      <c r="M103" s="174"/>
      <c r="N103" s="173">
        <f>SUM(N100:O102)</f>
        <v>0</v>
      </c>
      <c r="O103" s="174"/>
      <c r="P103" s="173">
        <f>SUM(P100:Q102)</f>
        <v>0</v>
      </c>
      <c r="Q103" s="174"/>
      <c r="R103" s="23">
        <f>SUM(R100:R102)</f>
        <v>0</v>
      </c>
      <c r="S103" s="24" t="s">
        <v>20</v>
      </c>
      <c r="T103" s="19"/>
      <c r="U103" s="177"/>
      <c r="V103" s="178"/>
      <c r="W103" s="179"/>
    </row>
    <row r="104" spans="1:23" ht="14.55" customHeight="1" x14ac:dyDescent="0.3">
      <c r="A104" s="163" t="s">
        <v>580</v>
      </c>
      <c r="B104" s="5"/>
      <c r="C104" s="5"/>
      <c r="D104" s="4"/>
      <c r="E104" s="12"/>
      <c r="F104" s="40"/>
      <c r="G104" s="41"/>
      <c r="H104" s="40"/>
      <c r="I104" s="12"/>
      <c r="J104" s="165"/>
      <c r="K104" s="166"/>
      <c r="L104" s="165"/>
      <c r="M104" s="166"/>
      <c r="N104" s="165"/>
      <c r="O104" s="166"/>
      <c r="P104" s="165"/>
      <c r="Q104" s="166"/>
      <c r="R104" s="142"/>
      <c r="S104" s="14" t="s">
        <v>20</v>
      </c>
      <c r="T104" s="42"/>
      <c r="U104" s="177"/>
      <c r="V104" s="178"/>
      <c r="W104" s="179"/>
    </row>
    <row r="105" spans="1:23" ht="14.55" customHeight="1" x14ac:dyDescent="0.3">
      <c r="A105" s="163"/>
      <c r="B105" s="5"/>
      <c r="C105" s="5"/>
      <c r="D105" s="4"/>
      <c r="E105" s="12"/>
      <c r="F105" s="40"/>
      <c r="G105" s="41"/>
      <c r="H105" s="40"/>
      <c r="I105" s="12"/>
      <c r="J105" s="165"/>
      <c r="K105" s="166"/>
      <c r="L105" s="165"/>
      <c r="M105" s="166"/>
      <c r="N105" s="165"/>
      <c r="O105" s="166"/>
      <c r="P105" s="165"/>
      <c r="Q105" s="166"/>
      <c r="R105" s="142"/>
      <c r="S105" s="14" t="s">
        <v>20</v>
      </c>
      <c r="T105" s="42"/>
      <c r="U105" s="177"/>
      <c r="V105" s="178"/>
      <c r="W105" s="179"/>
    </row>
    <row r="106" spans="1:23" ht="14.55" customHeight="1" x14ac:dyDescent="0.3">
      <c r="A106" s="163"/>
      <c r="B106" s="5"/>
      <c r="C106" s="5"/>
      <c r="D106" s="4"/>
      <c r="E106" s="12"/>
      <c r="F106" s="40"/>
      <c r="G106" s="41"/>
      <c r="H106" s="40"/>
      <c r="I106" s="12"/>
      <c r="J106" s="165"/>
      <c r="K106" s="166"/>
      <c r="L106" s="165"/>
      <c r="M106" s="166"/>
      <c r="N106" s="165"/>
      <c r="O106" s="166"/>
      <c r="P106" s="165"/>
      <c r="Q106" s="166"/>
      <c r="R106" s="142"/>
      <c r="S106" s="14" t="s">
        <v>20</v>
      </c>
      <c r="T106" s="42"/>
      <c r="U106" s="177"/>
      <c r="V106" s="178"/>
      <c r="W106" s="179"/>
    </row>
    <row r="107" spans="1:23" ht="14.55" customHeight="1" x14ac:dyDescent="0.3">
      <c r="A107" s="163"/>
      <c r="B107" s="5"/>
      <c r="C107" s="5"/>
      <c r="D107" s="4"/>
      <c r="E107" s="12"/>
      <c r="F107" s="40"/>
      <c r="G107" s="41"/>
      <c r="H107" s="40"/>
      <c r="I107" s="12"/>
      <c r="J107" s="165"/>
      <c r="K107" s="166"/>
      <c r="L107" s="165"/>
      <c r="M107" s="166"/>
      <c r="N107" s="165"/>
      <c r="O107" s="166"/>
      <c r="P107" s="165"/>
      <c r="Q107" s="166"/>
      <c r="R107" s="142"/>
      <c r="S107" s="14" t="s">
        <v>20</v>
      </c>
      <c r="T107" s="42"/>
      <c r="U107" s="177"/>
      <c r="V107" s="178"/>
      <c r="W107" s="179"/>
    </row>
    <row r="108" spans="1:23" ht="14.55" customHeight="1" x14ac:dyDescent="0.3">
      <c r="A108" s="164"/>
      <c r="B108" s="19"/>
      <c r="C108" s="19"/>
      <c r="D108" s="20"/>
      <c r="E108" s="170" t="s">
        <v>0</v>
      </c>
      <c r="F108" s="171"/>
      <c r="G108" s="171"/>
      <c r="H108" s="171"/>
      <c r="I108" s="172"/>
      <c r="J108" s="173">
        <f>SUM(J104:K107)</f>
        <v>0</v>
      </c>
      <c r="K108" s="174"/>
      <c r="L108" s="173">
        <f>SUM(L104:M107)</f>
        <v>0</v>
      </c>
      <c r="M108" s="174"/>
      <c r="N108" s="173">
        <f>SUM(N104:O107)</f>
        <v>0</v>
      </c>
      <c r="O108" s="174"/>
      <c r="P108" s="173">
        <f>SUM(P104:Q107)</f>
        <v>0</v>
      </c>
      <c r="Q108" s="174"/>
      <c r="R108" s="23">
        <f>SUM(R104:R107)</f>
        <v>0</v>
      </c>
      <c r="S108" s="24" t="s">
        <v>20</v>
      </c>
      <c r="T108" s="19"/>
      <c r="U108" s="177"/>
      <c r="V108" s="178"/>
      <c r="W108" s="179"/>
    </row>
    <row r="109" spans="1:23" ht="14.55" customHeight="1" x14ac:dyDescent="0.3">
      <c r="A109" s="27"/>
      <c r="B109" s="27"/>
      <c r="C109" s="27"/>
      <c r="D109" s="27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27"/>
      <c r="S109" s="27"/>
      <c r="T109" s="39"/>
      <c r="U109" s="39"/>
      <c r="V109" s="39"/>
      <c r="W109" s="39"/>
    </row>
    <row r="110" spans="1:23" x14ac:dyDescent="0.3">
      <c r="E110" s="170" t="s">
        <v>585</v>
      </c>
      <c r="F110" s="171"/>
      <c r="G110" s="171"/>
      <c r="H110" s="171"/>
      <c r="I110" s="172"/>
      <c r="J110" s="175" t="s">
        <v>7</v>
      </c>
      <c r="K110" s="176"/>
      <c r="L110" s="175" t="s">
        <v>8</v>
      </c>
      <c r="M110" s="176"/>
      <c r="N110" s="175" t="s">
        <v>9</v>
      </c>
      <c r="O110" s="176"/>
      <c r="P110" s="175" t="s">
        <v>117</v>
      </c>
      <c r="Q110" s="176"/>
    </row>
    <row r="111" spans="1:23" s="2" customFormat="1" x14ac:dyDescent="0.3">
      <c r="E111" s="15"/>
      <c r="F111" s="15"/>
      <c r="G111" s="15"/>
      <c r="H111" s="15"/>
      <c r="I111" s="15"/>
      <c r="J111" s="30">
        <f>SUM(J108,J103)</f>
        <v>3000</v>
      </c>
      <c r="K111" s="31" t="s">
        <v>17</v>
      </c>
      <c r="L111" s="30">
        <f>SUM(L108,L103)</f>
        <v>0</v>
      </c>
      <c r="M111" s="31" t="s">
        <v>17</v>
      </c>
      <c r="N111" s="30">
        <f>SUM(N108,N103)</f>
        <v>0</v>
      </c>
      <c r="O111" s="31" t="s">
        <v>17</v>
      </c>
      <c r="P111" s="30">
        <f>SUM(P108,P103)</f>
        <v>0</v>
      </c>
      <c r="Q111" s="34" t="s">
        <v>17</v>
      </c>
    </row>
    <row r="112" spans="1:23" ht="24.45" customHeight="1" x14ac:dyDescent="0.3">
      <c r="E112" s="28"/>
      <c r="F112" s="28"/>
      <c r="G112" s="28"/>
      <c r="H112" s="28"/>
      <c r="I112" s="28"/>
      <c r="J112" s="167">
        <f>J111+L111+N111+P111</f>
        <v>3000</v>
      </c>
      <c r="K112" s="168"/>
      <c r="L112" s="168"/>
      <c r="M112" s="168"/>
      <c r="N112" s="168"/>
      <c r="O112" s="168"/>
      <c r="P112" s="168"/>
      <c r="Q112" s="169"/>
    </row>
  </sheetData>
  <mergeCells count="426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U7:W30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A7:A30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B30:I30"/>
    <mergeCell ref="E32:I32"/>
    <mergeCell ref="J32:K32"/>
    <mergeCell ref="L32:M32"/>
    <mergeCell ref="N32:O32"/>
    <mergeCell ref="P32:Q32"/>
    <mergeCell ref="J28:K28"/>
    <mergeCell ref="L28:M28"/>
    <mergeCell ref="N28:O28"/>
    <mergeCell ref="P28:Q28"/>
    <mergeCell ref="J29:K29"/>
    <mergeCell ref="L29:M29"/>
    <mergeCell ref="N29:O29"/>
    <mergeCell ref="P29:Q29"/>
    <mergeCell ref="J34:Q34"/>
    <mergeCell ref="Q36:S36"/>
    <mergeCell ref="T36:W36"/>
    <mergeCell ref="A37:W37"/>
    <mergeCell ref="A38:A39"/>
    <mergeCell ref="B38:B39"/>
    <mergeCell ref="C38:C39"/>
    <mergeCell ref="D38:D39"/>
    <mergeCell ref="E38:E39"/>
    <mergeCell ref="F38:F39"/>
    <mergeCell ref="U40:W42"/>
    <mergeCell ref="U38:W39"/>
    <mergeCell ref="J39:K39"/>
    <mergeCell ref="L39:M39"/>
    <mergeCell ref="N39:O39"/>
    <mergeCell ref="P39:Q39"/>
    <mergeCell ref="A40:A42"/>
    <mergeCell ref="J40:K40"/>
    <mergeCell ref="L40:M40"/>
    <mergeCell ref="N40:O40"/>
    <mergeCell ref="P40:Q40"/>
    <mergeCell ref="G38:G39"/>
    <mergeCell ref="H38:H39"/>
    <mergeCell ref="I38:I39"/>
    <mergeCell ref="J38:Q38"/>
    <mergeCell ref="R38:S39"/>
    <mergeCell ref="T38:T39"/>
    <mergeCell ref="A43:A46"/>
    <mergeCell ref="J43:K43"/>
    <mergeCell ref="L43:M43"/>
    <mergeCell ref="N43:O43"/>
    <mergeCell ref="P43:Q43"/>
    <mergeCell ref="J41:K41"/>
    <mergeCell ref="L41:M41"/>
    <mergeCell ref="N41:O41"/>
    <mergeCell ref="P41:Q41"/>
    <mergeCell ref="L44:M44"/>
    <mergeCell ref="N44:O44"/>
    <mergeCell ref="P44:Q44"/>
    <mergeCell ref="J45:K45"/>
    <mergeCell ref="L45:M45"/>
    <mergeCell ref="N45:O45"/>
    <mergeCell ref="P45:Q45"/>
    <mergeCell ref="E42:I42"/>
    <mergeCell ref="J42:K42"/>
    <mergeCell ref="L42:M42"/>
    <mergeCell ref="N42:O42"/>
    <mergeCell ref="P42:Q42"/>
    <mergeCell ref="U47:W51"/>
    <mergeCell ref="E46:I46"/>
    <mergeCell ref="J46:K46"/>
    <mergeCell ref="L46:M46"/>
    <mergeCell ref="N46:O46"/>
    <mergeCell ref="P46:Q46"/>
    <mergeCell ref="J47:K47"/>
    <mergeCell ref="L47:M47"/>
    <mergeCell ref="N47:O47"/>
    <mergeCell ref="P47:Q47"/>
    <mergeCell ref="J50:K50"/>
    <mergeCell ref="J48:K48"/>
    <mergeCell ref="L48:M48"/>
    <mergeCell ref="N48:O48"/>
    <mergeCell ref="P48:Q48"/>
    <mergeCell ref="J49:K49"/>
    <mergeCell ref="L49:M49"/>
    <mergeCell ref="N49:O49"/>
    <mergeCell ref="P49:Q49"/>
    <mergeCell ref="U43:W46"/>
    <mergeCell ref="J44:K44"/>
    <mergeCell ref="E51:I51"/>
    <mergeCell ref="J51:K51"/>
    <mergeCell ref="L51:M51"/>
    <mergeCell ref="N51:O51"/>
    <mergeCell ref="P51:Q51"/>
    <mergeCell ref="A52:A56"/>
    <mergeCell ref="J52:K52"/>
    <mergeCell ref="L52:M52"/>
    <mergeCell ref="N52:O52"/>
    <mergeCell ref="P52:Q52"/>
    <mergeCell ref="A47:A51"/>
    <mergeCell ref="J54:K54"/>
    <mergeCell ref="L54:M54"/>
    <mergeCell ref="N54:O54"/>
    <mergeCell ref="P54:Q54"/>
    <mergeCell ref="J55:K55"/>
    <mergeCell ref="L55:M55"/>
    <mergeCell ref="N55:O55"/>
    <mergeCell ref="P55:Q55"/>
    <mergeCell ref="L50:M50"/>
    <mergeCell ref="N50:O50"/>
    <mergeCell ref="P50:Q50"/>
    <mergeCell ref="U52:W56"/>
    <mergeCell ref="J53:K53"/>
    <mergeCell ref="L53:M53"/>
    <mergeCell ref="N53:O53"/>
    <mergeCell ref="P53:Q53"/>
    <mergeCell ref="E56:I56"/>
    <mergeCell ref="J56:K56"/>
    <mergeCell ref="L56:M56"/>
    <mergeCell ref="N56:O56"/>
    <mergeCell ref="P56:Q56"/>
    <mergeCell ref="U64:W65"/>
    <mergeCell ref="J65:K65"/>
    <mergeCell ref="L65:M65"/>
    <mergeCell ref="N65:O65"/>
    <mergeCell ref="P65:Q65"/>
    <mergeCell ref="R64:S65"/>
    <mergeCell ref="T64:T65"/>
    <mergeCell ref="E58:I58"/>
    <mergeCell ref="J58:K58"/>
    <mergeCell ref="L58:M58"/>
    <mergeCell ref="N58:O58"/>
    <mergeCell ref="P58:Q58"/>
    <mergeCell ref="J60:Q60"/>
    <mergeCell ref="Q62:S62"/>
    <mergeCell ref="T62:W62"/>
    <mergeCell ref="A63:W63"/>
    <mergeCell ref="A66:A69"/>
    <mergeCell ref="J66:K66"/>
    <mergeCell ref="L66:M66"/>
    <mergeCell ref="N66:O66"/>
    <mergeCell ref="P66:Q66"/>
    <mergeCell ref="G64:G65"/>
    <mergeCell ref="H64:H65"/>
    <mergeCell ref="I64:I65"/>
    <mergeCell ref="J64:Q64"/>
    <mergeCell ref="E69:I69"/>
    <mergeCell ref="A64:A65"/>
    <mergeCell ref="B64:B65"/>
    <mergeCell ref="C64:C65"/>
    <mergeCell ref="D64:D65"/>
    <mergeCell ref="E64:E65"/>
    <mergeCell ref="F64:F65"/>
    <mergeCell ref="U66:W69"/>
    <mergeCell ref="J67:K67"/>
    <mergeCell ref="L67:M67"/>
    <mergeCell ref="N67:O67"/>
    <mergeCell ref="P67:Q67"/>
    <mergeCell ref="J68:K68"/>
    <mergeCell ref="L68:M68"/>
    <mergeCell ref="N68:O68"/>
    <mergeCell ref="P68:Q68"/>
    <mergeCell ref="J69:K69"/>
    <mergeCell ref="L69:M69"/>
    <mergeCell ref="N69:O69"/>
    <mergeCell ref="P69:Q69"/>
    <mergeCell ref="E71:I71"/>
    <mergeCell ref="J71:K71"/>
    <mergeCell ref="L71:M71"/>
    <mergeCell ref="N71:O71"/>
    <mergeCell ref="P71:Q71"/>
    <mergeCell ref="R77:S78"/>
    <mergeCell ref="T77:T78"/>
    <mergeCell ref="U77:W78"/>
    <mergeCell ref="J78:K78"/>
    <mergeCell ref="L78:M78"/>
    <mergeCell ref="N78:O78"/>
    <mergeCell ref="P78:Q78"/>
    <mergeCell ref="J73:Q73"/>
    <mergeCell ref="Q75:S75"/>
    <mergeCell ref="T75:W75"/>
    <mergeCell ref="A76:W76"/>
    <mergeCell ref="A77:A78"/>
    <mergeCell ref="B77:B78"/>
    <mergeCell ref="C77:C78"/>
    <mergeCell ref="D77:D78"/>
    <mergeCell ref="E77:I78"/>
    <mergeCell ref="J77:Q77"/>
    <mergeCell ref="N83:O83"/>
    <mergeCell ref="P83:Q83"/>
    <mergeCell ref="U79:W86"/>
    <mergeCell ref="E80:I80"/>
    <mergeCell ref="J80:K80"/>
    <mergeCell ref="L80:M80"/>
    <mergeCell ref="N80:O80"/>
    <mergeCell ref="P80:Q80"/>
    <mergeCell ref="E81:I81"/>
    <mergeCell ref="J81:K81"/>
    <mergeCell ref="L81:M81"/>
    <mergeCell ref="N81:O81"/>
    <mergeCell ref="E79:I79"/>
    <mergeCell ref="J79:K79"/>
    <mergeCell ref="L79:M79"/>
    <mergeCell ref="N79:O79"/>
    <mergeCell ref="P79:Q79"/>
    <mergeCell ref="P81:Q81"/>
    <mergeCell ref="E82:I82"/>
    <mergeCell ref="A87:A90"/>
    <mergeCell ref="E87:I87"/>
    <mergeCell ref="J87:K87"/>
    <mergeCell ref="L87:M87"/>
    <mergeCell ref="N87:O87"/>
    <mergeCell ref="A79:A86"/>
    <mergeCell ref="J82:K82"/>
    <mergeCell ref="L82:M82"/>
    <mergeCell ref="P87:Q87"/>
    <mergeCell ref="E84:I84"/>
    <mergeCell ref="J84:K84"/>
    <mergeCell ref="L84:M84"/>
    <mergeCell ref="N84:O84"/>
    <mergeCell ref="P84:Q84"/>
    <mergeCell ref="E85:I85"/>
    <mergeCell ref="J85:K85"/>
    <mergeCell ref="L85:M85"/>
    <mergeCell ref="N85:O85"/>
    <mergeCell ref="P85:Q85"/>
    <mergeCell ref="N82:O82"/>
    <mergeCell ref="P82:Q82"/>
    <mergeCell ref="E83:I83"/>
    <mergeCell ref="J83:K83"/>
    <mergeCell ref="L83:M83"/>
    <mergeCell ref="U87:W90"/>
    <mergeCell ref="E88:I88"/>
    <mergeCell ref="J88:K88"/>
    <mergeCell ref="L88:M88"/>
    <mergeCell ref="N88:O88"/>
    <mergeCell ref="P88:Q88"/>
    <mergeCell ref="E89:I89"/>
    <mergeCell ref="J89:K89"/>
    <mergeCell ref="L89:M89"/>
    <mergeCell ref="T96:W96"/>
    <mergeCell ref="A97:W97"/>
    <mergeCell ref="A98:A99"/>
    <mergeCell ref="B98:B99"/>
    <mergeCell ref="C98:C99"/>
    <mergeCell ref="D98:D99"/>
    <mergeCell ref="E98:E99"/>
    <mergeCell ref="F98:F99"/>
    <mergeCell ref="G98:G99"/>
    <mergeCell ref="U100:W103"/>
    <mergeCell ref="J101:K101"/>
    <mergeCell ref="L101:M101"/>
    <mergeCell ref="N101:O101"/>
    <mergeCell ref="P101:Q101"/>
    <mergeCell ref="H98:H99"/>
    <mergeCell ref="I98:I99"/>
    <mergeCell ref="J98:Q98"/>
    <mergeCell ref="R98:S99"/>
    <mergeCell ref="T98:T99"/>
    <mergeCell ref="U98:W99"/>
    <mergeCell ref="J99:K99"/>
    <mergeCell ref="L99:M99"/>
    <mergeCell ref="N99:O99"/>
    <mergeCell ref="P99:Q99"/>
    <mergeCell ref="N102:O102"/>
    <mergeCell ref="P102:Q102"/>
    <mergeCell ref="E103:I103"/>
    <mergeCell ref="J103:K103"/>
    <mergeCell ref="L103:M103"/>
    <mergeCell ref="N103:O103"/>
    <mergeCell ref="P103:Q103"/>
    <mergeCell ref="A100:A103"/>
    <mergeCell ref="J100:K100"/>
    <mergeCell ref="L100:M100"/>
    <mergeCell ref="N100:O100"/>
    <mergeCell ref="P100:Q100"/>
    <mergeCell ref="A104:A108"/>
    <mergeCell ref="J104:K104"/>
    <mergeCell ref="L104:M104"/>
    <mergeCell ref="N104:O104"/>
    <mergeCell ref="P104:Q104"/>
    <mergeCell ref="U104:W108"/>
    <mergeCell ref="J105:K105"/>
    <mergeCell ref="L105:M105"/>
    <mergeCell ref="N105:O105"/>
    <mergeCell ref="P105:Q105"/>
    <mergeCell ref="E108:I108"/>
    <mergeCell ref="J108:K108"/>
    <mergeCell ref="L108:M108"/>
    <mergeCell ref="N108:O108"/>
    <mergeCell ref="P108:Q108"/>
    <mergeCell ref="E110:I110"/>
    <mergeCell ref="J110:K110"/>
    <mergeCell ref="L110:M110"/>
    <mergeCell ref="N110:O110"/>
    <mergeCell ref="P110:Q110"/>
    <mergeCell ref="J27:K27"/>
    <mergeCell ref="L27:M27"/>
    <mergeCell ref="N27:O27"/>
    <mergeCell ref="P27:Q27"/>
    <mergeCell ref="Q96:S96"/>
    <mergeCell ref="E92:I92"/>
    <mergeCell ref="J92:K92"/>
    <mergeCell ref="L92:M92"/>
    <mergeCell ref="N92:O92"/>
    <mergeCell ref="P92:Q92"/>
    <mergeCell ref="J94:Q94"/>
    <mergeCell ref="N89:O89"/>
    <mergeCell ref="P89:Q89"/>
    <mergeCell ref="E90:I90"/>
    <mergeCell ref="J90:K90"/>
    <mergeCell ref="L90:M90"/>
    <mergeCell ref="N90:O90"/>
    <mergeCell ref="P90:Q90"/>
    <mergeCell ref="E86:I86"/>
    <mergeCell ref="J112:Q112"/>
    <mergeCell ref="J24:K24"/>
    <mergeCell ref="L24:M24"/>
    <mergeCell ref="N24:O24"/>
    <mergeCell ref="P24:Q24"/>
    <mergeCell ref="J25:K25"/>
    <mergeCell ref="L25:M25"/>
    <mergeCell ref="N25:O25"/>
    <mergeCell ref="P25:Q25"/>
    <mergeCell ref="J26:K26"/>
    <mergeCell ref="J106:K106"/>
    <mergeCell ref="L106:M106"/>
    <mergeCell ref="N106:O106"/>
    <mergeCell ref="P106:Q106"/>
    <mergeCell ref="J107:K107"/>
    <mergeCell ref="L107:M107"/>
    <mergeCell ref="N107:O107"/>
    <mergeCell ref="P107:Q107"/>
    <mergeCell ref="J102:K102"/>
    <mergeCell ref="L102:M102"/>
    <mergeCell ref="J86:K86"/>
    <mergeCell ref="L86:M86"/>
    <mergeCell ref="N86:O86"/>
    <mergeCell ref="P86:Q86"/>
    <mergeCell ref="J19:K19"/>
    <mergeCell ref="L19:M19"/>
    <mergeCell ref="N19:O19"/>
    <mergeCell ref="P19:Q19"/>
    <mergeCell ref="J20:K20"/>
    <mergeCell ref="L20:M20"/>
    <mergeCell ref="N20:O20"/>
    <mergeCell ref="P20:Q20"/>
    <mergeCell ref="L26:M26"/>
    <mergeCell ref="N26:O26"/>
    <mergeCell ref="P26:Q26"/>
    <mergeCell ref="J23:K23"/>
    <mergeCell ref="L23:M23"/>
    <mergeCell ref="N23:O23"/>
    <mergeCell ref="P23:Q23"/>
    <mergeCell ref="J21:K21"/>
    <mergeCell ref="L21:M21"/>
    <mergeCell ref="N21:O21"/>
    <mergeCell ref="P21:Q21"/>
    <mergeCell ref="J22:K22"/>
    <mergeCell ref="L22:M22"/>
    <mergeCell ref="N22:O22"/>
    <mergeCell ref="P22:Q22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39" orientation="portrait" horizontalDpi="1200" verticalDpi="12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W115"/>
  <sheetViews>
    <sheetView zoomScale="85" zoomScaleNormal="85" workbookViewId="0">
      <selection activeCell="D51" sqref="D51"/>
    </sheetView>
  </sheetViews>
  <sheetFormatPr defaultColWidth="8.88671875" defaultRowHeight="14.4" x14ac:dyDescent="0.3"/>
  <cols>
    <col min="1" max="1" width="12.6640625" style="135" customWidth="1"/>
    <col min="2" max="3" width="7.6640625" style="135" customWidth="1"/>
    <col min="4" max="4" width="8.88671875" style="8" bestFit="1" customWidth="1"/>
    <col min="5" max="5" width="38.77734375" style="135" bestFit="1" customWidth="1"/>
    <col min="6" max="6" width="5.6640625" style="135" customWidth="1"/>
    <col min="7" max="9" width="6.6640625" style="13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35" customWidth="1"/>
    <col min="20" max="20" width="21.5546875" style="135" bestFit="1" customWidth="1"/>
    <col min="21" max="23" width="7.6640625" style="135" customWidth="1"/>
    <col min="24" max="16384" width="8.88671875" style="135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45960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 t="s">
        <v>102</v>
      </c>
      <c r="E7" s="12" t="s">
        <v>689</v>
      </c>
      <c r="F7" s="17">
        <v>323</v>
      </c>
      <c r="G7" s="17">
        <v>304</v>
      </c>
      <c r="H7" s="18">
        <v>0.6</v>
      </c>
      <c r="I7" s="17">
        <v>33000</v>
      </c>
      <c r="J7" s="165">
        <v>45</v>
      </c>
      <c r="K7" s="166"/>
      <c r="L7" s="165"/>
      <c r="M7" s="166"/>
      <c r="N7" s="165"/>
      <c r="O7" s="166"/>
      <c r="P7" s="165"/>
      <c r="Q7" s="166"/>
      <c r="R7" s="143">
        <v>45</v>
      </c>
      <c r="S7" s="14" t="s">
        <v>20</v>
      </c>
      <c r="T7" s="42" t="s">
        <v>93</v>
      </c>
      <c r="U7" s="202"/>
      <c r="V7" s="203"/>
      <c r="W7" s="204"/>
    </row>
    <row r="8" spans="1:23" x14ac:dyDescent="0.3">
      <c r="A8" s="181"/>
      <c r="B8" s="5"/>
      <c r="C8" s="5"/>
      <c r="D8" s="4">
        <v>241025</v>
      </c>
      <c r="E8" s="12" t="s">
        <v>690</v>
      </c>
      <c r="F8" s="17">
        <v>234</v>
      </c>
      <c r="G8" s="17">
        <v>304</v>
      </c>
      <c r="H8" s="18">
        <v>0.8</v>
      </c>
      <c r="I8" s="17">
        <v>30000</v>
      </c>
      <c r="J8" s="165"/>
      <c r="K8" s="166"/>
      <c r="L8" s="165"/>
      <c r="M8" s="166"/>
      <c r="N8" s="165">
        <v>1995</v>
      </c>
      <c r="O8" s="166"/>
      <c r="P8" s="165"/>
      <c r="Q8" s="166"/>
      <c r="R8" s="143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250060</v>
      </c>
      <c r="E9" s="12" t="s">
        <v>362</v>
      </c>
      <c r="F9" s="17">
        <v>213</v>
      </c>
      <c r="G9" s="17"/>
      <c r="H9" s="18"/>
      <c r="I9" s="17"/>
      <c r="J9" s="165">
        <v>399</v>
      </c>
      <c r="K9" s="166"/>
      <c r="L9" s="165"/>
      <c r="M9" s="166"/>
      <c r="N9" s="165"/>
      <c r="O9" s="166"/>
      <c r="P9" s="165"/>
      <c r="Q9" s="166"/>
      <c r="R9" s="143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>
        <v>250060</v>
      </c>
      <c r="E10" s="12" t="s">
        <v>691</v>
      </c>
      <c r="F10" s="17">
        <v>342</v>
      </c>
      <c r="G10" s="17"/>
      <c r="H10" s="18"/>
      <c r="I10" s="17"/>
      <c r="J10" s="165">
        <v>700</v>
      </c>
      <c r="K10" s="166"/>
      <c r="L10" s="165"/>
      <c r="M10" s="166"/>
      <c r="N10" s="165"/>
      <c r="O10" s="166"/>
      <c r="P10" s="165"/>
      <c r="Q10" s="166"/>
      <c r="R10" s="143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>
        <v>250060</v>
      </c>
      <c r="E11" s="12" t="s">
        <v>132</v>
      </c>
      <c r="F11" s="17">
        <v>276</v>
      </c>
      <c r="G11" s="17"/>
      <c r="H11" s="18"/>
      <c r="I11" s="17"/>
      <c r="J11" s="165">
        <v>690</v>
      </c>
      <c r="K11" s="166"/>
      <c r="L11" s="165"/>
      <c r="M11" s="166"/>
      <c r="N11" s="165"/>
      <c r="O11" s="166"/>
      <c r="P11" s="165"/>
      <c r="Q11" s="166"/>
      <c r="R11" s="143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>
        <v>250060</v>
      </c>
      <c r="E12" s="12" t="s">
        <v>692</v>
      </c>
      <c r="F12" s="17" t="s">
        <v>277</v>
      </c>
      <c r="G12" s="17"/>
      <c r="H12" s="18"/>
      <c r="I12" s="17"/>
      <c r="J12" s="165">
        <v>696</v>
      </c>
      <c r="K12" s="166"/>
      <c r="L12" s="165"/>
      <c r="M12" s="166"/>
      <c r="N12" s="165"/>
      <c r="O12" s="166"/>
      <c r="P12" s="165"/>
      <c r="Q12" s="166"/>
      <c r="R12" s="143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>
        <v>250060</v>
      </c>
      <c r="E13" s="12" t="s">
        <v>446</v>
      </c>
      <c r="F13" s="17">
        <v>200</v>
      </c>
      <c r="G13" s="17"/>
      <c r="H13" s="18"/>
      <c r="I13" s="17"/>
      <c r="J13" s="165">
        <v>174</v>
      </c>
      <c r="K13" s="166"/>
      <c r="L13" s="165"/>
      <c r="M13" s="166"/>
      <c r="N13" s="165"/>
      <c r="O13" s="166"/>
      <c r="P13" s="165"/>
      <c r="Q13" s="166"/>
      <c r="R13" s="143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250060</v>
      </c>
      <c r="E14" s="12" t="s">
        <v>359</v>
      </c>
      <c r="F14" s="17">
        <v>237</v>
      </c>
      <c r="G14" s="17"/>
      <c r="H14" s="18"/>
      <c r="I14" s="17"/>
      <c r="J14" s="165">
        <v>700</v>
      </c>
      <c r="K14" s="166"/>
      <c r="L14" s="165"/>
      <c r="M14" s="166"/>
      <c r="N14" s="165"/>
      <c r="O14" s="166"/>
      <c r="P14" s="165"/>
      <c r="Q14" s="166"/>
      <c r="R14" s="143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>
        <v>250060</v>
      </c>
      <c r="E15" s="12" t="s">
        <v>446</v>
      </c>
      <c r="F15" s="17">
        <v>200</v>
      </c>
      <c r="G15" s="17"/>
      <c r="H15" s="18"/>
      <c r="I15" s="17"/>
      <c r="J15" s="165">
        <v>140</v>
      </c>
      <c r="K15" s="166"/>
      <c r="L15" s="165"/>
      <c r="M15" s="166"/>
      <c r="N15" s="165"/>
      <c r="O15" s="166"/>
      <c r="P15" s="165"/>
      <c r="Q15" s="166"/>
      <c r="R15" s="143">
        <v>30</v>
      </c>
      <c r="S15" s="14" t="s">
        <v>20</v>
      </c>
      <c r="T15" s="42" t="s">
        <v>93</v>
      </c>
      <c r="U15" s="205"/>
      <c r="V15" s="206"/>
      <c r="W15" s="207"/>
    </row>
    <row r="16" spans="1:23" x14ac:dyDescent="0.3">
      <c r="A16" s="181"/>
      <c r="B16" s="5"/>
      <c r="C16" s="5"/>
      <c r="D16" s="4">
        <v>250060</v>
      </c>
      <c r="E16" s="12" t="s">
        <v>693</v>
      </c>
      <c r="F16" s="17">
        <v>350</v>
      </c>
      <c r="G16" s="17"/>
      <c r="H16" s="18"/>
      <c r="I16" s="17"/>
      <c r="J16" s="165">
        <v>672</v>
      </c>
      <c r="K16" s="166"/>
      <c r="L16" s="165"/>
      <c r="M16" s="166"/>
      <c r="N16" s="165"/>
      <c r="O16" s="166"/>
      <c r="P16" s="165"/>
      <c r="Q16" s="166"/>
      <c r="R16" s="143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 t="s">
        <v>102</v>
      </c>
      <c r="E17" s="12" t="s">
        <v>324</v>
      </c>
      <c r="F17" s="17">
        <v>330</v>
      </c>
      <c r="G17" s="17"/>
      <c r="H17" s="18"/>
      <c r="I17" s="17"/>
      <c r="J17" s="165"/>
      <c r="K17" s="166"/>
      <c r="L17" s="165"/>
      <c r="M17" s="166"/>
      <c r="N17" s="165">
        <v>224</v>
      </c>
      <c r="O17" s="166"/>
      <c r="P17" s="165"/>
      <c r="Q17" s="166"/>
      <c r="R17" s="143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>
        <v>250060</v>
      </c>
      <c r="E18" s="12" t="s">
        <v>693</v>
      </c>
      <c r="F18" s="17">
        <v>350</v>
      </c>
      <c r="G18" s="17"/>
      <c r="H18" s="18"/>
      <c r="I18" s="17"/>
      <c r="J18" s="165">
        <v>45</v>
      </c>
      <c r="K18" s="166"/>
      <c r="L18" s="165"/>
      <c r="M18" s="166"/>
      <c r="N18" s="165"/>
      <c r="O18" s="166"/>
      <c r="P18" s="165"/>
      <c r="Q18" s="166"/>
      <c r="R18" s="143">
        <v>10</v>
      </c>
      <c r="S18" s="14" t="s">
        <v>20</v>
      </c>
      <c r="T18" s="42" t="s">
        <v>111</v>
      </c>
      <c r="U18" s="205"/>
      <c r="V18" s="206"/>
      <c r="W18" s="207"/>
    </row>
    <row r="19" spans="1:23" x14ac:dyDescent="0.3">
      <c r="A19" s="181"/>
      <c r="B19" s="5"/>
      <c r="C19" s="5"/>
      <c r="D19" s="4" t="s">
        <v>102</v>
      </c>
      <c r="E19" s="12" t="s">
        <v>290</v>
      </c>
      <c r="F19" s="17">
        <v>290</v>
      </c>
      <c r="G19" s="17"/>
      <c r="H19" s="18"/>
      <c r="I19" s="17"/>
      <c r="J19" s="165"/>
      <c r="K19" s="166"/>
      <c r="L19" s="165"/>
      <c r="M19" s="166"/>
      <c r="N19" s="165">
        <v>15</v>
      </c>
      <c r="O19" s="166"/>
      <c r="P19" s="165"/>
      <c r="Q19" s="166"/>
      <c r="R19" s="143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>
        <v>0.70833333333333337</v>
      </c>
      <c r="D20" s="4">
        <v>250060</v>
      </c>
      <c r="E20" s="12" t="s">
        <v>508</v>
      </c>
      <c r="F20" s="17">
        <v>433</v>
      </c>
      <c r="G20" s="17"/>
      <c r="H20" s="18"/>
      <c r="I20" s="17"/>
      <c r="J20" s="165">
        <v>672</v>
      </c>
      <c r="K20" s="166"/>
      <c r="L20" s="165"/>
      <c r="M20" s="166"/>
      <c r="N20" s="165"/>
      <c r="O20" s="166"/>
      <c r="P20" s="165"/>
      <c r="Q20" s="166"/>
      <c r="R20" s="143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4933</v>
      </c>
      <c r="K21" s="22" t="s">
        <v>17</v>
      </c>
      <c r="L21" s="21">
        <f>SUM(L7:M20)</f>
        <v>0</v>
      </c>
      <c r="M21" s="22" t="s">
        <v>17</v>
      </c>
      <c r="N21" s="21">
        <f>SUM(N7:O20)</f>
        <v>2234</v>
      </c>
      <c r="O21" s="22" t="s">
        <v>17</v>
      </c>
      <c r="P21" s="21">
        <f>SUM(P7:Q20)</f>
        <v>0</v>
      </c>
      <c r="Q21" s="22" t="s">
        <v>17</v>
      </c>
      <c r="R21" s="23">
        <f>SUM(R7:R20)</f>
        <v>85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4933</v>
      </c>
      <c r="K24" s="31" t="s">
        <v>17</v>
      </c>
      <c r="L24" s="32">
        <f>L21</f>
        <v>0</v>
      </c>
      <c r="M24" s="31" t="s">
        <v>17</v>
      </c>
      <c r="N24" s="32">
        <f>N21</f>
        <v>2234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7167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14.5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45960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148"/>
      <c r="D31" s="148">
        <v>250082</v>
      </c>
      <c r="E31" s="12" t="s">
        <v>694</v>
      </c>
      <c r="F31" s="40">
        <v>430</v>
      </c>
      <c r="G31" s="41">
        <v>0.6</v>
      </c>
      <c r="H31" s="40">
        <v>582</v>
      </c>
      <c r="I31" s="12">
        <v>8</v>
      </c>
      <c r="J31" s="165">
        <v>45</v>
      </c>
      <c r="K31" s="166"/>
      <c r="L31" s="165"/>
      <c r="M31" s="166"/>
      <c r="N31" s="165"/>
      <c r="O31" s="166"/>
      <c r="P31" s="165"/>
      <c r="Q31" s="166"/>
      <c r="R31" s="147">
        <v>40</v>
      </c>
      <c r="S31" s="14" t="s">
        <v>20</v>
      </c>
      <c r="T31" s="42" t="s">
        <v>93</v>
      </c>
      <c r="U31" s="177"/>
      <c r="V31" s="178"/>
      <c r="W31" s="179"/>
    </row>
    <row r="32" spans="1:23" ht="14.55" customHeight="1" x14ac:dyDescent="0.3">
      <c r="A32" s="181"/>
      <c r="B32" s="5"/>
      <c r="C32" s="148"/>
      <c r="D32" s="148">
        <v>250081</v>
      </c>
      <c r="E32" s="12" t="s">
        <v>564</v>
      </c>
      <c r="F32" s="40">
        <v>304</v>
      </c>
      <c r="G32" s="41">
        <v>0.6</v>
      </c>
      <c r="H32" s="40">
        <v>577</v>
      </c>
      <c r="I32" s="12">
        <v>8</v>
      </c>
      <c r="J32" s="165">
        <v>605</v>
      </c>
      <c r="K32" s="166"/>
      <c r="L32" s="165"/>
      <c r="M32" s="166"/>
      <c r="N32" s="165"/>
      <c r="O32" s="166"/>
      <c r="P32" s="165"/>
      <c r="Q32" s="166"/>
      <c r="R32" s="147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1"/>
      <c r="B33" s="5"/>
      <c r="C33" s="5"/>
      <c r="D33" s="4">
        <v>250082</v>
      </c>
      <c r="E33" s="12" t="s">
        <v>695</v>
      </c>
      <c r="F33" s="40">
        <v>430</v>
      </c>
      <c r="G33" s="41">
        <v>0.6</v>
      </c>
      <c r="H33" s="40">
        <v>719</v>
      </c>
      <c r="I33" s="12">
        <v>8</v>
      </c>
      <c r="J33" s="165">
        <v>550</v>
      </c>
      <c r="K33" s="166"/>
      <c r="L33" s="165"/>
      <c r="M33" s="166"/>
      <c r="N33" s="165"/>
      <c r="O33" s="166"/>
      <c r="P33" s="165"/>
      <c r="Q33" s="166"/>
      <c r="R33" s="147"/>
      <c r="S33" s="14" t="s">
        <v>20</v>
      </c>
      <c r="T33" s="42"/>
      <c r="U33" s="177"/>
      <c r="V33" s="178"/>
      <c r="W33" s="179"/>
    </row>
    <row r="34" spans="1:23" ht="14.55" customHeight="1" x14ac:dyDescent="0.3">
      <c r="A34" s="181"/>
      <c r="B34" s="5"/>
      <c r="C34" s="5"/>
      <c r="D34" s="4"/>
      <c r="E34" s="12"/>
      <c r="F34" s="40"/>
      <c r="G34" s="41"/>
      <c r="H34" s="40"/>
      <c r="I34" s="12"/>
      <c r="J34" s="165"/>
      <c r="K34" s="166"/>
      <c r="L34" s="165"/>
      <c r="M34" s="166"/>
      <c r="N34" s="165"/>
      <c r="O34" s="166"/>
      <c r="P34" s="165"/>
      <c r="Q34" s="166"/>
      <c r="R34" s="143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82"/>
      <c r="B35" s="19"/>
      <c r="C35" s="19"/>
      <c r="D35" s="20"/>
      <c r="E35" s="170" t="s">
        <v>0</v>
      </c>
      <c r="F35" s="171"/>
      <c r="G35" s="171"/>
      <c r="H35" s="171"/>
      <c r="I35" s="172"/>
      <c r="J35" s="173">
        <f>SUM(J31:K34)</f>
        <v>1200</v>
      </c>
      <c r="K35" s="174"/>
      <c r="L35" s="173">
        <f>SUM(L31:M34)</f>
        <v>0</v>
      </c>
      <c r="M35" s="174"/>
      <c r="N35" s="173">
        <f>SUM(N31:O34)</f>
        <v>0</v>
      </c>
      <c r="O35" s="174"/>
      <c r="P35" s="173">
        <f>SUM(P31:Q34)</f>
        <v>0</v>
      </c>
      <c r="Q35" s="174"/>
      <c r="R35" s="23">
        <f>SUM(R31:R34)</f>
        <v>40</v>
      </c>
      <c r="S35" s="24" t="s">
        <v>20</v>
      </c>
      <c r="T35" s="19"/>
      <c r="U35" s="177"/>
      <c r="V35" s="178"/>
      <c r="W35" s="179"/>
    </row>
    <row r="36" spans="1:23" ht="14.55" customHeight="1" x14ac:dyDescent="0.3">
      <c r="A36" s="163" t="s">
        <v>34</v>
      </c>
      <c r="B36" s="5">
        <v>0.33333333333333331</v>
      </c>
      <c r="C36" s="5"/>
      <c r="D36" s="148">
        <v>250081</v>
      </c>
      <c r="E36" s="12" t="s">
        <v>500</v>
      </c>
      <c r="F36" s="40">
        <v>304</v>
      </c>
      <c r="G36" s="41">
        <v>0.6</v>
      </c>
      <c r="H36" s="40">
        <v>427</v>
      </c>
      <c r="I36" s="12">
        <v>7</v>
      </c>
      <c r="J36" s="165">
        <v>530</v>
      </c>
      <c r="K36" s="166"/>
      <c r="L36" s="165"/>
      <c r="M36" s="166"/>
      <c r="N36" s="165"/>
      <c r="O36" s="166"/>
      <c r="P36" s="165"/>
      <c r="Q36" s="166"/>
      <c r="R36" s="147">
        <v>30</v>
      </c>
      <c r="S36" s="14" t="s">
        <v>20</v>
      </c>
      <c r="T36" s="42" t="s">
        <v>697</v>
      </c>
      <c r="U36" s="177"/>
      <c r="V36" s="178"/>
      <c r="W36" s="179"/>
    </row>
    <row r="37" spans="1:23" ht="14.55" customHeight="1" x14ac:dyDescent="0.3">
      <c r="A37" s="163"/>
      <c r="B37" s="5"/>
      <c r="C37" s="5"/>
      <c r="D37" s="148">
        <v>250084</v>
      </c>
      <c r="E37" s="149" t="s">
        <v>696</v>
      </c>
      <c r="F37" s="40">
        <v>304</v>
      </c>
      <c r="G37" s="41">
        <v>1</v>
      </c>
      <c r="H37" s="40">
        <v>427</v>
      </c>
      <c r="I37" s="12">
        <v>7</v>
      </c>
      <c r="J37" s="165">
        <v>20</v>
      </c>
      <c r="K37" s="166"/>
      <c r="L37" s="165"/>
      <c r="M37" s="166"/>
      <c r="N37" s="165"/>
      <c r="O37" s="166"/>
      <c r="P37" s="165"/>
      <c r="Q37" s="166"/>
      <c r="R37" s="147"/>
      <c r="S37" s="14" t="s">
        <v>20</v>
      </c>
      <c r="T37" s="42"/>
      <c r="U37" s="177"/>
      <c r="V37" s="178"/>
      <c r="W37" s="179"/>
    </row>
    <row r="38" spans="1:23" ht="14.55" customHeight="1" x14ac:dyDescent="0.3">
      <c r="A38" s="163"/>
      <c r="B38" s="5"/>
      <c r="C38" s="5"/>
      <c r="D38" s="148">
        <v>151025</v>
      </c>
      <c r="E38" s="12" t="s">
        <v>385</v>
      </c>
      <c r="F38" s="40">
        <v>304</v>
      </c>
      <c r="G38" s="41">
        <v>0.7</v>
      </c>
      <c r="H38" s="40">
        <v>319</v>
      </c>
      <c r="I38" s="12">
        <v>3</v>
      </c>
      <c r="J38" s="165">
        <v>470</v>
      </c>
      <c r="K38" s="166"/>
      <c r="L38" s="165"/>
      <c r="M38" s="166"/>
      <c r="N38" s="165"/>
      <c r="O38" s="166"/>
      <c r="P38" s="165"/>
      <c r="Q38" s="166"/>
      <c r="R38" s="147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3"/>
      <c r="B39" s="5"/>
      <c r="C39" s="5">
        <v>0.70833333333333337</v>
      </c>
      <c r="D39" s="148" t="s">
        <v>516</v>
      </c>
      <c r="E39" s="12" t="s">
        <v>385</v>
      </c>
      <c r="F39" s="40">
        <v>304</v>
      </c>
      <c r="G39" s="41">
        <v>0.7</v>
      </c>
      <c r="H39" s="40">
        <v>319</v>
      </c>
      <c r="I39" s="12">
        <v>3</v>
      </c>
      <c r="J39" s="165">
        <v>1000</v>
      </c>
      <c r="K39" s="166"/>
      <c r="L39" s="165"/>
      <c r="M39" s="166"/>
      <c r="N39" s="165"/>
      <c r="O39" s="166"/>
      <c r="P39" s="165"/>
      <c r="Q39" s="166"/>
      <c r="R39" s="147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63"/>
      <c r="B40" s="5"/>
      <c r="C40" s="5"/>
      <c r="D40" s="148"/>
      <c r="E40" s="149"/>
      <c r="F40" s="40"/>
      <c r="G40" s="41"/>
      <c r="H40" s="40"/>
      <c r="I40" s="12"/>
      <c r="J40" s="165"/>
      <c r="K40" s="166"/>
      <c r="L40" s="165"/>
      <c r="M40" s="166"/>
      <c r="N40" s="165"/>
      <c r="O40" s="166"/>
      <c r="P40" s="165"/>
      <c r="Q40" s="166"/>
      <c r="R40" s="143"/>
      <c r="S40" s="14" t="s">
        <v>20</v>
      </c>
      <c r="T40" s="42"/>
      <c r="U40" s="177"/>
      <c r="V40" s="178"/>
      <c r="W40" s="179"/>
    </row>
    <row r="41" spans="1:23" ht="14.55" customHeight="1" x14ac:dyDescent="0.3">
      <c r="A41" s="163"/>
      <c r="B41" s="5"/>
      <c r="C41" s="5"/>
      <c r="D41" s="148"/>
      <c r="E41" s="12"/>
      <c r="F41" s="40"/>
      <c r="G41" s="41"/>
      <c r="H41" s="40"/>
      <c r="I41" s="12"/>
      <c r="J41" s="165"/>
      <c r="K41" s="166"/>
      <c r="L41" s="165"/>
      <c r="M41" s="166"/>
      <c r="N41" s="165"/>
      <c r="O41" s="166"/>
      <c r="P41" s="165"/>
      <c r="Q41" s="166"/>
      <c r="R41" s="143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148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143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3"/>
      <c r="B43" s="5"/>
      <c r="C43" s="5"/>
      <c r="D43" s="4"/>
      <c r="E43" s="12"/>
      <c r="F43" s="40"/>
      <c r="G43" s="41"/>
      <c r="H43" s="40"/>
      <c r="I43" s="12"/>
      <c r="J43" s="165"/>
      <c r="K43" s="166"/>
      <c r="L43" s="165"/>
      <c r="M43" s="166"/>
      <c r="N43" s="165"/>
      <c r="O43" s="166"/>
      <c r="P43" s="165"/>
      <c r="Q43" s="166"/>
      <c r="R43" s="143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143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4"/>
      <c r="B45" s="19"/>
      <c r="C45" s="19"/>
      <c r="D45" s="20"/>
      <c r="E45" s="170" t="s">
        <v>0</v>
      </c>
      <c r="F45" s="171"/>
      <c r="G45" s="171"/>
      <c r="H45" s="171"/>
      <c r="I45" s="172"/>
      <c r="J45" s="173">
        <f>SUM(J36:K44)</f>
        <v>2020</v>
      </c>
      <c r="K45" s="174"/>
      <c r="L45" s="173">
        <f>SUM(L36:M44)</f>
        <v>0</v>
      </c>
      <c r="M45" s="174"/>
      <c r="N45" s="173">
        <f>SUM(N36:O44)</f>
        <v>0</v>
      </c>
      <c r="O45" s="174"/>
      <c r="P45" s="173">
        <f>SUM(P36:Q44)</f>
        <v>0</v>
      </c>
      <c r="Q45" s="174"/>
      <c r="R45" s="23">
        <f>SUM(R36:R44)</f>
        <v>30</v>
      </c>
      <c r="S45" s="24" t="s">
        <v>20</v>
      </c>
      <c r="T45" s="19"/>
      <c r="U45" s="177"/>
      <c r="V45" s="178"/>
      <c r="W45" s="179"/>
    </row>
    <row r="46" spans="1:23" ht="14.55" customHeight="1" x14ac:dyDescent="0.3">
      <c r="A46" s="163" t="s">
        <v>583</v>
      </c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143"/>
      <c r="S46" s="14" t="s">
        <v>20</v>
      </c>
      <c r="T46" s="42"/>
      <c r="U46" s="177"/>
      <c r="V46" s="178"/>
      <c r="W46" s="179"/>
    </row>
    <row r="47" spans="1:23" ht="14.55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143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3"/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143"/>
      <c r="S48" s="14" t="s">
        <v>20</v>
      </c>
      <c r="T48" s="42"/>
      <c r="U48" s="177"/>
      <c r="V48" s="178"/>
      <c r="W48" s="179"/>
    </row>
    <row r="49" spans="1:23" ht="14.55" customHeight="1" x14ac:dyDescent="0.3">
      <c r="A49" s="164"/>
      <c r="B49" s="19"/>
      <c r="C49" s="19"/>
      <c r="D49" s="20"/>
      <c r="E49" s="170" t="s">
        <v>0</v>
      </c>
      <c r="F49" s="171"/>
      <c r="G49" s="171"/>
      <c r="H49" s="171"/>
      <c r="I49" s="172"/>
      <c r="J49" s="173">
        <f>SUM(J46:K48)</f>
        <v>0</v>
      </c>
      <c r="K49" s="174"/>
      <c r="L49" s="173">
        <f>SUM(L46:M48)</f>
        <v>0</v>
      </c>
      <c r="M49" s="174"/>
      <c r="N49" s="173">
        <f>SUM(N46:O48)</f>
        <v>0</v>
      </c>
      <c r="O49" s="174"/>
      <c r="P49" s="173">
        <f>SUM(P46:Q48)</f>
        <v>0</v>
      </c>
      <c r="Q49" s="174"/>
      <c r="R49" s="23">
        <f>SUM(R46:R48)</f>
        <v>0</v>
      </c>
      <c r="S49" s="24" t="s">
        <v>20</v>
      </c>
      <c r="T49" s="19"/>
      <c r="U49" s="177"/>
      <c r="V49" s="178"/>
      <c r="W49" s="179"/>
    </row>
    <row r="50" spans="1:23" ht="14.55" customHeight="1" x14ac:dyDescent="0.3">
      <c r="A50" s="163" t="s">
        <v>35</v>
      </c>
      <c r="B50" s="5">
        <v>0.33333333333333331</v>
      </c>
      <c r="C50" s="5"/>
      <c r="D50" s="4">
        <v>250079</v>
      </c>
      <c r="E50" s="12" t="s">
        <v>684</v>
      </c>
      <c r="F50" s="40">
        <v>304</v>
      </c>
      <c r="G50" s="41">
        <v>0.7</v>
      </c>
      <c r="H50" s="40">
        <v>324</v>
      </c>
      <c r="I50" s="12"/>
      <c r="J50" s="165"/>
      <c r="K50" s="166"/>
      <c r="L50" s="165"/>
      <c r="M50" s="166"/>
      <c r="N50" s="165">
        <v>900</v>
      </c>
      <c r="O50" s="166"/>
      <c r="P50" s="165"/>
      <c r="Q50" s="166"/>
      <c r="R50" s="143">
        <v>40</v>
      </c>
      <c r="S50" s="14" t="s">
        <v>20</v>
      </c>
      <c r="T50" s="42" t="s">
        <v>93</v>
      </c>
      <c r="U50" s="177"/>
      <c r="V50" s="178"/>
      <c r="W50" s="179"/>
    </row>
    <row r="51" spans="1:23" ht="14.55" customHeight="1" x14ac:dyDescent="0.3">
      <c r="A51" s="163"/>
      <c r="B51" s="5"/>
      <c r="C51" s="5">
        <v>0.70833333333333337</v>
      </c>
      <c r="D51" s="4">
        <v>250079</v>
      </c>
      <c r="E51" s="12" t="s">
        <v>698</v>
      </c>
      <c r="F51" s="40">
        <v>304</v>
      </c>
      <c r="G51" s="41">
        <v>0.7</v>
      </c>
      <c r="H51" s="40">
        <v>265</v>
      </c>
      <c r="I51" s="12"/>
      <c r="J51" s="165"/>
      <c r="K51" s="166"/>
      <c r="L51" s="165"/>
      <c r="M51" s="166"/>
      <c r="N51" s="165">
        <v>920</v>
      </c>
      <c r="O51" s="166"/>
      <c r="P51" s="165"/>
      <c r="Q51" s="166"/>
      <c r="R51" s="143"/>
      <c r="S51" s="14" t="s">
        <v>20</v>
      </c>
      <c r="T51" s="42"/>
      <c r="U51" s="177"/>
      <c r="V51" s="178"/>
      <c r="W51" s="179"/>
    </row>
    <row r="52" spans="1:23" ht="14.55" customHeight="1" x14ac:dyDescent="0.3">
      <c r="A52" s="163"/>
      <c r="B52" s="5"/>
      <c r="C52" s="5"/>
      <c r="D52" s="4"/>
      <c r="E52" s="12"/>
      <c r="F52" s="40"/>
      <c r="G52" s="41"/>
      <c r="H52" s="40"/>
      <c r="I52" s="12"/>
      <c r="J52" s="165"/>
      <c r="K52" s="166"/>
      <c r="L52" s="165"/>
      <c r="M52" s="166"/>
      <c r="N52" s="165"/>
      <c r="O52" s="166"/>
      <c r="P52" s="165"/>
      <c r="Q52" s="166"/>
      <c r="R52" s="143"/>
      <c r="S52" s="14" t="s">
        <v>20</v>
      </c>
      <c r="T52" s="42"/>
      <c r="U52" s="177"/>
      <c r="V52" s="178"/>
      <c r="W52" s="179"/>
    </row>
    <row r="53" spans="1:23" ht="14.55" customHeight="1" x14ac:dyDescent="0.3">
      <c r="A53" s="164"/>
      <c r="B53" s="19"/>
      <c r="C53" s="19"/>
      <c r="D53" s="20"/>
      <c r="E53" s="170" t="s">
        <v>0</v>
      </c>
      <c r="F53" s="171"/>
      <c r="G53" s="171"/>
      <c r="H53" s="171"/>
      <c r="I53" s="172"/>
      <c r="J53" s="173">
        <f>SUM(J50:K52)</f>
        <v>0</v>
      </c>
      <c r="K53" s="174"/>
      <c r="L53" s="173">
        <f>SUM(L50:M52)</f>
        <v>0</v>
      </c>
      <c r="M53" s="174"/>
      <c r="N53" s="173">
        <f>SUM(N50:O52)</f>
        <v>1820</v>
      </c>
      <c r="O53" s="174"/>
      <c r="P53" s="173">
        <f>SUM(P50:Q52)</f>
        <v>0</v>
      </c>
      <c r="Q53" s="174"/>
      <c r="R53" s="23">
        <f>SUM(R50:R52)</f>
        <v>40</v>
      </c>
      <c r="S53" s="24" t="s">
        <v>20</v>
      </c>
      <c r="T53" s="19"/>
      <c r="U53" s="177"/>
      <c r="V53" s="178"/>
      <c r="W53" s="179"/>
    </row>
    <row r="54" spans="1:23" ht="14.55" customHeight="1" x14ac:dyDescent="0.3">
      <c r="A54" s="27"/>
      <c r="B54" s="27"/>
      <c r="C54" s="27"/>
      <c r="D54" s="27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27"/>
      <c r="S54" s="27"/>
      <c r="T54" s="39"/>
      <c r="U54" s="39"/>
      <c r="V54" s="39"/>
      <c r="W54" s="39"/>
    </row>
    <row r="55" spans="1:23" x14ac:dyDescent="0.3">
      <c r="E55" s="170" t="s">
        <v>31</v>
      </c>
      <c r="F55" s="171"/>
      <c r="G55" s="171"/>
      <c r="H55" s="171"/>
      <c r="I55" s="172"/>
      <c r="J55" s="175" t="s">
        <v>7</v>
      </c>
      <c r="K55" s="176"/>
      <c r="L55" s="175" t="s">
        <v>8</v>
      </c>
      <c r="M55" s="176"/>
      <c r="N55" s="175" t="s">
        <v>9</v>
      </c>
      <c r="O55" s="176"/>
      <c r="P55" s="175" t="s">
        <v>117</v>
      </c>
      <c r="Q55" s="176"/>
    </row>
    <row r="56" spans="1:23" s="2" customFormat="1" x14ac:dyDescent="0.3">
      <c r="E56" s="15"/>
      <c r="F56" s="15"/>
      <c r="G56" s="15"/>
      <c r="H56" s="15"/>
      <c r="I56" s="15"/>
      <c r="J56" s="30">
        <f>J35+J45+J49+J53</f>
        <v>3220</v>
      </c>
      <c r="K56" s="31" t="s">
        <v>17</v>
      </c>
      <c r="L56" s="30">
        <f>L35+L45+L49+L53</f>
        <v>0</v>
      </c>
      <c r="M56" s="31" t="s">
        <v>17</v>
      </c>
      <c r="N56" s="30">
        <f>N35+N45+N49+N53</f>
        <v>1820</v>
      </c>
      <c r="O56" s="31" t="s">
        <v>17</v>
      </c>
      <c r="P56" s="30">
        <f>P35+P45+P49+P53</f>
        <v>0</v>
      </c>
      <c r="Q56" s="34" t="s">
        <v>17</v>
      </c>
    </row>
    <row r="57" spans="1:23" ht="24.45" customHeight="1" x14ac:dyDescent="0.3">
      <c r="E57" s="28"/>
      <c r="F57" s="28"/>
      <c r="G57" s="28"/>
      <c r="H57" s="28"/>
      <c r="I57" s="28"/>
      <c r="J57" s="167">
        <f>J56+L56+N56+P56</f>
        <v>5040</v>
      </c>
      <c r="K57" s="168"/>
      <c r="L57" s="168"/>
      <c r="M57" s="168"/>
      <c r="N57" s="168"/>
      <c r="O57" s="168"/>
      <c r="P57" s="168"/>
      <c r="Q57" s="169"/>
    </row>
    <row r="58" spans="1:23" ht="14.55" customHeight="1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 spans="1:23" s="37" customFormat="1" ht="19.95" customHeight="1" x14ac:dyDescent="0.4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183" t="s">
        <v>14</v>
      </c>
      <c r="R59" s="183"/>
      <c r="S59" s="183"/>
      <c r="T59" s="184">
        <f>T3</f>
        <v>45960</v>
      </c>
      <c r="U59" s="185"/>
      <c r="V59" s="185"/>
      <c r="W59" s="186"/>
    </row>
    <row r="60" spans="1:23" s="16" customFormat="1" ht="30" customHeight="1" x14ac:dyDescent="0.3">
      <c r="A60" s="187" t="s">
        <v>586</v>
      </c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9"/>
      <c r="Q60" s="189"/>
      <c r="R60" s="189"/>
      <c r="S60" s="189"/>
      <c r="T60" s="188"/>
      <c r="U60" s="188"/>
      <c r="V60" s="188"/>
      <c r="W60" s="190"/>
    </row>
    <row r="61" spans="1:23" s="26" customFormat="1" ht="13.8" x14ac:dyDescent="0.3">
      <c r="A61" s="191" t="s">
        <v>1</v>
      </c>
      <c r="B61" s="192" t="s">
        <v>2</v>
      </c>
      <c r="C61" s="192" t="s">
        <v>3</v>
      </c>
      <c r="D61" s="192" t="s">
        <v>4</v>
      </c>
      <c r="E61" s="193" t="s">
        <v>5</v>
      </c>
      <c r="F61" s="195" t="s">
        <v>21</v>
      </c>
      <c r="G61" s="195" t="s">
        <v>22</v>
      </c>
      <c r="H61" s="195" t="s">
        <v>33</v>
      </c>
      <c r="I61" s="195" t="s">
        <v>30</v>
      </c>
      <c r="J61" s="193" t="s">
        <v>6</v>
      </c>
      <c r="K61" s="197"/>
      <c r="L61" s="197"/>
      <c r="M61" s="197"/>
      <c r="N61" s="197"/>
      <c r="O61" s="197"/>
      <c r="P61" s="197"/>
      <c r="Q61" s="198"/>
      <c r="R61" s="193" t="s">
        <v>10</v>
      </c>
      <c r="S61" s="198"/>
      <c r="T61" s="191" t="s">
        <v>11</v>
      </c>
      <c r="U61" s="191" t="s">
        <v>12</v>
      </c>
      <c r="V61" s="191"/>
      <c r="W61" s="191"/>
    </row>
    <row r="62" spans="1:23" s="26" customFormat="1" ht="13.8" x14ac:dyDescent="0.3">
      <c r="A62" s="191"/>
      <c r="B62" s="192"/>
      <c r="C62" s="192"/>
      <c r="D62" s="192"/>
      <c r="E62" s="194"/>
      <c r="F62" s="196"/>
      <c r="G62" s="196"/>
      <c r="H62" s="196"/>
      <c r="I62" s="196"/>
      <c r="J62" s="200" t="s">
        <v>7</v>
      </c>
      <c r="K62" s="201"/>
      <c r="L62" s="200" t="s">
        <v>8</v>
      </c>
      <c r="M62" s="201"/>
      <c r="N62" s="200" t="s">
        <v>9</v>
      </c>
      <c r="O62" s="201"/>
      <c r="P62" s="200" t="s">
        <v>117</v>
      </c>
      <c r="Q62" s="201"/>
      <c r="R62" s="194"/>
      <c r="S62" s="199"/>
      <c r="T62" s="191"/>
      <c r="U62" s="191"/>
      <c r="V62" s="191"/>
      <c r="W62" s="191"/>
    </row>
    <row r="63" spans="1:23" ht="14.55" customHeight="1" x14ac:dyDescent="0.3">
      <c r="A63" s="180" t="s">
        <v>584</v>
      </c>
      <c r="B63" s="5"/>
      <c r="C63" s="5"/>
      <c r="D63" s="4"/>
      <c r="E63" s="12" t="s">
        <v>699</v>
      </c>
      <c r="F63" s="40"/>
      <c r="G63" s="41"/>
      <c r="H63" s="40"/>
      <c r="I63" s="12"/>
      <c r="J63" s="165"/>
      <c r="K63" s="166"/>
      <c r="L63" s="165"/>
      <c r="M63" s="166"/>
      <c r="N63" s="165"/>
      <c r="O63" s="166"/>
      <c r="P63" s="165"/>
      <c r="Q63" s="166"/>
      <c r="R63" s="143"/>
      <c r="S63" s="14" t="s">
        <v>20</v>
      </c>
      <c r="T63" s="42"/>
      <c r="U63" s="177"/>
      <c r="V63" s="178"/>
      <c r="W63" s="179"/>
    </row>
    <row r="64" spans="1:23" ht="14.55" customHeight="1" x14ac:dyDescent="0.3">
      <c r="A64" s="181"/>
      <c r="B64" s="5"/>
      <c r="C64" s="5"/>
      <c r="D64" s="4"/>
      <c r="E64" s="13"/>
      <c r="F64" s="40"/>
      <c r="G64" s="41"/>
      <c r="H64" s="40"/>
      <c r="I64" s="12"/>
      <c r="J64" s="165"/>
      <c r="K64" s="166"/>
      <c r="L64" s="165"/>
      <c r="M64" s="166"/>
      <c r="N64" s="165"/>
      <c r="O64" s="166"/>
      <c r="P64" s="165"/>
      <c r="Q64" s="166"/>
      <c r="R64" s="143"/>
      <c r="S64" s="14" t="s">
        <v>20</v>
      </c>
      <c r="T64" s="42"/>
      <c r="U64" s="177"/>
      <c r="V64" s="178"/>
      <c r="W64" s="179"/>
    </row>
    <row r="65" spans="1:23" ht="14.55" customHeight="1" x14ac:dyDescent="0.3">
      <c r="A65" s="181"/>
      <c r="B65" s="5"/>
      <c r="C65" s="5"/>
      <c r="D65" s="4"/>
      <c r="E65" s="12"/>
      <c r="F65" s="40"/>
      <c r="G65" s="41"/>
      <c r="H65" s="40"/>
      <c r="I65" s="12"/>
      <c r="J65" s="165"/>
      <c r="K65" s="166"/>
      <c r="L65" s="165"/>
      <c r="M65" s="166"/>
      <c r="N65" s="165"/>
      <c r="O65" s="166"/>
      <c r="P65" s="165"/>
      <c r="Q65" s="166"/>
      <c r="R65" s="143"/>
      <c r="S65" s="14" t="s">
        <v>20</v>
      </c>
      <c r="T65" s="42"/>
      <c r="U65" s="177"/>
      <c r="V65" s="178"/>
      <c r="W65" s="179"/>
    </row>
    <row r="66" spans="1:23" ht="14.55" customHeight="1" x14ac:dyDescent="0.3">
      <c r="A66" s="181"/>
      <c r="B66" s="5"/>
      <c r="C66" s="5"/>
      <c r="D66" s="4"/>
      <c r="E66" s="13"/>
      <c r="F66" s="40"/>
      <c r="G66" s="41"/>
      <c r="H66" s="40"/>
      <c r="I66" s="12"/>
      <c r="J66" s="165"/>
      <c r="K66" s="166"/>
      <c r="L66" s="165"/>
      <c r="M66" s="166"/>
      <c r="N66" s="165"/>
      <c r="O66" s="166"/>
      <c r="P66" s="165"/>
      <c r="Q66" s="166"/>
      <c r="R66" s="143"/>
      <c r="S66" s="14" t="s">
        <v>20</v>
      </c>
      <c r="T66" s="42"/>
      <c r="U66" s="177"/>
      <c r="V66" s="178"/>
      <c r="W66" s="179"/>
    </row>
    <row r="67" spans="1:23" ht="14.55" customHeight="1" x14ac:dyDescent="0.3">
      <c r="A67" s="181"/>
      <c r="B67" s="5"/>
      <c r="C67" s="5"/>
      <c r="D67" s="4"/>
      <c r="E67" s="12"/>
      <c r="F67" s="40"/>
      <c r="G67" s="41"/>
      <c r="H67" s="40"/>
      <c r="I67" s="12"/>
      <c r="J67" s="165"/>
      <c r="K67" s="166"/>
      <c r="L67" s="165"/>
      <c r="M67" s="166"/>
      <c r="N67" s="165"/>
      <c r="O67" s="166"/>
      <c r="P67" s="165"/>
      <c r="Q67" s="166"/>
      <c r="R67" s="143"/>
      <c r="S67" s="14" t="s">
        <v>20</v>
      </c>
      <c r="T67" s="42"/>
      <c r="U67" s="177"/>
      <c r="V67" s="178"/>
      <c r="W67" s="179"/>
    </row>
    <row r="68" spans="1:23" ht="14.55" customHeight="1" x14ac:dyDescent="0.3">
      <c r="A68" s="181"/>
      <c r="B68" s="5"/>
      <c r="C68" s="5"/>
      <c r="D68" s="4"/>
      <c r="E68" s="13"/>
      <c r="F68" s="40"/>
      <c r="G68" s="41"/>
      <c r="H68" s="40"/>
      <c r="I68" s="12"/>
      <c r="J68" s="165"/>
      <c r="K68" s="166"/>
      <c r="L68" s="165"/>
      <c r="M68" s="166"/>
      <c r="N68" s="165"/>
      <c r="O68" s="166"/>
      <c r="P68" s="165"/>
      <c r="Q68" s="166"/>
      <c r="R68" s="143"/>
      <c r="S68" s="14" t="s">
        <v>20</v>
      </c>
      <c r="T68" s="42"/>
      <c r="U68" s="177"/>
      <c r="V68" s="178"/>
      <c r="W68" s="179"/>
    </row>
    <row r="69" spans="1:23" ht="14.55" customHeight="1" x14ac:dyDescent="0.3">
      <c r="A69" s="181"/>
      <c r="B69" s="5"/>
      <c r="C69" s="5"/>
      <c r="D69" s="4"/>
      <c r="E69" s="12"/>
      <c r="F69" s="40"/>
      <c r="G69" s="41"/>
      <c r="H69" s="40"/>
      <c r="I69" s="12"/>
      <c r="J69" s="165"/>
      <c r="K69" s="166"/>
      <c r="L69" s="165"/>
      <c r="M69" s="166"/>
      <c r="N69" s="165"/>
      <c r="O69" s="166"/>
      <c r="P69" s="165"/>
      <c r="Q69" s="166"/>
      <c r="R69" s="143"/>
      <c r="S69" s="14" t="s">
        <v>20</v>
      </c>
      <c r="T69" s="42"/>
      <c r="U69" s="177"/>
      <c r="V69" s="178"/>
      <c r="W69" s="179"/>
    </row>
    <row r="70" spans="1:23" ht="14.55" customHeight="1" x14ac:dyDescent="0.3">
      <c r="A70" s="181"/>
      <c r="B70" s="5"/>
      <c r="C70" s="5"/>
      <c r="D70" s="4"/>
      <c r="E70" s="12"/>
      <c r="F70" s="40"/>
      <c r="G70" s="41"/>
      <c r="H70" s="40"/>
      <c r="I70" s="12"/>
      <c r="J70" s="165"/>
      <c r="K70" s="166"/>
      <c r="L70" s="165"/>
      <c r="M70" s="166"/>
      <c r="N70" s="165"/>
      <c r="O70" s="166"/>
      <c r="P70" s="165"/>
      <c r="Q70" s="166"/>
      <c r="R70" s="143"/>
      <c r="S70" s="14" t="s">
        <v>20</v>
      </c>
      <c r="T70" s="42"/>
      <c r="U70" s="177"/>
      <c r="V70" s="178"/>
      <c r="W70" s="179"/>
    </row>
    <row r="71" spans="1:23" ht="14.55" customHeight="1" x14ac:dyDescent="0.3">
      <c r="A71" s="181"/>
      <c r="B71" s="5"/>
      <c r="C71" s="5"/>
      <c r="D71" s="4"/>
      <c r="E71" s="12"/>
      <c r="F71" s="40"/>
      <c r="G71" s="41"/>
      <c r="H71" s="40"/>
      <c r="I71" s="12"/>
      <c r="J71" s="165"/>
      <c r="K71" s="166"/>
      <c r="L71" s="165"/>
      <c r="M71" s="166"/>
      <c r="N71" s="165"/>
      <c r="O71" s="166"/>
      <c r="P71" s="165"/>
      <c r="Q71" s="166"/>
      <c r="R71" s="143"/>
      <c r="S71" s="14" t="s">
        <v>20</v>
      </c>
      <c r="T71" s="42"/>
      <c r="U71" s="177"/>
      <c r="V71" s="178"/>
      <c r="W71" s="179"/>
    </row>
    <row r="72" spans="1:23" ht="14.55" customHeight="1" x14ac:dyDescent="0.3">
      <c r="A72" s="182"/>
      <c r="B72" s="19"/>
      <c r="C72" s="19"/>
      <c r="D72" s="20"/>
      <c r="E72" s="170" t="s">
        <v>0</v>
      </c>
      <c r="F72" s="171"/>
      <c r="G72" s="171"/>
      <c r="H72" s="171"/>
      <c r="I72" s="172"/>
      <c r="J72" s="173">
        <f>SUM(J63:K71)</f>
        <v>0</v>
      </c>
      <c r="K72" s="174"/>
      <c r="L72" s="173">
        <f>SUM(L63:M71)</f>
        <v>0</v>
      </c>
      <c r="M72" s="174"/>
      <c r="N72" s="173">
        <f>SUM(N63:O71)</f>
        <v>0</v>
      </c>
      <c r="O72" s="174"/>
      <c r="P72" s="173">
        <f>SUM(P63:Q71)</f>
        <v>0</v>
      </c>
      <c r="Q72" s="174"/>
      <c r="R72" s="23">
        <f>SUM(R63:R71)</f>
        <v>0</v>
      </c>
      <c r="S72" s="24" t="s">
        <v>20</v>
      </c>
      <c r="T72" s="19"/>
      <c r="U72" s="177"/>
      <c r="V72" s="178"/>
      <c r="W72" s="179"/>
    </row>
    <row r="73" spans="1:23" x14ac:dyDescent="0.3">
      <c r="E73" s="28"/>
      <c r="F73" s="28"/>
      <c r="G73" s="28"/>
      <c r="H73" s="28"/>
      <c r="I73" s="28"/>
      <c r="J73" s="29"/>
      <c r="K73" s="29"/>
      <c r="L73" s="29"/>
      <c r="M73" s="29"/>
      <c r="N73" s="29"/>
      <c r="O73" s="29"/>
      <c r="P73" s="29"/>
      <c r="Q73" s="29"/>
    </row>
    <row r="74" spans="1:23" x14ac:dyDescent="0.3">
      <c r="E74" s="170" t="s">
        <v>587</v>
      </c>
      <c r="F74" s="171"/>
      <c r="G74" s="171"/>
      <c r="H74" s="171"/>
      <c r="I74" s="172"/>
      <c r="J74" s="175" t="s">
        <v>7</v>
      </c>
      <c r="K74" s="176"/>
      <c r="L74" s="175" t="s">
        <v>8</v>
      </c>
      <c r="M74" s="176"/>
      <c r="N74" s="175" t="s">
        <v>9</v>
      </c>
      <c r="O74" s="176"/>
      <c r="P74" s="175" t="s">
        <v>117</v>
      </c>
      <c r="Q74" s="176"/>
    </row>
    <row r="75" spans="1:23" s="2" customFormat="1" x14ac:dyDescent="0.3">
      <c r="E75" s="15"/>
      <c r="F75" s="15"/>
      <c r="G75" s="15"/>
      <c r="H75" s="15"/>
      <c r="I75" s="15"/>
      <c r="J75" s="30">
        <f>J68+J72</f>
        <v>0</v>
      </c>
      <c r="K75" s="31" t="s">
        <v>17</v>
      </c>
      <c r="L75" s="32">
        <f>L68+L72</f>
        <v>0</v>
      </c>
      <c r="M75" s="31" t="s">
        <v>17</v>
      </c>
      <c r="N75" s="32">
        <f>N68+N72</f>
        <v>0</v>
      </c>
      <c r="O75" s="31" t="s">
        <v>17</v>
      </c>
      <c r="P75" s="32">
        <f>P68+P72</f>
        <v>0</v>
      </c>
      <c r="Q75" s="34" t="s">
        <v>17</v>
      </c>
    </row>
    <row r="76" spans="1:23" ht="24.45" customHeight="1" x14ac:dyDescent="0.3">
      <c r="E76" s="28"/>
      <c r="F76" s="28"/>
      <c r="G76" s="28"/>
      <c r="H76" s="28"/>
      <c r="I76" s="28"/>
      <c r="J76" s="167">
        <f>J75+L75+N75+P75</f>
        <v>0</v>
      </c>
      <c r="K76" s="168"/>
      <c r="L76" s="168"/>
      <c r="M76" s="168"/>
      <c r="N76" s="168"/>
      <c r="O76" s="168"/>
      <c r="P76" s="168"/>
      <c r="Q76" s="169"/>
    </row>
    <row r="77" spans="1:23" ht="14.55" customHeight="1" x14ac:dyDescent="0.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 spans="1:23" s="37" customFormat="1" ht="19.95" customHeight="1" x14ac:dyDescent="0.4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6"/>
      <c r="Q78" s="214" t="s">
        <v>14</v>
      </c>
      <c r="R78" s="215"/>
      <c r="S78" s="216"/>
      <c r="T78" s="184">
        <f>T3</f>
        <v>45960</v>
      </c>
      <c r="U78" s="185"/>
      <c r="V78" s="185"/>
      <c r="W78" s="186"/>
    </row>
    <row r="79" spans="1:23" s="16" customFormat="1" ht="30" customHeight="1" x14ac:dyDescent="0.3">
      <c r="A79" s="187" t="s">
        <v>26</v>
      </c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9"/>
      <c r="Q79" s="189"/>
      <c r="R79" s="189"/>
      <c r="S79" s="189"/>
      <c r="T79" s="188"/>
      <c r="U79" s="188"/>
      <c r="V79" s="188"/>
      <c r="W79" s="190"/>
    </row>
    <row r="80" spans="1:23" s="26" customFormat="1" ht="13.8" x14ac:dyDescent="0.3">
      <c r="A80" s="191" t="s">
        <v>1</v>
      </c>
      <c r="B80" s="192" t="s">
        <v>2</v>
      </c>
      <c r="C80" s="192" t="s">
        <v>3</v>
      </c>
      <c r="D80" s="192" t="s">
        <v>4</v>
      </c>
      <c r="E80" s="193" t="s">
        <v>5</v>
      </c>
      <c r="F80" s="197"/>
      <c r="G80" s="197"/>
      <c r="H80" s="197"/>
      <c r="I80" s="198"/>
      <c r="J80" s="193" t="s">
        <v>6</v>
      </c>
      <c r="K80" s="197"/>
      <c r="L80" s="197"/>
      <c r="M80" s="197"/>
      <c r="N80" s="197"/>
      <c r="O80" s="197"/>
      <c r="P80" s="197"/>
      <c r="Q80" s="198"/>
      <c r="R80" s="193" t="s">
        <v>10</v>
      </c>
      <c r="S80" s="198"/>
      <c r="T80" s="191" t="s">
        <v>11</v>
      </c>
      <c r="U80" s="191" t="s">
        <v>12</v>
      </c>
      <c r="V80" s="191"/>
      <c r="W80" s="191"/>
    </row>
    <row r="81" spans="1:23" s="26" customFormat="1" ht="13.8" x14ac:dyDescent="0.3">
      <c r="A81" s="191"/>
      <c r="B81" s="192"/>
      <c r="C81" s="192"/>
      <c r="D81" s="192"/>
      <c r="E81" s="194"/>
      <c r="F81" s="217"/>
      <c r="G81" s="217"/>
      <c r="H81" s="217"/>
      <c r="I81" s="199"/>
      <c r="J81" s="200" t="s">
        <v>7</v>
      </c>
      <c r="K81" s="201"/>
      <c r="L81" s="200" t="s">
        <v>8</v>
      </c>
      <c r="M81" s="201"/>
      <c r="N81" s="200" t="s">
        <v>9</v>
      </c>
      <c r="O81" s="201"/>
      <c r="P81" s="200" t="s">
        <v>117</v>
      </c>
      <c r="Q81" s="201"/>
      <c r="R81" s="194"/>
      <c r="S81" s="199"/>
      <c r="T81" s="191"/>
      <c r="U81" s="191"/>
      <c r="V81" s="191"/>
      <c r="W81" s="191"/>
    </row>
    <row r="82" spans="1:23" x14ac:dyDescent="0.3">
      <c r="A82" s="180" t="s">
        <v>13</v>
      </c>
      <c r="B82" s="5">
        <v>0.33333333333333331</v>
      </c>
      <c r="C82" s="5"/>
      <c r="D82" s="4">
        <v>151025</v>
      </c>
      <c r="E82" s="211" t="s">
        <v>661</v>
      </c>
      <c r="F82" s="212"/>
      <c r="G82" s="212"/>
      <c r="H82" s="212"/>
      <c r="I82" s="213"/>
      <c r="J82" s="165">
        <v>310</v>
      </c>
      <c r="K82" s="166"/>
      <c r="L82" s="165"/>
      <c r="M82" s="166"/>
      <c r="N82" s="165"/>
      <c r="O82" s="166"/>
      <c r="P82" s="165"/>
      <c r="Q82" s="166"/>
      <c r="R82" s="143"/>
      <c r="S82" s="6" t="s">
        <v>20</v>
      </c>
      <c r="T82" s="3"/>
      <c r="U82" s="202"/>
      <c r="V82" s="203"/>
      <c r="W82" s="204"/>
    </row>
    <row r="83" spans="1:23" x14ac:dyDescent="0.3">
      <c r="A83" s="163"/>
      <c r="B83" s="5"/>
      <c r="C83" s="5"/>
      <c r="D83" s="4">
        <v>250057</v>
      </c>
      <c r="E83" s="211" t="s">
        <v>700</v>
      </c>
      <c r="F83" s="212"/>
      <c r="G83" s="212"/>
      <c r="H83" s="212"/>
      <c r="I83" s="213"/>
      <c r="J83" s="165">
        <v>412</v>
      </c>
      <c r="K83" s="166"/>
      <c r="L83" s="165"/>
      <c r="M83" s="166"/>
      <c r="N83" s="165"/>
      <c r="O83" s="166"/>
      <c r="P83" s="165"/>
      <c r="Q83" s="166"/>
      <c r="R83" s="143"/>
      <c r="S83" s="6" t="s">
        <v>20</v>
      </c>
      <c r="T83" s="3"/>
      <c r="U83" s="205"/>
      <c r="V83" s="206"/>
      <c r="W83" s="207"/>
    </row>
    <row r="84" spans="1:23" x14ac:dyDescent="0.3">
      <c r="A84" s="163"/>
      <c r="B84" s="5"/>
      <c r="C84" s="5"/>
      <c r="D84" s="4">
        <v>255078</v>
      </c>
      <c r="E84" s="211" t="s">
        <v>701</v>
      </c>
      <c r="F84" s="212"/>
      <c r="G84" s="212"/>
      <c r="H84" s="212"/>
      <c r="I84" s="213"/>
      <c r="J84" s="165">
        <v>815</v>
      </c>
      <c r="K84" s="166"/>
      <c r="L84" s="165"/>
      <c r="M84" s="166"/>
      <c r="N84" s="165"/>
      <c r="O84" s="166"/>
      <c r="P84" s="165"/>
      <c r="Q84" s="166"/>
      <c r="R84" s="143">
        <v>40</v>
      </c>
      <c r="S84" s="6" t="s">
        <v>20</v>
      </c>
      <c r="T84" s="3" t="s">
        <v>93</v>
      </c>
      <c r="U84" s="205"/>
      <c r="V84" s="206"/>
      <c r="W84" s="207"/>
    </row>
    <row r="85" spans="1:23" x14ac:dyDescent="0.3">
      <c r="A85" s="163"/>
      <c r="B85" s="5"/>
      <c r="C85" s="5"/>
      <c r="D85" s="4">
        <v>250084</v>
      </c>
      <c r="E85" s="211" t="s">
        <v>701</v>
      </c>
      <c r="F85" s="212"/>
      <c r="G85" s="212"/>
      <c r="H85" s="212"/>
      <c r="I85" s="213"/>
      <c r="J85" s="165">
        <v>737</v>
      </c>
      <c r="K85" s="166"/>
      <c r="L85" s="165"/>
      <c r="M85" s="166"/>
      <c r="N85" s="165"/>
      <c r="O85" s="166"/>
      <c r="P85" s="165"/>
      <c r="Q85" s="166"/>
      <c r="R85" s="143"/>
      <c r="S85" s="6" t="s">
        <v>20</v>
      </c>
      <c r="T85" s="3"/>
      <c r="U85" s="205"/>
      <c r="V85" s="206"/>
      <c r="W85" s="207"/>
    </row>
    <row r="86" spans="1:23" x14ac:dyDescent="0.3">
      <c r="A86" s="163"/>
      <c r="B86" s="5"/>
      <c r="C86" s="5"/>
      <c r="D86" s="4">
        <v>250081</v>
      </c>
      <c r="E86" s="211" t="s">
        <v>703</v>
      </c>
      <c r="F86" s="212"/>
      <c r="G86" s="212"/>
      <c r="H86" s="212"/>
      <c r="I86" s="213"/>
      <c r="J86" s="165">
        <v>423</v>
      </c>
      <c r="K86" s="166"/>
      <c r="L86" s="165"/>
      <c r="M86" s="166"/>
      <c r="N86" s="165"/>
      <c r="O86" s="166"/>
      <c r="P86" s="165"/>
      <c r="Q86" s="166"/>
      <c r="R86" s="143">
        <v>40</v>
      </c>
      <c r="S86" s="6" t="s">
        <v>20</v>
      </c>
      <c r="T86" s="3" t="s">
        <v>93</v>
      </c>
      <c r="U86" s="205"/>
      <c r="V86" s="206"/>
      <c r="W86" s="207"/>
    </row>
    <row r="87" spans="1:23" x14ac:dyDescent="0.3">
      <c r="A87" s="163"/>
      <c r="B87" s="5"/>
      <c r="C87" s="5"/>
      <c r="D87" s="4">
        <v>250080</v>
      </c>
      <c r="E87" s="211" t="s">
        <v>703</v>
      </c>
      <c r="F87" s="212"/>
      <c r="G87" s="212"/>
      <c r="H87" s="212"/>
      <c r="I87" s="213"/>
      <c r="J87" s="165">
        <v>300</v>
      </c>
      <c r="K87" s="166"/>
      <c r="L87" s="165"/>
      <c r="M87" s="166"/>
      <c r="N87" s="165"/>
      <c r="O87" s="166"/>
      <c r="P87" s="165"/>
      <c r="Q87" s="166"/>
      <c r="R87" s="143"/>
      <c r="S87" s="6" t="s">
        <v>20</v>
      </c>
      <c r="T87" s="3"/>
      <c r="U87" s="205"/>
      <c r="V87" s="206"/>
      <c r="W87" s="207"/>
    </row>
    <row r="88" spans="1:23" x14ac:dyDescent="0.3">
      <c r="A88" s="163"/>
      <c r="B88" s="5"/>
      <c r="C88" s="5">
        <v>0.70833333333333337</v>
      </c>
      <c r="D88" s="4">
        <v>250078</v>
      </c>
      <c r="E88" s="211" t="s">
        <v>702</v>
      </c>
      <c r="F88" s="212"/>
      <c r="G88" s="212"/>
      <c r="H88" s="212"/>
      <c r="I88" s="213"/>
      <c r="J88" s="165">
        <v>775</v>
      </c>
      <c r="K88" s="166"/>
      <c r="L88" s="165"/>
      <c r="M88" s="166"/>
      <c r="N88" s="165"/>
      <c r="O88" s="166"/>
      <c r="P88" s="165"/>
      <c r="Q88" s="166"/>
      <c r="R88" s="143"/>
      <c r="S88" s="6" t="s">
        <v>20</v>
      </c>
      <c r="T88" s="3"/>
      <c r="U88" s="205"/>
      <c r="V88" s="206"/>
      <c r="W88" s="207"/>
    </row>
    <row r="89" spans="1:23" x14ac:dyDescent="0.3">
      <c r="A89" s="164"/>
      <c r="B89" s="19"/>
      <c r="C89" s="19"/>
      <c r="D89" s="20"/>
      <c r="E89" s="170" t="s">
        <v>0</v>
      </c>
      <c r="F89" s="171"/>
      <c r="G89" s="171"/>
      <c r="H89" s="171"/>
      <c r="I89" s="172"/>
      <c r="J89" s="173">
        <f>SUM(J82:J88)</f>
        <v>3772</v>
      </c>
      <c r="K89" s="174"/>
      <c r="L89" s="173">
        <f>SUM(L82:L88)</f>
        <v>0</v>
      </c>
      <c r="M89" s="174"/>
      <c r="N89" s="173">
        <f>SUM(N82:N88)</f>
        <v>0</v>
      </c>
      <c r="O89" s="174"/>
      <c r="P89" s="173">
        <f>SUM(P82:P88)</f>
        <v>0</v>
      </c>
      <c r="Q89" s="174"/>
      <c r="R89" s="23">
        <f>SUM(R82:R88)</f>
        <v>80</v>
      </c>
      <c r="S89" s="24" t="s">
        <v>20</v>
      </c>
      <c r="T89" s="19"/>
      <c r="U89" s="208"/>
      <c r="V89" s="209"/>
      <c r="W89" s="210"/>
    </row>
    <row r="90" spans="1:23" x14ac:dyDescent="0.3">
      <c r="A90" s="180" t="s">
        <v>15</v>
      </c>
      <c r="B90" s="5"/>
      <c r="C90" s="5"/>
      <c r="D90" s="4"/>
      <c r="E90" s="211"/>
      <c r="F90" s="212"/>
      <c r="G90" s="212"/>
      <c r="H90" s="212"/>
      <c r="I90" s="213"/>
      <c r="J90" s="165"/>
      <c r="K90" s="166"/>
      <c r="L90" s="165"/>
      <c r="M90" s="166"/>
      <c r="N90" s="165"/>
      <c r="O90" s="166"/>
      <c r="P90" s="165"/>
      <c r="Q90" s="166"/>
      <c r="R90" s="143"/>
      <c r="S90" s="6" t="s">
        <v>20</v>
      </c>
      <c r="T90" s="3"/>
      <c r="U90" s="202"/>
      <c r="V90" s="203"/>
      <c r="W90" s="204"/>
    </row>
    <row r="91" spans="1:23" x14ac:dyDescent="0.3">
      <c r="A91" s="163"/>
      <c r="B91" s="5"/>
      <c r="C91" s="5"/>
      <c r="D91" s="4"/>
      <c r="E91" s="211"/>
      <c r="F91" s="212"/>
      <c r="G91" s="212"/>
      <c r="H91" s="212"/>
      <c r="I91" s="213"/>
      <c r="J91" s="165"/>
      <c r="K91" s="166"/>
      <c r="L91" s="165"/>
      <c r="M91" s="166"/>
      <c r="N91" s="165"/>
      <c r="O91" s="166"/>
      <c r="P91" s="165"/>
      <c r="Q91" s="166"/>
      <c r="R91" s="143"/>
      <c r="S91" s="6" t="s">
        <v>20</v>
      </c>
      <c r="T91" s="3"/>
      <c r="U91" s="205"/>
      <c r="V91" s="206"/>
      <c r="W91" s="207"/>
    </row>
    <row r="92" spans="1:23" x14ac:dyDescent="0.3">
      <c r="A92" s="163"/>
      <c r="B92" s="5"/>
      <c r="C92" s="5"/>
      <c r="D92" s="4"/>
      <c r="E92" s="211"/>
      <c r="F92" s="212"/>
      <c r="G92" s="212"/>
      <c r="H92" s="212"/>
      <c r="I92" s="213"/>
      <c r="J92" s="165"/>
      <c r="K92" s="166"/>
      <c r="L92" s="165"/>
      <c r="M92" s="166"/>
      <c r="N92" s="165"/>
      <c r="O92" s="166"/>
      <c r="P92" s="165"/>
      <c r="Q92" s="166"/>
      <c r="R92" s="143"/>
      <c r="S92" s="6" t="s">
        <v>20</v>
      </c>
      <c r="T92" s="3"/>
      <c r="U92" s="205"/>
      <c r="V92" s="206"/>
      <c r="W92" s="207"/>
    </row>
    <row r="93" spans="1:23" x14ac:dyDescent="0.3">
      <c r="A93" s="164"/>
      <c r="B93" s="19"/>
      <c r="C93" s="19"/>
      <c r="D93" s="20"/>
      <c r="E93" s="170" t="s">
        <v>0</v>
      </c>
      <c r="F93" s="171"/>
      <c r="G93" s="171"/>
      <c r="H93" s="171"/>
      <c r="I93" s="172"/>
      <c r="J93" s="173">
        <f>SUM(J90:J92)</f>
        <v>0</v>
      </c>
      <c r="K93" s="174"/>
      <c r="L93" s="173">
        <f>SUM(L90:L92)</f>
        <v>0</v>
      </c>
      <c r="M93" s="174"/>
      <c r="N93" s="173">
        <f>SUM(N90:N92)</f>
        <v>0</v>
      </c>
      <c r="O93" s="174"/>
      <c r="P93" s="173">
        <f>SUM(P85:P92)</f>
        <v>0</v>
      </c>
      <c r="Q93" s="174"/>
      <c r="R93" s="23">
        <f>SUM(R90:R92)</f>
        <v>0</v>
      </c>
      <c r="S93" s="24" t="s">
        <v>20</v>
      </c>
      <c r="T93" s="7"/>
      <c r="U93" s="208"/>
      <c r="V93" s="209"/>
      <c r="W93" s="210"/>
    </row>
    <row r="94" spans="1:23" x14ac:dyDescent="0.3">
      <c r="E94" s="28"/>
      <c r="F94" s="28"/>
      <c r="G94" s="28"/>
      <c r="H94" s="28"/>
      <c r="I94" s="28"/>
      <c r="J94" s="29"/>
      <c r="K94" s="29"/>
      <c r="L94" s="29"/>
      <c r="M94" s="29"/>
      <c r="N94" s="29"/>
      <c r="O94" s="29"/>
      <c r="P94" s="29"/>
      <c r="Q94" s="29"/>
    </row>
    <row r="95" spans="1:23" x14ac:dyDescent="0.3">
      <c r="E95" s="170" t="s">
        <v>28</v>
      </c>
      <c r="F95" s="171"/>
      <c r="G95" s="171"/>
      <c r="H95" s="171"/>
      <c r="I95" s="172"/>
      <c r="J95" s="175" t="s">
        <v>7</v>
      </c>
      <c r="K95" s="176"/>
      <c r="L95" s="175" t="s">
        <v>8</v>
      </c>
      <c r="M95" s="176"/>
      <c r="N95" s="175" t="s">
        <v>9</v>
      </c>
      <c r="O95" s="176"/>
      <c r="P95" s="175" t="s">
        <v>117</v>
      </c>
      <c r="Q95" s="176"/>
    </row>
    <row r="96" spans="1:23" s="2" customFormat="1" x14ac:dyDescent="0.3">
      <c r="E96" s="15"/>
      <c r="F96" s="15"/>
      <c r="G96" s="15"/>
      <c r="H96" s="15"/>
      <c r="I96" s="15"/>
      <c r="J96" s="30">
        <f>J89+J93</f>
        <v>3772</v>
      </c>
      <c r="K96" s="31" t="s">
        <v>17</v>
      </c>
      <c r="L96" s="32">
        <f>L89+L93</f>
        <v>0</v>
      </c>
      <c r="M96" s="31" t="s">
        <v>17</v>
      </c>
      <c r="N96" s="32">
        <f>N89+N93</f>
        <v>0</v>
      </c>
      <c r="O96" s="31" t="s">
        <v>17</v>
      </c>
      <c r="P96" s="32">
        <f>P89+P93</f>
        <v>0</v>
      </c>
      <c r="Q96" s="34" t="s">
        <v>17</v>
      </c>
    </row>
    <row r="97" spans="1:23" ht="24.45" customHeight="1" x14ac:dyDescent="0.3">
      <c r="E97" s="28"/>
      <c r="F97" s="28"/>
      <c r="G97" s="28"/>
      <c r="H97" s="28"/>
      <c r="I97" s="28"/>
      <c r="J97" s="167">
        <f>J96+L96+N96+P96</f>
        <v>3772</v>
      </c>
      <c r="K97" s="168"/>
      <c r="L97" s="168"/>
      <c r="M97" s="168"/>
      <c r="N97" s="168"/>
      <c r="O97" s="168"/>
      <c r="P97" s="168"/>
      <c r="Q97" s="169"/>
    </row>
    <row r="98" spans="1:23" ht="14.55" customHeight="1" x14ac:dyDescent="0.3"/>
    <row r="99" spans="1:23" s="37" customFormat="1" ht="19.95" customHeight="1" x14ac:dyDescent="0.4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183" t="s">
        <v>14</v>
      </c>
      <c r="R99" s="183"/>
      <c r="S99" s="183"/>
      <c r="T99" s="184">
        <f>T3</f>
        <v>45960</v>
      </c>
      <c r="U99" s="185"/>
      <c r="V99" s="185"/>
      <c r="W99" s="186"/>
    </row>
    <row r="100" spans="1:23" s="16" customFormat="1" ht="30" customHeight="1" x14ac:dyDescent="0.3">
      <c r="A100" s="187" t="s">
        <v>579</v>
      </c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9"/>
      <c r="Q100" s="189"/>
      <c r="R100" s="189"/>
      <c r="S100" s="189"/>
      <c r="T100" s="188"/>
      <c r="U100" s="188"/>
      <c r="V100" s="188"/>
      <c r="W100" s="190"/>
    </row>
    <row r="101" spans="1:23" s="26" customFormat="1" ht="13.8" x14ac:dyDescent="0.3">
      <c r="A101" s="191" t="s">
        <v>1</v>
      </c>
      <c r="B101" s="192" t="s">
        <v>2</v>
      </c>
      <c r="C101" s="192" t="s">
        <v>3</v>
      </c>
      <c r="D101" s="192" t="s">
        <v>4</v>
      </c>
      <c r="E101" s="193" t="s">
        <v>5</v>
      </c>
      <c r="F101" s="195" t="s">
        <v>21</v>
      </c>
      <c r="G101" s="195" t="s">
        <v>22</v>
      </c>
      <c r="H101" s="195" t="s">
        <v>33</v>
      </c>
      <c r="I101" s="195" t="s">
        <v>30</v>
      </c>
      <c r="J101" s="193" t="s">
        <v>6</v>
      </c>
      <c r="K101" s="197"/>
      <c r="L101" s="197"/>
      <c r="M101" s="197"/>
      <c r="N101" s="197"/>
      <c r="O101" s="197"/>
      <c r="P101" s="197"/>
      <c r="Q101" s="198"/>
      <c r="R101" s="193" t="s">
        <v>10</v>
      </c>
      <c r="S101" s="198"/>
      <c r="T101" s="191" t="s">
        <v>11</v>
      </c>
      <c r="U101" s="191" t="s">
        <v>12</v>
      </c>
      <c r="V101" s="191"/>
      <c r="W101" s="191"/>
    </row>
    <row r="102" spans="1:23" s="26" customFormat="1" ht="13.8" x14ac:dyDescent="0.3">
      <c r="A102" s="191"/>
      <c r="B102" s="192"/>
      <c r="C102" s="192"/>
      <c r="D102" s="192"/>
      <c r="E102" s="194"/>
      <c r="F102" s="196"/>
      <c r="G102" s="196"/>
      <c r="H102" s="196"/>
      <c r="I102" s="196"/>
      <c r="J102" s="200" t="s">
        <v>7</v>
      </c>
      <c r="K102" s="201"/>
      <c r="L102" s="200" t="s">
        <v>8</v>
      </c>
      <c r="M102" s="201"/>
      <c r="N102" s="200" t="s">
        <v>9</v>
      </c>
      <c r="O102" s="201"/>
      <c r="P102" s="200" t="s">
        <v>117</v>
      </c>
      <c r="Q102" s="201"/>
      <c r="R102" s="194"/>
      <c r="S102" s="199"/>
      <c r="T102" s="191"/>
      <c r="U102" s="191"/>
      <c r="V102" s="191"/>
      <c r="W102" s="191"/>
    </row>
    <row r="103" spans="1:23" ht="14.55" customHeight="1" x14ac:dyDescent="0.3">
      <c r="A103" s="180" t="s">
        <v>581</v>
      </c>
      <c r="B103" s="5"/>
      <c r="C103" s="5"/>
      <c r="D103" s="126"/>
      <c r="E103" s="12"/>
      <c r="F103" s="40"/>
      <c r="G103" s="41"/>
      <c r="H103" s="40"/>
      <c r="I103" s="12"/>
      <c r="J103" s="165">
        <v>3500</v>
      </c>
      <c r="K103" s="166"/>
      <c r="L103" s="165"/>
      <c r="M103" s="166"/>
      <c r="N103" s="165"/>
      <c r="O103" s="166"/>
      <c r="P103" s="165"/>
      <c r="Q103" s="166"/>
      <c r="R103" s="143"/>
      <c r="S103" s="14" t="s">
        <v>20</v>
      </c>
      <c r="T103" s="42"/>
      <c r="U103" s="177"/>
      <c r="V103" s="178"/>
      <c r="W103" s="179"/>
    </row>
    <row r="104" spans="1:23" ht="14.55" customHeight="1" x14ac:dyDescent="0.3">
      <c r="A104" s="181"/>
      <c r="B104" s="5"/>
      <c r="C104" s="5"/>
      <c r="D104" s="126"/>
      <c r="E104" s="13"/>
      <c r="F104" s="40"/>
      <c r="G104" s="41"/>
      <c r="H104" s="40"/>
      <c r="I104" s="12"/>
      <c r="J104" s="165"/>
      <c r="K104" s="166"/>
      <c r="L104" s="165"/>
      <c r="M104" s="166"/>
      <c r="N104" s="165"/>
      <c r="O104" s="166"/>
      <c r="P104" s="165"/>
      <c r="Q104" s="166"/>
      <c r="R104" s="143"/>
      <c r="S104" s="14" t="s">
        <v>20</v>
      </c>
      <c r="T104" s="42"/>
      <c r="U104" s="177"/>
      <c r="V104" s="178"/>
      <c r="W104" s="179"/>
    </row>
    <row r="105" spans="1:23" ht="14.55" customHeight="1" x14ac:dyDescent="0.3">
      <c r="A105" s="181"/>
      <c r="B105" s="5"/>
      <c r="C105" s="5"/>
      <c r="D105" s="4"/>
      <c r="E105" s="12"/>
      <c r="F105" s="40"/>
      <c r="G105" s="41"/>
      <c r="H105" s="40"/>
      <c r="I105" s="12"/>
      <c r="J105" s="165"/>
      <c r="K105" s="166"/>
      <c r="L105" s="165"/>
      <c r="M105" s="166"/>
      <c r="N105" s="165"/>
      <c r="O105" s="166"/>
      <c r="P105" s="165"/>
      <c r="Q105" s="166"/>
      <c r="R105" s="143"/>
      <c r="S105" s="14" t="s">
        <v>20</v>
      </c>
      <c r="T105" s="42"/>
      <c r="U105" s="177"/>
      <c r="V105" s="178"/>
      <c r="W105" s="179"/>
    </row>
    <row r="106" spans="1:23" ht="14.55" customHeight="1" x14ac:dyDescent="0.3">
      <c r="A106" s="182"/>
      <c r="B106" s="19"/>
      <c r="C106" s="19"/>
      <c r="D106" s="20"/>
      <c r="E106" s="170" t="s">
        <v>0</v>
      </c>
      <c r="F106" s="171"/>
      <c r="G106" s="171"/>
      <c r="H106" s="171"/>
      <c r="I106" s="172"/>
      <c r="J106" s="173">
        <f>SUM(J103:K105)</f>
        <v>3500</v>
      </c>
      <c r="K106" s="174"/>
      <c r="L106" s="173">
        <f>SUM(L103:M105)</f>
        <v>0</v>
      </c>
      <c r="M106" s="174"/>
      <c r="N106" s="173">
        <f>SUM(N103:O105)</f>
        <v>0</v>
      </c>
      <c r="O106" s="174"/>
      <c r="P106" s="173">
        <f>SUM(P103:Q105)</f>
        <v>0</v>
      </c>
      <c r="Q106" s="174"/>
      <c r="R106" s="23">
        <f>SUM(R103:R105)</f>
        <v>0</v>
      </c>
      <c r="S106" s="24" t="s">
        <v>20</v>
      </c>
      <c r="T106" s="19"/>
      <c r="U106" s="177"/>
      <c r="V106" s="178"/>
      <c r="W106" s="179"/>
    </row>
    <row r="107" spans="1:23" ht="14.55" customHeight="1" x14ac:dyDescent="0.3">
      <c r="A107" s="163" t="s">
        <v>580</v>
      </c>
      <c r="B107" s="5"/>
      <c r="C107" s="5"/>
      <c r="D107" s="4"/>
      <c r="E107" s="12"/>
      <c r="F107" s="40"/>
      <c r="G107" s="41"/>
      <c r="H107" s="40"/>
      <c r="I107" s="12"/>
      <c r="J107" s="165"/>
      <c r="K107" s="166"/>
      <c r="L107" s="165"/>
      <c r="M107" s="166"/>
      <c r="N107" s="165"/>
      <c r="O107" s="166"/>
      <c r="P107" s="165"/>
      <c r="Q107" s="166"/>
      <c r="R107" s="143"/>
      <c r="S107" s="14" t="s">
        <v>20</v>
      </c>
      <c r="T107" s="42"/>
      <c r="U107" s="177"/>
      <c r="V107" s="178"/>
      <c r="W107" s="179"/>
    </row>
    <row r="108" spans="1:23" ht="14.55" customHeight="1" x14ac:dyDescent="0.3">
      <c r="A108" s="163"/>
      <c r="B108" s="5"/>
      <c r="C108" s="5"/>
      <c r="D108" s="4"/>
      <c r="E108" s="12"/>
      <c r="F108" s="40"/>
      <c r="G108" s="41"/>
      <c r="H108" s="40"/>
      <c r="I108" s="12"/>
      <c r="J108" s="165"/>
      <c r="K108" s="166"/>
      <c r="L108" s="165"/>
      <c r="M108" s="166"/>
      <c r="N108" s="165"/>
      <c r="O108" s="166"/>
      <c r="P108" s="165"/>
      <c r="Q108" s="166"/>
      <c r="R108" s="143"/>
      <c r="S108" s="14" t="s">
        <v>20</v>
      </c>
      <c r="T108" s="42"/>
      <c r="U108" s="177"/>
      <c r="V108" s="178"/>
      <c r="W108" s="179"/>
    </row>
    <row r="109" spans="1:23" ht="14.55" customHeight="1" x14ac:dyDescent="0.3">
      <c r="A109" s="163"/>
      <c r="B109" s="5"/>
      <c r="C109" s="5"/>
      <c r="D109" s="4"/>
      <c r="E109" s="12"/>
      <c r="F109" s="40"/>
      <c r="G109" s="41"/>
      <c r="H109" s="40"/>
      <c r="I109" s="12"/>
      <c r="J109" s="165"/>
      <c r="K109" s="166"/>
      <c r="L109" s="165"/>
      <c r="M109" s="166"/>
      <c r="N109" s="165"/>
      <c r="O109" s="166"/>
      <c r="P109" s="165"/>
      <c r="Q109" s="166"/>
      <c r="R109" s="143"/>
      <c r="S109" s="14" t="s">
        <v>20</v>
      </c>
      <c r="T109" s="42"/>
      <c r="U109" s="177"/>
      <c r="V109" s="178"/>
      <c r="W109" s="179"/>
    </row>
    <row r="110" spans="1:23" ht="14.55" customHeight="1" x14ac:dyDescent="0.3">
      <c r="A110" s="163"/>
      <c r="B110" s="5"/>
      <c r="C110" s="5"/>
      <c r="D110" s="4"/>
      <c r="E110" s="12"/>
      <c r="F110" s="40"/>
      <c r="G110" s="41"/>
      <c r="H110" s="40"/>
      <c r="I110" s="12"/>
      <c r="J110" s="165"/>
      <c r="K110" s="166"/>
      <c r="L110" s="165"/>
      <c r="M110" s="166"/>
      <c r="N110" s="165"/>
      <c r="O110" s="166"/>
      <c r="P110" s="165"/>
      <c r="Q110" s="166"/>
      <c r="R110" s="143"/>
      <c r="S110" s="14" t="s">
        <v>20</v>
      </c>
      <c r="T110" s="42"/>
      <c r="U110" s="177"/>
      <c r="V110" s="178"/>
      <c r="W110" s="179"/>
    </row>
    <row r="111" spans="1:23" ht="14.55" customHeight="1" x14ac:dyDescent="0.3">
      <c r="A111" s="164"/>
      <c r="B111" s="19"/>
      <c r="C111" s="19"/>
      <c r="D111" s="20"/>
      <c r="E111" s="170" t="s">
        <v>0</v>
      </c>
      <c r="F111" s="171"/>
      <c r="G111" s="171"/>
      <c r="H111" s="171"/>
      <c r="I111" s="172"/>
      <c r="J111" s="173">
        <f>SUM(J107:K110)</f>
        <v>0</v>
      </c>
      <c r="K111" s="174"/>
      <c r="L111" s="173">
        <f>SUM(L107:M110)</f>
        <v>0</v>
      </c>
      <c r="M111" s="174"/>
      <c r="N111" s="173">
        <f>SUM(N107:O110)</f>
        <v>0</v>
      </c>
      <c r="O111" s="174"/>
      <c r="P111" s="173">
        <f>SUM(P107:Q110)</f>
        <v>0</v>
      </c>
      <c r="Q111" s="174"/>
      <c r="R111" s="23">
        <f>SUM(R107:R110)</f>
        <v>0</v>
      </c>
      <c r="S111" s="24" t="s">
        <v>20</v>
      </c>
      <c r="T111" s="19"/>
      <c r="U111" s="177"/>
      <c r="V111" s="178"/>
      <c r="W111" s="179"/>
    </row>
    <row r="112" spans="1:23" ht="14.55" customHeight="1" x14ac:dyDescent="0.3">
      <c r="A112" s="27"/>
      <c r="B112" s="27"/>
      <c r="C112" s="27"/>
      <c r="D112" s="27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27"/>
      <c r="S112" s="27"/>
      <c r="T112" s="39"/>
      <c r="U112" s="39"/>
      <c r="V112" s="39"/>
      <c r="W112" s="39"/>
    </row>
    <row r="113" spans="5:17" x14ac:dyDescent="0.3">
      <c r="E113" s="170" t="s">
        <v>585</v>
      </c>
      <c r="F113" s="171"/>
      <c r="G113" s="171"/>
      <c r="H113" s="171"/>
      <c r="I113" s="172"/>
      <c r="J113" s="175" t="s">
        <v>7</v>
      </c>
      <c r="K113" s="176"/>
      <c r="L113" s="175" t="s">
        <v>8</v>
      </c>
      <c r="M113" s="176"/>
      <c r="N113" s="175" t="s">
        <v>9</v>
      </c>
      <c r="O113" s="176"/>
      <c r="P113" s="175" t="s">
        <v>117</v>
      </c>
      <c r="Q113" s="176"/>
    </row>
    <row r="114" spans="5:17" s="2" customFormat="1" x14ac:dyDescent="0.3">
      <c r="E114" s="15"/>
      <c r="F114" s="15"/>
      <c r="G114" s="15"/>
      <c r="H114" s="15"/>
      <c r="I114" s="15"/>
      <c r="J114" s="30">
        <f>SUM(J111,J106)</f>
        <v>3500</v>
      </c>
      <c r="K114" s="31" t="s">
        <v>17</v>
      </c>
      <c r="L114" s="30">
        <f>SUM(L111,L106)</f>
        <v>0</v>
      </c>
      <c r="M114" s="31" t="s">
        <v>17</v>
      </c>
      <c r="N114" s="30">
        <f>SUM(N111,N106)</f>
        <v>0</v>
      </c>
      <c r="O114" s="31" t="s">
        <v>17</v>
      </c>
      <c r="P114" s="30">
        <f>SUM(P111,P106)</f>
        <v>0</v>
      </c>
      <c r="Q114" s="34" t="s">
        <v>17</v>
      </c>
    </row>
    <row r="115" spans="5:17" ht="24.45" customHeight="1" x14ac:dyDescent="0.3">
      <c r="E115" s="28"/>
      <c r="F115" s="28"/>
      <c r="G115" s="28"/>
      <c r="H115" s="28"/>
      <c r="I115" s="28"/>
      <c r="J115" s="167">
        <f>J114+L114+N114+P114</f>
        <v>3500</v>
      </c>
      <c r="K115" s="168"/>
      <c r="L115" s="168"/>
      <c r="M115" s="168"/>
      <c r="N115" s="168"/>
      <c r="O115" s="168"/>
      <c r="P115" s="168"/>
      <c r="Q115" s="169"/>
    </row>
  </sheetData>
  <mergeCells count="438">
    <mergeCell ref="A107:A111"/>
    <mergeCell ref="J107:K107"/>
    <mergeCell ref="L107:M107"/>
    <mergeCell ref="N107:O107"/>
    <mergeCell ref="P107:Q107"/>
    <mergeCell ref="J115:Q115"/>
    <mergeCell ref="E111:I111"/>
    <mergeCell ref="J111:K111"/>
    <mergeCell ref="L111:M111"/>
    <mergeCell ref="N111:O111"/>
    <mergeCell ref="P111:Q111"/>
    <mergeCell ref="E113:I113"/>
    <mergeCell ref="J113:K113"/>
    <mergeCell ref="L113:M113"/>
    <mergeCell ref="N113:O113"/>
    <mergeCell ref="P113:Q113"/>
    <mergeCell ref="U107:W111"/>
    <mergeCell ref="J108:K108"/>
    <mergeCell ref="L108:M108"/>
    <mergeCell ref="N108:O108"/>
    <mergeCell ref="P108:Q108"/>
    <mergeCell ref="J105:K105"/>
    <mergeCell ref="L105:M105"/>
    <mergeCell ref="N105:O105"/>
    <mergeCell ref="P105:Q105"/>
    <mergeCell ref="U103:W106"/>
    <mergeCell ref="J109:K109"/>
    <mergeCell ref="L109:M109"/>
    <mergeCell ref="N109:O109"/>
    <mergeCell ref="P109:Q109"/>
    <mergeCell ref="J110:K110"/>
    <mergeCell ref="L110:M110"/>
    <mergeCell ref="N110:O110"/>
    <mergeCell ref="P110:Q110"/>
    <mergeCell ref="E106:I106"/>
    <mergeCell ref="J106:K106"/>
    <mergeCell ref="L106:M106"/>
    <mergeCell ref="N106:O106"/>
    <mergeCell ref="P106:Q106"/>
    <mergeCell ref="A103:A106"/>
    <mergeCell ref="J103:K103"/>
    <mergeCell ref="L103:M103"/>
    <mergeCell ref="N103:O103"/>
    <mergeCell ref="P103:Q103"/>
    <mergeCell ref="J104:K104"/>
    <mergeCell ref="L104:M104"/>
    <mergeCell ref="N104:O104"/>
    <mergeCell ref="P104:Q104"/>
    <mergeCell ref="Q99:S99"/>
    <mergeCell ref="T99:W99"/>
    <mergeCell ref="A100:W100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Q101"/>
    <mergeCell ref="R101:S102"/>
    <mergeCell ref="T101:T102"/>
    <mergeCell ref="U101:W102"/>
    <mergeCell ref="J102:K102"/>
    <mergeCell ref="L102:M102"/>
    <mergeCell ref="N102:O102"/>
    <mergeCell ref="P102:Q102"/>
    <mergeCell ref="E95:I95"/>
    <mergeCell ref="J95:K95"/>
    <mergeCell ref="L95:M95"/>
    <mergeCell ref="N95:O95"/>
    <mergeCell ref="P95:Q95"/>
    <mergeCell ref="J97:Q97"/>
    <mergeCell ref="N92:O92"/>
    <mergeCell ref="P92:Q92"/>
    <mergeCell ref="E93:I93"/>
    <mergeCell ref="J93:K93"/>
    <mergeCell ref="L93:M93"/>
    <mergeCell ref="N93:O93"/>
    <mergeCell ref="P93:Q93"/>
    <mergeCell ref="U90:W93"/>
    <mergeCell ref="E91:I91"/>
    <mergeCell ref="J91:K91"/>
    <mergeCell ref="L91:M91"/>
    <mergeCell ref="N91:O91"/>
    <mergeCell ref="P91:Q91"/>
    <mergeCell ref="E92:I92"/>
    <mergeCell ref="J92:K92"/>
    <mergeCell ref="L92:M92"/>
    <mergeCell ref="E89:I89"/>
    <mergeCell ref="J89:K89"/>
    <mergeCell ref="L89:M89"/>
    <mergeCell ref="N89:O89"/>
    <mergeCell ref="P89:Q89"/>
    <mergeCell ref="A90:A93"/>
    <mergeCell ref="E90:I90"/>
    <mergeCell ref="J90:K90"/>
    <mergeCell ref="L90:M90"/>
    <mergeCell ref="N90:O90"/>
    <mergeCell ref="A82:A89"/>
    <mergeCell ref="J85:K85"/>
    <mergeCell ref="L85:M85"/>
    <mergeCell ref="P90:Q90"/>
    <mergeCell ref="E87:I87"/>
    <mergeCell ref="J87:K87"/>
    <mergeCell ref="L87:M87"/>
    <mergeCell ref="N87:O87"/>
    <mergeCell ref="P87:Q87"/>
    <mergeCell ref="E88:I88"/>
    <mergeCell ref="J88:K88"/>
    <mergeCell ref="L88:M88"/>
    <mergeCell ref="N88:O88"/>
    <mergeCell ref="P88:Q88"/>
    <mergeCell ref="N85:O85"/>
    <mergeCell ref="P85:Q85"/>
    <mergeCell ref="E86:I86"/>
    <mergeCell ref="J86:K86"/>
    <mergeCell ref="L86:M86"/>
    <mergeCell ref="N86:O86"/>
    <mergeCell ref="P86:Q86"/>
    <mergeCell ref="U82:W89"/>
    <mergeCell ref="E83:I83"/>
    <mergeCell ref="J83:K83"/>
    <mergeCell ref="L83:M83"/>
    <mergeCell ref="N83:O83"/>
    <mergeCell ref="P83:Q83"/>
    <mergeCell ref="E84:I84"/>
    <mergeCell ref="J84:K84"/>
    <mergeCell ref="L84:M84"/>
    <mergeCell ref="N84:O84"/>
    <mergeCell ref="E82:I82"/>
    <mergeCell ref="J82:K82"/>
    <mergeCell ref="L82:M82"/>
    <mergeCell ref="N82:O82"/>
    <mergeCell ref="P82:Q82"/>
    <mergeCell ref="P84:Q84"/>
    <mergeCell ref="E85:I85"/>
    <mergeCell ref="E74:I74"/>
    <mergeCell ref="J74:K74"/>
    <mergeCell ref="L74:M74"/>
    <mergeCell ref="N74:O74"/>
    <mergeCell ref="P74:Q74"/>
    <mergeCell ref="R80:S81"/>
    <mergeCell ref="T80:T81"/>
    <mergeCell ref="U80:W81"/>
    <mergeCell ref="J81:K81"/>
    <mergeCell ref="L81:M81"/>
    <mergeCell ref="N81:O81"/>
    <mergeCell ref="P81:Q81"/>
    <mergeCell ref="J76:Q76"/>
    <mergeCell ref="Q78:S78"/>
    <mergeCell ref="T78:W78"/>
    <mergeCell ref="A79:W79"/>
    <mergeCell ref="A80:A81"/>
    <mergeCell ref="B80:B81"/>
    <mergeCell ref="C80:C81"/>
    <mergeCell ref="D80:D81"/>
    <mergeCell ref="E80:I81"/>
    <mergeCell ref="J80:Q80"/>
    <mergeCell ref="U63:W72"/>
    <mergeCell ref="J64:K64"/>
    <mergeCell ref="L64:M64"/>
    <mergeCell ref="N64:O64"/>
    <mergeCell ref="P64:Q64"/>
    <mergeCell ref="J65:K65"/>
    <mergeCell ref="L65:M65"/>
    <mergeCell ref="N65:O65"/>
    <mergeCell ref="P65:Q65"/>
    <mergeCell ref="J66:K66"/>
    <mergeCell ref="J70:K70"/>
    <mergeCell ref="L70:M70"/>
    <mergeCell ref="N70:O70"/>
    <mergeCell ref="P70:Q70"/>
    <mergeCell ref="J71:K71"/>
    <mergeCell ref="L71:M71"/>
    <mergeCell ref="N71:O71"/>
    <mergeCell ref="P71:Q71"/>
    <mergeCell ref="J68:K68"/>
    <mergeCell ref="L68:M68"/>
    <mergeCell ref="N68:O68"/>
    <mergeCell ref="P68:Q68"/>
    <mergeCell ref="J69:K69"/>
    <mergeCell ref="L69:M69"/>
    <mergeCell ref="A63:A72"/>
    <mergeCell ref="J63:K63"/>
    <mergeCell ref="L63:M63"/>
    <mergeCell ref="N63:O63"/>
    <mergeCell ref="P63:Q63"/>
    <mergeCell ref="G61:G62"/>
    <mergeCell ref="H61:H62"/>
    <mergeCell ref="I61:I62"/>
    <mergeCell ref="J61:Q61"/>
    <mergeCell ref="L66:M66"/>
    <mergeCell ref="N66:O66"/>
    <mergeCell ref="P66:Q66"/>
    <mergeCell ref="J67:K67"/>
    <mergeCell ref="L67:M67"/>
    <mergeCell ref="N67:O67"/>
    <mergeCell ref="P67:Q67"/>
    <mergeCell ref="N69:O69"/>
    <mergeCell ref="P69:Q69"/>
    <mergeCell ref="E72:I72"/>
    <mergeCell ref="J72:K72"/>
    <mergeCell ref="L72:M72"/>
    <mergeCell ref="N72:O72"/>
    <mergeCell ref="P72:Q72"/>
    <mergeCell ref="A60:W60"/>
    <mergeCell ref="A61:A62"/>
    <mergeCell ref="B61:B62"/>
    <mergeCell ref="C61:C62"/>
    <mergeCell ref="D61:D62"/>
    <mergeCell ref="E61:E62"/>
    <mergeCell ref="F61:F62"/>
    <mergeCell ref="U61:W62"/>
    <mergeCell ref="J62:K62"/>
    <mergeCell ref="L62:M62"/>
    <mergeCell ref="N62:O62"/>
    <mergeCell ref="P62:Q62"/>
    <mergeCell ref="R61:S62"/>
    <mergeCell ref="T61:T62"/>
    <mergeCell ref="P53:Q53"/>
    <mergeCell ref="E55:I55"/>
    <mergeCell ref="J55:K55"/>
    <mergeCell ref="L55:M55"/>
    <mergeCell ref="N55:O55"/>
    <mergeCell ref="P55:Q55"/>
    <mergeCell ref="J57:Q57"/>
    <mergeCell ref="Q59:S59"/>
    <mergeCell ref="T59:W59"/>
    <mergeCell ref="U46:W49"/>
    <mergeCell ref="E49:I49"/>
    <mergeCell ref="J49:K49"/>
    <mergeCell ref="L49:M49"/>
    <mergeCell ref="N49:O49"/>
    <mergeCell ref="P49:Q49"/>
    <mergeCell ref="A50:A53"/>
    <mergeCell ref="J50:K50"/>
    <mergeCell ref="L50:M50"/>
    <mergeCell ref="N50:O50"/>
    <mergeCell ref="P50:Q50"/>
    <mergeCell ref="U50:W53"/>
    <mergeCell ref="J51:K51"/>
    <mergeCell ref="L51:M51"/>
    <mergeCell ref="N51:O51"/>
    <mergeCell ref="P51:Q51"/>
    <mergeCell ref="J52:K52"/>
    <mergeCell ref="L52:M52"/>
    <mergeCell ref="N52:O52"/>
    <mergeCell ref="P52:Q52"/>
    <mergeCell ref="E53:I53"/>
    <mergeCell ref="J53:K53"/>
    <mergeCell ref="L53:M53"/>
    <mergeCell ref="N53:O53"/>
    <mergeCell ref="A46:A49"/>
    <mergeCell ref="J46:K46"/>
    <mergeCell ref="L46:M46"/>
    <mergeCell ref="N46:O46"/>
    <mergeCell ref="P46:Q46"/>
    <mergeCell ref="J47:K47"/>
    <mergeCell ref="L47:M47"/>
    <mergeCell ref="N47:O47"/>
    <mergeCell ref="P47:Q47"/>
    <mergeCell ref="J48:K48"/>
    <mergeCell ref="L48:M48"/>
    <mergeCell ref="N48:O48"/>
    <mergeCell ref="P48:Q48"/>
    <mergeCell ref="U36:W45"/>
    <mergeCell ref="J37:K37"/>
    <mergeCell ref="L37:M37"/>
    <mergeCell ref="N37:O37"/>
    <mergeCell ref="P37:Q37"/>
    <mergeCell ref="J38:K38"/>
    <mergeCell ref="L38:M38"/>
    <mergeCell ref="N38:O38"/>
    <mergeCell ref="P38:Q38"/>
    <mergeCell ref="J39:K39"/>
    <mergeCell ref="J43:K43"/>
    <mergeCell ref="L43:M43"/>
    <mergeCell ref="N43:O43"/>
    <mergeCell ref="P43:Q43"/>
    <mergeCell ref="J44:K44"/>
    <mergeCell ref="L44:M44"/>
    <mergeCell ref="N44:O44"/>
    <mergeCell ref="P44:Q44"/>
    <mergeCell ref="J41:K41"/>
    <mergeCell ref="L41:M41"/>
    <mergeCell ref="N41:O41"/>
    <mergeCell ref="P41:Q41"/>
    <mergeCell ref="J42:K42"/>
    <mergeCell ref="L42:M42"/>
    <mergeCell ref="A36:A45"/>
    <mergeCell ref="J36:K36"/>
    <mergeCell ref="L36:M36"/>
    <mergeCell ref="N36:O36"/>
    <mergeCell ref="P36:Q36"/>
    <mergeCell ref="L39:M39"/>
    <mergeCell ref="N39:O39"/>
    <mergeCell ref="P39:Q39"/>
    <mergeCell ref="J40:K40"/>
    <mergeCell ref="L40:M40"/>
    <mergeCell ref="N40:O40"/>
    <mergeCell ref="P40:Q40"/>
    <mergeCell ref="N42:O42"/>
    <mergeCell ref="P42:Q42"/>
    <mergeCell ref="E45:I45"/>
    <mergeCell ref="J45:K45"/>
    <mergeCell ref="L45:M45"/>
    <mergeCell ref="N45:O45"/>
    <mergeCell ref="P45:Q45"/>
    <mergeCell ref="U31:W35"/>
    <mergeCell ref="J32:K32"/>
    <mergeCell ref="L32:M32"/>
    <mergeCell ref="N32:O32"/>
    <mergeCell ref="P32:Q32"/>
    <mergeCell ref="E35:I35"/>
    <mergeCell ref="J35:K35"/>
    <mergeCell ref="L35:M35"/>
    <mergeCell ref="N35:O35"/>
    <mergeCell ref="P35:Q35"/>
    <mergeCell ref="A31:A35"/>
    <mergeCell ref="J31:K31"/>
    <mergeCell ref="L31:M31"/>
    <mergeCell ref="N31:O31"/>
    <mergeCell ref="P31:Q31"/>
    <mergeCell ref="G29:G30"/>
    <mergeCell ref="H29:H30"/>
    <mergeCell ref="I29:I30"/>
    <mergeCell ref="J29:Q29"/>
    <mergeCell ref="J33:K33"/>
    <mergeCell ref="L33:M33"/>
    <mergeCell ref="N33:O33"/>
    <mergeCell ref="P33:Q33"/>
    <mergeCell ref="J34:K34"/>
    <mergeCell ref="L34:M34"/>
    <mergeCell ref="N34:O34"/>
    <mergeCell ref="P34:Q34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39" orientation="portrait" horizontalDpi="1200" verticalDpi="12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W117"/>
  <sheetViews>
    <sheetView zoomScale="85" zoomScaleNormal="85" workbookViewId="0">
      <selection activeCell="E106" sqref="E106"/>
    </sheetView>
  </sheetViews>
  <sheetFormatPr defaultColWidth="8.88671875" defaultRowHeight="14.4" x14ac:dyDescent="0.3"/>
  <cols>
    <col min="1" max="1" width="12.6640625" style="135" customWidth="1"/>
    <col min="2" max="3" width="7.6640625" style="135" customWidth="1"/>
    <col min="4" max="4" width="9" style="8" bestFit="1" customWidth="1"/>
    <col min="5" max="5" width="35.6640625" style="135" customWidth="1"/>
    <col min="6" max="6" width="5.6640625" style="135" customWidth="1"/>
    <col min="7" max="8" width="6.6640625" style="135" customWidth="1"/>
    <col min="9" max="9" width="6.6640625" style="135" bestFit="1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35" customWidth="1"/>
    <col min="20" max="20" width="21.5546875" style="135" bestFit="1" customWidth="1"/>
    <col min="21" max="23" width="7.6640625" style="135" customWidth="1"/>
    <col min="24" max="16384" width="8.88671875" style="135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45961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250060</v>
      </c>
      <c r="E7" s="12" t="s">
        <v>209</v>
      </c>
      <c r="F7" s="17">
        <v>388</v>
      </c>
      <c r="G7" s="17">
        <v>304</v>
      </c>
      <c r="H7" s="18">
        <v>0.8</v>
      </c>
      <c r="I7" s="17">
        <v>30000</v>
      </c>
      <c r="J7" s="165">
        <v>672</v>
      </c>
      <c r="K7" s="166"/>
      <c r="L7" s="165"/>
      <c r="M7" s="166"/>
      <c r="N7" s="165"/>
      <c r="O7" s="166"/>
      <c r="P7" s="165"/>
      <c r="Q7" s="166"/>
      <c r="R7" s="150">
        <v>45</v>
      </c>
      <c r="S7" s="14" t="s">
        <v>20</v>
      </c>
      <c r="T7" s="42" t="s">
        <v>110</v>
      </c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189</v>
      </c>
      <c r="F8" s="17">
        <v>220</v>
      </c>
      <c r="G8" s="17">
        <v>304</v>
      </c>
      <c r="H8" s="18">
        <v>0.8</v>
      </c>
      <c r="I8" s="17">
        <v>30000</v>
      </c>
      <c r="J8" s="165">
        <v>224</v>
      </c>
      <c r="K8" s="166"/>
      <c r="L8" s="165"/>
      <c r="M8" s="166"/>
      <c r="N8" s="165"/>
      <c r="O8" s="166"/>
      <c r="P8" s="165"/>
      <c r="Q8" s="166"/>
      <c r="R8" s="150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250060</v>
      </c>
      <c r="E9" s="12" t="s">
        <v>517</v>
      </c>
      <c r="F9" s="17">
        <v>289</v>
      </c>
      <c r="G9" s="17">
        <v>304</v>
      </c>
      <c r="H9" s="18">
        <v>0.8</v>
      </c>
      <c r="I9" s="17">
        <v>30000</v>
      </c>
      <c r="J9" s="165">
        <v>672</v>
      </c>
      <c r="K9" s="166"/>
      <c r="L9" s="165"/>
      <c r="M9" s="166"/>
      <c r="N9" s="165"/>
      <c r="O9" s="166"/>
      <c r="P9" s="165"/>
      <c r="Q9" s="166"/>
      <c r="R9" s="150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>
        <v>250060</v>
      </c>
      <c r="E10" s="12" t="s">
        <v>362</v>
      </c>
      <c r="F10" s="17">
        <v>213</v>
      </c>
      <c r="G10" s="17">
        <v>304</v>
      </c>
      <c r="H10" s="18">
        <v>0.8</v>
      </c>
      <c r="I10" s="17">
        <v>30000</v>
      </c>
      <c r="J10" s="165">
        <v>168</v>
      </c>
      <c r="K10" s="166"/>
      <c r="L10" s="165"/>
      <c r="M10" s="166"/>
      <c r="N10" s="165"/>
      <c r="O10" s="166"/>
      <c r="P10" s="165"/>
      <c r="Q10" s="166"/>
      <c r="R10" s="150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>
        <v>250060</v>
      </c>
      <c r="E11" s="12" t="s">
        <v>362</v>
      </c>
      <c r="F11" s="17">
        <v>213</v>
      </c>
      <c r="G11" s="17">
        <v>304</v>
      </c>
      <c r="H11" s="18">
        <v>0.8</v>
      </c>
      <c r="I11" s="17">
        <v>30000</v>
      </c>
      <c r="J11" s="165">
        <v>144</v>
      </c>
      <c r="K11" s="166"/>
      <c r="L11" s="165"/>
      <c r="M11" s="166"/>
      <c r="N11" s="165"/>
      <c r="O11" s="166"/>
      <c r="P11" s="165"/>
      <c r="Q11" s="166"/>
      <c r="R11" s="150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>
        <v>250060</v>
      </c>
      <c r="E12" s="12" t="s">
        <v>446</v>
      </c>
      <c r="F12" s="17">
        <v>198</v>
      </c>
      <c r="G12" s="17">
        <v>304</v>
      </c>
      <c r="H12" s="18">
        <v>0.8</v>
      </c>
      <c r="I12" s="17">
        <v>30000</v>
      </c>
      <c r="J12" s="165">
        <v>390</v>
      </c>
      <c r="K12" s="166"/>
      <c r="L12" s="165"/>
      <c r="M12" s="166"/>
      <c r="N12" s="165"/>
      <c r="O12" s="166"/>
      <c r="P12" s="165"/>
      <c r="Q12" s="166"/>
      <c r="R12" s="150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711</v>
      </c>
      <c r="F13" s="17">
        <v>132</v>
      </c>
      <c r="G13" s="17">
        <v>304</v>
      </c>
      <c r="H13" s="18">
        <v>0.8</v>
      </c>
      <c r="I13" s="17">
        <v>30000</v>
      </c>
      <c r="J13" s="165"/>
      <c r="K13" s="166"/>
      <c r="L13" s="165"/>
      <c r="M13" s="166"/>
      <c r="N13" s="165">
        <v>65</v>
      </c>
      <c r="O13" s="166"/>
      <c r="P13" s="165"/>
      <c r="Q13" s="166"/>
      <c r="R13" s="150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250060</v>
      </c>
      <c r="E14" s="12" t="s">
        <v>712</v>
      </c>
      <c r="F14" s="17">
        <v>560</v>
      </c>
      <c r="G14" s="17">
        <v>304</v>
      </c>
      <c r="H14" s="18">
        <v>0.8</v>
      </c>
      <c r="I14" s="17">
        <v>30000</v>
      </c>
      <c r="J14" s="165">
        <v>378</v>
      </c>
      <c r="K14" s="166"/>
      <c r="L14" s="165"/>
      <c r="M14" s="166"/>
      <c r="N14" s="165"/>
      <c r="O14" s="166"/>
      <c r="P14" s="165"/>
      <c r="Q14" s="166"/>
      <c r="R14" s="150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 t="s">
        <v>102</v>
      </c>
      <c r="E15" s="12" t="s">
        <v>713</v>
      </c>
      <c r="F15" s="17">
        <v>300</v>
      </c>
      <c r="G15" s="17">
        <v>304</v>
      </c>
      <c r="H15" s="18">
        <v>0.8</v>
      </c>
      <c r="I15" s="17">
        <v>30000</v>
      </c>
      <c r="J15" s="165"/>
      <c r="K15" s="166"/>
      <c r="L15" s="165"/>
      <c r="M15" s="166"/>
      <c r="N15" s="165">
        <v>189</v>
      </c>
      <c r="O15" s="166"/>
      <c r="P15" s="165"/>
      <c r="Q15" s="166"/>
      <c r="R15" s="150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>
        <v>250059</v>
      </c>
      <c r="E16" s="12" t="s">
        <v>714</v>
      </c>
      <c r="F16" s="17">
        <v>290</v>
      </c>
      <c r="G16" s="17">
        <v>304</v>
      </c>
      <c r="H16" s="18">
        <v>0.9</v>
      </c>
      <c r="I16" s="17">
        <v>30000</v>
      </c>
      <c r="J16" s="165"/>
      <c r="K16" s="166"/>
      <c r="L16" s="165"/>
      <c r="M16" s="166"/>
      <c r="N16" s="165">
        <v>300</v>
      </c>
      <c r="O16" s="166"/>
      <c r="P16" s="165"/>
      <c r="Q16" s="166"/>
      <c r="R16" s="150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 t="s">
        <v>102</v>
      </c>
      <c r="E17" s="12" t="s">
        <v>715</v>
      </c>
      <c r="F17" s="17">
        <v>226</v>
      </c>
      <c r="G17" s="17">
        <v>304</v>
      </c>
      <c r="H17" s="18">
        <v>0.9</v>
      </c>
      <c r="I17" s="17">
        <v>30000</v>
      </c>
      <c r="J17" s="165"/>
      <c r="K17" s="166"/>
      <c r="L17" s="165"/>
      <c r="M17" s="166"/>
      <c r="N17" s="165">
        <v>60</v>
      </c>
      <c r="O17" s="166"/>
      <c r="P17" s="165"/>
      <c r="Q17" s="166"/>
      <c r="R17" s="150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>
        <v>250049</v>
      </c>
      <c r="E18" s="12" t="s">
        <v>716</v>
      </c>
      <c r="F18" s="17">
        <v>445</v>
      </c>
      <c r="G18" s="17">
        <v>304</v>
      </c>
      <c r="H18" s="18">
        <v>0.9</v>
      </c>
      <c r="I18" s="17">
        <v>30000</v>
      </c>
      <c r="J18" s="165">
        <v>468</v>
      </c>
      <c r="K18" s="166"/>
      <c r="L18" s="165"/>
      <c r="M18" s="166"/>
      <c r="N18" s="165"/>
      <c r="O18" s="166"/>
      <c r="P18" s="165"/>
      <c r="Q18" s="166"/>
      <c r="R18" s="150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 t="s">
        <v>102</v>
      </c>
      <c r="E19" s="12" t="s">
        <v>717</v>
      </c>
      <c r="F19" s="17">
        <v>350</v>
      </c>
      <c r="G19" s="17">
        <v>304</v>
      </c>
      <c r="H19" s="18">
        <v>0.9</v>
      </c>
      <c r="I19" s="17">
        <v>30000</v>
      </c>
      <c r="J19" s="165"/>
      <c r="K19" s="166"/>
      <c r="L19" s="165"/>
      <c r="M19" s="166"/>
      <c r="N19" s="165">
        <v>156</v>
      </c>
      <c r="O19" s="166"/>
      <c r="P19" s="165"/>
      <c r="Q19" s="166"/>
      <c r="R19" s="150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>
        <v>250059</v>
      </c>
      <c r="E20" s="12" t="s">
        <v>714</v>
      </c>
      <c r="F20" s="17">
        <v>290</v>
      </c>
      <c r="G20" s="17">
        <v>304</v>
      </c>
      <c r="H20" s="18">
        <v>0.9</v>
      </c>
      <c r="I20" s="17">
        <v>30000</v>
      </c>
      <c r="J20" s="165"/>
      <c r="K20" s="166"/>
      <c r="L20" s="165"/>
      <c r="M20" s="166"/>
      <c r="N20" s="165">
        <v>420</v>
      </c>
      <c r="O20" s="166"/>
      <c r="P20" s="165"/>
      <c r="Q20" s="166"/>
      <c r="R20" s="150"/>
      <c r="S20" s="14" t="s">
        <v>20</v>
      </c>
      <c r="T20" s="42"/>
      <c r="U20" s="205"/>
      <c r="V20" s="206"/>
      <c r="W20" s="207"/>
    </row>
    <row r="21" spans="1:23" x14ac:dyDescent="0.3">
      <c r="A21" s="181"/>
      <c r="B21" s="5"/>
      <c r="C21" s="5"/>
      <c r="D21" s="4" t="s">
        <v>102</v>
      </c>
      <c r="E21" s="12" t="s">
        <v>715</v>
      </c>
      <c r="F21" s="17">
        <v>226</v>
      </c>
      <c r="G21" s="17">
        <v>304</v>
      </c>
      <c r="H21" s="18">
        <v>0.9</v>
      </c>
      <c r="I21" s="17">
        <v>30000</v>
      </c>
      <c r="J21" s="165"/>
      <c r="K21" s="166"/>
      <c r="L21" s="165"/>
      <c r="M21" s="166"/>
      <c r="N21" s="165">
        <v>84</v>
      </c>
      <c r="O21" s="166"/>
      <c r="P21" s="165"/>
      <c r="Q21" s="166"/>
      <c r="R21" s="150"/>
      <c r="S21" s="14" t="s">
        <v>20</v>
      </c>
      <c r="T21" s="42"/>
      <c r="U21" s="205"/>
      <c r="V21" s="206"/>
      <c r="W21" s="207"/>
    </row>
    <row r="22" spans="1:23" x14ac:dyDescent="0.3">
      <c r="A22" s="181"/>
      <c r="B22" s="5"/>
      <c r="C22" s="5"/>
      <c r="D22" s="4">
        <v>311025</v>
      </c>
      <c r="E22" s="12" t="s">
        <v>340</v>
      </c>
      <c r="F22" s="17">
        <v>290</v>
      </c>
      <c r="G22" s="17">
        <v>304</v>
      </c>
      <c r="H22" s="18">
        <v>0.9</v>
      </c>
      <c r="I22" s="17">
        <v>30000</v>
      </c>
      <c r="J22" s="165"/>
      <c r="K22" s="166"/>
      <c r="L22" s="165"/>
      <c r="M22" s="166"/>
      <c r="N22" s="165">
        <v>540</v>
      </c>
      <c r="O22" s="166"/>
      <c r="P22" s="165"/>
      <c r="Q22" s="166"/>
      <c r="R22" s="150"/>
      <c r="S22" s="14" t="s">
        <v>20</v>
      </c>
      <c r="T22" s="42"/>
      <c r="U22" s="205"/>
      <c r="V22" s="206"/>
      <c r="W22" s="207"/>
    </row>
    <row r="23" spans="1:23" x14ac:dyDescent="0.3">
      <c r="A23" s="181"/>
      <c r="B23" s="5"/>
      <c r="C23" s="5"/>
      <c r="D23" s="4" t="s">
        <v>102</v>
      </c>
      <c r="E23" s="12" t="s">
        <v>715</v>
      </c>
      <c r="F23" s="17">
        <v>226</v>
      </c>
      <c r="G23" s="17">
        <v>304</v>
      </c>
      <c r="H23" s="18">
        <v>0.9</v>
      </c>
      <c r="I23" s="17">
        <v>30000</v>
      </c>
      <c r="J23" s="165"/>
      <c r="K23" s="166"/>
      <c r="L23" s="165"/>
      <c r="M23" s="166"/>
      <c r="N23" s="165">
        <v>108</v>
      </c>
      <c r="O23" s="166"/>
      <c r="P23" s="165"/>
      <c r="Q23" s="166"/>
      <c r="R23" s="150"/>
      <c r="S23" s="14" t="s">
        <v>20</v>
      </c>
      <c r="T23" s="42"/>
      <c r="U23" s="205"/>
      <c r="V23" s="206"/>
      <c r="W23" s="207"/>
    </row>
    <row r="24" spans="1:23" x14ac:dyDescent="0.3">
      <c r="A24" s="181"/>
      <c r="B24" s="5"/>
      <c r="C24" s="5"/>
      <c r="D24" s="4">
        <v>311025</v>
      </c>
      <c r="E24" s="12" t="s">
        <v>325</v>
      </c>
      <c r="F24" s="17">
        <v>369</v>
      </c>
      <c r="G24" s="17">
        <v>304</v>
      </c>
      <c r="H24" s="18">
        <v>0.9</v>
      </c>
      <c r="I24" s="17">
        <v>30000</v>
      </c>
      <c r="J24" s="165"/>
      <c r="K24" s="166"/>
      <c r="L24" s="165"/>
      <c r="M24" s="166"/>
      <c r="N24" s="165">
        <v>528</v>
      </c>
      <c r="O24" s="166"/>
      <c r="P24" s="165"/>
      <c r="Q24" s="166"/>
      <c r="R24" s="150"/>
      <c r="S24" s="14" t="s">
        <v>20</v>
      </c>
      <c r="T24" s="42"/>
      <c r="U24" s="205"/>
      <c r="V24" s="206"/>
      <c r="W24" s="207"/>
    </row>
    <row r="25" spans="1:23" x14ac:dyDescent="0.3">
      <c r="A25" s="181"/>
      <c r="B25" s="5"/>
      <c r="C25" s="5"/>
      <c r="D25" s="4" t="s">
        <v>102</v>
      </c>
      <c r="E25" s="12" t="s">
        <v>715</v>
      </c>
      <c r="F25" s="17">
        <v>226</v>
      </c>
      <c r="G25" s="17">
        <v>304</v>
      </c>
      <c r="H25" s="18">
        <v>0.9</v>
      </c>
      <c r="I25" s="17">
        <v>30000</v>
      </c>
      <c r="J25" s="165"/>
      <c r="K25" s="166"/>
      <c r="L25" s="165"/>
      <c r="M25" s="166"/>
      <c r="N25" s="165">
        <v>132</v>
      </c>
      <c r="O25" s="166"/>
      <c r="P25" s="165"/>
      <c r="Q25" s="166"/>
      <c r="R25" s="150"/>
      <c r="S25" s="14" t="s">
        <v>20</v>
      </c>
      <c r="T25" s="42"/>
      <c r="U25" s="205"/>
      <c r="V25" s="206"/>
      <c r="W25" s="207"/>
    </row>
    <row r="26" spans="1:23" x14ac:dyDescent="0.3">
      <c r="A26" s="181"/>
      <c r="B26" s="5"/>
      <c r="C26" s="5">
        <v>0.70833333333333337</v>
      </c>
      <c r="D26" s="4">
        <v>311025</v>
      </c>
      <c r="E26" s="12" t="s">
        <v>704</v>
      </c>
      <c r="F26" s="17">
        <v>327</v>
      </c>
      <c r="G26" s="17">
        <v>304</v>
      </c>
      <c r="H26" s="18">
        <v>0.9</v>
      </c>
      <c r="I26" s="17">
        <v>30000</v>
      </c>
      <c r="J26" s="165"/>
      <c r="K26" s="166"/>
      <c r="L26" s="165"/>
      <c r="M26" s="166"/>
      <c r="N26" s="165">
        <v>1025</v>
      </c>
      <c r="O26" s="166"/>
      <c r="P26" s="165"/>
      <c r="Q26" s="166"/>
      <c r="R26" s="150"/>
      <c r="S26" s="14" t="s">
        <v>20</v>
      </c>
      <c r="T26" s="42"/>
      <c r="U26" s="205"/>
      <c r="V26" s="206"/>
      <c r="W26" s="207"/>
    </row>
    <row r="27" spans="1:23" x14ac:dyDescent="0.3">
      <c r="A27" s="182"/>
      <c r="B27" s="170" t="s">
        <v>0</v>
      </c>
      <c r="C27" s="171"/>
      <c r="D27" s="171"/>
      <c r="E27" s="171"/>
      <c r="F27" s="171"/>
      <c r="G27" s="171"/>
      <c r="H27" s="171"/>
      <c r="I27" s="172"/>
      <c r="J27" s="21">
        <f>SUM(J7:K26)</f>
        <v>3116</v>
      </c>
      <c r="K27" s="22" t="s">
        <v>17</v>
      </c>
      <c r="L27" s="21">
        <f>SUM(L7:M26)</f>
        <v>0</v>
      </c>
      <c r="M27" s="22" t="s">
        <v>17</v>
      </c>
      <c r="N27" s="21">
        <f>SUM(N7:O26)</f>
        <v>3607</v>
      </c>
      <c r="O27" s="22" t="s">
        <v>17</v>
      </c>
      <c r="P27" s="21">
        <f>SUM(P7:Q26)</f>
        <v>0</v>
      </c>
      <c r="Q27" s="22" t="s">
        <v>17</v>
      </c>
      <c r="R27" s="23">
        <f>SUM(R7:R26)</f>
        <v>45</v>
      </c>
      <c r="S27" s="24" t="s">
        <v>20</v>
      </c>
      <c r="T27" s="19"/>
      <c r="U27" s="208"/>
      <c r="V27" s="209"/>
      <c r="W27" s="210"/>
    </row>
    <row r="28" spans="1:23" ht="14.55" customHeight="1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spans="1:23" ht="14.55" customHeight="1" x14ac:dyDescent="0.3">
      <c r="A29" s="27"/>
      <c r="B29" s="27"/>
      <c r="C29" s="27"/>
      <c r="D29" s="27"/>
      <c r="E29" s="170" t="s">
        <v>27</v>
      </c>
      <c r="F29" s="171"/>
      <c r="G29" s="171"/>
      <c r="H29" s="171"/>
      <c r="I29" s="172"/>
      <c r="J29" s="175" t="s">
        <v>7</v>
      </c>
      <c r="K29" s="176"/>
      <c r="L29" s="175" t="s">
        <v>8</v>
      </c>
      <c r="M29" s="176"/>
      <c r="N29" s="175" t="s">
        <v>9</v>
      </c>
      <c r="O29" s="176"/>
      <c r="P29" s="175" t="s">
        <v>117</v>
      </c>
      <c r="Q29" s="176"/>
      <c r="R29" s="27"/>
      <c r="S29" s="27"/>
    </row>
    <row r="30" spans="1:23" ht="14.55" customHeight="1" x14ac:dyDescent="0.3">
      <c r="A30" s="27"/>
      <c r="B30" s="27"/>
      <c r="C30" s="27"/>
      <c r="D30" s="27"/>
      <c r="E30" s="15"/>
      <c r="F30" s="15"/>
      <c r="G30" s="15"/>
      <c r="H30" s="15"/>
      <c r="I30" s="15"/>
      <c r="J30" s="30">
        <f>J27</f>
        <v>3116</v>
      </c>
      <c r="K30" s="31" t="s">
        <v>17</v>
      </c>
      <c r="L30" s="32">
        <f>L27</f>
        <v>0</v>
      </c>
      <c r="M30" s="31" t="s">
        <v>17</v>
      </c>
      <c r="N30" s="32">
        <f>N27</f>
        <v>3607</v>
      </c>
      <c r="O30" s="31" t="s">
        <v>17</v>
      </c>
      <c r="P30" s="33">
        <f>P27</f>
        <v>0</v>
      </c>
      <c r="Q30" s="34" t="s">
        <v>17</v>
      </c>
      <c r="R30" s="27"/>
      <c r="S30" s="27"/>
    </row>
    <row r="31" spans="1:23" ht="30" customHeight="1" x14ac:dyDescent="0.3">
      <c r="A31" s="27"/>
      <c r="B31" s="27"/>
      <c r="C31" s="27"/>
      <c r="D31" s="27"/>
      <c r="E31" s="28"/>
      <c r="F31" s="28"/>
      <c r="G31" s="28"/>
      <c r="H31" s="28"/>
      <c r="I31" s="28"/>
      <c r="J31" s="167">
        <f>J30+L30+N30+P30</f>
        <v>6723</v>
      </c>
      <c r="K31" s="168"/>
      <c r="L31" s="168"/>
      <c r="M31" s="168"/>
      <c r="N31" s="168"/>
      <c r="O31" s="168"/>
      <c r="P31" s="168"/>
      <c r="Q31" s="169"/>
      <c r="R31" s="27"/>
      <c r="S31" s="27"/>
    </row>
    <row r="32" spans="1:23" ht="14.55" customHeight="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spans="1:23" s="37" customFormat="1" ht="19.95" customHeight="1" x14ac:dyDescent="0.4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183" t="s">
        <v>14</v>
      </c>
      <c r="R33" s="183"/>
      <c r="S33" s="183"/>
      <c r="T33" s="184">
        <f>T3</f>
        <v>45961</v>
      </c>
      <c r="U33" s="185"/>
      <c r="V33" s="185"/>
      <c r="W33" s="186"/>
    </row>
    <row r="34" spans="1:23" s="16" customFormat="1" ht="30" customHeight="1" x14ac:dyDescent="0.3">
      <c r="A34" s="187" t="s">
        <v>29</v>
      </c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9"/>
      <c r="Q34" s="189"/>
      <c r="R34" s="189"/>
      <c r="S34" s="189"/>
      <c r="T34" s="188"/>
      <c r="U34" s="188"/>
      <c r="V34" s="188"/>
      <c r="W34" s="190"/>
    </row>
    <row r="35" spans="1:23" s="26" customFormat="1" ht="13.8" x14ac:dyDescent="0.3">
      <c r="A35" s="191" t="s">
        <v>1</v>
      </c>
      <c r="B35" s="192" t="s">
        <v>2</v>
      </c>
      <c r="C35" s="192" t="s">
        <v>3</v>
      </c>
      <c r="D35" s="192" t="s">
        <v>4</v>
      </c>
      <c r="E35" s="193" t="s">
        <v>5</v>
      </c>
      <c r="F35" s="195" t="s">
        <v>21</v>
      </c>
      <c r="G35" s="195" t="s">
        <v>22</v>
      </c>
      <c r="H35" s="195" t="s">
        <v>33</v>
      </c>
      <c r="I35" s="195" t="s">
        <v>30</v>
      </c>
      <c r="J35" s="193" t="s">
        <v>6</v>
      </c>
      <c r="K35" s="197"/>
      <c r="L35" s="197"/>
      <c r="M35" s="197"/>
      <c r="N35" s="197"/>
      <c r="O35" s="197"/>
      <c r="P35" s="197"/>
      <c r="Q35" s="198"/>
      <c r="R35" s="193" t="s">
        <v>10</v>
      </c>
      <c r="S35" s="198"/>
      <c r="T35" s="191" t="s">
        <v>11</v>
      </c>
      <c r="U35" s="191" t="s">
        <v>12</v>
      </c>
      <c r="V35" s="191"/>
      <c r="W35" s="191"/>
    </row>
    <row r="36" spans="1:23" s="26" customFormat="1" ht="13.8" x14ac:dyDescent="0.3">
      <c r="A36" s="191"/>
      <c r="B36" s="192"/>
      <c r="C36" s="192"/>
      <c r="D36" s="192"/>
      <c r="E36" s="194"/>
      <c r="F36" s="196"/>
      <c r="G36" s="196"/>
      <c r="H36" s="196"/>
      <c r="I36" s="196"/>
      <c r="J36" s="200" t="s">
        <v>7</v>
      </c>
      <c r="K36" s="201"/>
      <c r="L36" s="200" t="s">
        <v>8</v>
      </c>
      <c r="M36" s="201"/>
      <c r="N36" s="200" t="s">
        <v>9</v>
      </c>
      <c r="O36" s="201"/>
      <c r="P36" s="200" t="s">
        <v>117</v>
      </c>
      <c r="Q36" s="201"/>
      <c r="R36" s="194"/>
      <c r="S36" s="199"/>
      <c r="T36" s="191"/>
      <c r="U36" s="191"/>
      <c r="V36" s="191"/>
      <c r="W36" s="191"/>
    </row>
    <row r="37" spans="1:23" ht="14.55" customHeight="1" x14ac:dyDescent="0.3">
      <c r="A37" s="180" t="s">
        <v>32</v>
      </c>
      <c r="B37" s="5">
        <v>0.33333333333333331</v>
      </c>
      <c r="C37" s="5">
        <v>0.70833333333333337</v>
      </c>
      <c r="D37" s="4">
        <v>250049</v>
      </c>
      <c r="E37" s="12" t="s">
        <v>718</v>
      </c>
      <c r="F37" s="40">
        <v>304</v>
      </c>
      <c r="G37" s="41">
        <v>0.9</v>
      </c>
      <c r="H37" s="40">
        <v>445</v>
      </c>
      <c r="I37" s="12">
        <v>6</v>
      </c>
      <c r="J37" s="165">
        <v>468</v>
      </c>
      <c r="K37" s="166"/>
      <c r="L37" s="165"/>
      <c r="M37" s="166"/>
      <c r="N37" s="165"/>
      <c r="O37" s="166"/>
      <c r="P37" s="165"/>
      <c r="Q37" s="166"/>
      <c r="R37" s="150">
        <v>40</v>
      </c>
      <c r="S37" s="14" t="s">
        <v>20</v>
      </c>
      <c r="T37" s="42" t="s">
        <v>93</v>
      </c>
      <c r="U37" s="177"/>
      <c r="V37" s="178"/>
      <c r="W37" s="179"/>
    </row>
    <row r="38" spans="1:23" ht="14.55" customHeight="1" x14ac:dyDescent="0.3">
      <c r="A38" s="181"/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150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81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150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82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SUM(J37:K39)</f>
        <v>468</v>
      </c>
      <c r="K40" s="174"/>
      <c r="L40" s="173">
        <f>SUM(L37:M39)</f>
        <v>0</v>
      </c>
      <c r="M40" s="174"/>
      <c r="N40" s="173">
        <f>SUM(N37:O39)</f>
        <v>0</v>
      </c>
      <c r="O40" s="174"/>
      <c r="P40" s="173">
        <f>SUM(P37:Q39)</f>
        <v>0</v>
      </c>
      <c r="Q40" s="174"/>
      <c r="R40" s="23">
        <f>SUM(R37:R39)</f>
        <v>40</v>
      </c>
      <c r="S40" s="24" t="s">
        <v>20</v>
      </c>
      <c r="T40" s="19"/>
      <c r="U40" s="177"/>
      <c r="V40" s="178"/>
      <c r="W40" s="179"/>
    </row>
    <row r="41" spans="1:23" ht="14.55" customHeight="1" x14ac:dyDescent="0.3">
      <c r="A41" s="163" t="s">
        <v>34</v>
      </c>
      <c r="B41" s="5">
        <v>0.33333333333333331</v>
      </c>
      <c r="C41" s="5"/>
      <c r="D41" s="4">
        <v>250082</v>
      </c>
      <c r="E41" s="12" t="s">
        <v>719</v>
      </c>
      <c r="F41" s="40">
        <v>430</v>
      </c>
      <c r="G41" s="41">
        <v>0.6</v>
      </c>
      <c r="H41" s="40">
        <v>719</v>
      </c>
      <c r="I41" s="12">
        <v>8</v>
      </c>
      <c r="J41" s="165">
        <v>600</v>
      </c>
      <c r="K41" s="166"/>
      <c r="L41" s="165"/>
      <c r="M41" s="166"/>
      <c r="N41" s="165"/>
      <c r="O41" s="166"/>
      <c r="P41" s="165"/>
      <c r="Q41" s="166"/>
      <c r="R41" s="150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>
        <v>250080</v>
      </c>
      <c r="E42" s="12" t="s">
        <v>373</v>
      </c>
      <c r="F42" s="40">
        <v>304</v>
      </c>
      <c r="G42" s="41">
        <v>0.6</v>
      </c>
      <c r="H42" s="40">
        <v>435</v>
      </c>
      <c r="I42" s="12">
        <v>7</v>
      </c>
      <c r="J42" s="165">
        <v>300</v>
      </c>
      <c r="K42" s="166"/>
      <c r="L42" s="165"/>
      <c r="M42" s="166"/>
      <c r="N42" s="165"/>
      <c r="O42" s="166"/>
      <c r="P42" s="165"/>
      <c r="Q42" s="166"/>
      <c r="R42" s="150">
        <v>40</v>
      </c>
      <c r="S42" s="14" t="s">
        <v>20</v>
      </c>
      <c r="T42" s="42" t="s">
        <v>93</v>
      </c>
      <c r="U42" s="177"/>
      <c r="V42" s="178"/>
      <c r="W42" s="179"/>
    </row>
    <row r="43" spans="1:23" ht="14.55" customHeight="1" x14ac:dyDescent="0.3">
      <c r="A43" s="163"/>
      <c r="B43" s="5"/>
      <c r="C43" s="5"/>
      <c r="D43" s="4">
        <v>250084</v>
      </c>
      <c r="E43" s="12" t="s">
        <v>720</v>
      </c>
      <c r="F43" s="40">
        <v>304</v>
      </c>
      <c r="G43" s="41">
        <v>0.7</v>
      </c>
      <c r="H43" s="40">
        <v>355</v>
      </c>
      <c r="I43" s="12">
        <v>7</v>
      </c>
      <c r="J43" s="165">
        <v>750</v>
      </c>
      <c r="K43" s="166"/>
      <c r="L43" s="165"/>
      <c r="M43" s="166"/>
      <c r="N43" s="165"/>
      <c r="O43" s="166"/>
      <c r="P43" s="165"/>
      <c r="Q43" s="166"/>
      <c r="R43" s="150">
        <v>40</v>
      </c>
      <c r="S43" s="14" t="s">
        <v>20</v>
      </c>
      <c r="T43" s="42" t="s">
        <v>93</v>
      </c>
      <c r="U43" s="177"/>
      <c r="V43" s="178"/>
      <c r="W43" s="179"/>
    </row>
    <row r="44" spans="1:23" ht="14.55" customHeight="1" x14ac:dyDescent="0.3">
      <c r="A44" s="163"/>
      <c r="B44" s="5"/>
      <c r="C44" s="5"/>
      <c r="D44" s="4">
        <v>151025</v>
      </c>
      <c r="E44" s="12" t="s">
        <v>721</v>
      </c>
      <c r="F44" s="40">
        <v>304</v>
      </c>
      <c r="G44" s="41">
        <v>0.7</v>
      </c>
      <c r="H44" s="40">
        <v>319</v>
      </c>
      <c r="I44" s="12">
        <v>3</v>
      </c>
      <c r="J44" s="165">
        <v>600</v>
      </c>
      <c r="K44" s="166"/>
      <c r="L44" s="165"/>
      <c r="M44" s="166"/>
      <c r="N44" s="165"/>
      <c r="O44" s="166"/>
      <c r="P44" s="165"/>
      <c r="Q44" s="166"/>
      <c r="R44" s="150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3"/>
      <c r="B45" s="5"/>
      <c r="C45" s="5">
        <v>0.70833333333333337</v>
      </c>
      <c r="D45" s="4">
        <v>250084</v>
      </c>
      <c r="E45" s="12" t="s">
        <v>722</v>
      </c>
      <c r="F45" s="40">
        <v>304</v>
      </c>
      <c r="G45" s="41">
        <v>0.7</v>
      </c>
      <c r="H45" s="40">
        <v>315</v>
      </c>
      <c r="I45" s="12">
        <v>3</v>
      </c>
      <c r="J45" s="165">
        <v>400</v>
      </c>
      <c r="K45" s="166"/>
      <c r="L45" s="165"/>
      <c r="M45" s="166"/>
      <c r="N45" s="165"/>
      <c r="O45" s="166"/>
      <c r="P45" s="165"/>
      <c r="Q45" s="166"/>
      <c r="R45" s="150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150"/>
      <c r="S46" s="14" t="s">
        <v>20</v>
      </c>
      <c r="T46" s="42"/>
      <c r="U46" s="177"/>
      <c r="V46" s="178"/>
      <c r="W46" s="179"/>
    </row>
    <row r="47" spans="1:23" ht="14.55" customHeight="1" x14ac:dyDescent="0.3">
      <c r="A47" s="164"/>
      <c r="B47" s="19"/>
      <c r="C47" s="19"/>
      <c r="D47" s="20"/>
      <c r="E47" s="170" t="s">
        <v>0</v>
      </c>
      <c r="F47" s="171"/>
      <c r="G47" s="171"/>
      <c r="H47" s="171"/>
      <c r="I47" s="172"/>
      <c r="J47" s="173">
        <f>SUM(J41:K46)</f>
        <v>2650</v>
      </c>
      <c r="K47" s="174"/>
      <c r="L47" s="173">
        <f>SUM(L41:M46)</f>
        <v>0</v>
      </c>
      <c r="M47" s="174"/>
      <c r="N47" s="173">
        <f>SUM(N41:O46)</f>
        <v>0</v>
      </c>
      <c r="O47" s="174"/>
      <c r="P47" s="173">
        <f>SUM(P41:Q46)</f>
        <v>0</v>
      </c>
      <c r="Q47" s="174"/>
      <c r="R47" s="23">
        <f>SUM(R41:R46)</f>
        <v>80</v>
      </c>
      <c r="S47" s="24" t="s">
        <v>20</v>
      </c>
      <c r="T47" s="19"/>
      <c r="U47" s="177"/>
      <c r="V47" s="178"/>
      <c r="W47" s="179"/>
    </row>
    <row r="48" spans="1:23" ht="14.55" customHeight="1" x14ac:dyDescent="0.3">
      <c r="A48" s="163" t="s">
        <v>583</v>
      </c>
      <c r="B48" s="5"/>
      <c r="C48" s="5"/>
      <c r="D48" s="4"/>
      <c r="E48" s="12"/>
      <c r="F48" s="40"/>
      <c r="G48" s="41"/>
      <c r="H48" s="40"/>
      <c r="I48" s="12"/>
      <c r="J48" s="165"/>
      <c r="K48" s="166"/>
      <c r="L48" s="165"/>
      <c r="M48" s="166"/>
      <c r="N48" s="165"/>
      <c r="O48" s="166"/>
      <c r="P48" s="165"/>
      <c r="Q48" s="166"/>
      <c r="R48" s="150"/>
      <c r="S48" s="14"/>
      <c r="T48" s="42"/>
      <c r="U48" s="177"/>
      <c r="V48" s="178"/>
      <c r="W48" s="179"/>
    </row>
    <row r="49" spans="1:23" ht="14.55" customHeight="1" x14ac:dyDescent="0.3">
      <c r="A49" s="163"/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150"/>
      <c r="S49" s="14" t="s">
        <v>20</v>
      </c>
      <c r="T49" s="42"/>
      <c r="U49" s="177"/>
      <c r="V49" s="178"/>
      <c r="W49" s="179"/>
    </row>
    <row r="50" spans="1:23" ht="14.55" customHeight="1" x14ac:dyDescent="0.3">
      <c r="A50" s="163"/>
      <c r="B50" s="5"/>
      <c r="C50" s="5"/>
      <c r="D50" s="4"/>
      <c r="E50" s="12"/>
      <c r="F50" s="40"/>
      <c r="G50" s="41"/>
      <c r="H50" s="40"/>
      <c r="I50" s="12"/>
      <c r="J50" s="165"/>
      <c r="K50" s="166"/>
      <c r="L50" s="165"/>
      <c r="M50" s="166"/>
      <c r="N50" s="165"/>
      <c r="O50" s="166"/>
      <c r="P50" s="165"/>
      <c r="Q50" s="166"/>
      <c r="R50" s="150"/>
      <c r="S50" s="14" t="s">
        <v>20</v>
      </c>
      <c r="T50" s="42"/>
      <c r="U50" s="177"/>
      <c r="V50" s="178"/>
      <c r="W50" s="179"/>
    </row>
    <row r="51" spans="1:23" ht="14.55" customHeight="1" x14ac:dyDescent="0.3">
      <c r="A51" s="164"/>
      <c r="B51" s="19"/>
      <c r="C51" s="19"/>
      <c r="D51" s="20"/>
      <c r="E51" s="170" t="s">
        <v>0</v>
      </c>
      <c r="F51" s="171"/>
      <c r="G51" s="171"/>
      <c r="H51" s="171"/>
      <c r="I51" s="172"/>
      <c r="J51" s="173">
        <f>SUM(J48:K50)</f>
        <v>0</v>
      </c>
      <c r="K51" s="174"/>
      <c r="L51" s="173">
        <f>SUM(L48:M50)</f>
        <v>0</v>
      </c>
      <c r="M51" s="174"/>
      <c r="N51" s="173">
        <f>SUM(N48:O50)</f>
        <v>0</v>
      </c>
      <c r="O51" s="174"/>
      <c r="P51" s="173">
        <f>SUM(P48:Q50)</f>
        <v>0</v>
      </c>
      <c r="Q51" s="174"/>
      <c r="R51" s="23">
        <f>SUM(R48:R50)</f>
        <v>0</v>
      </c>
      <c r="S51" s="24" t="s">
        <v>20</v>
      </c>
      <c r="T51" s="19"/>
      <c r="U51" s="177"/>
      <c r="V51" s="178"/>
      <c r="W51" s="179"/>
    </row>
    <row r="52" spans="1:23" ht="14.55" customHeight="1" x14ac:dyDescent="0.3">
      <c r="A52" s="163" t="s">
        <v>35</v>
      </c>
      <c r="B52" s="5">
        <v>0.33333333333333331</v>
      </c>
      <c r="C52" s="5"/>
      <c r="D52" s="4">
        <v>250080</v>
      </c>
      <c r="E52" s="12" t="s">
        <v>563</v>
      </c>
      <c r="F52" s="40">
        <v>304</v>
      </c>
      <c r="G52" s="41">
        <v>0.7</v>
      </c>
      <c r="H52" s="40">
        <v>265</v>
      </c>
      <c r="I52" s="12"/>
      <c r="J52" s="165"/>
      <c r="K52" s="166"/>
      <c r="L52" s="165"/>
      <c r="M52" s="166"/>
      <c r="N52" s="165">
        <v>686</v>
      </c>
      <c r="O52" s="166"/>
      <c r="P52" s="165"/>
      <c r="Q52" s="166"/>
      <c r="R52" s="151">
        <v>40</v>
      </c>
      <c r="S52" s="14" t="s">
        <v>20</v>
      </c>
      <c r="T52" s="42" t="s">
        <v>93</v>
      </c>
      <c r="U52" s="177"/>
      <c r="V52" s="178"/>
      <c r="W52" s="179"/>
    </row>
    <row r="53" spans="1:23" ht="14.55" customHeight="1" x14ac:dyDescent="0.3">
      <c r="A53" s="163"/>
      <c r="B53" s="5"/>
      <c r="C53" s="5"/>
      <c r="D53" s="4">
        <v>250079</v>
      </c>
      <c r="E53" s="12" t="s">
        <v>698</v>
      </c>
      <c r="F53" s="40">
        <v>304</v>
      </c>
      <c r="G53" s="41">
        <v>0.7</v>
      </c>
      <c r="H53" s="40">
        <v>265</v>
      </c>
      <c r="I53" s="12"/>
      <c r="J53" s="165"/>
      <c r="K53" s="166"/>
      <c r="L53" s="165"/>
      <c r="M53" s="166"/>
      <c r="N53" s="165">
        <v>1314</v>
      </c>
      <c r="O53" s="166"/>
      <c r="P53" s="165"/>
      <c r="Q53" s="166"/>
      <c r="R53" s="151">
        <v>40</v>
      </c>
      <c r="S53" s="14" t="s">
        <v>20</v>
      </c>
      <c r="T53" s="42" t="s">
        <v>93</v>
      </c>
      <c r="U53" s="177"/>
      <c r="V53" s="178"/>
      <c r="W53" s="179"/>
    </row>
    <row r="54" spans="1:23" ht="14.55" customHeight="1" x14ac:dyDescent="0.3">
      <c r="A54" s="163"/>
      <c r="B54" s="5"/>
      <c r="C54" s="5">
        <v>0.70833333333333337</v>
      </c>
      <c r="D54" s="4" t="s">
        <v>248</v>
      </c>
      <c r="E54" s="12" t="s">
        <v>248</v>
      </c>
      <c r="F54" s="40">
        <v>304</v>
      </c>
      <c r="G54" s="41">
        <v>0.9</v>
      </c>
      <c r="H54" s="40"/>
      <c r="I54" s="12"/>
      <c r="J54" s="165"/>
      <c r="K54" s="166"/>
      <c r="L54" s="165"/>
      <c r="M54" s="166"/>
      <c r="N54" s="165">
        <v>25</v>
      </c>
      <c r="O54" s="166"/>
      <c r="P54" s="165"/>
      <c r="Q54" s="166"/>
      <c r="R54" s="151"/>
      <c r="S54" s="14" t="s">
        <v>20</v>
      </c>
      <c r="T54" s="42"/>
      <c r="U54" s="177"/>
      <c r="V54" s="178"/>
      <c r="W54" s="179"/>
    </row>
    <row r="55" spans="1:23" ht="14.55" customHeight="1" x14ac:dyDescent="0.3">
      <c r="A55" s="163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150"/>
      <c r="S55" s="14" t="s">
        <v>20</v>
      </c>
      <c r="T55" s="42"/>
      <c r="U55" s="177"/>
      <c r="V55" s="178"/>
      <c r="W55" s="179"/>
    </row>
    <row r="56" spans="1:23" ht="14.55" customHeight="1" x14ac:dyDescent="0.3">
      <c r="A56" s="163"/>
      <c r="B56" s="5"/>
      <c r="C56" s="5"/>
      <c r="D56" s="4"/>
      <c r="E56" s="12"/>
      <c r="F56" s="40"/>
      <c r="G56" s="41"/>
      <c r="H56" s="40"/>
      <c r="I56" s="12"/>
      <c r="J56" s="165"/>
      <c r="K56" s="166"/>
      <c r="L56" s="165"/>
      <c r="M56" s="166"/>
      <c r="N56" s="165"/>
      <c r="O56" s="166"/>
      <c r="P56" s="165"/>
      <c r="Q56" s="166"/>
      <c r="R56" s="150"/>
      <c r="S56" s="14" t="s">
        <v>20</v>
      </c>
      <c r="T56" s="42"/>
      <c r="U56" s="177"/>
      <c r="V56" s="178"/>
      <c r="W56" s="179"/>
    </row>
    <row r="57" spans="1:23" ht="14.55" customHeight="1" x14ac:dyDescent="0.3">
      <c r="A57" s="164"/>
      <c r="B57" s="19"/>
      <c r="C57" s="19"/>
      <c r="D57" s="20"/>
      <c r="E57" s="170" t="s">
        <v>0</v>
      </c>
      <c r="F57" s="171"/>
      <c r="G57" s="171"/>
      <c r="H57" s="171"/>
      <c r="I57" s="172"/>
      <c r="J57" s="173">
        <f>SUM(J52:K56)</f>
        <v>0</v>
      </c>
      <c r="K57" s="174"/>
      <c r="L57" s="173">
        <f>SUM(L52:M56)</f>
        <v>0</v>
      </c>
      <c r="M57" s="174"/>
      <c r="N57" s="173">
        <f>SUM(N52:O56)</f>
        <v>2025</v>
      </c>
      <c r="O57" s="174"/>
      <c r="P57" s="173">
        <f>SUM(P52:Q56)</f>
        <v>0</v>
      </c>
      <c r="Q57" s="174"/>
      <c r="R57" s="23">
        <f>SUM(R52:R56)</f>
        <v>80</v>
      </c>
      <c r="S57" s="24" t="s">
        <v>20</v>
      </c>
      <c r="T57" s="19"/>
      <c r="U57" s="177"/>
      <c r="V57" s="178"/>
      <c r="W57" s="179"/>
    </row>
    <row r="58" spans="1:23" ht="14.55" customHeight="1" x14ac:dyDescent="0.3">
      <c r="A58" s="27"/>
      <c r="B58" s="27"/>
      <c r="C58" s="27"/>
      <c r="D58" s="27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27"/>
      <c r="S58" s="27"/>
      <c r="T58" s="39"/>
      <c r="U58" s="39"/>
      <c r="V58" s="39"/>
      <c r="W58" s="39"/>
    </row>
    <row r="59" spans="1:23" x14ac:dyDescent="0.3">
      <c r="E59" s="170" t="s">
        <v>31</v>
      </c>
      <c r="F59" s="171"/>
      <c r="G59" s="171"/>
      <c r="H59" s="171"/>
      <c r="I59" s="172"/>
      <c r="J59" s="175" t="s">
        <v>7</v>
      </c>
      <c r="K59" s="176"/>
      <c r="L59" s="175" t="s">
        <v>8</v>
      </c>
      <c r="M59" s="176"/>
      <c r="N59" s="175" t="s">
        <v>9</v>
      </c>
      <c r="O59" s="176"/>
      <c r="P59" s="175" t="s">
        <v>117</v>
      </c>
      <c r="Q59" s="176"/>
    </row>
    <row r="60" spans="1:23" s="2" customFormat="1" x14ac:dyDescent="0.3">
      <c r="E60" s="15"/>
      <c r="F60" s="15"/>
      <c r="G60" s="15"/>
      <c r="H60" s="15"/>
      <c r="I60" s="15"/>
      <c r="J60" s="30">
        <f>J40+J47+J51+J57</f>
        <v>3118</v>
      </c>
      <c r="K60" s="31" t="s">
        <v>17</v>
      </c>
      <c r="L60" s="30">
        <f>L40+L47+L51+L57</f>
        <v>0</v>
      </c>
      <c r="M60" s="31" t="s">
        <v>17</v>
      </c>
      <c r="N60" s="30">
        <f>N40+N47+N51+N57</f>
        <v>2025</v>
      </c>
      <c r="O60" s="31" t="s">
        <v>17</v>
      </c>
      <c r="P60" s="30">
        <f>P40+P47+P51+P57</f>
        <v>0</v>
      </c>
      <c r="Q60" s="34" t="s">
        <v>17</v>
      </c>
    </row>
    <row r="61" spans="1:23" ht="24.45" customHeight="1" x14ac:dyDescent="0.3">
      <c r="E61" s="28"/>
      <c r="F61" s="28"/>
      <c r="G61" s="28"/>
      <c r="H61" s="28"/>
      <c r="I61" s="28"/>
      <c r="J61" s="167">
        <f>J60+L60+N60+P60</f>
        <v>5143</v>
      </c>
      <c r="K61" s="168"/>
      <c r="L61" s="168"/>
      <c r="M61" s="168"/>
      <c r="N61" s="168"/>
      <c r="O61" s="168"/>
      <c r="P61" s="168"/>
      <c r="Q61" s="169"/>
    </row>
    <row r="62" spans="1:23" ht="14.55" customHeight="1" x14ac:dyDescent="0.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spans="1:23" s="37" customFormat="1" ht="19.95" customHeight="1" x14ac:dyDescent="0.4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183" t="s">
        <v>14</v>
      </c>
      <c r="R63" s="183"/>
      <c r="S63" s="183"/>
      <c r="T63" s="184">
        <f>T3</f>
        <v>45961</v>
      </c>
      <c r="U63" s="185"/>
      <c r="V63" s="185"/>
      <c r="W63" s="186"/>
    </row>
    <row r="64" spans="1:23" s="16" customFormat="1" ht="30" customHeight="1" x14ac:dyDescent="0.3">
      <c r="A64" s="187" t="s">
        <v>586</v>
      </c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9"/>
      <c r="Q64" s="189"/>
      <c r="R64" s="189"/>
      <c r="S64" s="189"/>
      <c r="T64" s="188"/>
      <c r="U64" s="188"/>
      <c r="V64" s="188"/>
      <c r="W64" s="190"/>
    </row>
    <row r="65" spans="1:23" s="26" customFormat="1" ht="13.8" x14ac:dyDescent="0.3">
      <c r="A65" s="191" t="s">
        <v>1</v>
      </c>
      <c r="B65" s="192" t="s">
        <v>2</v>
      </c>
      <c r="C65" s="192" t="s">
        <v>3</v>
      </c>
      <c r="D65" s="192" t="s">
        <v>4</v>
      </c>
      <c r="E65" s="193" t="s">
        <v>5</v>
      </c>
      <c r="F65" s="195" t="s">
        <v>21</v>
      </c>
      <c r="G65" s="195" t="s">
        <v>22</v>
      </c>
      <c r="H65" s="195" t="s">
        <v>33</v>
      </c>
      <c r="I65" s="195" t="s">
        <v>30</v>
      </c>
      <c r="J65" s="193" t="s">
        <v>6</v>
      </c>
      <c r="K65" s="197"/>
      <c r="L65" s="197"/>
      <c r="M65" s="197"/>
      <c r="N65" s="197"/>
      <c r="O65" s="197"/>
      <c r="P65" s="197"/>
      <c r="Q65" s="198"/>
      <c r="R65" s="193" t="s">
        <v>10</v>
      </c>
      <c r="S65" s="198"/>
      <c r="T65" s="191" t="s">
        <v>11</v>
      </c>
      <c r="U65" s="191" t="s">
        <v>12</v>
      </c>
      <c r="V65" s="191"/>
      <c r="W65" s="191"/>
    </row>
    <row r="66" spans="1:23" s="26" customFormat="1" ht="13.8" x14ac:dyDescent="0.3">
      <c r="A66" s="191"/>
      <c r="B66" s="192"/>
      <c r="C66" s="192"/>
      <c r="D66" s="192"/>
      <c r="E66" s="194"/>
      <c r="F66" s="196"/>
      <c r="G66" s="196"/>
      <c r="H66" s="196"/>
      <c r="I66" s="196"/>
      <c r="J66" s="200" t="s">
        <v>7</v>
      </c>
      <c r="K66" s="201"/>
      <c r="L66" s="200" t="s">
        <v>8</v>
      </c>
      <c r="M66" s="201"/>
      <c r="N66" s="200" t="s">
        <v>9</v>
      </c>
      <c r="O66" s="201"/>
      <c r="P66" s="200" t="s">
        <v>117</v>
      </c>
      <c r="Q66" s="201"/>
      <c r="R66" s="194"/>
      <c r="S66" s="199"/>
      <c r="T66" s="191"/>
      <c r="U66" s="191"/>
      <c r="V66" s="191"/>
      <c r="W66" s="191"/>
    </row>
    <row r="67" spans="1:23" ht="14.55" customHeight="1" x14ac:dyDescent="0.3">
      <c r="A67" s="180" t="s">
        <v>584</v>
      </c>
      <c r="B67" s="5"/>
      <c r="C67" s="5"/>
      <c r="D67" s="4"/>
      <c r="E67" s="12"/>
      <c r="F67" s="40"/>
      <c r="G67" s="41"/>
      <c r="H67" s="40"/>
      <c r="I67" s="12"/>
      <c r="J67" s="165"/>
      <c r="K67" s="166"/>
      <c r="L67" s="165"/>
      <c r="M67" s="166"/>
      <c r="N67" s="165"/>
      <c r="O67" s="166"/>
      <c r="P67" s="165"/>
      <c r="Q67" s="166"/>
      <c r="R67" s="150"/>
      <c r="S67" s="14" t="s">
        <v>20</v>
      </c>
      <c r="T67" s="42"/>
      <c r="U67" s="177"/>
      <c r="V67" s="178"/>
      <c r="W67" s="179"/>
    </row>
    <row r="68" spans="1:23" ht="14.55" customHeight="1" x14ac:dyDescent="0.3">
      <c r="A68" s="181"/>
      <c r="B68" s="5"/>
      <c r="C68" s="5"/>
      <c r="D68" s="4"/>
      <c r="E68" s="13"/>
      <c r="F68" s="40"/>
      <c r="G68" s="41"/>
      <c r="H68" s="40"/>
      <c r="I68" s="12"/>
      <c r="J68" s="165"/>
      <c r="K68" s="166"/>
      <c r="L68" s="165"/>
      <c r="M68" s="166"/>
      <c r="N68" s="165"/>
      <c r="O68" s="166"/>
      <c r="P68" s="165"/>
      <c r="Q68" s="166"/>
      <c r="R68" s="150"/>
      <c r="S68" s="14" t="s">
        <v>20</v>
      </c>
      <c r="T68" s="42"/>
      <c r="U68" s="177"/>
      <c r="V68" s="178"/>
      <c r="W68" s="179"/>
    </row>
    <row r="69" spans="1:23" ht="14.55" customHeight="1" x14ac:dyDescent="0.3">
      <c r="A69" s="181"/>
      <c r="B69" s="5"/>
      <c r="C69" s="5"/>
      <c r="D69" s="4"/>
      <c r="E69" s="12"/>
      <c r="F69" s="40"/>
      <c r="G69" s="41"/>
      <c r="H69" s="40"/>
      <c r="I69" s="12"/>
      <c r="J69" s="165"/>
      <c r="K69" s="166"/>
      <c r="L69" s="165"/>
      <c r="M69" s="166"/>
      <c r="N69" s="165"/>
      <c r="O69" s="166"/>
      <c r="P69" s="165"/>
      <c r="Q69" s="166"/>
      <c r="R69" s="150"/>
      <c r="S69" s="14" t="s">
        <v>20</v>
      </c>
      <c r="T69" s="42"/>
      <c r="U69" s="177"/>
      <c r="V69" s="178"/>
      <c r="W69" s="179"/>
    </row>
    <row r="70" spans="1:23" ht="14.55" customHeight="1" x14ac:dyDescent="0.3">
      <c r="A70" s="181"/>
      <c r="B70" s="5"/>
      <c r="C70" s="5"/>
      <c r="D70" s="4"/>
      <c r="E70" s="13"/>
      <c r="F70" s="40"/>
      <c r="G70" s="41"/>
      <c r="H70" s="40"/>
      <c r="I70" s="12"/>
      <c r="J70" s="165"/>
      <c r="K70" s="166"/>
      <c r="L70" s="165"/>
      <c r="M70" s="166"/>
      <c r="N70" s="165"/>
      <c r="O70" s="166"/>
      <c r="P70" s="165"/>
      <c r="Q70" s="166"/>
      <c r="R70" s="150"/>
      <c r="S70" s="14" t="s">
        <v>20</v>
      </c>
      <c r="T70" s="42"/>
      <c r="U70" s="177"/>
      <c r="V70" s="178"/>
      <c r="W70" s="179"/>
    </row>
    <row r="71" spans="1:23" ht="14.55" customHeight="1" x14ac:dyDescent="0.3">
      <c r="A71" s="181"/>
      <c r="B71" s="5"/>
      <c r="C71" s="5"/>
      <c r="D71" s="4"/>
      <c r="E71" s="12"/>
      <c r="F71" s="40"/>
      <c r="G71" s="41"/>
      <c r="H71" s="40"/>
      <c r="I71" s="12"/>
      <c r="J71" s="165"/>
      <c r="K71" s="166"/>
      <c r="L71" s="165"/>
      <c r="M71" s="166"/>
      <c r="N71" s="165"/>
      <c r="O71" s="166"/>
      <c r="P71" s="165"/>
      <c r="Q71" s="166"/>
      <c r="R71" s="150"/>
      <c r="S71" s="14" t="s">
        <v>20</v>
      </c>
      <c r="T71" s="42"/>
      <c r="U71" s="177"/>
      <c r="V71" s="178"/>
      <c r="W71" s="179"/>
    </row>
    <row r="72" spans="1:23" ht="14.55" customHeight="1" x14ac:dyDescent="0.3">
      <c r="A72" s="181"/>
      <c r="B72" s="5"/>
      <c r="C72" s="5"/>
      <c r="D72" s="4"/>
      <c r="E72" s="13"/>
      <c r="F72" s="40"/>
      <c r="G72" s="41"/>
      <c r="H72" s="40"/>
      <c r="I72" s="12"/>
      <c r="J72" s="165"/>
      <c r="K72" s="166"/>
      <c r="L72" s="165"/>
      <c r="M72" s="166"/>
      <c r="N72" s="165"/>
      <c r="O72" s="166"/>
      <c r="P72" s="165"/>
      <c r="Q72" s="166"/>
      <c r="R72" s="150"/>
      <c r="S72" s="14" t="s">
        <v>20</v>
      </c>
      <c r="T72" s="42"/>
      <c r="U72" s="177"/>
      <c r="V72" s="178"/>
      <c r="W72" s="179"/>
    </row>
    <row r="73" spans="1:23" ht="14.55" customHeight="1" x14ac:dyDescent="0.3">
      <c r="A73" s="181"/>
      <c r="B73" s="5"/>
      <c r="C73" s="5"/>
      <c r="D73" s="4"/>
      <c r="E73" s="12"/>
      <c r="F73" s="40"/>
      <c r="G73" s="41"/>
      <c r="H73" s="40"/>
      <c r="I73" s="12"/>
      <c r="J73" s="165"/>
      <c r="K73" s="166"/>
      <c r="L73" s="165"/>
      <c r="M73" s="166"/>
      <c r="N73" s="165"/>
      <c r="O73" s="166"/>
      <c r="P73" s="165"/>
      <c r="Q73" s="166"/>
      <c r="R73" s="150"/>
      <c r="S73" s="14" t="s">
        <v>20</v>
      </c>
      <c r="T73" s="42"/>
      <c r="U73" s="177"/>
      <c r="V73" s="178"/>
      <c r="W73" s="179"/>
    </row>
    <row r="74" spans="1:23" ht="14.55" customHeight="1" x14ac:dyDescent="0.3">
      <c r="A74" s="181"/>
      <c r="B74" s="5"/>
      <c r="C74" s="5"/>
      <c r="D74" s="4"/>
      <c r="E74" s="12"/>
      <c r="F74" s="40"/>
      <c r="G74" s="41"/>
      <c r="H74" s="40"/>
      <c r="I74" s="12"/>
      <c r="J74" s="165"/>
      <c r="K74" s="166"/>
      <c r="L74" s="165"/>
      <c r="M74" s="166"/>
      <c r="N74" s="165"/>
      <c r="O74" s="166"/>
      <c r="P74" s="165"/>
      <c r="Q74" s="166"/>
      <c r="R74" s="150"/>
      <c r="S74" s="14" t="s">
        <v>20</v>
      </c>
      <c r="T74" s="42"/>
      <c r="U74" s="177"/>
      <c r="V74" s="178"/>
      <c r="W74" s="179"/>
    </row>
    <row r="75" spans="1:23" ht="14.55" customHeight="1" x14ac:dyDescent="0.3">
      <c r="A75" s="181"/>
      <c r="B75" s="5"/>
      <c r="C75" s="5"/>
      <c r="D75" s="4"/>
      <c r="E75" s="12"/>
      <c r="F75" s="40"/>
      <c r="G75" s="41"/>
      <c r="H75" s="40"/>
      <c r="I75" s="12"/>
      <c r="J75" s="165"/>
      <c r="K75" s="166"/>
      <c r="L75" s="165"/>
      <c r="M75" s="166"/>
      <c r="N75" s="165"/>
      <c r="O75" s="166"/>
      <c r="P75" s="165"/>
      <c r="Q75" s="166"/>
      <c r="R75" s="150"/>
      <c r="S75" s="14" t="s">
        <v>20</v>
      </c>
      <c r="T75" s="42"/>
      <c r="U75" s="177"/>
      <c r="V75" s="178"/>
      <c r="W75" s="179"/>
    </row>
    <row r="76" spans="1:23" ht="14.55" customHeight="1" x14ac:dyDescent="0.3">
      <c r="A76" s="182"/>
      <c r="B76" s="19"/>
      <c r="C76" s="19"/>
      <c r="D76" s="20"/>
      <c r="E76" s="170" t="s">
        <v>0</v>
      </c>
      <c r="F76" s="171"/>
      <c r="G76" s="171"/>
      <c r="H76" s="171"/>
      <c r="I76" s="172"/>
      <c r="J76" s="173">
        <f>SUM(J67:K75)</f>
        <v>0</v>
      </c>
      <c r="K76" s="174"/>
      <c r="L76" s="173">
        <f>SUM(L67:M75)</f>
        <v>0</v>
      </c>
      <c r="M76" s="174"/>
      <c r="N76" s="173">
        <f>SUM(N67:O75)</f>
        <v>0</v>
      </c>
      <c r="O76" s="174"/>
      <c r="P76" s="173">
        <f>SUM(P67:Q75)</f>
        <v>0</v>
      </c>
      <c r="Q76" s="174"/>
      <c r="R76" s="23">
        <f>SUM(R67:R75)</f>
        <v>0</v>
      </c>
      <c r="S76" s="24" t="s">
        <v>20</v>
      </c>
      <c r="T76" s="19"/>
      <c r="U76" s="177"/>
      <c r="V76" s="178"/>
      <c r="W76" s="179"/>
    </row>
    <row r="77" spans="1:23" x14ac:dyDescent="0.3">
      <c r="E77" s="28"/>
      <c r="F77" s="28"/>
      <c r="G77" s="28"/>
      <c r="H77" s="28"/>
      <c r="I77" s="28"/>
      <c r="J77" s="29"/>
      <c r="K77" s="29"/>
      <c r="L77" s="29"/>
      <c r="M77" s="29"/>
      <c r="N77" s="29"/>
      <c r="O77" s="29"/>
      <c r="P77" s="29"/>
      <c r="Q77" s="29"/>
    </row>
    <row r="78" spans="1:23" x14ac:dyDescent="0.3">
      <c r="E78" s="170" t="s">
        <v>587</v>
      </c>
      <c r="F78" s="171"/>
      <c r="G78" s="171"/>
      <c r="H78" s="171"/>
      <c r="I78" s="172"/>
      <c r="J78" s="175" t="s">
        <v>7</v>
      </c>
      <c r="K78" s="176"/>
      <c r="L78" s="175" t="s">
        <v>8</v>
      </c>
      <c r="M78" s="176"/>
      <c r="N78" s="175" t="s">
        <v>9</v>
      </c>
      <c r="O78" s="176"/>
      <c r="P78" s="175" t="s">
        <v>117</v>
      </c>
      <c r="Q78" s="176"/>
    </row>
    <row r="79" spans="1:23" s="2" customFormat="1" x14ac:dyDescent="0.3">
      <c r="E79" s="15"/>
      <c r="F79" s="15"/>
      <c r="G79" s="15"/>
      <c r="H79" s="15"/>
      <c r="I79" s="15"/>
      <c r="J79" s="30">
        <f>J72+J76</f>
        <v>0</v>
      </c>
      <c r="K79" s="31" t="s">
        <v>17</v>
      </c>
      <c r="L79" s="32">
        <f>L72+L76</f>
        <v>0</v>
      </c>
      <c r="M79" s="31" t="s">
        <v>17</v>
      </c>
      <c r="N79" s="32">
        <f>N72+N76</f>
        <v>0</v>
      </c>
      <c r="O79" s="31" t="s">
        <v>17</v>
      </c>
      <c r="P79" s="32">
        <f>P72+P76</f>
        <v>0</v>
      </c>
      <c r="Q79" s="34" t="s">
        <v>17</v>
      </c>
    </row>
    <row r="80" spans="1:23" ht="24.45" customHeight="1" x14ac:dyDescent="0.3">
      <c r="E80" s="28"/>
      <c r="F80" s="28"/>
      <c r="G80" s="28"/>
      <c r="H80" s="28"/>
      <c r="I80" s="28"/>
      <c r="J80" s="167">
        <f>J79+L79+N79+P79</f>
        <v>0</v>
      </c>
      <c r="K80" s="168"/>
      <c r="L80" s="168"/>
      <c r="M80" s="168"/>
      <c r="N80" s="168"/>
      <c r="O80" s="168"/>
      <c r="P80" s="168"/>
      <c r="Q80" s="169"/>
    </row>
    <row r="81" spans="1:23" ht="14.55" customHeight="1" x14ac:dyDescent="0.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</row>
    <row r="82" spans="1:23" s="37" customFormat="1" ht="19.95" customHeight="1" x14ac:dyDescent="0.4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214" t="s">
        <v>14</v>
      </c>
      <c r="R82" s="215"/>
      <c r="S82" s="216"/>
      <c r="T82" s="184">
        <f>T3</f>
        <v>45961</v>
      </c>
      <c r="U82" s="185"/>
      <c r="V82" s="185"/>
      <c r="W82" s="186"/>
    </row>
    <row r="83" spans="1:23" s="16" customFormat="1" ht="30" customHeight="1" x14ac:dyDescent="0.3">
      <c r="A83" s="187" t="s">
        <v>26</v>
      </c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9"/>
      <c r="Q83" s="189"/>
      <c r="R83" s="189"/>
      <c r="S83" s="189"/>
      <c r="T83" s="188"/>
      <c r="U83" s="188"/>
      <c r="V83" s="188"/>
      <c r="W83" s="190"/>
    </row>
    <row r="84" spans="1:23" s="26" customFormat="1" ht="13.8" x14ac:dyDescent="0.3">
      <c r="A84" s="191" t="s">
        <v>1</v>
      </c>
      <c r="B84" s="192" t="s">
        <v>2</v>
      </c>
      <c r="C84" s="192" t="s">
        <v>3</v>
      </c>
      <c r="D84" s="192" t="s">
        <v>4</v>
      </c>
      <c r="E84" s="193" t="s">
        <v>5</v>
      </c>
      <c r="F84" s="197"/>
      <c r="G84" s="197"/>
      <c r="H84" s="197"/>
      <c r="I84" s="198"/>
      <c r="J84" s="193" t="s">
        <v>6</v>
      </c>
      <c r="K84" s="197"/>
      <c r="L84" s="197"/>
      <c r="M84" s="197"/>
      <c r="N84" s="197"/>
      <c r="O84" s="197"/>
      <c r="P84" s="197"/>
      <c r="Q84" s="198"/>
      <c r="R84" s="193" t="s">
        <v>10</v>
      </c>
      <c r="S84" s="198"/>
      <c r="T84" s="191" t="s">
        <v>11</v>
      </c>
      <c r="U84" s="191" t="s">
        <v>12</v>
      </c>
      <c r="V84" s="191"/>
      <c r="W84" s="191"/>
    </row>
    <row r="85" spans="1:23" s="26" customFormat="1" ht="13.8" x14ac:dyDescent="0.3">
      <c r="A85" s="191"/>
      <c r="B85" s="192"/>
      <c r="C85" s="192"/>
      <c r="D85" s="192"/>
      <c r="E85" s="194"/>
      <c r="F85" s="217"/>
      <c r="G85" s="217"/>
      <c r="H85" s="217"/>
      <c r="I85" s="199"/>
      <c r="J85" s="200" t="s">
        <v>7</v>
      </c>
      <c r="K85" s="201"/>
      <c r="L85" s="200" t="s">
        <v>8</v>
      </c>
      <c r="M85" s="201"/>
      <c r="N85" s="200" t="s">
        <v>9</v>
      </c>
      <c r="O85" s="201"/>
      <c r="P85" s="200" t="s">
        <v>117</v>
      </c>
      <c r="Q85" s="201"/>
      <c r="R85" s="194"/>
      <c r="S85" s="199"/>
      <c r="T85" s="191"/>
      <c r="U85" s="191"/>
      <c r="V85" s="191"/>
      <c r="W85" s="191"/>
    </row>
    <row r="86" spans="1:23" x14ac:dyDescent="0.3">
      <c r="A86" s="180" t="s">
        <v>13</v>
      </c>
      <c r="B86" s="5">
        <v>0.33333333333333331</v>
      </c>
      <c r="C86" s="5"/>
      <c r="D86" s="152">
        <v>250081</v>
      </c>
      <c r="E86" s="211" t="s">
        <v>723</v>
      </c>
      <c r="F86" s="212"/>
      <c r="G86" s="212"/>
      <c r="H86" s="212"/>
      <c r="I86" s="213"/>
      <c r="J86" s="165">
        <f>524+30</f>
        <v>554</v>
      </c>
      <c r="K86" s="166"/>
      <c r="L86" s="165"/>
      <c r="M86" s="166"/>
      <c r="N86" s="165"/>
      <c r="O86" s="166"/>
      <c r="P86" s="165"/>
      <c r="Q86" s="166"/>
      <c r="R86" s="150"/>
      <c r="S86" s="6" t="s">
        <v>20</v>
      </c>
      <c r="T86" s="3"/>
      <c r="U86" s="202"/>
      <c r="V86" s="203"/>
      <c r="W86" s="204"/>
    </row>
    <row r="87" spans="1:23" x14ac:dyDescent="0.3">
      <c r="A87" s="163"/>
      <c r="B87" s="5"/>
      <c r="C87" s="5"/>
      <c r="D87" s="4">
        <v>151025</v>
      </c>
      <c r="E87" s="211" t="s">
        <v>724</v>
      </c>
      <c r="F87" s="212"/>
      <c r="G87" s="212"/>
      <c r="H87" s="212"/>
      <c r="I87" s="213"/>
      <c r="J87" s="165">
        <v>1022</v>
      </c>
      <c r="K87" s="166"/>
      <c r="L87" s="165"/>
      <c r="M87" s="166"/>
      <c r="N87" s="165"/>
      <c r="O87" s="166"/>
      <c r="P87" s="165"/>
      <c r="Q87" s="166"/>
      <c r="R87" s="150">
        <v>30</v>
      </c>
      <c r="S87" s="6" t="s">
        <v>20</v>
      </c>
      <c r="T87" s="3" t="s">
        <v>93</v>
      </c>
      <c r="U87" s="205"/>
      <c r="V87" s="206"/>
      <c r="W87" s="207"/>
    </row>
    <row r="88" spans="1:23" x14ac:dyDescent="0.3">
      <c r="A88" s="163"/>
      <c r="B88" s="5"/>
      <c r="C88" s="5"/>
      <c r="D88" s="4">
        <v>250082</v>
      </c>
      <c r="E88" s="211" t="s">
        <v>662</v>
      </c>
      <c r="F88" s="212"/>
      <c r="G88" s="212"/>
      <c r="H88" s="212"/>
      <c r="I88" s="213"/>
      <c r="J88" s="165">
        <v>1016</v>
      </c>
      <c r="K88" s="166"/>
      <c r="L88" s="165"/>
      <c r="M88" s="166"/>
      <c r="N88" s="165"/>
      <c r="O88" s="166"/>
      <c r="P88" s="165"/>
      <c r="Q88" s="166"/>
      <c r="R88" s="150">
        <v>30</v>
      </c>
      <c r="S88" s="6" t="s">
        <v>20</v>
      </c>
      <c r="T88" s="3" t="s">
        <v>93</v>
      </c>
      <c r="U88" s="205"/>
      <c r="V88" s="206"/>
      <c r="W88" s="207"/>
    </row>
    <row r="89" spans="1:23" x14ac:dyDescent="0.3">
      <c r="A89" s="163"/>
      <c r="B89" s="5"/>
      <c r="C89" s="5">
        <v>0.70833333333333337</v>
      </c>
      <c r="D89" s="4">
        <v>250078</v>
      </c>
      <c r="E89" s="211" t="s">
        <v>662</v>
      </c>
      <c r="F89" s="212"/>
      <c r="G89" s="212"/>
      <c r="H89" s="212"/>
      <c r="I89" s="213"/>
      <c r="J89" s="165">
        <v>786</v>
      </c>
      <c r="K89" s="166"/>
      <c r="L89" s="165"/>
      <c r="M89" s="166"/>
      <c r="N89" s="165"/>
      <c r="O89" s="166"/>
      <c r="P89" s="165"/>
      <c r="Q89" s="166"/>
      <c r="R89" s="150"/>
      <c r="S89" s="6" t="s">
        <v>20</v>
      </c>
      <c r="T89" s="3"/>
      <c r="U89" s="205"/>
      <c r="V89" s="206"/>
      <c r="W89" s="207"/>
    </row>
    <row r="90" spans="1:23" x14ac:dyDescent="0.3">
      <c r="A90" s="163"/>
      <c r="B90" s="5"/>
      <c r="C90" s="5"/>
      <c r="D90" s="4"/>
      <c r="E90" s="211"/>
      <c r="F90" s="212"/>
      <c r="G90" s="212"/>
      <c r="H90" s="212"/>
      <c r="I90" s="213"/>
      <c r="J90" s="165"/>
      <c r="K90" s="166"/>
      <c r="L90" s="165"/>
      <c r="M90" s="166"/>
      <c r="N90" s="165"/>
      <c r="O90" s="166"/>
      <c r="P90" s="165"/>
      <c r="Q90" s="166"/>
      <c r="R90" s="150"/>
      <c r="S90" s="6" t="s">
        <v>20</v>
      </c>
      <c r="T90" s="3"/>
      <c r="U90" s="205"/>
      <c r="V90" s="206"/>
      <c r="W90" s="207"/>
    </row>
    <row r="91" spans="1:23" x14ac:dyDescent="0.3">
      <c r="A91" s="164"/>
      <c r="B91" s="19"/>
      <c r="C91" s="19"/>
      <c r="D91" s="20"/>
      <c r="E91" s="170" t="s">
        <v>0</v>
      </c>
      <c r="F91" s="171"/>
      <c r="G91" s="171"/>
      <c r="H91" s="171"/>
      <c r="I91" s="172"/>
      <c r="J91" s="173">
        <f>SUM(J86:J90)</f>
        <v>3378</v>
      </c>
      <c r="K91" s="174"/>
      <c r="L91" s="173">
        <f>SUM(L86:L90)</f>
        <v>0</v>
      </c>
      <c r="M91" s="174"/>
      <c r="N91" s="173">
        <f>SUM(N86:N90)</f>
        <v>0</v>
      </c>
      <c r="O91" s="174"/>
      <c r="P91" s="173">
        <f>SUM(P86:P90)</f>
        <v>0</v>
      </c>
      <c r="Q91" s="174"/>
      <c r="R91" s="23">
        <f>SUM(R86:R90)</f>
        <v>60</v>
      </c>
      <c r="S91" s="24" t="s">
        <v>20</v>
      </c>
      <c r="T91" s="19"/>
      <c r="U91" s="208"/>
      <c r="V91" s="209"/>
      <c r="W91" s="210"/>
    </row>
    <row r="92" spans="1:23" x14ac:dyDescent="0.3">
      <c r="A92" s="180" t="s">
        <v>15</v>
      </c>
      <c r="B92" s="5"/>
      <c r="C92" s="5"/>
      <c r="D92" s="4"/>
      <c r="E92" s="211"/>
      <c r="F92" s="212"/>
      <c r="G92" s="212"/>
      <c r="H92" s="212"/>
      <c r="I92" s="213"/>
      <c r="J92" s="165"/>
      <c r="K92" s="166"/>
      <c r="L92" s="165"/>
      <c r="M92" s="166"/>
      <c r="N92" s="165"/>
      <c r="O92" s="166"/>
      <c r="P92" s="165"/>
      <c r="Q92" s="166"/>
      <c r="R92" s="150"/>
      <c r="S92" s="6" t="s">
        <v>20</v>
      </c>
      <c r="T92" s="3"/>
      <c r="U92" s="202"/>
      <c r="V92" s="203"/>
      <c r="W92" s="204"/>
    </row>
    <row r="93" spans="1:23" x14ac:dyDescent="0.3">
      <c r="A93" s="163"/>
      <c r="B93" s="5"/>
      <c r="C93" s="5"/>
      <c r="D93" s="4"/>
      <c r="E93" s="211"/>
      <c r="F93" s="212"/>
      <c r="G93" s="212"/>
      <c r="H93" s="212"/>
      <c r="I93" s="213"/>
      <c r="J93" s="165"/>
      <c r="K93" s="166"/>
      <c r="L93" s="165"/>
      <c r="M93" s="166"/>
      <c r="N93" s="165"/>
      <c r="O93" s="166"/>
      <c r="P93" s="165"/>
      <c r="Q93" s="166"/>
      <c r="R93" s="150"/>
      <c r="S93" s="6" t="s">
        <v>20</v>
      </c>
      <c r="T93" s="3"/>
      <c r="U93" s="205"/>
      <c r="V93" s="206"/>
      <c r="W93" s="207"/>
    </row>
    <row r="94" spans="1:23" x14ac:dyDescent="0.3">
      <c r="A94" s="163"/>
      <c r="B94" s="5"/>
      <c r="C94" s="5"/>
      <c r="D94" s="4"/>
      <c r="E94" s="211"/>
      <c r="F94" s="212"/>
      <c r="G94" s="212"/>
      <c r="H94" s="212"/>
      <c r="I94" s="213"/>
      <c r="J94" s="165"/>
      <c r="K94" s="166"/>
      <c r="L94" s="165"/>
      <c r="M94" s="166"/>
      <c r="N94" s="165"/>
      <c r="O94" s="166"/>
      <c r="P94" s="165"/>
      <c r="Q94" s="166"/>
      <c r="R94" s="150"/>
      <c r="S94" s="6" t="s">
        <v>20</v>
      </c>
      <c r="T94" s="3"/>
      <c r="U94" s="205"/>
      <c r="V94" s="206"/>
      <c r="W94" s="207"/>
    </row>
    <row r="95" spans="1:23" x14ac:dyDescent="0.3">
      <c r="A95" s="164"/>
      <c r="B95" s="19"/>
      <c r="C95" s="19"/>
      <c r="D95" s="20"/>
      <c r="E95" s="170" t="s">
        <v>0</v>
      </c>
      <c r="F95" s="171"/>
      <c r="G95" s="171"/>
      <c r="H95" s="171"/>
      <c r="I95" s="172"/>
      <c r="J95" s="173">
        <f>SUM(J92:J94)</f>
        <v>0</v>
      </c>
      <c r="K95" s="174"/>
      <c r="L95" s="173">
        <f>SUM(L92:L94)</f>
        <v>0</v>
      </c>
      <c r="M95" s="174"/>
      <c r="N95" s="173">
        <f>SUM(N92:N94)</f>
        <v>0</v>
      </c>
      <c r="O95" s="174"/>
      <c r="P95" s="173">
        <f>SUM(P89:P94)</f>
        <v>0</v>
      </c>
      <c r="Q95" s="174"/>
      <c r="R95" s="23">
        <f>SUM(R92:R94)</f>
        <v>0</v>
      </c>
      <c r="S95" s="24" t="s">
        <v>20</v>
      </c>
      <c r="T95" s="7"/>
      <c r="U95" s="208"/>
      <c r="V95" s="209"/>
      <c r="W95" s="210"/>
    </row>
    <row r="96" spans="1:23" x14ac:dyDescent="0.3">
      <c r="E96" s="28"/>
      <c r="F96" s="28"/>
      <c r="G96" s="28"/>
      <c r="H96" s="28"/>
      <c r="I96" s="28"/>
      <c r="J96" s="29"/>
      <c r="K96" s="29"/>
      <c r="L96" s="29"/>
      <c r="M96" s="29"/>
      <c r="N96" s="29"/>
      <c r="O96" s="29"/>
      <c r="P96" s="29"/>
      <c r="Q96" s="29"/>
    </row>
    <row r="97" spans="1:23" x14ac:dyDescent="0.3">
      <c r="E97" s="170" t="s">
        <v>28</v>
      </c>
      <c r="F97" s="171"/>
      <c r="G97" s="171"/>
      <c r="H97" s="171"/>
      <c r="I97" s="172"/>
      <c r="J97" s="175" t="s">
        <v>7</v>
      </c>
      <c r="K97" s="176"/>
      <c r="L97" s="175" t="s">
        <v>8</v>
      </c>
      <c r="M97" s="176"/>
      <c r="N97" s="175" t="s">
        <v>9</v>
      </c>
      <c r="O97" s="176"/>
      <c r="P97" s="175" t="s">
        <v>117</v>
      </c>
      <c r="Q97" s="176"/>
    </row>
    <row r="98" spans="1:23" s="2" customFormat="1" x14ac:dyDescent="0.3">
      <c r="E98" s="15"/>
      <c r="F98" s="15"/>
      <c r="G98" s="15"/>
      <c r="H98" s="15"/>
      <c r="I98" s="15"/>
      <c r="J98" s="30">
        <f>J91+J95</f>
        <v>3378</v>
      </c>
      <c r="K98" s="31" t="s">
        <v>17</v>
      </c>
      <c r="L98" s="32">
        <f>L91+L95</f>
        <v>0</v>
      </c>
      <c r="M98" s="31" t="s">
        <v>17</v>
      </c>
      <c r="N98" s="32">
        <f>N91+N95</f>
        <v>0</v>
      </c>
      <c r="O98" s="31" t="s">
        <v>17</v>
      </c>
      <c r="P98" s="32">
        <f>P91+P95</f>
        <v>0</v>
      </c>
      <c r="Q98" s="34" t="s">
        <v>17</v>
      </c>
    </row>
    <row r="99" spans="1:23" ht="24.45" customHeight="1" x14ac:dyDescent="0.3">
      <c r="E99" s="28"/>
      <c r="F99" s="28"/>
      <c r="G99" s="28"/>
      <c r="H99" s="28"/>
      <c r="I99" s="28"/>
      <c r="J99" s="167">
        <f>J98+L98+N98+P98</f>
        <v>3378</v>
      </c>
      <c r="K99" s="168"/>
      <c r="L99" s="168"/>
      <c r="M99" s="168"/>
      <c r="N99" s="168"/>
      <c r="O99" s="168"/>
      <c r="P99" s="168"/>
      <c r="Q99" s="169"/>
    </row>
    <row r="100" spans="1:23" ht="14.55" customHeight="1" x14ac:dyDescent="0.3"/>
    <row r="101" spans="1:23" s="37" customFormat="1" ht="19.95" customHeight="1" x14ac:dyDescent="0.4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183" t="s">
        <v>14</v>
      </c>
      <c r="R101" s="183"/>
      <c r="S101" s="183"/>
      <c r="T101" s="184">
        <f>T3</f>
        <v>45961</v>
      </c>
      <c r="U101" s="185"/>
      <c r="V101" s="185"/>
      <c r="W101" s="186"/>
    </row>
    <row r="102" spans="1:23" s="16" customFormat="1" ht="30" customHeight="1" x14ac:dyDescent="0.3">
      <c r="A102" s="187" t="s">
        <v>579</v>
      </c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9"/>
      <c r="Q102" s="189"/>
      <c r="R102" s="189"/>
      <c r="S102" s="189"/>
      <c r="T102" s="188"/>
      <c r="U102" s="188"/>
      <c r="V102" s="188"/>
      <c r="W102" s="190"/>
    </row>
    <row r="103" spans="1:23" s="26" customFormat="1" ht="13.8" x14ac:dyDescent="0.3">
      <c r="A103" s="191" t="s">
        <v>1</v>
      </c>
      <c r="B103" s="192" t="s">
        <v>2</v>
      </c>
      <c r="C103" s="192" t="s">
        <v>3</v>
      </c>
      <c r="D103" s="192" t="s">
        <v>4</v>
      </c>
      <c r="E103" s="193" t="s">
        <v>5</v>
      </c>
      <c r="F103" s="195" t="s">
        <v>21</v>
      </c>
      <c r="G103" s="195" t="s">
        <v>22</v>
      </c>
      <c r="H103" s="195" t="s">
        <v>33</v>
      </c>
      <c r="I103" s="195" t="s">
        <v>30</v>
      </c>
      <c r="J103" s="193" t="s">
        <v>6</v>
      </c>
      <c r="K103" s="197"/>
      <c r="L103" s="197"/>
      <c r="M103" s="197"/>
      <c r="N103" s="197"/>
      <c r="O103" s="197"/>
      <c r="P103" s="197"/>
      <c r="Q103" s="198"/>
      <c r="R103" s="193" t="s">
        <v>10</v>
      </c>
      <c r="S103" s="198"/>
      <c r="T103" s="191" t="s">
        <v>11</v>
      </c>
      <c r="U103" s="191" t="s">
        <v>12</v>
      </c>
      <c r="V103" s="191"/>
      <c r="W103" s="191"/>
    </row>
    <row r="104" spans="1:23" s="26" customFormat="1" ht="13.8" x14ac:dyDescent="0.3">
      <c r="A104" s="191"/>
      <c r="B104" s="192"/>
      <c r="C104" s="192"/>
      <c r="D104" s="192"/>
      <c r="E104" s="194"/>
      <c r="F104" s="196"/>
      <c r="G104" s="196"/>
      <c r="H104" s="196"/>
      <c r="I104" s="196"/>
      <c r="J104" s="200" t="s">
        <v>7</v>
      </c>
      <c r="K104" s="201"/>
      <c r="L104" s="200" t="s">
        <v>8</v>
      </c>
      <c r="M104" s="201"/>
      <c r="N104" s="200" t="s">
        <v>9</v>
      </c>
      <c r="O104" s="201"/>
      <c r="P104" s="200" t="s">
        <v>117</v>
      </c>
      <c r="Q104" s="201"/>
      <c r="R104" s="194"/>
      <c r="S104" s="199"/>
      <c r="T104" s="191"/>
      <c r="U104" s="191"/>
      <c r="V104" s="191"/>
      <c r="W104" s="191"/>
    </row>
    <row r="105" spans="1:23" ht="14.55" customHeight="1" x14ac:dyDescent="0.3">
      <c r="A105" s="180" t="s">
        <v>581</v>
      </c>
      <c r="B105" s="5"/>
      <c r="C105" s="5"/>
      <c r="D105" s="126"/>
      <c r="E105" s="12"/>
      <c r="F105" s="40"/>
      <c r="G105" s="41"/>
      <c r="H105" s="40"/>
      <c r="I105" s="12"/>
      <c r="J105" s="165">
        <v>4000</v>
      </c>
      <c r="K105" s="166"/>
      <c r="L105" s="165"/>
      <c r="M105" s="166"/>
      <c r="N105" s="165"/>
      <c r="O105" s="166"/>
      <c r="P105" s="165"/>
      <c r="Q105" s="166"/>
      <c r="R105" s="150"/>
      <c r="S105" s="14" t="s">
        <v>20</v>
      </c>
      <c r="T105" s="42"/>
      <c r="U105" s="177"/>
      <c r="V105" s="178"/>
      <c r="W105" s="179"/>
    </row>
    <row r="106" spans="1:23" ht="14.55" customHeight="1" x14ac:dyDescent="0.3">
      <c r="A106" s="181"/>
      <c r="B106" s="5"/>
      <c r="C106" s="5"/>
      <c r="D106" s="126"/>
      <c r="E106" s="13"/>
      <c r="F106" s="40"/>
      <c r="G106" s="41"/>
      <c r="H106" s="40"/>
      <c r="I106" s="12"/>
      <c r="J106" s="165"/>
      <c r="K106" s="166"/>
      <c r="L106" s="165"/>
      <c r="M106" s="166"/>
      <c r="N106" s="165"/>
      <c r="O106" s="166"/>
      <c r="P106" s="165"/>
      <c r="Q106" s="166"/>
      <c r="R106" s="150"/>
      <c r="S106" s="14" t="s">
        <v>20</v>
      </c>
      <c r="T106" s="42"/>
      <c r="U106" s="177"/>
      <c r="V106" s="178"/>
      <c r="W106" s="179"/>
    </row>
    <row r="107" spans="1:23" ht="14.55" customHeight="1" x14ac:dyDescent="0.3">
      <c r="A107" s="181"/>
      <c r="B107" s="5"/>
      <c r="C107" s="5"/>
      <c r="D107" s="4"/>
      <c r="E107" s="12"/>
      <c r="F107" s="40"/>
      <c r="G107" s="41"/>
      <c r="H107" s="40"/>
      <c r="I107" s="12"/>
      <c r="J107" s="165"/>
      <c r="K107" s="166"/>
      <c r="L107" s="165"/>
      <c r="M107" s="166"/>
      <c r="N107" s="165"/>
      <c r="O107" s="166"/>
      <c r="P107" s="165"/>
      <c r="Q107" s="166"/>
      <c r="R107" s="150"/>
      <c r="S107" s="14" t="s">
        <v>20</v>
      </c>
      <c r="T107" s="42"/>
      <c r="U107" s="177"/>
      <c r="V107" s="178"/>
      <c r="W107" s="179"/>
    </row>
    <row r="108" spans="1:23" ht="14.55" customHeight="1" x14ac:dyDescent="0.3">
      <c r="A108" s="182"/>
      <c r="B108" s="19"/>
      <c r="C108" s="19"/>
      <c r="D108" s="20"/>
      <c r="E108" s="170" t="s">
        <v>0</v>
      </c>
      <c r="F108" s="171"/>
      <c r="G108" s="171"/>
      <c r="H108" s="171"/>
      <c r="I108" s="172"/>
      <c r="J108" s="173">
        <f>SUM(J105:K107)</f>
        <v>4000</v>
      </c>
      <c r="K108" s="174"/>
      <c r="L108" s="173">
        <f>SUM(L105:M107)</f>
        <v>0</v>
      </c>
      <c r="M108" s="174"/>
      <c r="N108" s="173">
        <f>SUM(N105:O107)</f>
        <v>0</v>
      </c>
      <c r="O108" s="174"/>
      <c r="P108" s="173">
        <f>SUM(P105:Q107)</f>
        <v>0</v>
      </c>
      <c r="Q108" s="174"/>
      <c r="R108" s="23">
        <f>SUM(R105:R107)</f>
        <v>0</v>
      </c>
      <c r="S108" s="24" t="s">
        <v>20</v>
      </c>
      <c r="T108" s="19"/>
      <c r="U108" s="177"/>
      <c r="V108" s="178"/>
      <c r="W108" s="179"/>
    </row>
    <row r="109" spans="1:23" ht="14.55" customHeight="1" x14ac:dyDescent="0.3">
      <c r="A109" s="163" t="s">
        <v>580</v>
      </c>
      <c r="B109" s="5"/>
      <c r="C109" s="5"/>
      <c r="D109" s="4"/>
      <c r="E109" s="12"/>
      <c r="F109" s="40"/>
      <c r="G109" s="41"/>
      <c r="H109" s="40"/>
      <c r="I109" s="12"/>
      <c r="J109" s="165"/>
      <c r="K109" s="166"/>
      <c r="L109" s="165"/>
      <c r="M109" s="166"/>
      <c r="N109" s="165"/>
      <c r="O109" s="166"/>
      <c r="P109" s="165"/>
      <c r="Q109" s="166"/>
      <c r="R109" s="150"/>
      <c r="S109" s="14" t="s">
        <v>20</v>
      </c>
      <c r="T109" s="42"/>
      <c r="U109" s="177"/>
      <c r="V109" s="178"/>
      <c r="W109" s="179"/>
    </row>
    <row r="110" spans="1:23" ht="14.55" customHeight="1" x14ac:dyDescent="0.3">
      <c r="A110" s="163"/>
      <c r="B110" s="5"/>
      <c r="C110" s="5"/>
      <c r="D110" s="4"/>
      <c r="E110" s="12"/>
      <c r="F110" s="40"/>
      <c r="G110" s="41"/>
      <c r="H110" s="40"/>
      <c r="I110" s="12"/>
      <c r="J110" s="165"/>
      <c r="K110" s="166"/>
      <c r="L110" s="165"/>
      <c r="M110" s="166"/>
      <c r="N110" s="165"/>
      <c r="O110" s="166"/>
      <c r="P110" s="165"/>
      <c r="Q110" s="166"/>
      <c r="R110" s="150"/>
      <c r="S110" s="14" t="s">
        <v>20</v>
      </c>
      <c r="T110" s="42"/>
      <c r="U110" s="177"/>
      <c r="V110" s="178"/>
      <c r="W110" s="179"/>
    </row>
    <row r="111" spans="1:23" ht="14.55" customHeight="1" x14ac:dyDescent="0.3">
      <c r="A111" s="163"/>
      <c r="B111" s="5"/>
      <c r="C111" s="5"/>
      <c r="D111" s="4"/>
      <c r="E111" s="12"/>
      <c r="F111" s="40"/>
      <c r="G111" s="41"/>
      <c r="H111" s="40"/>
      <c r="I111" s="12"/>
      <c r="J111" s="165"/>
      <c r="K111" s="166"/>
      <c r="L111" s="165"/>
      <c r="M111" s="166"/>
      <c r="N111" s="165"/>
      <c r="O111" s="166"/>
      <c r="P111" s="165"/>
      <c r="Q111" s="166"/>
      <c r="R111" s="150"/>
      <c r="S111" s="14" t="s">
        <v>20</v>
      </c>
      <c r="T111" s="42"/>
      <c r="U111" s="177"/>
      <c r="V111" s="178"/>
      <c r="W111" s="179"/>
    </row>
    <row r="112" spans="1:23" ht="14.55" customHeight="1" x14ac:dyDescent="0.3">
      <c r="A112" s="163"/>
      <c r="B112" s="5"/>
      <c r="C112" s="5"/>
      <c r="D112" s="4"/>
      <c r="E112" s="12"/>
      <c r="F112" s="40"/>
      <c r="G112" s="41"/>
      <c r="H112" s="40"/>
      <c r="I112" s="12"/>
      <c r="J112" s="165"/>
      <c r="K112" s="166"/>
      <c r="L112" s="165"/>
      <c r="M112" s="166"/>
      <c r="N112" s="165"/>
      <c r="O112" s="166"/>
      <c r="P112" s="165"/>
      <c r="Q112" s="166"/>
      <c r="R112" s="150"/>
      <c r="S112" s="14" t="s">
        <v>20</v>
      </c>
      <c r="T112" s="42"/>
      <c r="U112" s="177"/>
      <c r="V112" s="178"/>
      <c r="W112" s="179"/>
    </row>
    <row r="113" spans="1:23" ht="14.55" customHeight="1" x14ac:dyDescent="0.3">
      <c r="A113" s="164"/>
      <c r="B113" s="19"/>
      <c r="C113" s="19"/>
      <c r="D113" s="20"/>
      <c r="E113" s="170" t="s">
        <v>0</v>
      </c>
      <c r="F113" s="171"/>
      <c r="G113" s="171"/>
      <c r="H113" s="171"/>
      <c r="I113" s="172"/>
      <c r="J113" s="173">
        <f>SUM(J109:K112)</f>
        <v>0</v>
      </c>
      <c r="K113" s="174"/>
      <c r="L113" s="173">
        <f>SUM(L109:M112)</f>
        <v>0</v>
      </c>
      <c r="M113" s="174"/>
      <c r="N113" s="173">
        <f>SUM(N109:O112)</f>
        <v>0</v>
      </c>
      <c r="O113" s="174"/>
      <c r="P113" s="173">
        <f>SUM(P109:Q112)</f>
        <v>0</v>
      </c>
      <c r="Q113" s="174"/>
      <c r="R113" s="23">
        <f>SUM(R109:R112)</f>
        <v>0</v>
      </c>
      <c r="S113" s="24" t="s">
        <v>20</v>
      </c>
      <c r="T113" s="19"/>
      <c r="U113" s="177"/>
      <c r="V113" s="178"/>
      <c r="W113" s="179"/>
    </row>
    <row r="114" spans="1:23" ht="14.55" customHeight="1" x14ac:dyDescent="0.3">
      <c r="A114" s="27"/>
      <c r="B114" s="27"/>
      <c r="C114" s="27"/>
      <c r="D114" s="27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27"/>
      <c r="S114" s="27"/>
      <c r="T114" s="39"/>
      <c r="U114" s="39"/>
      <c r="V114" s="39"/>
      <c r="W114" s="39"/>
    </row>
    <row r="115" spans="1:23" x14ac:dyDescent="0.3">
      <c r="E115" s="170" t="s">
        <v>585</v>
      </c>
      <c r="F115" s="171"/>
      <c r="G115" s="171"/>
      <c r="H115" s="171"/>
      <c r="I115" s="172"/>
      <c r="J115" s="175" t="s">
        <v>7</v>
      </c>
      <c r="K115" s="176"/>
      <c r="L115" s="175" t="s">
        <v>8</v>
      </c>
      <c r="M115" s="176"/>
      <c r="N115" s="175" t="s">
        <v>9</v>
      </c>
      <c r="O115" s="176"/>
      <c r="P115" s="175" t="s">
        <v>117</v>
      </c>
      <c r="Q115" s="176"/>
    </row>
    <row r="116" spans="1:23" s="2" customFormat="1" x14ac:dyDescent="0.3">
      <c r="E116" s="15"/>
      <c r="F116" s="15"/>
      <c r="G116" s="15"/>
      <c r="H116" s="15"/>
      <c r="I116" s="15"/>
      <c r="J116" s="30">
        <f>SUM(J113,J108)</f>
        <v>4000</v>
      </c>
      <c r="K116" s="31" t="s">
        <v>17</v>
      </c>
      <c r="L116" s="30">
        <f>SUM(L113,L108)</f>
        <v>0</v>
      </c>
      <c r="M116" s="31" t="s">
        <v>17</v>
      </c>
      <c r="N116" s="30">
        <f>SUM(N113,N108)</f>
        <v>0</v>
      </c>
      <c r="O116" s="31" t="s">
        <v>17</v>
      </c>
      <c r="P116" s="30">
        <f>SUM(P113,P108)</f>
        <v>0</v>
      </c>
      <c r="Q116" s="34" t="s">
        <v>17</v>
      </c>
    </row>
    <row r="117" spans="1:23" ht="24.45" customHeight="1" x14ac:dyDescent="0.3">
      <c r="E117" s="28"/>
      <c r="F117" s="28"/>
      <c r="G117" s="28"/>
      <c r="H117" s="28"/>
      <c r="I117" s="28"/>
      <c r="J117" s="167">
        <f>J116+L116+N116+P116</f>
        <v>4000</v>
      </c>
      <c r="K117" s="168"/>
      <c r="L117" s="168"/>
      <c r="M117" s="168"/>
      <c r="N117" s="168"/>
      <c r="O117" s="168"/>
      <c r="P117" s="168"/>
      <c r="Q117" s="169"/>
    </row>
  </sheetData>
  <mergeCells count="444">
    <mergeCell ref="J23:K23"/>
    <mergeCell ref="L23:M23"/>
    <mergeCell ref="N23:O23"/>
    <mergeCell ref="P23:Q23"/>
    <mergeCell ref="J24:K24"/>
    <mergeCell ref="L24:M24"/>
    <mergeCell ref="N24:O24"/>
    <mergeCell ref="P24:Q24"/>
    <mergeCell ref="L21:M21"/>
    <mergeCell ref="N21:O21"/>
    <mergeCell ref="P21:Q21"/>
    <mergeCell ref="J22:K22"/>
    <mergeCell ref="L22:M22"/>
    <mergeCell ref="N22:O22"/>
    <mergeCell ref="P22:Q22"/>
    <mergeCell ref="E115:I115"/>
    <mergeCell ref="J115:K115"/>
    <mergeCell ref="L115:M115"/>
    <mergeCell ref="N115:O115"/>
    <mergeCell ref="P115:Q115"/>
    <mergeCell ref="J117:Q117"/>
    <mergeCell ref="J19:K19"/>
    <mergeCell ref="L19:M19"/>
    <mergeCell ref="N19:O19"/>
    <mergeCell ref="P19:Q19"/>
    <mergeCell ref="J20:K20"/>
    <mergeCell ref="L20:M20"/>
    <mergeCell ref="N20:O20"/>
    <mergeCell ref="P20:Q20"/>
    <mergeCell ref="J21:K21"/>
    <mergeCell ref="J111:K111"/>
    <mergeCell ref="L111:M111"/>
    <mergeCell ref="N111:O111"/>
    <mergeCell ref="P111:Q111"/>
    <mergeCell ref="J112:K112"/>
    <mergeCell ref="L112:M112"/>
    <mergeCell ref="N112:O112"/>
    <mergeCell ref="P112:Q112"/>
    <mergeCell ref="J107:K107"/>
    <mergeCell ref="U109:W113"/>
    <mergeCell ref="J110:K110"/>
    <mergeCell ref="L110:M110"/>
    <mergeCell ref="N110:O110"/>
    <mergeCell ref="P110:Q110"/>
    <mergeCell ref="E113:I113"/>
    <mergeCell ref="J113:K113"/>
    <mergeCell ref="L113:M113"/>
    <mergeCell ref="N113:O113"/>
    <mergeCell ref="P113:Q113"/>
    <mergeCell ref="A105:A108"/>
    <mergeCell ref="J105:K105"/>
    <mergeCell ref="L105:M105"/>
    <mergeCell ref="N105:O105"/>
    <mergeCell ref="P105:Q105"/>
    <mergeCell ref="A109:A113"/>
    <mergeCell ref="J109:K109"/>
    <mergeCell ref="L109:M109"/>
    <mergeCell ref="N109:O109"/>
    <mergeCell ref="P109:Q109"/>
    <mergeCell ref="L107:M107"/>
    <mergeCell ref="N107:O107"/>
    <mergeCell ref="P107:Q107"/>
    <mergeCell ref="U105:W108"/>
    <mergeCell ref="J106:K106"/>
    <mergeCell ref="L106:M106"/>
    <mergeCell ref="N106:O106"/>
    <mergeCell ref="P106:Q106"/>
    <mergeCell ref="H103:H104"/>
    <mergeCell ref="I103:I104"/>
    <mergeCell ref="J103:Q103"/>
    <mergeCell ref="R103:S104"/>
    <mergeCell ref="T103:T104"/>
    <mergeCell ref="U103:W104"/>
    <mergeCell ref="J104:K104"/>
    <mergeCell ref="L104:M104"/>
    <mergeCell ref="N104:O104"/>
    <mergeCell ref="P104:Q104"/>
    <mergeCell ref="E108:I108"/>
    <mergeCell ref="J108:K108"/>
    <mergeCell ref="L108:M108"/>
    <mergeCell ref="N108:O108"/>
    <mergeCell ref="P108:Q108"/>
    <mergeCell ref="T101:W101"/>
    <mergeCell ref="A102:W102"/>
    <mergeCell ref="A103:A104"/>
    <mergeCell ref="B103:B104"/>
    <mergeCell ref="C103:C104"/>
    <mergeCell ref="D103:D104"/>
    <mergeCell ref="E103:E104"/>
    <mergeCell ref="F103:F104"/>
    <mergeCell ref="G103:G104"/>
    <mergeCell ref="Q101:S101"/>
    <mergeCell ref="E97:I97"/>
    <mergeCell ref="J97:K97"/>
    <mergeCell ref="L97:M97"/>
    <mergeCell ref="N97:O97"/>
    <mergeCell ref="P97:Q97"/>
    <mergeCell ref="J99:Q99"/>
    <mergeCell ref="N94:O94"/>
    <mergeCell ref="P94:Q94"/>
    <mergeCell ref="E95:I95"/>
    <mergeCell ref="J95:K95"/>
    <mergeCell ref="L95:M95"/>
    <mergeCell ref="N95:O95"/>
    <mergeCell ref="P95:Q95"/>
    <mergeCell ref="U92:W95"/>
    <mergeCell ref="E93:I93"/>
    <mergeCell ref="J93:K93"/>
    <mergeCell ref="L93:M93"/>
    <mergeCell ref="N93:O93"/>
    <mergeCell ref="P93:Q93"/>
    <mergeCell ref="E94:I94"/>
    <mergeCell ref="J94:K94"/>
    <mergeCell ref="L94:M94"/>
    <mergeCell ref="P92:Q92"/>
    <mergeCell ref="L91:M91"/>
    <mergeCell ref="N91:O91"/>
    <mergeCell ref="P91:Q91"/>
    <mergeCell ref="A92:A95"/>
    <mergeCell ref="E92:I92"/>
    <mergeCell ref="J92:K92"/>
    <mergeCell ref="L92:M92"/>
    <mergeCell ref="N92:O92"/>
    <mergeCell ref="A86:A91"/>
    <mergeCell ref="J89:K89"/>
    <mergeCell ref="L89:M89"/>
    <mergeCell ref="N89:O89"/>
    <mergeCell ref="P89:Q89"/>
    <mergeCell ref="U86:W91"/>
    <mergeCell ref="E87:I87"/>
    <mergeCell ref="J87:K87"/>
    <mergeCell ref="L87:M87"/>
    <mergeCell ref="N87:O87"/>
    <mergeCell ref="P87:Q87"/>
    <mergeCell ref="E88:I88"/>
    <mergeCell ref="J88:K88"/>
    <mergeCell ref="L88:M88"/>
    <mergeCell ref="N88:O88"/>
    <mergeCell ref="E86:I86"/>
    <mergeCell ref="J86:K86"/>
    <mergeCell ref="L86:M86"/>
    <mergeCell ref="N86:O86"/>
    <mergeCell ref="P86:Q86"/>
    <mergeCell ref="P88:Q88"/>
    <mergeCell ref="E89:I89"/>
    <mergeCell ref="E90:I90"/>
    <mergeCell ref="J90:K90"/>
    <mergeCell ref="L90:M90"/>
    <mergeCell ref="N90:O90"/>
    <mergeCell ref="P90:Q90"/>
    <mergeCell ref="E91:I91"/>
    <mergeCell ref="J91:K91"/>
    <mergeCell ref="E78:I78"/>
    <mergeCell ref="J78:K78"/>
    <mergeCell ref="L78:M78"/>
    <mergeCell ref="N78:O78"/>
    <mergeCell ref="P78:Q78"/>
    <mergeCell ref="R84:S85"/>
    <mergeCell ref="T84:T85"/>
    <mergeCell ref="U84:W85"/>
    <mergeCell ref="J85:K85"/>
    <mergeCell ref="L85:M85"/>
    <mergeCell ref="N85:O85"/>
    <mergeCell ref="P85:Q85"/>
    <mergeCell ref="J80:Q80"/>
    <mergeCell ref="Q82:S82"/>
    <mergeCell ref="T82:W82"/>
    <mergeCell ref="A83:W83"/>
    <mergeCell ref="A84:A85"/>
    <mergeCell ref="B84:B85"/>
    <mergeCell ref="C84:C85"/>
    <mergeCell ref="D84:D85"/>
    <mergeCell ref="E84:I85"/>
    <mergeCell ref="J84:Q84"/>
    <mergeCell ref="U67:W76"/>
    <mergeCell ref="J68:K68"/>
    <mergeCell ref="L68:M68"/>
    <mergeCell ref="N68:O68"/>
    <mergeCell ref="P68:Q68"/>
    <mergeCell ref="J69:K69"/>
    <mergeCell ref="L69:M69"/>
    <mergeCell ref="N69:O69"/>
    <mergeCell ref="P69:Q69"/>
    <mergeCell ref="J70:K70"/>
    <mergeCell ref="J74:K74"/>
    <mergeCell ref="L74:M74"/>
    <mergeCell ref="N74:O74"/>
    <mergeCell ref="P74:Q74"/>
    <mergeCell ref="J75:K75"/>
    <mergeCell ref="L75:M75"/>
    <mergeCell ref="N75:O75"/>
    <mergeCell ref="P75:Q75"/>
    <mergeCell ref="J72:K72"/>
    <mergeCell ref="L72:M72"/>
    <mergeCell ref="N72:O72"/>
    <mergeCell ref="P72:Q72"/>
    <mergeCell ref="J73:K73"/>
    <mergeCell ref="L73:M73"/>
    <mergeCell ref="A67:A76"/>
    <mergeCell ref="J67:K67"/>
    <mergeCell ref="L67:M67"/>
    <mergeCell ref="N67:O67"/>
    <mergeCell ref="P67:Q67"/>
    <mergeCell ref="G65:G66"/>
    <mergeCell ref="H65:H66"/>
    <mergeCell ref="I65:I66"/>
    <mergeCell ref="J65:Q65"/>
    <mergeCell ref="L70:M70"/>
    <mergeCell ref="N70:O70"/>
    <mergeCell ref="P70:Q70"/>
    <mergeCell ref="J71:K71"/>
    <mergeCell ref="L71:M71"/>
    <mergeCell ref="N71:O71"/>
    <mergeCell ref="P71:Q71"/>
    <mergeCell ref="N73:O73"/>
    <mergeCell ref="P73:Q73"/>
    <mergeCell ref="E76:I76"/>
    <mergeCell ref="J76:K76"/>
    <mergeCell ref="L76:M76"/>
    <mergeCell ref="N76:O76"/>
    <mergeCell ref="P76:Q76"/>
    <mergeCell ref="Q63:S63"/>
    <mergeCell ref="T63:W63"/>
    <mergeCell ref="A64:W64"/>
    <mergeCell ref="A65:A66"/>
    <mergeCell ref="B65:B66"/>
    <mergeCell ref="C65:C66"/>
    <mergeCell ref="D65:D66"/>
    <mergeCell ref="E65:E66"/>
    <mergeCell ref="F65:F66"/>
    <mergeCell ref="U65:W66"/>
    <mergeCell ref="J66:K66"/>
    <mergeCell ref="L66:M66"/>
    <mergeCell ref="N66:O66"/>
    <mergeCell ref="P66:Q66"/>
    <mergeCell ref="R65:S66"/>
    <mergeCell ref="T65:T66"/>
    <mergeCell ref="L57:M57"/>
    <mergeCell ref="N57:O57"/>
    <mergeCell ref="P57:Q57"/>
    <mergeCell ref="E59:I59"/>
    <mergeCell ref="J59:K59"/>
    <mergeCell ref="L59:M59"/>
    <mergeCell ref="N59:O59"/>
    <mergeCell ref="P59:Q59"/>
    <mergeCell ref="J61:Q61"/>
    <mergeCell ref="A52:A57"/>
    <mergeCell ref="J52:K52"/>
    <mergeCell ref="L52:M52"/>
    <mergeCell ref="N52:O52"/>
    <mergeCell ref="P52:Q52"/>
    <mergeCell ref="U52:W57"/>
    <mergeCell ref="J53:K53"/>
    <mergeCell ref="L53:M53"/>
    <mergeCell ref="N53:O53"/>
    <mergeCell ref="P53:Q53"/>
    <mergeCell ref="J54:K54"/>
    <mergeCell ref="L54:M54"/>
    <mergeCell ref="N54:O54"/>
    <mergeCell ref="P54:Q54"/>
    <mergeCell ref="J55:K55"/>
    <mergeCell ref="L55:M55"/>
    <mergeCell ref="N55:O55"/>
    <mergeCell ref="P55:Q55"/>
    <mergeCell ref="J56:K56"/>
    <mergeCell ref="L56:M56"/>
    <mergeCell ref="N56:O56"/>
    <mergeCell ref="P56:Q56"/>
    <mergeCell ref="E57:I57"/>
    <mergeCell ref="J57:K57"/>
    <mergeCell ref="A48:A51"/>
    <mergeCell ref="J48:K48"/>
    <mergeCell ref="L48:M48"/>
    <mergeCell ref="N48:O48"/>
    <mergeCell ref="P48:Q48"/>
    <mergeCell ref="U48:W51"/>
    <mergeCell ref="J49:K49"/>
    <mergeCell ref="L49:M49"/>
    <mergeCell ref="N49:O49"/>
    <mergeCell ref="P49:Q49"/>
    <mergeCell ref="J50:K50"/>
    <mergeCell ref="L50:M50"/>
    <mergeCell ref="N50:O50"/>
    <mergeCell ref="P50:Q50"/>
    <mergeCell ref="E51:I51"/>
    <mergeCell ref="J51:K51"/>
    <mergeCell ref="L51:M51"/>
    <mergeCell ref="N51:O51"/>
    <mergeCell ref="P51:Q51"/>
    <mergeCell ref="U41:W47"/>
    <mergeCell ref="J42:K42"/>
    <mergeCell ref="L42:M42"/>
    <mergeCell ref="N42:O42"/>
    <mergeCell ref="P42:Q42"/>
    <mergeCell ref="J43:K43"/>
    <mergeCell ref="L43:M43"/>
    <mergeCell ref="N43:O43"/>
    <mergeCell ref="P43:Q43"/>
    <mergeCell ref="J44:K44"/>
    <mergeCell ref="J46:K46"/>
    <mergeCell ref="L46:M46"/>
    <mergeCell ref="N46:O46"/>
    <mergeCell ref="P46:Q46"/>
    <mergeCell ref="J47:K47"/>
    <mergeCell ref="L47:M47"/>
    <mergeCell ref="N47:O47"/>
    <mergeCell ref="P47:Q47"/>
    <mergeCell ref="A41:A47"/>
    <mergeCell ref="J41:K41"/>
    <mergeCell ref="L41:M41"/>
    <mergeCell ref="N41:O41"/>
    <mergeCell ref="P41:Q41"/>
    <mergeCell ref="L44:M44"/>
    <mergeCell ref="N44:O44"/>
    <mergeCell ref="P44:Q44"/>
    <mergeCell ref="J45:K45"/>
    <mergeCell ref="L45:M45"/>
    <mergeCell ref="N45:O45"/>
    <mergeCell ref="P45:Q45"/>
    <mergeCell ref="E47:I47"/>
    <mergeCell ref="U37:W40"/>
    <mergeCell ref="J38:K38"/>
    <mergeCell ref="L38:M38"/>
    <mergeCell ref="N38:O38"/>
    <mergeCell ref="P38:Q38"/>
    <mergeCell ref="J39:K39"/>
    <mergeCell ref="L39:M39"/>
    <mergeCell ref="N39:O39"/>
    <mergeCell ref="P39:Q39"/>
    <mergeCell ref="J40:K40"/>
    <mergeCell ref="L40:M40"/>
    <mergeCell ref="N40:O40"/>
    <mergeCell ref="P40:Q40"/>
    <mergeCell ref="A37:A40"/>
    <mergeCell ref="J37:K37"/>
    <mergeCell ref="L37:M37"/>
    <mergeCell ref="N37:O37"/>
    <mergeCell ref="P37:Q37"/>
    <mergeCell ref="G35:G36"/>
    <mergeCell ref="H35:H36"/>
    <mergeCell ref="I35:I36"/>
    <mergeCell ref="J35:Q35"/>
    <mergeCell ref="E40:I40"/>
    <mergeCell ref="J31:Q31"/>
    <mergeCell ref="Q33:S33"/>
    <mergeCell ref="T33:W33"/>
    <mergeCell ref="A34:W34"/>
    <mergeCell ref="A35:A36"/>
    <mergeCell ref="B35:B36"/>
    <mergeCell ref="C35:C36"/>
    <mergeCell ref="D35:D36"/>
    <mergeCell ref="E35:E36"/>
    <mergeCell ref="F35:F36"/>
    <mergeCell ref="U35:W36"/>
    <mergeCell ref="J36:K36"/>
    <mergeCell ref="L36:M36"/>
    <mergeCell ref="N36:O36"/>
    <mergeCell ref="P36:Q36"/>
    <mergeCell ref="R35:S36"/>
    <mergeCell ref="T35:T36"/>
    <mergeCell ref="B27:I27"/>
    <mergeCell ref="E29:I29"/>
    <mergeCell ref="J29:K29"/>
    <mergeCell ref="L29:M29"/>
    <mergeCell ref="N29:O29"/>
    <mergeCell ref="P29:Q29"/>
    <mergeCell ref="J25:K25"/>
    <mergeCell ref="L25:M25"/>
    <mergeCell ref="N25:O25"/>
    <mergeCell ref="P25:Q25"/>
    <mergeCell ref="J26:K26"/>
    <mergeCell ref="L26:M26"/>
    <mergeCell ref="N26:O26"/>
    <mergeCell ref="P26:Q26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A7:A27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U7:W27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4" orientation="portrait" horizontalDpi="1200" verticalDpi="12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W105"/>
  <sheetViews>
    <sheetView zoomScale="85" zoomScaleNormal="85" workbookViewId="0">
      <selection activeCell="P12" sqref="P12:Q12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1" bestFit="1" customWidth="1"/>
    <col min="5" max="5" width="35.6640625" customWidth="1"/>
    <col min="6" max="6" width="5.6640625" customWidth="1"/>
    <col min="7" max="9" width="6.6640625" customWidth="1"/>
    <col min="10" max="10" width="6.6640625" style="1" customWidth="1"/>
    <col min="11" max="11" width="5.21875" style="8" customWidth="1"/>
    <col min="12" max="12" width="6.6640625" style="1" customWidth="1"/>
    <col min="13" max="13" width="5.21875" style="8" customWidth="1"/>
    <col min="14" max="14" width="6.6640625" style="1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1" customWidth="1"/>
    <col min="19" max="19" width="3.21875" customWidth="1"/>
    <col min="20" max="20" width="21.5546875" bestFit="1" customWidth="1"/>
    <col min="21" max="23" width="7.6640625" customWidth="1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45962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311025</v>
      </c>
      <c r="E7" s="12" t="s">
        <v>704</v>
      </c>
      <c r="F7" s="17">
        <v>327</v>
      </c>
      <c r="G7" s="17">
        <v>304</v>
      </c>
      <c r="H7" s="18">
        <v>0.9</v>
      </c>
      <c r="I7" s="17">
        <v>30000</v>
      </c>
      <c r="J7" s="165"/>
      <c r="K7" s="166"/>
      <c r="L7" s="165"/>
      <c r="M7" s="166"/>
      <c r="N7" s="165">
        <v>1475</v>
      </c>
      <c r="O7" s="166"/>
      <c r="P7" s="165"/>
      <c r="Q7" s="166"/>
      <c r="R7" s="38">
        <v>45</v>
      </c>
      <c r="S7" s="14" t="s">
        <v>20</v>
      </c>
      <c r="T7" s="42" t="s">
        <v>110</v>
      </c>
      <c r="U7" s="202"/>
      <c r="V7" s="203"/>
      <c r="W7" s="204"/>
    </row>
    <row r="8" spans="1:23" x14ac:dyDescent="0.3">
      <c r="A8" s="181"/>
      <c r="B8" s="5"/>
      <c r="C8" s="5"/>
      <c r="D8" s="4" t="s">
        <v>705</v>
      </c>
      <c r="E8" s="12" t="s">
        <v>706</v>
      </c>
      <c r="F8" s="17">
        <v>315</v>
      </c>
      <c r="G8" s="17">
        <v>304</v>
      </c>
      <c r="H8" s="18">
        <v>0.9</v>
      </c>
      <c r="I8" s="17">
        <v>30000</v>
      </c>
      <c r="J8" s="165">
        <v>200</v>
      </c>
      <c r="K8" s="166"/>
      <c r="L8" s="165"/>
      <c r="M8" s="166"/>
      <c r="N8" s="165"/>
      <c r="O8" s="166"/>
      <c r="P8" s="165"/>
      <c r="Q8" s="166"/>
      <c r="R8" s="38">
        <v>10</v>
      </c>
      <c r="S8" s="14" t="s">
        <v>20</v>
      </c>
      <c r="T8" s="42" t="s">
        <v>709</v>
      </c>
      <c r="U8" s="205"/>
      <c r="V8" s="206"/>
      <c r="W8" s="207"/>
    </row>
    <row r="9" spans="1:23" x14ac:dyDescent="0.3">
      <c r="A9" s="181"/>
      <c r="B9" s="5"/>
      <c r="C9" s="5"/>
      <c r="D9" s="4">
        <v>311025</v>
      </c>
      <c r="E9" s="12" t="s">
        <v>707</v>
      </c>
      <c r="F9" s="17">
        <v>252</v>
      </c>
      <c r="G9" s="17">
        <v>304</v>
      </c>
      <c r="H9" s="18">
        <v>0.9</v>
      </c>
      <c r="I9" s="17">
        <v>30000</v>
      </c>
      <c r="J9" s="165"/>
      <c r="K9" s="166"/>
      <c r="L9" s="165"/>
      <c r="M9" s="166"/>
      <c r="N9" s="165">
        <v>210</v>
      </c>
      <c r="O9" s="166"/>
      <c r="P9" s="165"/>
      <c r="Q9" s="166"/>
      <c r="R9" s="38">
        <v>20</v>
      </c>
      <c r="S9" s="14" t="s">
        <v>20</v>
      </c>
      <c r="T9" s="42" t="s">
        <v>710</v>
      </c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708</v>
      </c>
      <c r="F10" s="17">
        <v>147</v>
      </c>
      <c r="G10" s="17">
        <v>304</v>
      </c>
      <c r="H10" s="18">
        <v>0.9</v>
      </c>
      <c r="I10" s="17">
        <v>30000</v>
      </c>
      <c r="J10" s="165"/>
      <c r="K10" s="166"/>
      <c r="L10" s="165"/>
      <c r="M10" s="166"/>
      <c r="N10" s="165">
        <v>35</v>
      </c>
      <c r="O10" s="166"/>
      <c r="P10" s="165"/>
      <c r="Q10" s="166"/>
      <c r="R10" s="38">
        <v>10</v>
      </c>
      <c r="S10" s="14" t="s">
        <v>20</v>
      </c>
      <c r="T10" s="42" t="s">
        <v>111</v>
      </c>
      <c r="U10" s="205"/>
      <c r="V10" s="206"/>
      <c r="W10" s="207"/>
    </row>
    <row r="11" spans="1:23" x14ac:dyDescent="0.3">
      <c r="A11" s="181"/>
      <c r="B11" s="5"/>
      <c r="C11" s="5"/>
      <c r="D11" s="4">
        <v>250084</v>
      </c>
      <c r="E11" s="12" t="s">
        <v>472</v>
      </c>
      <c r="F11" s="17">
        <v>315</v>
      </c>
      <c r="G11" s="17">
        <v>304</v>
      </c>
      <c r="H11" s="18">
        <v>0.7</v>
      </c>
      <c r="I11" s="17">
        <v>33000</v>
      </c>
      <c r="J11" s="165">
        <v>275</v>
      </c>
      <c r="K11" s="166"/>
      <c r="L11" s="165"/>
      <c r="M11" s="166"/>
      <c r="N11" s="165"/>
      <c r="O11" s="166"/>
      <c r="P11" s="165"/>
      <c r="Q11" s="166"/>
      <c r="R11" s="38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134</v>
      </c>
      <c r="F12" s="17">
        <v>132</v>
      </c>
      <c r="G12" s="17">
        <v>304</v>
      </c>
      <c r="H12" s="18">
        <v>0.7</v>
      </c>
      <c r="I12" s="17">
        <v>33000</v>
      </c>
      <c r="J12" s="165"/>
      <c r="K12" s="166"/>
      <c r="L12" s="165"/>
      <c r="M12" s="166"/>
      <c r="N12" s="165">
        <v>55</v>
      </c>
      <c r="O12" s="166"/>
      <c r="P12" s="165"/>
      <c r="Q12" s="166"/>
      <c r="R12" s="38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>
        <v>250058</v>
      </c>
      <c r="E13" s="12" t="s">
        <v>472</v>
      </c>
      <c r="F13" s="17">
        <v>315</v>
      </c>
      <c r="G13" s="17">
        <v>304</v>
      </c>
      <c r="H13" s="18">
        <v>0.7</v>
      </c>
      <c r="I13" s="17">
        <v>33000</v>
      </c>
      <c r="J13" s="165">
        <v>800</v>
      </c>
      <c r="K13" s="166"/>
      <c r="L13" s="165"/>
      <c r="M13" s="166"/>
      <c r="N13" s="165"/>
      <c r="O13" s="166"/>
      <c r="P13" s="165"/>
      <c r="Q13" s="166"/>
      <c r="R13" s="38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>
        <v>0.58333333333333337</v>
      </c>
      <c r="D14" s="4" t="s">
        <v>102</v>
      </c>
      <c r="E14" s="12" t="s">
        <v>134</v>
      </c>
      <c r="F14" s="17">
        <v>132</v>
      </c>
      <c r="G14" s="17">
        <v>304</v>
      </c>
      <c r="H14" s="18">
        <v>0.7</v>
      </c>
      <c r="I14" s="17">
        <v>33000</v>
      </c>
      <c r="J14" s="165"/>
      <c r="K14" s="166"/>
      <c r="L14" s="165"/>
      <c r="M14" s="166"/>
      <c r="N14" s="165">
        <v>160</v>
      </c>
      <c r="O14" s="166"/>
      <c r="P14" s="165"/>
      <c r="Q14" s="166"/>
      <c r="R14" s="38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/>
      <c r="E15" s="12"/>
      <c r="F15" s="17"/>
      <c r="G15" s="17"/>
      <c r="H15" s="18"/>
      <c r="I15" s="17"/>
      <c r="J15" s="165"/>
      <c r="K15" s="166"/>
      <c r="L15" s="165"/>
      <c r="M15" s="166"/>
      <c r="N15" s="165"/>
      <c r="O15" s="166"/>
      <c r="P15" s="165"/>
      <c r="Q15" s="166"/>
      <c r="R15" s="38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/>
      <c r="E16" s="12"/>
      <c r="F16" s="17"/>
      <c r="G16" s="17"/>
      <c r="H16" s="18"/>
      <c r="I16" s="17"/>
      <c r="J16" s="165"/>
      <c r="K16" s="166"/>
      <c r="L16" s="165"/>
      <c r="M16" s="166"/>
      <c r="N16" s="165"/>
      <c r="O16" s="166"/>
      <c r="P16" s="165"/>
      <c r="Q16" s="166"/>
      <c r="R16" s="38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/>
      <c r="E17" s="12"/>
      <c r="F17" s="17"/>
      <c r="G17" s="17"/>
      <c r="H17" s="18"/>
      <c r="I17" s="17"/>
      <c r="J17" s="165"/>
      <c r="K17" s="166"/>
      <c r="L17" s="165"/>
      <c r="M17" s="166"/>
      <c r="N17" s="165"/>
      <c r="O17" s="166"/>
      <c r="P17" s="165"/>
      <c r="Q17" s="166"/>
      <c r="R17" s="38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/>
      <c r="E18" s="12"/>
      <c r="F18" s="17"/>
      <c r="G18" s="17"/>
      <c r="H18" s="18"/>
      <c r="I18" s="17"/>
      <c r="J18" s="165"/>
      <c r="K18" s="166"/>
      <c r="L18" s="165"/>
      <c r="M18" s="166"/>
      <c r="N18" s="165"/>
      <c r="O18" s="166"/>
      <c r="P18" s="165"/>
      <c r="Q18" s="166"/>
      <c r="R18" s="38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/>
      <c r="E19" s="12"/>
      <c r="F19" s="17"/>
      <c r="G19" s="17"/>
      <c r="H19" s="18"/>
      <c r="I19" s="17"/>
      <c r="J19" s="165"/>
      <c r="K19" s="166"/>
      <c r="L19" s="165"/>
      <c r="M19" s="166"/>
      <c r="N19" s="165"/>
      <c r="O19" s="166"/>
      <c r="P19" s="165"/>
      <c r="Q19" s="166"/>
      <c r="R19" s="38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/>
      <c r="E20" s="12"/>
      <c r="F20" s="17"/>
      <c r="G20" s="17"/>
      <c r="H20" s="18"/>
      <c r="I20" s="17"/>
      <c r="J20" s="165"/>
      <c r="K20" s="166"/>
      <c r="L20" s="165"/>
      <c r="M20" s="166"/>
      <c r="N20" s="165"/>
      <c r="O20" s="166"/>
      <c r="P20" s="165"/>
      <c r="Q20" s="166"/>
      <c r="R20" s="38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1275</v>
      </c>
      <c r="K21" s="22" t="s">
        <v>17</v>
      </c>
      <c r="L21" s="21">
        <f>SUM(L7:M20)</f>
        <v>0</v>
      </c>
      <c r="M21" s="22" t="s">
        <v>17</v>
      </c>
      <c r="N21" s="21">
        <f>SUM(N7:O20)</f>
        <v>1935</v>
      </c>
      <c r="O21" s="22" t="s">
        <v>17</v>
      </c>
      <c r="P21" s="21">
        <f>SUM(P7:Q20)</f>
        <v>0</v>
      </c>
      <c r="Q21" s="22" t="s">
        <v>17</v>
      </c>
      <c r="R21" s="23">
        <f>SUM(R7:R20)</f>
        <v>85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1275</v>
      </c>
      <c r="K24" s="31" t="s">
        <v>17</v>
      </c>
      <c r="L24" s="32">
        <f>L21</f>
        <v>0</v>
      </c>
      <c r="M24" s="31" t="s">
        <v>17</v>
      </c>
      <c r="N24" s="32">
        <f>N21</f>
        <v>1935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3210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14.5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45962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>
        <v>0.58333333333333337</v>
      </c>
      <c r="D31" s="4">
        <v>250082</v>
      </c>
      <c r="E31" s="12" t="s">
        <v>719</v>
      </c>
      <c r="F31" s="40">
        <v>430</v>
      </c>
      <c r="G31" s="41">
        <v>0.6</v>
      </c>
      <c r="H31" s="40">
        <v>719</v>
      </c>
      <c r="I31" s="12">
        <v>8</v>
      </c>
      <c r="J31" s="165">
        <v>325</v>
      </c>
      <c r="K31" s="166"/>
      <c r="L31" s="165"/>
      <c r="M31" s="166"/>
      <c r="N31" s="165"/>
      <c r="O31" s="166"/>
      <c r="P31" s="165"/>
      <c r="Q31" s="166"/>
      <c r="R31" s="38">
        <v>40</v>
      </c>
      <c r="S31" s="14" t="s">
        <v>20</v>
      </c>
      <c r="T31" s="42" t="s">
        <v>93</v>
      </c>
      <c r="U31" s="177"/>
      <c r="V31" s="178"/>
      <c r="W31" s="179"/>
    </row>
    <row r="32" spans="1:23" ht="14.55" customHeight="1" x14ac:dyDescent="0.3">
      <c r="A32" s="181"/>
      <c r="B32" s="5"/>
      <c r="C32" s="5"/>
      <c r="D32" s="4"/>
      <c r="E32" s="12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38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2"/>
      <c r="B33" s="19"/>
      <c r="C33" s="19"/>
      <c r="D33" s="20"/>
      <c r="E33" s="170" t="s">
        <v>0</v>
      </c>
      <c r="F33" s="171"/>
      <c r="G33" s="171"/>
      <c r="H33" s="171"/>
      <c r="I33" s="172"/>
      <c r="J33" s="173">
        <f>SUM(J31:K32)</f>
        <v>325</v>
      </c>
      <c r="K33" s="174"/>
      <c r="L33" s="173">
        <f>SUM(L31:M32)</f>
        <v>0</v>
      </c>
      <c r="M33" s="174"/>
      <c r="N33" s="173">
        <f>SUM(N31:O32)</f>
        <v>0</v>
      </c>
      <c r="O33" s="174"/>
      <c r="P33" s="173">
        <f>SUM(P31:Q32)</f>
        <v>0</v>
      </c>
      <c r="Q33" s="174"/>
      <c r="R33" s="23">
        <f>SUM(R31:R32)</f>
        <v>40</v>
      </c>
      <c r="S33" s="24" t="s">
        <v>20</v>
      </c>
      <c r="T33" s="19"/>
      <c r="U33" s="177"/>
      <c r="V33" s="178"/>
      <c r="W33" s="179"/>
    </row>
    <row r="34" spans="1:23" ht="14.55" customHeight="1" x14ac:dyDescent="0.3">
      <c r="A34" s="163" t="s">
        <v>34</v>
      </c>
      <c r="B34" s="5">
        <v>0.33333333333333331</v>
      </c>
      <c r="C34" s="5"/>
      <c r="D34" s="4">
        <v>250081</v>
      </c>
      <c r="E34" s="12" t="s">
        <v>373</v>
      </c>
      <c r="F34" s="40">
        <v>304</v>
      </c>
      <c r="G34" s="41">
        <v>0.6</v>
      </c>
      <c r="H34" s="40">
        <v>467</v>
      </c>
      <c r="I34" s="12">
        <v>7</v>
      </c>
      <c r="J34" s="165">
        <v>500</v>
      </c>
      <c r="K34" s="166"/>
      <c r="L34" s="165"/>
      <c r="M34" s="166"/>
      <c r="N34" s="165"/>
      <c r="O34" s="166"/>
      <c r="P34" s="165"/>
      <c r="Q34" s="166"/>
      <c r="R34" s="38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63"/>
      <c r="B35" s="5"/>
      <c r="C35" s="5">
        <v>0.58333333333333337</v>
      </c>
      <c r="D35" s="4">
        <v>250084</v>
      </c>
      <c r="E35" s="12" t="s">
        <v>722</v>
      </c>
      <c r="F35" s="40">
        <v>304</v>
      </c>
      <c r="G35" s="41">
        <v>0.7</v>
      </c>
      <c r="H35" s="40">
        <v>315</v>
      </c>
      <c r="I35" s="12">
        <v>3</v>
      </c>
      <c r="J35" s="165">
        <v>265</v>
      </c>
      <c r="K35" s="166"/>
      <c r="L35" s="165"/>
      <c r="M35" s="166"/>
      <c r="N35" s="165"/>
      <c r="O35" s="166"/>
      <c r="P35" s="165"/>
      <c r="Q35" s="166"/>
      <c r="R35" s="38">
        <v>40</v>
      </c>
      <c r="S35" s="14" t="s">
        <v>20</v>
      </c>
      <c r="T35" s="42" t="s">
        <v>93</v>
      </c>
      <c r="U35" s="177"/>
      <c r="V35" s="178"/>
      <c r="W35" s="179"/>
    </row>
    <row r="36" spans="1:23" ht="14.55" customHeight="1" x14ac:dyDescent="0.3">
      <c r="A36" s="163"/>
      <c r="B36" s="5"/>
      <c r="C36" s="5"/>
      <c r="D36" s="4"/>
      <c r="E36" s="12"/>
      <c r="F36" s="40"/>
      <c r="G36" s="41"/>
      <c r="H36" s="40"/>
      <c r="I36" s="12"/>
      <c r="J36" s="165"/>
      <c r="K36" s="166"/>
      <c r="L36" s="165"/>
      <c r="M36" s="166"/>
      <c r="N36" s="165"/>
      <c r="O36" s="166"/>
      <c r="P36" s="165"/>
      <c r="Q36" s="166"/>
      <c r="R36" s="38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64"/>
      <c r="B37" s="19"/>
      <c r="C37" s="19"/>
      <c r="D37" s="20"/>
      <c r="E37" s="170" t="s">
        <v>0</v>
      </c>
      <c r="F37" s="171"/>
      <c r="G37" s="171"/>
      <c r="H37" s="171"/>
      <c r="I37" s="172"/>
      <c r="J37" s="173">
        <f>SUM(J34:K36)</f>
        <v>765</v>
      </c>
      <c r="K37" s="174"/>
      <c r="L37" s="173">
        <f>SUM(L34:M36)</f>
        <v>0</v>
      </c>
      <c r="M37" s="174"/>
      <c r="N37" s="173">
        <f>SUM(N34:O36)</f>
        <v>0</v>
      </c>
      <c r="O37" s="174"/>
      <c r="P37" s="173">
        <f>SUM(P34:Q36)</f>
        <v>0</v>
      </c>
      <c r="Q37" s="174"/>
      <c r="R37" s="23">
        <f>SUM(R34:R36)</f>
        <v>40</v>
      </c>
      <c r="S37" s="24" t="s">
        <v>20</v>
      </c>
      <c r="T37" s="19"/>
      <c r="U37" s="177"/>
      <c r="V37" s="178"/>
      <c r="W37" s="179"/>
    </row>
    <row r="38" spans="1:23" ht="14.55" customHeight="1" x14ac:dyDescent="0.3">
      <c r="A38" s="163" t="s">
        <v>583</v>
      </c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38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3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38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64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SUM(J38:K39)</f>
        <v>0</v>
      </c>
      <c r="K40" s="174"/>
      <c r="L40" s="173">
        <f>SUM(L38:M39)</f>
        <v>0</v>
      </c>
      <c r="M40" s="174"/>
      <c r="N40" s="173">
        <f>SUM(N38:O39)</f>
        <v>0</v>
      </c>
      <c r="O40" s="174"/>
      <c r="P40" s="173">
        <f>SUM(P38:Q39)</f>
        <v>0</v>
      </c>
      <c r="Q40" s="174"/>
      <c r="R40" s="23">
        <f>SUM(R38:R39)</f>
        <v>0</v>
      </c>
      <c r="S40" s="24" t="s">
        <v>20</v>
      </c>
      <c r="T40" s="19"/>
      <c r="U40" s="177"/>
      <c r="V40" s="178"/>
      <c r="W40" s="179"/>
    </row>
    <row r="41" spans="1:23" s="118" customFormat="1" ht="14.55" customHeight="1" x14ac:dyDescent="0.3">
      <c r="A41" s="163" t="s">
        <v>35</v>
      </c>
      <c r="B41" s="5">
        <v>0.33333333333333331</v>
      </c>
      <c r="C41" s="5">
        <v>0.58333333333333337</v>
      </c>
      <c r="D41" s="4">
        <v>241025</v>
      </c>
      <c r="E41" s="12" t="s">
        <v>725</v>
      </c>
      <c r="F41" s="40">
        <v>304</v>
      </c>
      <c r="G41" s="41">
        <v>0.8</v>
      </c>
      <c r="H41" s="40">
        <v>276</v>
      </c>
      <c r="I41" s="12"/>
      <c r="J41" s="165"/>
      <c r="K41" s="166"/>
      <c r="L41" s="165"/>
      <c r="M41" s="166"/>
      <c r="N41" s="165">
        <v>1000</v>
      </c>
      <c r="O41" s="166"/>
      <c r="P41" s="165"/>
      <c r="Q41" s="166"/>
      <c r="R41" s="127"/>
      <c r="S41" s="14" t="s">
        <v>20</v>
      </c>
      <c r="T41" s="42"/>
      <c r="U41" s="177"/>
      <c r="V41" s="178"/>
      <c r="W41" s="179"/>
    </row>
    <row r="42" spans="1:23" s="118" customFormat="1" ht="14.55" customHeight="1" x14ac:dyDescent="0.3">
      <c r="A42" s="163"/>
      <c r="B42" s="5"/>
      <c r="C42" s="5"/>
      <c r="D42" s="4"/>
      <c r="E42" s="12"/>
      <c r="F42" s="40"/>
      <c r="G42" s="41"/>
      <c r="H42" s="40"/>
      <c r="I42" s="12"/>
      <c r="J42" s="165"/>
      <c r="K42" s="166"/>
      <c r="L42" s="165"/>
      <c r="M42" s="166"/>
      <c r="N42" s="165"/>
      <c r="O42" s="166"/>
      <c r="P42" s="165"/>
      <c r="Q42" s="166"/>
      <c r="R42" s="127"/>
      <c r="S42" s="14" t="s">
        <v>20</v>
      </c>
      <c r="T42" s="42"/>
      <c r="U42" s="177"/>
      <c r="V42" s="178"/>
      <c r="W42" s="179"/>
    </row>
    <row r="43" spans="1:23" s="118" customFormat="1" ht="14.55" customHeight="1" x14ac:dyDescent="0.3">
      <c r="A43" s="164"/>
      <c r="B43" s="19"/>
      <c r="C43" s="19"/>
      <c r="D43" s="20"/>
      <c r="E43" s="170" t="s">
        <v>0</v>
      </c>
      <c r="F43" s="171"/>
      <c r="G43" s="171"/>
      <c r="H43" s="171"/>
      <c r="I43" s="172"/>
      <c r="J43" s="173">
        <f>SUM(J41:K42)</f>
        <v>0</v>
      </c>
      <c r="K43" s="174"/>
      <c r="L43" s="173">
        <f>SUM(L41:M42)</f>
        <v>0</v>
      </c>
      <c r="M43" s="174"/>
      <c r="N43" s="173">
        <f>SUM(N41:O42)</f>
        <v>1000</v>
      </c>
      <c r="O43" s="174"/>
      <c r="P43" s="173">
        <f>SUM(P41:Q42)</f>
        <v>0</v>
      </c>
      <c r="Q43" s="174"/>
      <c r="R43" s="23">
        <f>SUM(R41:R42)</f>
        <v>0</v>
      </c>
      <c r="S43" s="24" t="s">
        <v>20</v>
      </c>
      <c r="T43" s="19"/>
      <c r="U43" s="177"/>
      <c r="V43" s="178"/>
      <c r="W43" s="179"/>
    </row>
    <row r="44" spans="1:23" s="118" customFormat="1" ht="14.55" customHeight="1" x14ac:dyDescent="0.3">
      <c r="A44" s="27"/>
      <c r="B44" s="27"/>
      <c r="C44" s="27"/>
      <c r="D44" s="27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27"/>
      <c r="S44" s="27"/>
      <c r="T44" s="39"/>
      <c r="U44" s="39"/>
      <c r="V44" s="39"/>
      <c r="W44" s="39"/>
    </row>
    <row r="45" spans="1:23" x14ac:dyDescent="0.3">
      <c r="D45" s="8"/>
      <c r="E45" s="170" t="s">
        <v>31</v>
      </c>
      <c r="F45" s="171"/>
      <c r="G45" s="171"/>
      <c r="H45" s="171"/>
      <c r="I45" s="172"/>
      <c r="J45" s="175" t="s">
        <v>7</v>
      </c>
      <c r="K45" s="176"/>
      <c r="L45" s="175" t="s">
        <v>8</v>
      </c>
      <c r="M45" s="176"/>
      <c r="N45" s="175" t="s">
        <v>9</v>
      </c>
      <c r="O45" s="176"/>
      <c r="P45" s="175" t="s">
        <v>117</v>
      </c>
      <c r="Q45" s="176"/>
      <c r="R45" s="8"/>
    </row>
    <row r="46" spans="1:23" s="2" customFormat="1" x14ac:dyDescent="0.3">
      <c r="E46" s="15"/>
      <c r="F46" s="15"/>
      <c r="G46" s="15"/>
      <c r="H46" s="15"/>
      <c r="I46" s="15"/>
      <c r="J46" s="30">
        <f>J33+J37+J40+J43</f>
        <v>1090</v>
      </c>
      <c r="K46" s="31" t="s">
        <v>17</v>
      </c>
      <c r="L46" s="30">
        <f>L33+L37+L40+L43</f>
        <v>0</v>
      </c>
      <c r="M46" s="31" t="s">
        <v>17</v>
      </c>
      <c r="N46" s="30">
        <f>N33+N37+N40+N43</f>
        <v>1000</v>
      </c>
      <c r="O46" s="31" t="s">
        <v>17</v>
      </c>
      <c r="P46" s="30">
        <f>P33+P37+P40+P43</f>
        <v>0</v>
      </c>
      <c r="Q46" s="34" t="s">
        <v>17</v>
      </c>
    </row>
    <row r="47" spans="1:23" ht="24.45" customHeight="1" x14ac:dyDescent="0.3">
      <c r="D47" s="8"/>
      <c r="E47" s="28"/>
      <c r="F47" s="28"/>
      <c r="G47" s="28"/>
      <c r="H47" s="28"/>
      <c r="I47" s="28"/>
      <c r="J47" s="167">
        <f>J46+L46+N46+P46</f>
        <v>2090</v>
      </c>
      <c r="K47" s="168"/>
      <c r="L47" s="168"/>
      <c r="M47" s="168"/>
      <c r="N47" s="168"/>
      <c r="O47" s="168"/>
      <c r="P47" s="168"/>
      <c r="Q47" s="169"/>
      <c r="R47" s="8"/>
    </row>
    <row r="48" spans="1:23" s="118" customFormat="1" ht="14.55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spans="1:23" s="37" customFormat="1" ht="19.95" customHeight="1" x14ac:dyDescent="0.4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183" t="s">
        <v>14</v>
      </c>
      <c r="R49" s="183"/>
      <c r="S49" s="183"/>
      <c r="T49" s="184">
        <f>T3</f>
        <v>45962</v>
      </c>
      <c r="U49" s="185"/>
      <c r="V49" s="185"/>
      <c r="W49" s="186"/>
    </row>
    <row r="50" spans="1:23" s="16" customFormat="1" ht="30" customHeight="1" x14ac:dyDescent="0.3">
      <c r="A50" s="187" t="s">
        <v>586</v>
      </c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9"/>
      <c r="Q50" s="189"/>
      <c r="R50" s="189"/>
      <c r="S50" s="189"/>
      <c r="T50" s="188"/>
      <c r="U50" s="188"/>
      <c r="V50" s="188"/>
      <c r="W50" s="190"/>
    </row>
    <row r="51" spans="1:23" s="26" customFormat="1" ht="13.8" x14ac:dyDescent="0.3">
      <c r="A51" s="191" t="s">
        <v>1</v>
      </c>
      <c r="B51" s="192" t="s">
        <v>2</v>
      </c>
      <c r="C51" s="192" t="s">
        <v>3</v>
      </c>
      <c r="D51" s="192" t="s">
        <v>4</v>
      </c>
      <c r="E51" s="193" t="s">
        <v>5</v>
      </c>
      <c r="F51" s="195" t="s">
        <v>21</v>
      </c>
      <c r="G51" s="195" t="s">
        <v>22</v>
      </c>
      <c r="H51" s="195" t="s">
        <v>33</v>
      </c>
      <c r="I51" s="195" t="s">
        <v>30</v>
      </c>
      <c r="J51" s="193" t="s">
        <v>6</v>
      </c>
      <c r="K51" s="197"/>
      <c r="L51" s="197"/>
      <c r="M51" s="197"/>
      <c r="N51" s="197"/>
      <c r="O51" s="197"/>
      <c r="P51" s="197"/>
      <c r="Q51" s="198"/>
      <c r="R51" s="193" t="s">
        <v>10</v>
      </c>
      <c r="S51" s="198"/>
      <c r="T51" s="191" t="s">
        <v>11</v>
      </c>
      <c r="U51" s="191" t="s">
        <v>12</v>
      </c>
      <c r="V51" s="191"/>
      <c r="W51" s="191"/>
    </row>
    <row r="52" spans="1:23" s="26" customFormat="1" ht="13.8" x14ac:dyDescent="0.3">
      <c r="A52" s="191"/>
      <c r="B52" s="192"/>
      <c r="C52" s="192"/>
      <c r="D52" s="192"/>
      <c r="E52" s="194"/>
      <c r="F52" s="196"/>
      <c r="G52" s="196"/>
      <c r="H52" s="196"/>
      <c r="I52" s="196"/>
      <c r="J52" s="200" t="s">
        <v>7</v>
      </c>
      <c r="K52" s="201"/>
      <c r="L52" s="200" t="s">
        <v>8</v>
      </c>
      <c r="M52" s="201"/>
      <c r="N52" s="200" t="s">
        <v>9</v>
      </c>
      <c r="O52" s="201"/>
      <c r="P52" s="200" t="s">
        <v>117</v>
      </c>
      <c r="Q52" s="201"/>
      <c r="R52" s="194"/>
      <c r="S52" s="199"/>
      <c r="T52" s="191"/>
      <c r="U52" s="191"/>
      <c r="V52" s="191"/>
      <c r="W52" s="191"/>
    </row>
    <row r="53" spans="1:23" s="118" customFormat="1" ht="14.55" customHeight="1" x14ac:dyDescent="0.3">
      <c r="A53" s="180" t="s">
        <v>584</v>
      </c>
      <c r="B53" s="5">
        <v>800</v>
      </c>
      <c r="C53" s="5">
        <v>0.70833333333333337</v>
      </c>
      <c r="D53" s="4"/>
      <c r="E53" s="12" t="s">
        <v>726</v>
      </c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127">
        <v>480</v>
      </c>
      <c r="S53" s="14" t="s">
        <v>20</v>
      </c>
      <c r="T53" s="42"/>
      <c r="U53" s="177"/>
      <c r="V53" s="178"/>
      <c r="W53" s="179"/>
    </row>
    <row r="54" spans="1:23" s="118" customFormat="1" ht="14.55" customHeight="1" x14ac:dyDescent="0.3">
      <c r="A54" s="181"/>
      <c r="B54" s="5"/>
      <c r="C54" s="5"/>
      <c r="D54" s="4"/>
      <c r="E54" s="13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127"/>
      <c r="S54" s="14" t="s">
        <v>20</v>
      </c>
      <c r="T54" s="42"/>
      <c r="U54" s="177"/>
      <c r="V54" s="178"/>
      <c r="W54" s="179"/>
    </row>
    <row r="55" spans="1:23" s="118" customFormat="1" ht="14.55" customHeight="1" x14ac:dyDescent="0.3">
      <c r="A55" s="181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127"/>
      <c r="S55" s="14" t="s">
        <v>20</v>
      </c>
      <c r="T55" s="42"/>
      <c r="U55" s="177"/>
      <c r="V55" s="178"/>
      <c r="W55" s="179"/>
    </row>
    <row r="56" spans="1:23" s="118" customFormat="1" ht="14.55" customHeight="1" x14ac:dyDescent="0.3">
      <c r="A56" s="181"/>
      <c r="B56" s="5"/>
      <c r="C56" s="5"/>
      <c r="D56" s="4"/>
      <c r="E56" s="13"/>
      <c r="F56" s="40"/>
      <c r="G56" s="41"/>
      <c r="H56" s="40"/>
      <c r="I56" s="12"/>
      <c r="J56" s="165"/>
      <c r="K56" s="166"/>
      <c r="L56" s="165"/>
      <c r="M56" s="166"/>
      <c r="N56" s="165"/>
      <c r="O56" s="166"/>
      <c r="P56" s="165"/>
      <c r="Q56" s="166"/>
      <c r="R56" s="127"/>
      <c r="S56" s="14" t="s">
        <v>20</v>
      </c>
      <c r="T56" s="42"/>
      <c r="U56" s="177"/>
      <c r="V56" s="178"/>
      <c r="W56" s="179"/>
    </row>
    <row r="57" spans="1:23" s="118" customFormat="1" ht="14.55" customHeight="1" x14ac:dyDescent="0.3">
      <c r="A57" s="181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127"/>
      <c r="S57" s="14" t="s">
        <v>20</v>
      </c>
      <c r="T57" s="42"/>
      <c r="U57" s="177"/>
      <c r="V57" s="178"/>
      <c r="W57" s="179"/>
    </row>
    <row r="58" spans="1:23" s="118" customFormat="1" ht="14.55" customHeight="1" x14ac:dyDescent="0.3">
      <c r="A58" s="181"/>
      <c r="B58" s="5"/>
      <c r="C58" s="5"/>
      <c r="D58" s="4"/>
      <c r="E58" s="13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127"/>
      <c r="S58" s="14" t="s">
        <v>20</v>
      </c>
      <c r="T58" s="42"/>
      <c r="U58" s="177"/>
      <c r="V58" s="178"/>
      <c r="W58" s="179"/>
    </row>
    <row r="59" spans="1:23" s="118" customFormat="1" ht="14.55" customHeight="1" x14ac:dyDescent="0.3">
      <c r="A59" s="181"/>
      <c r="B59" s="5"/>
      <c r="C59" s="5"/>
      <c r="D59" s="4"/>
      <c r="E59" s="12"/>
      <c r="F59" s="40"/>
      <c r="G59" s="41"/>
      <c r="H59" s="40"/>
      <c r="I59" s="12"/>
      <c r="J59" s="165"/>
      <c r="K59" s="166"/>
      <c r="L59" s="165"/>
      <c r="M59" s="166"/>
      <c r="N59" s="165"/>
      <c r="O59" s="166"/>
      <c r="P59" s="165"/>
      <c r="Q59" s="166"/>
      <c r="R59" s="127"/>
      <c r="S59" s="14" t="s">
        <v>20</v>
      </c>
      <c r="T59" s="42"/>
      <c r="U59" s="177"/>
      <c r="V59" s="178"/>
      <c r="W59" s="179"/>
    </row>
    <row r="60" spans="1:23" s="118" customFormat="1" ht="14.55" customHeight="1" x14ac:dyDescent="0.3">
      <c r="A60" s="181"/>
      <c r="B60" s="5"/>
      <c r="C60" s="5"/>
      <c r="D60" s="4"/>
      <c r="E60" s="12"/>
      <c r="F60" s="40"/>
      <c r="G60" s="41"/>
      <c r="H60" s="40"/>
      <c r="I60" s="12"/>
      <c r="J60" s="165"/>
      <c r="K60" s="166"/>
      <c r="L60" s="165"/>
      <c r="M60" s="166"/>
      <c r="N60" s="165"/>
      <c r="O60" s="166"/>
      <c r="P60" s="165"/>
      <c r="Q60" s="166"/>
      <c r="R60" s="127"/>
      <c r="S60" s="14" t="s">
        <v>20</v>
      </c>
      <c r="T60" s="42"/>
      <c r="U60" s="177"/>
      <c r="V60" s="178"/>
      <c r="W60" s="179"/>
    </row>
    <row r="61" spans="1:23" s="118" customFormat="1" ht="14.55" customHeight="1" x14ac:dyDescent="0.3">
      <c r="A61" s="181"/>
      <c r="B61" s="5"/>
      <c r="C61" s="5"/>
      <c r="D61" s="4"/>
      <c r="E61" s="12"/>
      <c r="F61" s="40"/>
      <c r="G61" s="41"/>
      <c r="H61" s="40"/>
      <c r="I61" s="12"/>
      <c r="J61" s="165"/>
      <c r="K61" s="166"/>
      <c r="L61" s="165"/>
      <c r="M61" s="166"/>
      <c r="N61" s="165"/>
      <c r="O61" s="166"/>
      <c r="P61" s="165"/>
      <c r="Q61" s="166"/>
      <c r="R61" s="127"/>
      <c r="S61" s="14" t="s">
        <v>20</v>
      </c>
      <c r="T61" s="42"/>
      <c r="U61" s="177"/>
      <c r="V61" s="178"/>
      <c r="W61" s="179"/>
    </row>
    <row r="62" spans="1:23" s="118" customFormat="1" ht="14.55" customHeight="1" x14ac:dyDescent="0.3">
      <c r="A62" s="182"/>
      <c r="B62" s="19"/>
      <c r="C62" s="19"/>
      <c r="D62" s="20"/>
      <c r="E62" s="170" t="s">
        <v>0</v>
      </c>
      <c r="F62" s="171"/>
      <c r="G62" s="171"/>
      <c r="H62" s="171"/>
      <c r="I62" s="172"/>
      <c r="J62" s="173">
        <f>SUM(J53:K61)</f>
        <v>0</v>
      </c>
      <c r="K62" s="174"/>
      <c r="L62" s="173">
        <f>SUM(L53:M61)</f>
        <v>0</v>
      </c>
      <c r="M62" s="174"/>
      <c r="N62" s="173">
        <f>SUM(N53:O61)</f>
        <v>0</v>
      </c>
      <c r="O62" s="174"/>
      <c r="P62" s="173">
        <f>SUM(P53:Q61)</f>
        <v>0</v>
      </c>
      <c r="Q62" s="174"/>
      <c r="R62" s="23">
        <f>SUM(R53:R61)</f>
        <v>480</v>
      </c>
      <c r="S62" s="24" t="s">
        <v>20</v>
      </c>
      <c r="T62" s="19"/>
      <c r="U62" s="177"/>
      <c r="V62" s="178"/>
      <c r="W62" s="179"/>
    </row>
    <row r="63" spans="1:23" s="118" customFormat="1" x14ac:dyDescent="0.3">
      <c r="D63" s="8"/>
      <c r="E63" s="28"/>
      <c r="F63" s="28"/>
      <c r="G63" s="28"/>
      <c r="H63" s="28"/>
      <c r="I63" s="28"/>
      <c r="J63" s="29"/>
      <c r="K63" s="29"/>
      <c r="L63" s="29"/>
      <c r="M63" s="29"/>
      <c r="N63" s="29"/>
      <c r="O63" s="29"/>
      <c r="P63" s="29"/>
      <c r="Q63" s="29"/>
      <c r="R63" s="8"/>
    </row>
    <row r="64" spans="1:23" s="118" customFormat="1" x14ac:dyDescent="0.3">
      <c r="D64" s="8"/>
      <c r="E64" s="170" t="s">
        <v>587</v>
      </c>
      <c r="F64" s="171"/>
      <c r="G64" s="171"/>
      <c r="H64" s="171"/>
      <c r="I64" s="172"/>
      <c r="J64" s="175" t="s">
        <v>7</v>
      </c>
      <c r="K64" s="176"/>
      <c r="L64" s="175" t="s">
        <v>8</v>
      </c>
      <c r="M64" s="176"/>
      <c r="N64" s="175" t="s">
        <v>9</v>
      </c>
      <c r="O64" s="176"/>
      <c r="P64" s="175" t="s">
        <v>117</v>
      </c>
      <c r="Q64" s="176"/>
      <c r="R64" s="8"/>
    </row>
    <row r="65" spans="1:23" s="2" customFormat="1" x14ac:dyDescent="0.3">
      <c r="E65" s="15"/>
      <c r="F65" s="15"/>
      <c r="G65" s="15"/>
      <c r="H65" s="15"/>
      <c r="I65" s="15"/>
      <c r="J65" s="30">
        <f>J58+J62</f>
        <v>0</v>
      </c>
      <c r="K65" s="31" t="s">
        <v>17</v>
      </c>
      <c r="L65" s="32">
        <f>L58+L62</f>
        <v>0</v>
      </c>
      <c r="M65" s="31" t="s">
        <v>17</v>
      </c>
      <c r="N65" s="32">
        <f>N58+N62</f>
        <v>0</v>
      </c>
      <c r="O65" s="31" t="s">
        <v>17</v>
      </c>
      <c r="P65" s="32">
        <f>P58+P62</f>
        <v>0</v>
      </c>
      <c r="Q65" s="34" t="s">
        <v>17</v>
      </c>
    </row>
    <row r="66" spans="1:23" s="118" customFormat="1" ht="24.45" customHeight="1" x14ac:dyDescent="0.3">
      <c r="D66" s="8"/>
      <c r="E66" s="28"/>
      <c r="F66" s="28"/>
      <c r="G66" s="28"/>
      <c r="H66" s="28"/>
      <c r="I66" s="28"/>
      <c r="J66" s="167">
        <f>J65+L65+N65+P65</f>
        <v>0</v>
      </c>
      <c r="K66" s="168"/>
      <c r="L66" s="168"/>
      <c r="M66" s="168"/>
      <c r="N66" s="168"/>
      <c r="O66" s="168"/>
      <c r="P66" s="168"/>
      <c r="Q66" s="169"/>
      <c r="R66" s="8"/>
    </row>
    <row r="67" spans="1:23" ht="14.55" customHeight="1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 spans="1:23" s="37" customFormat="1" ht="19.95" customHeight="1" x14ac:dyDescent="0.4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214" t="s">
        <v>14</v>
      </c>
      <c r="R68" s="215"/>
      <c r="S68" s="216"/>
      <c r="T68" s="184">
        <f>T3</f>
        <v>45962</v>
      </c>
      <c r="U68" s="185"/>
      <c r="V68" s="185"/>
      <c r="W68" s="186"/>
    </row>
    <row r="69" spans="1:23" s="16" customFormat="1" ht="30" customHeight="1" x14ac:dyDescent="0.3">
      <c r="A69" s="187" t="s">
        <v>26</v>
      </c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9"/>
      <c r="Q69" s="189"/>
      <c r="R69" s="189"/>
      <c r="S69" s="189"/>
      <c r="T69" s="188"/>
      <c r="U69" s="188"/>
      <c r="V69" s="188"/>
      <c r="W69" s="190"/>
    </row>
    <row r="70" spans="1:23" s="26" customFormat="1" ht="13.8" x14ac:dyDescent="0.3">
      <c r="A70" s="191" t="s">
        <v>1</v>
      </c>
      <c r="B70" s="192" t="s">
        <v>2</v>
      </c>
      <c r="C70" s="192" t="s">
        <v>3</v>
      </c>
      <c r="D70" s="192" t="s">
        <v>4</v>
      </c>
      <c r="E70" s="193" t="s">
        <v>5</v>
      </c>
      <c r="F70" s="197"/>
      <c r="G70" s="197"/>
      <c r="H70" s="197"/>
      <c r="I70" s="198"/>
      <c r="J70" s="193" t="s">
        <v>6</v>
      </c>
      <c r="K70" s="197"/>
      <c r="L70" s="197"/>
      <c r="M70" s="197"/>
      <c r="N70" s="197"/>
      <c r="O70" s="197"/>
      <c r="P70" s="197"/>
      <c r="Q70" s="198"/>
      <c r="R70" s="193" t="s">
        <v>10</v>
      </c>
      <c r="S70" s="198"/>
      <c r="T70" s="191" t="s">
        <v>11</v>
      </c>
      <c r="U70" s="191" t="s">
        <v>12</v>
      </c>
      <c r="V70" s="191"/>
      <c r="W70" s="191"/>
    </row>
    <row r="71" spans="1:23" s="26" customFormat="1" ht="13.8" x14ac:dyDescent="0.3">
      <c r="A71" s="191"/>
      <c r="B71" s="192"/>
      <c r="C71" s="192"/>
      <c r="D71" s="192"/>
      <c r="E71" s="194"/>
      <c r="F71" s="217"/>
      <c r="G71" s="217"/>
      <c r="H71" s="217"/>
      <c r="I71" s="199"/>
      <c r="J71" s="200" t="s">
        <v>7</v>
      </c>
      <c r="K71" s="201"/>
      <c r="L71" s="200" t="s">
        <v>8</v>
      </c>
      <c r="M71" s="201"/>
      <c r="N71" s="200" t="s">
        <v>9</v>
      </c>
      <c r="O71" s="201"/>
      <c r="P71" s="200" t="s">
        <v>117</v>
      </c>
      <c r="Q71" s="201"/>
      <c r="R71" s="194"/>
      <c r="S71" s="199"/>
      <c r="T71" s="191"/>
      <c r="U71" s="191"/>
      <c r="V71" s="191"/>
      <c r="W71" s="191"/>
    </row>
    <row r="72" spans="1:23" x14ac:dyDescent="0.3">
      <c r="A72" s="180" t="s">
        <v>13</v>
      </c>
      <c r="B72" s="5">
        <v>0.33333333333333331</v>
      </c>
      <c r="C72" s="5"/>
      <c r="D72" s="4">
        <v>250049</v>
      </c>
      <c r="E72" s="211" t="s">
        <v>718</v>
      </c>
      <c r="F72" s="212"/>
      <c r="G72" s="212"/>
      <c r="H72" s="212"/>
      <c r="I72" s="213"/>
      <c r="J72" s="165">
        <v>464</v>
      </c>
      <c r="K72" s="166"/>
      <c r="L72" s="165"/>
      <c r="M72" s="166"/>
      <c r="N72" s="165"/>
      <c r="O72" s="166"/>
      <c r="P72" s="165"/>
      <c r="Q72" s="166"/>
      <c r="R72" s="9">
        <v>40</v>
      </c>
      <c r="S72" s="6" t="s">
        <v>20</v>
      </c>
      <c r="T72" s="3" t="s">
        <v>93</v>
      </c>
      <c r="U72" s="202"/>
      <c r="V72" s="203"/>
      <c r="W72" s="204"/>
    </row>
    <row r="73" spans="1:23" x14ac:dyDescent="0.3">
      <c r="A73" s="163"/>
      <c r="B73" s="5"/>
      <c r="C73" s="5"/>
      <c r="D73" s="4">
        <v>250081</v>
      </c>
      <c r="E73" s="211" t="s">
        <v>727</v>
      </c>
      <c r="F73" s="212"/>
      <c r="G73" s="212"/>
      <c r="H73" s="212"/>
      <c r="I73" s="213"/>
      <c r="J73" s="165">
        <f>602+15</f>
        <v>617</v>
      </c>
      <c r="K73" s="166"/>
      <c r="L73" s="165"/>
      <c r="M73" s="166"/>
      <c r="N73" s="165"/>
      <c r="O73" s="166"/>
      <c r="P73" s="165"/>
      <c r="Q73" s="166"/>
      <c r="R73" s="9">
        <v>40</v>
      </c>
      <c r="S73" s="6" t="s">
        <v>20</v>
      </c>
      <c r="T73" s="3" t="s">
        <v>93</v>
      </c>
      <c r="U73" s="205"/>
      <c r="V73" s="206"/>
      <c r="W73" s="207"/>
    </row>
    <row r="74" spans="1:23" x14ac:dyDescent="0.3">
      <c r="A74" s="163"/>
      <c r="B74" s="5"/>
      <c r="C74" s="5">
        <v>0.58333333333333337</v>
      </c>
      <c r="D74" s="4">
        <v>250079</v>
      </c>
      <c r="E74" s="211" t="s">
        <v>684</v>
      </c>
      <c r="F74" s="212"/>
      <c r="G74" s="212"/>
      <c r="H74" s="212"/>
      <c r="I74" s="213"/>
      <c r="J74" s="165">
        <v>653</v>
      </c>
      <c r="K74" s="166"/>
      <c r="L74" s="165"/>
      <c r="M74" s="166"/>
      <c r="N74" s="165"/>
      <c r="O74" s="166"/>
      <c r="P74" s="165"/>
      <c r="Q74" s="166"/>
      <c r="R74" s="9">
        <v>40</v>
      </c>
      <c r="S74" s="6" t="s">
        <v>20</v>
      </c>
      <c r="T74" s="3" t="s">
        <v>93</v>
      </c>
      <c r="U74" s="205"/>
      <c r="V74" s="206"/>
      <c r="W74" s="207"/>
    </row>
    <row r="75" spans="1:23" x14ac:dyDescent="0.3">
      <c r="A75" s="163"/>
      <c r="B75" s="5"/>
      <c r="C75" s="5"/>
      <c r="D75" s="4"/>
      <c r="E75" s="211"/>
      <c r="F75" s="212"/>
      <c r="G75" s="212"/>
      <c r="H75" s="212"/>
      <c r="I75" s="213"/>
      <c r="J75" s="165"/>
      <c r="K75" s="166"/>
      <c r="L75" s="165"/>
      <c r="M75" s="166"/>
      <c r="N75" s="165"/>
      <c r="O75" s="166"/>
      <c r="P75" s="165"/>
      <c r="Q75" s="166"/>
      <c r="R75" s="9"/>
      <c r="S75" s="6" t="s">
        <v>20</v>
      </c>
      <c r="T75" s="3"/>
      <c r="U75" s="205"/>
      <c r="V75" s="206"/>
      <c r="W75" s="207"/>
    </row>
    <row r="76" spans="1:23" x14ac:dyDescent="0.3">
      <c r="A76" s="163"/>
      <c r="B76" s="5"/>
      <c r="C76" s="5"/>
      <c r="D76" s="4"/>
      <c r="E76" s="211"/>
      <c r="F76" s="212"/>
      <c r="G76" s="212"/>
      <c r="H76" s="212"/>
      <c r="I76" s="213"/>
      <c r="J76" s="165"/>
      <c r="K76" s="166"/>
      <c r="L76" s="165"/>
      <c r="M76" s="166"/>
      <c r="N76" s="165"/>
      <c r="O76" s="166"/>
      <c r="P76" s="165"/>
      <c r="Q76" s="166"/>
      <c r="R76" s="9"/>
      <c r="S76" s="6" t="s">
        <v>20</v>
      </c>
      <c r="T76" s="3"/>
      <c r="U76" s="205"/>
      <c r="V76" s="206"/>
      <c r="W76" s="207"/>
    </row>
    <row r="77" spans="1:23" x14ac:dyDescent="0.3">
      <c r="A77" s="163"/>
      <c r="B77" s="5"/>
      <c r="C77" s="5"/>
      <c r="D77" s="4"/>
      <c r="E77" s="211"/>
      <c r="F77" s="212"/>
      <c r="G77" s="212"/>
      <c r="H77" s="212"/>
      <c r="I77" s="213"/>
      <c r="J77" s="165"/>
      <c r="K77" s="166"/>
      <c r="L77" s="165"/>
      <c r="M77" s="166"/>
      <c r="N77" s="165"/>
      <c r="O77" s="166"/>
      <c r="P77" s="165"/>
      <c r="Q77" s="166"/>
      <c r="R77" s="9"/>
      <c r="S77" s="6" t="s">
        <v>20</v>
      </c>
      <c r="T77" s="3"/>
      <c r="U77" s="205"/>
      <c r="V77" s="206"/>
      <c r="W77" s="207"/>
    </row>
    <row r="78" spans="1:23" x14ac:dyDescent="0.3">
      <c r="A78" s="163"/>
      <c r="B78" s="5"/>
      <c r="C78" s="5"/>
      <c r="D78" s="4"/>
      <c r="E78" s="211"/>
      <c r="F78" s="212"/>
      <c r="G78" s="212"/>
      <c r="H78" s="212"/>
      <c r="I78" s="213"/>
      <c r="J78" s="165"/>
      <c r="K78" s="166"/>
      <c r="L78" s="165"/>
      <c r="M78" s="166"/>
      <c r="N78" s="165"/>
      <c r="O78" s="166"/>
      <c r="P78" s="165"/>
      <c r="Q78" s="166"/>
      <c r="R78" s="9"/>
      <c r="S78" s="6" t="s">
        <v>20</v>
      </c>
      <c r="T78" s="3"/>
      <c r="U78" s="205"/>
      <c r="V78" s="206"/>
      <c r="W78" s="207"/>
    </row>
    <row r="79" spans="1:23" x14ac:dyDescent="0.3">
      <c r="A79" s="164"/>
      <c r="B79" s="19"/>
      <c r="C79" s="19"/>
      <c r="D79" s="20"/>
      <c r="E79" s="170" t="s">
        <v>0</v>
      </c>
      <c r="F79" s="171"/>
      <c r="G79" s="171"/>
      <c r="H79" s="171"/>
      <c r="I79" s="172"/>
      <c r="J79" s="173">
        <f>SUM(J72:J78)</f>
        <v>1734</v>
      </c>
      <c r="K79" s="174"/>
      <c r="L79" s="173">
        <f>SUM(L72:L78)</f>
        <v>0</v>
      </c>
      <c r="M79" s="174"/>
      <c r="N79" s="173">
        <f>SUM(N72:N78)</f>
        <v>0</v>
      </c>
      <c r="O79" s="174"/>
      <c r="P79" s="173">
        <f>SUM(P72:P78)</f>
        <v>0</v>
      </c>
      <c r="Q79" s="174"/>
      <c r="R79" s="23">
        <f>SUM(R72:R78)</f>
        <v>120</v>
      </c>
      <c r="S79" s="24" t="s">
        <v>20</v>
      </c>
      <c r="T79" s="19"/>
      <c r="U79" s="208"/>
      <c r="V79" s="209"/>
      <c r="W79" s="210"/>
    </row>
    <row r="80" spans="1:23" x14ac:dyDescent="0.3">
      <c r="A80" s="180" t="s">
        <v>15</v>
      </c>
      <c r="B80" s="5"/>
      <c r="C80" s="5"/>
      <c r="D80" s="4"/>
      <c r="E80" s="211"/>
      <c r="F80" s="212"/>
      <c r="G80" s="212"/>
      <c r="H80" s="212"/>
      <c r="I80" s="213"/>
      <c r="J80" s="165"/>
      <c r="K80" s="166"/>
      <c r="L80" s="165"/>
      <c r="M80" s="166"/>
      <c r="N80" s="165"/>
      <c r="O80" s="166"/>
      <c r="P80" s="165"/>
      <c r="Q80" s="166"/>
      <c r="R80" s="9"/>
      <c r="S80" s="6" t="s">
        <v>20</v>
      </c>
      <c r="T80" s="3"/>
      <c r="U80" s="202"/>
      <c r="V80" s="203"/>
      <c r="W80" s="204"/>
    </row>
    <row r="81" spans="1:23" x14ac:dyDescent="0.3">
      <c r="A81" s="163"/>
      <c r="B81" s="5"/>
      <c r="C81" s="5"/>
      <c r="D81" s="4"/>
      <c r="E81" s="211"/>
      <c r="F81" s="212"/>
      <c r="G81" s="212"/>
      <c r="H81" s="212"/>
      <c r="I81" s="213"/>
      <c r="J81" s="165"/>
      <c r="K81" s="166"/>
      <c r="L81" s="165"/>
      <c r="M81" s="166"/>
      <c r="N81" s="165"/>
      <c r="O81" s="166"/>
      <c r="P81" s="165"/>
      <c r="Q81" s="166"/>
      <c r="R81" s="9"/>
      <c r="S81" s="6" t="s">
        <v>20</v>
      </c>
      <c r="T81" s="3"/>
      <c r="U81" s="205"/>
      <c r="V81" s="206"/>
      <c r="W81" s="207"/>
    </row>
    <row r="82" spans="1:23" x14ac:dyDescent="0.3">
      <c r="A82" s="163"/>
      <c r="B82" s="5"/>
      <c r="C82" s="5"/>
      <c r="D82" s="4"/>
      <c r="E82" s="211"/>
      <c r="F82" s="212"/>
      <c r="G82" s="212"/>
      <c r="H82" s="212"/>
      <c r="I82" s="213"/>
      <c r="J82" s="165"/>
      <c r="K82" s="166"/>
      <c r="L82" s="165"/>
      <c r="M82" s="166"/>
      <c r="N82" s="165"/>
      <c r="O82" s="166"/>
      <c r="P82" s="165"/>
      <c r="Q82" s="166"/>
      <c r="R82" s="9"/>
      <c r="S82" s="6" t="s">
        <v>20</v>
      </c>
      <c r="T82" s="3"/>
      <c r="U82" s="205"/>
      <c r="V82" s="206"/>
      <c r="W82" s="207"/>
    </row>
    <row r="83" spans="1:23" x14ac:dyDescent="0.3">
      <c r="A83" s="164"/>
      <c r="B83" s="19"/>
      <c r="C83" s="19"/>
      <c r="D83" s="20"/>
      <c r="E83" s="170" t="s">
        <v>0</v>
      </c>
      <c r="F83" s="171"/>
      <c r="G83" s="171"/>
      <c r="H83" s="171"/>
      <c r="I83" s="172"/>
      <c r="J83" s="173">
        <f>SUM(J80:J82)</f>
        <v>0</v>
      </c>
      <c r="K83" s="174"/>
      <c r="L83" s="173">
        <f>SUM(L80:L82)</f>
        <v>0</v>
      </c>
      <c r="M83" s="174"/>
      <c r="N83" s="173">
        <f>SUM(N80:N82)</f>
        <v>0</v>
      </c>
      <c r="O83" s="174"/>
      <c r="P83" s="173">
        <f>SUM(P75:P82)</f>
        <v>0</v>
      </c>
      <c r="Q83" s="174"/>
      <c r="R83" s="23">
        <f>SUM(R80:R82)</f>
        <v>0</v>
      </c>
      <c r="S83" s="24" t="s">
        <v>20</v>
      </c>
      <c r="T83" s="7"/>
      <c r="U83" s="208"/>
      <c r="V83" s="209"/>
      <c r="W83" s="210"/>
    </row>
    <row r="84" spans="1:23" x14ac:dyDescent="0.3">
      <c r="E84" s="28"/>
      <c r="F84" s="28"/>
      <c r="G84" s="28"/>
      <c r="H84" s="28"/>
      <c r="I84" s="28"/>
      <c r="J84" s="29"/>
      <c r="K84" s="29"/>
      <c r="L84" s="29"/>
      <c r="M84" s="29"/>
      <c r="N84" s="29"/>
      <c r="O84" s="29"/>
      <c r="P84" s="29"/>
      <c r="Q84" s="29"/>
    </row>
    <row r="85" spans="1:23" x14ac:dyDescent="0.3">
      <c r="D85" s="8"/>
      <c r="E85" s="170" t="s">
        <v>28</v>
      </c>
      <c r="F85" s="171"/>
      <c r="G85" s="171"/>
      <c r="H85" s="171"/>
      <c r="I85" s="172"/>
      <c r="J85" s="175" t="s">
        <v>7</v>
      </c>
      <c r="K85" s="176"/>
      <c r="L85" s="175" t="s">
        <v>8</v>
      </c>
      <c r="M85" s="176"/>
      <c r="N85" s="175" t="s">
        <v>9</v>
      </c>
      <c r="O85" s="176"/>
      <c r="P85" s="175" t="s">
        <v>117</v>
      </c>
      <c r="Q85" s="176"/>
      <c r="R85" s="8"/>
    </row>
    <row r="86" spans="1:23" s="2" customFormat="1" x14ac:dyDescent="0.3">
      <c r="E86" s="15"/>
      <c r="F86" s="15"/>
      <c r="G86" s="15"/>
      <c r="H86" s="15"/>
      <c r="I86" s="15"/>
      <c r="J86" s="30">
        <f>J79+J83</f>
        <v>1734</v>
      </c>
      <c r="K86" s="31" t="s">
        <v>17</v>
      </c>
      <c r="L86" s="32">
        <f>L79+L83</f>
        <v>0</v>
      </c>
      <c r="M86" s="31" t="s">
        <v>17</v>
      </c>
      <c r="N86" s="32">
        <f>N79+N83</f>
        <v>0</v>
      </c>
      <c r="O86" s="31" t="s">
        <v>17</v>
      </c>
      <c r="P86" s="32">
        <f>P79+P83</f>
        <v>0</v>
      </c>
      <c r="Q86" s="34" t="s">
        <v>17</v>
      </c>
    </row>
    <row r="87" spans="1:23" ht="24.45" customHeight="1" x14ac:dyDescent="0.3">
      <c r="E87" s="28"/>
      <c r="F87" s="28"/>
      <c r="G87" s="28"/>
      <c r="H87" s="28"/>
      <c r="I87" s="28"/>
      <c r="J87" s="167">
        <f>J86+L86+N86+P86</f>
        <v>1734</v>
      </c>
      <c r="K87" s="168"/>
      <c r="L87" s="168"/>
      <c r="M87" s="168"/>
      <c r="N87" s="168"/>
      <c r="O87" s="168"/>
      <c r="P87" s="168"/>
      <c r="Q87" s="169"/>
    </row>
    <row r="88" spans="1:23" s="118" customFormat="1" ht="14.55" customHeight="1" x14ac:dyDescent="0.3">
      <c r="D88" s="8"/>
      <c r="J88" s="8"/>
      <c r="K88" s="8"/>
      <c r="L88" s="8"/>
      <c r="M88" s="8"/>
      <c r="N88" s="8"/>
      <c r="O88" s="8"/>
      <c r="P88" s="8"/>
      <c r="Q88" s="8"/>
      <c r="R88" s="8"/>
    </row>
    <row r="89" spans="1:23" s="37" customFormat="1" ht="19.95" customHeight="1" x14ac:dyDescent="0.4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83" t="s">
        <v>14</v>
      </c>
      <c r="R89" s="183"/>
      <c r="S89" s="183"/>
      <c r="T89" s="184">
        <f>T3</f>
        <v>45962</v>
      </c>
      <c r="U89" s="185"/>
      <c r="V89" s="185"/>
      <c r="W89" s="186"/>
    </row>
    <row r="90" spans="1:23" s="16" customFormat="1" ht="30" customHeight="1" x14ac:dyDescent="0.3">
      <c r="A90" s="187" t="s">
        <v>579</v>
      </c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9"/>
      <c r="Q90" s="189"/>
      <c r="R90" s="189"/>
      <c r="S90" s="189"/>
      <c r="T90" s="188"/>
      <c r="U90" s="188"/>
      <c r="V90" s="188"/>
      <c r="W90" s="190"/>
    </row>
    <row r="91" spans="1:23" s="26" customFormat="1" ht="13.8" x14ac:dyDescent="0.3">
      <c r="A91" s="191" t="s">
        <v>1</v>
      </c>
      <c r="B91" s="192" t="s">
        <v>2</v>
      </c>
      <c r="C91" s="192" t="s">
        <v>3</v>
      </c>
      <c r="D91" s="192" t="s">
        <v>4</v>
      </c>
      <c r="E91" s="193" t="s">
        <v>5</v>
      </c>
      <c r="F91" s="195" t="s">
        <v>21</v>
      </c>
      <c r="G91" s="195" t="s">
        <v>22</v>
      </c>
      <c r="H91" s="195" t="s">
        <v>33</v>
      </c>
      <c r="I91" s="195" t="s">
        <v>30</v>
      </c>
      <c r="J91" s="193" t="s">
        <v>6</v>
      </c>
      <c r="K91" s="197"/>
      <c r="L91" s="197"/>
      <c r="M91" s="197"/>
      <c r="N91" s="197"/>
      <c r="O91" s="197"/>
      <c r="P91" s="197"/>
      <c r="Q91" s="198"/>
      <c r="R91" s="193" t="s">
        <v>10</v>
      </c>
      <c r="S91" s="198"/>
      <c r="T91" s="191" t="s">
        <v>11</v>
      </c>
      <c r="U91" s="191" t="s">
        <v>12</v>
      </c>
      <c r="V91" s="191"/>
      <c r="W91" s="191"/>
    </row>
    <row r="92" spans="1:23" s="26" customFormat="1" ht="13.8" x14ac:dyDescent="0.3">
      <c r="A92" s="191"/>
      <c r="B92" s="192"/>
      <c r="C92" s="192"/>
      <c r="D92" s="192"/>
      <c r="E92" s="194"/>
      <c r="F92" s="196"/>
      <c r="G92" s="196"/>
      <c r="H92" s="196"/>
      <c r="I92" s="196"/>
      <c r="J92" s="200" t="s">
        <v>7</v>
      </c>
      <c r="K92" s="201"/>
      <c r="L92" s="200" t="s">
        <v>8</v>
      </c>
      <c r="M92" s="201"/>
      <c r="N92" s="200" t="s">
        <v>9</v>
      </c>
      <c r="O92" s="201"/>
      <c r="P92" s="200" t="s">
        <v>117</v>
      </c>
      <c r="Q92" s="201"/>
      <c r="R92" s="194"/>
      <c r="S92" s="199"/>
      <c r="T92" s="191"/>
      <c r="U92" s="191"/>
      <c r="V92" s="191"/>
      <c r="W92" s="191"/>
    </row>
    <row r="93" spans="1:23" s="118" customFormat="1" ht="14.55" customHeight="1" x14ac:dyDescent="0.3">
      <c r="A93" s="180" t="s">
        <v>581</v>
      </c>
      <c r="B93" s="5">
        <v>0.33333333333333331</v>
      </c>
      <c r="C93" s="5">
        <v>0.70833333333333337</v>
      </c>
      <c r="D93" s="126"/>
      <c r="E93" s="12"/>
      <c r="F93" s="40"/>
      <c r="G93" s="41"/>
      <c r="H93" s="40"/>
      <c r="I93" s="12"/>
      <c r="J93" s="165">
        <v>2000</v>
      </c>
      <c r="K93" s="166"/>
      <c r="L93" s="165"/>
      <c r="M93" s="166"/>
      <c r="N93" s="165"/>
      <c r="O93" s="166"/>
      <c r="P93" s="165"/>
      <c r="Q93" s="166"/>
      <c r="R93" s="125"/>
      <c r="S93" s="14" t="s">
        <v>20</v>
      </c>
      <c r="T93" s="42"/>
      <c r="U93" s="177"/>
      <c r="V93" s="178"/>
      <c r="W93" s="179"/>
    </row>
    <row r="94" spans="1:23" s="118" customFormat="1" ht="14.55" customHeight="1" x14ac:dyDescent="0.3">
      <c r="A94" s="181"/>
      <c r="B94" s="5"/>
      <c r="C94" s="5"/>
      <c r="D94" s="126"/>
      <c r="E94" s="13"/>
      <c r="F94" s="40"/>
      <c r="G94" s="41"/>
      <c r="H94" s="40"/>
      <c r="I94" s="12"/>
      <c r="J94" s="165"/>
      <c r="K94" s="166"/>
      <c r="L94" s="165"/>
      <c r="M94" s="166"/>
      <c r="N94" s="165"/>
      <c r="O94" s="166"/>
      <c r="P94" s="165"/>
      <c r="Q94" s="166"/>
      <c r="R94" s="125"/>
      <c r="S94" s="14" t="s">
        <v>20</v>
      </c>
      <c r="T94" s="42"/>
      <c r="U94" s="177"/>
      <c r="V94" s="178"/>
      <c r="W94" s="179"/>
    </row>
    <row r="95" spans="1:23" s="118" customFormat="1" ht="14.55" customHeight="1" x14ac:dyDescent="0.3">
      <c r="A95" s="181"/>
      <c r="B95" s="5"/>
      <c r="C95" s="5"/>
      <c r="D95" s="4"/>
      <c r="E95" s="12"/>
      <c r="F95" s="40"/>
      <c r="G95" s="41"/>
      <c r="H95" s="40"/>
      <c r="I95" s="12"/>
      <c r="J95" s="165"/>
      <c r="K95" s="166"/>
      <c r="L95" s="165"/>
      <c r="M95" s="166"/>
      <c r="N95" s="165"/>
      <c r="O95" s="166"/>
      <c r="P95" s="165"/>
      <c r="Q95" s="166"/>
      <c r="R95" s="125"/>
      <c r="S95" s="14" t="s">
        <v>20</v>
      </c>
      <c r="T95" s="42"/>
      <c r="U95" s="177"/>
      <c r="V95" s="178"/>
      <c r="W95" s="179"/>
    </row>
    <row r="96" spans="1:23" s="118" customFormat="1" ht="14.55" customHeight="1" x14ac:dyDescent="0.3">
      <c r="A96" s="182"/>
      <c r="B96" s="19"/>
      <c r="C96" s="19"/>
      <c r="D96" s="20"/>
      <c r="E96" s="170" t="s">
        <v>0</v>
      </c>
      <c r="F96" s="171"/>
      <c r="G96" s="171"/>
      <c r="H96" s="171"/>
      <c r="I96" s="172"/>
      <c r="J96" s="173">
        <f>SUM(J93:K95)</f>
        <v>2000</v>
      </c>
      <c r="K96" s="174"/>
      <c r="L96" s="173">
        <f>SUM(L93:M95)</f>
        <v>0</v>
      </c>
      <c r="M96" s="174"/>
      <c r="N96" s="173">
        <f>SUM(N93:O95)</f>
        <v>0</v>
      </c>
      <c r="O96" s="174"/>
      <c r="P96" s="173">
        <f>SUM(P93:Q95)</f>
        <v>0</v>
      </c>
      <c r="Q96" s="174"/>
      <c r="R96" s="23">
        <f>SUM(R93:R95)</f>
        <v>0</v>
      </c>
      <c r="S96" s="24" t="s">
        <v>20</v>
      </c>
      <c r="T96" s="19"/>
      <c r="U96" s="177"/>
      <c r="V96" s="178"/>
      <c r="W96" s="179"/>
    </row>
    <row r="97" spans="1:23" s="118" customFormat="1" ht="14.55" customHeight="1" x14ac:dyDescent="0.3">
      <c r="A97" s="163" t="s">
        <v>580</v>
      </c>
      <c r="B97" s="5"/>
      <c r="C97" s="5"/>
      <c r="D97" s="4"/>
      <c r="E97" s="12"/>
      <c r="F97" s="40"/>
      <c r="G97" s="41"/>
      <c r="H97" s="40"/>
      <c r="I97" s="12"/>
      <c r="J97" s="165"/>
      <c r="K97" s="166"/>
      <c r="L97" s="165"/>
      <c r="M97" s="166"/>
      <c r="N97" s="165"/>
      <c r="O97" s="166"/>
      <c r="P97" s="165"/>
      <c r="Q97" s="166"/>
      <c r="R97" s="125"/>
      <c r="S97" s="14" t="s">
        <v>20</v>
      </c>
      <c r="T97" s="42"/>
      <c r="U97" s="177"/>
      <c r="V97" s="178"/>
      <c r="W97" s="179"/>
    </row>
    <row r="98" spans="1:23" s="118" customFormat="1" ht="14.55" customHeight="1" x14ac:dyDescent="0.3">
      <c r="A98" s="163"/>
      <c r="B98" s="5"/>
      <c r="C98" s="5"/>
      <c r="D98" s="4"/>
      <c r="E98" s="12"/>
      <c r="F98" s="40"/>
      <c r="G98" s="41"/>
      <c r="H98" s="40"/>
      <c r="I98" s="12"/>
      <c r="J98" s="165"/>
      <c r="K98" s="166"/>
      <c r="L98" s="165"/>
      <c r="M98" s="166"/>
      <c r="N98" s="165"/>
      <c r="O98" s="166"/>
      <c r="P98" s="165"/>
      <c r="Q98" s="166"/>
      <c r="R98" s="125"/>
      <c r="S98" s="14" t="s">
        <v>20</v>
      </c>
      <c r="T98" s="42"/>
      <c r="U98" s="177"/>
      <c r="V98" s="178"/>
      <c r="W98" s="179"/>
    </row>
    <row r="99" spans="1:23" s="118" customFormat="1" ht="14.55" customHeight="1" x14ac:dyDescent="0.3">
      <c r="A99" s="163"/>
      <c r="B99" s="5"/>
      <c r="C99" s="5"/>
      <c r="D99" s="4"/>
      <c r="E99" s="12"/>
      <c r="F99" s="40"/>
      <c r="G99" s="41"/>
      <c r="H99" s="40"/>
      <c r="I99" s="12"/>
      <c r="J99" s="165"/>
      <c r="K99" s="166"/>
      <c r="L99" s="165"/>
      <c r="M99" s="166"/>
      <c r="N99" s="165"/>
      <c r="O99" s="166"/>
      <c r="P99" s="165"/>
      <c r="Q99" s="166"/>
      <c r="R99" s="125"/>
      <c r="S99" s="14" t="s">
        <v>20</v>
      </c>
      <c r="T99" s="42"/>
      <c r="U99" s="177"/>
      <c r="V99" s="178"/>
      <c r="W99" s="179"/>
    </row>
    <row r="100" spans="1:23" s="118" customFormat="1" ht="14.55" customHeight="1" x14ac:dyDescent="0.3">
      <c r="A100" s="163"/>
      <c r="B100" s="5"/>
      <c r="C100" s="5"/>
      <c r="D100" s="4"/>
      <c r="E100" s="12"/>
      <c r="F100" s="40"/>
      <c r="G100" s="41"/>
      <c r="H100" s="40"/>
      <c r="I100" s="12"/>
      <c r="J100" s="165"/>
      <c r="K100" s="166"/>
      <c r="L100" s="165"/>
      <c r="M100" s="166"/>
      <c r="N100" s="165"/>
      <c r="O100" s="166"/>
      <c r="P100" s="165"/>
      <c r="Q100" s="166"/>
      <c r="R100" s="125"/>
      <c r="S100" s="14" t="s">
        <v>20</v>
      </c>
      <c r="T100" s="42"/>
      <c r="U100" s="177"/>
      <c r="V100" s="178"/>
      <c r="W100" s="179"/>
    </row>
    <row r="101" spans="1:23" s="118" customFormat="1" ht="14.55" customHeight="1" x14ac:dyDescent="0.3">
      <c r="A101" s="164"/>
      <c r="B101" s="19"/>
      <c r="C101" s="19"/>
      <c r="D101" s="20"/>
      <c r="E101" s="170" t="s">
        <v>0</v>
      </c>
      <c r="F101" s="171"/>
      <c r="G101" s="171"/>
      <c r="H101" s="171"/>
      <c r="I101" s="172"/>
      <c r="J101" s="173">
        <f>SUM(J97:K100)</f>
        <v>0</v>
      </c>
      <c r="K101" s="174"/>
      <c r="L101" s="173">
        <f>SUM(L97:M100)</f>
        <v>0</v>
      </c>
      <c r="M101" s="174"/>
      <c r="N101" s="173">
        <f>SUM(N97:O100)</f>
        <v>0</v>
      </c>
      <c r="O101" s="174"/>
      <c r="P101" s="173">
        <f>SUM(P97:Q100)</f>
        <v>0</v>
      </c>
      <c r="Q101" s="174"/>
      <c r="R101" s="23">
        <f>SUM(R97:R100)</f>
        <v>0</v>
      </c>
      <c r="S101" s="24" t="s">
        <v>20</v>
      </c>
      <c r="T101" s="19"/>
      <c r="U101" s="177"/>
      <c r="V101" s="178"/>
      <c r="W101" s="179"/>
    </row>
    <row r="102" spans="1:23" s="118" customFormat="1" ht="14.55" customHeight="1" x14ac:dyDescent="0.3">
      <c r="A102" s="27"/>
      <c r="B102" s="27"/>
      <c r="C102" s="27"/>
      <c r="D102" s="27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27"/>
      <c r="S102" s="27"/>
      <c r="T102" s="39"/>
      <c r="U102" s="39"/>
      <c r="V102" s="39"/>
      <c r="W102" s="39"/>
    </row>
    <row r="103" spans="1:23" s="118" customFormat="1" x14ac:dyDescent="0.3">
      <c r="D103" s="8"/>
      <c r="E103" s="170" t="s">
        <v>585</v>
      </c>
      <c r="F103" s="171"/>
      <c r="G103" s="171"/>
      <c r="H103" s="171"/>
      <c r="I103" s="172"/>
      <c r="J103" s="175" t="s">
        <v>7</v>
      </c>
      <c r="K103" s="176"/>
      <c r="L103" s="175" t="s">
        <v>8</v>
      </c>
      <c r="M103" s="176"/>
      <c r="N103" s="175" t="s">
        <v>9</v>
      </c>
      <c r="O103" s="176"/>
      <c r="P103" s="175" t="s">
        <v>117</v>
      </c>
      <c r="Q103" s="176"/>
      <c r="R103" s="8"/>
    </row>
    <row r="104" spans="1:23" s="2" customFormat="1" x14ac:dyDescent="0.3">
      <c r="E104" s="15"/>
      <c r="F104" s="15"/>
      <c r="G104" s="15"/>
      <c r="H104" s="15"/>
      <c r="I104" s="15"/>
      <c r="J104" s="30">
        <f>SUM(J101,J96)</f>
        <v>2000</v>
      </c>
      <c r="K104" s="31" t="s">
        <v>17</v>
      </c>
      <c r="L104" s="30">
        <f>SUM(L101,L96)</f>
        <v>0</v>
      </c>
      <c r="M104" s="31" t="s">
        <v>17</v>
      </c>
      <c r="N104" s="30">
        <f>SUM(N101,N96)</f>
        <v>0</v>
      </c>
      <c r="O104" s="31" t="s">
        <v>17</v>
      </c>
      <c r="P104" s="30">
        <f>SUM(P101,P96)</f>
        <v>0</v>
      </c>
      <c r="Q104" s="34" t="s">
        <v>17</v>
      </c>
    </row>
    <row r="105" spans="1:23" s="118" customFormat="1" ht="24.45" customHeight="1" x14ac:dyDescent="0.3">
      <c r="D105" s="8"/>
      <c r="E105" s="28"/>
      <c r="F105" s="28"/>
      <c r="G105" s="28"/>
      <c r="H105" s="28"/>
      <c r="I105" s="28"/>
      <c r="J105" s="167">
        <f>J104+L104+N104+P104</f>
        <v>2000</v>
      </c>
      <c r="K105" s="168"/>
      <c r="L105" s="168"/>
      <c r="M105" s="168"/>
      <c r="N105" s="168"/>
      <c r="O105" s="168"/>
      <c r="P105" s="168"/>
      <c r="Q105" s="169"/>
      <c r="R105" s="8"/>
    </row>
  </sheetData>
  <mergeCells count="398">
    <mergeCell ref="U38:W40"/>
    <mergeCell ref="U31:W33"/>
    <mergeCell ref="U34:W37"/>
    <mergeCell ref="E40:I40"/>
    <mergeCell ref="J40:K40"/>
    <mergeCell ref="L40:M40"/>
    <mergeCell ref="N40:O40"/>
    <mergeCell ref="P40:Q40"/>
    <mergeCell ref="E33:I33"/>
    <mergeCell ref="L38:M38"/>
    <mergeCell ref="N38:O38"/>
    <mergeCell ref="P38:Q38"/>
    <mergeCell ref="L39:M39"/>
    <mergeCell ref="N39:O39"/>
    <mergeCell ref="P39:Q39"/>
    <mergeCell ref="L36:M36"/>
    <mergeCell ref="N36:O36"/>
    <mergeCell ref="P36:Q36"/>
    <mergeCell ref="L34:M34"/>
    <mergeCell ref="N34:O34"/>
    <mergeCell ref="P34:Q34"/>
    <mergeCell ref="L35:M35"/>
    <mergeCell ref="N35:O35"/>
    <mergeCell ref="P35:Q35"/>
    <mergeCell ref="A31:A33"/>
    <mergeCell ref="A34:A37"/>
    <mergeCell ref="F29:F30"/>
    <mergeCell ref="G29:G30"/>
    <mergeCell ref="I29:I30"/>
    <mergeCell ref="H29:H30"/>
    <mergeCell ref="J32:K32"/>
    <mergeCell ref="A38:A40"/>
    <mergeCell ref="J38:K38"/>
    <mergeCell ref="J39:K39"/>
    <mergeCell ref="J36:K36"/>
    <mergeCell ref="J34:K34"/>
    <mergeCell ref="J35:K35"/>
    <mergeCell ref="E45:I45"/>
    <mergeCell ref="J45:K45"/>
    <mergeCell ref="L45:M45"/>
    <mergeCell ref="N45:O45"/>
    <mergeCell ref="P45:Q45"/>
    <mergeCell ref="J47:Q47"/>
    <mergeCell ref="J37:K37"/>
    <mergeCell ref="L37:M37"/>
    <mergeCell ref="N37:O37"/>
    <mergeCell ref="P37:Q37"/>
    <mergeCell ref="E37:I37"/>
    <mergeCell ref="L32:M32"/>
    <mergeCell ref="N32:O32"/>
    <mergeCell ref="P32:Q32"/>
    <mergeCell ref="J33:K33"/>
    <mergeCell ref="L33:M33"/>
    <mergeCell ref="N33:O33"/>
    <mergeCell ref="P33:Q33"/>
    <mergeCell ref="P31:Q31"/>
    <mergeCell ref="L31:M31"/>
    <mergeCell ref="J31:K31"/>
    <mergeCell ref="T27:W27"/>
    <mergeCell ref="A28:W28"/>
    <mergeCell ref="A29:A30"/>
    <mergeCell ref="B29:B30"/>
    <mergeCell ref="C29:C30"/>
    <mergeCell ref="D29:D30"/>
    <mergeCell ref="J29:Q29"/>
    <mergeCell ref="R29:S30"/>
    <mergeCell ref="T29:T30"/>
    <mergeCell ref="U29:W30"/>
    <mergeCell ref="J30:K30"/>
    <mergeCell ref="L30:M30"/>
    <mergeCell ref="N30:O30"/>
    <mergeCell ref="P30:Q30"/>
    <mergeCell ref="E29:E30"/>
    <mergeCell ref="J25:Q25"/>
    <mergeCell ref="E23:I23"/>
    <mergeCell ref="J23:K23"/>
    <mergeCell ref="L23:M23"/>
    <mergeCell ref="N23:O23"/>
    <mergeCell ref="P23:Q23"/>
    <mergeCell ref="E83:I83"/>
    <mergeCell ref="P81:Q81"/>
    <mergeCell ref="P82:Q82"/>
    <mergeCell ref="P83:Q83"/>
    <mergeCell ref="P76:Q76"/>
    <mergeCell ref="P77:Q77"/>
    <mergeCell ref="P78:Q78"/>
    <mergeCell ref="P79:Q79"/>
    <mergeCell ref="E77:I77"/>
    <mergeCell ref="E78:I78"/>
    <mergeCell ref="E80:I80"/>
    <mergeCell ref="E81:I81"/>
    <mergeCell ref="E82:I82"/>
    <mergeCell ref="E79:I79"/>
    <mergeCell ref="L82:M82"/>
    <mergeCell ref="Q27:S27"/>
    <mergeCell ref="N31:O31"/>
    <mergeCell ref="Q49:S49"/>
    <mergeCell ref="T3:W3"/>
    <mergeCell ref="Q3:S3"/>
    <mergeCell ref="B21:I21"/>
    <mergeCell ref="E85:I85"/>
    <mergeCell ref="Q68:S68"/>
    <mergeCell ref="T68:W68"/>
    <mergeCell ref="A69:W69"/>
    <mergeCell ref="E70:I71"/>
    <mergeCell ref="E72:I72"/>
    <mergeCell ref="E73:I73"/>
    <mergeCell ref="E74:I74"/>
    <mergeCell ref="E75:I75"/>
    <mergeCell ref="E76:I76"/>
    <mergeCell ref="F5:F6"/>
    <mergeCell ref="G5:G6"/>
    <mergeCell ref="I5:I6"/>
    <mergeCell ref="H5:H6"/>
    <mergeCell ref="J19:K19"/>
    <mergeCell ref="L19:M19"/>
    <mergeCell ref="N19:O19"/>
    <mergeCell ref="P19:Q19"/>
    <mergeCell ref="J20:K20"/>
    <mergeCell ref="L20:M20"/>
    <mergeCell ref="N20:O20"/>
    <mergeCell ref="P20:Q20"/>
    <mergeCell ref="J17:K17"/>
    <mergeCell ref="L17:M17"/>
    <mergeCell ref="N17:O17"/>
    <mergeCell ref="P17:Q17"/>
    <mergeCell ref="J18:K18"/>
    <mergeCell ref="L18:M18"/>
    <mergeCell ref="N18:O18"/>
    <mergeCell ref="P18:Q18"/>
    <mergeCell ref="P16:Q16"/>
    <mergeCell ref="J13:K13"/>
    <mergeCell ref="L13:M13"/>
    <mergeCell ref="N13:O13"/>
    <mergeCell ref="P13:Q13"/>
    <mergeCell ref="J14:K14"/>
    <mergeCell ref="L14:M14"/>
    <mergeCell ref="N14:O14"/>
    <mergeCell ref="P14:Q14"/>
    <mergeCell ref="A4:W4"/>
    <mergeCell ref="A7:A21"/>
    <mergeCell ref="U7:W21"/>
    <mergeCell ref="J7:K7"/>
    <mergeCell ref="L7:M7"/>
    <mergeCell ref="N7:O7"/>
    <mergeCell ref="P7:Q7"/>
    <mergeCell ref="J8:K8"/>
    <mergeCell ref="L8:M8"/>
    <mergeCell ref="N8:O8"/>
    <mergeCell ref="P8:Q8"/>
    <mergeCell ref="J9:K9"/>
    <mergeCell ref="L9:M9"/>
    <mergeCell ref="N9:O9"/>
    <mergeCell ref="P9:Q9"/>
    <mergeCell ref="R5:S6"/>
    <mergeCell ref="T5:T6"/>
    <mergeCell ref="U5:W6"/>
    <mergeCell ref="J6:K6"/>
    <mergeCell ref="J15:K15"/>
    <mergeCell ref="L15:M15"/>
    <mergeCell ref="N15:O15"/>
    <mergeCell ref="P15:Q15"/>
    <mergeCell ref="J16:K16"/>
    <mergeCell ref="A5:A6"/>
    <mergeCell ref="B5:B6"/>
    <mergeCell ref="C5:C6"/>
    <mergeCell ref="D5:D6"/>
    <mergeCell ref="E5:E6"/>
    <mergeCell ref="J5:Q5"/>
    <mergeCell ref="J10:K10"/>
    <mergeCell ref="L10:M10"/>
    <mergeCell ref="N10:O10"/>
    <mergeCell ref="P10:Q10"/>
    <mergeCell ref="L6:M6"/>
    <mergeCell ref="N6:O6"/>
    <mergeCell ref="P6:Q6"/>
    <mergeCell ref="J87:Q87"/>
    <mergeCell ref="J11:K11"/>
    <mergeCell ref="L11:M11"/>
    <mergeCell ref="N11:O11"/>
    <mergeCell ref="P11:Q11"/>
    <mergeCell ref="J12:K12"/>
    <mergeCell ref="L12:M12"/>
    <mergeCell ref="N12:O12"/>
    <mergeCell ref="P12:Q12"/>
    <mergeCell ref="L16:M16"/>
    <mergeCell ref="N83:O83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16:O16"/>
    <mergeCell ref="L85:M85"/>
    <mergeCell ref="N85:O85"/>
    <mergeCell ref="P72:Q72"/>
    <mergeCell ref="P73:Q73"/>
    <mergeCell ref="P75:Q75"/>
    <mergeCell ref="P74:Q74"/>
    <mergeCell ref="J85:K85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3:K83"/>
    <mergeCell ref="J80:K80"/>
    <mergeCell ref="J81:K81"/>
    <mergeCell ref="J82:K82"/>
    <mergeCell ref="P85:Q85"/>
    <mergeCell ref="A80:A83"/>
    <mergeCell ref="U80:W83"/>
    <mergeCell ref="L83:M83"/>
    <mergeCell ref="L80:M80"/>
    <mergeCell ref="L81:M81"/>
    <mergeCell ref="L72:M72"/>
    <mergeCell ref="L73:M73"/>
    <mergeCell ref="L74:M74"/>
    <mergeCell ref="L75:M75"/>
    <mergeCell ref="U72:W79"/>
    <mergeCell ref="L79:M79"/>
    <mergeCell ref="P80:Q80"/>
    <mergeCell ref="A70:A71"/>
    <mergeCell ref="B70:B71"/>
    <mergeCell ref="C70:C71"/>
    <mergeCell ref="D70:D71"/>
    <mergeCell ref="T70:T71"/>
    <mergeCell ref="U70:W71"/>
    <mergeCell ref="L71:M71"/>
    <mergeCell ref="L77:M77"/>
    <mergeCell ref="L78:M78"/>
    <mergeCell ref="L76:M76"/>
    <mergeCell ref="A72:A79"/>
    <mergeCell ref="R70:S71"/>
    <mergeCell ref="J70:Q70"/>
    <mergeCell ref="P71:Q71"/>
    <mergeCell ref="Q89:S89"/>
    <mergeCell ref="T89:W89"/>
    <mergeCell ref="A90:W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Q91"/>
    <mergeCell ref="R91:S92"/>
    <mergeCell ref="T91:T92"/>
    <mergeCell ref="U91:W92"/>
    <mergeCell ref="J92:K92"/>
    <mergeCell ref="L92:M92"/>
    <mergeCell ref="N92:O92"/>
    <mergeCell ref="P92:Q92"/>
    <mergeCell ref="A93:A96"/>
    <mergeCell ref="J93:K93"/>
    <mergeCell ref="L93:M93"/>
    <mergeCell ref="N93:O93"/>
    <mergeCell ref="P93:Q93"/>
    <mergeCell ref="U93:W96"/>
    <mergeCell ref="J94:K94"/>
    <mergeCell ref="L94:M94"/>
    <mergeCell ref="N94:O94"/>
    <mergeCell ref="P94:Q94"/>
    <mergeCell ref="J95:K95"/>
    <mergeCell ref="L95:M95"/>
    <mergeCell ref="N95:O95"/>
    <mergeCell ref="P95:Q95"/>
    <mergeCell ref="E96:I96"/>
    <mergeCell ref="J96:K96"/>
    <mergeCell ref="L96:M96"/>
    <mergeCell ref="N96:O96"/>
    <mergeCell ref="P96:Q96"/>
    <mergeCell ref="U97:W101"/>
    <mergeCell ref="J98:K98"/>
    <mergeCell ref="L98:M98"/>
    <mergeCell ref="N98:O98"/>
    <mergeCell ref="P98:Q98"/>
    <mergeCell ref="J99:K99"/>
    <mergeCell ref="L99:M99"/>
    <mergeCell ref="N99:O99"/>
    <mergeCell ref="P99:Q99"/>
    <mergeCell ref="J100:K100"/>
    <mergeCell ref="L100:M100"/>
    <mergeCell ref="N100:O100"/>
    <mergeCell ref="P100:Q100"/>
    <mergeCell ref="J101:K101"/>
    <mergeCell ref="L101:M101"/>
    <mergeCell ref="N101:O101"/>
    <mergeCell ref="P101:Q101"/>
    <mergeCell ref="E103:I103"/>
    <mergeCell ref="J103:K103"/>
    <mergeCell ref="L103:M103"/>
    <mergeCell ref="N103:O103"/>
    <mergeCell ref="P103:Q103"/>
    <mergeCell ref="J105:Q105"/>
    <mergeCell ref="A97:A101"/>
    <mergeCell ref="J97:K97"/>
    <mergeCell ref="L97:M97"/>
    <mergeCell ref="N97:O97"/>
    <mergeCell ref="P97:Q97"/>
    <mergeCell ref="E101:I101"/>
    <mergeCell ref="A41:A43"/>
    <mergeCell ref="J41:K41"/>
    <mergeCell ref="L41:M41"/>
    <mergeCell ref="N41:O41"/>
    <mergeCell ref="P41:Q41"/>
    <mergeCell ref="U41:W43"/>
    <mergeCell ref="J42:K42"/>
    <mergeCell ref="L42:M42"/>
    <mergeCell ref="N42:O42"/>
    <mergeCell ref="P42:Q42"/>
    <mergeCell ref="E43:I43"/>
    <mergeCell ref="J43:K43"/>
    <mergeCell ref="L43:M43"/>
    <mergeCell ref="N43:O43"/>
    <mergeCell ref="P43:Q43"/>
    <mergeCell ref="T49:W49"/>
    <mergeCell ref="A50:W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Q51"/>
    <mergeCell ref="R51:S52"/>
    <mergeCell ref="T51:T52"/>
    <mergeCell ref="U51:W52"/>
    <mergeCell ref="J52:K52"/>
    <mergeCell ref="L52:M52"/>
    <mergeCell ref="N52:O52"/>
    <mergeCell ref="P52:Q52"/>
    <mergeCell ref="A53:A62"/>
    <mergeCell ref="J53:K53"/>
    <mergeCell ref="L53:M53"/>
    <mergeCell ref="N53:O53"/>
    <mergeCell ref="P53:Q53"/>
    <mergeCell ref="U53:W62"/>
    <mergeCell ref="J54:K54"/>
    <mergeCell ref="L54:M54"/>
    <mergeCell ref="N54:O54"/>
    <mergeCell ref="P54:Q54"/>
    <mergeCell ref="J55:K55"/>
    <mergeCell ref="L55:M55"/>
    <mergeCell ref="N55:O55"/>
    <mergeCell ref="P55:Q55"/>
    <mergeCell ref="J56:K56"/>
    <mergeCell ref="L56:M56"/>
    <mergeCell ref="N56:O56"/>
    <mergeCell ref="P56:Q56"/>
    <mergeCell ref="J57:K57"/>
    <mergeCell ref="L57:M57"/>
    <mergeCell ref="N57:O57"/>
    <mergeCell ref="P57:Q57"/>
    <mergeCell ref="J58:K58"/>
    <mergeCell ref="L58:M58"/>
    <mergeCell ref="N58:O58"/>
    <mergeCell ref="P58:Q58"/>
    <mergeCell ref="J59:K59"/>
    <mergeCell ref="L59:M59"/>
    <mergeCell ref="N59:O59"/>
    <mergeCell ref="P59:Q59"/>
    <mergeCell ref="J60:K60"/>
    <mergeCell ref="L60:M60"/>
    <mergeCell ref="N60:O60"/>
    <mergeCell ref="P60:Q60"/>
    <mergeCell ref="E64:I64"/>
    <mergeCell ref="J64:K64"/>
    <mergeCell ref="L64:M64"/>
    <mergeCell ref="N64:O64"/>
    <mergeCell ref="P64:Q64"/>
    <mergeCell ref="J66:Q66"/>
    <mergeCell ref="J61:K61"/>
    <mergeCell ref="L61:M61"/>
    <mergeCell ref="N61:O61"/>
    <mergeCell ref="P61:Q61"/>
    <mergeCell ref="E62:I62"/>
    <mergeCell ref="J62:K62"/>
    <mergeCell ref="L62:M62"/>
    <mergeCell ref="N62:O62"/>
    <mergeCell ref="P62:Q62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39" orientation="portrait" horizontalDpi="1200" verticalDpi="1200" r:id="rId1"/>
  <ignoredErrors>
    <ignoredError sqref="P83" formula="1"/>
  </ignoredError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W105"/>
  <sheetViews>
    <sheetView zoomScale="85" zoomScaleNormal="85" workbookViewId="0">
      <selection activeCell="L59" sqref="L59:M59"/>
    </sheetView>
  </sheetViews>
  <sheetFormatPr defaultColWidth="8.88671875" defaultRowHeight="14.4" x14ac:dyDescent="0.3"/>
  <cols>
    <col min="1" max="1" width="12.6640625" style="135" customWidth="1"/>
    <col min="2" max="3" width="7.6640625" style="135" customWidth="1"/>
    <col min="4" max="4" width="8.88671875" style="8" bestFit="1" customWidth="1"/>
    <col min="5" max="5" width="35.6640625" style="135" customWidth="1"/>
    <col min="6" max="6" width="5.6640625" style="135" customWidth="1"/>
    <col min="7" max="9" width="6.6640625" style="13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35" customWidth="1"/>
    <col min="20" max="20" width="21.5546875" style="135" bestFit="1" customWidth="1"/>
    <col min="21" max="23" width="7.6640625" style="135" customWidth="1"/>
    <col min="24" max="16384" width="8.88671875" style="135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45964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154">
        <v>0.33333333333333331</v>
      </c>
      <c r="C7" s="154"/>
      <c r="D7" s="40">
        <v>250058</v>
      </c>
      <c r="E7" s="155" t="s">
        <v>207</v>
      </c>
      <c r="F7" s="17">
        <v>315</v>
      </c>
      <c r="G7" s="17">
        <v>304</v>
      </c>
      <c r="H7" s="18">
        <v>0.7</v>
      </c>
      <c r="I7" s="17">
        <v>33000</v>
      </c>
      <c r="J7" s="255">
        <v>800</v>
      </c>
      <c r="K7" s="256"/>
      <c r="L7" s="165"/>
      <c r="M7" s="166"/>
      <c r="N7" s="165"/>
      <c r="O7" s="166"/>
      <c r="P7" s="165"/>
      <c r="Q7" s="166"/>
      <c r="R7" s="153"/>
      <c r="S7" s="14" t="s">
        <v>20</v>
      </c>
      <c r="T7" s="42"/>
      <c r="U7" s="202"/>
      <c r="V7" s="203"/>
      <c r="W7" s="204"/>
    </row>
    <row r="8" spans="1:23" x14ac:dyDescent="0.3">
      <c r="A8" s="181"/>
      <c r="B8" s="154"/>
      <c r="C8" s="154"/>
      <c r="D8" s="40" t="s">
        <v>102</v>
      </c>
      <c r="E8" s="155" t="s">
        <v>134</v>
      </c>
      <c r="F8" s="17">
        <v>132</v>
      </c>
      <c r="G8" s="17">
        <v>304</v>
      </c>
      <c r="H8" s="18">
        <v>0.7</v>
      </c>
      <c r="I8" s="17">
        <v>33000</v>
      </c>
      <c r="J8" s="255"/>
      <c r="K8" s="256"/>
      <c r="L8" s="165"/>
      <c r="M8" s="166"/>
      <c r="N8" s="255">
        <v>160</v>
      </c>
      <c r="O8" s="256"/>
      <c r="P8" s="165"/>
      <c r="Q8" s="166"/>
      <c r="R8" s="153"/>
      <c r="S8" s="14" t="s">
        <v>20</v>
      </c>
      <c r="T8" s="42"/>
      <c r="U8" s="205"/>
      <c r="V8" s="206"/>
      <c r="W8" s="207"/>
    </row>
    <row r="9" spans="1:23" x14ac:dyDescent="0.3">
      <c r="A9" s="181"/>
      <c r="B9" s="154"/>
      <c r="C9" s="154"/>
      <c r="D9" s="40">
        <v>250058</v>
      </c>
      <c r="E9" s="155" t="s">
        <v>207</v>
      </c>
      <c r="F9" s="17">
        <v>315</v>
      </c>
      <c r="G9" s="17">
        <v>304</v>
      </c>
      <c r="H9" s="18">
        <v>0.7</v>
      </c>
      <c r="I9" s="17">
        <v>33000</v>
      </c>
      <c r="J9" s="255">
        <v>700</v>
      </c>
      <c r="K9" s="256"/>
      <c r="L9" s="165"/>
      <c r="M9" s="166"/>
      <c r="N9" s="165"/>
      <c r="O9" s="166"/>
      <c r="P9" s="165"/>
      <c r="Q9" s="166"/>
      <c r="R9" s="153"/>
      <c r="S9" s="14" t="s">
        <v>20</v>
      </c>
      <c r="T9" s="42"/>
      <c r="U9" s="205"/>
      <c r="V9" s="206"/>
      <c r="W9" s="207"/>
    </row>
    <row r="10" spans="1:23" x14ac:dyDescent="0.3">
      <c r="A10" s="181"/>
      <c r="B10" s="154"/>
      <c r="C10" s="154"/>
      <c r="D10" s="40" t="s">
        <v>102</v>
      </c>
      <c r="E10" s="155" t="s">
        <v>134</v>
      </c>
      <c r="F10" s="17">
        <v>132</v>
      </c>
      <c r="G10" s="17">
        <v>304</v>
      </c>
      <c r="H10" s="18">
        <v>0.7</v>
      </c>
      <c r="I10" s="17">
        <v>33000</v>
      </c>
      <c r="J10" s="255"/>
      <c r="K10" s="256"/>
      <c r="L10" s="165"/>
      <c r="M10" s="166"/>
      <c r="N10" s="255">
        <v>140</v>
      </c>
      <c r="O10" s="256"/>
      <c r="P10" s="165"/>
      <c r="Q10" s="166"/>
      <c r="R10" s="153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154"/>
      <c r="C11" s="154"/>
      <c r="D11" s="40">
        <v>250058</v>
      </c>
      <c r="E11" s="155" t="s">
        <v>207</v>
      </c>
      <c r="F11" s="17">
        <v>315</v>
      </c>
      <c r="G11" s="17">
        <v>304</v>
      </c>
      <c r="H11" s="18">
        <v>0.7</v>
      </c>
      <c r="I11" s="17">
        <v>33000</v>
      </c>
      <c r="J11" s="255">
        <v>775</v>
      </c>
      <c r="K11" s="256"/>
      <c r="L11" s="165"/>
      <c r="M11" s="166"/>
      <c r="N11" s="165"/>
      <c r="O11" s="166"/>
      <c r="P11" s="165"/>
      <c r="Q11" s="166"/>
      <c r="R11" s="153">
        <v>45</v>
      </c>
      <c r="S11" s="14" t="s">
        <v>20</v>
      </c>
      <c r="T11" s="42" t="s">
        <v>110</v>
      </c>
      <c r="U11" s="205"/>
      <c r="V11" s="206"/>
      <c r="W11" s="207"/>
    </row>
    <row r="12" spans="1:23" x14ac:dyDescent="0.3">
      <c r="A12" s="181"/>
      <c r="B12" s="154"/>
      <c r="C12" s="154"/>
      <c r="D12" s="40" t="s">
        <v>102</v>
      </c>
      <c r="E12" s="155" t="s">
        <v>134</v>
      </c>
      <c r="F12" s="17">
        <v>132</v>
      </c>
      <c r="G12" s="17">
        <v>304</v>
      </c>
      <c r="H12" s="18">
        <v>0.7</v>
      </c>
      <c r="I12" s="17">
        <v>33000</v>
      </c>
      <c r="J12" s="255"/>
      <c r="K12" s="256"/>
      <c r="L12" s="165"/>
      <c r="M12" s="166"/>
      <c r="N12" s="255">
        <v>155</v>
      </c>
      <c r="O12" s="256"/>
      <c r="P12" s="165"/>
      <c r="Q12" s="166"/>
      <c r="R12" s="153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154"/>
      <c r="C13" s="154"/>
      <c r="D13" s="40">
        <v>250058</v>
      </c>
      <c r="E13" s="155" t="s">
        <v>465</v>
      </c>
      <c r="F13" s="17">
        <v>350</v>
      </c>
      <c r="G13" s="17">
        <v>304</v>
      </c>
      <c r="H13" s="18">
        <v>0.7</v>
      </c>
      <c r="I13" s="17">
        <v>33000</v>
      </c>
      <c r="J13" s="255">
        <v>800</v>
      </c>
      <c r="K13" s="256"/>
      <c r="L13" s="165"/>
      <c r="M13" s="166"/>
      <c r="N13" s="165"/>
      <c r="O13" s="166"/>
      <c r="P13" s="165"/>
      <c r="Q13" s="166"/>
      <c r="R13" s="153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154"/>
      <c r="C14" s="154"/>
      <c r="D14" s="40" t="s">
        <v>102</v>
      </c>
      <c r="E14" s="155" t="s">
        <v>132</v>
      </c>
      <c r="F14" s="17">
        <v>277</v>
      </c>
      <c r="G14" s="17">
        <v>304</v>
      </c>
      <c r="H14" s="18">
        <v>0.7</v>
      </c>
      <c r="I14" s="17">
        <v>33000</v>
      </c>
      <c r="J14" s="255">
        <v>200</v>
      </c>
      <c r="K14" s="256"/>
      <c r="L14" s="165"/>
      <c r="M14" s="166"/>
      <c r="N14" s="165"/>
      <c r="O14" s="166"/>
      <c r="P14" s="165"/>
      <c r="Q14" s="166"/>
      <c r="R14" s="153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154"/>
      <c r="C15" s="154"/>
      <c r="D15" s="40">
        <v>250059</v>
      </c>
      <c r="E15" s="155" t="s">
        <v>693</v>
      </c>
      <c r="F15" s="17">
        <v>350</v>
      </c>
      <c r="G15" s="17">
        <v>304</v>
      </c>
      <c r="H15" s="18">
        <v>0.7</v>
      </c>
      <c r="I15" s="17">
        <v>33000</v>
      </c>
      <c r="J15" s="255">
        <v>672</v>
      </c>
      <c r="K15" s="256"/>
      <c r="L15" s="165"/>
      <c r="M15" s="166"/>
      <c r="N15" s="165"/>
      <c r="O15" s="166"/>
      <c r="P15" s="165"/>
      <c r="Q15" s="166"/>
      <c r="R15" s="153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154"/>
      <c r="C16" s="154"/>
      <c r="D16" s="40" t="s">
        <v>102</v>
      </c>
      <c r="E16" s="155" t="s">
        <v>132</v>
      </c>
      <c r="F16" s="17">
        <v>277</v>
      </c>
      <c r="G16" s="17">
        <v>304</v>
      </c>
      <c r="H16" s="18">
        <v>0.7</v>
      </c>
      <c r="I16" s="17">
        <v>33000</v>
      </c>
      <c r="J16" s="255">
        <v>168</v>
      </c>
      <c r="K16" s="256"/>
      <c r="L16" s="255"/>
      <c r="M16" s="256"/>
      <c r="N16" s="165"/>
      <c r="O16" s="166"/>
      <c r="P16" s="165"/>
      <c r="Q16" s="166"/>
      <c r="R16" s="153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154"/>
      <c r="C17" s="154"/>
      <c r="D17" s="40">
        <v>250058</v>
      </c>
      <c r="E17" s="155" t="s">
        <v>464</v>
      </c>
      <c r="F17" s="17">
        <v>427</v>
      </c>
      <c r="G17" s="17">
        <v>304</v>
      </c>
      <c r="H17" s="18">
        <v>0.7</v>
      </c>
      <c r="I17" s="17">
        <v>33000</v>
      </c>
      <c r="J17" s="255">
        <v>792</v>
      </c>
      <c r="K17" s="256"/>
      <c r="L17" s="165"/>
      <c r="M17" s="166"/>
      <c r="N17" s="165"/>
      <c r="O17" s="166"/>
      <c r="P17" s="165"/>
      <c r="Q17" s="166"/>
      <c r="R17" s="153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154"/>
      <c r="C18" s="154"/>
      <c r="D18" s="40" t="s">
        <v>102</v>
      </c>
      <c r="E18" s="155" t="s">
        <v>522</v>
      </c>
      <c r="F18" s="17">
        <v>375</v>
      </c>
      <c r="G18" s="17">
        <v>304</v>
      </c>
      <c r="H18" s="18">
        <v>0.7</v>
      </c>
      <c r="I18" s="17">
        <v>33000</v>
      </c>
      <c r="J18" s="255">
        <v>264</v>
      </c>
      <c r="K18" s="256"/>
      <c r="L18" s="165"/>
      <c r="M18" s="166"/>
      <c r="N18" s="165"/>
      <c r="O18" s="166"/>
      <c r="P18" s="165"/>
      <c r="Q18" s="166"/>
      <c r="R18" s="153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154"/>
      <c r="C19" s="154"/>
      <c r="D19" s="40">
        <v>250058</v>
      </c>
      <c r="E19" s="155" t="s">
        <v>463</v>
      </c>
      <c r="F19" s="17">
        <v>500</v>
      </c>
      <c r="G19" s="17">
        <v>304</v>
      </c>
      <c r="H19" s="18">
        <v>0.7</v>
      </c>
      <c r="I19" s="17">
        <v>33000</v>
      </c>
      <c r="J19" s="255">
        <v>792</v>
      </c>
      <c r="K19" s="256"/>
      <c r="L19" s="165"/>
      <c r="M19" s="166"/>
      <c r="N19" s="165"/>
      <c r="O19" s="166"/>
      <c r="P19" s="165"/>
      <c r="Q19" s="166"/>
      <c r="R19" s="153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154"/>
      <c r="C20" s="154">
        <v>0.70833333333333337</v>
      </c>
      <c r="D20" s="40" t="s">
        <v>102</v>
      </c>
      <c r="E20" s="155" t="s">
        <v>359</v>
      </c>
      <c r="F20" s="17">
        <v>237</v>
      </c>
      <c r="G20" s="17">
        <v>304</v>
      </c>
      <c r="H20" s="18">
        <v>0.7</v>
      </c>
      <c r="I20" s="17">
        <v>33000</v>
      </c>
      <c r="J20" s="255">
        <v>264</v>
      </c>
      <c r="K20" s="256"/>
      <c r="L20" s="165"/>
      <c r="M20" s="166"/>
      <c r="N20" s="165"/>
      <c r="O20" s="166"/>
      <c r="P20" s="165"/>
      <c r="Q20" s="166"/>
      <c r="R20" s="153"/>
      <c r="S20" s="14" t="s">
        <v>20</v>
      </c>
      <c r="T20" s="42"/>
      <c r="U20" s="205"/>
      <c r="V20" s="206"/>
      <c r="W20" s="207"/>
    </row>
    <row r="21" spans="1:23" x14ac:dyDescent="0.3">
      <c r="A21" s="182"/>
      <c r="B21" s="170" t="s">
        <v>0</v>
      </c>
      <c r="C21" s="171"/>
      <c r="D21" s="171"/>
      <c r="E21" s="171"/>
      <c r="F21" s="171"/>
      <c r="G21" s="171"/>
      <c r="H21" s="171"/>
      <c r="I21" s="172"/>
      <c r="J21" s="21">
        <f>SUM(J7:K20)</f>
        <v>6227</v>
      </c>
      <c r="K21" s="22" t="s">
        <v>17</v>
      </c>
      <c r="L21" s="21">
        <f>SUM(L7:M20)</f>
        <v>0</v>
      </c>
      <c r="M21" s="22" t="s">
        <v>17</v>
      </c>
      <c r="N21" s="21">
        <f>SUM(N7:O20)</f>
        <v>455</v>
      </c>
      <c r="O21" s="22" t="s">
        <v>17</v>
      </c>
      <c r="P21" s="21">
        <f>SUM(P7:Q20)</f>
        <v>0</v>
      </c>
      <c r="Q21" s="22" t="s">
        <v>17</v>
      </c>
      <c r="R21" s="23">
        <f>SUM(R7:R20)</f>
        <v>45</v>
      </c>
      <c r="S21" s="24" t="s">
        <v>20</v>
      </c>
      <c r="T21" s="19"/>
      <c r="U21" s="208"/>
      <c r="V21" s="209"/>
      <c r="W21" s="210"/>
    </row>
    <row r="22" spans="1:23" ht="14.5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23" ht="14.55" customHeight="1" x14ac:dyDescent="0.3">
      <c r="A23" s="27"/>
      <c r="B23" s="27"/>
      <c r="C23" s="27"/>
      <c r="D23" s="27"/>
      <c r="E23" s="170" t="s">
        <v>27</v>
      </c>
      <c r="F23" s="171"/>
      <c r="G23" s="171"/>
      <c r="H23" s="171"/>
      <c r="I23" s="172"/>
      <c r="J23" s="175" t="s">
        <v>7</v>
      </c>
      <c r="K23" s="176"/>
      <c r="L23" s="175" t="s">
        <v>8</v>
      </c>
      <c r="M23" s="176"/>
      <c r="N23" s="175" t="s">
        <v>9</v>
      </c>
      <c r="O23" s="176"/>
      <c r="P23" s="175" t="s">
        <v>117</v>
      </c>
      <c r="Q23" s="176"/>
      <c r="R23" s="27"/>
      <c r="S23" s="27"/>
    </row>
    <row r="24" spans="1:23" ht="14.55" customHeight="1" x14ac:dyDescent="0.3">
      <c r="A24" s="27"/>
      <c r="B24" s="27"/>
      <c r="C24" s="27"/>
      <c r="D24" s="27"/>
      <c r="E24" s="15"/>
      <c r="F24" s="15"/>
      <c r="G24" s="15"/>
      <c r="H24" s="15"/>
      <c r="I24" s="15"/>
      <c r="J24" s="30">
        <f>J21</f>
        <v>6227</v>
      </c>
      <c r="K24" s="31" t="s">
        <v>17</v>
      </c>
      <c r="L24" s="32">
        <f>L21</f>
        <v>0</v>
      </c>
      <c r="M24" s="31" t="s">
        <v>17</v>
      </c>
      <c r="N24" s="32">
        <f>N21</f>
        <v>455</v>
      </c>
      <c r="O24" s="31" t="s">
        <v>17</v>
      </c>
      <c r="P24" s="33">
        <f>P21</f>
        <v>0</v>
      </c>
      <c r="Q24" s="34" t="s">
        <v>17</v>
      </c>
      <c r="R24" s="27"/>
      <c r="S24" s="27"/>
    </row>
    <row r="25" spans="1:23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167">
        <f>J24+L24+N24+P24</f>
        <v>6682</v>
      </c>
      <c r="K25" s="168"/>
      <c r="L25" s="168"/>
      <c r="M25" s="168"/>
      <c r="N25" s="168"/>
      <c r="O25" s="168"/>
      <c r="P25" s="168"/>
      <c r="Q25" s="169"/>
      <c r="R25" s="27"/>
      <c r="S25" s="27"/>
    </row>
    <row r="26" spans="1:23" ht="14.5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23" s="37" customFormat="1" ht="19.9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183" t="s">
        <v>14</v>
      </c>
      <c r="R27" s="183"/>
      <c r="S27" s="183"/>
      <c r="T27" s="184">
        <f>T3</f>
        <v>45964</v>
      </c>
      <c r="U27" s="185"/>
      <c r="V27" s="185"/>
      <c r="W27" s="186"/>
    </row>
    <row r="28" spans="1:23" s="16" customFormat="1" ht="30" customHeight="1" x14ac:dyDescent="0.3">
      <c r="A28" s="187" t="s">
        <v>29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88"/>
      <c r="U28" s="188"/>
      <c r="V28" s="188"/>
      <c r="W28" s="190"/>
    </row>
    <row r="29" spans="1:23" s="26" customFormat="1" ht="13.8" x14ac:dyDescent="0.3">
      <c r="A29" s="191" t="s">
        <v>1</v>
      </c>
      <c r="B29" s="192" t="s">
        <v>2</v>
      </c>
      <c r="C29" s="192" t="s">
        <v>3</v>
      </c>
      <c r="D29" s="192" t="s">
        <v>4</v>
      </c>
      <c r="E29" s="193" t="s">
        <v>5</v>
      </c>
      <c r="F29" s="195" t="s">
        <v>21</v>
      </c>
      <c r="G29" s="195" t="s">
        <v>22</v>
      </c>
      <c r="H29" s="195" t="s">
        <v>33</v>
      </c>
      <c r="I29" s="195" t="s">
        <v>30</v>
      </c>
      <c r="J29" s="193" t="s">
        <v>6</v>
      </c>
      <c r="K29" s="197"/>
      <c r="L29" s="197"/>
      <c r="M29" s="197"/>
      <c r="N29" s="197"/>
      <c r="O29" s="197"/>
      <c r="P29" s="197"/>
      <c r="Q29" s="198"/>
      <c r="R29" s="193" t="s">
        <v>10</v>
      </c>
      <c r="S29" s="198"/>
      <c r="T29" s="191" t="s">
        <v>11</v>
      </c>
      <c r="U29" s="191" t="s">
        <v>12</v>
      </c>
      <c r="V29" s="191"/>
      <c r="W29" s="191"/>
    </row>
    <row r="30" spans="1:23" s="26" customFormat="1" ht="13.8" x14ac:dyDescent="0.3">
      <c r="A30" s="191"/>
      <c r="B30" s="192"/>
      <c r="C30" s="192"/>
      <c r="D30" s="192"/>
      <c r="E30" s="194"/>
      <c r="F30" s="196"/>
      <c r="G30" s="196"/>
      <c r="H30" s="196"/>
      <c r="I30" s="196"/>
      <c r="J30" s="200" t="s">
        <v>7</v>
      </c>
      <c r="K30" s="201"/>
      <c r="L30" s="200" t="s">
        <v>8</v>
      </c>
      <c r="M30" s="201"/>
      <c r="N30" s="200" t="s">
        <v>9</v>
      </c>
      <c r="O30" s="201"/>
      <c r="P30" s="200" t="s">
        <v>117</v>
      </c>
      <c r="Q30" s="201"/>
      <c r="R30" s="194"/>
      <c r="S30" s="199"/>
      <c r="T30" s="191"/>
      <c r="U30" s="191"/>
      <c r="V30" s="191"/>
      <c r="W30" s="191"/>
    </row>
    <row r="31" spans="1:23" ht="14.55" customHeight="1" x14ac:dyDescent="0.3">
      <c r="A31" s="180" t="s">
        <v>32</v>
      </c>
      <c r="B31" s="5">
        <v>0.33333333333333331</v>
      </c>
      <c r="C31" s="5">
        <v>0.70833333333333337</v>
      </c>
      <c r="D31" s="4">
        <v>250084</v>
      </c>
      <c r="E31" s="12" t="s">
        <v>658</v>
      </c>
      <c r="F31" s="40">
        <v>304</v>
      </c>
      <c r="G31" s="41">
        <v>0.7</v>
      </c>
      <c r="H31" s="40">
        <v>577</v>
      </c>
      <c r="I31" s="12">
        <v>8</v>
      </c>
      <c r="J31" s="165">
        <v>560</v>
      </c>
      <c r="K31" s="166"/>
      <c r="L31" s="165"/>
      <c r="M31" s="166"/>
      <c r="N31" s="165"/>
      <c r="O31" s="166"/>
      <c r="P31" s="165"/>
      <c r="Q31" s="166"/>
      <c r="R31" s="153">
        <v>20</v>
      </c>
      <c r="S31" s="14" t="s">
        <v>20</v>
      </c>
      <c r="T31" s="42" t="s">
        <v>216</v>
      </c>
      <c r="U31" s="177"/>
      <c r="V31" s="178"/>
      <c r="W31" s="179"/>
    </row>
    <row r="32" spans="1:23" ht="14.55" customHeight="1" x14ac:dyDescent="0.3">
      <c r="A32" s="181"/>
      <c r="B32" s="5"/>
      <c r="C32" s="5"/>
      <c r="D32" s="4"/>
      <c r="E32" s="12"/>
      <c r="F32" s="40"/>
      <c r="G32" s="41"/>
      <c r="H32" s="40"/>
      <c r="I32" s="12"/>
      <c r="J32" s="165"/>
      <c r="K32" s="166"/>
      <c r="L32" s="165"/>
      <c r="M32" s="166"/>
      <c r="N32" s="165"/>
      <c r="O32" s="166"/>
      <c r="P32" s="165"/>
      <c r="Q32" s="166"/>
      <c r="R32" s="153"/>
      <c r="S32" s="14" t="s">
        <v>20</v>
      </c>
      <c r="T32" s="42"/>
      <c r="U32" s="177"/>
      <c r="V32" s="178"/>
      <c r="W32" s="179"/>
    </row>
    <row r="33" spans="1:23" ht="14.55" customHeight="1" x14ac:dyDescent="0.3">
      <c r="A33" s="182"/>
      <c r="B33" s="19"/>
      <c r="C33" s="19"/>
      <c r="D33" s="20"/>
      <c r="E33" s="170" t="s">
        <v>0</v>
      </c>
      <c r="F33" s="171"/>
      <c r="G33" s="171"/>
      <c r="H33" s="171"/>
      <c r="I33" s="172"/>
      <c r="J33" s="173">
        <f>SUM(J31:K32)</f>
        <v>560</v>
      </c>
      <c r="K33" s="174"/>
      <c r="L33" s="173">
        <f>SUM(L31:M32)</f>
        <v>0</v>
      </c>
      <c r="M33" s="174"/>
      <c r="N33" s="173">
        <f>SUM(N31:O32)</f>
        <v>0</v>
      </c>
      <c r="O33" s="174"/>
      <c r="P33" s="173">
        <f>SUM(P31:Q32)</f>
        <v>0</v>
      </c>
      <c r="Q33" s="174"/>
      <c r="R33" s="23">
        <f>SUM(R31:R32)</f>
        <v>20</v>
      </c>
      <c r="S33" s="24" t="s">
        <v>20</v>
      </c>
      <c r="T33" s="19"/>
      <c r="U33" s="177"/>
      <c r="V33" s="178"/>
      <c r="W33" s="179"/>
    </row>
    <row r="34" spans="1:23" ht="14.55" customHeight="1" x14ac:dyDescent="0.3">
      <c r="A34" s="163" t="s">
        <v>34</v>
      </c>
      <c r="B34" s="5">
        <v>0.33333333333333331</v>
      </c>
      <c r="C34" s="5"/>
      <c r="D34" s="4">
        <v>151025</v>
      </c>
      <c r="E34" s="12" t="s">
        <v>728</v>
      </c>
      <c r="F34" s="40">
        <v>304</v>
      </c>
      <c r="G34" s="41">
        <v>0.7</v>
      </c>
      <c r="H34" s="40">
        <v>388</v>
      </c>
      <c r="I34" s="12">
        <v>7</v>
      </c>
      <c r="J34" s="165">
        <v>1000</v>
      </c>
      <c r="K34" s="166"/>
      <c r="L34" s="165"/>
      <c r="M34" s="166"/>
      <c r="N34" s="165"/>
      <c r="O34" s="166"/>
      <c r="P34" s="165"/>
      <c r="Q34" s="166"/>
      <c r="R34" s="153"/>
      <c r="S34" s="14" t="s">
        <v>20</v>
      </c>
      <c r="T34" s="42"/>
      <c r="U34" s="177"/>
      <c r="V34" s="178"/>
      <c r="W34" s="179"/>
    </row>
    <row r="35" spans="1:23" ht="14.55" customHeight="1" x14ac:dyDescent="0.3">
      <c r="A35" s="163"/>
      <c r="B35" s="5"/>
      <c r="C35" s="5"/>
      <c r="D35" s="4">
        <v>21025</v>
      </c>
      <c r="E35" s="12" t="s">
        <v>374</v>
      </c>
      <c r="F35" s="40">
        <v>304</v>
      </c>
      <c r="G35" s="41">
        <v>0.6</v>
      </c>
      <c r="H35" s="40">
        <v>234</v>
      </c>
      <c r="I35" s="12">
        <v>3</v>
      </c>
      <c r="J35" s="165">
        <v>1000</v>
      </c>
      <c r="K35" s="166"/>
      <c r="L35" s="165"/>
      <c r="M35" s="166"/>
      <c r="N35" s="165"/>
      <c r="O35" s="166"/>
      <c r="P35" s="165"/>
      <c r="Q35" s="166"/>
      <c r="R35" s="153">
        <v>40</v>
      </c>
      <c r="S35" s="14" t="s">
        <v>20</v>
      </c>
      <c r="T35" s="42" t="s">
        <v>93</v>
      </c>
      <c r="U35" s="177"/>
      <c r="V35" s="178"/>
      <c r="W35" s="179"/>
    </row>
    <row r="36" spans="1:23" ht="14.55" customHeight="1" x14ac:dyDescent="0.3">
      <c r="A36" s="163"/>
      <c r="B36" s="5"/>
      <c r="C36" s="5">
        <v>0.70833333333333337</v>
      </c>
      <c r="D36" s="4" t="s">
        <v>516</v>
      </c>
      <c r="E36" s="12" t="s">
        <v>729</v>
      </c>
      <c r="F36" s="40">
        <v>304</v>
      </c>
      <c r="G36" s="41">
        <v>0.7</v>
      </c>
      <c r="H36" s="40">
        <v>265</v>
      </c>
      <c r="I36" s="12">
        <v>3</v>
      </c>
      <c r="J36" s="165">
        <v>200</v>
      </c>
      <c r="K36" s="166"/>
      <c r="L36" s="165"/>
      <c r="M36" s="166"/>
      <c r="N36" s="165"/>
      <c r="O36" s="166"/>
      <c r="P36" s="165"/>
      <c r="Q36" s="166"/>
      <c r="R36" s="153"/>
      <c r="S36" s="14" t="s">
        <v>20</v>
      </c>
      <c r="T36" s="42"/>
      <c r="U36" s="177"/>
      <c r="V36" s="178"/>
      <c r="W36" s="179"/>
    </row>
    <row r="37" spans="1:23" ht="14.55" customHeight="1" x14ac:dyDescent="0.3">
      <c r="A37" s="164"/>
      <c r="B37" s="19"/>
      <c r="C37" s="19"/>
      <c r="D37" s="20"/>
      <c r="E37" s="170" t="s">
        <v>0</v>
      </c>
      <c r="F37" s="171"/>
      <c r="G37" s="171"/>
      <c r="H37" s="171"/>
      <c r="I37" s="172"/>
      <c r="J37" s="173">
        <f>SUM(J34:K36)</f>
        <v>2200</v>
      </c>
      <c r="K37" s="174"/>
      <c r="L37" s="173">
        <f>SUM(L34:M36)</f>
        <v>0</v>
      </c>
      <c r="M37" s="174"/>
      <c r="N37" s="173">
        <f>SUM(N34:O36)</f>
        <v>0</v>
      </c>
      <c r="O37" s="174"/>
      <c r="P37" s="173">
        <f>SUM(P34:Q36)</f>
        <v>0</v>
      </c>
      <c r="Q37" s="174"/>
      <c r="R37" s="23">
        <f>SUM(R34:R36)</f>
        <v>40</v>
      </c>
      <c r="S37" s="24" t="s">
        <v>20</v>
      </c>
      <c r="T37" s="19"/>
      <c r="U37" s="177"/>
      <c r="V37" s="178"/>
      <c r="W37" s="179"/>
    </row>
    <row r="38" spans="1:23" ht="14.55" customHeight="1" x14ac:dyDescent="0.3">
      <c r="A38" s="163" t="s">
        <v>583</v>
      </c>
      <c r="B38" s="5"/>
      <c r="C38" s="5"/>
      <c r="D38" s="4"/>
      <c r="E38" s="12"/>
      <c r="F38" s="40"/>
      <c r="G38" s="41"/>
      <c r="H38" s="40"/>
      <c r="I38" s="12"/>
      <c r="J38" s="165"/>
      <c r="K38" s="166"/>
      <c r="L38" s="165"/>
      <c r="M38" s="166"/>
      <c r="N38" s="165"/>
      <c r="O38" s="166"/>
      <c r="P38" s="165"/>
      <c r="Q38" s="166"/>
      <c r="R38" s="153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63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153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64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SUM(J38:K39)</f>
        <v>0</v>
      </c>
      <c r="K40" s="174"/>
      <c r="L40" s="173">
        <f>SUM(L38:M39)</f>
        <v>0</v>
      </c>
      <c r="M40" s="174"/>
      <c r="N40" s="173">
        <f>SUM(N38:O39)</f>
        <v>0</v>
      </c>
      <c r="O40" s="174"/>
      <c r="P40" s="173">
        <f>SUM(P38:Q39)</f>
        <v>0</v>
      </c>
      <c r="Q40" s="174"/>
      <c r="R40" s="23">
        <f>SUM(R38:R39)</f>
        <v>0</v>
      </c>
      <c r="S40" s="24" t="s">
        <v>20</v>
      </c>
      <c r="T40" s="19"/>
      <c r="U40" s="177"/>
      <c r="V40" s="178"/>
      <c r="W40" s="179"/>
    </row>
    <row r="41" spans="1:23" ht="14.55" customHeight="1" x14ac:dyDescent="0.3">
      <c r="A41" s="163" t="s">
        <v>35</v>
      </c>
      <c r="B41" s="5">
        <v>0.33333333333333331</v>
      </c>
      <c r="C41" s="5"/>
      <c r="D41" s="4">
        <v>250079</v>
      </c>
      <c r="E41" s="12" t="s">
        <v>698</v>
      </c>
      <c r="F41" s="40">
        <v>304</v>
      </c>
      <c r="G41" s="41">
        <v>0.7</v>
      </c>
      <c r="H41" s="40">
        <v>265</v>
      </c>
      <c r="I41" s="12"/>
      <c r="J41" s="165"/>
      <c r="K41" s="166"/>
      <c r="L41" s="165"/>
      <c r="M41" s="166"/>
      <c r="N41" s="165">
        <v>1150</v>
      </c>
      <c r="O41" s="166"/>
      <c r="P41" s="165"/>
      <c r="Q41" s="166"/>
      <c r="R41" s="153">
        <v>40</v>
      </c>
      <c r="S41" s="14" t="s">
        <v>20</v>
      </c>
      <c r="T41" s="42" t="s">
        <v>93</v>
      </c>
      <c r="U41" s="177"/>
      <c r="V41" s="178"/>
      <c r="W41" s="179"/>
    </row>
    <row r="42" spans="1:23" ht="14.55" customHeight="1" x14ac:dyDescent="0.3">
      <c r="A42" s="163"/>
      <c r="B42" s="5"/>
      <c r="C42" s="5">
        <v>0.70833333333333337</v>
      </c>
      <c r="D42" s="4">
        <v>311025</v>
      </c>
      <c r="E42" s="12" t="s">
        <v>730</v>
      </c>
      <c r="F42" s="40">
        <v>304</v>
      </c>
      <c r="G42" s="41">
        <v>0.9</v>
      </c>
      <c r="H42" s="40">
        <v>327</v>
      </c>
      <c r="I42" s="12"/>
      <c r="J42" s="165"/>
      <c r="K42" s="166"/>
      <c r="L42" s="165"/>
      <c r="M42" s="166"/>
      <c r="N42" s="165">
        <v>700</v>
      </c>
      <c r="O42" s="166"/>
      <c r="P42" s="165"/>
      <c r="Q42" s="166"/>
      <c r="R42" s="153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4"/>
      <c r="B43" s="19"/>
      <c r="C43" s="19"/>
      <c r="D43" s="20"/>
      <c r="E43" s="170" t="s">
        <v>0</v>
      </c>
      <c r="F43" s="171"/>
      <c r="G43" s="171"/>
      <c r="H43" s="171"/>
      <c r="I43" s="172"/>
      <c r="J43" s="173">
        <f>SUM(J41:K42)</f>
        <v>0</v>
      </c>
      <c r="K43" s="174"/>
      <c r="L43" s="173">
        <f>SUM(L41:M42)</f>
        <v>0</v>
      </c>
      <c r="M43" s="174"/>
      <c r="N43" s="173">
        <f>SUM(N41:O42)</f>
        <v>1850</v>
      </c>
      <c r="O43" s="174"/>
      <c r="P43" s="173">
        <f>SUM(P41:Q42)</f>
        <v>0</v>
      </c>
      <c r="Q43" s="174"/>
      <c r="R43" s="23">
        <f>SUM(R41:R42)</f>
        <v>40</v>
      </c>
      <c r="S43" s="24" t="s">
        <v>20</v>
      </c>
      <c r="T43" s="19"/>
      <c r="U43" s="177"/>
      <c r="V43" s="178"/>
      <c r="W43" s="179"/>
    </row>
    <row r="44" spans="1:23" ht="14.55" customHeight="1" x14ac:dyDescent="0.3">
      <c r="A44" s="27"/>
      <c r="B44" s="27"/>
      <c r="C44" s="27"/>
      <c r="D44" s="27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27"/>
      <c r="S44" s="27"/>
      <c r="T44" s="39"/>
      <c r="U44" s="39"/>
      <c r="V44" s="39"/>
      <c r="W44" s="39"/>
    </row>
    <row r="45" spans="1:23" x14ac:dyDescent="0.3">
      <c r="E45" s="170" t="s">
        <v>31</v>
      </c>
      <c r="F45" s="171"/>
      <c r="G45" s="171"/>
      <c r="H45" s="171"/>
      <c r="I45" s="172"/>
      <c r="J45" s="175" t="s">
        <v>7</v>
      </c>
      <c r="K45" s="176"/>
      <c r="L45" s="175" t="s">
        <v>8</v>
      </c>
      <c r="M45" s="176"/>
      <c r="N45" s="175" t="s">
        <v>9</v>
      </c>
      <c r="O45" s="176"/>
      <c r="P45" s="175" t="s">
        <v>117</v>
      </c>
      <c r="Q45" s="176"/>
    </row>
    <row r="46" spans="1:23" s="2" customFormat="1" x14ac:dyDescent="0.3">
      <c r="E46" s="15"/>
      <c r="F46" s="15"/>
      <c r="G46" s="15"/>
      <c r="H46" s="15"/>
      <c r="I46" s="15"/>
      <c r="J46" s="30">
        <f>J33+J37+J40+J43</f>
        <v>2760</v>
      </c>
      <c r="K46" s="31" t="s">
        <v>17</v>
      </c>
      <c r="L46" s="30">
        <f>L33+L37+L40+L43</f>
        <v>0</v>
      </c>
      <c r="M46" s="31" t="s">
        <v>17</v>
      </c>
      <c r="N46" s="30">
        <f>N33+N37+N40+N43</f>
        <v>1850</v>
      </c>
      <c r="O46" s="31" t="s">
        <v>17</v>
      </c>
      <c r="P46" s="30">
        <f>P33+P37+P40+P43</f>
        <v>0</v>
      </c>
      <c r="Q46" s="34" t="s">
        <v>17</v>
      </c>
    </row>
    <row r="47" spans="1:23" ht="24.45" customHeight="1" x14ac:dyDescent="0.3">
      <c r="E47" s="28"/>
      <c r="F47" s="28"/>
      <c r="G47" s="28"/>
      <c r="H47" s="28"/>
      <c r="I47" s="28"/>
      <c r="J47" s="167">
        <f>J46+L46+N46+P46</f>
        <v>4610</v>
      </c>
      <c r="K47" s="168"/>
      <c r="L47" s="168"/>
      <c r="M47" s="168"/>
      <c r="N47" s="168"/>
      <c r="O47" s="168"/>
      <c r="P47" s="168"/>
      <c r="Q47" s="169"/>
    </row>
    <row r="48" spans="1:23" ht="14.55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spans="1:23" s="37" customFormat="1" ht="19.95" customHeight="1" x14ac:dyDescent="0.4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183" t="s">
        <v>14</v>
      </c>
      <c r="R49" s="183"/>
      <c r="S49" s="183"/>
      <c r="T49" s="184">
        <f>T3</f>
        <v>45964</v>
      </c>
      <c r="U49" s="185"/>
      <c r="V49" s="185"/>
      <c r="W49" s="186"/>
    </row>
    <row r="50" spans="1:23" s="16" customFormat="1" ht="30" customHeight="1" x14ac:dyDescent="0.3">
      <c r="A50" s="187" t="s">
        <v>586</v>
      </c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9"/>
      <c r="Q50" s="189"/>
      <c r="R50" s="189"/>
      <c r="S50" s="189"/>
      <c r="T50" s="188"/>
      <c r="U50" s="188"/>
      <c r="V50" s="188"/>
      <c r="W50" s="190"/>
    </row>
    <row r="51" spans="1:23" s="26" customFormat="1" ht="13.8" x14ac:dyDescent="0.3">
      <c r="A51" s="191" t="s">
        <v>1</v>
      </c>
      <c r="B51" s="192" t="s">
        <v>2</v>
      </c>
      <c r="C51" s="192" t="s">
        <v>3</v>
      </c>
      <c r="D51" s="192" t="s">
        <v>4</v>
      </c>
      <c r="E51" s="193" t="s">
        <v>5</v>
      </c>
      <c r="F51" s="195" t="s">
        <v>21</v>
      </c>
      <c r="G51" s="195" t="s">
        <v>22</v>
      </c>
      <c r="H51" s="195" t="s">
        <v>33</v>
      </c>
      <c r="I51" s="195" t="s">
        <v>30</v>
      </c>
      <c r="J51" s="193" t="s">
        <v>6</v>
      </c>
      <c r="K51" s="197"/>
      <c r="L51" s="197"/>
      <c r="M51" s="197"/>
      <c r="N51" s="197"/>
      <c r="O51" s="197"/>
      <c r="P51" s="197"/>
      <c r="Q51" s="198"/>
      <c r="R51" s="193" t="s">
        <v>10</v>
      </c>
      <c r="S51" s="198"/>
      <c r="T51" s="191" t="s">
        <v>11</v>
      </c>
      <c r="U51" s="191" t="s">
        <v>12</v>
      </c>
      <c r="V51" s="191"/>
      <c r="W51" s="191"/>
    </row>
    <row r="52" spans="1:23" s="26" customFormat="1" ht="13.8" x14ac:dyDescent="0.3">
      <c r="A52" s="191"/>
      <c r="B52" s="192"/>
      <c r="C52" s="192"/>
      <c r="D52" s="192"/>
      <c r="E52" s="194"/>
      <c r="F52" s="196"/>
      <c r="G52" s="196"/>
      <c r="H52" s="196"/>
      <c r="I52" s="196"/>
      <c r="J52" s="200" t="s">
        <v>7</v>
      </c>
      <c r="K52" s="201"/>
      <c r="L52" s="200" t="s">
        <v>8</v>
      </c>
      <c r="M52" s="201"/>
      <c r="N52" s="200" t="s">
        <v>9</v>
      </c>
      <c r="O52" s="201"/>
      <c r="P52" s="200" t="s">
        <v>117</v>
      </c>
      <c r="Q52" s="201"/>
      <c r="R52" s="194"/>
      <c r="S52" s="199"/>
      <c r="T52" s="191"/>
      <c r="U52" s="191"/>
      <c r="V52" s="191"/>
      <c r="W52" s="191"/>
    </row>
    <row r="53" spans="1:23" ht="14.55" customHeight="1" x14ac:dyDescent="0.3">
      <c r="A53" s="180" t="s">
        <v>584</v>
      </c>
      <c r="B53" s="5">
        <v>0.33333333333333331</v>
      </c>
      <c r="C53" s="5">
        <v>0.70833333333333337</v>
      </c>
      <c r="D53" s="4"/>
      <c r="E53" s="12" t="s">
        <v>731</v>
      </c>
      <c r="F53" s="40"/>
      <c r="G53" s="41"/>
      <c r="H53" s="40"/>
      <c r="I53" s="12"/>
      <c r="J53" s="165"/>
      <c r="K53" s="166"/>
      <c r="L53" s="165"/>
      <c r="M53" s="166"/>
      <c r="N53" s="165"/>
      <c r="O53" s="166"/>
      <c r="P53" s="165"/>
      <c r="Q53" s="166"/>
      <c r="R53" s="153">
        <v>480</v>
      </c>
      <c r="S53" s="14" t="s">
        <v>20</v>
      </c>
      <c r="T53" s="42"/>
      <c r="U53" s="177"/>
      <c r="V53" s="178"/>
      <c r="W53" s="179"/>
    </row>
    <row r="54" spans="1:23" ht="14.55" customHeight="1" x14ac:dyDescent="0.3">
      <c r="A54" s="181"/>
      <c r="B54" s="5"/>
      <c r="C54" s="5"/>
      <c r="D54" s="4"/>
      <c r="E54" s="13"/>
      <c r="F54" s="40"/>
      <c r="G54" s="41"/>
      <c r="H54" s="40"/>
      <c r="I54" s="12"/>
      <c r="J54" s="165"/>
      <c r="K54" s="166"/>
      <c r="L54" s="165"/>
      <c r="M54" s="166"/>
      <c r="N54" s="165"/>
      <c r="O54" s="166"/>
      <c r="P54" s="165"/>
      <c r="Q54" s="166"/>
      <c r="R54" s="153"/>
      <c r="S54" s="14" t="s">
        <v>20</v>
      </c>
      <c r="T54" s="42"/>
      <c r="U54" s="177"/>
      <c r="V54" s="178"/>
      <c r="W54" s="179"/>
    </row>
    <row r="55" spans="1:23" ht="14.55" customHeight="1" x14ac:dyDescent="0.3">
      <c r="A55" s="181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153"/>
      <c r="S55" s="14" t="s">
        <v>20</v>
      </c>
      <c r="T55" s="42"/>
      <c r="U55" s="177"/>
      <c r="V55" s="178"/>
      <c r="W55" s="179"/>
    </row>
    <row r="56" spans="1:23" ht="14.55" customHeight="1" x14ac:dyDescent="0.3">
      <c r="A56" s="181"/>
      <c r="B56" s="5"/>
      <c r="C56" s="5"/>
      <c r="D56" s="4"/>
      <c r="E56" s="13"/>
      <c r="F56" s="40"/>
      <c r="G56" s="41"/>
      <c r="H56" s="40"/>
      <c r="I56" s="12"/>
      <c r="J56" s="165"/>
      <c r="K56" s="166"/>
      <c r="L56" s="165"/>
      <c r="M56" s="166"/>
      <c r="N56" s="165"/>
      <c r="O56" s="166"/>
      <c r="P56" s="165"/>
      <c r="Q56" s="166"/>
      <c r="R56" s="153"/>
      <c r="S56" s="14" t="s">
        <v>20</v>
      </c>
      <c r="T56" s="42"/>
      <c r="U56" s="177"/>
      <c r="V56" s="178"/>
      <c r="W56" s="179"/>
    </row>
    <row r="57" spans="1:23" ht="14.55" customHeight="1" x14ac:dyDescent="0.3">
      <c r="A57" s="181"/>
      <c r="B57" s="5"/>
      <c r="C57" s="5"/>
      <c r="D57" s="4"/>
      <c r="E57" s="12"/>
      <c r="F57" s="40"/>
      <c r="G57" s="41"/>
      <c r="H57" s="40"/>
      <c r="I57" s="12"/>
      <c r="J57" s="165"/>
      <c r="K57" s="166"/>
      <c r="L57" s="165"/>
      <c r="M57" s="166"/>
      <c r="N57" s="165"/>
      <c r="O57" s="166"/>
      <c r="P57" s="165"/>
      <c r="Q57" s="166"/>
      <c r="R57" s="153"/>
      <c r="S57" s="14" t="s">
        <v>20</v>
      </c>
      <c r="T57" s="42"/>
      <c r="U57" s="177"/>
      <c r="V57" s="178"/>
      <c r="W57" s="179"/>
    </row>
    <row r="58" spans="1:23" ht="14.55" customHeight="1" x14ac:dyDescent="0.3">
      <c r="A58" s="181"/>
      <c r="B58" s="5"/>
      <c r="C58" s="5"/>
      <c r="D58" s="4"/>
      <c r="E58" s="13"/>
      <c r="F58" s="40"/>
      <c r="G58" s="41"/>
      <c r="H58" s="40"/>
      <c r="I58" s="12"/>
      <c r="J58" s="165"/>
      <c r="K58" s="166"/>
      <c r="L58" s="165"/>
      <c r="M58" s="166"/>
      <c r="N58" s="165"/>
      <c r="O58" s="166"/>
      <c r="P58" s="165"/>
      <c r="Q58" s="166"/>
      <c r="R58" s="153"/>
      <c r="S58" s="14" t="s">
        <v>20</v>
      </c>
      <c r="T58" s="42"/>
      <c r="U58" s="177"/>
      <c r="V58" s="178"/>
      <c r="W58" s="179"/>
    </row>
    <row r="59" spans="1:23" ht="14.55" customHeight="1" x14ac:dyDescent="0.3">
      <c r="A59" s="181"/>
      <c r="B59" s="5"/>
      <c r="C59" s="5"/>
      <c r="D59" s="4"/>
      <c r="E59" s="12"/>
      <c r="F59" s="40"/>
      <c r="G59" s="41"/>
      <c r="H59" s="40"/>
      <c r="I59" s="12"/>
      <c r="J59" s="165"/>
      <c r="K59" s="166"/>
      <c r="L59" s="165"/>
      <c r="M59" s="166"/>
      <c r="N59" s="165"/>
      <c r="O59" s="166"/>
      <c r="P59" s="165"/>
      <c r="Q59" s="166"/>
      <c r="R59" s="153"/>
      <c r="S59" s="14" t="s">
        <v>20</v>
      </c>
      <c r="T59" s="42"/>
      <c r="U59" s="177"/>
      <c r="V59" s="178"/>
      <c r="W59" s="179"/>
    </row>
    <row r="60" spans="1:23" ht="14.55" customHeight="1" x14ac:dyDescent="0.3">
      <c r="A60" s="181"/>
      <c r="B60" s="5"/>
      <c r="C60" s="5"/>
      <c r="D60" s="4"/>
      <c r="E60" s="12"/>
      <c r="F60" s="40"/>
      <c r="G60" s="41"/>
      <c r="H60" s="40"/>
      <c r="I60" s="12"/>
      <c r="J60" s="165"/>
      <c r="K60" s="166"/>
      <c r="L60" s="165"/>
      <c r="M60" s="166"/>
      <c r="N60" s="165"/>
      <c r="O60" s="166"/>
      <c r="P60" s="165"/>
      <c r="Q60" s="166"/>
      <c r="R60" s="153"/>
      <c r="S60" s="14" t="s">
        <v>20</v>
      </c>
      <c r="T60" s="42"/>
      <c r="U60" s="177"/>
      <c r="V60" s="178"/>
      <c r="W60" s="179"/>
    </row>
    <row r="61" spans="1:23" ht="14.55" customHeight="1" x14ac:dyDescent="0.3">
      <c r="A61" s="181"/>
      <c r="B61" s="5"/>
      <c r="C61" s="5"/>
      <c r="D61" s="4"/>
      <c r="E61" s="12"/>
      <c r="F61" s="40"/>
      <c r="G61" s="41"/>
      <c r="H61" s="40"/>
      <c r="I61" s="12"/>
      <c r="J61" s="165"/>
      <c r="K61" s="166"/>
      <c r="L61" s="165"/>
      <c r="M61" s="166"/>
      <c r="N61" s="165"/>
      <c r="O61" s="166"/>
      <c r="P61" s="165"/>
      <c r="Q61" s="166"/>
      <c r="R61" s="153"/>
      <c r="S61" s="14" t="s">
        <v>20</v>
      </c>
      <c r="T61" s="42"/>
      <c r="U61" s="177"/>
      <c r="V61" s="178"/>
      <c r="W61" s="179"/>
    </row>
    <row r="62" spans="1:23" ht="14.55" customHeight="1" x14ac:dyDescent="0.3">
      <c r="A62" s="182"/>
      <c r="B62" s="19"/>
      <c r="C62" s="19"/>
      <c r="D62" s="20"/>
      <c r="E62" s="170" t="s">
        <v>0</v>
      </c>
      <c r="F62" s="171"/>
      <c r="G62" s="171"/>
      <c r="H62" s="171"/>
      <c r="I62" s="172"/>
      <c r="J62" s="173">
        <f>SUM(J53:K61)</f>
        <v>0</v>
      </c>
      <c r="K62" s="174"/>
      <c r="L62" s="173">
        <f>SUM(L53:M61)</f>
        <v>0</v>
      </c>
      <c r="M62" s="174"/>
      <c r="N62" s="173">
        <f>SUM(N53:O61)</f>
        <v>0</v>
      </c>
      <c r="O62" s="174"/>
      <c r="P62" s="173">
        <f>SUM(P53:Q61)</f>
        <v>0</v>
      </c>
      <c r="Q62" s="174"/>
      <c r="R62" s="23">
        <f>SUM(R53:R61)</f>
        <v>480</v>
      </c>
      <c r="S62" s="24" t="s">
        <v>20</v>
      </c>
      <c r="T62" s="19"/>
      <c r="U62" s="177"/>
      <c r="V62" s="178"/>
      <c r="W62" s="179"/>
    </row>
    <row r="63" spans="1:23" x14ac:dyDescent="0.3">
      <c r="E63" s="28"/>
      <c r="F63" s="28"/>
      <c r="G63" s="28"/>
      <c r="H63" s="28"/>
      <c r="I63" s="28"/>
      <c r="J63" s="29"/>
      <c r="K63" s="29"/>
      <c r="L63" s="29"/>
      <c r="M63" s="29"/>
      <c r="N63" s="29"/>
      <c r="O63" s="29"/>
      <c r="P63" s="29"/>
      <c r="Q63" s="29"/>
    </row>
    <row r="64" spans="1:23" x14ac:dyDescent="0.3">
      <c r="E64" s="170" t="s">
        <v>587</v>
      </c>
      <c r="F64" s="171"/>
      <c r="G64" s="171"/>
      <c r="H64" s="171"/>
      <c r="I64" s="172"/>
      <c r="J64" s="175" t="s">
        <v>7</v>
      </c>
      <c r="K64" s="176"/>
      <c r="L64" s="175" t="s">
        <v>8</v>
      </c>
      <c r="M64" s="176"/>
      <c r="N64" s="175" t="s">
        <v>9</v>
      </c>
      <c r="O64" s="176"/>
      <c r="P64" s="175" t="s">
        <v>117</v>
      </c>
      <c r="Q64" s="176"/>
    </row>
    <row r="65" spans="1:23" s="2" customFormat="1" x14ac:dyDescent="0.3">
      <c r="E65" s="15"/>
      <c r="F65" s="15"/>
      <c r="G65" s="15"/>
      <c r="H65" s="15"/>
      <c r="I65" s="15"/>
      <c r="J65" s="30">
        <f>J58+J62</f>
        <v>0</v>
      </c>
      <c r="K65" s="31" t="s">
        <v>17</v>
      </c>
      <c r="L65" s="32">
        <f>L58+L62</f>
        <v>0</v>
      </c>
      <c r="M65" s="31" t="s">
        <v>17</v>
      </c>
      <c r="N65" s="32">
        <f>N58+N62</f>
        <v>0</v>
      </c>
      <c r="O65" s="31" t="s">
        <v>17</v>
      </c>
      <c r="P65" s="32">
        <f>P58+P62</f>
        <v>0</v>
      </c>
      <c r="Q65" s="34" t="s">
        <v>17</v>
      </c>
    </row>
    <row r="66" spans="1:23" ht="24.45" customHeight="1" x14ac:dyDescent="0.3">
      <c r="E66" s="28"/>
      <c r="F66" s="28"/>
      <c r="G66" s="28"/>
      <c r="H66" s="28"/>
      <c r="I66" s="28"/>
      <c r="J66" s="167">
        <f>J65+L65+N65+P65</f>
        <v>0</v>
      </c>
      <c r="K66" s="168"/>
      <c r="L66" s="168"/>
      <c r="M66" s="168"/>
      <c r="N66" s="168"/>
      <c r="O66" s="168"/>
      <c r="P66" s="168"/>
      <c r="Q66" s="169"/>
    </row>
    <row r="67" spans="1:23" ht="14.55" customHeight="1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 spans="1:23" s="37" customFormat="1" ht="19.95" customHeight="1" x14ac:dyDescent="0.4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214" t="s">
        <v>14</v>
      </c>
      <c r="R68" s="215"/>
      <c r="S68" s="216"/>
      <c r="T68" s="184">
        <f>T3</f>
        <v>45964</v>
      </c>
      <c r="U68" s="185"/>
      <c r="V68" s="185"/>
      <c r="W68" s="186"/>
    </row>
    <row r="69" spans="1:23" s="16" customFormat="1" ht="30" customHeight="1" x14ac:dyDescent="0.3">
      <c r="A69" s="187" t="s">
        <v>26</v>
      </c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9"/>
      <c r="Q69" s="189"/>
      <c r="R69" s="189"/>
      <c r="S69" s="189"/>
      <c r="T69" s="188"/>
      <c r="U69" s="188"/>
      <c r="V69" s="188"/>
      <c r="W69" s="190"/>
    </row>
    <row r="70" spans="1:23" s="26" customFormat="1" ht="13.8" x14ac:dyDescent="0.3">
      <c r="A70" s="191" t="s">
        <v>1</v>
      </c>
      <c r="B70" s="192" t="s">
        <v>2</v>
      </c>
      <c r="C70" s="192" t="s">
        <v>3</v>
      </c>
      <c r="D70" s="192" t="s">
        <v>4</v>
      </c>
      <c r="E70" s="193" t="s">
        <v>5</v>
      </c>
      <c r="F70" s="197"/>
      <c r="G70" s="197"/>
      <c r="H70" s="197"/>
      <c r="I70" s="198"/>
      <c r="J70" s="193" t="s">
        <v>6</v>
      </c>
      <c r="K70" s="197"/>
      <c r="L70" s="197"/>
      <c r="M70" s="197"/>
      <c r="N70" s="197"/>
      <c r="O70" s="197"/>
      <c r="P70" s="197"/>
      <c r="Q70" s="198"/>
      <c r="R70" s="193" t="s">
        <v>10</v>
      </c>
      <c r="S70" s="198"/>
      <c r="T70" s="191" t="s">
        <v>11</v>
      </c>
      <c r="U70" s="191" t="s">
        <v>12</v>
      </c>
      <c r="V70" s="191"/>
      <c r="W70" s="191"/>
    </row>
    <row r="71" spans="1:23" s="26" customFormat="1" ht="13.8" x14ac:dyDescent="0.3">
      <c r="A71" s="191"/>
      <c r="B71" s="192"/>
      <c r="C71" s="192"/>
      <c r="D71" s="192"/>
      <c r="E71" s="194"/>
      <c r="F71" s="217"/>
      <c r="G71" s="217"/>
      <c r="H71" s="217"/>
      <c r="I71" s="199"/>
      <c r="J71" s="200" t="s">
        <v>7</v>
      </c>
      <c r="K71" s="201"/>
      <c r="L71" s="200" t="s">
        <v>8</v>
      </c>
      <c r="M71" s="201"/>
      <c r="N71" s="200" t="s">
        <v>9</v>
      </c>
      <c r="O71" s="201"/>
      <c r="P71" s="200" t="s">
        <v>117</v>
      </c>
      <c r="Q71" s="201"/>
      <c r="R71" s="194"/>
      <c r="S71" s="199"/>
      <c r="T71" s="191"/>
      <c r="U71" s="191"/>
      <c r="V71" s="191"/>
      <c r="W71" s="191"/>
    </row>
    <row r="72" spans="1:23" x14ac:dyDescent="0.3">
      <c r="A72" s="180" t="s">
        <v>13</v>
      </c>
      <c r="B72" s="5">
        <v>0.33333333333333331</v>
      </c>
      <c r="C72" s="5"/>
      <c r="D72" s="156">
        <v>250079</v>
      </c>
      <c r="E72" s="211" t="s">
        <v>684</v>
      </c>
      <c r="F72" s="212"/>
      <c r="G72" s="212"/>
      <c r="H72" s="212"/>
      <c r="I72" s="213"/>
      <c r="J72" s="165">
        <v>413</v>
      </c>
      <c r="K72" s="166"/>
      <c r="L72" s="165"/>
      <c r="M72" s="166"/>
      <c r="N72" s="165"/>
      <c r="O72" s="166"/>
      <c r="P72" s="165"/>
      <c r="Q72" s="166"/>
      <c r="R72" s="153"/>
      <c r="S72" s="6" t="s">
        <v>20</v>
      </c>
      <c r="T72" s="3"/>
      <c r="U72" s="202"/>
      <c r="V72" s="203"/>
      <c r="W72" s="204"/>
    </row>
    <row r="73" spans="1:23" x14ac:dyDescent="0.3">
      <c r="A73" s="163"/>
      <c r="B73" s="5"/>
      <c r="C73" s="5"/>
      <c r="D73" s="4">
        <v>250079</v>
      </c>
      <c r="E73" s="211" t="s">
        <v>683</v>
      </c>
      <c r="F73" s="212"/>
      <c r="G73" s="212"/>
      <c r="H73" s="212"/>
      <c r="I73" s="213"/>
      <c r="J73" s="165">
        <v>1468</v>
      </c>
      <c r="K73" s="166"/>
      <c r="L73" s="165"/>
      <c r="M73" s="166"/>
      <c r="N73" s="165"/>
      <c r="O73" s="166"/>
      <c r="P73" s="165"/>
      <c r="Q73" s="166"/>
      <c r="R73" s="153"/>
      <c r="S73" s="6" t="s">
        <v>20</v>
      </c>
      <c r="T73" s="3"/>
      <c r="U73" s="205"/>
      <c r="V73" s="206"/>
      <c r="W73" s="207"/>
    </row>
    <row r="74" spans="1:23" x14ac:dyDescent="0.3">
      <c r="A74" s="163"/>
      <c r="B74" s="5"/>
      <c r="C74" s="5"/>
      <c r="D74" s="4">
        <v>250080</v>
      </c>
      <c r="E74" s="211" t="s">
        <v>562</v>
      </c>
      <c r="F74" s="212"/>
      <c r="G74" s="212"/>
      <c r="H74" s="212"/>
      <c r="I74" s="213"/>
      <c r="J74" s="165">
        <v>1031</v>
      </c>
      <c r="K74" s="166"/>
      <c r="L74" s="165"/>
      <c r="M74" s="166"/>
      <c r="N74" s="165"/>
      <c r="O74" s="166"/>
      <c r="P74" s="165"/>
      <c r="Q74" s="166"/>
      <c r="R74" s="153"/>
      <c r="S74" s="6" t="s">
        <v>20</v>
      </c>
      <c r="T74" s="3"/>
      <c r="U74" s="205"/>
      <c r="V74" s="206"/>
      <c r="W74" s="207"/>
    </row>
    <row r="75" spans="1:23" x14ac:dyDescent="0.3">
      <c r="A75" s="163"/>
      <c r="B75" s="5"/>
      <c r="C75" s="5">
        <v>0.70833333333333337</v>
      </c>
      <c r="D75" s="4">
        <v>250079</v>
      </c>
      <c r="E75" s="211" t="s">
        <v>698</v>
      </c>
      <c r="F75" s="212"/>
      <c r="G75" s="212"/>
      <c r="H75" s="212"/>
      <c r="I75" s="213"/>
      <c r="J75" s="165">
        <v>1144</v>
      </c>
      <c r="K75" s="166"/>
      <c r="L75" s="165"/>
      <c r="M75" s="166"/>
      <c r="N75" s="165"/>
      <c r="O75" s="166"/>
      <c r="P75" s="165"/>
      <c r="Q75" s="166"/>
      <c r="R75" s="153">
        <v>40</v>
      </c>
      <c r="S75" s="6" t="s">
        <v>20</v>
      </c>
      <c r="T75" s="3" t="s">
        <v>93</v>
      </c>
      <c r="U75" s="205"/>
      <c r="V75" s="206"/>
      <c r="W75" s="207"/>
    </row>
    <row r="76" spans="1:23" x14ac:dyDescent="0.3">
      <c r="A76" s="163"/>
      <c r="B76" s="5"/>
      <c r="C76" s="5"/>
      <c r="D76" s="4"/>
      <c r="E76" s="211"/>
      <c r="F76" s="212"/>
      <c r="G76" s="212"/>
      <c r="H76" s="212"/>
      <c r="I76" s="213"/>
      <c r="J76" s="165"/>
      <c r="K76" s="166"/>
      <c r="L76" s="165"/>
      <c r="M76" s="166"/>
      <c r="N76" s="165"/>
      <c r="O76" s="166"/>
      <c r="P76" s="165"/>
      <c r="Q76" s="166"/>
      <c r="R76" s="153"/>
      <c r="S76" s="6" t="s">
        <v>20</v>
      </c>
      <c r="T76" s="3"/>
      <c r="U76" s="205"/>
      <c r="V76" s="206"/>
      <c r="W76" s="207"/>
    </row>
    <row r="77" spans="1:23" x14ac:dyDescent="0.3">
      <c r="A77" s="163"/>
      <c r="B77" s="5"/>
      <c r="C77" s="5"/>
      <c r="D77" s="4"/>
      <c r="E77" s="211"/>
      <c r="F77" s="212"/>
      <c r="G77" s="212"/>
      <c r="H77" s="212"/>
      <c r="I77" s="213"/>
      <c r="J77" s="165"/>
      <c r="K77" s="166"/>
      <c r="L77" s="165"/>
      <c r="M77" s="166"/>
      <c r="N77" s="165"/>
      <c r="O77" s="166"/>
      <c r="P77" s="165"/>
      <c r="Q77" s="166"/>
      <c r="R77" s="153"/>
      <c r="S77" s="6" t="s">
        <v>20</v>
      </c>
      <c r="T77" s="3"/>
      <c r="U77" s="205"/>
      <c r="V77" s="206"/>
      <c r="W77" s="207"/>
    </row>
    <row r="78" spans="1:23" x14ac:dyDescent="0.3">
      <c r="A78" s="163"/>
      <c r="B78" s="5"/>
      <c r="C78" s="5"/>
      <c r="D78" s="4"/>
      <c r="E78" s="211"/>
      <c r="F78" s="212"/>
      <c r="G78" s="212"/>
      <c r="H78" s="212"/>
      <c r="I78" s="213"/>
      <c r="J78" s="165"/>
      <c r="K78" s="166"/>
      <c r="L78" s="165"/>
      <c r="M78" s="166"/>
      <c r="N78" s="165"/>
      <c r="O78" s="166"/>
      <c r="P78" s="165"/>
      <c r="Q78" s="166"/>
      <c r="R78" s="153"/>
      <c r="S78" s="6" t="s">
        <v>20</v>
      </c>
      <c r="T78" s="3"/>
      <c r="U78" s="205"/>
      <c r="V78" s="206"/>
      <c r="W78" s="207"/>
    </row>
    <row r="79" spans="1:23" x14ac:dyDescent="0.3">
      <c r="A79" s="164"/>
      <c r="B79" s="19"/>
      <c r="C79" s="19"/>
      <c r="D79" s="20"/>
      <c r="E79" s="170" t="s">
        <v>0</v>
      </c>
      <c r="F79" s="171"/>
      <c r="G79" s="171"/>
      <c r="H79" s="171"/>
      <c r="I79" s="172"/>
      <c r="J79" s="173">
        <f>SUM(J72:J78)</f>
        <v>4056</v>
      </c>
      <c r="K79" s="174"/>
      <c r="L79" s="173">
        <f>SUM(L72:L78)</f>
        <v>0</v>
      </c>
      <c r="M79" s="174"/>
      <c r="N79" s="173">
        <f>SUM(N72:N78)</f>
        <v>0</v>
      </c>
      <c r="O79" s="174"/>
      <c r="P79" s="173">
        <f>SUM(P72:P78)</f>
        <v>0</v>
      </c>
      <c r="Q79" s="174"/>
      <c r="R79" s="23">
        <f>SUM(R72:R78)</f>
        <v>40</v>
      </c>
      <c r="S79" s="24" t="s">
        <v>20</v>
      </c>
      <c r="T79" s="19"/>
      <c r="U79" s="208"/>
      <c r="V79" s="209"/>
      <c r="W79" s="210"/>
    </row>
    <row r="80" spans="1:23" x14ac:dyDescent="0.3">
      <c r="A80" s="180" t="s">
        <v>15</v>
      </c>
      <c r="B80" s="5"/>
      <c r="C80" s="5"/>
      <c r="D80" s="4"/>
      <c r="E80" s="211"/>
      <c r="F80" s="212"/>
      <c r="G80" s="212"/>
      <c r="H80" s="212"/>
      <c r="I80" s="213"/>
      <c r="J80" s="165"/>
      <c r="K80" s="166"/>
      <c r="L80" s="165"/>
      <c r="M80" s="166"/>
      <c r="N80" s="165"/>
      <c r="O80" s="166"/>
      <c r="P80" s="165"/>
      <c r="Q80" s="166"/>
      <c r="R80" s="153"/>
      <c r="S80" s="6" t="s">
        <v>20</v>
      </c>
      <c r="T80" s="3"/>
      <c r="U80" s="202"/>
      <c r="V80" s="203"/>
      <c r="W80" s="204"/>
    </row>
    <row r="81" spans="1:23" x14ac:dyDescent="0.3">
      <c r="A81" s="163"/>
      <c r="B81" s="5"/>
      <c r="C81" s="5"/>
      <c r="D81" s="4"/>
      <c r="E81" s="211"/>
      <c r="F81" s="212"/>
      <c r="G81" s="212"/>
      <c r="H81" s="212"/>
      <c r="I81" s="213"/>
      <c r="J81" s="165"/>
      <c r="K81" s="166"/>
      <c r="L81" s="165"/>
      <c r="M81" s="166"/>
      <c r="N81" s="165"/>
      <c r="O81" s="166"/>
      <c r="P81" s="165"/>
      <c r="Q81" s="166"/>
      <c r="R81" s="153"/>
      <c r="S81" s="6" t="s">
        <v>20</v>
      </c>
      <c r="T81" s="3"/>
      <c r="U81" s="205"/>
      <c r="V81" s="206"/>
      <c r="W81" s="207"/>
    </row>
    <row r="82" spans="1:23" x14ac:dyDescent="0.3">
      <c r="A82" s="163"/>
      <c r="B82" s="5"/>
      <c r="C82" s="5"/>
      <c r="D82" s="4"/>
      <c r="E82" s="211"/>
      <c r="F82" s="212"/>
      <c r="G82" s="212"/>
      <c r="H82" s="212"/>
      <c r="I82" s="213"/>
      <c r="J82" s="165"/>
      <c r="K82" s="166"/>
      <c r="L82" s="165"/>
      <c r="M82" s="166"/>
      <c r="N82" s="165"/>
      <c r="O82" s="166"/>
      <c r="P82" s="165"/>
      <c r="Q82" s="166"/>
      <c r="R82" s="153"/>
      <c r="S82" s="6" t="s">
        <v>20</v>
      </c>
      <c r="T82" s="3"/>
      <c r="U82" s="205"/>
      <c r="V82" s="206"/>
      <c r="W82" s="207"/>
    </row>
    <row r="83" spans="1:23" x14ac:dyDescent="0.3">
      <c r="A83" s="164"/>
      <c r="B83" s="19"/>
      <c r="C83" s="19"/>
      <c r="D83" s="20"/>
      <c r="E83" s="170" t="s">
        <v>0</v>
      </c>
      <c r="F83" s="171"/>
      <c r="G83" s="171"/>
      <c r="H83" s="171"/>
      <c r="I83" s="172"/>
      <c r="J83" s="173">
        <f>SUM(J80:J82)</f>
        <v>0</v>
      </c>
      <c r="K83" s="174"/>
      <c r="L83" s="173">
        <f>SUM(L80:L82)</f>
        <v>0</v>
      </c>
      <c r="M83" s="174"/>
      <c r="N83" s="173">
        <f>SUM(N80:N82)</f>
        <v>0</v>
      </c>
      <c r="O83" s="174"/>
      <c r="P83" s="173">
        <f>SUM(P75:P82)</f>
        <v>0</v>
      </c>
      <c r="Q83" s="174"/>
      <c r="R83" s="23">
        <f>SUM(R80:R82)</f>
        <v>0</v>
      </c>
      <c r="S83" s="24" t="s">
        <v>20</v>
      </c>
      <c r="T83" s="7"/>
      <c r="U83" s="208"/>
      <c r="V83" s="209"/>
      <c r="W83" s="210"/>
    </row>
    <row r="84" spans="1:23" x14ac:dyDescent="0.3">
      <c r="E84" s="28"/>
      <c r="F84" s="28"/>
      <c r="G84" s="28"/>
      <c r="H84" s="28"/>
      <c r="I84" s="28"/>
      <c r="J84" s="29"/>
      <c r="K84" s="29"/>
      <c r="L84" s="29"/>
      <c r="M84" s="29"/>
      <c r="N84" s="29"/>
      <c r="O84" s="29"/>
      <c r="P84" s="29"/>
      <c r="Q84" s="29"/>
    </row>
    <row r="85" spans="1:23" x14ac:dyDescent="0.3">
      <c r="E85" s="170" t="s">
        <v>28</v>
      </c>
      <c r="F85" s="171"/>
      <c r="G85" s="171"/>
      <c r="H85" s="171"/>
      <c r="I85" s="172"/>
      <c r="J85" s="175" t="s">
        <v>7</v>
      </c>
      <c r="K85" s="176"/>
      <c r="L85" s="175" t="s">
        <v>8</v>
      </c>
      <c r="M85" s="176"/>
      <c r="N85" s="175" t="s">
        <v>9</v>
      </c>
      <c r="O85" s="176"/>
      <c r="P85" s="175" t="s">
        <v>117</v>
      </c>
      <c r="Q85" s="176"/>
    </row>
    <row r="86" spans="1:23" s="2" customFormat="1" x14ac:dyDescent="0.3">
      <c r="E86" s="15"/>
      <c r="F86" s="15"/>
      <c r="G86" s="15"/>
      <c r="H86" s="15"/>
      <c r="I86" s="15"/>
      <c r="J86" s="30">
        <f>J79+J83</f>
        <v>4056</v>
      </c>
      <c r="K86" s="31" t="s">
        <v>17</v>
      </c>
      <c r="L86" s="32">
        <f>L79+L83</f>
        <v>0</v>
      </c>
      <c r="M86" s="31" t="s">
        <v>17</v>
      </c>
      <c r="N86" s="32">
        <f>N79+N83</f>
        <v>0</v>
      </c>
      <c r="O86" s="31" t="s">
        <v>17</v>
      </c>
      <c r="P86" s="32">
        <f>P79+P83</f>
        <v>0</v>
      </c>
      <c r="Q86" s="34" t="s">
        <v>17</v>
      </c>
    </row>
    <row r="87" spans="1:23" ht="24.45" customHeight="1" x14ac:dyDescent="0.3">
      <c r="E87" s="28"/>
      <c r="F87" s="28"/>
      <c r="G87" s="28"/>
      <c r="H87" s="28"/>
      <c r="I87" s="28"/>
      <c r="J87" s="167">
        <f>J86+L86+N86+P86</f>
        <v>4056</v>
      </c>
      <c r="K87" s="168"/>
      <c r="L87" s="168"/>
      <c r="M87" s="168"/>
      <c r="N87" s="168"/>
      <c r="O87" s="168"/>
      <c r="P87" s="168"/>
      <c r="Q87" s="169"/>
    </row>
    <row r="88" spans="1:23" ht="14.55" customHeight="1" x14ac:dyDescent="0.3"/>
    <row r="89" spans="1:23" s="37" customFormat="1" ht="19.95" customHeight="1" x14ac:dyDescent="0.4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183" t="s">
        <v>14</v>
      </c>
      <c r="R89" s="183"/>
      <c r="S89" s="183"/>
      <c r="T89" s="184">
        <f>T3</f>
        <v>45964</v>
      </c>
      <c r="U89" s="185"/>
      <c r="V89" s="185"/>
      <c r="W89" s="186"/>
    </row>
    <row r="90" spans="1:23" s="16" customFormat="1" ht="30" customHeight="1" x14ac:dyDescent="0.3">
      <c r="A90" s="187" t="s">
        <v>579</v>
      </c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9"/>
      <c r="Q90" s="189"/>
      <c r="R90" s="189"/>
      <c r="S90" s="189"/>
      <c r="T90" s="188"/>
      <c r="U90" s="188"/>
      <c r="V90" s="188"/>
      <c r="W90" s="190"/>
    </row>
    <row r="91" spans="1:23" s="26" customFormat="1" ht="13.8" x14ac:dyDescent="0.3">
      <c r="A91" s="191" t="s">
        <v>1</v>
      </c>
      <c r="B91" s="192" t="s">
        <v>2</v>
      </c>
      <c r="C91" s="192" t="s">
        <v>3</v>
      </c>
      <c r="D91" s="192" t="s">
        <v>4</v>
      </c>
      <c r="E91" s="193" t="s">
        <v>5</v>
      </c>
      <c r="F91" s="195" t="s">
        <v>21</v>
      </c>
      <c r="G91" s="195" t="s">
        <v>22</v>
      </c>
      <c r="H91" s="195" t="s">
        <v>33</v>
      </c>
      <c r="I91" s="195" t="s">
        <v>30</v>
      </c>
      <c r="J91" s="193" t="s">
        <v>6</v>
      </c>
      <c r="K91" s="197"/>
      <c r="L91" s="197"/>
      <c r="M91" s="197"/>
      <c r="N91" s="197"/>
      <c r="O91" s="197"/>
      <c r="P91" s="197"/>
      <c r="Q91" s="198"/>
      <c r="R91" s="193" t="s">
        <v>10</v>
      </c>
      <c r="S91" s="198"/>
      <c r="T91" s="191" t="s">
        <v>11</v>
      </c>
      <c r="U91" s="191" t="s">
        <v>12</v>
      </c>
      <c r="V91" s="191"/>
      <c r="W91" s="191"/>
    </row>
    <row r="92" spans="1:23" s="26" customFormat="1" ht="13.8" x14ac:dyDescent="0.3">
      <c r="A92" s="191"/>
      <c r="B92" s="192"/>
      <c r="C92" s="192"/>
      <c r="D92" s="192"/>
      <c r="E92" s="194"/>
      <c r="F92" s="196"/>
      <c r="G92" s="196"/>
      <c r="H92" s="196"/>
      <c r="I92" s="196"/>
      <c r="J92" s="200" t="s">
        <v>7</v>
      </c>
      <c r="K92" s="201"/>
      <c r="L92" s="200" t="s">
        <v>8</v>
      </c>
      <c r="M92" s="201"/>
      <c r="N92" s="200" t="s">
        <v>9</v>
      </c>
      <c r="O92" s="201"/>
      <c r="P92" s="200" t="s">
        <v>117</v>
      </c>
      <c r="Q92" s="201"/>
      <c r="R92" s="194"/>
      <c r="S92" s="199"/>
      <c r="T92" s="191"/>
      <c r="U92" s="191"/>
      <c r="V92" s="191"/>
      <c r="W92" s="191"/>
    </row>
    <row r="93" spans="1:23" ht="14.55" customHeight="1" x14ac:dyDescent="0.3">
      <c r="A93" s="180" t="s">
        <v>581</v>
      </c>
      <c r="B93" s="5">
        <v>0.33333333333333331</v>
      </c>
      <c r="C93" s="5">
        <v>0.70833333333333337</v>
      </c>
      <c r="D93" s="126"/>
      <c r="E93" s="12" t="s">
        <v>245</v>
      </c>
      <c r="F93" s="40"/>
      <c r="G93" s="41"/>
      <c r="H93" s="40"/>
      <c r="I93" s="12"/>
      <c r="J93" s="165">
        <v>2200</v>
      </c>
      <c r="K93" s="166"/>
      <c r="L93" s="165"/>
      <c r="M93" s="166"/>
      <c r="N93" s="165"/>
      <c r="O93" s="166"/>
      <c r="P93" s="165"/>
      <c r="Q93" s="166"/>
      <c r="R93" s="153"/>
      <c r="S93" s="14" t="s">
        <v>20</v>
      </c>
      <c r="T93" s="42"/>
      <c r="U93" s="177"/>
      <c r="V93" s="178"/>
      <c r="W93" s="179"/>
    </row>
    <row r="94" spans="1:23" ht="14.55" customHeight="1" x14ac:dyDescent="0.3">
      <c r="A94" s="181"/>
      <c r="B94" s="5"/>
      <c r="C94" s="5"/>
      <c r="D94" s="126"/>
      <c r="E94" s="13"/>
      <c r="F94" s="40"/>
      <c r="G94" s="41"/>
      <c r="H94" s="40"/>
      <c r="I94" s="12"/>
      <c r="J94" s="165"/>
      <c r="K94" s="166"/>
      <c r="L94" s="165"/>
      <c r="M94" s="166"/>
      <c r="N94" s="165"/>
      <c r="O94" s="166"/>
      <c r="P94" s="165"/>
      <c r="Q94" s="166"/>
      <c r="R94" s="153"/>
      <c r="S94" s="14" t="s">
        <v>20</v>
      </c>
      <c r="T94" s="42"/>
      <c r="U94" s="177"/>
      <c r="V94" s="178"/>
      <c r="W94" s="179"/>
    </row>
    <row r="95" spans="1:23" ht="14.55" customHeight="1" x14ac:dyDescent="0.3">
      <c r="A95" s="181"/>
      <c r="B95" s="5"/>
      <c r="C95" s="5"/>
      <c r="D95" s="4"/>
      <c r="E95" s="12"/>
      <c r="F95" s="40"/>
      <c r="G95" s="41"/>
      <c r="H95" s="40"/>
      <c r="I95" s="12"/>
      <c r="J95" s="165"/>
      <c r="K95" s="166"/>
      <c r="L95" s="165"/>
      <c r="M95" s="166"/>
      <c r="N95" s="165"/>
      <c r="O95" s="166"/>
      <c r="P95" s="165"/>
      <c r="Q95" s="166"/>
      <c r="R95" s="153"/>
      <c r="S95" s="14" t="s">
        <v>20</v>
      </c>
      <c r="T95" s="42"/>
      <c r="U95" s="177"/>
      <c r="V95" s="178"/>
      <c r="W95" s="179"/>
    </row>
    <row r="96" spans="1:23" ht="14.55" customHeight="1" x14ac:dyDescent="0.3">
      <c r="A96" s="182"/>
      <c r="B96" s="19"/>
      <c r="C96" s="19"/>
      <c r="D96" s="20"/>
      <c r="E96" s="170" t="s">
        <v>0</v>
      </c>
      <c r="F96" s="171"/>
      <c r="G96" s="171"/>
      <c r="H96" s="171"/>
      <c r="I96" s="172"/>
      <c r="J96" s="173">
        <f>SUM(J93:K95)</f>
        <v>2200</v>
      </c>
      <c r="K96" s="174"/>
      <c r="L96" s="173">
        <f>SUM(L93:M95)</f>
        <v>0</v>
      </c>
      <c r="M96" s="174"/>
      <c r="N96" s="173">
        <f>SUM(N93:O95)</f>
        <v>0</v>
      </c>
      <c r="O96" s="174"/>
      <c r="P96" s="173">
        <f>SUM(P93:Q95)</f>
        <v>0</v>
      </c>
      <c r="Q96" s="174"/>
      <c r="R96" s="23">
        <f>SUM(R93:R95)</f>
        <v>0</v>
      </c>
      <c r="S96" s="24" t="s">
        <v>20</v>
      </c>
      <c r="T96" s="19"/>
      <c r="U96" s="177"/>
      <c r="V96" s="178"/>
      <c r="W96" s="179"/>
    </row>
    <row r="97" spans="1:23" ht="14.55" customHeight="1" x14ac:dyDescent="0.3">
      <c r="A97" s="163" t="s">
        <v>580</v>
      </c>
      <c r="B97" s="5"/>
      <c r="C97" s="5"/>
      <c r="D97" s="4"/>
      <c r="E97" s="12"/>
      <c r="F97" s="40"/>
      <c r="G97" s="41"/>
      <c r="H97" s="40"/>
      <c r="I97" s="12"/>
      <c r="J97" s="165"/>
      <c r="K97" s="166"/>
      <c r="L97" s="165"/>
      <c r="M97" s="166"/>
      <c r="N97" s="165"/>
      <c r="O97" s="166"/>
      <c r="P97" s="165"/>
      <c r="Q97" s="166"/>
      <c r="R97" s="153"/>
      <c r="S97" s="14" t="s">
        <v>20</v>
      </c>
      <c r="T97" s="42"/>
      <c r="U97" s="177"/>
      <c r="V97" s="178"/>
      <c r="W97" s="179"/>
    </row>
    <row r="98" spans="1:23" ht="14.55" customHeight="1" x14ac:dyDescent="0.3">
      <c r="A98" s="163"/>
      <c r="B98" s="5"/>
      <c r="C98" s="5"/>
      <c r="D98" s="4"/>
      <c r="E98" s="12"/>
      <c r="F98" s="40"/>
      <c r="G98" s="41"/>
      <c r="H98" s="40"/>
      <c r="I98" s="12"/>
      <c r="J98" s="165"/>
      <c r="K98" s="166"/>
      <c r="L98" s="165"/>
      <c r="M98" s="166"/>
      <c r="N98" s="165"/>
      <c r="O98" s="166"/>
      <c r="P98" s="165"/>
      <c r="Q98" s="166"/>
      <c r="R98" s="153"/>
      <c r="S98" s="14" t="s">
        <v>20</v>
      </c>
      <c r="T98" s="42"/>
      <c r="U98" s="177"/>
      <c r="V98" s="178"/>
      <c r="W98" s="179"/>
    </row>
    <row r="99" spans="1:23" ht="14.55" customHeight="1" x14ac:dyDescent="0.3">
      <c r="A99" s="163"/>
      <c r="B99" s="5"/>
      <c r="C99" s="5"/>
      <c r="D99" s="4"/>
      <c r="E99" s="12"/>
      <c r="F99" s="40"/>
      <c r="G99" s="41"/>
      <c r="H99" s="40"/>
      <c r="I99" s="12"/>
      <c r="J99" s="165"/>
      <c r="K99" s="166"/>
      <c r="L99" s="165"/>
      <c r="M99" s="166"/>
      <c r="N99" s="165"/>
      <c r="O99" s="166"/>
      <c r="P99" s="165"/>
      <c r="Q99" s="166"/>
      <c r="R99" s="153"/>
      <c r="S99" s="14" t="s">
        <v>20</v>
      </c>
      <c r="T99" s="42"/>
      <c r="U99" s="177"/>
      <c r="V99" s="178"/>
      <c r="W99" s="179"/>
    </row>
    <row r="100" spans="1:23" ht="14.55" customHeight="1" x14ac:dyDescent="0.3">
      <c r="A100" s="163"/>
      <c r="B100" s="5"/>
      <c r="C100" s="5"/>
      <c r="D100" s="4"/>
      <c r="E100" s="12"/>
      <c r="F100" s="40"/>
      <c r="G100" s="41"/>
      <c r="H100" s="40"/>
      <c r="I100" s="12"/>
      <c r="J100" s="165"/>
      <c r="K100" s="166"/>
      <c r="L100" s="165"/>
      <c r="M100" s="166"/>
      <c r="N100" s="165"/>
      <c r="O100" s="166"/>
      <c r="P100" s="165"/>
      <c r="Q100" s="166"/>
      <c r="R100" s="153"/>
      <c r="S100" s="14" t="s">
        <v>20</v>
      </c>
      <c r="T100" s="42"/>
      <c r="U100" s="177"/>
      <c r="V100" s="178"/>
      <c r="W100" s="179"/>
    </row>
    <row r="101" spans="1:23" ht="14.55" customHeight="1" x14ac:dyDescent="0.3">
      <c r="A101" s="164"/>
      <c r="B101" s="19"/>
      <c r="C101" s="19"/>
      <c r="D101" s="20"/>
      <c r="E101" s="170" t="s">
        <v>0</v>
      </c>
      <c r="F101" s="171"/>
      <c r="G101" s="171"/>
      <c r="H101" s="171"/>
      <c r="I101" s="172"/>
      <c r="J101" s="173">
        <f>SUM(J97:K100)</f>
        <v>0</v>
      </c>
      <c r="K101" s="174"/>
      <c r="L101" s="173">
        <f>SUM(L97:M100)</f>
        <v>0</v>
      </c>
      <c r="M101" s="174"/>
      <c r="N101" s="173">
        <f>SUM(N97:O100)</f>
        <v>0</v>
      </c>
      <c r="O101" s="174"/>
      <c r="P101" s="173">
        <f>SUM(P97:Q100)</f>
        <v>0</v>
      </c>
      <c r="Q101" s="174"/>
      <c r="R101" s="23">
        <f>SUM(R97:R100)</f>
        <v>0</v>
      </c>
      <c r="S101" s="24" t="s">
        <v>20</v>
      </c>
      <c r="T101" s="19"/>
      <c r="U101" s="177"/>
      <c r="V101" s="178"/>
      <c r="W101" s="179"/>
    </row>
    <row r="102" spans="1:23" ht="14.55" customHeight="1" x14ac:dyDescent="0.3">
      <c r="A102" s="27"/>
      <c r="B102" s="27"/>
      <c r="C102" s="27"/>
      <c r="D102" s="27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27"/>
      <c r="S102" s="27"/>
      <c r="T102" s="39"/>
      <c r="U102" s="39"/>
      <c r="V102" s="39"/>
      <c r="W102" s="39"/>
    </row>
    <row r="103" spans="1:23" x14ac:dyDescent="0.3">
      <c r="E103" s="170" t="s">
        <v>585</v>
      </c>
      <c r="F103" s="171"/>
      <c r="G103" s="171"/>
      <c r="H103" s="171"/>
      <c r="I103" s="172"/>
      <c r="J103" s="175" t="s">
        <v>7</v>
      </c>
      <c r="K103" s="176"/>
      <c r="L103" s="175" t="s">
        <v>8</v>
      </c>
      <c r="M103" s="176"/>
      <c r="N103" s="175" t="s">
        <v>9</v>
      </c>
      <c r="O103" s="176"/>
      <c r="P103" s="175" t="s">
        <v>117</v>
      </c>
      <c r="Q103" s="176"/>
    </row>
    <row r="104" spans="1:23" s="2" customFormat="1" x14ac:dyDescent="0.3">
      <c r="E104" s="15"/>
      <c r="F104" s="15"/>
      <c r="G104" s="15"/>
      <c r="H104" s="15"/>
      <c r="I104" s="15"/>
      <c r="J104" s="30">
        <f>SUM(J101,J96)</f>
        <v>2200</v>
      </c>
      <c r="K104" s="31" t="s">
        <v>17</v>
      </c>
      <c r="L104" s="30">
        <f>SUM(L101,L96)</f>
        <v>0</v>
      </c>
      <c r="M104" s="31" t="s">
        <v>17</v>
      </c>
      <c r="N104" s="30">
        <f>SUM(N101,N96)</f>
        <v>0</v>
      </c>
      <c r="O104" s="31" t="s">
        <v>17</v>
      </c>
      <c r="P104" s="30">
        <f>SUM(P101,P96)</f>
        <v>0</v>
      </c>
      <c r="Q104" s="34" t="s">
        <v>17</v>
      </c>
    </row>
    <row r="105" spans="1:23" ht="24.45" customHeight="1" x14ac:dyDescent="0.3">
      <c r="E105" s="28"/>
      <c r="F105" s="28"/>
      <c r="G105" s="28"/>
      <c r="H105" s="28"/>
      <c r="I105" s="28"/>
      <c r="J105" s="167">
        <f>J104+L104+N104+P104</f>
        <v>2200</v>
      </c>
      <c r="K105" s="168"/>
      <c r="L105" s="168"/>
      <c r="M105" s="168"/>
      <c r="N105" s="168"/>
      <c r="O105" s="168"/>
      <c r="P105" s="168"/>
      <c r="Q105" s="169"/>
    </row>
  </sheetData>
  <mergeCells count="398"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  <mergeCell ref="U7:W21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7:Q17"/>
    <mergeCell ref="A7:A21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7:K17"/>
    <mergeCell ref="L17:M17"/>
    <mergeCell ref="N17:O17"/>
    <mergeCell ref="J18:K18"/>
    <mergeCell ref="L18:M18"/>
    <mergeCell ref="N18:O18"/>
    <mergeCell ref="P18:Q18"/>
    <mergeCell ref="J15:K15"/>
    <mergeCell ref="L15:M15"/>
    <mergeCell ref="N15:O15"/>
    <mergeCell ref="P15:Q15"/>
    <mergeCell ref="J16:K16"/>
    <mergeCell ref="L16:M16"/>
    <mergeCell ref="N16:O16"/>
    <mergeCell ref="P16:Q16"/>
    <mergeCell ref="B21:I21"/>
    <mergeCell ref="E23:I23"/>
    <mergeCell ref="J23:K23"/>
    <mergeCell ref="L23:M23"/>
    <mergeCell ref="N23:O23"/>
    <mergeCell ref="P23:Q23"/>
    <mergeCell ref="J19:K19"/>
    <mergeCell ref="L19:M19"/>
    <mergeCell ref="N19:O19"/>
    <mergeCell ref="P19:Q19"/>
    <mergeCell ref="J20:K20"/>
    <mergeCell ref="L20:M20"/>
    <mergeCell ref="N20:O20"/>
    <mergeCell ref="P20:Q20"/>
    <mergeCell ref="J25:Q25"/>
    <mergeCell ref="Q27:S27"/>
    <mergeCell ref="T27:W27"/>
    <mergeCell ref="A28:W28"/>
    <mergeCell ref="A29:A30"/>
    <mergeCell ref="B29:B30"/>
    <mergeCell ref="C29:C30"/>
    <mergeCell ref="D29:D30"/>
    <mergeCell ref="E29:E30"/>
    <mergeCell ref="F29:F30"/>
    <mergeCell ref="U29:W30"/>
    <mergeCell ref="J30:K30"/>
    <mergeCell ref="L30:M30"/>
    <mergeCell ref="N30:O30"/>
    <mergeCell ref="P30:Q30"/>
    <mergeCell ref="R29:S30"/>
    <mergeCell ref="T29:T30"/>
    <mergeCell ref="A31:A33"/>
    <mergeCell ref="J31:K31"/>
    <mergeCell ref="L31:M31"/>
    <mergeCell ref="N31:O31"/>
    <mergeCell ref="P31:Q31"/>
    <mergeCell ref="G29:G30"/>
    <mergeCell ref="H29:H30"/>
    <mergeCell ref="I29:I30"/>
    <mergeCell ref="J29:Q29"/>
    <mergeCell ref="U31:W33"/>
    <mergeCell ref="J32:K32"/>
    <mergeCell ref="L32:M32"/>
    <mergeCell ref="N32:O32"/>
    <mergeCell ref="P32:Q32"/>
    <mergeCell ref="E33:I33"/>
    <mergeCell ref="J33:K33"/>
    <mergeCell ref="L33:M33"/>
    <mergeCell ref="N33:O33"/>
    <mergeCell ref="P33:Q33"/>
    <mergeCell ref="E37:I37"/>
    <mergeCell ref="J37:K37"/>
    <mergeCell ref="L37:M37"/>
    <mergeCell ref="N37:O37"/>
    <mergeCell ref="P37:Q37"/>
    <mergeCell ref="A34:A37"/>
    <mergeCell ref="J34:K34"/>
    <mergeCell ref="L34:M34"/>
    <mergeCell ref="N34:O34"/>
    <mergeCell ref="P34:Q34"/>
    <mergeCell ref="J35:K35"/>
    <mergeCell ref="L35:M35"/>
    <mergeCell ref="N35:O35"/>
    <mergeCell ref="P35:Q35"/>
    <mergeCell ref="U38:W40"/>
    <mergeCell ref="J39:K39"/>
    <mergeCell ref="L39:M39"/>
    <mergeCell ref="N39:O39"/>
    <mergeCell ref="P39:Q39"/>
    <mergeCell ref="J36:K36"/>
    <mergeCell ref="L36:M36"/>
    <mergeCell ref="N36:O36"/>
    <mergeCell ref="P36:Q36"/>
    <mergeCell ref="U34:W37"/>
    <mergeCell ref="E40:I40"/>
    <mergeCell ref="J40:K40"/>
    <mergeCell ref="L40:M40"/>
    <mergeCell ref="N40:O40"/>
    <mergeCell ref="P40:Q40"/>
    <mergeCell ref="A41:A43"/>
    <mergeCell ref="J41:K41"/>
    <mergeCell ref="L41:M41"/>
    <mergeCell ref="N41:O41"/>
    <mergeCell ref="P41:Q41"/>
    <mergeCell ref="A38:A40"/>
    <mergeCell ref="J38:K38"/>
    <mergeCell ref="L38:M38"/>
    <mergeCell ref="N38:O38"/>
    <mergeCell ref="P38:Q38"/>
    <mergeCell ref="E45:I45"/>
    <mergeCell ref="J45:K45"/>
    <mergeCell ref="L45:M45"/>
    <mergeCell ref="N45:O45"/>
    <mergeCell ref="P45:Q45"/>
    <mergeCell ref="J47:Q47"/>
    <mergeCell ref="U41:W43"/>
    <mergeCell ref="J42:K42"/>
    <mergeCell ref="L42:M42"/>
    <mergeCell ref="N42:O42"/>
    <mergeCell ref="P42:Q42"/>
    <mergeCell ref="E43:I43"/>
    <mergeCell ref="J43:K43"/>
    <mergeCell ref="L43:M43"/>
    <mergeCell ref="N43:O43"/>
    <mergeCell ref="P43:Q43"/>
    <mergeCell ref="Q49:S49"/>
    <mergeCell ref="T49:W49"/>
    <mergeCell ref="A50:W50"/>
    <mergeCell ref="A51:A52"/>
    <mergeCell ref="B51:B52"/>
    <mergeCell ref="C51:C52"/>
    <mergeCell ref="D51:D52"/>
    <mergeCell ref="E51:E52"/>
    <mergeCell ref="F51:F52"/>
    <mergeCell ref="G51:G52"/>
    <mergeCell ref="U53:W62"/>
    <mergeCell ref="J54:K54"/>
    <mergeCell ref="L54:M54"/>
    <mergeCell ref="N54:O54"/>
    <mergeCell ref="P54:Q54"/>
    <mergeCell ref="H51:H52"/>
    <mergeCell ref="I51:I52"/>
    <mergeCell ref="J51:Q51"/>
    <mergeCell ref="R51:S52"/>
    <mergeCell ref="T51:T52"/>
    <mergeCell ref="U51:W52"/>
    <mergeCell ref="J52:K52"/>
    <mergeCell ref="L52:M52"/>
    <mergeCell ref="N52:O52"/>
    <mergeCell ref="P52:Q52"/>
    <mergeCell ref="J55:K55"/>
    <mergeCell ref="L55:M55"/>
    <mergeCell ref="N55:O55"/>
    <mergeCell ref="P55:Q55"/>
    <mergeCell ref="J56:K56"/>
    <mergeCell ref="L56:M56"/>
    <mergeCell ref="N56:O56"/>
    <mergeCell ref="P56:Q56"/>
    <mergeCell ref="A53:A62"/>
    <mergeCell ref="J53:K53"/>
    <mergeCell ref="L53:M53"/>
    <mergeCell ref="N53:O53"/>
    <mergeCell ref="P53:Q53"/>
    <mergeCell ref="J59:K59"/>
    <mergeCell ref="L59:M59"/>
    <mergeCell ref="N59:O59"/>
    <mergeCell ref="P59:Q59"/>
    <mergeCell ref="J60:K60"/>
    <mergeCell ref="L60:M60"/>
    <mergeCell ref="N60:O60"/>
    <mergeCell ref="P60:Q60"/>
    <mergeCell ref="J57:K57"/>
    <mergeCell ref="L57:M57"/>
    <mergeCell ref="N57:O57"/>
    <mergeCell ref="P57:Q57"/>
    <mergeCell ref="J58:K58"/>
    <mergeCell ref="L58:M58"/>
    <mergeCell ref="N58:O58"/>
    <mergeCell ref="P58:Q58"/>
    <mergeCell ref="E64:I64"/>
    <mergeCell ref="J64:K64"/>
    <mergeCell ref="L64:M64"/>
    <mergeCell ref="N64:O64"/>
    <mergeCell ref="P64:Q64"/>
    <mergeCell ref="J66:Q66"/>
    <mergeCell ref="J61:K61"/>
    <mergeCell ref="L61:M61"/>
    <mergeCell ref="N61:O61"/>
    <mergeCell ref="P61:Q61"/>
    <mergeCell ref="E62:I62"/>
    <mergeCell ref="J62:K62"/>
    <mergeCell ref="L62:M62"/>
    <mergeCell ref="N62:O62"/>
    <mergeCell ref="P62:Q62"/>
    <mergeCell ref="T70:T71"/>
    <mergeCell ref="U70:W71"/>
    <mergeCell ref="J71:K71"/>
    <mergeCell ref="L71:M71"/>
    <mergeCell ref="N71:O71"/>
    <mergeCell ref="P71:Q71"/>
    <mergeCell ref="Q68:S68"/>
    <mergeCell ref="T68:W68"/>
    <mergeCell ref="A69:W69"/>
    <mergeCell ref="A70:A71"/>
    <mergeCell ref="B70:B71"/>
    <mergeCell ref="C70:C71"/>
    <mergeCell ref="D70:D71"/>
    <mergeCell ref="E70:I71"/>
    <mergeCell ref="J70:Q70"/>
    <mergeCell ref="R70:S71"/>
    <mergeCell ref="N75:O75"/>
    <mergeCell ref="P75:Q75"/>
    <mergeCell ref="E76:I76"/>
    <mergeCell ref="J76:K76"/>
    <mergeCell ref="L76:M76"/>
    <mergeCell ref="N76:O76"/>
    <mergeCell ref="P76:Q76"/>
    <mergeCell ref="U72:W79"/>
    <mergeCell ref="E73:I73"/>
    <mergeCell ref="J73:K73"/>
    <mergeCell ref="L73:M73"/>
    <mergeCell ref="N73:O73"/>
    <mergeCell ref="P73:Q73"/>
    <mergeCell ref="E74:I74"/>
    <mergeCell ref="J74:K74"/>
    <mergeCell ref="L74:M74"/>
    <mergeCell ref="N74:O74"/>
    <mergeCell ref="E72:I72"/>
    <mergeCell ref="J72:K72"/>
    <mergeCell ref="L72:M72"/>
    <mergeCell ref="N72:O72"/>
    <mergeCell ref="P72:Q72"/>
    <mergeCell ref="P74:Q74"/>
    <mergeCell ref="E75:I75"/>
    <mergeCell ref="E79:I79"/>
    <mergeCell ref="J79:K79"/>
    <mergeCell ref="L79:M79"/>
    <mergeCell ref="N79:O79"/>
    <mergeCell ref="P79:Q79"/>
    <mergeCell ref="A80:A83"/>
    <mergeCell ref="E80:I80"/>
    <mergeCell ref="J80:K80"/>
    <mergeCell ref="L80:M80"/>
    <mergeCell ref="N80:O80"/>
    <mergeCell ref="A72:A79"/>
    <mergeCell ref="J75:K75"/>
    <mergeCell ref="L75:M75"/>
    <mergeCell ref="P80:Q80"/>
    <mergeCell ref="E77:I77"/>
    <mergeCell ref="J77:K77"/>
    <mergeCell ref="L77:M77"/>
    <mergeCell ref="N77:O77"/>
    <mergeCell ref="P77:Q77"/>
    <mergeCell ref="E78:I78"/>
    <mergeCell ref="J78:K78"/>
    <mergeCell ref="L78:M78"/>
    <mergeCell ref="N78:O78"/>
    <mergeCell ref="P78:Q78"/>
    <mergeCell ref="U80:W83"/>
    <mergeCell ref="E81:I81"/>
    <mergeCell ref="J81:K81"/>
    <mergeCell ref="L81:M81"/>
    <mergeCell ref="N81:O81"/>
    <mergeCell ref="P81:Q81"/>
    <mergeCell ref="E82:I82"/>
    <mergeCell ref="J82:K82"/>
    <mergeCell ref="L82:M82"/>
    <mergeCell ref="E85:I85"/>
    <mergeCell ref="J85:K85"/>
    <mergeCell ref="L85:M85"/>
    <mergeCell ref="N85:O85"/>
    <mergeCell ref="P85:Q85"/>
    <mergeCell ref="J87:Q87"/>
    <mergeCell ref="N82:O82"/>
    <mergeCell ref="P82:Q82"/>
    <mergeCell ref="E83:I83"/>
    <mergeCell ref="J83:K83"/>
    <mergeCell ref="L83:M83"/>
    <mergeCell ref="N83:O83"/>
    <mergeCell ref="P83:Q83"/>
    <mergeCell ref="Q89:S89"/>
    <mergeCell ref="T89:W89"/>
    <mergeCell ref="A90:W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Q91"/>
    <mergeCell ref="R91:S92"/>
    <mergeCell ref="T91:T92"/>
    <mergeCell ref="U91:W92"/>
    <mergeCell ref="J92:K92"/>
    <mergeCell ref="L92:M92"/>
    <mergeCell ref="N92:O92"/>
    <mergeCell ref="P92:Q92"/>
    <mergeCell ref="E96:I96"/>
    <mergeCell ref="J96:K96"/>
    <mergeCell ref="L96:M96"/>
    <mergeCell ref="N96:O96"/>
    <mergeCell ref="P96:Q96"/>
    <mergeCell ref="A93:A96"/>
    <mergeCell ref="J93:K93"/>
    <mergeCell ref="L93:M93"/>
    <mergeCell ref="N93:O93"/>
    <mergeCell ref="P93:Q93"/>
    <mergeCell ref="J94:K94"/>
    <mergeCell ref="L94:M94"/>
    <mergeCell ref="N94:O94"/>
    <mergeCell ref="P94:Q94"/>
    <mergeCell ref="U97:W101"/>
    <mergeCell ref="J98:K98"/>
    <mergeCell ref="L98:M98"/>
    <mergeCell ref="N98:O98"/>
    <mergeCell ref="P98:Q98"/>
    <mergeCell ref="J95:K95"/>
    <mergeCell ref="L95:M95"/>
    <mergeCell ref="N95:O95"/>
    <mergeCell ref="P95:Q95"/>
    <mergeCell ref="U93:W96"/>
    <mergeCell ref="J99:K99"/>
    <mergeCell ref="L99:M99"/>
    <mergeCell ref="N99:O99"/>
    <mergeCell ref="P99:Q99"/>
    <mergeCell ref="J100:K100"/>
    <mergeCell ref="L100:M100"/>
    <mergeCell ref="N100:O100"/>
    <mergeCell ref="P100:Q100"/>
    <mergeCell ref="A97:A101"/>
    <mergeCell ref="J97:K97"/>
    <mergeCell ref="L97:M97"/>
    <mergeCell ref="N97:O97"/>
    <mergeCell ref="P97:Q97"/>
    <mergeCell ref="J105:Q105"/>
    <mergeCell ref="E101:I101"/>
    <mergeCell ref="J101:K101"/>
    <mergeCell ref="L101:M101"/>
    <mergeCell ref="N101:O101"/>
    <mergeCell ref="P101:Q101"/>
    <mergeCell ref="E103:I103"/>
    <mergeCell ref="J103:K103"/>
    <mergeCell ref="L103:M103"/>
    <mergeCell ref="N103:O103"/>
    <mergeCell ref="P103:Q103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3"/>
  <sheetViews>
    <sheetView topLeftCell="A22" zoomScale="85" zoomScaleNormal="85" workbookViewId="0">
      <selection activeCell="R84" sqref="R84"/>
    </sheetView>
  </sheetViews>
  <sheetFormatPr defaultColWidth="8.88671875" defaultRowHeight="14.4" x14ac:dyDescent="0.3"/>
  <cols>
    <col min="1" max="1" width="12.6640625" style="135" customWidth="1"/>
    <col min="2" max="3" width="7.6640625" style="135" customWidth="1"/>
    <col min="4" max="4" width="8.88671875" style="8" bestFit="1" customWidth="1"/>
    <col min="5" max="5" width="35.6640625" style="135" customWidth="1"/>
    <col min="6" max="6" width="5.6640625" style="135" customWidth="1"/>
    <col min="7" max="9" width="6.6640625" style="13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35" customWidth="1"/>
    <col min="20" max="20" width="21.5546875" style="135" bestFit="1" customWidth="1"/>
    <col min="21" max="23" width="7.6640625" style="135" customWidth="1"/>
    <col min="24" max="16384" width="8.88671875" style="135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45965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250059</v>
      </c>
      <c r="E7" s="12" t="s">
        <v>732</v>
      </c>
      <c r="F7" s="158">
        <v>505</v>
      </c>
      <c r="G7" s="158">
        <v>304</v>
      </c>
      <c r="H7" s="18">
        <v>0.7</v>
      </c>
      <c r="I7" s="158">
        <v>33000</v>
      </c>
      <c r="J7" s="165">
        <v>666</v>
      </c>
      <c r="K7" s="166"/>
      <c r="L7" s="165"/>
      <c r="M7" s="166"/>
      <c r="N7" s="165"/>
      <c r="O7" s="166"/>
      <c r="P7" s="165"/>
      <c r="Q7" s="166"/>
      <c r="R7" s="157">
        <v>10</v>
      </c>
      <c r="S7" s="14" t="s">
        <v>20</v>
      </c>
      <c r="T7" s="42" t="s">
        <v>111</v>
      </c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314</v>
      </c>
      <c r="F8" s="158">
        <v>220</v>
      </c>
      <c r="G8" s="158"/>
      <c r="H8" s="18"/>
      <c r="I8" s="158"/>
      <c r="J8" s="165">
        <v>222</v>
      </c>
      <c r="K8" s="166"/>
      <c r="L8" s="165"/>
      <c r="M8" s="166"/>
      <c r="N8" s="165"/>
      <c r="O8" s="166"/>
      <c r="P8" s="165"/>
      <c r="Q8" s="166"/>
      <c r="R8" s="157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>
        <v>250059</v>
      </c>
      <c r="E9" s="12" t="s">
        <v>508</v>
      </c>
      <c r="F9" s="158">
        <v>433</v>
      </c>
      <c r="G9" s="158"/>
      <c r="H9" s="18"/>
      <c r="I9" s="158"/>
      <c r="J9" s="165">
        <v>672</v>
      </c>
      <c r="K9" s="166"/>
      <c r="L9" s="165"/>
      <c r="M9" s="166"/>
      <c r="N9" s="165"/>
      <c r="O9" s="166"/>
      <c r="P9" s="165"/>
      <c r="Q9" s="166"/>
      <c r="R9" s="157"/>
      <c r="S9" s="14" t="s">
        <v>20</v>
      </c>
      <c r="T9" s="42"/>
      <c r="U9" s="205"/>
      <c r="V9" s="206"/>
      <c r="W9" s="207"/>
    </row>
    <row r="10" spans="1:23" x14ac:dyDescent="0.3">
      <c r="A10" s="181"/>
      <c r="B10" s="5"/>
      <c r="C10" s="5"/>
      <c r="D10" s="4" t="s">
        <v>102</v>
      </c>
      <c r="E10" s="12" t="s">
        <v>733</v>
      </c>
      <c r="F10" s="158">
        <v>362</v>
      </c>
      <c r="G10" s="158"/>
      <c r="H10" s="18"/>
      <c r="I10" s="158"/>
      <c r="J10" s="165">
        <v>224</v>
      </c>
      <c r="K10" s="166"/>
      <c r="L10" s="165"/>
      <c r="M10" s="166"/>
      <c r="N10" s="165"/>
      <c r="O10" s="166"/>
      <c r="P10" s="165"/>
      <c r="Q10" s="166"/>
      <c r="R10" s="157"/>
      <c r="S10" s="14" t="s">
        <v>20</v>
      </c>
      <c r="T10" s="42"/>
      <c r="U10" s="205"/>
      <c r="V10" s="206"/>
      <c r="W10" s="207"/>
    </row>
    <row r="11" spans="1:23" x14ac:dyDescent="0.3">
      <c r="A11" s="181"/>
      <c r="B11" s="5"/>
      <c r="C11" s="5"/>
      <c r="D11" s="4">
        <v>250059</v>
      </c>
      <c r="E11" s="12" t="s">
        <v>507</v>
      </c>
      <c r="F11" s="158">
        <v>319</v>
      </c>
      <c r="G11" s="158"/>
      <c r="H11" s="18"/>
      <c r="I11" s="158"/>
      <c r="J11" s="165">
        <v>675</v>
      </c>
      <c r="K11" s="166"/>
      <c r="L11" s="165"/>
      <c r="M11" s="166"/>
      <c r="N11" s="165"/>
      <c r="O11" s="166"/>
      <c r="P11" s="165"/>
      <c r="Q11" s="166"/>
      <c r="R11" s="157"/>
      <c r="S11" s="14" t="s">
        <v>20</v>
      </c>
      <c r="T11" s="42"/>
      <c r="U11" s="205"/>
      <c r="V11" s="206"/>
      <c r="W11" s="207"/>
    </row>
    <row r="12" spans="1:23" x14ac:dyDescent="0.3">
      <c r="A12" s="181"/>
      <c r="B12" s="5"/>
      <c r="C12" s="5"/>
      <c r="D12" s="4">
        <v>250059</v>
      </c>
      <c r="E12" s="12" t="s">
        <v>316</v>
      </c>
      <c r="F12" s="158">
        <v>318</v>
      </c>
      <c r="G12" s="158"/>
      <c r="H12" s="18"/>
      <c r="I12" s="158"/>
      <c r="J12" s="165">
        <v>700</v>
      </c>
      <c r="K12" s="166"/>
      <c r="L12" s="165"/>
      <c r="M12" s="166"/>
      <c r="N12" s="165"/>
      <c r="O12" s="166"/>
      <c r="P12" s="165"/>
      <c r="Q12" s="166"/>
      <c r="R12" s="157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 t="s">
        <v>102</v>
      </c>
      <c r="E13" s="12" t="s">
        <v>134</v>
      </c>
      <c r="F13" s="158">
        <v>132</v>
      </c>
      <c r="G13" s="158"/>
      <c r="H13" s="18"/>
      <c r="I13" s="158"/>
      <c r="J13" s="165"/>
      <c r="K13" s="166"/>
      <c r="L13" s="165"/>
      <c r="M13" s="166"/>
      <c r="N13" s="165">
        <v>165</v>
      </c>
      <c r="O13" s="166"/>
      <c r="P13" s="165"/>
      <c r="Q13" s="166"/>
      <c r="R13" s="157"/>
      <c r="S13" s="14" t="s">
        <v>20</v>
      </c>
      <c r="T13" s="42"/>
      <c r="U13" s="205"/>
      <c r="V13" s="206"/>
      <c r="W13" s="207"/>
    </row>
    <row r="14" spans="1:23" x14ac:dyDescent="0.3">
      <c r="A14" s="181"/>
      <c r="B14" s="5"/>
      <c r="C14" s="5"/>
      <c r="D14" s="4">
        <v>250059</v>
      </c>
      <c r="E14" s="12" t="s">
        <v>316</v>
      </c>
      <c r="F14" s="158">
        <v>318</v>
      </c>
      <c r="G14" s="158"/>
      <c r="H14" s="18"/>
      <c r="I14" s="158"/>
      <c r="J14" s="165">
        <v>825</v>
      </c>
      <c r="K14" s="166"/>
      <c r="L14" s="165"/>
      <c r="M14" s="166"/>
      <c r="N14" s="165"/>
      <c r="O14" s="166"/>
      <c r="P14" s="165"/>
      <c r="Q14" s="166"/>
      <c r="R14" s="157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 t="s">
        <v>102</v>
      </c>
      <c r="E15" s="12" t="s">
        <v>134</v>
      </c>
      <c r="F15" s="158">
        <v>132</v>
      </c>
      <c r="G15" s="158"/>
      <c r="H15" s="18"/>
      <c r="I15" s="158"/>
      <c r="J15" s="165"/>
      <c r="K15" s="166"/>
      <c r="L15" s="165"/>
      <c r="M15" s="166"/>
      <c r="N15" s="165">
        <v>140</v>
      </c>
      <c r="O15" s="166"/>
      <c r="P15" s="165"/>
      <c r="Q15" s="166"/>
      <c r="R15" s="157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>
        <v>250059</v>
      </c>
      <c r="E16" s="12" t="s">
        <v>132</v>
      </c>
      <c r="F16" s="158">
        <v>277</v>
      </c>
      <c r="G16" s="158"/>
      <c r="H16" s="18"/>
      <c r="I16" s="158"/>
      <c r="J16" s="165">
        <v>360</v>
      </c>
      <c r="K16" s="166"/>
      <c r="L16" s="165"/>
      <c r="M16" s="166"/>
      <c r="N16" s="165"/>
      <c r="O16" s="166"/>
      <c r="P16" s="165"/>
      <c r="Q16" s="166"/>
      <c r="R16" s="157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>
        <v>250058</v>
      </c>
      <c r="E17" s="12" t="s">
        <v>132</v>
      </c>
      <c r="F17" s="158">
        <v>277</v>
      </c>
      <c r="G17" s="158"/>
      <c r="H17" s="18"/>
      <c r="I17" s="158"/>
      <c r="J17" s="165">
        <v>504</v>
      </c>
      <c r="K17" s="166"/>
      <c r="L17" s="165"/>
      <c r="M17" s="166"/>
      <c r="N17" s="165"/>
      <c r="O17" s="166"/>
      <c r="P17" s="165"/>
      <c r="Q17" s="166"/>
      <c r="R17" s="157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>
        <v>250058</v>
      </c>
      <c r="E18" s="12" t="s">
        <v>359</v>
      </c>
      <c r="F18" s="158">
        <v>237</v>
      </c>
      <c r="G18" s="158"/>
      <c r="H18" s="18"/>
      <c r="I18" s="158"/>
      <c r="J18" s="165">
        <v>504</v>
      </c>
      <c r="K18" s="166"/>
      <c r="L18" s="165"/>
      <c r="M18" s="166"/>
      <c r="N18" s="165"/>
      <c r="O18" s="166"/>
      <c r="P18" s="165"/>
      <c r="Q18" s="166"/>
      <c r="R18" s="157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 t="s">
        <v>102</v>
      </c>
      <c r="E19" s="12" t="s">
        <v>446</v>
      </c>
      <c r="F19" s="158">
        <v>198</v>
      </c>
      <c r="G19" s="158"/>
      <c r="H19" s="18"/>
      <c r="I19" s="158"/>
      <c r="J19" s="165">
        <v>84</v>
      </c>
      <c r="K19" s="166"/>
      <c r="L19" s="165"/>
      <c r="M19" s="166"/>
      <c r="N19" s="165"/>
      <c r="O19" s="166"/>
      <c r="P19" s="165"/>
      <c r="Q19" s="166"/>
      <c r="R19" s="157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>
        <v>250059</v>
      </c>
      <c r="E20" s="12" t="s">
        <v>362</v>
      </c>
      <c r="F20" s="158">
        <v>213</v>
      </c>
      <c r="G20" s="158"/>
      <c r="H20" s="18"/>
      <c r="I20" s="158"/>
      <c r="J20" s="165">
        <v>728</v>
      </c>
      <c r="K20" s="166"/>
      <c r="L20" s="165"/>
      <c r="M20" s="166"/>
      <c r="N20" s="165"/>
      <c r="O20" s="166"/>
      <c r="P20" s="165"/>
      <c r="Q20" s="166"/>
      <c r="R20" s="157"/>
      <c r="S20" s="14" t="s">
        <v>20</v>
      </c>
      <c r="T20" s="42"/>
      <c r="U20" s="205"/>
      <c r="V20" s="206"/>
      <c r="W20" s="207"/>
    </row>
    <row r="21" spans="1:23" x14ac:dyDescent="0.3">
      <c r="A21" s="181"/>
      <c r="B21" s="5"/>
      <c r="C21" s="5"/>
      <c r="D21" s="4" t="s">
        <v>102</v>
      </c>
      <c r="E21" s="12" t="s">
        <v>734</v>
      </c>
      <c r="F21" s="158">
        <v>147</v>
      </c>
      <c r="G21" s="158"/>
      <c r="H21" s="18"/>
      <c r="I21" s="158"/>
      <c r="J21" s="165"/>
      <c r="K21" s="166"/>
      <c r="L21" s="165"/>
      <c r="M21" s="166"/>
      <c r="N21" s="165">
        <v>104</v>
      </c>
      <c r="O21" s="166"/>
      <c r="P21" s="165"/>
      <c r="Q21" s="166"/>
      <c r="R21" s="157"/>
      <c r="S21" s="14" t="s">
        <v>20</v>
      </c>
      <c r="T21" s="42"/>
      <c r="U21" s="205"/>
      <c r="V21" s="206"/>
      <c r="W21" s="207"/>
    </row>
    <row r="22" spans="1:23" x14ac:dyDescent="0.3">
      <c r="A22" s="181"/>
      <c r="B22" s="5"/>
      <c r="C22" s="5"/>
      <c r="D22" s="4">
        <v>250058</v>
      </c>
      <c r="E22" s="12" t="s">
        <v>362</v>
      </c>
      <c r="F22" s="158">
        <v>213</v>
      </c>
      <c r="G22" s="158"/>
      <c r="H22" s="18"/>
      <c r="I22" s="158"/>
      <c r="J22" s="165">
        <v>840</v>
      </c>
      <c r="K22" s="166"/>
      <c r="L22" s="165"/>
      <c r="M22" s="166"/>
      <c r="N22" s="165"/>
      <c r="O22" s="166"/>
      <c r="P22" s="165"/>
      <c r="Q22" s="166"/>
      <c r="R22" s="157"/>
      <c r="S22" s="14" t="s">
        <v>20</v>
      </c>
      <c r="T22" s="42"/>
      <c r="U22" s="205"/>
      <c r="V22" s="206"/>
      <c r="W22" s="207"/>
    </row>
    <row r="23" spans="1:23" x14ac:dyDescent="0.3">
      <c r="A23" s="181"/>
      <c r="B23" s="5"/>
      <c r="C23" s="5"/>
      <c r="D23" s="4" t="s">
        <v>102</v>
      </c>
      <c r="E23" s="12" t="s">
        <v>734</v>
      </c>
      <c r="F23" s="158">
        <v>147</v>
      </c>
      <c r="G23" s="158"/>
      <c r="H23" s="18"/>
      <c r="I23" s="158"/>
      <c r="J23" s="165"/>
      <c r="K23" s="166"/>
      <c r="L23" s="165"/>
      <c r="M23" s="166"/>
      <c r="N23" s="165">
        <v>120</v>
      </c>
      <c r="O23" s="166"/>
      <c r="P23" s="165"/>
      <c r="Q23" s="166"/>
      <c r="R23" s="157"/>
      <c r="S23" s="14" t="s">
        <v>20</v>
      </c>
      <c r="T23" s="42"/>
      <c r="U23" s="205"/>
      <c r="V23" s="206"/>
      <c r="W23" s="207"/>
    </row>
    <row r="24" spans="1:23" x14ac:dyDescent="0.3">
      <c r="A24" s="181"/>
      <c r="B24" s="5"/>
      <c r="C24" s="5">
        <v>0.70833333333333337</v>
      </c>
      <c r="D24" s="4">
        <v>250059</v>
      </c>
      <c r="E24" s="12" t="s">
        <v>249</v>
      </c>
      <c r="F24" s="158">
        <v>323</v>
      </c>
      <c r="G24" s="158"/>
      <c r="H24" s="18"/>
      <c r="I24" s="158"/>
      <c r="J24" s="165">
        <v>675</v>
      </c>
      <c r="K24" s="166"/>
      <c r="L24" s="165"/>
      <c r="M24" s="166"/>
      <c r="N24" s="165"/>
      <c r="O24" s="166"/>
      <c r="P24" s="165"/>
      <c r="Q24" s="166"/>
      <c r="R24" s="157"/>
      <c r="S24" s="14" t="s">
        <v>20</v>
      </c>
      <c r="T24" s="42"/>
      <c r="U24" s="205"/>
      <c r="V24" s="206"/>
      <c r="W24" s="207"/>
    </row>
    <row r="25" spans="1:23" x14ac:dyDescent="0.3">
      <c r="A25" s="181"/>
      <c r="B25" s="5"/>
      <c r="C25" s="5"/>
      <c r="D25" s="4"/>
      <c r="E25" s="12"/>
      <c r="F25" s="158"/>
      <c r="G25" s="158"/>
      <c r="H25" s="18"/>
      <c r="I25" s="158"/>
      <c r="J25" s="165"/>
      <c r="K25" s="166"/>
      <c r="L25" s="165"/>
      <c r="M25" s="166"/>
      <c r="N25" s="165"/>
      <c r="O25" s="166"/>
      <c r="P25" s="165"/>
      <c r="Q25" s="166"/>
      <c r="R25" s="157"/>
      <c r="S25" s="14" t="s">
        <v>20</v>
      </c>
      <c r="T25" s="42"/>
      <c r="U25" s="205"/>
      <c r="V25" s="206"/>
      <c r="W25" s="207"/>
    </row>
    <row r="26" spans="1:23" x14ac:dyDescent="0.3">
      <c r="A26" s="181"/>
      <c r="B26" s="5"/>
      <c r="C26" s="5"/>
      <c r="D26" s="4"/>
      <c r="E26" s="12"/>
      <c r="F26" s="158"/>
      <c r="G26" s="158"/>
      <c r="H26" s="18"/>
      <c r="I26" s="158"/>
      <c r="J26" s="165"/>
      <c r="K26" s="166"/>
      <c r="L26" s="165"/>
      <c r="M26" s="166"/>
      <c r="N26" s="165"/>
      <c r="O26" s="166"/>
      <c r="P26" s="165"/>
      <c r="Q26" s="166"/>
      <c r="R26" s="157"/>
      <c r="S26" s="14" t="s">
        <v>20</v>
      </c>
      <c r="T26" s="42"/>
      <c r="U26" s="205"/>
      <c r="V26" s="206"/>
      <c r="W26" s="207"/>
    </row>
    <row r="27" spans="1:23" x14ac:dyDescent="0.3">
      <c r="A27" s="182"/>
      <c r="B27" s="170" t="s">
        <v>0</v>
      </c>
      <c r="C27" s="171"/>
      <c r="D27" s="171"/>
      <c r="E27" s="171"/>
      <c r="F27" s="171"/>
      <c r="G27" s="171"/>
      <c r="H27" s="171"/>
      <c r="I27" s="172"/>
      <c r="J27" s="21">
        <f>SUM(J7:K26)</f>
        <v>7679</v>
      </c>
      <c r="K27" s="22" t="s">
        <v>17</v>
      </c>
      <c r="L27" s="21">
        <f>SUM(L7:M26)</f>
        <v>0</v>
      </c>
      <c r="M27" s="22" t="s">
        <v>17</v>
      </c>
      <c r="N27" s="21">
        <f>SUM(N7:O26)</f>
        <v>529</v>
      </c>
      <c r="O27" s="22" t="s">
        <v>17</v>
      </c>
      <c r="P27" s="21">
        <f>SUM(P7:Q26)</f>
        <v>0</v>
      </c>
      <c r="Q27" s="22" t="s">
        <v>17</v>
      </c>
      <c r="R27" s="23">
        <f>SUM(R7:R26)</f>
        <v>10</v>
      </c>
      <c r="S27" s="24" t="s">
        <v>20</v>
      </c>
      <c r="T27" s="19"/>
      <c r="U27" s="208"/>
      <c r="V27" s="209"/>
      <c r="W27" s="210"/>
    </row>
    <row r="28" spans="1:23" ht="14.55" customHeight="1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spans="1:23" ht="14.55" customHeight="1" x14ac:dyDescent="0.3">
      <c r="A29" s="27"/>
      <c r="B29" s="27"/>
      <c r="C29" s="27"/>
      <c r="D29" s="27"/>
      <c r="E29" s="170" t="s">
        <v>27</v>
      </c>
      <c r="F29" s="171"/>
      <c r="G29" s="171"/>
      <c r="H29" s="171"/>
      <c r="I29" s="172"/>
      <c r="J29" s="175" t="s">
        <v>7</v>
      </c>
      <c r="K29" s="176"/>
      <c r="L29" s="175" t="s">
        <v>8</v>
      </c>
      <c r="M29" s="176"/>
      <c r="N29" s="175" t="s">
        <v>9</v>
      </c>
      <c r="O29" s="176"/>
      <c r="P29" s="175" t="s">
        <v>117</v>
      </c>
      <c r="Q29" s="176"/>
      <c r="R29" s="27"/>
      <c r="S29" s="27"/>
    </row>
    <row r="30" spans="1:23" ht="14.55" customHeight="1" x14ac:dyDescent="0.3">
      <c r="A30" s="27"/>
      <c r="B30" s="27"/>
      <c r="C30" s="27"/>
      <c r="D30" s="27"/>
      <c r="E30" s="15"/>
      <c r="F30" s="15"/>
      <c r="G30" s="15"/>
      <c r="H30" s="15"/>
      <c r="I30" s="15"/>
      <c r="J30" s="30">
        <f>J27</f>
        <v>7679</v>
      </c>
      <c r="K30" s="31" t="s">
        <v>17</v>
      </c>
      <c r="L30" s="32">
        <f>L27</f>
        <v>0</v>
      </c>
      <c r="M30" s="31" t="s">
        <v>17</v>
      </c>
      <c r="N30" s="32">
        <f>N27</f>
        <v>529</v>
      </c>
      <c r="O30" s="31" t="s">
        <v>17</v>
      </c>
      <c r="P30" s="33">
        <f>P27</f>
        <v>0</v>
      </c>
      <c r="Q30" s="34" t="s">
        <v>17</v>
      </c>
      <c r="R30" s="27"/>
      <c r="S30" s="27"/>
    </row>
    <row r="31" spans="1:23" ht="30" customHeight="1" x14ac:dyDescent="0.3">
      <c r="A31" s="27"/>
      <c r="B31" s="27"/>
      <c r="C31" s="27"/>
      <c r="D31" s="27"/>
      <c r="E31" s="28"/>
      <c r="F31" s="28"/>
      <c r="G31" s="28"/>
      <c r="H31" s="28"/>
      <c r="I31" s="28"/>
      <c r="J31" s="167">
        <f>J30+L30+N30+P30</f>
        <v>8208</v>
      </c>
      <c r="K31" s="168"/>
      <c r="L31" s="168"/>
      <c r="M31" s="168"/>
      <c r="N31" s="168"/>
      <c r="O31" s="168"/>
      <c r="P31" s="168"/>
      <c r="Q31" s="169"/>
      <c r="R31" s="27"/>
      <c r="S31" s="27"/>
    </row>
    <row r="32" spans="1:23" ht="14.55" customHeight="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spans="1:23" s="37" customFormat="1" ht="19.95" customHeight="1" x14ac:dyDescent="0.4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183" t="s">
        <v>14</v>
      </c>
      <c r="R33" s="183"/>
      <c r="S33" s="183"/>
      <c r="T33" s="184">
        <f>T3</f>
        <v>45965</v>
      </c>
      <c r="U33" s="185"/>
      <c r="V33" s="185"/>
      <c r="W33" s="186"/>
    </row>
    <row r="34" spans="1:23" s="16" customFormat="1" ht="30" customHeight="1" x14ac:dyDescent="0.3">
      <c r="A34" s="187" t="s">
        <v>29</v>
      </c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9"/>
      <c r="Q34" s="189"/>
      <c r="R34" s="189"/>
      <c r="S34" s="189"/>
      <c r="T34" s="188"/>
      <c r="U34" s="188"/>
      <c r="V34" s="188"/>
      <c r="W34" s="190"/>
    </row>
    <row r="35" spans="1:23" s="26" customFormat="1" ht="13.8" x14ac:dyDescent="0.3">
      <c r="A35" s="191" t="s">
        <v>1</v>
      </c>
      <c r="B35" s="192" t="s">
        <v>2</v>
      </c>
      <c r="C35" s="192" t="s">
        <v>3</v>
      </c>
      <c r="D35" s="192" t="s">
        <v>4</v>
      </c>
      <c r="E35" s="193" t="s">
        <v>5</v>
      </c>
      <c r="F35" s="195" t="s">
        <v>21</v>
      </c>
      <c r="G35" s="195" t="s">
        <v>22</v>
      </c>
      <c r="H35" s="195" t="s">
        <v>33</v>
      </c>
      <c r="I35" s="195" t="s">
        <v>30</v>
      </c>
      <c r="J35" s="193" t="s">
        <v>6</v>
      </c>
      <c r="K35" s="197"/>
      <c r="L35" s="197"/>
      <c r="M35" s="197"/>
      <c r="N35" s="197"/>
      <c r="O35" s="197"/>
      <c r="P35" s="197"/>
      <c r="Q35" s="198"/>
      <c r="R35" s="193" t="s">
        <v>10</v>
      </c>
      <c r="S35" s="198"/>
      <c r="T35" s="191" t="s">
        <v>11</v>
      </c>
      <c r="U35" s="191" t="s">
        <v>12</v>
      </c>
      <c r="V35" s="191"/>
      <c r="W35" s="191"/>
    </row>
    <row r="36" spans="1:23" s="26" customFormat="1" ht="13.8" x14ac:dyDescent="0.3">
      <c r="A36" s="191"/>
      <c r="B36" s="192"/>
      <c r="C36" s="192"/>
      <c r="D36" s="192"/>
      <c r="E36" s="194"/>
      <c r="F36" s="196"/>
      <c r="G36" s="196"/>
      <c r="H36" s="196"/>
      <c r="I36" s="196"/>
      <c r="J36" s="200" t="s">
        <v>7</v>
      </c>
      <c r="K36" s="201"/>
      <c r="L36" s="200" t="s">
        <v>8</v>
      </c>
      <c r="M36" s="201"/>
      <c r="N36" s="200" t="s">
        <v>9</v>
      </c>
      <c r="O36" s="201"/>
      <c r="P36" s="200" t="s">
        <v>117</v>
      </c>
      <c r="Q36" s="201"/>
      <c r="R36" s="194"/>
      <c r="S36" s="199"/>
      <c r="T36" s="191"/>
      <c r="U36" s="191"/>
      <c r="V36" s="191"/>
      <c r="W36" s="191"/>
    </row>
    <row r="37" spans="1:23" ht="14.55" customHeight="1" x14ac:dyDescent="0.3">
      <c r="A37" s="180" t="s">
        <v>32</v>
      </c>
      <c r="B37" s="5">
        <v>0.33333333333333331</v>
      </c>
      <c r="C37" s="5"/>
      <c r="D37" s="4">
        <v>250082</v>
      </c>
      <c r="E37" s="12" t="s">
        <v>735</v>
      </c>
      <c r="F37" s="40">
        <v>304</v>
      </c>
      <c r="G37" s="41">
        <v>0.7</v>
      </c>
      <c r="H37" s="40">
        <v>577</v>
      </c>
      <c r="I37" s="12">
        <v>8</v>
      </c>
      <c r="J37" s="165">
        <v>170</v>
      </c>
      <c r="K37" s="166"/>
      <c r="L37" s="165"/>
      <c r="M37" s="166"/>
      <c r="N37" s="165"/>
      <c r="O37" s="166"/>
      <c r="P37" s="165"/>
      <c r="Q37" s="166"/>
      <c r="R37" s="157">
        <v>30</v>
      </c>
      <c r="S37" s="14" t="s">
        <v>20</v>
      </c>
      <c r="T37" s="42" t="s">
        <v>93</v>
      </c>
      <c r="U37" s="177"/>
      <c r="V37" s="178"/>
      <c r="W37" s="179"/>
    </row>
    <row r="38" spans="1:23" ht="14.55" customHeight="1" x14ac:dyDescent="0.3">
      <c r="A38" s="181"/>
      <c r="B38" s="5"/>
      <c r="C38" s="5">
        <v>0.70833333333333337</v>
      </c>
      <c r="D38" s="4">
        <v>250082</v>
      </c>
      <c r="E38" s="12" t="s">
        <v>736</v>
      </c>
      <c r="F38" s="40">
        <v>304</v>
      </c>
      <c r="G38" s="41">
        <v>0.6</v>
      </c>
      <c r="H38" s="40">
        <v>653</v>
      </c>
      <c r="I38" s="12">
        <v>8</v>
      </c>
      <c r="J38" s="165">
        <v>750</v>
      </c>
      <c r="K38" s="166"/>
      <c r="L38" s="165"/>
      <c r="M38" s="166"/>
      <c r="N38" s="165"/>
      <c r="O38" s="166"/>
      <c r="P38" s="165"/>
      <c r="Q38" s="166"/>
      <c r="R38" s="157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82"/>
      <c r="B39" s="19"/>
      <c r="C39" s="19"/>
      <c r="D39" s="20"/>
      <c r="E39" s="170" t="s">
        <v>0</v>
      </c>
      <c r="F39" s="171"/>
      <c r="G39" s="171"/>
      <c r="H39" s="171"/>
      <c r="I39" s="172"/>
      <c r="J39" s="173">
        <f>SUM(J37:K38)</f>
        <v>920</v>
      </c>
      <c r="K39" s="174"/>
      <c r="L39" s="173">
        <f>SUM(L37:M38)</f>
        <v>0</v>
      </c>
      <c r="M39" s="174"/>
      <c r="N39" s="173">
        <f>SUM(N37:O38)</f>
        <v>0</v>
      </c>
      <c r="O39" s="174"/>
      <c r="P39" s="173">
        <f>SUM(P37:Q38)</f>
        <v>0</v>
      </c>
      <c r="Q39" s="174"/>
      <c r="R39" s="23">
        <f>SUM(R37:R38)</f>
        <v>30</v>
      </c>
      <c r="S39" s="24" t="s">
        <v>20</v>
      </c>
      <c r="T39" s="19"/>
      <c r="U39" s="177"/>
      <c r="V39" s="178"/>
      <c r="W39" s="179"/>
    </row>
    <row r="40" spans="1:23" ht="14.55" customHeight="1" x14ac:dyDescent="0.3">
      <c r="A40" s="163" t="s">
        <v>34</v>
      </c>
      <c r="B40" s="5">
        <v>0.33333333333333331</v>
      </c>
      <c r="C40" s="5"/>
      <c r="D40" s="4">
        <v>250080</v>
      </c>
      <c r="E40" s="12" t="s">
        <v>373</v>
      </c>
      <c r="F40" s="40">
        <v>304</v>
      </c>
      <c r="G40" s="41">
        <v>0.6</v>
      </c>
      <c r="H40" s="40">
        <v>427</v>
      </c>
      <c r="I40" s="12">
        <v>5</v>
      </c>
      <c r="J40" s="165">
        <v>200</v>
      </c>
      <c r="K40" s="166"/>
      <c r="L40" s="165"/>
      <c r="M40" s="166"/>
      <c r="N40" s="165"/>
      <c r="O40" s="166"/>
      <c r="P40" s="165"/>
      <c r="Q40" s="166"/>
      <c r="R40" s="157">
        <v>30</v>
      </c>
      <c r="S40" s="14" t="s">
        <v>20</v>
      </c>
      <c r="T40" s="42" t="s">
        <v>93</v>
      </c>
      <c r="U40" s="177"/>
      <c r="V40" s="178"/>
      <c r="W40" s="179"/>
    </row>
    <row r="41" spans="1:23" ht="14.55" customHeight="1" x14ac:dyDescent="0.3">
      <c r="A41" s="163"/>
      <c r="B41" s="5"/>
      <c r="C41" s="5"/>
      <c r="D41" s="4">
        <v>250060</v>
      </c>
      <c r="E41" s="12" t="s">
        <v>737</v>
      </c>
      <c r="F41" s="40">
        <v>304</v>
      </c>
      <c r="G41" s="41">
        <v>0.8</v>
      </c>
      <c r="H41" s="40">
        <v>388</v>
      </c>
      <c r="I41" s="12">
        <v>5</v>
      </c>
      <c r="J41" s="165">
        <v>500</v>
      </c>
      <c r="K41" s="166"/>
      <c r="L41" s="165"/>
      <c r="M41" s="166"/>
      <c r="N41" s="165"/>
      <c r="O41" s="166"/>
      <c r="P41" s="165"/>
      <c r="Q41" s="166"/>
      <c r="R41" s="157"/>
      <c r="S41" s="14" t="s">
        <v>20</v>
      </c>
      <c r="T41" s="42"/>
      <c r="U41" s="177"/>
      <c r="V41" s="178"/>
      <c r="W41" s="179"/>
    </row>
    <row r="42" spans="1:23" ht="14.55" customHeight="1" x14ac:dyDescent="0.3">
      <c r="A42" s="163"/>
      <c r="B42" s="5"/>
      <c r="C42" s="5"/>
      <c r="D42" s="4" t="s">
        <v>516</v>
      </c>
      <c r="E42" s="12" t="s">
        <v>738</v>
      </c>
      <c r="F42" s="40">
        <v>304</v>
      </c>
      <c r="G42" s="41">
        <v>0.7</v>
      </c>
      <c r="H42" s="40">
        <v>265</v>
      </c>
      <c r="I42" s="12">
        <v>3</v>
      </c>
      <c r="J42" s="165">
        <v>800</v>
      </c>
      <c r="K42" s="166"/>
      <c r="L42" s="165"/>
      <c r="M42" s="166"/>
      <c r="N42" s="165"/>
      <c r="O42" s="166"/>
      <c r="P42" s="165"/>
      <c r="Q42" s="166"/>
      <c r="R42" s="157">
        <v>30</v>
      </c>
      <c r="S42" s="14" t="s">
        <v>20</v>
      </c>
      <c r="T42" s="42" t="s">
        <v>93</v>
      </c>
      <c r="U42" s="177"/>
      <c r="V42" s="178"/>
      <c r="W42" s="179"/>
    </row>
    <row r="43" spans="1:23" ht="14.55" customHeight="1" x14ac:dyDescent="0.3">
      <c r="A43" s="163"/>
      <c r="B43" s="5"/>
      <c r="C43" s="5">
        <v>0.70833333333333337</v>
      </c>
      <c r="D43" s="4">
        <v>250058</v>
      </c>
      <c r="E43" s="12" t="s">
        <v>373</v>
      </c>
      <c r="F43" s="40">
        <v>304</v>
      </c>
      <c r="G43" s="41">
        <v>0.7</v>
      </c>
      <c r="H43" s="40">
        <v>427</v>
      </c>
      <c r="I43" s="12">
        <v>3</v>
      </c>
      <c r="J43" s="165">
        <v>500</v>
      </c>
      <c r="K43" s="166"/>
      <c r="L43" s="165"/>
      <c r="M43" s="166"/>
      <c r="N43" s="165"/>
      <c r="O43" s="166"/>
      <c r="P43" s="165"/>
      <c r="Q43" s="166"/>
      <c r="R43" s="157"/>
      <c r="S43" s="14" t="s">
        <v>20</v>
      </c>
      <c r="T43" s="42"/>
      <c r="U43" s="177"/>
      <c r="V43" s="178"/>
      <c r="W43" s="179"/>
    </row>
    <row r="44" spans="1:23" ht="14.55" customHeight="1" x14ac:dyDescent="0.3">
      <c r="A44" s="163"/>
      <c r="B44" s="5"/>
      <c r="C44" s="5"/>
      <c r="D44" s="4"/>
      <c r="E44" s="12"/>
      <c r="F44" s="40"/>
      <c r="G44" s="41"/>
      <c r="H44" s="40"/>
      <c r="I44" s="12"/>
      <c r="J44" s="165"/>
      <c r="K44" s="166"/>
      <c r="L44" s="165"/>
      <c r="M44" s="166"/>
      <c r="N44" s="165"/>
      <c r="O44" s="166"/>
      <c r="P44" s="165"/>
      <c r="Q44" s="166"/>
      <c r="R44" s="157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4"/>
      <c r="B45" s="19"/>
      <c r="C45" s="19"/>
      <c r="D45" s="20"/>
      <c r="E45" s="170" t="s">
        <v>0</v>
      </c>
      <c r="F45" s="171"/>
      <c r="G45" s="171"/>
      <c r="H45" s="171"/>
      <c r="I45" s="172"/>
      <c r="J45" s="173">
        <f>SUM(J40:K44)</f>
        <v>2000</v>
      </c>
      <c r="K45" s="174"/>
      <c r="L45" s="173">
        <f>SUM(L40:M44)</f>
        <v>0</v>
      </c>
      <c r="M45" s="174"/>
      <c r="N45" s="173">
        <f>SUM(N40:O44)</f>
        <v>0</v>
      </c>
      <c r="O45" s="174"/>
      <c r="P45" s="173">
        <f>SUM(P40:Q44)</f>
        <v>0</v>
      </c>
      <c r="Q45" s="174"/>
      <c r="R45" s="23">
        <f>SUM(R40:R44)</f>
        <v>60</v>
      </c>
      <c r="S45" s="24" t="s">
        <v>20</v>
      </c>
      <c r="T45" s="19"/>
      <c r="U45" s="177"/>
      <c r="V45" s="178"/>
      <c r="W45" s="179"/>
    </row>
    <row r="46" spans="1:23" ht="14.55" customHeight="1" x14ac:dyDescent="0.3">
      <c r="A46" s="163" t="s">
        <v>583</v>
      </c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157"/>
      <c r="S46" s="14" t="s">
        <v>20</v>
      </c>
      <c r="T46" s="42"/>
      <c r="U46" s="177"/>
      <c r="V46" s="178"/>
      <c r="W46" s="179"/>
    </row>
    <row r="47" spans="1:23" ht="14.55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157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4"/>
      <c r="B48" s="19"/>
      <c r="C48" s="19"/>
      <c r="D48" s="20"/>
      <c r="E48" s="170" t="s">
        <v>0</v>
      </c>
      <c r="F48" s="171"/>
      <c r="G48" s="171"/>
      <c r="H48" s="171"/>
      <c r="I48" s="172"/>
      <c r="J48" s="173">
        <f>SUM(J46:K47)</f>
        <v>0</v>
      </c>
      <c r="K48" s="174"/>
      <c r="L48" s="173">
        <f>SUM(L46:M47)</f>
        <v>0</v>
      </c>
      <c r="M48" s="174"/>
      <c r="N48" s="173">
        <f>SUM(N46:O47)</f>
        <v>0</v>
      </c>
      <c r="O48" s="174"/>
      <c r="P48" s="173">
        <f>SUM(P46:Q47)</f>
        <v>0</v>
      </c>
      <c r="Q48" s="174"/>
      <c r="R48" s="23">
        <f>SUM(R46:R47)</f>
        <v>0</v>
      </c>
      <c r="S48" s="24" t="s">
        <v>20</v>
      </c>
      <c r="T48" s="19"/>
      <c r="U48" s="177"/>
      <c r="V48" s="178"/>
      <c r="W48" s="179"/>
    </row>
    <row r="49" spans="1:23" ht="14.55" customHeight="1" x14ac:dyDescent="0.3">
      <c r="A49" s="163" t="s">
        <v>35</v>
      </c>
      <c r="B49" s="5">
        <v>0.33333333333333331</v>
      </c>
      <c r="C49" s="5">
        <v>0.70833333333333337</v>
      </c>
      <c r="D49" s="4">
        <v>311025</v>
      </c>
      <c r="E49" s="12" t="s">
        <v>730</v>
      </c>
      <c r="F49" s="40">
        <v>304</v>
      </c>
      <c r="G49" s="41">
        <v>0.9</v>
      </c>
      <c r="H49" s="40">
        <v>327</v>
      </c>
      <c r="I49" s="12"/>
      <c r="J49" s="165"/>
      <c r="K49" s="166"/>
      <c r="L49" s="165"/>
      <c r="M49" s="166"/>
      <c r="N49" s="165">
        <v>2000</v>
      </c>
      <c r="O49" s="166"/>
      <c r="P49" s="165"/>
      <c r="Q49" s="166"/>
      <c r="R49" s="157"/>
      <c r="S49" s="14" t="s">
        <v>20</v>
      </c>
      <c r="T49" s="42"/>
      <c r="U49" s="177"/>
      <c r="V49" s="178"/>
      <c r="W49" s="179"/>
    </row>
    <row r="50" spans="1:23" ht="14.55" customHeight="1" x14ac:dyDescent="0.3">
      <c r="A50" s="163"/>
      <c r="B50" s="5"/>
      <c r="C50" s="5"/>
      <c r="D50" s="4"/>
      <c r="E50" s="12"/>
      <c r="F50" s="40"/>
      <c r="G50" s="41"/>
      <c r="H50" s="40"/>
      <c r="I50" s="12"/>
      <c r="J50" s="165"/>
      <c r="K50" s="166"/>
      <c r="L50" s="165"/>
      <c r="M50" s="166"/>
      <c r="N50" s="165"/>
      <c r="O50" s="166"/>
      <c r="P50" s="165"/>
      <c r="Q50" s="166"/>
      <c r="R50" s="157"/>
      <c r="S50" s="14" t="s">
        <v>20</v>
      </c>
      <c r="T50" s="42"/>
      <c r="U50" s="177"/>
      <c r="V50" s="178"/>
      <c r="W50" s="179"/>
    </row>
    <row r="51" spans="1:23" ht="14.55" customHeight="1" x14ac:dyDescent="0.3">
      <c r="A51" s="164"/>
      <c r="B51" s="19"/>
      <c r="C51" s="19"/>
      <c r="D51" s="20"/>
      <c r="E51" s="170" t="s">
        <v>0</v>
      </c>
      <c r="F51" s="171"/>
      <c r="G51" s="171"/>
      <c r="H51" s="171"/>
      <c r="I51" s="172"/>
      <c r="J51" s="173">
        <f>SUM(J49:K50)</f>
        <v>0</v>
      </c>
      <c r="K51" s="174"/>
      <c r="L51" s="173">
        <f>SUM(L49:M50)</f>
        <v>0</v>
      </c>
      <c r="M51" s="174"/>
      <c r="N51" s="173">
        <f>SUM(N49:O50)</f>
        <v>2000</v>
      </c>
      <c r="O51" s="174"/>
      <c r="P51" s="173">
        <f>SUM(P49:Q50)</f>
        <v>0</v>
      </c>
      <c r="Q51" s="174"/>
      <c r="R51" s="23">
        <f>SUM(R49:R50)</f>
        <v>0</v>
      </c>
      <c r="S51" s="24" t="s">
        <v>20</v>
      </c>
      <c r="T51" s="19"/>
      <c r="U51" s="177"/>
      <c r="V51" s="178"/>
      <c r="W51" s="179"/>
    </row>
    <row r="52" spans="1:23" ht="14.55" customHeight="1" x14ac:dyDescent="0.3">
      <c r="A52" s="27"/>
      <c r="B52" s="27"/>
      <c r="C52" s="27"/>
      <c r="D52" s="27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27"/>
      <c r="S52" s="27"/>
      <c r="T52" s="39"/>
      <c r="U52" s="39"/>
      <c r="V52" s="39"/>
      <c r="W52" s="39"/>
    </row>
    <row r="53" spans="1:23" x14ac:dyDescent="0.3">
      <c r="E53" s="170" t="s">
        <v>31</v>
      </c>
      <c r="F53" s="171"/>
      <c r="G53" s="171"/>
      <c r="H53" s="171"/>
      <c r="I53" s="172"/>
      <c r="J53" s="175" t="s">
        <v>7</v>
      </c>
      <c r="K53" s="176"/>
      <c r="L53" s="175" t="s">
        <v>8</v>
      </c>
      <c r="M53" s="176"/>
      <c r="N53" s="175" t="s">
        <v>9</v>
      </c>
      <c r="O53" s="176"/>
      <c r="P53" s="175" t="s">
        <v>117</v>
      </c>
      <c r="Q53" s="176"/>
    </row>
    <row r="54" spans="1:23" s="2" customFormat="1" x14ac:dyDescent="0.3">
      <c r="E54" s="15"/>
      <c r="F54" s="15"/>
      <c r="G54" s="15"/>
      <c r="H54" s="15"/>
      <c r="I54" s="15"/>
      <c r="J54" s="30">
        <f>J39+J45+J48+J51</f>
        <v>2920</v>
      </c>
      <c r="K54" s="31" t="s">
        <v>17</v>
      </c>
      <c r="L54" s="30">
        <f>L39+L45+L48+L51</f>
        <v>0</v>
      </c>
      <c r="M54" s="31" t="s">
        <v>17</v>
      </c>
      <c r="N54" s="30">
        <f>N39+N45+N48+N51</f>
        <v>2000</v>
      </c>
      <c r="O54" s="31" t="s">
        <v>17</v>
      </c>
      <c r="P54" s="30">
        <f>P39+P45+P48+P51</f>
        <v>0</v>
      </c>
      <c r="Q54" s="34" t="s">
        <v>17</v>
      </c>
    </row>
    <row r="55" spans="1:23" ht="24.45" customHeight="1" x14ac:dyDescent="0.3">
      <c r="E55" s="28"/>
      <c r="F55" s="28"/>
      <c r="G55" s="28"/>
      <c r="H55" s="28"/>
      <c r="I55" s="28"/>
      <c r="J55" s="167">
        <f>J54+L54+N54+P54</f>
        <v>4920</v>
      </c>
      <c r="K55" s="168"/>
      <c r="L55" s="168"/>
      <c r="M55" s="168"/>
      <c r="N55" s="168"/>
      <c r="O55" s="168"/>
      <c r="P55" s="168"/>
      <c r="Q55" s="169"/>
    </row>
    <row r="56" spans="1:23" ht="14.55" customHeight="1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</row>
    <row r="57" spans="1:23" s="37" customFormat="1" ht="19.95" customHeight="1" x14ac:dyDescent="0.4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183" t="s">
        <v>14</v>
      </c>
      <c r="R57" s="183"/>
      <c r="S57" s="183"/>
      <c r="T57" s="184">
        <f>T3</f>
        <v>45965</v>
      </c>
      <c r="U57" s="185"/>
      <c r="V57" s="185"/>
      <c r="W57" s="186"/>
    </row>
    <row r="58" spans="1:23" s="16" customFormat="1" ht="30" customHeight="1" x14ac:dyDescent="0.3">
      <c r="A58" s="187" t="s">
        <v>586</v>
      </c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9"/>
      <c r="Q58" s="189"/>
      <c r="R58" s="189"/>
      <c r="S58" s="189"/>
      <c r="T58" s="188"/>
      <c r="U58" s="188"/>
      <c r="V58" s="188"/>
      <c r="W58" s="190"/>
    </row>
    <row r="59" spans="1:23" s="26" customFormat="1" ht="13.8" x14ac:dyDescent="0.3">
      <c r="A59" s="191" t="s">
        <v>1</v>
      </c>
      <c r="B59" s="192" t="s">
        <v>2</v>
      </c>
      <c r="C59" s="192" t="s">
        <v>3</v>
      </c>
      <c r="D59" s="192" t="s">
        <v>4</v>
      </c>
      <c r="E59" s="193" t="s">
        <v>5</v>
      </c>
      <c r="F59" s="195" t="s">
        <v>21</v>
      </c>
      <c r="G59" s="195" t="s">
        <v>22</v>
      </c>
      <c r="H59" s="195" t="s">
        <v>33</v>
      </c>
      <c r="I59" s="195" t="s">
        <v>30</v>
      </c>
      <c r="J59" s="193" t="s">
        <v>6</v>
      </c>
      <c r="K59" s="197"/>
      <c r="L59" s="197"/>
      <c r="M59" s="197"/>
      <c r="N59" s="197"/>
      <c r="O59" s="197"/>
      <c r="P59" s="197"/>
      <c r="Q59" s="198"/>
      <c r="R59" s="193" t="s">
        <v>10</v>
      </c>
      <c r="S59" s="198"/>
      <c r="T59" s="191" t="s">
        <v>11</v>
      </c>
      <c r="U59" s="191" t="s">
        <v>12</v>
      </c>
      <c r="V59" s="191"/>
      <c r="W59" s="191"/>
    </row>
    <row r="60" spans="1:23" s="26" customFormat="1" ht="13.8" x14ac:dyDescent="0.3">
      <c r="A60" s="191"/>
      <c r="B60" s="192"/>
      <c r="C60" s="192"/>
      <c r="D60" s="192"/>
      <c r="E60" s="194"/>
      <c r="F60" s="196"/>
      <c r="G60" s="196"/>
      <c r="H60" s="196"/>
      <c r="I60" s="196"/>
      <c r="J60" s="200" t="s">
        <v>7</v>
      </c>
      <c r="K60" s="201"/>
      <c r="L60" s="200" t="s">
        <v>8</v>
      </c>
      <c r="M60" s="201"/>
      <c r="N60" s="200" t="s">
        <v>9</v>
      </c>
      <c r="O60" s="201"/>
      <c r="P60" s="200" t="s">
        <v>117</v>
      </c>
      <c r="Q60" s="201"/>
      <c r="R60" s="194"/>
      <c r="S60" s="199"/>
      <c r="T60" s="191"/>
      <c r="U60" s="191"/>
      <c r="V60" s="191"/>
      <c r="W60" s="191"/>
    </row>
    <row r="61" spans="1:23" ht="14.55" customHeight="1" x14ac:dyDescent="0.3">
      <c r="A61" s="180" t="s">
        <v>584</v>
      </c>
      <c r="B61" s="5">
        <v>0.33333333333333331</v>
      </c>
      <c r="C61" s="5">
        <v>0.70833333333333337</v>
      </c>
      <c r="D61" s="4"/>
      <c r="E61" s="12" t="s">
        <v>739</v>
      </c>
      <c r="F61" s="40"/>
      <c r="G61" s="41"/>
      <c r="H61" s="40"/>
      <c r="I61" s="12"/>
      <c r="J61" s="165"/>
      <c r="K61" s="166"/>
      <c r="L61" s="165"/>
      <c r="M61" s="166"/>
      <c r="N61" s="165"/>
      <c r="O61" s="166"/>
      <c r="P61" s="165"/>
      <c r="Q61" s="166"/>
      <c r="R61" s="157"/>
      <c r="S61" s="14" t="s">
        <v>20</v>
      </c>
      <c r="T61" s="42"/>
      <c r="U61" s="177"/>
      <c r="V61" s="178"/>
      <c r="W61" s="179"/>
    </row>
    <row r="62" spans="1:23" ht="14.55" customHeight="1" x14ac:dyDescent="0.3">
      <c r="A62" s="181"/>
      <c r="B62" s="5"/>
      <c r="C62" s="5"/>
      <c r="D62" s="4"/>
      <c r="E62" s="13"/>
      <c r="F62" s="40"/>
      <c r="G62" s="41"/>
      <c r="H62" s="40"/>
      <c r="I62" s="12"/>
      <c r="J62" s="165"/>
      <c r="K62" s="166"/>
      <c r="L62" s="165"/>
      <c r="M62" s="166"/>
      <c r="N62" s="165"/>
      <c r="O62" s="166"/>
      <c r="P62" s="165"/>
      <c r="Q62" s="166"/>
      <c r="R62" s="157"/>
      <c r="S62" s="14" t="s">
        <v>20</v>
      </c>
      <c r="T62" s="42"/>
      <c r="U62" s="177"/>
      <c r="V62" s="178"/>
      <c r="W62" s="179"/>
    </row>
    <row r="63" spans="1:23" ht="14.55" customHeight="1" x14ac:dyDescent="0.3">
      <c r="A63" s="181"/>
      <c r="B63" s="5"/>
      <c r="C63" s="5"/>
      <c r="D63" s="4"/>
      <c r="E63" s="12"/>
      <c r="F63" s="40"/>
      <c r="G63" s="41"/>
      <c r="H63" s="40"/>
      <c r="I63" s="12"/>
      <c r="J63" s="165"/>
      <c r="K63" s="166"/>
      <c r="L63" s="165"/>
      <c r="M63" s="166"/>
      <c r="N63" s="165"/>
      <c r="O63" s="166"/>
      <c r="P63" s="165"/>
      <c r="Q63" s="166"/>
      <c r="R63" s="157"/>
      <c r="S63" s="14" t="s">
        <v>20</v>
      </c>
      <c r="T63" s="42"/>
      <c r="U63" s="177"/>
      <c r="V63" s="178"/>
      <c r="W63" s="179"/>
    </row>
    <row r="64" spans="1:23" ht="14.55" customHeight="1" x14ac:dyDescent="0.3">
      <c r="A64" s="181"/>
      <c r="B64" s="5"/>
      <c r="C64" s="5"/>
      <c r="D64" s="4"/>
      <c r="E64" s="13"/>
      <c r="F64" s="40"/>
      <c r="G64" s="41"/>
      <c r="H64" s="40"/>
      <c r="I64" s="12"/>
      <c r="J64" s="165"/>
      <c r="K64" s="166"/>
      <c r="L64" s="165"/>
      <c r="M64" s="166"/>
      <c r="N64" s="165"/>
      <c r="O64" s="166"/>
      <c r="P64" s="165"/>
      <c r="Q64" s="166"/>
      <c r="R64" s="157"/>
      <c r="S64" s="14" t="s">
        <v>20</v>
      </c>
      <c r="T64" s="42"/>
      <c r="U64" s="177"/>
      <c r="V64" s="178"/>
      <c r="W64" s="179"/>
    </row>
    <row r="65" spans="1:23" ht="14.55" customHeight="1" x14ac:dyDescent="0.3">
      <c r="A65" s="181"/>
      <c r="B65" s="5"/>
      <c r="C65" s="5"/>
      <c r="D65" s="4"/>
      <c r="E65" s="12"/>
      <c r="F65" s="40"/>
      <c r="G65" s="41"/>
      <c r="H65" s="40"/>
      <c r="I65" s="12"/>
      <c r="J65" s="165"/>
      <c r="K65" s="166"/>
      <c r="L65" s="165"/>
      <c r="M65" s="166"/>
      <c r="N65" s="165"/>
      <c r="O65" s="166"/>
      <c r="P65" s="165"/>
      <c r="Q65" s="166"/>
      <c r="R65" s="157"/>
      <c r="S65" s="14" t="s">
        <v>20</v>
      </c>
      <c r="T65" s="42"/>
      <c r="U65" s="177"/>
      <c r="V65" s="178"/>
      <c r="W65" s="179"/>
    </row>
    <row r="66" spans="1:23" ht="14.55" customHeight="1" x14ac:dyDescent="0.3">
      <c r="A66" s="181"/>
      <c r="B66" s="5"/>
      <c r="C66" s="5"/>
      <c r="D66" s="4"/>
      <c r="E66" s="13"/>
      <c r="F66" s="40"/>
      <c r="G66" s="41"/>
      <c r="H66" s="40"/>
      <c r="I66" s="12"/>
      <c r="J66" s="165"/>
      <c r="K66" s="166"/>
      <c r="L66" s="165"/>
      <c r="M66" s="166"/>
      <c r="N66" s="165"/>
      <c r="O66" s="166"/>
      <c r="P66" s="165"/>
      <c r="Q66" s="166"/>
      <c r="R66" s="157"/>
      <c r="S66" s="14" t="s">
        <v>20</v>
      </c>
      <c r="T66" s="42"/>
      <c r="U66" s="177"/>
      <c r="V66" s="178"/>
      <c r="W66" s="179"/>
    </row>
    <row r="67" spans="1:23" ht="14.55" customHeight="1" x14ac:dyDescent="0.3">
      <c r="A67" s="181"/>
      <c r="B67" s="5"/>
      <c r="C67" s="5"/>
      <c r="D67" s="4"/>
      <c r="E67" s="12"/>
      <c r="F67" s="40"/>
      <c r="G67" s="41"/>
      <c r="H67" s="40"/>
      <c r="I67" s="12"/>
      <c r="J67" s="165"/>
      <c r="K67" s="166"/>
      <c r="L67" s="165"/>
      <c r="M67" s="166"/>
      <c r="N67" s="165"/>
      <c r="O67" s="166"/>
      <c r="P67" s="165"/>
      <c r="Q67" s="166"/>
      <c r="R67" s="157"/>
      <c r="S67" s="14" t="s">
        <v>20</v>
      </c>
      <c r="T67" s="42"/>
      <c r="U67" s="177"/>
      <c r="V67" s="178"/>
      <c r="W67" s="179"/>
    </row>
    <row r="68" spans="1:23" ht="14.55" customHeight="1" x14ac:dyDescent="0.3">
      <c r="A68" s="181"/>
      <c r="B68" s="5"/>
      <c r="C68" s="5"/>
      <c r="D68" s="4"/>
      <c r="E68" s="12"/>
      <c r="F68" s="40"/>
      <c r="G68" s="41"/>
      <c r="H68" s="40"/>
      <c r="I68" s="12"/>
      <c r="J68" s="165"/>
      <c r="K68" s="166"/>
      <c r="L68" s="165"/>
      <c r="M68" s="166"/>
      <c r="N68" s="165"/>
      <c r="O68" s="166"/>
      <c r="P68" s="165"/>
      <c r="Q68" s="166"/>
      <c r="R68" s="157"/>
      <c r="S68" s="14" t="s">
        <v>20</v>
      </c>
      <c r="T68" s="42"/>
      <c r="U68" s="177"/>
      <c r="V68" s="178"/>
      <c r="W68" s="179"/>
    </row>
    <row r="69" spans="1:23" ht="14.55" customHeight="1" x14ac:dyDescent="0.3">
      <c r="A69" s="181"/>
      <c r="B69" s="5"/>
      <c r="C69" s="5"/>
      <c r="D69" s="4"/>
      <c r="E69" s="12"/>
      <c r="F69" s="40"/>
      <c r="G69" s="41"/>
      <c r="H69" s="40"/>
      <c r="I69" s="12"/>
      <c r="J69" s="165"/>
      <c r="K69" s="166"/>
      <c r="L69" s="165"/>
      <c r="M69" s="166"/>
      <c r="N69" s="165"/>
      <c r="O69" s="166"/>
      <c r="P69" s="165"/>
      <c r="Q69" s="166"/>
      <c r="R69" s="157"/>
      <c r="S69" s="14" t="s">
        <v>20</v>
      </c>
      <c r="T69" s="42"/>
      <c r="U69" s="177"/>
      <c r="V69" s="178"/>
      <c r="W69" s="179"/>
    </row>
    <row r="70" spans="1:23" ht="14.55" customHeight="1" x14ac:dyDescent="0.3">
      <c r="A70" s="182"/>
      <c r="B70" s="19"/>
      <c r="C70" s="19"/>
      <c r="D70" s="20"/>
      <c r="E70" s="170" t="s">
        <v>0</v>
      </c>
      <c r="F70" s="171"/>
      <c r="G70" s="171"/>
      <c r="H70" s="171"/>
      <c r="I70" s="172"/>
      <c r="J70" s="173">
        <f>SUM(J61:K69)</f>
        <v>0</v>
      </c>
      <c r="K70" s="174"/>
      <c r="L70" s="173">
        <f>SUM(L61:M69)</f>
        <v>0</v>
      </c>
      <c r="M70" s="174"/>
      <c r="N70" s="173">
        <f>SUM(N61:O69)</f>
        <v>0</v>
      </c>
      <c r="O70" s="174"/>
      <c r="P70" s="173">
        <f>SUM(P61:Q69)</f>
        <v>0</v>
      </c>
      <c r="Q70" s="174"/>
      <c r="R70" s="23">
        <f>SUM(R61:R69)</f>
        <v>0</v>
      </c>
      <c r="S70" s="24" t="s">
        <v>20</v>
      </c>
      <c r="T70" s="19"/>
      <c r="U70" s="177"/>
      <c r="V70" s="178"/>
      <c r="W70" s="179"/>
    </row>
    <row r="71" spans="1:23" x14ac:dyDescent="0.3">
      <c r="E71" s="28"/>
      <c r="F71" s="28"/>
      <c r="G71" s="28"/>
      <c r="H71" s="28"/>
      <c r="I71" s="28"/>
      <c r="J71" s="29"/>
      <c r="K71" s="29"/>
      <c r="L71" s="29"/>
      <c r="M71" s="29"/>
      <c r="N71" s="29"/>
      <c r="O71" s="29"/>
      <c r="P71" s="29"/>
      <c r="Q71" s="29"/>
    </row>
    <row r="72" spans="1:23" x14ac:dyDescent="0.3">
      <c r="E72" s="170" t="s">
        <v>587</v>
      </c>
      <c r="F72" s="171"/>
      <c r="G72" s="171"/>
      <c r="H72" s="171"/>
      <c r="I72" s="172"/>
      <c r="J72" s="175" t="s">
        <v>7</v>
      </c>
      <c r="K72" s="176"/>
      <c r="L72" s="175" t="s">
        <v>8</v>
      </c>
      <c r="M72" s="176"/>
      <c r="N72" s="175" t="s">
        <v>9</v>
      </c>
      <c r="O72" s="176"/>
      <c r="P72" s="175" t="s">
        <v>117</v>
      </c>
      <c r="Q72" s="176"/>
    </row>
    <row r="73" spans="1:23" s="2" customFormat="1" x14ac:dyDescent="0.3">
      <c r="E73" s="15"/>
      <c r="F73" s="15"/>
      <c r="G73" s="15"/>
      <c r="H73" s="15"/>
      <c r="I73" s="15"/>
      <c r="J73" s="30">
        <f>J66+J70</f>
        <v>0</v>
      </c>
      <c r="K73" s="31" t="s">
        <v>17</v>
      </c>
      <c r="L73" s="32">
        <f>L66+L70</f>
        <v>0</v>
      </c>
      <c r="M73" s="31" t="s">
        <v>17</v>
      </c>
      <c r="N73" s="32">
        <f>N66+N70</f>
        <v>0</v>
      </c>
      <c r="O73" s="31" t="s">
        <v>17</v>
      </c>
      <c r="P73" s="32">
        <f>P66+P70</f>
        <v>0</v>
      </c>
      <c r="Q73" s="34" t="s">
        <v>17</v>
      </c>
    </row>
    <row r="74" spans="1:23" ht="24.45" customHeight="1" x14ac:dyDescent="0.3">
      <c r="E74" s="28"/>
      <c r="F74" s="28"/>
      <c r="G74" s="28"/>
      <c r="H74" s="28"/>
      <c r="I74" s="28"/>
      <c r="J74" s="167">
        <f>J73+L73+N73+P73</f>
        <v>0</v>
      </c>
      <c r="K74" s="168"/>
      <c r="L74" s="168"/>
      <c r="M74" s="168"/>
      <c r="N74" s="168"/>
      <c r="O74" s="168"/>
      <c r="P74" s="168"/>
      <c r="Q74" s="169"/>
    </row>
    <row r="75" spans="1:23" ht="14.55" customHeight="1" x14ac:dyDescent="0.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</row>
    <row r="76" spans="1:23" s="37" customFormat="1" ht="19.95" customHeight="1" x14ac:dyDescent="0.4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214" t="s">
        <v>14</v>
      </c>
      <c r="R76" s="215"/>
      <c r="S76" s="216"/>
      <c r="T76" s="184">
        <f>T3</f>
        <v>45965</v>
      </c>
      <c r="U76" s="185"/>
      <c r="V76" s="185"/>
      <c r="W76" s="186"/>
    </row>
    <row r="77" spans="1:23" s="16" customFormat="1" ht="30" customHeight="1" x14ac:dyDescent="0.3">
      <c r="A77" s="187" t="s">
        <v>26</v>
      </c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9"/>
      <c r="Q77" s="189"/>
      <c r="R77" s="189"/>
      <c r="S77" s="189"/>
      <c r="T77" s="188"/>
      <c r="U77" s="188"/>
      <c r="V77" s="188"/>
      <c r="W77" s="190"/>
    </row>
    <row r="78" spans="1:23" s="26" customFormat="1" ht="13.8" x14ac:dyDescent="0.3">
      <c r="A78" s="191" t="s">
        <v>1</v>
      </c>
      <c r="B78" s="192" t="s">
        <v>2</v>
      </c>
      <c r="C78" s="192" t="s">
        <v>3</v>
      </c>
      <c r="D78" s="192" t="s">
        <v>4</v>
      </c>
      <c r="E78" s="193" t="s">
        <v>5</v>
      </c>
      <c r="F78" s="197"/>
      <c r="G78" s="197"/>
      <c r="H78" s="197"/>
      <c r="I78" s="198"/>
      <c r="J78" s="193" t="s">
        <v>6</v>
      </c>
      <c r="K78" s="197"/>
      <c r="L78" s="197"/>
      <c r="M78" s="197"/>
      <c r="N78" s="197"/>
      <c r="O78" s="197"/>
      <c r="P78" s="197"/>
      <c r="Q78" s="198"/>
      <c r="R78" s="193" t="s">
        <v>10</v>
      </c>
      <c r="S78" s="198"/>
      <c r="T78" s="191" t="s">
        <v>11</v>
      </c>
      <c r="U78" s="191" t="s">
        <v>12</v>
      </c>
      <c r="V78" s="191"/>
      <c r="W78" s="191"/>
    </row>
    <row r="79" spans="1:23" s="26" customFormat="1" ht="13.8" x14ac:dyDescent="0.3">
      <c r="A79" s="191"/>
      <c r="B79" s="192"/>
      <c r="C79" s="192"/>
      <c r="D79" s="192"/>
      <c r="E79" s="194"/>
      <c r="F79" s="217"/>
      <c r="G79" s="217"/>
      <c r="H79" s="217"/>
      <c r="I79" s="199"/>
      <c r="J79" s="200" t="s">
        <v>7</v>
      </c>
      <c r="K79" s="201"/>
      <c r="L79" s="200" t="s">
        <v>8</v>
      </c>
      <c r="M79" s="201"/>
      <c r="N79" s="200" t="s">
        <v>9</v>
      </c>
      <c r="O79" s="201"/>
      <c r="P79" s="200" t="s">
        <v>117</v>
      </c>
      <c r="Q79" s="201"/>
      <c r="R79" s="194"/>
      <c r="S79" s="199"/>
      <c r="T79" s="191"/>
      <c r="U79" s="191"/>
      <c r="V79" s="191"/>
      <c r="W79" s="191"/>
    </row>
    <row r="80" spans="1:23" x14ac:dyDescent="0.3">
      <c r="A80" s="180" t="s">
        <v>13</v>
      </c>
      <c r="B80" s="5">
        <v>0.33333333333333331</v>
      </c>
      <c r="C80" s="5"/>
      <c r="D80" s="159">
        <v>250079</v>
      </c>
      <c r="E80" s="211" t="s">
        <v>698</v>
      </c>
      <c r="F80" s="212"/>
      <c r="G80" s="212"/>
      <c r="H80" s="212"/>
      <c r="I80" s="213"/>
      <c r="J80" s="165"/>
      <c r="K80" s="166"/>
      <c r="L80" s="165"/>
      <c r="M80" s="166"/>
      <c r="N80" s="165">
        <v>210</v>
      </c>
      <c r="O80" s="166"/>
      <c r="P80" s="165"/>
      <c r="Q80" s="166"/>
      <c r="R80" s="157"/>
      <c r="S80" s="6" t="s">
        <v>20</v>
      </c>
      <c r="T80" s="3"/>
      <c r="U80" s="202"/>
      <c r="V80" s="203"/>
      <c r="W80" s="204"/>
    </row>
    <row r="81" spans="1:23" x14ac:dyDescent="0.3">
      <c r="A81" s="163"/>
      <c r="B81" s="5"/>
      <c r="C81" s="5"/>
      <c r="D81" s="159">
        <v>250080</v>
      </c>
      <c r="E81" s="211" t="s">
        <v>740</v>
      </c>
      <c r="F81" s="212"/>
      <c r="G81" s="212"/>
      <c r="H81" s="212"/>
      <c r="I81" s="213"/>
      <c r="J81" s="165"/>
      <c r="K81" s="166"/>
      <c r="L81" s="165"/>
      <c r="M81" s="166"/>
      <c r="N81" s="165">
        <v>1241</v>
      </c>
      <c r="O81" s="166"/>
      <c r="P81" s="165"/>
      <c r="Q81" s="166"/>
      <c r="R81" s="157"/>
      <c r="S81" s="6" t="s">
        <v>20</v>
      </c>
      <c r="T81" s="3"/>
      <c r="U81" s="205"/>
      <c r="V81" s="206"/>
      <c r="W81" s="207"/>
    </row>
    <row r="82" spans="1:23" x14ac:dyDescent="0.3">
      <c r="A82" s="163"/>
      <c r="B82" s="5"/>
      <c r="C82" s="5"/>
      <c r="D82" s="159">
        <v>250079</v>
      </c>
      <c r="E82" s="211" t="s">
        <v>741</v>
      </c>
      <c r="F82" s="212"/>
      <c r="G82" s="212"/>
      <c r="H82" s="212"/>
      <c r="I82" s="213"/>
      <c r="J82" s="165"/>
      <c r="K82" s="166"/>
      <c r="L82" s="165"/>
      <c r="M82" s="166"/>
      <c r="N82" s="165">
        <v>45</v>
      </c>
      <c r="O82" s="166"/>
      <c r="P82" s="165"/>
      <c r="Q82" s="166"/>
      <c r="R82" s="157"/>
      <c r="S82" s="6" t="s">
        <v>20</v>
      </c>
      <c r="T82" s="3"/>
      <c r="U82" s="205"/>
      <c r="V82" s="206"/>
      <c r="W82" s="207"/>
    </row>
    <row r="83" spans="1:23" x14ac:dyDescent="0.3">
      <c r="A83" s="163"/>
      <c r="B83" s="5"/>
      <c r="C83" s="5"/>
      <c r="D83" s="159">
        <v>151025</v>
      </c>
      <c r="E83" s="211" t="s">
        <v>742</v>
      </c>
      <c r="F83" s="212"/>
      <c r="G83" s="212"/>
      <c r="H83" s="212"/>
      <c r="I83" s="213"/>
      <c r="J83" s="165"/>
      <c r="K83" s="166"/>
      <c r="L83" s="165"/>
      <c r="M83" s="166"/>
      <c r="N83" s="165">
        <v>1000</v>
      </c>
      <c r="O83" s="166"/>
      <c r="P83" s="165"/>
      <c r="Q83" s="166"/>
      <c r="R83" s="157">
        <v>40</v>
      </c>
      <c r="S83" s="6" t="s">
        <v>20</v>
      </c>
      <c r="T83" s="3"/>
      <c r="U83" s="205"/>
      <c r="V83" s="206"/>
      <c r="W83" s="207"/>
    </row>
    <row r="84" spans="1:23" x14ac:dyDescent="0.3">
      <c r="A84" s="163"/>
      <c r="B84" s="5"/>
      <c r="C84" s="5"/>
      <c r="D84" s="160" t="s">
        <v>516</v>
      </c>
      <c r="E84" s="211" t="s">
        <v>742</v>
      </c>
      <c r="F84" s="212"/>
      <c r="G84" s="212"/>
      <c r="H84" s="212"/>
      <c r="I84" s="213"/>
      <c r="J84" s="165"/>
      <c r="K84" s="166"/>
      <c r="L84" s="165"/>
      <c r="M84" s="166"/>
      <c r="N84" s="165">
        <v>407</v>
      </c>
      <c r="O84" s="166"/>
      <c r="P84" s="165"/>
      <c r="Q84" s="166"/>
      <c r="R84" s="157"/>
      <c r="S84" s="6" t="s">
        <v>20</v>
      </c>
      <c r="T84" s="3"/>
      <c r="U84" s="205"/>
      <c r="V84" s="206"/>
      <c r="W84" s="207"/>
    </row>
    <row r="85" spans="1:23" x14ac:dyDescent="0.3">
      <c r="A85" s="163"/>
      <c r="B85" s="5"/>
      <c r="C85" s="5">
        <v>0.70833333333333337</v>
      </c>
      <c r="D85" s="160">
        <v>21025</v>
      </c>
      <c r="E85" s="211" t="s">
        <v>743</v>
      </c>
      <c r="F85" s="212"/>
      <c r="G85" s="212"/>
      <c r="H85" s="212"/>
      <c r="I85" s="213"/>
      <c r="J85" s="165"/>
      <c r="K85" s="166"/>
      <c r="L85" s="165"/>
      <c r="M85" s="166"/>
      <c r="N85" s="165">
        <v>990</v>
      </c>
      <c r="O85" s="166"/>
      <c r="P85" s="165"/>
      <c r="Q85" s="166"/>
      <c r="R85" s="157"/>
      <c r="S85" s="6" t="s">
        <v>20</v>
      </c>
      <c r="T85" s="3"/>
      <c r="U85" s="205"/>
      <c r="V85" s="206"/>
      <c r="W85" s="207"/>
    </row>
    <row r="86" spans="1:23" x14ac:dyDescent="0.3">
      <c r="A86" s="163"/>
      <c r="B86" s="5"/>
      <c r="C86" s="5"/>
      <c r="D86" s="4"/>
      <c r="E86" s="211"/>
      <c r="F86" s="212"/>
      <c r="G86" s="212"/>
      <c r="H86" s="212"/>
      <c r="I86" s="213"/>
      <c r="J86" s="165"/>
      <c r="K86" s="166"/>
      <c r="L86" s="165"/>
      <c r="M86" s="166"/>
      <c r="N86" s="165"/>
      <c r="O86" s="166"/>
      <c r="P86" s="165"/>
      <c r="Q86" s="166"/>
      <c r="R86" s="157"/>
      <c r="S86" s="6" t="s">
        <v>20</v>
      </c>
      <c r="T86" s="3"/>
      <c r="U86" s="205"/>
      <c r="V86" s="206"/>
      <c r="W86" s="207"/>
    </row>
    <row r="87" spans="1:23" x14ac:dyDescent="0.3">
      <c r="A87" s="164"/>
      <c r="B87" s="19"/>
      <c r="C87" s="19"/>
      <c r="D87" s="20"/>
      <c r="E87" s="170" t="s">
        <v>0</v>
      </c>
      <c r="F87" s="171"/>
      <c r="G87" s="171"/>
      <c r="H87" s="171"/>
      <c r="I87" s="172"/>
      <c r="J87" s="173">
        <f>SUM(J80:J86)</f>
        <v>0</v>
      </c>
      <c r="K87" s="174"/>
      <c r="L87" s="173">
        <f>SUM(L80:L86)</f>
        <v>0</v>
      </c>
      <c r="M87" s="174"/>
      <c r="N87" s="173">
        <f>SUM(N80:N86)</f>
        <v>3893</v>
      </c>
      <c r="O87" s="174"/>
      <c r="P87" s="173">
        <f>SUM(P80:P86)</f>
        <v>0</v>
      </c>
      <c r="Q87" s="174"/>
      <c r="R87" s="23">
        <f>SUM(R80:R86)</f>
        <v>40</v>
      </c>
      <c r="S87" s="24" t="s">
        <v>20</v>
      </c>
      <c r="T87" s="19"/>
      <c r="U87" s="208"/>
      <c r="V87" s="209"/>
      <c r="W87" s="210"/>
    </row>
    <row r="88" spans="1:23" x14ac:dyDescent="0.3">
      <c r="A88" s="180" t="s">
        <v>15</v>
      </c>
      <c r="B88" s="5"/>
      <c r="C88" s="5"/>
      <c r="D88" s="4"/>
      <c r="E88" s="211"/>
      <c r="F88" s="212"/>
      <c r="G88" s="212"/>
      <c r="H88" s="212"/>
      <c r="I88" s="213"/>
      <c r="J88" s="165"/>
      <c r="K88" s="166"/>
      <c r="L88" s="165"/>
      <c r="M88" s="166"/>
      <c r="N88" s="165"/>
      <c r="O88" s="166"/>
      <c r="P88" s="165"/>
      <c r="Q88" s="166"/>
      <c r="R88" s="157"/>
      <c r="S88" s="6" t="s">
        <v>20</v>
      </c>
      <c r="T88" s="3"/>
      <c r="U88" s="202"/>
      <c r="V88" s="203"/>
      <c r="W88" s="204"/>
    </row>
    <row r="89" spans="1:23" x14ac:dyDescent="0.3">
      <c r="A89" s="163"/>
      <c r="B89" s="5"/>
      <c r="C89" s="5"/>
      <c r="D89" s="4"/>
      <c r="E89" s="211"/>
      <c r="F89" s="212"/>
      <c r="G89" s="212"/>
      <c r="H89" s="212"/>
      <c r="I89" s="213"/>
      <c r="J89" s="165"/>
      <c r="K89" s="166"/>
      <c r="L89" s="165"/>
      <c r="M89" s="166"/>
      <c r="N89" s="165"/>
      <c r="O89" s="166"/>
      <c r="P89" s="165"/>
      <c r="Q89" s="166"/>
      <c r="R89" s="157"/>
      <c r="S89" s="6" t="s">
        <v>20</v>
      </c>
      <c r="T89" s="3"/>
      <c r="U89" s="205"/>
      <c r="V89" s="206"/>
      <c r="W89" s="207"/>
    </row>
    <row r="90" spans="1:23" x14ac:dyDescent="0.3">
      <c r="A90" s="163"/>
      <c r="B90" s="5"/>
      <c r="C90" s="5"/>
      <c r="D90" s="4"/>
      <c r="E90" s="211"/>
      <c r="F90" s="212"/>
      <c r="G90" s="212"/>
      <c r="H90" s="212"/>
      <c r="I90" s="213"/>
      <c r="J90" s="165"/>
      <c r="K90" s="166"/>
      <c r="L90" s="165"/>
      <c r="M90" s="166"/>
      <c r="N90" s="165"/>
      <c r="O90" s="166"/>
      <c r="P90" s="165"/>
      <c r="Q90" s="166"/>
      <c r="R90" s="157"/>
      <c r="S90" s="6" t="s">
        <v>20</v>
      </c>
      <c r="T90" s="3"/>
      <c r="U90" s="205"/>
      <c r="V90" s="206"/>
      <c r="W90" s="207"/>
    </row>
    <row r="91" spans="1:23" x14ac:dyDescent="0.3">
      <c r="A91" s="164"/>
      <c r="B91" s="19"/>
      <c r="C91" s="19"/>
      <c r="D91" s="20"/>
      <c r="E91" s="170" t="s">
        <v>0</v>
      </c>
      <c r="F91" s="171"/>
      <c r="G91" s="171"/>
      <c r="H91" s="171"/>
      <c r="I91" s="172"/>
      <c r="J91" s="173">
        <f>SUM(J88:J90)</f>
        <v>0</v>
      </c>
      <c r="K91" s="174"/>
      <c r="L91" s="173">
        <f>SUM(L88:L90)</f>
        <v>0</v>
      </c>
      <c r="M91" s="174"/>
      <c r="N91" s="173">
        <f>SUM(N88:N90)</f>
        <v>0</v>
      </c>
      <c r="O91" s="174"/>
      <c r="P91" s="173">
        <f>SUM(P83:P90)</f>
        <v>0</v>
      </c>
      <c r="Q91" s="174"/>
      <c r="R91" s="23">
        <f>SUM(R88:R90)</f>
        <v>0</v>
      </c>
      <c r="S91" s="24" t="s">
        <v>20</v>
      </c>
      <c r="T91" s="7"/>
      <c r="U91" s="208"/>
      <c r="V91" s="209"/>
      <c r="W91" s="210"/>
    </row>
    <row r="92" spans="1:23" x14ac:dyDescent="0.3">
      <c r="E92" s="28"/>
      <c r="F92" s="28"/>
      <c r="G92" s="28"/>
      <c r="H92" s="28"/>
      <c r="I92" s="28"/>
      <c r="J92" s="29"/>
      <c r="K92" s="29"/>
      <c r="L92" s="29"/>
      <c r="M92" s="29"/>
      <c r="N92" s="29"/>
      <c r="O92" s="29"/>
      <c r="P92" s="29"/>
      <c r="Q92" s="29"/>
    </row>
    <row r="93" spans="1:23" x14ac:dyDescent="0.3">
      <c r="E93" s="170" t="s">
        <v>28</v>
      </c>
      <c r="F93" s="171"/>
      <c r="G93" s="171"/>
      <c r="H93" s="171"/>
      <c r="I93" s="172"/>
      <c r="J93" s="175" t="s">
        <v>7</v>
      </c>
      <c r="K93" s="176"/>
      <c r="L93" s="175" t="s">
        <v>8</v>
      </c>
      <c r="M93" s="176"/>
      <c r="N93" s="175" t="s">
        <v>9</v>
      </c>
      <c r="O93" s="176"/>
      <c r="P93" s="175" t="s">
        <v>117</v>
      </c>
      <c r="Q93" s="176"/>
    </row>
    <row r="94" spans="1:23" s="2" customFormat="1" x14ac:dyDescent="0.3">
      <c r="E94" s="15"/>
      <c r="F94" s="15"/>
      <c r="G94" s="15"/>
      <c r="H94" s="15"/>
      <c r="I94" s="15"/>
      <c r="J94" s="30">
        <f>J87+J91</f>
        <v>0</v>
      </c>
      <c r="K94" s="31" t="s">
        <v>17</v>
      </c>
      <c r="L94" s="32">
        <f>L87+L91</f>
        <v>0</v>
      </c>
      <c r="M94" s="31" t="s">
        <v>17</v>
      </c>
      <c r="N94" s="32">
        <f>N87+N91</f>
        <v>3893</v>
      </c>
      <c r="O94" s="31" t="s">
        <v>17</v>
      </c>
      <c r="P94" s="32">
        <f>P87+P91</f>
        <v>0</v>
      </c>
      <c r="Q94" s="34" t="s">
        <v>17</v>
      </c>
    </row>
    <row r="95" spans="1:23" ht="24.45" customHeight="1" x14ac:dyDescent="0.3">
      <c r="E95" s="28"/>
      <c r="F95" s="28"/>
      <c r="G95" s="28"/>
      <c r="H95" s="28"/>
      <c r="I95" s="28"/>
      <c r="J95" s="167">
        <f>J94+L94+N94+P94</f>
        <v>3893</v>
      </c>
      <c r="K95" s="168"/>
      <c r="L95" s="168"/>
      <c r="M95" s="168"/>
      <c r="N95" s="168"/>
      <c r="O95" s="168"/>
      <c r="P95" s="168"/>
      <c r="Q95" s="169"/>
    </row>
    <row r="96" spans="1:23" ht="14.55" customHeight="1" x14ac:dyDescent="0.3"/>
    <row r="97" spans="1:23" s="37" customFormat="1" ht="19.95" customHeight="1" x14ac:dyDescent="0.4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183" t="s">
        <v>14</v>
      </c>
      <c r="R97" s="183"/>
      <c r="S97" s="183"/>
      <c r="T97" s="184">
        <f>T3</f>
        <v>45965</v>
      </c>
      <c r="U97" s="185"/>
      <c r="V97" s="185"/>
      <c r="W97" s="186"/>
    </row>
    <row r="98" spans="1:23" s="16" customFormat="1" ht="30" customHeight="1" x14ac:dyDescent="0.3">
      <c r="A98" s="187" t="s">
        <v>579</v>
      </c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9"/>
      <c r="Q98" s="189"/>
      <c r="R98" s="189"/>
      <c r="S98" s="189"/>
      <c r="T98" s="188"/>
      <c r="U98" s="188"/>
      <c r="V98" s="188"/>
      <c r="W98" s="190"/>
    </row>
    <row r="99" spans="1:23" s="26" customFormat="1" ht="13.8" x14ac:dyDescent="0.3">
      <c r="A99" s="191" t="s">
        <v>1</v>
      </c>
      <c r="B99" s="192" t="s">
        <v>2</v>
      </c>
      <c r="C99" s="192" t="s">
        <v>3</v>
      </c>
      <c r="D99" s="192" t="s">
        <v>4</v>
      </c>
      <c r="E99" s="193" t="s">
        <v>5</v>
      </c>
      <c r="F99" s="195" t="s">
        <v>21</v>
      </c>
      <c r="G99" s="195" t="s">
        <v>22</v>
      </c>
      <c r="H99" s="195" t="s">
        <v>33</v>
      </c>
      <c r="I99" s="195" t="s">
        <v>30</v>
      </c>
      <c r="J99" s="193" t="s">
        <v>6</v>
      </c>
      <c r="K99" s="197"/>
      <c r="L99" s="197"/>
      <c r="M99" s="197"/>
      <c r="N99" s="197"/>
      <c r="O99" s="197"/>
      <c r="P99" s="197"/>
      <c r="Q99" s="198"/>
      <c r="R99" s="193" t="s">
        <v>10</v>
      </c>
      <c r="S99" s="198"/>
      <c r="T99" s="191" t="s">
        <v>11</v>
      </c>
      <c r="U99" s="191" t="s">
        <v>12</v>
      </c>
      <c r="V99" s="191"/>
      <c r="W99" s="191"/>
    </row>
    <row r="100" spans="1:23" s="26" customFormat="1" ht="13.8" x14ac:dyDescent="0.3">
      <c r="A100" s="191"/>
      <c r="B100" s="192"/>
      <c r="C100" s="192"/>
      <c r="D100" s="192"/>
      <c r="E100" s="194"/>
      <c r="F100" s="196"/>
      <c r="G100" s="196"/>
      <c r="H100" s="196"/>
      <c r="I100" s="196"/>
      <c r="J100" s="200" t="s">
        <v>7</v>
      </c>
      <c r="K100" s="201"/>
      <c r="L100" s="200" t="s">
        <v>8</v>
      </c>
      <c r="M100" s="201"/>
      <c r="N100" s="200" t="s">
        <v>9</v>
      </c>
      <c r="O100" s="201"/>
      <c r="P100" s="200" t="s">
        <v>117</v>
      </c>
      <c r="Q100" s="201"/>
      <c r="R100" s="194"/>
      <c r="S100" s="199"/>
      <c r="T100" s="191"/>
      <c r="U100" s="191"/>
      <c r="V100" s="191"/>
      <c r="W100" s="191"/>
    </row>
    <row r="101" spans="1:23" ht="14.55" customHeight="1" x14ac:dyDescent="0.3">
      <c r="A101" s="180" t="s">
        <v>581</v>
      </c>
      <c r="B101" s="5">
        <v>0.33333333333333331</v>
      </c>
      <c r="C101" s="5">
        <v>0.70833333333333337</v>
      </c>
      <c r="D101" s="126"/>
      <c r="E101" s="12" t="s">
        <v>245</v>
      </c>
      <c r="F101" s="40"/>
      <c r="G101" s="41"/>
      <c r="H101" s="40"/>
      <c r="I101" s="12"/>
      <c r="J101" s="165">
        <v>2725</v>
      </c>
      <c r="K101" s="166"/>
      <c r="L101" s="165"/>
      <c r="M101" s="166"/>
      <c r="N101" s="165"/>
      <c r="O101" s="166"/>
      <c r="P101" s="165"/>
      <c r="Q101" s="166"/>
      <c r="R101" s="157"/>
      <c r="S101" s="14" t="s">
        <v>20</v>
      </c>
      <c r="T101" s="42"/>
      <c r="U101" s="177"/>
      <c r="V101" s="178"/>
      <c r="W101" s="179"/>
    </row>
    <row r="102" spans="1:23" ht="14.55" customHeight="1" x14ac:dyDescent="0.3">
      <c r="A102" s="181"/>
      <c r="B102" s="5"/>
      <c r="C102" s="5"/>
      <c r="D102" s="126"/>
      <c r="E102" s="13"/>
      <c r="F102" s="40"/>
      <c r="G102" s="41"/>
      <c r="H102" s="40"/>
      <c r="I102" s="12"/>
      <c r="J102" s="165"/>
      <c r="K102" s="166"/>
      <c r="L102" s="165"/>
      <c r="M102" s="166"/>
      <c r="N102" s="165"/>
      <c r="O102" s="166"/>
      <c r="P102" s="165"/>
      <c r="Q102" s="166"/>
      <c r="R102" s="157"/>
      <c r="S102" s="14" t="s">
        <v>20</v>
      </c>
      <c r="T102" s="42"/>
      <c r="U102" s="177"/>
      <c r="V102" s="178"/>
      <c r="W102" s="179"/>
    </row>
    <row r="103" spans="1:23" ht="14.55" customHeight="1" x14ac:dyDescent="0.3">
      <c r="A103" s="181"/>
      <c r="B103" s="5"/>
      <c r="C103" s="5"/>
      <c r="D103" s="4"/>
      <c r="E103" s="12"/>
      <c r="F103" s="40"/>
      <c r="G103" s="41"/>
      <c r="H103" s="40"/>
      <c r="I103" s="12"/>
      <c r="J103" s="165"/>
      <c r="K103" s="166"/>
      <c r="L103" s="165"/>
      <c r="M103" s="166"/>
      <c r="N103" s="165"/>
      <c r="O103" s="166"/>
      <c r="P103" s="165"/>
      <c r="Q103" s="166"/>
      <c r="R103" s="157"/>
      <c r="S103" s="14" t="s">
        <v>20</v>
      </c>
      <c r="T103" s="42"/>
      <c r="U103" s="177"/>
      <c r="V103" s="178"/>
      <c r="W103" s="179"/>
    </row>
    <row r="104" spans="1:23" ht="14.55" customHeight="1" x14ac:dyDescent="0.3">
      <c r="A104" s="182"/>
      <c r="B104" s="19"/>
      <c r="C104" s="19"/>
      <c r="D104" s="20"/>
      <c r="E104" s="170" t="s">
        <v>0</v>
      </c>
      <c r="F104" s="171"/>
      <c r="G104" s="171"/>
      <c r="H104" s="171"/>
      <c r="I104" s="172"/>
      <c r="J104" s="173">
        <f>SUM(J101:K103)</f>
        <v>2725</v>
      </c>
      <c r="K104" s="174"/>
      <c r="L104" s="173">
        <f>SUM(L101:M103)</f>
        <v>0</v>
      </c>
      <c r="M104" s="174"/>
      <c r="N104" s="173">
        <f>SUM(N101:O103)</f>
        <v>0</v>
      </c>
      <c r="O104" s="174"/>
      <c r="P104" s="173">
        <f>SUM(P101:Q103)</f>
        <v>0</v>
      </c>
      <c r="Q104" s="174"/>
      <c r="R104" s="23">
        <f>SUM(R101:R103)</f>
        <v>0</v>
      </c>
      <c r="S104" s="24" t="s">
        <v>20</v>
      </c>
      <c r="T104" s="19"/>
      <c r="U104" s="177"/>
      <c r="V104" s="178"/>
      <c r="W104" s="179"/>
    </row>
    <row r="105" spans="1:23" ht="14.55" customHeight="1" x14ac:dyDescent="0.3">
      <c r="A105" s="163" t="s">
        <v>580</v>
      </c>
      <c r="B105" s="5"/>
      <c r="C105" s="5"/>
      <c r="D105" s="4"/>
      <c r="E105" s="12"/>
      <c r="F105" s="40"/>
      <c r="G105" s="41"/>
      <c r="H105" s="40"/>
      <c r="I105" s="12"/>
      <c r="J105" s="165"/>
      <c r="K105" s="166"/>
      <c r="L105" s="165"/>
      <c r="M105" s="166"/>
      <c r="N105" s="165"/>
      <c r="O105" s="166"/>
      <c r="P105" s="165"/>
      <c r="Q105" s="166"/>
      <c r="R105" s="157"/>
      <c r="S105" s="14" t="s">
        <v>20</v>
      </c>
      <c r="T105" s="42"/>
      <c r="U105" s="177"/>
      <c r="V105" s="178"/>
      <c r="W105" s="179"/>
    </row>
    <row r="106" spans="1:23" ht="14.55" customHeight="1" x14ac:dyDescent="0.3">
      <c r="A106" s="163"/>
      <c r="B106" s="5"/>
      <c r="C106" s="5"/>
      <c r="D106" s="4"/>
      <c r="E106" s="12"/>
      <c r="F106" s="40"/>
      <c r="G106" s="41"/>
      <c r="H106" s="40"/>
      <c r="I106" s="12"/>
      <c r="J106" s="165"/>
      <c r="K106" s="166"/>
      <c r="L106" s="165"/>
      <c r="M106" s="166"/>
      <c r="N106" s="165"/>
      <c r="O106" s="166"/>
      <c r="P106" s="165"/>
      <c r="Q106" s="166"/>
      <c r="R106" s="157"/>
      <c r="S106" s="14" t="s">
        <v>20</v>
      </c>
      <c r="T106" s="42"/>
      <c r="U106" s="177"/>
      <c r="V106" s="178"/>
      <c r="W106" s="179"/>
    </row>
    <row r="107" spans="1:23" ht="14.55" customHeight="1" x14ac:dyDescent="0.3">
      <c r="A107" s="163"/>
      <c r="B107" s="5"/>
      <c r="C107" s="5"/>
      <c r="D107" s="4"/>
      <c r="E107" s="12"/>
      <c r="F107" s="40"/>
      <c r="G107" s="41"/>
      <c r="H107" s="40"/>
      <c r="I107" s="12"/>
      <c r="J107" s="165"/>
      <c r="K107" s="166"/>
      <c r="L107" s="165"/>
      <c r="M107" s="166"/>
      <c r="N107" s="165"/>
      <c r="O107" s="166"/>
      <c r="P107" s="165"/>
      <c r="Q107" s="166"/>
      <c r="R107" s="157"/>
      <c r="S107" s="14" t="s">
        <v>20</v>
      </c>
      <c r="T107" s="42"/>
      <c r="U107" s="177"/>
      <c r="V107" s="178"/>
      <c r="W107" s="179"/>
    </row>
    <row r="108" spans="1:23" ht="14.55" customHeight="1" x14ac:dyDescent="0.3">
      <c r="A108" s="163"/>
      <c r="B108" s="5"/>
      <c r="C108" s="5"/>
      <c r="D108" s="4"/>
      <c r="E108" s="12"/>
      <c r="F108" s="40"/>
      <c r="G108" s="41"/>
      <c r="H108" s="40"/>
      <c r="I108" s="12"/>
      <c r="J108" s="165"/>
      <c r="K108" s="166"/>
      <c r="L108" s="165"/>
      <c r="M108" s="166"/>
      <c r="N108" s="165"/>
      <c r="O108" s="166"/>
      <c r="P108" s="165"/>
      <c r="Q108" s="166"/>
      <c r="R108" s="157"/>
      <c r="S108" s="14" t="s">
        <v>20</v>
      </c>
      <c r="T108" s="42"/>
      <c r="U108" s="177"/>
      <c r="V108" s="178"/>
      <c r="W108" s="179"/>
    </row>
    <row r="109" spans="1:23" ht="14.55" customHeight="1" x14ac:dyDescent="0.3">
      <c r="A109" s="164"/>
      <c r="B109" s="19"/>
      <c r="C109" s="19"/>
      <c r="D109" s="20"/>
      <c r="E109" s="170" t="s">
        <v>0</v>
      </c>
      <c r="F109" s="171"/>
      <c r="G109" s="171"/>
      <c r="H109" s="171"/>
      <c r="I109" s="172"/>
      <c r="J109" s="173">
        <f>SUM(J105:K108)</f>
        <v>0</v>
      </c>
      <c r="K109" s="174"/>
      <c r="L109" s="173">
        <f>SUM(L105:M108)</f>
        <v>0</v>
      </c>
      <c r="M109" s="174"/>
      <c r="N109" s="173">
        <f>SUM(N105:O108)</f>
        <v>0</v>
      </c>
      <c r="O109" s="174"/>
      <c r="P109" s="173">
        <f>SUM(P105:Q108)</f>
        <v>0</v>
      </c>
      <c r="Q109" s="174"/>
      <c r="R109" s="23">
        <f>SUM(R105:R108)</f>
        <v>0</v>
      </c>
      <c r="S109" s="24" t="s">
        <v>20</v>
      </c>
      <c r="T109" s="19"/>
      <c r="U109" s="177"/>
      <c r="V109" s="178"/>
      <c r="W109" s="179"/>
    </row>
    <row r="110" spans="1:23" ht="14.55" customHeight="1" x14ac:dyDescent="0.3">
      <c r="A110" s="27"/>
      <c r="B110" s="27"/>
      <c r="C110" s="27"/>
      <c r="D110" s="27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27"/>
      <c r="S110" s="27"/>
      <c r="T110" s="39"/>
      <c r="U110" s="39"/>
      <c r="V110" s="39"/>
      <c r="W110" s="39"/>
    </row>
    <row r="111" spans="1:23" x14ac:dyDescent="0.3">
      <c r="E111" s="170" t="s">
        <v>585</v>
      </c>
      <c r="F111" s="171"/>
      <c r="G111" s="171"/>
      <c r="H111" s="171"/>
      <c r="I111" s="172"/>
      <c r="J111" s="175" t="s">
        <v>7</v>
      </c>
      <c r="K111" s="176"/>
      <c r="L111" s="175" t="s">
        <v>8</v>
      </c>
      <c r="M111" s="176"/>
      <c r="N111" s="175" t="s">
        <v>9</v>
      </c>
      <c r="O111" s="176"/>
      <c r="P111" s="175" t="s">
        <v>117</v>
      </c>
      <c r="Q111" s="176"/>
    </row>
    <row r="112" spans="1:23" s="2" customFormat="1" x14ac:dyDescent="0.3">
      <c r="E112" s="15"/>
      <c r="F112" s="15"/>
      <c r="G112" s="15"/>
      <c r="H112" s="15"/>
      <c r="I112" s="15"/>
      <c r="J112" s="30">
        <f>SUM(J109,J104)</f>
        <v>2725</v>
      </c>
      <c r="K112" s="31" t="s">
        <v>17</v>
      </c>
      <c r="L112" s="30">
        <f>SUM(L109,L104)</f>
        <v>0</v>
      </c>
      <c r="M112" s="31" t="s">
        <v>17</v>
      </c>
      <c r="N112" s="30">
        <f>SUM(N109,N104)</f>
        <v>0</v>
      </c>
      <c r="O112" s="31" t="s">
        <v>17</v>
      </c>
      <c r="P112" s="30">
        <f>SUM(P109,P104)</f>
        <v>0</v>
      </c>
      <c r="Q112" s="34" t="s">
        <v>17</v>
      </c>
    </row>
    <row r="113" spans="5:17" ht="24.45" customHeight="1" x14ac:dyDescent="0.3">
      <c r="E113" s="28"/>
      <c r="F113" s="28"/>
      <c r="G113" s="28"/>
      <c r="H113" s="28"/>
      <c r="I113" s="28"/>
      <c r="J113" s="167">
        <f>J112+L112+N112+P112</f>
        <v>2725</v>
      </c>
      <c r="K113" s="168"/>
      <c r="L113" s="168"/>
      <c r="M113" s="168"/>
      <c r="N113" s="168"/>
      <c r="O113" s="168"/>
      <c r="P113" s="168"/>
      <c r="Q113" s="169"/>
    </row>
  </sheetData>
  <mergeCells count="430">
    <mergeCell ref="J24:K24"/>
    <mergeCell ref="L24:M24"/>
    <mergeCell ref="N24:O24"/>
    <mergeCell ref="P24:Q24"/>
    <mergeCell ref="J31:Q31"/>
    <mergeCell ref="J15:K15"/>
    <mergeCell ref="L15:M15"/>
    <mergeCell ref="N15:O15"/>
    <mergeCell ref="P15:Q15"/>
    <mergeCell ref="J16:K16"/>
    <mergeCell ref="L16:M16"/>
    <mergeCell ref="N16:O16"/>
    <mergeCell ref="P16:Q16"/>
    <mergeCell ref="L23:M23"/>
    <mergeCell ref="N23:O23"/>
    <mergeCell ref="P23:Q23"/>
    <mergeCell ref="E111:I111"/>
    <mergeCell ref="J111:K111"/>
    <mergeCell ref="L111:M111"/>
    <mergeCell ref="N111:O111"/>
    <mergeCell ref="P111:Q111"/>
    <mergeCell ref="J113:Q113"/>
    <mergeCell ref="J21:K21"/>
    <mergeCell ref="L21:M21"/>
    <mergeCell ref="N21:O21"/>
    <mergeCell ref="P21:Q21"/>
    <mergeCell ref="J22:K22"/>
    <mergeCell ref="L22:M22"/>
    <mergeCell ref="N22:O22"/>
    <mergeCell ref="P22:Q22"/>
    <mergeCell ref="J23:K23"/>
    <mergeCell ref="J107:K107"/>
    <mergeCell ref="L107:M107"/>
    <mergeCell ref="N107:O107"/>
    <mergeCell ref="P107:Q107"/>
    <mergeCell ref="J108:K108"/>
    <mergeCell ref="L108:M108"/>
    <mergeCell ref="N108:O108"/>
    <mergeCell ref="P108:Q108"/>
    <mergeCell ref="J103:K103"/>
    <mergeCell ref="U105:W109"/>
    <mergeCell ref="J106:K106"/>
    <mergeCell ref="L106:M106"/>
    <mergeCell ref="N106:O106"/>
    <mergeCell ref="P106:Q106"/>
    <mergeCell ref="E109:I109"/>
    <mergeCell ref="J109:K109"/>
    <mergeCell ref="L109:M109"/>
    <mergeCell ref="N109:O109"/>
    <mergeCell ref="P109:Q109"/>
    <mergeCell ref="A101:A104"/>
    <mergeCell ref="J101:K101"/>
    <mergeCell ref="L101:M101"/>
    <mergeCell ref="N101:O101"/>
    <mergeCell ref="P101:Q101"/>
    <mergeCell ref="A105:A109"/>
    <mergeCell ref="J105:K105"/>
    <mergeCell ref="L105:M105"/>
    <mergeCell ref="N105:O105"/>
    <mergeCell ref="P105:Q105"/>
    <mergeCell ref="L103:M103"/>
    <mergeCell ref="N103:O103"/>
    <mergeCell ref="P103:Q103"/>
    <mergeCell ref="U101:W104"/>
    <mergeCell ref="J102:K102"/>
    <mergeCell ref="L102:M102"/>
    <mergeCell ref="N102:O102"/>
    <mergeCell ref="P102:Q102"/>
    <mergeCell ref="H99:H100"/>
    <mergeCell ref="I99:I100"/>
    <mergeCell ref="J99:Q99"/>
    <mergeCell ref="R99:S100"/>
    <mergeCell ref="T99:T100"/>
    <mergeCell ref="U99:W100"/>
    <mergeCell ref="J100:K100"/>
    <mergeCell ref="L100:M100"/>
    <mergeCell ref="N100:O100"/>
    <mergeCell ref="P100:Q100"/>
    <mergeCell ref="E104:I104"/>
    <mergeCell ref="J104:K104"/>
    <mergeCell ref="L104:M104"/>
    <mergeCell ref="N104:O104"/>
    <mergeCell ref="P104:Q104"/>
    <mergeCell ref="T97:W97"/>
    <mergeCell ref="A98:W98"/>
    <mergeCell ref="A99:A100"/>
    <mergeCell ref="B99:B100"/>
    <mergeCell ref="C99:C100"/>
    <mergeCell ref="D99:D100"/>
    <mergeCell ref="E99:E100"/>
    <mergeCell ref="F99:F100"/>
    <mergeCell ref="G99:G100"/>
    <mergeCell ref="Q97:S97"/>
    <mergeCell ref="E93:I93"/>
    <mergeCell ref="J93:K93"/>
    <mergeCell ref="L93:M93"/>
    <mergeCell ref="N93:O93"/>
    <mergeCell ref="P93:Q93"/>
    <mergeCell ref="J95:Q95"/>
    <mergeCell ref="N90:O90"/>
    <mergeCell ref="P90:Q90"/>
    <mergeCell ref="E91:I91"/>
    <mergeCell ref="J91:K91"/>
    <mergeCell ref="L91:M91"/>
    <mergeCell ref="N91:O91"/>
    <mergeCell ref="P91:Q91"/>
    <mergeCell ref="U88:W91"/>
    <mergeCell ref="E89:I89"/>
    <mergeCell ref="J89:K89"/>
    <mergeCell ref="L89:M89"/>
    <mergeCell ref="N89:O89"/>
    <mergeCell ref="P89:Q89"/>
    <mergeCell ref="E90:I90"/>
    <mergeCell ref="J90:K90"/>
    <mergeCell ref="L90:M90"/>
    <mergeCell ref="P88:Q88"/>
    <mergeCell ref="E87:I87"/>
    <mergeCell ref="J87:K87"/>
    <mergeCell ref="L87:M87"/>
    <mergeCell ref="N87:O87"/>
    <mergeCell ref="P87:Q87"/>
    <mergeCell ref="A88:A91"/>
    <mergeCell ref="E88:I88"/>
    <mergeCell ref="J88:K88"/>
    <mergeCell ref="L88:M88"/>
    <mergeCell ref="N88:O88"/>
    <mergeCell ref="A80:A87"/>
    <mergeCell ref="J83:K83"/>
    <mergeCell ref="L83:M83"/>
    <mergeCell ref="E85:I85"/>
    <mergeCell ref="J85:K85"/>
    <mergeCell ref="L85:M85"/>
    <mergeCell ref="N85:O85"/>
    <mergeCell ref="P85:Q85"/>
    <mergeCell ref="E86:I86"/>
    <mergeCell ref="J86:K86"/>
    <mergeCell ref="L86:M86"/>
    <mergeCell ref="N86:O86"/>
    <mergeCell ref="P86:Q86"/>
    <mergeCell ref="N83:O83"/>
    <mergeCell ref="P83:Q83"/>
    <mergeCell ref="E84:I84"/>
    <mergeCell ref="J84:K84"/>
    <mergeCell ref="L84:M84"/>
    <mergeCell ref="N84:O84"/>
    <mergeCell ref="P84:Q84"/>
    <mergeCell ref="U80:W87"/>
    <mergeCell ref="E81:I81"/>
    <mergeCell ref="J81:K81"/>
    <mergeCell ref="L81:M81"/>
    <mergeCell ref="N81:O81"/>
    <mergeCell ref="P81:Q81"/>
    <mergeCell ref="E82:I82"/>
    <mergeCell ref="J82:K82"/>
    <mergeCell ref="L82:M82"/>
    <mergeCell ref="N82:O82"/>
    <mergeCell ref="E80:I80"/>
    <mergeCell ref="J80:K80"/>
    <mergeCell ref="L80:M80"/>
    <mergeCell ref="N80:O80"/>
    <mergeCell ref="P80:Q80"/>
    <mergeCell ref="P82:Q82"/>
    <mergeCell ref="E83:I83"/>
    <mergeCell ref="T78:T79"/>
    <mergeCell ref="U78:W79"/>
    <mergeCell ref="J79:K79"/>
    <mergeCell ref="L79:M79"/>
    <mergeCell ref="N79:O79"/>
    <mergeCell ref="P79:Q79"/>
    <mergeCell ref="Q76:S76"/>
    <mergeCell ref="T76:W76"/>
    <mergeCell ref="A77:W77"/>
    <mergeCell ref="A78:A79"/>
    <mergeCell ref="B78:B79"/>
    <mergeCell ref="C78:C79"/>
    <mergeCell ref="D78:D79"/>
    <mergeCell ref="E78:I79"/>
    <mergeCell ref="J78:Q78"/>
    <mergeCell ref="R78:S79"/>
    <mergeCell ref="E72:I72"/>
    <mergeCell ref="J72:K72"/>
    <mergeCell ref="L72:M72"/>
    <mergeCell ref="N72:O72"/>
    <mergeCell ref="P72:Q72"/>
    <mergeCell ref="J74:Q74"/>
    <mergeCell ref="J69:K69"/>
    <mergeCell ref="L69:M69"/>
    <mergeCell ref="N69:O69"/>
    <mergeCell ref="P69:Q69"/>
    <mergeCell ref="E70:I70"/>
    <mergeCell ref="J70:K70"/>
    <mergeCell ref="L70:M70"/>
    <mergeCell ref="N70:O70"/>
    <mergeCell ref="P70:Q70"/>
    <mergeCell ref="A61:A70"/>
    <mergeCell ref="J61:K61"/>
    <mergeCell ref="L61:M61"/>
    <mergeCell ref="N61:O61"/>
    <mergeCell ref="P61:Q61"/>
    <mergeCell ref="J67:K67"/>
    <mergeCell ref="L67:M67"/>
    <mergeCell ref="N67:O67"/>
    <mergeCell ref="P67:Q67"/>
    <mergeCell ref="J68:K68"/>
    <mergeCell ref="L68:M68"/>
    <mergeCell ref="N68:O68"/>
    <mergeCell ref="P68:Q68"/>
    <mergeCell ref="J65:K65"/>
    <mergeCell ref="L65:M65"/>
    <mergeCell ref="N65:O65"/>
    <mergeCell ref="P65:Q65"/>
    <mergeCell ref="J66:K66"/>
    <mergeCell ref="L66:M66"/>
    <mergeCell ref="N66:O66"/>
    <mergeCell ref="P66:Q66"/>
    <mergeCell ref="U61:W70"/>
    <mergeCell ref="J62:K62"/>
    <mergeCell ref="L62:M62"/>
    <mergeCell ref="N62:O62"/>
    <mergeCell ref="P62:Q62"/>
    <mergeCell ref="H59:H60"/>
    <mergeCell ref="I59:I60"/>
    <mergeCell ref="J59:Q59"/>
    <mergeCell ref="R59:S60"/>
    <mergeCell ref="T59:T60"/>
    <mergeCell ref="U59:W60"/>
    <mergeCell ref="J60:K60"/>
    <mergeCell ref="L60:M60"/>
    <mergeCell ref="N60:O60"/>
    <mergeCell ref="P60:Q60"/>
    <mergeCell ref="J63:K63"/>
    <mergeCell ref="L63:M63"/>
    <mergeCell ref="N63:O63"/>
    <mergeCell ref="P63:Q63"/>
    <mergeCell ref="J64:K64"/>
    <mergeCell ref="L64:M64"/>
    <mergeCell ref="N64:O64"/>
    <mergeCell ref="P64:Q64"/>
    <mergeCell ref="Q57:S57"/>
    <mergeCell ref="T57:W57"/>
    <mergeCell ref="A58:W58"/>
    <mergeCell ref="A59:A60"/>
    <mergeCell ref="B59:B60"/>
    <mergeCell ref="C59:C60"/>
    <mergeCell ref="D59:D60"/>
    <mergeCell ref="E59:E60"/>
    <mergeCell ref="F59:F60"/>
    <mergeCell ref="G59:G60"/>
    <mergeCell ref="E53:I53"/>
    <mergeCell ref="J53:K53"/>
    <mergeCell ref="L53:M53"/>
    <mergeCell ref="N53:O53"/>
    <mergeCell ref="P53:Q53"/>
    <mergeCell ref="J55:Q55"/>
    <mergeCell ref="U49:W51"/>
    <mergeCell ref="J50:K50"/>
    <mergeCell ref="L50:M50"/>
    <mergeCell ref="N50:O50"/>
    <mergeCell ref="P50:Q50"/>
    <mergeCell ref="E51:I51"/>
    <mergeCell ref="J51:K51"/>
    <mergeCell ref="L51:M51"/>
    <mergeCell ref="N51:O51"/>
    <mergeCell ref="P51:Q51"/>
    <mergeCell ref="E48:I48"/>
    <mergeCell ref="J48:K48"/>
    <mergeCell ref="L48:M48"/>
    <mergeCell ref="N48:O48"/>
    <mergeCell ref="P48:Q48"/>
    <mergeCell ref="A49:A51"/>
    <mergeCell ref="J49:K49"/>
    <mergeCell ref="L49:M49"/>
    <mergeCell ref="N49:O49"/>
    <mergeCell ref="P49:Q49"/>
    <mergeCell ref="A46:A48"/>
    <mergeCell ref="J46:K46"/>
    <mergeCell ref="L46:M46"/>
    <mergeCell ref="N46:O46"/>
    <mergeCell ref="P46:Q46"/>
    <mergeCell ref="U46:W48"/>
    <mergeCell ref="J47:K47"/>
    <mergeCell ref="L47:M47"/>
    <mergeCell ref="N47:O47"/>
    <mergeCell ref="P47:Q47"/>
    <mergeCell ref="J44:K44"/>
    <mergeCell ref="L44:M44"/>
    <mergeCell ref="N44:O44"/>
    <mergeCell ref="P44:Q44"/>
    <mergeCell ref="U40:W45"/>
    <mergeCell ref="J42:K42"/>
    <mergeCell ref="L42:M42"/>
    <mergeCell ref="N42:O42"/>
    <mergeCell ref="P42:Q42"/>
    <mergeCell ref="J43:K43"/>
    <mergeCell ref="L43:M43"/>
    <mergeCell ref="N43:O43"/>
    <mergeCell ref="P43:Q43"/>
    <mergeCell ref="E45:I45"/>
    <mergeCell ref="J45:K45"/>
    <mergeCell ref="L45:M45"/>
    <mergeCell ref="N45:O45"/>
    <mergeCell ref="P45:Q45"/>
    <mergeCell ref="A40:A45"/>
    <mergeCell ref="J40:K40"/>
    <mergeCell ref="L40:M40"/>
    <mergeCell ref="N40:O40"/>
    <mergeCell ref="P40:Q40"/>
    <mergeCell ref="J41:K41"/>
    <mergeCell ref="L41:M41"/>
    <mergeCell ref="N41:O41"/>
    <mergeCell ref="P41:Q41"/>
    <mergeCell ref="U37:W39"/>
    <mergeCell ref="J38:K38"/>
    <mergeCell ref="L38:M38"/>
    <mergeCell ref="N38:O38"/>
    <mergeCell ref="P38:Q38"/>
    <mergeCell ref="E39:I39"/>
    <mergeCell ref="J39:K39"/>
    <mergeCell ref="L39:M39"/>
    <mergeCell ref="N39:O39"/>
    <mergeCell ref="P39:Q39"/>
    <mergeCell ref="A37:A39"/>
    <mergeCell ref="J37:K37"/>
    <mergeCell ref="L37:M37"/>
    <mergeCell ref="N37:O37"/>
    <mergeCell ref="P37:Q37"/>
    <mergeCell ref="G35:G36"/>
    <mergeCell ref="H35:H36"/>
    <mergeCell ref="I35:I36"/>
    <mergeCell ref="J35:Q35"/>
    <mergeCell ref="Q33:S33"/>
    <mergeCell ref="T33:W33"/>
    <mergeCell ref="A34:W34"/>
    <mergeCell ref="A35:A36"/>
    <mergeCell ref="B35:B36"/>
    <mergeCell ref="C35:C36"/>
    <mergeCell ref="D35:D36"/>
    <mergeCell ref="E35:E36"/>
    <mergeCell ref="F35:F36"/>
    <mergeCell ref="U35:W36"/>
    <mergeCell ref="J36:K36"/>
    <mergeCell ref="L36:M36"/>
    <mergeCell ref="N36:O36"/>
    <mergeCell ref="P36:Q36"/>
    <mergeCell ref="R35:S36"/>
    <mergeCell ref="T35:T36"/>
    <mergeCell ref="B27:I27"/>
    <mergeCell ref="E29:I29"/>
    <mergeCell ref="J29:K29"/>
    <mergeCell ref="L29:M29"/>
    <mergeCell ref="N29:O29"/>
    <mergeCell ref="P29:Q29"/>
    <mergeCell ref="J25:K25"/>
    <mergeCell ref="L25:M25"/>
    <mergeCell ref="N25:O25"/>
    <mergeCell ref="P25:Q25"/>
    <mergeCell ref="J26:K26"/>
    <mergeCell ref="L26:M26"/>
    <mergeCell ref="N26:O26"/>
    <mergeCell ref="P26:Q26"/>
    <mergeCell ref="J20:K20"/>
    <mergeCell ref="L20:M20"/>
    <mergeCell ref="N20:O20"/>
    <mergeCell ref="P20:Q20"/>
    <mergeCell ref="J17:K17"/>
    <mergeCell ref="L17:M17"/>
    <mergeCell ref="N17:O17"/>
    <mergeCell ref="P17:Q17"/>
    <mergeCell ref="J18:K18"/>
    <mergeCell ref="L18:M18"/>
    <mergeCell ref="N18:O18"/>
    <mergeCell ref="P18:Q18"/>
    <mergeCell ref="A7:A27"/>
    <mergeCell ref="J7:K7"/>
    <mergeCell ref="L7:M7"/>
    <mergeCell ref="N7:O7"/>
    <mergeCell ref="P7:Q7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19:K19"/>
    <mergeCell ref="L19:M19"/>
    <mergeCell ref="N19:O19"/>
    <mergeCell ref="U7:W27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J9:K9"/>
    <mergeCell ref="L9:M9"/>
    <mergeCell ref="N9:O9"/>
    <mergeCell ref="P9:Q9"/>
    <mergeCell ref="J10:K10"/>
    <mergeCell ref="L10:M10"/>
    <mergeCell ref="N10:O10"/>
    <mergeCell ref="P10:Q10"/>
    <mergeCell ref="P19:Q19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39" orientation="portrait" horizontalDpi="1200" verticalDpi="12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7"/>
  <sheetViews>
    <sheetView tabSelected="1" topLeftCell="A70" zoomScale="85" zoomScaleNormal="85" workbookViewId="0">
      <selection activeCell="C106" sqref="C106"/>
    </sheetView>
  </sheetViews>
  <sheetFormatPr defaultColWidth="8.88671875" defaultRowHeight="14.4" x14ac:dyDescent="0.3"/>
  <cols>
    <col min="1" max="1" width="12.6640625" style="135" customWidth="1"/>
    <col min="2" max="3" width="7.6640625" style="135" customWidth="1"/>
    <col min="4" max="4" width="8.109375" style="8" bestFit="1" customWidth="1"/>
    <col min="5" max="5" width="38.6640625" style="135" bestFit="1" customWidth="1"/>
    <col min="6" max="6" width="5.6640625" style="135" customWidth="1"/>
    <col min="7" max="9" width="6.6640625" style="135" customWidth="1"/>
    <col min="10" max="10" width="6.6640625" style="8" customWidth="1"/>
    <col min="11" max="11" width="5.21875" style="8" customWidth="1"/>
    <col min="12" max="12" width="6.6640625" style="8" customWidth="1"/>
    <col min="13" max="13" width="5.21875" style="8" customWidth="1"/>
    <col min="14" max="14" width="6.6640625" style="8" customWidth="1"/>
    <col min="15" max="15" width="5.21875" style="8" customWidth="1"/>
    <col min="16" max="16" width="6.6640625" style="8" customWidth="1"/>
    <col min="17" max="17" width="5.21875" style="8" customWidth="1"/>
    <col min="18" max="18" width="6.44140625" style="8" customWidth="1"/>
    <col min="19" max="19" width="3.21875" style="135" customWidth="1"/>
    <col min="20" max="20" width="21.5546875" style="135" bestFit="1" customWidth="1"/>
    <col min="21" max="23" width="7.6640625" style="135" customWidth="1"/>
    <col min="24" max="16384" width="8.88671875" style="135"/>
  </cols>
  <sheetData>
    <row r="1" spans="1:23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7"/>
      <c r="U1" s="27"/>
      <c r="V1" s="27"/>
      <c r="W1" s="27"/>
    </row>
    <row r="2" spans="1:2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</row>
    <row r="3" spans="1:23" s="37" customFormat="1" ht="19.9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183" t="s">
        <v>14</v>
      </c>
      <c r="R3" s="183"/>
      <c r="S3" s="183"/>
      <c r="T3" s="184">
        <v>45966</v>
      </c>
      <c r="U3" s="185"/>
      <c r="V3" s="185"/>
      <c r="W3" s="186"/>
    </row>
    <row r="4" spans="1:23" s="16" customFormat="1" ht="30" customHeight="1" x14ac:dyDescent="0.3">
      <c r="A4" s="187" t="s">
        <v>18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9"/>
      <c r="Q4" s="189"/>
      <c r="R4" s="189"/>
      <c r="S4" s="189"/>
      <c r="T4" s="188"/>
      <c r="U4" s="188"/>
      <c r="V4" s="188"/>
      <c r="W4" s="190"/>
    </row>
    <row r="5" spans="1:23" s="25" customFormat="1" ht="13.8" x14ac:dyDescent="0.3">
      <c r="A5" s="225" t="s">
        <v>1</v>
      </c>
      <c r="B5" s="228" t="s">
        <v>2</v>
      </c>
      <c r="C5" s="228" t="s">
        <v>3</v>
      </c>
      <c r="D5" s="228" t="s">
        <v>4</v>
      </c>
      <c r="E5" s="225" t="s">
        <v>5</v>
      </c>
      <c r="F5" s="218" t="s">
        <v>25</v>
      </c>
      <c r="G5" s="218" t="s">
        <v>21</v>
      </c>
      <c r="H5" s="218" t="s">
        <v>22</v>
      </c>
      <c r="I5" s="218" t="s">
        <v>23</v>
      </c>
      <c r="J5" s="220" t="s">
        <v>6</v>
      </c>
      <c r="K5" s="221"/>
      <c r="L5" s="221"/>
      <c r="M5" s="221"/>
      <c r="N5" s="221"/>
      <c r="O5" s="221"/>
      <c r="P5" s="221"/>
      <c r="Q5" s="222"/>
      <c r="R5" s="220" t="s">
        <v>10</v>
      </c>
      <c r="S5" s="222"/>
      <c r="T5" s="225" t="s">
        <v>11</v>
      </c>
      <c r="U5" s="225" t="s">
        <v>12</v>
      </c>
      <c r="V5" s="225"/>
      <c r="W5" s="225"/>
    </row>
    <row r="6" spans="1:23" s="25" customFormat="1" ht="13.8" x14ac:dyDescent="0.3">
      <c r="A6" s="225"/>
      <c r="B6" s="228"/>
      <c r="C6" s="228"/>
      <c r="D6" s="228"/>
      <c r="E6" s="225"/>
      <c r="F6" s="219"/>
      <c r="G6" s="219"/>
      <c r="H6" s="219"/>
      <c r="I6" s="219"/>
      <c r="J6" s="226" t="s">
        <v>7</v>
      </c>
      <c r="K6" s="227"/>
      <c r="L6" s="226" t="s">
        <v>8</v>
      </c>
      <c r="M6" s="227"/>
      <c r="N6" s="226" t="s">
        <v>9</v>
      </c>
      <c r="O6" s="227"/>
      <c r="P6" s="226" t="s">
        <v>117</v>
      </c>
      <c r="Q6" s="227"/>
      <c r="R6" s="223"/>
      <c r="S6" s="224"/>
      <c r="T6" s="225"/>
      <c r="U6" s="225"/>
      <c r="V6" s="225"/>
      <c r="W6" s="225"/>
    </row>
    <row r="7" spans="1:23" x14ac:dyDescent="0.3">
      <c r="A7" s="180" t="s">
        <v>19</v>
      </c>
      <c r="B7" s="5">
        <v>0.33333333333333331</v>
      </c>
      <c r="C7" s="5"/>
      <c r="D7" s="4">
        <v>250058</v>
      </c>
      <c r="E7" s="12" t="s">
        <v>744</v>
      </c>
      <c r="F7" s="162">
        <v>352</v>
      </c>
      <c r="G7" s="162">
        <v>304</v>
      </c>
      <c r="H7" s="18">
        <v>0.7</v>
      </c>
      <c r="I7" s="162">
        <v>33000</v>
      </c>
      <c r="J7" s="165">
        <v>800</v>
      </c>
      <c r="K7" s="166"/>
      <c r="L7" s="165"/>
      <c r="M7" s="166"/>
      <c r="N7" s="165"/>
      <c r="O7" s="166"/>
      <c r="P7" s="165"/>
      <c r="Q7" s="166"/>
      <c r="R7" s="161"/>
      <c r="S7" s="14" t="s">
        <v>20</v>
      </c>
      <c r="T7" s="42"/>
      <c r="U7" s="202"/>
      <c r="V7" s="203"/>
      <c r="W7" s="204"/>
    </row>
    <row r="8" spans="1:23" x14ac:dyDescent="0.3">
      <c r="A8" s="181"/>
      <c r="B8" s="5"/>
      <c r="C8" s="5"/>
      <c r="D8" s="4" t="s">
        <v>102</v>
      </c>
      <c r="E8" s="12" t="s">
        <v>485</v>
      </c>
      <c r="F8" s="162">
        <v>265</v>
      </c>
      <c r="G8" s="162">
        <v>304</v>
      </c>
      <c r="H8" s="18">
        <v>0.7</v>
      </c>
      <c r="I8" s="162">
        <v>33000</v>
      </c>
      <c r="J8" s="165"/>
      <c r="K8" s="166"/>
      <c r="L8" s="165"/>
      <c r="M8" s="166"/>
      <c r="N8" s="165">
        <v>200</v>
      </c>
      <c r="O8" s="166"/>
      <c r="P8" s="165"/>
      <c r="Q8" s="166"/>
      <c r="R8" s="161"/>
      <c r="S8" s="14" t="s">
        <v>20</v>
      </c>
      <c r="T8" s="42"/>
      <c r="U8" s="205"/>
      <c r="V8" s="206"/>
      <c r="W8" s="207"/>
    </row>
    <row r="9" spans="1:23" x14ac:dyDescent="0.3">
      <c r="A9" s="181"/>
      <c r="B9" s="5"/>
      <c r="C9" s="5"/>
      <c r="D9" s="4" t="s">
        <v>745</v>
      </c>
      <c r="E9" s="12" t="s">
        <v>746</v>
      </c>
      <c r="F9" s="162">
        <v>535</v>
      </c>
      <c r="G9" s="162">
        <v>304</v>
      </c>
      <c r="H9" s="18">
        <v>0.7</v>
      </c>
      <c r="I9" s="162">
        <v>33000</v>
      </c>
      <c r="J9" s="165">
        <v>846</v>
      </c>
      <c r="K9" s="166"/>
      <c r="L9" s="165"/>
      <c r="M9" s="166"/>
      <c r="N9" s="165"/>
      <c r="O9" s="166"/>
      <c r="P9" s="165"/>
      <c r="Q9" s="166"/>
      <c r="R9" s="161">
        <v>30</v>
      </c>
      <c r="S9" s="14" t="s">
        <v>20</v>
      </c>
      <c r="T9" s="42" t="s">
        <v>110</v>
      </c>
      <c r="U9" s="205"/>
      <c r="V9" s="206"/>
      <c r="W9" s="207"/>
    </row>
    <row r="10" spans="1:23" x14ac:dyDescent="0.3">
      <c r="A10" s="181"/>
      <c r="B10" s="5"/>
      <c r="C10" s="5"/>
      <c r="D10" s="4" t="s">
        <v>745</v>
      </c>
      <c r="E10" s="12" t="s">
        <v>747</v>
      </c>
      <c r="F10" s="162">
        <v>490</v>
      </c>
      <c r="G10" s="162">
        <v>304</v>
      </c>
      <c r="H10" s="18">
        <v>0.7</v>
      </c>
      <c r="I10" s="162">
        <v>33000</v>
      </c>
      <c r="J10" s="165">
        <v>396</v>
      </c>
      <c r="K10" s="166"/>
      <c r="L10" s="165"/>
      <c r="M10" s="166"/>
      <c r="N10" s="165"/>
      <c r="O10" s="166"/>
      <c r="P10" s="165"/>
      <c r="Q10" s="166"/>
      <c r="R10" s="161">
        <v>10</v>
      </c>
      <c r="S10" s="14" t="s">
        <v>20</v>
      </c>
      <c r="T10" s="42" t="s">
        <v>111</v>
      </c>
      <c r="U10" s="205"/>
      <c r="V10" s="206"/>
      <c r="W10" s="207"/>
    </row>
    <row r="11" spans="1:23" x14ac:dyDescent="0.3">
      <c r="A11" s="181"/>
      <c r="B11" s="5"/>
      <c r="C11" s="5"/>
      <c r="D11" s="4" t="s">
        <v>102</v>
      </c>
      <c r="E11" s="12" t="s">
        <v>314</v>
      </c>
      <c r="F11" s="162">
        <v>245</v>
      </c>
      <c r="G11" s="162">
        <v>304</v>
      </c>
      <c r="H11" s="18">
        <v>0.7</v>
      </c>
      <c r="I11" s="162">
        <v>33000</v>
      </c>
      <c r="J11" s="165">
        <v>132</v>
      </c>
      <c r="K11" s="166"/>
      <c r="L11" s="165"/>
      <c r="M11" s="166"/>
      <c r="N11" s="165"/>
      <c r="O11" s="166"/>
      <c r="P11" s="165"/>
      <c r="Q11" s="166"/>
      <c r="R11" s="161">
        <v>45</v>
      </c>
      <c r="S11" s="14" t="s">
        <v>20</v>
      </c>
      <c r="T11" s="42" t="s">
        <v>677</v>
      </c>
      <c r="U11" s="205"/>
      <c r="V11" s="206"/>
      <c r="W11" s="207"/>
    </row>
    <row r="12" spans="1:23" x14ac:dyDescent="0.3">
      <c r="A12" s="181"/>
      <c r="B12" s="5"/>
      <c r="C12" s="5"/>
      <c r="D12" s="4" t="s">
        <v>102</v>
      </c>
      <c r="E12" s="12" t="s">
        <v>485</v>
      </c>
      <c r="F12" s="162">
        <v>265</v>
      </c>
      <c r="G12" s="162">
        <v>304</v>
      </c>
      <c r="H12" s="18">
        <v>0.7</v>
      </c>
      <c r="I12" s="162">
        <v>33000</v>
      </c>
      <c r="J12" s="165"/>
      <c r="K12" s="166"/>
      <c r="L12" s="165"/>
      <c r="M12" s="166"/>
      <c r="N12" s="165">
        <v>108</v>
      </c>
      <c r="O12" s="166"/>
      <c r="P12" s="165"/>
      <c r="Q12" s="166"/>
      <c r="R12" s="161"/>
      <c r="S12" s="14" t="s">
        <v>20</v>
      </c>
      <c r="T12" s="42"/>
      <c r="U12" s="205"/>
      <c r="V12" s="206"/>
      <c r="W12" s="207"/>
    </row>
    <row r="13" spans="1:23" x14ac:dyDescent="0.3">
      <c r="A13" s="181"/>
      <c r="B13" s="5"/>
      <c r="C13" s="5"/>
      <c r="D13" s="4">
        <v>250060</v>
      </c>
      <c r="E13" s="12" t="s">
        <v>712</v>
      </c>
      <c r="F13" s="162">
        <v>560</v>
      </c>
      <c r="G13" s="162">
        <v>304</v>
      </c>
      <c r="H13" s="18">
        <v>0.8</v>
      </c>
      <c r="I13" s="162">
        <v>30000</v>
      </c>
      <c r="J13" s="165">
        <v>294</v>
      </c>
      <c r="K13" s="166"/>
      <c r="L13" s="165"/>
      <c r="M13" s="166"/>
      <c r="N13" s="165"/>
      <c r="O13" s="166"/>
      <c r="P13" s="165"/>
      <c r="Q13" s="166"/>
      <c r="R13" s="161">
        <v>30</v>
      </c>
      <c r="S13" s="14" t="s">
        <v>20</v>
      </c>
      <c r="T13" s="42" t="s">
        <v>753</v>
      </c>
      <c r="U13" s="205"/>
      <c r="V13" s="206"/>
      <c r="W13" s="207"/>
    </row>
    <row r="14" spans="1:23" x14ac:dyDescent="0.3">
      <c r="A14" s="181"/>
      <c r="B14" s="5"/>
      <c r="C14" s="5"/>
      <c r="D14" s="4" t="s">
        <v>102</v>
      </c>
      <c r="E14" s="12" t="s">
        <v>713</v>
      </c>
      <c r="F14" s="162">
        <v>300</v>
      </c>
      <c r="G14" s="162">
        <v>304</v>
      </c>
      <c r="H14" s="18">
        <v>0.8</v>
      </c>
      <c r="I14" s="162">
        <v>30000</v>
      </c>
      <c r="J14" s="165"/>
      <c r="K14" s="166"/>
      <c r="L14" s="165"/>
      <c r="M14" s="166"/>
      <c r="N14" s="165">
        <v>147</v>
      </c>
      <c r="O14" s="166"/>
      <c r="P14" s="165"/>
      <c r="Q14" s="166"/>
      <c r="R14" s="161"/>
      <c r="S14" s="14" t="s">
        <v>20</v>
      </c>
      <c r="T14" s="42"/>
      <c r="U14" s="205"/>
      <c r="V14" s="206"/>
      <c r="W14" s="207"/>
    </row>
    <row r="15" spans="1:23" x14ac:dyDescent="0.3">
      <c r="A15" s="181"/>
      <c r="B15" s="5"/>
      <c r="C15" s="5"/>
      <c r="D15" s="4">
        <v>250060</v>
      </c>
      <c r="E15" s="12" t="s">
        <v>507</v>
      </c>
      <c r="F15" s="162">
        <v>319</v>
      </c>
      <c r="G15" s="162">
        <v>304</v>
      </c>
      <c r="H15" s="18">
        <v>0.8</v>
      </c>
      <c r="I15" s="162">
        <v>30000</v>
      </c>
      <c r="J15" s="165">
        <v>680</v>
      </c>
      <c r="K15" s="166"/>
      <c r="L15" s="165"/>
      <c r="M15" s="166"/>
      <c r="N15" s="165"/>
      <c r="O15" s="166"/>
      <c r="P15" s="165"/>
      <c r="Q15" s="166"/>
      <c r="R15" s="161"/>
      <c r="S15" s="14" t="s">
        <v>20</v>
      </c>
      <c r="T15" s="42"/>
      <c r="U15" s="205"/>
      <c r="V15" s="206"/>
      <c r="W15" s="207"/>
    </row>
    <row r="16" spans="1:23" x14ac:dyDescent="0.3">
      <c r="A16" s="181"/>
      <c r="B16" s="5"/>
      <c r="C16" s="5"/>
      <c r="D16" s="4" t="s">
        <v>102</v>
      </c>
      <c r="E16" s="12" t="s">
        <v>711</v>
      </c>
      <c r="F16" s="162">
        <v>132</v>
      </c>
      <c r="G16" s="162">
        <v>304</v>
      </c>
      <c r="H16" s="18">
        <v>0.8</v>
      </c>
      <c r="I16" s="162">
        <v>30000</v>
      </c>
      <c r="J16" s="165"/>
      <c r="K16" s="166"/>
      <c r="L16" s="165"/>
      <c r="M16" s="166"/>
      <c r="N16" s="165">
        <v>170</v>
      </c>
      <c r="O16" s="166"/>
      <c r="P16" s="165"/>
      <c r="Q16" s="166"/>
      <c r="R16" s="161"/>
      <c r="S16" s="14" t="s">
        <v>20</v>
      </c>
      <c r="T16" s="42"/>
      <c r="U16" s="205"/>
      <c r="V16" s="206"/>
      <c r="W16" s="207"/>
    </row>
    <row r="17" spans="1:23" x14ac:dyDescent="0.3">
      <c r="A17" s="181"/>
      <c r="B17" s="5"/>
      <c r="C17" s="5"/>
      <c r="D17" s="4">
        <v>250060</v>
      </c>
      <c r="E17" s="12" t="s">
        <v>249</v>
      </c>
      <c r="F17" s="162">
        <v>323</v>
      </c>
      <c r="G17" s="162">
        <v>304</v>
      </c>
      <c r="H17" s="18">
        <v>0.8</v>
      </c>
      <c r="I17" s="162">
        <v>30000</v>
      </c>
      <c r="J17" s="165">
        <v>680</v>
      </c>
      <c r="K17" s="166"/>
      <c r="L17" s="165"/>
      <c r="M17" s="166"/>
      <c r="N17" s="165"/>
      <c r="O17" s="166"/>
      <c r="P17" s="165"/>
      <c r="Q17" s="166"/>
      <c r="R17" s="161"/>
      <c r="S17" s="14" t="s">
        <v>20</v>
      </c>
      <c r="T17" s="42"/>
      <c r="U17" s="205"/>
      <c r="V17" s="206"/>
      <c r="W17" s="207"/>
    </row>
    <row r="18" spans="1:23" x14ac:dyDescent="0.3">
      <c r="A18" s="181"/>
      <c r="B18" s="5"/>
      <c r="C18" s="5"/>
      <c r="D18" s="4" t="s">
        <v>748</v>
      </c>
      <c r="E18" s="12" t="s">
        <v>749</v>
      </c>
      <c r="F18" s="162">
        <v>550</v>
      </c>
      <c r="G18" s="162">
        <v>430</v>
      </c>
      <c r="H18" s="18">
        <v>0.5</v>
      </c>
      <c r="I18" s="162">
        <v>35000</v>
      </c>
      <c r="J18" s="165">
        <v>30</v>
      </c>
      <c r="K18" s="166"/>
      <c r="L18" s="165"/>
      <c r="M18" s="166"/>
      <c r="N18" s="165"/>
      <c r="O18" s="166"/>
      <c r="P18" s="165"/>
      <c r="Q18" s="166"/>
      <c r="R18" s="161"/>
      <c r="S18" s="14" t="s">
        <v>20</v>
      </c>
      <c r="T18" s="42"/>
      <c r="U18" s="205"/>
      <c r="V18" s="206"/>
      <c r="W18" s="207"/>
    </row>
    <row r="19" spans="1:23" x14ac:dyDescent="0.3">
      <c r="A19" s="181"/>
      <c r="B19" s="5"/>
      <c r="C19" s="5"/>
      <c r="D19" s="4" t="s">
        <v>102</v>
      </c>
      <c r="E19" s="12" t="s">
        <v>750</v>
      </c>
      <c r="F19" s="162">
        <v>315</v>
      </c>
      <c r="G19" s="162">
        <v>430</v>
      </c>
      <c r="H19" s="18">
        <v>0.5</v>
      </c>
      <c r="I19" s="162">
        <v>35000</v>
      </c>
      <c r="J19" s="165">
        <v>15</v>
      </c>
      <c r="K19" s="166"/>
      <c r="L19" s="165"/>
      <c r="M19" s="166"/>
      <c r="N19" s="165"/>
      <c r="O19" s="166"/>
      <c r="P19" s="165"/>
      <c r="Q19" s="166"/>
      <c r="R19" s="161"/>
      <c r="S19" s="14" t="s">
        <v>20</v>
      </c>
      <c r="T19" s="42"/>
      <c r="U19" s="205"/>
      <c r="V19" s="206"/>
      <c r="W19" s="207"/>
    </row>
    <row r="20" spans="1:23" x14ac:dyDescent="0.3">
      <c r="A20" s="181"/>
      <c r="B20" s="5"/>
      <c r="C20" s="5"/>
      <c r="D20" s="4" t="s">
        <v>102</v>
      </c>
      <c r="E20" s="12" t="s">
        <v>751</v>
      </c>
      <c r="F20" s="162">
        <v>100</v>
      </c>
      <c r="G20" s="162">
        <v>430</v>
      </c>
      <c r="H20" s="18">
        <v>0.5</v>
      </c>
      <c r="I20" s="162">
        <v>35000</v>
      </c>
      <c r="J20" s="165"/>
      <c r="K20" s="166"/>
      <c r="L20" s="165"/>
      <c r="M20" s="166"/>
      <c r="N20" s="165">
        <v>30</v>
      </c>
      <c r="O20" s="166"/>
      <c r="P20" s="165"/>
      <c r="Q20" s="166"/>
      <c r="R20" s="161"/>
      <c r="S20" s="14" t="s">
        <v>20</v>
      </c>
      <c r="T20" s="42"/>
      <c r="U20" s="205"/>
      <c r="V20" s="206"/>
      <c r="W20" s="207"/>
    </row>
    <row r="21" spans="1:23" x14ac:dyDescent="0.3">
      <c r="A21" s="181"/>
      <c r="B21" s="5"/>
      <c r="C21" s="5"/>
      <c r="D21" s="4" t="s">
        <v>748</v>
      </c>
      <c r="E21" s="12" t="s">
        <v>749</v>
      </c>
      <c r="F21" s="162">
        <v>550</v>
      </c>
      <c r="G21" s="162">
        <v>430</v>
      </c>
      <c r="H21" s="18">
        <v>0.5</v>
      </c>
      <c r="I21" s="162">
        <v>35000</v>
      </c>
      <c r="J21" s="165">
        <v>240</v>
      </c>
      <c r="K21" s="166"/>
      <c r="L21" s="165"/>
      <c r="M21" s="166"/>
      <c r="N21" s="165"/>
      <c r="O21" s="166"/>
      <c r="P21" s="165"/>
      <c r="Q21" s="166"/>
      <c r="R21" s="161"/>
      <c r="S21" s="14" t="s">
        <v>20</v>
      </c>
      <c r="T21" s="42"/>
      <c r="U21" s="205"/>
      <c r="V21" s="206"/>
      <c r="W21" s="207"/>
    </row>
    <row r="22" spans="1:23" x14ac:dyDescent="0.3">
      <c r="A22" s="181"/>
      <c r="B22" s="5"/>
      <c r="C22" s="5"/>
      <c r="D22" s="4" t="s">
        <v>102</v>
      </c>
      <c r="E22" s="12" t="s">
        <v>752</v>
      </c>
      <c r="F22" s="162">
        <v>315</v>
      </c>
      <c r="G22" s="162">
        <v>430</v>
      </c>
      <c r="H22" s="18">
        <v>0.5</v>
      </c>
      <c r="I22" s="162">
        <v>35000</v>
      </c>
      <c r="J22" s="165">
        <v>120</v>
      </c>
      <c r="K22" s="166"/>
      <c r="L22" s="165"/>
      <c r="M22" s="166"/>
      <c r="N22" s="165"/>
      <c r="O22" s="166"/>
      <c r="P22" s="165"/>
      <c r="Q22" s="166"/>
      <c r="R22" s="161"/>
      <c r="S22" s="14" t="s">
        <v>20</v>
      </c>
      <c r="T22" s="42"/>
      <c r="U22" s="205"/>
      <c r="V22" s="206"/>
      <c r="W22" s="207"/>
    </row>
    <row r="23" spans="1:23" x14ac:dyDescent="0.3">
      <c r="A23" s="181"/>
      <c r="B23" s="5"/>
      <c r="C23" s="5">
        <v>0.70833333333333337</v>
      </c>
      <c r="D23" s="4" t="s">
        <v>102</v>
      </c>
      <c r="E23" s="12" t="s">
        <v>751</v>
      </c>
      <c r="F23" s="162">
        <v>100</v>
      </c>
      <c r="G23" s="162">
        <v>430</v>
      </c>
      <c r="H23" s="18">
        <v>0.5</v>
      </c>
      <c r="I23" s="162">
        <v>35000</v>
      </c>
      <c r="J23" s="165"/>
      <c r="K23" s="166"/>
      <c r="L23" s="165"/>
      <c r="M23" s="166"/>
      <c r="N23" s="165">
        <v>240</v>
      </c>
      <c r="O23" s="166"/>
      <c r="P23" s="165"/>
      <c r="Q23" s="166"/>
      <c r="R23" s="161"/>
      <c r="S23" s="14" t="s">
        <v>20</v>
      </c>
      <c r="T23" s="42"/>
      <c r="U23" s="205"/>
      <c r="V23" s="206"/>
      <c r="W23" s="207"/>
    </row>
    <row r="24" spans="1:23" x14ac:dyDescent="0.3">
      <c r="A24" s="181"/>
      <c r="B24" s="5"/>
      <c r="C24" s="5"/>
      <c r="D24" s="4"/>
      <c r="E24" s="12"/>
      <c r="F24" s="162"/>
      <c r="G24" s="162"/>
      <c r="H24" s="18"/>
      <c r="I24" s="162"/>
      <c r="J24" s="165"/>
      <c r="K24" s="166"/>
      <c r="L24" s="165"/>
      <c r="M24" s="166"/>
      <c r="N24" s="165"/>
      <c r="O24" s="166"/>
      <c r="P24" s="165"/>
      <c r="Q24" s="166"/>
      <c r="R24" s="161"/>
      <c r="S24" s="14" t="s">
        <v>20</v>
      </c>
      <c r="T24" s="42"/>
      <c r="U24" s="205"/>
      <c r="V24" s="206"/>
      <c r="W24" s="207"/>
    </row>
    <row r="25" spans="1:23" x14ac:dyDescent="0.3">
      <c r="A25" s="181"/>
      <c r="B25" s="5"/>
      <c r="C25" s="5"/>
      <c r="D25" s="4"/>
      <c r="E25" s="12"/>
      <c r="F25" s="162"/>
      <c r="G25" s="162"/>
      <c r="H25" s="18"/>
      <c r="I25" s="162"/>
      <c r="J25" s="165"/>
      <c r="K25" s="166"/>
      <c r="L25" s="165"/>
      <c r="M25" s="166"/>
      <c r="N25" s="165"/>
      <c r="O25" s="166"/>
      <c r="P25" s="165"/>
      <c r="Q25" s="166"/>
      <c r="R25" s="161"/>
      <c r="S25" s="14" t="s">
        <v>20</v>
      </c>
      <c r="T25" s="42"/>
      <c r="U25" s="205"/>
      <c r="V25" s="206"/>
      <c r="W25" s="207"/>
    </row>
    <row r="26" spans="1:23" x14ac:dyDescent="0.3">
      <c r="A26" s="181"/>
      <c r="B26" s="5"/>
      <c r="C26" s="5"/>
      <c r="D26" s="4"/>
      <c r="E26" s="12"/>
      <c r="F26" s="162"/>
      <c r="G26" s="162"/>
      <c r="H26" s="18"/>
      <c r="I26" s="162"/>
      <c r="J26" s="165"/>
      <c r="K26" s="166"/>
      <c r="L26" s="165"/>
      <c r="M26" s="166"/>
      <c r="N26" s="165"/>
      <c r="O26" s="166"/>
      <c r="P26" s="165"/>
      <c r="Q26" s="166"/>
      <c r="R26" s="161"/>
      <c r="S26" s="14" t="s">
        <v>20</v>
      </c>
      <c r="T26" s="42"/>
      <c r="U26" s="205"/>
      <c r="V26" s="206"/>
      <c r="W26" s="207"/>
    </row>
    <row r="27" spans="1:23" x14ac:dyDescent="0.3">
      <c r="A27" s="182"/>
      <c r="B27" s="170" t="s">
        <v>0</v>
      </c>
      <c r="C27" s="171"/>
      <c r="D27" s="171"/>
      <c r="E27" s="171"/>
      <c r="F27" s="171"/>
      <c r="G27" s="171"/>
      <c r="H27" s="171"/>
      <c r="I27" s="172"/>
      <c r="J27" s="21">
        <f>SUM(J7:K26)</f>
        <v>4233</v>
      </c>
      <c r="K27" s="22" t="s">
        <v>17</v>
      </c>
      <c r="L27" s="21">
        <f>SUM(L7:M26)</f>
        <v>0</v>
      </c>
      <c r="M27" s="22" t="s">
        <v>17</v>
      </c>
      <c r="N27" s="21">
        <f>SUM(N7:O26)</f>
        <v>895</v>
      </c>
      <c r="O27" s="22" t="s">
        <v>17</v>
      </c>
      <c r="P27" s="21">
        <f>SUM(P7:Q26)</f>
        <v>0</v>
      </c>
      <c r="Q27" s="22" t="s">
        <v>17</v>
      </c>
      <c r="R27" s="23">
        <f>SUM(R7:R26)</f>
        <v>115</v>
      </c>
      <c r="S27" s="24" t="s">
        <v>20</v>
      </c>
      <c r="T27" s="19"/>
      <c r="U27" s="208"/>
      <c r="V27" s="209"/>
      <c r="W27" s="210"/>
    </row>
    <row r="28" spans="1:23" ht="14.55" customHeight="1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spans="1:23" ht="14.55" customHeight="1" x14ac:dyDescent="0.3">
      <c r="A29" s="27"/>
      <c r="B29" s="27"/>
      <c r="C29" s="27"/>
      <c r="D29" s="27"/>
      <c r="E29" s="170" t="s">
        <v>27</v>
      </c>
      <c r="F29" s="171"/>
      <c r="G29" s="171"/>
      <c r="H29" s="171"/>
      <c r="I29" s="172"/>
      <c r="J29" s="175" t="s">
        <v>7</v>
      </c>
      <c r="K29" s="176"/>
      <c r="L29" s="175" t="s">
        <v>8</v>
      </c>
      <c r="M29" s="176"/>
      <c r="N29" s="175" t="s">
        <v>9</v>
      </c>
      <c r="O29" s="176"/>
      <c r="P29" s="175" t="s">
        <v>117</v>
      </c>
      <c r="Q29" s="176"/>
      <c r="R29" s="27"/>
      <c r="S29" s="27"/>
    </row>
    <row r="30" spans="1:23" ht="14.55" customHeight="1" x14ac:dyDescent="0.3">
      <c r="A30" s="27"/>
      <c r="B30" s="27"/>
      <c r="C30" s="27"/>
      <c r="D30" s="27"/>
      <c r="E30" s="15"/>
      <c r="F30" s="15"/>
      <c r="G30" s="15"/>
      <c r="H30" s="15"/>
      <c r="I30" s="15"/>
      <c r="J30" s="30">
        <f>J27</f>
        <v>4233</v>
      </c>
      <c r="K30" s="31" t="s">
        <v>17</v>
      </c>
      <c r="L30" s="32">
        <f>L27</f>
        <v>0</v>
      </c>
      <c r="M30" s="31" t="s">
        <v>17</v>
      </c>
      <c r="N30" s="32">
        <f>N27</f>
        <v>895</v>
      </c>
      <c r="O30" s="31" t="s">
        <v>17</v>
      </c>
      <c r="P30" s="33">
        <f>P27</f>
        <v>0</v>
      </c>
      <c r="Q30" s="34" t="s">
        <v>17</v>
      </c>
      <c r="R30" s="27"/>
      <c r="S30" s="27"/>
    </row>
    <row r="31" spans="1:23" ht="30" customHeight="1" x14ac:dyDescent="0.3">
      <c r="A31" s="27"/>
      <c r="B31" s="27"/>
      <c r="C31" s="27"/>
      <c r="D31" s="27"/>
      <c r="E31" s="28"/>
      <c r="F31" s="28"/>
      <c r="G31" s="28"/>
      <c r="H31" s="28"/>
      <c r="I31" s="28"/>
      <c r="J31" s="167">
        <f>J30+L30+N30+P30</f>
        <v>5128</v>
      </c>
      <c r="K31" s="168"/>
      <c r="L31" s="168"/>
      <c r="M31" s="168"/>
      <c r="N31" s="168"/>
      <c r="O31" s="168"/>
      <c r="P31" s="168"/>
      <c r="Q31" s="169"/>
      <c r="R31" s="27"/>
      <c r="S31" s="27"/>
    </row>
    <row r="32" spans="1:23" ht="14.55" customHeight="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spans="1:23" s="37" customFormat="1" ht="19.95" customHeight="1" x14ac:dyDescent="0.4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183" t="s">
        <v>14</v>
      </c>
      <c r="R33" s="183"/>
      <c r="S33" s="183"/>
      <c r="T33" s="184">
        <f>T3</f>
        <v>45966</v>
      </c>
      <c r="U33" s="185"/>
      <c r="V33" s="185"/>
      <c r="W33" s="186"/>
    </row>
    <row r="34" spans="1:23" s="16" customFormat="1" ht="30" customHeight="1" x14ac:dyDescent="0.3">
      <c r="A34" s="187" t="s">
        <v>29</v>
      </c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9"/>
      <c r="Q34" s="189"/>
      <c r="R34" s="189"/>
      <c r="S34" s="189"/>
      <c r="T34" s="188"/>
      <c r="U34" s="188"/>
      <c r="V34" s="188"/>
      <c r="W34" s="190"/>
    </row>
    <row r="35" spans="1:23" s="26" customFormat="1" ht="13.8" x14ac:dyDescent="0.3">
      <c r="A35" s="191" t="s">
        <v>1</v>
      </c>
      <c r="B35" s="192" t="s">
        <v>2</v>
      </c>
      <c r="C35" s="192" t="s">
        <v>3</v>
      </c>
      <c r="D35" s="192" t="s">
        <v>4</v>
      </c>
      <c r="E35" s="193" t="s">
        <v>5</v>
      </c>
      <c r="F35" s="195" t="s">
        <v>21</v>
      </c>
      <c r="G35" s="195" t="s">
        <v>22</v>
      </c>
      <c r="H35" s="195" t="s">
        <v>33</v>
      </c>
      <c r="I35" s="195" t="s">
        <v>30</v>
      </c>
      <c r="J35" s="193" t="s">
        <v>6</v>
      </c>
      <c r="K35" s="197"/>
      <c r="L35" s="197"/>
      <c r="M35" s="197"/>
      <c r="N35" s="197"/>
      <c r="O35" s="197"/>
      <c r="P35" s="197"/>
      <c r="Q35" s="198"/>
      <c r="R35" s="193" t="s">
        <v>10</v>
      </c>
      <c r="S35" s="198"/>
      <c r="T35" s="191" t="s">
        <v>11</v>
      </c>
      <c r="U35" s="191" t="s">
        <v>12</v>
      </c>
      <c r="V35" s="191"/>
      <c r="W35" s="191"/>
    </row>
    <row r="36" spans="1:23" s="26" customFormat="1" ht="13.8" x14ac:dyDescent="0.3">
      <c r="A36" s="191"/>
      <c r="B36" s="192"/>
      <c r="C36" s="192"/>
      <c r="D36" s="192"/>
      <c r="E36" s="194"/>
      <c r="F36" s="196"/>
      <c r="G36" s="196"/>
      <c r="H36" s="196"/>
      <c r="I36" s="196"/>
      <c r="J36" s="200" t="s">
        <v>7</v>
      </c>
      <c r="K36" s="201"/>
      <c r="L36" s="200" t="s">
        <v>8</v>
      </c>
      <c r="M36" s="201"/>
      <c r="N36" s="200" t="s">
        <v>9</v>
      </c>
      <c r="O36" s="201"/>
      <c r="P36" s="200" t="s">
        <v>117</v>
      </c>
      <c r="Q36" s="201"/>
      <c r="R36" s="194"/>
      <c r="S36" s="199"/>
      <c r="T36" s="191"/>
      <c r="U36" s="191"/>
      <c r="V36" s="191"/>
      <c r="W36" s="191"/>
    </row>
    <row r="37" spans="1:23" ht="14.55" customHeight="1" x14ac:dyDescent="0.3">
      <c r="A37" s="180" t="s">
        <v>32</v>
      </c>
      <c r="B37" s="5">
        <v>0.33333333333333331</v>
      </c>
      <c r="C37" s="5"/>
      <c r="D37" s="4">
        <v>250082</v>
      </c>
      <c r="E37" s="12" t="s">
        <v>754</v>
      </c>
      <c r="F37" s="40">
        <v>430</v>
      </c>
      <c r="G37" s="41">
        <v>0.6</v>
      </c>
      <c r="H37" s="40">
        <v>653</v>
      </c>
      <c r="I37" s="12">
        <v>8</v>
      </c>
      <c r="J37" s="165">
        <v>250</v>
      </c>
      <c r="K37" s="166"/>
      <c r="L37" s="165"/>
      <c r="M37" s="166"/>
      <c r="N37" s="165"/>
      <c r="O37" s="166"/>
      <c r="P37" s="165"/>
      <c r="Q37" s="166"/>
      <c r="R37" s="161">
        <v>40</v>
      </c>
      <c r="S37" s="14" t="s">
        <v>20</v>
      </c>
      <c r="T37" s="42" t="s">
        <v>93</v>
      </c>
      <c r="U37" s="177"/>
      <c r="V37" s="178"/>
      <c r="W37" s="179"/>
    </row>
    <row r="38" spans="1:23" ht="14.55" customHeight="1" x14ac:dyDescent="0.3">
      <c r="A38" s="163"/>
      <c r="B38" s="5"/>
      <c r="C38" s="5">
        <v>0.70833333333333337</v>
      </c>
      <c r="D38" s="4">
        <v>250081</v>
      </c>
      <c r="E38" s="12" t="s">
        <v>755</v>
      </c>
      <c r="F38" s="40">
        <v>304</v>
      </c>
      <c r="G38" s="41">
        <v>0.6</v>
      </c>
      <c r="H38" s="40">
        <v>550</v>
      </c>
      <c r="I38" s="12">
        <v>8</v>
      </c>
      <c r="J38" s="165">
        <v>400</v>
      </c>
      <c r="K38" s="166"/>
      <c r="L38" s="165"/>
      <c r="M38" s="166"/>
      <c r="N38" s="165"/>
      <c r="O38" s="166"/>
      <c r="P38" s="165"/>
      <c r="Q38" s="166"/>
      <c r="R38" s="161"/>
      <c r="S38" s="14" t="s">
        <v>20</v>
      </c>
      <c r="T38" s="42"/>
      <c r="U38" s="177"/>
      <c r="V38" s="178"/>
      <c r="W38" s="179"/>
    </row>
    <row r="39" spans="1:23" ht="14.55" customHeight="1" x14ac:dyDescent="0.3">
      <c r="A39" s="181"/>
      <c r="B39" s="5"/>
      <c r="C39" s="5"/>
      <c r="D39" s="4"/>
      <c r="E39" s="12"/>
      <c r="F39" s="40"/>
      <c r="G39" s="41"/>
      <c r="H39" s="40"/>
      <c r="I39" s="12"/>
      <c r="J39" s="165"/>
      <c r="K39" s="166"/>
      <c r="L39" s="165"/>
      <c r="M39" s="166"/>
      <c r="N39" s="165"/>
      <c r="O39" s="166"/>
      <c r="P39" s="165"/>
      <c r="Q39" s="166"/>
      <c r="R39" s="161"/>
      <c r="S39" s="14" t="s">
        <v>20</v>
      </c>
      <c r="T39" s="42"/>
      <c r="U39" s="177"/>
      <c r="V39" s="178"/>
      <c r="W39" s="179"/>
    </row>
    <row r="40" spans="1:23" ht="14.55" customHeight="1" x14ac:dyDescent="0.3">
      <c r="A40" s="182"/>
      <c r="B40" s="19"/>
      <c r="C40" s="19"/>
      <c r="D40" s="20"/>
      <c r="E40" s="170" t="s">
        <v>0</v>
      </c>
      <c r="F40" s="171"/>
      <c r="G40" s="171"/>
      <c r="H40" s="171"/>
      <c r="I40" s="172"/>
      <c r="J40" s="173">
        <f>SUM(J37:K39)</f>
        <v>650</v>
      </c>
      <c r="K40" s="174"/>
      <c r="L40" s="173">
        <f>SUM(L37:M39)</f>
        <v>0</v>
      </c>
      <c r="M40" s="174"/>
      <c r="N40" s="173">
        <f>SUM(N37:O39)</f>
        <v>0</v>
      </c>
      <c r="O40" s="174"/>
      <c r="P40" s="173">
        <f>SUM(P37:Q39)</f>
        <v>0</v>
      </c>
      <c r="Q40" s="174"/>
      <c r="R40" s="23">
        <f>SUM(R37:R39)</f>
        <v>40</v>
      </c>
      <c r="S40" s="24" t="s">
        <v>20</v>
      </c>
      <c r="T40" s="19"/>
      <c r="U40" s="177"/>
      <c r="V40" s="178"/>
      <c r="W40" s="179"/>
    </row>
    <row r="41" spans="1:23" ht="14.55" customHeight="1" x14ac:dyDescent="0.3">
      <c r="A41" s="163" t="s">
        <v>34</v>
      </c>
      <c r="B41" s="5">
        <v>0.33333333333333331</v>
      </c>
      <c r="C41" s="5"/>
      <c r="D41" s="4">
        <v>250060</v>
      </c>
      <c r="E41" s="12" t="s">
        <v>737</v>
      </c>
      <c r="F41" s="40">
        <v>304</v>
      </c>
      <c r="G41" s="41">
        <v>0.8</v>
      </c>
      <c r="H41" s="40">
        <v>388</v>
      </c>
      <c r="I41" s="12">
        <v>7</v>
      </c>
      <c r="J41" s="165">
        <v>200</v>
      </c>
      <c r="K41" s="166"/>
      <c r="L41" s="165"/>
      <c r="M41" s="166"/>
      <c r="N41" s="165"/>
      <c r="O41" s="166"/>
      <c r="P41" s="165"/>
      <c r="Q41" s="166"/>
      <c r="R41" s="161">
        <v>40</v>
      </c>
      <c r="S41" s="14" t="s">
        <v>20</v>
      </c>
      <c r="T41" s="42" t="s">
        <v>93</v>
      </c>
      <c r="U41" s="177"/>
      <c r="V41" s="178"/>
      <c r="W41" s="179"/>
    </row>
    <row r="42" spans="1:23" ht="14.55" customHeight="1" x14ac:dyDescent="0.3">
      <c r="A42" s="163"/>
      <c r="B42" s="5"/>
      <c r="C42" s="5"/>
      <c r="D42" s="4">
        <v>250059</v>
      </c>
      <c r="E42" s="12" t="s">
        <v>756</v>
      </c>
      <c r="F42" s="40">
        <v>304</v>
      </c>
      <c r="G42" s="41">
        <v>0.7</v>
      </c>
      <c r="H42" s="40">
        <v>500</v>
      </c>
      <c r="I42" s="12">
        <v>7</v>
      </c>
      <c r="J42" s="165">
        <v>650</v>
      </c>
      <c r="K42" s="166"/>
      <c r="L42" s="165"/>
      <c r="M42" s="166"/>
      <c r="N42" s="165"/>
      <c r="O42" s="166"/>
      <c r="P42" s="165"/>
      <c r="Q42" s="166"/>
      <c r="R42" s="161"/>
      <c r="S42" s="14" t="s">
        <v>20</v>
      </c>
      <c r="T42" s="42"/>
      <c r="U42" s="177"/>
      <c r="V42" s="178"/>
      <c r="W42" s="179"/>
    </row>
    <row r="43" spans="1:23" ht="14.55" customHeight="1" x14ac:dyDescent="0.3">
      <c r="A43" s="163"/>
      <c r="B43" s="5"/>
      <c r="C43" s="5"/>
      <c r="D43" s="4">
        <v>250058</v>
      </c>
      <c r="E43" s="12" t="s">
        <v>373</v>
      </c>
      <c r="F43" s="40">
        <v>304</v>
      </c>
      <c r="G43" s="41">
        <v>0.7</v>
      </c>
      <c r="H43" s="40">
        <v>427</v>
      </c>
      <c r="I43" s="12">
        <v>3</v>
      </c>
      <c r="J43" s="165">
        <v>300</v>
      </c>
      <c r="K43" s="166"/>
      <c r="L43" s="165"/>
      <c r="M43" s="166"/>
      <c r="N43" s="165"/>
      <c r="O43" s="166"/>
      <c r="P43" s="165"/>
      <c r="Q43" s="166"/>
      <c r="R43" s="161">
        <v>40</v>
      </c>
      <c r="S43" s="14" t="s">
        <v>20</v>
      </c>
      <c r="T43" s="42" t="s">
        <v>93</v>
      </c>
      <c r="U43" s="177"/>
      <c r="V43" s="178"/>
      <c r="W43" s="179"/>
    </row>
    <row r="44" spans="1:23" ht="14.55" customHeight="1" x14ac:dyDescent="0.3">
      <c r="A44" s="163"/>
      <c r="B44" s="5"/>
      <c r="C44" s="5"/>
      <c r="D44" s="4">
        <v>250058</v>
      </c>
      <c r="E44" s="12" t="s">
        <v>757</v>
      </c>
      <c r="F44" s="40">
        <v>304</v>
      </c>
      <c r="G44" s="41">
        <v>0.7</v>
      </c>
      <c r="H44" s="40">
        <v>362</v>
      </c>
      <c r="I44" s="12">
        <v>3</v>
      </c>
      <c r="J44" s="165">
        <v>800</v>
      </c>
      <c r="K44" s="166"/>
      <c r="L44" s="165"/>
      <c r="M44" s="166"/>
      <c r="N44" s="165"/>
      <c r="O44" s="166"/>
      <c r="P44" s="165"/>
      <c r="Q44" s="166"/>
      <c r="R44" s="161"/>
      <c r="S44" s="14" t="s">
        <v>20</v>
      </c>
      <c r="T44" s="42"/>
      <c r="U44" s="177"/>
      <c r="V44" s="178"/>
      <c r="W44" s="179"/>
    </row>
    <row r="45" spans="1:23" ht="14.55" customHeight="1" x14ac:dyDescent="0.3">
      <c r="A45" s="163"/>
      <c r="B45" s="5"/>
      <c r="C45" s="5">
        <v>0.70833333333333337</v>
      </c>
      <c r="D45" s="4">
        <v>250059</v>
      </c>
      <c r="E45" s="12" t="s">
        <v>508</v>
      </c>
      <c r="F45" s="40">
        <v>304</v>
      </c>
      <c r="G45" s="41">
        <v>0.7</v>
      </c>
      <c r="H45" s="40">
        <v>433</v>
      </c>
      <c r="I45" s="12">
        <v>3</v>
      </c>
      <c r="J45" s="165">
        <v>200</v>
      </c>
      <c r="K45" s="166"/>
      <c r="L45" s="165"/>
      <c r="M45" s="166"/>
      <c r="N45" s="165"/>
      <c r="O45" s="166"/>
      <c r="P45" s="165"/>
      <c r="Q45" s="166"/>
      <c r="R45" s="161"/>
      <c r="S45" s="14" t="s">
        <v>20</v>
      </c>
      <c r="T45" s="42"/>
      <c r="U45" s="177"/>
      <c r="V45" s="178"/>
      <c r="W45" s="179"/>
    </row>
    <row r="46" spans="1:23" ht="14.55" customHeight="1" x14ac:dyDescent="0.3">
      <c r="A46" s="163"/>
      <c r="B46" s="5"/>
      <c r="C46" s="5"/>
      <c r="D46" s="4"/>
      <c r="E46" s="12"/>
      <c r="F46" s="40"/>
      <c r="G46" s="41"/>
      <c r="H46" s="40"/>
      <c r="I46" s="12"/>
      <c r="J46" s="165"/>
      <c r="K46" s="166"/>
      <c r="L46" s="165"/>
      <c r="M46" s="166"/>
      <c r="N46" s="165"/>
      <c r="O46" s="166"/>
      <c r="P46" s="165"/>
      <c r="Q46" s="166"/>
      <c r="R46" s="161"/>
      <c r="S46" s="14" t="s">
        <v>20</v>
      </c>
      <c r="T46" s="42"/>
      <c r="U46" s="177"/>
      <c r="V46" s="178"/>
      <c r="W46" s="179"/>
    </row>
    <row r="47" spans="1:23" ht="14.55" customHeight="1" x14ac:dyDescent="0.3">
      <c r="A47" s="163"/>
      <c r="B47" s="5"/>
      <c r="C47" s="5"/>
      <c r="D47" s="4"/>
      <c r="E47" s="12"/>
      <c r="F47" s="40"/>
      <c r="G47" s="41"/>
      <c r="H47" s="40"/>
      <c r="I47" s="12"/>
      <c r="J47" s="165"/>
      <c r="K47" s="166"/>
      <c r="L47" s="165"/>
      <c r="M47" s="166"/>
      <c r="N47" s="165"/>
      <c r="O47" s="166"/>
      <c r="P47" s="165"/>
      <c r="Q47" s="166"/>
      <c r="R47" s="161"/>
      <c r="S47" s="14" t="s">
        <v>20</v>
      </c>
      <c r="T47" s="42"/>
      <c r="U47" s="177"/>
      <c r="V47" s="178"/>
      <c r="W47" s="179"/>
    </row>
    <row r="48" spans="1:23" ht="14.55" customHeight="1" x14ac:dyDescent="0.3">
      <c r="A48" s="164"/>
      <c r="B48" s="19"/>
      <c r="C48" s="19"/>
      <c r="D48" s="20"/>
      <c r="E48" s="170" t="s">
        <v>0</v>
      </c>
      <c r="F48" s="171"/>
      <c r="G48" s="171"/>
      <c r="H48" s="171"/>
      <c r="I48" s="172"/>
      <c r="J48" s="173">
        <f>SUM(J41:K47)</f>
        <v>2150</v>
      </c>
      <c r="K48" s="174"/>
      <c r="L48" s="173">
        <f>SUM(L41:M47)</f>
        <v>0</v>
      </c>
      <c r="M48" s="174"/>
      <c r="N48" s="173">
        <f>SUM(N41:O47)</f>
        <v>0</v>
      </c>
      <c r="O48" s="174"/>
      <c r="P48" s="173">
        <f>SUM(P41:Q47)</f>
        <v>0</v>
      </c>
      <c r="Q48" s="174"/>
      <c r="R48" s="23">
        <f>SUM(R41:R47)</f>
        <v>80</v>
      </c>
      <c r="S48" s="24" t="s">
        <v>20</v>
      </c>
      <c r="T48" s="19"/>
      <c r="U48" s="177"/>
      <c r="V48" s="178"/>
      <c r="W48" s="179"/>
    </row>
    <row r="49" spans="1:23" ht="14.55" customHeight="1" x14ac:dyDescent="0.3">
      <c r="A49" s="163" t="s">
        <v>583</v>
      </c>
      <c r="B49" s="5"/>
      <c r="C49" s="5"/>
      <c r="D49" s="4"/>
      <c r="E49" s="12"/>
      <c r="F49" s="40"/>
      <c r="G49" s="41"/>
      <c r="H49" s="40"/>
      <c r="I49" s="12"/>
      <c r="J49" s="165"/>
      <c r="K49" s="166"/>
      <c r="L49" s="165"/>
      <c r="M49" s="166"/>
      <c r="N49" s="165"/>
      <c r="O49" s="166"/>
      <c r="P49" s="165"/>
      <c r="Q49" s="166"/>
      <c r="R49" s="161"/>
      <c r="S49" s="14" t="s">
        <v>20</v>
      </c>
      <c r="T49" s="42"/>
      <c r="U49" s="177"/>
      <c r="V49" s="178"/>
      <c r="W49" s="179"/>
    </row>
    <row r="50" spans="1:23" ht="14.55" customHeight="1" x14ac:dyDescent="0.3">
      <c r="A50" s="163"/>
      <c r="B50" s="5"/>
      <c r="C50" s="5"/>
      <c r="D50" s="4"/>
      <c r="E50" s="12"/>
      <c r="F50" s="40"/>
      <c r="G50" s="41"/>
      <c r="H50" s="40"/>
      <c r="I50" s="12"/>
      <c r="J50" s="165"/>
      <c r="K50" s="166"/>
      <c r="L50" s="165"/>
      <c r="M50" s="166"/>
      <c r="N50" s="165"/>
      <c r="O50" s="166"/>
      <c r="P50" s="165"/>
      <c r="Q50" s="166"/>
      <c r="R50" s="161"/>
      <c r="S50" s="14" t="s">
        <v>20</v>
      </c>
      <c r="T50" s="42"/>
      <c r="U50" s="177"/>
      <c r="V50" s="178"/>
      <c r="W50" s="179"/>
    </row>
    <row r="51" spans="1:23" ht="14.55" customHeight="1" x14ac:dyDescent="0.3">
      <c r="A51" s="164"/>
      <c r="B51" s="19"/>
      <c r="C51" s="19"/>
      <c r="D51" s="20"/>
      <c r="E51" s="170" t="s">
        <v>0</v>
      </c>
      <c r="F51" s="171"/>
      <c r="G51" s="171"/>
      <c r="H51" s="171"/>
      <c r="I51" s="172"/>
      <c r="J51" s="173">
        <f>SUM(J49:K50)</f>
        <v>0</v>
      </c>
      <c r="K51" s="174"/>
      <c r="L51" s="173">
        <f>SUM(L49:M50)</f>
        <v>0</v>
      </c>
      <c r="M51" s="174"/>
      <c r="N51" s="173">
        <f>SUM(N49:O50)</f>
        <v>0</v>
      </c>
      <c r="O51" s="174"/>
      <c r="P51" s="173">
        <f>SUM(P49:Q50)</f>
        <v>0</v>
      </c>
      <c r="Q51" s="174"/>
      <c r="R51" s="23">
        <f>SUM(R49:R50)</f>
        <v>0</v>
      </c>
      <c r="S51" s="24" t="s">
        <v>20</v>
      </c>
      <c r="T51" s="19"/>
      <c r="U51" s="177"/>
      <c r="V51" s="178"/>
      <c r="W51" s="179"/>
    </row>
    <row r="52" spans="1:23" ht="14.55" customHeight="1" x14ac:dyDescent="0.3">
      <c r="A52" s="163" t="s">
        <v>35</v>
      </c>
      <c r="B52" s="5">
        <v>0.33333333333333331</v>
      </c>
      <c r="C52" s="5"/>
      <c r="D52" s="257">
        <v>311025</v>
      </c>
      <c r="E52" s="12" t="s">
        <v>730</v>
      </c>
      <c r="F52" s="40">
        <v>304</v>
      </c>
      <c r="G52" s="41">
        <v>0.9</v>
      </c>
      <c r="H52" s="40">
        <v>327</v>
      </c>
      <c r="I52" s="12"/>
      <c r="J52" s="165"/>
      <c r="K52" s="166"/>
      <c r="L52" s="165"/>
      <c r="M52" s="166"/>
      <c r="N52" s="165">
        <v>800</v>
      </c>
      <c r="O52" s="166"/>
      <c r="P52" s="165"/>
      <c r="Q52" s="166"/>
      <c r="R52" s="161">
        <v>40</v>
      </c>
      <c r="S52" s="14" t="s">
        <v>20</v>
      </c>
      <c r="T52" s="42" t="s">
        <v>93</v>
      </c>
      <c r="U52" s="177"/>
      <c r="V52" s="178"/>
      <c r="W52" s="179"/>
    </row>
    <row r="53" spans="1:23" ht="14.55" customHeight="1" x14ac:dyDescent="0.3">
      <c r="A53" s="163"/>
      <c r="B53" s="5"/>
      <c r="C53" s="5"/>
      <c r="D53" s="257">
        <v>311025</v>
      </c>
      <c r="E53" s="12" t="s">
        <v>347</v>
      </c>
      <c r="F53" s="40">
        <v>304</v>
      </c>
      <c r="G53" s="41">
        <v>0.9</v>
      </c>
      <c r="H53" s="40">
        <v>369</v>
      </c>
      <c r="I53" s="12"/>
      <c r="J53" s="165"/>
      <c r="K53" s="166"/>
      <c r="L53" s="165"/>
      <c r="M53" s="166"/>
      <c r="N53" s="165">
        <v>500</v>
      </c>
      <c r="O53" s="166"/>
      <c r="P53" s="165"/>
      <c r="Q53" s="166"/>
      <c r="R53" s="161">
        <v>40</v>
      </c>
      <c r="S53" s="14" t="s">
        <v>20</v>
      </c>
      <c r="T53" s="42" t="s">
        <v>93</v>
      </c>
      <c r="U53" s="177"/>
      <c r="V53" s="178"/>
      <c r="W53" s="179"/>
    </row>
    <row r="54" spans="1:23" ht="14.55" customHeight="1" x14ac:dyDescent="0.3">
      <c r="A54" s="163"/>
      <c r="B54" s="5"/>
      <c r="C54" s="5">
        <v>0.70833333333333337</v>
      </c>
      <c r="D54" s="4">
        <v>250059</v>
      </c>
      <c r="E54" s="12" t="s">
        <v>758</v>
      </c>
      <c r="F54" s="40">
        <v>304</v>
      </c>
      <c r="G54" s="41">
        <v>0.9</v>
      </c>
      <c r="H54" s="40">
        <v>290</v>
      </c>
      <c r="I54" s="12"/>
      <c r="J54" s="165"/>
      <c r="K54" s="166"/>
      <c r="L54" s="165"/>
      <c r="M54" s="166"/>
      <c r="N54" s="165">
        <v>200</v>
      </c>
      <c r="O54" s="166"/>
      <c r="P54" s="165"/>
      <c r="Q54" s="166"/>
      <c r="R54" s="161"/>
      <c r="S54" s="14" t="s">
        <v>20</v>
      </c>
      <c r="T54" s="42"/>
      <c r="U54" s="177"/>
      <c r="V54" s="178"/>
      <c r="W54" s="179"/>
    </row>
    <row r="55" spans="1:23" ht="14.55" customHeight="1" x14ac:dyDescent="0.3">
      <c r="A55" s="163"/>
      <c r="B55" s="5"/>
      <c r="C55" s="5"/>
      <c r="D55" s="4"/>
      <c r="E55" s="12"/>
      <c r="F55" s="40"/>
      <c r="G55" s="41"/>
      <c r="H55" s="40"/>
      <c r="I55" s="12"/>
      <c r="J55" s="165"/>
      <c r="K55" s="166"/>
      <c r="L55" s="165"/>
      <c r="M55" s="166"/>
      <c r="N55" s="165"/>
      <c r="O55" s="166"/>
      <c r="P55" s="165"/>
      <c r="Q55" s="166"/>
      <c r="R55" s="161"/>
      <c r="S55" s="14" t="s">
        <v>20</v>
      </c>
      <c r="T55" s="42"/>
      <c r="U55" s="177"/>
      <c r="V55" s="178"/>
      <c r="W55" s="179"/>
    </row>
    <row r="56" spans="1:23" ht="14.55" customHeight="1" x14ac:dyDescent="0.3">
      <c r="A56" s="164"/>
      <c r="B56" s="19"/>
      <c r="C56" s="19"/>
      <c r="D56" s="20"/>
      <c r="E56" s="170" t="s">
        <v>0</v>
      </c>
      <c r="F56" s="171"/>
      <c r="G56" s="171"/>
      <c r="H56" s="171"/>
      <c r="I56" s="172"/>
      <c r="J56" s="173">
        <f>SUM(J52:K55)</f>
        <v>0</v>
      </c>
      <c r="K56" s="174"/>
      <c r="L56" s="173">
        <f>SUM(L52:M55)</f>
        <v>0</v>
      </c>
      <c r="M56" s="174"/>
      <c r="N56" s="173">
        <f>SUM(N52:O55)</f>
        <v>1500</v>
      </c>
      <c r="O56" s="174"/>
      <c r="P56" s="173">
        <f>SUM(P52:Q55)</f>
        <v>0</v>
      </c>
      <c r="Q56" s="174"/>
      <c r="R56" s="23">
        <f>SUM(R52:R55)</f>
        <v>80</v>
      </c>
      <c r="S56" s="24" t="s">
        <v>20</v>
      </c>
      <c r="T56" s="19"/>
      <c r="U56" s="177"/>
      <c r="V56" s="178"/>
      <c r="W56" s="179"/>
    </row>
    <row r="57" spans="1:23" ht="14.55" customHeight="1" x14ac:dyDescent="0.3">
      <c r="A57" s="27"/>
      <c r="B57" s="27"/>
      <c r="C57" s="27"/>
      <c r="D57" s="27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27"/>
      <c r="S57" s="27"/>
      <c r="T57" s="39"/>
      <c r="U57" s="39"/>
      <c r="V57" s="39"/>
      <c r="W57" s="39"/>
    </row>
    <row r="58" spans="1:23" x14ac:dyDescent="0.3">
      <c r="E58" s="170" t="s">
        <v>31</v>
      </c>
      <c r="F58" s="171"/>
      <c r="G58" s="171"/>
      <c r="H58" s="171"/>
      <c r="I58" s="172"/>
      <c r="J58" s="175" t="s">
        <v>7</v>
      </c>
      <c r="K58" s="176"/>
      <c r="L58" s="175" t="s">
        <v>8</v>
      </c>
      <c r="M58" s="176"/>
      <c r="N58" s="175" t="s">
        <v>9</v>
      </c>
      <c r="O58" s="176"/>
      <c r="P58" s="175" t="s">
        <v>117</v>
      </c>
      <c r="Q58" s="176"/>
    </row>
    <row r="59" spans="1:23" s="2" customFormat="1" x14ac:dyDescent="0.3">
      <c r="E59" s="15"/>
      <c r="F59" s="15"/>
      <c r="G59" s="15"/>
      <c r="H59" s="15"/>
      <c r="I59" s="15"/>
      <c r="J59" s="30">
        <f>J40+J48+J51+J56</f>
        <v>2800</v>
      </c>
      <c r="K59" s="31" t="s">
        <v>17</v>
      </c>
      <c r="L59" s="30">
        <f>L40+L48+L51+L56</f>
        <v>0</v>
      </c>
      <c r="M59" s="31" t="s">
        <v>17</v>
      </c>
      <c r="N59" s="30">
        <f>N40+N48+N51+N56</f>
        <v>1500</v>
      </c>
      <c r="O59" s="31" t="s">
        <v>17</v>
      </c>
      <c r="P59" s="30">
        <f>P40+P48+P51+P56</f>
        <v>0</v>
      </c>
      <c r="Q59" s="34" t="s">
        <v>17</v>
      </c>
    </row>
    <row r="60" spans="1:23" ht="24.45" customHeight="1" x14ac:dyDescent="0.3">
      <c r="E60" s="28"/>
      <c r="F60" s="28"/>
      <c r="G60" s="28"/>
      <c r="H60" s="28"/>
      <c r="I60" s="28"/>
      <c r="J60" s="167">
        <f>J59+L59+N59+P59</f>
        <v>4300</v>
      </c>
      <c r="K60" s="168"/>
      <c r="L60" s="168"/>
      <c r="M60" s="168"/>
      <c r="N60" s="168"/>
      <c r="O60" s="168"/>
      <c r="P60" s="168"/>
      <c r="Q60" s="169"/>
    </row>
    <row r="61" spans="1:23" ht="14.55" customHeight="1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 spans="1:23" s="37" customFormat="1" ht="19.95" customHeight="1" x14ac:dyDescent="0.4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183" t="s">
        <v>14</v>
      </c>
      <c r="R62" s="183"/>
      <c r="S62" s="183"/>
      <c r="T62" s="184">
        <f>T3</f>
        <v>45966</v>
      </c>
      <c r="U62" s="185"/>
      <c r="V62" s="185"/>
      <c r="W62" s="186"/>
    </row>
    <row r="63" spans="1:23" s="16" customFormat="1" ht="30" customHeight="1" x14ac:dyDescent="0.3">
      <c r="A63" s="187" t="s">
        <v>586</v>
      </c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9"/>
      <c r="Q63" s="189"/>
      <c r="R63" s="189"/>
      <c r="S63" s="189"/>
      <c r="T63" s="188"/>
      <c r="U63" s="188"/>
      <c r="V63" s="188"/>
      <c r="W63" s="190"/>
    </row>
    <row r="64" spans="1:23" s="26" customFormat="1" ht="13.8" x14ac:dyDescent="0.3">
      <c r="A64" s="191" t="s">
        <v>1</v>
      </c>
      <c r="B64" s="192" t="s">
        <v>2</v>
      </c>
      <c r="C64" s="192" t="s">
        <v>3</v>
      </c>
      <c r="D64" s="192" t="s">
        <v>4</v>
      </c>
      <c r="E64" s="193" t="s">
        <v>5</v>
      </c>
      <c r="F64" s="195" t="s">
        <v>21</v>
      </c>
      <c r="G64" s="195" t="s">
        <v>22</v>
      </c>
      <c r="H64" s="195" t="s">
        <v>33</v>
      </c>
      <c r="I64" s="195" t="s">
        <v>30</v>
      </c>
      <c r="J64" s="193" t="s">
        <v>6</v>
      </c>
      <c r="K64" s="197"/>
      <c r="L64" s="197"/>
      <c r="M64" s="197"/>
      <c r="N64" s="197"/>
      <c r="O64" s="197"/>
      <c r="P64" s="197"/>
      <c r="Q64" s="198"/>
      <c r="R64" s="193" t="s">
        <v>10</v>
      </c>
      <c r="S64" s="198"/>
      <c r="T64" s="191" t="s">
        <v>11</v>
      </c>
      <c r="U64" s="191" t="s">
        <v>12</v>
      </c>
      <c r="V64" s="191"/>
      <c r="W64" s="191"/>
    </row>
    <row r="65" spans="1:23" s="26" customFormat="1" ht="13.8" x14ac:dyDescent="0.3">
      <c r="A65" s="191"/>
      <c r="B65" s="192"/>
      <c r="C65" s="192"/>
      <c r="D65" s="192"/>
      <c r="E65" s="194"/>
      <c r="F65" s="196"/>
      <c r="G65" s="196"/>
      <c r="H65" s="196"/>
      <c r="I65" s="196"/>
      <c r="J65" s="200" t="s">
        <v>7</v>
      </c>
      <c r="K65" s="201"/>
      <c r="L65" s="200" t="s">
        <v>8</v>
      </c>
      <c r="M65" s="201"/>
      <c r="N65" s="200" t="s">
        <v>9</v>
      </c>
      <c r="O65" s="201"/>
      <c r="P65" s="200" t="s">
        <v>117</v>
      </c>
      <c r="Q65" s="201"/>
      <c r="R65" s="194"/>
      <c r="S65" s="199"/>
      <c r="T65" s="191"/>
      <c r="U65" s="191"/>
      <c r="V65" s="191"/>
      <c r="W65" s="191"/>
    </row>
    <row r="66" spans="1:23" ht="14.55" customHeight="1" x14ac:dyDescent="0.3">
      <c r="A66" s="180" t="s">
        <v>584</v>
      </c>
      <c r="B66" s="5">
        <v>0.33333333333333331</v>
      </c>
      <c r="C66" s="5">
        <v>0.70833333333333337</v>
      </c>
      <c r="D66" s="4"/>
      <c r="E66" s="12" t="s">
        <v>759</v>
      </c>
      <c r="F66" s="40"/>
      <c r="G66" s="41"/>
      <c r="H66" s="40"/>
      <c r="I66" s="12"/>
      <c r="J66" s="165"/>
      <c r="K66" s="166"/>
      <c r="L66" s="165"/>
      <c r="M66" s="166"/>
      <c r="N66" s="165"/>
      <c r="O66" s="166"/>
      <c r="P66" s="165"/>
      <c r="Q66" s="166"/>
      <c r="R66" s="161"/>
      <c r="S66" s="14" t="s">
        <v>20</v>
      </c>
      <c r="T66" s="42"/>
      <c r="U66" s="177"/>
      <c r="V66" s="178"/>
      <c r="W66" s="179"/>
    </row>
    <row r="67" spans="1:23" ht="14.55" customHeight="1" x14ac:dyDescent="0.3">
      <c r="A67" s="181"/>
      <c r="B67" s="5"/>
      <c r="C67" s="5"/>
      <c r="D67" s="4"/>
      <c r="E67" s="13"/>
      <c r="F67" s="40"/>
      <c r="G67" s="41"/>
      <c r="H67" s="40"/>
      <c r="I67" s="12"/>
      <c r="J67" s="165"/>
      <c r="K67" s="166"/>
      <c r="L67" s="165"/>
      <c r="M67" s="166"/>
      <c r="N67" s="165"/>
      <c r="O67" s="166"/>
      <c r="P67" s="165"/>
      <c r="Q67" s="166"/>
      <c r="R67" s="161"/>
      <c r="S67" s="14" t="s">
        <v>20</v>
      </c>
      <c r="T67" s="42"/>
      <c r="U67" s="177"/>
      <c r="V67" s="178"/>
      <c r="W67" s="179"/>
    </row>
    <row r="68" spans="1:23" ht="14.55" customHeight="1" x14ac:dyDescent="0.3">
      <c r="A68" s="181"/>
      <c r="B68" s="5"/>
      <c r="C68" s="5"/>
      <c r="D68" s="4"/>
      <c r="E68" s="12"/>
      <c r="F68" s="40"/>
      <c r="G68" s="41"/>
      <c r="H68" s="40"/>
      <c r="I68" s="12"/>
      <c r="J68" s="165"/>
      <c r="K68" s="166"/>
      <c r="L68" s="165"/>
      <c r="M68" s="166"/>
      <c r="N68" s="165"/>
      <c r="O68" s="166"/>
      <c r="P68" s="165"/>
      <c r="Q68" s="166"/>
      <c r="R68" s="161"/>
      <c r="S68" s="14" t="s">
        <v>20</v>
      </c>
      <c r="T68" s="42"/>
      <c r="U68" s="177"/>
      <c r="V68" s="178"/>
      <c r="W68" s="179"/>
    </row>
    <row r="69" spans="1:23" ht="14.55" customHeight="1" x14ac:dyDescent="0.3">
      <c r="A69" s="181"/>
      <c r="B69" s="5"/>
      <c r="C69" s="5"/>
      <c r="D69" s="4"/>
      <c r="E69" s="13"/>
      <c r="F69" s="40"/>
      <c r="G69" s="41"/>
      <c r="H69" s="40"/>
      <c r="I69" s="12"/>
      <c r="J69" s="165"/>
      <c r="K69" s="166"/>
      <c r="L69" s="165"/>
      <c r="M69" s="166"/>
      <c r="N69" s="165"/>
      <c r="O69" s="166"/>
      <c r="P69" s="165"/>
      <c r="Q69" s="166"/>
      <c r="R69" s="161"/>
      <c r="S69" s="14" t="s">
        <v>20</v>
      </c>
      <c r="T69" s="42"/>
      <c r="U69" s="177"/>
      <c r="V69" s="178"/>
      <c r="W69" s="179"/>
    </row>
    <row r="70" spans="1:23" ht="14.55" customHeight="1" x14ac:dyDescent="0.3">
      <c r="A70" s="181"/>
      <c r="B70" s="5"/>
      <c r="C70" s="5"/>
      <c r="D70" s="4"/>
      <c r="E70" s="12"/>
      <c r="F70" s="40"/>
      <c r="G70" s="41"/>
      <c r="H70" s="40"/>
      <c r="I70" s="12"/>
      <c r="J70" s="165"/>
      <c r="K70" s="166"/>
      <c r="L70" s="165"/>
      <c r="M70" s="166"/>
      <c r="N70" s="165"/>
      <c r="O70" s="166"/>
      <c r="P70" s="165"/>
      <c r="Q70" s="166"/>
      <c r="R70" s="161"/>
      <c r="S70" s="14" t="s">
        <v>20</v>
      </c>
      <c r="T70" s="42"/>
      <c r="U70" s="177"/>
      <c r="V70" s="178"/>
      <c r="W70" s="179"/>
    </row>
    <row r="71" spans="1:23" ht="14.55" customHeight="1" x14ac:dyDescent="0.3">
      <c r="A71" s="181"/>
      <c r="B71" s="5"/>
      <c r="C71" s="5"/>
      <c r="D71" s="4"/>
      <c r="E71" s="13"/>
      <c r="F71" s="40"/>
      <c r="G71" s="41"/>
      <c r="H71" s="40"/>
      <c r="I71" s="12"/>
      <c r="J71" s="165"/>
      <c r="K71" s="166"/>
      <c r="L71" s="165"/>
      <c r="M71" s="166"/>
      <c r="N71" s="165"/>
      <c r="O71" s="166"/>
      <c r="P71" s="165"/>
      <c r="Q71" s="166"/>
      <c r="R71" s="161"/>
      <c r="S71" s="14" t="s">
        <v>20</v>
      </c>
      <c r="T71" s="42"/>
      <c r="U71" s="177"/>
      <c r="V71" s="178"/>
      <c r="W71" s="179"/>
    </row>
    <row r="72" spans="1:23" ht="14.55" customHeight="1" x14ac:dyDescent="0.3">
      <c r="A72" s="181"/>
      <c r="B72" s="5"/>
      <c r="C72" s="5"/>
      <c r="D72" s="4"/>
      <c r="E72" s="12"/>
      <c r="F72" s="40"/>
      <c r="G72" s="41"/>
      <c r="H72" s="40"/>
      <c r="I72" s="12"/>
      <c r="J72" s="165"/>
      <c r="K72" s="166"/>
      <c r="L72" s="165"/>
      <c r="M72" s="166"/>
      <c r="N72" s="165"/>
      <c r="O72" s="166"/>
      <c r="P72" s="165"/>
      <c r="Q72" s="166"/>
      <c r="R72" s="161"/>
      <c r="S72" s="14" t="s">
        <v>20</v>
      </c>
      <c r="T72" s="42"/>
      <c r="U72" s="177"/>
      <c r="V72" s="178"/>
      <c r="W72" s="179"/>
    </row>
    <row r="73" spans="1:23" ht="14.55" customHeight="1" x14ac:dyDescent="0.3">
      <c r="A73" s="181"/>
      <c r="B73" s="5"/>
      <c r="C73" s="5"/>
      <c r="D73" s="4"/>
      <c r="E73" s="12"/>
      <c r="F73" s="40"/>
      <c r="G73" s="41"/>
      <c r="H73" s="40"/>
      <c r="I73" s="12"/>
      <c r="J73" s="165"/>
      <c r="K73" s="166"/>
      <c r="L73" s="165"/>
      <c r="M73" s="166"/>
      <c r="N73" s="165"/>
      <c r="O73" s="166"/>
      <c r="P73" s="165"/>
      <c r="Q73" s="166"/>
      <c r="R73" s="161"/>
      <c r="S73" s="14" t="s">
        <v>20</v>
      </c>
      <c r="T73" s="42"/>
      <c r="U73" s="177"/>
      <c r="V73" s="178"/>
      <c r="W73" s="179"/>
    </row>
    <row r="74" spans="1:23" ht="14.55" customHeight="1" x14ac:dyDescent="0.3">
      <c r="A74" s="181"/>
      <c r="B74" s="5"/>
      <c r="C74" s="5"/>
      <c r="D74" s="4"/>
      <c r="E74" s="12"/>
      <c r="F74" s="40"/>
      <c r="G74" s="41"/>
      <c r="H74" s="40"/>
      <c r="I74" s="12"/>
      <c r="J74" s="165"/>
      <c r="K74" s="166"/>
      <c r="L74" s="165"/>
      <c r="M74" s="166"/>
      <c r="N74" s="165"/>
      <c r="O74" s="166"/>
      <c r="P74" s="165"/>
      <c r="Q74" s="166"/>
      <c r="R74" s="161"/>
      <c r="S74" s="14" t="s">
        <v>20</v>
      </c>
      <c r="T74" s="42"/>
      <c r="U74" s="177"/>
      <c r="V74" s="178"/>
      <c r="W74" s="179"/>
    </row>
    <row r="75" spans="1:23" ht="14.55" customHeight="1" x14ac:dyDescent="0.3">
      <c r="A75" s="182"/>
      <c r="B75" s="19"/>
      <c r="C75" s="19"/>
      <c r="D75" s="20"/>
      <c r="E75" s="170" t="s">
        <v>0</v>
      </c>
      <c r="F75" s="171"/>
      <c r="G75" s="171"/>
      <c r="H75" s="171"/>
      <c r="I75" s="172"/>
      <c r="J75" s="173">
        <f>SUM(J66:K74)</f>
        <v>0</v>
      </c>
      <c r="K75" s="174"/>
      <c r="L75" s="173">
        <f>SUM(L66:M74)</f>
        <v>0</v>
      </c>
      <c r="M75" s="174"/>
      <c r="N75" s="173">
        <f>SUM(N66:O74)</f>
        <v>0</v>
      </c>
      <c r="O75" s="174"/>
      <c r="P75" s="173">
        <f>SUM(P66:Q74)</f>
        <v>0</v>
      </c>
      <c r="Q75" s="174"/>
      <c r="R75" s="23">
        <f>SUM(R66:R74)</f>
        <v>0</v>
      </c>
      <c r="S75" s="24" t="s">
        <v>20</v>
      </c>
      <c r="T75" s="19"/>
      <c r="U75" s="177"/>
      <c r="V75" s="178"/>
      <c r="W75" s="179"/>
    </row>
    <row r="76" spans="1:23" x14ac:dyDescent="0.3">
      <c r="E76" s="28"/>
      <c r="F76" s="28"/>
      <c r="G76" s="28"/>
      <c r="H76" s="28"/>
      <c r="I76" s="28"/>
      <c r="J76" s="29"/>
      <c r="K76" s="29"/>
      <c r="L76" s="29"/>
      <c r="M76" s="29"/>
      <c r="N76" s="29"/>
      <c r="O76" s="29"/>
      <c r="P76" s="29"/>
      <c r="Q76" s="29"/>
    </row>
    <row r="77" spans="1:23" x14ac:dyDescent="0.3">
      <c r="E77" s="170" t="s">
        <v>587</v>
      </c>
      <c r="F77" s="171"/>
      <c r="G77" s="171"/>
      <c r="H77" s="171"/>
      <c r="I77" s="172"/>
      <c r="J77" s="175" t="s">
        <v>7</v>
      </c>
      <c r="K77" s="176"/>
      <c r="L77" s="175" t="s">
        <v>8</v>
      </c>
      <c r="M77" s="176"/>
      <c r="N77" s="175" t="s">
        <v>9</v>
      </c>
      <c r="O77" s="176"/>
      <c r="P77" s="175" t="s">
        <v>117</v>
      </c>
      <c r="Q77" s="176"/>
    </row>
    <row r="78" spans="1:23" s="2" customFormat="1" x14ac:dyDescent="0.3">
      <c r="E78" s="15"/>
      <c r="F78" s="15"/>
      <c r="G78" s="15"/>
      <c r="H78" s="15"/>
      <c r="I78" s="15"/>
      <c r="J78" s="30">
        <f>J71+J75</f>
        <v>0</v>
      </c>
      <c r="K78" s="31" t="s">
        <v>17</v>
      </c>
      <c r="L78" s="32">
        <f>L71+L75</f>
        <v>0</v>
      </c>
      <c r="M78" s="31" t="s">
        <v>17</v>
      </c>
      <c r="N78" s="32">
        <f>N71+N75</f>
        <v>0</v>
      </c>
      <c r="O78" s="31" t="s">
        <v>17</v>
      </c>
      <c r="P78" s="32">
        <f>P71+P75</f>
        <v>0</v>
      </c>
      <c r="Q78" s="34" t="s">
        <v>17</v>
      </c>
    </row>
    <row r="79" spans="1:23" ht="24.45" customHeight="1" x14ac:dyDescent="0.3">
      <c r="E79" s="28"/>
      <c r="F79" s="28"/>
      <c r="G79" s="28"/>
      <c r="H79" s="28"/>
      <c r="I79" s="28"/>
      <c r="J79" s="167">
        <f>J78+L78+N78+P78</f>
        <v>0</v>
      </c>
      <c r="K79" s="168"/>
      <c r="L79" s="168"/>
      <c r="M79" s="168"/>
      <c r="N79" s="168"/>
      <c r="O79" s="168"/>
      <c r="P79" s="168"/>
      <c r="Q79" s="169"/>
    </row>
    <row r="80" spans="1:23" ht="14.55" customHeight="1" x14ac:dyDescent="0.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</row>
    <row r="81" spans="1:23" s="37" customFormat="1" ht="19.95" customHeight="1" x14ac:dyDescent="0.4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6"/>
      <c r="Q81" s="214" t="s">
        <v>14</v>
      </c>
      <c r="R81" s="215"/>
      <c r="S81" s="216"/>
      <c r="T81" s="184">
        <f>T3</f>
        <v>45966</v>
      </c>
      <c r="U81" s="185"/>
      <c r="V81" s="185"/>
      <c r="W81" s="186"/>
    </row>
    <row r="82" spans="1:23" s="16" customFormat="1" ht="30" customHeight="1" x14ac:dyDescent="0.3">
      <c r="A82" s="187" t="s">
        <v>26</v>
      </c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9"/>
      <c r="Q82" s="189"/>
      <c r="R82" s="189"/>
      <c r="S82" s="189"/>
      <c r="T82" s="188"/>
      <c r="U82" s="188"/>
      <c r="V82" s="188"/>
      <c r="W82" s="190"/>
    </row>
    <row r="83" spans="1:23" s="26" customFormat="1" ht="13.8" x14ac:dyDescent="0.3">
      <c r="A83" s="191" t="s">
        <v>1</v>
      </c>
      <c r="B83" s="192" t="s">
        <v>2</v>
      </c>
      <c r="C83" s="192" t="s">
        <v>3</v>
      </c>
      <c r="D83" s="192" t="s">
        <v>4</v>
      </c>
      <c r="E83" s="193" t="s">
        <v>5</v>
      </c>
      <c r="F83" s="197"/>
      <c r="G83" s="197"/>
      <c r="H83" s="197"/>
      <c r="I83" s="198"/>
      <c r="J83" s="193" t="s">
        <v>6</v>
      </c>
      <c r="K83" s="197"/>
      <c r="L83" s="197"/>
      <c r="M83" s="197"/>
      <c r="N83" s="197"/>
      <c r="O83" s="197"/>
      <c r="P83" s="197"/>
      <c r="Q83" s="198"/>
      <c r="R83" s="193" t="s">
        <v>10</v>
      </c>
      <c r="S83" s="198"/>
      <c r="T83" s="191" t="s">
        <v>11</v>
      </c>
      <c r="U83" s="191" t="s">
        <v>12</v>
      </c>
      <c r="V83" s="191"/>
      <c r="W83" s="191"/>
    </row>
    <row r="84" spans="1:23" s="26" customFormat="1" ht="13.8" x14ac:dyDescent="0.3">
      <c r="A84" s="191"/>
      <c r="B84" s="192"/>
      <c r="C84" s="192"/>
      <c r="D84" s="192"/>
      <c r="E84" s="194"/>
      <c r="F84" s="217"/>
      <c r="G84" s="217"/>
      <c r="H84" s="217"/>
      <c r="I84" s="199"/>
      <c r="J84" s="200" t="s">
        <v>7</v>
      </c>
      <c r="K84" s="201"/>
      <c r="L84" s="200" t="s">
        <v>8</v>
      </c>
      <c r="M84" s="201"/>
      <c r="N84" s="200" t="s">
        <v>9</v>
      </c>
      <c r="O84" s="201"/>
      <c r="P84" s="200" t="s">
        <v>117</v>
      </c>
      <c r="Q84" s="201"/>
      <c r="R84" s="194"/>
      <c r="S84" s="199"/>
      <c r="T84" s="191"/>
      <c r="U84" s="191"/>
      <c r="V84" s="191"/>
      <c r="W84" s="191"/>
    </row>
    <row r="85" spans="1:23" x14ac:dyDescent="0.3">
      <c r="A85" s="180" t="s">
        <v>13</v>
      </c>
      <c r="B85" s="5">
        <v>0.33333333333333331</v>
      </c>
      <c r="C85" s="5"/>
      <c r="D85" s="4">
        <v>151025</v>
      </c>
      <c r="E85" s="211" t="s">
        <v>760</v>
      </c>
      <c r="F85" s="212"/>
      <c r="G85" s="212"/>
      <c r="H85" s="212"/>
      <c r="I85" s="213"/>
      <c r="J85" s="165">
        <v>591</v>
      </c>
      <c r="K85" s="166"/>
      <c r="L85" s="165"/>
      <c r="M85" s="166"/>
      <c r="N85" s="165"/>
      <c r="O85" s="166"/>
      <c r="P85" s="165"/>
      <c r="Q85" s="166"/>
      <c r="R85" s="161"/>
      <c r="S85" s="6" t="s">
        <v>20</v>
      </c>
      <c r="T85" s="3"/>
      <c r="U85" s="202"/>
      <c r="V85" s="203"/>
      <c r="W85" s="204"/>
    </row>
    <row r="86" spans="1:23" x14ac:dyDescent="0.3">
      <c r="A86" s="163"/>
      <c r="B86" s="5"/>
      <c r="C86" s="5"/>
      <c r="D86" s="4">
        <v>250084</v>
      </c>
      <c r="E86" s="211" t="s">
        <v>761</v>
      </c>
      <c r="F86" s="212"/>
      <c r="G86" s="212"/>
      <c r="H86" s="212"/>
      <c r="I86" s="213"/>
      <c r="J86" s="165">
        <v>390</v>
      </c>
      <c r="K86" s="166"/>
      <c r="L86" s="165"/>
      <c r="M86" s="166"/>
      <c r="N86" s="165"/>
      <c r="O86" s="166"/>
      <c r="P86" s="165"/>
      <c r="Q86" s="166"/>
      <c r="R86" s="161">
        <v>30</v>
      </c>
      <c r="S86" s="6" t="s">
        <v>20</v>
      </c>
      <c r="T86" s="3" t="s">
        <v>93</v>
      </c>
      <c r="U86" s="205"/>
      <c r="V86" s="206"/>
      <c r="W86" s="207"/>
    </row>
    <row r="87" spans="1:23" x14ac:dyDescent="0.3">
      <c r="A87" s="163"/>
      <c r="B87" s="5"/>
      <c r="C87" s="5"/>
      <c r="D87" s="4">
        <v>250082</v>
      </c>
      <c r="E87" s="211" t="s">
        <v>762</v>
      </c>
      <c r="F87" s="212"/>
      <c r="G87" s="212"/>
      <c r="H87" s="212"/>
      <c r="I87" s="213"/>
      <c r="J87" s="165">
        <v>995</v>
      </c>
      <c r="K87" s="166"/>
      <c r="L87" s="165"/>
      <c r="M87" s="166"/>
      <c r="N87" s="165"/>
      <c r="O87" s="166"/>
      <c r="P87" s="165"/>
      <c r="Q87" s="166"/>
      <c r="R87" s="161">
        <v>30</v>
      </c>
      <c r="S87" s="6" t="s">
        <v>20</v>
      </c>
      <c r="T87" s="3" t="s">
        <v>93</v>
      </c>
      <c r="U87" s="205"/>
      <c r="V87" s="206"/>
      <c r="W87" s="207"/>
    </row>
    <row r="88" spans="1:23" x14ac:dyDescent="0.3">
      <c r="A88" s="163"/>
      <c r="B88" s="5"/>
      <c r="C88" s="5">
        <v>0.70833333333333337</v>
      </c>
      <c r="D88" s="4">
        <v>250082</v>
      </c>
      <c r="E88" s="211" t="s">
        <v>763</v>
      </c>
      <c r="F88" s="212"/>
      <c r="G88" s="212"/>
      <c r="H88" s="212"/>
      <c r="I88" s="213"/>
      <c r="J88" s="165">
        <v>594</v>
      </c>
      <c r="K88" s="166"/>
      <c r="L88" s="165"/>
      <c r="M88" s="166"/>
      <c r="N88" s="165"/>
      <c r="O88" s="166"/>
      <c r="P88" s="165"/>
      <c r="Q88" s="166"/>
      <c r="R88" s="161">
        <v>30</v>
      </c>
      <c r="S88" s="6" t="s">
        <v>20</v>
      </c>
      <c r="T88" s="3" t="s">
        <v>93</v>
      </c>
      <c r="U88" s="205"/>
      <c r="V88" s="206"/>
      <c r="W88" s="207"/>
    </row>
    <row r="89" spans="1:23" x14ac:dyDescent="0.3">
      <c r="A89" s="163"/>
      <c r="B89" s="5"/>
      <c r="C89" s="5"/>
      <c r="D89" s="4"/>
      <c r="E89" s="211"/>
      <c r="F89" s="212"/>
      <c r="G89" s="212"/>
      <c r="H89" s="212"/>
      <c r="I89" s="213"/>
      <c r="J89" s="165"/>
      <c r="K89" s="166"/>
      <c r="L89" s="165"/>
      <c r="M89" s="166"/>
      <c r="N89" s="165"/>
      <c r="O89" s="166"/>
      <c r="P89" s="165"/>
      <c r="Q89" s="166"/>
      <c r="R89" s="161"/>
      <c r="S89" s="6" t="s">
        <v>20</v>
      </c>
      <c r="T89" s="3"/>
      <c r="U89" s="205"/>
      <c r="V89" s="206"/>
      <c r="W89" s="207"/>
    </row>
    <row r="90" spans="1:23" x14ac:dyDescent="0.3">
      <c r="A90" s="163"/>
      <c r="B90" s="5"/>
      <c r="C90" s="5"/>
      <c r="D90" s="4"/>
      <c r="E90" s="211"/>
      <c r="F90" s="212"/>
      <c r="G90" s="212"/>
      <c r="H90" s="212"/>
      <c r="I90" s="213"/>
      <c r="J90" s="165"/>
      <c r="K90" s="166"/>
      <c r="L90" s="165"/>
      <c r="M90" s="166"/>
      <c r="N90" s="165"/>
      <c r="O90" s="166"/>
      <c r="P90" s="165"/>
      <c r="Q90" s="166"/>
      <c r="R90" s="161"/>
      <c r="S90" s="6" t="s">
        <v>20</v>
      </c>
      <c r="T90" s="3"/>
      <c r="U90" s="205"/>
      <c r="V90" s="206"/>
      <c r="W90" s="207"/>
    </row>
    <row r="91" spans="1:23" x14ac:dyDescent="0.3">
      <c r="A91" s="164"/>
      <c r="B91" s="19"/>
      <c r="C91" s="19"/>
      <c r="D91" s="20"/>
      <c r="E91" s="170" t="s">
        <v>0</v>
      </c>
      <c r="F91" s="171"/>
      <c r="G91" s="171"/>
      <c r="H91" s="171"/>
      <c r="I91" s="172"/>
      <c r="J91" s="173">
        <f>SUM(J85:J90)</f>
        <v>2570</v>
      </c>
      <c r="K91" s="174"/>
      <c r="L91" s="173">
        <f>SUM(L85:L90)</f>
        <v>0</v>
      </c>
      <c r="M91" s="174"/>
      <c r="N91" s="173">
        <f>SUM(N85:N90)</f>
        <v>0</v>
      </c>
      <c r="O91" s="174"/>
      <c r="P91" s="173">
        <f>SUM(P85:P90)</f>
        <v>0</v>
      </c>
      <c r="Q91" s="174"/>
      <c r="R91" s="23">
        <f>SUM(R85:R90)</f>
        <v>90</v>
      </c>
      <c r="S91" s="24" t="s">
        <v>20</v>
      </c>
      <c r="T91" s="19"/>
      <c r="U91" s="208"/>
      <c r="V91" s="209"/>
      <c r="W91" s="210"/>
    </row>
    <row r="92" spans="1:23" x14ac:dyDescent="0.3">
      <c r="A92" s="180" t="s">
        <v>15</v>
      </c>
      <c r="B92" s="5"/>
      <c r="C92" s="5"/>
      <c r="D92" s="4"/>
      <c r="E92" s="211"/>
      <c r="F92" s="212"/>
      <c r="G92" s="212"/>
      <c r="H92" s="212"/>
      <c r="I92" s="213"/>
      <c r="J92" s="165"/>
      <c r="K92" s="166"/>
      <c r="L92" s="165"/>
      <c r="M92" s="166"/>
      <c r="N92" s="165"/>
      <c r="O92" s="166"/>
      <c r="P92" s="165"/>
      <c r="Q92" s="166"/>
      <c r="R92" s="161"/>
      <c r="S92" s="6" t="s">
        <v>20</v>
      </c>
      <c r="T92" s="3"/>
      <c r="U92" s="202"/>
      <c r="V92" s="203"/>
      <c r="W92" s="204"/>
    </row>
    <row r="93" spans="1:23" x14ac:dyDescent="0.3">
      <c r="A93" s="163"/>
      <c r="B93" s="5"/>
      <c r="C93" s="5"/>
      <c r="D93" s="4"/>
      <c r="E93" s="211"/>
      <c r="F93" s="212"/>
      <c r="G93" s="212"/>
      <c r="H93" s="212"/>
      <c r="I93" s="213"/>
      <c r="J93" s="165"/>
      <c r="K93" s="166"/>
      <c r="L93" s="165"/>
      <c r="M93" s="166"/>
      <c r="N93" s="165"/>
      <c r="O93" s="166"/>
      <c r="P93" s="165"/>
      <c r="Q93" s="166"/>
      <c r="R93" s="161"/>
      <c r="S93" s="6" t="s">
        <v>20</v>
      </c>
      <c r="T93" s="3"/>
      <c r="U93" s="205"/>
      <c r="V93" s="206"/>
      <c r="W93" s="207"/>
    </row>
    <row r="94" spans="1:23" x14ac:dyDescent="0.3">
      <c r="A94" s="163"/>
      <c r="B94" s="5"/>
      <c r="C94" s="5"/>
      <c r="D94" s="4"/>
      <c r="E94" s="211"/>
      <c r="F94" s="212"/>
      <c r="G94" s="212"/>
      <c r="H94" s="212"/>
      <c r="I94" s="213"/>
      <c r="J94" s="165"/>
      <c r="K94" s="166"/>
      <c r="L94" s="165"/>
      <c r="M94" s="166"/>
      <c r="N94" s="165"/>
      <c r="O94" s="166"/>
      <c r="P94" s="165"/>
      <c r="Q94" s="166"/>
      <c r="R94" s="161"/>
      <c r="S94" s="6" t="s">
        <v>20</v>
      </c>
      <c r="T94" s="3"/>
      <c r="U94" s="205"/>
      <c r="V94" s="206"/>
      <c r="W94" s="207"/>
    </row>
    <row r="95" spans="1:23" x14ac:dyDescent="0.3">
      <c r="A95" s="164"/>
      <c r="B95" s="19"/>
      <c r="C95" s="19"/>
      <c r="D95" s="20"/>
      <c r="E95" s="170" t="s">
        <v>0</v>
      </c>
      <c r="F95" s="171"/>
      <c r="G95" s="171"/>
      <c r="H95" s="171"/>
      <c r="I95" s="172"/>
      <c r="J95" s="173">
        <f>SUM(J92:J94)</f>
        <v>0</v>
      </c>
      <c r="K95" s="174"/>
      <c r="L95" s="173">
        <f>SUM(L92:L94)</f>
        <v>0</v>
      </c>
      <c r="M95" s="174"/>
      <c r="N95" s="173">
        <f>SUM(N92:N94)</f>
        <v>0</v>
      </c>
      <c r="O95" s="174"/>
      <c r="P95" s="173">
        <f>SUM(P88:P94)</f>
        <v>0</v>
      </c>
      <c r="Q95" s="174"/>
      <c r="R95" s="23">
        <f>SUM(R92:R94)</f>
        <v>0</v>
      </c>
      <c r="S95" s="24" t="s">
        <v>20</v>
      </c>
      <c r="T95" s="7"/>
      <c r="U95" s="208"/>
      <c r="V95" s="209"/>
      <c r="W95" s="210"/>
    </row>
    <row r="96" spans="1:23" x14ac:dyDescent="0.3">
      <c r="E96" s="28"/>
      <c r="F96" s="28"/>
      <c r="G96" s="28"/>
      <c r="H96" s="28"/>
      <c r="I96" s="28"/>
      <c r="J96" s="29"/>
      <c r="K96" s="29"/>
      <c r="L96" s="29"/>
      <c r="M96" s="29"/>
      <c r="N96" s="29"/>
      <c r="O96" s="29"/>
      <c r="P96" s="29"/>
      <c r="Q96" s="29"/>
    </row>
    <row r="97" spans="1:23" x14ac:dyDescent="0.3">
      <c r="E97" s="170" t="s">
        <v>28</v>
      </c>
      <c r="F97" s="171"/>
      <c r="G97" s="171"/>
      <c r="H97" s="171"/>
      <c r="I97" s="172"/>
      <c r="J97" s="175" t="s">
        <v>7</v>
      </c>
      <c r="K97" s="176"/>
      <c r="L97" s="175" t="s">
        <v>8</v>
      </c>
      <c r="M97" s="176"/>
      <c r="N97" s="175" t="s">
        <v>9</v>
      </c>
      <c r="O97" s="176"/>
      <c r="P97" s="175" t="s">
        <v>117</v>
      </c>
      <c r="Q97" s="176"/>
    </row>
    <row r="98" spans="1:23" s="2" customFormat="1" x14ac:dyDescent="0.3">
      <c r="E98" s="15"/>
      <c r="F98" s="15"/>
      <c r="G98" s="15"/>
      <c r="H98" s="15"/>
      <c r="I98" s="15"/>
      <c r="J98" s="30">
        <f>J91+J95</f>
        <v>2570</v>
      </c>
      <c r="K98" s="31" t="s">
        <v>17</v>
      </c>
      <c r="L98" s="32">
        <f>L91+L95</f>
        <v>0</v>
      </c>
      <c r="M98" s="31" t="s">
        <v>17</v>
      </c>
      <c r="N98" s="32">
        <f>N91+N95</f>
        <v>0</v>
      </c>
      <c r="O98" s="31" t="s">
        <v>17</v>
      </c>
      <c r="P98" s="32">
        <f>P91+P95</f>
        <v>0</v>
      </c>
      <c r="Q98" s="34" t="s">
        <v>17</v>
      </c>
    </row>
    <row r="99" spans="1:23" ht="24.45" customHeight="1" x14ac:dyDescent="0.3">
      <c r="E99" s="28"/>
      <c r="F99" s="28"/>
      <c r="G99" s="28"/>
      <c r="H99" s="28"/>
      <c r="I99" s="28"/>
      <c r="J99" s="167">
        <f>J98+L98+N98+P98</f>
        <v>2570</v>
      </c>
      <c r="K99" s="168"/>
      <c r="L99" s="168"/>
      <c r="M99" s="168"/>
      <c r="N99" s="168"/>
      <c r="O99" s="168"/>
      <c r="P99" s="168"/>
      <c r="Q99" s="169"/>
    </row>
    <row r="100" spans="1:23" ht="14.55" customHeight="1" x14ac:dyDescent="0.3"/>
    <row r="101" spans="1:23" s="37" customFormat="1" ht="19.95" customHeight="1" x14ac:dyDescent="0.4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183" t="s">
        <v>14</v>
      </c>
      <c r="R101" s="183"/>
      <c r="S101" s="183"/>
      <c r="T101" s="184">
        <f>T3</f>
        <v>45966</v>
      </c>
      <c r="U101" s="185"/>
      <c r="V101" s="185"/>
      <c r="W101" s="186"/>
    </row>
    <row r="102" spans="1:23" s="16" customFormat="1" ht="30" customHeight="1" x14ac:dyDescent="0.3">
      <c r="A102" s="187" t="s">
        <v>579</v>
      </c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9"/>
      <c r="Q102" s="189"/>
      <c r="R102" s="189"/>
      <c r="S102" s="189"/>
      <c r="T102" s="188"/>
      <c r="U102" s="188"/>
      <c r="V102" s="188"/>
      <c r="W102" s="190"/>
    </row>
    <row r="103" spans="1:23" s="26" customFormat="1" ht="13.8" x14ac:dyDescent="0.3">
      <c r="A103" s="191" t="s">
        <v>1</v>
      </c>
      <c r="B103" s="192" t="s">
        <v>2</v>
      </c>
      <c r="C103" s="192" t="s">
        <v>3</v>
      </c>
      <c r="D103" s="192" t="s">
        <v>4</v>
      </c>
      <c r="E103" s="193" t="s">
        <v>5</v>
      </c>
      <c r="F103" s="195" t="s">
        <v>21</v>
      </c>
      <c r="G103" s="195" t="s">
        <v>22</v>
      </c>
      <c r="H103" s="195" t="s">
        <v>33</v>
      </c>
      <c r="I103" s="195" t="s">
        <v>30</v>
      </c>
      <c r="J103" s="193" t="s">
        <v>6</v>
      </c>
      <c r="K103" s="197"/>
      <c r="L103" s="197"/>
      <c r="M103" s="197"/>
      <c r="N103" s="197"/>
      <c r="O103" s="197"/>
      <c r="P103" s="197"/>
      <c r="Q103" s="198"/>
      <c r="R103" s="193" t="s">
        <v>10</v>
      </c>
      <c r="S103" s="198"/>
      <c r="T103" s="191" t="s">
        <v>11</v>
      </c>
      <c r="U103" s="191" t="s">
        <v>12</v>
      </c>
      <c r="V103" s="191"/>
      <c r="W103" s="191"/>
    </row>
    <row r="104" spans="1:23" s="26" customFormat="1" ht="13.8" x14ac:dyDescent="0.3">
      <c r="A104" s="191"/>
      <c r="B104" s="192"/>
      <c r="C104" s="192"/>
      <c r="D104" s="192"/>
      <c r="E104" s="194"/>
      <c r="F104" s="196"/>
      <c r="G104" s="196"/>
      <c r="H104" s="196"/>
      <c r="I104" s="196"/>
      <c r="J104" s="200" t="s">
        <v>7</v>
      </c>
      <c r="K104" s="201"/>
      <c r="L104" s="200" t="s">
        <v>8</v>
      </c>
      <c r="M104" s="201"/>
      <c r="N104" s="200" t="s">
        <v>9</v>
      </c>
      <c r="O104" s="201"/>
      <c r="P104" s="200" t="s">
        <v>117</v>
      </c>
      <c r="Q104" s="201"/>
      <c r="R104" s="194"/>
      <c r="S104" s="199"/>
      <c r="T104" s="191"/>
      <c r="U104" s="191"/>
      <c r="V104" s="191"/>
      <c r="W104" s="191"/>
    </row>
    <row r="105" spans="1:23" ht="14.55" customHeight="1" x14ac:dyDescent="0.3">
      <c r="A105" s="180" t="s">
        <v>581</v>
      </c>
      <c r="B105" s="5">
        <v>0.33333333333333331</v>
      </c>
      <c r="C105" s="5">
        <v>0.70833333333333337</v>
      </c>
      <c r="D105" s="126"/>
      <c r="E105" s="12"/>
      <c r="F105" s="40"/>
      <c r="G105" s="41"/>
      <c r="H105" s="40"/>
      <c r="I105" s="12"/>
      <c r="J105" s="165">
        <v>1682</v>
      </c>
      <c r="K105" s="166"/>
      <c r="L105" s="165"/>
      <c r="M105" s="166"/>
      <c r="N105" s="165"/>
      <c r="O105" s="166"/>
      <c r="P105" s="165"/>
      <c r="Q105" s="166"/>
      <c r="R105" s="161"/>
      <c r="S105" s="14" t="s">
        <v>20</v>
      </c>
      <c r="T105" s="42"/>
      <c r="U105" s="177"/>
      <c r="V105" s="178"/>
      <c r="W105" s="179"/>
    </row>
    <row r="106" spans="1:23" ht="14.55" customHeight="1" x14ac:dyDescent="0.3">
      <c r="A106" s="181"/>
      <c r="B106" s="5"/>
      <c r="C106" s="5"/>
      <c r="D106" s="126"/>
      <c r="E106" s="13"/>
      <c r="F106" s="40"/>
      <c r="G106" s="41"/>
      <c r="H106" s="40"/>
      <c r="I106" s="12"/>
      <c r="J106" s="165"/>
      <c r="K106" s="166"/>
      <c r="L106" s="165"/>
      <c r="M106" s="166"/>
      <c r="N106" s="165"/>
      <c r="O106" s="166"/>
      <c r="P106" s="165"/>
      <c r="Q106" s="166"/>
      <c r="R106" s="161"/>
      <c r="S106" s="14" t="s">
        <v>20</v>
      </c>
      <c r="T106" s="42"/>
      <c r="U106" s="177"/>
      <c r="V106" s="178"/>
      <c r="W106" s="179"/>
    </row>
    <row r="107" spans="1:23" ht="14.55" customHeight="1" x14ac:dyDescent="0.3">
      <c r="A107" s="181"/>
      <c r="B107" s="5"/>
      <c r="C107" s="5"/>
      <c r="D107" s="4"/>
      <c r="E107" s="12"/>
      <c r="F107" s="40"/>
      <c r="G107" s="41"/>
      <c r="H107" s="40"/>
      <c r="I107" s="12"/>
      <c r="J107" s="165"/>
      <c r="K107" s="166"/>
      <c r="L107" s="165"/>
      <c r="M107" s="166"/>
      <c r="N107" s="165"/>
      <c r="O107" s="166"/>
      <c r="P107" s="165"/>
      <c r="Q107" s="166"/>
      <c r="R107" s="161"/>
      <c r="S107" s="14" t="s">
        <v>20</v>
      </c>
      <c r="T107" s="42"/>
      <c r="U107" s="177"/>
      <c r="V107" s="178"/>
      <c r="W107" s="179"/>
    </row>
    <row r="108" spans="1:23" ht="14.55" customHeight="1" x14ac:dyDescent="0.3">
      <c r="A108" s="182"/>
      <c r="B108" s="19"/>
      <c r="C108" s="19"/>
      <c r="D108" s="20"/>
      <c r="E108" s="170" t="s">
        <v>0</v>
      </c>
      <c r="F108" s="171"/>
      <c r="G108" s="171"/>
      <c r="H108" s="171"/>
      <c r="I108" s="172"/>
      <c r="J108" s="173">
        <f>SUM(J105:K107)</f>
        <v>1682</v>
      </c>
      <c r="K108" s="174"/>
      <c r="L108" s="173">
        <f>SUM(L105:M107)</f>
        <v>0</v>
      </c>
      <c r="M108" s="174"/>
      <c r="N108" s="173">
        <f>SUM(N105:O107)</f>
        <v>0</v>
      </c>
      <c r="O108" s="174"/>
      <c r="P108" s="173">
        <f>SUM(P105:Q107)</f>
        <v>0</v>
      </c>
      <c r="Q108" s="174"/>
      <c r="R108" s="23">
        <f>SUM(R105:R107)</f>
        <v>0</v>
      </c>
      <c r="S108" s="24" t="s">
        <v>20</v>
      </c>
      <c r="T108" s="19"/>
      <c r="U108" s="177"/>
      <c r="V108" s="178"/>
      <c r="W108" s="179"/>
    </row>
    <row r="109" spans="1:23" ht="14.55" customHeight="1" x14ac:dyDescent="0.3">
      <c r="A109" s="163" t="s">
        <v>580</v>
      </c>
      <c r="B109" s="5"/>
      <c r="C109" s="5"/>
      <c r="D109" s="4"/>
      <c r="E109" s="12"/>
      <c r="F109" s="40"/>
      <c r="G109" s="41"/>
      <c r="H109" s="40"/>
      <c r="I109" s="12"/>
      <c r="J109" s="165"/>
      <c r="K109" s="166"/>
      <c r="L109" s="165"/>
      <c r="M109" s="166"/>
      <c r="N109" s="165"/>
      <c r="O109" s="166"/>
      <c r="P109" s="165"/>
      <c r="Q109" s="166"/>
      <c r="R109" s="161"/>
      <c r="S109" s="14" t="s">
        <v>20</v>
      </c>
      <c r="T109" s="42"/>
      <c r="U109" s="177"/>
      <c r="V109" s="178"/>
      <c r="W109" s="179"/>
    </row>
    <row r="110" spans="1:23" ht="14.55" customHeight="1" x14ac:dyDescent="0.3">
      <c r="A110" s="163"/>
      <c r="B110" s="5"/>
      <c r="C110" s="5"/>
      <c r="D110" s="4"/>
      <c r="E110" s="12"/>
      <c r="F110" s="40"/>
      <c r="G110" s="41"/>
      <c r="H110" s="40"/>
      <c r="I110" s="12"/>
      <c r="J110" s="165"/>
      <c r="K110" s="166"/>
      <c r="L110" s="165"/>
      <c r="M110" s="166"/>
      <c r="N110" s="165"/>
      <c r="O110" s="166"/>
      <c r="P110" s="165"/>
      <c r="Q110" s="166"/>
      <c r="R110" s="161"/>
      <c r="S110" s="14" t="s">
        <v>20</v>
      </c>
      <c r="T110" s="42"/>
      <c r="U110" s="177"/>
      <c r="V110" s="178"/>
      <c r="W110" s="179"/>
    </row>
    <row r="111" spans="1:23" ht="14.55" customHeight="1" x14ac:dyDescent="0.3">
      <c r="A111" s="163"/>
      <c r="B111" s="5"/>
      <c r="C111" s="5"/>
      <c r="D111" s="4"/>
      <c r="E111" s="12"/>
      <c r="F111" s="40"/>
      <c r="G111" s="41"/>
      <c r="H111" s="40"/>
      <c r="I111" s="12"/>
      <c r="J111" s="165"/>
      <c r="K111" s="166"/>
      <c r="L111" s="165"/>
      <c r="M111" s="166"/>
      <c r="N111" s="165"/>
      <c r="O111" s="166"/>
      <c r="P111" s="165"/>
      <c r="Q111" s="166"/>
      <c r="R111" s="161"/>
      <c r="S111" s="14" t="s">
        <v>20</v>
      </c>
      <c r="T111" s="42"/>
      <c r="U111" s="177"/>
      <c r="V111" s="178"/>
      <c r="W111" s="179"/>
    </row>
    <row r="112" spans="1:23" ht="14.55" customHeight="1" x14ac:dyDescent="0.3">
      <c r="A112" s="163"/>
      <c r="B112" s="5"/>
      <c r="C112" s="5"/>
      <c r="D112" s="4"/>
      <c r="E112" s="12"/>
      <c r="F112" s="40"/>
      <c r="G112" s="41"/>
      <c r="H112" s="40"/>
      <c r="I112" s="12"/>
      <c r="J112" s="165"/>
      <c r="K112" s="166"/>
      <c r="L112" s="165"/>
      <c r="M112" s="166"/>
      <c r="N112" s="165"/>
      <c r="O112" s="166"/>
      <c r="P112" s="165"/>
      <c r="Q112" s="166"/>
      <c r="R112" s="161"/>
      <c r="S112" s="14" t="s">
        <v>20</v>
      </c>
      <c r="T112" s="42"/>
      <c r="U112" s="177"/>
      <c r="V112" s="178"/>
      <c r="W112" s="179"/>
    </row>
    <row r="113" spans="1:23" ht="14.55" customHeight="1" x14ac:dyDescent="0.3">
      <c r="A113" s="164"/>
      <c r="B113" s="19"/>
      <c r="C113" s="19"/>
      <c r="D113" s="20"/>
      <c r="E113" s="170" t="s">
        <v>0</v>
      </c>
      <c r="F113" s="171"/>
      <c r="G113" s="171"/>
      <c r="H113" s="171"/>
      <c r="I113" s="172"/>
      <c r="J113" s="173">
        <f>SUM(J109:K112)</f>
        <v>0</v>
      </c>
      <c r="K113" s="174"/>
      <c r="L113" s="173">
        <f>SUM(L109:M112)</f>
        <v>0</v>
      </c>
      <c r="M113" s="174"/>
      <c r="N113" s="173">
        <f>SUM(N109:O112)</f>
        <v>0</v>
      </c>
      <c r="O113" s="174"/>
      <c r="P113" s="173">
        <f>SUM(P109:Q112)</f>
        <v>0</v>
      </c>
      <c r="Q113" s="174"/>
      <c r="R113" s="23">
        <f>SUM(R109:R112)</f>
        <v>0</v>
      </c>
      <c r="S113" s="24" t="s">
        <v>20</v>
      </c>
      <c r="T113" s="19"/>
      <c r="U113" s="177"/>
      <c r="V113" s="178"/>
      <c r="W113" s="179"/>
    </row>
    <row r="114" spans="1:23" ht="14.55" customHeight="1" x14ac:dyDescent="0.3">
      <c r="A114" s="27"/>
      <c r="B114" s="27"/>
      <c r="C114" s="27"/>
      <c r="D114" s="27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27"/>
      <c r="S114" s="27"/>
      <c r="T114" s="39"/>
      <c r="U114" s="39"/>
      <c r="V114" s="39"/>
      <c r="W114" s="39"/>
    </row>
    <row r="115" spans="1:23" x14ac:dyDescent="0.3">
      <c r="E115" s="170" t="s">
        <v>585</v>
      </c>
      <c r="F115" s="171"/>
      <c r="G115" s="171"/>
      <c r="H115" s="171"/>
      <c r="I115" s="172"/>
      <c r="J115" s="175" t="s">
        <v>7</v>
      </c>
      <c r="K115" s="176"/>
      <c r="L115" s="175" t="s">
        <v>8</v>
      </c>
      <c r="M115" s="176"/>
      <c r="N115" s="175" t="s">
        <v>9</v>
      </c>
      <c r="O115" s="176"/>
      <c r="P115" s="175" t="s">
        <v>117</v>
      </c>
      <c r="Q115" s="176"/>
    </row>
    <row r="116" spans="1:23" s="2" customFormat="1" x14ac:dyDescent="0.3">
      <c r="E116" s="15"/>
      <c r="F116" s="15"/>
      <c r="G116" s="15"/>
      <c r="H116" s="15"/>
      <c r="I116" s="15"/>
      <c r="J116" s="30">
        <f>SUM(J113,J108)</f>
        <v>1682</v>
      </c>
      <c r="K116" s="31" t="s">
        <v>17</v>
      </c>
      <c r="L116" s="30">
        <f>SUM(L113,L108)</f>
        <v>0</v>
      </c>
      <c r="M116" s="31" t="s">
        <v>17</v>
      </c>
      <c r="N116" s="30">
        <f>SUM(N113,N108)</f>
        <v>0</v>
      </c>
      <c r="O116" s="31" t="s">
        <v>17</v>
      </c>
      <c r="P116" s="30">
        <f>SUM(P113,P108)</f>
        <v>0</v>
      </c>
      <c r="Q116" s="34" t="s">
        <v>17</v>
      </c>
    </row>
    <row r="117" spans="1:23" ht="24.45" customHeight="1" x14ac:dyDescent="0.3">
      <c r="E117" s="28"/>
      <c r="F117" s="28"/>
      <c r="G117" s="28"/>
      <c r="H117" s="28"/>
      <c r="I117" s="28"/>
      <c r="J117" s="167">
        <f>J116+L116+N116+P116</f>
        <v>1682</v>
      </c>
      <c r="K117" s="168"/>
      <c r="L117" s="168"/>
      <c r="M117" s="168"/>
      <c r="N117" s="168"/>
      <c r="O117" s="168"/>
      <c r="P117" s="168"/>
      <c r="Q117" s="169"/>
    </row>
  </sheetData>
  <mergeCells count="445">
    <mergeCell ref="J53:K53"/>
    <mergeCell ref="L53:M53"/>
    <mergeCell ref="N53:O53"/>
    <mergeCell ref="P53:Q53"/>
    <mergeCell ref="J54:K54"/>
    <mergeCell ref="L54:M54"/>
    <mergeCell ref="N54:O54"/>
    <mergeCell ref="P54:Q54"/>
    <mergeCell ref="J45:K45"/>
    <mergeCell ref="L45:M45"/>
    <mergeCell ref="N45:O45"/>
    <mergeCell ref="P45:Q45"/>
    <mergeCell ref="J43:K43"/>
    <mergeCell ref="L43:M43"/>
    <mergeCell ref="N43:O43"/>
    <mergeCell ref="P43:Q43"/>
    <mergeCell ref="J44:K44"/>
    <mergeCell ref="L44:M44"/>
    <mergeCell ref="N44:O44"/>
    <mergeCell ref="P44:Q44"/>
    <mergeCell ref="J42:K42"/>
    <mergeCell ref="L42:M42"/>
    <mergeCell ref="N42:O42"/>
    <mergeCell ref="P42:Q42"/>
    <mergeCell ref="J23:K23"/>
    <mergeCell ref="L23:M23"/>
    <mergeCell ref="N23:O23"/>
    <mergeCell ref="P23:Q23"/>
    <mergeCell ref="J38:K38"/>
    <mergeCell ref="L38:M38"/>
    <mergeCell ref="N38:O38"/>
    <mergeCell ref="P38:Q38"/>
    <mergeCell ref="P20:Q20"/>
    <mergeCell ref="J21:K21"/>
    <mergeCell ref="L21:M21"/>
    <mergeCell ref="N21:O21"/>
    <mergeCell ref="P21:Q21"/>
    <mergeCell ref="J22:K22"/>
    <mergeCell ref="L22:M22"/>
    <mergeCell ref="N22:O22"/>
    <mergeCell ref="P22:Q22"/>
    <mergeCell ref="J117:Q117"/>
    <mergeCell ref="J18:K18"/>
    <mergeCell ref="L18:M18"/>
    <mergeCell ref="N18:O18"/>
    <mergeCell ref="P18:Q18"/>
    <mergeCell ref="J19:K19"/>
    <mergeCell ref="L19:M19"/>
    <mergeCell ref="N19:O19"/>
    <mergeCell ref="P19:Q19"/>
    <mergeCell ref="J20:K20"/>
    <mergeCell ref="E113:I113"/>
    <mergeCell ref="J113:K113"/>
    <mergeCell ref="L113:M113"/>
    <mergeCell ref="N113:O113"/>
    <mergeCell ref="P113:Q113"/>
    <mergeCell ref="E115:I115"/>
    <mergeCell ref="J115:K115"/>
    <mergeCell ref="L115:M115"/>
    <mergeCell ref="N115:O115"/>
    <mergeCell ref="P115:Q115"/>
    <mergeCell ref="J111:K111"/>
    <mergeCell ref="L111:M111"/>
    <mergeCell ref="N111:O111"/>
    <mergeCell ref="P111:Q111"/>
    <mergeCell ref="J112:K112"/>
    <mergeCell ref="L112:M112"/>
    <mergeCell ref="N112:O112"/>
    <mergeCell ref="P112:Q112"/>
    <mergeCell ref="A109:A113"/>
    <mergeCell ref="J109:K109"/>
    <mergeCell ref="L109:M109"/>
    <mergeCell ref="N109:O109"/>
    <mergeCell ref="P109:Q109"/>
    <mergeCell ref="U109:W113"/>
    <mergeCell ref="J110:K110"/>
    <mergeCell ref="L110:M110"/>
    <mergeCell ref="N110:O110"/>
    <mergeCell ref="P110:Q110"/>
    <mergeCell ref="J107:K107"/>
    <mergeCell ref="L107:M107"/>
    <mergeCell ref="N107:O107"/>
    <mergeCell ref="P107:Q107"/>
    <mergeCell ref="E108:I108"/>
    <mergeCell ref="J108:K108"/>
    <mergeCell ref="L108:M108"/>
    <mergeCell ref="N108:O108"/>
    <mergeCell ref="P108:Q108"/>
    <mergeCell ref="A105:A108"/>
    <mergeCell ref="J105:K105"/>
    <mergeCell ref="L105:M105"/>
    <mergeCell ref="N105:O105"/>
    <mergeCell ref="P105:Q105"/>
    <mergeCell ref="U105:W108"/>
    <mergeCell ref="J106:K106"/>
    <mergeCell ref="L106:M106"/>
    <mergeCell ref="N106:O106"/>
    <mergeCell ref="P106:Q106"/>
    <mergeCell ref="H103:H104"/>
    <mergeCell ref="I103:I104"/>
    <mergeCell ref="J103:Q103"/>
    <mergeCell ref="R103:S104"/>
    <mergeCell ref="T103:T104"/>
    <mergeCell ref="U103:W104"/>
    <mergeCell ref="J104:K104"/>
    <mergeCell ref="L104:M104"/>
    <mergeCell ref="N104:O104"/>
    <mergeCell ref="P104:Q104"/>
    <mergeCell ref="Q101:S101"/>
    <mergeCell ref="T101:W101"/>
    <mergeCell ref="A102:W102"/>
    <mergeCell ref="A103:A104"/>
    <mergeCell ref="B103:B104"/>
    <mergeCell ref="C103:C104"/>
    <mergeCell ref="D103:D104"/>
    <mergeCell ref="E103:E104"/>
    <mergeCell ref="F103:F104"/>
    <mergeCell ref="G103:G104"/>
    <mergeCell ref="E97:I97"/>
    <mergeCell ref="J97:K97"/>
    <mergeCell ref="L97:M97"/>
    <mergeCell ref="N97:O97"/>
    <mergeCell ref="P97:Q97"/>
    <mergeCell ref="J99:Q99"/>
    <mergeCell ref="N94:O94"/>
    <mergeCell ref="P94:Q94"/>
    <mergeCell ref="E95:I95"/>
    <mergeCell ref="J95:K95"/>
    <mergeCell ref="L95:M95"/>
    <mergeCell ref="N95:O95"/>
    <mergeCell ref="P95:Q95"/>
    <mergeCell ref="P92:Q92"/>
    <mergeCell ref="U92:W95"/>
    <mergeCell ref="E93:I93"/>
    <mergeCell ref="J93:K93"/>
    <mergeCell ref="L93:M93"/>
    <mergeCell ref="N93:O93"/>
    <mergeCell ref="P93:Q93"/>
    <mergeCell ref="E94:I94"/>
    <mergeCell ref="J94:K94"/>
    <mergeCell ref="L94:M94"/>
    <mergeCell ref="E91:I91"/>
    <mergeCell ref="J91:K91"/>
    <mergeCell ref="L91:M91"/>
    <mergeCell ref="N91:O91"/>
    <mergeCell ref="P91:Q91"/>
    <mergeCell ref="A92:A95"/>
    <mergeCell ref="E92:I92"/>
    <mergeCell ref="J92:K92"/>
    <mergeCell ref="L92:M92"/>
    <mergeCell ref="N92:O92"/>
    <mergeCell ref="E90:I90"/>
    <mergeCell ref="J90:K90"/>
    <mergeCell ref="L90:M90"/>
    <mergeCell ref="N90:O90"/>
    <mergeCell ref="P90:Q90"/>
    <mergeCell ref="N88:O88"/>
    <mergeCell ref="P88:Q88"/>
    <mergeCell ref="E89:I89"/>
    <mergeCell ref="J89:K89"/>
    <mergeCell ref="L89:M89"/>
    <mergeCell ref="N89:O89"/>
    <mergeCell ref="P89:Q89"/>
    <mergeCell ref="U85:W91"/>
    <mergeCell ref="E86:I86"/>
    <mergeCell ref="J86:K86"/>
    <mergeCell ref="L86:M86"/>
    <mergeCell ref="N86:O86"/>
    <mergeCell ref="P86:Q86"/>
    <mergeCell ref="E87:I87"/>
    <mergeCell ref="J87:K87"/>
    <mergeCell ref="L87:M87"/>
    <mergeCell ref="N87:O87"/>
    <mergeCell ref="A85:A91"/>
    <mergeCell ref="E85:I85"/>
    <mergeCell ref="J85:K85"/>
    <mergeCell ref="L85:M85"/>
    <mergeCell ref="N85:O85"/>
    <mergeCell ref="P85:Q85"/>
    <mergeCell ref="P87:Q87"/>
    <mergeCell ref="E88:I88"/>
    <mergeCell ref="J88:K88"/>
    <mergeCell ref="L88:M88"/>
    <mergeCell ref="T83:T84"/>
    <mergeCell ref="U83:W84"/>
    <mergeCell ref="J84:K84"/>
    <mergeCell ref="L84:M84"/>
    <mergeCell ref="N84:O84"/>
    <mergeCell ref="P84:Q84"/>
    <mergeCell ref="Q81:S81"/>
    <mergeCell ref="T81:W81"/>
    <mergeCell ref="A82:W82"/>
    <mergeCell ref="A83:A84"/>
    <mergeCell ref="B83:B84"/>
    <mergeCell ref="C83:C84"/>
    <mergeCell ref="D83:D84"/>
    <mergeCell ref="E83:I84"/>
    <mergeCell ref="J83:Q83"/>
    <mergeCell ref="R83:S84"/>
    <mergeCell ref="E77:I77"/>
    <mergeCell ref="J77:K77"/>
    <mergeCell ref="L77:M77"/>
    <mergeCell ref="N77:O77"/>
    <mergeCell ref="P77:Q77"/>
    <mergeCell ref="J79:Q79"/>
    <mergeCell ref="J74:K74"/>
    <mergeCell ref="L74:M74"/>
    <mergeCell ref="N74:O74"/>
    <mergeCell ref="P74:Q74"/>
    <mergeCell ref="E75:I75"/>
    <mergeCell ref="J75:K75"/>
    <mergeCell ref="L75:M75"/>
    <mergeCell ref="N75:O75"/>
    <mergeCell ref="P75:Q75"/>
    <mergeCell ref="J72:K72"/>
    <mergeCell ref="L72:M72"/>
    <mergeCell ref="N72:O72"/>
    <mergeCell ref="P72:Q72"/>
    <mergeCell ref="J73:K73"/>
    <mergeCell ref="L73:M73"/>
    <mergeCell ref="N73:O73"/>
    <mergeCell ref="P73:Q73"/>
    <mergeCell ref="J70:K70"/>
    <mergeCell ref="L70:M70"/>
    <mergeCell ref="N70:O70"/>
    <mergeCell ref="P70:Q70"/>
    <mergeCell ref="J71:K71"/>
    <mergeCell ref="L71:M71"/>
    <mergeCell ref="N71:O71"/>
    <mergeCell ref="P71:Q71"/>
    <mergeCell ref="J68:K68"/>
    <mergeCell ref="L68:M68"/>
    <mergeCell ref="N68:O68"/>
    <mergeCell ref="P68:Q68"/>
    <mergeCell ref="J69:K69"/>
    <mergeCell ref="L69:M69"/>
    <mergeCell ref="N69:O69"/>
    <mergeCell ref="P69:Q69"/>
    <mergeCell ref="A66:A75"/>
    <mergeCell ref="J66:K66"/>
    <mergeCell ref="L66:M66"/>
    <mergeCell ref="N66:O66"/>
    <mergeCell ref="P66:Q66"/>
    <mergeCell ref="U66:W75"/>
    <mergeCell ref="J67:K67"/>
    <mergeCell ref="L67:M67"/>
    <mergeCell ref="N67:O67"/>
    <mergeCell ref="P67:Q67"/>
    <mergeCell ref="H64:H65"/>
    <mergeCell ref="I64:I65"/>
    <mergeCell ref="J64:Q64"/>
    <mergeCell ref="R64:S65"/>
    <mergeCell ref="T64:T65"/>
    <mergeCell ref="U64:W65"/>
    <mergeCell ref="J65:K65"/>
    <mergeCell ref="L65:M65"/>
    <mergeCell ref="N65:O65"/>
    <mergeCell ref="P65:Q65"/>
    <mergeCell ref="Q62:S62"/>
    <mergeCell ref="T62:W62"/>
    <mergeCell ref="A63:W63"/>
    <mergeCell ref="A64:A65"/>
    <mergeCell ref="B64:B65"/>
    <mergeCell ref="C64:C65"/>
    <mergeCell ref="D64:D65"/>
    <mergeCell ref="E64:E65"/>
    <mergeCell ref="F64:F65"/>
    <mergeCell ref="G64:G65"/>
    <mergeCell ref="E58:I58"/>
    <mergeCell ref="J58:K58"/>
    <mergeCell ref="L58:M58"/>
    <mergeCell ref="N58:O58"/>
    <mergeCell ref="P58:Q58"/>
    <mergeCell ref="J60:Q60"/>
    <mergeCell ref="U52:W56"/>
    <mergeCell ref="J55:K55"/>
    <mergeCell ref="L55:M55"/>
    <mergeCell ref="N55:O55"/>
    <mergeCell ref="P55:Q55"/>
    <mergeCell ref="E56:I56"/>
    <mergeCell ref="J56:K56"/>
    <mergeCell ref="L56:M56"/>
    <mergeCell ref="N56:O56"/>
    <mergeCell ref="P56:Q56"/>
    <mergeCell ref="E51:I51"/>
    <mergeCell ref="J51:K51"/>
    <mergeCell ref="L51:M51"/>
    <mergeCell ref="N51:O51"/>
    <mergeCell ref="P51:Q51"/>
    <mergeCell ref="A52:A56"/>
    <mergeCell ref="J52:K52"/>
    <mergeCell ref="L52:M52"/>
    <mergeCell ref="N52:O52"/>
    <mergeCell ref="P52:Q52"/>
    <mergeCell ref="A49:A51"/>
    <mergeCell ref="J49:K49"/>
    <mergeCell ref="L49:M49"/>
    <mergeCell ref="N49:O49"/>
    <mergeCell ref="P49:Q49"/>
    <mergeCell ref="U49:W51"/>
    <mergeCell ref="J50:K50"/>
    <mergeCell ref="L50:M50"/>
    <mergeCell ref="N50:O50"/>
    <mergeCell ref="P50:Q50"/>
    <mergeCell ref="J47:K47"/>
    <mergeCell ref="L47:M47"/>
    <mergeCell ref="N47:O47"/>
    <mergeCell ref="P47:Q47"/>
    <mergeCell ref="E48:I48"/>
    <mergeCell ref="J48:K48"/>
    <mergeCell ref="L48:M48"/>
    <mergeCell ref="N48:O48"/>
    <mergeCell ref="P48:Q48"/>
    <mergeCell ref="A41:A48"/>
    <mergeCell ref="J41:K41"/>
    <mergeCell ref="L41:M41"/>
    <mergeCell ref="N41:O41"/>
    <mergeCell ref="P41:Q41"/>
    <mergeCell ref="U41:W48"/>
    <mergeCell ref="J46:K46"/>
    <mergeCell ref="L46:M46"/>
    <mergeCell ref="N46:O46"/>
    <mergeCell ref="P46:Q46"/>
    <mergeCell ref="U37:W40"/>
    <mergeCell ref="J39:K39"/>
    <mergeCell ref="L39:M39"/>
    <mergeCell ref="N39:O39"/>
    <mergeCell ref="P39:Q39"/>
    <mergeCell ref="E40:I40"/>
    <mergeCell ref="J40:K40"/>
    <mergeCell ref="L40:M40"/>
    <mergeCell ref="N40:O40"/>
    <mergeCell ref="P40:Q40"/>
    <mergeCell ref="U35:W36"/>
    <mergeCell ref="J36:K36"/>
    <mergeCell ref="L36:M36"/>
    <mergeCell ref="N36:O36"/>
    <mergeCell ref="P36:Q36"/>
    <mergeCell ref="A37:A40"/>
    <mergeCell ref="J37:K37"/>
    <mergeCell ref="L37:M37"/>
    <mergeCell ref="N37:O37"/>
    <mergeCell ref="P37:Q37"/>
    <mergeCell ref="G35:G36"/>
    <mergeCell ref="H35:H36"/>
    <mergeCell ref="I35:I36"/>
    <mergeCell ref="J35:Q35"/>
    <mergeCell ref="R35:S36"/>
    <mergeCell ref="T35:T36"/>
    <mergeCell ref="J31:Q31"/>
    <mergeCell ref="Q33:S33"/>
    <mergeCell ref="T33:W33"/>
    <mergeCell ref="A34:W34"/>
    <mergeCell ref="A35:A36"/>
    <mergeCell ref="B35:B36"/>
    <mergeCell ref="C35:C36"/>
    <mergeCell ref="D35:D36"/>
    <mergeCell ref="E35:E36"/>
    <mergeCell ref="F35:F36"/>
    <mergeCell ref="B27:I27"/>
    <mergeCell ref="E29:I29"/>
    <mergeCell ref="J29:K29"/>
    <mergeCell ref="L29:M29"/>
    <mergeCell ref="N29:O29"/>
    <mergeCell ref="P29:Q29"/>
    <mergeCell ref="J25:K25"/>
    <mergeCell ref="L25:M25"/>
    <mergeCell ref="N25:O25"/>
    <mergeCell ref="P25:Q25"/>
    <mergeCell ref="J26:K26"/>
    <mergeCell ref="L26:M26"/>
    <mergeCell ref="N26:O26"/>
    <mergeCell ref="P26:Q26"/>
    <mergeCell ref="J17:K17"/>
    <mergeCell ref="L17:M17"/>
    <mergeCell ref="N17:O17"/>
    <mergeCell ref="P17:Q17"/>
    <mergeCell ref="J24:K24"/>
    <mergeCell ref="L24:M24"/>
    <mergeCell ref="N24:O24"/>
    <mergeCell ref="P24:Q24"/>
    <mergeCell ref="L20:M20"/>
    <mergeCell ref="N20:O20"/>
    <mergeCell ref="J15:K15"/>
    <mergeCell ref="L15:M15"/>
    <mergeCell ref="N15:O15"/>
    <mergeCell ref="P15:Q15"/>
    <mergeCell ref="J16:K16"/>
    <mergeCell ref="L16:M16"/>
    <mergeCell ref="N16:O16"/>
    <mergeCell ref="P16:Q16"/>
    <mergeCell ref="J13:K13"/>
    <mergeCell ref="L13:M13"/>
    <mergeCell ref="N13:O13"/>
    <mergeCell ref="P13:Q13"/>
    <mergeCell ref="J14:K14"/>
    <mergeCell ref="L14:M14"/>
    <mergeCell ref="N14:O14"/>
    <mergeCell ref="P14:Q14"/>
    <mergeCell ref="J11:K11"/>
    <mergeCell ref="L11:M11"/>
    <mergeCell ref="N11:O11"/>
    <mergeCell ref="P11:Q11"/>
    <mergeCell ref="J12:K12"/>
    <mergeCell ref="L12:M12"/>
    <mergeCell ref="N12:O12"/>
    <mergeCell ref="P12:Q12"/>
    <mergeCell ref="J9:K9"/>
    <mergeCell ref="L9:M9"/>
    <mergeCell ref="N9:O9"/>
    <mergeCell ref="P9:Q9"/>
    <mergeCell ref="J10:K10"/>
    <mergeCell ref="L10:M10"/>
    <mergeCell ref="N10:O10"/>
    <mergeCell ref="P10:Q10"/>
    <mergeCell ref="A7:A27"/>
    <mergeCell ref="J7:K7"/>
    <mergeCell ref="L7:M7"/>
    <mergeCell ref="N7:O7"/>
    <mergeCell ref="P7:Q7"/>
    <mergeCell ref="U7:W27"/>
    <mergeCell ref="J8:K8"/>
    <mergeCell ref="L8:M8"/>
    <mergeCell ref="N8:O8"/>
    <mergeCell ref="P8:Q8"/>
    <mergeCell ref="H5:H6"/>
    <mergeCell ref="I5:I6"/>
    <mergeCell ref="J5:Q5"/>
    <mergeCell ref="R5:S6"/>
    <mergeCell ref="T5:T6"/>
    <mergeCell ref="U5:W6"/>
    <mergeCell ref="J6:K6"/>
    <mergeCell ref="L6:M6"/>
    <mergeCell ref="N6:O6"/>
    <mergeCell ref="P6:Q6"/>
    <mergeCell ref="Q3:S3"/>
    <mergeCell ref="T3:W3"/>
    <mergeCell ref="A4:W4"/>
    <mergeCell ref="A5:A6"/>
    <mergeCell ref="B5:B6"/>
    <mergeCell ref="C5:C6"/>
    <mergeCell ref="D5:D6"/>
    <mergeCell ref="E5:E6"/>
    <mergeCell ref="F5:F6"/>
    <mergeCell ref="G5:G6"/>
  </mergeCells>
  <printOptions horizontalCentered="1" verticalCentered="1"/>
  <pageMargins left="0.39370078740157483" right="0.19685039370078741" top="0.19685039370078741" bottom="0.19685039370078741" header="0.31496062992125984" footer="0.31496062992125984"/>
  <pageSetup paperSize="9" scale="3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ANA TASLAK</vt:lpstr>
      <vt:lpstr>ANA LİSTE (2)</vt:lpstr>
      <vt:lpstr>15.09.2025</vt:lpstr>
      <vt:lpstr>16.09.2025</vt:lpstr>
      <vt:lpstr>17.09.2025</vt:lpstr>
      <vt:lpstr>18.09.2025</vt:lpstr>
      <vt:lpstr>19.09.2025</vt:lpstr>
      <vt:lpstr>20.09.2025</vt:lpstr>
      <vt:lpstr>22.09.2025</vt:lpstr>
      <vt:lpstr>23.09.2025</vt:lpstr>
      <vt:lpstr>24.09.2025</vt:lpstr>
      <vt:lpstr>25.09.2025</vt:lpstr>
      <vt:lpstr>26.09.2025</vt:lpstr>
      <vt:lpstr>27.09.2025</vt:lpstr>
      <vt:lpstr>29.09.2025</vt:lpstr>
      <vt:lpstr>30.09.2025</vt:lpstr>
      <vt:lpstr>01.09.2025</vt:lpstr>
      <vt:lpstr>02.10.2025</vt:lpstr>
      <vt:lpstr>03.10.2025</vt:lpstr>
      <vt:lpstr>04.10.2025</vt:lpstr>
      <vt:lpstr>07.10.2025</vt:lpstr>
      <vt:lpstr>08.10.2025</vt:lpstr>
      <vt:lpstr>9.10.2025</vt:lpstr>
      <vt:lpstr>06.10.2025</vt:lpstr>
      <vt:lpstr>10.10.2025</vt:lpstr>
      <vt:lpstr>11.10.2025</vt:lpstr>
      <vt:lpstr>13.10.2025</vt:lpstr>
      <vt:lpstr>14.10.2025</vt:lpstr>
      <vt:lpstr>15.10.2025</vt:lpstr>
      <vt:lpstr>16.10.2025</vt:lpstr>
      <vt:lpstr>17.10.2025</vt:lpstr>
      <vt:lpstr>18.10.2025</vt:lpstr>
      <vt:lpstr>20.10.2025</vt:lpstr>
      <vt:lpstr>21.10.2025</vt:lpstr>
      <vt:lpstr>22.10.2025</vt:lpstr>
      <vt:lpstr>23.10.2025</vt:lpstr>
      <vt:lpstr>24.10.2025</vt:lpstr>
      <vt:lpstr>25.10.2025</vt:lpstr>
      <vt:lpstr>27.10.2025</vt:lpstr>
      <vt:lpstr>28.10.2025</vt:lpstr>
      <vt:lpstr>30.10.2025</vt:lpstr>
      <vt:lpstr>31.10.2025</vt:lpstr>
      <vt:lpstr>01.11.2025</vt:lpstr>
      <vt:lpstr>03.11.2025</vt:lpstr>
      <vt:lpstr>04.11.2025</vt:lpstr>
      <vt:lpstr>05.11.2025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LİNES İŞLETME</dc:creator>
  <cp:lastModifiedBy>DELL</cp:lastModifiedBy>
  <cp:lastPrinted>2025-11-04T07:20:34Z</cp:lastPrinted>
  <dcterms:created xsi:type="dcterms:W3CDTF">2015-06-05T18:17:20Z</dcterms:created>
  <dcterms:modified xsi:type="dcterms:W3CDTF">2025-11-06T07:49:41Z</dcterms:modified>
</cp:coreProperties>
</file>